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1-17-25/"/>
    </mc:Choice>
  </mc:AlternateContent>
  <xr:revisionPtr revIDLastSave="0" documentId="13_ncr:1_{C7E42456-9878-4440-98A7-6F3A14930885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3" l="1"/>
  <c r="M45" i="3" s="1"/>
  <c r="K67" i="3"/>
  <c r="M67" i="3" s="1"/>
  <c r="K68" i="3"/>
  <c r="M68" i="3" s="1"/>
  <c r="K20" i="3"/>
  <c r="M20" i="3" s="1"/>
  <c r="K162" i="3"/>
  <c r="M162" i="3" s="1"/>
  <c r="K69" i="3"/>
  <c r="M69" i="3" s="1"/>
  <c r="K70" i="3"/>
  <c r="M70" i="3" s="1"/>
  <c r="K71" i="3"/>
  <c r="M71" i="3" s="1"/>
  <c r="K131" i="3"/>
  <c r="M131" i="3" s="1"/>
  <c r="K2" i="3"/>
  <c r="M2" i="3" s="1"/>
  <c r="K3" i="3"/>
  <c r="M3" i="3" s="1"/>
  <c r="K46" i="3"/>
  <c r="M46" i="3" s="1"/>
  <c r="K49" i="3"/>
  <c r="M49" i="3" s="1"/>
  <c r="K72" i="3"/>
  <c r="M72" i="3" s="1"/>
  <c r="K73" i="3"/>
  <c r="M73" i="3" s="1"/>
  <c r="K50" i="3"/>
  <c r="M50" i="3" s="1"/>
  <c r="K51" i="3"/>
  <c r="M51" i="3" s="1"/>
  <c r="K74" i="3"/>
  <c r="M74" i="3" s="1"/>
  <c r="K75" i="3"/>
  <c r="M75" i="3" s="1"/>
  <c r="K8" i="3"/>
  <c r="M8" i="3" s="1"/>
  <c r="K156" i="3"/>
  <c r="M156" i="3" s="1"/>
  <c r="K76" i="3"/>
  <c r="M76" i="3" s="1"/>
  <c r="K132" i="3"/>
  <c r="M132" i="3" s="1"/>
  <c r="K133" i="3"/>
  <c r="M133" i="3" s="1"/>
  <c r="K21" i="3"/>
  <c r="M21" i="3" s="1"/>
  <c r="K57" i="3"/>
  <c r="M57" i="3" s="1"/>
  <c r="K18" i="3"/>
  <c r="M18" i="3" s="1"/>
  <c r="K77" i="3"/>
  <c r="M77" i="3" s="1"/>
  <c r="K78" i="3"/>
  <c r="M78" i="3" s="1"/>
  <c r="K79" i="3"/>
  <c r="M79" i="3" s="1"/>
  <c r="K176" i="3"/>
  <c r="M176" i="3" s="1"/>
  <c r="K22" i="3"/>
  <c r="M22" i="3" s="1"/>
  <c r="K167" i="3"/>
  <c r="M167" i="3" s="1"/>
  <c r="K134" i="3"/>
  <c r="M134" i="3" s="1"/>
  <c r="K36" i="3"/>
  <c r="M36" i="3" s="1"/>
  <c r="K80" i="3"/>
  <c r="M80" i="3" s="1"/>
  <c r="K32" i="3"/>
  <c r="M32" i="3" s="1"/>
  <c r="K81" i="3"/>
  <c r="M81" i="3" s="1"/>
  <c r="K47" i="3"/>
  <c r="M47" i="3" s="1"/>
  <c r="K82" i="3"/>
  <c r="M82" i="3" s="1"/>
  <c r="K23" i="3"/>
  <c r="M23" i="3" s="1"/>
  <c r="K83" i="3"/>
  <c r="M83" i="3" s="1"/>
  <c r="K84" i="3"/>
  <c r="M84" i="3" s="1"/>
  <c r="K85" i="3"/>
  <c r="M85" i="3" s="1"/>
  <c r="K86" i="3"/>
  <c r="M86" i="3" s="1"/>
  <c r="K87" i="3"/>
  <c r="M87" i="3" s="1"/>
  <c r="K9" i="3"/>
  <c r="M9" i="3" s="1"/>
  <c r="K10" i="3"/>
  <c r="M10" i="3" s="1"/>
  <c r="K157" i="3"/>
  <c r="M157" i="3" s="1"/>
  <c r="K52" i="3"/>
  <c r="M52" i="3" s="1"/>
  <c r="K11" i="3"/>
  <c r="M11" i="3" s="1"/>
  <c r="K88" i="3"/>
  <c r="M88" i="3" s="1"/>
  <c r="K4" i="3"/>
  <c r="M4" i="3" s="1"/>
  <c r="K89" i="3"/>
  <c r="M89" i="3" s="1"/>
  <c r="K90" i="3"/>
  <c r="M90" i="3" s="1"/>
  <c r="K91" i="3"/>
  <c r="M91" i="3" s="1"/>
  <c r="K92" i="3"/>
  <c r="M92" i="3" s="1"/>
  <c r="K5" i="3"/>
  <c r="M5" i="3" s="1"/>
  <c r="K6" i="3"/>
  <c r="M6" i="3" s="1"/>
  <c r="K158" i="3"/>
  <c r="M158" i="3" s="1"/>
  <c r="K159" i="3"/>
  <c r="M159" i="3" s="1"/>
  <c r="K93" i="3"/>
  <c r="M93" i="3" s="1"/>
  <c r="K66" i="3"/>
  <c r="M66" i="3" s="1"/>
  <c r="K129" i="3"/>
  <c r="M129" i="3" s="1"/>
  <c r="K130" i="3"/>
  <c r="M130" i="3" s="1"/>
  <c r="K63" i="3"/>
  <c r="M63" i="3" s="1"/>
  <c r="K40" i="3"/>
  <c r="M40" i="3" s="1"/>
  <c r="K41" i="3"/>
  <c r="M41" i="3" s="1"/>
  <c r="K94" i="3"/>
  <c r="M94" i="3" s="1"/>
  <c r="K168" i="3"/>
  <c r="M168" i="3" s="1"/>
  <c r="K95" i="3"/>
  <c r="M95" i="3" s="1"/>
  <c r="K12" i="3"/>
  <c r="M12" i="3" s="1"/>
  <c r="K96" i="3"/>
  <c r="M96" i="3" s="1"/>
  <c r="K97" i="3"/>
  <c r="M97" i="3" s="1"/>
  <c r="K98" i="3"/>
  <c r="M98" i="3" s="1"/>
  <c r="K152" i="3"/>
  <c r="M152" i="3" s="1"/>
  <c r="K160" i="3"/>
  <c r="M160" i="3" s="1"/>
  <c r="K161" i="3"/>
  <c r="M161" i="3" s="1"/>
  <c r="K99" i="3"/>
  <c r="M99" i="3" s="1"/>
  <c r="K100" i="3"/>
  <c r="M100" i="3" s="1"/>
  <c r="K101" i="3"/>
  <c r="M101" i="3" s="1"/>
  <c r="K102" i="3"/>
  <c r="M102" i="3" s="1"/>
  <c r="K103" i="3"/>
  <c r="M103" i="3" s="1"/>
  <c r="K13" i="3"/>
  <c r="M13" i="3" s="1"/>
  <c r="K153" i="3"/>
  <c r="M153" i="3" s="1"/>
  <c r="K14" i="3"/>
  <c r="M14" i="3" s="1"/>
  <c r="K15" i="3"/>
  <c r="M15" i="3" s="1"/>
  <c r="K53" i="3"/>
  <c r="M53" i="3" s="1"/>
  <c r="K104" i="3"/>
  <c r="M104" i="3" s="1"/>
  <c r="K33" i="3"/>
  <c r="M33" i="3" s="1"/>
  <c r="K135" i="3"/>
  <c r="M135" i="3" s="1"/>
  <c r="K136" i="3"/>
  <c r="M136" i="3" s="1"/>
  <c r="K137" i="3"/>
  <c r="M137" i="3" s="1"/>
  <c r="K105" i="3"/>
  <c r="M105" i="3" s="1"/>
  <c r="K106" i="3"/>
  <c r="M106" i="3" s="1"/>
  <c r="K169" i="3"/>
  <c r="M169" i="3" s="1"/>
  <c r="K38" i="3"/>
  <c r="M38" i="3" s="1"/>
  <c r="K34" i="3"/>
  <c r="M34" i="3" s="1"/>
  <c r="K27" i="3"/>
  <c r="M27" i="3" s="1"/>
  <c r="K28" i="3"/>
  <c r="M28" i="3" s="1"/>
  <c r="K107" i="3"/>
  <c r="M107" i="3" s="1"/>
  <c r="K138" i="3"/>
  <c r="M138" i="3" s="1"/>
  <c r="K7" i="3"/>
  <c r="M7" i="3" s="1"/>
  <c r="K19" i="3"/>
  <c r="M19" i="3" s="1"/>
  <c r="K108" i="3"/>
  <c r="M108" i="3" s="1"/>
  <c r="K139" i="3"/>
  <c r="M139" i="3" s="1"/>
  <c r="K109" i="3"/>
  <c r="M109" i="3" s="1"/>
  <c r="K154" i="3"/>
  <c r="M154" i="3" s="1"/>
  <c r="K16" i="3"/>
  <c r="M16" i="3" s="1"/>
  <c r="K31" i="3"/>
  <c r="M31" i="3" s="1"/>
  <c r="K140" i="3"/>
  <c r="M140" i="3" s="1"/>
  <c r="K110" i="3"/>
  <c r="M110" i="3" s="1"/>
  <c r="K111" i="3"/>
  <c r="M111" i="3" s="1"/>
  <c r="K112" i="3"/>
  <c r="M112" i="3" s="1"/>
  <c r="K155" i="3"/>
  <c r="M155" i="3" s="1"/>
  <c r="K163" i="3"/>
  <c r="M163" i="3" s="1"/>
  <c r="K170" i="3"/>
  <c r="M170" i="3" s="1"/>
  <c r="K64" i="3"/>
  <c r="M64" i="3" s="1"/>
  <c r="K113" i="3"/>
  <c r="M113" i="3" s="1"/>
  <c r="K141" i="3"/>
  <c r="M141" i="3" s="1"/>
  <c r="K24" i="3"/>
  <c r="M24" i="3" s="1"/>
  <c r="K29" i="3"/>
  <c r="M29" i="3" s="1"/>
  <c r="K142" i="3"/>
  <c r="M142" i="3" s="1"/>
  <c r="K114" i="3"/>
  <c r="M114" i="3" s="1"/>
  <c r="K54" i="3"/>
  <c r="M54" i="3" s="1"/>
  <c r="K174" i="3"/>
  <c r="M174" i="3" s="1"/>
  <c r="K115" i="3"/>
  <c r="M115" i="3" s="1"/>
  <c r="K17" i="3"/>
  <c r="M17" i="3" s="1"/>
  <c r="K116" i="3"/>
  <c r="M116" i="3" s="1"/>
  <c r="K117" i="3"/>
  <c r="M117" i="3" s="1"/>
  <c r="K118" i="3"/>
  <c r="M118" i="3" s="1"/>
  <c r="K143" i="3"/>
  <c r="M143" i="3" s="1"/>
  <c r="K55" i="3"/>
  <c r="M55" i="3" s="1"/>
  <c r="K56" i="3"/>
  <c r="M56" i="3" s="1"/>
  <c r="K43" i="3"/>
  <c r="M43" i="3" s="1"/>
  <c r="K58" i="3"/>
  <c r="M58" i="3" s="1"/>
  <c r="K119" i="3"/>
  <c r="M119" i="3" s="1"/>
  <c r="K171" i="3"/>
  <c r="M171" i="3" s="1"/>
  <c r="K172" i="3"/>
  <c r="M172" i="3" s="1"/>
  <c r="K166" i="3"/>
  <c r="M166" i="3" s="1"/>
  <c r="K120" i="3"/>
  <c r="M120" i="3" s="1"/>
  <c r="K173" i="3"/>
  <c r="M173" i="3" s="1"/>
  <c r="K144" i="3"/>
  <c r="M144" i="3" s="1"/>
  <c r="K121" i="3"/>
  <c r="M121" i="3" s="1"/>
  <c r="K39" i="3"/>
  <c r="M39" i="3" s="1"/>
  <c r="K165" i="3"/>
  <c r="M165" i="3" s="1"/>
  <c r="K122" i="3"/>
  <c r="M122" i="3" s="1"/>
  <c r="K44" i="3"/>
  <c r="M44" i="3" s="1"/>
  <c r="K145" i="3"/>
  <c r="M145" i="3" s="1"/>
  <c r="K151" i="3"/>
  <c r="M151" i="3" s="1"/>
  <c r="K62" i="3"/>
  <c r="M62" i="3" s="1"/>
  <c r="K35" i="3"/>
  <c r="M35" i="3" s="1"/>
  <c r="K123" i="3"/>
  <c r="M123" i="3" s="1"/>
  <c r="K124" i="3"/>
  <c r="M124" i="3" s="1"/>
  <c r="K175" i="3"/>
  <c r="M175" i="3" s="1"/>
  <c r="K61" i="3"/>
  <c r="M61" i="3" s="1"/>
  <c r="K146" i="3"/>
  <c r="M146" i="3" s="1"/>
  <c r="K147" i="3"/>
  <c r="M147" i="3" s="1"/>
  <c r="K125" i="3"/>
  <c r="M125" i="3" s="1"/>
  <c r="K126" i="3"/>
  <c r="M126" i="3" s="1"/>
  <c r="K127" i="3"/>
  <c r="M127" i="3" s="1"/>
  <c r="K25" i="3"/>
  <c r="M25" i="3" s="1"/>
  <c r="K26" i="3"/>
  <c r="M26" i="3" s="1"/>
  <c r="K48" i="3"/>
  <c r="M48" i="3" s="1"/>
  <c r="K59" i="3"/>
  <c r="M59" i="3" s="1"/>
  <c r="K60" i="3"/>
  <c r="M60" i="3" s="1"/>
  <c r="K128" i="3"/>
  <c r="M128" i="3" s="1"/>
  <c r="K148" i="3"/>
  <c r="M148" i="3" s="1"/>
  <c r="K164" i="3"/>
  <c r="M164" i="3" s="1"/>
  <c r="K30" i="3"/>
  <c r="M30" i="3" s="1"/>
  <c r="K149" i="3"/>
  <c r="M149" i="3" s="1"/>
  <c r="K150" i="3"/>
  <c r="M150" i="3" s="1"/>
  <c r="K42" i="3"/>
  <c r="M42" i="3" s="1"/>
  <c r="K37" i="3"/>
  <c r="M37" i="3" s="1"/>
  <c r="K65" i="3"/>
  <c r="M65" i="3" s="1"/>
  <c r="H45" i="3"/>
  <c r="H80" i="3"/>
  <c r="H77" i="3"/>
  <c r="H95" i="3"/>
  <c r="H140" i="3"/>
  <c r="H135" i="3"/>
  <c r="H146" i="3"/>
  <c r="H147" i="3"/>
  <c r="H136" i="3"/>
  <c r="H137" i="3"/>
  <c r="H108" i="3"/>
  <c r="H96" i="3"/>
  <c r="H120" i="3"/>
  <c r="H88" i="3"/>
  <c r="H82" i="3"/>
  <c r="H93" i="3"/>
  <c r="H99" i="3"/>
  <c r="H134" i="3"/>
  <c r="H110" i="3"/>
  <c r="H149" i="3"/>
  <c r="H100" i="3"/>
  <c r="H89" i="3"/>
  <c r="H90" i="3"/>
  <c r="H105" i="3"/>
  <c r="H66" i="3"/>
  <c r="H76" i="3"/>
  <c r="H69" i="3"/>
  <c r="H70" i="3"/>
  <c r="H74" i="3"/>
  <c r="H104" i="3"/>
  <c r="H128" i="3"/>
  <c r="H132" i="3"/>
  <c r="H119" i="3"/>
  <c r="H171" i="3"/>
  <c r="H78" i="3"/>
  <c r="H133" i="3"/>
  <c r="H107" i="3"/>
  <c r="H113" i="3"/>
  <c r="H145" i="3"/>
  <c r="H116" i="3"/>
  <c r="H117" i="3"/>
  <c r="H83" i="3"/>
  <c r="H84" i="3"/>
  <c r="H141" i="3"/>
  <c r="H85" i="3"/>
  <c r="H150" i="3"/>
  <c r="H118" i="3"/>
  <c r="H71" i="3"/>
  <c r="H131" i="3"/>
  <c r="H123" i="3"/>
  <c r="H142" i="3"/>
  <c r="H125" i="3"/>
  <c r="H126" i="3"/>
  <c r="H94" i="3"/>
  <c r="H127" i="3"/>
  <c r="H67" i="3"/>
  <c r="H111" i="3"/>
  <c r="H79" i="3"/>
  <c r="H115" i="3"/>
  <c r="H143" i="3"/>
  <c r="H138" i="3"/>
  <c r="H86" i="3"/>
  <c r="H101" i="3"/>
  <c r="H102" i="3"/>
  <c r="H72" i="3"/>
  <c r="H73" i="3"/>
  <c r="H144" i="3"/>
  <c r="H121" i="3"/>
  <c r="H68" i="3"/>
  <c r="H148" i="3"/>
  <c r="H139" i="3"/>
  <c r="H109" i="3"/>
  <c r="H114" i="3"/>
  <c r="H97" i="3"/>
  <c r="H98" i="3"/>
  <c r="H106" i="3"/>
  <c r="H103" i="3"/>
  <c r="H124" i="3"/>
  <c r="H81" i="3"/>
  <c r="H122" i="3"/>
  <c r="H87" i="3"/>
  <c r="H112" i="3"/>
  <c r="H91" i="3"/>
  <c r="H92" i="3"/>
  <c r="H75" i="3"/>
  <c r="H151" i="3"/>
  <c r="H129" i="3"/>
  <c r="H130" i="3"/>
  <c r="H32" i="3"/>
  <c r="H176" i="3"/>
  <c r="H12" i="3"/>
  <c r="H154" i="3"/>
  <c r="H152" i="3"/>
  <c r="H173" i="3"/>
  <c r="H4" i="3"/>
  <c r="H23" i="3"/>
  <c r="H63" i="3"/>
  <c r="H13" i="3"/>
  <c r="H155" i="3"/>
  <c r="H153" i="3"/>
  <c r="H5" i="3"/>
  <c r="H6" i="3"/>
  <c r="H169" i="3"/>
  <c r="H21" i="3"/>
  <c r="H2" i="3"/>
  <c r="H3" i="3"/>
  <c r="H8" i="3"/>
  <c r="H33" i="3"/>
  <c r="H164" i="3"/>
  <c r="H172" i="3"/>
  <c r="H166" i="3"/>
  <c r="H22" i="3"/>
  <c r="H7" i="3"/>
  <c r="H24" i="3"/>
  <c r="H55" i="3"/>
  <c r="H56" i="3"/>
  <c r="H9" i="3"/>
  <c r="H10" i="3"/>
  <c r="H157" i="3"/>
  <c r="H43" i="3"/>
  <c r="H46" i="3"/>
  <c r="H175" i="3"/>
  <c r="H25" i="3"/>
  <c r="H26" i="3"/>
  <c r="H168" i="3"/>
  <c r="H48" i="3"/>
  <c r="H20" i="3"/>
  <c r="H163" i="3"/>
  <c r="H167" i="3"/>
  <c r="H17" i="3"/>
  <c r="H52" i="3"/>
  <c r="H14" i="3"/>
  <c r="H15" i="3"/>
  <c r="H50" i="3"/>
  <c r="H51" i="3"/>
  <c r="H40" i="3"/>
  <c r="H41" i="3"/>
  <c r="H39" i="3"/>
  <c r="H162" i="3"/>
  <c r="H16" i="3"/>
  <c r="H54" i="3"/>
  <c r="H160" i="3"/>
  <c r="H161" i="3"/>
  <c r="H38" i="3"/>
  <c r="H53" i="3"/>
  <c r="H61" i="3"/>
  <c r="H47" i="3"/>
  <c r="H44" i="3"/>
  <c r="H11" i="3"/>
  <c r="H170" i="3"/>
  <c r="H158" i="3"/>
  <c r="H159" i="3"/>
  <c r="H156" i="3"/>
  <c r="H64" i="3"/>
  <c r="H34" i="3"/>
  <c r="H59" i="3"/>
  <c r="H60" i="3"/>
  <c r="H27" i="3"/>
  <c r="H28" i="3"/>
  <c r="H36" i="3"/>
  <c r="H42" i="3"/>
  <c r="H57" i="3"/>
  <c r="H18" i="3"/>
  <c r="H62" i="3"/>
  <c r="H35" i="3"/>
  <c r="H29" i="3"/>
  <c r="H37" i="3"/>
  <c r="H49" i="3"/>
  <c r="H174" i="3"/>
  <c r="H58" i="3"/>
  <c r="H19" i="3"/>
  <c r="H165" i="3"/>
  <c r="H30" i="3"/>
  <c r="H31" i="3"/>
  <c r="H65" i="3"/>
  <c r="E56" i="3"/>
  <c r="E9" i="3"/>
  <c r="E10" i="3"/>
  <c r="E157" i="3"/>
  <c r="E43" i="3"/>
  <c r="E46" i="3"/>
  <c r="E175" i="3"/>
  <c r="E25" i="3"/>
  <c r="E26" i="3"/>
  <c r="E168" i="3"/>
  <c r="E48" i="3"/>
  <c r="E20" i="3"/>
  <c r="E163" i="3"/>
  <c r="E167" i="3"/>
  <c r="E17" i="3"/>
  <c r="E52" i="3"/>
  <c r="E14" i="3"/>
  <c r="E15" i="3"/>
  <c r="E50" i="3"/>
  <c r="E51" i="3"/>
  <c r="E40" i="3"/>
  <c r="E41" i="3"/>
  <c r="E39" i="3"/>
  <c r="E162" i="3"/>
  <c r="E16" i="3"/>
  <c r="E54" i="3"/>
  <c r="E160" i="3"/>
  <c r="E161" i="3"/>
  <c r="E38" i="3"/>
  <c r="E53" i="3"/>
  <c r="E61" i="3"/>
  <c r="E47" i="3"/>
  <c r="E44" i="3"/>
  <c r="E11" i="3"/>
  <c r="E170" i="3"/>
  <c r="E158" i="3"/>
  <c r="E159" i="3"/>
  <c r="E156" i="3"/>
  <c r="E64" i="3"/>
  <c r="E34" i="3"/>
  <c r="E59" i="3"/>
  <c r="E60" i="3"/>
  <c r="E27" i="3"/>
  <c r="E28" i="3"/>
  <c r="E36" i="3"/>
  <c r="E42" i="3"/>
  <c r="E57" i="3"/>
  <c r="E18" i="3"/>
  <c r="E62" i="3"/>
  <c r="E35" i="3"/>
  <c r="E29" i="3"/>
  <c r="E37" i="3"/>
  <c r="E49" i="3"/>
  <c r="E174" i="3"/>
  <c r="E58" i="3"/>
  <c r="E19" i="3"/>
  <c r="E165" i="3"/>
  <c r="E30" i="3"/>
  <c r="E31" i="3"/>
  <c r="E176" i="3"/>
  <c r="E12" i="3"/>
  <c r="E154" i="3"/>
  <c r="E152" i="3"/>
  <c r="E173" i="3"/>
  <c r="E4" i="3"/>
  <c r="E23" i="3"/>
  <c r="E63" i="3"/>
  <c r="E13" i="3"/>
  <c r="E155" i="3"/>
  <c r="E153" i="3"/>
  <c r="E5" i="3"/>
  <c r="E6" i="3"/>
  <c r="E169" i="3"/>
  <c r="E21" i="3"/>
  <c r="E2" i="3"/>
  <c r="E3" i="3"/>
  <c r="E8" i="3"/>
  <c r="E33" i="3"/>
  <c r="E164" i="3"/>
  <c r="E172" i="3"/>
  <c r="E166" i="3"/>
  <c r="E22" i="3"/>
  <c r="E7" i="3"/>
  <c r="E24" i="3"/>
  <c r="E55" i="3"/>
  <c r="E32" i="3"/>
  <c r="E97" i="3"/>
  <c r="E98" i="3"/>
  <c r="E106" i="3"/>
  <c r="E103" i="3"/>
  <c r="E124" i="3"/>
  <c r="E81" i="3"/>
  <c r="E122" i="3"/>
  <c r="E87" i="3"/>
  <c r="E112" i="3"/>
  <c r="E91" i="3"/>
  <c r="E92" i="3"/>
  <c r="E75" i="3"/>
  <c r="E151" i="3"/>
  <c r="E129" i="3"/>
  <c r="E130" i="3"/>
  <c r="E127" i="3"/>
  <c r="E67" i="3"/>
  <c r="E111" i="3"/>
  <c r="E79" i="3"/>
  <c r="E115" i="3"/>
  <c r="E143" i="3"/>
  <c r="E138" i="3"/>
  <c r="E86" i="3"/>
  <c r="E101" i="3"/>
  <c r="E102" i="3"/>
  <c r="E72" i="3"/>
  <c r="E73" i="3"/>
  <c r="E144" i="3"/>
  <c r="E121" i="3"/>
  <c r="E68" i="3"/>
  <c r="E148" i="3"/>
  <c r="E139" i="3"/>
  <c r="E109" i="3"/>
  <c r="E114" i="3"/>
  <c r="E107" i="3"/>
  <c r="E113" i="3"/>
  <c r="E145" i="3"/>
  <c r="E116" i="3"/>
  <c r="E117" i="3"/>
  <c r="E83" i="3"/>
  <c r="E84" i="3"/>
  <c r="E141" i="3"/>
  <c r="E85" i="3"/>
  <c r="E150" i="3"/>
  <c r="E118" i="3"/>
  <c r="E71" i="3"/>
  <c r="E131" i="3"/>
  <c r="E123" i="3"/>
  <c r="E142" i="3"/>
  <c r="E125" i="3"/>
  <c r="E126" i="3"/>
  <c r="E94" i="3"/>
  <c r="E77" i="3"/>
  <c r="E95" i="3"/>
  <c r="E140" i="3"/>
  <c r="E135" i="3"/>
  <c r="E146" i="3"/>
  <c r="E147" i="3"/>
  <c r="E136" i="3"/>
  <c r="E137" i="3"/>
  <c r="E108" i="3"/>
  <c r="E96" i="3"/>
  <c r="E120" i="3"/>
  <c r="E88" i="3"/>
  <c r="E82" i="3"/>
  <c r="E93" i="3"/>
  <c r="E99" i="3"/>
  <c r="E134" i="3"/>
  <c r="E110" i="3"/>
  <c r="E149" i="3"/>
  <c r="E100" i="3"/>
  <c r="E89" i="3"/>
  <c r="E90" i="3"/>
  <c r="E105" i="3"/>
  <c r="E66" i="3"/>
  <c r="E76" i="3"/>
  <c r="E69" i="3"/>
  <c r="E70" i="3"/>
  <c r="E74" i="3"/>
  <c r="E104" i="3"/>
  <c r="E128" i="3"/>
  <c r="E132" i="3"/>
  <c r="E119" i="3"/>
  <c r="E171" i="3"/>
  <c r="E78" i="3"/>
  <c r="E133" i="3"/>
  <c r="E80" i="3"/>
  <c r="E45" i="3"/>
  <c r="E65" i="3"/>
</calcChain>
</file>

<file path=xl/sharedStrings.xml><?xml version="1.0" encoding="utf-8"?>
<sst xmlns="http://schemas.openxmlformats.org/spreadsheetml/2006/main" count="3017" uniqueCount="440">
  <si>
    <t/>
  </si>
  <si>
    <t>Description</t>
  </si>
  <si>
    <t>Member Count</t>
  </si>
  <si>
    <t>Total</t>
  </si>
  <si>
    <t>Payee</t>
  </si>
  <si>
    <t>Payment Date</t>
  </si>
  <si>
    <t>Main Line Benefits LLC</t>
  </si>
  <si>
    <t>01/17/2025</t>
  </si>
  <si>
    <t>Credits</t>
  </si>
  <si>
    <t>$51,041.00</t>
  </si>
  <si>
    <t>Debits</t>
  </si>
  <si>
    <t>($301.83)</t>
  </si>
  <si>
    <t>Miscellaneous</t>
  </si>
  <si>
    <t>$0.00</t>
  </si>
  <si>
    <t>Bonus</t>
  </si>
  <si>
    <t>Sub Total</t>
  </si>
  <si>
    <t>$50,739.17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</si>
  <si>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</si>
  <si>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</si>
  <si>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</si>
  <si>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</si>
  <si>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</si>
  <si>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</si>
  <si>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</si>
  <si>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</si>
  <si>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</si>
  <si>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</si>
  <si>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</si>
  <si>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</si>
  <si>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</si>
  <si>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</si>
  <si>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</si>
  <si>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</si>
  <si>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</si>
  <si>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</si>
  <si>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</si>
  <si>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</si>
  <si>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</si>
  <si>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</si>
  <si>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</si>
  <si>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</si>
  <si>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16865615</t>
  </si>
  <si>
    <t>Heather Geske</t>
  </si>
  <si>
    <t>D8S8F8</t>
  </si>
  <si>
    <t>9C26N01NT84</t>
  </si>
  <si>
    <t>JOHN</t>
  </si>
  <si>
    <t>HIGHAM</t>
  </si>
  <si>
    <t>CO</t>
  </si>
  <si>
    <t>H7147</t>
  </si>
  <si>
    <t>Initial - New</t>
  </si>
  <si>
    <t>Jan</t>
  </si>
  <si>
    <t>19586992</t>
  </si>
  <si>
    <t>Barry Schumann</t>
  </si>
  <si>
    <t>DC3EKR</t>
  </si>
  <si>
    <t>5Q16JC0NC71</t>
  </si>
  <si>
    <t>DEBRA</t>
  </si>
  <si>
    <t>MURPHY</t>
  </si>
  <si>
    <t>IL</t>
  </si>
  <si>
    <t>H7151</t>
  </si>
  <si>
    <t>MAPD</t>
  </si>
  <si>
    <t>Initial - Not New</t>
  </si>
  <si>
    <t>19396223</t>
  </si>
  <si>
    <t>Saadia Abdul</t>
  </si>
  <si>
    <t>DS9Y85</t>
  </si>
  <si>
    <t>7M88JQ4YM26</t>
  </si>
  <si>
    <t>ARIF</t>
  </si>
  <si>
    <t>SIRAJ</t>
  </si>
  <si>
    <t>DR5KGS</t>
  </si>
  <si>
    <t>1EA4CV2TE82</t>
  </si>
  <si>
    <t>FRANCESCA</t>
  </si>
  <si>
    <t>LYZUN</t>
  </si>
  <si>
    <t>H6545</t>
  </si>
  <si>
    <t>PDP</t>
  </si>
  <si>
    <t>7470776</t>
  </si>
  <si>
    <t>Andrew Choi</t>
  </si>
  <si>
    <t>DE72ZC</t>
  </si>
  <si>
    <t>6MC5M62HF93</t>
  </si>
  <si>
    <t>LAVERNE</t>
  </si>
  <si>
    <t>DONATO</t>
  </si>
  <si>
    <t>DHSKKF</t>
  </si>
  <si>
    <t>7H73FK0HD88</t>
  </si>
  <si>
    <t>CASIMER</t>
  </si>
  <si>
    <t>DRS326</t>
  </si>
  <si>
    <t>6XK3WK0GM06</t>
  </si>
  <si>
    <t>EUGENE</t>
  </si>
  <si>
    <t>2158366</t>
  </si>
  <si>
    <t>Jeffrey Horn</t>
  </si>
  <si>
    <t>D87SKK</t>
  </si>
  <si>
    <t>9F35HR2YW89</t>
  </si>
  <si>
    <t>CHERYL</t>
  </si>
  <si>
    <t>RUDD</t>
  </si>
  <si>
    <t>DARF7K</t>
  </si>
  <si>
    <t>4U13M55QW97</t>
  </si>
  <si>
    <t>SCOTT</t>
  </si>
  <si>
    <t>7146581</t>
  </si>
  <si>
    <t>Anthony Hunsberger</t>
  </si>
  <si>
    <t>DR9GSJ</t>
  </si>
  <si>
    <t>3UQ2GP9AU06</t>
  </si>
  <si>
    <t>SHEILA</t>
  </si>
  <si>
    <t>ENGLISH</t>
  </si>
  <si>
    <t>16633294</t>
  </si>
  <si>
    <t>Richard Yale</t>
  </si>
  <si>
    <t>DG6YEF</t>
  </si>
  <si>
    <t>2VY5K24UF62</t>
  </si>
  <si>
    <t>SMITH</t>
  </si>
  <si>
    <t>D77WRJ</t>
  </si>
  <si>
    <t>9MM4KG4GE61</t>
  </si>
  <si>
    <t>ANDREW</t>
  </si>
  <si>
    <t>FERNANDEZ</t>
  </si>
  <si>
    <t>NONE</t>
  </si>
  <si>
    <t>DZ34AR</t>
  </si>
  <si>
    <t>8KQ6D94WJ30</t>
  </si>
  <si>
    <t>GRAZYNA</t>
  </si>
  <si>
    <t>EWERT</t>
  </si>
  <si>
    <t>DSF4K7</t>
  </si>
  <si>
    <t>9DM2K74WH24</t>
  </si>
  <si>
    <t>CANDACE</t>
  </si>
  <si>
    <t>DOBRINO</t>
  </si>
  <si>
    <t>D3W8UJ</t>
  </si>
  <si>
    <t>8UJ2RD3YY15</t>
  </si>
  <si>
    <t>SALLY</t>
  </si>
  <si>
    <t>FERMAINT</t>
  </si>
  <si>
    <t>17126004</t>
  </si>
  <si>
    <t>Stephanie Drapac</t>
  </si>
  <si>
    <t>D5E4KJ</t>
  </si>
  <si>
    <t>1YP6X40UW57</t>
  </si>
  <si>
    <t>REBECCA</t>
  </si>
  <si>
    <t>NORTON</t>
  </si>
  <si>
    <t>18581063</t>
  </si>
  <si>
    <t>Timothy Hodgman</t>
  </si>
  <si>
    <t>DFFGS3</t>
  </si>
  <si>
    <t>6XD4YE6JV67</t>
  </si>
  <si>
    <t>ENOCH</t>
  </si>
  <si>
    <t>ANDERSON</t>
  </si>
  <si>
    <t>8814784</t>
  </si>
  <si>
    <t>Frank Liskovec</t>
  </si>
  <si>
    <t>D4SJK4</t>
  </si>
  <si>
    <t>9EU1PK6KQ36</t>
  </si>
  <si>
    <t>KAREN</t>
  </si>
  <si>
    <t>CHAREWICZ</t>
  </si>
  <si>
    <t>17301495</t>
  </si>
  <si>
    <t>Esther Herrera-Larsen</t>
  </si>
  <si>
    <t>DZ25A6</t>
  </si>
  <si>
    <t>2KE5KW0XQ64</t>
  </si>
  <si>
    <t>KAREEMA</t>
  </si>
  <si>
    <t>ABDUL FARMER</t>
  </si>
  <si>
    <t>DK8GWE</t>
  </si>
  <si>
    <t>2KP1KN1NH96</t>
  </si>
  <si>
    <t>SANDRA</t>
  </si>
  <si>
    <t>WATERS</t>
  </si>
  <si>
    <t>H4808</t>
  </si>
  <si>
    <t>DA5EJF</t>
  </si>
  <si>
    <t>1RM4U18AA60</t>
  </si>
  <si>
    <t>MARY</t>
  </si>
  <si>
    <t>CARFAGNINI</t>
  </si>
  <si>
    <t>D3YF2S</t>
  </si>
  <si>
    <t>6QV4H12CE70</t>
  </si>
  <si>
    <t>PAMM</t>
  </si>
  <si>
    <t>WILCOX</t>
  </si>
  <si>
    <t>DJJH2A</t>
  </si>
  <si>
    <t>3XG7KH0RN44</t>
  </si>
  <si>
    <t>FELICIJA</t>
  </si>
  <si>
    <t>JABLONSKIS</t>
  </si>
  <si>
    <t>D62JA5</t>
  </si>
  <si>
    <t>6AA9JQ1CU34</t>
  </si>
  <si>
    <t>LINAS</t>
  </si>
  <si>
    <t>DZG38J</t>
  </si>
  <si>
    <t>1KU4RJ6NP95</t>
  </si>
  <si>
    <t>GARY</t>
  </si>
  <si>
    <t>RICHTER</t>
  </si>
  <si>
    <t>H8320</t>
  </si>
  <si>
    <t>D2WWK3</t>
  </si>
  <si>
    <t>5UX4QR9CN67</t>
  </si>
  <si>
    <t>CAROLE</t>
  </si>
  <si>
    <t>KRAJESKI</t>
  </si>
  <si>
    <t>DRR7W8</t>
  </si>
  <si>
    <t>4TE7TQ7YQ34</t>
  </si>
  <si>
    <t>WILLIAM</t>
  </si>
  <si>
    <t>BRENNAN</t>
  </si>
  <si>
    <t>D3FYF5</t>
  </si>
  <si>
    <t>9GJ7CD6QH32</t>
  </si>
  <si>
    <t>MARTA</t>
  </si>
  <si>
    <t>CULLEN</t>
  </si>
  <si>
    <t>DWZ7RJ</t>
  </si>
  <si>
    <t>5X24T73WW98</t>
  </si>
  <si>
    <t>PHILLIP</t>
  </si>
  <si>
    <t>DCHAGG</t>
  </si>
  <si>
    <t>6EU6TN8KD85</t>
  </si>
  <si>
    <t>MICHAELE</t>
  </si>
  <si>
    <t>YOUCHISON</t>
  </si>
  <si>
    <t>DJ6JJA</t>
  </si>
  <si>
    <t>1CG6WD9PE56</t>
  </si>
  <si>
    <t>MICHAEL</t>
  </si>
  <si>
    <t>9213293</t>
  </si>
  <si>
    <t>Gary Portugal</t>
  </si>
  <si>
    <t>D4YY48</t>
  </si>
  <si>
    <t>7G46HG2WT67</t>
  </si>
  <si>
    <t>JILL</t>
  </si>
  <si>
    <t>SCHMIDT</t>
  </si>
  <si>
    <t>TX</t>
  </si>
  <si>
    <t>H6813</t>
  </si>
  <si>
    <t>DR4826</t>
  </si>
  <si>
    <t>1N24JN4FC72</t>
  </si>
  <si>
    <t>DONALD</t>
  </si>
  <si>
    <t>20212926</t>
  </si>
  <si>
    <t>Jose Torres</t>
  </si>
  <si>
    <t>DCY63A</t>
  </si>
  <si>
    <t>1UE0D40XD14</t>
  </si>
  <si>
    <t>BERTHA</t>
  </si>
  <si>
    <t>CARRILLO</t>
  </si>
  <si>
    <t>19615078</t>
  </si>
  <si>
    <t>Richard Wuensch</t>
  </si>
  <si>
    <t>D939F6</t>
  </si>
  <si>
    <t>4EU7FG8AT48</t>
  </si>
  <si>
    <t>MARIA</t>
  </si>
  <si>
    <t>DENNIE</t>
  </si>
  <si>
    <t>IN</t>
  </si>
  <si>
    <t>H7471</t>
  </si>
  <si>
    <t>DZZH46</t>
  </si>
  <si>
    <t>9VT5EY0FK81</t>
  </si>
  <si>
    <t>SHERRY</t>
  </si>
  <si>
    <t>MIKOLICS</t>
  </si>
  <si>
    <t>DA4WEU</t>
  </si>
  <si>
    <t>2QF6GM2WU48</t>
  </si>
  <si>
    <t>LOIS</t>
  </si>
  <si>
    <t>BARNES</t>
  </si>
  <si>
    <t>8405446</t>
  </si>
  <si>
    <t>Patsamon Thanadabouth</t>
  </si>
  <si>
    <t>DKA7W3</t>
  </si>
  <si>
    <t>4AU5TP5HG59</t>
  </si>
  <si>
    <t>THONGBAY</t>
  </si>
  <si>
    <t>BOUNYAVONG</t>
  </si>
  <si>
    <t>D5K25C</t>
  </si>
  <si>
    <t>3KQ0KU3HN31</t>
  </si>
  <si>
    <t>ROBERT</t>
  </si>
  <si>
    <t>TONGE</t>
  </si>
  <si>
    <t>DWR9FJ</t>
  </si>
  <si>
    <t>5G72N04NH11</t>
  </si>
  <si>
    <t>KERRY</t>
  </si>
  <si>
    <t>D8KF97</t>
  </si>
  <si>
    <t>6CE7CK9UJ49</t>
  </si>
  <si>
    <t>BONNIE</t>
  </si>
  <si>
    <t>RIESER</t>
  </si>
  <si>
    <t>DC25A5</t>
  </si>
  <si>
    <t>8R42KX4AN83</t>
  </si>
  <si>
    <t>MANUEL</t>
  </si>
  <si>
    <t>CASTRO GARCIA</t>
  </si>
  <si>
    <t>DRRU7R</t>
  </si>
  <si>
    <t>3FK0XU2RH03</t>
  </si>
  <si>
    <t>ELIZABETH</t>
  </si>
  <si>
    <t>ROSARIO</t>
  </si>
  <si>
    <t>D22A48</t>
  </si>
  <si>
    <t>1K39C46DV18</t>
  </si>
  <si>
    <t>DIANE</t>
  </si>
  <si>
    <t>VONDORNBURG</t>
  </si>
  <si>
    <t>19200754</t>
  </si>
  <si>
    <t>Ricardo Santos</t>
  </si>
  <si>
    <t>DFHGGW</t>
  </si>
  <si>
    <t>8XE7FR6PN32</t>
  </si>
  <si>
    <t>CROWDER</t>
  </si>
  <si>
    <t>DSJR7R</t>
  </si>
  <si>
    <t>7A98GM2VC49</t>
  </si>
  <si>
    <t>GERARDO</t>
  </si>
  <si>
    <t>ESPINOSA</t>
  </si>
  <si>
    <t>D2E9C8</t>
  </si>
  <si>
    <t>5FH8G28RK23</t>
  </si>
  <si>
    <t>WALTER</t>
  </si>
  <si>
    <t>BECKMAN</t>
  </si>
  <si>
    <t>DUWJJS</t>
  </si>
  <si>
    <t>6XV2Q65GN95</t>
  </si>
  <si>
    <t>ROBERTA</t>
  </si>
  <si>
    <t>D678GK</t>
  </si>
  <si>
    <t>1RR8CY6RT26</t>
  </si>
  <si>
    <t>BARONE JR</t>
  </si>
  <si>
    <t>DKGJ6A</t>
  </si>
  <si>
    <t>8T39PD1KA42</t>
  </si>
  <si>
    <t>JAIMINI</t>
  </si>
  <si>
    <t>TRIVEDI</t>
  </si>
  <si>
    <t>DHF6GK</t>
  </si>
  <si>
    <t>6FP1PN8QQ11</t>
  </si>
  <si>
    <t>RALPH</t>
  </si>
  <si>
    <t>DE LA FUENTE</t>
  </si>
  <si>
    <t>DAR472</t>
  </si>
  <si>
    <t>3FD5KG4EQ63</t>
  </si>
  <si>
    <t>RACS</t>
  </si>
  <si>
    <t>DYJG9W</t>
  </si>
  <si>
    <t>5MU8NX5NT47</t>
  </si>
  <si>
    <t>KRISTINE</t>
  </si>
  <si>
    <t>GIBAS</t>
  </si>
  <si>
    <t>19681796</t>
  </si>
  <si>
    <t>christian taugner</t>
  </si>
  <si>
    <t>D5HG7U</t>
  </si>
  <si>
    <t>3QN7NH6AQ41</t>
  </si>
  <si>
    <t>WENDY</t>
  </si>
  <si>
    <t>SOFYANOS</t>
  </si>
  <si>
    <t>DJJ9HY</t>
  </si>
  <si>
    <t>3E21NF4PK99</t>
  </si>
  <si>
    <t>MARK</t>
  </si>
  <si>
    <t>STEPHANO</t>
  </si>
  <si>
    <t>D4EE5H</t>
  </si>
  <si>
    <t>5KR3J09KQ83</t>
  </si>
  <si>
    <t>SAMUEL</t>
  </si>
  <si>
    <t>BOOK</t>
  </si>
  <si>
    <t>DZ6GWY</t>
  </si>
  <si>
    <t>8YT2EG0DA13</t>
  </si>
  <si>
    <t>BARNISH</t>
  </si>
  <si>
    <t>DJ24FH</t>
  </si>
  <si>
    <t>1A77M74HE39</t>
  </si>
  <si>
    <t>KATHLEEN</t>
  </si>
  <si>
    <t>COLLINS</t>
  </si>
  <si>
    <t>DE9J4K</t>
  </si>
  <si>
    <t>7E23R20PK89</t>
  </si>
  <si>
    <t>LASHUN</t>
  </si>
  <si>
    <t>NELSON</t>
  </si>
  <si>
    <t>D48HWR</t>
  </si>
  <si>
    <t>3JC7CG5PH75</t>
  </si>
  <si>
    <t>HAROLD</t>
  </si>
  <si>
    <t>WIRTZ</t>
  </si>
  <si>
    <t>DHRYRA</t>
  </si>
  <si>
    <t>5NQ6NA9TJ50</t>
  </si>
  <si>
    <t>CATHERINE</t>
  </si>
  <si>
    <t>JAMES</t>
  </si>
  <si>
    <t>DZK78H</t>
  </si>
  <si>
    <t>1DP4GT6GQ01</t>
  </si>
  <si>
    <t>JANE</t>
  </si>
  <si>
    <t>GREENFIELD</t>
  </si>
  <si>
    <t>DK5Y9F</t>
  </si>
  <si>
    <t>1VR6JK6PH88</t>
  </si>
  <si>
    <t>PETROS</t>
  </si>
  <si>
    <t>MARKOPOULOS</t>
  </si>
  <si>
    <t>DGJ3WA</t>
  </si>
  <si>
    <t>3KY1U85RD29</t>
  </si>
  <si>
    <t>ALLAN</t>
  </si>
  <si>
    <t>TESON</t>
  </si>
  <si>
    <t>D3H8U8</t>
  </si>
  <si>
    <t>9XM6AW7DT72</t>
  </si>
  <si>
    <t>ANTHONY</t>
  </si>
  <si>
    <t>PILOLLA</t>
  </si>
  <si>
    <t>DRUSCG</t>
  </si>
  <si>
    <t>4TT7K00XM62</t>
  </si>
  <si>
    <t>BARBARA</t>
  </si>
  <si>
    <t>POWELL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</si>
  <si>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</si>
  <si>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</si>
  <si>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</si>
  <si>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</si>
  <si>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</si>
  <si>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</si>
  <si>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</si>
  <si>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</si>
  <si>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D4HE9G</t>
  </si>
  <si>
    <t>8FU8QG4KG68</t>
  </si>
  <si>
    <t>STEVEN</t>
  </si>
  <si>
    <t>HEY</t>
  </si>
  <si>
    <t>DHWE4W</t>
  </si>
  <si>
    <t>6VV7RE8JM34</t>
  </si>
  <si>
    <t>SUZANNE</t>
  </si>
  <si>
    <t>D74CRS</t>
  </si>
  <si>
    <t>3K14XK5KF03</t>
  </si>
  <si>
    <t>FALCONER</t>
  </si>
  <si>
    <t>DJHS47</t>
  </si>
  <si>
    <t>9UT3M61NR76</t>
  </si>
  <si>
    <t>DCRHUF</t>
  </si>
  <si>
    <t>5UM4PE3XW74</t>
  </si>
  <si>
    <t>HELEN</t>
  </si>
  <si>
    <t>BREIDENBACH</t>
  </si>
  <si>
    <t>D83KH5</t>
  </si>
  <si>
    <t>2GV4VA9FA74</t>
  </si>
  <si>
    <t>BHARGAV</t>
  </si>
  <si>
    <t>SAVANI</t>
  </si>
  <si>
    <t>DS2K8C</t>
  </si>
  <si>
    <t>8K48JD8UX51</t>
  </si>
  <si>
    <t>SCHRADER</t>
  </si>
  <si>
    <t>8307933</t>
  </si>
  <si>
    <t>Gregory Teipel</t>
  </si>
  <si>
    <t>D6HHKW</t>
  </si>
  <si>
    <t>9N34AD7JE95</t>
  </si>
  <si>
    <t>WEIS</t>
  </si>
  <si>
    <t>DCZ6E3</t>
  </si>
  <si>
    <t>5E08V67TR32</t>
  </si>
  <si>
    <t>HILDA</t>
  </si>
  <si>
    <t>HERNANDEZ</t>
  </si>
  <si>
    <t>16683808</t>
  </si>
  <si>
    <t>Jonathan Aloff</t>
  </si>
  <si>
    <t>D949GW</t>
  </si>
  <si>
    <t>4EV0AV1VX33</t>
  </si>
  <si>
    <t>EDDIE</t>
  </si>
  <si>
    <t>GILBERT III</t>
  </si>
  <si>
    <t>DS3JW9</t>
  </si>
  <si>
    <t>9MK9VQ4PD38</t>
  </si>
  <si>
    <t>JOYCE</t>
  </si>
  <si>
    <t>WARD</t>
  </si>
  <si>
    <t>FL</t>
  </si>
  <si>
    <t>H1290</t>
  </si>
  <si>
    <t>19481808</t>
  </si>
  <si>
    <t>Steven Werner</t>
  </si>
  <si>
    <t>D56WZZ</t>
  </si>
  <si>
    <t>2CE8PJ1XC43</t>
  </si>
  <si>
    <t>JOSEPHINE</t>
  </si>
  <si>
    <t>MANZELLA</t>
  </si>
  <si>
    <t>D2KZUR</t>
  </si>
  <si>
    <t>8RH8N43TD37</t>
  </si>
  <si>
    <t>BARR</t>
  </si>
  <si>
    <t>DFE232</t>
  </si>
  <si>
    <t>4U83GD5EP88</t>
  </si>
  <si>
    <t>PETER</t>
  </si>
  <si>
    <t>DAJ3ER</t>
  </si>
  <si>
    <t>2Q67R64QX53</t>
  </si>
  <si>
    <t>BETTY</t>
  </si>
  <si>
    <t>MCKENNIE</t>
  </si>
  <si>
    <t>DJFA7R</t>
  </si>
  <si>
    <t>7V79CK2VW53</t>
  </si>
  <si>
    <t>CLIFTON</t>
  </si>
  <si>
    <t>DZ7WJ3</t>
  </si>
  <si>
    <t>2F70HV3DV22</t>
  </si>
  <si>
    <t>MITCHELL</t>
  </si>
  <si>
    <t>DJGRC4</t>
  </si>
  <si>
    <t>3EK4WA7CD09</t>
  </si>
  <si>
    <t>KIM</t>
  </si>
  <si>
    <t>DZ4FFJ</t>
  </si>
  <si>
    <t>2QD3UE0DR74</t>
  </si>
  <si>
    <t>SALVATORE</t>
  </si>
  <si>
    <t>ESPOSITO</t>
  </si>
  <si>
    <t>D25HA7</t>
  </si>
  <si>
    <t>4CT6P10ND74</t>
  </si>
  <si>
    <t>RICHARD</t>
  </si>
  <si>
    <t>KULIK</t>
  </si>
  <si>
    <t>DEU7R5</t>
  </si>
  <si>
    <t>4AK1KT0KU01</t>
  </si>
  <si>
    <t>RUSSELL</t>
  </si>
  <si>
    <t>CORP</t>
  </si>
  <si>
    <t>KY</t>
  </si>
  <si>
    <t>H5718</t>
  </si>
  <si>
    <t>[%/$=306][prorate=4/12]</t>
  </si>
  <si>
    <t>Devoted MAPD National</t>
  </si>
  <si>
    <t>[%/$=313][prorate=12/12]</t>
  </si>
  <si>
    <t>Main Line Benefits</t>
  </si>
  <si>
    <t>Devoted MAPD 2025 Overrides</t>
  </si>
  <si>
    <t>Devoted MAPD 2025*</t>
  </si>
  <si>
    <t>Devoted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</si>
</sst>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164" fontId="0" fillId="0" borderId="0" xfId="0" applyNumberFormat="1" applyFill="1"/>
    <xf numFmtId="0" fontId="0" fillId="0" borderId="0" xfId="0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87</v>
      </c>
      <c r="C2" t="s">
        <v>9</v>
      </c>
      <c r="E2" t="s">
        <v>6</v>
      </c>
      <c r="F2" t="s">
        <v>7</v>
      </c>
    </row>
    <row r="3" spans="1:6" x14ac:dyDescent="0.2">
      <c r="A3" t="s">
        <v>10</v>
      </c>
      <c r="B3">
        <v>1</v>
      </c>
      <c r="C3" t="s">
        <v>11</v>
      </c>
    </row>
    <row r="4" spans="1:6" x14ac:dyDescent="0.2">
      <c r="A4" t="s">
        <v>12</v>
      </c>
      <c r="B4">
        <v>0</v>
      </c>
      <c r="C4" t="s">
        <v>13</v>
      </c>
    </row>
    <row r="5" spans="1:6" x14ac:dyDescent="0.2">
      <c r="A5" t="s">
        <v>14</v>
      </c>
      <c r="C5" t="s">
        <v>13</v>
      </c>
    </row>
    <row r="6" spans="1:6" x14ac:dyDescent="0.2">
      <c r="A6" t="s">
        <v>15</v>
      </c>
      <c r="B6">
        <v>88</v>
      </c>
      <c r="C6" t="s">
        <v>16</v>
      </c>
    </row>
    <row r="7" spans="1:6" x14ac:dyDescent="0.2">
      <c r="A7" t="s">
        <v>17</v>
      </c>
      <c r="C7" t="s">
        <v>13</v>
      </c>
    </row>
    <row r="8" spans="1:6" x14ac:dyDescent="0.2">
      <c r="A8" t="s">
        <v>18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9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5" max="5" width="13.33203125" bestFit="1" customWidth="1"/>
    <col min="7" max="7" width="15.6640625" bestFit="1" customWidth="1"/>
    <col min="8" max="8" width="13.6640625" bestFit="1" customWidth="1"/>
    <col min="9" max="9" width="14.1640625" bestFit="1" customWidth="1"/>
    <col min="10" max="10" width="13.33203125" bestFit="1" customWidth="1"/>
    <col min="11" max="11" width="13.5" bestFit="1" customWidth="1"/>
    <col min="12" max="12" width="8.6640625" bestFit="1" customWidth="1"/>
    <col min="13" max="13" width="4.33203125" bestFit="1" customWidth="1"/>
    <col min="14" max="14" width="14.33203125" bestFit="1" customWidth="1"/>
    <col min="15" max="15" width="14.6640625" bestFit="1" customWidth="1"/>
    <col min="16" max="16" width="16.6640625" bestFit="1" customWidth="1"/>
    <col min="17" max="17" width="6.6640625" bestFit="1" customWidth="1"/>
    <col min="18" max="18" width="12.83203125" bestFit="1" customWidth="1"/>
    <col min="19" max="19" width="14.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">
      <c r="A2" s="1">
        <v>45674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57</v>
      </c>
      <c r="I2" s="1">
        <v>45588</v>
      </c>
      <c r="J2" s="2">
        <v>45658</v>
      </c>
      <c r="K2" t="s">
        <v>0</v>
      </c>
      <c r="L2" t="s">
        <v>58</v>
      </c>
      <c r="M2">
        <v>1</v>
      </c>
      <c r="N2" t="s">
        <v>59</v>
      </c>
      <c r="O2">
        <v>5</v>
      </c>
      <c r="P2" t="s">
        <v>60</v>
      </c>
      <c r="Q2" t="s">
        <v>50</v>
      </c>
      <c r="R2">
        <v>312.99999600000001</v>
      </c>
      <c r="S2">
        <v>199.99999199999999</v>
      </c>
      <c r="T2">
        <v>513</v>
      </c>
      <c r="U2" t="s">
        <v>6</v>
      </c>
    </row>
    <row r="3" spans="1:22" x14ac:dyDescent="0.2">
      <c r="A3" s="1">
        <v>45674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57</v>
      </c>
      <c r="I3" s="1">
        <v>45586</v>
      </c>
      <c r="J3" s="2">
        <v>45658</v>
      </c>
      <c r="K3" t="s">
        <v>0</v>
      </c>
      <c r="L3" t="s">
        <v>71</v>
      </c>
      <c r="M3">
        <v>1</v>
      </c>
      <c r="N3" t="s">
        <v>59</v>
      </c>
      <c r="O3">
        <v>2</v>
      </c>
      <c r="P3" t="s">
        <v>60</v>
      </c>
      <c r="Q3" t="s">
        <v>50</v>
      </c>
      <c r="R3">
        <v>312.99999600000001</v>
      </c>
      <c r="S3">
        <v>199.99999199999999</v>
      </c>
      <c r="T3">
        <v>513</v>
      </c>
      <c r="U3" t="s">
        <v>6</v>
      </c>
    </row>
    <row r="4" spans="1:22" x14ac:dyDescent="0.2">
      <c r="A4" s="1">
        <v>45674</v>
      </c>
      <c r="B4" t="s">
        <v>94</v>
      </c>
      <c r="C4" t="s">
        <v>95</v>
      </c>
      <c r="D4" t="s">
        <v>222</v>
      </c>
      <c r="E4" t="s">
        <v>223</v>
      </c>
      <c r="F4" t="s">
        <v>224</v>
      </c>
      <c r="G4" t="s">
        <v>225</v>
      </c>
      <c r="H4" t="s">
        <v>57</v>
      </c>
      <c r="I4" s="1">
        <v>45599</v>
      </c>
      <c r="J4" s="2">
        <v>45658</v>
      </c>
      <c r="K4" t="s">
        <v>0</v>
      </c>
      <c r="L4" t="s">
        <v>58</v>
      </c>
      <c r="M4">
        <v>1</v>
      </c>
      <c r="N4" t="s">
        <v>59</v>
      </c>
      <c r="O4">
        <v>3</v>
      </c>
      <c r="P4" t="s">
        <v>60</v>
      </c>
      <c r="Q4" t="s">
        <v>50</v>
      </c>
      <c r="R4">
        <v>312.99999600000001</v>
      </c>
      <c r="S4">
        <v>199.99999199999999</v>
      </c>
      <c r="T4">
        <v>513</v>
      </c>
      <c r="U4" t="s">
        <v>6</v>
      </c>
    </row>
    <row r="5" spans="1:22" x14ac:dyDescent="0.2">
      <c r="A5" s="1">
        <v>45674</v>
      </c>
      <c r="B5" t="s">
        <v>204</v>
      </c>
      <c r="C5" t="s">
        <v>205</v>
      </c>
      <c r="D5" t="s">
        <v>303</v>
      </c>
      <c r="E5" t="s">
        <v>304</v>
      </c>
      <c r="F5" t="s">
        <v>192</v>
      </c>
      <c r="G5" t="s">
        <v>305</v>
      </c>
      <c r="H5" t="s">
        <v>57</v>
      </c>
      <c r="I5" s="1">
        <v>45615</v>
      </c>
      <c r="J5" s="2">
        <v>45658</v>
      </c>
      <c r="K5" t="s">
        <v>0</v>
      </c>
      <c r="L5" t="s">
        <v>71</v>
      </c>
      <c r="M5">
        <v>1</v>
      </c>
      <c r="N5" t="s">
        <v>72</v>
      </c>
      <c r="O5">
        <v>1</v>
      </c>
      <c r="P5" t="s">
        <v>49</v>
      </c>
      <c r="Q5" t="s">
        <v>50</v>
      </c>
      <c r="R5">
        <v>625.99999200000002</v>
      </c>
      <c r="S5">
        <v>199.99999199999999</v>
      </c>
      <c r="T5">
        <v>826</v>
      </c>
      <c r="U5" t="s">
        <v>6</v>
      </c>
    </row>
    <row r="6" spans="1:22" x14ac:dyDescent="0.2">
      <c r="A6" s="1">
        <v>45674</v>
      </c>
      <c r="B6" t="s">
        <v>140</v>
      </c>
      <c r="C6" t="s">
        <v>141</v>
      </c>
      <c r="D6" t="s">
        <v>271</v>
      </c>
      <c r="E6" t="s">
        <v>272</v>
      </c>
      <c r="F6" t="s">
        <v>45</v>
      </c>
      <c r="G6" t="s">
        <v>273</v>
      </c>
      <c r="H6" t="s">
        <v>57</v>
      </c>
      <c r="I6" s="1">
        <v>45609</v>
      </c>
      <c r="J6" s="2">
        <v>45658</v>
      </c>
      <c r="K6" t="s">
        <v>0</v>
      </c>
      <c r="L6" t="s">
        <v>58</v>
      </c>
      <c r="M6">
        <v>1</v>
      </c>
      <c r="N6" t="s">
        <v>109</v>
      </c>
      <c r="O6">
        <v>1</v>
      </c>
      <c r="P6" t="s">
        <v>49</v>
      </c>
      <c r="Q6" t="s">
        <v>50</v>
      </c>
      <c r="R6">
        <v>625.99999200000002</v>
      </c>
      <c r="S6">
        <v>199.99999199999999</v>
      </c>
      <c r="T6">
        <v>826</v>
      </c>
      <c r="U6" t="s">
        <v>6</v>
      </c>
    </row>
    <row r="7" spans="1:22" s="4" customFormat="1" x14ac:dyDescent="0.2">
      <c r="A7" s="3">
        <v>45674</v>
      </c>
      <c r="B7" s="4" t="s">
        <v>85</v>
      </c>
      <c r="C7" s="4" t="s">
        <v>86</v>
      </c>
      <c r="D7" s="4" t="s">
        <v>400</v>
      </c>
      <c r="E7" s="4" t="s">
        <v>401</v>
      </c>
      <c r="F7" s="4" t="s">
        <v>153</v>
      </c>
      <c r="G7" s="4" t="s">
        <v>402</v>
      </c>
      <c r="H7" s="4" t="s">
        <v>57</v>
      </c>
      <c r="I7" s="3">
        <v>45632</v>
      </c>
      <c r="J7" s="5">
        <v>45658</v>
      </c>
      <c r="K7" s="4" t="s">
        <v>0</v>
      </c>
      <c r="L7" s="4" t="s">
        <v>71</v>
      </c>
      <c r="M7" s="4">
        <v>1</v>
      </c>
      <c r="N7" s="4" t="s">
        <v>109</v>
      </c>
      <c r="O7" s="4">
        <v>1</v>
      </c>
      <c r="P7" s="4" t="s">
        <v>49</v>
      </c>
      <c r="Q7" s="4" t="s">
        <v>50</v>
      </c>
      <c r="R7" s="4">
        <v>625.99999200000002</v>
      </c>
      <c r="S7" s="4">
        <v>199.99999199999999</v>
      </c>
      <c r="T7" s="4">
        <v>826</v>
      </c>
      <c r="U7" s="4" t="s">
        <v>6</v>
      </c>
    </row>
    <row r="8" spans="1:22" s="4" customFormat="1" x14ac:dyDescent="0.2">
      <c r="A8" s="3">
        <v>45674</v>
      </c>
      <c r="B8" s="4" t="s">
        <v>85</v>
      </c>
      <c r="C8" s="4" t="s">
        <v>86</v>
      </c>
      <c r="D8" s="4" t="s">
        <v>403</v>
      </c>
      <c r="E8" s="4" t="s">
        <v>404</v>
      </c>
      <c r="F8" s="4" t="s">
        <v>405</v>
      </c>
      <c r="G8" s="4" t="s">
        <v>402</v>
      </c>
      <c r="H8" s="4" t="s">
        <v>57</v>
      </c>
      <c r="I8" s="3">
        <v>45632</v>
      </c>
      <c r="J8" s="5">
        <v>45658</v>
      </c>
      <c r="K8" s="4" t="s">
        <v>0</v>
      </c>
      <c r="L8" s="4" t="s">
        <v>71</v>
      </c>
      <c r="M8" s="4">
        <v>1</v>
      </c>
      <c r="N8" s="4" t="s">
        <v>109</v>
      </c>
      <c r="O8" s="4">
        <v>1</v>
      </c>
      <c r="P8" s="4" t="s">
        <v>49</v>
      </c>
      <c r="Q8" s="4" t="s">
        <v>50</v>
      </c>
      <c r="R8" s="4">
        <v>625.99999200000002</v>
      </c>
      <c r="S8" s="4">
        <v>199.99999199999999</v>
      </c>
      <c r="T8" s="4">
        <v>826</v>
      </c>
      <c r="U8" s="4" t="s">
        <v>6</v>
      </c>
    </row>
    <row r="9" spans="1:22" s="4" customFormat="1" x14ac:dyDescent="0.2">
      <c r="A9" s="3">
        <v>45674</v>
      </c>
      <c r="B9" s="4" t="s">
        <v>51</v>
      </c>
      <c r="C9" s="4" t="s">
        <v>52</v>
      </c>
      <c r="D9" s="4" t="s">
        <v>264</v>
      </c>
      <c r="E9" s="4" t="s">
        <v>265</v>
      </c>
      <c r="F9" s="4" t="s">
        <v>266</v>
      </c>
      <c r="G9" s="4" t="s">
        <v>267</v>
      </c>
      <c r="H9" s="4" t="s">
        <v>57</v>
      </c>
      <c r="I9" s="3">
        <v>45609</v>
      </c>
      <c r="J9" s="5">
        <v>45658</v>
      </c>
      <c r="K9" s="4" t="s">
        <v>0</v>
      </c>
      <c r="L9" s="4" t="s">
        <v>58</v>
      </c>
      <c r="M9" s="4">
        <v>3</v>
      </c>
      <c r="N9" s="4" t="s">
        <v>72</v>
      </c>
      <c r="O9" s="4">
        <v>1</v>
      </c>
      <c r="P9" s="4" t="s">
        <v>49</v>
      </c>
      <c r="Q9" s="4" t="s">
        <v>50</v>
      </c>
      <c r="R9" s="4">
        <v>625.99999200000002</v>
      </c>
      <c r="S9" s="4">
        <v>199.99999199999999</v>
      </c>
      <c r="T9" s="4">
        <v>826</v>
      </c>
      <c r="U9" s="4" t="s">
        <v>6</v>
      </c>
    </row>
    <row r="10" spans="1:22" s="4" customFormat="1" x14ac:dyDescent="0.2">
      <c r="A10" s="3">
        <v>45674</v>
      </c>
      <c r="B10" s="4" t="s">
        <v>51</v>
      </c>
      <c r="C10" s="4" t="s">
        <v>52</v>
      </c>
      <c r="D10" s="4" t="s">
        <v>268</v>
      </c>
      <c r="E10" s="4" t="s">
        <v>269</v>
      </c>
      <c r="F10" s="4" t="s">
        <v>270</v>
      </c>
      <c r="G10" s="4" t="s">
        <v>267</v>
      </c>
      <c r="H10" s="4" t="s">
        <v>57</v>
      </c>
      <c r="I10" s="3">
        <v>45609</v>
      </c>
      <c r="J10" s="5">
        <v>45658</v>
      </c>
      <c r="K10" s="4" t="s">
        <v>0</v>
      </c>
      <c r="L10" s="4" t="s">
        <v>58</v>
      </c>
      <c r="M10" s="4">
        <v>3</v>
      </c>
      <c r="N10" s="4" t="s">
        <v>72</v>
      </c>
      <c r="O10" s="4">
        <v>1</v>
      </c>
      <c r="P10" s="4" t="s">
        <v>49</v>
      </c>
      <c r="Q10" s="4" t="s">
        <v>50</v>
      </c>
      <c r="R10" s="4">
        <v>625.99999200000002</v>
      </c>
      <c r="S10" s="4">
        <v>199.99999199999999</v>
      </c>
      <c r="T10" s="4">
        <v>826</v>
      </c>
      <c r="U10" s="4" t="s">
        <v>6</v>
      </c>
    </row>
    <row r="11" spans="1:22" x14ac:dyDescent="0.2">
      <c r="A11" s="1">
        <v>45674</v>
      </c>
      <c r="B11" t="s">
        <v>255</v>
      </c>
      <c r="C11" t="s">
        <v>256</v>
      </c>
      <c r="D11" t="s">
        <v>299</v>
      </c>
      <c r="E11" t="s">
        <v>300</v>
      </c>
      <c r="F11" t="s">
        <v>301</v>
      </c>
      <c r="G11" t="s">
        <v>302</v>
      </c>
      <c r="H11" t="s">
        <v>57</v>
      </c>
      <c r="I11" s="1">
        <v>45614</v>
      </c>
      <c r="J11" s="2">
        <v>45658</v>
      </c>
      <c r="K11" t="s">
        <v>0</v>
      </c>
      <c r="L11" t="s">
        <v>58</v>
      </c>
      <c r="M11">
        <v>3</v>
      </c>
      <c r="N11" t="s">
        <v>59</v>
      </c>
      <c r="O11">
        <v>12</v>
      </c>
      <c r="P11" t="s">
        <v>60</v>
      </c>
      <c r="Q11" t="s">
        <v>50</v>
      </c>
      <c r="R11">
        <v>312.99999600000001</v>
      </c>
      <c r="S11">
        <v>199.99999199999999</v>
      </c>
      <c r="T11">
        <v>513</v>
      </c>
      <c r="U11" t="s">
        <v>6</v>
      </c>
    </row>
    <row r="12" spans="1:22" x14ac:dyDescent="0.2">
      <c r="A12" s="1">
        <v>45674</v>
      </c>
      <c r="B12" t="s">
        <v>226</v>
      </c>
      <c r="C12" t="s">
        <v>227</v>
      </c>
      <c r="D12" t="s">
        <v>228</v>
      </c>
      <c r="E12" t="s">
        <v>229</v>
      </c>
      <c r="F12" t="s">
        <v>230</v>
      </c>
      <c r="G12" t="s">
        <v>231</v>
      </c>
      <c r="H12" t="s">
        <v>57</v>
      </c>
      <c r="I12" s="1">
        <v>45600</v>
      </c>
      <c r="J12" s="2">
        <v>45658</v>
      </c>
      <c r="K12" t="s">
        <v>0</v>
      </c>
      <c r="L12" t="s">
        <v>58</v>
      </c>
      <c r="M12">
        <v>1</v>
      </c>
      <c r="N12" t="s">
        <v>59</v>
      </c>
      <c r="O12">
        <v>8</v>
      </c>
      <c r="P12" t="s">
        <v>60</v>
      </c>
      <c r="Q12" t="s">
        <v>50</v>
      </c>
      <c r="R12">
        <v>312.99999600000001</v>
      </c>
      <c r="S12">
        <v>199.99999199999999</v>
      </c>
      <c r="T12">
        <v>513</v>
      </c>
      <c r="U12" t="s">
        <v>6</v>
      </c>
    </row>
    <row r="13" spans="1:22" x14ac:dyDescent="0.2">
      <c r="A13" s="1">
        <v>45674</v>
      </c>
      <c r="B13" t="s">
        <v>122</v>
      </c>
      <c r="C13" t="s">
        <v>123</v>
      </c>
      <c r="D13" t="s">
        <v>362</v>
      </c>
      <c r="E13" t="s">
        <v>363</v>
      </c>
      <c r="F13" t="s">
        <v>364</v>
      </c>
      <c r="G13" t="s">
        <v>365</v>
      </c>
      <c r="H13" t="s">
        <v>57</v>
      </c>
      <c r="I13" s="1">
        <v>45627</v>
      </c>
      <c r="J13" s="2">
        <v>45658</v>
      </c>
      <c r="K13" t="s">
        <v>0</v>
      </c>
      <c r="L13" t="s">
        <v>71</v>
      </c>
      <c r="M13">
        <v>1</v>
      </c>
      <c r="N13" t="s">
        <v>59</v>
      </c>
      <c r="O13">
        <v>4</v>
      </c>
      <c r="P13" t="s">
        <v>60</v>
      </c>
      <c r="Q13" t="s">
        <v>50</v>
      </c>
      <c r="R13">
        <v>312.99999600000001</v>
      </c>
      <c r="S13">
        <v>199.99999199999999</v>
      </c>
      <c r="T13">
        <v>513</v>
      </c>
      <c r="U13" t="s">
        <v>6</v>
      </c>
    </row>
    <row r="14" spans="1:22" x14ac:dyDescent="0.2">
      <c r="A14" s="1">
        <v>45674</v>
      </c>
      <c r="B14" t="s">
        <v>73</v>
      </c>
      <c r="C14" t="s">
        <v>74</v>
      </c>
      <c r="D14" t="s">
        <v>175</v>
      </c>
      <c r="E14" t="s">
        <v>176</v>
      </c>
      <c r="F14" t="s">
        <v>177</v>
      </c>
      <c r="G14" t="s">
        <v>178</v>
      </c>
      <c r="H14" t="s">
        <v>57</v>
      </c>
      <c r="I14" s="1">
        <v>45593</v>
      </c>
      <c r="J14" s="2">
        <v>45658</v>
      </c>
      <c r="K14" t="s">
        <v>0</v>
      </c>
      <c r="L14" t="s">
        <v>71</v>
      </c>
      <c r="M14">
        <v>1</v>
      </c>
      <c r="N14" t="s">
        <v>59</v>
      </c>
      <c r="O14">
        <v>9</v>
      </c>
      <c r="P14" t="s">
        <v>60</v>
      </c>
      <c r="Q14" t="s">
        <v>50</v>
      </c>
      <c r="R14">
        <v>312.99999600000001</v>
      </c>
      <c r="S14">
        <v>199.99999199999999</v>
      </c>
      <c r="T14">
        <v>513</v>
      </c>
      <c r="U14" t="s">
        <v>6</v>
      </c>
    </row>
    <row r="15" spans="1:22" x14ac:dyDescent="0.2">
      <c r="A15" s="1">
        <v>45674</v>
      </c>
      <c r="B15" t="s">
        <v>51</v>
      </c>
      <c r="C15" t="s">
        <v>52</v>
      </c>
      <c r="D15" t="s">
        <v>151</v>
      </c>
      <c r="E15" t="s">
        <v>152</v>
      </c>
      <c r="F15" t="s">
        <v>153</v>
      </c>
      <c r="G15" t="s">
        <v>154</v>
      </c>
      <c r="H15" t="s">
        <v>57</v>
      </c>
      <c r="I15" s="1">
        <v>45590</v>
      </c>
      <c r="J15" s="2">
        <v>45658</v>
      </c>
      <c r="K15" t="s">
        <v>0</v>
      </c>
      <c r="L15" t="s">
        <v>71</v>
      </c>
      <c r="M15">
        <v>1</v>
      </c>
      <c r="N15" t="s">
        <v>59</v>
      </c>
      <c r="O15">
        <v>6</v>
      </c>
      <c r="P15" t="s">
        <v>60</v>
      </c>
      <c r="Q15" t="s">
        <v>50</v>
      </c>
      <c r="R15">
        <v>312.99999600000001</v>
      </c>
      <c r="S15">
        <v>199.99999199999999</v>
      </c>
      <c r="T15">
        <v>513</v>
      </c>
      <c r="U15" t="s">
        <v>6</v>
      </c>
    </row>
    <row r="16" spans="1:22" x14ac:dyDescent="0.2">
      <c r="A16" s="1">
        <v>45674</v>
      </c>
      <c r="B16" t="s">
        <v>204</v>
      </c>
      <c r="C16" t="s">
        <v>205</v>
      </c>
      <c r="D16" t="s">
        <v>206</v>
      </c>
      <c r="E16" t="s">
        <v>207</v>
      </c>
      <c r="F16" t="s">
        <v>208</v>
      </c>
      <c r="G16" t="s">
        <v>209</v>
      </c>
      <c r="H16" t="s">
        <v>57</v>
      </c>
      <c r="I16" s="1">
        <v>45595</v>
      </c>
      <c r="J16" s="2">
        <v>45658</v>
      </c>
      <c r="K16" t="s">
        <v>0</v>
      </c>
      <c r="L16" t="s">
        <v>58</v>
      </c>
      <c r="M16">
        <v>3</v>
      </c>
      <c r="N16" t="s">
        <v>59</v>
      </c>
      <c r="O16">
        <v>5</v>
      </c>
      <c r="P16" t="s">
        <v>60</v>
      </c>
      <c r="Q16" t="s">
        <v>50</v>
      </c>
      <c r="R16">
        <v>312.99999600000001</v>
      </c>
      <c r="S16">
        <v>199.99999199999999</v>
      </c>
      <c r="T16">
        <v>513</v>
      </c>
      <c r="U16" t="s">
        <v>6</v>
      </c>
    </row>
    <row r="17" spans="1:21" x14ac:dyDescent="0.2">
      <c r="A17" s="1">
        <v>45674</v>
      </c>
      <c r="B17" t="s">
        <v>94</v>
      </c>
      <c r="C17" t="s">
        <v>95</v>
      </c>
      <c r="D17" t="s">
        <v>243</v>
      </c>
      <c r="E17" t="s">
        <v>244</v>
      </c>
      <c r="F17" t="s">
        <v>245</v>
      </c>
      <c r="G17" t="s">
        <v>246</v>
      </c>
      <c r="H17" t="s">
        <v>57</v>
      </c>
      <c r="I17" s="1">
        <v>45604</v>
      </c>
      <c r="J17" s="2">
        <v>45658</v>
      </c>
      <c r="K17" t="s">
        <v>0</v>
      </c>
      <c r="L17" t="s">
        <v>71</v>
      </c>
      <c r="M17">
        <v>1</v>
      </c>
      <c r="N17" t="s">
        <v>59</v>
      </c>
      <c r="O17">
        <v>15</v>
      </c>
      <c r="P17" t="s">
        <v>60</v>
      </c>
      <c r="Q17" t="s">
        <v>50</v>
      </c>
      <c r="R17">
        <v>312.99999600000001</v>
      </c>
      <c r="S17">
        <v>199.99999199999999</v>
      </c>
      <c r="T17">
        <v>513</v>
      </c>
      <c r="U17" t="s">
        <v>6</v>
      </c>
    </row>
    <row r="18" spans="1:21" x14ac:dyDescent="0.2">
      <c r="A18" s="1">
        <v>45674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57</v>
      </c>
      <c r="I18" s="1">
        <v>45587</v>
      </c>
      <c r="J18" s="2">
        <v>45658</v>
      </c>
      <c r="K18" t="s">
        <v>0</v>
      </c>
      <c r="L18" t="s">
        <v>71</v>
      </c>
      <c r="M18">
        <v>1</v>
      </c>
      <c r="N18" t="s">
        <v>72</v>
      </c>
      <c r="O18">
        <v>1</v>
      </c>
      <c r="P18" t="s">
        <v>49</v>
      </c>
      <c r="Q18" t="s">
        <v>50</v>
      </c>
      <c r="R18">
        <v>625.99999200000002</v>
      </c>
      <c r="S18">
        <v>199.99999199999999</v>
      </c>
      <c r="T18">
        <v>826</v>
      </c>
      <c r="U18" t="s">
        <v>6</v>
      </c>
    </row>
    <row r="19" spans="1:21" x14ac:dyDescent="0.2">
      <c r="A19" s="1">
        <v>45674</v>
      </c>
      <c r="B19" t="s">
        <v>255</v>
      </c>
      <c r="C19" t="s">
        <v>256</v>
      </c>
      <c r="D19" t="s">
        <v>306</v>
      </c>
      <c r="E19" t="s">
        <v>307</v>
      </c>
      <c r="F19" t="s">
        <v>308</v>
      </c>
      <c r="G19" t="s">
        <v>309</v>
      </c>
      <c r="H19" t="s">
        <v>57</v>
      </c>
      <c r="I19" s="1">
        <v>45615</v>
      </c>
      <c r="J19" s="2">
        <v>45658</v>
      </c>
      <c r="K19" t="s">
        <v>0</v>
      </c>
      <c r="L19" t="s">
        <v>71</v>
      </c>
      <c r="M19">
        <v>1</v>
      </c>
      <c r="N19" t="s">
        <v>59</v>
      </c>
      <c r="O19">
        <v>8</v>
      </c>
      <c r="P19" t="s">
        <v>60</v>
      </c>
      <c r="Q19" t="s">
        <v>50</v>
      </c>
      <c r="R19">
        <v>312.99999600000001</v>
      </c>
      <c r="S19">
        <v>199.99999199999999</v>
      </c>
      <c r="T19">
        <v>513</v>
      </c>
      <c r="U19" t="s">
        <v>6</v>
      </c>
    </row>
    <row r="20" spans="1:21" x14ac:dyDescent="0.2">
      <c r="A20" s="1">
        <v>45674</v>
      </c>
      <c r="B20" t="s">
        <v>193</v>
      </c>
      <c r="C20" t="s">
        <v>194</v>
      </c>
      <c r="D20" t="s">
        <v>427</v>
      </c>
      <c r="E20" t="s">
        <v>428</v>
      </c>
      <c r="F20" t="s">
        <v>429</v>
      </c>
      <c r="G20" t="s">
        <v>430</v>
      </c>
      <c r="H20" t="s">
        <v>431</v>
      </c>
      <c r="I20" s="1">
        <v>45644</v>
      </c>
      <c r="J20" s="2">
        <v>45658</v>
      </c>
      <c r="K20" t="s">
        <v>0</v>
      </c>
      <c r="L20" t="s">
        <v>432</v>
      </c>
      <c r="M20">
        <v>2</v>
      </c>
      <c r="N20" t="s">
        <v>109</v>
      </c>
      <c r="O20">
        <v>1</v>
      </c>
      <c r="P20" t="s">
        <v>49</v>
      </c>
      <c r="Q20" t="s">
        <v>50</v>
      </c>
      <c r="R20">
        <v>625.99999200000002</v>
      </c>
      <c r="S20">
        <v>199.99999199999999</v>
      </c>
      <c r="T20">
        <v>826</v>
      </c>
      <c r="U20" t="s">
        <v>6</v>
      </c>
    </row>
    <row r="21" spans="1:21" x14ac:dyDescent="0.2">
      <c r="A21" s="1">
        <v>45674</v>
      </c>
      <c r="B21" t="s">
        <v>255</v>
      </c>
      <c r="C21" t="s">
        <v>256</v>
      </c>
      <c r="D21" t="s">
        <v>257</v>
      </c>
      <c r="E21" t="s">
        <v>258</v>
      </c>
      <c r="F21" t="s">
        <v>249</v>
      </c>
      <c r="G21" t="s">
        <v>259</v>
      </c>
      <c r="H21" t="s">
        <v>57</v>
      </c>
      <c r="I21" s="1">
        <v>45604</v>
      </c>
      <c r="J21" s="2">
        <v>45658</v>
      </c>
      <c r="K21" t="s">
        <v>0</v>
      </c>
      <c r="L21" t="s">
        <v>58</v>
      </c>
      <c r="M21">
        <v>3</v>
      </c>
      <c r="N21" t="s">
        <v>0</v>
      </c>
      <c r="O21">
        <v>3</v>
      </c>
      <c r="P21" t="s">
        <v>60</v>
      </c>
      <c r="Q21" t="s">
        <v>50</v>
      </c>
      <c r="R21">
        <v>312.99999600000001</v>
      </c>
      <c r="S21">
        <v>199.99999199999999</v>
      </c>
      <c r="T21">
        <v>513</v>
      </c>
      <c r="U21" t="s">
        <v>6</v>
      </c>
    </row>
    <row r="22" spans="1:21" s="4" customFormat="1" x14ac:dyDescent="0.2">
      <c r="A22" s="3">
        <v>45674</v>
      </c>
      <c r="B22" s="4" t="s">
        <v>73</v>
      </c>
      <c r="C22" s="4" t="s">
        <v>74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57</v>
      </c>
      <c r="I22" s="3">
        <v>45594</v>
      </c>
      <c r="J22" s="5">
        <v>45658</v>
      </c>
      <c r="K22" s="4" t="s">
        <v>0</v>
      </c>
      <c r="L22" s="4" t="s">
        <v>71</v>
      </c>
      <c r="M22" s="4">
        <v>1</v>
      </c>
      <c r="N22" s="4" t="s">
        <v>59</v>
      </c>
      <c r="O22" s="4">
        <v>3</v>
      </c>
      <c r="P22" s="4" t="s">
        <v>60</v>
      </c>
      <c r="Q22" s="4" t="s">
        <v>50</v>
      </c>
      <c r="R22" s="4">
        <v>312.99999600000001</v>
      </c>
      <c r="S22" s="4">
        <v>199.99999199999999</v>
      </c>
      <c r="T22" s="4">
        <v>513</v>
      </c>
      <c r="U22" s="4" t="s">
        <v>6</v>
      </c>
    </row>
    <row r="23" spans="1:21" s="4" customFormat="1" x14ac:dyDescent="0.2">
      <c r="A23" s="3">
        <v>45674</v>
      </c>
      <c r="B23" s="4" t="s">
        <v>73</v>
      </c>
      <c r="C23" s="4" t="s">
        <v>74</v>
      </c>
      <c r="D23" s="4" t="s">
        <v>183</v>
      </c>
      <c r="E23" s="4" t="s">
        <v>184</v>
      </c>
      <c r="F23" s="4" t="s">
        <v>185</v>
      </c>
      <c r="G23" s="4" t="s">
        <v>182</v>
      </c>
      <c r="H23" s="4" t="s">
        <v>57</v>
      </c>
      <c r="I23" s="3">
        <v>45594</v>
      </c>
      <c r="J23" s="5">
        <v>45658</v>
      </c>
      <c r="K23" s="4" t="s">
        <v>0</v>
      </c>
      <c r="L23" s="4" t="s">
        <v>71</v>
      </c>
      <c r="M23" s="4">
        <v>1</v>
      </c>
      <c r="N23" s="4" t="s">
        <v>59</v>
      </c>
      <c r="O23" s="4">
        <v>3</v>
      </c>
      <c r="P23" s="4" t="s">
        <v>60</v>
      </c>
      <c r="Q23" s="4" t="s">
        <v>50</v>
      </c>
      <c r="R23" s="4">
        <v>312.99999600000001</v>
      </c>
      <c r="S23" s="4">
        <v>199.99999199999999</v>
      </c>
      <c r="T23" s="4">
        <v>513</v>
      </c>
      <c r="U23" s="4" t="s">
        <v>6</v>
      </c>
    </row>
    <row r="24" spans="1:21" x14ac:dyDescent="0.2">
      <c r="A24" s="1">
        <v>45674</v>
      </c>
      <c r="B24" t="s">
        <v>122</v>
      </c>
      <c r="C24" t="s">
        <v>123</v>
      </c>
      <c r="D24" t="s">
        <v>278</v>
      </c>
      <c r="E24" t="s">
        <v>279</v>
      </c>
      <c r="F24" t="s">
        <v>280</v>
      </c>
      <c r="G24" t="s">
        <v>281</v>
      </c>
      <c r="H24" t="s">
        <v>216</v>
      </c>
      <c r="I24" s="1">
        <v>45609</v>
      </c>
      <c r="J24" s="2">
        <v>45658</v>
      </c>
      <c r="K24" t="s">
        <v>0</v>
      </c>
      <c r="L24" t="s">
        <v>217</v>
      </c>
      <c r="M24">
        <v>5</v>
      </c>
      <c r="N24" t="s">
        <v>59</v>
      </c>
      <c r="O24">
        <v>11</v>
      </c>
      <c r="P24" t="s">
        <v>60</v>
      </c>
      <c r="Q24" t="s">
        <v>50</v>
      </c>
      <c r="R24">
        <v>312.99999600000001</v>
      </c>
      <c r="S24">
        <v>199.99999199999999</v>
      </c>
      <c r="T24">
        <v>513</v>
      </c>
      <c r="U24" t="s">
        <v>6</v>
      </c>
    </row>
    <row r="25" spans="1:21" x14ac:dyDescent="0.2">
      <c r="A25" s="1">
        <v>45674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s="1">
        <v>45595</v>
      </c>
      <c r="J25" s="2">
        <v>45658</v>
      </c>
      <c r="K25" t="s">
        <v>0</v>
      </c>
      <c r="L25" t="s">
        <v>217</v>
      </c>
      <c r="M25">
        <v>5</v>
      </c>
      <c r="N25" t="s">
        <v>59</v>
      </c>
      <c r="O25">
        <v>7</v>
      </c>
      <c r="P25" t="s">
        <v>60</v>
      </c>
      <c r="Q25" t="s">
        <v>50</v>
      </c>
      <c r="R25">
        <v>0</v>
      </c>
      <c r="S25">
        <v>199.99999199999999</v>
      </c>
      <c r="T25">
        <v>200</v>
      </c>
      <c r="U25" t="s">
        <v>6</v>
      </c>
    </row>
    <row r="26" spans="1:21" x14ac:dyDescent="0.2">
      <c r="A26" s="1">
        <v>45674</v>
      </c>
      <c r="B26" t="s">
        <v>51</v>
      </c>
      <c r="C26" t="s">
        <v>52</v>
      </c>
      <c r="D26" t="s">
        <v>114</v>
      </c>
      <c r="E26" t="s">
        <v>115</v>
      </c>
      <c r="F26" t="s">
        <v>116</v>
      </c>
      <c r="G26" t="s">
        <v>117</v>
      </c>
      <c r="H26" t="s">
        <v>57</v>
      </c>
      <c r="I26" s="1">
        <v>45584</v>
      </c>
      <c r="J26" s="2">
        <v>45658</v>
      </c>
      <c r="K26" t="s">
        <v>0</v>
      </c>
      <c r="L26" t="s">
        <v>71</v>
      </c>
      <c r="M26">
        <v>1</v>
      </c>
      <c r="N26" t="s">
        <v>59</v>
      </c>
      <c r="O26">
        <v>2</v>
      </c>
      <c r="P26" t="s">
        <v>60</v>
      </c>
      <c r="Q26" t="s">
        <v>50</v>
      </c>
      <c r="R26">
        <v>312.99999600000001</v>
      </c>
      <c r="S26">
        <v>199.99999199999999</v>
      </c>
      <c r="T26">
        <v>513</v>
      </c>
      <c r="U26" t="s">
        <v>6</v>
      </c>
    </row>
    <row r="27" spans="1:21" s="4" customFormat="1" x14ac:dyDescent="0.2">
      <c r="A27" s="3">
        <v>45674</v>
      </c>
      <c r="B27" s="4" t="s">
        <v>73</v>
      </c>
      <c r="C27" s="4" t="s">
        <v>74</v>
      </c>
      <c r="D27" s="4" t="s">
        <v>75</v>
      </c>
      <c r="E27" s="4" t="s">
        <v>76</v>
      </c>
      <c r="F27" s="4" t="s">
        <v>77</v>
      </c>
      <c r="G27" s="4" t="s">
        <v>78</v>
      </c>
      <c r="H27" s="4" t="s">
        <v>57</v>
      </c>
      <c r="I27" s="3">
        <v>45581</v>
      </c>
      <c r="J27" s="5">
        <v>45658</v>
      </c>
      <c r="K27" s="4" t="s">
        <v>0</v>
      </c>
      <c r="L27" s="4" t="s">
        <v>71</v>
      </c>
      <c r="M27" s="4">
        <v>1</v>
      </c>
      <c r="N27" s="4" t="s">
        <v>59</v>
      </c>
      <c r="O27" s="4">
        <v>6</v>
      </c>
      <c r="P27" s="4" t="s">
        <v>60</v>
      </c>
      <c r="Q27" s="4" t="s">
        <v>50</v>
      </c>
      <c r="R27" s="4">
        <v>312.99999600000001</v>
      </c>
      <c r="S27" s="4">
        <v>199.99999199999999</v>
      </c>
      <c r="T27" s="4">
        <v>513</v>
      </c>
      <c r="U27" s="4" t="s">
        <v>6</v>
      </c>
    </row>
    <row r="28" spans="1:21" s="4" customFormat="1" x14ac:dyDescent="0.2">
      <c r="A28" s="3">
        <v>45674</v>
      </c>
      <c r="B28" s="4" t="s">
        <v>73</v>
      </c>
      <c r="C28" s="4" t="s">
        <v>74</v>
      </c>
      <c r="D28" s="4" t="s">
        <v>79</v>
      </c>
      <c r="E28" s="4" t="s">
        <v>80</v>
      </c>
      <c r="F28" s="4" t="s">
        <v>81</v>
      </c>
      <c r="G28" s="4" t="s">
        <v>78</v>
      </c>
      <c r="H28" s="4" t="s">
        <v>57</v>
      </c>
      <c r="I28" s="3">
        <v>45581</v>
      </c>
      <c r="J28" s="5">
        <v>45658</v>
      </c>
      <c r="K28" s="4" t="s">
        <v>0</v>
      </c>
      <c r="L28" s="4" t="s">
        <v>71</v>
      </c>
      <c r="M28" s="4">
        <v>1</v>
      </c>
      <c r="N28" s="4" t="s">
        <v>59</v>
      </c>
      <c r="O28" s="4">
        <v>6</v>
      </c>
      <c r="P28" s="4" t="s">
        <v>60</v>
      </c>
      <c r="Q28" s="4" t="s">
        <v>50</v>
      </c>
      <c r="R28" s="4">
        <v>312.99999600000001</v>
      </c>
      <c r="S28" s="4">
        <v>199.99999199999999</v>
      </c>
      <c r="T28" s="4">
        <v>513</v>
      </c>
      <c r="U28" s="4" t="s">
        <v>6</v>
      </c>
    </row>
    <row r="29" spans="1:21" x14ac:dyDescent="0.2">
      <c r="A29" s="1">
        <v>45674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57</v>
      </c>
      <c r="I29" s="1">
        <v>45583</v>
      </c>
      <c r="J29" s="2">
        <v>45658</v>
      </c>
      <c r="K29" t="s">
        <v>0</v>
      </c>
      <c r="L29" t="s">
        <v>71</v>
      </c>
      <c r="M29">
        <v>1</v>
      </c>
      <c r="N29" t="s">
        <v>59</v>
      </c>
      <c r="O29">
        <v>5</v>
      </c>
      <c r="P29" t="s">
        <v>60</v>
      </c>
      <c r="Q29" t="s">
        <v>50</v>
      </c>
      <c r="R29">
        <v>312.99999600000001</v>
      </c>
      <c r="S29">
        <v>199.99999199999999</v>
      </c>
      <c r="T29">
        <v>513</v>
      </c>
      <c r="U29" t="s">
        <v>6</v>
      </c>
    </row>
    <row r="30" spans="1:21" x14ac:dyDescent="0.2">
      <c r="A30" s="1">
        <v>45674</v>
      </c>
      <c r="B30" t="s">
        <v>140</v>
      </c>
      <c r="C30" t="s">
        <v>141</v>
      </c>
      <c r="D30" t="s">
        <v>260</v>
      </c>
      <c r="E30" t="s">
        <v>261</v>
      </c>
      <c r="F30" t="s">
        <v>262</v>
      </c>
      <c r="G30" t="s">
        <v>263</v>
      </c>
      <c r="H30" t="s">
        <v>57</v>
      </c>
      <c r="I30" s="2">
        <v>45607</v>
      </c>
      <c r="J30" s="2">
        <v>45658</v>
      </c>
      <c r="K30" t="s">
        <v>0</v>
      </c>
      <c r="L30" t="s">
        <v>58</v>
      </c>
      <c r="M30">
        <v>1</v>
      </c>
      <c r="N30" t="s">
        <v>59</v>
      </c>
      <c r="O30">
        <v>3</v>
      </c>
      <c r="P30" t="s">
        <v>60</v>
      </c>
      <c r="Q30" t="s">
        <v>50</v>
      </c>
      <c r="R30">
        <v>312.99999600000001</v>
      </c>
      <c r="S30">
        <v>199.99999199999999</v>
      </c>
      <c r="T30">
        <v>513</v>
      </c>
      <c r="U30" t="s">
        <v>6</v>
      </c>
    </row>
    <row r="31" spans="1:21" x14ac:dyDescent="0.2">
      <c r="A31" s="1">
        <v>45674</v>
      </c>
      <c r="B31" t="s">
        <v>61</v>
      </c>
      <c r="C31" t="s">
        <v>62</v>
      </c>
      <c r="D31" t="s">
        <v>419</v>
      </c>
      <c r="E31" t="s">
        <v>420</v>
      </c>
      <c r="F31" t="s">
        <v>421</v>
      </c>
      <c r="G31" t="s">
        <v>422</v>
      </c>
      <c r="H31" t="s">
        <v>57</v>
      </c>
      <c r="I31" s="1">
        <v>45633</v>
      </c>
      <c r="J31" s="2">
        <v>45658</v>
      </c>
      <c r="K31" t="s">
        <v>0</v>
      </c>
      <c r="L31" t="s">
        <v>71</v>
      </c>
      <c r="M31">
        <v>1</v>
      </c>
      <c r="N31" t="s">
        <v>59</v>
      </c>
      <c r="O31">
        <v>4</v>
      </c>
      <c r="P31" t="s">
        <v>60</v>
      </c>
      <c r="Q31" t="s">
        <v>50</v>
      </c>
      <c r="R31">
        <v>312.99999600000001</v>
      </c>
      <c r="S31">
        <v>199.99999199999999</v>
      </c>
      <c r="T31">
        <v>513</v>
      </c>
      <c r="U31" t="s">
        <v>6</v>
      </c>
    </row>
    <row r="32" spans="1:21" x14ac:dyDescent="0.2">
      <c r="A32" s="1">
        <v>45674</v>
      </c>
      <c r="B32" t="s">
        <v>85</v>
      </c>
      <c r="C32" t="s">
        <v>86</v>
      </c>
      <c r="D32" t="s">
        <v>110</v>
      </c>
      <c r="E32" t="s">
        <v>111</v>
      </c>
      <c r="F32" t="s">
        <v>112</v>
      </c>
      <c r="G32" t="s">
        <v>113</v>
      </c>
      <c r="H32" t="s">
        <v>57</v>
      </c>
      <c r="I32" s="1">
        <v>45584</v>
      </c>
      <c r="J32" s="2">
        <v>45658</v>
      </c>
      <c r="K32" t="s">
        <v>0</v>
      </c>
      <c r="L32" t="s">
        <v>71</v>
      </c>
      <c r="M32">
        <v>1</v>
      </c>
      <c r="N32" t="s">
        <v>72</v>
      </c>
      <c r="O32">
        <v>1</v>
      </c>
      <c r="P32" t="s">
        <v>49</v>
      </c>
      <c r="Q32" t="s">
        <v>50</v>
      </c>
      <c r="R32">
        <v>625.99999200000002</v>
      </c>
      <c r="S32">
        <v>199.99999199999999</v>
      </c>
      <c r="T32">
        <v>826</v>
      </c>
      <c r="U32" t="s">
        <v>6</v>
      </c>
    </row>
    <row r="33" spans="1:21" s="4" customFormat="1" x14ac:dyDescent="0.2">
      <c r="A33" s="3">
        <v>45674</v>
      </c>
      <c r="B33" s="4" t="s">
        <v>122</v>
      </c>
      <c r="C33" s="4" t="s">
        <v>123</v>
      </c>
      <c r="D33" s="4" t="s">
        <v>357</v>
      </c>
      <c r="E33" s="4" t="s">
        <v>358</v>
      </c>
      <c r="F33" s="4" t="s">
        <v>234</v>
      </c>
      <c r="G33" s="4" t="s">
        <v>359</v>
      </c>
      <c r="H33" s="4" t="s">
        <v>57</v>
      </c>
      <c r="I33" s="3">
        <v>45626</v>
      </c>
      <c r="J33" s="5">
        <v>45658</v>
      </c>
      <c r="K33" s="4" t="s">
        <v>0</v>
      </c>
      <c r="L33" s="4" t="s">
        <v>71</v>
      </c>
      <c r="M33" s="4">
        <v>1</v>
      </c>
      <c r="N33" s="4" t="s">
        <v>59</v>
      </c>
      <c r="O33" s="4">
        <v>4</v>
      </c>
      <c r="P33" s="4" t="s">
        <v>60</v>
      </c>
      <c r="Q33" s="4" t="s">
        <v>50</v>
      </c>
      <c r="R33" s="4">
        <v>312.99999600000001</v>
      </c>
      <c r="S33" s="4">
        <v>199.99999199999999</v>
      </c>
      <c r="T33" s="4">
        <v>513</v>
      </c>
      <c r="U33" s="4" t="s">
        <v>6</v>
      </c>
    </row>
    <row r="34" spans="1:21" s="4" customFormat="1" x14ac:dyDescent="0.2">
      <c r="A34" s="3">
        <v>45674</v>
      </c>
      <c r="B34" s="4" t="s">
        <v>122</v>
      </c>
      <c r="C34" s="4" t="s">
        <v>123</v>
      </c>
      <c r="D34" s="4" t="s">
        <v>360</v>
      </c>
      <c r="E34" s="4" t="s">
        <v>361</v>
      </c>
      <c r="F34" s="4" t="s">
        <v>249</v>
      </c>
      <c r="G34" s="4" t="s">
        <v>359</v>
      </c>
      <c r="H34" s="4" t="s">
        <v>57</v>
      </c>
      <c r="I34" s="3">
        <v>45626</v>
      </c>
      <c r="J34" s="5">
        <v>45658</v>
      </c>
      <c r="K34" s="4" t="s">
        <v>0</v>
      </c>
      <c r="L34" s="4" t="s">
        <v>71</v>
      </c>
      <c r="M34" s="4">
        <v>1</v>
      </c>
      <c r="N34" s="4" t="s">
        <v>59</v>
      </c>
      <c r="O34" s="4">
        <v>4</v>
      </c>
      <c r="P34" s="4" t="s">
        <v>60</v>
      </c>
      <c r="Q34" s="4" t="s">
        <v>50</v>
      </c>
      <c r="R34" s="4">
        <v>312.99999600000001</v>
      </c>
      <c r="S34" s="4">
        <v>199.99999199999999</v>
      </c>
      <c r="T34" s="4">
        <v>513</v>
      </c>
      <c r="U34" s="4" t="s">
        <v>6</v>
      </c>
    </row>
    <row r="35" spans="1:21" x14ac:dyDescent="0.2">
      <c r="A35" s="1">
        <v>45674</v>
      </c>
      <c r="B35" t="s">
        <v>51</v>
      </c>
      <c r="C35" t="s">
        <v>52</v>
      </c>
      <c r="D35" t="s">
        <v>118</v>
      </c>
      <c r="E35" t="s">
        <v>119</v>
      </c>
      <c r="F35" t="s">
        <v>120</v>
      </c>
      <c r="G35" t="s">
        <v>121</v>
      </c>
      <c r="H35" t="s">
        <v>57</v>
      </c>
      <c r="I35" s="1">
        <v>45586</v>
      </c>
      <c r="J35" s="2">
        <v>45658</v>
      </c>
      <c r="K35" t="s">
        <v>0</v>
      </c>
      <c r="L35" t="s">
        <v>71</v>
      </c>
      <c r="M35">
        <v>1</v>
      </c>
      <c r="N35" t="s">
        <v>59</v>
      </c>
      <c r="O35">
        <v>7</v>
      </c>
      <c r="P35" t="s">
        <v>60</v>
      </c>
      <c r="Q35" t="s">
        <v>50</v>
      </c>
      <c r="R35">
        <v>312.99999600000001</v>
      </c>
      <c r="S35">
        <v>199.99999199999999</v>
      </c>
      <c r="T35">
        <v>513</v>
      </c>
      <c r="U35" t="s">
        <v>6</v>
      </c>
    </row>
    <row r="36" spans="1:21" x14ac:dyDescent="0.2">
      <c r="A36" s="1">
        <v>45674</v>
      </c>
      <c r="B36" t="s">
        <v>94</v>
      </c>
      <c r="C36" t="s">
        <v>95</v>
      </c>
      <c r="D36" t="s">
        <v>105</v>
      </c>
      <c r="E36" t="s">
        <v>106</v>
      </c>
      <c r="F36" t="s">
        <v>107</v>
      </c>
      <c r="G36" t="s">
        <v>108</v>
      </c>
      <c r="H36" t="s">
        <v>57</v>
      </c>
      <c r="I36" s="1">
        <v>45584</v>
      </c>
      <c r="J36" s="2">
        <v>45658</v>
      </c>
      <c r="K36" t="s">
        <v>0</v>
      </c>
      <c r="L36" t="s">
        <v>71</v>
      </c>
      <c r="M36">
        <v>1</v>
      </c>
      <c r="N36" t="s">
        <v>109</v>
      </c>
      <c r="O36">
        <v>1</v>
      </c>
      <c r="P36" t="s">
        <v>49</v>
      </c>
      <c r="Q36" t="s">
        <v>50</v>
      </c>
      <c r="R36">
        <v>625.99999200000002</v>
      </c>
      <c r="S36">
        <v>199.99999199999999</v>
      </c>
      <c r="T36">
        <v>826</v>
      </c>
      <c r="U36" t="s">
        <v>6</v>
      </c>
    </row>
    <row r="37" spans="1:21" x14ac:dyDescent="0.2">
      <c r="A37" s="1">
        <v>45674</v>
      </c>
      <c r="B37" t="s">
        <v>73</v>
      </c>
      <c r="C37" t="s">
        <v>74</v>
      </c>
      <c r="D37" t="s">
        <v>285</v>
      </c>
      <c r="E37" t="s">
        <v>286</v>
      </c>
      <c r="F37" t="s">
        <v>287</v>
      </c>
      <c r="G37" t="s">
        <v>288</v>
      </c>
      <c r="H37" t="s">
        <v>57</v>
      </c>
      <c r="I37" s="1">
        <v>45610</v>
      </c>
      <c r="J37" s="2">
        <v>45658</v>
      </c>
      <c r="K37" t="s">
        <v>0</v>
      </c>
      <c r="L37" t="s">
        <v>71</v>
      </c>
      <c r="M37">
        <v>1</v>
      </c>
      <c r="N37" t="s">
        <v>59</v>
      </c>
      <c r="O37">
        <v>8</v>
      </c>
      <c r="P37" t="s">
        <v>60</v>
      </c>
      <c r="Q37" t="s">
        <v>50</v>
      </c>
      <c r="R37">
        <v>312.99999600000001</v>
      </c>
      <c r="S37">
        <v>199.99999199999999</v>
      </c>
      <c r="T37">
        <v>513</v>
      </c>
      <c r="U37" t="s">
        <v>6</v>
      </c>
    </row>
    <row r="38" spans="1:21" x14ac:dyDescent="0.2">
      <c r="A38" s="1">
        <v>45674</v>
      </c>
      <c r="B38" t="s">
        <v>382</v>
      </c>
      <c r="C38" t="s">
        <v>383</v>
      </c>
      <c r="D38" t="s">
        <v>384</v>
      </c>
      <c r="E38" t="s">
        <v>385</v>
      </c>
      <c r="F38" t="s">
        <v>386</v>
      </c>
      <c r="G38" t="s">
        <v>387</v>
      </c>
      <c r="H38" t="s">
        <v>199</v>
      </c>
      <c r="I38" s="1">
        <v>45630</v>
      </c>
      <c r="J38" s="2">
        <v>45658</v>
      </c>
      <c r="K38" t="s">
        <v>0</v>
      </c>
      <c r="L38" t="s">
        <v>200</v>
      </c>
      <c r="M38">
        <v>6</v>
      </c>
      <c r="N38" t="s">
        <v>109</v>
      </c>
      <c r="O38">
        <v>1</v>
      </c>
      <c r="P38" t="s">
        <v>49</v>
      </c>
      <c r="Q38" t="s">
        <v>50</v>
      </c>
      <c r="R38">
        <v>625.99999200000002</v>
      </c>
      <c r="S38">
        <v>249.99998400000001</v>
      </c>
      <c r="T38">
        <v>876</v>
      </c>
      <c r="U38" t="s">
        <v>6</v>
      </c>
    </row>
    <row r="39" spans="1:21" x14ac:dyDescent="0.2">
      <c r="A39" s="1">
        <v>45674</v>
      </c>
      <c r="B39" t="s">
        <v>51</v>
      </c>
      <c r="C39" t="s">
        <v>52</v>
      </c>
      <c r="D39" t="s">
        <v>322</v>
      </c>
      <c r="E39" t="s">
        <v>323</v>
      </c>
      <c r="F39" t="s">
        <v>324</v>
      </c>
      <c r="G39" t="s">
        <v>325</v>
      </c>
      <c r="H39" t="s">
        <v>57</v>
      </c>
      <c r="I39" s="1">
        <v>45617</v>
      </c>
      <c r="J39" s="2">
        <v>45658</v>
      </c>
      <c r="K39" t="s">
        <v>0</v>
      </c>
      <c r="L39" t="s">
        <v>71</v>
      </c>
      <c r="M39">
        <v>1</v>
      </c>
      <c r="N39" t="s">
        <v>59</v>
      </c>
      <c r="O39">
        <v>5</v>
      </c>
      <c r="P39" t="s">
        <v>60</v>
      </c>
      <c r="Q39" t="s">
        <v>50</v>
      </c>
      <c r="R39">
        <v>312.99999600000001</v>
      </c>
      <c r="S39">
        <v>199.99999199999999</v>
      </c>
      <c r="T39">
        <v>513</v>
      </c>
      <c r="U39" t="s">
        <v>6</v>
      </c>
    </row>
    <row r="40" spans="1:21" x14ac:dyDescent="0.2">
      <c r="A40" s="1">
        <v>45674</v>
      </c>
      <c r="B40" t="s">
        <v>140</v>
      </c>
      <c r="C40" t="s">
        <v>141</v>
      </c>
      <c r="D40" t="s">
        <v>378</v>
      </c>
      <c r="E40" t="s">
        <v>379</v>
      </c>
      <c r="F40" t="s">
        <v>380</v>
      </c>
      <c r="G40" t="s">
        <v>381</v>
      </c>
      <c r="H40" t="s">
        <v>57</v>
      </c>
      <c r="I40" s="1">
        <v>45630</v>
      </c>
      <c r="J40" s="2">
        <v>45658</v>
      </c>
      <c r="K40" t="s">
        <v>0</v>
      </c>
      <c r="L40" t="s">
        <v>58</v>
      </c>
      <c r="M40">
        <v>1</v>
      </c>
      <c r="N40" t="s">
        <v>109</v>
      </c>
      <c r="O40">
        <v>1</v>
      </c>
      <c r="P40" t="s">
        <v>49</v>
      </c>
      <c r="Q40" t="s">
        <v>50</v>
      </c>
      <c r="R40">
        <v>625.99999200000002</v>
      </c>
      <c r="S40">
        <v>199.99999199999999</v>
      </c>
      <c r="T40">
        <v>826</v>
      </c>
      <c r="U40" t="s">
        <v>6</v>
      </c>
    </row>
    <row r="41" spans="1:21" s="4" customFormat="1" x14ac:dyDescent="0.2">
      <c r="A41" s="3">
        <v>45674</v>
      </c>
      <c r="B41" s="4" t="s">
        <v>85</v>
      </c>
      <c r="C41" s="4" t="s">
        <v>86</v>
      </c>
      <c r="D41" s="4" t="s">
        <v>350</v>
      </c>
      <c r="E41" s="4" t="s">
        <v>351</v>
      </c>
      <c r="F41" s="4" t="s">
        <v>352</v>
      </c>
      <c r="G41" s="4" t="s">
        <v>353</v>
      </c>
      <c r="H41" s="4" t="s">
        <v>57</v>
      </c>
      <c r="I41" s="3">
        <v>45621</v>
      </c>
      <c r="J41" s="5">
        <v>45658</v>
      </c>
      <c r="K41" s="4" t="s">
        <v>0</v>
      </c>
      <c r="L41" s="4" t="s">
        <v>71</v>
      </c>
      <c r="M41" s="4">
        <v>1</v>
      </c>
      <c r="N41" s="4" t="s">
        <v>59</v>
      </c>
      <c r="O41" s="4">
        <v>5</v>
      </c>
      <c r="P41" s="4" t="s">
        <v>60</v>
      </c>
      <c r="Q41" s="4" t="s">
        <v>50</v>
      </c>
      <c r="R41" s="4">
        <v>312.99999600000001</v>
      </c>
      <c r="S41" s="4">
        <v>199.99999199999999</v>
      </c>
      <c r="T41" s="4">
        <v>513</v>
      </c>
      <c r="U41" s="4" t="s">
        <v>6</v>
      </c>
    </row>
    <row r="42" spans="1:21" s="4" customFormat="1" x14ac:dyDescent="0.2">
      <c r="A42" s="3">
        <v>45674</v>
      </c>
      <c r="B42" s="4" t="s">
        <v>85</v>
      </c>
      <c r="C42" s="4" t="s">
        <v>86</v>
      </c>
      <c r="D42" s="4" t="s">
        <v>354</v>
      </c>
      <c r="E42" s="4" t="s">
        <v>355</v>
      </c>
      <c r="F42" s="4" t="s">
        <v>356</v>
      </c>
      <c r="G42" s="4" t="s">
        <v>353</v>
      </c>
      <c r="H42" s="4" t="s">
        <v>57</v>
      </c>
      <c r="I42" s="3">
        <v>45621</v>
      </c>
      <c r="J42" s="5">
        <v>45658</v>
      </c>
      <c r="K42" s="4" t="s">
        <v>0</v>
      </c>
      <c r="L42" s="4" t="s">
        <v>71</v>
      </c>
      <c r="M42" s="4">
        <v>1</v>
      </c>
      <c r="N42" s="4" t="s">
        <v>59</v>
      </c>
      <c r="O42" s="4">
        <v>4</v>
      </c>
      <c r="P42" s="4" t="s">
        <v>60</v>
      </c>
      <c r="Q42" s="4" t="s">
        <v>50</v>
      </c>
      <c r="R42" s="4">
        <v>312.99999600000001</v>
      </c>
      <c r="S42" s="4">
        <v>199.99999199999999</v>
      </c>
      <c r="T42" s="4">
        <v>513</v>
      </c>
      <c r="U42" s="4" t="s">
        <v>6</v>
      </c>
    </row>
    <row r="43" spans="1:21" x14ac:dyDescent="0.2">
      <c r="A43" s="1">
        <v>45674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s="1">
        <v>45576</v>
      </c>
      <c r="J43" s="1">
        <v>45597</v>
      </c>
      <c r="K43" s="1">
        <v>45688</v>
      </c>
      <c r="L43" t="s">
        <v>48</v>
      </c>
      <c r="M43">
        <v>1</v>
      </c>
      <c r="N43" t="s">
        <v>0</v>
      </c>
      <c r="O43">
        <v>1</v>
      </c>
      <c r="P43" t="s">
        <v>49</v>
      </c>
      <c r="Q43" t="s">
        <v>50</v>
      </c>
      <c r="R43">
        <v>-101.833332</v>
      </c>
      <c r="S43">
        <v>-199.99999199999999</v>
      </c>
      <c r="T43">
        <v>-301.83</v>
      </c>
      <c r="U43" t="s">
        <v>6</v>
      </c>
    </row>
    <row r="44" spans="1:21" s="4" customFormat="1" x14ac:dyDescent="0.2">
      <c r="A44" s="3">
        <v>45674</v>
      </c>
      <c r="B44" s="4" t="s">
        <v>94</v>
      </c>
      <c r="C44" s="4" t="s">
        <v>95</v>
      </c>
      <c r="D44" s="4" t="s">
        <v>159</v>
      </c>
      <c r="E44" s="4" t="s">
        <v>160</v>
      </c>
      <c r="F44" s="4" t="s">
        <v>161</v>
      </c>
      <c r="G44" s="4" t="s">
        <v>162</v>
      </c>
      <c r="H44" s="4" t="s">
        <v>57</v>
      </c>
      <c r="I44" s="3">
        <v>45591</v>
      </c>
      <c r="J44" s="5">
        <v>45658</v>
      </c>
      <c r="K44" s="4" t="s">
        <v>0</v>
      </c>
      <c r="L44" s="4" t="s">
        <v>71</v>
      </c>
      <c r="M44" s="4">
        <v>1</v>
      </c>
      <c r="N44" s="4" t="s">
        <v>59</v>
      </c>
      <c r="O44" s="4">
        <v>3</v>
      </c>
      <c r="P44" s="4" t="s">
        <v>60</v>
      </c>
      <c r="Q44" s="4" t="s">
        <v>50</v>
      </c>
      <c r="R44" s="4">
        <v>312.99999600000001</v>
      </c>
      <c r="S44" s="4">
        <v>199.99999199999999</v>
      </c>
      <c r="T44" s="4">
        <v>513</v>
      </c>
      <c r="U44" s="4" t="s">
        <v>6</v>
      </c>
    </row>
    <row r="45" spans="1:21" s="4" customFormat="1" x14ac:dyDescent="0.2">
      <c r="A45" s="3">
        <v>45674</v>
      </c>
      <c r="B45" s="4" t="s">
        <v>94</v>
      </c>
      <c r="C45" s="4" t="s">
        <v>95</v>
      </c>
      <c r="D45" s="4" t="s">
        <v>163</v>
      </c>
      <c r="E45" s="4" t="s">
        <v>164</v>
      </c>
      <c r="F45" s="4" t="s">
        <v>165</v>
      </c>
      <c r="G45" s="4" t="s">
        <v>162</v>
      </c>
      <c r="H45" s="4" t="s">
        <v>57</v>
      </c>
      <c r="I45" s="3">
        <v>45591</v>
      </c>
      <c r="J45" s="5">
        <v>45658</v>
      </c>
      <c r="K45" s="4" t="s">
        <v>0</v>
      </c>
      <c r="L45" s="4" t="s">
        <v>71</v>
      </c>
      <c r="M45" s="4">
        <v>1</v>
      </c>
      <c r="N45" s="4" t="s">
        <v>59</v>
      </c>
      <c r="O45" s="4">
        <v>4</v>
      </c>
      <c r="P45" s="4" t="s">
        <v>60</v>
      </c>
      <c r="Q45" s="4" t="s">
        <v>50</v>
      </c>
      <c r="R45" s="4">
        <v>312.99999600000001</v>
      </c>
      <c r="S45" s="4">
        <v>199.99999199999999</v>
      </c>
      <c r="T45" s="4">
        <v>513</v>
      </c>
      <c r="U45" s="4" t="s">
        <v>6</v>
      </c>
    </row>
    <row r="46" spans="1:21" x14ac:dyDescent="0.2">
      <c r="A46" s="1">
        <v>45674</v>
      </c>
      <c r="B46" t="s">
        <v>51</v>
      </c>
      <c r="C46" t="s">
        <v>52</v>
      </c>
      <c r="D46" t="s">
        <v>318</v>
      </c>
      <c r="E46" t="s">
        <v>319</v>
      </c>
      <c r="F46" t="s">
        <v>320</v>
      </c>
      <c r="G46" t="s">
        <v>321</v>
      </c>
      <c r="H46" t="s">
        <v>57</v>
      </c>
      <c r="I46" s="1">
        <v>45617</v>
      </c>
      <c r="J46" s="2">
        <v>45658</v>
      </c>
      <c r="K46" t="s">
        <v>0</v>
      </c>
      <c r="L46" t="s">
        <v>71</v>
      </c>
      <c r="M46">
        <v>1</v>
      </c>
      <c r="N46" t="s">
        <v>72</v>
      </c>
      <c r="O46">
        <v>1</v>
      </c>
      <c r="P46" t="s">
        <v>49</v>
      </c>
      <c r="Q46" t="s">
        <v>50</v>
      </c>
      <c r="R46">
        <v>625.99999200000002</v>
      </c>
      <c r="S46">
        <v>199.99999199999999</v>
      </c>
      <c r="T46">
        <v>826</v>
      </c>
      <c r="U46" t="s">
        <v>6</v>
      </c>
    </row>
    <row r="47" spans="1:21" x14ac:dyDescent="0.2">
      <c r="A47" s="1">
        <v>45674</v>
      </c>
      <c r="B47" t="s">
        <v>100</v>
      </c>
      <c r="C47" t="s">
        <v>101</v>
      </c>
      <c r="D47" t="s">
        <v>171</v>
      </c>
      <c r="E47" t="s">
        <v>172</v>
      </c>
      <c r="F47" t="s">
        <v>173</v>
      </c>
      <c r="G47" t="s">
        <v>174</v>
      </c>
      <c r="H47" t="s">
        <v>57</v>
      </c>
      <c r="I47" s="1">
        <v>45591</v>
      </c>
      <c r="J47" s="2">
        <v>45658</v>
      </c>
      <c r="K47" t="s">
        <v>0</v>
      </c>
      <c r="L47" t="s">
        <v>58</v>
      </c>
      <c r="M47">
        <v>1</v>
      </c>
      <c r="N47" t="s">
        <v>59</v>
      </c>
      <c r="O47">
        <v>6</v>
      </c>
      <c r="P47" t="s">
        <v>60</v>
      </c>
      <c r="Q47" t="s">
        <v>50</v>
      </c>
      <c r="R47">
        <v>312.99999600000001</v>
      </c>
      <c r="S47">
        <v>199.99999199999999</v>
      </c>
      <c r="T47">
        <v>513</v>
      </c>
      <c r="U47" t="s">
        <v>6</v>
      </c>
    </row>
    <row r="48" spans="1:21" x14ac:dyDescent="0.2">
      <c r="A48" s="1">
        <v>45674</v>
      </c>
      <c r="B48" t="s">
        <v>134</v>
      </c>
      <c r="C48" t="s">
        <v>135</v>
      </c>
      <c r="D48" t="s">
        <v>423</v>
      </c>
      <c r="E48" t="s">
        <v>424</v>
      </c>
      <c r="F48" t="s">
        <v>425</v>
      </c>
      <c r="G48" t="s">
        <v>426</v>
      </c>
      <c r="H48" t="s">
        <v>57</v>
      </c>
      <c r="I48" s="1">
        <v>45644</v>
      </c>
      <c r="J48" s="2">
        <v>45658</v>
      </c>
      <c r="K48" t="s">
        <v>0</v>
      </c>
      <c r="L48" t="s">
        <v>71</v>
      </c>
      <c r="M48">
        <v>1</v>
      </c>
      <c r="N48" t="s">
        <v>109</v>
      </c>
      <c r="O48">
        <v>1</v>
      </c>
      <c r="P48" t="s">
        <v>49</v>
      </c>
      <c r="Q48" t="s">
        <v>50</v>
      </c>
      <c r="R48">
        <v>625.99999200000002</v>
      </c>
      <c r="S48">
        <v>199.99999199999999</v>
      </c>
      <c r="T48">
        <v>826</v>
      </c>
      <c r="U48" t="s">
        <v>6</v>
      </c>
    </row>
    <row r="49" spans="1:21" x14ac:dyDescent="0.2">
      <c r="A49" s="1">
        <v>45674</v>
      </c>
      <c r="B49" t="s">
        <v>342</v>
      </c>
      <c r="C49" t="s">
        <v>343</v>
      </c>
      <c r="D49" t="s">
        <v>344</v>
      </c>
      <c r="E49" t="s">
        <v>345</v>
      </c>
      <c r="F49" t="s">
        <v>346</v>
      </c>
      <c r="G49" t="s">
        <v>347</v>
      </c>
      <c r="H49" t="s">
        <v>348</v>
      </c>
      <c r="I49" s="1">
        <v>45621</v>
      </c>
      <c r="J49" s="2">
        <v>45658</v>
      </c>
      <c r="K49" t="s">
        <v>0</v>
      </c>
      <c r="L49" t="s">
        <v>349</v>
      </c>
      <c r="M49">
        <v>7</v>
      </c>
      <c r="N49" t="s">
        <v>59</v>
      </c>
      <c r="O49">
        <v>16</v>
      </c>
      <c r="P49" t="s">
        <v>60</v>
      </c>
      <c r="Q49" t="s">
        <v>50</v>
      </c>
      <c r="R49">
        <v>312.99999600000001</v>
      </c>
      <c r="S49">
        <v>199.99999199999999</v>
      </c>
      <c r="T49">
        <v>513</v>
      </c>
      <c r="U49" t="s">
        <v>6</v>
      </c>
    </row>
    <row r="50" spans="1:21" s="4" customFormat="1" x14ac:dyDescent="0.2">
      <c r="A50" s="3">
        <v>45674</v>
      </c>
      <c r="B50" s="4" t="s">
        <v>41</v>
      </c>
      <c r="C50" s="4" t="s">
        <v>42</v>
      </c>
      <c r="D50" s="4" t="s">
        <v>82</v>
      </c>
      <c r="E50" s="4" t="s">
        <v>83</v>
      </c>
      <c r="F50" s="4" t="s">
        <v>84</v>
      </c>
      <c r="G50" s="4" t="s">
        <v>70</v>
      </c>
      <c r="H50" s="4" t="s">
        <v>57</v>
      </c>
      <c r="I50" s="3">
        <v>45581</v>
      </c>
      <c r="J50" s="5">
        <v>45658</v>
      </c>
      <c r="K50" s="4" t="s">
        <v>0</v>
      </c>
      <c r="L50" s="4" t="s">
        <v>71</v>
      </c>
      <c r="M50" s="4">
        <v>1</v>
      </c>
      <c r="N50" s="4" t="s">
        <v>59</v>
      </c>
      <c r="O50" s="4">
        <v>8</v>
      </c>
      <c r="P50" s="4" t="s">
        <v>60</v>
      </c>
      <c r="Q50" s="4" t="s">
        <v>50</v>
      </c>
      <c r="R50" s="4">
        <v>312.99999600000001</v>
      </c>
      <c r="S50" s="4">
        <v>199.99999199999999</v>
      </c>
      <c r="T50" s="4">
        <v>513</v>
      </c>
      <c r="U50" s="4" t="s">
        <v>6</v>
      </c>
    </row>
    <row r="51" spans="1:21" s="4" customFormat="1" x14ac:dyDescent="0.2">
      <c r="A51" s="3">
        <v>45674</v>
      </c>
      <c r="B51" s="4" t="s">
        <v>41</v>
      </c>
      <c r="C51" s="4" t="s">
        <v>42</v>
      </c>
      <c r="D51" s="4" t="s">
        <v>67</v>
      </c>
      <c r="E51" s="4" t="s">
        <v>68</v>
      </c>
      <c r="F51" s="4" t="s">
        <v>69</v>
      </c>
      <c r="G51" s="4" t="s">
        <v>70</v>
      </c>
      <c r="H51" s="4" t="s">
        <v>57</v>
      </c>
      <c r="I51" s="3">
        <v>45581</v>
      </c>
      <c r="J51" s="5">
        <v>45658</v>
      </c>
      <c r="K51" s="4" t="s">
        <v>0</v>
      </c>
      <c r="L51" s="4" t="s">
        <v>71</v>
      </c>
      <c r="M51" s="4">
        <v>1</v>
      </c>
      <c r="N51" s="4" t="s">
        <v>72</v>
      </c>
      <c r="O51" s="4">
        <v>1</v>
      </c>
      <c r="P51" s="4" t="s">
        <v>49</v>
      </c>
      <c r="Q51" s="4" t="s">
        <v>50</v>
      </c>
      <c r="R51" s="4">
        <v>625.99999200000002</v>
      </c>
      <c r="S51" s="4">
        <v>199.99999199999999</v>
      </c>
      <c r="T51" s="4">
        <v>826</v>
      </c>
      <c r="U51" s="4" t="s">
        <v>6</v>
      </c>
    </row>
    <row r="52" spans="1:21" x14ac:dyDescent="0.2">
      <c r="A52" s="1">
        <v>45674</v>
      </c>
      <c r="B52" t="s">
        <v>394</v>
      </c>
      <c r="C52" t="s">
        <v>395</v>
      </c>
      <c r="D52" t="s">
        <v>396</v>
      </c>
      <c r="E52" t="s">
        <v>397</v>
      </c>
      <c r="F52" t="s">
        <v>398</v>
      </c>
      <c r="G52" t="s">
        <v>399</v>
      </c>
      <c r="H52" t="s">
        <v>57</v>
      </c>
      <c r="I52" s="1">
        <v>45631</v>
      </c>
      <c r="J52" s="2">
        <v>45658</v>
      </c>
      <c r="K52" t="s">
        <v>0</v>
      </c>
      <c r="L52" t="s">
        <v>58</v>
      </c>
      <c r="M52">
        <v>1</v>
      </c>
      <c r="N52" t="s">
        <v>59</v>
      </c>
      <c r="O52">
        <v>3</v>
      </c>
      <c r="P52" t="s">
        <v>60</v>
      </c>
      <c r="Q52" t="s">
        <v>50</v>
      </c>
      <c r="R52">
        <v>312.99999600000001</v>
      </c>
      <c r="S52">
        <v>199.99999199999999</v>
      </c>
      <c r="T52">
        <v>513</v>
      </c>
      <c r="U52" t="s">
        <v>6</v>
      </c>
    </row>
    <row r="53" spans="1:21" x14ac:dyDescent="0.2">
      <c r="A53" s="1">
        <v>45674</v>
      </c>
      <c r="B53" t="s">
        <v>122</v>
      </c>
      <c r="C53" t="s">
        <v>123</v>
      </c>
      <c r="D53" t="s">
        <v>326</v>
      </c>
      <c r="E53" t="s">
        <v>327</v>
      </c>
      <c r="F53" t="s">
        <v>328</v>
      </c>
      <c r="G53" t="s">
        <v>329</v>
      </c>
      <c r="H53" t="s">
        <v>216</v>
      </c>
      <c r="I53" s="1">
        <v>45618</v>
      </c>
      <c r="J53" s="2">
        <v>45658</v>
      </c>
      <c r="K53" t="s">
        <v>0</v>
      </c>
      <c r="L53" t="s">
        <v>217</v>
      </c>
      <c r="M53">
        <v>5</v>
      </c>
      <c r="N53" t="s">
        <v>109</v>
      </c>
      <c r="O53">
        <v>1</v>
      </c>
      <c r="P53" t="s">
        <v>49</v>
      </c>
      <c r="Q53" t="s">
        <v>50</v>
      </c>
      <c r="R53">
        <v>625.99999200000002</v>
      </c>
      <c r="S53">
        <v>199.99999199999999</v>
      </c>
      <c r="T53">
        <v>826</v>
      </c>
      <c r="U53" t="s">
        <v>6</v>
      </c>
    </row>
    <row r="54" spans="1:21" s="4" customFormat="1" x14ac:dyDescent="0.2">
      <c r="A54" s="3">
        <v>45674</v>
      </c>
      <c r="B54" s="4" t="s">
        <v>51</v>
      </c>
      <c r="C54" s="4" t="s">
        <v>52</v>
      </c>
      <c r="D54" s="4" t="s">
        <v>406</v>
      </c>
      <c r="E54" s="4" t="s">
        <v>407</v>
      </c>
      <c r="F54" s="4" t="s">
        <v>408</v>
      </c>
      <c r="G54" s="4" t="s">
        <v>409</v>
      </c>
      <c r="H54" s="4" t="s">
        <v>57</v>
      </c>
      <c r="I54" s="3">
        <v>45632</v>
      </c>
      <c r="J54" s="5">
        <v>45658</v>
      </c>
      <c r="K54" s="4" t="s">
        <v>0</v>
      </c>
      <c r="L54" s="4" t="s">
        <v>71</v>
      </c>
      <c r="M54" s="4">
        <v>1</v>
      </c>
      <c r="N54" s="4" t="s">
        <v>59</v>
      </c>
      <c r="O54" s="4">
        <v>16</v>
      </c>
      <c r="P54" s="4" t="s">
        <v>60</v>
      </c>
      <c r="Q54" s="4" t="s">
        <v>50</v>
      </c>
      <c r="R54" s="4">
        <v>312.99999600000001</v>
      </c>
      <c r="S54" s="4">
        <v>199.99999199999999</v>
      </c>
      <c r="T54" s="4">
        <v>513</v>
      </c>
      <c r="U54" s="4" t="s">
        <v>6</v>
      </c>
    </row>
    <row r="55" spans="1:21" s="4" customFormat="1" x14ac:dyDescent="0.2">
      <c r="A55" s="3">
        <v>45674</v>
      </c>
      <c r="B55" s="4" t="s">
        <v>51</v>
      </c>
      <c r="C55" s="4" t="s">
        <v>52</v>
      </c>
      <c r="D55" s="4" t="s">
        <v>410</v>
      </c>
      <c r="E55" s="4" t="s">
        <v>411</v>
      </c>
      <c r="F55" s="4" t="s">
        <v>412</v>
      </c>
      <c r="G55" s="4" t="s">
        <v>409</v>
      </c>
      <c r="H55" s="4" t="s">
        <v>57</v>
      </c>
      <c r="I55" s="3">
        <v>45632</v>
      </c>
      <c r="J55" s="5">
        <v>45658</v>
      </c>
      <c r="K55" s="4" t="s">
        <v>0</v>
      </c>
      <c r="L55" s="4" t="s">
        <v>71</v>
      </c>
      <c r="M55" s="4">
        <v>1</v>
      </c>
      <c r="N55" s="4" t="s">
        <v>59</v>
      </c>
      <c r="O55" s="4">
        <v>2</v>
      </c>
      <c r="P55" s="4" t="s">
        <v>60</v>
      </c>
      <c r="Q55" s="4" t="s">
        <v>50</v>
      </c>
      <c r="R55" s="4">
        <v>312.99999600000001</v>
      </c>
      <c r="S55" s="4">
        <v>199.99999199999999</v>
      </c>
      <c r="T55" s="4">
        <v>513</v>
      </c>
      <c r="U55" s="4" t="s">
        <v>6</v>
      </c>
    </row>
    <row r="56" spans="1:21" x14ac:dyDescent="0.2">
      <c r="A56" s="1">
        <v>45674</v>
      </c>
      <c r="B56" t="s">
        <v>122</v>
      </c>
      <c r="C56" t="s">
        <v>123</v>
      </c>
      <c r="D56" t="s">
        <v>218</v>
      </c>
      <c r="E56" t="s">
        <v>219</v>
      </c>
      <c r="F56" t="s">
        <v>220</v>
      </c>
      <c r="G56" t="s">
        <v>221</v>
      </c>
      <c r="H56" t="s">
        <v>216</v>
      </c>
      <c r="I56" s="1">
        <v>45596</v>
      </c>
      <c r="J56" s="2">
        <v>45658</v>
      </c>
      <c r="K56" t="s">
        <v>0</v>
      </c>
      <c r="L56" t="s">
        <v>217</v>
      </c>
      <c r="M56">
        <v>5</v>
      </c>
      <c r="N56" t="s">
        <v>59</v>
      </c>
      <c r="O56">
        <v>5</v>
      </c>
      <c r="P56" t="s">
        <v>60</v>
      </c>
      <c r="Q56" t="s">
        <v>50</v>
      </c>
      <c r="R56">
        <v>312.99999600000001</v>
      </c>
      <c r="S56">
        <v>199.99999199999999</v>
      </c>
      <c r="T56">
        <v>513</v>
      </c>
      <c r="U56" t="s">
        <v>6</v>
      </c>
    </row>
    <row r="57" spans="1:21" x14ac:dyDescent="0.2">
      <c r="A57" s="1">
        <v>45674</v>
      </c>
      <c r="B57" t="s">
        <v>41</v>
      </c>
      <c r="C57" t="s">
        <v>42</v>
      </c>
      <c r="D57" t="s">
        <v>413</v>
      </c>
      <c r="E57" t="s">
        <v>414</v>
      </c>
      <c r="F57" t="s">
        <v>336</v>
      </c>
      <c r="G57" t="s">
        <v>415</v>
      </c>
      <c r="H57" t="s">
        <v>57</v>
      </c>
      <c r="I57" s="1">
        <v>45632</v>
      </c>
      <c r="J57" s="2">
        <v>45658</v>
      </c>
      <c r="K57" t="s">
        <v>0</v>
      </c>
      <c r="L57" t="s">
        <v>71</v>
      </c>
      <c r="M57">
        <v>1</v>
      </c>
      <c r="N57" t="s">
        <v>59</v>
      </c>
      <c r="O57">
        <v>2</v>
      </c>
      <c r="P57" t="s">
        <v>60</v>
      </c>
      <c r="Q57" t="s">
        <v>50</v>
      </c>
      <c r="R57">
        <v>312.99999600000001</v>
      </c>
      <c r="S57">
        <v>199.99999199999999</v>
      </c>
      <c r="T57">
        <v>513</v>
      </c>
      <c r="U57" t="s">
        <v>6</v>
      </c>
    </row>
    <row r="58" spans="1:21" x14ac:dyDescent="0.2">
      <c r="A58" s="1">
        <v>45674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s="1">
        <v>45580</v>
      </c>
      <c r="J58" s="2">
        <v>45658</v>
      </c>
      <c r="K58" t="s">
        <v>0</v>
      </c>
      <c r="L58" t="s">
        <v>58</v>
      </c>
      <c r="M58">
        <v>1</v>
      </c>
      <c r="N58" t="s">
        <v>59</v>
      </c>
      <c r="O58">
        <v>7</v>
      </c>
      <c r="P58" t="s">
        <v>60</v>
      </c>
      <c r="Q58" t="s">
        <v>50</v>
      </c>
      <c r="R58">
        <v>312.99999600000001</v>
      </c>
      <c r="S58">
        <v>199.99999199999999</v>
      </c>
      <c r="T58">
        <v>513</v>
      </c>
      <c r="U58" t="s">
        <v>6</v>
      </c>
    </row>
    <row r="59" spans="1:21" x14ac:dyDescent="0.2">
      <c r="A59" s="1">
        <v>45674</v>
      </c>
      <c r="B59" t="s">
        <v>61</v>
      </c>
      <c r="C59" t="s">
        <v>62</v>
      </c>
      <c r="D59" t="s">
        <v>310</v>
      </c>
      <c r="E59" t="s">
        <v>311</v>
      </c>
      <c r="F59" t="s">
        <v>312</v>
      </c>
      <c r="G59" t="s">
        <v>313</v>
      </c>
      <c r="H59" t="s">
        <v>57</v>
      </c>
      <c r="I59" s="1">
        <v>45615</v>
      </c>
      <c r="J59" s="2">
        <v>45658</v>
      </c>
      <c r="K59" t="s">
        <v>0</v>
      </c>
      <c r="L59" t="s">
        <v>58</v>
      </c>
      <c r="M59">
        <v>1</v>
      </c>
      <c r="N59" t="s">
        <v>59</v>
      </c>
      <c r="O59">
        <v>2</v>
      </c>
      <c r="P59" t="s">
        <v>60</v>
      </c>
      <c r="Q59" t="s">
        <v>50</v>
      </c>
      <c r="R59">
        <v>312.99999600000001</v>
      </c>
      <c r="S59">
        <v>199.99999199999999</v>
      </c>
      <c r="T59">
        <v>513</v>
      </c>
      <c r="U59" t="s">
        <v>6</v>
      </c>
    </row>
    <row r="60" spans="1:21" x14ac:dyDescent="0.2">
      <c r="A60" s="1">
        <v>45674</v>
      </c>
      <c r="B60" t="s">
        <v>122</v>
      </c>
      <c r="C60" t="s">
        <v>123</v>
      </c>
      <c r="D60" t="s">
        <v>124</v>
      </c>
      <c r="E60" t="s">
        <v>125</v>
      </c>
      <c r="F60" t="s">
        <v>126</v>
      </c>
      <c r="G60" t="s">
        <v>127</v>
      </c>
      <c r="H60" t="s">
        <v>57</v>
      </c>
      <c r="I60" s="1">
        <v>45586</v>
      </c>
      <c r="J60" s="2">
        <v>45658</v>
      </c>
      <c r="K60" t="s">
        <v>0</v>
      </c>
      <c r="L60" t="s">
        <v>71</v>
      </c>
      <c r="M60">
        <v>1</v>
      </c>
      <c r="N60" t="s">
        <v>59</v>
      </c>
      <c r="O60">
        <v>8</v>
      </c>
      <c r="P60" t="s">
        <v>60</v>
      </c>
      <c r="Q60" t="s">
        <v>50</v>
      </c>
      <c r="R60">
        <v>312.99999600000001</v>
      </c>
      <c r="S60">
        <v>199.99999199999999</v>
      </c>
      <c r="T60">
        <v>513</v>
      </c>
      <c r="U60" t="s">
        <v>6</v>
      </c>
    </row>
    <row r="61" spans="1:21" x14ac:dyDescent="0.2">
      <c r="A61" s="1">
        <v>45674</v>
      </c>
      <c r="B61" t="s">
        <v>94</v>
      </c>
      <c r="C61" t="s">
        <v>95</v>
      </c>
      <c r="D61" t="s">
        <v>334</v>
      </c>
      <c r="E61" t="s">
        <v>335</v>
      </c>
      <c r="F61" t="s">
        <v>336</v>
      </c>
      <c r="G61" t="s">
        <v>337</v>
      </c>
      <c r="H61" t="s">
        <v>57</v>
      </c>
      <c r="I61" s="1">
        <v>45620</v>
      </c>
      <c r="J61" s="2">
        <v>45658</v>
      </c>
      <c r="K61" t="s">
        <v>0</v>
      </c>
      <c r="L61" t="s">
        <v>71</v>
      </c>
      <c r="M61">
        <v>1</v>
      </c>
      <c r="N61" t="s">
        <v>59</v>
      </c>
      <c r="O61">
        <v>3</v>
      </c>
      <c r="P61" t="s">
        <v>60</v>
      </c>
      <c r="Q61" t="s">
        <v>50</v>
      </c>
      <c r="R61">
        <v>312.99999600000001</v>
      </c>
      <c r="S61">
        <v>199.99999199999999</v>
      </c>
      <c r="T61">
        <v>513</v>
      </c>
      <c r="U61" t="s">
        <v>6</v>
      </c>
    </row>
    <row r="62" spans="1:21" x14ac:dyDescent="0.2">
      <c r="A62" s="1">
        <v>45674</v>
      </c>
      <c r="B62" t="s">
        <v>85</v>
      </c>
      <c r="C62" t="s">
        <v>86</v>
      </c>
      <c r="D62" t="s">
        <v>338</v>
      </c>
      <c r="E62" t="s">
        <v>339</v>
      </c>
      <c r="F62" t="s">
        <v>340</v>
      </c>
      <c r="G62" t="s">
        <v>341</v>
      </c>
      <c r="H62" t="s">
        <v>57</v>
      </c>
      <c r="I62" s="1">
        <v>45621</v>
      </c>
      <c r="J62" s="2">
        <v>45658</v>
      </c>
      <c r="K62" t="s">
        <v>0</v>
      </c>
      <c r="L62" t="s">
        <v>58</v>
      </c>
      <c r="M62">
        <v>1</v>
      </c>
      <c r="N62" t="s">
        <v>109</v>
      </c>
      <c r="O62">
        <v>1</v>
      </c>
      <c r="P62" t="s">
        <v>49</v>
      </c>
      <c r="Q62" t="s">
        <v>50</v>
      </c>
      <c r="R62">
        <v>625.99999200000002</v>
      </c>
      <c r="S62">
        <v>199.99999199999999</v>
      </c>
      <c r="T62">
        <v>826</v>
      </c>
      <c r="U62" t="s">
        <v>6</v>
      </c>
    </row>
    <row r="63" spans="1:21" x14ac:dyDescent="0.2">
      <c r="A63" s="1">
        <v>45674</v>
      </c>
      <c r="B63" t="s">
        <v>94</v>
      </c>
      <c r="C63" t="s">
        <v>95</v>
      </c>
      <c r="D63" t="s">
        <v>282</v>
      </c>
      <c r="E63" t="s">
        <v>283</v>
      </c>
      <c r="F63" t="s">
        <v>153</v>
      </c>
      <c r="G63" t="s">
        <v>284</v>
      </c>
      <c r="H63" t="s">
        <v>57</v>
      </c>
      <c r="I63" s="1">
        <v>45610</v>
      </c>
      <c r="J63" s="2">
        <v>45658</v>
      </c>
      <c r="K63" t="s">
        <v>0</v>
      </c>
      <c r="L63" t="s">
        <v>58</v>
      </c>
      <c r="M63">
        <v>1</v>
      </c>
      <c r="N63" t="s">
        <v>109</v>
      </c>
      <c r="O63">
        <v>1</v>
      </c>
      <c r="P63" t="s">
        <v>49</v>
      </c>
      <c r="Q63" t="s">
        <v>50</v>
      </c>
      <c r="R63">
        <v>625.99999200000002</v>
      </c>
      <c r="S63">
        <v>199.99999199999999</v>
      </c>
      <c r="T63">
        <v>826</v>
      </c>
      <c r="U63" t="s">
        <v>6</v>
      </c>
    </row>
    <row r="64" spans="1:21" x14ac:dyDescent="0.2">
      <c r="A64" s="1">
        <v>45674</v>
      </c>
      <c r="B64" t="s">
        <v>85</v>
      </c>
      <c r="C64" t="s">
        <v>86</v>
      </c>
      <c r="D64" t="s">
        <v>166</v>
      </c>
      <c r="E64" t="s">
        <v>167</v>
      </c>
      <c r="F64" t="s">
        <v>168</v>
      </c>
      <c r="G64" t="s">
        <v>169</v>
      </c>
      <c r="H64" t="s">
        <v>57</v>
      </c>
      <c r="I64" s="1">
        <v>45591</v>
      </c>
      <c r="J64" s="2">
        <v>45658</v>
      </c>
      <c r="K64" t="s">
        <v>0</v>
      </c>
      <c r="L64" t="s">
        <v>170</v>
      </c>
      <c r="M64">
        <v>3</v>
      </c>
      <c r="N64" t="s">
        <v>59</v>
      </c>
      <c r="O64">
        <v>4</v>
      </c>
      <c r="P64" t="s">
        <v>60</v>
      </c>
      <c r="Q64" t="s">
        <v>50</v>
      </c>
      <c r="R64">
        <v>312.99999600000001</v>
      </c>
      <c r="S64">
        <v>199.99999199999999</v>
      </c>
      <c r="T64">
        <v>513</v>
      </c>
      <c r="U64" t="s">
        <v>6</v>
      </c>
    </row>
    <row r="65" spans="1:21" x14ac:dyDescent="0.2">
      <c r="A65" s="1">
        <v>45674</v>
      </c>
      <c r="B65" t="s">
        <v>94</v>
      </c>
      <c r="C65" t="s">
        <v>95</v>
      </c>
      <c r="D65" t="s">
        <v>239</v>
      </c>
      <c r="E65" t="s">
        <v>240</v>
      </c>
      <c r="F65" t="s">
        <v>241</v>
      </c>
      <c r="G65" t="s">
        <v>242</v>
      </c>
      <c r="H65" t="s">
        <v>57</v>
      </c>
      <c r="I65" s="1">
        <v>45604</v>
      </c>
      <c r="J65" s="2">
        <v>45658</v>
      </c>
      <c r="K65" t="s">
        <v>0</v>
      </c>
      <c r="L65" t="s">
        <v>71</v>
      </c>
      <c r="M65">
        <v>1</v>
      </c>
      <c r="N65" t="s">
        <v>59</v>
      </c>
      <c r="O65">
        <v>16</v>
      </c>
      <c r="P65" t="s">
        <v>60</v>
      </c>
      <c r="Q65" t="s">
        <v>50</v>
      </c>
      <c r="R65">
        <v>312.99999600000001</v>
      </c>
      <c r="S65">
        <v>199.99999199999999</v>
      </c>
      <c r="T65">
        <v>513</v>
      </c>
      <c r="U65" t="s">
        <v>6</v>
      </c>
    </row>
    <row r="66" spans="1:21" x14ac:dyDescent="0.2">
      <c r="A66" s="1">
        <v>45674</v>
      </c>
      <c r="B66" t="s">
        <v>94</v>
      </c>
      <c r="C66" t="s">
        <v>95</v>
      </c>
      <c r="D66" t="s">
        <v>247</v>
      </c>
      <c r="E66" t="s">
        <v>248</v>
      </c>
      <c r="F66" t="s">
        <v>249</v>
      </c>
      <c r="G66" t="s">
        <v>250</v>
      </c>
      <c r="H66" t="s">
        <v>57</v>
      </c>
      <c r="I66" s="1">
        <v>45604</v>
      </c>
      <c r="J66" s="2">
        <v>45658</v>
      </c>
      <c r="K66" t="s">
        <v>0</v>
      </c>
      <c r="L66" t="s">
        <v>71</v>
      </c>
      <c r="M66">
        <v>1</v>
      </c>
      <c r="N66" t="s">
        <v>59</v>
      </c>
      <c r="O66">
        <v>8</v>
      </c>
      <c r="P66" t="s">
        <v>60</v>
      </c>
      <c r="Q66" t="s">
        <v>50</v>
      </c>
      <c r="R66">
        <v>312.99999600000001</v>
      </c>
      <c r="S66">
        <v>199.99999199999999</v>
      </c>
      <c r="T66">
        <v>513</v>
      </c>
      <c r="U66" t="s">
        <v>6</v>
      </c>
    </row>
    <row r="67" spans="1:21" x14ac:dyDescent="0.2">
      <c r="A67" s="1">
        <v>45674</v>
      </c>
      <c r="B67" t="s">
        <v>85</v>
      </c>
      <c r="C67" t="s">
        <v>86</v>
      </c>
      <c r="D67" t="s">
        <v>87</v>
      </c>
      <c r="E67" t="s">
        <v>88</v>
      </c>
      <c r="F67" t="s">
        <v>89</v>
      </c>
      <c r="G67" t="s">
        <v>90</v>
      </c>
      <c r="H67" t="s">
        <v>57</v>
      </c>
      <c r="I67" s="1">
        <v>45582</v>
      </c>
      <c r="J67" s="2">
        <v>45658</v>
      </c>
      <c r="K67" t="s">
        <v>0</v>
      </c>
      <c r="L67" t="s">
        <v>71</v>
      </c>
      <c r="M67">
        <v>1</v>
      </c>
      <c r="N67" t="s">
        <v>59</v>
      </c>
      <c r="O67">
        <v>2</v>
      </c>
      <c r="P67" t="s">
        <v>60</v>
      </c>
      <c r="Q67" t="s">
        <v>50</v>
      </c>
      <c r="R67">
        <v>312.99999600000001</v>
      </c>
      <c r="S67">
        <v>199.99999199999999</v>
      </c>
      <c r="T67">
        <v>513</v>
      </c>
      <c r="U67" t="s">
        <v>6</v>
      </c>
    </row>
    <row r="68" spans="1:21" x14ac:dyDescent="0.2">
      <c r="A68" s="1">
        <v>45674</v>
      </c>
      <c r="B68" t="s">
        <v>85</v>
      </c>
      <c r="C68" t="s">
        <v>86</v>
      </c>
      <c r="D68" t="s">
        <v>91</v>
      </c>
      <c r="E68" t="s">
        <v>92</v>
      </c>
      <c r="F68" t="s">
        <v>93</v>
      </c>
      <c r="G68" t="s">
        <v>90</v>
      </c>
      <c r="H68" t="s">
        <v>57</v>
      </c>
      <c r="I68" s="1">
        <v>45582</v>
      </c>
      <c r="J68" s="2">
        <v>45658</v>
      </c>
      <c r="K68" t="s">
        <v>0</v>
      </c>
      <c r="L68" t="s">
        <v>71</v>
      </c>
      <c r="M68">
        <v>1</v>
      </c>
      <c r="N68" t="s">
        <v>59</v>
      </c>
      <c r="O68">
        <v>4</v>
      </c>
      <c r="P68" t="s">
        <v>60</v>
      </c>
      <c r="Q68" t="s">
        <v>50</v>
      </c>
      <c r="R68">
        <v>312.99999600000001</v>
      </c>
      <c r="S68">
        <v>199.99999199999999</v>
      </c>
      <c r="T68">
        <v>513</v>
      </c>
      <c r="U68" t="s">
        <v>6</v>
      </c>
    </row>
    <row r="69" spans="1:21" x14ac:dyDescent="0.2">
      <c r="A69" s="1">
        <v>45674</v>
      </c>
      <c r="B69" t="s">
        <v>61</v>
      </c>
      <c r="C69" t="s">
        <v>62</v>
      </c>
      <c r="D69" t="s">
        <v>366</v>
      </c>
      <c r="E69" t="s">
        <v>367</v>
      </c>
      <c r="F69" t="s">
        <v>368</v>
      </c>
      <c r="G69" t="s">
        <v>369</v>
      </c>
      <c r="H69" t="s">
        <v>57</v>
      </c>
      <c r="I69" s="1">
        <v>45628</v>
      </c>
      <c r="J69" s="2">
        <v>45658</v>
      </c>
      <c r="K69" t="s">
        <v>0</v>
      </c>
      <c r="L69" t="s">
        <v>71</v>
      </c>
      <c r="M69">
        <v>1</v>
      </c>
      <c r="N69" t="s">
        <v>72</v>
      </c>
      <c r="O69">
        <v>1</v>
      </c>
      <c r="P69" t="s">
        <v>49</v>
      </c>
      <c r="Q69" t="s">
        <v>50</v>
      </c>
      <c r="R69">
        <v>625.99999200000002</v>
      </c>
      <c r="S69">
        <v>199.99999199999999</v>
      </c>
      <c r="T69">
        <v>826</v>
      </c>
      <c r="U69" t="s">
        <v>6</v>
      </c>
    </row>
    <row r="70" spans="1:21" s="4" customFormat="1" x14ac:dyDescent="0.2">
      <c r="A70" s="3">
        <v>45674</v>
      </c>
      <c r="B70" s="4" t="s">
        <v>193</v>
      </c>
      <c r="C70" s="4" t="s">
        <v>194</v>
      </c>
      <c r="D70" s="4" t="s">
        <v>195</v>
      </c>
      <c r="E70" s="4" t="s">
        <v>196</v>
      </c>
      <c r="F70" s="4" t="s">
        <v>197</v>
      </c>
      <c r="G70" s="4" t="s">
        <v>198</v>
      </c>
      <c r="H70" s="4" t="s">
        <v>199</v>
      </c>
      <c r="I70" s="3">
        <v>45595</v>
      </c>
      <c r="J70" s="5">
        <v>45658</v>
      </c>
      <c r="K70" s="4" t="s">
        <v>0</v>
      </c>
      <c r="L70" s="4" t="s">
        <v>200</v>
      </c>
      <c r="M70" s="4">
        <v>1</v>
      </c>
      <c r="N70" s="4" t="s">
        <v>59</v>
      </c>
      <c r="O70" s="4">
        <v>5</v>
      </c>
      <c r="P70" s="4" t="s">
        <v>60</v>
      </c>
      <c r="Q70" s="4" t="s">
        <v>50</v>
      </c>
      <c r="R70" s="4">
        <v>312.99999600000001</v>
      </c>
      <c r="S70" s="4">
        <v>249.99998400000001</v>
      </c>
      <c r="T70" s="4">
        <v>563</v>
      </c>
      <c r="U70" s="4" t="s">
        <v>6</v>
      </c>
    </row>
    <row r="71" spans="1:21" s="4" customFormat="1" x14ac:dyDescent="0.2">
      <c r="A71" s="3">
        <v>45674</v>
      </c>
      <c r="B71" s="4" t="s">
        <v>193</v>
      </c>
      <c r="C71" s="4" t="s">
        <v>194</v>
      </c>
      <c r="D71" s="4" t="s">
        <v>201</v>
      </c>
      <c r="E71" s="4" t="s">
        <v>202</v>
      </c>
      <c r="F71" s="4" t="s">
        <v>203</v>
      </c>
      <c r="G71" s="4" t="s">
        <v>198</v>
      </c>
      <c r="H71" s="4" t="s">
        <v>199</v>
      </c>
      <c r="I71" s="3">
        <v>45595</v>
      </c>
      <c r="J71" s="5">
        <v>45658</v>
      </c>
      <c r="K71" s="4" t="s">
        <v>0</v>
      </c>
      <c r="L71" s="4" t="s">
        <v>200</v>
      </c>
      <c r="M71" s="4">
        <v>1</v>
      </c>
      <c r="N71" s="4" t="s">
        <v>59</v>
      </c>
      <c r="O71" s="4">
        <v>5</v>
      </c>
      <c r="P71" s="4" t="s">
        <v>60</v>
      </c>
      <c r="Q71" s="4" t="s">
        <v>50</v>
      </c>
      <c r="R71" s="4">
        <v>312.99999600000001</v>
      </c>
      <c r="S71" s="4">
        <v>249.99998400000001</v>
      </c>
      <c r="T71" s="4">
        <v>563</v>
      </c>
      <c r="U71" s="4" t="s">
        <v>6</v>
      </c>
    </row>
    <row r="72" spans="1:21" x14ac:dyDescent="0.2">
      <c r="A72" s="1">
        <v>45674</v>
      </c>
      <c r="B72" t="s">
        <v>193</v>
      </c>
      <c r="C72" t="s">
        <v>194</v>
      </c>
      <c r="D72" t="s">
        <v>370</v>
      </c>
      <c r="E72" t="s">
        <v>371</v>
      </c>
      <c r="F72" t="s">
        <v>203</v>
      </c>
      <c r="G72" t="s">
        <v>372</v>
      </c>
      <c r="H72" t="s">
        <v>57</v>
      </c>
      <c r="I72" s="1">
        <v>45628</v>
      </c>
      <c r="J72" s="2">
        <v>45658</v>
      </c>
      <c r="K72" t="s">
        <v>0</v>
      </c>
      <c r="L72" t="s">
        <v>170</v>
      </c>
      <c r="M72">
        <v>2</v>
      </c>
      <c r="N72" t="s">
        <v>59</v>
      </c>
      <c r="O72">
        <v>4</v>
      </c>
      <c r="P72" t="s">
        <v>60</v>
      </c>
      <c r="Q72" t="s">
        <v>50</v>
      </c>
      <c r="R72">
        <v>312.99999600000001</v>
      </c>
      <c r="S72">
        <v>199.99999199999999</v>
      </c>
      <c r="T72">
        <v>513</v>
      </c>
      <c r="U72" t="s">
        <v>6</v>
      </c>
    </row>
    <row r="73" spans="1:21" x14ac:dyDescent="0.2">
      <c r="A73" s="1">
        <v>45674</v>
      </c>
      <c r="B73" t="s">
        <v>61</v>
      </c>
      <c r="C73" t="s">
        <v>62</v>
      </c>
      <c r="D73" t="s">
        <v>63</v>
      </c>
      <c r="E73" t="s">
        <v>64</v>
      </c>
      <c r="F73" t="s">
        <v>65</v>
      </c>
      <c r="G73" t="s">
        <v>66</v>
      </c>
      <c r="H73" t="s">
        <v>57</v>
      </c>
      <c r="I73" s="1">
        <v>45580</v>
      </c>
      <c r="J73" s="2">
        <v>45658</v>
      </c>
      <c r="K73" t="s">
        <v>0</v>
      </c>
      <c r="L73" t="s">
        <v>58</v>
      </c>
      <c r="M73">
        <v>1</v>
      </c>
      <c r="N73" t="s">
        <v>59</v>
      </c>
      <c r="O73">
        <v>10</v>
      </c>
      <c r="P73" t="s">
        <v>60</v>
      </c>
      <c r="Q73" t="s">
        <v>50</v>
      </c>
      <c r="R73">
        <v>312.99999600000001</v>
      </c>
      <c r="S73">
        <v>199.99999199999999</v>
      </c>
      <c r="T73">
        <v>513</v>
      </c>
      <c r="U73" t="s">
        <v>6</v>
      </c>
    </row>
    <row r="74" spans="1:21" s="4" customFormat="1" x14ac:dyDescent="0.2">
      <c r="A74" s="3">
        <v>45674</v>
      </c>
      <c r="B74" s="4" t="s">
        <v>100</v>
      </c>
      <c r="C74" s="4" t="s">
        <v>101</v>
      </c>
      <c r="D74" s="4" t="s">
        <v>102</v>
      </c>
      <c r="E74" s="4" t="s">
        <v>103</v>
      </c>
      <c r="F74" s="4" t="s">
        <v>93</v>
      </c>
      <c r="G74" s="4" t="s">
        <v>104</v>
      </c>
      <c r="H74" s="4" t="s">
        <v>57</v>
      </c>
      <c r="I74" s="3">
        <v>45583</v>
      </c>
      <c r="J74" s="5">
        <v>45658</v>
      </c>
      <c r="K74" s="4" t="s">
        <v>0</v>
      </c>
      <c r="L74" s="4" t="s">
        <v>58</v>
      </c>
      <c r="M74" s="4">
        <v>1</v>
      </c>
      <c r="N74" s="4" t="s">
        <v>59</v>
      </c>
      <c r="O74" s="4">
        <v>5</v>
      </c>
      <c r="P74" s="4" t="s">
        <v>60</v>
      </c>
      <c r="Q74" s="4" t="s">
        <v>50</v>
      </c>
      <c r="R74" s="4">
        <v>312.99999600000001</v>
      </c>
      <c r="S74" s="4">
        <v>199.99999199999999</v>
      </c>
      <c r="T74" s="4">
        <v>513</v>
      </c>
      <c r="U74" s="4" t="s">
        <v>6</v>
      </c>
    </row>
    <row r="75" spans="1:21" s="4" customFormat="1" x14ac:dyDescent="0.2">
      <c r="A75" s="3">
        <v>45674</v>
      </c>
      <c r="B75" s="4" t="s">
        <v>51</v>
      </c>
      <c r="C75" s="4" t="s">
        <v>52</v>
      </c>
      <c r="D75" s="4" t="s">
        <v>416</v>
      </c>
      <c r="E75" s="4" t="s">
        <v>417</v>
      </c>
      <c r="F75" s="4" t="s">
        <v>418</v>
      </c>
      <c r="G75" s="4" t="s">
        <v>104</v>
      </c>
      <c r="H75" s="4" t="s">
        <v>392</v>
      </c>
      <c r="I75" s="3">
        <v>45633</v>
      </c>
      <c r="J75" s="5">
        <v>45658</v>
      </c>
      <c r="K75" s="4" t="s">
        <v>0</v>
      </c>
      <c r="L75" s="4" t="s">
        <v>393</v>
      </c>
      <c r="M75" s="4">
        <v>66</v>
      </c>
      <c r="N75" s="4" t="s">
        <v>109</v>
      </c>
      <c r="O75" s="4">
        <v>1</v>
      </c>
      <c r="P75" s="4" t="s">
        <v>49</v>
      </c>
      <c r="Q75" s="4" t="s">
        <v>50</v>
      </c>
      <c r="R75" s="4">
        <v>625.99999200000002</v>
      </c>
      <c r="S75" s="4">
        <v>199.99999199999999</v>
      </c>
      <c r="T75" s="4">
        <v>826</v>
      </c>
      <c r="U75" s="4" t="s">
        <v>6</v>
      </c>
    </row>
    <row r="76" spans="1:21" x14ac:dyDescent="0.2">
      <c r="A76" s="1">
        <v>45674</v>
      </c>
      <c r="B76" t="s">
        <v>289</v>
      </c>
      <c r="C76" t="s">
        <v>290</v>
      </c>
      <c r="D76" t="s">
        <v>291</v>
      </c>
      <c r="E76" t="s">
        <v>292</v>
      </c>
      <c r="F76" t="s">
        <v>293</v>
      </c>
      <c r="G76" t="s">
        <v>294</v>
      </c>
      <c r="H76" t="s">
        <v>57</v>
      </c>
      <c r="I76" s="1">
        <v>45614</v>
      </c>
      <c r="J76" s="2">
        <v>45658</v>
      </c>
      <c r="K76" t="s">
        <v>0</v>
      </c>
      <c r="L76" t="s">
        <v>71</v>
      </c>
      <c r="M76">
        <v>1</v>
      </c>
      <c r="N76" t="s">
        <v>72</v>
      </c>
      <c r="O76">
        <v>1</v>
      </c>
      <c r="P76" t="s">
        <v>49</v>
      </c>
      <c r="Q76" t="s">
        <v>50</v>
      </c>
      <c r="R76">
        <v>625.99999200000002</v>
      </c>
      <c r="S76">
        <v>199.99999199999999</v>
      </c>
      <c r="T76">
        <v>826</v>
      </c>
      <c r="U76" t="s">
        <v>6</v>
      </c>
    </row>
    <row r="77" spans="1:21" x14ac:dyDescent="0.2">
      <c r="A77" s="1">
        <v>45674</v>
      </c>
      <c r="B77" t="s">
        <v>94</v>
      </c>
      <c r="C77" t="s">
        <v>95</v>
      </c>
      <c r="D77" t="s">
        <v>295</v>
      </c>
      <c r="E77" t="s">
        <v>296</v>
      </c>
      <c r="F77" t="s">
        <v>297</v>
      </c>
      <c r="G77" t="s">
        <v>298</v>
      </c>
      <c r="H77" t="s">
        <v>57</v>
      </c>
      <c r="I77" s="1">
        <v>45614</v>
      </c>
      <c r="J77" s="2">
        <v>45658</v>
      </c>
      <c r="K77" t="s">
        <v>0</v>
      </c>
      <c r="L77" t="s">
        <v>58</v>
      </c>
      <c r="M77">
        <v>1</v>
      </c>
      <c r="N77" t="s">
        <v>59</v>
      </c>
      <c r="O77">
        <v>2</v>
      </c>
      <c r="P77" t="s">
        <v>60</v>
      </c>
      <c r="Q77" t="s">
        <v>50</v>
      </c>
      <c r="R77">
        <v>312.99999600000001</v>
      </c>
      <c r="S77">
        <v>199.99999199999999</v>
      </c>
      <c r="T77">
        <v>513</v>
      </c>
      <c r="U77" t="s">
        <v>6</v>
      </c>
    </row>
    <row r="78" spans="1:21" x14ac:dyDescent="0.2">
      <c r="A78" s="1">
        <v>45674</v>
      </c>
      <c r="B78" t="s">
        <v>85</v>
      </c>
      <c r="C78" t="s">
        <v>86</v>
      </c>
      <c r="D78" t="s">
        <v>330</v>
      </c>
      <c r="E78" t="s">
        <v>331</v>
      </c>
      <c r="F78" t="s">
        <v>332</v>
      </c>
      <c r="G78" t="s">
        <v>333</v>
      </c>
      <c r="H78" t="s">
        <v>57</v>
      </c>
      <c r="I78" s="1">
        <v>45618</v>
      </c>
      <c r="J78" s="2">
        <v>45658</v>
      </c>
      <c r="K78" t="s">
        <v>0</v>
      </c>
      <c r="L78" t="s">
        <v>71</v>
      </c>
      <c r="M78">
        <v>1</v>
      </c>
      <c r="N78" t="s">
        <v>59</v>
      </c>
      <c r="O78">
        <v>2</v>
      </c>
      <c r="P78" t="s">
        <v>60</v>
      </c>
      <c r="Q78" t="s">
        <v>50</v>
      </c>
      <c r="R78">
        <v>312.99999600000001</v>
      </c>
      <c r="S78">
        <v>199.99999199999999</v>
      </c>
      <c r="T78">
        <v>513</v>
      </c>
      <c r="U78" t="s">
        <v>6</v>
      </c>
    </row>
    <row r="79" spans="1:21" x14ac:dyDescent="0.2">
      <c r="A79" s="1">
        <v>45674</v>
      </c>
      <c r="B79" t="s">
        <v>100</v>
      </c>
      <c r="C79" t="s">
        <v>101</v>
      </c>
      <c r="D79" t="s">
        <v>232</v>
      </c>
      <c r="E79" t="s">
        <v>233</v>
      </c>
      <c r="F79" t="s">
        <v>234</v>
      </c>
      <c r="G79" t="s">
        <v>235</v>
      </c>
      <c r="H79" t="s">
        <v>57</v>
      </c>
      <c r="I79" s="1">
        <v>45600</v>
      </c>
      <c r="J79" s="2">
        <v>45658</v>
      </c>
      <c r="K79" t="s">
        <v>0</v>
      </c>
      <c r="L79" t="s">
        <v>71</v>
      </c>
      <c r="M79">
        <v>1</v>
      </c>
      <c r="N79" t="s">
        <v>59</v>
      </c>
      <c r="O79">
        <v>4</v>
      </c>
      <c r="P79" t="s">
        <v>60</v>
      </c>
      <c r="Q79" t="s">
        <v>50</v>
      </c>
      <c r="R79">
        <v>312.99999600000001</v>
      </c>
      <c r="S79">
        <v>199.99999199999999</v>
      </c>
      <c r="T79">
        <v>513</v>
      </c>
      <c r="U79" t="s">
        <v>6</v>
      </c>
    </row>
    <row r="80" spans="1:21" x14ac:dyDescent="0.2">
      <c r="A80" s="1">
        <v>45674</v>
      </c>
      <c r="B80" t="s">
        <v>100</v>
      </c>
      <c r="C80" t="s">
        <v>101</v>
      </c>
      <c r="D80" t="s">
        <v>236</v>
      </c>
      <c r="E80" t="s">
        <v>237</v>
      </c>
      <c r="F80" t="s">
        <v>238</v>
      </c>
      <c r="G80" t="s">
        <v>235</v>
      </c>
      <c r="H80" t="s">
        <v>57</v>
      </c>
      <c r="I80" s="1">
        <v>45600</v>
      </c>
      <c r="J80" s="2">
        <v>45658</v>
      </c>
      <c r="K80" t="s">
        <v>0</v>
      </c>
      <c r="L80" t="s">
        <v>71</v>
      </c>
      <c r="M80">
        <v>1</v>
      </c>
      <c r="N80" t="s">
        <v>59</v>
      </c>
      <c r="O80">
        <v>5</v>
      </c>
      <c r="P80" t="s">
        <v>60</v>
      </c>
      <c r="Q80" t="s">
        <v>50</v>
      </c>
      <c r="R80">
        <v>312.99999600000001</v>
      </c>
      <c r="S80">
        <v>199.99999199999999</v>
      </c>
      <c r="T80">
        <v>513</v>
      </c>
      <c r="U80" t="s">
        <v>6</v>
      </c>
    </row>
    <row r="81" spans="1:21" x14ac:dyDescent="0.2">
      <c r="A81" s="1">
        <v>45674</v>
      </c>
      <c r="B81" t="s">
        <v>193</v>
      </c>
      <c r="C81" t="s">
        <v>194</v>
      </c>
      <c r="D81" t="s">
        <v>274</v>
      </c>
      <c r="E81" t="s">
        <v>275</v>
      </c>
      <c r="F81" t="s">
        <v>276</v>
      </c>
      <c r="G81" t="s">
        <v>277</v>
      </c>
      <c r="H81" t="s">
        <v>57</v>
      </c>
      <c r="I81" s="1">
        <v>45609</v>
      </c>
      <c r="J81" s="2">
        <v>45658</v>
      </c>
      <c r="K81" t="s">
        <v>0</v>
      </c>
      <c r="L81" t="s">
        <v>58</v>
      </c>
      <c r="M81">
        <v>1</v>
      </c>
      <c r="N81" t="s">
        <v>59</v>
      </c>
      <c r="O81">
        <v>14</v>
      </c>
      <c r="P81" t="s">
        <v>60</v>
      </c>
      <c r="Q81" t="s">
        <v>50</v>
      </c>
      <c r="R81">
        <v>312.99999600000001</v>
      </c>
      <c r="S81">
        <v>199.99999199999999</v>
      </c>
      <c r="T81">
        <v>513</v>
      </c>
      <c r="U81" t="s">
        <v>6</v>
      </c>
    </row>
    <row r="82" spans="1:21" x14ac:dyDescent="0.2">
      <c r="A82" s="1">
        <v>45674</v>
      </c>
      <c r="B82" t="s">
        <v>85</v>
      </c>
      <c r="C82" t="s">
        <v>86</v>
      </c>
      <c r="D82" t="s">
        <v>251</v>
      </c>
      <c r="E82" t="s">
        <v>252</v>
      </c>
      <c r="F82" t="s">
        <v>253</v>
      </c>
      <c r="G82" t="s">
        <v>254</v>
      </c>
      <c r="H82" t="s">
        <v>57</v>
      </c>
      <c r="I82" s="1">
        <v>45604</v>
      </c>
      <c r="J82" s="2">
        <v>45658</v>
      </c>
      <c r="K82" t="s">
        <v>0</v>
      </c>
      <c r="L82" t="s">
        <v>71</v>
      </c>
      <c r="M82">
        <v>1</v>
      </c>
      <c r="N82" t="s">
        <v>59</v>
      </c>
      <c r="O82">
        <v>5</v>
      </c>
      <c r="P82" t="s">
        <v>60</v>
      </c>
      <c r="Q82" t="s">
        <v>50</v>
      </c>
      <c r="R82">
        <v>312.99999600000001</v>
      </c>
      <c r="S82">
        <v>199.99999199999999</v>
      </c>
      <c r="T82">
        <v>513</v>
      </c>
      <c r="U82" t="s">
        <v>6</v>
      </c>
    </row>
    <row r="83" spans="1:21" x14ac:dyDescent="0.2">
      <c r="A83" s="1">
        <v>45674</v>
      </c>
      <c r="B83" t="s">
        <v>382</v>
      </c>
      <c r="C83" t="s">
        <v>383</v>
      </c>
      <c r="D83" t="s">
        <v>388</v>
      </c>
      <c r="E83" t="s">
        <v>389</v>
      </c>
      <c r="F83" t="s">
        <v>390</v>
      </c>
      <c r="G83" t="s">
        <v>391</v>
      </c>
      <c r="H83" t="s">
        <v>392</v>
      </c>
      <c r="I83" s="1">
        <v>45631</v>
      </c>
      <c r="J83" s="2">
        <v>45658</v>
      </c>
      <c r="K83" t="s">
        <v>0</v>
      </c>
      <c r="L83" t="s">
        <v>393</v>
      </c>
      <c r="M83">
        <v>18</v>
      </c>
      <c r="N83" t="s">
        <v>59</v>
      </c>
      <c r="O83">
        <v>6</v>
      </c>
      <c r="P83" t="s">
        <v>60</v>
      </c>
      <c r="Q83" t="s">
        <v>50</v>
      </c>
      <c r="R83">
        <v>312.99999600000001</v>
      </c>
      <c r="S83">
        <v>199.99999199999999</v>
      </c>
      <c r="T83">
        <v>513</v>
      </c>
      <c r="U83" t="s">
        <v>6</v>
      </c>
    </row>
    <row r="84" spans="1:21" x14ac:dyDescent="0.2">
      <c r="A84" s="1">
        <v>45674</v>
      </c>
      <c r="B84" t="s">
        <v>41</v>
      </c>
      <c r="C84" t="s">
        <v>42</v>
      </c>
      <c r="D84" t="s">
        <v>146</v>
      </c>
      <c r="E84" t="s">
        <v>147</v>
      </c>
      <c r="F84" t="s">
        <v>148</v>
      </c>
      <c r="G84" t="s">
        <v>149</v>
      </c>
      <c r="H84" t="s">
        <v>47</v>
      </c>
      <c r="I84" s="1">
        <v>45589</v>
      </c>
      <c r="J84" s="2">
        <v>45658</v>
      </c>
      <c r="K84" t="s">
        <v>0</v>
      </c>
      <c r="L84" t="s">
        <v>150</v>
      </c>
      <c r="M84">
        <v>1</v>
      </c>
      <c r="N84" t="s">
        <v>59</v>
      </c>
      <c r="O84">
        <v>2</v>
      </c>
      <c r="P84" t="s">
        <v>60</v>
      </c>
      <c r="Q84" t="s">
        <v>50</v>
      </c>
      <c r="R84">
        <v>312.99999600000001</v>
      </c>
      <c r="S84">
        <v>199.99999199999999</v>
      </c>
      <c r="T84">
        <v>513</v>
      </c>
      <c r="U84" t="s">
        <v>6</v>
      </c>
    </row>
    <row r="85" spans="1:21" x14ac:dyDescent="0.2">
      <c r="A85" s="1">
        <v>45674</v>
      </c>
      <c r="B85" t="s">
        <v>373</v>
      </c>
      <c r="C85" t="s">
        <v>374</v>
      </c>
      <c r="D85" t="s">
        <v>375</v>
      </c>
      <c r="E85" t="s">
        <v>376</v>
      </c>
      <c r="F85" t="s">
        <v>45</v>
      </c>
      <c r="G85" t="s">
        <v>377</v>
      </c>
      <c r="H85" t="s">
        <v>57</v>
      </c>
      <c r="I85" s="1">
        <v>45629</v>
      </c>
      <c r="J85" s="2">
        <v>45658</v>
      </c>
      <c r="K85" t="s">
        <v>0</v>
      </c>
      <c r="L85" t="s">
        <v>170</v>
      </c>
      <c r="M85">
        <v>6</v>
      </c>
      <c r="N85" t="s">
        <v>59</v>
      </c>
      <c r="O85">
        <v>6</v>
      </c>
      <c r="P85" t="s">
        <v>60</v>
      </c>
      <c r="Q85" t="s">
        <v>50</v>
      </c>
      <c r="R85">
        <v>312.99999600000001</v>
      </c>
      <c r="S85">
        <v>199.99999199999999</v>
      </c>
      <c r="T85">
        <v>513</v>
      </c>
      <c r="U85" t="s">
        <v>6</v>
      </c>
    </row>
    <row r="86" spans="1:21" x14ac:dyDescent="0.2">
      <c r="A86" s="1">
        <v>45674</v>
      </c>
      <c r="B86" t="s">
        <v>94</v>
      </c>
      <c r="C86" t="s">
        <v>95</v>
      </c>
      <c r="D86" t="s">
        <v>155</v>
      </c>
      <c r="E86" t="s">
        <v>156</v>
      </c>
      <c r="F86" t="s">
        <v>157</v>
      </c>
      <c r="G86" t="s">
        <v>158</v>
      </c>
      <c r="H86" t="s">
        <v>57</v>
      </c>
      <c r="I86" s="1">
        <v>45591</v>
      </c>
      <c r="J86" s="2">
        <v>45658</v>
      </c>
      <c r="K86" t="s">
        <v>0</v>
      </c>
      <c r="L86" t="s">
        <v>71</v>
      </c>
      <c r="M86">
        <v>1</v>
      </c>
      <c r="N86" t="s">
        <v>59</v>
      </c>
      <c r="O86">
        <v>4</v>
      </c>
      <c r="P86" t="s">
        <v>60</v>
      </c>
      <c r="Q86" t="s">
        <v>50</v>
      </c>
      <c r="R86">
        <v>312.99999600000001</v>
      </c>
      <c r="S86">
        <v>199.99999199999999</v>
      </c>
      <c r="T86">
        <v>513</v>
      </c>
      <c r="U86" t="s">
        <v>6</v>
      </c>
    </row>
    <row r="87" spans="1:21" x14ac:dyDescent="0.2">
      <c r="A87" s="1">
        <v>45674</v>
      </c>
      <c r="B87" t="s">
        <v>122</v>
      </c>
      <c r="C87" t="s">
        <v>123</v>
      </c>
      <c r="D87" t="s">
        <v>314</v>
      </c>
      <c r="E87" t="s">
        <v>315</v>
      </c>
      <c r="F87" t="s">
        <v>316</v>
      </c>
      <c r="G87" t="s">
        <v>317</v>
      </c>
      <c r="H87" t="s">
        <v>216</v>
      </c>
      <c r="I87" s="1">
        <v>45615</v>
      </c>
      <c r="J87" s="2">
        <v>45658</v>
      </c>
      <c r="K87" t="s">
        <v>0</v>
      </c>
      <c r="L87" t="s">
        <v>217</v>
      </c>
      <c r="M87">
        <v>5</v>
      </c>
      <c r="N87" t="s">
        <v>59</v>
      </c>
      <c r="O87">
        <v>18</v>
      </c>
      <c r="P87" t="s">
        <v>60</v>
      </c>
      <c r="Q87" t="s">
        <v>50</v>
      </c>
      <c r="R87">
        <v>312.99999600000001</v>
      </c>
      <c r="S87">
        <v>199.99999199999999</v>
      </c>
      <c r="T87">
        <v>513</v>
      </c>
      <c r="U87" t="s">
        <v>6</v>
      </c>
    </row>
    <row r="88" spans="1:21" x14ac:dyDescent="0.2">
      <c r="A88" s="1">
        <v>45674</v>
      </c>
      <c r="B88" t="s">
        <v>100</v>
      </c>
      <c r="C88" t="s">
        <v>101</v>
      </c>
      <c r="D88" t="s">
        <v>186</v>
      </c>
      <c r="E88" t="s">
        <v>187</v>
      </c>
      <c r="F88" t="s">
        <v>188</v>
      </c>
      <c r="G88" t="s">
        <v>189</v>
      </c>
      <c r="H88" t="s">
        <v>57</v>
      </c>
      <c r="I88" s="1">
        <v>45594</v>
      </c>
      <c r="J88" s="2">
        <v>45658</v>
      </c>
      <c r="K88" t="s">
        <v>0</v>
      </c>
      <c r="L88" t="s">
        <v>71</v>
      </c>
      <c r="M88">
        <v>1</v>
      </c>
      <c r="N88" t="s">
        <v>59</v>
      </c>
      <c r="O88">
        <v>6</v>
      </c>
      <c r="P88" t="s">
        <v>60</v>
      </c>
      <c r="Q88" t="s">
        <v>50</v>
      </c>
      <c r="R88">
        <v>312.99999600000001</v>
      </c>
      <c r="S88">
        <v>199.99999199999999</v>
      </c>
      <c r="T88">
        <v>513</v>
      </c>
      <c r="U88" t="s">
        <v>6</v>
      </c>
    </row>
    <row r="89" spans="1:21" x14ac:dyDescent="0.2">
      <c r="A89" s="1">
        <v>45674</v>
      </c>
      <c r="B89" t="s">
        <v>100</v>
      </c>
      <c r="C89" t="s">
        <v>101</v>
      </c>
      <c r="D89" t="s">
        <v>190</v>
      </c>
      <c r="E89" t="s">
        <v>191</v>
      </c>
      <c r="F89" t="s">
        <v>192</v>
      </c>
      <c r="G89" t="s">
        <v>189</v>
      </c>
      <c r="H89" t="s">
        <v>57</v>
      </c>
      <c r="I89" s="1">
        <v>45594</v>
      </c>
      <c r="J89" s="2">
        <v>45658</v>
      </c>
      <c r="K89" t="s">
        <v>0</v>
      </c>
      <c r="L89" t="s">
        <v>71</v>
      </c>
      <c r="M89">
        <v>1</v>
      </c>
      <c r="N89" t="s">
        <v>59</v>
      </c>
      <c r="O89">
        <v>6</v>
      </c>
      <c r="P89" t="s">
        <v>60</v>
      </c>
      <c r="Q89" t="s">
        <v>50</v>
      </c>
      <c r="R89">
        <v>312.99999600000001</v>
      </c>
      <c r="S89">
        <v>199.99999199999999</v>
      </c>
      <c r="T89">
        <v>513</v>
      </c>
      <c r="U89" t="s">
        <v>6</v>
      </c>
    </row>
  </sheetData>
  <sortState xmlns:xlrd2="http://schemas.microsoft.com/office/spreadsheetml/2017/richdata2" ref="A2:V89">
    <sortCondition ref="G2:G89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8EC5-1451-C842-A5B8-00C9C2871126}">
  <dimension ref="A1:W176"/>
  <sheetViews>
    <sheetView tabSelected="1" topLeftCell="A132" workbookViewId="0">
      <selection activeCell="Y200" sqref="Y200"/>
    </sheetView>
  </sheetViews>
  <sheetFormatPr baseColWidth="10" defaultColWidth="8.83203125" defaultRowHeight="15" x14ac:dyDescent="0.2"/>
  <cols>
    <col min="1" max="1" width="15" style="7" customWidth="1"/>
    <col min="2" max="2" width="10" style="7" customWidth="1"/>
    <col min="3" max="3" width="25" style="7" customWidth="1"/>
    <col min="4" max="5" width="15" style="7" customWidth="1"/>
    <col min="6" max="6" width="8.83203125" style="7"/>
    <col min="7" max="7" width="15.6640625" style="7" bestFit="1" customWidth="1"/>
    <col min="8" max="8" width="15.6640625" style="7" customWidth="1"/>
    <col min="9" max="9" width="13.6640625" style="7" bestFit="1" customWidth="1"/>
    <col min="10" max="10" width="14.1640625" style="7" bestFit="1" customWidth="1"/>
    <col min="11" max="11" width="14.1640625" style="7" customWidth="1"/>
    <col min="12" max="12" width="13.33203125" style="7" bestFit="1" customWidth="1"/>
    <col min="13" max="13" width="13.33203125" style="7" customWidth="1"/>
    <col min="14" max="14" width="13.5" style="7" bestFit="1" customWidth="1"/>
    <col min="15" max="15" width="14.33203125" style="7" bestFit="1" customWidth="1"/>
    <col min="16" max="16" width="16.6640625" style="7" bestFit="1" customWidth="1"/>
    <col min="17" max="17" width="6.6640625" style="7" bestFit="1" customWidth="1"/>
    <col min="18" max="18" width="12.83203125" style="7" bestFit="1" customWidth="1"/>
    <col min="19" max="19" width="14.5" style="7" bestFit="1" customWidth="1"/>
    <col min="20" max="20" width="14" style="7" bestFit="1" customWidth="1"/>
    <col min="21" max="21" width="9.1640625" style="7" customWidth="1"/>
    <col min="22" max="22" width="18.83203125" style="7" bestFit="1" customWidth="1"/>
    <col min="23" max="16384" width="8.83203125" style="7"/>
  </cols>
  <sheetData>
    <row r="1" spans="1:23" x14ac:dyDescent="0.2">
      <c r="A1" s="7" t="s">
        <v>19</v>
      </c>
      <c r="B1" s="7" t="s">
        <v>20</v>
      </c>
      <c r="C1" s="7" t="s">
        <v>21</v>
      </c>
      <c r="D1" s="7" t="s">
        <v>22</v>
      </c>
      <c r="F1" s="7" t="s">
        <v>24</v>
      </c>
      <c r="G1" s="7" t="s">
        <v>25</v>
      </c>
      <c r="I1" s="7" t="s">
        <v>26</v>
      </c>
      <c r="J1" s="7" t="s">
        <v>27</v>
      </c>
      <c r="L1" s="7" t="s">
        <v>28</v>
      </c>
      <c r="N1" s="7" t="s">
        <v>29</v>
      </c>
      <c r="O1" s="7" t="s">
        <v>32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40</v>
      </c>
    </row>
    <row r="2" spans="1:23" x14ac:dyDescent="0.2">
      <c r="A2" s="6">
        <v>45674</v>
      </c>
      <c r="B2" s="7">
        <v>7470776</v>
      </c>
      <c r="C2" s="7" t="s">
        <v>74</v>
      </c>
      <c r="D2" s="7" t="s">
        <v>75</v>
      </c>
      <c r="E2" s="7" t="str">
        <f>CONCATENATE(D2,8)</f>
        <v>DE72ZC8</v>
      </c>
      <c r="F2" s="7" t="s">
        <v>77</v>
      </c>
      <c r="G2" s="7" t="s">
        <v>78</v>
      </c>
      <c r="H2" s="7" t="str">
        <f>CONCATENATE(F2, " ", G2)</f>
        <v>LAVERNE DONATO</v>
      </c>
      <c r="I2" s="7" t="s">
        <v>57</v>
      </c>
      <c r="J2" s="6">
        <v>45581</v>
      </c>
      <c r="K2" s="6">
        <f>DATE(YEAR(J2), MONTH(J2), DAY(1))</f>
        <v>45566</v>
      </c>
      <c r="L2" s="8">
        <v>45658</v>
      </c>
      <c r="M2" s="6">
        <f>DATE(YEAR(K2), MONTH(K2) +1, DAY(K2))</f>
        <v>45597</v>
      </c>
      <c r="N2" s="7" t="s">
        <v>0</v>
      </c>
      <c r="O2" s="7" t="s">
        <v>59</v>
      </c>
      <c r="P2" s="7" t="s">
        <v>60</v>
      </c>
      <c r="Q2" s="7" t="s">
        <v>50</v>
      </c>
      <c r="R2" s="7">
        <v>312.99999600000001</v>
      </c>
      <c r="S2" s="7">
        <v>199.99999199999999</v>
      </c>
      <c r="T2" s="7">
        <v>513</v>
      </c>
      <c r="U2" s="7">
        <v>313</v>
      </c>
      <c r="V2" s="7" t="s">
        <v>438</v>
      </c>
      <c r="W2" s="7" t="s">
        <v>435</v>
      </c>
    </row>
    <row r="3" spans="1:23" x14ac:dyDescent="0.2">
      <c r="A3" s="6">
        <v>45674</v>
      </c>
      <c r="B3" s="7">
        <v>7470776</v>
      </c>
      <c r="C3" s="7" t="s">
        <v>74</v>
      </c>
      <c r="D3" s="7" t="s">
        <v>79</v>
      </c>
      <c r="E3" s="7" t="str">
        <f>CONCATENATE(D3,8)</f>
        <v>DHSKKF8</v>
      </c>
      <c r="F3" s="7" t="s">
        <v>81</v>
      </c>
      <c r="G3" s="7" t="s">
        <v>78</v>
      </c>
      <c r="H3" s="7" t="str">
        <f>CONCATENATE(F3, " ", G3)</f>
        <v>CASIMER DONATO</v>
      </c>
      <c r="I3" s="7" t="s">
        <v>57</v>
      </c>
      <c r="J3" s="6">
        <v>45581</v>
      </c>
      <c r="K3" s="6">
        <f>DATE(YEAR(J3), MONTH(J3), DAY(1))</f>
        <v>45566</v>
      </c>
      <c r="L3" s="8">
        <v>45658</v>
      </c>
      <c r="M3" s="6">
        <f>DATE(YEAR(K3), MONTH(K3) +1, DAY(K3))</f>
        <v>45597</v>
      </c>
      <c r="N3" s="7" t="s">
        <v>0</v>
      </c>
      <c r="O3" s="7" t="s">
        <v>59</v>
      </c>
      <c r="P3" s="7" t="s">
        <v>60</v>
      </c>
      <c r="Q3" s="7" t="s">
        <v>50</v>
      </c>
      <c r="R3" s="7">
        <v>312.99999600000001</v>
      </c>
      <c r="S3" s="7">
        <v>199.99999199999999</v>
      </c>
      <c r="T3" s="7">
        <v>513</v>
      </c>
      <c r="U3" s="7">
        <v>313</v>
      </c>
      <c r="V3" s="7" t="s">
        <v>438</v>
      </c>
      <c r="W3" s="7" t="s">
        <v>435</v>
      </c>
    </row>
    <row r="4" spans="1:23" x14ac:dyDescent="0.2">
      <c r="A4" s="6">
        <v>45674</v>
      </c>
      <c r="B4" s="7">
        <v>7470776</v>
      </c>
      <c r="C4" s="7" t="s">
        <v>74</v>
      </c>
      <c r="D4" s="7" t="s">
        <v>175</v>
      </c>
      <c r="E4" s="7" t="str">
        <f>CONCATENATE(D4,8)</f>
        <v>DRR7W88</v>
      </c>
      <c r="F4" s="7" t="s">
        <v>177</v>
      </c>
      <c r="G4" s="7" t="s">
        <v>178</v>
      </c>
      <c r="H4" s="7" t="str">
        <f>CONCATENATE(F4, " ", G4)</f>
        <v>WILLIAM BRENNAN</v>
      </c>
      <c r="I4" s="7" t="s">
        <v>57</v>
      </c>
      <c r="J4" s="6">
        <v>45593</v>
      </c>
      <c r="K4" s="6">
        <f>DATE(YEAR(J4), MONTH(J4), DAY(1))</f>
        <v>45566</v>
      </c>
      <c r="L4" s="8">
        <v>45658</v>
      </c>
      <c r="M4" s="6">
        <f>DATE(YEAR(K4), MONTH(K4) +1, DAY(K4))</f>
        <v>45597</v>
      </c>
      <c r="N4" s="7" t="s">
        <v>0</v>
      </c>
      <c r="O4" s="7" t="s">
        <v>59</v>
      </c>
      <c r="P4" s="7" t="s">
        <v>60</v>
      </c>
      <c r="Q4" s="7" t="s">
        <v>50</v>
      </c>
      <c r="R4" s="7">
        <v>312.99999600000001</v>
      </c>
      <c r="S4" s="7">
        <v>199.99999199999999</v>
      </c>
      <c r="T4" s="7">
        <v>513</v>
      </c>
      <c r="U4" s="7">
        <v>313</v>
      </c>
      <c r="V4" s="7" t="s">
        <v>438</v>
      </c>
      <c r="W4" s="7" t="s">
        <v>435</v>
      </c>
    </row>
    <row r="5" spans="1:23" x14ac:dyDescent="0.2">
      <c r="A5" s="6">
        <v>45674</v>
      </c>
      <c r="B5" s="7">
        <v>7470776</v>
      </c>
      <c r="C5" s="7" t="s">
        <v>74</v>
      </c>
      <c r="D5" s="7" t="s">
        <v>179</v>
      </c>
      <c r="E5" s="7" t="str">
        <f>CONCATENATE(D5,8)</f>
        <v>D3FYF58</v>
      </c>
      <c r="F5" s="7" t="s">
        <v>181</v>
      </c>
      <c r="G5" s="7" t="s">
        <v>182</v>
      </c>
      <c r="H5" s="7" t="str">
        <f>CONCATENATE(F5, " ", G5)</f>
        <v>MARTA CULLEN</v>
      </c>
      <c r="I5" s="7" t="s">
        <v>57</v>
      </c>
      <c r="J5" s="6">
        <v>45594</v>
      </c>
      <c r="K5" s="6">
        <f>DATE(YEAR(J5), MONTH(J5), DAY(1))</f>
        <v>45566</v>
      </c>
      <c r="L5" s="8">
        <v>45658</v>
      </c>
      <c r="M5" s="6">
        <f>DATE(YEAR(K5), MONTH(K5) +1, DAY(K5))</f>
        <v>45597</v>
      </c>
      <c r="N5" s="7" t="s">
        <v>0</v>
      </c>
      <c r="O5" s="7" t="s">
        <v>59</v>
      </c>
      <c r="P5" s="7" t="s">
        <v>60</v>
      </c>
      <c r="Q5" s="7" t="s">
        <v>50</v>
      </c>
      <c r="R5" s="7">
        <v>312.99999600000001</v>
      </c>
      <c r="S5" s="7">
        <v>199.99999199999999</v>
      </c>
      <c r="T5" s="7">
        <v>513</v>
      </c>
      <c r="U5" s="7">
        <v>313</v>
      </c>
      <c r="V5" s="7" t="s">
        <v>438</v>
      </c>
      <c r="W5" s="7" t="s">
        <v>435</v>
      </c>
    </row>
    <row r="6" spans="1:23" x14ac:dyDescent="0.2">
      <c r="A6" s="6">
        <v>45674</v>
      </c>
      <c r="B6" s="7">
        <v>7470776</v>
      </c>
      <c r="C6" s="7" t="s">
        <v>74</v>
      </c>
      <c r="D6" s="7" t="s">
        <v>183</v>
      </c>
      <c r="E6" s="7" t="str">
        <f>CONCATENATE(D6,8)</f>
        <v>DWZ7RJ8</v>
      </c>
      <c r="F6" s="7" t="s">
        <v>185</v>
      </c>
      <c r="G6" s="7" t="s">
        <v>182</v>
      </c>
      <c r="H6" s="7" t="str">
        <f>CONCATENATE(F6, " ", G6)</f>
        <v>PHILLIP CULLEN</v>
      </c>
      <c r="I6" s="7" t="s">
        <v>57</v>
      </c>
      <c r="J6" s="6">
        <v>45594</v>
      </c>
      <c r="K6" s="6">
        <f>DATE(YEAR(J6), MONTH(J6), DAY(1))</f>
        <v>45566</v>
      </c>
      <c r="L6" s="8">
        <v>45658</v>
      </c>
      <c r="M6" s="6">
        <f>DATE(YEAR(K6), MONTH(K6) +1, DAY(K6))</f>
        <v>45597</v>
      </c>
      <c r="N6" s="7" t="s">
        <v>0</v>
      </c>
      <c r="O6" s="7" t="s">
        <v>59</v>
      </c>
      <c r="P6" s="7" t="s">
        <v>60</v>
      </c>
      <c r="Q6" s="7" t="s">
        <v>50</v>
      </c>
      <c r="R6" s="7">
        <v>312.99999600000001</v>
      </c>
      <c r="S6" s="7">
        <v>199.99999199999999</v>
      </c>
      <c r="T6" s="7">
        <v>513</v>
      </c>
      <c r="U6" s="7">
        <v>313</v>
      </c>
      <c r="V6" s="7" t="s">
        <v>438</v>
      </c>
      <c r="W6" s="7" t="s">
        <v>435</v>
      </c>
    </row>
    <row r="7" spans="1:23" x14ac:dyDescent="0.2">
      <c r="A7" s="6">
        <v>45674</v>
      </c>
      <c r="B7" s="7">
        <v>7470776</v>
      </c>
      <c r="C7" s="7" t="s">
        <v>74</v>
      </c>
      <c r="D7" s="7" t="s">
        <v>285</v>
      </c>
      <c r="E7" s="7" t="str">
        <f>CONCATENATE(D7,8)</f>
        <v>DYJG9W8</v>
      </c>
      <c r="F7" s="7" t="s">
        <v>287</v>
      </c>
      <c r="G7" s="7" t="s">
        <v>288</v>
      </c>
      <c r="H7" s="7" t="str">
        <f>CONCATENATE(F7, " ", G7)</f>
        <v>KRISTINE GIBAS</v>
      </c>
      <c r="I7" s="7" t="s">
        <v>57</v>
      </c>
      <c r="J7" s="6">
        <v>45610</v>
      </c>
      <c r="K7" s="6">
        <f>DATE(YEAR(J7), MONTH(J7), DAY(1))</f>
        <v>45597</v>
      </c>
      <c r="L7" s="8">
        <v>45658</v>
      </c>
      <c r="M7" s="6">
        <f>DATE(YEAR(K7), MONTH(K7) +1, DAY(K7))</f>
        <v>45627</v>
      </c>
      <c r="N7" s="7" t="s">
        <v>0</v>
      </c>
      <c r="O7" s="7" t="s">
        <v>59</v>
      </c>
      <c r="P7" s="7" t="s">
        <v>60</v>
      </c>
      <c r="Q7" s="7" t="s">
        <v>50</v>
      </c>
      <c r="R7" s="7">
        <v>312.99999600000001</v>
      </c>
      <c r="S7" s="7">
        <v>199.99999199999999</v>
      </c>
      <c r="T7" s="7">
        <v>513</v>
      </c>
      <c r="U7" s="7">
        <v>313</v>
      </c>
      <c r="V7" s="7" t="s">
        <v>438</v>
      </c>
      <c r="W7" s="7" t="s">
        <v>435</v>
      </c>
    </row>
    <row r="8" spans="1:23" x14ac:dyDescent="0.2">
      <c r="A8" s="6">
        <v>45674</v>
      </c>
      <c r="B8" s="7">
        <v>7146581</v>
      </c>
      <c r="C8" s="7" t="s">
        <v>95</v>
      </c>
      <c r="D8" s="7" t="s">
        <v>96</v>
      </c>
      <c r="E8" s="7" t="str">
        <f>CONCATENATE(D8,8)</f>
        <v>DR9GSJ8</v>
      </c>
      <c r="F8" s="7" t="s">
        <v>98</v>
      </c>
      <c r="G8" s="7" t="s">
        <v>99</v>
      </c>
      <c r="H8" s="7" t="str">
        <f>CONCATENATE(F8, " ", G8)</f>
        <v>SHEILA ENGLISH</v>
      </c>
      <c r="I8" s="7" t="s">
        <v>57</v>
      </c>
      <c r="J8" s="6">
        <v>45583</v>
      </c>
      <c r="K8" s="6">
        <f>DATE(YEAR(J8), MONTH(J8), DAY(1))</f>
        <v>45566</v>
      </c>
      <c r="L8" s="8">
        <v>45658</v>
      </c>
      <c r="M8" s="6">
        <f>DATE(YEAR(K8), MONTH(K8) +1, DAY(K8))</f>
        <v>45597</v>
      </c>
      <c r="N8" s="7" t="s">
        <v>0</v>
      </c>
      <c r="O8" s="7" t="s">
        <v>59</v>
      </c>
      <c r="P8" s="7" t="s">
        <v>60</v>
      </c>
      <c r="Q8" s="7" t="s">
        <v>50</v>
      </c>
      <c r="R8" s="7">
        <v>312.99999600000001</v>
      </c>
      <c r="S8" s="7">
        <v>199.99999199999999</v>
      </c>
      <c r="T8" s="7">
        <v>513</v>
      </c>
      <c r="U8" s="7">
        <v>313</v>
      </c>
      <c r="V8" s="7" t="s">
        <v>438</v>
      </c>
      <c r="W8" s="7" t="s">
        <v>435</v>
      </c>
    </row>
    <row r="9" spans="1:23" x14ac:dyDescent="0.2">
      <c r="A9" s="6">
        <v>45674</v>
      </c>
      <c r="B9" s="7">
        <v>7146581</v>
      </c>
      <c r="C9" s="7" t="s">
        <v>95</v>
      </c>
      <c r="D9" s="7" t="s">
        <v>159</v>
      </c>
      <c r="E9" s="7" t="str">
        <f>CONCATENATE(D9,8)</f>
        <v>DJJH2A8</v>
      </c>
      <c r="F9" s="7" t="s">
        <v>161</v>
      </c>
      <c r="G9" s="7" t="s">
        <v>162</v>
      </c>
      <c r="H9" s="7" t="str">
        <f>CONCATENATE(F9, " ", G9)</f>
        <v>FELICIJA JABLONSKIS</v>
      </c>
      <c r="I9" s="7" t="s">
        <v>57</v>
      </c>
      <c r="J9" s="6">
        <v>45591</v>
      </c>
      <c r="K9" s="6">
        <f>DATE(YEAR(J9), MONTH(J9), DAY(1))</f>
        <v>45566</v>
      </c>
      <c r="L9" s="8">
        <v>45658</v>
      </c>
      <c r="M9" s="6">
        <f>DATE(YEAR(K9), MONTH(K9) +1, DAY(K9))</f>
        <v>45597</v>
      </c>
      <c r="N9" s="7" t="s">
        <v>0</v>
      </c>
      <c r="O9" s="7" t="s">
        <v>59</v>
      </c>
      <c r="P9" s="7" t="s">
        <v>60</v>
      </c>
      <c r="Q9" s="7" t="s">
        <v>50</v>
      </c>
      <c r="R9" s="7">
        <v>312.99999600000001</v>
      </c>
      <c r="S9" s="7">
        <v>199.99999199999999</v>
      </c>
      <c r="T9" s="7">
        <v>513</v>
      </c>
      <c r="U9" s="7">
        <v>313</v>
      </c>
      <c r="V9" s="7" t="s">
        <v>438</v>
      </c>
      <c r="W9" s="7" t="s">
        <v>435</v>
      </c>
    </row>
    <row r="10" spans="1:23" x14ac:dyDescent="0.2">
      <c r="A10" s="6">
        <v>45674</v>
      </c>
      <c r="B10" s="7">
        <v>7146581</v>
      </c>
      <c r="C10" s="7" t="s">
        <v>95</v>
      </c>
      <c r="D10" s="7" t="s">
        <v>163</v>
      </c>
      <c r="E10" s="7" t="str">
        <f>CONCATENATE(D10,8)</f>
        <v>D62JA58</v>
      </c>
      <c r="F10" s="7" t="s">
        <v>165</v>
      </c>
      <c r="G10" s="7" t="s">
        <v>162</v>
      </c>
      <c r="H10" s="7" t="str">
        <f>CONCATENATE(F10, " ", G10)</f>
        <v>LINAS JABLONSKIS</v>
      </c>
      <c r="I10" s="7" t="s">
        <v>57</v>
      </c>
      <c r="J10" s="6">
        <v>45591</v>
      </c>
      <c r="K10" s="6">
        <f>DATE(YEAR(J10), MONTH(J10), DAY(1))</f>
        <v>45566</v>
      </c>
      <c r="L10" s="8">
        <v>45658</v>
      </c>
      <c r="M10" s="6">
        <f>DATE(YEAR(K10), MONTH(K10) +1, DAY(K10))</f>
        <v>45597</v>
      </c>
      <c r="N10" s="7" t="s">
        <v>0</v>
      </c>
      <c r="O10" s="7" t="s">
        <v>59</v>
      </c>
      <c r="P10" s="7" t="s">
        <v>60</v>
      </c>
      <c r="Q10" s="7" t="s">
        <v>50</v>
      </c>
      <c r="R10" s="7">
        <v>312.99999600000001</v>
      </c>
      <c r="S10" s="7">
        <v>199.99999199999999</v>
      </c>
      <c r="T10" s="7">
        <v>513</v>
      </c>
      <c r="U10" s="7">
        <v>313</v>
      </c>
      <c r="V10" s="7" t="s">
        <v>438</v>
      </c>
      <c r="W10" s="7" t="s">
        <v>435</v>
      </c>
    </row>
    <row r="11" spans="1:23" x14ac:dyDescent="0.2">
      <c r="A11" s="6">
        <v>45674</v>
      </c>
      <c r="B11" s="7">
        <v>7146581</v>
      </c>
      <c r="C11" s="7" t="s">
        <v>95</v>
      </c>
      <c r="D11" s="7" t="s">
        <v>155</v>
      </c>
      <c r="E11" s="7" t="str">
        <f>CONCATENATE(D11,8)</f>
        <v>D3YF2S8</v>
      </c>
      <c r="F11" s="7" t="s">
        <v>157</v>
      </c>
      <c r="G11" s="7" t="s">
        <v>158</v>
      </c>
      <c r="H11" s="7" t="str">
        <f>CONCATENATE(F11, " ", G11)</f>
        <v>PAMM WILCOX</v>
      </c>
      <c r="I11" s="7" t="s">
        <v>57</v>
      </c>
      <c r="J11" s="6">
        <v>45591</v>
      </c>
      <c r="K11" s="6">
        <f>DATE(YEAR(J11), MONTH(J11), DAY(1))</f>
        <v>45566</v>
      </c>
      <c r="L11" s="8">
        <v>45658</v>
      </c>
      <c r="M11" s="6">
        <f>DATE(YEAR(K11), MONTH(K11) +1, DAY(K11))</f>
        <v>45597</v>
      </c>
      <c r="N11" s="7" t="s">
        <v>0</v>
      </c>
      <c r="O11" s="7" t="s">
        <v>59</v>
      </c>
      <c r="P11" s="7" t="s">
        <v>60</v>
      </c>
      <c r="Q11" s="7" t="s">
        <v>50</v>
      </c>
      <c r="R11" s="7">
        <v>312.99999600000001</v>
      </c>
      <c r="S11" s="7">
        <v>199.99999199999999</v>
      </c>
      <c r="T11" s="7">
        <v>513</v>
      </c>
      <c r="U11" s="7">
        <v>313</v>
      </c>
      <c r="V11" s="7" t="s">
        <v>438</v>
      </c>
      <c r="W11" s="7" t="s">
        <v>435</v>
      </c>
    </row>
    <row r="12" spans="1:23" x14ac:dyDescent="0.2">
      <c r="A12" s="6">
        <v>45674</v>
      </c>
      <c r="B12" s="7">
        <v>7146581</v>
      </c>
      <c r="C12" s="7" t="s">
        <v>95</v>
      </c>
      <c r="D12" s="7" t="s">
        <v>222</v>
      </c>
      <c r="E12" s="7" t="str">
        <f>CONCATENATE(D12,8)</f>
        <v>DA4WEU8</v>
      </c>
      <c r="F12" s="7" t="s">
        <v>224</v>
      </c>
      <c r="G12" s="7" t="s">
        <v>225</v>
      </c>
      <c r="H12" s="7" t="str">
        <f>CONCATENATE(F12, " ", G12)</f>
        <v>LOIS BARNES</v>
      </c>
      <c r="I12" s="7" t="s">
        <v>57</v>
      </c>
      <c r="J12" s="6">
        <v>45599</v>
      </c>
      <c r="K12" s="6">
        <f>DATE(YEAR(J12), MONTH(J12), DAY(1))</f>
        <v>45597</v>
      </c>
      <c r="L12" s="8">
        <v>45658</v>
      </c>
      <c r="M12" s="6">
        <f>DATE(YEAR(K12), MONTH(K12) +1, DAY(K12))</f>
        <v>45627</v>
      </c>
      <c r="N12" s="7" t="s">
        <v>0</v>
      </c>
      <c r="O12" s="7" t="s">
        <v>59</v>
      </c>
      <c r="P12" s="7" t="s">
        <v>60</v>
      </c>
      <c r="Q12" s="7" t="s">
        <v>50</v>
      </c>
      <c r="R12" s="7">
        <v>312.99999600000001</v>
      </c>
      <c r="S12" s="7">
        <v>199.99999199999999</v>
      </c>
      <c r="T12" s="7">
        <v>513</v>
      </c>
      <c r="U12" s="7">
        <v>313</v>
      </c>
      <c r="V12" s="7" t="s">
        <v>438</v>
      </c>
      <c r="W12" s="7" t="s">
        <v>435</v>
      </c>
    </row>
    <row r="13" spans="1:23" x14ac:dyDescent="0.2">
      <c r="A13" s="6">
        <v>45674</v>
      </c>
      <c r="B13" s="7">
        <v>7146581</v>
      </c>
      <c r="C13" s="7" t="s">
        <v>95</v>
      </c>
      <c r="D13" s="7" t="s">
        <v>243</v>
      </c>
      <c r="E13" s="7" t="str">
        <f>CONCATENATE(D13,8)</f>
        <v>DC25A58</v>
      </c>
      <c r="F13" s="7" t="s">
        <v>245</v>
      </c>
      <c r="G13" s="7" t="s">
        <v>246</v>
      </c>
      <c r="H13" s="7" t="str">
        <f>CONCATENATE(F13, " ", G13)</f>
        <v>MANUEL CASTRO GARCIA</v>
      </c>
      <c r="I13" s="7" t="s">
        <v>57</v>
      </c>
      <c r="J13" s="6">
        <v>45604</v>
      </c>
      <c r="K13" s="6">
        <f>DATE(YEAR(J13), MONTH(J13), DAY(1))</f>
        <v>45597</v>
      </c>
      <c r="L13" s="8">
        <v>45658</v>
      </c>
      <c r="M13" s="6">
        <f>DATE(YEAR(K13), MONTH(K13) +1, DAY(K13))</f>
        <v>45627</v>
      </c>
      <c r="N13" s="7" t="s">
        <v>0</v>
      </c>
      <c r="O13" s="7" t="s">
        <v>59</v>
      </c>
      <c r="P13" s="7" t="s">
        <v>60</v>
      </c>
      <c r="Q13" s="7" t="s">
        <v>50</v>
      </c>
      <c r="R13" s="7">
        <v>312.99999600000001</v>
      </c>
      <c r="S13" s="7">
        <v>199.99999199999999</v>
      </c>
      <c r="T13" s="7">
        <v>513</v>
      </c>
      <c r="U13" s="7">
        <v>313</v>
      </c>
      <c r="V13" s="7" t="s">
        <v>438</v>
      </c>
      <c r="W13" s="7" t="s">
        <v>435</v>
      </c>
    </row>
    <row r="14" spans="1:23" x14ac:dyDescent="0.2">
      <c r="A14" s="6">
        <v>45674</v>
      </c>
      <c r="B14" s="7">
        <v>7146581</v>
      </c>
      <c r="C14" s="7" t="s">
        <v>95</v>
      </c>
      <c r="D14" s="7" t="s">
        <v>239</v>
      </c>
      <c r="E14" s="7" t="str">
        <f>CONCATENATE(D14,8)</f>
        <v>D8KF978</v>
      </c>
      <c r="F14" s="7" t="s">
        <v>241</v>
      </c>
      <c r="G14" s="7" t="s">
        <v>242</v>
      </c>
      <c r="H14" s="7" t="str">
        <f>CONCATENATE(F14, " ", G14)</f>
        <v>BONNIE RIESER</v>
      </c>
      <c r="I14" s="7" t="s">
        <v>57</v>
      </c>
      <c r="J14" s="6">
        <v>45604</v>
      </c>
      <c r="K14" s="6">
        <f>DATE(YEAR(J14), MONTH(J14), DAY(1))</f>
        <v>45597</v>
      </c>
      <c r="L14" s="8">
        <v>45658</v>
      </c>
      <c r="M14" s="6">
        <f>DATE(YEAR(K14), MONTH(K14) +1, DAY(K14))</f>
        <v>45627</v>
      </c>
      <c r="N14" s="7" t="s">
        <v>0</v>
      </c>
      <c r="O14" s="7" t="s">
        <v>59</v>
      </c>
      <c r="P14" s="7" t="s">
        <v>60</v>
      </c>
      <c r="Q14" s="7" t="s">
        <v>50</v>
      </c>
      <c r="R14" s="7">
        <v>312.99999600000001</v>
      </c>
      <c r="S14" s="7">
        <v>199.99999199999999</v>
      </c>
      <c r="T14" s="7">
        <v>513</v>
      </c>
      <c r="U14" s="7">
        <v>313</v>
      </c>
      <c r="V14" s="7" t="s">
        <v>438</v>
      </c>
      <c r="W14" s="7" t="s">
        <v>435</v>
      </c>
    </row>
    <row r="15" spans="1:23" x14ac:dyDescent="0.2">
      <c r="A15" s="6">
        <v>45674</v>
      </c>
      <c r="B15" s="7">
        <v>7146581</v>
      </c>
      <c r="C15" s="7" t="s">
        <v>95</v>
      </c>
      <c r="D15" s="7" t="s">
        <v>247</v>
      </c>
      <c r="E15" s="7" t="str">
        <f>CONCATENATE(D15,8)</f>
        <v>DRRU7R8</v>
      </c>
      <c r="F15" s="7" t="s">
        <v>249</v>
      </c>
      <c r="G15" s="7" t="s">
        <v>250</v>
      </c>
      <c r="H15" s="7" t="str">
        <f>CONCATENATE(F15, " ", G15)</f>
        <v>ELIZABETH ROSARIO</v>
      </c>
      <c r="I15" s="7" t="s">
        <v>57</v>
      </c>
      <c r="J15" s="6">
        <v>45604</v>
      </c>
      <c r="K15" s="6">
        <f>DATE(YEAR(J15), MONTH(J15), DAY(1))</f>
        <v>45597</v>
      </c>
      <c r="L15" s="8">
        <v>45658</v>
      </c>
      <c r="M15" s="6">
        <f>DATE(YEAR(K15), MONTH(K15) +1, DAY(K15))</f>
        <v>45627</v>
      </c>
      <c r="N15" s="7" t="s">
        <v>0</v>
      </c>
      <c r="O15" s="7" t="s">
        <v>59</v>
      </c>
      <c r="P15" s="7" t="s">
        <v>60</v>
      </c>
      <c r="Q15" s="7" t="s">
        <v>50</v>
      </c>
      <c r="R15" s="7">
        <v>312.99999600000001</v>
      </c>
      <c r="S15" s="7">
        <v>199.99999199999999</v>
      </c>
      <c r="T15" s="7">
        <v>513</v>
      </c>
      <c r="U15" s="7">
        <v>313</v>
      </c>
      <c r="V15" s="7" t="s">
        <v>438</v>
      </c>
      <c r="W15" s="7" t="s">
        <v>435</v>
      </c>
    </row>
    <row r="16" spans="1:23" x14ac:dyDescent="0.2">
      <c r="A16" s="6">
        <v>45674</v>
      </c>
      <c r="B16" s="7">
        <v>7146581</v>
      </c>
      <c r="C16" s="7" t="s">
        <v>95</v>
      </c>
      <c r="D16" s="7" t="s">
        <v>295</v>
      </c>
      <c r="E16" s="7" t="str">
        <f>CONCATENATE(D16,8)</f>
        <v>DJJ9HY8</v>
      </c>
      <c r="F16" s="7" t="s">
        <v>297</v>
      </c>
      <c r="G16" s="7" t="s">
        <v>298</v>
      </c>
      <c r="H16" s="7" t="str">
        <f>CONCATENATE(F16, " ", G16)</f>
        <v>MARK STEPHANO</v>
      </c>
      <c r="I16" s="7" t="s">
        <v>57</v>
      </c>
      <c r="J16" s="6">
        <v>45614</v>
      </c>
      <c r="K16" s="6">
        <f>DATE(YEAR(J16), MONTH(J16), DAY(1))</f>
        <v>45597</v>
      </c>
      <c r="L16" s="8">
        <v>45658</v>
      </c>
      <c r="M16" s="6">
        <f>DATE(YEAR(K16), MONTH(K16) +1, DAY(K16))</f>
        <v>45627</v>
      </c>
      <c r="N16" s="7" t="s">
        <v>0</v>
      </c>
      <c r="O16" s="7" t="s">
        <v>59</v>
      </c>
      <c r="P16" s="7" t="s">
        <v>60</v>
      </c>
      <c r="Q16" s="7" t="s">
        <v>50</v>
      </c>
      <c r="R16" s="7">
        <v>312.99999600000001</v>
      </c>
      <c r="S16" s="7">
        <v>199.99999199999999</v>
      </c>
      <c r="T16" s="7">
        <v>513</v>
      </c>
      <c r="U16" s="7">
        <v>313</v>
      </c>
      <c r="V16" s="7" t="s">
        <v>438</v>
      </c>
      <c r="W16" s="7" t="s">
        <v>435</v>
      </c>
    </row>
    <row r="17" spans="1:23" x14ac:dyDescent="0.2">
      <c r="A17" s="6">
        <v>45674</v>
      </c>
      <c r="B17" s="7">
        <v>7146581</v>
      </c>
      <c r="C17" s="7" t="s">
        <v>95</v>
      </c>
      <c r="D17" s="7" t="s">
        <v>334</v>
      </c>
      <c r="E17" s="7" t="str">
        <f>CONCATENATE(D17,8)</f>
        <v>D3H8U88</v>
      </c>
      <c r="F17" s="7" t="s">
        <v>336</v>
      </c>
      <c r="G17" s="7" t="s">
        <v>337</v>
      </c>
      <c r="H17" s="7" t="str">
        <f>CONCATENATE(F17, " ", G17)</f>
        <v>ANTHONY PILOLLA</v>
      </c>
      <c r="I17" s="7" t="s">
        <v>57</v>
      </c>
      <c r="J17" s="6">
        <v>45620</v>
      </c>
      <c r="K17" s="6">
        <f>DATE(YEAR(J17), MONTH(J17), DAY(1))</f>
        <v>45597</v>
      </c>
      <c r="L17" s="8">
        <v>45658</v>
      </c>
      <c r="M17" s="6">
        <f>DATE(YEAR(K17), MONTH(K17) +1, DAY(K17))</f>
        <v>45627</v>
      </c>
      <c r="N17" s="7" t="s">
        <v>0</v>
      </c>
      <c r="O17" s="7" t="s">
        <v>59</v>
      </c>
      <c r="P17" s="7" t="s">
        <v>60</v>
      </c>
      <c r="Q17" s="7" t="s">
        <v>50</v>
      </c>
      <c r="R17" s="7">
        <v>312.99999600000001</v>
      </c>
      <c r="S17" s="7">
        <v>199.99999199999999</v>
      </c>
      <c r="T17" s="7">
        <v>513</v>
      </c>
      <c r="U17" s="7">
        <v>313</v>
      </c>
      <c r="V17" s="7" t="s">
        <v>438</v>
      </c>
      <c r="W17" s="7" t="s">
        <v>435</v>
      </c>
    </row>
    <row r="18" spans="1:23" x14ac:dyDescent="0.2">
      <c r="A18" s="6">
        <v>45674</v>
      </c>
      <c r="B18" s="7">
        <v>7146581</v>
      </c>
      <c r="C18" s="7" t="s">
        <v>95</v>
      </c>
      <c r="D18" s="7" t="s">
        <v>105</v>
      </c>
      <c r="E18" s="7" t="str">
        <f>CONCATENATE(D18,8)</f>
        <v>D77WRJ8</v>
      </c>
      <c r="F18" s="7" t="s">
        <v>107</v>
      </c>
      <c r="G18" s="7" t="s">
        <v>108</v>
      </c>
      <c r="H18" s="7" t="str">
        <f>CONCATENATE(F18, " ", G18)</f>
        <v>ANDREW FERNANDEZ</v>
      </c>
      <c r="I18" s="7" t="s">
        <v>57</v>
      </c>
      <c r="J18" s="6">
        <v>45584</v>
      </c>
      <c r="K18" s="6">
        <f>DATE(YEAR(J18), MONTH(J18), DAY(1))</f>
        <v>45566</v>
      </c>
      <c r="L18" s="8">
        <v>45658</v>
      </c>
      <c r="M18" s="6">
        <f>DATE(YEAR(K18), MONTH(K18) +1, DAY(K18))</f>
        <v>45597</v>
      </c>
      <c r="N18" s="7" t="s">
        <v>0</v>
      </c>
      <c r="O18" s="7" t="s">
        <v>109</v>
      </c>
      <c r="P18" s="7" t="s">
        <v>49</v>
      </c>
      <c r="Q18" s="7" t="s">
        <v>50</v>
      </c>
      <c r="R18" s="7">
        <v>625.99999200000002</v>
      </c>
      <c r="S18" s="7">
        <v>199.99999199999999</v>
      </c>
      <c r="T18" s="7">
        <v>826</v>
      </c>
      <c r="U18" s="7">
        <v>626</v>
      </c>
      <c r="V18" s="7" t="s">
        <v>439</v>
      </c>
    </row>
    <row r="19" spans="1:23" x14ac:dyDescent="0.2">
      <c r="A19" s="6">
        <v>45674</v>
      </c>
      <c r="B19" s="7">
        <v>7146581</v>
      </c>
      <c r="C19" s="7" t="s">
        <v>95</v>
      </c>
      <c r="D19" s="7" t="s">
        <v>282</v>
      </c>
      <c r="E19" s="7" t="str">
        <f>CONCATENATE(D19,8)</f>
        <v>DAR4728</v>
      </c>
      <c r="F19" s="7" t="s">
        <v>153</v>
      </c>
      <c r="G19" s="7" t="s">
        <v>284</v>
      </c>
      <c r="H19" s="7" t="str">
        <f>CONCATENATE(F19, " ", G19)</f>
        <v>MARY RACS</v>
      </c>
      <c r="I19" s="7" t="s">
        <v>57</v>
      </c>
      <c r="J19" s="6">
        <v>45610</v>
      </c>
      <c r="K19" s="6">
        <f>DATE(YEAR(J19), MONTH(J19), DAY(1))</f>
        <v>45597</v>
      </c>
      <c r="L19" s="8">
        <v>45658</v>
      </c>
      <c r="M19" s="6">
        <f>DATE(YEAR(K19), MONTH(K19) +1, DAY(K19))</f>
        <v>45627</v>
      </c>
      <c r="N19" s="7" t="s">
        <v>0</v>
      </c>
      <c r="O19" s="7" t="s">
        <v>109</v>
      </c>
      <c r="P19" s="7" t="s">
        <v>49</v>
      </c>
      <c r="Q19" s="7" t="s">
        <v>50</v>
      </c>
      <c r="R19" s="7">
        <v>625.99999200000002</v>
      </c>
      <c r="S19" s="7">
        <v>199.99999199999999</v>
      </c>
      <c r="T19" s="7">
        <v>826</v>
      </c>
      <c r="U19" s="7">
        <v>626</v>
      </c>
      <c r="V19" s="7" t="s">
        <v>439</v>
      </c>
    </row>
    <row r="20" spans="1:23" x14ac:dyDescent="0.2">
      <c r="A20" s="6">
        <v>45674</v>
      </c>
      <c r="B20" s="7">
        <v>19586992</v>
      </c>
      <c r="C20" s="7" t="s">
        <v>52</v>
      </c>
      <c r="D20" s="7" t="s">
        <v>53</v>
      </c>
      <c r="E20" s="7" t="str">
        <f>CONCATENATE(D20,8)</f>
        <v>DC3EKR8</v>
      </c>
      <c r="F20" s="7" t="s">
        <v>55</v>
      </c>
      <c r="G20" s="7" t="s">
        <v>56</v>
      </c>
      <c r="H20" s="7" t="str">
        <f>CONCATENATE(F20, " ", G20)</f>
        <v>DEBRA MURPHY</v>
      </c>
      <c r="I20" s="7" t="s">
        <v>57</v>
      </c>
      <c r="J20" s="6">
        <v>45580</v>
      </c>
      <c r="K20" s="6">
        <f>DATE(YEAR(J20), MONTH(J20), DAY(1))</f>
        <v>45566</v>
      </c>
      <c r="L20" s="8">
        <v>45658</v>
      </c>
      <c r="M20" s="6">
        <f>DATE(YEAR(K20), MONTH(K20) +1, DAY(K20))</f>
        <v>45597</v>
      </c>
      <c r="N20" s="7" t="s">
        <v>0</v>
      </c>
      <c r="O20" s="7" t="s">
        <v>59</v>
      </c>
      <c r="P20" s="7" t="s">
        <v>60</v>
      </c>
      <c r="Q20" s="7" t="s">
        <v>50</v>
      </c>
      <c r="R20" s="7">
        <v>312.99999600000001</v>
      </c>
      <c r="S20" s="7">
        <v>199.99999199999999</v>
      </c>
      <c r="T20" s="7">
        <v>513</v>
      </c>
      <c r="U20" s="7">
        <v>313</v>
      </c>
      <c r="V20" s="7" t="s">
        <v>438</v>
      </c>
      <c r="W20" s="7" t="s">
        <v>435</v>
      </c>
    </row>
    <row r="21" spans="1:23" x14ac:dyDescent="0.2">
      <c r="A21" s="6">
        <v>45674</v>
      </c>
      <c r="B21" s="7">
        <v>19586992</v>
      </c>
      <c r="C21" s="7" t="s">
        <v>52</v>
      </c>
      <c r="D21" s="7" t="s">
        <v>114</v>
      </c>
      <c r="E21" s="7" t="str">
        <f>CONCATENATE(D21,8)</f>
        <v>DSF4K78</v>
      </c>
      <c r="F21" s="7" t="s">
        <v>116</v>
      </c>
      <c r="G21" s="7" t="s">
        <v>117</v>
      </c>
      <c r="H21" s="7" t="str">
        <f>CONCATENATE(F21, " ", G21)</f>
        <v>CANDACE DOBRINO</v>
      </c>
      <c r="I21" s="7" t="s">
        <v>57</v>
      </c>
      <c r="J21" s="6">
        <v>45584</v>
      </c>
      <c r="K21" s="6">
        <f>DATE(YEAR(J21), MONTH(J21), DAY(1))</f>
        <v>45566</v>
      </c>
      <c r="L21" s="8">
        <v>45658</v>
      </c>
      <c r="M21" s="6">
        <f>DATE(YEAR(K21), MONTH(K21) +1, DAY(K21))</f>
        <v>45597</v>
      </c>
      <c r="N21" s="7" t="s">
        <v>0</v>
      </c>
      <c r="O21" s="7" t="s">
        <v>59</v>
      </c>
      <c r="P21" s="7" t="s">
        <v>60</v>
      </c>
      <c r="Q21" s="7" t="s">
        <v>50</v>
      </c>
      <c r="R21" s="7">
        <v>312.99999600000001</v>
      </c>
      <c r="S21" s="7">
        <v>199.99999199999999</v>
      </c>
      <c r="T21" s="7">
        <v>513</v>
      </c>
      <c r="U21" s="7">
        <v>313</v>
      </c>
      <c r="V21" s="7" t="s">
        <v>438</v>
      </c>
      <c r="W21" s="7" t="s">
        <v>435</v>
      </c>
    </row>
    <row r="22" spans="1:23" x14ac:dyDescent="0.2">
      <c r="A22" s="6">
        <v>45674</v>
      </c>
      <c r="B22" s="7">
        <v>19586992</v>
      </c>
      <c r="C22" s="7" t="s">
        <v>52</v>
      </c>
      <c r="D22" s="7" t="s">
        <v>118</v>
      </c>
      <c r="E22" s="7" t="str">
        <f>CONCATENATE(D22,8)</f>
        <v>D3W8UJ8</v>
      </c>
      <c r="F22" s="7" t="s">
        <v>120</v>
      </c>
      <c r="G22" s="7" t="s">
        <v>121</v>
      </c>
      <c r="H22" s="7" t="str">
        <f>CONCATENATE(F22, " ", G22)</f>
        <v>SALLY FERMAINT</v>
      </c>
      <c r="I22" s="7" t="s">
        <v>57</v>
      </c>
      <c r="J22" s="6">
        <v>45586</v>
      </c>
      <c r="K22" s="6">
        <f>DATE(YEAR(J22), MONTH(J22), DAY(1))</f>
        <v>45566</v>
      </c>
      <c r="L22" s="8">
        <v>45658</v>
      </c>
      <c r="M22" s="6">
        <f>DATE(YEAR(K22), MONTH(K22) +1, DAY(K22))</f>
        <v>45597</v>
      </c>
      <c r="N22" s="7" t="s">
        <v>0</v>
      </c>
      <c r="O22" s="7" t="s">
        <v>59</v>
      </c>
      <c r="P22" s="7" t="s">
        <v>60</v>
      </c>
      <c r="Q22" s="7" t="s">
        <v>50</v>
      </c>
      <c r="R22" s="7">
        <v>312.99999600000001</v>
      </c>
      <c r="S22" s="7">
        <v>199.99999199999999</v>
      </c>
      <c r="T22" s="7">
        <v>513</v>
      </c>
      <c r="U22" s="7">
        <v>313</v>
      </c>
      <c r="V22" s="7" t="s">
        <v>438</v>
      </c>
      <c r="W22" s="7" t="s">
        <v>435</v>
      </c>
    </row>
    <row r="23" spans="1:23" x14ac:dyDescent="0.2">
      <c r="A23" s="6">
        <v>45674</v>
      </c>
      <c r="B23" s="7">
        <v>19586992</v>
      </c>
      <c r="C23" s="7" t="s">
        <v>52</v>
      </c>
      <c r="D23" s="7" t="s">
        <v>151</v>
      </c>
      <c r="E23" s="7" t="str">
        <f>CONCATENATE(D23,8)</f>
        <v>DA5EJF8</v>
      </c>
      <c r="F23" s="7" t="s">
        <v>153</v>
      </c>
      <c r="G23" s="7" t="s">
        <v>154</v>
      </c>
      <c r="H23" s="7" t="str">
        <f>CONCATENATE(F23, " ", G23)</f>
        <v>MARY CARFAGNINI</v>
      </c>
      <c r="I23" s="7" t="s">
        <v>57</v>
      </c>
      <c r="J23" s="6">
        <v>45590</v>
      </c>
      <c r="K23" s="6">
        <f>DATE(YEAR(J23), MONTH(J23), DAY(1))</f>
        <v>45566</v>
      </c>
      <c r="L23" s="8">
        <v>45658</v>
      </c>
      <c r="M23" s="6">
        <f>DATE(YEAR(K23), MONTH(K23) +1, DAY(K23))</f>
        <v>45597</v>
      </c>
      <c r="N23" s="7" t="s">
        <v>0</v>
      </c>
      <c r="O23" s="7" t="s">
        <v>59</v>
      </c>
      <c r="P23" s="7" t="s">
        <v>60</v>
      </c>
      <c r="Q23" s="7" t="s">
        <v>50</v>
      </c>
      <c r="R23" s="7">
        <v>312.99999600000001</v>
      </c>
      <c r="S23" s="7">
        <v>199.99999199999999</v>
      </c>
      <c r="T23" s="7">
        <v>513</v>
      </c>
      <c r="U23" s="7">
        <v>313</v>
      </c>
      <c r="V23" s="7" t="s">
        <v>438</v>
      </c>
      <c r="W23" s="7" t="s">
        <v>435</v>
      </c>
    </row>
    <row r="24" spans="1:23" x14ac:dyDescent="0.2">
      <c r="A24" s="6">
        <v>45674</v>
      </c>
      <c r="B24" s="7">
        <v>19586992</v>
      </c>
      <c r="C24" s="7" t="s">
        <v>52</v>
      </c>
      <c r="D24" s="7" t="s">
        <v>322</v>
      </c>
      <c r="E24" s="7" t="str">
        <f>CONCATENATE(D24,8)</f>
        <v>DZK78H8</v>
      </c>
      <c r="F24" s="7" t="s">
        <v>324</v>
      </c>
      <c r="G24" s="7" t="s">
        <v>325</v>
      </c>
      <c r="H24" s="7" t="str">
        <f>CONCATENATE(F24, " ", G24)</f>
        <v>JANE GREENFIELD</v>
      </c>
      <c r="I24" s="7" t="s">
        <v>57</v>
      </c>
      <c r="J24" s="6">
        <v>45617</v>
      </c>
      <c r="K24" s="6">
        <f>DATE(YEAR(J24), MONTH(J24), DAY(1))</f>
        <v>45597</v>
      </c>
      <c r="L24" s="8">
        <v>45658</v>
      </c>
      <c r="M24" s="6">
        <f>DATE(YEAR(K24), MONTH(K24) +1, DAY(K24))</f>
        <v>45627</v>
      </c>
      <c r="N24" s="7" t="s">
        <v>0</v>
      </c>
      <c r="O24" s="7" t="s">
        <v>59</v>
      </c>
      <c r="P24" s="7" t="s">
        <v>60</v>
      </c>
      <c r="Q24" s="7" t="s">
        <v>50</v>
      </c>
      <c r="R24" s="7">
        <v>312.99999600000001</v>
      </c>
      <c r="S24" s="7">
        <v>199.99999199999999</v>
      </c>
      <c r="T24" s="7">
        <v>513</v>
      </c>
      <c r="U24" s="7">
        <v>313</v>
      </c>
      <c r="V24" s="7" t="s">
        <v>438</v>
      </c>
      <c r="W24" s="7" t="s">
        <v>435</v>
      </c>
    </row>
    <row r="25" spans="1:23" x14ac:dyDescent="0.2">
      <c r="A25" s="6">
        <v>45674</v>
      </c>
      <c r="B25" s="7">
        <v>19586992</v>
      </c>
      <c r="C25" s="7" t="s">
        <v>52</v>
      </c>
      <c r="D25" s="7" t="s">
        <v>406</v>
      </c>
      <c r="E25" s="7" t="str">
        <f>CONCATENATE(D25,8)</f>
        <v>DAJ3ER8</v>
      </c>
      <c r="F25" s="7" t="s">
        <v>408</v>
      </c>
      <c r="G25" s="7" t="s">
        <v>409</v>
      </c>
      <c r="H25" s="7" t="str">
        <f>CONCATENATE(F25, " ", G25)</f>
        <v>BETTY MCKENNIE</v>
      </c>
      <c r="I25" s="7" t="s">
        <v>57</v>
      </c>
      <c r="J25" s="6">
        <v>45632</v>
      </c>
      <c r="K25" s="6">
        <f>DATE(YEAR(J25), MONTH(J25), DAY(1))</f>
        <v>45627</v>
      </c>
      <c r="L25" s="8">
        <v>45658</v>
      </c>
      <c r="M25" s="6">
        <f>DATE(YEAR(K25), MONTH(K25) +1, DAY(K25))</f>
        <v>45658</v>
      </c>
      <c r="N25" s="7" t="s">
        <v>0</v>
      </c>
      <c r="O25" s="7" t="s">
        <v>59</v>
      </c>
      <c r="P25" s="7" t="s">
        <v>60</v>
      </c>
      <c r="Q25" s="7" t="s">
        <v>50</v>
      </c>
      <c r="R25" s="7">
        <v>312.99999600000001</v>
      </c>
      <c r="S25" s="7">
        <v>199.99999199999999</v>
      </c>
      <c r="T25" s="7">
        <v>513</v>
      </c>
      <c r="U25" s="7">
        <v>313</v>
      </c>
      <c r="V25" s="7" t="s">
        <v>438</v>
      </c>
      <c r="W25" s="7" t="s">
        <v>435</v>
      </c>
    </row>
    <row r="26" spans="1:23" x14ac:dyDescent="0.2">
      <c r="A26" s="6">
        <v>45674</v>
      </c>
      <c r="B26" s="7">
        <v>19586992</v>
      </c>
      <c r="C26" s="7" t="s">
        <v>52</v>
      </c>
      <c r="D26" s="7" t="s">
        <v>410</v>
      </c>
      <c r="E26" s="7" t="str">
        <f>CONCATENATE(D26,8)</f>
        <v>DJFA7R8</v>
      </c>
      <c r="F26" s="7" t="s">
        <v>412</v>
      </c>
      <c r="G26" s="7" t="s">
        <v>409</v>
      </c>
      <c r="H26" s="7" t="str">
        <f>CONCATENATE(F26, " ", G26)</f>
        <v>CLIFTON MCKENNIE</v>
      </c>
      <c r="I26" s="7" t="s">
        <v>57</v>
      </c>
      <c r="J26" s="6">
        <v>45632</v>
      </c>
      <c r="K26" s="6">
        <f>DATE(YEAR(J26), MONTH(J26), DAY(1))</f>
        <v>45627</v>
      </c>
      <c r="L26" s="8">
        <v>45658</v>
      </c>
      <c r="M26" s="6">
        <f>DATE(YEAR(K26), MONTH(K26) +1, DAY(K26))</f>
        <v>45658</v>
      </c>
      <c r="N26" s="7" t="s">
        <v>0</v>
      </c>
      <c r="O26" s="7" t="s">
        <v>59</v>
      </c>
      <c r="P26" s="7" t="s">
        <v>60</v>
      </c>
      <c r="Q26" s="7" t="s">
        <v>50</v>
      </c>
      <c r="R26" s="7">
        <v>312.99999600000001</v>
      </c>
      <c r="S26" s="7">
        <v>199.99999199999999</v>
      </c>
      <c r="T26" s="7">
        <v>513</v>
      </c>
      <c r="U26" s="7">
        <v>313</v>
      </c>
      <c r="V26" s="7" t="s">
        <v>438</v>
      </c>
      <c r="W26" s="7" t="s">
        <v>435</v>
      </c>
    </row>
    <row r="27" spans="1:23" x14ac:dyDescent="0.2">
      <c r="A27" s="6">
        <v>45674</v>
      </c>
      <c r="B27" s="7">
        <v>19586992</v>
      </c>
      <c r="C27" s="7" t="s">
        <v>52</v>
      </c>
      <c r="D27" s="7" t="s">
        <v>264</v>
      </c>
      <c r="E27" s="7" t="str">
        <f>CONCATENATE(D27,8)</f>
        <v>D2E9C88</v>
      </c>
      <c r="F27" s="7" t="s">
        <v>266</v>
      </c>
      <c r="G27" s="7" t="s">
        <v>267</v>
      </c>
      <c r="H27" s="7" t="str">
        <f>CONCATENATE(F27, " ", G27)</f>
        <v>WALTER BECKMAN</v>
      </c>
      <c r="I27" s="7" t="s">
        <v>57</v>
      </c>
      <c r="J27" s="6">
        <v>45609</v>
      </c>
      <c r="K27" s="6">
        <f>DATE(YEAR(J27), MONTH(J27), DAY(1))</f>
        <v>45597</v>
      </c>
      <c r="L27" s="8">
        <v>45658</v>
      </c>
      <c r="M27" s="6">
        <f>DATE(YEAR(K27), MONTH(K27) +1, DAY(K27))</f>
        <v>45627</v>
      </c>
      <c r="N27" s="7" t="s">
        <v>0</v>
      </c>
      <c r="O27" s="7" t="s">
        <v>72</v>
      </c>
      <c r="P27" s="7" t="s">
        <v>49</v>
      </c>
      <c r="Q27" s="7" t="s">
        <v>50</v>
      </c>
      <c r="R27" s="7">
        <v>625.99999200000002</v>
      </c>
      <c r="S27" s="7">
        <v>199.99999199999999</v>
      </c>
      <c r="T27" s="7">
        <v>826</v>
      </c>
      <c r="U27" s="7">
        <v>626</v>
      </c>
      <c r="V27" s="7" t="s">
        <v>439</v>
      </c>
    </row>
    <row r="28" spans="1:23" x14ac:dyDescent="0.2">
      <c r="A28" s="6">
        <v>45674</v>
      </c>
      <c r="B28" s="7">
        <v>19586992</v>
      </c>
      <c r="C28" s="7" t="s">
        <v>52</v>
      </c>
      <c r="D28" s="7" t="s">
        <v>268</v>
      </c>
      <c r="E28" s="7" t="str">
        <f>CONCATENATE(D28,8)</f>
        <v>DUWJJS8</v>
      </c>
      <c r="F28" s="7" t="s">
        <v>270</v>
      </c>
      <c r="G28" s="7" t="s">
        <v>267</v>
      </c>
      <c r="H28" s="7" t="str">
        <f>CONCATENATE(F28, " ", G28)</f>
        <v>ROBERTA BECKMAN</v>
      </c>
      <c r="I28" s="7" t="s">
        <v>57</v>
      </c>
      <c r="J28" s="6">
        <v>45609</v>
      </c>
      <c r="K28" s="6">
        <f>DATE(YEAR(J28), MONTH(J28), DAY(1))</f>
        <v>45597</v>
      </c>
      <c r="L28" s="8">
        <v>45658</v>
      </c>
      <c r="M28" s="6">
        <f>DATE(YEAR(K28), MONTH(K28) +1, DAY(K28))</f>
        <v>45627</v>
      </c>
      <c r="N28" s="7" t="s">
        <v>0</v>
      </c>
      <c r="O28" s="7" t="s">
        <v>72</v>
      </c>
      <c r="P28" s="7" t="s">
        <v>49</v>
      </c>
      <c r="Q28" s="7" t="s">
        <v>50</v>
      </c>
      <c r="R28" s="7">
        <v>625.99999200000002</v>
      </c>
      <c r="S28" s="7">
        <v>199.99999199999999</v>
      </c>
      <c r="T28" s="7">
        <v>826</v>
      </c>
      <c r="U28" s="7">
        <v>626</v>
      </c>
      <c r="V28" s="7" t="s">
        <v>439</v>
      </c>
    </row>
    <row r="29" spans="1:23" x14ac:dyDescent="0.2">
      <c r="A29" s="6">
        <v>45674</v>
      </c>
      <c r="B29" s="7">
        <v>19586992</v>
      </c>
      <c r="C29" s="7" t="s">
        <v>52</v>
      </c>
      <c r="D29" s="7" t="s">
        <v>318</v>
      </c>
      <c r="E29" s="7" t="str">
        <f>CONCATENATE(D29,8)</f>
        <v>DHRYRA8</v>
      </c>
      <c r="F29" s="7" t="s">
        <v>320</v>
      </c>
      <c r="G29" s="7" t="s">
        <v>321</v>
      </c>
      <c r="H29" s="7" t="str">
        <f>CONCATENATE(F29, " ", G29)</f>
        <v>CATHERINE JAMES</v>
      </c>
      <c r="I29" s="7" t="s">
        <v>57</v>
      </c>
      <c r="J29" s="6">
        <v>45617</v>
      </c>
      <c r="K29" s="6">
        <f>DATE(YEAR(J29), MONTH(J29), DAY(1))</f>
        <v>45597</v>
      </c>
      <c r="L29" s="8">
        <v>45658</v>
      </c>
      <c r="M29" s="6">
        <f>DATE(YEAR(K29), MONTH(K29) +1, DAY(K29))</f>
        <v>45627</v>
      </c>
      <c r="N29" s="7" t="s">
        <v>0</v>
      </c>
      <c r="O29" s="7" t="s">
        <v>72</v>
      </c>
      <c r="P29" s="7" t="s">
        <v>49</v>
      </c>
      <c r="Q29" s="7" t="s">
        <v>50</v>
      </c>
      <c r="R29" s="7">
        <v>625.99999200000002</v>
      </c>
      <c r="S29" s="7">
        <v>199.99999199999999</v>
      </c>
      <c r="T29" s="7">
        <v>826</v>
      </c>
      <c r="U29" s="7">
        <v>626</v>
      </c>
      <c r="V29" s="7" t="s">
        <v>439</v>
      </c>
    </row>
    <row r="30" spans="1:23" x14ac:dyDescent="0.2">
      <c r="A30" s="6">
        <v>45674</v>
      </c>
      <c r="B30" s="7">
        <v>19586992</v>
      </c>
      <c r="C30" s="7" t="s">
        <v>52</v>
      </c>
      <c r="D30" s="7" t="s">
        <v>416</v>
      </c>
      <c r="E30" s="7" t="str">
        <f>CONCATENATE(D30,8)</f>
        <v>DJGRC48</v>
      </c>
      <c r="F30" s="7" t="s">
        <v>418</v>
      </c>
      <c r="G30" s="7" t="s">
        <v>104</v>
      </c>
      <c r="H30" s="7" t="str">
        <f>CONCATENATE(F30, " ", G30)</f>
        <v>KIM SMITH</v>
      </c>
      <c r="I30" s="7" t="s">
        <v>392</v>
      </c>
      <c r="J30" s="6">
        <v>45633</v>
      </c>
      <c r="K30" s="6">
        <f>DATE(YEAR(J30), MONTH(J30), DAY(1))</f>
        <v>45627</v>
      </c>
      <c r="L30" s="8">
        <v>45658</v>
      </c>
      <c r="M30" s="6">
        <f>DATE(YEAR(K30), MONTH(K30) +1, DAY(K30))</f>
        <v>45658</v>
      </c>
      <c r="N30" s="7" t="s">
        <v>0</v>
      </c>
      <c r="O30" s="7" t="s">
        <v>109</v>
      </c>
      <c r="P30" s="7" t="s">
        <v>49</v>
      </c>
      <c r="Q30" s="7" t="s">
        <v>50</v>
      </c>
      <c r="R30" s="7">
        <v>625.99999200000002</v>
      </c>
      <c r="S30" s="7">
        <v>199.99999199999999</v>
      </c>
      <c r="T30" s="7">
        <v>826</v>
      </c>
      <c r="U30" s="7">
        <v>626</v>
      </c>
      <c r="V30" s="7" t="s">
        <v>439</v>
      </c>
    </row>
    <row r="31" spans="1:23" x14ac:dyDescent="0.2">
      <c r="A31" s="6">
        <v>45674</v>
      </c>
      <c r="B31" s="7">
        <v>19681796</v>
      </c>
      <c r="C31" s="7" t="s">
        <v>290</v>
      </c>
      <c r="D31" s="7" t="s">
        <v>291</v>
      </c>
      <c r="E31" s="7" t="str">
        <f>CONCATENATE(D31,8)</f>
        <v>D5HG7U8</v>
      </c>
      <c r="F31" s="7" t="s">
        <v>293</v>
      </c>
      <c r="G31" s="7" t="s">
        <v>294</v>
      </c>
      <c r="H31" s="7" t="str">
        <f>CONCATENATE(F31, " ", G31)</f>
        <v>WENDY SOFYANOS</v>
      </c>
      <c r="I31" s="7" t="s">
        <v>57</v>
      </c>
      <c r="J31" s="6">
        <v>45614</v>
      </c>
      <c r="K31" s="6">
        <f>DATE(YEAR(J31), MONTH(J31), DAY(1))</f>
        <v>45597</v>
      </c>
      <c r="L31" s="8">
        <v>45658</v>
      </c>
      <c r="M31" s="6">
        <f>DATE(YEAR(K31), MONTH(K31) +1, DAY(K31))</f>
        <v>45627</v>
      </c>
      <c r="N31" s="7" t="s">
        <v>0</v>
      </c>
      <c r="O31" s="7" t="s">
        <v>72</v>
      </c>
      <c r="P31" s="7" t="s">
        <v>49</v>
      </c>
      <c r="Q31" s="7" t="s">
        <v>50</v>
      </c>
      <c r="R31" s="7">
        <v>625.99999200000002</v>
      </c>
      <c r="S31" s="7">
        <v>199.99999199999999</v>
      </c>
      <c r="T31" s="7">
        <v>826</v>
      </c>
      <c r="U31" s="7">
        <v>626</v>
      </c>
      <c r="V31" s="7" t="s">
        <v>439</v>
      </c>
    </row>
    <row r="32" spans="1:23" x14ac:dyDescent="0.2">
      <c r="A32" s="6">
        <v>45674</v>
      </c>
      <c r="B32" s="7">
        <v>17301495</v>
      </c>
      <c r="C32" s="7" t="s">
        <v>141</v>
      </c>
      <c r="D32" s="7" t="s">
        <v>142</v>
      </c>
      <c r="E32" s="7" t="str">
        <f>CONCATENATE(D32,8)</f>
        <v>DZ25A68</v>
      </c>
      <c r="F32" s="7" t="s">
        <v>144</v>
      </c>
      <c r="G32" s="7" t="s">
        <v>145</v>
      </c>
      <c r="H32" s="7" t="str">
        <f>CONCATENATE(F32, " ", G32)</f>
        <v>KAREEMA ABDUL FARMER</v>
      </c>
      <c r="I32" s="7" t="s">
        <v>57</v>
      </c>
      <c r="J32" s="6">
        <v>45588</v>
      </c>
      <c r="K32" s="6">
        <f>DATE(YEAR(J32), MONTH(J32), DAY(1))</f>
        <v>45566</v>
      </c>
      <c r="L32" s="8">
        <v>45658</v>
      </c>
      <c r="M32" s="6">
        <f>DATE(YEAR(K32), MONTH(K32) +1, DAY(K32))</f>
        <v>45597</v>
      </c>
      <c r="N32" s="7" t="s">
        <v>0</v>
      </c>
      <c r="O32" s="7" t="s">
        <v>59</v>
      </c>
      <c r="P32" s="7" t="s">
        <v>60</v>
      </c>
      <c r="Q32" s="7" t="s">
        <v>50</v>
      </c>
      <c r="R32" s="7">
        <v>312.99999600000001</v>
      </c>
      <c r="S32" s="7">
        <v>199.99999199999999</v>
      </c>
      <c r="T32" s="7">
        <v>513</v>
      </c>
      <c r="U32" s="7">
        <v>313</v>
      </c>
      <c r="V32" s="7" t="s">
        <v>438</v>
      </c>
      <c r="W32" s="7" t="s">
        <v>435</v>
      </c>
    </row>
    <row r="33" spans="1:23" x14ac:dyDescent="0.2">
      <c r="A33" s="6">
        <v>45674</v>
      </c>
      <c r="B33" s="7">
        <v>17301495</v>
      </c>
      <c r="C33" s="7" t="s">
        <v>141</v>
      </c>
      <c r="D33" s="7" t="s">
        <v>260</v>
      </c>
      <c r="E33" s="7" t="str">
        <f>CONCATENATE(D33,8)</f>
        <v>DSJR7R8</v>
      </c>
      <c r="F33" s="7" t="s">
        <v>262</v>
      </c>
      <c r="G33" s="7" t="s">
        <v>263</v>
      </c>
      <c r="H33" s="7" t="str">
        <f>CONCATENATE(F33, " ", G33)</f>
        <v>GERARDO ESPINOSA</v>
      </c>
      <c r="I33" s="7" t="s">
        <v>57</v>
      </c>
      <c r="J33" s="8">
        <v>45607</v>
      </c>
      <c r="K33" s="6">
        <f>DATE(YEAR(J33), MONTH(J33), DAY(1))</f>
        <v>45597</v>
      </c>
      <c r="L33" s="8">
        <v>45658</v>
      </c>
      <c r="M33" s="6">
        <f>DATE(YEAR(K33), MONTH(K33) +1, DAY(K33))</f>
        <v>45627</v>
      </c>
      <c r="N33" s="7" t="s">
        <v>0</v>
      </c>
      <c r="O33" s="7" t="s">
        <v>59</v>
      </c>
      <c r="P33" s="7" t="s">
        <v>60</v>
      </c>
      <c r="Q33" s="7" t="s">
        <v>50</v>
      </c>
      <c r="R33" s="7">
        <v>312.99999600000001</v>
      </c>
      <c r="S33" s="7">
        <v>199.99999199999999</v>
      </c>
      <c r="T33" s="7">
        <v>513</v>
      </c>
      <c r="U33" s="7">
        <v>313</v>
      </c>
      <c r="V33" s="7" t="s">
        <v>438</v>
      </c>
      <c r="W33" s="7" t="s">
        <v>435</v>
      </c>
    </row>
    <row r="34" spans="1:23" x14ac:dyDescent="0.2">
      <c r="A34" s="6">
        <v>45674</v>
      </c>
      <c r="B34" s="7">
        <v>17301495</v>
      </c>
      <c r="C34" s="7" t="s">
        <v>141</v>
      </c>
      <c r="D34" s="7" t="s">
        <v>271</v>
      </c>
      <c r="E34" s="7" t="str">
        <f>CONCATENATE(D34,8)</f>
        <v>D678GK8</v>
      </c>
      <c r="F34" s="7" t="s">
        <v>45</v>
      </c>
      <c r="G34" s="7" t="s">
        <v>273</v>
      </c>
      <c r="H34" s="7" t="str">
        <f>CONCATENATE(F34, " ", G34)</f>
        <v>JOHN BARONE JR</v>
      </c>
      <c r="I34" s="7" t="s">
        <v>57</v>
      </c>
      <c r="J34" s="6">
        <v>45609</v>
      </c>
      <c r="K34" s="6">
        <f>DATE(YEAR(J34), MONTH(J34), DAY(1))</f>
        <v>45597</v>
      </c>
      <c r="L34" s="8">
        <v>45658</v>
      </c>
      <c r="M34" s="6">
        <f>DATE(YEAR(K34), MONTH(K34) +1, DAY(K34))</f>
        <v>45627</v>
      </c>
      <c r="N34" s="7" t="s">
        <v>0</v>
      </c>
      <c r="O34" s="7" t="s">
        <v>109</v>
      </c>
      <c r="P34" s="7" t="s">
        <v>49</v>
      </c>
      <c r="Q34" s="7" t="s">
        <v>50</v>
      </c>
      <c r="R34" s="7">
        <v>625.99999200000002</v>
      </c>
      <c r="S34" s="7">
        <v>199.99999199999999</v>
      </c>
      <c r="T34" s="7">
        <v>826</v>
      </c>
      <c r="U34" s="7">
        <v>626</v>
      </c>
      <c r="V34" s="7" t="s">
        <v>439</v>
      </c>
    </row>
    <row r="35" spans="1:23" x14ac:dyDescent="0.2">
      <c r="A35" s="6">
        <v>45674</v>
      </c>
      <c r="B35" s="7">
        <v>17301495</v>
      </c>
      <c r="C35" s="7" t="s">
        <v>141</v>
      </c>
      <c r="D35" s="7" t="s">
        <v>378</v>
      </c>
      <c r="E35" s="7" t="str">
        <f>CONCATENATE(D35,8)</f>
        <v>DCZ6E38</v>
      </c>
      <c r="F35" s="7" t="s">
        <v>380</v>
      </c>
      <c r="G35" s="7" t="s">
        <v>381</v>
      </c>
      <c r="H35" s="7" t="str">
        <f>CONCATENATE(F35, " ", G35)</f>
        <v>HILDA HERNANDEZ</v>
      </c>
      <c r="I35" s="7" t="s">
        <v>57</v>
      </c>
      <c r="J35" s="6">
        <v>45630</v>
      </c>
      <c r="K35" s="6">
        <f>DATE(YEAR(J35), MONTH(J35), DAY(1))</f>
        <v>45627</v>
      </c>
      <c r="L35" s="8">
        <v>45658</v>
      </c>
      <c r="M35" s="6">
        <f>DATE(YEAR(K35), MONTH(K35) +1, DAY(K35))</f>
        <v>45658</v>
      </c>
      <c r="N35" s="7" t="s">
        <v>0</v>
      </c>
      <c r="O35" s="7" t="s">
        <v>109</v>
      </c>
      <c r="P35" s="7" t="s">
        <v>49</v>
      </c>
      <c r="Q35" s="7" t="s">
        <v>50</v>
      </c>
      <c r="R35" s="7">
        <v>625.99999200000002</v>
      </c>
      <c r="S35" s="7">
        <v>199.99999199999999</v>
      </c>
      <c r="T35" s="7">
        <v>826</v>
      </c>
      <c r="U35" s="7">
        <v>626</v>
      </c>
      <c r="V35" s="7" t="s">
        <v>439</v>
      </c>
    </row>
    <row r="36" spans="1:23" x14ac:dyDescent="0.2">
      <c r="A36" s="6">
        <v>45674</v>
      </c>
      <c r="B36" s="7">
        <v>8814784</v>
      </c>
      <c r="C36" s="7" t="s">
        <v>135</v>
      </c>
      <c r="D36" s="7" t="s">
        <v>136</v>
      </c>
      <c r="E36" s="7" t="str">
        <f>CONCATENATE(D36,8)</f>
        <v>D4SJK48</v>
      </c>
      <c r="F36" s="7" t="s">
        <v>138</v>
      </c>
      <c r="G36" s="7" t="s">
        <v>139</v>
      </c>
      <c r="H36" s="7" t="str">
        <f>CONCATENATE(F36, " ", G36)</f>
        <v>KAREN CHAREWICZ</v>
      </c>
      <c r="I36" s="7" t="s">
        <v>57</v>
      </c>
      <c r="J36" s="6">
        <v>45587</v>
      </c>
      <c r="K36" s="6">
        <f>DATE(YEAR(J36), MONTH(J36), DAY(1))</f>
        <v>45566</v>
      </c>
      <c r="L36" s="8">
        <v>45658</v>
      </c>
      <c r="M36" s="6">
        <f>DATE(YEAR(K36), MONTH(K36) +1, DAY(K36))</f>
        <v>45597</v>
      </c>
      <c r="N36" s="7" t="s">
        <v>0</v>
      </c>
      <c r="O36" s="7" t="s">
        <v>72</v>
      </c>
      <c r="P36" s="7" t="s">
        <v>49</v>
      </c>
      <c r="Q36" s="7" t="s">
        <v>50</v>
      </c>
      <c r="R36" s="7">
        <v>625.99999200000002</v>
      </c>
      <c r="S36" s="7">
        <v>199.99999199999999</v>
      </c>
      <c r="T36" s="7">
        <v>826</v>
      </c>
      <c r="U36" s="7">
        <v>626</v>
      </c>
      <c r="V36" s="7" t="s">
        <v>439</v>
      </c>
    </row>
    <row r="37" spans="1:23" x14ac:dyDescent="0.2">
      <c r="A37" s="6">
        <v>45674</v>
      </c>
      <c r="B37" s="7">
        <v>8814784</v>
      </c>
      <c r="C37" s="7" t="s">
        <v>135</v>
      </c>
      <c r="D37" s="7" t="s">
        <v>423</v>
      </c>
      <c r="E37" s="7" t="str">
        <f>CONCATENATE(D37,8)</f>
        <v>D25HA78</v>
      </c>
      <c r="F37" s="7" t="s">
        <v>425</v>
      </c>
      <c r="G37" s="7" t="s">
        <v>426</v>
      </c>
      <c r="H37" s="7" t="str">
        <f>CONCATENATE(F37, " ", G37)</f>
        <v>RICHARD KULIK</v>
      </c>
      <c r="I37" s="7" t="s">
        <v>57</v>
      </c>
      <c r="J37" s="6">
        <v>45644</v>
      </c>
      <c r="K37" s="6">
        <f>DATE(YEAR(J37), MONTH(J37), DAY(1))</f>
        <v>45627</v>
      </c>
      <c r="L37" s="8">
        <v>45658</v>
      </c>
      <c r="M37" s="6">
        <f>DATE(YEAR(K37), MONTH(K37) +1, DAY(K37))</f>
        <v>45658</v>
      </c>
      <c r="N37" s="7" t="s">
        <v>0</v>
      </c>
      <c r="O37" s="7" t="s">
        <v>109</v>
      </c>
      <c r="P37" s="7" t="s">
        <v>49</v>
      </c>
      <c r="Q37" s="7" t="s">
        <v>50</v>
      </c>
      <c r="R37" s="7">
        <v>625.99999200000002</v>
      </c>
      <c r="S37" s="7">
        <v>199.99999199999999</v>
      </c>
      <c r="T37" s="7">
        <v>826</v>
      </c>
      <c r="U37" s="7">
        <v>626</v>
      </c>
      <c r="V37" s="7" t="s">
        <v>439</v>
      </c>
    </row>
    <row r="38" spans="1:23" x14ac:dyDescent="0.2">
      <c r="A38" s="6">
        <v>45674</v>
      </c>
      <c r="B38" s="7">
        <v>9213293</v>
      </c>
      <c r="C38" s="7" t="s">
        <v>194</v>
      </c>
      <c r="D38" s="7" t="s">
        <v>274</v>
      </c>
      <c r="E38" s="7" t="str">
        <f>CONCATENATE(D38,8)</f>
        <v>DKGJ6A8</v>
      </c>
      <c r="F38" s="7" t="s">
        <v>276</v>
      </c>
      <c r="G38" s="7" t="s">
        <v>277</v>
      </c>
      <c r="H38" s="7" t="str">
        <f>CONCATENATE(F38, " ", G38)</f>
        <v>JAIMINI TRIVEDI</v>
      </c>
      <c r="I38" s="7" t="s">
        <v>57</v>
      </c>
      <c r="J38" s="6">
        <v>45609</v>
      </c>
      <c r="K38" s="6">
        <f>DATE(YEAR(J38), MONTH(J38), DAY(1))</f>
        <v>45597</v>
      </c>
      <c r="L38" s="8">
        <v>45658</v>
      </c>
      <c r="M38" s="6">
        <f>DATE(YEAR(K38), MONTH(K38) +1, DAY(K38))</f>
        <v>45627</v>
      </c>
      <c r="N38" s="7" t="s">
        <v>0</v>
      </c>
      <c r="O38" s="7" t="s">
        <v>59</v>
      </c>
      <c r="P38" s="7" t="s">
        <v>60</v>
      </c>
      <c r="Q38" s="7" t="s">
        <v>50</v>
      </c>
      <c r="R38" s="7">
        <v>312.99999600000001</v>
      </c>
      <c r="S38" s="7">
        <v>199.99999199999999</v>
      </c>
      <c r="T38" s="7">
        <v>513</v>
      </c>
      <c r="U38" s="7">
        <v>313</v>
      </c>
      <c r="V38" s="7" t="s">
        <v>438</v>
      </c>
      <c r="W38" s="7" t="s">
        <v>435</v>
      </c>
    </row>
    <row r="39" spans="1:23" x14ac:dyDescent="0.2">
      <c r="A39" s="6">
        <v>45674</v>
      </c>
      <c r="B39" s="7">
        <v>9213293</v>
      </c>
      <c r="C39" s="7" t="s">
        <v>194</v>
      </c>
      <c r="D39" s="7" t="s">
        <v>370</v>
      </c>
      <c r="E39" s="7" t="str">
        <f>CONCATENATE(D39,8)</f>
        <v>DS2K8C8</v>
      </c>
      <c r="F39" s="7" t="s">
        <v>203</v>
      </c>
      <c r="G39" s="7" t="s">
        <v>372</v>
      </c>
      <c r="H39" s="7" t="str">
        <f>CONCATENATE(F39, " ", G39)</f>
        <v>DONALD SCHRADER</v>
      </c>
      <c r="I39" s="7" t="s">
        <v>57</v>
      </c>
      <c r="J39" s="6">
        <v>45628</v>
      </c>
      <c r="K39" s="6">
        <f>DATE(YEAR(J39), MONTH(J39), DAY(1))</f>
        <v>45627</v>
      </c>
      <c r="L39" s="8">
        <v>45658</v>
      </c>
      <c r="M39" s="6">
        <f>DATE(YEAR(K39), MONTH(K39) +1, DAY(K39))</f>
        <v>45658</v>
      </c>
      <c r="N39" s="7" t="s">
        <v>0</v>
      </c>
      <c r="O39" s="7" t="s">
        <v>59</v>
      </c>
      <c r="P39" s="7" t="s">
        <v>60</v>
      </c>
      <c r="Q39" s="7" t="s">
        <v>50</v>
      </c>
      <c r="R39" s="7">
        <v>312.99999600000001</v>
      </c>
      <c r="S39" s="7">
        <v>199.99999199999999</v>
      </c>
      <c r="T39" s="7">
        <v>513</v>
      </c>
      <c r="U39" s="7">
        <v>313</v>
      </c>
      <c r="V39" s="7" t="s">
        <v>438</v>
      </c>
      <c r="W39" s="7" t="s">
        <v>435</v>
      </c>
    </row>
    <row r="40" spans="1:23" x14ac:dyDescent="0.2">
      <c r="A40" s="6">
        <v>45674</v>
      </c>
      <c r="B40" s="7">
        <v>9213293</v>
      </c>
      <c r="C40" s="7" t="s">
        <v>194</v>
      </c>
      <c r="D40" s="7" t="s">
        <v>195</v>
      </c>
      <c r="E40" s="7" t="str">
        <f>CONCATENATE(D40,8)</f>
        <v>D4YY488</v>
      </c>
      <c r="F40" s="7" t="s">
        <v>197</v>
      </c>
      <c r="G40" s="7" t="s">
        <v>198</v>
      </c>
      <c r="H40" s="7" t="str">
        <f>CONCATENATE(F40, " ", G40)</f>
        <v>JILL SCHMIDT</v>
      </c>
      <c r="I40" s="7" t="s">
        <v>199</v>
      </c>
      <c r="J40" s="6">
        <v>45595</v>
      </c>
      <c r="K40" s="6">
        <f>DATE(YEAR(J40), MONTH(J40), DAY(1))</f>
        <v>45566</v>
      </c>
      <c r="L40" s="8">
        <v>45658</v>
      </c>
      <c r="M40" s="6">
        <f>DATE(YEAR(K40), MONTH(K40) +1, DAY(K40))</f>
        <v>45597</v>
      </c>
      <c r="N40" s="7" t="s">
        <v>0</v>
      </c>
      <c r="O40" s="7" t="s">
        <v>59</v>
      </c>
      <c r="P40" s="7" t="s">
        <v>60</v>
      </c>
      <c r="Q40" s="7" t="s">
        <v>50</v>
      </c>
      <c r="R40" s="7">
        <v>312.99999600000001</v>
      </c>
      <c r="S40" s="7">
        <v>249.99998400000001</v>
      </c>
      <c r="T40" s="7">
        <v>563</v>
      </c>
      <c r="U40" s="7">
        <v>313</v>
      </c>
      <c r="V40" s="7" t="s">
        <v>438</v>
      </c>
      <c r="W40" s="7" t="s">
        <v>435</v>
      </c>
    </row>
    <row r="41" spans="1:23" x14ac:dyDescent="0.2">
      <c r="A41" s="6">
        <v>45674</v>
      </c>
      <c r="B41" s="7">
        <v>9213293</v>
      </c>
      <c r="C41" s="7" t="s">
        <v>194</v>
      </c>
      <c r="D41" s="7" t="s">
        <v>201</v>
      </c>
      <c r="E41" s="7" t="str">
        <f>CONCATENATE(D41,8)</f>
        <v>DR48268</v>
      </c>
      <c r="F41" s="7" t="s">
        <v>203</v>
      </c>
      <c r="G41" s="7" t="s">
        <v>198</v>
      </c>
      <c r="H41" s="7" t="str">
        <f>CONCATENATE(F41, " ", G41)</f>
        <v>DONALD SCHMIDT</v>
      </c>
      <c r="I41" s="7" t="s">
        <v>199</v>
      </c>
      <c r="J41" s="6">
        <v>45595</v>
      </c>
      <c r="K41" s="6">
        <f>DATE(YEAR(J41), MONTH(J41), DAY(1))</f>
        <v>45566</v>
      </c>
      <c r="L41" s="8">
        <v>45658</v>
      </c>
      <c r="M41" s="6">
        <f>DATE(YEAR(K41), MONTH(K41) +1, DAY(K41))</f>
        <v>45597</v>
      </c>
      <c r="N41" s="7" t="s">
        <v>0</v>
      </c>
      <c r="O41" s="7" t="s">
        <v>59</v>
      </c>
      <c r="P41" s="7" t="s">
        <v>60</v>
      </c>
      <c r="Q41" s="7" t="s">
        <v>50</v>
      </c>
      <c r="R41" s="7">
        <v>312.99999600000001</v>
      </c>
      <c r="S41" s="7">
        <v>249.99998400000001</v>
      </c>
      <c r="T41" s="7">
        <v>563</v>
      </c>
      <c r="U41" s="7">
        <v>313</v>
      </c>
      <c r="V41" s="7" t="s">
        <v>438</v>
      </c>
      <c r="W41" s="7" t="s">
        <v>435</v>
      </c>
    </row>
    <row r="42" spans="1:23" x14ac:dyDescent="0.2">
      <c r="A42" s="6">
        <v>45674</v>
      </c>
      <c r="B42" s="7">
        <v>9213293</v>
      </c>
      <c r="C42" s="7" t="s">
        <v>194</v>
      </c>
      <c r="D42" s="7" t="s">
        <v>427</v>
      </c>
      <c r="E42" s="7" t="str">
        <f>CONCATENATE(D42,8)</f>
        <v>DEU7R58</v>
      </c>
      <c r="F42" s="7" t="s">
        <v>429</v>
      </c>
      <c r="G42" s="7" t="s">
        <v>430</v>
      </c>
      <c r="H42" s="7" t="str">
        <f>CONCATENATE(F42, " ", G42)</f>
        <v>RUSSELL CORP</v>
      </c>
      <c r="I42" s="7" t="s">
        <v>431</v>
      </c>
      <c r="J42" s="6">
        <v>45644</v>
      </c>
      <c r="K42" s="6">
        <f>DATE(YEAR(J42), MONTH(J42), DAY(1))</f>
        <v>45627</v>
      </c>
      <c r="L42" s="8">
        <v>45658</v>
      </c>
      <c r="M42" s="6">
        <f>DATE(YEAR(K42), MONTH(K42) +1, DAY(K42))</f>
        <v>45658</v>
      </c>
      <c r="N42" s="7" t="s">
        <v>0</v>
      </c>
      <c r="O42" s="7" t="s">
        <v>109</v>
      </c>
      <c r="P42" s="7" t="s">
        <v>49</v>
      </c>
      <c r="Q42" s="7" t="s">
        <v>50</v>
      </c>
      <c r="R42" s="7">
        <v>625.99999200000002</v>
      </c>
      <c r="S42" s="7">
        <v>199.99999199999999</v>
      </c>
      <c r="T42" s="7">
        <v>826</v>
      </c>
      <c r="U42" s="7">
        <v>626</v>
      </c>
      <c r="V42" s="7" t="s">
        <v>439</v>
      </c>
    </row>
    <row r="43" spans="1:23" x14ac:dyDescent="0.2">
      <c r="A43" s="6">
        <v>45674</v>
      </c>
      <c r="B43" s="7">
        <v>17094718</v>
      </c>
      <c r="C43" s="7" t="s">
        <v>343</v>
      </c>
      <c r="D43" s="7" t="s">
        <v>344</v>
      </c>
      <c r="E43" s="7" t="str">
        <f>CONCATENATE(D43,8)</f>
        <v>DRZF488</v>
      </c>
      <c r="F43" s="7" t="s">
        <v>346</v>
      </c>
      <c r="G43" s="7" t="s">
        <v>347</v>
      </c>
      <c r="H43" s="7" t="str">
        <f>CONCATENATE(F43, " ", G43)</f>
        <v>PATRICIA LYDON</v>
      </c>
      <c r="I43" s="7" t="s">
        <v>348</v>
      </c>
      <c r="J43" s="6">
        <v>45621</v>
      </c>
      <c r="K43" s="6">
        <f>DATE(YEAR(J43), MONTH(J43), DAY(1))</f>
        <v>45597</v>
      </c>
      <c r="L43" s="8">
        <v>45658</v>
      </c>
      <c r="M43" s="6">
        <f>DATE(YEAR(K43), MONTH(K43) +1, DAY(K43))</f>
        <v>45627</v>
      </c>
      <c r="N43" s="7" t="s">
        <v>0</v>
      </c>
      <c r="O43" s="7" t="s">
        <v>59</v>
      </c>
      <c r="P43" s="7" t="s">
        <v>60</v>
      </c>
      <c r="Q43" s="7" t="s">
        <v>50</v>
      </c>
      <c r="R43" s="7">
        <v>312.99999600000001</v>
      </c>
      <c r="S43" s="7">
        <v>199.99999199999999</v>
      </c>
      <c r="T43" s="7">
        <v>513</v>
      </c>
      <c r="U43" s="7">
        <v>313</v>
      </c>
      <c r="V43" s="7" t="s">
        <v>438</v>
      </c>
      <c r="W43" s="7" t="s">
        <v>435</v>
      </c>
    </row>
    <row r="44" spans="1:23" x14ac:dyDescent="0.2">
      <c r="A44" s="6">
        <v>45674</v>
      </c>
      <c r="B44" s="7">
        <v>8307933</v>
      </c>
      <c r="C44" s="7" t="s">
        <v>374</v>
      </c>
      <c r="D44" s="7" t="s">
        <v>375</v>
      </c>
      <c r="E44" s="7" t="str">
        <f>CONCATENATE(D44,8)</f>
        <v>D6HHKW8</v>
      </c>
      <c r="F44" s="7" t="s">
        <v>45</v>
      </c>
      <c r="G44" s="7" t="s">
        <v>377</v>
      </c>
      <c r="H44" s="7" t="str">
        <f>CONCATENATE(F44, " ", G44)</f>
        <v>JOHN WEIS</v>
      </c>
      <c r="I44" s="7" t="s">
        <v>57</v>
      </c>
      <c r="J44" s="6">
        <v>45629</v>
      </c>
      <c r="K44" s="6">
        <f>DATE(YEAR(J44), MONTH(J44), DAY(1))</f>
        <v>45627</v>
      </c>
      <c r="L44" s="8">
        <v>45658</v>
      </c>
      <c r="M44" s="6">
        <f>DATE(YEAR(K44), MONTH(K44) +1, DAY(K44))</f>
        <v>45658</v>
      </c>
      <c r="N44" s="7" t="s">
        <v>0</v>
      </c>
      <c r="O44" s="7" t="s">
        <v>59</v>
      </c>
      <c r="P44" s="7" t="s">
        <v>60</v>
      </c>
      <c r="Q44" s="7" t="s">
        <v>50</v>
      </c>
      <c r="R44" s="7">
        <v>312.99999600000001</v>
      </c>
      <c r="S44" s="7">
        <v>199.99999199999999</v>
      </c>
      <c r="T44" s="7">
        <v>513</v>
      </c>
      <c r="U44" s="7">
        <v>313</v>
      </c>
      <c r="V44" s="7" t="s">
        <v>438</v>
      </c>
      <c r="W44" s="7" t="s">
        <v>435</v>
      </c>
    </row>
    <row r="45" spans="1:23" x14ac:dyDescent="0.2">
      <c r="A45" s="6">
        <v>45674</v>
      </c>
      <c r="B45" s="7">
        <v>16865615</v>
      </c>
      <c r="C45" s="7" t="s">
        <v>42</v>
      </c>
      <c r="D45" s="7" t="s">
        <v>43</v>
      </c>
      <c r="E45" s="7" t="str">
        <f>CONCATENATE(D45,8)</f>
        <v>D8S8F88</v>
      </c>
      <c r="F45" s="7" t="s">
        <v>45</v>
      </c>
      <c r="G45" s="7" t="s">
        <v>46</v>
      </c>
      <c r="H45" s="7" t="str">
        <f>CONCATENATE(F45, " ", G45)</f>
        <v>JOHN HIGHAM</v>
      </c>
      <c r="I45" s="7" t="s">
        <v>47</v>
      </c>
      <c r="J45" s="6">
        <v>45576</v>
      </c>
      <c r="K45" s="6">
        <f>DATE(YEAR(J45), MONTH(J45), DAY(1))</f>
        <v>45566</v>
      </c>
      <c r="L45" s="6">
        <v>45597</v>
      </c>
      <c r="M45" s="6">
        <f>DATE(YEAR(K45), MONTH(K45) +1, DAY(K45))</f>
        <v>45597</v>
      </c>
      <c r="N45" s="6">
        <v>45688</v>
      </c>
      <c r="O45" s="7" t="s">
        <v>0</v>
      </c>
      <c r="P45" s="7" t="s">
        <v>49</v>
      </c>
      <c r="Q45" s="7" t="s">
        <v>50</v>
      </c>
      <c r="R45" s="7">
        <v>-101.833332</v>
      </c>
      <c r="S45" s="7">
        <v>-199.99999199999999</v>
      </c>
      <c r="T45" s="7">
        <v>-301.83</v>
      </c>
      <c r="U45" s="7">
        <v>-101.83</v>
      </c>
      <c r="V45" s="7" t="s">
        <v>434</v>
      </c>
      <c r="W45" s="7" t="s">
        <v>433</v>
      </c>
    </row>
    <row r="46" spans="1:23" x14ac:dyDescent="0.2">
      <c r="A46" s="6">
        <v>45674</v>
      </c>
      <c r="B46" s="7">
        <v>16865615</v>
      </c>
      <c r="C46" s="7" t="s">
        <v>42</v>
      </c>
      <c r="D46" s="7" t="s">
        <v>82</v>
      </c>
      <c r="E46" s="7" t="str">
        <f>CONCATENATE(D46,8)</f>
        <v>DRS3268</v>
      </c>
      <c r="F46" s="7" t="s">
        <v>84</v>
      </c>
      <c r="G46" s="7" t="s">
        <v>70</v>
      </c>
      <c r="H46" s="7" t="str">
        <f>CONCATENATE(F46, " ", G46)</f>
        <v>EUGENE LYZUN</v>
      </c>
      <c r="I46" s="7" t="s">
        <v>57</v>
      </c>
      <c r="J46" s="6">
        <v>45581</v>
      </c>
      <c r="K46" s="6">
        <f>DATE(YEAR(J46), MONTH(J46), DAY(1))</f>
        <v>45566</v>
      </c>
      <c r="L46" s="8">
        <v>45658</v>
      </c>
      <c r="M46" s="6">
        <f>DATE(YEAR(K46), MONTH(K46) +1, DAY(K46))</f>
        <v>45597</v>
      </c>
      <c r="N46" s="7" t="s">
        <v>0</v>
      </c>
      <c r="O46" s="7" t="s">
        <v>59</v>
      </c>
      <c r="P46" s="7" t="s">
        <v>60</v>
      </c>
      <c r="Q46" s="7" t="s">
        <v>50</v>
      </c>
      <c r="R46" s="7">
        <v>312.99999600000001</v>
      </c>
      <c r="S46" s="7">
        <v>199.99999199999999</v>
      </c>
      <c r="T46" s="7">
        <v>513</v>
      </c>
      <c r="U46" s="7">
        <v>313</v>
      </c>
      <c r="V46" s="7" t="s">
        <v>438</v>
      </c>
      <c r="W46" s="7" t="s">
        <v>435</v>
      </c>
    </row>
    <row r="47" spans="1:23" x14ac:dyDescent="0.2">
      <c r="A47" s="6">
        <v>45674</v>
      </c>
      <c r="B47" s="7">
        <v>16865615</v>
      </c>
      <c r="C47" s="7" t="s">
        <v>42</v>
      </c>
      <c r="D47" s="7" t="s">
        <v>146</v>
      </c>
      <c r="E47" s="7" t="str">
        <f>CONCATENATE(D47,8)</f>
        <v>DK8GWE8</v>
      </c>
      <c r="F47" s="7" t="s">
        <v>148</v>
      </c>
      <c r="G47" s="7" t="s">
        <v>149</v>
      </c>
      <c r="H47" s="7" t="str">
        <f>CONCATENATE(F47, " ", G47)</f>
        <v>SANDRA WATERS</v>
      </c>
      <c r="I47" s="7" t="s">
        <v>47</v>
      </c>
      <c r="J47" s="6">
        <v>45589</v>
      </c>
      <c r="K47" s="6">
        <f>DATE(YEAR(J47), MONTH(J47), DAY(1))</f>
        <v>45566</v>
      </c>
      <c r="L47" s="8">
        <v>45658</v>
      </c>
      <c r="M47" s="6">
        <f>DATE(YEAR(K47), MONTH(K47) +1, DAY(K47))</f>
        <v>45597</v>
      </c>
      <c r="N47" s="7" t="s">
        <v>0</v>
      </c>
      <c r="O47" s="7" t="s">
        <v>59</v>
      </c>
      <c r="P47" s="7" t="s">
        <v>60</v>
      </c>
      <c r="Q47" s="7" t="s">
        <v>50</v>
      </c>
      <c r="R47" s="7">
        <v>312.99999600000001</v>
      </c>
      <c r="S47" s="7">
        <v>199.99999199999999</v>
      </c>
      <c r="T47" s="7">
        <v>513</v>
      </c>
      <c r="U47" s="7">
        <v>313</v>
      </c>
      <c r="V47" s="7" t="s">
        <v>438</v>
      </c>
      <c r="W47" s="7" t="s">
        <v>435</v>
      </c>
    </row>
    <row r="48" spans="1:23" x14ac:dyDescent="0.2">
      <c r="A48" s="6">
        <v>45674</v>
      </c>
      <c r="B48" s="7">
        <v>16865615</v>
      </c>
      <c r="C48" s="7" t="s">
        <v>42</v>
      </c>
      <c r="D48" s="7" t="s">
        <v>413</v>
      </c>
      <c r="E48" s="7" t="str">
        <f>CONCATENATE(D48,8)</f>
        <v>DZ7WJ38</v>
      </c>
      <c r="F48" s="7" t="s">
        <v>336</v>
      </c>
      <c r="G48" s="7" t="s">
        <v>415</v>
      </c>
      <c r="H48" s="7" t="str">
        <f>CONCATENATE(F48, " ", G48)</f>
        <v>ANTHONY MITCHELL</v>
      </c>
      <c r="I48" s="7" t="s">
        <v>57</v>
      </c>
      <c r="J48" s="6">
        <v>45632</v>
      </c>
      <c r="K48" s="6">
        <f>DATE(YEAR(J48), MONTH(J48), DAY(1))</f>
        <v>45627</v>
      </c>
      <c r="L48" s="8">
        <v>45658</v>
      </c>
      <c r="M48" s="6">
        <f>DATE(YEAR(K48), MONTH(K48) +1, DAY(K48))</f>
        <v>45658</v>
      </c>
      <c r="N48" s="7" t="s">
        <v>0</v>
      </c>
      <c r="O48" s="7" t="s">
        <v>59</v>
      </c>
      <c r="P48" s="7" t="s">
        <v>60</v>
      </c>
      <c r="Q48" s="7" t="s">
        <v>50</v>
      </c>
      <c r="R48" s="7">
        <v>312.99999600000001</v>
      </c>
      <c r="S48" s="7">
        <v>199.99999199999999</v>
      </c>
      <c r="T48" s="7">
        <v>513</v>
      </c>
      <c r="U48" s="7">
        <v>313</v>
      </c>
      <c r="V48" s="7" t="s">
        <v>438</v>
      </c>
      <c r="W48" s="7" t="s">
        <v>435</v>
      </c>
    </row>
    <row r="49" spans="1:23" x14ac:dyDescent="0.2">
      <c r="A49" s="6">
        <v>45674</v>
      </c>
      <c r="B49" s="7">
        <v>16865615</v>
      </c>
      <c r="C49" s="7" t="s">
        <v>42</v>
      </c>
      <c r="D49" s="7" t="s">
        <v>67</v>
      </c>
      <c r="E49" s="7" t="str">
        <f>CONCATENATE(D49,8)</f>
        <v>DR5KGS8</v>
      </c>
      <c r="F49" s="7" t="s">
        <v>69</v>
      </c>
      <c r="G49" s="7" t="s">
        <v>70</v>
      </c>
      <c r="H49" s="7" t="str">
        <f>CONCATENATE(F49, " ", G49)</f>
        <v>FRANCESCA LYZUN</v>
      </c>
      <c r="I49" s="7" t="s">
        <v>57</v>
      </c>
      <c r="J49" s="6">
        <v>45581</v>
      </c>
      <c r="K49" s="6">
        <f>DATE(YEAR(J49), MONTH(J49), DAY(1))</f>
        <v>45566</v>
      </c>
      <c r="L49" s="8">
        <v>45658</v>
      </c>
      <c r="M49" s="6">
        <f>DATE(YEAR(K49), MONTH(K49) +1, DAY(K49))</f>
        <v>45597</v>
      </c>
      <c r="N49" s="7" t="s">
        <v>0</v>
      </c>
      <c r="O49" s="7" t="s">
        <v>72</v>
      </c>
      <c r="P49" s="7" t="s">
        <v>49</v>
      </c>
      <c r="Q49" s="7" t="s">
        <v>50</v>
      </c>
      <c r="R49" s="7">
        <v>625.99999200000002</v>
      </c>
      <c r="S49" s="7">
        <v>199.99999199999999</v>
      </c>
      <c r="T49" s="7">
        <v>826</v>
      </c>
      <c r="U49" s="7">
        <v>626</v>
      </c>
      <c r="V49" s="7" t="s">
        <v>439</v>
      </c>
    </row>
    <row r="50" spans="1:23" x14ac:dyDescent="0.2">
      <c r="A50" s="6">
        <v>45674</v>
      </c>
      <c r="B50" s="7">
        <v>2158366</v>
      </c>
      <c r="C50" s="7" t="s">
        <v>86</v>
      </c>
      <c r="D50" s="7" t="s">
        <v>87</v>
      </c>
      <c r="E50" s="7" t="str">
        <f>CONCATENATE(D50,8)</f>
        <v>D87SKK8</v>
      </c>
      <c r="F50" s="7" t="s">
        <v>89</v>
      </c>
      <c r="G50" s="7" t="s">
        <v>90</v>
      </c>
      <c r="H50" s="7" t="str">
        <f>CONCATENATE(F50, " ", G50)</f>
        <v>CHERYL RUDD</v>
      </c>
      <c r="I50" s="7" t="s">
        <v>57</v>
      </c>
      <c r="J50" s="6">
        <v>45582</v>
      </c>
      <c r="K50" s="6">
        <f>DATE(YEAR(J50), MONTH(J50), DAY(1))</f>
        <v>45566</v>
      </c>
      <c r="L50" s="8">
        <v>45658</v>
      </c>
      <c r="M50" s="6">
        <f>DATE(YEAR(K50), MONTH(K50) +1, DAY(K50))</f>
        <v>45597</v>
      </c>
      <c r="N50" s="7" t="s">
        <v>0</v>
      </c>
      <c r="O50" s="7" t="s">
        <v>59</v>
      </c>
      <c r="P50" s="7" t="s">
        <v>60</v>
      </c>
      <c r="Q50" s="7" t="s">
        <v>50</v>
      </c>
      <c r="R50" s="7">
        <v>312.99999600000001</v>
      </c>
      <c r="S50" s="7">
        <v>199.99999199999999</v>
      </c>
      <c r="T50" s="7">
        <v>513</v>
      </c>
      <c r="U50" s="7">
        <v>313</v>
      </c>
      <c r="V50" s="7" t="s">
        <v>438</v>
      </c>
      <c r="W50" s="7" t="s">
        <v>435</v>
      </c>
    </row>
    <row r="51" spans="1:23" x14ac:dyDescent="0.2">
      <c r="A51" s="6">
        <v>45674</v>
      </c>
      <c r="B51" s="7">
        <v>2158366</v>
      </c>
      <c r="C51" s="7" t="s">
        <v>86</v>
      </c>
      <c r="D51" s="7" t="s">
        <v>91</v>
      </c>
      <c r="E51" s="7" t="str">
        <f>CONCATENATE(D51,8)</f>
        <v>DARF7K8</v>
      </c>
      <c r="F51" s="7" t="s">
        <v>93</v>
      </c>
      <c r="G51" s="7" t="s">
        <v>90</v>
      </c>
      <c r="H51" s="7" t="str">
        <f>CONCATENATE(F51, " ", G51)</f>
        <v>SCOTT RUDD</v>
      </c>
      <c r="I51" s="7" t="s">
        <v>57</v>
      </c>
      <c r="J51" s="6">
        <v>45582</v>
      </c>
      <c r="K51" s="6">
        <f>DATE(YEAR(J51), MONTH(J51), DAY(1))</f>
        <v>45566</v>
      </c>
      <c r="L51" s="8">
        <v>45658</v>
      </c>
      <c r="M51" s="6">
        <f>DATE(YEAR(K51), MONTH(K51) +1, DAY(K51))</f>
        <v>45597</v>
      </c>
      <c r="N51" s="7" t="s">
        <v>0</v>
      </c>
      <c r="O51" s="7" t="s">
        <v>59</v>
      </c>
      <c r="P51" s="7" t="s">
        <v>60</v>
      </c>
      <c r="Q51" s="7" t="s">
        <v>50</v>
      </c>
      <c r="R51" s="7">
        <v>312.99999600000001</v>
      </c>
      <c r="S51" s="7">
        <v>199.99999199999999</v>
      </c>
      <c r="T51" s="7">
        <v>513</v>
      </c>
      <c r="U51" s="7">
        <v>313</v>
      </c>
      <c r="V51" s="7" t="s">
        <v>438</v>
      </c>
      <c r="W51" s="7" t="s">
        <v>435</v>
      </c>
    </row>
    <row r="52" spans="1:23" x14ac:dyDescent="0.2">
      <c r="A52" s="6">
        <v>45674</v>
      </c>
      <c r="B52" s="7">
        <v>2158366</v>
      </c>
      <c r="C52" s="7" t="s">
        <v>86</v>
      </c>
      <c r="D52" s="7" t="s">
        <v>166</v>
      </c>
      <c r="E52" s="7" t="str">
        <f>CONCATENATE(D52,8)</f>
        <v>DZG38J8</v>
      </c>
      <c r="F52" s="7" t="s">
        <v>168</v>
      </c>
      <c r="G52" s="7" t="s">
        <v>169</v>
      </c>
      <c r="H52" s="7" t="str">
        <f>CONCATENATE(F52, " ", G52)</f>
        <v>GARY RICHTER</v>
      </c>
      <c r="I52" s="7" t="s">
        <v>57</v>
      </c>
      <c r="J52" s="6">
        <v>45591</v>
      </c>
      <c r="K52" s="6">
        <f>DATE(YEAR(J52), MONTH(J52), DAY(1))</f>
        <v>45566</v>
      </c>
      <c r="L52" s="8">
        <v>45658</v>
      </c>
      <c r="M52" s="6">
        <f>DATE(YEAR(K52), MONTH(K52) +1, DAY(K52))</f>
        <v>45597</v>
      </c>
      <c r="N52" s="7" t="s">
        <v>0</v>
      </c>
      <c r="O52" s="7" t="s">
        <v>59</v>
      </c>
      <c r="P52" s="7" t="s">
        <v>60</v>
      </c>
      <c r="Q52" s="7" t="s">
        <v>50</v>
      </c>
      <c r="R52" s="7">
        <v>312.99999600000001</v>
      </c>
      <c r="S52" s="7">
        <v>199.99999199999999</v>
      </c>
      <c r="T52" s="7">
        <v>513</v>
      </c>
      <c r="U52" s="7">
        <v>313</v>
      </c>
      <c r="V52" s="7" t="s">
        <v>438</v>
      </c>
      <c r="W52" s="7" t="s">
        <v>435</v>
      </c>
    </row>
    <row r="53" spans="1:23" x14ac:dyDescent="0.2">
      <c r="A53" s="6">
        <v>45674</v>
      </c>
      <c r="B53" s="7">
        <v>2158366</v>
      </c>
      <c r="C53" s="7" t="s">
        <v>86</v>
      </c>
      <c r="D53" s="7" t="s">
        <v>251</v>
      </c>
      <c r="E53" s="7" t="str">
        <f>CONCATENATE(D53,8)</f>
        <v>D22A488</v>
      </c>
      <c r="F53" s="7" t="s">
        <v>253</v>
      </c>
      <c r="G53" s="7" t="s">
        <v>254</v>
      </c>
      <c r="H53" s="7" t="str">
        <f>CONCATENATE(F53, " ", G53)</f>
        <v>DIANE VONDORNBURG</v>
      </c>
      <c r="I53" s="7" t="s">
        <v>57</v>
      </c>
      <c r="J53" s="6">
        <v>45604</v>
      </c>
      <c r="K53" s="6">
        <f>DATE(YEAR(J53), MONTH(J53), DAY(1))</f>
        <v>45597</v>
      </c>
      <c r="L53" s="8">
        <v>45658</v>
      </c>
      <c r="M53" s="6">
        <f>DATE(YEAR(K53), MONTH(K53) +1, DAY(K53))</f>
        <v>45627</v>
      </c>
      <c r="N53" s="7" t="s">
        <v>0</v>
      </c>
      <c r="O53" s="7" t="s">
        <v>59</v>
      </c>
      <c r="P53" s="7" t="s">
        <v>60</v>
      </c>
      <c r="Q53" s="7" t="s">
        <v>50</v>
      </c>
      <c r="R53" s="7">
        <v>312.99999600000001</v>
      </c>
      <c r="S53" s="7">
        <v>199.99999199999999</v>
      </c>
      <c r="T53" s="7">
        <v>513</v>
      </c>
      <c r="U53" s="7">
        <v>313</v>
      </c>
      <c r="V53" s="7" t="s">
        <v>438</v>
      </c>
      <c r="W53" s="7" t="s">
        <v>435</v>
      </c>
    </row>
    <row r="54" spans="1:23" x14ac:dyDescent="0.2">
      <c r="A54" s="6">
        <v>45674</v>
      </c>
      <c r="B54" s="7">
        <v>2158366</v>
      </c>
      <c r="C54" s="7" t="s">
        <v>86</v>
      </c>
      <c r="D54" s="7" t="s">
        <v>330</v>
      </c>
      <c r="E54" s="7" t="str">
        <f>CONCATENATE(D54,8)</f>
        <v>DGJ3WA8</v>
      </c>
      <c r="F54" s="7" t="s">
        <v>332</v>
      </c>
      <c r="G54" s="7" t="s">
        <v>333</v>
      </c>
      <c r="H54" s="7" t="str">
        <f>CONCATENATE(F54, " ", G54)</f>
        <v>ALLAN TESON</v>
      </c>
      <c r="I54" s="7" t="s">
        <v>57</v>
      </c>
      <c r="J54" s="6">
        <v>45618</v>
      </c>
      <c r="K54" s="6">
        <f>DATE(YEAR(J54), MONTH(J54), DAY(1))</f>
        <v>45597</v>
      </c>
      <c r="L54" s="8">
        <v>45658</v>
      </c>
      <c r="M54" s="6">
        <f>DATE(YEAR(K54), MONTH(K54) +1, DAY(K54))</f>
        <v>45627</v>
      </c>
      <c r="N54" s="7" t="s">
        <v>0</v>
      </c>
      <c r="O54" s="7" t="s">
        <v>59</v>
      </c>
      <c r="P54" s="7" t="s">
        <v>60</v>
      </c>
      <c r="Q54" s="7" t="s">
        <v>50</v>
      </c>
      <c r="R54" s="7">
        <v>312.99999600000001</v>
      </c>
      <c r="S54" s="7">
        <v>199.99999199999999</v>
      </c>
      <c r="T54" s="7">
        <v>513</v>
      </c>
      <c r="U54" s="7">
        <v>313</v>
      </c>
      <c r="V54" s="7" t="s">
        <v>438</v>
      </c>
      <c r="W54" s="7" t="s">
        <v>435</v>
      </c>
    </row>
    <row r="55" spans="1:23" x14ac:dyDescent="0.2">
      <c r="A55" s="6">
        <v>45674</v>
      </c>
      <c r="B55" s="7">
        <v>2158366</v>
      </c>
      <c r="C55" s="7" t="s">
        <v>86</v>
      </c>
      <c r="D55" s="7" t="s">
        <v>350</v>
      </c>
      <c r="E55" s="7" t="str">
        <f>CONCATENATE(D55,8)</f>
        <v>D4HE9G8</v>
      </c>
      <c r="F55" s="7" t="s">
        <v>352</v>
      </c>
      <c r="G55" s="7" t="s">
        <v>353</v>
      </c>
      <c r="H55" s="7" t="str">
        <f>CONCATENATE(F55, " ", G55)</f>
        <v>STEVEN HEY</v>
      </c>
      <c r="I55" s="7" t="s">
        <v>57</v>
      </c>
      <c r="J55" s="6">
        <v>45621</v>
      </c>
      <c r="K55" s="6">
        <f>DATE(YEAR(J55), MONTH(J55), DAY(1))</f>
        <v>45597</v>
      </c>
      <c r="L55" s="8">
        <v>45658</v>
      </c>
      <c r="M55" s="6">
        <f>DATE(YEAR(K55), MONTH(K55) +1, DAY(K55))</f>
        <v>45627</v>
      </c>
      <c r="N55" s="7" t="s">
        <v>0</v>
      </c>
      <c r="O55" s="7" t="s">
        <v>59</v>
      </c>
      <c r="P55" s="7" t="s">
        <v>60</v>
      </c>
      <c r="Q55" s="7" t="s">
        <v>50</v>
      </c>
      <c r="R55" s="7">
        <v>312.99999600000001</v>
      </c>
      <c r="S55" s="7">
        <v>199.99999199999999</v>
      </c>
      <c r="T55" s="7">
        <v>513</v>
      </c>
      <c r="U55" s="7">
        <v>313</v>
      </c>
      <c r="V55" s="7" t="s">
        <v>438</v>
      </c>
      <c r="W55" s="7" t="s">
        <v>435</v>
      </c>
    </row>
    <row r="56" spans="1:23" x14ac:dyDescent="0.2">
      <c r="A56" s="6">
        <v>45674</v>
      </c>
      <c r="B56" s="7">
        <v>2158366</v>
      </c>
      <c r="C56" s="7" t="s">
        <v>86</v>
      </c>
      <c r="D56" s="7" t="s">
        <v>354</v>
      </c>
      <c r="E56" s="7" t="str">
        <f>CONCATENATE(D56,8)</f>
        <v>DHWE4W8</v>
      </c>
      <c r="F56" s="7" t="s">
        <v>356</v>
      </c>
      <c r="G56" s="7" t="s">
        <v>353</v>
      </c>
      <c r="H56" s="7" t="str">
        <f>CONCATENATE(F56, " ", G56)</f>
        <v>SUZANNE HEY</v>
      </c>
      <c r="I56" s="7" t="s">
        <v>57</v>
      </c>
      <c r="J56" s="6">
        <v>45621</v>
      </c>
      <c r="K56" s="6">
        <f>DATE(YEAR(J56), MONTH(J56), DAY(1))</f>
        <v>45597</v>
      </c>
      <c r="L56" s="8">
        <v>45658</v>
      </c>
      <c r="M56" s="6">
        <f>DATE(YEAR(K56), MONTH(K56) +1, DAY(K56))</f>
        <v>45627</v>
      </c>
      <c r="N56" s="7" t="s">
        <v>0</v>
      </c>
      <c r="O56" s="7" t="s">
        <v>59</v>
      </c>
      <c r="P56" s="7" t="s">
        <v>60</v>
      </c>
      <c r="Q56" s="7" t="s">
        <v>50</v>
      </c>
      <c r="R56" s="7">
        <v>312.99999600000001</v>
      </c>
      <c r="S56" s="7">
        <v>199.99999199999999</v>
      </c>
      <c r="T56" s="7">
        <v>513</v>
      </c>
      <c r="U56" s="7">
        <v>313</v>
      </c>
      <c r="V56" s="7" t="s">
        <v>438</v>
      </c>
      <c r="W56" s="7" t="s">
        <v>435</v>
      </c>
    </row>
    <row r="57" spans="1:23" x14ac:dyDescent="0.2">
      <c r="A57" s="6">
        <v>45674</v>
      </c>
      <c r="B57" s="7">
        <v>2158366</v>
      </c>
      <c r="C57" s="7" t="s">
        <v>86</v>
      </c>
      <c r="D57" s="7" t="s">
        <v>110</v>
      </c>
      <c r="E57" s="7" t="str">
        <f>CONCATENATE(D57,8)</f>
        <v>DZ34AR8</v>
      </c>
      <c r="F57" s="7" t="s">
        <v>112</v>
      </c>
      <c r="G57" s="7" t="s">
        <v>113</v>
      </c>
      <c r="H57" s="7" t="str">
        <f>CONCATENATE(F57, " ", G57)</f>
        <v>GRAZYNA EWERT</v>
      </c>
      <c r="I57" s="7" t="s">
        <v>57</v>
      </c>
      <c r="J57" s="6">
        <v>45584</v>
      </c>
      <c r="K57" s="6">
        <f>DATE(YEAR(J57), MONTH(J57), DAY(1))</f>
        <v>45566</v>
      </c>
      <c r="L57" s="8">
        <v>45658</v>
      </c>
      <c r="M57" s="6">
        <f>DATE(YEAR(K57), MONTH(K57) +1, DAY(K57))</f>
        <v>45597</v>
      </c>
      <c r="N57" s="7" t="s">
        <v>0</v>
      </c>
      <c r="O57" s="7" t="s">
        <v>72</v>
      </c>
      <c r="P57" s="7" t="s">
        <v>49</v>
      </c>
      <c r="Q57" s="7" t="s">
        <v>50</v>
      </c>
      <c r="R57" s="7">
        <v>625.99999200000002</v>
      </c>
      <c r="S57" s="7">
        <v>199.99999199999999</v>
      </c>
      <c r="T57" s="7">
        <v>826</v>
      </c>
      <c r="U57" s="7">
        <v>626</v>
      </c>
      <c r="V57" s="7" t="s">
        <v>439</v>
      </c>
    </row>
    <row r="58" spans="1:23" x14ac:dyDescent="0.2">
      <c r="A58" s="6">
        <v>45674</v>
      </c>
      <c r="B58" s="7">
        <v>2158366</v>
      </c>
      <c r="C58" s="7" t="s">
        <v>86</v>
      </c>
      <c r="D58" s="7" t="s">
        <v>338</v>
      </c>
      <c r="E58" s="7" t="str">
        <f>CONCATENATE(D58,8)</f>
        <v>DRUSCG8</v>
      </c>
      <c r="F58" s="7" t="s">
        <v>340</v>
      </c>
      <c r="G58" s="7" t="s">
        <v>341</v>
      </c>
      <c r="H58" s="7" t="str">
        <f>CONCATENATE(F58, " ", G58)</f>
        <v>BARBARA POWELL</v>
      </c>
      <c r="I58" s="7" t="s">
        <v>57</v>
      </c>
      <c r="J58" s="6">
        <v>45621</v>
      </c>
      <c r="K58" s="6">
        <f>DATE(YEAR(J58), MONTH(J58), DAY(1))</f>
        <v>45597</v>
      </c>
      <c r="L58" s="8">
        <v>45658</v>
      </c>
      <c r="M58" s="6">
        <f>DATE(YEAR(K58), MONTH(K58) +1, DAY(K58))</f>
        <v>45627</v>
      </c>
      <c r="N58" s="7" t="s">
        <v>0</v>
      </c>
      <c r="O58" s="7" t="s">
        <v>109</v>
      </c>
      <c r="P58" s="7" t="s">
        <v>49</v>
      </c>
      <c r="Q58" s="7" t="s">
        <v>50</v>
      </c>
      <c r="R58" s="7">
        <v>625.99999200000002</v>
      </c>
      <c r="S58" s="7">
        <v>199.99999199999999</v>
      </c>
      <c r="T58" s="7">
        <v>826</v>
      </c>
      <c r="U58" s="7">
        <v>626</v>
      </c>
      <c r="V58" s="7" t="s">
        <v>439</v>
      </c>
    </row>
    <row r="59" spans="1:23" x14ac:dyDescent="0.2">
      <c r="A59" s="6">
        <v>45674</v>
      </c>
      <c r="B59" s="7">
        <v>2158366</v>
      </c>
      <c r="C59" s="7" t="s">
        <v>86</v>
      </c>
      <c r="D59" s="7" t="s">
        <v>403</v>
      </c>
      <c r="E59" s="7" t="str">
        <f>CONCATENATE(D59,8)</f>
        <v>DFE2328</v>
      </c>
      <c r="F59" s="7" t="s">
        <v>405</v>
      </c>
      <c r="G59" s="7" t="s">
        <v>402</v>
      </c>
      <c r="H59" s="7" t="str">
        <f>CONCATENATE(F59, " ", G59)</f>
        <v>PETER BARR</v>
      </c>
      <c r="I59" s="7" t="s">
        <v>57</v>
      </c>
      <c r="J59" s="6">
        <v>45632</v>
      </c>
      <c r="K59" s="6">
        <f>DATE(YEAR(J59), MONTH(J59), DAY(1))</f>
        <v>45627</v>
      </c>
      <c r="L59" s="8">
        <v>45658</v>
      </c>
      <c r="M59" s="6">
        <f>DATE(YEAR(K59), MONTH(K59) +1, DAY(K59))</f>
        <v>45658</v>
      </c>
      <c r="N59" s="7" t="s">
        <v>0</v>
      </c>
      <c r="O59" s="7" t="s">
        <v>109</v>
      </c>
      <c r="P59" s="7" t="s">
        <v>49</v>
      </c>
      <c r="Q59" s="7" t="s">
        <v>50</v>
      </c>
      <c r="R59" s="7">
        <v>625.99999200000002</v>
      </c>
      <c r="S59" s="7">
        <v>199.99999199999999</v>
      </c>
      <c r="T59" s="7">
        <v>826</v>
      </c>
      <c r="U59" s="7">
        <v>626</v>
      </c>
      <c r="V59" s="7" t="s">
        <v>439</v>
      </c>
    </row>
    <row r="60" spans="1:23" x14ac:dyDescent="0.2">
      <c r="A60" s="6">
        <v>45674</v>
      </c>
      <c r="B60" s="7">
        <v>2158366</v>
      </c>
      <c r="C60" s="7" t="s">
        <v>86</v>
      </c>
      <c r="D60" s="7" t="s">
        <v>400</v>
      </c>
      <c r="E60" s="7" t="str">
        <f>CONCATENATE(D60,8)</f>
        <v>D2KZUR8</v>
      </c>
      <c r="F60" s="7" t="s">
        <v>153</v>
      </c>
      <c r="G60" s="7" t="s">
        <v>402</v>
      </c>
      <c r="H60" s="7" t="str">
        <f>CONCATENATE(F60, " ", G60)</f>
        <v>MARY BARR</v>
      </c>
      <c r="I60" s="7" t="s">
        <v>57</v>
      </c>
      <c r="J60" s="6">
        <v>45632</v>
      </c>
      <c r="K60" s="6">
        <f>DATE(YEAR(J60), MONTH(J60), DAY(1))</f>
        <v>45627</v>
      </c>
      <c r="L60" s="8">
        <v>45658</v>
      </c>
      <c r="M60" s="6">
        <f>DATE(YEAR(K60), MONTH(K60) +1, DAY(K60))</f>
        <v>45658</v>
      </c>
      <c r="N60" s="7" t="s">
        <v>0</v>
      </c>
      <c r="O60" s="7" t="s">
        <v>109</v>
      </c>
      <c r="P60" s="7" t="s">
        <v>49</v>
      </c>
      <c r="Q60" s="7" t="s">
        <v>50</v>
      </c>
      <c r="R60" s="7">
        <v>625.99999200000002</v>
      </c>
      <c r="S60" s="7">
        <v>199.99999199999999</v>
      </c>
      <c r="T60" s="7">
        <v>826</v>
      </c>
      <c r="U60" s="7">
        <v>626</v>
      </c>
      <c r="V60" s="7" t="s">
        <v>439</v>
      </c>
    </row>
    <row r="61" spans="1:23" x14ac:dyDescent="0.2">
      <c r="A61" s="6">
        <v>45674</v>
      </c>
      <c r="B61" s="7">
        <v>16683808</v>
      </c>
      <c r="C61" s="7" t="s">
        <v>383</v>
      </c>
      <c r="D61" s="7" t="s">
        <v>388</v>
      </c>
      <c r="E61" s="7" t="str">
        <f>CONCATENATE(D61,8)</f>
        <v>DS3JW98</v>
      </c>
      <c r="F61" s="7" t="s">
        <v>390</v>
      </c>
      <c r="G61" s="7" t="s">
        <v>391</v>
      </c>
      <c r="H61" s="7" t="str">
        <f>CONCATENATE(F61, " ", G61)</f>
        <v>JOYCE WARD</v>
      </c>
      <c r="I61" s="7" t="s">
        <v>392</v>
      </c>
      <c r="J61" s="6">
        <v>45631</v>
      </c>
      <c r="K61" s="6">
        <f>DATE(YEAR(J61), MONTH(J61), DAY(1))</f>
        <v>45627</v>
      </c>
      <c r="L61" s="8">
        <v>45658</v>
      </c>
      <c r="M61" s="6">
        <f>DATE(YEAR(K61), MONTH(K61) +1, DAY(K61))</f>
        <v>45658</v>
      </c>
      <c r="N61" s="7" t="s">
        <v>0</v>
      </c>
      <c r="O61" s="7" t="s">
        <v>59</v>
      </c>
      <c r="P61" s="7" t="s">
        <v>60</v>
      </c>
      <c r="Q61" s="7" t="s">
        <v>50</v>
      </c>
      <c r="R61" s="7">
        <v>312.99999600000001</v>
      </c>
      <c r="S61" s="7">
        <v>199.99999199999999</v>
      </c>
      <c r="T61" s="7">
        <v>513</v>
      </c>
      <c r="U61" s="7">
        <v>313</v>
      </c>
      <c r="V61" s="7" t="s">
        <v>438</v>
      </c>
      <c r="W61" s="7" t="s">
        <v>435</v>
      </c>
    </row>
    <row r="62" spans="1:23" x14ac:dyDescent="0.2">
      <c r="A62" s="6">
        <v>45674</v>
      </c>
      <c r="B62" s="7">
        <v>16683808</v>
      </c>
      <c r="C62" s="7" t="s">
        <v>383</v>
      </c>
      <c r="D62" s="7" t="s">
        <v>384</v>
      </c>
      <c r="E62" s="7" t="str">
        <f>CONCATENATE(D62,8)</f>
        <v>D949GW8</v>
      </c>
      <c r="F62" s="7" t="s">
        <v>386</v>
      </c>
      <c r="G62" s="7" t="s">
        <v>387</v>
      </c>
      <c r="H62" s="7" t="str">
        <f>CONCATENATE(F62, " ", G62)</f>
        <v>EDDIE GILBERT III</v>
      </c>
      <c r="I62" s="7" t="s">
        <v>199</v>
      </c>
      <c r="J62" s="6">
        <v>45630</v>
      </c>
      <c r="K62" s="6">
        <f>DATE(YEAR(J62), MONTH(J62), DAY(1))</f>
        <v>45627</v>
      </c>
      <c r="L62" s="8">
        <v>45658</v>
      </c>
      <c r="M62" s="6">
        <f>DATE(YEAR(K62), MONTH(K62) +1, DAY(K62))</f>
        <v>45658</v>
      </c>
      <c r="N62" s="7" t="s">
        <v>0</v>
      </c>
      <c r="O62" s="7" t="s">
        <v>109</v>
      </c>
      <c r="P62" s="7" t="s">
        <v>49</v>
      </c>
      <c r="Q62" s="7" t="s">
        <v>50</v>
      </c>
      <c r="R62" s="7">
        <v>625.99999200000002</v>
      </c>
      <c r="S62" s="7">
        <v>249.99998400000001</v>
      </c>
      <c r="T62" s="7">
        <v>876</v>
      </c>
      <c r="U62" s="7">
        <v>626</v>
      </c>
      <c r="V62" s="7" t="s">
        <v>439</v>
      </c>
    </row>
    <row r="63" spans="1:23" x14ac:dyDescent="0.2">
      <c r="A63" s="6">
        <v>45674</v>
      </c>
      <c r="B63" s="7">
        <v>20212926</v>
      </c>
      <c r="C63" s="7" t="s">
        <v>205</v>
      </c>
      <c r="D63" s="7" t="s">
        <v>206</v>
      </c>
      <c r="E63" s="7" t="str">
        <f>CONCATENATE(D63,8)</f>
        <v>DCY63A8</v>
      </c>
      <c r="F63" s="7" t="s">
        <v>208</v>
      </c>
      <c r="G63" s="7" t="s">
        <v>209</v>
      </c>
      <c r="H63" s="7" t="str">
        <f>CONCATENATE(F63, " ", G63)</f>
        <v>BERTHA CARRILLO</v>
      </c>
      <c r="I63" s="7" t="s">
        <v>57</v>
      </c>
      <c r="J63" s="6">
        <v>45595</v>
      </c>
      <c r="K63" s="6">
        <f>DATE(YEAR(J63), MONTH(J63), DAY(1))</f>
        <v>45566</v>
      </c>
      <c r="L63" s="8">
        <v>45658</v>
      </c>
      <c r="M63" s="6">
        <f>DATE(YEAR(K63), MONTH(K63) +1, DAY(K63))</f>
        <v>45597</v>
      </c>
      <c r="N63" s="7" t="s">
        <v>0</v>
      </c>
      <c r="O63" s="7" t="s">
        <v>59</v>
      </c>
      <c r="P63" s="7" t="s">
        <v>60</v>
      </c>
      <c r="Q63" s="7" t="s">
        <v>50</v>
      </c>
      <c r="R63" s="7">
        <v>312.99999600000001</v>
      </c>
      <c r="S63" s="7">
        <v>199.99999199999999</v>
      </c>
      <c r="T63" s="7">
        <v>513</v>
      </c>
      <c r="U63" s="7">
        <v>313</v>
      </c>
      <c r="V63" s="7" t="s">
        <v>438</v>
      </c>
      <c r="W63" s="7" t="s">
        <v>435</v>
      </c>
    </row>
    <row r="64" spans="1:23" x14ac:dyDescent="0.2">
      <c r="A64" s="6">
        <v>45674</v>
      </c>
      <c r="B64" s="7">
        <v>20212926</v>
      </c>
      <c r="C64" s="7" t="s">
        <v>205</v>
      </c>
      <c r="D64" s="7" t="s">
        <v>303</v>
      </c>
      <c r="E64" s="7" t="str">
        <f>CONCATENATE(D64,8)</f>
        <v>DZ6GWY8</v>
      </c>
      <c r="F64" s="7" t="s">
        <v>192</v>
      </c>
      <c r="G64" s="7" t="s">
        <v>305</v>
      </c>
      <c r="H64" s="7" t="str">
        <f>CONCATENATE(F64, " ", G64)</f>
        <v>MICHAEL BARNISH</v>
      </c>
      <c r="I64" s="7" t="s">
        <v>57</v>
      </c>
      <c r="J64" s="6">
        <v>45615</v>
      </c>
      <c r="K64" s="6">
        <f>DATE(YEAR(J64), MONTH(J64), DAY(1))</f>
        <v>45597</v>
      </c>
      <c r="L64" s="8">
        <v>45658</v>
      </c>
      <c r="M64" s="6">
        <f>DATE(YEAR(K64), MONTH(K64) +1, DAY(K64))</f>
        <v>45627</v>
      </c>
      <c r="N64" s="7" t="s">
        <v>0</v>
      </c>
      <c r="O64" s="7" t="s">
        <v>72</v>
      </c>
      <c r="P64" s="7" t="s">
        <v>49</v>
      </c>
      <c r="Q64" s="7" t="s">
        <v>50</v>
      </c>
      <c r="R64" s="7">
        <v>625.99999200000002</v>
      </c>
      <c r="S64" s="7">
        <v>199.99999199999999</v>
      </c>
      <c r="T64" s="7">
        <v>826</v>
      </c>
      <c r="U64" s="7">
        <v>626</v>
      </c>
      <c r="V64" s="7" t="s">
        <v>439</v>
      </c>
    </row>
    <row r="65" spans="1:22" x14ac:dyDescent="0.2">
      <c r="A65" s="6">
        <v>45674</v>
      </c>
      <c r="B65" s="7">
        <v>20411454</v>
      </c>
      <c r="C65" s="7" t="s">
        <v>436</v>
      </c>
      <c r="D65" s="7" t="s">
        <v>43</v>
      </c>
      <c r="E65" s="7" t="str">
        <f>CONCATENATE(D65,88)</f>
        <v>D8S8F888</v>
      </c>
      <c r="F65" s="7" t="s">
        <v>45</v>
      </c>
      <c r="G65" s="7" t="s">
        <v>46</v>
      </c>
      <c r="H65" s="7" t="str">
        <f>CONCATENATE(F65, " ", G65)</f>
        <v>JOHN HIGHAM</v>
      </c>
      <c r="I65" s="7" t="s">
        <v>47</v>
      </c>
      <c r="J65" s="6">
        <v>45576</v>
      </c>
      <c r="K65" s="6">
        <f>DATE(YEAR(J65), MONTH(J65), DAY(1))</f>
        <v>45566</v>
      </c>
      <c r="L65" s="6">
        <v>45597</v>
      </c>
      <c r="M65" s="6">
        <f>DATE(YEAR(K65), MONTH(K65) +1, DAY(K65))</f>
        <v>45597</v>
      </c>
      <c r="N65" s="6">
        <v>45688</v>
      </c>
      <c r="O65" s="7" t="s">
        <v>0</v>
      </c>
      <c r="P65" s="7" t="s">
        <v>49</v>
      </c>
      <c r="Q65" s="7" t="s">
        <v>50</v>
      </c>
      <c r="R65" s="7">
        <v>-101.833332</v>
      </c>
      <c r="S65" s="7">
        <v>-199.99999199999999</v>
      </c>
      <c r="T65" s="7">
        <v>-301.83</v>
      </c>
      <c r="U65" s="7">
        <v>-200</v>
      </c>
      <c r="V65" s="7" t="s">
        <v>437</v>
      </c>
    </row>
    <row r="66" spans="1:22" x14ac:dyDescent="0.2">
      <c r="A66" s="6">
        <v>45674</v>
      </c>
      <c r="B66" s="7">
        <v>20411454</v>
      </c>
      <c r="C66" s="7" t="s">
        <v>436</v>
      </c>
      <c r="D66" s="7" t="s">
        <v>212</v>
      </c>
      <c r="E66" s="7" t="str">
        <f>CONCATENATE(D66,88)</f>
        <v>D939F688</v>
      </c>
      <c r="F66" s="7" t="s">
        <v>214</v>
      </c>
      <c r="G66" s="7" t="s">
        <v>215</v>
      </c>
      <c r="H66" s="7" t="str">
        <f>CONCATENATE(F66, " ", G66)</f>
        <v>MARIA DENNIE</v>
      </c>
      <c r="I66" s="7" t="s">
        <v>216</v>
      </c>
      <c r="J66" s="6">
        <v>45595</v>
      </c>
      <c r="K66" s="6">
        <f>DATE(YEAR(J66), MONTH(J66), DAY(1))</f>
        <v>45566</v>
      </c>
      <c r="L66" s="8">
        <v>45658</v>
      </c>
      <c r="M66" s="6">
        <f>DATE(YEAR(K66), MONTH(K66) +1, DAY(K66))</f>
        <v>45597</v>
      </c>
      <c r="N66" s="7" t="s">
        <v>0</v>
      </c>
      <c r="O66" s="7" t="s">
        <v>59</v>
      </c>
      <c r="P66" s="7" t="s">
        <v>60</v>
      </c>
      <c r="Q66" s="7" t="s">
        <v>50</v>
      </c>
      <c r="R66" s="7">
        <v>0</v>
      </c>
      <c r="S66" s="7">
        <v>199.99999199999999</v>
      </c>
      <c r="T66" s="7">
        <v>200</v>
      </c>
      <c r="U66" s="7">
        <v>200</v>
      </c>
      <c r="V66" s="7" t="s">
        <v>437</v>
      </c>
    </row>
    <row r="67" spans="1:22" x14ac:dyDescent="0.2">
      <c r="A67" s="6">
        <v>45674</v>
      </c>
      <c r="B67" s="7">
        <v>20411454</v>
      </c>
      <c r="C67" s="7" t="s">
        <v>436</v>
      </c>
      <c r="D67" s="7" t="s">
        <v>53</v>
      </c>
      <c r="E67" s="7" t="str">
        <f>CONCATENATE(D67,88)</f>
        <v>DC3EKR88</v>
      </c>
      <c r="F67" s="7" t="s">
        <v>55</v>
      </c>
      <c r="G67" s="7" t="s">
        <v>56</v>
      </c>
      <c r="H67" s="7" t="str">
        <f>CONCATENATE(F67, " ", G67)</f>
        <v>DEBRA MURPHY</v>
      </c>
      <c r="I67" s="7" t="s">
        <v>57</v>
      </c>
      <c r="J67" s="6">
        <v>45580</v>
      </c>
      <c r="K67" s="6">
        <f>DATE(YEAR(J67), MONTH(J67), DAY(1))</f>
        <v>45566</v>
      </c>
      <c r="L67" s="8">
        <v>45658</v>
      </c>
      <c r="M67" s="6">
        <f>DATE(YEAR(K67), MONTH(K67) +1, DAY(K67))</f>
        <v>45597</v>
      </c>
      <c r="N67" s="7" t="s">
        <v>0</v>
      </c>
      <c r="O67" s="7" t="s">
        <v>59</v>
      </c>
      <c r="P67" s="7" t="s">
        <v>60</v>
      </c>
      <c r="Q67" s="7" t="s">
        <v>50</v>
      </c>
      <c r="R67" s="7">
        <v>312.99999600000001</v>
      </c>
      <c r="S67" s="7">
        <v>199.99999199999999</v>
      </c>
      <c r="T67" s="7">
        <v>513</v>
      </c>
      <c r="U67" s="7">
        <v>200</v>
      </c>
      <c r="V67" s="7" t="s">
        <v>437</v>
      </c>
    </row>
    <row r="68" spans="1:22" x14ac:dyDescent="0.2">
      <c r="A68" s="6">
        <v>45674</v>
      </c>
      <c r="B68" s="7">
        <v>20411454</v>
      </c>
      <c r="C68" s="7" t="s">
        <v>436</v>
      </c>
      <c r="D68" s="7" t="s">
        <v>63</v>
      </c>
      <c r="E68" s="7" t="str">
        <f>CONCATENATE(D68,88)</f>
        <v>DS9Y8588</v>
      </c>
      <c r="F68" s="7" t="s">
        <v>65</v>
      </c>
      <c r="G68" s="7" t="s">
        <v>66</v>
      </c>
      <c r="H68" s="7" t="str">
        <f>CONCATENATE(F68, " ", G68)</f>
        <v>ARIF SIRAJ</v>
      </c>
      <c r="I68" s="7" t="s">
        <v>57</v>
      </c>
      <c r="J68" s="6">
        <v>45580</v>
      </c>
      <c r="K68" s="6">
        <f>DATE(YEAR(J68), MONTH(J68), DAY(1))</f>
        <v>45566</v>
      </c>
      <c r="L68" s="8">
        <v>45658</v>
      </c>
      <c r="M68" s="6">
        <f>DATE(YEAR(K68), MONTH(K68) +1, DAY(K68))</f>
        <v>45597</v>
      </c>
      <c r="N68" s="7" t="s">
        <v>0</v>
      </c>
      <c r="O68" s="7" t="s">
        <v>59</v>
      </c>
      <c r="P68" s="7" t="s">
        <v>60</v>
      </c>
      <c r="Q68" s="7" t="s">
        <v>50</v>
      </c>
      <c r="R68" s="7">
        <v>312.99999600000001</v>
      </c>
      <c r="S68" s="7">
        <v>199.99999199999999</v>
      </c>
      <c r="T68" s="7">
        <v>513</v>
      </c>
      <c r="U68" s="7">
        <v>200</v>
      </c>
      <c r="V68" s="7" t="s">
        <v>437</v>
      </c>
    </row>
    <row r="69" spans="1:22" x14ac:dyDescent="0.2">
      <c r="A69" s="6">
        <v>45674</v>
      </c>
      <c r="B69" s="7">
        <v>20411454</v>
      </c>
      <c r="C69" s="7" t="s">
        <v>436</v>
      </c>
      <c r="D69" s="7" t="s">
        <v>75</v>
      </c>
      <c r="E69" s="7" t="str">
        <f>CONCATENATE(D69,88)</f>
        <v>DE72ZC88</v>
      </c>
      <c r="F69" s="7" t="s">
        <v>77</v>
      </c>
      <c r="G69" s="7" t="s">
        <v>78</v>
      </c>
      <c r="H69" s="7" t="str">
        <f>CONCATENATE(F69, " ", G69)</f>
        <v>LAVERNE DONATO</v>
      </c>
      <c r="I69" s="7" t="s">
        <v>57</v>
      </c>
      <c r="J69" s="6">
        <v>45581</v>
      </c>
      <c r="K69" s="6">
        <f>DATE(YEAR(J69), MONTH(J69), DAY(1))</f>
        <v>45566</v>
      </c>
      <c r="L69" s="8">
        <v>45658</v>
      </c>
      <c r="M69" s="6">
        <f>DATE(YEAR(K69), MONTH(K69) +1, DAY(K69))</f>
        <v>45597</v>
      </c>
      <c r="N69" s="7" t="s">
        <v>0</v>
      </c>
      <c r="O69" s="7" t="s">
        <v>59</v>
      </c>
      <c r="P69" s="7" t="s">
        <v>60</v>
      </c>
      <c r="Q69" s="7" t="s">
        <v>50</v>
      </c>
      <c r="R69" s="7">
        <v>312.99999600000001</v>
      </c>
      <c r="S69" s="7">
        <v>199.99999199999999</v>
      </c>
      <c r="T69" s="7">
        <v>513</v>
      </c>
      <c r="U69" s="7">
        <v>200</v>
      </c>
      <c r="V69" s="7" t="s">
        <v>437</v>
      </c>
    </row>
    <row r="70" spans="1:22" x14ac:dyDescent="0.2">
      <c r="A70" s="6">
        <v>45674</v>
      </c>
      <c r="B70" s="7">
        <v>20411454</v>
      </c>
      <c r="C70" s="7" t="s">
        <v>436</v>
      </c>
      <c r="D70" s="7" t="s">
        <v>79</v>
      </c>
      <c r="E70" s="7" t="str">
        <f>CONCATENATE(D70,88)</f>
        <v>DHSKKF88</v>
      </c>
      <c r="F70" s="7" t="s">
        <v>81</v>
      </c>
      <c r="G70" s="7" t="s">
        <v>78</v>
      </c>
      <c r="H70" s="7" t="str">
        <f>CONCATENATE(F70, " ", G70)</f>
        <v>CASIMER DONATO</v>
      </c>
      <c r="I70" s="7" t="s">
        <v>57</v>
      </c>
      <c r="J70" s="6">
        <v>45581</v>
      </c>
      <c r="K70" s="6">
        <f>DATE(YEAR(J70), MONTH(J70), DAY(1))</f>
        <v>45566</v>
      </c>
      <c r="L70" s="8">
        <v>45658</v>
      </c>
      <c r="M70" s="6">
        <f>DATE(YEAR(K70), MONTH(K70) +1, DAY(K70))</f>
        <v>45597</v>
      </c>
      <c r="N70" s="7" t="s">
        <v>0</v>
      </c>
      <c r="O70" s="7" t="s">
        <v>59</v>
      </c>
      <c r="P70" s="7" t="s">
        <v>60</v>
      </c>
      <c r="Q70" s="7" t="s">
        <v>50</v>
      </c>
      <c r="R70" s="7">
        <v>312.99999600000001</v>
      </c>
      <c r="S70" s="7">
        <v>199.99999199999999</v>
      </c>
      <c r="T70" s="7">
        <v>513</v>
      </c>
      <c r="U70" s="7">
        <v>200</v>
      </c>
      <c r="V70" s="7" t="s">
        <v>437</v>
      </c>
    </row>
    <row r="71" spans="1:22" x14ac:dyDescent="0.2">
      <c r="A71" s="6">
        <v>45674</v>
      </c>
      <c r="B71" s="7">
        <v>20411454</v>
      </c>
      <c r="C71" s="7" t="s">
        <v>436</v>
      </c>
      <c r="D71" s="7" t="s">
        <v>82</v>
      </c>
      <c r="E71" s="7" t="str">
        <f>CONCATENATE(D71,88)</f>
        <v>DRS32688</v>
      </c>
      <c r="F71" s="7" t="s">
        <v>84</v>
      </c>
      <c r="G71" s="7" t="s">
        <v>70</v>
      </c>
      <c r="H71" s="7" t="str">
        <f>CONCATENATE(F71, " ", G71)</f>
        <v>EUGENE LYZUN</v>
      </c>
      <c r="I71" s="7" t="s">
        <v>57</v>
      </c>
      <c r="J71" s="6">
        <v>45581</v>
      </c>
      <c r="K71" s="6">
        <f>DATE(YEAR(J71), MONTH(J71), DAY(1))</f>
        <v>45566</v>
      </c>
      <c r="L71" s="8">
        <v>45658</v>
      </c>
      <c r="M71" s="6">
        <f>DATE(YEAR(K71), MONTH(K71) +1, DAY(K71))</f>
        <v>45597</v>
      </c>
      <c r="N71" s="7" t="s">
        <v>0</v>
      </c>
      <c r="O71" s="7" t="s">
        <v>59</v>
      </c>
      <c r="P71" s="7" t="s">
        <v>60</v>
      </c>
      <c r="Q71" s="7" t="s">
        <v>50</v>
      </c>
      <c r="R71" s="7">
        <v>312.99999600000001</v>
      </c>
      <c r="S71" s="7">
        <v>199.99999199999999</v>
      </c>
      <c r="T71" s="7">
        <v>513</v>
      </c>
      <c r="U71" s="7">
        <v>200</v>
      </c>
      <c r="V71" s="7" t="s">
        <v>437</v>
      </c>
    </row>
    <row r="72" spans="1:22" x14ac:dyDescent="0.2">
      <c r="A72" s="6">
        <v>45674</v>
      </c>
      <c r="B72" s="7">
        <v>20411454</v>
      </c>
      <c r="C72" s="7" t="s">
        <v>436</v>
      </c>
      <c r="D72" s="7" t="s">
        <v>87</v>
      </c>
      <c r="E72" s="7" t="str">
        <f>CONCATENATE(D72,88)</f>
        <v>D87SKK88</v>
      </c>
      <c r="F72" s="7" t="s">
        <v>89</v>
      </c>
      <c r="G72" s="7" t="s">
        <v>90</v>
      </c>
      <c r="H72" s="7" t="str">
        <f>CONCATENATE(F72, " ", G72)</f>
        <v>CHERYL RUDD</v>
      </c>
      <c r="I72" s="7" t="s">
        <v>57</v>
      </c>
      <c r="J72" s="6">
        <v>45582</v>
      </c>
      <c r="K72" s="6">
        <f>DATE(YEAR(J72), MONTH(J72), DAY(1))</f>
        <v>45566</v>
      </c>
      <c r="L72" s="8">
        <v>45658</v>
      </c>
      <c r="M72" s="6">
        <f>DATE(YEAR(K72), MONTH(K72) +1, DAY(K72))</f>
        <v>45597</v>
      </c>
      <c r="N72" s="7" t="s">
        <v>0</v>
      </c>
      <c r="O72" s="7" t="s">
        <v>59</v>
      </c>
      <c r="P72" s="7" t="s">
        <v>60</v>
      </c>
      <c r="Q72" s="7" t="s">
        <v>50</v>
      </c>
      <c r="R72" s="7">
        <v>312.99999600000001</v>
      </c>
      <c r="S72" s="7">
        <v>199.99999199999999</v>
      </c>
      <c r="T72" s="7">
        <v>513</v>
      </c>
      <c r="U72" s="7">
        <v>200</v>
      </c>
      <c r="V72" s="7" t="s">
        <v>437</v>
      </c>
    </row>
    <row r="73" spans="1:22" x14ac:dyDescent="0.2">
      <c r="A73" s="6">
        <v>45674</v>
      </c>
      <c r="B73" s="7">
        <v>20411454</v>
      </c>
      <c r="C73" s="7" t="s">
        <v>436</v>
      </c>
      <c r="D73" s="7" t="s">
        <v>91</v>
      </c>
      <c r="E73" s="7" t="str">
        <f>CONCATENATE(D73,88)</f>
        <v>DARF7K88</v>
      </c>
      <c r="F73" s="7" t="s">
        <v>93</v>
      </c>
      <c r="G73" s="7" t="s">
        <v>90</v>
      </c>
      <c r="H73" s="7" t="str">
        <f>CONCATENATE(F73, " ", G73)</f>
        <v>SCOTT RUDD</v>
      </c>
      <c r="I73" s="7" t="s">
        <v>57</v>
      </c>
      <c r="J73" s="6">
        <v>45582</v>
      </c>
      <c r="K73" s="6">
        <f>DATE(YEAR(J73), MONTH(J73), DAY(1))</f>
        <v>45566</v>
      </c>
      <c r="L73" s="8">
        <v>45658</v>
      </c>
      <c r="M73" s="6">
        <f>DATE(YEAR(K73), MONTH(K73) +1, DAY(K73))</f>
        <v>45597</v>
      </c>
      <c r="N73" s="7" t="s">
        <v>0</v>
      </c>
      <c r="O73" s="7" t="s">
        <v>59</v>
      </c>
      <c r="P73" s="7" t="s">
        <v>60</v>
      </c>
      <c r="Q73" s="7" t="s">
        <v>50</v>
      </c>
      <c r="R73" s="7">
        <v>312.99999600000001</v>
      </c>
      <c r="S73" s="7">
        <v>199.99999199999999</v>
      </c>
      <c r="T73" s="7">
        <v>513</v>
      </c>
      <c r="U73" s="7">
        <v>200</v>
      </c>
      <c r="V73" s="7" t="s">
        <v>437</v>
      </c>
    </row>
    <row r="74" spans="1:22" x14ac:dyDescent="0.2">
      <c r="A74" s="6">
        <v>45674</v>
      </c>
      <c r="B74" s="7">
        <v>20411454</v>
      </c>
      <c r="C74" s="7" t="s">
        <v>436</v>
      </c>
      <c r="D74" s="7" t="s">
        <v>96</v>
      </c>
      <c r="E74" s="7" t="str">
        <f>CONCATENATE(D74,88)</f>
        <v>DR9GSJ88</v>
      </c>
      <c r="F74" s="7" t="s">
        <v>98</v>
      </c>
      <c r="G74" s="7" t="s">
        <v>99</v>
      </c>
      <c r="H74" s="7" t="str">
        <f>CONCATENATE(F74, " ", G74)</f>
        <v>SHEILA ENGLISH</v>
      </c>
      <c r="I74" s="7" t="s">
        <v>57</v>
      </c>
      <c r="J74" s="6">
        <v>45583</v>
      </c>
      <c r="K74" s="6">
        <f>DATE(YEAR(J74), MONTH(J74), DAY(1))</f>
        <v>45566</v>
      </c>
      <c r="L74" s="8">
        <v>45658</v>
      </c>
      <c r="M74" s="6">
        <f>DATE(YEAR(K74), MONTH(K74) +1, DAY(K74))</f>
        <v>45597</v>
      </c>
      <c r="N74" s="7" t="s">
        <v>0</v>
      </c>
      <c r="O74" s="7" t="s">
        <v>59</v>
      </c>
      <c r="P74" s="7" t="s">
        <v>60</v>
      </c>
      <c r="Q74" s="7" t="s">
        <v>50</v>
      </c>
      <c r="R74" s="7">
        <v>312.99999600000001</v>
      </c>
      <c r="S74" s="7">
        <v>199.99999199999999</v>
      </c>
      <c r="T74" s="7">
        <v>513</v>
      </c>
      <c r="U74" s="7">
        <v>200</v>
      </c>
      <c r="V74" s="7" t="s">
        <v>437</v>
      </c>
    </row>
    <row r="75" spans="1:22" x14ac:dyDescent="0.2">
      <c r="A75" s="6">
        <v>45674</v>
      </c>
      <c r="B75" s="7">
        <v>20411454</v>
      </c>
      <c r="C75" s="7" t="s">
        <v>436</v>
      </c>
      <c r="D75" s="7" t="s">
        <v>102</v>
      </c>
      <c r="E75" s="7" t="str">
        <f>CONCATENATE(D75,88)</f>
        <v>DG6YEF88</v>
      </c>
      <c r="F75" s="7" t="s">
        <v>93</v>
      </c>
      <c r="G75" s="7" t="s">
        <v>104</v>
      </c>
      <c r="H75" s="7" t="str">
        <f>CONCATENATE(F75, " ", G75)</f>
        <v>SCOTT SMITH</v>
      </c>
      <c r="I75" s="7" t="s">
        <v>57</v>
      </c>
      <c r="J75" s="6">
        <v>45583</v>
      </c>
      <c r="K75" s="6">
        <f>DATE(YEAR(J75), MONTH(J75), DAY(1))</f>
        <v>45566</v>
      </c>
      <c r="L75" s="8">
        <v>45658</v>
      </c>
      <c r="M75" s="6">
        <f>DATE(YEAR(K75), MONTH(K75) +1, DAY(K75))</f>
        <v>45597</v>
      </c>
      <c r="N75" s="7" t="s">
        <v>0</v>
      </c>
      <c r="O75" s="7" t="s">
        <v>59</v>
      </c>
      <c r="P75" s="7" t="s">
        <v>60</v>
      </c>
      <c r="Q75" s="7" t="s">
        <v>50</v>
      </c>
      <c r="R75" s="7">
        <v>312.99999600000001</v>
      </c>
      <c r="S75" s="7">
        <v>199.99999199999999</v>
      </c>
      <c r="T75" s="7">
        <v>513</v>
      </c>
      <c r="U75" s="7">
        <v>200</v>
      </c>
      <c r="V75" s="7" t="s">
        <v>437</v>
      </c>
    </row>
    <row r="76" spans="1:22" x14ac:dyDescent="0.2">
      <c r="A76" s="6">
        <v>45674</v>
      </c>
      <c r="B76" s="7">
        <v>20411454</v>
      </c>
      <c r="C76" s="7" t="s">
        <v>436</v>
      </c>
      <c r="D76" s="7" t="s">
        <v>114</v>
      </c>
      <c r="E76" s="7" t="str">
        <f>CONCATENATE(D76,88)</f>
        <v>DSF4K788</v>
      </c>
      <c r="F76" s="7" t="s">
        <v>116</v>
      </c>
      <c r="G76" s="7" t="s">
        <v>117</v>
      </c>
      <c r="H76" s="7" t="str">
        <f>CONCATENATE(F76, " ", G76)</f>
        <v>CANDACE DOBRINO</v>
      </c>
      <c r="I76" s="7" t="s">
        <v>57</v>
      </c>
      <c r="J76" s="6">
        <v>45584</v>
      </c>
      <c r="K76" s="6">
        <f>DATE(YEAR(J76), MONTH(J76), DAY(1))</f>
        <v>45566</v>
      </c>
      <c r="L76" s="8">
        <v>45658</v>
      </c>
      <c r="M76" s="6">
        <f>DATE(YEAR(K76), MONTH(K76) +1, DAY(K76))</f>
        <v>45597</v>
      </c>
      <c r="N76" s="7" t="s">
        <v>0</v>
      </c>
      <c r="O76" s="7" t="s">
        <v>59</v>
      </c>
      <c r="P76" s="7" t="s">
        <v>60</v>
      </c>
      <c r="Q76" s="7" t="s">
        <v>50</v>
      </c>
      <c r="R76" s="7">
        <v>312.99999600000001</v>
      </c>
      <c r="S76" s="7">
        <v>199.99999199999999</v>
      </c>
      <c r="T76" s="7">
        <v>513</v>
      </c>
      <c r="U76" s="7">
        <v>200</v>
      </c>
      <c r="V76" s="7" t="s">
        <v>437</v>
      </c>
    </row>
    <row r="77" spans="1:22" x14ac:dyDescent="0.2">
      <c r="A77" s="6">
        <v>45674</v>
      </c>
      <c r="B77" s="7">
        <v>20411454</v>
      </c>
      <c r="C77" s="7" t="s">
        <v>436</v>
      </c>
      <c r="D77" s="7" t="s">
        <v>130</v>
      </c>
      <c r="E77" s="7" t="str">
        <f>CONCATENATE(D77,88)</f>
        <v>DFFGS388</v>
      </c>
      <c r="F77" s="7" t="s">
        <v>132</v>
      </c>
      <c r="G77" s="7" t="s">
        <v>133</v>
      </c>
      <c r="H77" s="7" t="str">
        <f>CONCATENATE(F77, " ", G77)</f>
        <v>ENOCH ANDERSON</v>
      </c>
      <c r="I77" s="7" t="s">
        <v>57</v>
      </c>
      <c r="J77" s="6">
        <v>45586</v>
      </c>
      <c r="K77" s="6">
        <f>DATE(YEAR(J77), MONTH(J77), DAY(1))</f>
        <v>45566</v>
      </c>
      <c r="L77" s="8">
        <v>45658</v>
      </c>
      <c r="M77" s="6">
        <f>DATE(YEAR(K77), MONTH(K77) +1, DAY(K77))</f>
        <v>45597</v>
      </c>
      <c r="N77" s="7" t="s">
        <v>0</v>
      </c>
      <c r="O77" s="7" t="s">
        <v>59</v>
      </c>
      <c r="P77" s="7" t="s">
        <v>60</v>
      </c>
      <c r="Q77" s="7" t="s">
        <v>50</v>
      </c>
      <c r="R77" s="7">
        <v>312.99999600000001</v>
      </c>
      <c r="S77" s="7">
        <v>199.99999199999999</v>
      </c>
      <c r="T77" s="7">
        <v>513</v>
      </c>
      <c r="U77" s="7">
        <v>200</v>
      </c>
      <c r="V77" s="7" t="s">
        <v>437</v>
      </c>
    </row>
    <row r="78" spans="1:22" x14ac:dyDescent="0.2">
      <c r="A78" s="6">
        <v>45674</v>
      </c>
      <c r="B78" s="7">
        <v>20411454</v>
      </c>
      <c r="C78" s="7" t="s">
        <v>436</v>
      </c>
      <c r="D78" s="7" t="s">
        <v>118</v>
      </c>
      <c r="E78" s="7" t="str">
        <f>CONCATENATE(D78,88)</f>
        <v>D3W8UJ88</v>
      </c>
      <c r="F78" s="7" t="s">
        <v>120</v>
      </c>
      <c r="G78" s="7" t="s">
        <v>121</v>
      </c>
      <c r="H78" s="7" t="str">
        <f>CONCATENATE(F78, " ", G78)</f>
        <v>SALLY FERMAINT</v>
      </c>
      <c r="I78" s="7" t="s">
        <v>57</v>
      </c>
      <c r="J78" s="6">
        <v>45586</v>
      </c>
      <c r="K78" s="6">
        <f>DATE(YEAR(J78), MONTH(J78), DAY(1))</f>
        <v>45566</v>
      </c>
      <c r="L78" s="8">
        <v>45658</v>
      </c>
      <c r="M78" s="6">
        <f>DATE(YEAR(K78), MONTH(K78) +1, DAY(K78))</f>
        <v>45597</v>
      </c>
      <c r="N78" s="7" t="s">
        <v>0</v>
      </c>
      <c r="O78" s="7" t="s">
        <v>59</v>
      </c>
      <c r="P78" s="7" t="s">
        <v>60</v>
      </c>
      <c r="Q78" s="7" t="s">
        <v>50</v>
      </c>
      <c r="R78" s="7">
        <v>312.99999600000001</v>
      </c>
      <c r="S78" s="7">
        <v>199.99999199999999</v>
      </c>
      <c r="T78" s="7">
        <v>513</v>
      </c>
      <c r="U78" s="7">
        <v>200</v>
      </c>
      <c r="V78" s="7" t="s">
        <v>437</v>
      </c>
    </row>
    <row r="79" spans="1:22" x14ac:dyDescent="0.2">
      <c r="A79" s="6">
        <v>45674</v>
      </c>
      <c r="B79" s="7">
        <v>20411454</v>
      </c>
      <c r="C79" s="7" t="s">
        <v>436</v>
      </c>
      <c r="D79" s="7" t="s">
        <v>124</v>
      </c>
      <c r="E79" s="7" t="str">
        <f>CONCATENATE(D79,88)</f>
        <v>D5E4KJ88</v>
      </c>
      <c r="F79" s="7" t="s">
        <v>126</v>
      </c>
      <c r="G79" s="7" t="s">
        <v>127</v>
      </c>
      <c r="H79" s="7" t="str">
        <f>CONCATENATE(F79, " ", G79)</f>
        <v>REBECCA NORTON</v>
      </c>
      <c r="I79" s="7" t="s">
        <v>57</v>
      </c>
      <c r="J79" s="6">
        <v>45586</v>
      </c>
      <c r="K79" s="6">
        <f>DATE(YEAR(J79), MONTH(J79), DAY(1))</f>
        <v>45566</v>
      </c>
      <c r="L79" s="8">
        <v>45658</v>
      </c>
      <c r="M79" s="6">
        <f>DATE(YEAR(K79), MONTH(K79) +1, DAY(K79))</f>
        <v>45597</v>
      </c>
      <c r="N79" s="7" t="s">
        <v>0</v>
      </c>
      <c r="O79" s="7" t="s">
        <v>59</v>
      </c>
      <c r="P79" s="7" t="s">
        <v>60</v>
      </c>
      <c r="Q79" s="7" t="s">
        <v>50</v>
      </c>
      <c r="R79" s="7">
        <v>312.99999600000001</v>
      </c>
      <c r="S79" s="7">
        <v>199.99999199999999</v>
      </c>
      <c r="T79" s="7">
        <v>513</v>
      </c>
      <c r="U79" s="7">
        <v>200</v>
      </c>
      <c r="V79" s="7" t="s">
        <v>437</v>
      </c>
    </row>
    <row r="80" spans="1:22" x14ac:dyDescent="0.2">
      <c r="A80" s="6">
        <v>45674</v>
      </c>
      <c r="B80" s="7">
        <v>20411454</v>
      </c>
      <c r="C80" s="7" t="s">
        <v>436</v>
      </c>
      <c r="D80" s="7" t="s">
        <v>142</v>
      </c>
      <c r="E80" s="7" t="str">
        <f>CONCATENATE(D80,88)</f>
        <v>DZ25A688</v>
      </c>
      <c r="F80" s="7" t="s">
        <v>144</v>
      </c>
      <c r="G80" s="7" t="s">
        <v>145</v>
      </c>
      <c r="H80" s="7" t="str">
        <f>CONCATENATE(F80, " ", G80)</f>
        <v>KAREEMA ABDUL FARMER</v>
      </c>
      <c r="I80" s="7" t="s">
        <v>57</v>
      </c>
      <c r="J80" s="6">
        <v>45588</v>
      </c>
      <c r="K80" s="6">
        <f>DATE(YEAR(J80), MONTH(J80), DAY(1))</f>
        <v>45566</v>
      </c>
      <c r="L80" s="8">
        <v>45658</v>
      </c>
      <c r="M80" s="6">
        <f>DATE(YEAR(K80), MONTH(K80) +1, DAY(K80))</f>
        <v>45597</v>
      </c>
      <c r="N80" s="7" t="s">
        <v>0</v>
      </c>
      <c r="O80" s="7" t="s">
        <v>59</v>
      </c>
      <c r="P80" s="7" t="s">
        <v>60</v>
      </c>
      <c r="Q80" s="7" t="s">
        <v>50</v>
      </c>
      <c r="R80" s="7">
        <v>312.99999600000001</v>
      </c>
      <c r="S80" s="7">
        <v>199.99999199999999</v>
      </c>
      <c r="T80" s="7">
        <v>513</v>
      </c>
      <c r="U80" s="7">
        <v>200</v>
      </c>
      <c r="V80" s="7" t="s">
        <v>437</v>
      </c>
    </row>
    <row r="81" spans="1:22" x14ac:dyDescent="0.2">
      <c r="A81" s="6">
        <v>45674</v>
      </c>
      <c r="B81" s="7">
        <v>20411454</v>
      </c>
      <c r="C81" s="7" t="s">
        <v>436</v>
      </c>
      <c r="D81" s="7" t="s">
        <v>146</v>
      </c>
      <c r="E81" s="7" t="str">
        <f>CONCATENATE(D81,88)</f>
        <v>DK8GWE88</v>
      </c>
      <c r="F81" s="7" t="s">
        <v>148</v>
      </c>
      <c r="G81" s="7" t="s">
        <v>149</v>
      </c>
      <c r="H81" s="7" t="str">
        <f>CONCATENATE(F81, " ", G81)</f>
        <v>SANDRA WATERS</v>
      </c>
      <c r="I81" s="7" t="s">
        <v>47</v>
      </c>
      <c r="J81" s="6">
        <v>45589</v>
      </c>
      <c r="K81" s="6">
        <f>DATE(YEAR(J81), MONTH(J81), DAY(1))</f>
        <v>45566</v>
      </c>
      <c r="L81" s="8">
        <v>45658</v>
      </c>
      <c r="M81" s="6">
        <f>DATE(YEAR(K81), MONTH(K81) +1, DAY(K81))</f>
        <v>45597</v>
      </c>
      <c r="N81" s="7" t="s">
        <v>0</v>
      </c>
      <c r="O81" s="7" t="s">
        <v>59</v>
      </c>
      <c r="P81" s="7" t="s">
        <v>60</v>
      </c>
      <c r="Q81" s="7" t="s">
        <v>50</v>
      </c>
      <c r="R81" s="7">
        <v>312.99999600000001</v>
      </c>
      <c r="S81" s="7">
        <v>199.99999199999999</v>
      </c>
      <c r="T81" s="7">
        <v>513</v>
      </c>
      <c r="U81" s="7">
        <v>200</v>
      </c>
      <c r="V81" s="7" t="s">
        <v>437</v>
      </c>
    </row>
    <row r="82" spans="1:22" x14ac:dyDescent="0.2">
      <c r="A82" s="6">
        <v>45674</v>
      </c>
      <c r="B82" s="7">
        <v>20411454</v>
      </c>
      <c r="C82" s="7" t="s">
        <v>436</v>
      </c>
      <c r="D82" s="7" t="s">
        <v>151</v>
      </c>
      <c r="E82" s="7" t="str">
        <f>CONCATENATE(D82,88)</f>
        <v>DA5EJF88</v>
      </c>
      <c r="F82" s="7" t="s">
        <v>153</v>
      </c>
      <c r="G82" s="7" t="s">
        <v>154</v>
      </c>
      <c r="H82" s="7" t="str">
        <f>CONCATENATE(F82, " ", G82)</f>
        <v>MARY CARFAGNINI</v>
      </c>
      <c r="I82" s="7" t="s">
        <v>57</v>
      </c>
      <c r="J82" s="6">
        <v>45590</v>
      </c>
      <c r="K82" s="6">
        <f>DATE(YEAR(J82), MONTH(J82), DAY(1))</f>
        <v>45566</v>
      </c>
      <c r="L82" s="8">
        <v>45658</v>
      </c>
      <c r="M82" s="6">
        <f>DATE(YEAR(K82), MONTH(K82) +1, DAY(K82))</f>
        <v>45597</v>
      </c>
      <c r="N82" s="7" t="s">
        <v>0</v>
      </c>
      <c r="O82" s="7" t="s">
        <v>59</v>
      </c>
      <c r="P82" s="7" t="s">
        <v>60</v>
      </c>
      <c r="Q82" s="7" t="s">
        <v>50</v>
      </c>
      <c r="R82" s="7">
        <v>312.99999600000001</v>
      </c>
      <c r="S82" s="7">
        <v>199.99999199999999</v>
      </c>
      <c r="T82" s="7">
        <v>513</v>
      </c>
      <c r="U82" s="7">
        <v>200</v>
      </c>
      <c r="V82" s="7" t="s">
        <v>437</v>
      </c>
    </row>
    <row r="83" spans="1:22" x14ac:dyDescent="0.2">
      <c r="A83" s="6">
        <v>45674</v>
      </c>
      <c r="B83" s="7">
        <v>20411454</v>
      </c>
      <c r="C83" s="7" t="s">
        <v>436</v>
      </c>
      <c r="D83" s="7" t="s">
        <v>159</v>
      </c>
      <c r="E83" s="7" t="str">
        <f>CONCATENATE(D83,88)</f>
        <v>DJJH2A88</v>
      </c>
      <c r="F83" s="7" t="s">
        <v>161</v>
      </c>
      <c r="G83" s="7" t="s">
        <v>162</v>
      </c>
      <c r="H83" s="7" t="str">
        <f>CONCATENATE(F83, " ", G83)</f>
        <v>FELICIJA JABLONSKIS</v>
      </c>
      <c r="I83" s="7" t="s">
        <v>57</v>
      </c>
      <c r="J83" s="6">
        <v>45591</v>
      </c>
      <c r="K83" s="6">
        <f>DATE(YEAR(J83), MONTH(J83), DAY(1))</f>
        <v>45566</v>
      </c>
      <c r="L83" s="8">
        <v>45658</v>
      </c>
      <c r="M83" s="6">
        <f>DATE(YEAR(K83), MONTH(K83) +1, DAY(K83))</f>
        <v>45597</v>
      </c>
      <c r="N83" s="7" t="s">
        <v>0</v>
      </c>
      <c r="O83" s="7" t="s">
        <v>59</v>
      </c>
      <c r="P83" s="7" t="s">
        <v>60</v>
      </c>
      <c r="Q83" s="7" t="s">
        <v>50</v>
      </c>
      <c r="R83" s="7">
        <v>312.99999600000001</v>
      </c>
      <c r="S83" s="7">
        <v>199.99999199999999</v>
      </c>
      <c r="T83" s="7">
        <v>513</v>
      </c>
      <c r="U83" s="7">
        <v>200</v>
      </c>
      <c r="V83" s="7" t="s">
        <v>437</v>
      </c>
    </row>
    <row r="84" spans="1:22" x14ac:dyDescent="0.2">
      <c r="A84" s="6">
        <v>45674</v>
      </c>
      <c r="B84" s="7">
        <v>20411454</v>
      </c>
      <c r="C84" s="7" t="s">
        <v>436</v>
      </c>
      <c r="D84" s="7" t="s">
        <v>163</v>
      </c>
      <c r="E84" s="7" t="str">
        <f>CONCATENATE(D84,88)</f>
        <v>D62JA588</v>
      </c>
      <c r="F84" s="7" t="s">
        <v>165</v>
      </c>
      <c r="G84" s="7" t="s">
        <v>162</v>
      </c>
      <c r="H84" s="7" t="str">
        <f>CONCATENATE(F84, " ", G84)</f>
        <v>LINAS JABLONSKIS</v>
      </c>
      <c r="I84" s="7" t="s">
        <v>57</v>
      </c>
      <c r="J84" s="6">
        <v>45591</v>
      </c>
      <c r="K84" s="6">
        <f>DATE(YEAR(J84), MONTH(J84), DAY(1))</f>
        <v>45566</v>
      </c>
      <c r="L84" s="8">
        <v>45658</v>
      </c>
      <c r="M84" s="6">
        <f>DATE(YEAR(K84), MONTH(K84) +1, DAY(K84))</f>
        <v>45597</v>
      </c>
      <c r="N84" s="7" t="s">
        <v>0</v>
      </c>
      <c r="O84" s="7" t="s">
        <v>59</v>
      </c>
      <c r="P84" s="7" t="s">
        <v>60</v>
      </c>
      <c r="Q84" s="7" t="s">
        <v>50</v>
      </c>
      <c r="R84" s="7">
        <v>312.99999600000001</v>
      </c>
      <c r="S84" s="7">
        <v>199.99999199999999</v>
      </c>
      <c r="T84" s="7">
        <v>513</v>
      </c>
      <c r="U84" s="7">
        <v>200</v>
      </c>
      <c r="V84" s="7" t="s">
        <v>437</v>
      </c>
    </row>
    <row r="85" spans="1:22" x14ac:dyDescent="0.2">
      <c r="A85" s="6">
        <v>45674</v>
      </c>
      <c r="B85" s="7">
        <v>20411454</v>
      </c>
      <c r="C85" s="7" t="s">
        <v>436</v>
      </c>
      <c r="D85" s="7" t="s">
        <v>171</v>
      </c>
      <c r="E85" s="7" t="str">
        <f>CONCATENATE(D85,88)</f>
        <v>D2WWK388</v>
      </c>
      <c r="F85" s="7" t="s">
        <v>173</v>
      </c>
      <c r="G85" s="7" t="s">
        <v>174</v>
      </c>
      <c r="H85" s="7" t="str">
        <f>CONCATENATE(F85, " ", G85)</f>
        <v>CAROLE KRAJESKI</v>
      </c>
      <c r="I85" s="7" t="s">
        <v>57</v>
      </c>
      <c r="J85" s="6">
        <v>45591</v>
      </c>
      <c r="K85" s="6">
        <f>DATE(YEAR(J85), MONTH(J85), DAY(1))</f>
        <v>45566</v>
      </c>
      <c r="L85" s="8">
        <v>45658</v>
      </c>
      <c r="M85" s="6">
        <f>DATE(YEAR(K85), MONTH(K85) +1, DAY(K85))</f>
        <v>45597</v>
      </c>
      <c r="N85" s="7" t="s">
        <v>0</v>
      </c>
      <c r="O85" s="7" t="s">
        <v>59</v>
      </c>
      <c r="P85" s="7" t="s">
        <v>60</v>
      </c>
      <c r="Q85" s="7" t="s">
        <v>50</v>
      </c>
      <c r="R85" s="7">
        <v>312.99999600000001</v>
      </c>
      <c r="S85" s="7">
        <v>199.99999199999999</v>
      </c>
      <c r="T85" s="7">
        <v>513</v>
      </c>
      <c r="U85" s="7">
        <v>200</v>
      </c>
      <c r="V85" s="7" t="s">
        <v>437</v>
      </c>
    </row>
    <row r="86" spans="1:22" x14ac:dyDescent="0.2">
      <c r="A86" s="6">
        <v>45674</v>
      </c>
      <c r="B86" s="7">
        <v>20411454</v>
      </c>
      <c r="C86" s="7" t="s">
        <v>436</v>
      </c>
      <c r="D86" s="7" t="s">
        <v>166</v>
      </c>
      <c r="E86" s="7" t="str">
        <f>CONCATENATE(D86,88)</f>
        <v>DZG38J88</v>
      </c>
      <c r="F86" s="7" t="s">
        <v>168</v>
      </c>
      <c r="G86" s="7" t="s">
        <v>169</v>
      </c>
      <c r="H86" s="7" t="str">
        <f>CONCATENATE(F86, " ", G86)</f>
        <v>GARY RICHTER</v>
      </c>
      <c r="I86" s="7" t="s">
        <v>57</v>
      </c>
      <c r="J86" s="6">
        <v>45591</v>
      </c>
      <c r="K86" s="6">
        <f>DATE(YEAR(J86), MONTH(J86), DAY(1))</f>
        <v>45566</v>
      </c>
      <c r="L86" s="8">
        <v>45658</v>
      </c>
      <c r="M86" s="6">
        <f>DATE(YEAR(K86), MONTH(K86) +1, DAY(K86))</f>
        <v>45597</v>
      </c>
      <c r="N86" s="7" t="s">
        <v>0</v>
      </c>
      <c r="O86" s="7" t="s">
        <v>59</v>
      </c>
      <c r="P86" s="7" t="s">
        <v>60</v>
      </c>
      <c r="Q86" s="7" t="s">
        <v>50</v>
      </c>
      <c r="R86" s="7">
        <v>312.99999600000001</v>
      </c>
      <c r="S86" s="7">
        <v>199.99999199999999</v>
      </c>
      <c r="T86" s="7">
        <v>513</v>
      </c>
      <c r="U86" s="7">
        <v>200</v>
      </c>
      <c r="V86" s="7" t="s">
        <v>437</v>
      </c>
    </row>
    <row r="87" spans="1:22" x14ac:dyDescent="0.2">
      <c r="A87" s="6">
        <v>45674</v>
      </c>
      <c r="B87" s="7">
        <v>20411454</v>
      </c>
      <c r="C87" s="7" t="s">
        <v>436</v>
      </c>
      <c r="D87" s="7" t="s">
        <v>155</v>
      </c>
      <c r="E87" s="7" t="str">
        <f>CONCATENATE(D87,88)</f>
        <v>D3YF2S88</v>
      </c>
      <c r="F87" s="7" t="s">
        <v>157</v>
      </c>
      <c r="G87" s="7" t="s">
        <v>158</v>
      </c>
      <c r="H87" s="7" t="str">
        <f>CONCATENATE(F87, " ", G87)</f>
        <v>PAMM WILCOX</v>
      </c>
      <c r="I87" s="7" t="s">
        <v>57</v>
      </c>
      <c r="J87" s="6">
        <v>45591</v>
      </c>
      <c r="K87" s="6">
        <f>DATE(YEAR(J87), MONTH(J87), DAY(1))</f>
        <v>45566</v>
      </c>
      <c r="L87" s="8">
        <v>45658</v>
      </c>
      <c r="M87" s="6">
        <f>DATE(YEAR(K87), MONTH(K87) +1, DAY(K87))</f>
        <v>45597</v>
      </c>
      <c r="N87" s="7" t="s">
        <v>0</v>
      </c>
      <c r="O87" s="7" t="s">
        <v>59</v>
      </c>
      <c r="P87" s="7" t="s">
        <v>60</v>
      </c>
      <c r="Q87" s="7" t="s">
        <v>50</v>
      </c>
      <c r="R87" s="7">
        <v>312.99999600000001</v>
      </c>
      <c r="S87" s="7">
        <v>199.99999199999999</v>
      </c>
      <c r="T87" s="7">
        <v>513</v>
      </c>
      <c r="U87" s="7">
        <v>200</v>
      </c>
      <c r="V87" s="7" t="s">
        <v>437</v>
      </c>
    </row>
    <row r="88" spans="1:22" x14ac:dyDescent="0.2">
      <c r="A88" s="6">
        <v>45674</v>
      </c>
      <c r="B88" s="7">
        <v>20411454</v>
      </c>
      <c r="C88" s="7" t="s">
        <v>436</v>
      </c>
      <c r="D88" s="7" t="s">
        <v>175</v>
      </c>
      <c r="E88" s="7" t="str">
        <f>CONCATENATE(D88,88)</f>
        <v>DRR7W888</v>
      </c>
      <c r="F88" s="7" t="s">
        <v>177</v>
      </c>
      <c r="G88" s="7" t="s">
        <v>178</v>
      </c>
      <c r="H88" s="7" t="str">
        <f>CONCATENATE(F88, " ", G88)</f>
        <v>WILLIAM BRENNAN</v>
      </c>
      <c r="I88" s="7" t="s">
        <v>57</v>
      </c>
      <c r="J88" s="6">
        <v>45593</v>
      </c>
      <c r="K88" s="6">
        <f>DATE(YEAR(J88), MONTH(J88), DAY(1))</f>
        <v>45566</v>
      </c>
      <c r="L88" s="8">
        <v>45658</v>
      </c>
      <c r="M88" s="6">
        <f>DATE(YEAR(K88), MONTH(K88) +1, DAY(K88))</f>
        <v>45597</v>
      </c>
      <c r="N88" s="7" t="s">
        <v>0</v>
      </c>
      <c r="O88" s="7" t="s">
        <v>59</v>
      </c>
      <c r="P88" s="7" t="s">
        <v>60</v>
      </c>
      <c r="Q88" s="7" t="s">
        <v>50</v>
      </c>
      <c r="R88" s="7">
        <v>312.99999600000001</v>
      </c>
      <c r="S88" s="7">
        <v>199.99999199999999</v>
      </c>
      <c r="T88" s="7">
        <v>513</v>
      </c>
      <c r="U88" s="7">
        <v>200</v>
      </c>
      <c r="V88" s="7" t="s">
        <v>437</v>
      </c>
    </row>
    <row r="89" spans="1:22" x14ac:dyDescent="0.2">
      <c r="A89" s="6">
        <v>45674</v>
      </c>
      <c r="B89" s="7">
        <v>20411454</v>
      </c>
      <c r="C89" s="7" t="s">
        <v>436</v>
      </c>
      <c r="D89" s="7" t="s">
        <v>179</v>
      </c>
      <c r="E89" s="7" t="str">
        <f>CONCATENATE(D89,88)</f>
        <v>D3FYF588</v>
      </c>
      <c r="F89" s="7" t="s">
        <v>181</v>
      </c>
      <c r="G89" s="7" t="s">
        <v>182</v>
      </c>
      <c r="H89" s="7" t="str">
        <f>CONCATENATE(F89, " ", G89)</f>
        <v>MARTA CULLEN</v>
      </c>
      <c r="I89" s="7" t="s">
        <v>57</v>
      </c>
      <c r="J89" s="6">
        <v>45594</v>
      </c>
      <c r="K89" s="6">
        <f>DATE(YEAR(J89), MONTH(J89), DAY(1))</f>
        <v>45566</v>
      </c>
      <c r="L89" s="8">
        <v>45658</v>
      </c>
      <c r="M89" s="6">
        <f>DATE(YEAR(K89), MONTH(K89) +1, DAY(K89))</f>
        <v>45597</v>
      </c>
      <c r="N89" s="7" t="s">
        <v>0</v>
      </c>
      <c r="O89" s="7" t="s">
        <v>59</v>
      </c>
      <c r="P89" s="7" t="s">
        <v>60</v>
      </c>
      <c r="Q89" s="7" t="s">
        <v>50</v>
      </c>
      <c r="R89" s="7">
        <v>312.99999600000001</v>
      </c>
      <c r="S89" s="7">
        <v>199.99999199999999</v>
      </c>
      <c r="T89" s="7">
        <v>513</v>
      </c>
      <c r="U89" s="7">
        <v>200</v>
      </c>
      <c r="V89" s="7" t="s">
        <v>437</v>
      </c>
    </row>
    <row r="90" spans="1:22" x14ac:dyDescent="0.2">
      <c r="A90" s="6">
        <v>45674</v>
      </c>
      <c r="B90" s="7">
        <v>20411454</v>
      </c>
      <c r="C90" s="7" t="s">
        <v>436</v>
      </c>
      <c r="D90" s="7" t="s">
        <v>183</v>
      </c>
      <c r="E90" s="7" t="str">
        <f>CONCATENATE(D90,88)</f>
        <v>DWZ7RJ88</v>
      </c>
      <c r="F90" s="7" t="s">
        <v>185</v>
      </c>
      <c r="G90" s="7" t="s">
        <v>182</v>
      </c>
      <c r="H90" s="7" t="str">
        <f>CONCATENATE(F90, " ", G90)</f>
        <v>PHILLIP CULLEN</v>
      </c>
      <c r="I90" s="7" t="s">
        <v>57</v>
      </c>
      <c r="J90" s="6">
        <v>45594</v>
      </c>
      <c r="K90" s="6">
        <f>DATE(YEAR(J90), MONTH(J90), DAY(1))</f>
        <v>45566</v>
      </c>
      <c r="L90" s="8">
        <v>45658</v>
      </c>
      <c r="M90" s="6">
        <f>DATE(YEAR(K90), MONTH(K90) +1, DAY(K90))</f>
        <v>45597</v>
      </c>
      <c r="N90" s="7" t="s">
        <v>0</v>
      </c>
      <c r="O90" s="7" t="s">
        <v>59</v>
      </c>
      <c r="P90" s="7" t="s">
        <v>60</v>
      </c>
      <c r="Q90" s="7" t="s">
        <v>50</v>
      </c>
      <c r="R90" s="7">
        <v>312.99999600000001</v>
      </c>
      <c r="S90" s="7">
        <v>199.99999199999999</v>
      </c>
      <c r="T90" s="7">
        <v>513</v>
      </c>
      <c r="U90" s="7">
        <v>200</v>
      </c>
      <c r="V90" s="7" t="s">
        <v>437</v>
      </c>
    </row>
    <row r="91" spans="1:22" x14ac:dyDescent="0.2">
      <c r="A91" s="6">
        <v>45674</v>
      </c>
      <c r="B91" s="7">
        <v>20411454</v>
      </c>
      <c r="C91" s="7" t="s">
        <v>436</v>
      </c>
      <c r="D91" s="7" t="s">
        <v>186</v>
      </c>
      <c r="E91" s="7" t="str">
        <f>CONCATENATE(D91,88)</f>
        <v>DCHAGG88</v>
      </c>
      <c r="F91" s="7" t="s">
        <v>188</v>
      </c>
      <c r="G91" s="7" t="s">
        <v>189</v>
      </c>
      <c r="H91" s="7" t="str">
        <f>CONCATENATE(F91, " ", G91)</f>
        <v>MICHAELE YOUCHISON</v>
      </c>
      <c r="I91" s="7" t="s">
        <v>57</v>
      </c>
      <c r="J91" s="6">
        <v>45594</v>
      </c>
      <c r="K91" s="6">
        <f>DATE(YEAR(J91), MONTH(J91), DAY(1))</f>
        <v>45566</v>
      </c>
      <c r="L91" s="8">
        <v>45658</v>
      </c>
      <c r="M91" s="6">
        <f>DATE(YEAR(K91), MONTH(K91) +1, DAY(K91))</f>
        <v>45597</v>
      </c>
      <c r="N91" s="7" t="s">
        <v>0</v>
      </c>
      <c r="O91" s="7" t="s">
        <v>59</v>
      </c>
      <c r="P91" s="7" t="s">
        <v>60</v>
      </c>
      <c r="Q91" s="7" t="s">
        <v>50</v>
      </c>
      <c r="R91" s="7">
        <v>312.99999600000001</v>
      </c>
      <c r="S91" s="7">
        <v>199.99999199999999</v>
      </c>
      <c r="T91" s="7">
        <v>513</v>
      </c>
      <c r="U91" s="7">
        <v>200</v>
      </c>
      <c r="V91" s="7" t="s">
        <v>437</v>
      </c>
    </row>
    <row r="92" spans="1:22" x14ac:dyDescent="0.2">
      <c r="A92" s="6">
        <v>45674</v>
      </c>
      <c r="B92" s="7">
        <v>20411454</v>
      </c>
      <c r="C92" s="7" t="s">
        <v>436</v>
      </c>
      <c r="D92" s="7" t="s">
        <v>190</v>
      </c>
      <c r="E92" s="7" t="str">
        <f>CONCATENATE(D92,88)</f>
        <v>DJ6JJA88</v>
      </c>
      <c r="F92" s="7" t="s">
        <v>192</v>
      </c>
      <c r="G92" s="7" t="s">
        <v>189</v>
      </c>
      <c r="H92" s="7" t="str">
        <f>CONCATENATE(F92, " ", G92)</f>
        <v>MICHAEL YOUCHISON</v>
      </c>
      <c r="I92" s="7" t="s">
        <v>57</v>
      </c>
      <c r="J92" s="6">
        <v>45594</v>
      </c>
      <c r="K92" s="6">
        <f>DATE(YEAR(J92), MONTH(J92), DAY(1))</f>
        <v>45566</v>
      </c>
      <c r="L92" s="8">
        <v>45658</v>
      </c>
      <c r="M92" s="6">
        <f>DATE(YEAR(K92), MONTH(K92) +1, DAY(K92))</f>
        <v>45597</v>
      </c>
      <c r="N92" s="7" t="s">
        <v>0</v>
      </c>
      <c r="O92" s="7" t="s">
        <v>59</v>
      </c>
      <c r="P92" s="7" t="s">
        <v>60</v>
      </c>
      <c r="Q92" s="7" t="s">
        <v>50</v>
      </c>
      <c r="R92" s="7">
        <v>312.99999600000001</v>
      </c>
      <c r="S92" s="7">
        <v>199.99999199999999</v>
      </c>
      <c r="T92" s="7">
        <v>513</v>
      </c>
      <c r="U92" s="7">
        <v>200</v>
      </c>
      <c r="V92" s="7" t="s">
        <v>437</v>
      </c>
    </row>
    <row r="93" spans="1:22" x14ac:dyDescent="0.2">
      <c r="A93" s="6">
        <v>45674</v>
      </c>
      <c r="B93" s="7">
        <v>20411454</v>
      </c>
      <c r="C93" s="7" t="s">
        <v>436</v>
      </c>
      <c r="D93" s="7" t="s">
        <v>206</v>
      </c>
      <c r="E93" s="7" t="str">
        <f>CONCATENATE(D93,88)</f>
        <v>DCY63A88</v>
      </c>
      <c r="F93" s="7" t="s">
        <v>208</v>
      </c>
      <c r="G93" s="7" t="s">
        <v>209</v>
      </c>
      <c r="H93" s="7" t="str">
        <f>CONCATENATE(F93, " ", G93)</f>
        <v>BERTHA CARRILLO</v>
      </c>
      <c r="I93" s="7" t="s">
        <v>57</v>
      </c>
      <c r="J93" s="6">
        <v>45595</v>
      </c>
      <c r="K93" s="6">
        <f>DATE(YEAR(J93), MONTH(J93), DAY(1))</f>
        <v>45566</v>
      </c>
      <c r="L93" s="8">
        <v>45658</v>
      </c>
      <c r="M93" s="6">
        <f>DATE(YEAR(K93), MONTH(K93) +1, DAY(K93))</f>
        <v>45597</v>
      </c>
      <c r="N93" s="7" t="s">
        <v>0</v>
      </c>
      <c r="O93" s="7" t="s">
        <v>59</v>
      </c>
      <c r="P93" s="7" t="s">
        <v>60</v>
      </c>
      <c r="Q93" s="7" t="s">
        <v>50</v>
      </c>
      <c r="R93" s="7">
        <v>312.99999600000001</v>
      </c>
      <c r="S93" s="7">
        <v>199.99999199999999</v>
      </c>
      <c r="T93" s="7">
        <v>513</v>
      </c>
      <c r="U93" s="7">
        <v>200</v>
      </c>
      <c r="V93" s="7" t="s">
        <v>437</v>
      </c>
    </row>
    <row r="94" spans="1:22" x14ac:dyDescent="0.2">
      <c r="A94" s="6">
        <v>45674</v>
      </c>
      <c r="B94" s="7">
        <v>20411454</v>
      </c>
      <c r="C94" s="7" t="s">
        <v>436</v>
      </c>
      <c r="D94" s="7" t="s">
        <v>218</v>
      </c>
      <c r="E94" s="7" t="str">
        <f>CONCATENATE(D94,88)</f>
        <v>DZZH4688</v>
      </c>
      <c r="F94" s="7" t="s">
        <v>220</v>
      </c>
      <c r="G94" s="7" t="s">
        <v>221</v>
      </c>
      <c r="H94" s="7" t="str">
        <f>CONCATENATE(F94, " ", G94)</f>
        <v>SHERRY MIKOLICS</v>
      </c>
      <c r="I94" s="7" t="s">
        <v>216</v>
      </c>
      <c r="J94" s="6">
        <v>45596</v>
      </c>
      <c r="K94" s="6">
        <f>DATE(YEAR(J94), MONTH(J94), DAY(1))</f>
        <v>45566</v>
      </c>
      <c r="L94" s="8">
        <v>45658</v>
      </c>
      <c r="M94" s="6">
        <f>DATE(YEAR(K94), MONTH(K94) +1, DAY(K94))</f>
        <v>45597</v>
      </c>
      <c r="N94" s="7" t="s">
        <v>0</v>
      </c>
      <c r="O94" s="7" t="s">
        <v>59</v>
      </c>
      <c r="P94" s="7" t="s">
        <v>60</v>
      </c>
      <c r="Q94" s="7" t="s">
        <v>50</v>
      </c>
      <c r="R94" s="7">
        <v>312.99999600000001</v>
      </c>
      <c r="S94" s="7">
        <v>199.99999199999999</v>
      </c>
      <c r="T94" s="7">
        <v>513</v>
      </c>
      <c r="U94" s="7">
        <v>200</v>
      </c>
      <c r="V94" s="7" t="s">
        <v>437</v>
      </c>
    </row>
    <row r="95" spans="1:22" x14ac:dyDescent="0.2">
      <c r="A95" s="6">
        <v>45674</v>
      </c>
      <c r="B95" s="7">
        <v>20411454</v>
      </c>
      <c r="C95" s="7" t="s">
        <v>436</v>
      </c>
      <c r="D95" s="7" t="s">
        <v>222</v>
      </c>
      <c r="E95" s="7" t="str">
        <f>CONCATENATE(D95,88)</f>
        <v>DA4WEU88</v>
      </c>
      <c r="F95" s="7" t="s">
        <v>224</v>
      </c>
      <c r="G95" s="7" t="s">
        <v>225</v>
      </c>
      <c r="H95" s="7" t="str">
        <f>CONCATENATE(F95, " ", G95)</f>
        <v>LOIS BARNES</v>
      </c>
      <c r="I95" s="7" t="s">
        <v>57</v>
      </c>
      <c r="J95" s="6">
        <v>45599</v>
      </c>
      <c r="K95" s="6">
        <f>DATE(YEAR(J95), MONTH(J95), DAY(1))</f>
        <v>45597</v>
      </c>
      <c r="L95" s="8">
        <v>45658</v>
      </c>
      <c r="M95" s="6">
        <f>DATE(YEAR(K95), MONTH(K95) +1, DAY(K95))</f>
        <v>45627</v>
      </c>
      <c r="N95" s="7" t="s">
        <v>0</v>
      </c>
      <c r="O95" s="7" t="s">
        <v>59</v>
      </c>
      <c r="P95" s="7" t="s">
        <v>60</v>
      </c>
      <c r="Q95" s="7" t="s">
        <v>50</v>
      </c>
      <c r="R95" s="7">
        <v>312.99999600000001</v>
      </c>
      <c r="S95" s="7">
        <v>199.99999199999999</v>
      </c>
      <c r="T95" s="7">
        <v>513</v>
      </c>
      <c r="U95" s="7">
        <v>200</v>
      </c>
      <c r="V95" s="7" t="s">
        <v>437</v>
      </c>
    </row>
    <row r="96" spans="1:22" x14ac:dyDescent="0.2">
      <c r="A96" s="6">
        <v>45674</v>
      </c>
      <c r="B96" s="7">
        <v>20411454</v>
      </c>
      <c r="C96" s="7" t="s">
        <v>436</v>
      </c>
      <c r="D96" s="7" t="s">
        <v>228</v>
      </c>
      <c r="E96" s="7" t="str">
        <f>CONCATENATE(D96,88)</f>
        <v>DKA7W388</v>
      </c>
      <c r="F96" s="7" t="s">
        <v>230</v>
      </c>
      <c r="G96" s="7" t="s">
        <v>231</v>
      </c>
      <c r="H96" s="7" t="str">
        <f>CONCATENATE(F96, " ", G96)</f>
        <v>THONGBAY BOUNYAVONG</v>
      </c>
      <c r="I96" s="7" t="s">
        <v>57</v>
      </c>
      <c r="J96" s="6">
        <v>45600</v>
      </c>
      <c r="K96" s="6">
        <f>DATE(YEAR(J96), MONTH(J96), DAY(1))</f>
        <v>45597</v>
      </c>
      <c r="L96" s="8">
        <v>45658</v>
      </c>
      <c r="M96" s="6">
        <f>DATE(YEAR(K96), MONTH(K96) +1, DAY(K96))</f>
        <v>45627</v>
      </c>
      <c r="N96" s="7" t="s">
        <v>0</v>
      </c>
      <c r="O96" s="7" t="s">
        <v>59</v>
      </c>
      <c r="P96" s="7" t="s">
        <v>60</v>
      </c>
      <c r="Q96" s="7" t="s">
        <v>50</v>
      </c>
      <c r="R96" s="7">
        <v>312.99999600000001</v>
      </c>
      <c r="S96" s="7">
        <v>199.99999199999999</v>
      </c>
      <c r="T96" s="7">
        <v>513</v>
      </c>
      <c r="U96" s="7">
        <v>200</v>
      </c>
      <c r="V96" s="7" t="s">
        <v>437</v>
      </c>
    </row>
    <row r="97" spans="1:22" x14ac:dyDescent="0.2">
      <c r="A97" s="6">
        <v>45674</v>
      </c>
      <c r="B97" s="7">
        <v>20411454</v>
      </c>
      <c r="C97" s="7" t="s">
        <v>436</v>
      </c>
      <c r="D97" s="7" t="s">
        <v>236</v>
      </c>
      <c r="E97" s="7" t="str">
        <f>CONCATENATE(D97,88)</f>
        <v>DWR9FJ88</v>
      </c>
      <c r="F97" s="7" t="s">
        <v>238</v>
      </c>
      <c r="G97" s="7" t="s">
        <v>235</v>
      </c>
      <c r="H97" s="7" t="str">
        <f>CONCATENATE(F97, " ", G97)</f>
        <v>KERRY TONGE</v>
      </c>
      <c r="I97" s="7" t="s">
        <v>57</v>
      </c>
      <c r="J97" s="6">
        <v>45600</v>
      </c>
      <c r="K97" s="6">
        <f>DATE(YEAR(J97), MONTH(J97), DAY(1))</f>
        <v>45597</v>
      </c>
      <c r="L97" s="8">
        <v>45658</v>
      </c>
      <c r="M97" s="6">
        <f>DATE(YEAR(K97), MONTH(K97) +1, DAY(K97))</f>
        <v>45627</v>
      </c>
      <c r="N97" s="7" t="s">
        <v>0</v>
      </c>
      <c r="O97" s="7" t="s">
        <v>59</v>
      </c>
      <c r="P97" s="7" t="s">
        <v>60</v>
      </c>
      <c r="Q97" s="7" t="s">
        <v>50</v>
      </c>
      <c r="R97" s="7">
        <v>312.99999600000001</v>
      </c>
      <c r="S97" s="7">
        <v>199.99999199999999</v>
      </c>
      <c r="T97" s="7">
        <v>513</v>
      </c>
      <c r="U97" s="7">
        <v>200</v>
      </c>
      <c r="V97" s="7" t="s">
        <v>437</v>
      </c>
    </row>
    <row r="98" spans="1:22" x14ac:dyDescent="0.2">
      <c r="A98" s="6">
        <v>45674</v>
      </c>
      <c r="B98" s="7">
        <v>20411454</v>
      </c>
      <c r="C98" s="7" t="s">
        <v>436</v>
      </c>
      <c r="D98" s="7" t="s">
        <v>232</v>
      </c>
      <c r="E98" s="7" t="str">
        <f>CONCATENATE(D98,88)</f>
        <v>D5K25C88</v>
      </c>
      <c r="F98" s="7" t="s">
        <v>234</v>
      </c>
      <c r="G98" s="7" t="s">
        <v>235</v>
      </c>
      <c r="H98" s="7" t="str">
        <f>CONCATENATE(F98, " ", G98)</f>
        <v>ROBERT TONGE</v>
      </c>
      <c r="I98" s="7" t="s">
        <v>57</v>
      </c>
      <c r="J98" s="6">
        <v>45600</v>
      </c>
      <c r="K98" s="6">
        <f>DATE(YEAR(J98), MONTH(J98), DAY(1))</f>
        <v>45597</v>
      </c>
      <c r="L98" s="8">
        <v>45658</v>
      </c>
      <c r="M98" s="6">
        <f>DATE(YEAR(K98), MONTH(K98) +1, DAY(K98))</f>
        <v>45627</v>
      </c>
      <c r="N98" s="7" t="s">
        <v>0</v>
      </c>
      <c r="O98" s="7" t="s">
        <v>59</v>
      </c>
      <c r="P98" s="7" t="s">
        <v>60</v>
      </c>
      <c r="Q98" s="7" t="s">
        <v>50</v>
      </c>
      <c r="R98" s="7">
        <v>312.99999600000001</v>
      </c>
      <c r="S98" s="7">
        <v>199.99999199999999</v>
      </c>
      <c r="T98" s="7">
        <v>513</v>
      </c>
      <c r="U98" s="7">
        <v>200</v>
      </c>
      <c r="V98" s="7" t="s">
        <v>437</v>
      </c>
    </row>
    <row r="99" spans="1:22" x14ac:dyDescent="0.2">
      <c r="A99" s="6">
        <v>45674</v>
      </c>
      <c r="B99" s="7">
        <v>20411454</v>
      </c>
      <c r="C99" s="7" t="s">
        <v>436</v>
      </c>
      <c r="D99" s="7" t="s">
        <v>243</v>
      </c>
      <c r="E99" s="7" t="str">
        <f>CONCATENATE(D99,88)</f>
        <v>DC25A588</v>
      </c>
      <c r="F99" s="7" t="s">
        <v>245</v>
      </c>
      <c r="G99" s="7" t="s">
        <v>246</v>
      </c>
      <c r="H99" s="7" t="str">
        <f>CONCATENATE(F99, " ", G99)</f>
        <v>MANUEL CASTRO GARCIA</v>
      </c>
      <c r="I99" s="7" t="s">
        <v>57</v>
      </c>
      <c r="J99" s="6">
        <v>45604</v>
      </c>
      <c r="K99" s="6">
        <f>DATE(YEAR(J99), MONTH(J99), DAY(1))</f>
        <v>45597</v>
      </c>
      <c r="L99" s="8">
        <v>45658</v>
      </c>
      <c r="M99" s="6">
        <f>DATE(YEAR(K99), MONTH(K99) +1, DAY(K99))</f>
        <v>45627</v>
      </c>
      <c r="N99" s="7" t="s">
        <v>0</v>
      </c>
      <c r="O99" s="7" t="s">
        <v>59</v>
      </c>
      <c r="P99" s="7" t="s">
        <v>60</v>
      </c>
      <c r="Q99" s="7" t="s">
        <v>50</v>
      </c>
      <c r="R99" s="7">
        <v>312.99999600000001</v>
      </c>
      <c r="S99" s="7">
        <v>199.99999199999999</v>
      </c>
      <c r="T99" s="7">
        <v>513</v>
      </c>
      <c r="U99" s="7">
        <v>200</v>
      </c>
      <c r="V99" s="7" t="s">
        <v>437</v>
      </c>
    </row>
    <row r="100" spans="1:22" x14ac:dyDescent="0.2">
      <c r="A100" s="6">
        <v>45674</v>
      </c>
      <c r="B100" s="7">
        <v>20411454</v>
      </c>
      <c r="C100" s="7" t="s">
        <v>436</v>
      </c>
      <c r="D100" s="7" t="s">
        <v>257</v>
      </c>
      <c r="E100" s="7" t="str">
        <f>CONCATENATE(D100,88)</f>
        <v>DFHGGW88</v>
      </c>
      <c r="F100" s="7" t="s">
        <v>249</v>
      </c>
      <c r="G100" s="7" t="s">
        <v>259</v>
      </c>
      <c r="H100" s="7" t="str">
        <f>CONCATENATE(F100, " ", G100)</f>
        <v>ELIZABETH CROWDER</v>
      </c>
      <c r="I100" s="7" t="s">
        <v>57</v>
      </c>
      <c r="J100" s="6">
        <v>45604</v>
      </c>
      <c r="K100" s="6">
        <f>DATE(YEAR(J100), MONTH(J100), DAY(1))</f>
        <v>45597</v>
      </c>
      <c r="L100" s="8">
        <v>45658</v>
      </c>
      <c r="M100" s="6">
        <f>DATE(YEAR(K100), MONTH(K100) +1, DAY(K100))</f>
        <v>45627</v>
      </c>
      <c r="N100" s="7" t="s">
        <v>0</v>
      </c>
      <c r="O100" s="7" t="s">
        <v>0</v>
      </c>
      <c r="P100" s="7" t="s">
        <v>60</v>
      </c>
      <c r="Q100" s="7" t="s">
        <v>50</v>
      </c>
      <c r="R100" s="7">
        <v>312.99999600000001</v>
      </c>
      <c r="S100" s="7">
        <v>199.99999199999999</v>
      </c>
      <c r="T100" s="7">
        <v>513</v>
      </c>
      <c r="U100" s="7">
        <v>200</v>
      </c>
      <c r="V100" s="7" t="s">
        <v>437</v>
      </c>
    </row>
    <row r="101" spans="1:22" x14ac:dyDescent="0.2">
      <c r="A101" s="6">
        <v>45674</v>
      </c>
      <c r="B101" s="7">
        <v>20411454</v>
      </c>
      <c r="C101" s="7" t="s">
        <v>436</v>
      </c>
      <c r="D101" s="7" t="s">
        <v>239</v>
      </c>
      <c r="E101" s="7" t="str">
        <f>CONCATENATE(D101,88)</f>
        <v>D8KF9788</v>
      </c>
      <c r="F101" s="7" t="s">
        <v>241</v>
      </c>
      <c r="G101" s="7" t="s">
        <v>242</v>
      </c>
      <c r="H101" s="7" t="str">
        <f>CONCATENATE(F101, " ", G101)</f>
        <v>BONNIE RIESER</v>
      </c>
      <c r="I101" s="7" t="s">
        <v>57</v>
      </c>
      <c r="J101" s="6">
        <v>45604</v>
      </c>
      <c r="K101" s="6">
        <f>DATE(YEAR(J101), MONTH(J101), DAY(1))</f>
        <v>45597</v>
      </c>
      <c r="L101" s="8">
        <v>45658</v>
      </c>
      <c r="M101" s="6">
        <f>DATE(YEAR(K101), MONTH(K101) +1, DAY(K101))</f>
        <v>45627</v>
      </c>
      <c r="N101" s="7" t="s">
        <v>0</v>
      </c>
      <c r="O101" s="7" t="s">
        <v>59</v>
      </c>
      <c r="P101" s="7" t="s">
        <v>60</v>
      </c>
      <c r="Q101" s="7" t="s">
        <v>50</v>
      </c>
      <c r="R101" s="7">
        <v>312.99999600000001</v>
      </c>
      <c r="S101" s="7">
        <v>199.99999199999999</v>
      </c>
      <c r="T101" s="7">
        <v>513</v>
      </c>
      <c r="U101" s="7">
        <v>200</v>
      </c>
      <c r="V101" s="7" t="s">
        <v>437</v>
      </c>
    </row>
    <row r="102" spans="1:22" x14ac:dyDescent="0.2">
      <c r="A102" s="6">
        <v>45674</v>
      </c>
      <c r="B102" s="7">
        <v>20411454</v>
      </c>
      <c r="C102" s="7" t="s">
        <v>436</v>
      </c>
      <c r="D102" s="7" t="s">
        <v>247</v>
      </c>
      <c r="E102" s="7" t="str">
        <f>CONCATENATE(D102,88)</f>
        <v>DRRU7R88</v>
      </c>
      <c r="F102" s="7" t="s">
        <v>249</v>
      </c>
      <c r="G102" s="7" t="s">
        <v>250</v>
      </c>
      <c r="H102" s="7" t="str">
        <f>CONCATENATE(F102, " ", G102)</f>
        <v>ELIZABETH ROSARIO</v>
      </c>
      <c r="I102" s="7" t="s">
        <v>57</v>
      </c>
      <c r="J102" s="6">
        <v>45604</v>
      </c>
      <c r="K102" s="6">
        <f>DATE(YEAR(J102), MONTH(J102), DAY(1))</f>
        <v>45597</v>
      </c>
      <c r="L102" s="8">
        <v>45658</v>
      </c>
      <c r="M102" s="6">
        <f>DATE(YEAR(K102), MONTH(K102) +1, DAY(K102))</f>
        <v>45627</v>
      </c>
      <c r="N102" s="7" t="s">
        <v>0</v>
      </c>
      <c r="O102" s="7" t="s">
        <v>59</v>
      </c>
      <c r="P102" s="7" t="s">
        <v>60</v>
      </c>
      <c r="Q102" s="7" t="s">
        <v>50</v>
      </c>
      <c r="R102" s="7">
        <v>312.99999600000001</v>
      </c>
      <c r="S102" s="7">
        <v>199.99999199999999</v>
      </c>
      <c r="T102" s="7">
        <v>513</v>
      </c>
      <c r="U102" s="7">
        <v>200</v>
      </c>
      <c r="V102" s="7" t="s">
        <v>437</v>
      </c>
    </row>
    <row r="103" spans="1:22" x14ac:dyDescent="0.2">
      <c r="A103" s="6">
        <v>45674</v>
      </c>
      <c r="B103" s="7">
        <v>20411454</v>
      </c>
      <c r="C103" s="7" t="s">
        <v>436</v>
      </c>
      <c r="D103" s="7" t="s">
        <v>251</v>
      </c>
      <c r="E103" s="7" t="str">
        <f>CONCATENATE(D103,88)</f>
        <v>D22A4888</v>
      </c>
      <c r="F103" s="7" t="s">
        <v>253</v>
      </c>
      <c r="G103" s="7" t="s">
        <v>254</v>
      </c>
      <c r="H103" s="7" t="str">
        <f>CONCATENATE(F103, " ", G103)</f>
        <v>DIANE VONDORNBURG</v>
      </c>
      <c r="I103" s="7" t="s">
        <v>57</v>
      </c>
      <c r="J103" s="6">
        <v>45604</v>
      </c>
      <c r="K103" s="6">
        <f>DATE(YEAR(J103), MONTH(J103), DAY(1))</f>
        <v>45597</v>
      </c>
      <c r="L103" s="8">
        <v>45658</v>
      </c>
      <c r="M103" s="6">
        <f>DATE(YEAR(K103), MONTH(K103) +1, DAY(K103))</f>
        <v>45627</v>
      </c>
      <c r="N103" s="7" t="s">
        <v>0</v>
      </c>
      <c r="O103" s="7" t="s">
        <v>59</v>
      </c>
      <c r="P103" s="7" t="s">
        <v>60</v>
      </c>
      <c r="Q103" s="7" t="s">
        <v>50</v>
      </c>
      <c r="R103" s="7">
        <v>312.99999600000001</v>
      </c>
      <c r="S103" s="7">
        <v>199.99999199999999</v>
      </c>
      <c r="T103" s="7">
        <v>513</v>
      </c>
      <c r="U103" s="7">
        <v>200</v>
      </c>
      <c r="V103" s="7" t="s">
        <v>437</v>
      </c>
    </row>
    <row r="104" spans="1:22" x14ac:dyDescent="0.2">
      <c r="A104" s="6">
        <v>45674</v>
      </c>
      <c r="B104" s="7">
        <v>20411454</v>
      </c>
      <c r="C104" s="7" t="s">
        <v>436</v>
      </c>
      <c r="D104" s="7" t="s">
        <v>260</v>
      </c>
      <c r="E104" s="7" t="str">
        <f>CONCATENATE(D104,88)</f>
        <v>DSJR7R88</v>
      </c>
      <c r="F104" s="7" t="s">
        <v>262</v>
      </c>
      <c r="G104" s="7" t="s">
        <v>263</v>
      </c>
      <c r="H104" s="7" t="str">
        <f>CONCATENATE(F104, " ", G104)</f>
        <v>GERARDO ESPINOSA</v>
      </c>
      <c r="I104" s="7" t="s">
        <v>57</v>
      </c>
      <c r="J104" s="8">
        <v>45607</v>
      </c>
      <c r="K104" s="6">
        <f>DATE(YEAR(J104), MONTH(J104), DAY(1))</f>
        <v>45597</v>
      </c>
      <c r="L104" s="8">
        <v>45658</v>
      </c>
      <c r="M104" s="6">
        <f>DATE(YEAR(K104), MONTH(K104) +1, DAY(K104))</f>
        <v>45627</v>
      </c>
      <c r="N104" s="7" t="s">
        <v>0</v>
      </c>
      <c r="O104" s="7" t="s">
        <v>59</v>
      </c>
      <c r="P104" s="7" t="s">
        <v>60</v>
      </c>
      <c r="Q104" s="7" t="s">
        <v>50</v>
      </c>
      <c r="R104" s="7">
        <v>312.99999600000001</v>
      </c>
      <c r="S104" s="7">
        <v>199.99999199999999</v>
      </c>
      <c r="T104" s="7">
        <v>513</v>
      </c>
      <c r="U104" s="7">
        <v>200</v>
      </c>
      <c r="V104" s="7" t="s">
        <v>437</v>
      </c>
    </row>
    <row r="105" spans="1:22" x14ac:dyDescent="0.2">
      <c r="A105" s="6">
        <v>45674</v>
      </c>
      <c r="B105" s="7">
        <v>20411454</v>
      </c>
      <c r="C105" s="7" t="s">
        <v>436</v>
      </c>
      <c r="D105" s="7" t="s">
        <v>278</v>
      </c>
      <c r="E105" s="7" t="str">
        <f>CONCATENATE(D105,88)</f>
        <v>DHF6GK88</v>
      </c>
      <c r="F105" s="7" t="s">
        <v>280</v>
      </c>
      <c r="G105" s="7" t="s">
        <v>281</v>
      </c>
      <c r="H105" s="7" t="str">
        <f>CONCATENATE(F105, " ", G105)</f>
        <v>RALPH DE LA FUENTE</v>
      </c>
      <c r="I105" s="7" t="s">
        <v>216</v>
      </c>
      <c r="J105" s="6">
        <v>45609</v>
      </c>
      <c r="K105" s="6">
        <f>DATE(YEAR(J105), MONTH(J105), DAY(1))</f>
        <v>45597</v>
      </c>
      <c r="L105" s="8">
        <v>45658</v>
      </c>
      <c r="M105" s="6">
        <f>DATE(YEAR(K105), MONTH(K105) +1, DAY(K105))</f>
        <v>45627</v>
      </c>
      <c r="N105" s="7" t="s">
        <v>0</v>
      </c>
      <c r="O105" s="7" t="s">
        <v>59</v>
      </c>
      <c r="P105" s="7" t="s">
        <v>60</v>
      </c>
      <c r="Q105" s="7" t="s">
        <v>50</v>
      </c>
      <c r="R105" s="7">
        <v>312.99999600000001</v>
      </c>
      <c r="S105" s="7">
        <v>199.99999199999999</v>
      </c>
      <c r="T105" s="7">
        <v>513</v>
      </c>
      <c r="U105" s="7">
        <v>200</v>
      </c>
      <c r="V105" s="7" t="s">
        <v>437</v>
      </c>
    </row>
    <row r="106" spans="1:22" x14ac:dyDescent="0.2">
      <c r="A106" s="6">
        <v>45674</v>
      </c>
      <c r="B106" s="7">
        <v>20411454</v>
      </c>
      <c r="C106" s="7" t="s">
        <v>436</v>
      </c>
      <c r="D106" s="7" t="s">
        <v>274</v>
      </c>
      <c r="E106" s="7" t="str">
        <f>CONCATENATE(D106,88)</f>
        <v>DKGJ6A88</v>
      </c>
      <c r="F106" s="7" t="s">
        <v>276</v>
      </c>
      <c r="G106" s="7" t="s">
        <v>277</v>
      </c>
      <c r="H106" s="7" t="str">
        <f>CONCATENATE(F106, " ", G106)</f>
        <v>JAIMINI TRIVEDI</v>
      </c>
      <c r="I106" s="7" t="s">
        <v>57</v>
      </c>
      <c r="J106" s="6">
        <v>45609</v>
      </c>
      <c r="K106" s="6">
        <f>DATE(YEAR(J106), MONTH(J106), DAY(1))</f>
        <v>45597</v>
      </c>
      <c r="L106" s="8">
        <v>45658</v>
      </c>
      <c r="M106" s="6">
        <f>DATE(YEAR(K106), MONTH(K106) +1, DAY(K106))</f>
        <v>45627</v>
      </c>
      <c r="N106" s="7" t="s">
        <v>0</v>
      </c>
      <c r="O106" s="7" t="s">
        <v>59</v>
      </c>
      <c r="P106" s="7" t="s">
        <v>60</v>
      </c>
      <c r="Q106" s="7" t="s">
        <v>50</v>
      </c>
      <c r="R106" s="7">
        <v>312.99999600000001</v>
      </c>
      <c r="S106" s="7">
        <v>199.99999199999999</v>
      </c>
      <c r="T106" s="7">
        <v>513</v>
      </c>
      <c r="U106" s="7">
        <v>200</v>
      </c>
      <c r="V106" s="7" t="s">
        <v>437</v>
      </c>
    </row>
    <row r="107" spans="1:22" x14ac:dyDescent="0.2">
      <c r="A107" s="6">
        <v>45674</v>
      </c>
      <c r="B107" s="7">
        <v>20411454</v>
      </c>
      <c r="C107" s="7" t="s">
        <v>436</v>
      </c>
      <c r="D107" s="7" t="s">
        <v>285</v>
      </c>
      <c r="E107" s="7" t="str">
        <f>CONCATENATE(D107,88)</f>
        <v>DYJG9W88</v>
      </c>
      <c r="F107" s="7" t="s">
        <v>287</v>
      </c>
      <c r="G107" s="7" t="s">
        <v>288</v>
      </c>
      <c r="H107" s="7" t="str">
        <f>CONCATENATE(F107, " ", G107)</f>
        <v>KRISTINE GIBAS</v>
      </c>
      <c r="I107" s="7" t="s">
        <v>57</v>
      </c>
      <c r="J107" s="6">
        <v>45610</v>
      </c>
      <c r="K107" s="6">
        <f>DATE(YEAR(J107), MONTH(J107), DAY(1))</f>
        <v>45597</v>
      </c>
      <c r="L107" s="8">
        <v>45658</v>
      </c>
      <c r="M107" s="6">
        <f>DATE(YEAR(K107), MONTH(K107) +1, DAY(K107))</f>
        <v>45627</v>
      </c>
      <c r="N107" s="7" t="s">
        <v>0</v>
      </c>
      <c r="O107" s="7" t="s">
        <v>59</v>
      </c>
      <c r="P107" s="7" t="s">
        <v>60</v>
      </c>
      <c r="Q107" s="7" t="s">
        <v>50</v>
      </c>
      <c r="R107" s="7">
        <v>312.99999600000001</v>
      </c>
      <c r="S107" s="7">
        <v>199.99999199999999</v>
      </c>
      <c r="T107" s="7">
        <v>513</v>
      </c>
      <c r="U107" s="7">
        <v>200</v>
      </c>
      <c r="V107" s="7" t="s">
        <v>437</v>
      </c>
    </row>
    <row r="108" spans="1:22" x14ac:dyDescent="0.2">
      <c r="A108" s="6">
        <v>45674</v>
      </c>
      <c r="B108" s="7">
        <v>20411454</v>
      </c>
      <c r="C108" s="7" t="s">
        <v>436</v>
      </c>
      <c r="D108" s="7" t="s">
        <v>299</v>
      </c>
      <c r="E108" s="7" t="str">
        <f>CONCATENATE(D108,88)</f>
        <v>D4EE5H88</v>
      </c>
      <c r="F108" s="7" t="s">
        <v>301</v>
      </c>
      <c r="G108" s="7" t="s">
        <v>302</v>
      </c>
      <c r="H108" s="7" t="str">
        <f>CONCATENATE(F108, " ", G108)</f>
        <v>SAMUEL BOOK</v>
      </c>
      <c r="I108" s="7" t="s">
        <v>57</v>
      </c>
      <c r="J108" s="6">
        <v>45614</v>
      </c>
      <c r="K108" s="6">
        <f>DATE(YEAR(J108), MONTH(J108), DAY(1))</f>
        <v>45597</v>
      </c>
      <c r="L108" s="8">
        <v>45658</v>
      </c>
      <c r="M108" s="6">
        <f>DATE(YEAR(K108), MONTH(K108) +1, DAY(K108))</f>
        <v>45627</v>
      </c>
      <c r="N108" s="7" t="s">
        <v>0</v>
      </c>
      <c r="O108" s="7" t="s">
        <v>59</v>
      </c>
      <c r="P108" s="7" t="s">
        <v>60</v>
      </c>
      <c r="Q108" s="7" t="s">
        <v>50</v>
      </c>
      <c r="R108" s="7">
        <v>312.99999600000001</v>
      </c>
      <c r="S108" s="7">
        <v>199.99999199999999</v>
      </c>
      <c r="T108" s="7">
        <v>513</v>
      </c>
      <c r="U108" s="7">
        <v>200</v>
      </c>
      <c r="V108" s="7" t="s">
        <v>437</v>
      </c>
    </row>
    <row r="109" spans="1:22" x14ac:dyDescent="0.2">
      <c r="A109" s="6">
        <v>45674</v>
      </c>
      <c r="B109" s="7">
        <v>20411454</v>
      </c>
      <c r="C109" s="7" t="s">
        <v>436</v>
      </c>
      <c r="D109" s="7" t="s">
        <v>295</v>
      </c>
      <c r="E109" s="7" t="str">
        <f>CONCATENATE(D109,88)</f>
        <v>DJJ9HY88</v>
      </c>
      <c r="F109" s="7" t="s">
        <v>297</v>
      </c>
      <c r="G109" s="7" t="s">
        <v>298</v>
      </c>
      <c r="H109" s="7" t="str">
        <f>CONCATENATE(F109, " ", G109)</f>
        <v>MARK STEPHANO</v>
      </c>
      <c r="I109" s="7" t="s">
        <v>57</v>
      </c>
      <c r="J109" s="6">
        <v>45614</v>
      </c>
      <c r="K109" s="6">
        <f>DATE(YEAR(J109), MONTH(J109), DAY(1))</f>
        <v>45597</v>
      </c>
      <c r="L109" s="8">
        <v>45658</v>
      </c>
      <c r="M109" s="6">
        <f>DATE(YEAR(K109), MONTH(K109) +1, DAY(K109))</f>
        <v>45627</v>
      </c>
      <c r="N109" s="7" t="s">
        <v>0</v>
      </c>
      <c r="O109" s="7" t="s">
        <v>59</v>
      </c>
      <c r="P109" s="7" t="s">
        <v>60</v>
      </c>
      <c r="Q109" s="7" t="s">
        <v>50</v>
      </c>
      <c r="R109" s="7">
        <v>312.99999600000001</v>
      </c>
      <c r="S109" s="7">
        <v>199.99999199999999</v>
      </c>
      <c r="T109" s="7">
        <v>513</v>
      </c>
      <c r="U109" s="7">
        <v>200</v>
      </c>
      <c r="V109" s="7" t="s">
        <v>437</v>
      </c>
    </row>
    <row r="110" spans="1:22" x14ac:dyDescent="0.2">
      <c r="A110" s="6">
        <v>45674</v>
      </c>
      <c r="B110" s="7">
        <v>20411454</v>
      </c>
      <c r="C110" s="7" t="s">
        <v>436</v>
      </c>
      <c r="D110" s="7" t="s">
        <v>306</v>
      </c>
      <c r="E110" s="7" t="str">
        <f>CONCATENATE(D110,88)</f>
        <v>DJ24FH88</v>
      </c>
      <c r="F110" s="7" t="s">
        <v>308</v>
      </c>
      <c r="G110" s="7" t="s">
        <v>309</v>
      </c>
      <c r="H110" s="7" t="str">
        <f>CONCATENATE(F110, " ", G110)</f>
        <v>KATHLEEN COLLINS</v>
      </c>
      <c r="I110" s="7" t="s">
        <v>57</v>
      </c>
      <c r="J110" s="6">
        <v>45615</v>
      </c>
      <c r="K110" s="6">
        <f>DATE(YEAR(J110), MONTH(J110), DAY(1))</f>
        <v>45597</v>
      </c>
      <c r="L110" s="8">
        <v>45658</v>
      </c>
      <c r="M110" s="6">
        <f>DATE(YEAR(K110), MONTH(K110) +1, DAY(K110))</f>
        <v>45627</v>
      </c>
      <c r="N110" s="7" t="s">
        <v>0</v>
      </c>
      <c r="O110" s="7" t="s">
        <v>59</v>
      </c>
      <c r="P110" s="7" t="s">
        <v>60</v>
      </c>
      <c r="Q110" s="7" t="s">
        <v>50</v>
      </c>
      <c r="R110" s="7">
        <v>312.99999600000001</v>
      </c>
      <c r="S110" s="7">
        <v>199.99999199999999</v>
      </c>
      <c r="T110" s="7">
        <v>513</v>
      </c>
      <c r="U110" s="7">
        <v>200</v>
      </c>
      <c r="V110" s="7" t="s">
        <v>437</v>
      </c>
    </row>
    <row r="111" spans="1:22" x14ac:dyDescent="0.2">
      <c r="A111" s="6">
        <v>45674</v>
      </c>
      <c r="B111" s="7">
        <v>20411454</v>
      </c>
      <c r="C111" s="7" t="s">
        <v>436</v>
      </c>
      <c r="D111" s="7" t="s">
        <v>310</v>
      </c>
      <c r="E111" s="7" t="str">
        <f>CONCATENATE(D111,88)</f>
        <v>DE9J4K88</v>
      </c>
      <c r="F111" s="7" t="s">
        <v>312</v>
      </c>
      <c r="G111" s="7" t="s">
        <v>313</v>
      </c>
      <c r="H111" s="7" t="str">
        <f>CONCATENATE(F111, " ", G111)</f>
        <v>LASHUN NELSON</v>
      </c>
      <c r="I111" s="7" t="s">
        <v>57</v>
      </c>
      <c r="J111" s="6">
        <v>45615</v>
      </c>
      <c r="K111" s="6">
        <f>DATE(YEAR(J111), MONTH(J111), DAY(1))</f>
        <v>45597</v>
      </c>
      <c r="L111" s="8">
        <v>45658</v>
      </c>
      <c r="M111" s="6">
        <f>DATE(YEAR(K111), MONTH(K111) +1, DAY(K111))</f>
        <v>45627</v>
      </c>
      <c r="N111" s="7" t="s">
        <v>0</v>
      </c>
      <c r="O111" s="7" t="s">
        <v>59</v>
      </c>
      <c r="P111" s="7" t="s">
        <v>60</v>
      </c>
      <c r="Q111" s="7" t="s">
        <v>50</v>
      </c>
      <c r="R111" s="7">
        <v>312.99999600000001</v>
      </c>
      <c r="S111" s="7">
        <v>199.99999199999999</v>
      </c>
      <c r="T111" s="7">
        <v>513</v>
      </c>
      <c r="U111" s="7">
        <v>200</v>
      </c>
      <c r="V111" s="7" t="s">
        <v>437</v>
      </c>
    </row>
    <row r="112" spans="1:22" x14ac:dyDescent="0.2">
      <c r="A112" s="6">
        <v>45674</v>
      </c>
      <c r="B112" s="7">
        <v>20411454</v>
      </c>
      <c r="C112" s="7" t="s">
        <v>436</v>
      </c>
      <c r="D112" s="7" t="s">
        <v>314</v>
      </c>
      <c r="E112" s="7" t="str">
        <f>CONCATENATE(D112,88)</f>
        <v>D48HWR88</v>
      </c>
      <c r="F112" s="7" t="s">
        <v>316</v>
      </c>
      <c r="G112" s="7" t="s">
        <v>317</v>
      </c>
      <c r="H112" s="7" t="str">
        <f>CONCATENATE(F112, " ", G112)</f>
        <v>HAROLD WIRTZ</v>
      </c>
      <c r="I112" s="7" t="s">
        <v>216</v>
      </c>
      <c r="J112" s="6">
        <v>45615</v>
      </c>
      <c r="K112" s="6">
        <f>DATE(YEAR(J112), MONTH(J112), DAY(1))</f>
        <v>45597</v>
      </c>
      <c r="L112" s="8">
        <v>45658</v>
      </c>
      <c r="M112" s="6">
        <f>DATE(YEAR(K112), MONTH(K112) +1, DAY(K112))</f>
        <v>45627</v>
      </c>
      <c r="N112" s="7" t="s">
        <v>0</v>
      </c>
      <c r="O112" s="7" t="s">
        <v>59</v>
      </c>
      <c r="P112" s="7" t="s">
        <v>60</v>
      </c>
      <c r="Q112" s="7" t="s">
        <v>50</v>
      </c>
      <c r="R112" s="7">
        <v>312.99999600000001</v>
      </c>
      <c r="S112" s="7">
        <v>199.99999199999999</v>
      </c>
      <c r="T112" s="7">
        <v>513</v>
      </c>
      <c r="U112" s="7">
        <v>200</v>
      </c>
      <c r="V112" s="7" t="s">
        <v>437</v>
      </c>
    </row>
    <row r="113" spans="1:22" x14ac:dyDescent="0.2">
      <c r="A113" s="6">
        <v>45674</v>
      </c>
      <c r="B113" s="7">
        <v>20411454</v>
      </c>
      <c r="C113" s="7" t="s">
        <v>436</v>
      </c>
      <c r="D113" s="7" t="s">
        <v>322</v>
      </c>
      <c r="E113" s="7" t="str">
        <f>CONCATENATE(D113,88)</f>
        <v>DZK78H88</v>
      </c>
      <c r="F113" s="7" t="s">
        <v>324</v>
      </c>
      <c r="G113" s="7" t="s">
        <v>325</v>
      </c>
      <c r="H113" s="7" t="str">
        <f>CONCATENATE(F113, " ", G113)</f>
        <v>JANE GREENFIELD</v>
      </c>
      <c r="I113" s="7" t="s">
        <v>57</v>
      </c>
      <c r="J113" s="6">
        <v>45617</v>
      </c>
      <c r="K113" s="6">
        <f>DATE(YEAR(J113), MONTH(J113), DAY(1))</f>
        <v>45597</v>
      </c>
      <c r="L113" s="8">
        <v>45658</v>
      </c>
      <c r="M113" s="6">
        <f>DATE(YEAR(K113), MONTH(K113) +1, DAY(K113))</f>
        <v>45627</v>
      </c>
      <c r="N113" s="7" t="s">
        <v>0</v>
      </c>
      <c r="O113" s="7" t="s">
        <v>59</v>
      </c>
      <c r="P113" s="7" t="s">
        <v>60</v>
      </c>
      <c r="Q113" s="7" t="s">
        <v>50</v>
      </c>
      <c r="R113" s="7">
        <v>312.99999600000001</v>
      </c>
      <c r="S113" s="7">
        <v>199.99999199999999</v>
      </c>
      <c r="T113" s="7">
        <v>513</v>
      </c>
      <c r="U113" s="7">
        <v>200</v>
      </c>
      <c r="V113" s="7" t="s">
        <v>437</v>
      </c>
    </row>
    <row r="114" spans="1:22" x14ac:dyDescent="0.2">
      <c r="A114" s="6">
        <v>45674</v>
      </c>
      <c r="B114" s="7">
        <v>20411454</v>
      </c>
      <c r="C114" s="7" t="s">
        <v>436</v>
      </c>
      <c r="D114" s="7" t="s">
        <v>330</v>
      </c>
      <c r="E114" s="7" t="str">
        <f>CONCATENATE(D114,88)</f>
        <v>DGJ3WA88</v>
      </c>
      <c r="F114" s="7" t="s">
        <v>332</v>
      </c>
      <c r="G114" s="7" t="s">
        <v>333</v>
      </c>
      <c r="H114" s="7" t="str">
        <f>CONCATENATE(F114, " ", G114)</f>
        <v>ALLAN TESON</v>
      </c>
      <c r="I114" s="7" t="s">
        <v>57</v>
      </c>
      <c r="J114" s="6">
        <v>45618</v>
      </c>
      <c r="K114" s="6">
        <f>DATE(YEAR(J114), MONTH(J114), DAY(1))</f>
        <v>45597</v>
      </c>
      <c r="L114" s="8">
        <v>45658</v>
      </c>
      <c r="M114" s="6">
        <f>DATE(YEAR(K114), MONTH(K114) +1, DAY(K114))</f>
        <v>45627</v>
      </c>
      <c r="N114" s="7" t="s">
        <v>0</v>
      </c>
      <c r="O114" s="7" t="s">
        <v>59</v>
      </c>
      <c r="P114" s="7" t="s">
        <v>60</v>
      </c>
      <c r="Q114" s="7" t="s">
        <v>50</v>
      </c>
      <c r="R114" s="7">
        <v>312.99999600000001</v>
      </c>
      <c r="S114" s="7">
        <v>199.99999199999999</v>
      </c>
      <c r="T114" s="7">
        <v>513</v>
      </c>
      <c r="U114" s="7">
        <v>200</v>
      </c>
      <c r="V114" s="7" t="s">
        <v>437</v>
      </c>
    </row>
    <row r="115" spans="1:22" x14ac:dyDescent="0.2">
      <c r="A115" s="6">
        <v>45674</v>
      </c>
      <c r="B115" s="7">
        <v>20411454</v>
      </c>
      <c r="C115" s="7" t="s">
        <v>436</v>
      </c>
      <c r="D115" s="7" t="s">
        <v>334</v>
      </c>
      <c r="E115" s="7" t="str">
        <f>CONCATENATE(D115,88)</f>
        <v>D3H8U888</v>
      </c>
      <c r="F115" s="7" t="s">
        <v>336</v>
      </c>
      <c r="G115" s="7" t="s">
        <v>337</v>
      </c>
      <c r="H115" s="7" t="str">
        <f>CONCATENATE(F115, " ", G115)</f>
        <v>ANTHONY PILOLLA</v>
      </c>
      <c r="I115" s="7" t="s">
        <v>57</v>
      </c>
      <c r="J115" s="6">
        <v>45620</v>
      </c>
      <c r="K115" s="6">
        <f>DATE(YEAR(J115), MONTH(J115), DAY(1))</f>
        <v>45597</v>
      </c>
      <c r="L115" s="8">
        <v>45658</v>
      </c>
      <c r="M115" s="6">
        <f>DATE(YEAR(K115), MONTH(K115) +1, DAY(K115))</f>
        <v>45627</v>
      </c>
      <c r="N115" s="7" t="s">
        <v>0</v>
      </c>
      <c r="O115" s="7" t="s">
        <v>59</v>
      </c>
      <c r="P115" s="7" t="s">
        <v>60</v>
      </c>
      <c r="Q115" s="7" t="s">
        <v>50</v>
      </c>
      <c r="R115" s="7">
        <v>312.99999600000001</v>
      </c>
      <c r="S115" s="7">
        <v>199.99999199999999</v>
      </c>
      <c r="T115" s="7">
        <v>513</v>
      </c>
      <c r="U115" s="7">
        <v>200</v>
      </c>
      <c r="V115" s="7" t="s">
        <v>437</v>
      </c>
    </row>
    <row r="116" spans="1:22" x14ac:dyDescent="0.2">
      <c r="A116" s="6">
        <v>45674</v>
      </c>
      <c r="B116" s="7">
        <v>20411454</v>
      </c>
      <c r="C116" s="7" t="s">
        <v>436</v>
      </c>
      <c r="D116" s="7" t="s">
        <v>350</v>
      </c>
      <c r="E116" s="7" t="str">
        <f>CONCATENATE(D116,88)</f>
        <v>D4HE9G88</v>
      </c>
      <c r="F116" s="7" t="s">
        <v>352</v>
      </c>
      <c r="G116" s="7" t="s">
        <v>353</v>
      </c>
      <c r="H116" s="7" t="str">
        <f>CONCATENATE(F116, " ", G116)</f>
        <v>STEVEN HEY</v>
      </c>
      <c r="I116" s="7" t="s">
        <v>57</v>
      </c>
      <c r="J116" s="6">
        <v>45621</v>
      </c>
      <c r="K116" s="6">
        <f>DATE(YEAR(J116), MONTH(J116), DAY(1))</f>
        <v>45597</v>
      </c>
      <c r="L116" s="8">
        <v>45658</v>
      </c>
      <c r="M116" s="6">
        <f>DATE(YEAR(K116), MONTH(K116) +1, DAY(K116))</f>
        <v>45627</v>
      </c>
      <c r="N116" s="7" t="s">
        <v>0</v>
      </c>
      <c r="O116" s="7" t="s">
        <v>59</v>
      </c>
      <c r="P116" s="7" t="s">
        <v>60</v>
      </c>
      <c r="Q116" s="7" t="s">
        <v>50</v>
      </c>
      <c r="R116" s="7">
        <v>312.99999600000001</v>
      </c>
      <c r="S116" s="7">
        <v>199.99999199999999</v>
      </c>
      <c r="T116" s="7">
        <v>513</v>
      </c>
      <c r="U116" s="7">
        <v>200</v>
      </c>
      <c r="V116" s="7" t="s">
        <v>437</v>
      </c>
    </row>
    <row r="117" spans="1:22" x14ac:dyDescent="0.2">
      <c r="A117" s="6">
        <v>45674</v>
      </c>
      <c r="B117" s="7">
        <v>20411454</v>
      </c>
      <c r="C117" s="7" t="s">
        <v>436</v>
      </c>
      <c r="D117" s="7" t="s">
        <v>354</v>
      </c>
      <c r="E117" s="7" t="str">
        <f>CONCATENATE(D117,88)</f>
        <v>DHWE4W88</v>
      </c>
      <c r="F117" s="7" t="s">
        <v>356</v>
      </c>
      <c r="G117" s="7" t="s">
        <v>353</v>
      </c>
      <c r="H117" s="7" t="str">
        <f>CONCATENATE(F117, " ", G117)</f>
        <v>SUZANNE HEY</v>
      </c>
      <c r="I117" s="7" t="s">
        <v>57</v>
      </c>
      <c r="J117" s="6">
        <v>45621</v>
      </c>
      <c r="K117" s="6">
        <f>DATE(YEAR(J117), MONTH(J117), DAY(1))</f>
        <v>45597</v>
      </c>
      <c r="L117" s="8">
        <v>45658</v>
      </c>
      <c r="M117" s="6">
        <f>DATE(YEAR(K117), MONTH(K117) +1, DAY(K117))</f>
        <v>45627</v>
      </c>
      <c r="N117" s="7" t="s">
        <v>0</v>
      </c>
      <c r="O117" s="7" t="s">
        <v>59</v>
      </c>
      <c r="P117" s="7" t="s">
        <v>60</v>
      </c>
      <c r="Q117" s="7" t="s">
        <v>50</v>
      </c>
      <c r="R117" s="7">
        <v>312.99999600000001</v>
      </c>
      <c r="S117" s="7">
        <v>199.99999199999999</v>
      </c>
      <c r="T117" s="7">
        <v>513</v>
      </c>
      <c r="U117" s="7">
        <v>200</v>
      </c>
      <c r="V117" s="7" t="s">
        <v>437</v>
      </c>
    </row>
    <row r="118" spans="1:22" x14ac:dyDescent="0.2">
      <c r="A118" s="6">
        <v>45674</v>
      </c>
      <c r="B118" s="7">
        <v>20411454</v>
      </c>
      <c r="C118" s="7" t="s">
        <v>436</v>
      </c>
      <c r="D118" s="7" t="s">
        <v>344</v>
      </c>
      <c r="E118" s="7" t="str">
        <f>CONCATENATE(D118,88)</f>
        <v>DRZF4888</v>
      </c>
      <c r="F118" s="7" t="s">
        <v>346</v>
      </c>
      <c r="G118" s="7" t="s">
        <v>347</v>
      </c>
      <c r="H118" s="7" t="str">
        <f>CONCATENATE(F118, " ", G118)</f>
        <v>PATRICIA LYDON</v>
      </c>
      <c r="I118" s="7" t="s">
        <v>348</v>
      </c>
      <c r="J118" s="6">
        <v>45621</v>
      </c>
      <c r="K118" s="6">
        <f>DATE(YEAR(J118), MONTH(J118), DAY(1))</f>
        <v>45597</v>
      </c>
      <c r="L118" s="8">
        <v>45658</v>
      </c>
      <c r="M118" s="6">
        <f>DATE(YEAR(K118), MONTH(K118) +1, DAY(K118))</f>
        <v>45627</v>
      </c>
      <c r="N118" s="7" t="s">
        <v>0</v>
      </c>
      <c r="O118" s="7" t="s">
        <v>59</v>
      </c>
      <c r="P118" s="7" t="s">
        <v>60</v>
      </c>
      <c r="Q118" s="7" t="s">
        <v>50</v>
      </c>
      <c r="R118" s="7">
        <v>312.99999600000001</v>
      </c>
      <c r="S118" s="7">
        <v>199.99999199999999</v>
      </c>
      <c r="T118" s="7">
        <v>513</v>
      </c>
      <c r="U118" s="7">
        <v>200</v>
      </c>
      <c r="V118" s="7" t="s">
        <v>437</v>
      </c>
    </row>
    <row r="119" spans="1:22" x14ac:dyDescent="0.2">
      <c r="A119" s="6">
        <v>45674</v>
      </c>
      <c r="B119" s="7">
        <v>20411454</v>
      </c>
      <c r="C119" s="7" t="s">
        <v>436</v>
      </c>
      <c r="D119" s="7" t="s">
        <v>357</v>
      </c>
      <c r="E119" s="7" t="str">
        <f>CONCATENATE(D119,88)</f>
        <v>D74CRS88</v>
      </c>
      <c r="F119" s="7" t="s">
        <v>234</v>
      </c>
      <c r="G119" s="7" t="s">
        <v>359</v>
      </c>
      <c r="H119" s="7" t="str">
        <f>CONCATENATE(F119, " ", G119)</f>
        <v>ROBERT FALCONER</v>
      </c>
      <c r="I119" s="7" t="s">
        <v>57</v>
      </c>
      <c r="J119" s="6">
        <v>45626</v>
      </c>
      <c r="K119" s="6">
        <f>DATE(YEAR(J119), MONTH(J119), DAY(1))</f>
        <v>45597</v>
      </c>
      <c r="L119" s="8">
        <v>45658</v>
      </c>
      <c r="M119" s="6">
        <f>DATE(YEAR(K119), MONTH(K119) +1, DAY(K119))</f>
        <v>45627</v>
      </c>
      <c r="N119" s="7" t="s">
        <v>0</v>
      </c>
      <c r="O119" s="7" t="s">
        <v>59</v>
      </c>
      <c r="P119" s="7" t="s">
        <v>60</v>
      </c>
      <c r="Q119" s="7" t="s">
        <v>50</v>
      </c>
      <c r="R119" s="7">
        <v>312.99999600000001</v>
      </c>
      <c r="S119" s="7">
        <v>199.99999199999999</v>
      </c>
      <c r="T119" s="7">
        <v>513</v>
      </c>
      <c r="U119" s="7">
        <v>200</v>
      </c>
      <c r="V119" s="7" t="s">
        <v>437</v>
      </c>
    </row>
    <row r="120" spans="1:22" x14ac:dyDescent="0.2">
      <c r="A120" s="6">
        <v>45674</v>
      </c>
      <c r="B120" s="7">
        <v>20411454</v>
      </c>
      <c r="C120" s="7" t="s">
        <v>436</v>
      </c>
      <c r="D120" s="7" t="s">
        <v>362</v>
      </c>
      <c r="E120" s="7" t="str">
        <f>CONCATENATE(D120,88)</f>
        <v>DCRHUF88</v>
      </c>
      <c r="F120" s="7" t="s">
        <v>364</v>
      </c>
      <c r="G120" s="7" t="s">
        <v>365</v>
      </c>
      <c r="H120" s="7" t="str">
        <f>CONCATENATE(F120, " ", G120)</f>
        <v>HELEN BREIDENBACH</v>
      </c>
      <c r="I120" s="7" t="s">
        <v>57</v>
      </c>
      <c r="J120" s="6">
        <v>45627</v>
      </c>
      <c r="K120" s="6">
        <f>DATE(YEAR(J120), MONTH(J120), DAY(1))</f>
        <v>45627</v>
      </c>
      <c r="L120" s="8">
        <v>45658</v>
      </c>
      <c r="M120" s="6">
        <f>DATE(YEAR(K120), MONTH(K120) +1, DAY(K120))</f>
        <v>45658</v>
      </c>
      <c r="N120" s="7" t="s">
        <v>0</v>
      </c>
      <c r="O120" s="7" t="s">
        <v>59</v>
      </c>
      <c r="P120" s="7" t="s">
        <v>60</v>
      </c>
      <c r="Q120" s="7" t="s">
        <v>50</v>
      </c>
      <c r="R120" s="7">
        <v>312.99999600000001</v>
      </c>
      <c r="S120" s="7">
        <v>199.99999199999999</v>
      </c>
      <c r="T120" s="7">
        <v>513</v>
      </c>
      <c r="U120" s="7">
        <v>200</v>
      </c>
      <c r="V120" s="7" t="s">
        <v>437</v>
      </c>
    </row>
    <row r="121" spans="1:22" x14ac:dyDescent="0.2">
      <c r="A121" s="6">
        <v>45674</v>
      </c>
      <c r="B121" s="7">
        <v>20411454</v>
      </c>
      <c r="C121" s="7" t="s">
        <v>436</v>
      </c>
      <c r="D121" s="7" t="s">
        <v>370</v>
      </c>
      <c r="E121" s="7" t="str">
        <f>CONCATENATE(D121,88)</f>
        <v>DS2K8C88</v>
      </c>
      <c r="F121" s="7" t="s">
        <v>203</v>
      </c>
      <c r="G121" s="7" t="s">
        <v>372</v>
      </c>
      <c r="H121" s="7" t="str">
        <f>CONCATENATE(F121, " ", G121)</f>
        <v>DONALD SCHRADER</v>
      </c>
      <c r="I121" s="7" t="s">
        <v>57</v>
      </c>
      <c r="J121" s="6">
        <v>45628</v>
      </c>
      <c r="K121" s="6">
        <f>DATE(YEAR(J121), MONTH(J121), DAY(1))</f>
        <v>45627</v>
      </c>
      <c r="L121" s="8">
        <v>45658</v>
      </c>
      <c r="M121" s="6">
        <f>DATE(YEAR(K121), MONTH(K121) +1, DAY(K121))</f>
        <v>45658</v>
      </c>
      <c r="N121" s="7" t="s">
        <v>0</v>
      </c>
      <c r="O121" s="7" t="s">
        <v>59</v>
      </c>
      <c r="P121" s="7" t="s">
        <v>60</v>
      </c>
      <c r="Q121" s="7" t="s">
        <v>50</v>
      </c>
      <c r="R121" s="7">
        <v>312.99999600000001</v>
      </c>
      <c r="S121" s="7">
        <v>199.99999199999999</v>
      </c>
      <c r="T121" s="7">
        <v>513</v>
      </c>
      <c r="U121" s="7">
        <v>200</v>
      </c>
      <c r="V121" s="7" t="s">
        <v>437</v>
      </c>
    </row>
    <row r="122" spans="1:22" x14ac:dyDescent="0.2">
      <c r="A122" s="6">
        <v>45674</v>
      </c>
      <c r="B122" s="7">
        <v>20411454</v>
      </c>
      <c r="C122" s="7" t="s">
        <v>436</v>
      </c>
      <c r="D122" s="7" t="s">
        <v>375</v>
      </c>
      <c r="E122" s="7" t="str">
        <f>CONCATENATE(D122,88)</f>
        <v>D6HHKW88</v>
      </c>
      <c r="F122" s="7" t="s">
        <v>45</v>
      </c>
      <c r="G122" s="7" t="s">
        <v>377</v>
      </c>
      <c r="H122" s="7" t="str">
        <f>CONCATENATE(F122, " ", G122)</f>
        <v>JOHN WEIS</v>
      </c>
      <c r="I122" s="7" t="s">
        <v>57</v>
      </c>
      <c r="J122" s="6">
        <v>45629</v>
      </c>
      <c r="K122" s="6">
        <f>DATE(YEAR(J122), MONTH(J122), DAY(1))</f>
        <v>45627</v>
      </c>
      <c r="L122" s="8">
        <v>45658</v>
      </c>
      <c r="M122" s="6">
        <f>DATE(YEAR(K122), MONTH(K122) +1, DAY(K122))</f>
        <v>45658</v>
      </c>
      <c r="N122" s="7" t="s">
        <v>0</v>
      </c>
      <c r="O122" s="7" t="s">
        <v>59</v>
      </c>
      <c r="P122" s="7" t="s">
        <v>60</v>
      </c>
      <c r="Q122" s="7" t="s">
        <v>50</v>
      </c>
      <c r="R122" s="7">
        <v>312.99999600000001</v>
      </c>
      <c r="S122" s="7">
        <v>199.99999199999999</v>
      </c>
      <c r="T122" s="7">
        <v>513</v>
      </c>
      <c r="U122" s="7">
        <v>200</v>
      </c>
      <c r="V122" s="7" t="s">
        <v>437</v>
      </c>
    </row>
    <row r="123" spans="1:22" x14ac:dyDescent="0.2">
      <c r="A123" s="6">
        <v>45674</v>
      </c>
      <c r="B123" s="7">
        <v>20411454</v>
      </c>
      <c r="C123" s="7" t="s">
        <v>436</v>
      </c>
      <c r="D123" s="7" t="s">
        <v>396</v>
      </c>
      <c r="E123" s="7" t="str">
        <f>CONCATENATE(D123,88)</f>
        <v>D56WZZ88</v>
      </c>
      <c r="F123" s="7" t="s">
        <v>398</v>
      </c>
      <c r="G123" s="7" t="s">
        <v>399</v>
      </c>
      <c r="H123" s="7" t="str">
        <f>CONCATENATE(F123, " ", G123)</f>
        <v>JOSEPHINE MANZELLA</v>
      </c>
      <c r="I123" s="7" t="s">
        <v>57</v>
      </c>
      <c r="J123" s="6">
        <v>45631</v>
      </c>
      <c r="K123" s="6">
        <f>DATE(YEAR(J123), MONTH(J123), DAY(1))</f>
        <v>45627</v>
      </c>
      <c r="L123" s="8">
        <v>45658</v>
      </c>
      <c r="M123" s="6">
        <f>DATE(YEAR(K123), MONTH(K123) +1, DAY(K123))</f>
        <v>45658</v>
      </c>
      <c r="N123" s="7" t="s">
        <v>0</v>
      </c>
      <c r="O123" s="7" t="s">
        <v>59</v>
      </c>
      <c r="P123" s="7" t="s">
        <v>60</v>
      </c>
      <c r="Q123" s="7" t="s">
        <v>50</v>
      </c>
      <c r="R123" s="7">
        <v>312.99999600000001</v>
      </c>
      <c r="S123" s="7">
        <v>199.99999199999999</v>
      </c>
      <c r="T123" s="7">
        <v>513</v>
      </c>
      <c r="U123" s="7">
        <v>200</v>
      </c>
      <c r="V123" s="7" t="s">
        <v>437</v>
      </c>
    </row>
    <row r="124" spans="1:22" x14ac:dyDescent="0.2">
      <c r="A124" s="6">
        <v>45674</v>
      </c>
      <c r="B124" s="7">
        <v>20411454</v>
      </c>
      <c r="C124" s="7" t="s">
        <v>436</v>
      </c>
      <c r="D124" s="7" t="s">
        <v>388</v>
      </c>
      <c r="E124" s="7" t="str">
        <f>CONCATENATE(D124,88)</f>
        <v>DS3JW988</v>
      </c>
      <c r="F124" s="7" t="s">
        <v>390</v>
      </c>
      <c r="G124" s="7" t="s">
        <v>391</v>
      </c>
      <c r="H124" s="7" t="str">
        <f>CONCATENATE(F124, " ", G124)</f>
        <v>JOYCE WARD</v>
      </c>
      <c r="I124" s="7" t="s">
        <v>392</v>
      </c>
      <c r="J124" s="6">
        <v>45631</v>
      </c>
      <c r="K124" s="6">
        <f>DATE(YEAR(J124), MONTH(J124), DAY(1))</f>
        <v>45627</v>
      </c>
      <c r="L124" s="8">
        <v>45658</v>
      </c>
      <c r="M124" s="6">
        <f>DATE(YEAR(K124), MONTH(K124) +1, DAY(K124))</f>
        <v>45658</v>
      </c>
      <c r="N124" s="7" t="s">
        <v>0</v>
      </c>
      <c r="O124" s="7" t="s">
        <v>59</v>
      </c>
      <c r="P124" s="7" t="s">
        <v>60</v>
      </c>
      <c r="Q124" s="7" t="s">
        <v>50</v>
      </c>
      <c r="R124" s="7">
        <v>312.99999600000001</v>
      </c>
      <c r="S124" s="7">
        <v>199.99999199999999</v>
      </c>
      <c r="T124" s="7">
        <v>513</v>
      </c>
      <c r="U124" s="7">
        <v>200</v>
      </c>
      <c r="V124" s="7" t="s">
        <v>437</v>
      </c>
    </row>
    <row r="125" spans="1:22" x14ac:dyDescent="0.2">
      <c r="A125" s="6">
        <v>45674</v>
      </c>
      <c r="B125" s="7">
        <v>20411454</v>
      </c>
      <c r="C125" s="7" t="s">
        <v>436</v>
      </c>
      <c r="D125" s="7" t="s">
        <v>406</v>
      </c>
      <c r="E125" s="7" t="str">
        <f>CONCATENATE(D125,88)</f>
        <v>DAJ3ER88</v>
      </c>
      <c r="F125" s="7" t="s">
        <v>408</v>
      </c>
      <c r="G125" s="7" t="s">
        <v>409</v>
      </c>
      <c r="H125" s="7" t="str">
        <f>CONCATENATE(F125, " ", G125)</f>
        <v>BETTY MCKENNIE</v>
      </c>
      <c r="I125" s="7" t="s">
        <v>57</v>
      </c>
      <c r="J125" s="6">
        <v>45632</v>
      </c>
      <c r="K125" s="6">
        <f>DATE(YEAR(J125), MONTH(J125), DAY(1))</f>
        <v>45627</v>
      </c>
      <c r="L125" s="8">
        <v>45658</v>
      </c>
      <c r="M125" s="6">
        <f>DATE(YEAR(K125), MONTH(K125) +1, DAY(K125))</f>
        <v>45658</v>
      </c>
      <c r="N125" s="7" t="s">
        <v>0</v>
      </c>
      <c r="O125" s="7" t="s">
        <v>59</v>
      </c>
      <c r="P125" s="7" t="s">
        <v>60</v>
      </c>
      <c r="Q125" s="7" t="s">
        <v>50</v>
      </c>
      <c r="R125" s="7">
        <v>312.99999600000001</v>
      </c>
      <c r="S125" s="7">
        <v>199.99999199999999</v>
      </c>
      <c r="T125" s="7">
        <v>513</v>
      </c>
      <c r="U125" s="7">
        <v>200</v>
      </c>
      <c r="V125" s="7" t="s">
        <v>437</v>
      </c>
    </row>
    <row r="126" spans="1:22" x14ac:dyDescent="0.2">
      <c r="A126" s="6">
        <v>45674</v>
      </c>
      <c r="B126" s="7">
        <v>20411454</v>
      </c>
      <c r="C126" s="7" t="s">
        <v>436</v>
      </c>
      <c r="D126" s="7" t="s">
        <v>410</v>
      </c>
      <c r="E126" s="7" t="str">
        <f>CONCATENATE(D126,88)</f>
        <v>DJFA7R88</v>
      </c>
      <c r="F126" s="7" t="s">
        <v>412</v>
      </c>
      <c r="G126" s="7" t="s">
        <v>409</v>
      </c>
      <c r="H126" s="7" t="str">
        <f>CONCATENATE(F126, " ", G126)</f>
        <v>CLIFTON MCKENNIE</v>
      </c>
      <c r="I126" s="7" t="s">
        <v>57</v>
      </c>
      <c r="J126" s="6">
        <v>45632</v>
      </c>
      <c r="K126" s="6">
        <f>DATE(YEAR(J126), MONTH(J126), DAY(1))</f>
        <v>45627</v>
      </c>
      <c r="L126" s="8">
        <v>45658</v>
      </c>
      <c r="M126" s="6">
        <f>DATE(YEAR(K126), MONTH(K126) +1, DAY(K126))</f>
        <v>45658</v>
      </c>
      <c r="N126" s="7" t="s">
        <v>0</v>
      </c>
      <c r="O126" s="7" t="s">
        <v>59</v>
      </c>
      <c r="P126" s="7" t="s">
        <v>60</v>
      </c>
      <c r="Q126" s="7" t="s">
        <v>50</v>
      </c>
      <c r="R126" s="7">
        <v>312.99999600000001</v>
      </c>
      <c r="S126" s="7">
        <v>199.99999199999999</v>
      </c>
      <c r="T126" s="7">
        <v>513</v>
      </c>
      <c r="U126" s="7">
        <v>200</v>
      </c>
      <c r="V126" s="7" t="s">
        <v>437</v>
      </c>
    </row>
    <row r="127" spans="1:22" x14ac:dyDescent="0.2">
      <c r="A127" s="6">
        <v>45674</v>
      </c>
      <c r="B127" s="7">
        <v>20411454</v>
      </c>
      <c r="C127" s="7" t="s">
        <v>436</v>
      </c>
      <c r="D127" s="7" t="s">
        <v>413</v>
      </c>
      <c r="E127" s="7" t="str">
        <f>CONCATENATE(D127,88)</f>
        <v>DZ7WJ388</v>
      </c>
      <c r="F127" s="7" t="s">
        <v>336</v>
      </c>
      <c r="G127" s="7" t="s">
        <v>415</v>
      </c>
      <c r="H127" s="7" t="str">
        <f>CONCATENATE(F127, " ", G127)</f>
        <v>ANTHONY MITCHELL</v>
      </c>
      <c r="I127" s="7" t="s">
        <v>57</v>
      </c>
      <c r="J127" s="6">
        <v>45632</v>
      </c>
      <c r="K127" s="6">
        <f>DATE(YEAR(J127), MONTH(J127), DAY(1))</f>
        <v>45627</v>
      </c>
      <c r="L127" s="8">
        <v>45658</v>
      </c>
      <c r="M127" s="6">
        <f>DATE(YEAR(K127), MONTH(K127) +1, DAY(K127))</f>
        <v>45658</v>
      </c>
      <c r="N127" s="7" t="s">
        <v>0</v>
      </c>
      <c r="O127" s="7" t="s">
        <v>59</v>
      </c>
      <c r="P127" s="7" t="s">
        <v>60</v>
      </c>
      <c r="Q127" s="7" t="s">
        <v>50</v>
      </c>
      <c r="R127" s="7">
        <v>312.99999600000001</v>
      </c>
      <c r="S127" s="7">
        <v>199.99999199999999</v>
      </c>
      <c r="T127" s="7">
        <v>513</v>
      </c>
      <c r="U127" s="7">
        <v>200</v>
      </c>
      <c r="V127" s="7" t="s">
        <v>437</v>
      </c>
    </row>
    <row r="128" spans="1:22" x14ac:dyDescent="0.2">
      <c r="A128" s="6">
        <v>45674</v>
      </c>
      <c r="B128" s="7">
        <v>20411454</v>
      </c>
      <c r="C128" s="7" t="s">
        <v>436</v>
      </c>
      <c r="D128" s="7" t="s">
        <v>419</v>
      </c>
      <c r="E128" s="7" t="str">
        <f>CONCATENATE(D128,88)</f>
        <v>DZ4FFJ88</v>
      </c>
      <c r="F128" s="7" t="s">
        <v>421</v>
      </c>
      <c r="G128" s="7" t="s">
        <v>422</v>
      </c>
      <c r="H128" s="7" t="str">
        <f>CONCATENATE(F128, " ", G128)</f>
        <v>SALVATORE ESPOSITO</v>
      </c>
      <c r="I128" s="7" t="s">
        <v>57</v>
      </c>
      <c r="J128" s="6">
        <v>45633</v>
      </c>
      <c r="K128" s="6">
        <f>DATE(YEAR(J128), MONTH(J128), DAY(1))</f>
        <v>45627</v>
      </c>
      <c r="L128" s="8">
        <v>45658</v>
      </c>
      <c r="M128" s="6">
        <f>DATE(YEAR(K128), MONTH(K128) +1, DAY(K128))</f>
        <v>45658</v>
      </c>
      <c r="N128" s="7" t="s">
        <v>0</v>
      </c>
      <c r="O128" s="7" t="s">
        <v>59</v>
      </c>
      <c r="P128" s="7" t="s">
        <v>60</v>
      </c>
      <c r="Q128" s="7" t="s">
        <v>50</v>
      </c>
      <c r="R128" s="7">
        <v>312.99999600000001</v>
      </c>
      <c r="S128" s="7">
        <v>199.99999199999999</v>
      </c>
      <c r="T128" s="7">
        <v>513</v>
      </c>
      <c r="U128" s="7">
        <v>200</v>
      </c>
      <c r="V128" s="7" t="s">
        <v>437</v>
      </c>
    </row>
    <row r="129" spans="1:22" x14ac:dyDescent="0.2">
      <c r="A129" s="6">
        <v>45674</v>
      </c>
      <c r="B129" s="7">
        <v>20411454</v>
      </c>
      <c r="C129" s="7" t="s">
        <v>436</v>
      </c>
      <c r="D129" s="7" t="s">
        <v>195</v>
      </c>
      <c r="E129" s="7" t="str">
        <f>CONCATENATE(D129,88)</f>
        <v>D4YY4888</v>
      </c>
      <c r="F129" s="7" t="s">
        <v>197</v>
      </c>
      <c r="G129" s="7" t="s">
        <v>198</v>
      </c>
      <c r="H129" s="7" t="str">
        <f>CONCATENATE(F129, " ", G129)</f>
        <v>JILL SCHMIDT</v>
      </c>
      <c r="I129" s="7" t="s">
        <v>199</v>
      </c>
      <c r="J129" s="6">
        <v>45595</v>
      </c>
      <c r="K129" s="6">
        <f>DATE(YEAR(J129), MONTH(J129), DAY(1))</f>
        <v>45566</v>
      </c>
      <c r="L129" s="8">
        <v>45658</v>
      </c>
      <c r="M129" s="6">
        <f>DATE(YEAR(K129), MONTH(K129) +1, DAY(K129))</f>
        <v>45597</v>
      </c>
      <c r="N129" s="7" t="s">
        <v>0</v>
      </c>
      <c r="O129" s="7" t="s">
        <v>59</v>
      </c>
      <c r="P129" s="7" t="s">
        <v>60</v>
      </c>
      <c r="Q129" s="7" t="s">
        <v>50</v>
      </c>
      <c r="R129" s="7">
        <v>312.99999600000001</v>
      </c>
      <c r="S129" s="7">
        <v>249.99998400000001</v>
      </c>
      <c r="T129" s="7">
        <v>563</v>
      </c>
      <c r="U129" s="7">
        <v>250</v>
      </c>
      <c r="V129" s="7" t="s">
        <v>437</v>
      </c>
    </row>
    <row r="130" spans="1:22" x14ac:dyDescent="0.2">
      <c r="A130" s="6">
        <v>45674</v>
      </c>
      <c r="B130" s="7">
        <v>20411454</v>
      </c>
      <c r="C130" s="7" t="s">
        <v>436</v>
      </c>
      <c r="D130" s="7" t="s">
        <v>201</v>
      </c>
      <c r="E130" s="7" t="str">
        <f>CONCATENATE(D130,88)</f>
        <v>DR482688</v>
      </c>
      <c r="F130" s="7" t="s">
        <v>203</v>
      </c>
      <c r="G130" s="7" t="s">
        <v>198</v>
      </c>
      <c r="H130" s="7" t="str">
        <f>CONCATENATE(F130, " ", G130)</f>
        <v>DONALD SCHMIDT</v>
      </c>
      <c r="I130" s="7" t="s">
        <v>199</v>
      </c>
      <c r="J130" s="6">
        <v>45595</v>
      </c>
      <c r="K130" s="6">
        <f>DATE(YEAR(J130), MONTH(J130), DAY(1))</f>
        <v>45566</v>
      </c>
      <c r="L130" s="8">
        <v>45658</v>
      </c>
      <c r="M130" s="6">
        <f>DATE(YEAR(K130), MONTH(K130) +1, DAY(K130))</f>
        <v>45597</v>
      </c>
      <c r="N130" s="7" t="s">
        <v>0</v>
      </c>
      <c r="O130" s="7" t="s">
        <v>59</v>
      </c>
      <c r="P130" s="7" t="s">
        <v>60</v>
      </c>
      <c r="Q130" s="7" t="s">
        <v>50</v>
      </c>
      <c r="R130" s="7">
        <v>312.99999600000001</v>
      </c>
      <c r="S130" s="7">
        <v>249.99998400000001</v>
      </c>
      <c r="T130" s="7">
        <v>563</v>
      </c>
      <c r="U130" s="7">
        <v>250</v>
      </c>
      <c r="V130" s="7" t="s">
        <v>437</v>
      </c>
    </row>
    <row r="131" spans="1:22" x14ac:dyDescent="0.2">
      <c r="A131" s="6">
        <v>45674</v>
      </c>
      <c r="B131" s="7">
        <v>20411454</v>
      </c>
      <c r="C131" s="7" t="s">
        <v>436</v>
      </c>
      <c r="D131" s="7" t="s">
        <v>67</v>
      </c>
      <c r="E131" s="7" t="str">
        <f>CONCATENATE(D131,88)</f>
        <v>DR5KGS88</v>
      </c>
      <c r="F131" s="7" t="s">
        <v>69</v>
      </c>
      <c r="G131" s="7" t="s">
        <v>70</v>
      </c>
      <c r="H131" s="7" t="str">
        <f>CONCATENATE(F131, " ", G131)</f>
        <v>FRANCESCA LYZUN</v>
      </c>
      <c r="I131" s="7" t="s">
        <v>57</v>
      </c>
      <c r="J131" s="6">
        <v>45581</v>
      </c>
      <c r="K131" s="6">
        <f>DATE(YEAR(J131), MONTH(J131), DAY(1))</f>
        <v>45566</v>
      </c>
      <c r="L131" s="8">
        <v>45658</v>
      </c>
      <c r="M131" s="6">
        <f>DATE(YEAR(K131), MONTH(K131) +1, DAY(K131))</f>
        <v>45597</v>
      </c>
      <c r="N131" s="7" t="s">
        <v>0</v>
      </c>
      <c r="O131" s="7" t="s">
        <v>72</v>
      </c>
      <c r="P131" s="7" t="s">
        <v>49</v>
      </c>
      <c r="Q131" s="7" t="s">
        <v>50</v>
      </c>
      <c r="R131" s="7">
        <v>625.99999200000002</v>
      </c>
      <c r="S131" s="7">
        <v>199.99999199999999</v>
      </c>
      <c r="T131" s="7">
        <v>826</v>
      </c>
      <c r="U131" s="7">
        <v>200</v>
      </c>
      <c r="V131" s="7" t="s">
        <v>437</v>
      </c>
    </row>
    <row r="132" spans="1:22" x14ac:dyDescent="0.2">
      <c r="A132" s="6">
        <v>45674</v>
      </c>
      <c r="B132" s="7">
        <v>20411454</v>
      </c>
      <c r="C132" s="7" t="s">
        <v>436</v>
      </c>
      <c r="D132" s="7" t="s">
        <v>110</v>
      </c>
      <c r="E132" s="7" t="str">
        <f>CONCATENATE(D132,88)</f>
        <v>DZ34AR88</v>
      </c>
      <c r="F132" s="7" t="s">
        <v>112</v>
      </c>
      <c r="G132" s="7" t="s">
        <v>113</v>
      </c>
      <c r="H132" s="7" t="str">
        <f>CONCATENATE(F132, " ", G132)</f>
        <v>GRAZYNA EWERT</v>
      </c>
      <c r="I132" s="7" t="s">
        <v>57</v>
      </c>
      <c r="J132" s="6">
        <v>45584</v>
      </c>
      <c r="K132" s="6">
        <f>DATE(YEAR(J132), MONTH(J132), DAY(1))</f>
        <v>45566</v>
      </c>
      <c r="L132" s="8">
        <v>45658</v>
      </c>
      <c r="M132" s="6">
        <f>DATE(YEAR(K132), MONTH(K132) +1, DAY(K132))</f>
        <v>45597</v>
      </c>
      <c r="N132" s="7" t="s">
        <v>0</v>
      </c>
      <c r="O132" s="7" t="s">
        <v>72</v>
      </c>
      <c r="P132" s="7" t="s">
        <v>49</v>
      </c>
      <c r="Q132" s="7" t="s">
        <v>50</v>
      </c>
      <c r="R132" s="7">
        <v>625.99999200000002</v>
      </c>
      <c r="S132" s="7">
        <v>199.99999199999999</v>
      </c>
      <c r="T132" s="7">
        <v>826</v>
      </c>
      <c r="U132" s="7">
        <v>200</v>
      </c>
      <c r="V132" s="7" t="s">
        <v>437</v>
      </c>
    </row>
    <row r="133" spans="1:22" x14ac:dyDescent="0.2">
      <c r="A133" s="6">
        <v>45674</v>
      </c>
      <c r="B133" s="7">
        <v>20411454</v>
      </c>
      <c r="C133" s="7" t="s">
        <v>436</v>
      </c>
      <c r="D133" s="7" t="s">
        <v>105</v>
      </c>
      <c r="E133" s="7" t="str">
        <f>CONCATENATE(D133,88)</f>
        <v>D77WRJ88</v>
      </c>
      <c r="F133" s="7" t="s">
        <v>107</v>
      </c>
      <c r="G133" s="7" t="s">
        <v>108</v>
      </c>
      <c r="H133" s="7" t="str">
        <f>CONCATENATE(F133, " ", G133)</f>
        <v>ANDREW FERNANDEZ</v>
      </c>
      <c r="I133" s="7" t="s">
        <v>57</v>
      </c>
      <c r="J133" s="6">
        <v>45584</v>
      </c>
      <c r="K133" s="6">
        <f>DATE(YEAR(J133), MONTH(J133), DAY(1))</f>
        <v>45566</v>
      </c>
      <c r="L133" s="8">
        <v>45658</v>
      </c>
      <c r="M133" s="6">
        <f>DATE(YEAR(K133), MONTH(K133) +1, DAY(K133))</f>
        <v>45597</v>
      </c>
      <c r="N133" s="7" t="s">
        <v>0</v>
      </c>
      <c r="O133" s="7" t="s">
        <v>109</v>
      </c>
      <c r="P133" s="7" t="s">
        <v>49</v>
      </c>
      <c r="Q133" s="7" t="s">
        <v>50</v>
      </c>
      <c r="R133" s="7">
        <v>625.99999200000002</v>
      </c>
      <c r="S133" s="7">
        <v>199.99999199999999</v>
      </c>
      <c r="T133" s="7">
        <v>826</v>
      </c>
      <c r="U133" s="7">
        <v>200</v>
      </c>
      <c r="V133" s="7" t="s">
        <v>437</v>
      </c>
    </row>
    <row r="134" spans="1:22" x14ac:dyDescent="0.2">
      <c r="A134" s="6">
        <v>45674</v>
      </c>
      <c r="B134" s="7">
        <v>20411454</v>
      </c>
      <c r="C134" s="7" t="s">
        <v>436</v>
      </c>
      <c r="D134" s="7" t="s">
        <v>136</v>
      </c>
      <c r="E134" s="7" t="str">
        <f>CONCATENATE(D134,88)</f>
        <v>D4SJK488</v>
      </c>
      <c r="F134" s="7" t="s">
        <v>138</v>
      </c>
      <c r="G134" s="7" t="s">
        <v>139</v>
      </c>
      <c r="H134" s="7" t="str">
        <f>CONCATENATE(F134, " ", G134)</f>
        <v>KAREN CHAREWICZ</v>
      </c>
      <c r="I134" s="7" t="s">
        <v>57</v>
      </c>
      <c r="J134" s="6">
        <v>45587</v>
      </c>
      <c r="K134" s="6">
        <f>DATE(YEAR(J134), MONTH(J134), DAY(1))</f>
        <v>45566</v>
      </c>
      <c r="L134" s="8">
        <v>45658</v>
      </c>
      <c r="M134" s="6">
        <f>DATE(YEAR(K134), MONTH(K134) +1, DAY(K134))</f>
        <v>45597</v>
      </c>
      <c r="N134" s="7" t="s">
        <v>0</v>
      </c>
      <c r="O134" s="7" t="s">
        <v>72</v>
      </c>
      <c r="P134" s="7" t="s">
        <v>49</v>
      </c>
      <c r="Q134" s="7" t="s">
        <v>50</v>
      </c>
      <c r="R134" s="7">
        <v>625.99999200000002</v>
      </c>
      <c r="S134" s="7">
        <v>199.99999199999999</v>
      </c>
      <c r="T134" s="7">
        <v>826</v>
      </c>
      <c r="U134" s="7">
        <v>200</v>
      </c>
      <c r="V134" s="7" t="s">
        <v>437</v>
      </c>
    </row>
    <row r="135" spans="1:22" x14ac:dyDescent="0.2">
      <c r="A135" s="6">
        <v>45674</v>
      </c>
      <c r="B135" s="7">
        <v>20411454</v>
      </c>
      <c r="C135" s="7" t="s">
        <v>436</v>
      </c>
      <c r="D135" s="7" t="s">
        <v>271</v>
      </c>
      <c r="E135" s="7" t="str">
        <f>CONCATENATE(D135,88)</f>
        <v>D678GK88</v>
      </c>
      <c r="F135" s="7" t="s">
        <v>45</v>
      </c>
      <c r="G135" s="7" t="s">
        <v>273</v>
      </c>
      <c r="H135" s="7" t="str">
        <f>CONCATENATE(F135, " ", G135)</f>
        <v>JOHN BARONE JR</v>
      </c>
      <c r="I135" s="7" t="s">
        <v>57</v>
      </c>
      <c r="J135" s="6">
        <v>45609</v>
      </c>
      <c r="K135" s="6">
        <f>DATE(YEAR(J135), MONTH(J135), DAY(1))</f>
        <v>45597</v>
      </c>
      <c r="L135" s="8">
        <v>45658</v>
      </c>
      <c r="M135" s="6">
        <f>DATE(YEAR(K135), MONTH(K135) +1, DAY(K135))</f>
        <v>45627</v>
      </c>
      <c r="N135" s="7" t="s">
        <v>0</v>
      </c>
      <c r="O135" s="7" t="s">
        <v>109</v>
      </c>
      <c r="P135" s="7" t="s">
        <v>49</v>
      </c>
      <c r="Q135" s="7" t="s">
        <v>50</v>
      </c>
      <c r="R135" s="7">
        <v>625.99999200000002</v>
      </c>
      <c r="S135" s="7">
        <v>199.99999199999999</v>
      </c>
      <c r="T135" s="7">
        <v>826</v>
      </c>
      <c r="U135" s="7">
        <v>200</v>
      </c>
      <c r="V135" s="7" t="s">
        <v>437</v>
      </c>
    </row>
    <row r="136" spans="1:22" x14ac:dyDescent="0.2">
      <c r="A136" s="6">
        <v>45674</v>
      </c>
      <c r="B136" s="7">
        <v>20411454</v>
      </c>
      <c r="C136" s="7" t="s">
        <v>436</v>
      </c>
      <c r="D136" s="7" t="s">
        <v>264</v>
      </c>
      <c r="E136" s="7" t="str">
        <f>CONCATENATE(D136,88)</f>
        <v>D2E9C888</v>
      </c>
      <c r="F136" s="7" t="s">
        <v>266</v>
      </c>
      <c r="G136" s="7" t="s">
        <v>267</v>
      </c>
      <c r="H136" s="7" t="str">
        <f>CONCATENATE(F136, " ", G136)</f>
        <v>WALTER BECKMAN</v>
      </c>
      <c r="I136" s="7" t="s">
        <v>57</v>
      </c>
      <c r="J136" s="6">
        <v>45609</v>
      </c>
      <c r="K136" s="6">
        <f>DATE(YEAR(J136), MONTH(J136), DAY(1))</f>
        <v>45597</v>
      </c>
      <c r="L136" s="8">
        <v>45658</v>
      </c>
      <c r="M136" s="6">
        <f>DATE(YEAR(K136), MONTH(K136) +1, DAY(K136))</f>
        <v>45627</v>
      </c>
      <c r="N136" s="7" t="s">
        <v>0</v>
      </c>
      <c r="O136" s="7" t="s">
        <v>72</v>
      </c>
      <c r="P136" s="7" t="s">
        <v>49</v>
      </c>
      <c r="Q136" s="7" t="s">
        <v>50</v>
      </c>
      <c r="R136" s="7">
        <v>625.99999200000002</v>
      </c>
      <c r="S136" s="7">
        <v>199.99999199999999</v>
      </c>
      <c r="T136" s="7">
        <v>826</v>
      </c>
      <c r="U136" s="7">
        <v>200</v>
      </c>
      <c r="V136" s="7" t="s">
        <v>437</v>
      </c>
    </row>
    <row r="137" spans="1:22" x14ac:dyDescent="0.2">
      <c r="A137" s="6">
        <v>45674</v>
      </c>
      <c r="B137" s="7">
        <v>20411454</v>
      </c>
      <c r="C137" s="7" t="s">
        <v>436</v>
      </c>
      <c r="D137" s="7" t="s">
        <v>268</v>
      </c>
      <c r="E137" s="7" t="str">
        <f>CONCATENATE(D137,88)</f>
        <v>DUWJJS88</v>
      </c>
      <c r="F137" s="7" t="s">
        <v>270</v>
      </c>
      <c r="G137" s="7" t="s">
        <v>267</v>
      </c>
      <c r="H137" s="7" t="str">
        <f>CONCATENATE(F137, " ", G137)</f>
        <v>ROBERTA BECKMAN</v>
      </c>
      <c r="I137" s="7" t="s">
        <v>57</v>
      </c>
      <c r="J137" s="6">
        <v>45609</v>
      </c>
      <c r="K137" s="6">
        <f>DATE(YEAR(J137), MONTH(J137), DAY(1))</f>
        <v>45597</v>
      </c>
      <c r="L137" s="8">
        <v>45658</v>
      </c>
      <c r="M137" s="6">
        <f>DATE(YEAR(K137), MONTH(K137) +1, DAY(K137))</f>
        <v>45627</v>
      </c>
      <c r="N137" s="7" t="s">
        <v>0</v>
      </c>
      <c r="O137" s="7" t="s">
        <v>72</v>
      </c>
      <c r="P137" s="7" t="s">
        <v>49</v>
      </c>
      <c r="Q137" s="7" t="s">
        <v>50</v>
      </c>
      <c r="R137" s="7">
        <v>625.99999200000002</v>
      </c>
      <c r="S137" s="7">
        <v>199.99999199999999</v>
      </c>
      <c r="T137" s="7">
        <v>826</v>
      </c>
      <c r="U137" s="7">
        <v>200</v>
      </c>
      <c r="V137" s="7" t="s">
        <v>437</v>
      </c>
    </row>
    <row r="138" spans="1:22" x14ac:dyDescent="0.2">
      <c r="A138" s="6">
        <v>45674</v>
      </c>
      <c r="B138" s="7">
        <v>20411454</v>
      </c>
      <c r="C138" s="7" t="s">
        <v>436</v>
      </c>
      <c r="D138" s="7" t="s">
        <v>282</v>
      </c>
      <c r="E138" s="7" t="str">
        <f>CONCATENATE(D138,88)</f>
        <v>DAR47288</v>
      </c>
      <c r="F138" s="7" t="s">
        <v>153</v>
      </c>
      <c r="G138" s="7" t="s">
        <v>284</v>
      </c>
      <c r="H138" s="7" t="str">
        <f>CONCATENATE(F138, " ", G138)</f>
        <v>MARY RACS</v>
      </c>
      <c r="I138" s="7" t="s">
        <v>57</v>
      </c>
      <c r="J138" s="6">
        <v>45610</v>
      </c>
      <c r="K138" s="6">
        <f>DATE(YEAR(J138), MONTH(J138), DAY(1))</f>
        <v>45597</v>
      </c>
      <c r="L138" s="8">
        <v>45658</v>
      </c>
      <c r="M138" s="6">
        <f>DATE(YEAR(K138), MONTH(K138) +1, DAY(K138))</f>
        <v>45627</v>
      </c>
      <c r="N138" s="7" t="s">
        <v>0</v>
      </c>
      <c r="O138" s="7" t="s">
        <v>109</v>
      </c>
      <c r="P138" s="7" t="s">
        <v>49</v>
      </c>
      <c r="Q138" s="7" t="s">
        <v>50</v>
      </c>
      <c r="R138" s="7">
        <v>625.99999200000002</v>
      </c>
      <c r="S138" s="7">
        <v>199.99999199999999</v>
      </c>
      <c r="T138" s="7">
        <v>826</v>
      </c>
      <c r="U138" s="7">
        <v>200</v>
      </c>
      <c r="V138" s="7" t="s">
        <v>437</v>
      </c>
    </row>
    <row r="139" spans="1:22" x14ac:dyDescent="0.2">
      <c r="A139" s="6">
        <v>45674</v>
      </c>
      <c r="B139" s="7">
        <v>20411454</v>
      </c>
      <c r="C139" s="7" t="s">
        <v>436</v>
      </c>
      <c r="D139" s="7" t="s">
        <v>291</v>
      </c>
      <c r="E139" s="7" t="str">
        <f>CONCATENATE(D139,88)</f>
        <v>D5HG7U88</v>
      </c>
      <c r="F139" s="7" t="s">
        <v>293</v>
      </c>
      <c r="G139" s="7" t="s">
        <v>294</v>
      </c>
      <c r="H139" s="7" t="str">
        <f>CONCATENATE(F139, " ", G139)</f>
        <v>WENDY SOFYANOS</v>
      </c>
      <c r="I139" s="7" t="s">
        <v>57</v>
      </c>
      <c r="J139" s="6">
        <v>45614</v>
      </c>
      <c r="K139" s="6">
        <f>DATE(YEAR(J139), MONTH(J139), DAY(1))</f>
        <v>45597</v>
      </c>
      <c r="L139" s="8">
        <v>45658</v>
      </c>
      <c r="M139" s="6">
        <f>DATE(YEAR(K139), MONTH(K139) +1, DAY(K139))</f>
        <v>45627</v>
      </c>
      <c r="N139" s="7" t="s">
        <v>0</v>
      </c>
      <c r="O139" s="7" t="s">
        <v>72</v>
      </c>
      <c r="P139" s="7" t="s">
        <v>49</v>
      </c>
      <c r="Q139" s="7" t="s">
        <v>50</v>
      </c>
      <c r="R139" s="7">
        <v>625.99999200000002</v>
      </c>
      <c r="S139" s="7">
        <v>199.99999199999999</v>
      </c>
      <c r="T139" s="7">
        <v>826</v>
      </c>
      <c r="U139" s="7">
        <v>200</v>
      </c>
      <c r="V139" s="7" t="s">
        <v>437</v>
      </c>
    </row>
    <row r="140" spans="1:22" x14ac:dyDescent="0.2">
      <c r="A140" s="6">
        <v>45674</v>
      </c>
      <c r="B140" s="7">
        <v>20411454</v>
      </c>
      <c r="C140" s="7" t="s">
        <v>436</v>
      </c>
      <c r="D140" s="7" t="s">
        <v>303</v>
      </c>
      <c r="E140" s="7" t="str">
        <f>CONCATENATE(D140,88)</f>
        <v>DZ6GWY88</v>
      </c>
      <c r="F140" s="7" t="s">
        <v>192</v>
      </c>
      <c r="G140" s="7" t="s">
        <v>305</v>
      </c>
      <c r="H140" s="7" t="str">
        <f>CONCATENATE(F140, " ", G140)</f>
        <v>MICHAEL BARNISH</v>
      </c>
      <c r="I140" s="7" t="s">
        <v>57</v>
      </c>
      <c r="J140" s="6">
        <v>45615</v>
      </c>
      <c r="K140" s="6">
        <f>DATE(YEAR(J140), MONTH(J140), DAY(1))</f>
        <v>45597</v>
      </c>
      <c r="L140" s="8">
        <v>45658</v>
      </c>
      <c r="M140" s="6">
        <f>DATE(YEAR(K140), MONTH(K140) +1, DAY(K140))</f>
        <v>45627</v>
      </c>
      <c r="N140" s="7" t="s">
        <v>0</v>
      </c>
      <c r="O140" s="7" t="s">
        <v>72</v>
      </c>
      <c r="P140" s="7" t="s">
        <v>49</v>
      </c>
      <c r="Q140" s="7" t="s">
        <v>50</v>
      </c>
      <c r="R140" s="7">
        <v>625.99999200000002</v>
      </c>
      <c r="S140" s="7">
        <v>199.99999199999999</v>
      </c>
      <c r="T140" s="7">
        <v>826</v>
      </c>
      <c r="U140" s="7">
        <v>200</v>
      </c>
      <c r="V140" s="7" t="s">
        <v>437</v>
      </c>
    </row>
    <row r="141" spans="1:22" x14ac:dyDescent="0.2">
      <c r="A141" s="6">
        <v>45674</v>
      </c>
      <c r="B141" s="7">
        <v>20411454</v>
      </c>
      <c r="C141" s="7" t="s">
        <v>436</v>
      </c>
      <c r="D141" s="7" t="s">
        <v>318</v>
      </c>
      <c r="E141" s="7" t="str">
        <f>CONCATENATE(D141,88)</f>
        <v>DHRYRA88</v>
      </c>
      <c r="F141" s="7" t="s">
        <v>320</v>
      </c>
      <c r="G141" s="7" t="s">
        <v>321</v>
      </c>
      <c r="H141" s="7" t="str">
        <f>CONCATENATE(F141, " ", G141)</f>
        <v>CATHERINE JAMES</v>
      </c>
      <c r="I141" s="7" t="s">
        <v>57</v>
      </c>
      <c r="J141" s="6">
        <v>45617</v>
      </c>
      <c r="K141" s="6">
        <f>DATE(YEAR(J141), MONTH(J141), DAY(1))</f>
        <v>45597</v>
      </c>
      <c r="L141" s="8">
        <v>45658</v>
      </c>
      <c r="M141" s="6">
        <f>DATE(YEAR(K141), MONTH(K141) +1, DAY(K141))</f>
        <v>45627</v>
      </c>
      <c r="N141" s="7" t="s">
        <v>0</v>
      </c>
      <c r="O141" s="7" t="s">
        <v>72</v>
      </c>
      <c r="P141" s="7" t="s">
        <v>49</v>
      </c>
      <c r="Q141" s="7" t="s">
        <v>50</v>
      </c>
      <c r="R141" s="7">
        <v>625.99999200000002</v>
      </c>
      <c r="S141" s="7">
        <v>199.99999199999999</v>
      </c>
      <c r="T141" s="7">
        <v>826</v>
      </c>
      <c r="U141" s="7">
        <v>200</v>
      </c>
      <c r="V141" s="7" t="s">
        <v>437</v>
      </c>
    </row>
    <row r="142" spans="1:22" x14ac:dyDescent="0.2">
      <c r="A142" s="6">
        <v>45674</v>
      </c>
      <c r="B142" s="7">
        <v>20411454</v>
      </c>
      <c r="C142" s="7" t="s">
        <v>436</v>
      </c>
      <c r="D142" s="7" t="s">
        <v>326</v>
      </c>
      <c r="E142" s="7" t="str">
        <f>CONCATENATE(D142,88)</f>
        <v>DK5Y9F88</v>
      </c>
      <c r="F142" s="7" t="s">
        <v>328</v>
      </c>
      <c r="G142" s="7" t="s">
        <v>329</v>
      </c>
      <c r="H142" s="7" t="str">
        <f>CONCATENATE(F142, " ", G142)</f>
        <v>PETROS MARKOPOULOS</v>
      </c>
      <c r="I142" s="7" t="s">
        <v>216</v>
      </c>
      <c r="J142" s="6">
        <v>45618</v>
      </c>
      <c r="K142" s="6">
        <f>DATE(YEAR(J142), MONTH(J142), DAY(1))</f>
        <v>45597</v>
      </c>
      <c r="L142" s="8">
        <v>45658</v>
      </c>
      <c r="M142" s="6">
        <f>DATE(YEAR(K142), MONTH(K142) +1, DAY(K142))</f>
        <v>45627</v>
      </c>
      <c r="N142" s="7" t="s">
        <v>0</v>
      </c>
      <c r="O142" s="7" t="s">
        <v>109</v>
      </c>
      <c r="P142" s="7" t="s">
        <v>49</v>
      </c>
      <c r="Q142" s="7" t="s">
        <v>50</v>
      </c>
      <c r="R142" s="7">
        <v>625.99999200000002</v>
      </c>
      <c r="S142" s="7">
        <v>199.99999199999999</v>
      </c>
      <c r="T142" s="7">
        <v>826</v>
      </c>
      <c r="U142" s="7">
        <v>200</v>
      </c>
      <c r="V142" s="7" t="s">
        <v>437</v>
      </c>
    </row>
    <row r="143" spans="1:22" x14ac:dyDescent="0.2">
      <c r="A143" s="6">
        <v>45674</v>
      </c>
      <c r="B143" s="7">
        <v>20411454</v>
      </c>
      <c r="C143" s="7" t="s">
        <v>436</v>
      </c>
      <c r="D143" s="7" t="s">
        <v>338</v>
      </c>
      <c r="E143" s="7" t="str">
        <f>CONCATENATE(D143,88)</f>
        <v>DRUSCG88</v>
      </c>
      <c r="F143" s="7" t="s">
        <v>340</v>
      </c>
      <c r="G143" s="7" t="s">
        <v>341</v>
      </c>
      <c r="H143" s="7" t="str">
        <f>CONCATENATE(F143, " ", G143)</f>
        <v>BARBARA POWELL</v>
      </c>
      <c r="I143" s="7" t="s">
        <v>57</v>
      </c>
      <c r="J143" s="6">
        <v>45621</v>
      </c>
      <c r="K143" s="6">
        <f>DATE(YEAR(J143), MONTH(J143), DAY(1))</f>
        <v>45597</v>
      </c>
      <c r="L143" s="8">
        <v>45658</v>
      </c>
      <c r="M143" s="6">
        <f>DATE(YEAR(K143), MONTH(K143) +1, DAY(K143))</f>
        <v>45627</v>
      </c>
      <c r="N143" s="7" t="s">
        <v>0</v>
      </c>
      <c r="O143" s="7" t="s">
        <v>109</v>
      </c>
      <c r="P143" s="7" t="s">
        <v>49</v>
      </c>
      <c r="Q143" s="7" t="s">
        <v>50</v>
      </c>
      <c r="R143" s="7">
        <v>625.99999200000002</v>
      </c>
      <c r="S143" s="7">
        <v>199.99999199999999</v>
      </c>
      <c r="T143" s="7">
        <v>826</v>
      </c>
      <c r="U143" s="7">
        <v>200</v>
      </c>
      <c r="V143" s="7" t="s">
        <v>437</v>
      </c>
    </row>
    <row r="144" spans="1:22" x14ac:dyDescent="0.2">
      <c r="A144" s="6">
        <v>45674</v>
      </c>
      <c r="B144" s="7">
        <v>20411454</v>
      </c>
      <c r="C144" s="7" t="s">
        <v>436</v>
      </c>
      <c r="D144" s="7" t="s">
        <v>366</v>
      </c>
      <c r="E144" s="7" t="str">
        <f>CONCATENATE(D144,88)</f>
        <v>D83KH588</v>
      </c>
      <c r="F144" s="7" t="s">
        <v>368</v>
      </c>
      <c r="G144" s="7" t="s">
        <v>369</v>
      </c>
      <c r="H144" s="7" t="str">
        <f>CONCATENATE(F144, " ", G144)</f>
        <v>BHARGAV SAVANI</v>
      </c>
      <c r="I144" s="7" t="s">
        <v>57</v>
      </c>
      <c r="J144" s="6">
        <v>45628</v>
      </c>
      <c r="K144" s="6">
        <f>DATE(YEAR(J144), MONTH(J144), DAY(1))</f>
        <v>45627</v>
      </c>
      <c r="L144" s="8">
        <v>45658</v>
      </c>
      <c r="M144" s="6">
        <f>DATE(YEAR(K144), MONTH(K144) +1, DAY(K144))</f>
        <v>45658</v>
      </c>
      <c r="N144" s="7" t="s">
        <v>0</v>
      </c>
      <c r="O144" s="7" t="s">
        <v>72</v>
      </c>
      <c r="P144" s="7" t="s">
        <v>49</v>
      </c>
      <c r="Q144" s="7" t="s">
        <v>50</v>
      </c>
      <c r="R144" s="7">
        <v>625.99999200000002</v>
      </c>
      <c r="S144" s="7">
        <v>199.99999199999999</v>
      </c>
      <c r="T144" s="7">
        <v>826</v>
      </c>
      <c r="U144" s="7">
        <v>200</v>
      </c>
      <c r="V144" s="7" t="s">
        <v>437</v>
      </c>
    </row>
    <row r="145" spans="1:23" x14ac:dyDescent="0.2">
      <c r="A145" s="6">
        <v>45674</v>
      </c>
      <c r="B145" s="7">
        <v>20411454</v>
      </c>
      <c r="C145" s="7" t="s">
        <v>436</v>
      </c>
      <c r="D145" s="7" t="s">
        <v>378</v>
      </c>
      <c r="E145" s="7" t="str">
        <f>CONCATENATE(D145,88)</f>
        <v>DCZ6E388</v>
      </c>
      <c r="F145" s="7" t="s">
        <v>380</v>
      </c>
      <c r="G145" s="7" t="s">
        <v>381</v>
      </c>
      <c r="H145" s="7" t="str">
        <f>CONCATENATE(F145, " ", G145)</f>
        <v>HILDA HERNANDEZ</v>
      </c>
      <c r="I145" s="7" t="s">
        <v>57</v>
      </c>
      <c r="J145" s="6">
        <v>45630</v>
      </c>
      <c r="K145" s="6">
        <f>DATE(YEAR(J145), MONTH(J145), DAY(1))</f>
        <v>45627</v>
      </c>
      <c r="L145" s="8">
        <v>45658</v>
      </c>
      <c r="M145" s="6">
        <f>DATE(YEAR(K145), MONTH(K145) +1, DAY(K145))</f>
        <v>45658</v>
      </c>
      <c r="N145" s="7" t="s">
        <v>0</v>
      </c>
      <c r="O145" s="7" t="s">
        <v>109</v>
      </c>
      <c r="P145" s="7" t="s">
        <v>49</v>
      </c>
      <c r="Q145" s="7" t="s">
        <v>50</v>
      </c>
      <c r="R145" s="7">
        <v>625.99999200000002</v>
      </c>
      <c r="S145" s="7">
        <v>199.99999199999999</v>
      </c>
      <c r="T145" s="7">
        <v>826</v>
      </c>
      <c r="U145" s="7">
        <v>200</v>
      </c>
      <c r="V145" s="7" t="s">
        <v>437</v>
      </c>
    </row>
    <row r="146" spans="1:23" x14ac:dyDescent="0.2">
      <c r="A146" s="6">
        <v>45674</v>
      </c>
      <c r="B146" s="7">
        <v>20411454</v>
      </c>
      <c r="C146" s="7" t="s">
        <v>436</v>
      </c>
      <c r="D146" s="7" t="s">
        <v>400</v>
      </c>
      <c r="E146" s="7" t="str">
        <f>CONCATENATE(D146,88)</f>
        <v>D2KZUR88</v>
      </c>
      <c r="F146" s="7" t="s">
        <v>153</v>
      </c>
      <c r="G146" s="7" t="s">
        <v>402</v>
      </c>
      <c r="H146" s="7" t="str">
        <f>CONCATENATE(F146, " ", G146)</f>
        <v>MARY BARR</v>
      </c>
      <c r="I146" s="7" t="s">
        <v>57</v>
      </c>
      <c r="J146" s="6">
        <v>45632</v>
      </c>
      <c r="K146" s="6">
        <f>DATE(YEAR(J146), MONTH(J146), DAY(1))</f>
        <v>45627</v>
      </c>
      <c r="L146" s="8">
        <v>45658</v>
      </c>
      <c r="M146" s="6">
        <f>DATE(YEAR(K146), MONTH(K146) +1, DAY(K146))</f>
        <v>45658</v>
      </c>
      <c r="N146" s="7" t="s">
        <v>0</v>
      </c>
      <c r="O146" s="7" t="s">
        <v>109</v>
      </c>
      <c r="P146" s="7" t="s">
        <v>49</v>
      </c>
      <c r="Q146" s="7" t="s">
        <v>50</v>
      </c>
      <c r="R146" s="7">
        <v>625.99999200000002</v>
      </c>
      <c r="S146" s="7">
        <v>199.99999199999999</v>
      </c>
      <c r="T146" s="7">
        <v>826</v>
      </c>
      <c r="U146" s="7">
        <v>200</v>
      </c>
      <c r="V146" s="7" t="s">
        <v>437</v>
      </c>
    </row>
    <row r="147" spans="1:23" x14ac:dyDescent="0.2">
      <c r="A147" s="6">
        <v>45674</v>
      </c>
      <c r="B147" s="7">
        <v>20411454</v>
      </c>
      <c r="C147" s="7" t="s">
        <v>436</v>
      </c>
      <c r="D147" s="7" t="s">
        <v>403</v>
      </c>
      <c r="E147" s="7" t="str">
        <f>CONCATENATE(D147,88)</f>
        <v>DFE23288</v>
      </c>
      <c r="F147" s="7" t="s">
        <v>405</v>
      </c>
      <c r="G147" s="7" t="s">
        <v>402</v>
      </c>
      <c r="H147" s="7" t="str">
        <f>CONCATENATE(F147, " ", G147)</f>
        <v>PETER BARR</v>
      </c>
      <c r="I147" s="7" t="s">
        <v>57</v>
      </c>
      <c r="J147" s="6">
        <v>45632</v>
      </c>
      <c r="K147" s="6">
        <f>DATE(YEAR(J147), MONTH(J147), DAY(1))</f>
        <v>45627</v>
      </c>
      <c r="L147" s="8">
        <v>45658</v>
      </c>
      <c r="M147" s="6">
        <f>DATE(YEAR(K147), MONTH(K147) +1, DAY(K147))</f>
        <v>45658</v>
      </c>
      <c r="N147" s="7" t="s">
        <v>0</v>
      </c>
      <c r="O147" s="7" t="s">
        <v>109</v>
      </c>
      <c r="P147" s="7" t="s">
        <v>49</v>
      </c>
      <c r="Q147" s="7" t="s">
        <v>50</v>
      </c>
      <c r="R147" s="7">
        <v>625.99999200000002</v>
      </c>
      <c r="S147" s="7">
        <v>199.99999199999999</v>
      </c>
      <c r="T147" s="7">
        <v>826</v>
      </c>
      <c r="U147" s="7">
        <v>200</v>
      </c>
      <c r="V147" s="7" t="s">
        <v>437</v>
      </c>
    </row>
    <row r="148" spans="1:23" x14ac:dyDescent="0.2">
      <c r="A148" s="6">
        <v>45674</v>
      </c>
      <c r="B148" s="7">
        <v>20411454</v>
      </c>
      <c r="C148" s="7" t="s">
        <v>436</v>
      </c>
      <c r="D148" s="7" t="s">
        <v>416</v>
      </c>
      <c r="E148" s="7" t="str">
        <f>CONCATENATE(D148,88)</f>
        <v>DJGRC488</v>
      </c>
      <c r="F148" s="7" t="s">
        <v>418</v>
      </c>
      <c r="G148" s="7" t="s">
        <v>104</v>
      </c>
      <c r="H148" s="7" t="str">
        <f>CONCATENATE(F148, " ", G148)</f>
        <v>KIM SMITH</v>
      </c>
      <c r="I148" s="7" t="s">
        <v>392</v>
      </c>
      <c r="J148" s="6">
        <v>45633</v>
      </c>
      <c r="K148" s="6">
        <f>DATE(YEAR(J148), MONTH(J148), DAY(1))</f>
        <v>45627</v>
      </c>
      <c r="L148" s="8">
        <v>45658</v>
      </c>
      <c r="M148" s="6">
        <f>DATE(YEAR(K148), MONTH(K148) +1, DAY(K148))</f>
        <v>45658</v>
      </c>
      <c r="N148" s="7" t="s">
        <v>0</v>
      </c>
      <c r="O148" s="7" t="s">
        <v>109</v>
      </c>
      <c r="P148" s="7" t="s">
        <v>49</v>
      </c>
      <c r="Q148" s="7" t="s">
        <v>50</v>
      </c>
      <c r="R148" s="7">
        <v>625.99999200000002</v>
      </c>
      <c r="S148" s="7">
        <v>199.99999199999999</v>
      </c>
      <c r="T148" s="7">
        <v>826</v>
      </c>
      <c r="U148" s="7">
        <v>200</v>
      </c>
      <c r="V148" s="7" t="s">
        <v>437</v>
      </c>
    </row>
    <row r="149" spans="1:23" x14ac:dyDescent="0.2">
      <c r="A149" s="6">
        <v>45674</v>
      </c>
      <c r="B149" s="7">
        <v>20411454</v>
      </c>
      <c r="C149" s="7" t="s">
        <v>436</v>
      </c>
      <c r="D149" s="7" t="s">
        <v>427</v>
      </c>
      <c r="E149" s="7" t="str">
        <f>CONCATENATE(D149,88)</f>
        <v>DEU7R588</v>
      </c>
      <c r="F149" s="7" t="s">
        <v>429</v>
      </c>
      <c r="G149" s="7" t="s">
        <v>430</v>
      </c>
      <c r="H149" s="7" t="str">
        <f>CONCATENATE(F149, " ", G149)</f>
        <v>RUSSELL CORP</v>
      </c>
      <c r="I149" s="7" t="s">
        <v>431</v>
      </c>
      <c r="J149" s="6">
        <v>45644</v>
      </c>
      <c r="K149" s="6">
        <f>DATE(YEAR(J149), MONTH(J149), DAY(1))</f>
        <v>45627</v>
      </c>
      <c r="L149" s="8">
        <v>45658</v>
      </c>
      <c r="M149" s="6">
        <f>DATE(YEAR(K149), MONTH(K149) +1, DAY(K149))</f>
        <v>45658</v>
      </c>
      <c r="N149" s="7" t="s">
        <v>0</v>
      </c>
      <c r="O149" s="7" t="s">
        <v>109</v>
      </c>
      <c r="P149" s="7" t="s">
        <v>49</v>
      </c>
      <c r="Q149" s="7" t="s">
        <v>50</v>
      </c>
      <c r="R149" s="7">
        <v>625.99999200000002</v>
      </c>
      <c r="S149" s="7">
        <v>199.99999199999999</v>
      </c>
      <c r="T149" s="7">
        <v>826</v>
      </c>
      <c r="U149" s="7">
        <v>200</v>
      </c>
      <c r="V149" s="7" t="s">
        <v>437</v>
      </c>
    </row>
    <row r="150" spans="1:23" x14ac:dyDescent="0.2">
      <c r="A150" s="6">
        <v>45674</v>
      </c>
      <c r="B150" s="7">
        <v>20411454</v>
      </c>
      <c r="C150" s="7" t="s">
        <v>436</v>
      </c>
      <c r="D150" s="7" t="s">
        <v>423</v>
      </c>
      <c r="E150" s="7" t="str">
        <f>CONCATENATE(D150,88)</f>
        <v>D25HA788</v>
      </c>
      <c r="F150" s="7" t="s">
        <v>425</v>
      </c>
      <c r="G150" s="7" t="s">
        <v>426</v>
      </c>
      <c r="H150" s="7" t="str">
        <f>CONCATENATE(F150, " ", G150)</f>
        <v>RICHARD KULIK</v>
      </c>
      <c r="I150" s="7" t="s">
        <v>57</v>
      </c>
      <c r="J150" s="6">
        <v>45644</v>
      </c>
      <c r="K150" s="6">
        <f>DATE(YEAR(J150), MONTH(J150), DAY(1))</f>
        <v>45627</v>
      </c>
      <c r="L150" s="8">
        <v>45658</v>
      </c>
      <c r="M150" s="6">
        <f>DATE(YEAR(K150), MONTH(K150) +1, DAY(K150))</f>
        <v>45658</v>
      </c>
      <c r="N150" s="7" t="s">
        <v>0</v>
      </c>
      <c r="O150" s="7" t="s">
        <v>109</v>
      </c>
      <c r="P150" s="7" t="s">
        <v>49</v>
      </c>
      <c r="Q150" s="7" t="s">
        <v>50</v>
      </c>
      <c r="R150" s="7">
        <v>625.99999200000002</v>
      </c>
      <c r="S150" s="7">
        <v>199.99999199999999</v>
      </c>
      <c r="T150" s="7">
        <v>826</v>
      </c>
      <c r="U150" s="7">
        <v>200</v>
      </c>
      <c r="V150" s="7" t="s">
        <v>437</v>
      </c>
    </row>
    <row r="151" spans="1:23" x14ac:dyDescent="0.2">
      <c r="A151" s="6">
        <v>45674</v>
      </c>
      <c r="B151" s="7">
        <v>20411454</v>
      </c>
      <c r="C151" s="7" t="s">
        <v>436</v>
      </c>
      <c r="D151" s="7" t="s">
        <v>384</v>
      </c>
      <c r="E151" s="7" t="str">
        <f>CONCATENATE(D151,88)</f>
        <v>D949GW88</v>
      </c>
      <c r="F151" s="7" t="s">
        <v>386</v>
      </c>
      <c r="G151" s="7" t="s">
        <v>387</v>
      </c>
      <c r="H151" s="7" t="str">
        <f>CONCATENATE(F151, " ", G151)</f>
        <v>EDDIE GILBERT III</v>
      </c>
      <c r="I151" s="7" t="s">
        <v>199</v>
      </c>
      <c r="J151" s="6">
        <v>45630</v>
      </c>
      <c r="K151" s="6">
        <f>DATE(YEAR(J151), MONTH(J151), DAY(1))</f>
        <v>45627</v>
      </c>
      <c r="L151" s="8">
        <v>45658</v>
      </c>
      <c r="M151" s="6">
        <f>DATE(YEAR(K151), MONTH(K151) +1, DAY(K151))</f>
        <v>45658</v>
      </c>
      <c r="N151" s="7" t="s">
        <v>0</v>
      </c>
      <c r="O151" s="7" t="s">
        <v>109</v>
      </c>
      <c r="P151" s="7" t="s">
        <v>49</v>
      </c>
      <c r="Q151" s="7" t="s">
        <v>50</v>
      </c>
      <c r="R151" s="7">
        <v>625.99999200000002</v>
      </c>
      <c r="S151" s="7">
        <v>249.99998400000001</v>
      </c>
      <c r="T151" s="7">
        <v>876</v>
      </c>
      <c r="U151" s="7">
        <v>250</v>
      </c>
      <c r="V151" s="7" t="s">
        <v>437</v>
      </c>
    </row>
    <row r="152" spans="1:23" x14ac:dyDescent="0.2">
      <c r="A152" s="6">
        <v>45674</v>
      </c>
      <c r="B152" s="7">
        <v>8405446</v>
      </c>
      <c r="C152" s="7" t="s">
        <v>227</v>
      </c>
      <c r="D152" s="7" t="s">
        <v>228</v>
      </c>
      <c r="E152" s="7" t="str">
        <f>CONCATENATE(D152,8)</f>
        <v>DKA7W38</v>
      </c>
      <c r="F152" s="7" t="s">
        <v>230</v>
      </c>
      <c r="G152" s="7" t="s">
        <v>231</v>
      </c>
      <c r="H152" s="7" t="str">
        <f>CONCATENATE(F152, " ", G152)</f>
        <v>THONGBAY BOUNYAVONG</v>
      </c>
      <c r="I152" s="7" t="s">
        <v>57</v>
      </c>
      <c r="J152" s="6">
        <v>45600</v>
      </c>
      <c r="K152" s="6">
        <f>DATE(YEAR(J152), MONTH(J152), DAY(1))</f>
        <v>45597</v>
      </c>
      <c r="L152" s="8">
        <v>45658</v>
      </c>
      <c r="M152" s="6">
        <f>DATE(YEAR(K152), MONTH(K152) +1, DAY(K152))</f>
        <v>45627</v>
      </c>
      <c r="N152" s="7" t="s">
        <v>0</v>
      </c>
      <c r="O152" s="7" t="s">
        <v>59</v>
      </c>
      <c r="P152" s="7" t="s">
        <v>60</v>
      </c>
      <c r="Q152" s="7" t="s">
        <v>50</v>
      </c>
      <c r="R152" s="7">
        <v>312.99999600000001</v>
      </c>
      <c r="S152" s="7">
        <v>199.99999199999999</v>
      </c>
      <c r="T152" s="7">
        <v>513</v>
      </c>
      <c r="U152" s="7">
        <v>313</v>
      </c>
      <c r="V152" s="7" t="s">
        <v>438</v>
      </c>
      <c r="W152" s="7" t="s">
        <v>435</v>
      </c>
    </row>
    <row r="153" spans="1:23" x14ac:dyDescent="0.2">
      <c r="A153" s="6">
        <v>45674</v>
      </c>
      <c r="B153" s="7">
        <v>19200754</v>
      </c>
      <c r="C153" s="7" t="s">
        <v>256</v>
      </c>
      <c r="D153" s="7" t="s">
        <v>257</v>
      </c>
      <c r="E153" s="7" t="str">
        <f>CONCATENATE(D153,8)</f>
        <v>DFHGGW8</v>
      </c>
      <c r="F153" s="7" t="s">
        <v>249</v>
      </c>
      <c r="G153" s="7" t="s">
        <v>259</v>
      </c>
      <c r="H153" s="7" t="str">
        <f>CONCATENATE(F153, " ", G153)</f>
        <v>ELIZABETH CROWDER</v>
      </c>
      <c r="I153" s="7" t="s">
        <v>57</v>
      </c>
      <c r="J153" s="6">
        <v>45604</v>
      </c>
      <c r="K153" s="6">
        <f>DATE(YEAR(J153), MONTH(J153), DAY(1))</f>
        <v>45597</v>
      </c>
      <c r="L153" s="8">
        <v>45658</v>
      </c>
      <c r="M153" s="6">
        <f>DATE(YEAR(K153), MONTH(K153) +1, DAY(K153))</f>
        <v>45627</v>
      </c>
      <c r="N153" s="7" t="s">
        <v>0</v>
      </c>
      <c r="O153" s="7" t="s">
        <v>0</v>
      </c>
      <c r="P153" s="7" t="s">
        <v>60</v>
      </c>
      <c r="Q153" s="7" t="s">
        <v>50</v>
      </c>
      <c r="R153" s="7">
        <v>312.99999600000001</v>
      </c>
      <c r="S153" s="7">
        <v>199.99999199999999</v>
      </c>
      <c r="T153" s="7">
        <v>513</v>
      </c>
      <c r="U153" s="7">
        <v>313</v>
      </c>
      <c r="V153" s="7" t="s">
        <v>438</v>
      </c>
      <c r="W153" s="7" t="s">
        <v>435</v>
      </c>
    </row>
    <row r="154" spans="1:23" x14ac:dyDescent="0.2">
      <c r="A154" s="6">
        <v>45674</v>
      </c>
      <c r="B154" s="7">
        <v>19200754</v>
      </c>
      <c r="C154" s="7" t="s">
        <v>256</v>
      </c>
      <c r="D154" s="7" t="s">
        <v>299</v>
      </c>
      <c r="E154" s="7" t="str">
        <f>CONCATENATE(D154,8)</f>
        <v>D4EE5H8</v>
      </c>
      <c r="F154" s="7" t="s">
        <v>301</v>
      </c>
      <c r="G154" s="7" t="s">
        <v>302</v>
      </c>
      <c r="H154" s="7" t="str">
        <f>CONCATENATE(F154, " ", G154)</f>
        <v>SAMUEL BOOK</v>
      </c>
      <c r="I154" s="7" t="s">
        <v>57</v>
      </c>
      <c r="J154" s="6">
        <v>45614</v>
      </c>
      <c r="K154" s="6">
        <f>DATE(YEAR(J154), MONTH(J154), DAY(1))</f>
        <v>45597</v>
      </c>
      <c r="L154" s="8">
        <v>45658</v>
      </c>
      <c r="M154" s="6">
        <f>DATE(YEAR(K154), MONTH(K154) +1, DAY(K154))</f>
        <v>45627</v>
      </c>
      <c r="N154" s="7" t="s">
        <v>0</v>
      </c>
      <c r="O154" s="7" t="s">
        <v>59</v>
      </c>
      <c r="P154" s="7" t="s">
        <v>60</v>
      </c>
      <c r="Q154" s="7" t="s">
        <v>50</v>
      </c>
      <c r="R154" s="7">
        <v>312.99999600000001</v>
      </c>
      <c r="S154" s="7">
        <v>199.99999199999999</v>
      </c>
      <c r="T154" s="7">
        <v>513</v>
      </c>
      <c r="U154" s="7">
        <v>313</v>
      </c>
      <c r="V154" s="7" t="s">
        <v>438</v>
      </c>
      <c r="W154" s="7" t="s">
        <v>435</v>
      </c>
    </row>
    <row r="155" spans="1:23" x14ac:dyDescent="0.2">
      <c r="A155" s="6">
        <v>45674</v>
      </c>
      <c r="B155" s="7">
        <v>19200754</v>
      </c>
      <c r="C155" s="7" t="s">
        <v>256</v>
      </c>
      <c r="D155" s="7" t="s">
        <v>306</v>
      </c>
      <c r="E155" s="7" t="str">
        <f>CONCATENATE(D155,8)</f>
        <v>DJ24FH8</v>
      </c>
      <c r="F155" s="7" t="s">
        <v>308</v>
      </c>
      <c r="G155" s="7" t="s">
        <v>309</v>
      </c>
      <c r="H155" s="7" t="str">
        <f>CONCATENATE(F155, " ", G155)</f>
        <v>KATHLEEN COLLINS</v>
      </c>
      <c r="I155" s="7" t="s">
        <v>57</v>
      </c>
      <c r="J155" s="6">
        <v>45615</v>
      </c>
      <c r="K155" s="6">
        <f>DATE(YEAR(J155), MONTH(J155), DAY(1))</f>
        <v>45597</v>
      </c>
      <c r="L155" s="8">
        <v>45658</v>
      </c>
      <c r="M155" s="6">
        <f>DATE(YEAR(K155), MONTH(K155) +1, DAY(K155))</f>
        <v>45627</v>
      </c>
      <c r="N155" s="7" t="s">
        <v>0</v>
      </c>
      <c r="O155" s="7" t="s">
        <v>59</v>
      </c>
      <c r="P155" s="7" t="s">
        <v>60</v>
      </c>
      <c r="Q155" s="7" t="s">
        <v>50</v>
      </c>
      <c r="R155" s="7">
        <v>312.99999600000001</v>
      </c>
      <c r="S155" s="7">
        <v>199.99999199999999</v>
      </c>
      <c r="T155" s="7">
        <v>513</v>
      </c>
      <c r="U155" s="7">
        <v>313</v>
      </c>
      <c r="V155" s="7" t="s">
        <v>438</v>
      </c>
      <c r="W155" s="7" t="s">
        <v>435</v>
      </c>
    </row>
    <row r="156" spans="1:23" x14ac:dyDescent="0.2">
      <c r="A156" s="6">
        <v>45674</v>
      </c>
      <c r="B156" s="7">
        <v>16633294</v>
      </c>
      <c r="C156" s="7" t="s">
        <v>101</v>
      </c>
      <c r="D156" s="7" t="s">
        <v>102</v>
      </c>
      <c r="E156" s="7" t="str">
        <f>CONCATENATE(D156,8)</f>
        <v>DG6YEF8</v>
      </c>
      <c r="F156" s="7" t="s">
        <v>93</v>
      </c>
      <c r="G156" s="7" t="s">
        <v>104</v>
      </c>
      <c r="H156" s="7" t="str">
        <f>CONCATENATE(F156, " ", G156)</f>
        <v>SCOTT SMITH</v>
      </c>
      <c r="I156" s="7" t="s">
        <v>57</v>
      </c>
      <c r="J156" s="6">
        <v>45583</v>
      </c>
      <c r="K156" s="6">
        <f>DATE(YEAR(J156), MONTH(J156), DAY(1))</f>
        <v>45566</v>
      </c>
      <c r="L156" s="8">
        <v>45658</v>
      </c>
      <c r="M156" s="6">
        <f>DATE(YEAR(K156), MONTH(K156) +1, DAY(K156))</f>
        <v>45597</v>
      </c>
      <c r="N156" s="7" t="s">
        <v>0</v>
      </c>
      <c r="O156" s="7" t="s">
        <v>59</v>
      </c>
      <c r="P156" s="7" t="s">
        <v>60</v>
      </c>
      <c r="Q156" s="7" t="s">
        <v>50</v>
      </c>
      <c r="R156" s="7">
        <v>312.99999600000001</v>
      </c>
      <c r="S156" s="7">
        <v>199.99999199999999</v>
      </c>
      <c r="T156" s="7">
        <v>513</v>
      </c>
      <c r="U156" s="7">
        <v>313</v>
      </c>
      <c r="V156" s="7" t="s">
        <v>438</v>
      </c>
      <c r="W156" s="7" t="s">
        <v>435</v>
      </c>
    </row>
    <row r="157" spans="1:23" x14ac:dyDescent="0.2">
      <c r="A157" s="6">
        <v>45674</v>
      </c>
      <c r="B157" s="7">
        <v>16633294</v>
      </c>
      <c r="C157" s="7" t="s">
        <v>101</v>
      </c>
      <c r="D157" s="7" t="s">
        <v>171</v>
      </c>
      <c r="E157" s="7" t="str">
        <f>CONCATENATE(D157,8)</f>
        <v>D2WWK38</v>
      </c>
      <c r="F157" s="7" t="s">
        <v>173</v>
      </c>
      <c r="G157" s="7" t="s">
        <v>174</v>
      </c>
      <c r="H157" s="7" t="str">
        <f>CONCATENATE(F157, " ", G157)</f>
        <v>CAROLE KRAJESKI</v>
      </c>
      <c r="I157" s="7" t="s">
        <v>57</v>
      </c>
      <c r="J157" s="6">
        <v>45591</v>
      </c>
      <c r="K157" s="6">
        <f>DATE(YEAR(J157), MONTH(J157), DAY(1))</f>
        <v>45566</v>
      </c>
      <c r="L157" s="8">
        <v>45658</v>
      </c>
      <c r="M157" s="6">
        <f>DATE(YEAR(K157), MONTH(K157) +1, DAY(K157))</f>
        <v>45597</v>
      </c>
      <c r="N157" s="7" t="s">
        <v>0</v>
      </c>
      <c r="O157" s="7" t="s">
        <v>59</v>
      </c>
      <c r="P157" s="7" t="s">
        <v>60</v>
      </c>
      <c r="Q157" s="7" t="s">
        <v>50</v>
      </c>
      <c r="R157" s="7">
        <v>312.99999600000001</v>
      </c>
      <c r="S157" s="7">
        <v>199.99999199999999</v>
      </c>
      <c r="T157" s="7">
        <v>513</v>
      </c>
      <c r="U157" s="7">
        <v>313</v>
      </c>
      <c r="V157" s="7" t="s">
        <v>438</v>
      </c>
      <c r="W157" s="7" t="s">
        <v>435</v>
      </c>
    </row>
    <row r="158" spans="1:23" x14ac:dyDescent="0.2">
      <c r="A158" s="6">
        <v>45674</v>
      </c>
      <c r="B158" s="7">
        <v>16633294</v>
      </c>
      <c r="C158" s="7" t="s">
        <v>101</v>
      </c>
      <c r="D158" s="7" t="s">
        <v>186</v>
      </c>
      <c r="E158" s="7" t="str">
        <f>CONCATENATE(D158,8)</f>
        <v>DCHAGG8</v>
      </c>
      <c r="F158" s="7" t="s">
        <v>188</v>
      </c>
      <c r="G158" s="7" t="s">
        <v>189</v>
      </c>
      <c r="H158" s="7" t="str">
        <f>CONCATENATE(F158, " ", G158)</f>
        <v>MICHAELE YOUCHISON</v>
      </c>
      <c r="I158" s="7" t="s">
        <v>57</v>
      </c>
      <c r="J158" s="6">
        <v>45594</v>
      </c>
      <c r="K158" s="6">
        <f>DATE(YEAR(J158), MONTH(J158), DAY(1))</f>
        <v>45566</v>
      </c>
      <c r="L158" s="8">
        <v>45658</v>
      </c>
      <c r="M158" s="6">
        <f>DATE(YEAR(K158), MONTH(K158) +1, DAY(K158))</f>
        <v>45597</v>
      </c>
      <c r="N158" s="7" t="s">
        <v>0</v>
      </c>
      <c r="O158" s="7" t="s">
        <v>59</v>
      </c>
      <c r="P158" s="7" t="s">
        <v>60</v>
      </c>
      <c r="Q158" s="7" t="s">
        <v>50</v>
      </c>
      <c r="R158" s="7">
        <v>312.99999600000001</v>
      </c>
      <c r="S158" s="7">
        <v>199.99999199999999</v>
      </c>
      <c r="T158" s="7">
        <v>513</v>
      </c>
      <c r="U158" s="7">
        <v>313</v>
      </c>
      <c r="V158" s="7" t="s">
        <v>438</v>
      </c>
      <c r="W158" s="7" t="s">
        <v>435</v>
      </c>
    </row>
    <row r="159" spans="1:23" x14ac:dyDescent="0.2">
      <c r="A159" s="6">
        <v>45674</v>
      </c>
      <c r="B159" s="7">
        <v>16633294</v>
      </c>
      <c r="C159" s="7" t="s">
        <v>101</v>
      </c>
      <c r="D159" s="7" t="s">
        <v>190</v>
      </c>
      <c r="E159" s="7" t="str">
        <f>CONCATENATE(D159,8)</f>
        <v>DJ6JJA8</v>
      </c>
      <c r="F159" s="7" t="s">
        <v>192</v>
      </c>
      <c r="G159" s="7" t="s">
        <v>189</v>
      </c>
      <c r="H159" s="7" t="str">
        <f>CONCATENATE(F159, " ", G159)</f>
        <v>MICHAEL YOUCHISON</v>
      </c>
      <c r="I159" s="7" t="s">
        <v>57</v>
      </c>
      <c r="J159" s="6">
        <v>45594</v>
      </c>
      <c r="K159" s="6">
        <f>DATE(YEAR(J159), MONTH(J159), DAY(1))</f>
        <v>45566</v>
      </c>
      <c r="L159" s="8">
        <v>45658</v>
      </c>
      <c r="M159" s="6">
        <f>DATE(YEAR(K159), MONTH(K159) +1, DAY(K159))</f>
        <v>45597</v>
      </c>
      <c r="N159" s="7" t="s">
        <v>0</v>
      </c>
      <c r="O159" s="7" t="s">
        <v>59</v>
      </c>
      <c r="P159" s="7" t="s">
        <v>60</v>
      </c>
      <c r="Q159" s="7" t="s">
        <v>50</v>
      </c>
      <c r="R159" s="7">
        <v>312.99999600000001</v>
      </c>
      <c r="S159" s="7">
        <v>199.99999199999999</v>
      </c>
      <c r="T159" s="7">
        <v>513</v>
      </c>
      <c r="U159" s="7">
        <v>313</v>
      </c>
      <c r="V159" s="7" t="s">
        <v>438</v>
      </c>
      <c r="W159" s="7" t="s">
        <v>435</v>
      </c>
    </row>
    <row r="160" spans="1:23" x14ac:dyDescent="0.2">
      <c r="A160" s="6">
        <v>45674</v>
      </c>
      <c r="B160" s="7">
        <v>16633294</v>
      </c>
      <c r="C160" s="7" t="s">
        <v>101</v>
      </c>
      <c r="D160" s="7" t="s">
        <v>236</v>
      </c>
      <c r="E160" s="7" t="str">
        <f>CONCATENATE(D160,8)</f>
        <v>DWR9FJ8</v>
      </c>
      <c r="F160" s="7" t="s">
        <v>238</v>
      </c>
      <c r="G160" s="7" t="s">
        <v>235</v>
      </c>
      <c r="H160" s="7" t="str">
        <f>CONCATENATE(F160, " ", G160)</f>
        <v>KERRY TONGE</v>
      </c>
      <c r="I160" s="7" t="s">
        <v>57</v>
      </c>
      <c r="J160" s="6">
        <v>45600</v>
      </c>
      <c r="K160" s="6">
        <f>DATE(YEAR(J160), MONTH(J160), DAY(1))</f>
        <v>45597</v>
      </c>
      <c r="L160" s="8">
        <v>45658</v>
      </c>
      <c r="M160" s="6">
        <f>DATE(YEAR(K160), MONTH(K160) +1, DAY(K160))</f>
        <v>45627</v>
      </c>
      <c r="N160" s="7" t="s">
        <v>0</v>
      </c>
      <c r="O160" s="7" t="s">
        <v>59</v>
      </c>
      <c r="P160" s="7" t="s">
        <v>60</v>
      </c>
      <c r="Q160" s="7" t="s">
        <v>50</v>
      </c>
      <c r="R160" s="7">
        <v>312.99999600000001</v>
      </c>
      <c r="S160" s="7">
        <v>199.99999199999999</v>
      </c>
      <c r="T160" s="7">
        <v>513</v>
      </c>
      <c r="U160" s="7">
        <v>313</v>
      </c>
      <c r="V160" s="7" t="s">
        <v>438</v>
      </c>
      <c r="W160" s="7" t="s">
        <v>435</v>
      </c>
    </row>
    <row r="161" spans="1:23" x14ac:dyDescent="0.2">
      <c r="A161" s="6">
        <v>45674</v>
      </c>
      <c r="B161" s="7">
        <v>16633294</v>
      </c>
      <c r="C161" s="7" t="s">
        <v>101</v>
      </c>
      <c r="D161" s="7" t="s">
        <v>232</v>
      </c>
      <c r="E161" s="7" t="str">
        <f>CONCATENATE(D161,8)</f>
        <v>D5K25C8</v>
      </c>
      <c r="F161" s="7" t="s">
        <v>234</v>
      </c>
      <c r="G161" s="7" t="s">
        <v>235</v>
      </c>
      <c r="H161" s="7" t="str">
        <f>CONCATENATE(F161, " ", G161)</f>
        <v>ROBERT TONGE</v>
      </c>
      <c r="I161" s="7" t="s">
        <v>57</v>
      </c>
      <c r="J161" s="6">
        <v>45600</v>
      </c>
      <c r="K161" s="6">
        <f>DATE(YEAR(J161), MONTH(J161), DAY(1))</f>
        <v>45597</v>
      </c>
      <c r="L161" s="8">
        <v>45658</v>
      </c>
      <c r="M161" s="6">
        <f>DATE(YEAR(K161), MONTH(K161) +1, DAY(K161))</f>
        <v>45627</v>
      </c>
      <c r="N161" s="7" t="s">
        <v>0</v>
      </c>
      <c r="O161" s="7" t="s">
        <v>59</v>
      </c>
      <c r="P161" s="7" t="s">
        <v>60</v>
      </c>
      <c r="Q161" s="7" t="s">
        <v>50</v>
      </c>
      <c r="R161" s="7">
        <v>312.99999600000001</v>
      </c>
      <c r="S161" s="7">
        <v>199.99999199999999</v>
      </c>
      <c r="T161" s="7">
        <v>513</v>
      </c>
      <c r="U161" s="7">
        <v>313</v>
      </c>
      <c r="V161" s="7" t="s">
        <v>438</v>
      </c>
      <c r="W161" s="7" t="s">
        <v>435</v>
      </c>
    </row>
    <row r="162" spans="1:23" x14ac:dyDescent="0.2">
      <c r="A162" s="6">
        <v>45674</v>
      </c>
      <c r="B162" s="7">
        <v>19396223</v>
      </c>
      <c r="C162" s="7" t="s">
        <v>62</v>
      </c>
      <c r="D162" s="7" t="s">
        <v>63</v>
      </c>
      <c r="E162" s="7" t="str">
        <f>CONCATENATE(D162,8)</f>
        <v>DS9Y858</v>
      </c>
      <c r="F162" s="7" t="s">
        <v>65</v>
      </c>
      <c r="G162" s="7" t="s">
        <v>66</v>
      </c>
      <c r="H162" s="7" t="str">
        <f>CONCATENATE(F162, " ", G162)</f>
        <v>ARIF SIRAJ</v>
      </c>
      <c r="I162" s="7" t="s">
        <v>57</v>
      </c>
      <c r="J162" s="6">
        <v>45580</v>
      </c>
      <c r="K162" s="6">
        <f>DATE(YEAR(J162), MONTH(J162), DAY(1))</f>
        <v>45566</v>
      </c>
      <c r="L162" s="8">
        <v>45658</v>
      </c>
      <c r="M162" s="6">
        <f>DATE(YEAR(K162), MONTH(K162) +1, DAY(K162))</f>
        <v>45597</v>
      </c>
      <c r="N162" s="7" t="s">
        <v>0</v>
      </c>
      <c r="O162" s="7" t="s">
        <v>59</v>
      </c>
      <c r="P162" s="7" t="s">
        <v>60</v>
      </c>
      <c r="Q162" s="7" t="s">
        <v>50</v>
      </c>
      <c r="R162" s="7">
        <v>312.99999600000001</v>
      </c>
      <c r="S162" s="7">
        <v>199.99999199999999</v>
      </c>
      <c r="T162" s="7">
        <v>513</v>
      </c>
      <c r="U162" s="7">
        <v>313</v>
      </c>
      <c r="V162" s="7" t="s">
        <v>438</v>
      </c>
      <c r="W162" s="7" t="s">
        <v>435</v>
      </c>
    </row>
    <row r="163" spans="1:23" x14ac:dyDescent="0.2">
      <c r="A163" s="6">
        <v>45674</v>
      </c>
      <c r="B163" s="7">
        <v>19396223</v>
      </c>
      <c r="C163" s="7" t="s">
        <v>62</v>
      </c>
      <c r="D163" s="7" t="s">
        <v>310</v>
      </c>
      <c r="E163" s="7" t="str">
        <f>CONCATENATE(D163,8)</f>
        <v>DE9J4K8</v>
      </c>
      <c r="F163" s="7" t="s">
        <v>312</v>
      </c>
      <c r="G163" s="7" t="s">
        <v>313</v>
      </c>
      <c r="H163" s="7" t="str">
        <f>CONCATENATE(F163, " ", G163)</f>
        <v>LASHUN NELSON</v>
      </c>
      <c r="I163" s="7" t="s">
        <v>57</v>
      </c>
      <c r="J163" s="6">
        <v>45615</v>
      </c>
      <c r="K163" s="6">
        <f>DATE(YEAR(J163), MONTH(J163), DAY(1))</f>
        <v>45597</v>
      </c>
      <c r="L163" s="8">
        <v>45658</v>
      </c>
      <c r="M163" s="6">
        <f>DATE(YEAR(K163), MONTH(K163) +1, DAY(K163))</f>
        <v>45627</v>
      </c>
      <c r="N163" s="7" t="s">
        <v>0</v>
      </c>
      <c r="O163" s="7" t="s">
        <v>59</v>
      </c>
      <c r="P163" s="7" t="s">
        <v>60</v>
      </c>
      <c r="Q163" s="7" t="s">
        <v>50</v>
      </c>
      <c r="R163" s="7">
        <v>312.99999600000001</v>
      </c>
      <c r="S163" s="7">
        <v>199.99999199999999</v>
      </c>
      <c r="T163" s="7">
        <v>513</v>
      </c>
      <c r="U163" s="7">
        <v>313</v>
      </c>
      <c r="V163" s="7" t="s">
        <v>438</v>
      </c>
      <c r="W163" s="7" t="s">
        <v>435</v>
      </c>
    </row>
    <row r="164" spans="1:23" x14ac:dyDescent="0.2">
      <c r="A164" s="6">
        <v>45674</v>
      </c>
      <c r="B164" s="7">
        <v>19396223</v>
      </c>
      <c r="C164" s="7" t="s">
        <v>62</v>
      </c>
      <c r="D164" s="7" t="s">
        <v>419</v>
      </c>
      <c r="E164" s="7" t="str">
        <f>CONCATENATE(D164,8)</f>
        <v>DZ4FFJ8</v>
      </c>
      <c r="F164" s="7" t="s">
        <v>421</v>
      </c>
      <c r="G164" s="7" t="s">
        <v>422</v>
      </c>
      <c r="H164" s="7" t="str">
        <f>CONCATENATE(F164, " ", G164)</f>
        <v>SALVATORE ESPOSITO</v>
      </c>
      <c r="I164" s="7" t="s">
        <v>57</v>
      </c>
      <c r="J164" s="6">
        <v>45633</v>
      </c>
      <c r="K164" s="6">
        <f>DATE(YEAR(J164), MONTH(J164), DAY(1))</f>
        <v>45627</v>
      </c>
      <c r="L164" s="8">
        <v>45658</v>
      </c>
      <c r="M164" s="6">
        <f>DATE(YEAR(K164), MONTH(K164) +1, DAY(K164))</f>
        <v>45658</v>
      </c>
      <c r="N164" s="7" t="s">
        <v>0</v>
      </c>
      <c r="O164" s="7" t="s">
        <v>59</v>
      </c>
      <c r="P164" s="7" t="s">
        <v>60</v>
      </c>
      <c r="Q164" s="7" t="s">
        <v>50</v>
      </c>
      <c r="R164" s="7">
        <v>312.99999600000001</v>
      </c>
      <c r="S164" s="7">
        <v>199.99999199999999</v>
      </c>
      <c r="T164" s="7">
        <v>513</v>
      </c>
      <c r="U164" s="7">
        <v>313</v>
      </c>
      <c r="V164" s="7" t="s">
        <v>438</v>
      </c>
      <c r="W164" s="7" t="s">
        <v>435</v>
      </c>
    </row>
    <row r="165" spans="1:23" x14ac:dyDescent="0.2">
      <c r="A165" s="6">
        <v>45674</v>
      </c>
      <c r="B165" s="7">
        <v>19396223</v>
      </c>
      <c r="C165" s="7" t="s">
        <v>62</v>
      </c>
      <c r="D165" s="7" t="s">
        <v>366</v>
      </c>
      <c r="E165" s="7" t="str">
        <f>CONCATENATE(D165,8)</f>
        <v>D83KH58</v>
      </c>
      <c r="F165" s="7" t="s">
        <v>368</v>
      </c>
      <c r="G165" s="7" t="s">
        <v>369</v>
      </c>
      <c r="H165" s="7" t="str">
        <f>CONCATENATE(F165, " ", G165)</f>
        <v>BHARGAV SAVANI</v>
      </c>
      <c r="I165" s="7" t="s">
        <v>57</v>
      </c>
      <c r="J165" s="6">
        <v>45628</v>
      </c>
      <c r="K165" s="6">
        <f>DATE(YEAR(J165), MONTH(J165), DAY(1))</f>
        <v>45627</v>
      </c>
      <c r="L165" s="8">
        <v>45658</v>
      </c>
      <c r="M165" s="6">
        <f>DATE(YEAR(K165), MONTH(K165) +1, DAY(K165))</f>
        <v>45658</v>
      </c>
      <c r="N165" s="7" t="s">
        <v>0</v>
      </c>
      <c r="O165" s="7" t="s">
        <v>72</v>
      </c>
      <c r="P165" s="7" t="s">
        <v>49</v>
      </c>
      <c r="Q165" s="7" t="s">
        <v>50</v>
      </c>
      <c r="R165" s="7">
        <v>625.99999200000002</v>
      </c>
      <c r="S165" s="7">
        <v>199.99999199999999</v>
      </c>
      <c r="T165" s="7">
        <v>826</v>
      </c>
      <c r="U165" s="7">
        <v>626</v>
      </c>
      <c r="V165" s="7" t="s">
        <v>439</v>
      </c>
    </row>
    <row r="166" spans="1:23" x14ac:dyDescent="0.2">
      <c r="A166" s="6">
        <v>45674</v>
      </c>
      <c r="B166" s="7">
        <v>17126004</v>
      </c>
      <c r="C166" s="7" t="s">
        <v>123</v>
      </c>
      <c r="D166" s="7" t="s">
        <v>357</v>
      </c>
      <c r="E166" s="7" t="str">
        <f>CONCATENATE(D166,8)</f>
        <v>D74CRS8</v>
      </c>
      <c r="F166" s="7" t="s">
        <v>234</v>
      </c>
      <c r="G166" s="7" t="s">
        <v>359</v>
      </c>
      <c r="H166" s="7" t="str">
        <f>CONCATENATE(F166, " ", G166)</f>
        <v>ROBERT FALCONER</v>
      </c>
      <c r="I166" s="7" t="s">
        <v>57</v>
      </c>
      <c r="J166" s="6">
        <v>45626</v>
      </c>
      <c r="K166" s="6">
        <f>DATE(YEAR(J166), MONTH(J166), DAY(1))</f>
        <v>45597</v>
      </c>
      <c r="L166" s="8">
        <v>45658</v>
      </c>
      <c r="M166" s="6">
        <f>DATE(YEAR(K166), MONTH(K166) +1, DAY(K166))</f>
        <v>45627</v>
      </c>
      <c r="N166" s="7" t="s">
        <v>0</v>
      </c>
      <c r="O166" s="7" t="s">
        <v>59</v>
      </c>
      <c r="P166" s="7" t="s">
        <v>60</v>
      </c>
      <c r="Q166" s="7" t="s">
        <v>50</v>
      </c>
      <c r="R166" s="7">
        <v>312.99999600000001</v>
      </c>
      <c r="S166" s="7">
        <v>199.99999199999999</v>
      </c>
      <c r="T166" s="7">
        <v>513</v>
      </c>
      <c r="U166" s="7">
        <v>313</v>
      </c>
      <c r="V166" s="7" t="s">
        <v>438</v>
      </c>
      <c r="W166" s="7" t="s">
        <v>435</v>
      </c>
    </row>
    <row r="167" spans="1:23" x14ac:dyDescent="0.2">
      <c r="A167" s="6">
        <v>45674</v>
      </c>
      <c r="B167" s="7">
        <v>17126004</v>
      </c>
      <c r="C167" s="7" t="s">
        <v>123</v>
      </c>
      <c r="D167" s="7" t="s">
        <v>124</v>
      </c>
      <c r="E167" s="7" t="str">
        <f>CONCATENATE(D167,8)</f>
        <v>D5E4KJ8</v>
      </c>
      <c r="F167" s="7" t="s">
        <v>126</v>
      </c>
      <c r="G167" s="7" t="s">
        <v>127</v>
      </c>
      <c r="H167" s="7" t="str">
        <f>CONCATENATE(F167, " ", G167)</f>
        <v>REBECCA NORTON</v>
      </c>
      <c r="I167" s="7" t="s">
        <v>57</v>
      </c>
      <c r="J167" s="6">
        <v>45586</v>
      </c>
      <c r="K167" s="6">
        <f>DATE(YEAR(J167), MONTH(J167), DAY(1))</f>
        <v>45566</v>
      </c>
      <c r="L167" s="8">
        <v>45658</v>
      </c>
      <c r="M167" s="6">
        <f>DATE(YEAR(K167), MONTH(K167) +1, DAY(K167))</f>
        <v>45597</v>
      </c>
      <c r="N167" s="7" t="s">
        <v>0</v>
      </c>
      <c r="O167" s="7" t="s">
        <v>59</v>
      </c>
      <c r="P167" s="7" t="s">
        <v>60</v>
      </c>
      <c r="Q167" s="7" t="s">
        <v>50</v>
      </c>
      <c r="R167" s="7">
        <v>312.99999600000001</v>
      </c>
      <c r="S167" s="7">
        <v>199.99999199999999</v>
      </c>
      <c r="T167" s="7">
        <v>513</v>
      </c>
      <c r="U167" s="7">
        <v>313</v>
      </c>
      <c r="V167" s="7" t="s">
        <v>438</v>
      </c>
      <c r="W167" s="7" t="s">
        <v>435</v>
      </c>
    </row>
    <row r="168" spans="1:23" x14ac:dyDescent="0.2">
      <c r="A168" s="6">
        <v>45674</v>
      </c>
      <c r="B168" s="7">
        <v>17126004</v>
      </c>
      <c r="C168" s="7" t="s">
        <v>123</v>
      </c>
      <c r="D168" s="7" t="s">
        <v>218</v>
      </c>
      <c r="E168" s="7" t="str">
        <f>CONCATENATE(D168,8)</f>
        <v>DZZH468</v>
      </c>
      <c r="F168" s="7" t="s">
        <v>220</v>
      </c>
      <c r="G168" s="7" t="s">
        <v>221</v>
      </c>
      <c r="H168" s="7" t="str">
        <f>CONCATENATE(F168, " ", G168)</f>
        <v>SHERRY MIKOLICS</v>
      </c>
      <c r="I168" s="7" t="s">
        <v>216</v>
      </c>
      <c r="J168" s="6">
        <v>45596</v>
      </c>
      <c r="K168" s="6">
        <f>DATE(YEAR(J168), MONTH(J168), DAY(1))</f>
        <v>45566</v>
      </c>
      <c r="L168" s="8">
        <v>45658</v>
      </c>
      <c r="M168" s="6">
        <f>DATE(YEAR(K168), MONTH(K168) +1, DAY(K168))</f>
        <v>45597</v>
      </c>
      <c r="N168" s="7" t="s">
        <v>0</v>
      </c>
      <c r="O168" s="7" t="s">
        <v>59</v>
      </c>
      <c r="P168" s="7" t="s">
        <v>60</v>
      </c>
      <c r="Q168" s="7" t="s">
        <v>50</v>
      </c>
      <c r="R168" s="7">
        <v>312.99999600000001</v>
      </c>
      <c r="S168" s="7">
        <v>199.99999199999999</v>
      </c>
      <c r="T168" s="7">
        <v>513</v>
      </c>
      <c r="U168" s="7">
        <v>313</v>
      </c>
      <c r="V168" s="7" t="s">
        <v>438</v>
      </c>
      <c r="W168" s="7" t="s">
        <v>435</v>
      </c>
    </row>
    <row r="169" spans="1:23" x14ac:dyDescent="0.2">
      <c r="A169" s="6">
        <v>45674</v>
      </c>
      <c r="B169" s="7">
        <v>17126004</v>
      </c>
      <c r="C169" s="7" t="s">
        <v>123</v>
      </c>
      <c r="D169" s="7" t="s">
        <v>278</v>
      </c>
      <c r="E169" s="7" t="str">
        <f>CONCATENATE(D169,8)</f>
        <v>DHF6GK8</v>
      </c>
      <c r="F169" s="7" t="s">
        <v>280</v>
      </c>
      <c r="G169" s="7" t="s">
        <v>281</v>
      </c>
      <c r="H169" s="7" t="str">
        <f>CONCATENATE(F169, " ", G169)</f>
        <v>RALPH DE LA FUENTE</v>
      </c>
      <c r="I169" s="7" t="s">
        <v>216</v>
      </c>
      <c r="J169" s="6">
        <v>45609</v>
      </c>
      <c r="K169" s="6">
        <f>DATE(YEAR(J169), MONTH(J169), DAY(1))</f>
        <v>45597</v>
      </c>
      <c r="L169" s="8">
        <v>45658</v>
      </c>
      <c r="M169" s="6">
        <f>DATE(YEAR(K169), MONTH(K169) +1, DAY(K169))</f>
        <v>45627</v>
      </c>
      <c r="N169" s="7" t="s">
        <v>0</v>
      </c>
      <c r="O169" s="7" t="s">
        <v>59</v>
      </c>
      <c r="P169" s="7" t="s">
        <v>60</v>
      </c>
      <c r="Q169" s="7" t="s">
        <v>50</v>
      </c>
      <c r="R169" s="7">
        <v>312.99999600000001</v>
      </c>
      <c r="S169" s="7">
        <v>199.99999199999999</v>
      </c>
      <c r="T169" s="7">
        <v>513</v>
      </c>
      <c r="U169" s="7">
        <v>313</v>
      </c>
      <c r="V169" s="7" t="s">
        <v>438</v>
      </c>
      <c r="W169" s="7" t="s">
        <v>435</v>
      </c>
    </row>
    <row r="170" spans="1:23" x14ac:dyDescent="0.2">
      <c r="A170" s="6">
        <v>45674</v>
      </c>
      <c r="B170" s="7">
        <v>17126004</v>
      </c>
      <c r="C170" s="7" t="s">
        <v>123</v>
      </c>
      <c r="D170" s="7" t="s">
        <v>314</v>
      </c>
      <c r="E170" s="7" t="str">
        <f>CONCATENATE(D170,8)</f>
        <v>D48HWR8</v>
      </c>
      <c r="F170" s="7" t="s">
        <v>316</v>
      </c>
      <c r="G170" s="7" t="s">
        <v>317</v>
      </c>
      <c r="H170" s="7" t="str">
        <f>CONCATENATE(F170, " ", G170)</f>
        <v>HAROLD WIRTZ</v>
      </c>
      <c r="I170" s="7" t="s">
        <v>216</v>
      </c>
      <c r="J170" s="6">
        <v>45615</v>
      </c>
      <c r="K170" s="6">
        <f>DATE(YEAR(J170), MONTH(J170), DAY(1))</f>
        <v>45597</v>
      </c>
      <c r="L170" s="8">
        <v>45658</v>
      </c>
      <c r="M170" s="6">
        <f>DATE(YEAR(K170), MONTH(K170) +1, DAY(K170))</f>
        <v>45627</v>
      </c>
      <c r="N170" s="7" t="s">
        <v>0</v>
      </c>
      <c r="O170" s="7" t="s">
        <v>59</v>
      </c>
      <c r="P170" s="7" t="s">
        <v>60</v>
      </c>
      <c r="Q170" s="7" t="s">
        <v>50</v>
      </c>
      <c r="R170" s="7">
        <v>312.99999600000001</v>
      </c>
      <c r="S170" s="7">
        <v>199.99999199999999</v>
      </c>
      <c r="T170" s="7">
        <v>513</v>
      </c>
      <c r="U170" s="7">
        <v>313</v>
      </c>
      <c r="V170" s="7" t="s">
        <v>438</v>
      </c>
      <c r="W170" s="7" t="s">
        <v>435</v>
      </c>
    </row>
    <row r="171" spans="1:23" x14ac:dyDescent="0.2">
      <c r="A171" s="6">
        <v>45674</v>
      </c>
      <c r="B171" s="7">
        <v>17126004</v>
      </c>
      <c r="C171" s="7" t="s">
        <v>123</v>
      </c>
      <c r="D171" s="7" t="s">
        <v>360</v>
      </c>
      <c r="E171" s="7" t="str">
        <f>CONCATENATE(D171,88)</f>
        <v>DJHS4788</v>
      </c>
      <c r="F171" s="7" t="s">
        <v>249</v>
      </c>
      <c r="G171" s="7" t="s">
        <v>359</v>
      </c>
      <c r="H171" s="7" t="str">
        <f>CONCATENATE(F171, " ", G171)</f>
        <v>ELIZABETH FALCONER</v>
      </c>
      <c r="I171" s="7" t="s">
        <v>57</v>
      </c>
      <c r="J171" s="6">
        <v>45626</v>
      </c>
      <c r="K171" s="6">
        <f>DATE(YEAR(J171), MONTH(J171), DAY(1))</f>
        <v>45597</v>
      </c>
      <c r="L171" s="8">
        <v>45658</v>
      </c>
      <c r="M171" s="6">
        <f>DATE(YEAR(K171), MONTH(K171) +1, DAY(K171))</f>
        <v>45627</v>
      </c>
      <c r="N171" s="7" t="s">
        <v>0</v>
      </c>
      <c r="O171" s="7" t="s">
        <v>59</v>
      </c>
      <c r="P171" s="7" t="s">
        <v>60</v>
      </c>
      <c r="Q171" s="7" t="s">
        <v>50</v>
      </c>
      <c r="R171" s="7">
        <v>312.99999600000001</v>
      </c>
      <c r="S171" s="7">
        <v>199.99999199999999</v>
      </c>
      <c r="T171" s="7">
        <v>513</v>
      </c>
      <c r="U171" s="7">
        <v>200</v>
      </c>
      <c r="V171" s="7" t="s">
        <v>437</v>
      </c>
    </row>
    <row r="172" spans="1:23" x14ac:dyDescent="0.2">
      <c r="A172" s="6">
        <v>45674</v>
      </c>
      <c r="B172" s="7">
        <v>17126004</v>
      </c>
      <c r="C172" s="7" t="s">
        <v>123</v>
      </c>
      <c r="D172" s="7" t="s">
        <v>360</v>
      </c>
      <c r="E172" s="7" t="str">
        <f>CONCATENATE(D172,8)</f>
        <v>DJHS478</v>
      </c>
      <c r="F172" s="7" t="s">
        <v>249</v>
      </c>
      <c r="G172" s="7" t="s">
        <v>359</v>
      </c>
      <c r="H172" s="7" t="str">
        <f>CONCATENATE(F172, " ", G172)</f>
        <v>ELIZABETH FALCONER</v>
      </c>
      <c r="I172" s="7" t="s">
        <v>57</v>
      </c>
      <c r="J172" s="6">
        <v>45626</v>
      </c>
      <c r="K172" s="6">
        <f>DATE(YEAR(J172), MONTH(J172), DAY(1))</f>
        <v>45597</v>
      </c>
      <c r="L172" s="8">
        <v>45658</v>
      </c>
      <c r="M172" s="6">
        <f>DATE(YEAR(K172), MONTH(K172) +1, DAY(K172))</f>
        <v>45627</v>
      </c>
      <c r="N172" s="7" t="s">
        <v>0</v>
      </c>
      <c r="O172" s="7" t="s">
        <v>59</v>
      </c>
      <c r="P172" s="7" t="s">
        <v>60</v>
      </c>
      <c r="Q172" s="7" t="s">
        <v>50</v>
      </c>
      <c r="R172" s="7">
        <v>312.99999600000001</v>
      </c>
      <c r="S172" s="7">
        <v>199.99999199999999</v>
      </c>
      <c r="T172" s="7">
        <v>513</v>
      </c>
      <c r="U172" s="7">
        <v>313</v>
      </c>
      <c r="V172" s="7" t="s">
        <v>438</v>
      </c>
      <c r="W172" s="7" t="s">
        <v>435</v>
      </c>
    </row>
    <row r="173" spans="1:23" x14ac:dyDescent="0.2">
      <c r="A173" s="6">
        <v>45674</v>
      </c>
      <c r="B173" s="7">
        <v>17126004</v>
      </c>
      <c r="C173" s="7" t="s">
        <v>123</v>
      </c>
      <c r="D173" s="7" t="s">
        <v>362</v>
      </c>
      <c r="E173" s="7" t="str">
        <f>CONCATENATE(D173,8)</f>
        <v>DCRHUF8</v>
      </c>
      <c r="F173" s="7" t="s">
        <v>364</v>
      </c>
      <c r="G173" s="7" t="s">
        <v>365</v>
      </c>
      <c r="H173" s="7" t="str">
        <f>CONCATENATE(F173, " ", G173)</f>
        <v>HELEN BREIDENBACH</v>
      </c>
      <c r="I173" s="7" t="s">
        <v>57</v>
      </c>
      <c r="J173" s="6">
        <v>45627</v>
      </c>
      <c r="K173" s="6">
        <f>DATE(YEAR(J173), MONTH(J173), DAY(1))</f>
        <v>45627</v>
      </c>
      <c r="L173" s="8">
        <v>45658</v>
      </c>
      <c r="M173" s="6">
        <f>DATE(YEAR(K173), MONTH(K173) +1, DAY(K173))</f>
        <v>45658</v>
      </c>
      <c r="N173" s="7" t="s">
        <v>0</v>
      </c>
      <c r="O173" s="7" t="s">
        <v>59</v>
      </c>
      <c r="P173" s="7" t="s">
        <v>60</v>
      </c>
      <c r="Q173" s="7" t="s">
        <v>50</v>
      </c>
      <c r="R173" s="7">
        <v>312.99999600000001</v>
      </c>
      <c r="S173" s="7">
        <v>199.99999199999999</v>
      </c>
      <c r="T173" s="7">
        <v>513</v>
      </c>
      <c r="U173" s="7">
        <v>313</v>
      </c>
      <c r="V173" s="7" t="s">
        <v>438</v>
      </c>
      <c r="W173" s="7" t="s">
        <v>435</v>
      </c>
    </row>
    <row r="174" spans="1:23" x14ac:dyDescent="0.2">
      <c r="A174" s="6">
        <v>45674</v>
      </c>
      <c r="B174" s="7">
        <v>17126004</v>
      </c>
      <c r="C174" s="7" t="s">
        <v>123</v>
      </c>
      <c r="D174" s="7" t="s">
        <v>326</v>
      </c>
      <c r="E174" s="7" t="str">
        <f>CONCATENATE(D174,8)</f>
        <v>DK5Y9F8</v>
      </c>
      <c r="F174" s="7" t="s">
        <v>328</v>
      </c>
      <c r="G174" s="7" t="s">
        <v>329</v>
      </c>
      <c r="H174" s="7" t="str">
        <f>CONCATENATE(F174, " ", G174)</f>
        <v>PETROS MARKOPOULOS</v>
      </c>
      <c r="I174" s="7" t="s">
        <v>216</v>
      </c>
      <c r="J174" s="6">
        <v>45618</v>
      </c>
      <c r="K174" s="6">
        <f>DATE(YEAR(J174), MONTH(J174), DAY(1))</f>
        <v>45597</v>
      </c>
      <c r="L174" s="8">
        <v>45658</v>
      </c>
      <c r="M174" s="6">
        <f>DATE(YEAR(K174), MONTH(K174) +1, DAY(K174))</f>
        <v>45627</v>
      </c>
      <c r="N174" s="7" t="s">
        <v>0</v>
      </c>
      <c r="O174" s="7" t="s">
        <v>109</v>
      </c>
      <c r="P174" s="7" t="s">
        <v>49</v>
      </c>
      <c r="Q174" s="7" t="s">
        <v>50</v>
      </c>
      <c r="R174" s="7">
        <v>625.99999200000002</v>
      </c>
      <c r="S174" s="7">
        <v>199.99999199999999</v>
      </c>
      <c r="T174" s="7">
        <v>826</v>
      </c>
      <c r="U174" s="7">
        <v>626</v>
      </c>
      <c r="V174" s="7" t="s">
        <v>439</v>
      </c>
    </row>
    <row r="175" spans="1:23" x14ac:dyDescent="0.2">
      <c r="A175" s="6">
        <v>45674</v>
      </c>
      <c r="B175" s="7">
        <v>19481808</v>
      </c>
      <c r="C175" s="7" t="s">
        <v>395</v>
      </c>
      <c r="D175" s="7" t="s">
        <v>396</v>
      </c>
      <c r="E175" s="7" t="str">
        <f>CONCATENATE(D175,8)</f>
        <v>D56WZZ8</v>
      </c>
      <c r="F175" s="7" t="s">
        <v>398</v>
      </c>
      <c r="G175" s="7" t="s">
        <v>399</v>
      </c>
      <c r="H175" s="7" t="str">
        <f>CONCATENATE(F175, " ", G175)</f>
        <v>JOSEPHINE MANZELLA</v>
      </c>
      <c r="I175" s="7" t="s">
        <v>57</v>
      </c>
      <c r="J175" s="6">
        <v>45631</v>
      </c>
      <c r="K175" s="6">
        <f>DATE(YEAR(J175), MONTH(J175), DAY(1))</f>
        <v>45627</v>
      </c>
      <c r="L175" s="8">
        <v>45658</v>
      </c>
      <c r="M175" s="6">
        <f>DATE(YEAR(K175), MONTH(K175) +1, DAY(K175))</f>
        <v>45658</v>
      </c>
      <c r="N175" s="7" t="s">
        <v>0</v>
      </c>
      <c r="O175" s="7" t="s">
        <v>59</v>
      </c>
      <c r="P175" s="7" t="s">
        <v>60</v>
      </c>
      <c r="Q175" s="7" t="s">
        <v>50</v>
      </c>
      <c r="R175" s="7">
        <v>312.99999600000001</v>
      </c>
      <c r="S175" s="7">
        <v>199.99999199999999</v>
      </c>
      <c r="T175" s="7">
        <v>513</v>
      </c>
      <c r="U175" s="7">
        <v>313</v>
      </c>
      <c r="V175" s="7" t="s">
        <v>438</v>
      </c>
      <c r="W175" s="7" t="s">
        <v>435</v>
      </c>
    </row>
    <row r="176" spans="1:23" x14ac:dyDescent="0.2">
      <c r="A176" s="6">
        <v>45674</v>
      </c>
      <c r="B176" s="7">
        <v>18581063</v>
      </c>
      <c r="C176" s="7" t="s">
        <v>129</v>
      </c>
      <c r="D176" s="7" t="s">
        <v>130</v>
      </c>
      <c r="E176" s="7" t="str">
        <f>CONCATENATE(D176,8)</f>
        <v>DFFGS38</v>
      </c>
      <c r="F176" s="7" t="s">
        <v>132</v>
      </c>
      <c r="G176" s="7" t="s">
        <v>133</v>
      </c>
      <c r="H176" s="7" t="str">
        <f>CONCATENATE(F176, " ", G176)</f>
        <v>ENOCH ANDERSON</v>
      </c>
      <c r="I176" s="7" t="s">
        <v>57</v>
      </c>
      <c r="J176" s="6">
        <v>45586</v>
      </c>
      <c r="K176" s="6">
        <f>DATE(YEAR(J176), MONTH(J176), DAY(1))</f>
        <v>45566</v>
      </c>
      <c r="L176" s="8">
        <v>45658</v>
      </c>
      <c r="M176" s="6">
        <f>DATE(YEAR(K176), MONTH(K176) +1, DAY(K176))</f>
        <v>45597</v>
      </c>
      <c r="N176" s="7" t="s">
        <v>0</v>
      </c>
      <c r="O176" s="7" t="s">
        <v>59</v>
      </c>
      <c r="P176" s="7" t="s">
        <v>60</v>
      </c>
      <c r="Q176" s="7" t="s">
        <v>50</v>
      </c>
      <c r="R176" s="7">
        <v>312.99999600000001</v>
      </c>
      <c r="S176" s="7">
        <v>199.99999199999999</v>
      </c>
      <c r="T176" s="7">
        <v>513</v>
      </c>
      <c r="U176" s="7">
        <v>313</v>
      </c>
      <c r="V176" s="7" t="s">
        <v>438</v>
      </c>
      <c r="W176" s="7" t="s">
        <v>435</v>
      </c>
    </row>
  </sheetData>
  <sortState xmlns:xlrd2="http://schemas.microsoft.com/office/spreadsheetml/2017/richdata2" ref="A2:AA176">
    <sortCondition ref="C2:C176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2025-01-16T19:58:20Z</dcterms:created>
  <dcterms:modified xsi:type="dcterms:W3CDTF">2025-01-21T17:59:39Z</dcterms:modified>
</cp:coreProperties>
</file>