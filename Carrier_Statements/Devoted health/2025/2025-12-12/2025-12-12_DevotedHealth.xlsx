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5\12-12-25\"/>
    </mc:Choice>
  </mc:AlternateContent>
  <xr:revisionPtr revIDLastSave="0" documentId="13_ncr:1_{4961C7C2-ADC9-47D4-ABC4-4FBC3952D0E4}" xr6:coauthVersionLast="47" xr6:coauthVersionMax="47" xr10:uidLastSave="{00000000-0000-0000-0000-000000000000}"/>
  <bookViews>
    <workbookView xWindow="28680" yWindow="-120" windowWidth="29040" windowHeight="16440" tabRatio="204" firstSheet="1" activeTab="2" xr2:uid="{00000000-000D-0000-FFFF-FFFF00000000}"/>
  </bookViews>
  <sheets>
    <sheet name="Summary" sheetId="1" r:id="rId1"/>
    <sheet name="Detail" sheetId="2" r:id="rId2"/>
    <sheet name="Sheet1" sheetId="4" r:id="rId3"/>
    <sheet name="Misc" sheetId="3" r:id="rId4"/>
  </sheets>
  <calcPr calcId="181029"/>
</workbook>
</file>

<file path=xl/calcChain.xml><?xml version="1.0" encoding="utf-8"?>
<calcChain xmlns="http://schemas.openxmlformats.org/spreadsheetml/2006/main">
  <c r="G49" i="4" l="1"/>
  <c r="G6" i="4"/>
  <c r="G2" i="4"/>
  <c r="G44" i="4"/>
  <c r="G34" i="4"/>
  <c r="G18" i="4"/>
  <c r="G19" i="4"/>
  <c r="G20" i="4"/>
  <c r="G32" i="4"/>
  <c r="G28" i="4"/>
  <c r="G8" i="4"/>
  <c r="G22" i="4"/>
  <c r="G12" i="4"/>
  <c r="G16" i="4"/>
  <c r="G4" i="4"/>
  <c r="G36" i="4"/>
  <c r="G46" i="4"/>
  <c r="G14" i="4"/>
  <c r="G10" i="4"/>
  <c r="G30" i="4"/>
  <c r="G40" i="4"/>
  <c r="G41" i="4"/>
  <c r="G26" i="4"/>
  <c r="G24" i="4"/>
  <c r="G42" i="4"/>
  <c r="G38" i="4"/>
  <c r="G25" i="4"/>
  <c r="G43" i="4"/>
  <c r="G37" i="4"/>
  <c r="G29" i="4"/>
  <c r="G13" i="4"/>
  <c r="G15" i="4"/>
  <c r="G17" i="4"/>
  <c r="G7" i="4"/>
  <c r="G33" i="4"/>
  <c r="G9" i="4"/>
  <c r="G39" i="4"/>
  <c r="G3" i="4"/>
  <c r="G5" i="4"/>
  <c r="G11" i="4"/>
  <c r="G35" i="4"/>
  <c r="G47" i="4"/>
  <c r="G31" i="4"/>
  <c r="G23" i="4"/>
  <c r="G27" i="4"/>
  <c r="G45" i="4"/>
  <c r="G21" i="4"/>
  <c r="G48" i="4"/>
  <c r="D43" i="4"/>
  <c r="D37" i="4"/>
  <c r="D29" i="4"/>
  <c r="D13" i="4"/>
  <c r="D15" i="4"/>
  <c r="D17" i="4"/>
  <c r="D7" i="4"/>
  <c r="D33" i="4"/>
  <c r="D9" i="4"/>
  <c r="D39" i="4"/>
  <c r="D3" i="4"/>
  <c r="D5" i="4"/>
  <c r="D11" i="4"/>
  <c r="D35" i="4"/>
  <c r="D47" i="4"/>
  <c r="D31" i="4"/>
  <c r="D23" i="4"/>
  <c r="D27" i="4"/>
  <c r="D45" i="4"/>
  <c r="D21" i="4"/>
  <c r="D25" i="4"/>
  <c r="D19" i="4"/>
  <c r="D49" i="4"/>
  <c r="D41" i="4"/>
  <c r="D20" i="4"/>
  <c r="D44" i="4"/>
  <c r="D26" i="4"/>
  <c r="D22" i="4"/>
  <c r="D30" i="4"/>
  <c r="D46" i="4"/>
  <c r="D34" i="4"/>
  <c r="D10" i="4"/>
  <c r="D4" i="4"/>
  <c r="D2" i="4"/>
  <c r="D38" i="4"/>
  <c r="D8" i="4"/>
  <c r="D32" i="4"/>
  <c r="D6" i="4"/>
  <c r="D16" i="4"/>
  <c r="D14" i="4"/>
  <c r="D12" i="4"/>
  <c r="D28" i="4"/>
  <c r="D36" i="4"/>
  <c r="D42" i="4"/>
  <c r="D24" i="4"/>
  <c r="D18" i="4"/>
  <c r="D48" i="4"/>
  <c r="D40" i="4"/>
  <c r="F3" i="3"/>
  <c r="F4" i="3"/>
  <c r="F5" i="3"/>
  <c r="F2" i="3"/>
</calcChain>
</file>

<file path=xl/sharedStrings.xml><?xml version="1.0" encoding="utf-8"?>
<sst xmlns="http://schemas.openxmlformats.org/spreadsheetml/2006/main" count="834" uniqueCount="226">
  <si>
    <t>Description</t>
  </si>
  <si>
    <t>Member Count</t>
  </si>
  <si>
    <t>Total</t>
  </si>
  <si>
    <t>Payee</t>
  </si>
  <si>
    <t>Payment Date</t>
  </si>
  <si>
    <t>Credits</t>
  </si>
  <si>
    <t>$2,785.86</t>
  </si>
  <si>
    <t>Main Line Benefits LLC</t>
  </si>
  <si>
    <t>12/12/2025</t>
  </si>
  <si>
    <t>Debits</t>
  </si>
  <si>
    <t>$0.00</t>
  </si>
  <si>
    <t>Miscellaneous</t>
  </si>
  <si>
    <t>$200.00</t>
  </si>
  <si>
    <t>Bonus</t>
  </si>
  <si>
    <t>Sub Total</t>
  </si>
  <si>
    <t>$2,985.86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</si>
  <si>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</si>
  <si>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</si>
  <si>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</si>
  <si>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</si>
  <si>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</si>
  <si>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</si>
  <si>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</si>
  <si>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</si>
  <si>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</si>
  <si>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</si>
  <si>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</si>
  <si>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</si>
  <si>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</si>
  <si>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</si>
  <si>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</si>
  <si>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</si>
  <si>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</si>
  <si>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</si>
  <si>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</si>
  <si>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</si>
  <si>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</si>
  <si>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</si>
  <si>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</si>
  <si>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</si>
  <si>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7565575</t>
  </si>
  <si>
    <t>Robert Shapiro</t>
  </si>
  <si>
    <t>DRHGSF</t>
  </si>
  <si>
    <t>5R42NY5CP84</t>
  </si>
  <si>
    <t>RAMON</t>
  </si>
  <si>
    <t>ORTIZ JR</t>
  </si>
  <si>
    <t>IL</t>
  </si>
  <si>
    <t>11/05/2025</t>
  </si>
  <si>
    <t>12/01/2025</t>
  </si>
  <si>
    <t>H6545</t>
  </si>
  <si>
    <t>NONE</t>
  </si>
  <si>
    <t>Initial - New</t>
  </si>
  <si>
    <t>Nov</t>
  </si>
  <si>
    <t>21646325</t>
  </si>
  <si>
    <t>Antonia Nevarez</t>
  </si>
  <si>
    <t>DYH2F7</t>
  </si>
  <si>
    <t>9CY7X94RN78</t>
  </si>
  <si>
    <t>ARACELY</t>
  </si>
  <si>
    <t>VARGAS</t>
  </si>
  <si>
    <t>11/08/2025</t>
  </si>
  <si>
    <t>H7151</t>
  </si>
  <si>
    <t>17094718</t>
  </si>
  <si>
    <t>Greg Hansford</t>
  </si>
  <si>
    <t>D86URU</t>
  </si>
  <si>
    <t>4DW3VG5DE09</t>
  </si>
  <si>
    <t>ROGER</t>
  </si>
  <si>
    <t>YOUNG</t>
  </si>
  <si>
    <t>OH</t>
  </si>
  <si>
    <t>11/21/2025</t>
  </si>
  <si>
    <t>H2697</t>
  </si>
  <si>
    <t>Dec</t>
  </si>
  <si>
    <t>17126004</t>
  </si>
  <si>
    <t>Stephanie Drapac</t>
  </si>
  <si>
    <t>D8YS8Y</t>
  </si>
  <si>
    <t>9QE9Q25VU37</t>
  </si>
  <si>
    <t>MARYANN</t>
  </si>
  <si>
    <t>CHINDERLE</t>
  </si>
  <si>
    <t>08/06/2024</t>
  </si>
  <si>
    <t>10/01/2024</t>
  </si>
  <si>
    <t>Renewal - Monthly</t>
  </si>
  <si>
    <t>DU896U</t>
  </si>
  <si>
    <t>5CM0EK1XF12</t>
  </si>
  <si>
    <t>LINDA</t>
  </si>
  <si>
    <t>CIANCIO</t>
  </si>
  <si>
    <t>07/24/2024</t>
  </si>
  <si>
    <t>08/01/2024</t>
  </si>
  <si>
    <t>16683808</t>
  </si>
  <si>
    <t>Jonathan Aloff</t>
  </si>
  <si>
    <t>DH28HS</t>
  </si>
  <si>
    <t>3DU4M88UK01</t>
  </si>
  <si>
    <t>MELQUEA</t>
  </si>
  <si>
    <t>EDWARDS</t>
  </si>
  <si>
    <t>TX</t>
  </si>
  <si>
    <t>06/06/2025</t>
  </si>
  <si>
    <t>07/01/2025</t>
  </si>
  <si>
    <t>H7993</t>
  </si>
  <si>
    <t>MAPD</t>
  </si>
  <si>
    <t>18754354</t>
  </si>
  <si>
    <t>Jacob Yale</t>
  </si>
  <si>
    <t>D9H8YE</t>
  </si>
  <si>
    <t>1UX3AG1PY96</t>
  </si>
  <si>
    <t>ANNETTE</t>
  </si>
  <si>
    <t>EDWARDSON</t>
  </si>
  <si>
    <t>08/31/2024</t>
  </si>
  <si>
    <t>09/01/2024</t>
  </si>
  <si>
    <t>12/31/2025</t>
  </si>
  <si>
    <t>2158366</t>
  </si>
  <si>
    <t>Jeffrey Horn</t>
  </si>
  <si>
    <t>D6K5SY</t>
  </si>
  <si>
    <t>8EC0EW1WG35</t>
  </si>
  <si>
    <t>SUSAN</t>
  </si>
  <si>
    <t>EICHMAN PARCELL</t>
  </si>
  <si>
    <t>12/01/2024</t>
  </si>
  <si>
    <t>19200754</t>
  </si>
  <si>
    <t>Ricardo Santos</t>
  </si>
  <si>
    <t>D77FJC</t>
  </si>
  <si>
    <t>1H75YU5EY55</t>
  </si>
  <si>
    <t>BETH</t>
  </si>
  <si>
    <t>GONSIEWSKI</t>
  </si>
  <si>
    <t>08/26/2024</t>
  </si>
  <si>
    <t>D7ZW4G</t>
  </si>
  <si>
    <t>3X37JK1GE45</t>
  </si>
  <si>
    <t>JEFFREY</t>
  </si>
  <si>
    <t>JOHNS</t>
  </si>
  <si>
    <t>10/14/2024</t>
  </si>
  <si>
    <t>11/01/2024</t>
  </si>
  <si>
    <t>21435997</t>
  </si>
  <si>
    <t>CHRISTOPHER BROUSSEAU</t>
  </si>
  <si>
    <t>D3KYC8</t>
  </si>
  <si>
    <t>7FV2WQ0FK23</t>
  </si>
  <si>
    <t>PAUL</t>
  </si>
  <si>
    <t>KINGMAN</t>
  </si>
  <si>
    <t>11/29/2025</t>
  </si>
  <si>
    <t>Initial - Not New</t>
  </si>
  <si>
    <t>16865615</t>
  </si>
  <si>
    <t>Heather Geske</t>
  </si>
  <si>
    <t>DCEG4Z</t>
  </si>
  <si>
    <t>7DK6CR4VP60</t>
  </si>
  <si>
    <t>MICHAEL</t>
  </si>
  <si>
    <t>LINGENFELTER</t>
  </si>
  <si>
    <t>CO</t>
  </si>
  <si>
    <t>10/28/2023</t>
  </si>
  <si>
    <t>01/01/2024</t>
  </si>
  <si>
    <t>H7147</t>
  </si>
  <si>
    <t>D4AC9K</t>
  </si>
  <si>
    <t>6GA0R99WK27</t>
  </si>
  <si>
    <t>WILLIAM</t>
  </si>
  <si>
    <t>LUDWIG III</t>
  </si>
  <si>
    <t>10/04/2024</t>
  </si>
  <si>
    <t>PDP</t>
  </si>
  <si>
    <t>DR8EJR</t>
  </si>
  <si>
    <t>4RV9DP2GR28</t>
  </si>
  <si>
    <t>THERESA</t>
  </si>
  <si>
    <t>MCAULEY</t>
  </si>
  <si>
    <t>07/30/2024</t>
  </si>
  <si>
    <t>17301495</t>
  </si>
  <si>
    <t>Esther Herrera-Larsen</t>
  </si>
  <si>
    <t>D2UZFA</t>
  </si>
  <si>
    <t>5KH0A34HV31</t>
  </si>
  <si>
    <t>ABELARDO</t>
  </si>
  <si>
    <t>MONARREZ</t>
  </si>
  <si>
    <t>08/15/2024</t>
  </si>
  <si>
    <t>D3A4KF</t>
  </si>
  <si>
    <t>6DA7U07AX76</t>
  </si>
  <si>
    <t>LAURA</t>
  </si>
  <si>
    <t>MROZEK</t>
  </si>
  <si>
    <t>09/17/2024</t>
  </si>
  <si>
    <t>D538HS</t>
  </si>
  <si>
    <t>8FR8K36WG37</t>
  </si>
  <si>
    <t>JOHN</t>
  </si>
  <si>
    <t>10/18/2024</t>
  </si>
  <si>
    <t>9213293</t>
  </si>
  <si>
    <t>Gary Portugal</t>
  </si>
  <si>
    <t>DEW7CR</t>
  </si>
  <si>
    <t>9GX4VW5TX84</t>
  </si>
  <si>
    <t>PATRICIA</t>
  </si>
  <si>
    <t>PROCHASKA</t>
  </si>
  <si>
    <t>09/25/2024</t>
  </si>
  <si>
    <t>8405446</t>
  </si>
  <si>
    <t>Patsamon Thanadabouth</t>
  </si>
  <si>
    <t>DY48JR</t>
  </si>
  <si>
    <t>9P11KQ9XW07</t>
  </si>
  <si>
    <t>BINH</t>
  </si>
  <si>
    <t>RATSAVONGSY</t>
  </si>
  <si>
    <t>11/22/2023</t>
  </si>
  <si>
    <t>19615078</t>
  </si>
  <si>
    <t>Richard Wuensch</t>
  </si>
  <si>
    <t>DA25Z9</t>
  </si>
  <si>
    <t>9GT8GY8NX41</t>
  </si>
  <si>
    <t>NADEZHDA</t>
  </si>
  <si>
    <t>ROMANOVA</t>
  </si>
  <si>
    <t>09/26/2024</t>
  </si>
  <si>
    <t>D8C779</t>
  </si>
  <si>
    <t>2XN3YK0ET73</t>
  </si>
  <si>
    <t>CHRISTOPHER</t>
  </si>
  <si>
    <t>SPRINGER</t>
  </si>
  <si>
    <t>07/29/2024</t>
  </si>
  <si>
    <t>16170994</t>
  </si>
  <si>
    <t>Ryan Shepard</t>
  </si>
  <si>
    <t>D9A3G7</t>
  </si>
  <si>
    <t>3DJ0MT5PP07</t>
  </si>
  <si>
    <t>STEWART</t>
  </si>
  <si>
    <t>08/12/2024</t>
  </si>
  <si>
    <t>DUW2FG</t>
  </si>
  <si>
    <t>1PD5GW2MJ88</t>
  </si>
  <si>
    <t>EMMA</t>
  </si>
  <si>
    <t>VALE</t>
  </si>
  <si>
    <t>03/05/2025</t>
  </si>
  <si>
    <t>04/01/2025</t>
  </si>
  <si>
    <t>Rep Name</t>
  </si>
  <si>
    <t>Rep ID</t>
  </si>
  <si>
    <t>Amount</t>
  </si>
  <si>
    <t>Note</t>
  </si>
  <si>
    <t>Barry Schumann</t>
  </si>
  <si>
    <t>$50.00</t>
  </si>
  <si>
    <t>HRA for member Daniel Martinez DCKKWK (IL)</t>
  </si>
  <si>
    <t>HRA for member Susan SORENSON D33HEG (IL)</t>
  </si>
  <si>
    <t>HRA for member Aracely Vargas DYH2F7 (IL)</t>
  </si>
  <si>
    <t>HRA for member ROGER YOUNG D86URU (OH)</t>
  </si>
  <si>
    <t>Devoted Health</t>
  </si>
  <si>
    <t>Devoted MAPD 2025*</t>
  </si>
  <si>
    <t>Devoted MAPD 2025 Ovr</t>
  </si>
  <si>
    <t>Main Line Benefits</t>
  </si>
  <si>
    <t>Devoted MAPD 2025</t>
  </si>
  <si>
    <t>[%/$=313][prorate=1/12]</t>
  </si>
  <si>
    <t>[%/$=626]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</si>
</sst>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  <xf numFmtId="0" fontId="0" fillId="3" borderId="0" xfId="0" applyNumberFormat="1" applyFill="1"/>
    <xf numFmtId="0" fontId="0" fillId="3" borderId="0" xfId="0" applyFill="1"/>
    <xf numFmtId="0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/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23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0</v>
      </c>
      <c r="C3" t="s">
        <v>10</v>
      </c>
    </row>
    <row r="4" spans="1:6" x14ac:dyDescent="0.25">
      <c r="A4" t="s">
        <v>11</v>
      </c>
      <c r="B4">
        <v>4</v>
      </c>
      <c r="C4" t="s">
        <v>12</v>
      </c>
    </row>
    <row r="5" spans="1:6" x14ac:dyDescent="0.25">
      <c r="A5" t="s">
        <v>13</v>
      </c>
      <c r="C5" t="s">
        <v>10</v>
      </c>
    </row>
    <row r="6" spans="1:6" x14ac:dyDescent="0.25">
      <c r="A6" t="s">
        <v>14</v>
      </c>
      <c r="B6">
        <v>25</v>
      </c>
      <c r="C6" t="s">
        <v>15</v>
      </c>
    </row>
    <row r="7" spans="1:6" x14ac:dyDescent="0.25">
      <c r="A7" t="s">
        <v>16</v>
      </c>
      <c r="C7" t="s">
        <v>10</v>
      </c>
    </row>
    <row r="8" spans="1:6" x14ac:dyDescent="0.25">
      <c r="A8" t="s">
        <v>17</v>
      </c>
      <c r="C8" t="s">
        <v>15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4"/>
  <sheetViews>
    <sheetView topLeftCell="B1" zoomScaleNormal="100" workbookViewId="0">
      <selection activeCell="T1" sqref="T1:T1048576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</row>
    <row r="2" spans="1:22" x14ac:dyDescent="0.25">
      <c r="A2" t="s">
        <v>8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L2" t="s">
        <v>49</v>
      </c>
      <c r="M2">
        <v>1</v>
      </c>
      <c r="N2" t="s">
        <v>50</v>
      </c>
      <c r="O2">
        <v>1</v>
      </c>
      <c r="P2" t="s">
        <v>51</v>
      </c>
      <c r="Q2" t="s">
        <v>52</v>
      </c>
      <c r="R2">
        <v>599.91999999999996</v>
      </c>
      <c r="S2">
        <v>0</v>
      </c>
      <c r="T2">
        <v>599.91999999999996</v>
      </c>
      <c r="U2" t="s">
        <v>7</v>
      </c>
    </row>
    <row r="3" spans="1:22" x14ac:dyDescent="0.25">
      <c r="A3" t="s">
        <v>8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H3" t="s">
        <v>46</v>
      </c>
      <c r="I3" t="s">
        <v>59</v>
      </c>
      <c r="J3" t="s">
        <v>48</v>
      </c>
      <c r="L3" t="s">
        <v>60</v>
      </c>
      <c r="M3">
        <v>1</v>
      </c>
      <c r="N3" t="s">
        <v>50</v>
      </c>
      <c r="O3">
        <v>1</v>
      </c>
      <c r="P3" t="s">
        <v>51</v>
      </c>
      <c r="Q3" t="s">
        <v>52</v>
      </c>
      <c r="R3">
        <v>599.91999999999996</v>
      </c>
      <c r="S3">
        <v>0</v>
      </c>
      <c r="T3">
        <v>599.91999999999996</v>
      </c>
      <c r="U3" t="s">
        <v>7</v>
      </c>
    </row>
    <row r="4" spans="1:22" x14ac:dyDescent="0.25">
      <c r="A4" t="s">
        <v>8</v>
      </c>
      <c r="B4" t="s">
        <v>61</v>
      </c>
      <c r="C4" t="s">
        <v>62</v>
      </c>
      <c r="D4" t="s">
        <v>63</v>
      </c>
      <c r="E4" t="s">
        <v>64</v>
      </c>
      <c r="F4" t="s">
        <v>65</v>
      </c>
      <c r="G4" t="s">
        <v>66</v>
      </c>
      <c r="H4" t="s">
        <v>67</v>
      </c>
      <c r="I4" t="s">
        <v>68</v>
      </c>
      <c r="J4" t="s">
        <v>48</v>
      </c>
      <c r="L4" t="s">
        <v>69</v>
      </c>
      <c r="M4">
        <v>3</v>
      </c>
      <c r="N4" t="s">
        <v>50</v>
      </c>
      <c r="O4">
        <v>1</v>
      </c>
      <c r="P4" t="s">
        <v>51</v>
      </c>
      <c r="Q4" t="s">
        <v>70</v>
      </c>
      <c r="R4">
        <v>599.91999999999996</v>
      </c>
      <c r="S4">
        <v>0</v>
      </c>
      <c r="T4">
        <v>599.91999999999996</v>
      </c>
      <c r="U4" t="s">
        <v>7</v>
      </c>
    </row>
    <row r="5" spans="1:22" x14ac:dyDescent="0.25">
      <c r="A5" t="s">
        <v>8</v>
      </c>
      <c r="B5" t="s">
        <v>71</v>
      </c>
      <c r="C5" t="s">
        <v>72</v>
      </c>
      <c r="D5" t="s">
        <v>73</v>
      </c>
      <c r="E5" t="s">
        <v>74</v>
      </c>
      <c r="F5" t="s">
        <v>75</v>
      </c>
      <c r="G5" t="s">
        <v>76</v>
      </c>
      <c r="H5" t="s">
        <v>46</v>
      </c>
      <c r="I5" t="s">
        <v>77</v>
      </c>
      <c r="J5" t="s">
        <v>78</v>
      </c>
      <c r="L5" t="s">
        <v>49</v>
      </c>
      <c r="M5">
        <v>1</v>
      </c>
      <c r="N5" t="s">
        <v>50</v>
      </c>
      <c r="O5">
        <v>2</v>
      </c>
      <c r="P5" t="s">
        <v>79</v>
      </c>
      <c r="Q5" t="s">
        <v>70</v>
      </c>
      <c r="R5">
        <v>26.08</v>
      </c>
      <c r="S5">
        <v>14</v>
      </c>
      <c r="T5">
        <v>40.08</v>
      </c>
      <c r="U5" t="s">
        <v>7</v>
      </c>
    </row>
    <row r="6" spans="1:22" x14ac:dyDescent="0.25">
      <c r="A6" t="s">
        <v>8</v>
      </c>
      <c r="B6" t="s">
        <v>71</v>
      </c>
      <c r="C6" t="s">
        <v>72</v>
      </c>
      <c r="D6" t="s">
        <v>80</v>
      </c>
      <c r="E6" t="s">
        <v>81</v>
      </c>
      <c r="F6" t="s">
        <v>82</v>
      </c>
      <c r="G6" t="s">
        <v>83</v>
      </c>
      <c r="H6" t="s">
        <v>46</v>
      </c>
      <c r="I6" t="s">
        <v>84</v>
      </c>
      <c r="J6" t="s">
        <v>85</v>
      </c>
      <c r="L6" t="s">
        <v>49</v>
      </c>
      <c r="M6">
        <v>1</v>
      </c>
      <c r="N6" t="s">
        <v>50</v>
      </c>
      <c r="O6">
        <v>2</v>
      </c>
      <c r="P6" t="s">
        <v>79</v>
      </c>
      <c r="Q6" t="s">
        <v>70</v>
      </c>
      <c r="R6">
        <v>26.08</v>
      </c>
      <c r="S6">
        <v>14</v>
      </c>
      <c r="T6">
        <v>40.08</v>
      </c>
      <c r="U6" t="s">
        <v>7</v>
      </c>
    </row>
    <row r="7" spans="1:22" x14ac:dyDescent="0.25">
      <c r="A7" t="s">
        <v>8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L7" t="s">
        <v>95</v>
      </c>
      <c r="M7">
        <v>17</v>
      </c>
      <c r="N7" t="s">
        <v>96</v>
      </c>
      <c r="O7">
        <v>5</v>
      </c>
      <c r="P7" t="s">
        <v>79</v>
      </c>
      <c r="Q7" t="s">
        <v>70</v>
      </c>
      <c r="R7">
        <v>26.08</v>
      </c>
      <c r="S7">
        <v>12.5</v>
      </c>
      <c r="T7">
        <v>38.58</v>
      </c>
      <c r="U7" t="s">
        <v>7</v>
      </c>
    </row>
    <row r="8" spans="1:22" x14ac:dyDescent="0.25">
      <c r="A8" t="s">
        <v>8</v>
      </c>
      <c r="B8" t="s">
        <v>97</v>
      </c>
      <c r="C8" t="s">
        <v>98</v>
      </c>
      <c r="D8" t="s">
        <v>99</v>
      </c>
      <c r="E8" t="s">
        <v>100</v>
      </c>
      <c r="F8" t="s">
        <v>101</v>
      </c>
      <c r="G8" t="s">
        <v>102</v>
      </c>
      <c r="H8" t="s">
        <v>46</v>
      </c>
      <c r="I8" t="s">
        <v>103</v>
      </c>
      <c r="J8" t="s">
        <v>104</v>
      </c>
      <c r="K8" t="s">
        <v>105</v>
      </c>
      <c r="L8" t="s">
        <v>49</v>
      </c>
      <c r="M8">
        <v>1</v>
      </c>
      <c r="N8" t="s">
        <v>50</v>
      </c>
      <c r="O8">
        <v>2</v>
      </c>
      <c r="P8" t="s">
        <v>79</v>
      </c>
      <c r="Q8" t="s">
        <v>70</v>
      </c>
      <c r="R8">
        <v>26.08</v>
      </c>
      <c r="S8">
        <v>14</v>
      </c>
      <c r="T8">
        <v>40.08</v>
      </c>
      <c r="U8" t="s">
        <v>7</v>
      </c>
    </row>
    <row r="9" spans="1:22" x14ac:dyDescent="0.25">
      <c r="A9" t="s">
        <v>8</v>
      </c>
      <c r="B9" t="s">
        <v>106</v>
      </c>
      <c r="C9" t="s">
        <v>107</v>
      </c>
      <c r="D9" t="s">
        <v>108</v>
      </c>
      <c r="E9" t="s">
        <v>109</v>
      </c>
      <c r="F9" t="s">
        <v>110</v>
      </c>
      <c r="G9" t="s">
        <v>111</v>
      </c>
      <c r="H9" t="s">
        <v>46</v>
      </c>
      <c r="I9" t="s">
        <v>78</v>
      </c>
      <c r="J9" t="s">
        <v>112</v>
      </c>
      <c r="L9" t="s">
        <v>60</v>
      </c>
      <c r="M9">
        <v>1</v>
      </c>
      <c r="N9" t="s">
        <v>50</v>
      </c>
      <c r="O9">
        <v>2</v>
      </c>
      <c r="P9" t="s">
        <v>79</v>
      </c>
      <c r="Q9" t="s">
        <v>70</v>
      </c>
      <c r="R9">
        <v>26.08</v>
      </c>
      <c r="S9">
        <v>14</v>
      </c>
      <c r="T9">
        <v>40.08</v>
      </c>
      <c r="U9" t="s">
        <v>7</v>
      </c>
    </row>
    <row r="10" spans="1:22" x14ac:dyDescent="0.25">
      <c r="A10" t="s">
        <v>8</v>
      </c>
      <c r="B10" t="s">
        <v>113</v>
      </c>
      <c r="C10" t="s">
        <v>114</v>
      </c>
      <c r="D10" t="s">
        <v>115</v>
      </c>
      <c r="E10" t="s">
        <v>116</v>
      </c>
      <c r="F10" t="s">
        <v>117</v>
      </c>
      <c r="G10" t="s">
        <v>118</v>
      </c>
      <c r="H10" t="s">
        <v>46</v>
      </c>
      <c r="I10" t="s">
        <v>119</v>
      </c>
      <c r="J10" t="s">
        <v>78</v>
      </c>
      <c r="L10" t="s">
        <v>49</v>
      </c>
      <c r="M10">
        <v>1</v>
      </c>
      <c r="N10" t="s">
        <v>50</v>
      </c>
      <c r="O10">
        <v>2</v>
      </c>
      <c r="P10" t="s">
        <v>79</v>
      </c>
      <c r="Q10" t="s">
        <v>70</v>
      </c>
      <c r="R10">
        <v>26.08</v>
      </c>
      <c r="S10">
        <v>14</v>
      </c>
      <c r="T10">
        <v>40.08</v>
      </c>
      <c r="U10" t="s">
        <v>7</v>
      </c>
    </row>
    <row r="11" spans="1:22" x14ac:dyDescent="0.25">
      <c r="A11" t="s">
        <v>8</v>
      </c>
      <c r="B11" t="s">
        <v>106</v>
      </c>
      <c r="C11" t="s">
        <v>107</v>
      </c>
      <c r="D11" t="s">
        <v>120</v>
      </c>
      <c r="E11" t="s">
        <v>121</v>
      </c>
      <c r="F11" t="s">
        <v>122</v>
      </c>
      <c r="G11" t="s">
        <v>123</v>
      </c>
      <c r="H11" t="s">
        <v>46</v>
      </c>
      <c r="I11" t="s">
        <v>124</v>
      </c>
      <c r="J11" t="s">
        <v>125</v>
      </c>
      <c r="L11" t="s">
        <v>60</v>
      </c>
      <c r="M11">
        <v>1</v>
      </c>
      <c r="N11" t="s">
        <v>50</v>
      </c>
      <c r="O11">
        <v>2</v>
      </c>
      <c r="P11" t="s">
        <v>79</v>
      </c>
      <c r="Q11" t="s">
        <v>70</v>
      </c>
      <c r="R11">
        <v>26.08</v>
      </c>
      <c r="S11">
        <v>14</v>
      </c>
      <c r="T11">
        <v>40.08</v>
      </c>
      <c r="U11" t="s">
        <v>7</v>
      </c>
    </row>
    <row r="12" spans="1:22" x14ac:dyDescent="0.25">
      <c r="A12" t="s">
        <v>8</v>
      </c>
      <c r="B12" t="s">
        <v>126</v>
      </c>
      <c r="C12" t="s">
        <v>127</v>
      </c>
      <c r="D12" t="s">
        <v>128</v>
      </c>
      <c r="E12" t="s">
        <v>129</v>
      </c>
      <c r="F12" t="s">
        <v>130</v>
      </c>
      <c r="G12" t="s">
        <v>131</v>
      </c>
      <c r="H12" t="s">
        <v>67</v>
      </c>
      <c r="I12" t="s">
        <v>132</v>
      </c>
      <c r="J12" t="s">
        <v>48</v>
      </c>
      <c r="L12" t="s">
        <v>69</v>
      </c>
      <c r="M12">
        <v>3</v>
      </c>
      <c r="O12">
        <v>0</v>
      </c>
      <c r="P12" t="s">
        <v>133</v>
      </c>
      <c r="Q12" t="s">
        <v>70</v>
      </c>
      <c r="R12">
        <v>26.08</v>
      </c>
      <c r="S12">
        <v>200</v>
      </c>
      <c r="T12">
        <v>226.08</v>
      </c>
      <c r="U12" t="s">
        <v>7</v>
      </c>
    </row>
    <row r="13" spans="1:22" x14ac:dyDescent="0.25">
      <c r="A13" t="s">
        <v>8</v>
      </c>
      <c r="B13" t="s">
        <v>134</v>
      </c>
      <c r="C13" t="s">
        <v>135</v>
      </c>
      <c r="D13" t="s">
        <v>136</v>
      </c>
      <c r="E13" t="s">
        <v>137</v>
      </c>
      <c r="F13" t="s">
        <v>138</v>
      </c>
      <c r="G13" t="s">
        <v>139</v>
      </c>
      <c r="H13" t="s">
        <v>140</v>
      </c>
      <c r="I13" t="s">
        <v>141</v>
      </c>
      <c r="J13" t="s">
        <v>142</v>
      </c>
      <c r="K13" t="s">
        <v>105</v>
      </c>
      <c r="L13" t="s">
        <v>143</v>
      </c>
      <c r="M13">
        <v>5</v>
      </c>
      <c r="N13" t="s">
        <v>96</v>
      </c>
      <c r="O13">
        <v>12</v>
      </c>
      <c r="P13" t="s">
        <v>79</v>
      </c>
      <c r="Q13" t="s">
        <v>70</v>
      </c>
      <c r="R13">
        <v>26.08</v>
      </c>
      <c r="S13">
        <v>14</v>
      </c>
      <c r="T13">
        <v>40.08</v>
      </c>
      <c r="U13" t="s">
        <v>7</v>
      </c>
    </row>
    <row r="14" spans="1:22" x14ac:dyDescent="0.25">
      <c r="A14" t="s">
        <v>8</v>
      </c>
      <c r="B14" t="s">
        <v>97</v>
      </c>
      <c r="C14" t="s">
        <v>98</v>
      </c>
      <c r="D14" t="s">
        <v>144</v>
      </c>
      <c r="E14" t="s">
        <v>145</v>
      </c>
      <c r="F14" t="s">
        <v>146</v>
      </c>
      <c r="G14" t="s">
        <v>147</v>
      </c>
      <c r="H14" t="s">
        <v>46</v>
      </c>
      <c r="I14" t="s">
        <v>148</v>
      </c>
      <c r="J14" t="s">
        <v>125</v>
      </c>
      <c r="L14" t="s">
        <v>60</v>
      </c>
      <c r="M14">
        <v>1</v>
      </c>
      <c r="N14" t="s">
        <v>149</v>
      </c>
      <c r="O14">
        <v>2</v>
      </c>
      <c r="P14" t="s">
        <v>79</v>
      </c>
      <c r="Q14" t="s">
        <v>70</v>
      </c>
      <c r="R14">
        <v>26.08</v>
      </c>
      <c r="S14">
        <v>14</v>
      </c>
      <c r="T14">
        <v>40.08</v>
      </c>
      <c r="U14" t="s">
        <v>7</v>
      </c>
    </row>
    <row r="15" spans="1:22" x14ac:dyDescent="0.25">
      <c r="A15" t="s">
        <v>8</v>
      </c>
      <c r="B15" t="s">
        <v>71</v>
      </c>
      <c r="C15" t="s">
        <v>72</v>
      </c>
      <c r="D15" t="s">
        <v>150</v>
      </c>
      <c r="E15" t="s">
        <v>151</v>
      </c>
      <c r="F15" t="s">
        <v>152</v>
      </c>
      <c r="G15" t="s">
        <v>153</v>
      </c>
      <c r="H15" t="s">
        <v>46</v>
      </c>
      <c r="I15" t="s">
        <v>154</v>
      </c>
      <c r="J15" t="s">
        <v>85</v>
      </c>
      <c r="L15" t="s">
        <v>49</v>
      </c>
      <c r="M15">
        <v>1</v>
      </c>
      <c r="N15" t="s">
        <v>50</v>
      </c>
      <c r="O15">
        <v>2</v>
      </c>
      <c r="P15" t="s">
        <v>79</v>
      </c>
      <c r="Q15" t="s">
        <v>70</v>
      </c>
      <c r="R15">
        <v>26.08</v>
      </c>
      <c r="S15">
        <v>14</v>
      </c>
      <c r="T15">
        <v>40.08</v>
      </c>
      <c r="U15" t="s">
        <v>7</v>
      </c>
    </row>
    <row r="16" spans="1:22" x14ac:dyDescent="0.25">
      <c r="A16" t="s">
        <v>8</v>
      </c>
      <c r="B16" t="s">
        <v>155</v>
      </c>
      <c r="C16" t="s">
        <v>156</v>
      </c>
      <c r="D16" t="s">
        <v>157</v>
      </c>
      <c r="E16" t="s">
        <v>158</v>
      </c>
      <c r="F16" t="s">
        <v>159</v>
      </c>
      <c r="G16" t="s">
        <v>160</v>
      </c>
      <c r="H16" t="s">
        <v>46</v>
      </c>
      <c r="I16" t="s">
        <v>161</v>
      </c>
      <c r="J16" t="s">
        <v>104</v>
      </c>
      <c r="K16" t="s">
        <v>105</v>
      </c>
      <c r="L16" t="s">
        <v>49</v>
      </c>
      <c r="M16">
        <v>1</v>
      </c>
      <c r="N16" t="s">
        <v>50</v>
      </c>
      <c r="O16">
        <v>2</v>
      </c>
      <c r="P16" t="s">
        <v>79</v>
      </c>
      <c r="Q16" t="s">
        <v>70</v>
      </c>
      <c r="R16">
        <v>26.08</v>
      </c>
      <c r="S16">
        <v>14</v>
      </c>
      <c r="T16">
        <v>40.08</v>
      </c>
      <c r="U16" t="s">
        <v>7</v>
      </c>
    </row>
    <row r="17" spans="1:21" x14ac:dyDescent="0.25">
      <c r="A17" t="s">
        <v>8</v>
      </c>
      <c r="B17" t="s">
        <v>106</v>
      </c>
      <c r="C17" t="s">
        <v>107</v>
      </c>
      <c r="D17" t="s">
        <v>162</v>
      </c>
      <c r="E17" t="s">
        <v>163</v>
      </c>
      <c r="F17" t="s">
        <v>164</v>
      </c>
      <c r="G17" t="s">
        <v>165</v>
      </c>
      <c r="H17" t="s">
        <v>46</v>
      </c>
      <c r="I17" t="s">
        <v>166</v>
      </c>
      <c r="J17" t="s">
        <v>78</v>
      </c>
      <c r="K17" t="s">
        <v>105</v>
      </c>
      <c r="L17" t="s">
        <v>49</v>
      </c>
      <c r="M17">
        <v>1</v>
      </c>
      <c r="N17" t="s">
        <v>96</v>
      </c>
      <c r="O17">
        <v>6</v>
      </c>
      <c r="P17" t="s">
        <v>79</v>
      </c>
      <c r="Q17" t="s">
        <v>70</v>
      </c>
      <c r="R17">
        <v>26.08</v>
      </c>
      <c r="S17">
        <v>14</v>
      </c>
      <c r="T17">
        <v>40.08</v>
      </c>
      <c r="U17" t="s">
        <v>7</v>
      </c>
    </row>
    <row r="18" spans="1:21" x14ac:dyDescent="0.25">
      <c r="A18" t="s">
        <v>8</v>
      </c>
      <c r="B18" t="s">
        <v>113</v>
      </c>
      <c r="C18" t="s">
        <v>114</v>
      </c>
      <c r="D18" t="s">
        <v>167</v>
      </c>
      <c r="E18" t="s">
        <v>168</v>
      </c>
      <c r="F18" t="s">
        <v>169</v>
      </c>
      <c r="G18" t="s">
        <v>130</v>
      </c>
      <c r="H18" t="s">
        <v>46</v>
      </c>
      <c r="I18" t="s">
        <v>170</v>
      </c>
      <c r="J18" t="s">
        <v>125</v>
      </c>
      <c r="L18" t="s">
        <v>60</v>
      </c>
      <c r="M18">
        <v>1</v>
      </c>
      <c r="N18" t="s">
        <v>50</v>
      </c>
      <c r="O18">
        <v>2</v>
      </c>
      <c r="P18" t="s">
        <v>79</v>
      </c>
      <c r="Q18" t="s">
        <v>70</v>
      </c>
      <c r="R18">
        <v>26.08</v>
      </c>
      <c r="S18">
        <v>14</v>
      </c>
      <c r="T18">
        <v>40.08</v>
      </c>
      <c r="U18" t="s">
        <v>7</v>
      </c>
    </row>
    <row r="19" spans="1:21" x14ac:dyDescent="0.25">
      <c r="A19" t="s">
        <v>8</v>
      </c>
      <c r="B19" t="s">
        <v>171</v>
      </c>
      <c r="C19" t="s">
        <v>172</v>
      </c>
      <c r="D19" t="s">
        <v>173</v>
      </c>
      <c r="E19" t="s">
        <v>174</v>
      </c>
      <c r="F19" t="s">
        <v>175</v>
      </c>
      <c r="G19" t="s">
        <v>176</v>
      </c>
      <c r="H19" t="s">
        <v>46</v>
      </c>
      <c r="I19" t="s">
        <v>177</v>
      </c>
      <c r="J19" t="s">
        <v>125</v>
      </c>
      <c r="L19" t="s">
        <v>49</v>
      </c>
      <c r="M19">
        <v>1</v>
      </c>
      <c r="N19" t="s">
        <v>50</v>
      </c>
      <c r="O19">
        <v>2</v>
      </c>
      <c r="P19" t="s">
        <v>79</v>
      </c>
      <c r="Q19" t="s">
        <v>70</v>
      </c>
      <c r="R19">
        <v>26.08</v>
      </c>
      <c r="S19">
        <v>14</v>
      </c>
      <c r="T19">
        <v>40.08</v>
      </c>
      <c r="U19" t="s">
        <v>7</v>
      </c>
    </row>
    <row r="20" spans="1:21" x14ac:dyDescent="0.25">
      <c r="A20" t="s">
        <v>8</v>
      </c>
      <c r="B20" t="s">
        <v>178</v>
      </c>
      <c r="C20" t="s">
        <v>179</v>
      </c>
      <c r="D20" t="s">
        <v>180</v>
      </c>
      <c r="E20" t="s">
        <v>181</v>
      </c>
      <c r="F20" t="s">
        <v>182</v>
      </c>
      <c r="G20" t="s">
        <v>183</v>
      </c>
      <c r="H20" t="s">
        <v>46</v>
      </c>
      <c r="I20" t="s">
        <v>184</v>
      </c>
      <c r="J20" t="s">
        <v>142</v>
      </c>
      <c r="L20" t="s">
        <v>49</v>
      </c>
      <c r="M20">
        <v>1</v>
      </c>
      <c r="N20" t="s">
        <v>149</v>
      </c>
      <c r="O20">
        <v>2</v>
      </c>
      <c r="P20" t="s">
        <v>79</v>
      </c>
      <c r="Q20" t="s">
        <v>70</v>
      </c>
      <c r="R20">
        <v>26.08</v>
      </c>
      <c r="S20">
        <v>14</v>
      </c>
      <c r="T20">
        <v>40.08</v>
      </c>
      <c r="U20" t="s">
        <v>7</v>
      </c>
    </row>
    <row r="21" spans="1:21" x14ac:dyDescent="0.25">
      <c r="A21" t="s">
        <v>8</v>
      </c>
      <c r="B21" t="s">
        <v>185</v>
      </c>
      <c r="C21" t="s">
        <v>186</v>
      </c>
      <c r="D21" t="s">
        <v>187</v>
      </c>
      <c r="E21" t="s">
        <v>188</v>
      </c>
      <c r="F21" t="s">
        <v>189</v>
      </c>
      <c r="G21" t="s">
        <v>190</v>
      </c>
      <c r="H21" t="s">
        <v>46</v>
      </c>
      <c r="I21" t="s">
        <v>191</v>
      </c>
      <c r="J21" t="s">
        <v>78</v>
      </c>
      <c r="L21" t="s">
        <v>49</v>
      </c>
      <c r="M21">
        <v>1</v>
      </c>
      <c r="N21" t="s">
        <v>50</v>
      </c>
      <c r="O21">
        <v>2</v>
      </c>
      <c r="P21" t="s">
        <v>79</v>
      </c>
      <c r="Q21" t="s">
        <v>70</v>
      </c>
      <c r="R21">
        <v>26.08</v>
      </c>
      <c r="S21">
        <v>14</v>
      </c>
      <c r="T21">
        <v>40.08</v>
      </c>
      <c r="U21" t="s">
        <v>7</v>
      </c>
    </row>
    <row r="22" spans="1:21" x14ac:dyDescent="0.25">
      <c r="A22" t="s">
        <v>8</v>
      </c>
      <c r="B22" t="s">
        <v>97</v>
      </c>
      <c r="C22" t="s">
        <v>98</v>
      </c>
      <c r="D22" t="s">
        <v>192</v>
      </c>
      <c r="E22" t="s">
        <v>193</v>
      </c>
      <c r="F22" t="s">
        <v>194</v>
      </c>
      <c r="G22" t="s">
        <v>195</v>
      </c>
      <c r="H22" t="s">
        <v>46</v>
      </c>
      <c r="I22" t="s">
        <v>196</v>
      </c>
      <c r="J22" t="s">
        <v>85</v>
      </c>
      <c r="L22" t="s">
        <v>60</v>
      </c>
      <c r="M22">
        <v>1</v>
      </c>
      <c r="N22" t="s">
        <v>50</v>
      </c>
      <c r="O22">
        <v>2</v>
      </c>
      <c r="P22" t="s">
        <v>79</v>
      </c>
      <c r="Q22" t="s">
        <v>70</v>
      </c>
      <c r="R22">
        <v>26.08</v>
      </c>
      <c r="S22">
        <v>14</v>
      </c>
      <c r="T22">
        <v>40.08</v>
      </c>
      <c r="U22" t="s">
        <v>7</v>
      </c>
    </row>
    <row r="23" spans="1:21" x14ac:dyDescent="0.25">
      <c r="A23" t="s">
        <v>8</v>
      </c>
      <c r="B23" t="s">
        <v>197</v>
      </c>
      <c r="C23" t="s">
        <v>198</v>
      </c>
      <c r="D23" t="s">
        <v>199</v>
      </c>
      <c r="E23" t="s">
        <v>200</v>
      </c>
      <c r="F23" t="s">
        <v>169</v>
      </c>
      <c r="G23" t="s">
        <v>201</v>
      </c>
      <c r="H23" t="s">
        <v>67</v>
      </c>
      <c r="I23" t="s">
        <v>202</v>
      </c>
      <c r="J23" t="s">
        <v>104</v>
      </c>
      <c r="L23" t="s">
        <v>69</v>
      </c>
      <c r="M23">
        <v>3</v>
      </c>
      <c r="N23" t="s">
        <v>96</v>
      </c>
      <c r="O23">
        <v>7</v>
      </c>
      <c r="P23" t="s">
        <v>79</v>
      </c>
      <c r="Q23" t="s">
        <v>70</v>
      </c>
      <c r="R23">
        <v>26.08</v>
      </c>
      <c r="S23">
        <v>14</v>
      </c>
      <c r="T23">
        <v>40.08</v>
      </c>
      <c r="U23" t="s">
        <v>7</v>
      </c>
    </row>
    <row r="24" spans="1:21" x14ac:dyDescent="0.25">
      <c r="A24" t="s">
        <v>8</v>
      </c>
      <c r="B24" t="s">
        <v>155</v>
      </c>
      <c r="C24" t="s">
        <v>156</v>
      </c>
      <c r="D24" t="s">
        <v>203</v>
      </c>
      <c r="E24" t="s">
        <v>204</v>
      </c>
      <c r="F24" t="s">
        <v>205</v>
      </c>
      <c r="G24" t="s">
        <v>206</v>
      </c>
      <c r="H24" t="s">
        <v>46</v>
      </c>
      <c r="I24" t="s">
        <v>207</v>
      </c>
      <c r="J24" t="s">
        <v>208</v>
      </c>
      <c r="K24" t="s">
        <v>105</v>
      </c>
      <c r="L24" t="s">
        <v>49</v>
      </c>
      <c r="M24">
        <v>1</v>
      </c>
      <c r="N24" t="s">
        <v>96</v>
      </c>
      <c r="O24">
        <v>2</v>
      </c>
      <c r="P24" t="s">
        <v>79</v>
      </c>
      <c r="Q24" t="s">
        <v>70</v>
      </c>
      <c r="R24">
        <v>26.08</v>
      </c>
      <c r="S24">
        <v>14</v>
      </c>
      <c r="T24">
        <v>40.08</v>
      </c>
      <c r="U24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304E8-6064-4DBB-8522-10A34FEA8C77}">
  <dimension ref="A1:X49"/>
  <sheetViews>
    <sheetView tabSelected="1" workbookViewId="0">
      <selection activeCell="C19" sqref="C19"/>
    </sheetView>
  </sheetViews>
  <sheetFormatPr defaultRowHeight="15" x14ac:dyDescent="0.25"/>
  <cols>
    <col min="1" max="1" width="10" customWidth="1"/>
    <col min="2" max="2" width="25" customWidth="1"/>
    <col min="3" max="4" width="15" customWidth="1"/>
    <col min="6" max="7" width="12.7109375" customWidth="1"/>
    <col min="8" max="8" width="13.7109375" customWidth="1"/>
    <col min="9" max="9" width="13.42578125" customWidth="1"/>
    <col min="10" max="10" width="16.7109375" customWidth="1"/>
    <col min="11" max="11" width="12.85546875" customWidth="1"/>
    <col min="12" max="12" width="14.5703125" customWidth="1"/>
    <col min="13" max="13" width="14" customWidth="1"/>
    <col min="15" max="15" width="22.85546875" bestFit="1" customWidth="1"/>
  </cols>
  <sheetData>
    <row r="1" spans="1:24" x14ac:dyDescent="0.25">
      <c r="A1" t="s">
        <v>19</v>
      </c>
      <c r="B1" t="s">
        <v>20</v>
      </c>
      <c r="C1" t="s">
        <v>21</v>
      </c>
      <c r="E1" t="s">
        <v>23</v>
      </c>
      <c r="F1" t="s">
        <v>24</v>
      </c>
      <c r="H1" t="s">
        <v>25</v>
      </c>
      <c r="I1" t="s">
        <v>27</v>
      </c>
      <c r="J1" t="s">
        <v>33</v>
      </c>
      <c r="K1" t="s">
        <v>35</v>
      </c>
      <c r="L1" t="s">
        <v>36</v>
      </c>
      <c r="M1" t="s">
        <v>37</v>
      </c>
    </row>
    <row r="2" spans="1:24" s="7" customFormat="1" x14ac:dyDescent="0.25">
      <c r="A2" s="6">
        <v>17301495</v>
      </c>
      <c r="B2" s="7" t="s">
        <v>156</v>
      </c>
      <c r="C2" s="7" t="s">
        <v>157</v>
      </c>
      <c r="D2" s="7" t="str">
        <f>CONCATENATE(C2,89)</f>
        <v>D2UZFA89</v>
      </c>
      <c r="E2" s="7" t="s">
        <v>159</v>
      </c>
      <c r="F2" s="7" t="s">
        <v>160</v>
      </c>
      <c r="G2" s="7" t="str">
        <f>CONCATENATE(E2," ",F2)</f>
        <v>ABELARDO MONARREZ</v>
      </c>
      <c r="H2" s="7" t="s">
        <v>46</v>
      </c>
      <c r="I2" s="7" t="s">
        <v>104</v>
      </c>
      <c r="J2" s="7" t="s">
        <v>79</v>
      </c>
      <c r="K2" s="7">
        <v>26.08</v>
      </c>
      <c r="L2" s="7">
        <v>14</v>
      </c>
      <c r="M2" s="7">
        <v>26.08</v>
      </c>
      <c r="N2" s="7">
        <v>26.08</v>
      </c>
      <c r="O2" s="7" t="s">
        <v>220</v>
      </c>
      <c r="P2" s="7" t="s">
        <v>224</v>
      </c>
    </row>
    <row r="3" spans="1:24" s="7" customFormat="1" x14ac:dyDescent="0.25">
      <c r="A3" s="2">
        <v>20411454</v>
      </c>
      <c r="B3" s="3" t="s">
        <v>222</v>
      </c>
      <c r="C3" s="3" t="s">
        <v>157</v>
      </c>
      <c r="D3" s="3" t="str">
        <f>CONCATENATE(C3,"OVR")</f>
        <v>D2UZFAOVR</v>
      </c>
      <c r="E3" s="3" t="s">
        <v>159</v>
      </c>
      <c r="F3" s="3" t="s">
        <v>160</v>
      </c>
      <c r="G3" s="7" t="str">
        <f>CONCATENATE(E3," ",F3)</f>
        <v>ABELARDO MONARREZ</v>
      </c>
      <c r="H3" s="3" t="s">
        <v>46</v>
      </c>
      <c r="I3" s="3" t="s">
        <v>104</v>
      </c>
      <c r="J3" s="3" t="s">
        <v>79</v>
      </c>
      <c r="K3" s="3">
        <v>26.08</v>
      </c>
      <c r="L3" s="3">
        <v>14</v>
      </c>
      <c r="M3" s="3">
        <v>14</v>
      </c>
      <c r="N3" s="3">
        <v>14</v>
      </c>
      <c r="O3" s="3" t="s">
        <v>221</v>
      </c>
      <c r="P3" s="3"/>
      <c r="Q3" s="3"/>
      <c r="R3" s="3"/>
      <c r="S3" s="3"/>
      <c r="T3" s="3"/>
      <c r="U3" s="3"/>
      <c r="V3" s="3"/>
      <c r="W3" s="3"/>
      <c r="X3" s="3"/>
    </row>
    <row r="4" spans="1:24" s="7" customFormat="1" x14ac:dyDescent="0.25">
      <c r="A4" s="6">
        <v>2158366</v>
      </c>
      <c r="B4" s="7" t="s">
        <v>107</v>
      </c>
      <c r="C4" s="7" t="s">
        <v>162</v>
      </c>
      <c r="D4" s="7" t="str">
        <f>CONCATENATE(C4,89)</f>
        <v>D3A4KF89</v>
      </c>
      <c r="E4" s="7" t="s">
        <v>164</v>
      </c>
      <c r="F4" s="7" t="s">
        <v>165</v>
      </c>
      <c r="G4" s="7" t="str">
        <f>CONCATENATE(E4," ",F4)</f>
        <v>LAURA MROZEK</v>
      </c>
      <c r="H4" s="7" t="s">
        <v>46</v>
      </c>
      <c r="I4" s="7" t="s">
        <v>78</v>
      </c>
      <c r="J4" s="7" t="s">
        <v>79</v>
      </c>
      <c r="K4" s="7">
        <v>26.08</v>
      </c>
      <c r="L4" s="7">
        <v>14</v>
      </c>
      <c r="M4" s="7">
        <v>26.08</v>
      </c>
      <c r="N4" s="7">
        <v>26.08</v>
      </c>
      <c r="O4" s="7" t="s">
        <v>220</v>
      </c>
      <c r="P4" s="7" t="s">
        <v>224</v>
      </c>
    </row>
    <row r="5" spans="1:24" s="5" customFormat="1" x14ac:dyDescent="0.25">
      <c r="A5" s="2">
        <v>20411454</v>
      </c>
      <c r="B5" s="3" t="s">
        <v>222</v>
      </c>
      <c r="C5" s="3" t="s">
        <v>162</v>
      </c>
      <c r="D5" s="3" t="str">
        <f>CONCATENATE(C5,"OVR")</f>
        <v>D3A4KFOVR</v>
      </c>
      <c r="E5" s="3" t="s">
        <v>164</v>
      </c>
      <c r="F5" s="3" t="s">
        <v>165</v>
      </c>
      <c r="G5" s="7" t="str">
        <f>CONCATENATE(E5," ",F5)</f>
        <v>LAURA MROZEK</v>
      </c>
      <c r="H5" s="3" t="s">
        <v>46</v>
      </c>
      <c r="I5" s="3" t="s">
        <v>78</v>
      </c>
      <c r="J5" s="3" t="s">
        <v>79</v>
      </c>
      <c r="K5" s="3">
        <v>26.08</v>
      </c>
      <c r="L5" s="3">
        <v>14</v>
      </c>
      <c r="M5" s="3">
        <v>14</v>
      </c>
      <c r="N5" s="3">
        <v>14</v>
      </c>
      <c r="O5" s="3" t="s">
        <v>221</v>
      </c>
      <c r="P5" s="3"/>
      <c r="Q5" s="3"/>
      <c r="R5" s="3"/>
      <c r="S5" s="3"/>
      <c r="T5" s="3"/>
      <c r="U5" s="3"/>
      <c r="V5" s="3"/>
      <c r="W5" s="3"/>
      <c r="X5" s="3"/>
    </row>
    <row r="6" spans="1:24" s="5" customFormat="1" x14ac:dyDescent="0.25">
      <c r="A6" s="6">
        <v>21435997</v>
      </c>
      <c r="B6" s="7" t="s">
        <v>127</v>
      </c>
      <c r="C6" s="7" t="s">
        <v>128</v>
      </c>
      <c r="D6" s="7" t="str">
        <f>CONCATENATE(C6,89)</f>
        <v>D3KYC889</v>
      </c>
      <c r="E6" s="7" t="s">
        <v>130</v>
      </c>
      <c r="F6" s="7" t="s">
        <v>131</v>
      </c>
      <c r="G6" s="7" t="str">
        <f>CONCATENATE(E6," ",F6)</f>
        <v>PAUL KINGMAN</v>
      </c>
      <c r="H6" s="7" t="s">
        <v>67</v>
      </c>
      <c r="I6" s="7" t="s">
        <v>48</v>
      </c>
      <c r="J6" s="7" t="s">
        <v>133</v>
      </c>
      <c r="K6" s="7">
        <v>26.08</v>
      </c>
      <c r="L6" s="7">
        <v>200</v>
      </c>
      <c r="M6" s="7">
        <v>26.08</v>
      </c>
      <c r="N6" s="7">
        <v>26.08</v>
      </c>
      <c r="O6" s="7" t="s">
        <v>220</v>
      </c>
      <c r="P6" s="7" t="s">
        <v>224</v>
      </c>
      <c r="Q6" s="7"/>
      <c r="R6" s="7"/>
      <c r="S6" s="7"/>
      <c r="T6" s="7"/>
      <c r="U6" s="7"/>
      <c r="V6" s="7"/>
      <c r="W6" s="7"/>
      <c r="X6" s="7"/>
    </row>
    <row r="7" spans="1:24" s="5" customFormat="1" x14ac:dyDescent="0.25">
      <c r="A7" s="2">
        <v>20411454</v>
      </c>
      <c r="B7" s="3" t="s">
        <v>222</v>
      </c>
      <c r="C7" s="3" t="s">
        <v>128</v>
      </c>
      <c r="D7" s="3" t="str">
        <f>CONCATENATE(C7,"OVR")</f>
        <v>D3KYC8OVR</v>
      </c>
      <c r="E7" s="3" t="s">
        <v>130</v>
      </c>
      <c r="F7" s="3" t="s">
        <v>131</v>
      </c>
      <c r="G7" s="7" t="str">
        <f>CONCATENATE(E7," ",F7)</f>
        <v>PAUL KINGMAN</v>
      </c>
      <c r="H7" s="3" t="s">
        <v>67</v>
      </c>
      <c r="I7" s="3" t="s">
        <v>48</v>
      </c>
      <c r="J7" s="3" t="s">
        <v>133</v>
      </c>
      <c r="K7" s="3">
        <v>26.08</v>
      </c>
      <c r="L7" s="3">
        <v>200</v>
      </c>
      <c r="M7" s="3">
        <v>200</v>
      </c>
      <c r="N7" s="3">
        <v>200</v>
      </c>
      <c r="O7" s="3" t="s">
        <v>221</v>
      </c>
      <c r="P7" s="3"/>
      <c r="Q7" s="3"/>
      <c r="R7" s="3"/>
      <c r="S7" s="3"/>
      <c r="T7" s="3"/>
      <c r="U7" s="3"/>
      <c r="V7" s="3"/>
      <c r="W7" s="3"/>
      <c r="X7" s="3"/>
    </row>
    <row r="8" spans="1:24" s="7" customFormat="1" x14ac:dyDescent="0.25">
      <c r="A8" s="6">
        <v>18754354</v>
      </c>
      <c r="B8" s="7" t="s">
        <v>98</v>
      </c>
      <c r="C8" s="7" t="s">
        <v>144</v>
      </c>
      <c r="D8" s="7" t="str">
        <f>CONCATENATE(C8,89)</f>
        <v>D4AC9K89</v>
      </c>
      <c r="E8" s="7" t="s">
        <v>146</v>
      </c>
      <c r="F8" s="7" t="s">
        <v>147</v>
      </c>
      <c r="G8" s="7" t="str">
        <f>CONCATENATE(E8," ",F8)</f>
        <v>WILLIAM LUDWIG III</v>
      </c>
      <c r="H8" s="7" t="s">
        <v>46</v>
      </c>
      <c r="I8" s="7" t="s">
        <v>125</v>
      </c>
      <c r="J8" s="7" t="s">
        <v>79</v>
      </c>
      <c r="K8" s="7">
        <v>26.08</v>
      </c>
      <c r="L8" s="7">
        <v>14</v>
      </c>
      <c r="M8" s="7">
        <v>26.08</v>
      </c>
      <c r="N8" s="7">
        <v>26.08</v>
      </c>
      <c r="O8" s="7" t="s">
        <v>220</v>
      </c>
      <c r="P8" s="7" t="s">
        <v>224</v>
      </c>
    </row>
    <row r="9" spans="1:24" s="7" customFormat="1" x14ac:dyDescent="0.25">
      <c r="A9" s="2">
        <v>20411454</v>
      </c>
      <c r="B9" s="3" t="s">
        <v>222</v>
      </c>
      <c r="C9" s="3" t="s">
        <v>144</v>
      </c>
      <c r="D9" s="3" t="str">
        <f>CONCATENATE(C9,"OVR")</f>
        <v>D4AC9KOVR</v>
      </c>
      <c r="E9" s="3" t="s">
        <v>146</v>
      </c>
      <c r="F9" s="3" t="s">
        <v>147</v>
      </c>
      <c r="G9" s="7" t="str">
        <f>CONCATENATE(E9," ",F9)</f>
        <v>WILLIAM LUDWIG III</v>
      </c>
      <c r="H9" s="3" t="s">
        <v>46</v>
      </c>
      <c r="I9" s="3" t="s">
        <v>125</v>
      </c>
      <c r="J9" s="3" t="s">
        <v>79</v>
      </c>
      <c r="K9" s="3">
        <v>26.08</v>
      </c>
      <c r="L9" s="3">
        <v>14</v>
      </c>
      <c r="M9" s="3">
        <v>14</v>
      </c>
      <c r="N9" s="3">
        <v>14</v>
      </c>
      <c r="O9" s="3" t="s">
        <v>221</v>
      </c>
      <c r="P9" s="3"/>
      <c r="Q9" s="3"/>
      <c r="R9" s="3"/>
      <c r="S9" s="3"/>
      <c r="T9" s="3"/>
      <c r="U9" s="3"/>
      <c r="V9" s="3"/>
      <c r="W9" s="3"/>
      <c r="X9" s="3"/>
    </row>
    <row r="10" spans="1:24" s="7" customFormat="1" x14ac:dyDescent="0.25">
      <c r="A10" s="6">
        <v>19200754</v>
      </c>
      <c r="B10" s="7" t="s">
        <v>114</v>
      </c>
      <c r="C10" s="7" t="s">
        <v>167</v>
      </c>
      <c r="D10" s="7" t="str">
        <f>CONCATENATE(C10,89)</f>
        <v>D538HS89</v>
      </c>
      <c r="E10" s="7" t="s">
        <v>169</v>
      </c>
      <c r="F10" s="7" t="s">
        <v>130</v>
      </c>
      <c r="G10" s="7" t="str">
        <f>CONCATENATE(E10," ",F10)</f>
        <v>JOHN PAUL</v>
      </c>
      <c r="H10" s="7" t="s">
        <v>46</v>
      </c>
      <c r="I10" s="7" t="s">
        <v>125</v>
      </c>
      <c r="J10" s="7" t="s">
        <v>79</v>
      </c>
      <c r="K10" s="7">
        <v>26.08</v>
      </c>
      <c r="L10" s="7">
        <v>14</v>
      </c>
      <c r="M10" s="7">
        <v>26.08</v>
      </c>
      <c r="N10" s="7">
        <v>26.08</v>
      </c>
      <c r="O10" s="7" t="s">
        <v>220</v>
      </c>
      <c r="P10" s="7" t="s">
        <v>224</v>
      </c>
    </row>
    <row r="11" spans="1:24" s="7" customFormat="1" x14ac:dyDescent="0.25">
      <c r="A11" s="2">
        <v>20411454</v>
      </c>
      <c r="B11" s="3" t="s">
        <v>222</v>
      </c>
      <c r="C11" s="3" t="s">
        <v>167</v>
      </c>
      <c r="D11" s="3" t="str">
        <f>CONCATENATE(C11,"OVR")</f>
        <v>D538HSOVR</v>
      </c>
      <c r="E11" s="3" t="s">
        <v>169</v>
      </c>
      <c r="F11" s="3" t="s">
        <v>130</v>
      </c>
      <c r="G11" s="7" t="str">
        <f>CONCATENATE(E11," ",F11)</f>
        <v>JOHN PAUL</v>
      </c>
      <c r="H11" s="3" t="s">
        <v>46</v>
      </c>
      <c r="I11" s="3" t="s">
        <v>125</v>
      </c>
      <c r="J11" s="3" t="s">
        <v>79</v>
      </c>
      <c r="K11" s="3">
        <v>26.08</v>
      </c>
      <c r="L11" s="3">
        <v>14</v>
      </c>
      <c r="M11" s="3">
        <v>14</v>
      </c>
      <c r="N11" s="3">
        <v>14</v>
      </c>
      <c r="O11" s="3" t="s">
        <v>221</v>
      </c>
      <c r="P11" s="3"/>
      <c r="Q11" s="3"/>
      <c r="R11" s="3"/>
      <c r="S11" s="3"/>
      <c r="T11" s="3"/>
      <c r="U11" s="3"/>
      <c r="V11" s="3"/>
      <c r="W11" s="3"/>
      <c r="X11" s="3"/>
    </row>
    <row r="12" spans="1:24" s="7" customFormat="1" x14ac:dyDescent="0.25">
      <c r="A12" s="6">
        <v>2158366</v>
      </c>
      <c r="B12" s="7" t="s">
        <v>107</v>
      </c>
      <c r="C12" s="7" t="s">
        <v>108</v>
      </c>
      <c r="D12" s="7" t="str">
        <f>CONCATENATE(C12,89)</f>
        <v>D6K5SY89</v>
      </c>
      <c r="E12" s="7" t="s">
        <v>110</v>
      </c>
      <c r="F12" s="7" t="s">
        <v>111</v>
      </c>
      <c r="G12" s="7" t="str">
        <f>CONCATENATE(E12," ",F12)</f>
        <v>SUSAN EICHMAN PARCELL</v>
      </c>
      <c r="H12" s="7" t="s">
        <v>46</v>
      </c>
      <c r="I12" s="7" t="s">
        <v>112</v>
      </c>
      <c r="J12" s="7" t="s">
        <v>79</v>
      </c>
      <c r="K12" s="7">
        <v>26.08</v>
      </c>
      <c r="L12" s="7">
        <v>14</v>
      </c>
      <c r="M12" s="7">
        <v>26.08</v>
      </c>
      <c r="N12" s="7">
        <v>26.08</v>
      </c>
      <c r="O12" s="7" t="s">
        <v>220</v>
      </c>
      <c r="P12" s="7" t="s">
        <v>224</v>
      </c>
    </row>
    <row r="13" spans="1:24" s="7" customFormat="1" x14ac:dyDescent="0.25">
      <c r="A13" s="2">
        <v>20411454</v>
      </c>
      <c r="B13" s="3" t="s">
        <v>222</v>
      </c>
      <c r="C13" s="3" t="s">
        <v>108</v>
      </c>
      <c r="D13" s="3" t="str">
        <f>CONCATENATE(C13,"OVR")</f>
        <v>D6K5SYOVR</v>
      </c>
      <c r="E13" s="3" t="s">
        <v>110</v>
      </c>
      <c r="F13" s="3" t="s">
        <v>111</v>
      </c>
      <c r="G13" s="7" t="str">
        <f>CONCATENATE(E13," ",F13)</f>
        <v>SUSAN EICHMAN PARCELL</v>
      </c>
      <c r="H13" s="3" t="s">
        <v>46</v>
      </c>
      <c r="I13" s="3" t="s">
        <v>112</v>
      </c>
      <c r="J13" s="3" t="s">
        <v>79</v>
      </c>
      <c r="K13" s="3">
        <v>26.08</v>
      </c>
      <c r="L13" s="3">
        <v>14</v>
      </c>
      <c r="M13" s="3">
        <v>14</v>
      </c>
      <c r="N13" s="3">
        <v>14</v>
      </c>
      <c r="O13" s="3" t="s">
        <v>221</v>
      </c>
      <c r="P13" s="3"/>
      <c r="Q13" s="3"/>
      <c r="R13" s="3"/>
      <c r="S13" s="3"/>
      <c r="T13" s="3"/>
      <c r="U13" s="3"/>
      <c r="V13" s="3"/>
      <c r="W13" s="3"/>
      <c r="X13" s="3"/>
    </row>
    <row r="14" spans="1:24" s="7" customFormat="1" x14ac:dyDescent="0.25">
      <c r="A14" s="6">
        <v>19200754</v>
      </c>
      <c r="B14" s="7" t="s">
        <v>114</v>
      </c>
      <c r="C14" s="7" t="s">
        <v>115</v>
      </c>
      <c r="D14" s="7" t="str">
        <f>CONCATENATE(C14,89)</f>
        <v>D77FJC89</v>
      </c>
      <c r="E14" s="7" t="s">
        <v>117</v>
      </c>
      <c r="F14" s="7" t="s">
        <v>118</v>
      </c>
      <c r="G14" s="7" t="str">
        <f>CONCATENATE(E14," ",F14)</f>
        <v>BETH GONSIEWSKI</v>
      </c>
      <c r="H14" s="7" t="s">
        <v>46</v>
      </c>
      <c r="I14" s="7" t="s">
        <v>78</v>
      </c>
      <c r="J14" s="7" t="s">
        <v>79</v>
      </c>
      <c r="K14" s="7">
        <v>26.08</v>
      </c>
      <c r="L14" s="7">
        <v>14</v>
      </c>
      <c r="M14" s="7">
        <v>26.08</v>
      </c>
      <c r="N14" s="7">
        <v>26.08</v>
      </c>
      <c r="O14" s="7" t="s">
        <v>220</v>
      </c>
      <c r="P14" s="7" t="s">
        <v>224</v>
      </c>
    </row>
    <row r="15" spans="1:24" s="7" customFormat="1" x14ac:dyDescent="0.25">
      <c r="A15" s="2">
        <v>20411454</v>
      </c>
      <c r="B15" s="3" t="s">
        <v>222</v>
      </c>
      <c r="C15" s="3" t="s">
        <v>115</v>
      </c>
      <c r="D15" s="3" t="str">
        <f>CONCATENATE(C15,"OVR")</f>
        <v>D77FJCOVR</v>
      </c>
      <c r="E15" s="3" t="s">
        <v>117</v>
      </c>
      <c r="F15" s="3" t="s">
        <v>118</v>
      </c>
      <c r="G15" s="7" t="str">
        <f>CONCATENATE(E15," ",F15)</f>
        <v>BETH GONSIEWSKI</v>
      </c>
      <c r="H15" s="3" t="s">
        <v>46</v>
      </c>
      <c r="I15" s="3" t="s">
        <v>78</v>
      </c>
      <c r="J15" s="3" t="s">
        <v>79</v>
      </c>
      <c r="K15" s="3">
        <v>26.08</v>
      </c>
      <c r="L15" s="3">
        <v>14</v>
      </c>
      <c r="M15" s="3">
        <v>14</v>
      </c>
      <c r="N15" s="3">
        <v>14</v>
      </c>
      <c r="O15" s="3" t="s">
        <v>221</v>
      </c>
      <c r="P15" s="3"/>
      <c r="Q15" s="3"/>
      <c r="R15" s="3"/>
      <c r="S15" s="3"/>
      <c r="T15" s="3"/>
      <c r="U15" s="3"/>
      <c r="V15" s="3"/>
      <c r="W15" s="3"/>
      <c r="X15" s="3"/>
    </row>
    <row r="16" spans="1:24" s="7" customFormat="1" x14ac:dyDescent="0.25">
      <c r="A16" s="6">
        <v>2158366</v>
      </c>
      <c r="B16" s="7" t="s">
        <v>107</v>
      </c>
      <c r="C16" s="7" t="s">
        <v>120</v>
      </c>
      <c r="D16" s="7" t="str">
        <f>CONCATENATE(C16,89)</f>
        <v>D7ZW4G89</v>
      </c>
      <c r="E16" s="7" t="s">
        <v>122</v>
      </c>
      <c r="F16" s="7" t="s">
        <v>123</v>
      </c>
      <c r="G16" s="7" t="str">
        <f>CONCATENATE(E16," ",F16)</f>
        <v>JEFFREY JOHNS</v>
      </c>
      <c r="H16" s="7" t="s">
        <v>46</v>
      </c>
      <c r="I16" s="7" t="s">
        <v>125</v>
      </c>
      <c r="J16" s="7" t="s">
        <v>79</v>
      </c>
      <c r="K16" s="7">
        <v>26.08</v>
      </c>
      <c r="L16" s="7">
        <v>14</v>
      </c>
      <c r="M16" s="7">
        <v>26.08</v>
      </c>
      <c r="N16" s="7">
        <v>26.08</v>
      </c>
      <c r="O16" s="7" t="s">
        <v>220</v>
      </c>
      <c r="P16" s="7" t="s">
        <v>224</v>
      </c>
    </row>
    <row r="17" spans="1:24" s="7" customFormat="1" x14ac:dyDescent="0.25">
      <c r="A17" s="2">
        <v>20411454</v>
      </c>
      <c r="B17" s="3" t="s">
        <v>222</v>
      </c>
      <c r="C17" s="3" t="s">
        <v>120</v>
      </c>
      <c r="D17" s="3" t="str">
        <f>CONCATENATE(C17,"OVR")</f>
        <v>D7ZW4GOVR</v>
      </c>
      <c r="E17" s="3" t="s">
        <v>122</v>
      </c>
      <c r="F17" s="3" t="s">
        <v>123</v>
      </c>
      <c r="G17" s="7" t="str">
        <f>CONCATENATE(E17," ",F17)</f>
        <v>JEFFREY JOHNS</v>
      </c>
      <c r="H17" s="3" t="s">
        <v>46</v>
      </c>
      <c r="I17" s="3" t="s">
        <v>125</v>
      </c>
      <c r="J17" s="3" t="s">
        <v>79</v>
      </c>
      <c r="K17" s="3">
        <v>26.08</v>
      </c>
      <c r="L17" s="3">
        <v>14</v>
      </c>
      <c r="M17" s="3">
        <v>14</v>
      </c>
      <c r="N17" s="3">
        <v>14</v>
      </c>
      <c r="O17" s="3" t="s">
        <v>221</v>
      </c>
      <c r="P17" s="3"/>
      <c r="Q17" s="3"/>
      <c r="R17" s="3"/>
      <c r="S17" s="3"/>
      <c r="T17" s="3"/>
      <c r="U17" s="3"/>
      <c r="V17" s="3"/>
      <c r="W17" s="3"/>
      <c r="X17" s="3"/>
    </row>
    <row r="18" spans="1:24" s="7" customFormat="1" x14ac:dyDescent="0.25">
      <c r="A18" s="6">
        <v>17094718</v>
      </c>
      <c r="B18" s="7" t="s">
        <v>62</v>
      </c>
      <c r="C18" s="7" t="s">
        <v>63</v>
      </c>
      <c r="D18" s="7" t="str">
        <f>CONCATENATE(C18,89)</f>
        <v>D86URU89</v>
      </c>
      <c r="E18" s="7" t="s">
        <v>65</v>
      </c>
      <c r="F18" s="7" t="s">
        <v>66</v>
      </c>
      <c r="G18" s="7" t="str">
        <f>CONCATENATE(E18," ",F18)</f>
        <v>ROGER YOUNG</v>
      </c>
      <c r="H18" s="7" t="s">
        <v>67</v>
      </c>
      <c r="I18" s="7" t="s">
        <v>48</v>
      </c>
      <c r="J18" s="7" t="s">
        <v>51</v>
      </c>
      <c r="K18" s="7">
        <v>599.91999999999996</v>
      </c>
      <c r="L18" s="7">
        <v>0</v>
      </c>
      <c r="M18" s="7">
        <v>599.91999999999996</v>
      </c>
      <c r="N18" s="7">
        <v>-26.08</v>
      </c>
      <c r="O18" s="7" t="s">
        <v>220</v>
      </c>
      <c r="P18" s="7" t="s">
        <v>224</v>
      </c>
    </row>
    <row r="19" spans="1:24" s="7" customFormat="1" x14ac:dyDescent="0.25">
      <c r="A19" s="4">
        <v>17094718</v>
      </c>
      <c r="B19" s="5" t="s">
        <v>62</v>
      </c>
      <c r="C19" s="5" t="s">
        <v>63</v>
      </c>
      <c r="D19" s="5" t="str">
        <f>CONCATENATE(C19,8)</f>
        <v>D86URU8</v>
      </c>
      <c r="E19" s="5" t="s">
        <v>65</v>
      </c>
      <c r="F19" s="5" t="s">
        <v>66</v>
      </c>
      <c r="G19" s="7" t="str">
        <f>CONCATENATE(E19," ",F19)</f>
        <v>ROGER YOUNG</v>
      </c>
      <c r="H19" s="5" t="s">
        <v>67</v>
      </c>
      <c r="I19" s="5" t="s">
        <v>48</v>
      </c>
      <c r="J19" s="5" t="s">
        <v>51</v>
      </c>
      <c r="K19" s="5">
        <v>599.91999999999996</v>
      </c>
      <c r="L19" s="5">
        <v>0</v>
      </c>
      <c r="M19" s="5">
        <v>599.91999999999996</v>
      </c>
      <c r="N19" s="5">
        <v>626</v>
      </c>
      <c r="O19" s="5" t="s">
        <v>223</v>
      </c>
      <c r="P19" s="5" t="s">
        <v>225</v>
      </c>
      <c r="Q19" s="5"/>
      <c r="R19" s="5"/>
      <c r="S19" s="5"/>
      <c r="T19" s="5"/>
      <c r="U19" s="5"/>
      <c r="V19" s="5"/>
      <c r="W19" s="5"/>
      <c r="X19" s="5"/>
    </row>
    <row r="20" spans="1:24" s="7" customFormat="1" x14ac:dyDescent="0.25">
      <c r="A20" s="6">
        <v>17094718</v>
      </c>
      <c r="B20" s="7" t="s">
        <v>62</v>
      </c>
      <c r="C20" s="7" t="s">
        <v>63</v>
      </c>
      <c r="D20" s="7" t="str">
        <f>CONCATENATE(C20,89)</f>
        <v>D86URU89</v>
      </c>
      <c r="E20" s="7" t="s">
        <v>65</v>
      </c>
      <c r="F20" s="7" t="s">
        <v>66</v>
      </c>
      <c r="G20" s="7" t="str">
        <f>CONCATENATE(E20," ",F20)</f>
        <v>ROGER YOUNG</v>
      </c>
      <c r="H20" s="7" t="s">
        <v>67</v>
      </c>
      <c r="I20" s="7" t="s">
        <v>48</v>
      </c>
      <c r="J20" s="7" t="s">
        <v>133</v>
      </c>
      <c r="K20" s="7">
        <v>26.08</v>
      </c>
      <c r="L20" s="7">
        <v>200</v>
      </c>
      <c r="M20" s="7">
        <v>26.08</v>
      </c>
      <c r="N20" s="7">
        <v>26.08</v>
      </c>
      <c r="O20" s="7" t="s">
        <v>220</v>
      </c>
      <c r="P20" s="7" t="s">
        <v>224</v>
      </c>
    </row>
    <row r="21" spans="1:24" s="7" customFormat="1" x14ac:dyDescent="0.25">
      <c r="A21" s="2">
        <v>20411454</v>
      </c>
      <c r="B21" s="3" t="s">
        <v>222</v>
      </c>
      <c r="C21" s="3" t="s">
        <v>63</v>
      </c>
      <c r="D21" s="3" t="str">
        <f>CONCATENATE(C21,"OVR")</f>
        <v>D86URUOVR</v>
      </c>
      <c r="E21" s="3" t="s">
        <v>65</v>
      </c>
      <c r="F21" s="3" t="s">
        <v>66</v>
      </c>
      <c r="G21" s="7" t="str">
        <f>CONCATENATE(E21," ",F21)</f>
        <v>ROGER YOUNG</v>
      </c>
      <c r="H21" s="3" t="s">
        <v>67</v>
      </c>
      <c r="I21" s="3" t="s">
        <v>48</v>
      </c>
      <c r="J21" s="3" t="s">
        <v>133</v>
      </c>
      <c r="K21" s="3">
        <v>26.08</v>
      </c>
      <c r="L21" s="3">
        <v>200</v>
      </c>
      <c r="M21" s="3">
        <v>200</v>
      </c>
      <c r="N21" s="3">
        <v>200</v>
      </c>
      <c r="O21" s="3" t="s">
        <v>221</v>
      </c>
      <c r="P21" s="3"/>
      <c r="Q21" s="3"/>
      <c r="R21" s="3"/>
      <c r="S21" s="3"/>
      <c r="T21" s="3"/>
      <c r="U21" s="3"/>
      <c r="V21" s="3"/>
      <c r="W21" s="3"/>
      <c r="X21" s="3"/>
    </row>
    <row r="22" spans="1:24" s="7" customFormat="1" x14ac:dyDescent="0.25">
      <c r="A22" s="6">
        <v>18754354</v>
      </c>
      <c r="B22" s="7" t="s">
        <v>98</v>
      </c>
      <c r="C22" s="7" t="s">
        <v>192</v>
      </c>
      <c r="D22" s="7" t="str">
        <f>CONCATENATE(C22,89)</f>
        <v>D8C77989</v>
      </c>
      <c r="E22" s="7" t="s">
        <v>194</v>
      </c>
      <c r="F22" s="7" t="s">
        <v>195</v>
      </c>
      <c r="G22" s="7" t="str">
        <f>CONCATENATE(E22," ",F22)</f>
        <v>CHRISTOPHER SPRINGER</v>
      </c>
      <c r="H22" s="7" t="s">
        <v>46</v>
      </c>
      <c r="I22" s="7" t="s">
        <v>85</v>
      </c>
      <c r="J22" s="7" t="s">
        <v>79</v>
      </c>
      <c r="K22" s="7">
        <v>26.08</v>
      </c>
      <c r="L22" s="7">
        <v>14</v>
      </c>
      <c r="M22" s="7">
        <v>26.08</v>
      </c>
      <c r="N22" s="7">
        <v>26.08</v>
      </c>
      <c r="O22" s="7" t="s">
        <v>220</v>
      </c>
      <c r="P22" s="7" t="s">
        <v>224</v>
      </c>
    </row>
    <row r="23" spans="1:24" s="7" customFormat="1" x14ac:dyDescent="0.25">
      <c r="A23" s="2">
        <v>20411454</v>
      </c>
      <c r="B23" s="3" t="s">
        <v>222</v>
      </c>
      <c r="C23" s="3" t="s">
        <v>192</v>
      </c>
      <c r="D23" s="3" t="str">
        <f>CONCATENATE(C23,"OVR")</f>
        <v>D8C779OVR</v>
      </c>
      <c r="E23" s="3" t="s">
        <v>194</v>
      </c>
      <c r="F23" s="3" t="s">
        <v>195</v>
      </c>
      <c r="G23" s="7" t="str">
        <f>CONCATENATE(E23," ",F23)</f>
        <v>CHRISTOPHER SPRINGER</v>
      </c>
      <c r="H23" s="3" t="s">
        <v>46</v>
      </c>
      <c r="I23" s="3" t="s">
        <v>85</v>
      </c>
      <c r="J23" s="3" t="s">
        <v>79</v>
      </c>
      <c r="K23" s="3">
        <v>26.08</v>
      </c>
      <c r="L23" s="3">
        <v>14</v>
      </c>
      <c r="M23" s="3">
        <v>14</v>
      </c>
      <c r="N23" s="3">
        <v>14</v>
      </c>
      <c r="O23" s="3" t="s">
        <v>221</v>
      </c>
      <c r="P23" s="3"/>
      <c r="Q23" s="3"/>
      <c r="R23" s="3"/>
      <c r="S23" s="3"/>
      <c r="T23" s="3"/>
      <c r="U23" s="3"/>
      <c r="V23" s="3"/>
      <c r="W23" s="3"/>
      <c r="X23" s="3"/>
    </row>
    <row r="24" spans="1:24" s="7" customFormat="1" x14ac:dyDescent="0.25">
      <c r="A24" s="6">
        <v>17126004</v>
      </c>
      <c r="B24" s="7" t="s">
        <v>72</v>
      </c>
      <c r="C24" s="7" t="s">
        <v>73</v>
      </c>
      <c r="D24" s="7" t="str">
        <f>CONCATENATE(C24,89)</f>
        <v>D8YS8Y89</v>
      </c>
      <c r="E24" s="7" t="s">
        <v>75</v>
      </c>
      <c r="F24" s="7" t="s">
        <v>76</v>
      </c>
      <c r="G24" s="7" t="str">
        <f>CONCATENATE(E24," ",F24)</f>
        <v>MARYANN CHINDERLE</v>
      </c>
      <c r="H24" s="7" t="s">
        <v>46</v>
      </c>
      <c r="I24" s="7" t="s">
        <v>78</v>
      </c>
      <c r="J24" s="7" t="s">
        <v>79</v>
      </c>
      <c r="K24" s="7">
        <v>26.08</v>
      </c>
      <c r="L24" s="7">
        <v>14</v>
      </c>
      <c r="M24" s="7">
        <v>26.08</v>
      </c>
      <c r="N24" s="7">
        <v>26.08</v>
      </c>
      <c r="O24" s="7" t="s">
        <v>220</v>
      </c>
      <c r="P24" s="7" t="s">
        <v>224</v>
      </c>
    </row>
    <row r="25" spans="1:24" s="7" customFormat="1" x14ac:dyDescent="0.25">
      <c r="A25" s="2">
        <v>20411454</v>
      </c>
      <c r="B25" s="3" t="s">
        <v>222</v>
      </c>
      <c r="C25" s="3" t="s">
        <v>73</v>
      </c>
      <c r="D25" s="3" t="str">
        <f>CONCATENATE(C25,"OVR")</f>
        <v>D8YS8YOVR</v>
      </c>
      <c r="E25" s="3" t="s">
        <v>75</v>
      </c>
      <c r="F25" s="3" t="s">
        <v>76</v>
      </c>
      <c r="G25" s="7" t="str">
        <f>CONCATENATE(E25," ",F25)</f>
        <v>MARYANN CHINDERLE</v>
      </c>
      <c r="H25" s="3" t="s">
        <v>46</v>
      </c>
      <c r="I25" s="3" t="s">
        <v>78</v>
      </c>
      <c r="J25" s="3" t="s">
        <v>79</v>
      </c>
      <c r="K25" s="3">
        <v>26.08</v>
      </c>
      <c r="L25" s="3">
        <v>14</v>
      </c>
      <c r="M25" s="3">
        <v>14</v>
      </c>
      <c r="N25" s="3">
        <v>14</v>
      </c>
      <c r="O25" s="3" t="s">
        <v>221</v>
      </c>
      <c r="P25" s="3"/>
      <c r="Q25" s="3"/>
      <c r="R25" s="3"/>
      <c r="S25" s="3"/>
      <c r="T25" s="3"/>
      <c r="U25" s="3"/>
      <c r="V25" s="3"/>
      <c r="W25" s="3"/>
      <c r="X25" s="3"/>
    </row>
    <row r="26" spans="1:24" s="7" customFormat="1" x14ac:dyDescent="0.25">
      <c r="A26" s="6">
        <v>16170994</v>
      </c>
      <c r="B26" s="7" t="s">
        <v>198</v>
      </c>
      <c r="C26" s="7" t="s">
        <v>199</v>
      </c>
      <c r="D26" s="7" t="str">
        <f>CONCATENATE(C26,89)</f>
        <v>D9A3G789</v>
      </c>
      <c r="E26" s="7" t="s">
        <v>169</v>
      </c>
      <c r="F26" s="7" t="s">
        <v>201</v>
      </c>
      <c r="G26" s="7" t="str">
        <f>CONCATENATE(E26," ",F26)</f>
        <v>JOHN STEWART</v>
      </c>
      <c r="H26" s="7" t="s">
        <v>67</v>
      </c>
      <c r="I26" s="7" t="s">
        <v>104</v>
      </c>
      <c r="J26" s="7" t="s">
        <v>79</v>
      </c>
      <c r="K26" s="7">
        <v>26.08</v>
      </c>
      <c r="L26" s="7">
        <v>14</v>
      </c>
      <c r="M26" s="7">
        <v>26.08</v>
      </c>
      <c r="N26" s="7">
        <v>26.08</v>
      </c>
      <c r="O26" s="7" t="s">
        <v>220</v>
      </c>
      <c r="P26" s="7" t="s">
        <v>224</v>
      </c>
    </row>
    <row r="27" spans="1:24" s="7" customFormat="1" x14ac:dyDescent="0.25">
      <c r="A27" s="2">
        <v>20411454</v>
      </c>
      <c r="B27" s="3" t="s">
        <v>222</v>
      </c>
      <c r="C27" s="3" t="s">
        <v>199</v>
      </c>
      <c r="D27" s="3" t="str">
        <f>CONCATENATE(C27,"OVR")</f>
        <v>D9A3G7OVR</v>
      </c>
      <c r="E27" s="3" t="s">
        <v>169</v>
      </c>
      <c r="F27" s="3" t="s">
        <v>201</v>
      </c>
      <c r="G27" s="7" t="str">
        <f>CONCATENATE(E27," ",F27)</f>
        <v>JOHN STEWART</v>
      </c>
      <c r="H27" s="3" t="s">
        <v>67</v>
      </c>
      <c r="I27" s="3" t="s">
        <v>104</v>
      </c>
      <c r="J27" s="3" t="s">
        <v>79</v>
      </c>
      <c r="K27" s="3">
        <v>26.08</v>
      </c>
      <c r="L27" s="3">
        <v>14</v>
      </c>
      <c r="M27" s="3">
        <v>14</v>
      </c>
      <c r="N27" s="3">
        <v>14</v>
      </c>
      <c r="O27" s="3" t="s">
        <v>221</v>
      </c>
      <c r="P27" s="3"/>
      <c r="Q27" s="3"/>
      <c r="R27" s="3"/>
      <c r="S27" s="3"/>
      <c r="T27" s="3"/>
      <c r="U27" s="3"/>
      <c r="V27" s="3"/>
      <c r="W27" s="3"/>
      <c r="X27" s="3"/>
    </row>
    <row r="28" spans="1:24" s="7" customFormat="1" x14ac:dyDescent="0.25">
      <c r="A28" s="6">
        <v>18754354</v>
      </c>
      <c r="B28" s="7" t="s">
        <v>98</v>
      </c>
      <c r="C28" s="7" t="s">
        <v>99</v>
      </c>
      <c r="D28" s="7" t="str">
        <f>CONCATENATE(C28,89)</f>
        <v>D9H8YE89</v>
      </c>
      <c r="E28" s="7" t="s">
        <v>101</v>
      </c>
      <c r="F28" s="7" t="s">
        <v>102</v>
      </c>
      <c r="G28" s="7" t="str">
        <f>CONCATENATE(E28," ",F28)</f>
        <v>ANNETTE EDWARDSON</v>
      </c>
      <c r="H28" s="7" t="s">
        <v>46</v>
      </c>
      <c r="I28" s="7" t="s">
        <v>104</v>
      </c>
      <c r="J28" s="7" t="s">
        <v>79</v>
      </c>
      <c r="K28" s="7">
        <v>26.08</v>
      </c>
      <c r="L28" s="7">
        <v>14</v>
      </c>
      <c r="M28" s="7">
        <v>26.08</v>
      </c>
      <c r="N28" s="7">
        <v>26.08</v>
      </c>
      <c r="O28" s="7" t="s">
        <v>220</v>
      </c>
      <c r="P28" s="7" t="s">
        <v>224</v>
      </c>
    </row>
    <row r="29" spans="1:24" s="3" customFormat="1" x14ac:dyDescent="0.25">
      <c r="A29" s="2">
        <v>20411454</v>
      </c>
      <c r="B29" s="3" t="s">
        <v>222</v>
      </c>
      <c r="C29" s="3" t="s">
        <v>99</v>
      </c>
      <c r="D29" s="3" t="str">
        <f>CONCATENATE(C29,"OVR")</f>
        <v>D9H8YEOVR</v>
      </c>
      <c r="E29" s="3" t="s">
        <v>101</v>
      </c>
      <c r="F29" s="3" t="s">
        <v>102</v>
      </c>
      <c r="G29" s="7" t="str">
        <f>CONCATENATE(E29," ",F29)</f>
        <v>ANNETTE EDWARDSON</v>
      </c>
      <c r="H29" s="3" t="s">
        <v>46</v>
      </c>
      <c r="I29" s="3" t="s">
        <v>104</v>
      </c>
      <c r="J29" s="3" t="s">
        <v>79</v>
      </c>
      <c r="K29" s="3">
        <v>26.08</v>
      </c>
      <c r="L29" s="3">
        <v>14</v>
      </c>
      <c r="M29" s="3">
        <v>14</v>
      </c>
      <c r="N29" s="3">
        <v>14</v>
      </c>
      <c r="O29" s="3" t="s">
        <v>221</v>
      </c>
    </row>
    <row r="30" spans="1:24" s="3" customFormat="1" x14ac:dyDescent="0.25">
      <c r="A30" s="6">
        <v>19615078</v>
      </c>
      <c r="B30" s="7" t="s">
        <v>186</v>
      </c>
      <c r="C30" s="7" t="s">
        <v>187</v>
      </c>
      <c r="D30" s="7" t="str">
        <f>CONCATENATE(C30,89)</f>
        <v>DA25Z989</v>
      </c>
      <c r="E30" s="7" t="s">
        <v>189</v>
      </c>
      <c r="F30" s="7" t="s">
        <v>190</v>
      </c>
      <c r="G30" s="7" t="str">
        <f>CONCATENATE(E30," ",F30)</f>
        <v>NADEZHDA ROMANOVA</v>
      </c>
      <c r="H30" s="7" t="s">
        <v>46</v>
      </c>
      <c r="I30" s="7" t="s">
        <v>78</v>
      </c>
      <c r="J30" s="7" t="s">
        <v>79</v>
      </c>
      <c r="K30" s="7">
        <v>26.08</v>
      </c>
      <c r="L30" s="7">
        <v>14</v>
      </c>
      <c r="M30" s="7">
        <v>26.08</v>
      </c>
      <c r="N30" s="7">
        <v>26.08</v>
      </c>
      <c r="O30" s="7" t="s">
        <v>220</v>
      </c>
      <c r="P30" s="7" t="s">
        <v>224</v>
      </c>
      <c r="Q30" s="7"/>
      <c r="R30" s="7"/>
      <c r="S30" s="7"/>
      <c r="T30" s="7"/>
      <c r="U30" s="7"/>
      <c r="V30" s="7"/>
      <c r="W30" s="7"/>
      <c r="X30" s="7"/>
    </row>
    <row r="31" spans="1:24" s="3" customFormat="1" x14ac:dyDescent="0.25">
      <c r="A31" s="2">
        <v>20411454</v>
      </c>
      <c r="B31" s="3" t="s">
        <v>222</v>
      </c>
      <c r="C31" s="3" t="s">
        <v>187</v>
      </c>
      <c r="D31" s="3" t="str">
        <f>CONCATENATE(C31,"OVR")</f>
        <v>DA25Z9OVR</v>
      </c>
      <c r="E31" s="3" t="s">
        <v>189</v>
      </c>
      <c r="F31" s="3" t="s">
        <v>190</v>
      </c>
      <c r="G31" s="7" t="str">
        <f>CONCATENATE(E31," ",F31)</f>
        <v>NADEZHDA ROMANOVA</v>
      </c>
      <c r="H31" s="3" t="s">
        <v>46</v>
      </c>
      <c r="I31" s="3" t="s">
        <v>78</v>
      </c>
      <c r="J31" s="3" t="s">
        <v>79</v>
      </c>
      <c r="K31" s="3">
        <v>26.08</v>
      </c>
      <c r="L31" s="3">
        <v>14</v>
      </c>
      <c r="M31" s="3">
        <v>14</v>
      </c>
      <c r="N31" s="3">
        <v>14</v>
      </c>
      <c r="O31" s="3" t="s">
        <v>221</v>
      </c>
    </row>
    <row r="32" spans="1:24" s="3" customFormat="1" x14ac:dyDescent="0.25">
      <c r="A32" s="6">
        <v>16865615</v>
      </c>
      <c r="B32" s="7" t="s">
        <v>135</v>
      </c>
      <c r="C32" s="7" t="s">
        <v>136</v>
      </c>
      <c r="D32" s="7" t="str">
        <f>CONCATENATE(C32,89)</f>
        <v>DCEG4Z89</v>
      </c>
      <c r="E32" s="7" t="s">
        <v>138</v>
      </c>
      <c r="F32" s="7" t="s">
        <v>139</v>
      </c>
      <c r="G32" s="7" t="str">
        <f>CONCATENATE(E32," ",F32)</f>
        <v>MICHAEL LINGENFELTER</v>
      </c>
      <c r="H32" s="7" t="s">
        <v>140</v>
      </c>
      <c r="I32" s="7" t="s">
        <v>142</v>
      </c>
      <c r="J32" s="7" t="s">
        <v>79</v>
      </c>
      <c r="K32" s="7">
        <v>26.08</v>
      </c>
      <c r="L32" s="7">
        <v>14</v>
      </c>
      <c r="M32" s="7">
        <v>26.08</v>
      </c>
      <c r="N32" s="7">
        <v>26.08</v>
      </c>
      <c r="O32" s="7" t="s">
        <v>220</v>
      </c>
      <c r="P32" s="7" t="s">
        <v>224</v>
      </c>
      <c r="Q32" s="7"/>
      <c r="R32" s="7"/>
      <c r="S32" s="7"/>
      <c r="T32" s="7"/>
      <c r="U32" s="7"/>
      <c r="V32" s="7"/>
      <c r="W32" s="7"/>
      <c r="X32" s="7"/>
    </row>
    <row r="33" spans="1:24" s="3" customFormat="1" x14ac:dyDescent="0.25">
      <c r="A33" s="2">
        <v>20411454</v>
      </c>
      <c r="B33" s="3" t="s">
        <v>222</v>
      </c>
      <c r="C33" s="3" t="s">
        <v>136</v>
      </c>
      <c r="D33" s="3" t="str">
        <f>CONCATENATE(C33,"OVR")</f>
        <v>DCEG4ZOVR</v>
      </c>
      <c r="E33" s="3" t="s">
        <v>138</v>
      </c>
      <c r="F33" s="3" t="s">
        <v>139</v>
      </c>
      <c r="G33" s="7" t="str">
        <f>CONCATENATE(E33," ",F33)</f>
        <v>MICHAEL LINGENFELTER</v>
      </c>
      <c r="H33" s="3" t="s">
        <v>140</v>
      </c>
      <c r="I33" s="3" t="s">
        <v>142</v>
      </c>
      <c r="J33" s="3" t="s">
        <v>79</v>
      </c>
      <c r="K33" s="3">
        <v>26.08</v>
      </c>
      <c r="L33" s="3">
        <v>14</v>
      </c>
      <c r="M33" s="3">
        <v>14</v>
      </c>
      <c r="N33" s="3">
        <v>14</v>
      </c>
      <c r="O33" s="3" t="s">
        <v>221</v>
      </c>
    </row>
    <row r="34" spans="1:24" s="3" customFormat="1" x14ac:dyDescent="0.25">
      <c r="A34" s="6">
        <v>9213293</v>
      </c>
      <c r="B34" s="7" t="s">
        <v>172</v>
      </c>
      <c r="C34" s="7" t="s">
        <v>173</v>
      </c>
      <c r="D34" s="7" t="str">
        <f>CONCATENATE(C34,89)</f>
        <v>DEW7CR89</v>
      </c>
      <c r="E34" s="7" t="s">
        <v>175</v>
      </c>
      <c r="F34" s="7" t="s">
        <v>176</v>
      </c>
      <c r="G34" s="7" t="str">
        <f>CONCATENATE(E34," ",F34)</f>
        <v>PATRICIA PROCHASKA</v>
      </c>
      <c r="H34" s="7" t="s">
        <v>46</v>
      </c>
      <c r="I34" s="7" t="s">
        <v>125</v>
      </c>
      <c r="J34" s="7" t="s">
        <v>79</v>
      </c>
      <c r="K34" s="7">
        <v>26.08</v>
      </c>
      <c r="L34" s="7">
        <v>14</v>
      </c>
      <c r="M34" s="7">
        <v>26.08</v>
      </c>
      <c r="N34" s="7">
        <v>26.08</v>
      </c>
      <c r="O34" s="7" t="s">
        <v>220</v>
      </c>
      <c r="P34" s="7" t="s">
        <v>224</v>
      </c>
      <c r="Q34" s="7"/>
      <c r="R34" s="7"/>
      <c r="S34" s="7"/>
      <c r="T34" s="7"/>
      <c r="U34" s="7"/>
      <c r="V34" s="7"/>
      <c r="W34" s="7"/>
      <c r="X34" s="7"/>
    </row>
    <row r="35" spans="1:24" s="3" customFormat="1" x14ac:dyDescent="0.25">
      <c r="A35" s="2">
        <v>20411454</v>
      </c>
      <c r="B35" s="3" t="s">
        <v>222</v>
      </c>
      <c r="C35" s="3" t="s">
        <v>173</v>
      </c>
      <c r="D35" s="3" t="str">
        <f>CONCATENATE(C35,"OVR")</f>
        <v>DEW7CROVR</v>
      </c>
      <c r="E35" s="3" t="s">
        <v>175</v>
      </c>
      <c r="F35" s="3" t="s">
        <v>176</v>
      </c>
      <c r="G35" s="7" t="str">
        <f>CONCATENATE(E35," ",F35)</f>
        <v>PATRICIA PROCHASKA</v>
      </c>
      <c r="H35" s="3" t="s">
        <v>46</v>
      </c>
      <c r="I35" s="3" t="s">
        <v>125</v>
      </c>
      <c r="J35" s="3" t="s">
        <v>79</v>
      </c>
      <c r="K35" s="3">
        <v>26.08</v>
      </c>
      <c r="L35" s="3">
        <v>14</v>
      </c>
      <c r="M35" s="3">
        <v>14</v>
      </c>
      <c r="N35" s="3">
        <v>14</v>
      </c>
      <c r="O35" s="3" t="s">
        <v>221</v>
      </c>
    </row>
    <row r="36" spans="1:24" s="3" customFormat="1" x14ac:dyDescent="0.25">
      <c r="A36" s="6">
        <v>16683808</v>
      </c>
      <c r="B36" s="7" t="s">
        <v>87</v>
      </c>
      <c r="C36" s="7" t="s">
        <v>88</v>
      </c>
      <c r="D36" s="7" t="str">
        <f>CONCATENATE(C36,89)</f>
        <v>DH28HS89</v>
      </c>
      <c r="E36" s="7" t="s">
        <v>90</v>
      </c>
      <c r="F36" s="7" t="s">
        <v>91</v>
      </c>
      <c r="G36" s="7" t="str">
        <f>CONCATENATE(E36," ",F36)</f>
        <v>MELQUEA EDWARDS</v>
      </c>
      <c r="H36" s="7" t="s">
        <v>92</v>
      </c>
      <c r="I36" s="7" t="s">
        <v>94</v>
      </c>
      <c r="J36" s="7" t="s">
        <v>79</v>
      </c>
      <c r="K36" s="7">
        <v>26.08</v>
      </c>
      <c r="L36" s="7">
        <v>12.5</v>
      </c>
      <c r="M36" s="7">
        <v>26.08</v>
      </c>
      <c r="N36" s="7">
        <v>26.08</v>
      </c>
      <c r="O36" s="7" t="s">
        <v>220</v>
      </c>
      <c r="P36" s="7" t="s">
        <v>224</v>
      </c>
      <c r="Q36" s="7"/>
      <c r="R36" s="7"/>
      <c r="S36" s="7"/>
      <c r="T36" s="7"/>
      <c r="U36" s="7"/>
      <c r="V36" s="7"/>
      <c r="W36" s="7"/>
      <c r="X36" s="7"/>
    </row>
    <row r="37" spans="1:24" s="3" customFormat="1" x14ac:dyDescent="0.25">
      <c r="A37" s="2">
        <v>20411454</v>
      </c>
      <c r="B37" s="3" t="s">
        <v>222</v>
      </c>
      <c r="C37" s="3" t="s">
        <v>88</v>
      </c>
      <c r="D37" s="3" t="str">
        <f>CONCATENATE(C37,"OVR")</f>
        <v>DH28HSOVR</v>
      </c>
      <c r="E37" s="3" t="s">
        <v>90</v>
      </c>
      <c r="F37" s="3" t="s">
        <v>91</v>
      </c>
      <c r="G37" s="7" t="str">
        <f>CONCATENATE(E37," ",F37)</f>
        <v>MELQUEA EDWARDS</v>
      </c>
      <c r="H37" s="3" t="s">
        <v>92</v>
      </c>
      <c r="I37" s="3" t="s">
        <v>94</v>
      </c>
      <c r="J37" s="3" t="s">
        <v>79</v>
      </c>
      <c r="K37" s="3">
        <v>26.08</v>
      </c>
      <c r="L37" s="3">
        <v>12.5</v>
      </c>
      <c r="M37" s="3">
        <v>12.5</v>
      </c>
      <c r="N37" s="3">
        <v>12.5</v>
      </c>
      <c r="O37" s="3" t="s">
        <v>221</v>
      </c>
    </row>
    <row r="38" spans="1:24" s="3" customFormat="1" x14ac:dyDescent="0.25">
      <c r="A38" s="6">
        <v>17126004</v>
      </c>
      <c r="B38" s="7" t="s">
        <v>72</v>
      </c>
      <c r="C38" s="7" t="s">
        <v>150</v>
      </c>
      <c r="D38" s="7" t="str">
        <f>CONCATENATE(C38,89)</f>
        <v>DR8EJR89</v>
      </c>
      <c r="E38" s="7" t="s">
        <v>152</v>
      </c>
      <c r="F38" s="7" t="s">
        <v>153</v>
      </c>
      <c r="G38" s="7" t="str">
        <f>CONCATENATE(E38," ",F38)</f>
        <v>THERESA MCAULEY</v>
      </c>
      <c r="H38" s="7" t="s">
        <v>46</v>
      </c>
      <c r="I38" s="7" t="s">
        <v>85</v>
      </c>
      <c r="J38" s="7" t="s">
        <v>79</v>
      </c>
      <c r="K38" s="7">
        <v>26.08</v>
      </c>
      <c r="L38" s="7">
        <v>14</v>
      </c>
      <c r="M38" s="7">
        <v>26.08</v>
      </c>
      <c r="N38" s="7">
        <v>26.08</v>
      </c>
      <c r="O38" s="7" t="s">
        <v>220</v>
      </c>
      <c r="P38" s="7" t="s">
        <v>224</v>
      </c>
      <c r="Q38" s="7"/>
      <c r="R38" s="7"/>
      <c r="S38" s="7"/>
      <c r="T38" s="7"/>
      <c r="U38" s="7"/>
      <c r="V38" s="7"/>
      <c r="W38" s="7"/>
      <c r="X38" s="7"/>
    </row>
    <row r="39" spans="1:24" s="3" customFormat="1" x14ac:dyDescent="0.25">
      <c r="A39" s="2">
        <v>20411454</v>
      </c>
      <c r="B39" s="3" t="s">
        <v>222</v>
      </c>
      <c r="C39" s="3" t="s">
        <v>150</v>
      </c>
      <c r="D39" s="3" t="str">
        <f>CONCATENATE(C39,"OVR")</f>
        <v>DR8EJROVR</v>
      </c>
      <c r="E39" s="3" t="s">
        <v>152</v>
      </c>
      <c r="F39" s="3" t="s">
        <v>153</v>
      </c>
      <c r="G39" s="7" t="str">
        <f>CONCATENATE(E39," ",F39)</f>
        <v>THERESA MCAULEY</v>
      </c>
      <c r="H39" s="3" t="s">
        <v>46</v>
      </c>
      <c r="I39" s="3" t="s">
        <v>85</v>
      </c>
      <c r="J39" s="3" t="s">
        <v>79</v>
      </c>
      <c r="K39" s="3">
        <v>26.08</v>
      </c>
      <c r="L39" s="3">
        <v>14</v>
      </c>
      <c r="M39" s="3">
        <v>14</v>
      </c>
      <c r="N39" s="3">
        <v>14</v>
      </c>
      <c r="O39" s="3" t="s">
        <v>221</v>
      </c>
    </row>
    <row r="40" spans="1:24" s="3" customFormat="1" x14ac:dyDescent="0.25">
      <c r="A40" s="6">
        <v>7565575</v>
      </c>
      <c r="B40" s="7" t="s">
        <v>41</v>
      </c>
      <c r="C40" s="7" t="s">
        <v>42</v>
      </c>
      <c r="D40" s="7" t="str">
        <f>CONCATENATE(C40,89)</f>
        <v>DRHGSF89</v>
      </c>
      <c r="E40" s="7" t="s">
        <v>44</v>
      </c>
      <c r="F40" s="7" t="s">
        <v>45</v>
      </c>
      <c r="G40" s="7" t="str">
        <f>CONCATENATE(E40," ",F40)</f>
        <v>RAMON ORTIZ JR</v>
      </c>
      <c r="H40" s="7" t="s">
        <v>46</v>
      </c>
      <c r="I40" s="7" t="s">
        <v>48</v>
      </c>
      <c r="J40" s="7" t="s">
        <v>51</v>
      </c>
      <c r="K40" s="7">
        <v>599.91999999999996</v>
      </c>
      <c r="L40" s="7">
        <v>0</v>
      </c>
      <c r="M40" s="7">
        <v>599.91999999999996</v>
      </c>
      <c r="N40" s="7">
        <v>-26.08</v>
      </c>
      <c r="O40" s="7" t="s">
        <v>220</v>
      </c>
      <c r="P40" s="7" t="s">
        <v>224</v>
      </c>
      <c r="Q40" s="7"/>
      <c r="R40" s="7"/>
      <c r="S40" s="7"/>
      <c r="T40" s="7"/>
      <c r="U40" s="7"/>
      <c r="V40" s="7"/>
      <c r="W40" s="7"/>
      <c r="X40" s="7"/>
    </row>
    <row r="41" spans="1:24" s="3" customFormat="1" x14ac:dyDescent="0.25">
      <c r="A41" s="4">
        <v>7565575</v>
      </c>
      <c r="B41" s="5" t="s">
        <v>41</v>
      </c>
      <c r="C41" s="5" t="s">
        <v>42</v>
      </c>
      <c r="D41" s="5" t="str">
        <f>CONCATENATE(C41,8)</f>
        <v>DRHGSF8</v>
      </c>
      <c r="E41" s="5" t="s">
        <v>44</v>
      </c>
      <c r="F41" s="5" t="s">
        <v>45</v>
      </c>
      <c r="G41" s="7" t="str">
        <f>CONCATENATE(E41," ",F41)</f>
        <v>RAMON ORTIZ JR</v>
      </c>
      <c r="H41" s="5" t="s">
        <v>46</v>
      </c>
      <c r="I41" s="5" t="s">
        <v>48</v>
      </c>
      <c r="J41" s="5" t="s">
        <v>51</v>
      </c>
      <c r="K41" s="5">
        <v>599.91999999999996</v>
      </c>
      <c r="L41" s="5">
        <v>0</v>
      </c>
      <c r="M41" s="5">
        <v>599.91999999999996</v>
      </c>
      <c r="N41" s="5">
        <v>626</v>
      </c>
      <c r="O41" s="5" t="s">
        <v>223</v>
      </c>
      <c r="P41" s="5" t="s">
        <v>225</v>
      </c>
      <c r="Q41" s="5"/>
      <c r="R41" s="5"/>
      <c r="S41" s="5"/>
      <c r="T41" s="5"/>
      <c r="U41" s="5"/>
      <c r="V41" s="5"/>
      <c r="W41" s="5"/>
      <c r="X41" s="5"/>
    </row>
    <row r="42" spans="1:24" s="3" customFormat="1" x14ac:dyDescent="0.25">
      <c r="A42" s="6">
        <v>17126004</v>
      </c>
      <c r="B42" s="7" t="s">
        <v>72</v>
      </c>
      <c r="C42" s="7" t="s">
        <v>80</v>
      </c>
      <c r="D42" s="7" t="str">
        <f>CONCATENATE(C42,89)</f>
        <v>DU896U89</v>
      </c>
      <c r="E42" s="7" t="s">
        <v>82</v>
      </c>
      <c r="F42" s="7" t="s">
        <v>83</v>
      </c>
      <c r="G42" s="7" t="str">
        <f>CONCATENATE(E42," ",F42)</f>
        <v>LINDA CIANCIO</v>
      </c>
      <c r="H42" s="7" t="s">
        <v>46</v>
      </c>
      <c r="I42" s="7" t="s">
        <v>85</v>
      </c>
      <c r="J42" s="7" t="s">
        <v>79</v>
      </c>
      <c r="K42" s="7">
        <v>26.08</v>
      </c>
      <c r="L42" s="7">
        <v>14</v>
      </c>
      <c r="M42" s="7">
        <v>26.08</v>
      </c>
      <c r="N42" s="7">
        <v>26.08</v>
      </c>
      <c r="O42" s="7" t="s">
        <v>220</v>
      </c>
      <c r="P42" s="7" t="s">
        <v>224</v>
      </c>
      <c r="Q42" s="7"/>
      <c r="R42" s="7"/>
      <c r="S42" s="7"/>
      <c r="T42" s="7"/>
      <c r="U42" s="7"/>
      <c r="V42" s="7"/>
      <c r="W42" s="7"/>
      <c r="X42" s="7"/>
    </row>
    <row r="43" spans="1:24" s="3" customFormat="1" x14ac:dyDescent="0.25">
      <c r="A43" s="2">
        <v>20411454</v>
      </c>
      <c r="B43" s="3" t="s">
        <v>222</v>
      </c>
      <c r="C43" s="3" t="s">
        <v>80</v>
      </c>
      <c r="D43" s="3" t="str">
        <f>CONCATENATE(C43,"OVR")</f>
        <v>DU896UOVR</v>
      </c>
      <c r="E43" s="3" t="s">
        <v>82</v>
      </c>
      <c r="F43" s="3" t="s">
        <v>83</v>
      </c>
      <c r="G43" s="7" t="str">
        <f>CONCATENATE(E43," ",F43)</f>
        <v>LINDA CIANCIO</v>
      </c>
      <c r="H43" s="3" t="s">
        <v>46</v>
      </c>
      <c r="I43" s="3" t="s">
        <v>85</v>
      </c>
      <c r="J43" s="3" t="s">
        <v>79</v>
      </c>
      <c r="K43" s="3">
        <v>26.08</v>
      </c>
      <c r="L43" s="3">
        <v>14</v>
      </c>
      <c r="M43" s="3">
        <v>14</v>
      </c>
      <c r="N43" s="3">
        <v>14</v>
      </c>
      <c r="O43" s="3" t="s">
        <v>221</v>
      </c>
    </row>
    <row r="44" spans="1:24" s="3" customFormat="1" x14ac:dyDescent="0.25">
      <c r="A44" s="6">
        <v>17301495</v>
      </c>
      <c r="B44" s="7" t="s">
        <v>156</v>
      </c>
      <c r="C44" s="7" t="s">
        <v>203</v>
      </c>
      <c r="D44" s="7" t="str">
        <f>CONCATENATE(C44,89)</f>
        <v>DUW2FG89</v>
      </c>
      <c r="E44" s="7" t="s">
        <v>205</v>
      </c>
      <c r="F44" s="7" t="s">
        <v>206</v>
      </c>
      <c r="G44" s="7" t="str">
        <f>CONCATENATE(E44," ",F44)</f>
        <v>EMMA VALE</v>
      </c>
      <c r="H44" s="7" t="s">
        <v>46</v>
      </c>
      <c r="I44" s="7" t="s">
        <v>208</v>
      </c>
      <c r="J44" s="7" t="s">
        <v>79</v>
      </c>
      <c r="K44" s="7">
        <v>26.08</v>
      </c>
      <c r="L44" s="7">
        <v>14</v>
      </c>
      <c r="M44" s="7">
        <v>26.08</v>
      </c>
      <c r="N44" s="7">
        <v>26.08</v>
      </c>
      <c r="O44" s="7" t="s">
        <v>220</v>
      </c>
      <c r="P44" s="7" t="s">
        <v>224</v>
      </c>
      <c r="Q44" s="7"/>
      <c r="R44" s="7"/>
      <c r="S44" s="7"/>
      <c r="T44" s="7"/>
      <c r="U44" s="7"/>
      <c r="V44" s="7"/>
      <c r="W44" s="7"/>
      <c r="X44" s="7"/>
    </row>
    <row r="45" spans="1:24" s="3" customFormat="1" x14ac:dyDescent="0.25">
      <c r="A45" s="2">
        <v>20411454</v>
      </c>
      <c r="B45" s="3" t="s">
        <v>222</v>
      </c>
      <c r="C45" s="3" t="s">
        <v>203</v>
      </c>
      <c r="D45" s="3" t="str">
        <f>CONCATENATE(C45,"OVR")</f>
        <v>DUW2FGOVR</v>
      </c>
      <c r="E45" s="3" t="s">
        <v>205</v>
      </c>
      <c r="F45" s="3" t="s">
        <v>206</v>
      </c>
      <c r="G45" s="7" t="str">
        <f>CONCATENATE(E45," ",F45)</f>
        <v>EMMA VALE</v>
      </c>
      <c r="H45" s="3" t="s">
        <v>46</v>
      </c>
      <c r="I45" s="3" t="s">
        <v>208</v>
      </c>
      <c r="J45" s="3" t="s">
        <v>79</v>
      </c>
      <c r="K45" s="3">
        <v>26.08</v>
      </c>
      <c r="L45" s="3">
        <v>14</v>
      </c>
      <c r="M45" s="3">
        <v>14</v>
      </c>
      <c r="N45" s="3">
        <v>14</v>
      </c>
      <c r="O45" s="3" t="s">
        <v>221</v>
      </c>
    </row>
    <row r="46" spans="1:24" s="3" customFormat="1" x14ac:dyDescent="0.25">
      <c r="A46" s="6">
        <v>8405446</v>
      </c>
      <c r="B46" s="7" t="s">
        <v>179</v>
      </c>
      <c r="C46" s="7" t="s">
        <v>180</v>
      </c>
      <c r="D46" s="7" t="str">
        <f>CONCATENATE(C46,89)</f>
        <v>DY48JR89</v>
      </c>
      <c r="E46" s="7" t="s">
        <v>182</v>
      </c>
      <c r="F46" s="7" t="s">
        <v>183</v>
      </c>
      <c r="G46" s="7" t="str">
        <f>CONCATENATE(E46," ",F46)</f>
        <v>BINH RATSAVONGSY</v>
      </c>
      <c r="H46" s="7" t="s">
        <v>46</v>
      </c>
      <c r="I46" s="7" t="s">
        <v>142</v>
      </c>
      <c r="J46" s="7" t="s">
        <v>79</v>
      </c>
      <c r="K46" s="7">
        <v>26.08</v>
      </c>
      <c r="L46" s="7">
        <v>14</v>
      </c>
      <c r="M46" s="7">
        <v>26.08</v>
      </c>
      <c r="N46" s="7">
        <v>26.08</v>
      </c>
      <c r="O46" s="7" t="s">
        <v>220</v>
      </c>
      <c r="P46" s="7" t="s">
        <v>224</v>
      </c>
      <c r="Q46" s="7"/>
      <c r="R46" s="7"/>
      <c r="S46" s="7"/>
      <c r="T46" s="7"/>
      <c r="U46" s="7"/>
      <c r="V46" s="7"/>
      <c r="W46" s="7"/>
      <c r="X46" s="7"/>
    </row>
    <row r="47" spans="1:24" s="3" customFormat="1" x14ac:dyDescent="0.25">
      <c r="A47" s="2">
        <v>20411454</v>
      </c>
      <c r="B47" s="3" t="s">
        <v>222</v>
      </c>
      <c r="C47" s="3" t="s">
        <v>180</v>
      </c>
      <c r="D47" s="3" t="str">
        <f>CONCATENATE(C47,"OVR")</f>
        <v>DY48JROVR</v>
      </c>
      <c r="E47" s="3" t="s">
        <v>182</v>
      </c>
      <c r="F47" s="3" t="s">
        <v>183</v>
      </c>
      <c r="G47" s="7" t="str">
        <f>CONCATENATE(E47," ",F47)</f>
        <v>BINH RATSAVONGSY</v>
      </c>
      <c r="H47" s="3" t="s">
        <v>46</v>
      </c>
      <c r="I47" s="3" t="s">
        <v>142</v>
      </c>
      <c r="J47" s="3" t="s">
        <v>79</v>
      </c>
      <c r="K47" s="3">
        <v>26.08</v>
      </c>
      <c r="L47" s="3">
        <v>14</v>
      </c>
      <c r="M47" s="3">
        <v>14</v>
      </c>
      <c r="N47" s="3">
        <v>14</v>
      </c>
      <c r="O47" s="3" t="s">
        <v>221</v>
      </c>
    </row>
    <row r="48" spans="1:24" s="3" customFormat="1" x14ac:dyDescent="0.25">
      <c r="A48" s="6">
        <v>21646325</v>
      </c>
      <c r="B48" s="7" t="s">
        <v>54</v>
      </c>
      <c r="C48" s="7" t="s">
        <v>55</v>
      </c>
      <c r="D48" s="7" t="str">
        <f>CONCATENATE(C48,89)</f>
        <v>DYH2F789</v>
      </c>
      <c r="E48" s="7" t="s">
        <v>57</v>
      </c>
      <c r="F48" s="7" t="s">
        <v>58</v>
      </c>
      <c r="G48" s="7" t="str">
        <f>CONCATENATE(E48," ",F48)</f>
        <v>ARACELY VARGAS</v>
      </c>
      <c r="H48" s="7" t="s">
        <v>46</v>
      </c>
      <c r="I48" s="7" t="s">
        <v>48</v>
      </c>
      <c r="J48" s="7" t="s">
        <v>51</v>
      </c>
      <c r="K48" s="7">
        <v>599.91999999999996</v>
      </c>
      <c r="L48" s="7">
        <v>0</v>
      </c>
      <c r="M48" s="7">
        <v>599.91999999999996</v>
      </c>
      <c r="N48" s="7">
        <v>-26.08</v>
      </c>
      <c r="O48" s="7" t="s">
        <v>220</v>
      </c>
      <c r="P48" s="7" t="s">
        <v>224</v>
      </c>
      <c r="Q48" s="7"/>
      <c r="R48" s="7"/>
      <c r="S48" s="7"/>
      <c r="T48" s="7"/>
      <c r="U48" s="7"/>
      <c r="V48" s="7"/>
      <c r="W48" s="7"/>
      <c r="X48" s="7"/>
    </row>
    <row r="49" spans="1:24" s="3" customFormat="1" x14ac:dyDescent="0.25">
      <c r="A49" s="4">
        <v>21646325</v>
      </c>
      <c r="B49" s="5" t="s">
        <v>54</v>
      </c>
      <c r="C49" s="5" t="s">
        <v>55</v>
      </c>
      <c r="D49" s="5" t="str">
        <f>CONCATENATE(C49,8)</f>
        <v>DYH2F78</v>
      </c>
      <c r="E49" s="5" t="s">
        <v>57</v>
      </c>
      <c r="F49" s="5" t="s">
        <v>58</v>
      </c>
      <c r="G49" s="7" t="str">
        <f>CONCATENATE(E49," ",F49)</f>
        <v>ARACELY VARGAS</v>
      </c>
      <c r="H49" s="5" t="s">
        <v>46</v>
      </c>
      <c r="I49" s="5" t="s">
        <v>48</v>
      </c>
      <c r="J49" s="5" t="s">
        <v>51</v>
      </c>
      <c r="K49" s="5">
        <v>599.91999999999996</v>
      </c>
      <c r="L49" s="5">
        <v>0</v>
      </c>
      <c r="M49" s="5">
        <v>599.91999999999996</v>
      </c>
      <c r="N49" s="5">
        <v>626</v>
      </c>
      <c r="O49" s="5" t="s">
        <v>223</v>
      </c>
      <c r="P49" s="5" t="s">
        <v>225</v>
      </c>
      <c r="Q49" s="5"/>
      <c r="R49" s="5"/>
      <c r="S49" s="5"/>
      <c r="T49" s="5"/>
      <c r="U49" s="5"/>
      <c r="V49" s="5"/>
      <c r="W49" s="5"/>
      <c r="X49" s="5"/>
    </row>
  </sheetData>
  <sortState xmlns:xlrd2="http://schemas.microsoft.com/office/spreadsheetml/2017/richdata2" ref="A2:X49">
    <sortCondition ref="C2:C4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zoomScaleNormal="100" workbookViewId="0">
      <selection activeCell="C2" sqref="C2:C5"/>
    </sheetView>
  </sheetViews>
  <sheetFormatPr defaultRowHeight="15" x14ac:dyDescent="0.25"/>
  <cols>
    <col min="1" max="1" width="25" customWidth="1"/>
    <col min="2" max="3" width="10" customWidth="1"/>
    <col min="4" max="4" width="50" customWidth="1"/>
    <col min="5" max="5" width="15" bestFit="1" customWidth="1"/>
  </cols>
  <sheetData>
    <row r="1" spans="1:6" x14ac:dyDescent="0.25">
      <c r="A1" t="s">
        <v>209</v>
      </c>
      <c r="B1" t="s">
        <v>210</v>
      </c>
      <c r="C1" t="s">
        <v>211</v>
      </c>
      <c r="D1" t="s">
        <v>212</v>
      </c>
    </row>
    <row r="2" spans="1:6" x14ac:dyDescent="0.25">
      <c r="A2" t="s">
        <v>213</v>
      </c>
      <c r="B2" s="1">
        <v>19586992</v>
      </c>
      <c r="C2" t="s">
        <v>214</v>
      </c>
      <c r="D2" t="s">
        <v>215</v>
      </c>
      <c r="E2" t="s">
        <v>219</v>
      </c>
      <c r="F2" t="str">
        <f>CONCATENATE(E2, " ",D2)</f>
        <v>Devoted Health HRA for member Daniel Martinez DCKKWK (IL)</v>
      </c>
    </row>
    <row r="3" spans="1:6" x14ac:dyDescent="0.25">
      <c r="A3" t="s">
        <v>107</v>
      </c>
      <c r="B3" s="1">
        <v>2158366</v>
      </c>
      <c r="C3" t="s">
        <v>214</v>
      </c>
      <c r="D3" t="s">
        <v>216</v>
      </c>
      <c r="E3" t="s">
        <v>219</v>
      </c>
      <c r="F3" t="str">
        <f t="shared" ref="F3:F5" si="0">CONCATENATE(E3, " ",D3)</f>
        <v>Devoted Health HRA for member Susan SORENSON D33HEG (IL)</v>
      </c>
    </row>
    <row r="4" spans="1:6" x14ac:dyDescent="0.25">
      <c r="A4" t="s">
        <v>54</v>
      </c>
      <c r="B4" s="1">
        <v>21646325</v>
      </c>
      <c r="C4" t="s">
        <v>214</v>
      </c>
      <c r="D4" t="s">
        <v>217</v>
      </c>
      <c r="E4" t="s">
        <v>219</v>
      </c>
      <c r="F4" t="str">
        <f t="shared" si="0"/>
        <v>Devoted Health HRA for member Aracely Vargas DYH2F7 (IL)</v>
      </c>
    </row>
    <row r="5" spans="1:6" x14ac:dyDescent="0.25">
      <c r="A5" t="s">
        <v>62</v>
      </c>
      <c r="B5" s="1">
        <v>17094718</v>
      </c>
      <c r="C5" t="s">
        <v>214</v>
      </c>
      <c r="D5" t="s">
        <v>218</v>
      </c>
      <c r="E5" t="s">
        <v>219</v>
      </c>
      <c r="F5" t="str">
        <f t="shared" si="0"/>
        <v>Devoted Health HRA for member ROGER YOUNG D86URU (OH)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Sheet1</vt:lpstr>
      <vt:lpstr>Misc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Loula Irene Cabel</cp:lastModifiedBy>
  <dcterms:created xsi:type="dcterms:W3CDTF">2025-12-19T06:48:29Z</dcterms:created>
  <dcterms:modified xsi:type="dcterms:W3CDTF">2025-12-19T18:42:07Z</dcterms:modified>
</cp:coreProperties>
</file>