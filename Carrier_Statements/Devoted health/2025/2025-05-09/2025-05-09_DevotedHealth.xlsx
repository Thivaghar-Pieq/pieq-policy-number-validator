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5-09-25\"/>
    </mc:Choice>
  </mc:AlternateContent>
  <xr:revisionPtr revIDLastSave="0" documentId="13_ncr:1_{306D8D0F-1757-48B4-B166-2607916BF4B3}" xr6:coauthVersionLast="47" xr6:coauthVersionMax="47" xr10:uidLastSave="{00000000-0000-0000-0000-000000000000}"/>
  <bookViews>
    <workbookView xWindow="28680" yWindow="-120" windowWidth="29040" windowHeight="16440" tabRatio="204" activeTab="1" xr2:uid="{00000000-000D-0000-FFFF-FFFF00000000}"/>
  </bookViews>
  <sheets>
    <sheet name="Summary" sheetId="1" r:id="rId1"/>
    <sheet name="Detail" sheetId="2" r:id="rId2"/>
  </sheets>
  <calcPr calcId="181029"/>
</workbook>
</file>

<file path=xl/calcChain.xml><?xml version="1.0" encoding="utf-8"?>
<calcChain xmlns="http://schemas.openxmlformats.org/spreadsheetml/2006/main">
  <c r="E5" i="2" l="1"/>
  <c r="E4" i="2"/>
  <c r="E3" i="2"/>
  <c r="E2" i="2"/>
</calcChain>
</file>

<file path=xl/sharedStrings.xml><?xml version="1.0" encoding="utf-8"?>
<sst xmlns="http://schemas.openxmlformats.org/spreadsheetml/2006/main" count="104" uniqueCount="67">
  <si>
    <t>Description</t>
  </si>
  <si>
    <t>Member Count</t>
  </si>
  <si>
    <t>Total</t>
  </si>
  <si>
    <t>Payee</t>
  </si>
  <si>
    <t>Payment Date</t>
  </si>
  <si>
    <t>Credits</t>
  </si>
  <si>
    <t>$799.91</t>
  </si>
  <si>
    <t>Main Line Benefits LLC</t>
  </si>
  <si>
    <t>05/09/2025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</si>
  <si>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</si>
  <si>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</si>
  <si>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</si>
  <si>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</si>
  <si>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</si>
  <si>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</si>
  <si>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</si>
  <si>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</si>
  <si>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</si>
  <si>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</si>
  <si>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</si>
  <si>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</si>
  <si>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</si>
  <si>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</si>
  <si>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</si>
  <si>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</si>
  <si>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</si>
  <si>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</si>
  <si>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</si>
  <si>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</si>
  <si>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</si>
  <si>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</si>
  <si>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</si>
  <si>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</si>
  <si>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</si>
  <si>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</si>
  <si>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</si>
  <si>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</si>
  <si>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Esther Herrera-Larsen</t>
  </si>
  <si>
    <t>DYG5UY</t>
  </si>
  <si>
    <t>1WG1AT5PG19</t>
  </si>
  <si>
    <t>MARIA</t>
  </si>
  <si>
    <t>JACOBO DE CADENA</t>
  </si>
  <si>
    <t>IL</t>
  </si>
  <si>
    <t>03/31/2025</t>
  </si>
  <si>
    <t>04/01/2025</t>
  </si>
  <si>
    <t>H7151</t>
  </si>
  <si>
    <t>NONE</t>
  </si>
  <si>
    <t>Initial - New</t>
  </si>
  <si>
    <t>Apr</t>
  </si>
  <si>
    <t>Greg Hansford</t>
  </si>
  <si>
    <t>DCU77J</t>
  </si>
  <si>
    <t>2VR9X64GH30</t>
  </si>
  <si>
    <t>MARY</t>
  </si>
  <si>
    <t>MIELE</t>
  </si>
  <si>
    <t>FL</t>
  </si>
  <si>
    <t>04/23/2025</t>
  </si>
  <si>
    <t>05/01/2025</t>
  </si>
  <si>
    <t>H1290</t>
  </si>
  <si>
    <t>MAPD</t>
  </si>
  <si>
    <t>Initial - Not New</t>
  </si>
  <si>
    <t>May</t>
  </si>
  <si>
    <t>[%/$=313][prorate=8/12]</t>
  </si>
  <si>
    <t>Devoted MAPD 2025*</t>
  </si>
  <si>
    <t>Devoted MAPD 2025 Ovr</t>
  </si>
  <si>
    <t>Main Line Benefits</t>
  </si>
  <si>
    <t>[%/$=313][prorate=9/12]</t>
  </si>
  <si>
    <t>Devoted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</si>
</sst>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2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"/>
  <sheetViews>
    <sheetView tabSelected="1" zoomScaleNormal="100" workbookViewId="0">
      <selection activeCell="Y4" sqref="Y4"/>
    </sheetView>
  </sheetViews>
  <sheetFormatPr defaultRowHeight="15" x14ac:dyDescent="0.25"/>
  <cols>
    <col min="1" max="1" width="15" customWidth="1"/>
    <col min="2" max="2" width="11.5703125" bestFit="1" customWidth="1"/>
    <col min="3" max="3" width="25" customWidth="1"/>
    <col min="4" max="5" width="15" customWidth="1"/>
    <col min="6" max="7" width="9.42578125"/>
    <col min="8" max="8" width="12.7109375" customWidth="1"/>
    <col min="9" max="9" width="13.7109375" customWidth="1"/>
    <col min="10" max="10" width="14.140625" customWidth="1"/>
    <col min="11" max="12" width="13.42578125" customWidth="1"/>
    <col min="13" max="13" width="8.7109375" customWidth="1"/>
    <col min="14" max="14" width="4.28515625" customWidth="1"/>
    <col min="15" max="15" width="14.28515625" customWidth="1"/>
    <col min="16" max="16" width="14.7109375" customWidth="1"/>
    <col min="17" max="17" width="16.7109375" customWidth="1"/>
    <col min="18" max="18" width="6.7109375" customWidth="1"/>
    <col min="19" max="19" width="12.85546875" customWidth="1"/>
    <col min="20" max="20" width="14.5703125" customWidth="1"/>
    <col min="21" max="21" width="14" customWidth="1"/>
    <col min="22" max="22" width="25.7109375" customWidth="1"/>
    <col min="23" max="23" width="18" customWidth="1"/>
    <col min="24" max="24" width="24.140625" bestFit="1" customWidth="1"/>
  </cols>
  <sheetData>
    <row r="1" spans="1:25" x14ac:dyDescent="0.25">
      <c r="A1" t="s">
        <v>16</v>
      </c>
      <c r="B1" t="s">
        <v>17</v>
      </c>
      <c r="C1" t="s">
        <v>18</v>
      </c>
      <c r="D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5" x14ac:dyDescent="0.25">
      <c r="A2" t="s">
        <v>8</v>
      </c>
      <c r="B2" s="1">
        <v>17301495</v>
      </c>
      <c r="C2" t="s">
        <v>37</v>
      </c>
      <c r="D2" t="s">
        <v>38</v>
      </c>
      <c r="E2" t="str">
        <f>CONCATENATE(D2,89)</f>
        <v>DYG5UY89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 t="s">
        <v>45</v>
      </c>
      <c r="N2">
        <v>1</v>
      </c>
      <c r="O2" t="s">
        <v>46</v>
      </c>
      <c r="P2">
        <v>1</v>
      </c>
      <c r="Q2" t="s">
        <v>47</v>
      </c>
      <c r="R2" t="s">
        <v>48</v>
      </c>
      <c r="S2">
        <v>391.25</v>
      </c>
      <c r="T2">
        <v>0</v>
      </c>
      <c r="U2">
        <v>391.25</v>
      </c>
      <c r="V2" t="s">
        <v>7</v>
      </c>
      <c r="W2">
        <v>-234.75</v>
      </c>
      <c r="X2" t="s">
        <v>65</v>
      </c>
      <c r="Y2" t="s">
        <v>62</v>
      </c>
    </row>
    <row r="3" spans="1:25" x14ac:dyDescent="0.25">
      <c r="A3" t="s">
        <v>8</v>
      </c>
      <c r="B3" s="1">
        <v>17301495</v>
      </c>
      <c r="C3" t="s">
        <v>37</v>
      </c>
      <c r="D3" t="s">
        <v>38</v>
      </c>
      <c r="E3" t="str">
        <f t="shared" ref="E3:E4" si="0">CONCATENATE(D3,89)</f>
        <v>DYG5UY89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M3" t="s">
        <v>45</v>
      </c>
      <c r="N3">
        <v>1</v>
      </c>
      <c r="O3" t="s">
        <v>46</v>
      </c>
      <c r="P3">
        <v>1</v>
      </c>
      <c r="Q3" t="s">
        <v>47</v>
      </c>
      <c r="R3" t="s">
        <v>48</v>
      </c>
      <c r="S3">
        <v>391.25</v>
      </c>
      <c r="T3">
        <v>0</v>
      </c>
      <c r="U3">
        <v>391.25</v>
      </c>
      <c r="V3" t="s">
        <v>7</v>
      </c>
      <c r="W3">
        <v>626</v>
      </c>
      <c r="Y3" t="s">
        <v>66</v>
      </c>
    </row>
    <row r="4" spans="1:25" x14ac:dyDescent="0.25">
      <c r="A4" t="s">
        <v>8</v>
      </c>
      <c r="B4" s="1">
        <v>17094718</v>
      </c>
      <c r="C4" t="s">
        <v>49</v>
      </c>
      <c r="D4" t="s">
        <v>50</v>
      </c>
      <c r="E4" t="str">
        <f t="shared" si="0"/>
        <v>DCU77J89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M4" t="s">
        <v>57</v>
      </c>
      <c r="N4">
        <v>52</v>
      </c>
      <c r="O4" t="s">
        <v>58</v>
      </c>
      <c r="P4">
        <v>11</v>
      </c>
      <c r="Q4" t="s">
        <v>59</v>
      </c>
      <c r="R4" t="s">
        <v>60</v>
      </c>
      <c r="S4">
        <v>208.66</v>
      </c>
      <c r="T4">
        <v>200</v>
      </c>
      <c r="U4">
        <v>408.66</v>
      </c>
      <c r="V4" t="s">
        <v>7</v>
      </c>
      <c r="W4">
        <v>208.66</v>
      </c>
      <c r="X4" t="s">
        <v>61</v>
      </c>
      <c r="Y4" t="s">
        <v>62</v>
      </c>
    </row>
    <row r="5" spans="1:25" x14ac:dyDescent="0.25">
      <c r="A5" t="s">
        <v>8</v>
      </c>
      <c r="B5" s="1">
        <v>20411454</v>
      </c>
      <c r="C5" t="s">
        <v>64</v>
      </c>
      <c r="D5" t="s">
        <v>50</v>
      </c>
      <c r="E5" t="str">
        <f>CONCATENATE(D5,88)</f>
        <v>DCU77J88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M5" t="s">
        <v>57</v>
      </c>
      <c r="N5">
        <v>52</v>
      </c>
      <c r="O5" t="s">
        <v>58</v>
      </c>
      <c r="P5">
        <v>11</v>
      </c>
      <c r="Q5" t="s">
        <v>59</v>
      </c>
      <c r="R5" t="s">
        <v>60</v>
      </c>
      <c r="S5">
        <v>208.66</v>
      </c>
      <c r="T5">
        <v>200</v>
      </c>
      <c r="U5">
        <v>408.66</v>
      </c>
      <c r="V5" t="s">
        <v>7</v>
      </c>
      <c r="W5">
        <v>200</v>
      </c>
      <c r="Y5" t="s">
        <v>63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2025-05-12T14:56:14Z</dcterms:created>
  <dcterms:modified xsi:type="dcterms:W3CDTF">2025-05-12T15:37:39Z</dcterms:modified>
</cp:coreProperties>
</file>