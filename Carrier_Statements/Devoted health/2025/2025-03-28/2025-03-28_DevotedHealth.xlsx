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3-28-25\"/>
    </mc:Choice>
  </mc:AlternateContent>
  <xr:revisionPtr revIDLastSave="0" documentId="13_ncr:1_{FBEE0668-F216-45B2-92E0-01CB061C017E}" xr6:coauthVersionLast="47" xr6:coauthVersionMax="47" xr10:uidLastSave="{00000000-0000-0000-0000-000000000000}"/>
  <bookViews>
    <workbookView xWindow="28680" yWindow="-120" windowWidth="29040" windowHeight="16440" tabRatio="204" firstSheet="1" activeTab="2" xr2:uid="{00000000-000D-0000-FFFF-FFFF00000000}"/>
  </bookViews>
  <sheets>
    <sheet name="Summary" sheetId="1" r:id="rId1"/>
    <sheet name="Detail" sheetId="2" r:id="rId2"/>
    <sheet name="Sheet1" sheetId="4" r:id="rId3"/>
    <sheet name="HRA" sheetId="3" r:id="rId4"/>
  </sheets>
  <calcPr calcId="181029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  <c r="I19" i="4"/>
  <c r="I2" i="4"/>
  <c r="I13" i="4"/>
  <c r="I7" i="4"/>
  <c r="I10" i="4"/>
  <c r="I15" i="4"/>
  <c r="I11" i="4"/>
  <c r="I3" i="4"/>
  <c r="I8" i="4"/>
  <c r="I20" i="4"/>
  <c r="I4" i="4"/>
  <c r="I12" i="4"/>
  <c r="I14" i="4"/>
  <c r="I16" i="4"/>
  <c r="I6" i="4"/>
  <c r="I17" i="4"/>
  <c r="I9" i="4"/>
  <c r="I5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18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21" i="4"/>
</calcChain>
</file>

<file path=xl/sharedStrings.xml><?xml version="1.0" encoding="utf-8"?>
<sst xmlns="http://schemas.openxmlformats.org/spreadsheetml/2006/main" count="960" uniqueCount="184">
  <si>
    <t>Description</t>
  </si>
  <si>
    <t>Member Count</t>
  </si>
  <si>
    <t>Total</t>
  </si>
  <si>
    <t>Payee</t>
  </si>
  <si>
    <t>Payment Date</t>
  </si>
  <si>
    <t>Credits</t>
  </si>
  <si>
    <t>$760.02</t>
  </si>
  <si>
    <t>Main Line Benefits LLC</t>
  </si>
  <si>
    <t>03/28/2025</t>
  </si>
  <si>
    <t>Debits</t>
  </si>
  <si>
    <t>$0.00</t>
  </si>
  <si>
    <t>Miscellaneous</t>
  </si>
  <si>
    <t>$100.00</t>
  </si>
  <si>
    <t>Bonus</t>
  </si>
  <si>
    <t>Sub Total</t>
  </si>
  <si>
    <t>$660.02</t>
  </si>
  <si>
    <t>Balance</t>
  </si>
  <si>
    <t>($200.00)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</si>
  <si>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</si>
  <si>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</si>
  <si>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</si>
  <si>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</si>
  <si>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</si>
  <si>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</si>
  <si>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</si>
  <si>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</si>
  <si>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</si>
  <si>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</si>
  <si>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</si>
  <si>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</si>
  <si>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</si>
  <si>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</si>
  <si>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</si>
  <si>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</si>
  <si>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</si>
  <si>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</si>
  <si>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</si>
  <si>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</si>
  <si>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</si>
  <si>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</si>
  <si>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</si>
  <si>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</si>
  <si>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</si>
  <si>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</si>
  <si>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</si>
  <si>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</si>
  <si>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</si>
  <si>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</si>
  <si>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</si>
  <si>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</si>
  <si>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</si>
  <si>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</si>
  <si>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</si>
  <si>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Mar</t>
  </si>
  <si>
    <t>DU896U</t>
  </si>
  <si>
    <t>5CM0EK1XF12</t>
  </si>
  <si>
    <t>LINDA</t>
  </si>
  <si>
    <t>CIANCIO</t>
  </si>
  <si>
    <t>07/24/2024</t>
  </si>
  <si>
    <t>08/01/2024</t>
  </si>
  <si>
    <t>8325282</t>
  </si>
  <si>
    <t>Dale Walenga</t>
  </si>
  <si>
    <t>DU29JK</t>
  </si>
  <si>
    <t>7KD4KY4QV77</t>
  </si>
  <si>
    <t>RICHARD</t>
  </si>
  <si>
    <t>DEHN</t>
  </si>
  <si>
    <t>09/18/2024</t>
  </si>
  <si>
    <t>03/31/2025</t>
  </si>
  <si>
    <t>PDP</t>
  </si>
  <si>
    <t>16683808</t>
  </si>
  <si>
    <t>Jonathan Aloff</t>
  </si>
  <si>
    <t>DH28HS</t>
  </si>
  <si>
    <t>3DU4M88UK01</t>
  </si>
  <si>
    <t>MELQUEA</t>
  </si>
  <si>
    <t>EDWARDS</t>
  </si>
  <si>
    <t>TX</t>
  </si>
  <si>
    <t>11/06/2024</t>
  </si>
  <si>
    <t>12/01/2024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</si>
  <si>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</si>
  <si>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</si>
  <si>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</si>
  <si>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</si>
  <si>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</si>
  <si>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</si>
  <si>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</si>
  <si>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</si>
  <si>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</si>
  <si>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</si>
  <si>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</si>
  <si>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</si>
  <si>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</si>
  <si>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</si>
  <si>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</si>
  <si>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</si>
  <si>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</si>
  <si>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</si>
  <si>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</si>
  <si>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</si>
  <si>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</si>
  <si>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</si>
  <si>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</si>
  <si>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</si>
  <si>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</si>
  <si>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</si>
  <si>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</si>
  <si>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</si>
  <si>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</si>
  <si>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</si>
  <si>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17301495</t>
  </si>
  <si>
    <t>Esther Herrera-Larsen</t>
  </si>
  <si>
    <t>DRH8SG</t>
  </si>
  <si>
    <t>1V09CP8GE12</t>
  </si>
  <si>
    <t>EUDOXIO</t>
  </si>
  <si>
    <t>LOPEZ</t>
  </si>
  <si>
    <t>08/16/2024</t>
  </si>
  <si>
    <t>D4AC9K</t>
  </si>
  <si>
    <t>6GA0R99WK27</t>
  </si>
  <si>
    <t>WILLIAM</t>
  </si>
  <si>
    <t>LUDWIG III</t>
  </si>
  <si>
    <t>10/04/2024</t>
  </si>
  <si>
    <t>DR8EJR</t>
  </si>
  <si>
    <t>4RV9DP2GR28</t>
  </si>
  <si>
    <t>THERESA</t>
  </si>
  <si>
    <t>MCAULEY</t>
  </si>
  <si>
    <t>07/30/2024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</si>
  <si>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</si>
  <si>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</si>
  <si>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</si>
  <si>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</si>
  <si>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</si>
  <si>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</si>
  <si>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</si>
  <si>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</si>
  <si>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</si>
  <si>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</si>
  <si>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</si>
  <si>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</si>
  <si>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</si>
  <si>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</si>
  <si>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</si>
  <si>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</si>
  <si>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</si>
  <si>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</si>
  <si>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</si>
  <si>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</si>
  <si>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</si>
  <si>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</si>
  <si>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</si>
  <si>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</si>
  <si>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</si>
  <si>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</si>
  <si>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</si>
  <si>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</si>
  <si>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</si>
  <si>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</si>
  <si>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</si>
  <si>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</si>
  <si>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</si>
  <si>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</si>
  <si>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</si>
  <si>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</si>
  <si>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</si>
  <si>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</si>
  <si>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</si>
  <si>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</si>
  <si>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</si>
  <si>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</si>
  <si>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</si>
  <si>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</si>
  <si>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</si>
  <si>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08/08/2024</t>
  </si>
  <si>
    <t>Rep Name</t>
  </si>
  <si>
    <t>Rep ID</t>
  </si>
  <si>
    <t>Amount</t>
  </si>
  <si>
    <t>Note</t>
  </si>
  <si>
    <t>$50.00</t>
  </si>
  <si>
    <t>HRA for member Marco Alvarez Perez D3ZZRK (IL)</t>
  </si>
  <si>
    <t>HRA for member Dora Patterson D3AYFF (IL)</t>
  </si>
  <si>
    <t>Main Line Benefits</t>
  </si>
  <si>
    <t>LUDWIG</t>
  </si>
  <si>
    <t>OBANA</t>
  </si>
  <si>
    <t>Devoted MAPD 2025*</t>
  </si>
  <si>
    <t>Devoted MAPD 2025 Ovr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</si>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</sst>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19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2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21</v>
      </c>
      <c r="C6" t="s">
        <v>15</v>
      </c>
    </row>
    <row r="7" spans="1:6" x14ac:dyDescent="0.25">
      <c r="A7" t="s">
        <v>16</v>
      </c>
      <c r="C7" t="s">
        <v>17</v>
      </c>
    </row>
    <row r="8" spans="1:6" x14ac:dyDescent="0.25">
      <c r="A8" t="s">
        <v>18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C1"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L2" t="s">
        <v>50</v>
      </c>
      <c r="M2">
        <v>1</v>
      </c>
      <c r="N2" t="s">
        <v>51</v>
      </c>
      <c r="O2">
        <v>2</v>
      </c>
      <c r="P2" t="s">
        <v>52</v>
      </c>
      <c r="Q2" t="s">
        <v>53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41</v>
      </c>
      <c r="C3" t="s">
        <v>42</v>
      </c>
      <c r="D3" t="s">
        <v>54</v>
      </c>
      <c r="E3" t="s">
        <v>55</v>
      </c>
      <c r="F3" t="s">
        <v>56</v>
      </c>
      <c r="G3" t="s">
        <v>57</v>
      </c>
      <c r="H3" t="s">
        <v>47</v>
      </c>
      <c r="I3" t="s">
        <v>58</v>
      </c>
      <c r="J3" t="s">
        <v>59</v>
      </c>
      <c r="L3" t="s">
        <v>50</v>
      </c>
      <c r="M3">
        <v>1</v>
      </c>
      <c r="N3" t="s">
        <v>51</v>
      </c>
      <c r="O3">
        <v>2</v>
      </c>
      <c r="P3" t="s">
        <v>52</v>
      </c>
      <c r="Q3" t="s">
        <v>53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47</v>
      </c>
      <c r="I4" t="s">
        <v>66</v>
      </c>
      <c r="J4" t="s">
        <v>49</v>
      </c>
      <c r="K4" t="s">
        <v>67</v>
      </c>
      <c r="L4" t="s">
        <v>50</v>
      </c>
      <c r="M4">
        <v>1</v>
      </c>
      <c r="N4" t="s">
        <v>68</v>
      </c>
      <c r="O4">
        <v>2</v>
      </c>
      <c r="P4" t="s">
        <v>52</v>
      </c>
      <c r="Q4" t="s">
        <v>53</v>
      </c>
      <c r="R4">
        <v>26.08</v>
      </c>
      <c r="S4">
        <v>14</v>
      </c>
      <c r="T4">
        <v>40.08</v>
      </c>
      <c r="U4" t="s">
        <v>7</v>
      </c>
    </row>
    <row r="5" spans="1:22" x14ac:dyDescent="0.25">
      <c r="A5" t="s">
        <v>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L5" t="s">
        <v>78</v>
      </c>
      <c r="M5">
        <v>7</v>
      </c>
      <c r="N5" t="s">
        <v>79</v>
      </c>
      <c r="O5">
        <v>5</v>
      </c>
      <c r="P5" t="s">
        <v>52</v>
      </c>
      <c r="Q5" t="s">
        <v>53</v>
      </c>
      <c r="R5">
        <v>26.08</v>
      </c>
      <c r="S5">
        <v>12.5</v>
      </c>
      <c r="T5">
        <v>38.58</v>
      </c>
      <c r="U5" t="s">
        <v>7</v>
      </c>
    </row>
    <row r="6" spans="1:22" x14ac:dyDescent="0.25">
      <c r="A6" t="s">
        <v>8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47</v>
      </c>
      <c r="I6" t="s">
        <v>86</v>
      </c>
      <c r="J6" t="s">
        <v>87</v>
      </c>
      <c r="L6" t="s">
        <v>50</v>
      </c>
      <c r="M6">
        <v>1</v>
      </c>
      <c r="N6" t="s">
        <v>51</v>
      </c>
      <c r="O6">
        <v>2</v>
      </c>
      <c r="P6" t="s">
        <v>52</v>
      </c>
      <c r="Q6" t="s">
        <v>53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H7" t="s">
        <v>47</v>
      </c>
      <c r="I7" t="s">
        <v>49</v>
      </c>
      <c r="J7" t="s">
        <v>77</v>
      </c>
      <c r="L7" t="s">
        <v>94</v>
      </c>
      <c r="M7">
        <v>1</v>
      </c>
      <c r="N7" t="s">
        <v>51</v>
      </c>
      <c r="O7">
        <v>2</v>
      </c>
      <c r="P7" t="s">
        <v>52</v>
      </c>
      <c r="Q7" t="s">
        <v>53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  <c r="H8" t="s">
        <v>47</v>
      </c>
      <c r="I8" t="s">
        <v>101</v>
      </c>
      <c r="J8" t="s">
        <v>49</v>
      </c>
      <c r="L8" t="s">
        <v>50</v>
      </c>
      <c r="M8">
        <v>1</v>
      </c>
      <c r="N8" t="s">
        <v>51</v>
      </c>
      <c r="O8">
        <v>2</v>
      </c>
      <c r="P8" t="s">
        <v>52</v>
      </c>
      <c r="Q8" t="s">
        <v>53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88</v>
      </c>
      <c r="C9" t="s">
        <v>89</v>
      </c>
      <c r="D9" t="s">
        <v>102</v>
      </c>
      <c r="E9" t="s">
        <v>103</v>
      </c>
      <c r="F9" t="s">
        <v>104</v>
      </c>
      <c r="G9" t="s">
        <v>105</v>
      </c>
      <c r="H9" t="s">
        <v>47</v>
      </c>
      <c r="I9" t="s">
        <v>106</v>
      </c>
      <c r="J9" t="s">
        <v>107</v>
      </c>
      <c r="L9" t="s">
        <v>94</v>
      </c>
      <c r="M9">
        <v>1</v>
      </c>
      <c r="N9" t="s">
        <v>51</v>
      </c>
      <c r="O9">
        <v>2</v>
      </c>
      <c r="P9" t="s">
        <v>52</v>
      </c>
      <c r="Q9" t="s">
        <v>53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47</v>
      </c>
      <c r="I10" t="s">
        <v>114</v>
      </c>
      <c r="J10" t="s">
        <v>107</v>
      </c>
      <c r="K10" t="s">
        <v>67</v>
      </c>
      <c r="L10" t="s">
        <v>94</v>
      </c>
      <c r="M10">
        <v>1</v>
      </c>
      <c r="N10" t="s">
        <v>51</v>
      </c>
      <c r="O10">
        <v>2</v>
      </c>
      <c r="P10" t="s">
        <v>52</v>
      </c>
      <c r="Q10" t="s">
        <v>53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80</v>
      </c>
      <c r="C11" t="s">
        <v>81</v>
      </c>
      <c r="D11" t="s">
        <v>115</v>
      </c>
      <c r="E11" t="s">
        <v>116</v>
      </c>
      <c r="F11" t="s">
        <v>117</v>
      </c>
      <c r="G11" t="s">
        <v>118</v>
      </c>
      <c r="H11" t="s">
        <v>47</v>
      </c>
      <c r="I11" t="s">
        <v>119</v>
      </c>
      <c r="J11" t="s">
        <v>107</v>
      </c>
      <c r="L11" t="s">
        <v>94</v>
      </c>
      <c r="M11">
        <v>1</v>
      </c>
      <c r="N11" t="s">
        <v>68</v>
      </c>
      <c r="O11">
        <v>2</v>
      </c>
      <c r="P11" t="s">
        <v>52</v>
      </c>
      <c r="Q11" t="s">
        <v>53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41</v>
      </c>
      <c r="C12" t="s">
        <v>42</v>
      </c>
      <c r="D12" t="s">
        <v>120</v>
      </c>
      <c r="E12" t="s">
        <v>121</v>
      </c>
      <c r="F12" t="s">
        <v>122</v>
      </c>
      <c r="G12" t="s">
        <v>123</v>
      </c>
      <c r="H12" t="s">
        <v>47</v>
      </c>
      <c r="I12" t="s">
        <v>124</v>
      </c>
      <c r="J12" t="s">
        <v>59</v>
      </c>
      <c r="L12" t="s">
        <v>50</v>
      </c>
      <c r="M12">
        <v>1</v>
      </c>
      <c r="N12" t="s">
        <v>51</v>
      </c>
      <c r="O12">
        <v>2</v>
      </c>
      <c r="P12" t="s">
        <v>52</v>
      </c>
      <c r="Q12" t="s">
        <v>53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108</v>
      </c>
      <c r="C13" t="s">
        <v>109</v>
      </c>
      <c r="D13" t="s">
        <v>125</v>
      </c>
      <c r="E13" t="s">
        <v>126</v>
      </c>
      <c r="F13" t="s">
        <v>127</v>
      </c>
      <c r="G13" t="s">
        <v>128</v>
      </c>
      <c r="H13" t="s">
        <v>47</v>
      </c>
      <c r="I13" t="s">
        <v>129</v>
      </c>
      <c r="J13" t="s">
        <v>87</v>
      </c>
      <c r="L13" t="s">
        <v>50</v>
      </c>
      <c r="M13">
        <v>1</v>
      </c>
      <c r="N13" t="s">
        <v>51</v>
      </c>
      <c r="O13">
        <v>2</v>
      </c>
      <c r="P13" t="s">
        <v>52</v>
      </c>
      <c r="Q13" t="s">
        <v>53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88</v>
      </c>
      <c r="C14" t="s">
        <v>89</v>
      </c>
      <c r="D14" t="s">
        <v>130</v>
      </c>
      <c r="E14" t="s">
        <v>131</v>
      </c>
      <c r="F14" t="s">
        <v>132</v>
      </c>
      <c r="G14" t="s">
        <v>133</v>
      </c>
      <c r="H14" t="s">
        <v>47</v>
      </c>
      <c r="I14" t="s">
        <v>134</v>
      </c>
      <c r="J14" t="s">
        <v>49</v>
      </c>
      <c r="L14" t="s">
        <v>50</v>
      </c>
      <c r="M14">
        <v>1</v>
      </c>
      <c r="N14" t="s">
        <v>79</v>
      </c>
      <c r="O14">
        <v>6</v>
      </c>
      <c r="P14" t="s">
        <v>52</v>
      </c>
      <c r="Q14" t="s">
        <v>53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47</v>
      </c>
      <c r="I15" t="s">
        <v>76</v>
      </c>
      <c r="J15" t="s">
        <v>141</v>
      </c>
      <c r="L15" t="s">
        <v>94</v>
      </c>
      <c r="M15">
        <v>3</v>
      </c>
      <c r="N15" t="s">
        <v>79</v>
      </c>
      <c r="O15">
        <v>2</v>
      </c>
      <c r="P15" t="s">
        <v>52</v>
      </c>
      <c r="Q15" t="s">
        <v>53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95</v>
      </c>
      <c r="C16" t="s">
        <v>96</v>
      </c>
      <c r="D16" t="s">
        <v>142</v>
      </c>
      <c r="E16" t="s">
        <v>143</v>
      </c>
      <c r="F16" t="s">
        <v>144</v>
      </c>
      <c r="G16" t="s">
        <v>145</v>
      </c>
      <c r="H16" t="s">
        <v>47</v>
      </c>
      <c r="I16" t="s">
        <v>146</v>
      </c>
      <c r="J16" t="s">
        <v>107</v>
      </c>
      <c r="L16" t="s">
        <v>94</v>
      </c>
      <c r="M16">
        <v>1</v>
      </c>
      <c r="N16" t="s">
        <v>51</v>
      </c>
      <c r="O16">
        <v>2</v>
      </c>
      <c r="P16" t="s">
        <v>52</v>
      </c>
      <c r="Q16" t="s">
        <v>53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47</v>
      </c>
      <c r="I17" t="s">
        <v>153</v>
      </c>
      <c r="J17" t="s">
        <v>107</v>
      </c>
      <c r="L17" t="s">
        <v>50</v>
      </c>
      <c r="M17">
        <v>1</v>
      </c>
      <c r="N17" t="s">
        <v>51</v>
      </c>
      <c r="O17">
        <v>2</v>
      </c>
      <c r="P17" t="s">
        <v>52</v>
      </c>
      <c r="Q17" t="s">
        <v>53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47</v>
      </c>
      <c r="I18" t="s">
        <v>160</v>
      </c>
      <c r="J18" t="s">
        <v>49</v>
      </c>
      <c r="L18" t="s">
        <v>50</v>
      </c>
      <c r="M18">
        <v>1</v>
      </c>
      <c r="N18" t="s">
        <v>51</v>
      </c>
      <c r="O18">
        <v>2</v>
      </c>
      <c r="P18" t="s">
        <v>52</v>
      </c>
      <c r="Q18" t="s">
        <v>53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80</v>
      </c>
      <c r="C19" t="s">
        <v>81</v>
      </c>
      <c r="D19" t="s">
        <v>161</v>
      </c>
      <c r="E19" t="s">
        <v>162</v>
      </c>
      <c r="F19" t="s">
        <v>163</v>
      </c>
      <c r="G19" t="s">
        <v>164</v>
      </c>
      <c r="H19" t="s">
        <v>47</v>
      </c>
      <c r="I19" t="s">
        <v>165</v>
      </c>
      <c r="J19" t="s">
        <v>59</v>
      </c>
      <c r="L19" t="s">
        <v>94</v>
      </c>
      <c r="M19">
        <v>1</v>
      </c>
      <c r="N19" t="s">
        <v>51</v>
      </c>
      <c r="O19">
        <v>2</v>
      </c>
      <c r="P19" t="s">
        <v>52</v>
      </c>
      <c r="Q19" t="s">
        <v>53</v>
      </c>
      <c r="R19">
        <v>26.08</v>
      </c>
      <c r="S19">
        <v>14</v>
      </c>
      <c r="T19">
        <v>40.08</v>
      </c>
      <c r="U19" t="s">
        <v>7</v>
      </c>
    </row>
    <row r="20" spans="1:21" x14ac:dyDescent="0.25">
      <c r="A20" t="s">
        <v>8</v>
      </c>
      <c r="B20" t="s">
        <v>108</v>
      </c>
      <c r="C20" t="s">
        <v>109</v>
      </c>
      <c r="D20" t="s">
        <v>166</v>
      </c>
      <c r="E20" t="s">
        <v>167</v>
      </c>
      <c r="F20" t="s">
        <v>168</v>
      </c>
      <c r="G20" t="s">
        <v>169</v>
      </c>
      <c r="H20" t="s">
        <v>47</v>
      </c>
      <c r="I20" t="s">
        <v>170</v>
      </c>
      <c r="J20" t="s">
        <v>107</v>
      </c>
      <c r="K20" t="s">
        <v>67</v>
      </c>
      <c r="L20" t="s">
        <v>94</v>
      </c>
      <c r="M20">
        <v>1</v>
      </c>
      <c r="N20" t="s">
        <v>51</v>
      </c>
      <c r="O20">
        <v>2</v>
      </c>
      <c r="P20" t="s">
        <v>52</v>
      </c>
      <c r="Q20" t="s">
        <v>53</v>
      </c>
      <c r="R20">
        <v>26.08</v>
      </c>
      <c r="S20">
        <v>14</v>
      </c>
      <c r="T20">
        <v>40.08</v>
      </c>
      <c r="U2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FCAC-A18A-40D4-A125-E31B5EE238F4}">
  <dimension ref="A1:Y39"/>
  <sheetViews>
    <sheetView tabSelected="1" workbookViewId="0">
      <selection activeCell="E2" sqref="E2:E20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5" width="15" customWidth="1"/>
    <col min="8" max="8" width="12.7109375" customWidth="1"/>
    <col min="9" max="9" width="24.140625" bestFit="1" customWidth="1"/>
    <col min="10" max="10" width="13.7109375" customWidth="1"/>
    <col min="11" max="11" width="14.140625" customWidth="1"/>
    <col min="12" max="13" width="13.42578125" customWidth="1"/>
    <col min="14" max="14" width="8.7109375" customWidth="1"/>
    <col min="15" max="15" width="4.28515625" customWidth="1"/>
    <col min="16" max="16" width="14.28515625" customWidth="1"/>
    <col min="17" max="17" width="14.7109375" customWidth="1"/>
    <col min="18" max="18" width="16.7109375" customWidth="1"/>
    <col min="19" max="19" width="6.7109375" customWidth="1"/>
    <col min="20" max="20" width="12.85546875" customWidth="1"/>
    <col min="21" max="21" width="14.5703125" customWidth="1"/>
    <col min="22" max="22" width="14" customWidth="1"/>
    <col min="23" max="23" width="25.7109375" customWidth="1"/>
    <col min="24" max="24" width="18" customWidth="1"/>
  </cols>
  <sheetData>
    <row r="1" spans="1:25" x14ac:dyDescent="0.25">
      <c r="A1" t="s">
        <v>19</v>
      </c>
      <c r="B1" t="s">
        <v>20</v>
      </c>
      <c r="C1" t="s">
        <v>21</v>
      </c>
      <c r="D1" t="s">
        <v>22</v>
      </c>
      <c r="F1" t="s">
        <v>23</v>
      </c>
      <c r="G1" t="s">
        <v>24</v>
      </c>
      <c r="H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</row>
    <row r="2" spans="1:25" x14ac:dyDescent="0.25">
      <c r="A2" t="s">
        <v>8</v>
      </c>
      <c r="B2" s="2">
        <v>8325282</v>
      </c>
      <c r="C2" t="s">
        <v>61</v>
      </c>
      <c r="D2" t="s">
        <v>62</v>
      </c>
      <c r="E2" t="str">
        <f>CONCATENATE(D2,89)</f>
        <v>DU29JK89</v>
      </c>
      <c r="F2" t="s">
        <v>63</v>
      </c>
      <c r="G2" t="s">
        <v>64</v>
      </c>
      <c r="H2" t="s">
        <v>65</v>
      </c>
      <c r="I2" t="str">
        <f>CONCATENATE(G2, " ",H2)</f>
        <v>RICHARD DEHN</v>
      </c>
      <c r="J2" t="s">
        <v>47</v>
      </c>
      <c r="K2" t="s">
        <v>66</v>
      </c>
      <c r="L2" t="s">
        <v>49</v>
      </c>
      <c r="M2" t="s">
        <v>67</v>
      </c>
      <c r="N2" t="s">
        <v>50</v>
      </c>
      <c r="O2">
        <v>1</v>
      </c>
      <c r="P2" t="s">
        <v>68</v>
      </c>
      <c r="Q2">
        <v>2</v>
      </c>
      <c r="R2" t="s">
        <v>52</v>
      </c>
      <c r="S2" t="s">
        <v>53</v>
      </c>
      <c r="T2">
        <v>26.08</v>
      </c>
      <c r="U2">
        <v>26.08</v>
      </c>
      <c r="V2">
        <v>40.08</v>
      </c>
      <c r="W2" t="s">
        <v>7</v>
      </c>
      <c r="X2" t="s">
        <v>181</v>
      </c>
      <c r="Y2" t="s">
        <v>183</v>
      </c>
    </row>
    <row r="3" spans="1:25" x14ac:dyDescent="0.25">
      <c r="A3" t="s">
        <v>8</v>
      </c>
      <c r="B3" s="2">
        <v>17301495</v>
      </c>
      <c r="C3" t="s">
        <v>109</v>
      </c>
      <c r="D3" t="s">
        <v>110</v>
      </c>
      <c r="E3" t="str">
        <f t="shared" ref="E3:E20" si="0">CONCATENATE(D3,89)</f>
        <v>DRH8SG89</v>
      </c>
      <c r="F3" t="s">
        <v>111</v>
      </c>
      <c r="G3" t="s">
        <v>112</v>
      </c>
      <c r="H3" t="s">
        <v>113</v>
      </c>
      <c r="I3" t="str">
        <f>CONCATENATE(G3, " ",H3)</f>
        <v>EUDOXIO LOPEZ</v>
      </c>
      <c r="J3" t="s">
        <v>47</v>
      </c>
      <c r="K3" t="s">
        <v>114</v>
      </c>
      <c r="L3" t="s">
        <v>107</v>
      </c>
      <c r="M3" t="s">
        <v>67</v>
      </c>
      <c r="N3" t="s">
        <v>94</v>
      </c>
      <c r="O3">
        <v>1</v>
      </c>
      <c r="P3" t="s">
        <v>51</v>
      </c>
      <c r="Q3">
        <v>2</v>
      </c>
      <c r="R3" t="s">
        <v>52</v>
      </c>
      <c r="S3" t="s">
        <v>53</v>
      </c>
      <c r="T3">
        <v>26.08</v>
      </c>
      <c r="U3">
        <v>26.08</v>
      </c>
      <c r="V3">
        <v>40.08</v>
      </c>
      <c r="W3" t="s">
        <v>7</v>
      </c>
      <c r="X3" t="s">
        <v>181</v>
      </c>
      <c r="Y3" t="s">
        <v>183</v>
      </c>
    </row>
    <row r="4" spans="1:25" x14ac:dyDescent="0.25">
      <c r="A4" t="s">
        <v>8</v>
      </c>
      <c r="B4" s="2">
        <v>17301495</v>
      </c>
      <c r="C4" t="s">
        <v>109</v>
      </c>
      <c r="D4" t="s">
        <v>125</v>
      </c>
      <c r="E4" t="str">
        <f t="shared" si="0"/>
        <v>D2UZFA89</v>
      </c>
      <c r="F4" t="s">
        <v>126</v>
      </c>
      <c r="G4" t="s">
        <v>127</v>
      </c>
      <c r="H4" t="s">
        <v>128</v>
      </c>
      <c r="I4" t="str">
        <f>CONCATENATE(G4, " ",H4)</f>
        <v>ABELARDO MONARREZ</v>
      </c>
      <c r="J4" t="s">
        <v>47</v>
      </c>
      <c r="K4" t="s">
        <v>129</v>
      </c>
      <c r="L4" t="s">
        <v>87</v>
      </c>
      <c r="N4" t="s">
        <v>50</v>
      </c>
      <c r="O4">
        <v>1</v>
      </c>
      <c r="P4" t="s">
        <v>51</v>
      </c>
      <c r="Q4">
        <v>2</v>
      </c>
      <c r="R4" t="s">
        <v>52</v>
      </c>
      <c r="S4" t="s">
        <v>53</v>
      </c>
      <c r="T4">
        <v>26.08</v>
      </c>
      <c r="U4">
        <v>26.08</v>
      </c>
      <c r="V4">
        <v>40.08</v>
      </c>
      <c r="W4" t="s">
        <v>7</v>
      </c>
      <c r="X4" t="s">
        <v>181</v>
      </c>
      <c r="Y4" t="s">
        <v>183</v>
      </c>
    </row>
    <row r="5" spans="1:25" x14ac:dyDescent="0.25">
      <c r="A5" t="s">
        <v>8</v>
      </c>
      <c r="B5" s="2">
        <v>17301495</v>
      </c>
      <c r="C5" t="s">
        <v>109</v>
      </c>
      <c r="D5" t="s">
        <v>166</v>
      </c>
      <c r="E5" t="str">
        <f t="shared" si="0"/>
        <v>DUW2FG89</v>
      </c>
      <c r="F5" t="s">
        <v>167</v>
      </c>
      <c r="G5" t="s">
        <v>168</v>
      </c>
      <c r="H5" t="s">
        <v>169</v>
      </c>
      <c r="I5" t="str">
        <f>CONCATENATE(G5, " ",H5)</f>
        <v>EMMA VALE</v>
      </c>
      <c r="J5" t="s">
        <v>47</v>
      </c>
      <c r="K5" t="s">
        <v>170</v>
      </c>
      <c r="L5" t="s">
        <v>107</v>
      </c>
      <c r="M5" t="s">
        <v>67</v>
      </c>
      <c r="N5" t="s">
        <v>94</v>
      </c>
      <c r="O5">
        <v>1</v>
      </c>
      <c r="P5" t="s">
        <v>51</v>
      </c>
      <c r="Q5">
        <v>2</v>
      </c>
      <c r="R5" t="s">
        <v>52</v>
      </c>
      <c r="S5" t="s">
        <v>53</v>
      </c>
      <c r="T5">
        <v>26.08</v>
      </c>
      <c r="U5">
        <v>26.08</v>
      </c>
      <c r="V5">
        <v>40.08</v>
      </c>
      <c r="W5" t="s">
        <v>7</v>
      </c>
      <c r="X5" t="s">
        <v>181</v>
      </c>
      <c r="Y5" t="s">
        <v>183</v>
      </c>
    </row>
    <row r="6" spans="1:25" x14ac:dyDescent="0.25">
      <c r="A6" t="s">
        <v>8</v>
      </c>
      <c r="B6" s="2">
        <v>9213293</v>
      </c>
      <c r="C6" t="s">
        <v>148</v>
      </c>
      <c r="D6" t="s">
        <v>149</v>
      </c>
      <c r="E6" t="str">
        <f t="shared" si="0"/>
        <v>DEW7CR89</v>
      </c>
      <c r="F6" t="s">
        <v>150</v>
      </c>
      <c r="G6" t="s">
        <v>151</v>
      </c>
      <c r="H6" t="s">
        <v>152</v>
      </c>
      <c r="I6" t="str">
        <f>CONCATENATE(G6, " ",H6)</f>
        <v>PATRICIA PROCHASKA</v>
      </c>
      <c r="J6" t="s">
        <v>47</v>
      </c>
      <c r="K6" t="s">
        <v>153</v>
      </c>
      <c r="L6" t="s">
        <v>107</v>
      </c>
      <c r="N6" t="s">
        <v>50</v>
      </c>
      <c r="O6">
        <v>1</v>
      </c>
      <c r="P6" t="s">
        <v>51</v>
      </c>
      <c r="Q6">
        <v>2</v>
      </c>
      <c r="R6" t="s">
        <v>52</v>
      </c>
      <c r="S6" t="s">
        <v>53</v>
      </c>
      <c r="T6">
        <v>26.08</v>
      </c>
      <c r="U6">
        <v>26.08</v>
      </c>
      <c r="V6">
        <v>40.08</v>
      </c>
      <c r="W6" t="s">
        <v>7</v>
      </c>
      <c r="X6" t="s">
        <v>181</v>
      </c>
      <c r="Y6" t="s">
        <v>183</v>
      </c>
    </row>
    <row r="7" spans="1:25" x14ac:dyDescent="0.25">
      <c r="A7" t="s">
        <v>8</v>
      </c>
      <c r="B7" s="2">
        <v>18754354</v>
      </c>
      <c r="C7" t="s">
        <v>81</v>
      </c>
      <c r="D7" t="s">
        <v>82</v>
      </c>
      <c r="E7" t="str">
        <f t="shared" si="0"/>
        <v>D9H8YE89</v>
      </c>
      <c r="F7" t="s">
        <v>83</v>
      </c>
      <c r="G7" t="s">
        <v>84</v>
      </c>
      <c r="H7" t="s">
        <v>85</v>
      </c>
      <c r="I7" t="str">
        <f>CONCATENATE(G7, " ",H7)</f>
        <v>ANNETTE EDWARDSON</v>
      </c>
      <c r="J7" t="s">
        <v>47</v>
      </c>
      <c r="K7" t="s">
        <v>86</v>
      </c>
      <c r="L7" t="s">
        <v>87</v>
      </c>
      <c r="N7" t="s">
        <v>50</v>
      </c>
      <c r="O7">
        <v>1</v>
      </c>
      <c r="P7" t="s">
        <v>51</v>
      </c>
      <c r="Q7">
        <v>2</v>
      </c>
      <c r="R7" t="s">
        <v>52</v>
      </c>
      <c r="S7" t="s">
        <v>53</v>
      </c>
      <c r="T7">
        <v>26.08</v>
      </c>
      <c r="U7">
        <v>26.08</v>
      </c>
      <c r="V7">
        <v>40.08</v>
      </c>
      <c r="W7" t="s">
        <v>7</v>
      </c>
      <c r="X7" t="s">
        <v>181</v>
      </c>
      <c r="Y7" t="s">
        <v>183</v>
      </c>
    </row>
    <row r="8" spans="1:25" x14ac:dyDescent="0.25">
      <c r="A8" t="s">
        <v>8</v>
      </c>
      <c r="B8" s="2">
        <v>18754354</v>
      </c>
      <c r="C8" t="s">
        <v>81</v>
      </c>
      <c r="D8" t="s">
        <v>115</v>
      </c>
      <c r="E8" t="str">
        <f t="shared" si="0"/>
        <v>D4AC9K89</v>
      </c>
      <c r="F8" t="s">
        <v>116</v>
      </c>
      <c r="G8" t="s">
        <v>117</v>
      </c>
      <c r="H8" t="s">
        <v>179</v>
      </c>
      <c r="I8" t="str">
        <f>CONCATENATE(G8, " ",H8)</f>
        <v>WILLIAM LUDWIG</v>
      </c>
      <c r="J8" t="s">
        <v>47</v>
      </c>
      <c r="K8" t="s">
        <v>119</v>
      </c>
      <c r="L8" t="s">
        <v>107</v>
      </c>
      <c r="N8" t="s">
        <v>94</v>
      </c>
      <c r="O8">
        <v>1</v>
      </c>
      <c r="P8" t="s">
        <v>68</v>
      </c>
      <c r="Q8">
        <v>2</v>
      </c>
      <c r="R8" t="s">
        <v>52</v>
      </c>
      <c r="S8" t="s">
        <v>53</v>
      </c>
      <c r="T8">
        <v>26.08</v>
      </c>
      <c r="U8">
        <v>26.08</v>
      </c>
      <c r="V8">
        <v>40.08</v>
      </c>
      <c r="W8" t="s">
        <v>7</v>
      </c>
      <c r="X8" t="s">
        <v>181</v>
      </c>
      <c r="Y8" t="s">
        <v>183</v>
      </c>
    </row>
    <row r="9" spans="1:25" x14ac:dyDescent="0.25">
      <c r="A9" t="s">
        <v>8</v>
      </c>
      <c r="B9" s="2">
        <v>18754354</v>
      </c>
      <c r="C9" t="s">
        <v>81</v>
      </c>
      <c r="D9" t="s">
        <v>161</v>
      </c>
      <c r="E9" t="str">
        <f t="shared" si="0"/>
        <v>D8C77989</v>
      </c>
      <c r="F9" t="s">
        <v>162</v>
      </c>
      <c r="G9" t="s">
        <v>163</v>
      </c>
      <c r="H9" t="s">
        <v>164</v>
      </c>
      <c r="I9" t="str">
        <f>CONCATENATE(G9, " ",H9)</f>
        <v>CHRISTOPHER SPRINGER</v>
      </c>
      <c r="J9" t="s">
        <v>47</v>
      </c>
      <c r="K9" t="s">
        <v>165</v>
      </c>
      <c r="L9" t="s">
        <v>59</v>
      </c>
      <c r="N9" t="s">
        <v>94</v>
      </c>
      <c r="O9">
        <v>1</v>
      </c>
      <c r="P9" t="s">
        <v>51</v>
      </c>
      <c r="Q9">
        <v>2</v>
      </c>
      <c r="R9" t="s">
        <v>52</v>
      </c>
      <c r="S9" t="s">
        <v>53</v>
      </c>
      <c r="T9">
        <v>26.08</v>
      </c>
      <c r="U9">
        <v>26.08</v>
      </c>
      <c r="V9">
        <v>40.08</v>
      </c>
      <c r="W9" t="s">
        <v>7</v>
      </c>
      <c r="X9" t="s">
        <v>181</v>
      </c>
      <c r="Y9" t="s">
        <v>183</v>
      </c>
    </row>
    <row r="10" spans="1:25" x14ac:dyDescent="0.25">
      <c r="A10" t="s">
        <v>8</v>
      </c>
      <c r="B10" s="2">
        <v>2158366</v>
      </c>
      <c r="C10" t="s">
        <v>89</v>
      </c>
      <c r="D10" t="s">
        <v>90</v>
      </c>
      <c r="E10" t="str">
        <f t="shared" si="0"/>
        <v>D6K5SY89</v>
      </c>
      <c r="F10" t="s">
        <v>91</v>
      </c>
      <c r="G10" t="s">
        <v>92</v>
      </c>
      <c r="H10" t="s">
        <v>93</v>
      </c>
      <c r="I10" t="str">
        <f>CONCATENATE(G10, " ",H10)</f>
        <v>SUSAN EICHMAN PARCELL</v>
      </c>
      <c r="J10" t="s">
        <v>47</v>
      </c>
      <c r="K10" t="s">
        <v>49</v>
      </c>
      <c r="L10" t="s">
        <v>77</v>
      </c>
      <c r="N10" t="s">
        <v>94</v>
      </c>
      <c r="O10">
        <v>1</v>
      </c>
      <c r="P10" t="s">
        <v>51</v>
      </c>
      <c r="Q10">
        <v>2</v>
      </c>
      <c r="R10" t="s">
        <v>52</v>
      </c>
      <c r="S10" t="s">
        <v>53</v>
      </c>
      <c r="T10">
        <v>26.08</v>
      </c>
      <c r="U10">
        <v>26.08</v>
      </c>
      <c r="V10">
        <v>40.08</v>
      </c>
      <c r="W10" t="s">
        <v>7</v>
      </c>
      <c r="X10" t="s">
        <v>181</v>
      </c>
      <c r="Y10" t="s">
        <v>183</v>
      </c>
    </row>
    <row r="11" spans="1:25" x14ac:dyDescent="0.25">
      <c r="A11" t="s">
        <v>8</v>
      </c>
      <c r="B11" s="2">
        <v>2158366</v>
      </c>
      <c r="C11" t="s">
        <v>89</v>
      </c>
      <c r="D11" t="s">
        <v>102</v>
      </c>
      <c r="E11" t="str">
        <f t="shared" si="0"/>
        <v>D7ZW4G89</v>
      </c>
      <c r="F11" t="s">
        <v>103</v>
      </c>
      <c r="G11" t="s">
        <v>104</v>
      </c>
      <c r="H11" t="s">
        <v>105</v>
      </c>
      <c r="I11" t="str">
        <f>CONCATENATE(G11, " ",H11)</f>
        <v>JEFFREY JOHNS</v>
      </c>
      <c r="J11" t="s">
        <v>47</v>
      </c>
      <c r="K11" t="s">
        <v>106</v>
      </c>
      <c r="L11" t="s">
        <v>107</v>
      </c>
      <c r="N11" t="s">
        <v>94</v>
      </c>
      <c r="O11">
        <v>1</v>
      </c>
      <c r="P11" t="s">
        <v>51</v>
      </c>
      <c r="Q11">
        <v>2</v>
      </c>
      <c r="R11" t="s">
        <v>52</v>
      </c>
      <c r="S11" t="s">
        <v>53</v>
      </c>
      <c r="T11">
        <v>26.08</v>
      </c>
      <c r="U11">
        <v>26.08</v>
      </c>
      <c r="V11">
        <v>40.08</v>
      </c>
      <c r="W11" t="s">
        <v>7</v>
      </c>
      <c r="X11" t="s">
        <v>181</v>
      </c>
      <c r="Y11" t="s">
        <v>183</v>
      </c>
    </row>
    <row r="12" spans="1:25" x14ac:dyDescent="0.25">
      <c r="A12" t="s">
        <v>8</v>
      </c>
      <c r="B12" s="2">
        <v>2158366</v>
      </c>
      <c r="C12" t="s">
        <v>89</v>
      </c>
      <c r="D12" t="s">
        <v>130</v>
      </c>
      <c r="E12" t="str">
        <f t="shared" si="0"/>
        <v>D3A4KF89</v>
      </c>
      <c r="F12" t="s">
        <v>131</v>
      </c>
      <c r="G12" t="s">
        <v>132</v>
      </c>
      <c r="H12" t="s">
        <v>133</v>
      </c>
      <c r="I12" t="str">
        <f>CONCATENATE(G12, " ",H12)</f>
        <v>LAURA MROZEK</v>
      </c>
      <c r="J12" t="s">
        <v>47</v>
      </c>
      <c r="K12" t="s">
        <v>134</v>
      </c>
      <c r="L12" t="s">
        <v>49</v>
      </c>
      <c r="N12" t="s">
        <v>50</v>
      </c>
      <c r="O12">
        <v>1</v>
      </c>
      <c r="P12" t="s">
        <v>79</v>
      </c>
      <c r="Q12">
        <v>6</v>
      </c>
      <c r="R12" t="s">
        <v>52</v>
      </c>
      <c r="S12" t="s">
        <v>53</v>
      </c>
      <c r="T12">
        <v>26.08</v>
      </c>
      <c r="U12">
        <v>26.08</v>
      </c>
      <c r="V12">
        <v>40.08</v>
      </c>
      <c r="W12" t="s">
        <v>7</v>
      </c>
      <c r="X12" t="s">
        <v>181</v>
      </c>
      <c r="Y12" t="s">
        <v>183</v>
      </c>
    </row>
    <row r="13" spans="1:25" x14ac:dyDescent="0.25">
      <c r="A13" t="s">
        <v>8</v>
      </c>
      <c r="B13" s="2">
        <v>16683808</v>
      </c>
      <c r="C13" t="s">
        <v>70</v>
      </c>
      <c r="D13" t="s">
        <v>71</v>
      </c>
      <c r="E13" t="str">
        <f t="shared" si="0"/>
        <v>DH28HS89</v>
      </c>
      <c r="F13" t="s">
        <v>72</v>
      </c>
      <c r="G13" t="s">
        <v>73</v>
      </c>
      <c r="H13" t="s">
        <v>74</v>
      </c>
      <c r="I13" t="str">
        <f>CONCATENATE(G13, " ",H13)</f>
        <v>MELQUEA EDWARDS</v>
      </c>
      <c r="J13" t="s">
        <v>75</v>
      </c>
      <c r="K13" t="s">
        <v>76</v>
      </c>
      <c r="L13" t="s">
        <v>77</v>
      </c>
      <c r="N13" t="s">
        <v>78</v>
      </c>
      <c r="O13">
        <v>7</v>
      </c>
      <c r="P13" t="s">
        <v>79</v>
      </c>
      <c r="Q13">
        <v>5</v>
      </c>
      <c r="R13" t="s">
        <v>52</v>
      </c>
      <c r="S13" t="s">
        <v>53</v>
      </c>
      <c r="T13">
        <v>26.08</v>
      </c>
      <c r="U13">
        <v>26.08</v>
      </c>
      <c r="V13">
        <v>38.58</v>
      </c>
      <c r="W13" t="s">
        <v>7</v>
      </c>
      <c r="X13" t="s">
        <v>181</v>
      </c>
      <c r="Y13" t="s">
        <v>183</v>
      </c>
    </row>
    <row r="14" spans="1:25" x14ac:dyDescent="0.25">
      <c r="A14" t="s">
        <v>8</v>
      </c>
      <c r="B14" s="2">
        <v>20212926</v>
      </c>
      <c r="C14" t="s">
        <v>136</v>
      </c>
      <c r="D14" t="s">
        <v>137</v>
      </c>
      <c r="E14" t="str">
        <f t="shared" si="0"/>
        <v>DYS7K389</v>
      </c>
      <c r="F14" t="s">
        <v>138</v>
      </c>
      <c r="G14" t="s">
        <v>139</v>
      </c>
      <c r="H14" t="s">
        <v>180</v>
      </c>
      <c r="I14" t="str">
        <f>CONCATENATE(G14, " ",H14)</f>
        <v>ANIANO OBANA</v>
      </c>
      <c r="J14" t="s">
        <v>47</v>
      </c>
      <c r="K14" t="s">
        <v>76</v>
      </c>
      <c r="L14" t="s">
        <v>141</v>
      </c>
      <c r="N14" t="s">
        <v>94</v>
      </c>
      <c r="O14">
        <v>3</v>
      </c>
      <c r="P14" t="s">
        <v>79</v>
      </c>
      <c r="Q14">
        <v>2</v>
      </c>
      <c r="R14" t="s">
        <v>52</v>
      </c>
      <c r="S14" t="s">
        <v>53</v>
      </c>
      <c r="T14">
        <v>26.08</v>
      </c>
      <c r="U14">
        <v>26.08</v>
      </c>
      <c r="V14">
        <v>40.08</v>
      </c>
      <c r="W14" t="s">
        <v>7</v>
      </c>
      <c r="X14" t="s">
        <v>181</v>
      </c>
      <c r="Y14" t="s">
        <v>183</v>
      </c>
    </row>
    <row r="15" spans="1:25" x14ac:dyDescent="0.25">
      <c r="A15" t="s">
        <v>8</v>
      </c>
      <c r="B15" s="2">
        <v>19200754</v>
      </c>
      <c r="C15" t="s">
        <v>96</v>
      </c>
      <c r="D15" t="s">
        <v>97</v>
      </c>
      <c r="E15" t="str">
        <f t="shared" si="0"/>
        <v>D77FJC89</v>
      </c>
      <c r="F15" t="s">
        <v>98</v>
      </c>
      <c r="G15" t="s">
        <v>99</v>
      </c>
      <c r="H15" t="s">
        <v>100</v>
      </c>
      <c r="I15" t="str">
        <f>CONCATENATE(G15, " ",H15)</f>
        <v>BETH GONSIEWSKI</v>
      </c>
      <c r="J15" t="s">
        <v>47</v>
      </c>
      <c r="K15" t="s">
        <v>101</v>
      </c>
      <c r="L15" t="s">
        <v>49</v>
      </c>
      <c r="N15" t="s">
        <v>50</v>
      </c>
      <c r="O15">
        <v>1</v>
      </c>
      <c r="P15" t="s">
        <v>51</v>
      </c>
      <c r="Q15">
        <v>2</v>
      </c>
      <c r="R15" t="s">
        <v>52</v>
      </c>
      <c r="S15" t="s">
        <v>53</v>
      </c>
      <c r="T15">
        <v>26.08</v>
      </c>
      <c r="U15">
        <v>26.08</v>
      </c>
      <c r="V15">
        <v>40.08</v>
      </c>
      <c r="W15" t="s">
        <v>7</v>
      </c>
      <c r="X15" t="s">
        <v>181</v>
      </c>
      <c r="Y15" t="s">
        <v>183</v>
      </c>
    </row>
    <row r="16" spans="1:25" x14ac:dyDescent="0.25">
      <c r="A16" t="s">
        <v>8</v>
      </c>
      <c r="B16" s="2">
        <v>19200754</v>
      </c>
      <c r="C16" t="s">
        <v>96</v>
      </c>
      <c r="D16" t="s">
        <v>142</v>
      </c>
      <c r="E16" t="str">
        <f t="shared" si="0"/>
        <v>D538HS89</v>
      </c>
      <c r="F16" t="s">
        <v>143</v>
      </c>
      <c r="G16" t="s">
        <v>144</v>
      </c>
      <c r="H16" t="s">
        <v>145</v>
      </c>
      <c r="I16" t="str">
        <f>CONCATENATE(G16, " ",H16)</f>
        <v>JOHN PAUL</v>
      </c>
      <c r="J16" t="s">
        <v>47</v>
      </c>
      <c r="K16" t="s">
        <v>146</v>
      </c>
      <c r="L16" t="s">
        <v>107</v>
      </c>
      <c r="N16" t="s">
        <v>94</v>
      </c>
      <c r="O16">
        <v>1</v>
      </c>
      <c r="P16" t="s">
        <v>51</v>
      </c>
      <c r="Q16">
        <v>2</v>
      </c>
      <c r="R16" t="s">
        <v>52</v>
      </c>
      <c r="S16" t="s">
        <v>53</v>
      </c>
      <c r="T16">
        <v>26.08</v>
      </c>
      <c r="U16">
        <v>26.08</v>
      </c>
      <c r="V16">
        <v>40.08</v>
      </c>
      <c r="W16" t="s">
        <v>7</v>
      </c>
      <c r="X16" t="s">
        <v>181</v>
      </c>
      <c r="Y16" t="s">
        <v>183</v>
      </c>
    </row>
    <row r="17" spans="1:25" x14ac:dyDescent="0.25">
      <c r="A17" t="s">
        <v>8</v>
      </c>
      <c r="B17" s="2">
        <v>19615078</v>
      </c>
      <c r="C17" t="s">
        <v>155</v>
      </c>
      <c r="D17" t="s">
        <v>156</v>
      </c>
      <c r="E17" t="str">
        <f t="shared" si="0"/>
        <v>DA25Z989</v>
      </c>
      <c r="F17" t="s">
        <v>157</v>
      </c>
      <c r="G17" t="s">
        <v>158</v>
      </c>
      <c r="H17" t="s">
        <v>159</v>
      </c>
      <c r="I17" t="str">
        <f>CONCATENATE(G17, " ",H17)</f>
        <v>NADEZHDA ROMANOVA</v>
      </c>
      <c r="J17" t="s">
        <v>47</v>
      </c>
      <c r="K17" t="s">
        <v>160</v>
      </c>
      <c r="L17" t="s">
        <v>49</v>
      </c>
      <c r="N17" t="s">
        <v>50</v>
      </c>
      <c r="O17">
        <v>1</v>
      </c>
      <c r="P17" t="s">
        <v>51</v>
      </c>
      <c r="Q17">
        <v>2</v>
      </c>
      <c r="R17" t="s">
        <v>52</v>
      </c>
      <c r="S17" t="s">
        <v>53</v>
      </c>
      <c r="T17">
        <v>26.08</v>
      </c>
      <c r="U17">
        <v>26.08</v>
      </c>
      <c r="V17">
        <v>40.08</v>
      </c>
      <c r="W17" t="s">
        <v>7</v>
      </c>
      <c r="X17" t="s">
        <v>181</v>
      </c>
      <c r="Y17" t="s">
        <v>183</v>
      </c>
    </row>
    <row r="18" spans="1:25" x14ac:dyDescent="0.25">
      <c r="A18" t="s">
        <v>8</v>
      </c>
      <c r="B18" s="2">
        <v>17126004</v>
      </c>
      <c r="C18" t="s">
        <v>42</v>
      </c>
      <c r="D18" t="s">
        <v>43</v>
      </c>
      <c r="E18" t="str">
        <f t="shared" si="0"/>
        <v>D8YS8Y89</v>
      </c>
      <c r="F18" t="s">
        <v>44</v>
      </c>
      <c r="G18" t="s">
        <v>45</v>
      </c>
      <c r="H18" t="s">
        <v>46</v>
      </c>
      <c r="I18" t="str">
        <f>CONCATENATE(G18, " ",H18)</f>
        <v>MARYANN CHINDERLE</v>
      </c>
      <c r="J18" t="s">
        <v>47</v>
      </c>
      <c r="K18" t="s">
        <v>48</v>
      </c>
      <c r="L18" t="s">
        <v>49</v>
      </c>
      <c r="N18" t="s">
        <v>50</v>
      </c>
      <c r="O18">
        <v>1</v>
      </c>
      <c r="P18" t="s">
        <v>51</v>
      </c>
      <c r="Q18">
        <v>2</v>
      </c>
      <c r="R18" t="s">
        <v>52</v>
      </c>
      <c r="S18" t="s">
        <v>53</v>
      </c>
      <c r="T18">
        <v>26.08</v>
      </c>
      <c r="U18">
        <v>26.08</v>
      </c>
      <c r="V18">
        <v>40.08</v>
      </c>
      <c r="W18" t="s">
        <v>7</v>
      </c>
      <c r="X18" t="s">
        <v>181</v>
      </c>
      <c r="Y18" t="s">
        <v>183</v>
      </c>
    </row>
    <row r="19" spans="1:25" x14ac:dyDescent="0.25">
      <c r="A19" t="s">
        <v>8</v>
      </c>
      <c r="B19" s="2">
        <v>17126004</v>
      </c>
      <c r="C19" t="s">
        <v>42</v>
      </c>
      <c r="D19" t="s">
        <v>54</v>
      </c>
      <c r="E19" t="str">
        <f t="shared" si="0"/>
        <v>DU896U89</v>
      </c>
      <c r="F19" t="s">
        <v>55</v>
      </c>
      <c r="G19" t="s">
        <v>56</v>
      </c>
      <c r="H19" t="s">
        <v>57</v>
      </c>
      <c r="I19" t="str">
        <f>CONCATENATE(G19, " ",H19)</f>
        <v>LINDA CIANCIO</v>
      </c>
      <c r="J19" t="s">
        <v>47</v>
      </c>
      <c r="K19" t="s">
        <v>58</v>
      </c>
      <c r="L19" t="s">
        <v>59</v>
      </c>
      <c r="N19" t="s">
        <v>50</v>
      </c>
      <c r="O19">
        <v>1</v>
      </c>
      <c r="P19" t="s">
        <v>51</v>
      </c>
      <c r="Q19">
        <v>2</v>
      </c>
      <c r="R19" t="s">
        <v>52</v>
      </c>
      <c r="S19" t="s">
        <v>53</v>
      </c>
      <c r="T19">
        <v>26.08</v>
      </c>
      <c r="U19">
        <v>26.08</v>
      </c>
      <c r="V19">
        <v>40.08</v>
      </c>
      <c r="W19" t="s">
        <v>7</v>
      </c>
      <c r="X19" t="s">
        <v>181</v>
      </c>
      <c r="Y19" t="s">
        <v>183</v>
      </c>
    </row>
    <row r="20" spans="1:25" x14ac:dyDescent="0.25">
      <c r="A20" t="s">
        <v>8</v>
      </c>
      <c r="B20" s="2">
        <v>17126004</v>
      </c>
      <c r="C20" t="s">
        <v>42</v>
      </c>
      <c r="D20" t="s">
        <v>120</v>
      </c>
      <c r="E20" t="str">
        <f t="shared" si="0"/>
        <v>DR8EJR89</v>
      </c>
      <c r="F20" t="s">
        <v>121</v>
      </c>
      <c r="G20" t="s">
        <v>122</v>
      </c>
      <c r="H20" t="s">
        <v>123</v>
      </c>
      <c r="I20" t="str">
        <f>CONCATENATE(G20, " ",H20)</f>
        <v>THERESA MCAULEY</v>
      </c>
      <c r="J20" t="s">
        <v>47</v>
      </c>
      <c r="K20" t="s">
        <v>124</v>
      </c>
      <c r="L20" t="s">
        <v>59</v>
      </c>
      <c r="N20" t="s">
        <v>50</v>
      </c>
      <c r="O20">
        <v>1</v>
      </c>
      <c r="P20" t="s">
        <v>51</v>
      </c>
      <c r="Q20">
        <v>2</v>
      </c>
      <c r="R20" t="s">
        <v>52</v>
      </c>
      <c r="S20" t="s">
        <v>53</v>
      </c>
      <c r="T20">
        <v>26.08</v>
      </c>
      <c r="U20">
        <v>26.08</v>
      </c>
      <c r="V20">
        <v>40.08</v>
      </c>
      <c r="W20" t="s">
        <v>7</v>
      </c>
      <c r="X20" t="s">
        <v>181</v>
      </c>
      <c r="Y20" t="s">
        <v>183</v>
      </c>
    </row>
    <row r="21" spans="1:25" s="1" customFormat="1" x14ac:dyDescent="0.25">
      <c r="A21" s="1" t="s">
        <v>8</v>
      </c>
      <c r="B21" s="3">
        <v>20411454</v>
      </c>
      <c r="C21" s="1" t="s">
        <v>178</v>
      </c>
      <c r="D21" s="1" t="s">
        <v>43</v>
      </c>
      <c r="E21" t="str">
        <f>CONCATENATE(D21,88)</f>
        <v>D8YS8Y88</v>
      </c>
      <c r="F21" s="1" t="s">
        <v>44</v>
      </c>
      <c r="G21" s="1" t="s">
        <v>45</v>
      </c>
      <c r="H21" s="1" t="s">
        <v>46</v>
      </c>
      <c r="I21" t="str">
        <f t="shared" ref="I3:I39" si="1">CONCATENATE(G21, " ",H21)</f>
        <v>MARYANN CHINDERLE</v>
      </c>
      <c r="J21" s="1" t="s">
        <v>47</v>
      </c>
      <c r="K21" s="1" t="s">
        <v>48</v>
      </c>
      <c r="L21" s="1" t="s">
        <v>49</v>
      </c>
      <c r="N21" s="1" t="s">
        <v>50</v>
      </c>
      <c r="O21" s="1">
        <v>1</v>
      </c>
      <c r="P21" s="1" t="s">
        <v>51</v>
      </c>
      <c r="Q21" s="1">
        <v>2</v>
      </c>
      <c r="R21" s="1" t="s">
        <v>52</v>
      </c>
      <c r="S21" s="1" t="s">
        <v>53</v>
      </c>
      <c r="T21" s="1">
        <v>26.08</v>
      </c>
      <c r="U21" s="1">
        <v>14</v>
      </c>
      <c r="V21" s="1">
        <v>40.08</v>
      </c>
      <c r="W21" s="1" t="s">
        <v>7</v>
      </c>
      <c r="X21" s="1" t="s">
        <v>182</v>
      </c>
    </row>
    <row r="22" spans="1:25" x14ac:dyDescent="0.25">
      <c r="A22" t="s">
        <v>8</v>
      </c>
      <c r="B22" s="3">
        <v>20411454</v>
      </c>
      <c r="C22" s="1" t="s">
        <v>178</v>
      </c>
      <c r="D22" t="s">
        <v>54</v>
      </c>
      <c r="E22" t="str">
        <f t="shared" ref="E22:E39" si="2">CONCATENATE(D22,88)</f>
        <v>DU896U88</v>
      </c>
      <c r="F22" t="s">
        <v>55</v>
      </c>
      <c r="G22" t="s">
        <v>56</v>
      </c>
      <c r="H22" t="s">
        <v>57</v>
      </c>
      <c r="I22" t="str">
        <f t="shared" si="1"/>
        <v>LINDA CIANCIO</v>
      </c>
      <c r="J22" t="s">
        <v>47</v>
      </c>
      <c r="K22" t="s">
        <v>58</v>
      </c>
      <c r="L22" t="s">
        <v>59</v>
      </c>
      <c r="N22" t="s">
        <v>50</v>
      </c>
      <c r="O22">
        <v>1</v>
      </c>
      <c r="P22" t="s">
        <v>51</v>
      </c>
      <c r="Q22">
        <v>2</v>
      </c>
      <c r="R22" t="s">
        <v>52</v>
      </c>
      <c r="S22" t="s">
        <v>53</v>
      </c>
      <c r="T22">
        <v>26.08</v>
      </c>
      <c r="U22">
        <v>14</v>
      </c>
      <c r="V22">
        <v>40.08</v>
      </c>
      <c r="W22" t="s">
        <v>7</v>
      </c>
      <c r="X22" s="1" t="s">
        <v>182</v>
      </c>
    </row>
    <row r="23" spans="1:25" x14ac:dyDescent="0.25">
      <c r="A23" t="s">
        <v>8</v>
      </c>
      <c r="B23" s="3">
        <v>20411454</v>
      </c>
      <c r="C23" s="1" t="s">
        <v>178</v>
      </c>
      <c r="D23" t="s">
        <v>62</v>
      </c>
      <c r="E23" t="str">
        <f t="shared" si="2"/>
        <v>DU29JK88</v>
      </c>
      <c r="F23" t="s">
        <v>63</v>
      </c>
      <c r="G23" t="s">
        <v>64</v>
      </c>
      <c r="H23" t="s">
        <v>65</v>
      </c>
      <c r="I23" t="str">
        <f t="shared" si="1"/>
        <v>RICHARD DEHN</v>
      </c>
      <c r="J23" t="s">
        <v>47</v>
      </c>
      <c r="K23" t="s">
        <v>66</v>
      </c>
      <c r="L23" t="s">
        <v>49</v>
      </c>
      <c r="M23" t="s">
        <v>67</v>
      </c>
      <c r="N23" t="s">
        <v>50</v>
      </c>
      <c r="O23">
        <v>1</v>
      </c>
      <c r="P23" t="s">
        <v>68</v>
      </c>
      <c r="Q23">
        <v>2</v>
      </c>
      <c r="R23" t="s">
        <v>52</v>
      </c>
      <c r="S23" t="s">
        <v>53</v>
      </c>
      <c r="T23">
        <v>26.08</v>
      </c>
      <c r="U23">
        <v>14</v>
      </c>
      <c r="V23">
        <v>40.08</v>
      </c>
      <c r="W23" t="s">
        <v>7</v>
      </c>
      <c r="X23" s="1" t="s">
        <v>182</v>
      </c>
    </row>
    <row r="24" spans="1:25" x14ac:dyDescent="0.25">
      <c r="A24" t="s">
        <v>8</v>
      </c>
      <c r="B24" s="3">
        <v>20411454</v>
      </c>
      <c r="C24" s="1" t="s">
        <v>178</v>
      </c>
      <c r="D24" t="s">
        <v>71</v>
      </c>
      <c r="E24" t="str">
        <f t="shared" si="2"/>
        <v>DH28HS88</v>
      </c>
      <c r="F24" t="s">
        <v>72</v>
      </c>
      <c r="G24" t="s">
        <v>73</v>
      </c>
      <c r="H24" t="s">
        <v>74</v>
      </c>
      <c r="I24" t="str">
        <f t="shared" si="1"/>
        <v>MELQUEA EDWARDS</v>
      </c>
      <c r="J24" t="s">
        <v>75</v>
      </c>
      <c r="K24" t="s">
        <v>76</v>
      </c>
      <c r="L24" t="s">
        <v>77</v>
      </c>
      <c r="N24" t="s">
        <v>78</v>
      </c>
      <c r="O24">
        <v>7</v>
      </c>
      <c r="P24" t="s">
        <v>79</v>
      </c>
      <c r="Q24">
        <v>5</v>
      </c>
      <c r="R24" t="s">
        <v>52</v>
      </c>
      <c r="S24" t="s">
        <v>53</v>
      </c>
      <c r="T24">
        <v>26.08</v>
      </c>
      <c r="U24">
        <v>12.5</v>
      </c>
      <c r="V24">
        <v>38.58</v>
      </c>
      <c r="W24" t="s">
        <v>7</v>
      </c>
      <c r="X24" s="1" t="s">
        <v>182</v>
      </c>
    </row>
    <row r="25" spans="1:25" x14ac:dyDescent="0.25">
      <c r="A25" t="s">
        <v>8</v>
      </c>
      <c r="B25" s="3">
        <v>20411454</v>
      </c>
      <c r="C25" s="1" t="s">
        <v>178</v>
      </c>
      <c r="D25" t="s">
        <v>82</v>
      </c>
      <c r="E25" t="str">
        <f t="shared" si="2"/>
        <v>D9H8YE88</v>
      </c>
      <c r="F25" t="s">
        <v>83</v>
      </c>
      <c r="G25" t="s">
        <v>84</v>
      </c>
      <c r="H25" t="s">
        <v>85</v>
      </c>
      <c r="I25" t="str">
        <f t="shared" si="1"/>
        <v>ANNETTE EDWARDSON</v>
      </c>
      <c r="J25" t="s">
        <v>47</v>
      </c>
      <c r="K25" t="s">
        <v>86</v>
      </c>
      <c r="L25" t="s">
        <v>87</v>
      </c>
      <c r="N25" t="s">
        <v>50</v>
      </c>
      <c r="O25">
        <v>1</v>
      </c>
      <c r="P25" t="s">
        <v>51</v>
      </c>
      <c r="Q25">
        <v>2</v>
      </c>
      <c r="R25" t="s">
        <v>52</v>
      </c>
      <c r="S25" t="s">
        <v>53</v>
      </c>
      <c r="T25">
        <v>26.08</v>
      </c>
      <c r="U25">
        <v>14</v>
      </c>
      <c r="V25">
        <v>40.08</v>
      </c>
      <c r="W25" t="s">
        <v>7</v>
      </c>
      <c r="X25" s="1" t="s">
        <v>182</v>
      </c>
    </row>
    <row r="26" spans="1:25" x14ac:dyDescent="0.25">
      <c r="A26" t="s">
        <v>8</v>
      </c>
      <c r="B26" s="3">
        <v>20411454</v>
      </c>
      <c r="C26" s="1" t="s">
        <v>178</v>
      </c>
      <c r="D26" t="s">
        <v>90</v>
      </c>
      <c r="E26" t="str">
        <f t="shared" si="2"/>
        <v>D6K5SY88</v>
      </c>
      <c r="F26" t="s">
        <v>91</v>
      </c>
      <c r="G26" t="s">
        <v>92</v>
      </c>
      <c r="H26" t="s">
        <v>93</v>
      </c>
      <c r="I26" t="str">
        <f t="shared" si="1"/>
        <v>SUSAN EICHMAN PARCELL</v>
      </c>
      <c r="J26" t="s">
        <v>47</v>
      </c>
      <c r="K26" t="s">
        <v>49</v>
      </c>
      <c r="L26" t="s">
        <v>77</v>
      </c>
      <c r="N26" t="s">
        <v>94</v>
      </c>
      <c r="O26">
        <v>1</v>
      </c>
      <c r="P26" t="s">
        <v>51</v>
      </c>
      <c r="Q26">
        <v>2</v>
      </c>
      <c r="R26" t="s">
        <v>52</v>
      </c>
      <c r="S26" t="s">
        <v>53</v>
      </c>
      <c r="T26">
        <v>26.08</v>
      </c>
      <c r="U26">
        <v>14</v>
      </c>
      <c r="V26">
        <v>40.08</v>
      </c>
      <c r="W26" t="s">
        <v>7</v>
      </c>
      <c r="X26" s="1" t="s">
        <v>182</v>
      </c>
    </row>
    <row r="27" spans="1:25" x14ac:dyDescent="0.25">
      <c r="A27" t="s">
        <v>8</v>
      </c>
      <c r="B27" s="3">
        <v>20411454</v>
      </c>
      <c r="C27" s="1" t="s">
        <v>178</v>
      </c>
      <c r="D27" t="s">
        <v>97</v>
      </c>
      <c r="E27" t="str">
        <f t="shared" si="2"/>
        <v>D77FJC88</v>
      </c>
      <c r="F27" t="s">
        <v>98</v>
      </c>
      <c r="G27" t="s">
        <v>99</v>
      </c>
      <c r="H27" t="s">
        <v>100</v>
      </c>
      <c r="I27" t="str">
        <f t="shared" si="1"/>
        <v>BETH GONSIEWSKI</v>
      </c>
      <c r="J27" t="s">
        <v>47</v>
      </c>
      <c r="K27" t="s">
        <v>101</v>
      </c>
      <c r="L27" t="s">
        <v>49</v>
      </c>
      <c r="N27" t="s">
        <v>50</v>
      </c>
      <c r="O27">
        <v>1</v>
      </c>
      <c r="P27" t="s">
        <v>51</v>
      </c>
      <c r="Q27">
        <v>2</v>
      </c>
      <c r="R27" t="s">
        <v>52</v>
      </c>
      <c r="S27" t="s">
        <v>53</v>
      </c>
      <c r="T27">
        <v>26.08</v>
      </c>
      <c r="U27">
        <v>14</v>
      </c>
      <c r="V27">
        <v>40.08</v>
      </c>
      <c r="W27" t="s">
        <v>7</v>
      </c>
      <c r="X27" s="1" t="s">
        <v>182</v>
      </c>
    </row>
    <row r="28" spans="1:25" x14ac:dyDescent="0.25">
      <c r="A28" t="s">
        <v>8</v>
      </c>
      <c r="B28" s="3">
        <v>20411454</v>
      </c>
      <c r="C28" s="1" t="s">
        <v>178</v>
      </c>
      <c r="D28" t="s">
        <v>102</v>
      </c>
      <c r="E28" t="str">
        <f t="shared" si="2"/>
        <v>D7ZW4G88</v>
      </c>
      <c r="F28" t="s">
        <v>103</v>
      </c>
      <c r="G28" t="s">
        <v>104</v>
      </c>
      <c r="H28" t="s">
        <v>105</v>
      </c>
      <c r="I28" t="str">
        <f t="shared" si="1"/>
        <v>JEFFREY JOHNS</v>
      </c>
      <c r="J28" t="s">
        <v>47</v>
      </c>
      <c r="K28" t="s">
        <v>106</v>
      </c>
      <c r="L28" t="s">
        <v>107</v>
      </c>
      <c r="N28" t="s">
        <v>94</v>
      </c>
      <c r="O28">
        <v>1</v>
      </c>
      <c r="P28" t="s">
        <v>51</v>
      </c>
      <c r="Q28">
        <v>2</v>
      </c>
      <c r="R28" t="s">
        <v>52</v>
      </c>
      <c r="S28" t="s">
        <v>53</v>
      </c>
      <c r="T28">
        <v>26.08</v>
      </c>
      <c r="U28">
        <v>14</v>
      </c>
      <c r="V28">
        <v>40.08</v>
      </c>
      <c r="W28" t="s">
        <v>7</v>
      </c>
      <c r="X28" s="1" t="s">
        <v>182</v>
      </c>
    </row>
    <row r="29" spans="1:25" x14ac:dyDescent="0.25">
      <c r="A29" t="s">
        <v>8</v>
      </c>
      <c r="B29" s="3">
        <v>20411454</v>
      </c>
      <c r="C29" s="1" t="s">
        <v>178</v>
      </c>
      <c r="D29" t="s">
        <v>110</v>
      </c>
      <c r="E29" t="str">
        <f t="shared" si="2"/>
        <v>DRH8SG88</v>
      </c>
      <c r="F29" t="s">
        <v>111</v>
      </c>
      <c r="G29" t="s">
        <v>112</v>
      </c>
      <c r="H29" t="s">
        <v>113</v>
      </c>
      <c r="I29" t="str">
        <f t="shared" si="1"/>
        <v>EUDOXIO LOPEZ</v>
      </c>
      <c r="J29" t="s">
        <v>47</v>
      </c>
      <c r="K29" t="s">
        <v>114</v>
      </c>
      <c r="L29" t="s">
        <v>107</v>
      </c>
      <c r="M29" t="s">
        <v>67</v>
      </c>
      <c r="N29" t="s">
        <v>94</v>
      </c>
      <c r="O29">
        <v>1</v>
      </c>
      <c r="P29" t="s">
        <v>51</v>
      </c>
      <c r="Q29">
        <v>2</v>
      </c>
      <c r="R29" t="s">
        <v>52</v>
      </c>
      <c r="S29" t="s">
        <v>53</v>
      </c>
      <c r="T29">
        <v>26.08</v>
      </c>
      <c r="U29">
        <v>14</v>
      </c>
      <c r="V29">
        <v>40.08</v>
      </c>
      <c r="W29" t="s">
        <v>7</v>
      </c>
      <c r="X29" s="1" t="s">
        <v>182</v>
      </c>
    </row>
    <row r="30" spans="1:25" x14ac:dyDescent="0.25">
      <c r="A30" t="s">
        <v>8</v>
      </c>
      <c r="B30" s="3">
        <v>20411454</v>
      </c>
      <c r="C30" s="1" t="s">
        <v>178</v>
      </c>
      <c r="D30" t="s">
        <v>115</v>
      </c>
      <c r="E30" t="str">
        <f t="shared" si="2"/>
        <v>D4AC9K88</v>
      </c>
      <c r="F30" t="s">
        <v>116</v>
      </c>
      <c r="G30" t="s">
        <v>117</v>
      </c>
      <c r="H30" t="s">
        <v>179</v>
      </c>
      <c r="I30" t="str">
        <f t="shared" si="1"/>
        <v>WILLIAM LUDWIG</v>
      </c>
      <c r="J30" t="s">
        <v>47</v>
      </c>
      <c r="K30" t="s">
        <v>119</v>
      </c>
      <c r="L30" t="s">
        <v>107</v>
      </c>
      <c r="N30" t="s">
        <v>94</v>
      </c>
      <c r="O30">
        <v>1</v>
      </c>
      <c r="P30" t="s">
        <v>68</v>
      </c>
      <c r="Q30">
        <v>2</v>
      </c>
      <c r="R30" t="s">
        <v>52</v>
      </c>
      <c r="S30" t="s">
        <v>53</v>
      </c>
      <c r="T30">
        <v>26.08</v>
      </c>
      <c r="U30">
        <v>14</v>
      </c>
      <c r="V30">
        <v>40.08</v>
      </c>
      <c r="W30" t="s">
        <v>7</v>
      </c>
      <c r="X30" s="1" t="s">
        <v>182</v>
      </c>
    </row>
    <row r="31" spans="1:25" x14ac:dyDescent="0.25">
      <c r="A31" t="s">
        <v>8</v>
      </c>
      <c r="B31" s="3">
        <v>20411454</v>
      </c>
      <c r="C31" s="1" t="s">
        <v>178</v>
      </c>
      <c r="D31" t="s">
        <v>120</v>
      </c>
      <c r="E31" t="str">
        <f t="shared" si="2"/>
        <v>DR8EJR88</v>
      </c>
      <c r="F31" t="s">
        <v>121</v>
      </c>
      <c r="G31" t="s">
        <v>122</v>
      </c>
      <c r="H31" t="s">
        <v>123</v>
      </c>
      <c r="I31" t="str">
        <f t="shared" si="1"/>
        <v>THERESA MCAULEY</v>
      </c>
      <c r="J31" t="s">
        <v>47</v>
      </c>
      <c r="K31" t="s">
        <v>124</v>
      </c>
      <c r="L31" t="s">
        <v>59</v>
      </c>
      <c r="N31" t="s">
        <v>50</v>
      </c>
      <c r="O31">
        <v>1</v>
      </c>
      <c r="P31" t="s">
        <v>51</v>
      </c>
      <c r="Q31">
        <v>2</v>
      </c>
      <c r="R31" t="s">
        <v>52</v>
      </c>
      <c r="S31" t="s">
        <v>53</v>
      </c>
      <c r="T31">
        <v>26.08</v>
      </c>
      <c r="U31">
        <v>14</v>
      </c>
      <c r="V31">
        <v>40.08</v>
      </c>
      <c r="W31" t="s">
        <v>7</v>
      </c>
      <c r="X31" s="1" t="s">
        <v>182</v>
      </c>
    </row>
    <row r="32" spans="1:25" x14ac:dyDescent="0.25">
      <c r="A32" t="s">
        <v>8</v>
      </c>
      <c r="B32" s="3">
        <v>20411454</v>
      </c>
      <c r="C32" s="1" t="s">
        <v>178</v>
      </c>
      <c r="D32" t="s">
        <v>125</v>
      </c>
      <c r="E32" t="str">
        <f t="shared" si="2"/>
        <v>D2UZFA88</v>
      </c>
      <c r="F32" t="s">
        <v>126</v>
      </c>
      <c r="G32" t="s">
        <v>127</v>
      </c>
      <c r="H32" t="s">
        <v>128</v>
      </c>
      <c r="I32" t="str">
        <f t="shared" si="1"/>
        <v>ABELARDO MONARREZ</v>
      </c>
      <c r="J32" t="s">
        <v>47</v>
      </c>
      <c r="K32" t="s">
        <v>129</v>
      </c>
      <c r="L32" t="s">
        <v>87</v>
      </c>
      <c r="N32" t="s">
        <v>50</v>
      </c>
      <c r="O32">
        <v>1</v>
      </c>
      <c r="P32" t="s">
        <v>51</v>
      </c>
      <c r="Q32">
        <v>2</v>
      </c>
      <c r="R32" t="s">
        <v>52</v>
      </c>
      <c r="S32" t="s">
        <v>53</v>
      </c>
      <c r="T32">
        <v>26.08</v>
      </c>
      <c r="U32">
        <v>14</v>
      </c>
      <c r="V32">
        <v>40.08</v>
      </c>
      <c r="W32" t="s">
        <v>7</v>
      </c>
      <c r="X32" s="1" t="s">
        <v>182</v>
      </c>
    </row>
    <row r="33" spans="1:24" x14ac:dyDescent="0.25">
      <c r="A33" t="s">
        <v>8</v>
      </c>
      <c r="B33" s="3">
        <v>20411454</v>
      </c>
      <c r="C33" s="1" t="s">
        <v>178</v>
      </c>
      <c r="D33" t="s">
        <v>130</v>
      </c>
      <c r="E33" t="str">
        <f t="shared" si="2"/>
        <v>D3A4KF88</v>
      </c>
      <c r="F33" t="s">
        <v>131</v>
      </c>
      <c r="G33" t="s">
        <v>132</v>
      </c>
      <c r="H33" t="s">
        <v>133</v>
      </c>
      <c r="I33" t="str">
        <f t="shared" si="1"/>
        <v>LAURA MROZEK</v>
      </c>
      <c r="J33" t="s">
        <v>47</v>
      </c>
      <c r="K33" t="s">
        <v>134</v>
      </c>
      <c r="L33" t="s">
        <v>49</v>
      </c>
      <c r="N33" t="s">
        <v>50</v>
      </c>
      <c r="O33">
        <v>1</v>
      </c>
      <c r="P33" t="s">
        <v>79</v>
      </c>
      <c r="Q33">
        <v>6</v>
      </c>
      <c r="R33" t="s">
        <v>52</v>
      </c>
      <c r="S33" t="s">
        <v>53</v>
      </c>
      <c r="T33">
        <v>26.08</v>
      </c>
      <c r="U33">
        <v>14</v>
      </c>
      <c r="V33">
        <v>40.08</v>
      </c>
      <c r="W33" t="s">
        <v>7</v>
      </c>
      <c r="X33" s="1" t="s">
        <v>182</v>
      </c>
    </row>
    <row r="34" spans="1:24" x14ac:dyDescent="0.25">
      <c r="A34" t="s">
        <v>8</v>
      </c>
      <c r="B34" s="3">
        <v>20411454</v>
      </c>
      <c r="C34" s="1" t="s">
        <v>178</v>
      </c>
      <c r="D34" t="s">
        <v>137</v>
      </c>
      <c r="E34" t="str">
        <f t="shared" si="2"/>
        <v>DYS7K388</v>
      </c>
      <c r="F34" t="s">
        <v>138</v>
      </c>
      <c r="G34" t="s">
        <v>139</v>
      </c>
      <c r="H34" t="s">
        <v>180</v>
      </c>
      <c r="I34" t="str">
        <f t="shared" si="1"/>
        <v>ANIANO OBANA</v>
      </c>
      <c r="J34" t="s">
        <v>47</v>
      </c>
      <c r="K34" t="s">
        <v>76</v>
      </c>
      <c r="L34" t="s">
        <v>141</v>
      </c>
      <c r="N34" t="s">
        <v>94</v>
      </c>
      <c r="O34">
        <v>3</v>
      </c>
      <c r="P34" t="s">
        <v>79</v>
      </c>
      <c r="Q34">
        <v>2</v>
      </c>
      <c r="R34" t="s">
        <v>52</v>
      </c>
      <c r="S34" t="s">
        <v>53</v>
      </c>
      <c r="T34">
        <v>26.08</v>
      </c>
      <c r="U34">
        <v>14</v>
      </c>
      <c r="V34">
        <v>40.08</v>
      </c>
      <c r="W34" t="s">
        <v>7</v>
      </c>
      <c r="X34" s="1" t="s">
        <v>182</v>
      </c>
    </row>
    <row r="35" spans="1:24" x14ac:dyDescent="0.25">
      <c r="A35" t="s">
        <v>8</v>
      </c>
      <c r="B35" s="3">
        <v>20411454</v>
      </c>
      <c r="C35" s="1" t="s">
        <v>178</v>
      </c>
      <c r="D35" t="s">
        <v>142</v>
      </c>
      <c r="E35" t="str">
        <f t="shared" si="2"/>
        <v>D538HS88</v>
      </c>
      <c r="F35" t="s">
        <v>143</v>
      </c>
      <c r="G35" t="s">
        <v>144</v>
      </c>
      <c r="H35" t="s">
        <v>145</v>
      </c>
      <c r="I35" t="str">
        <f t="shared" si="1"/>
        <v>JOHN PAUL</v>
      </c>
      <c r="J35" t="s">
        <v>47</v>
      </c>
      <c r="K35" t="s">
        <v>146</v>
      </c>
      <c r="L35" t="s">
        <v>107</v>
      </c>
      <c r="N35" t="s">
        <v>94</v>
      </c>
      <c r="O35">
        <v>1</v>
      </c>
      <c r="P35" t="s">
        <v>51</v>
      </c>
      <c r="Q35">
        <v>2</v>
      </c>
      <c r="R35" t="s">
        <v>52</v>
      </c>
      <c r="S35" t="s">
        <v>53</v>
      </c>
      <c r="T35">
        <v>26.08</v>
      </c>
      <c r="U35">
        <v>14</v>
      </c>
      <c r="V35">
        <v>40.08</v>
      </c>
      <c r="W35" t="s">
        <v>7</v>
      </c>
      <c r="X35" s="1" t="s">
        <v>182</v>
      </c>
    </row>
    <row r="36" spans="1:24" x14ac:dyDescent="0.25">
      <c r="A36" t="s">
        <v>8</v>
      </c>
      <c r="B36" s="3">
        <v>20411454</v>
      </c>
      <c r="C36" s="1" t="s">
        <v>178</v>
      </c>
      <c r="D36" t="s">
        <v>149</v>
      </c>
      <c r="E36" t="str">
        <f t="shared" si="2"/>
        <v>DEW7CR88</v>
      </c>
      <c r="F36" t="s">
        <v>150</v>
      </c>
      <c r="G36" t="s">
        <v>151</v>
      </c>
      <c r="H36" t="s">
        <v>152</v>
      </c>
      <c r="I36" t="str">
        <f t="shared" si="1"/>
        <v>PATRICIA PROCHASKA</v>
      </c>
      <c r="J36" t="s">
        <v>47</v>
      </c>
      <c r="K36" t="s">
        <v>153</v>
      </c>
      <c r="L36" t="s">
        <v>107</v>
      </c>
      <c r="N36" t="s">
        <v>50</v>
      </c>
      <c r="O36">
        <v>1</v>
      </c>
      <c r="P36" t="s">
        <v>51</v>
      </c>
      <c r="Q36">
        <v>2</v>
      </c>
      <c r="R36" t="s">
        <v>52</v>
      </c>
      <c r="S36" t="s">
        <v>53</v>
      </c>
      <c r="T36">
        <v>26.08</v>
      </c>
      <c r="U36">
        <v>14</v>
      </c>
      <c r="V36">
        <v>40.08</v>
      </c>
      <c r="W36" t="s">
        <v>7</v>
      </c>
      <c r="X36" s="1" t="s">
        <v>182</v>
      </c>
    </row>
    <row r="37" spans="1:24" x14ac:dyDescent="0.25">
      <c r="A37" t="s">
        <v>8</v>
      </c>
      <c r="B37" s="3">
        <v>20411454</v>
      </c>
      <c r="C37" s="1" t="s">
        <v>178</v>
      </c>
      <c r="D37" t="s">
        <v>156</v>
      </c>
      <c r="E37" t="str">
        <f t="shared" si="2"/>
        <v>DA25Z988</v>
      </c>
      <c r="F37" t="s">
        <v>157</v>
      </c>
      <c r="G37" t="s">
        <v>158</v>
      </c>
      <c r="H37" t="s">
        <v>159</v>
      </c>
      <c r="I37" t="str">
        <f t="shared" si="1"/>
        <v>NADEZHDA ROMANOVA</v>
      </c>
      <c r="J37" t="s">
        <v>47</v>
      </c>
      <c r="K37" t="s">
        <v>160</v>
      </c>
      <c r="L37" t="s">
        <v>49</v>
      </c>
      <c r="N37" t="s">
        <v>50</v>
      </c>
      <c r="O37">
        <v>1</v>
      </c>
      <c r="P37" t="s">
        <v>51</v>
      </c>
      <c r="Q37">
        <v>2</v>
      </c>
      <c r="R37" t="s">
        <v>52</v>
      </c>
      <c r="S37" t="s">
        <v>53</v>
      </c>
      <c r="T37">
        <v>26.08</v>
      </c>
      <c r="U37">
        <v>14</v>
      </c>
      <c r="V37">
        <v>40.08</v>
      </c>
      <c r="W37" t="s">
        <v>7</v>
      </c>
      <c r="X37" s="1" t="s">
        <v>182</v>
      </c>
    </row>
    <row r="38" spans="1:24" x14ac:dyDescent="0.25">
      <c r="A38" t="s">
        <v>8</v>
      </c>
      <c r="B38" s="3">
        <v>20411454</v>
      </c>
      <c r="C38" s="1" t="s">
        <v>178</v>
      </c>
      <c r="D38" t="s">
        <v>161</v>
      </c>
      <c r="E38" t="str">
        <f t="shared" si="2"/>
        <v>D8C77988</v>
      </c>
      <c r="F38" t="s">
        <v>162</v>
      </c>
      <c r="G38" t="s">
        <v>163</v>
      </c>
      <c r="H38" t="s">
        <v>164</v>
      </c>
      <c r="I38" t="str">
        <f t="shared" si="1"/>
        <v>CHRISTOPHER SPRINGER</v>
      </c>
      <c r="J38" t="s">
        <v>47</v>
      </c>
      <c r="K38" t="s">
        <v>165</v>
      </c>
      <c r="L38" t="s">
        <v>59</v>
      </c>
      <c r="N38" t="s">
        <v>94</v>
      </c>
      <c r="O38">
        <v>1</v>
      </c>
      <c r="P38" t="s">
        <v>51</v>
      </c>
      <c r="Q38">
        <v>2</v>
      </c>
      <c r="R38" t="s">
        <v>52</v>
      </c>
      <c r="S38" t="s">
        <v>53</v>
      </c>
      <c r="T38">
        <v>26.08</v>
      </c>
      <c r="U38">
        <v>14</v>
      </c>
      <c r="V38">
        <v>40.08</v>
      </c>
      <c r="W38" t="s">
        <v>7</v>
      </c>
      <c r="X38" s="1" t="s">
        <v>182</v>
      </c>
    </row>
    <row r="39" spans="1:24" x14ac:dyDescent="0.25">
      <c r="A39" t="s">
        <v>8</v>
      </c>
      <c r="B39" s="3">
        <v>20411454</v>
      </c>
      <c r="C39" s="1" t="s">
        <v>178</v>
      </c>
      <c r="D39" t="s">
        <v>166</v>
      </c>
      <c r="E39" t="str">
        <f t="shared" si="2"/>
        <v>DUW2FG88</v>
      </c>
      <c r="F39" t="s">
        <v>167</v>
      </c>
      <c r="G39" t="s">
        <v>168</v>
      </c>
      <c r="H39" t="s">
        <v>169</v>
      </c>
      <c r="I39" t="str">
        <f t="shared" si="1"/>
        <v>EMMA VALE</v>
      </c>
      <c r="J39" t="s">
        <v>47</v>
      </c>
      <c r="K39" t="s">
        <v>170</v>
      </c>
      <c r="L39" t="s">
        <v>107</v>
      </c>
      <c r="M39" t="s">
        <v>67</v>
      </c>
      <c r="N39" t="s">
        <v>94</v>
      </c>
      <c r="O39">
        <v>1</v>
      </c>
      <c r="P39" t="s">
        <v>51</v>
      </c>
      <c r="Q39">
        <v>2</v>
      </c>
      <c r="R39" t="s">
        <v>52</v>
      </c>
      <c r="S39" t="s">
        <v>53</v>
      </c>
      <c r="T39">
        <v>26.08</v>
      </c>
      <c r="U39">
        <v>14</v>
      </c>
      <c r="V39">
        <v>40.08</v>
      </c>
      <c r="W39" t="s">
        <v>7</v>
      </c>
      <c r="X39" s="1" t="s">
        <v>182</v>
      </c>
    </row>
  </sheetData>
  <sortState xmlns:xlrd2="http://schemas.microsoft.com/office/spreadsheetml/2017/richdata2" ref="A2:X20">
    <sortCondition ref="C2:C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/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171</v>
      </c>
      <c r="B1" t="s">
        <v>172</v>
      </c>
      <c r="C1" t="s">
        <v>173</v>
      </c>
      <c r="D1" t="s">
        <v>174</v>
      </c>
    </row>
    <row r="2" spans="1:4" x14ac:dyDescent="0.25">
      <c r="A2" t="s">
        <v>109</v>
      </c>
      <c r="B2" t="s">
        <v>108</v>
      </c>
      <c r="C2" t="s">
        <v>175</v>
      </c>
      <c r="D2" t="s">
        <v>176</v>
      </c>
    </row>
    <row r="3" spans="1:4" x14ac:dyDescent="0.25">
      <c r="A3" t="s">
        <v>109</v>
      </c>
      <c r="B3" t="s">
        <v>108</v>
      </c>
      <c r="C3" t="s">
        <v>175</v>
      </c>
      <c r="D3" t="s">
        <v>177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HRA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2025-03-31T14:44:41Z</dcterms:created>
  <dcterms:modified xsi:type="dcterms:W3CDTF">2025-04-01T13:10:26Z</dcterms:modified>
</cp:coreProperties>
</file>