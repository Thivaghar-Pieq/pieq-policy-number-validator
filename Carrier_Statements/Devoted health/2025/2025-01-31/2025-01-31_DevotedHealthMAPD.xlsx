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Devoted health/2025/1-31-25/"/>
    </mc:Choice>
  </mc:AlternateContent>
  <xr:revisionPtr revIDLastSave="0" documentId="13_ncr:1_{7BB47C17-34F9-284C-A407-E9E64D1BEFAE}" xr6:coauthVersionLast="47" xr6:coauthVersionMax="47" xr10:uidLastSave="{00000000-0000-0000-0000-000000000000}"/>
  <bookViews>
    <workbookView xWindow="0" yWindow="500" windowWidth="19200" windowHeight="19360" activeTab="2" xr2:uid="{00000000-000D-0000-FFFF-FFFF00000000}"/>
  </bookViews>
  <sheets>
    <sheet name="Summary" sheetId="1" r:id="rId1"/>
    <sheet name="Detail" sheetId="2" r:id="rId2"/>
    <sheet name="Sheet1" sheetId="4" r:id="rId3"/>
    <sheet name="Mis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4" l="1"/>
  <c r="D36" i="4"/>
  <c r="D26" i="4"/>
  <c r="D44" i="4"/>
  <c r="D25" i="4"/>
  <c r="D28" i="4"/>
  <c r="D24" i="4"/>
  <c r="D50" i="4"/>
  <c r="D23" i="4"/>
  <c r="D34" i="4"/>
  <c r="D22" i="4"/>
  <c r="D33" i="4"/>
  <c r="D21" i="4"/>
  <c r="D43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G23" i="4"/>
  <c r="G24" i="4"/>
  <c r="G26" i="4"/>
  <c r="G27" i="4"/>
  <c r="G22" i="4"/>
  <c r="G25" i="4"/>
  <c r="G21" i="4"/>
  <c r="G20" i="4"/>
  <c r="G18" i="4"/>
  <c r="G15" i="4"/>
  <c r="G14" i="4"/>
  <c r="G17" i="4"/>
  <c r="G19" i="4"/>
  <c r="G10" i="4"/>
  <c r="G16" i="4"/>
  <c r="G11" i="4"/>
  <c r="G8" i="4"/>
  <c r="G6" i="4"/>
  <c r="G7" i="4"/>
  <c r="G13" i="4"/>
  <c r="G5" i="4"/>
  <c r="G12" i="4"/>
  <c r="G9" i="4"/>
  <c r="G4" i="4"/>
  <c r="G2" i="4"/>
  <c r="G3" i="4"/>
  <c r="G37" i="4"/>
  <c r="G52" i="4"/>
  <c r="G53" i="4"/>
  <c r="G31" i="4"/>
  <c r="G30" i="4"/>
  <c r="G32" i="4"/>
  <c r="G47" i="4"/>
  <c r="G38" i="4"/>
  <c r="G40" i="4"/>
  <c r="G29" i="4"/>
  <c r="G35" i="4"/>
  <c r="G49" i="4"/>
  <c r="G42" i="4"/>
  <c r="G39" i="4"/>
  <c r="G41" i="4"/>
  <c r="G48" i="4"/>
  <c r="G45" i="4"/>
  <c r="G46" i="4"/>
  <c r="G43" i="4"/>
  <c r="G28" i="4"/>
  <c r="G33" i="4"/>
  <c r="G36" i="4"/>
  <c r="G44" i="4"/>
  <c r="G50" i="4"/>
  <c r="G34" i="4"/>
  <c r="G51" i="4"/>
</calcChain>
</file>

<file path=xl/sharedStrings.xml><?xml version="1.0" encoding="utf-8"?>
<sst xmlns="http://schemas.openxmlformats.org/spreadsheetml/2006/main" count="2277" uniqueCount="282">
  <si>
    <t/>
  </si>
  <si>
    <t>Description</t>
  </si>
  <si>
    <t>Member Count</t>
  </si>
  <si>
    <t>Total</t>
  </si>
  <si>
    <t>Payee</t>
  </si>
  <si>
    <t>Payment Date</t>
  </si>
  <si>
    <t>Main Line Benefits LLC</t>
  </si>
  <si>
    <t>01/31/2025</t>
  </si>
  <si>
    <t>Credits</t>
  </si>
  <si>
    <t>$3,681.58</t>
  </si>
  <si>
    <t>Debits</t>
  </si>
  <si>
    <t>($513.00)</t>
  </si>
  <si>
    <t>Miscellaneous</t>
  </si>
  <si>
    <t>$3,500.00</t>
  </si>
  <si>
    <t>Bonus</t>
  </si>
  <si>
    <t>$0.00</t>
  </si>
  <si>
    <t>Sub Total</t>
  </si>
  <si>
    <t>$6,668.58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</si>
  <si>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</si>
  <si>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</si>
  <si>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</si>
  <si>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</si>
  <si>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</si>
  <si>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</si>
  <si>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</si>
  <si>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</si>
  <si>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</si>
  <si>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</si>
  <si>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</si>
  <si>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</si>
  <si>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</si>
  <si>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</si>
  <si>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</si>
  <si>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</si>
  <si>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</si>
  <si>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</si>
  <si>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</si>
  <si>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</si>
  <si>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</si>
  <si>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</si>
  <si>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</si>
  <si>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</si>
  <si>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17126004</t>
  </si>
  <si>
    <t>Stephanie Drapac</t>
  </si>
  <si>
    <t>DU896U</t>
  </si>
  <si>
    <t>5CM0EK1XF12</t>
  </si>
  <si>
    <t>LINDA</t>
  </si>
  <si>
    <t>CIANCIO</t>
  </si>
  <si>
    <t>IL</t>
  </si>
  <si>
    <t>H6545</t>
  </si>
  <si>
    <t>NONE</t>
  </si>
  <si>
    <t>Renewal - Monthly</t>
  </si>
  <si>
    <t>Jan</t>
  </si>
  <si>
    <t>18754354</t>
  </si>
  <si>
    <t>Jacob Yale</t>
  </si>
  <si>
    <t>D8C779</t>
  </si>
  <si>
    <t>2XN3YK0ET73</t>
  </si>
  <si>
    <t>CHRISTOPHER</t>
  </si>
  <si>
    <t>SPRINGER</t>
  </si>
  <si>
    <t>H7151</t>
  </si>
  <si>
    <t>DR8EJR</t>
  </si>
  <si>
    <t>4RV9DP2GR28</t>
  </si>
  <si>
    <t>THERESA</t>
  </si>
  <si>
    <t>MCAULEY</t>
  </si>
  <si>
    <t>D8YS8Y</t>
  </si>
  <si>
    <t>9QE9Q25VU37</t>
  </si>
  <si>
    <t>MARYANN</t>
  </si>
  <si>
    <t>CHINDERLE</t>
  </si>
  <si>
    <t>17301495</t>
  </si>
  <si>
    <t>Esther Herrera-Larsen</t>
  </si>
  <si>
    <t>DUW2FG</t>
  </si>
  <si>
    <t>1PD5GW2MJ88</t>
  </si>
  <si>
    <t>EMMA</t>
  </si>
  <si>
    <t>VALE</t>
  </si>
  <si>
    <t>D2UZFA</t>
  </si>
  <si>
    <t>5KH0A34HV31</t>
  </si>
  <si>
    <t>ABELARDO</t>
  </si>
  <si>
    <t>MONARREZ</t>
  </si>
  <si>
    <t>DRH8SG</t>
  </si>
  <si>
    <t>1V09CP8GE12</t>
  </si>
  <si>
    <t>EUDOXIO</t>
  </si>
  <si>
    <t>LOPEZ</t>
  </si>
  <si>
    <t>19200754</t>
  </si>
  <si>
    <t>Ricardo Santos</t>
  </si>
  <si>
    <t>D77FJC</t>
  </si>
  <si>
    <t>1H75YU5EY55</t>
  </si>
  <si>
    <t>BETH</t>
  </si>
  <si>
    <t>GONSIEWSKI</t>
  </si>
  <si>
    <t>D9H8YE</t>
  </si>
  <si>
    <t>1UX3AG1PY96</t>
  </si>
  <si>
    <t>ANNETTE</t>
  </si>
  <si>
    <t>EDWARDSON</t>
  </si>
  <si>
    <t>2158366</t>
  </si>
  <si>
    <t>Jeffrey Horn</t>
  </si>
  <si>
    <t>D3A4KF</t>
  </si>
  <si>
    <t>6DA7U07AX76</t>
  </si>
  <si>
    <t>LAURA</t>
  </si>
  <si>
    <t>MROZEK</t>
  </si>
  <si>
    <t>MAPD</t>
  </si>
  <si>
    <t>8325282</t>
  </si>
  <si>
    <t>Dale Walenga</t>
  </si>
  <si>
    <t>DU29JK</t>
  </si>
  <si>
    <t>7KD4KY4QV77</t>
  </si>
  <si>
    <t>RICHARD</t>
  </si>
  <si>
    <t>DEHN</t>
  </si>
  <si>
    <t>PDP</t>
  </si>
  <si>
    <t>9213293</t>
  </si>
  <si>
    <t>Gary Portugal</t>
  </si>
  <si>
    <t>DEW7CR</t>
  </si>
  <si>
    <t>9GX4VW5TX84</t>
  </si>
  <si>
    <t>PATRICIA</t>
  </si>
  <si>
    <t>PROCHASKA</t>
  </si>
  <si>
    <t>19615078</t>
  </si>
  <si>
    <t>Richard Wuensch</t>
  </si>
  <si>
    <t>DA25Z9</t>
  </si>
  <si>
    <t>9GT8GY8NX41</t>
  </si>
  <si>
    <t>NADEZHDA</t>
  </si>
  <si>
    <t>ROMANOVA</t>
  </si>
  <si>
    <t>D6K5SY</t>
  </si>
  <si>
    <t>8EC0EW1WG35</t>
  </si>
  <si>
    <t>SUSAN</t>
  </si>
  <si>
    <t>EICHMAN PARCELL</t>
  </si>
  <si>
    <t>D4AC9K</t>
  </si>
  <si>
    <t>6GA0R99WK27</t>
  </si>
  <si>
    <t>WILLIAM</t>
  </si>
  <si>
    <t>LUDWIG III</t>
  </si>
  <si>
    <t>D7ZW4G</t>
  </si>
  <si>
    <t>3X37JK1GE45</t>
  </si>
  <si>
    <t>JEFFREY</t>
  </si>
  <si>
    <t>JOHNS</t>
  </si>
  <si>
    <t>D538HS</t>
  </si>
  <si>
    <t>8FR8K36WG37</t>
  </si>
  <si>
    <t>JOHN</t>
  </si>
  <si>
    <t>PAUL</t>
  </si>
  <si>
    <t>16683808</t>
  </si>
  <si>
    <t>Jonathan Aloff</t>
  </si>
  <si>
    <t>DH28HS</t>
  </si>
  <si>
    <t>3DU4M88UK01</t>
  </si>
  <si>
    <t>MELQUEA</t>
  </si>
  <si>
    <t>EDWARDS</t>
  </si>
  <si>
    <t>TX</t>
  </si>
  <si>
    <t>H7993</t>
  </si>
  <si>
    <t>20212926</t>
  </si>
  <si>
    <t>Jose Torres</t>
  </si>
  <si>
    <t>DYS7K3</t>
  </si>
  <si>
    <t>1HN9VG8CT33</t>
  </si>
  <si>
    <t>ANIANO</t>
  </si>
  <si>
    <t>OBANA JR</t>
  </si>
  <si>
    <t>DHWE4W</t>
  </si>
  <si>
    <t>6VV7RE8JM34</t>
  </si>
  <si>
    <t>SUZANNE</t>
  </si>
  <si>
    <t>HEY</t>
  </si>
  <si>
    <t>Initial - Not New</t>
  </si>
  <si>
    <t>7470776</t>
  </si>
  <si>
    <t>Andrew Choi</t>
  </si>
  <si>
    <t>D3EH29</t>
  </si>
  <si>
    <t>7HJ5FP9UP67</t>
  </si>
  <si>
    <t>JEFFERY</t>
  </si>
  <si>
    <t>FORSBERG</t>
  </si>
  <si>
    <t>TN</t>
  </si>
  <si>
    <t>H9231</t>
  </si>
  <si>
    <t>D6YZ5C</t>
  </si>
  <si>
    <t>6WD1V32PM29</t>
  </si>
  <si>
    <t>CARLOS</t>
  </si>
  <si>
    <t>CHAVEZ</t>
  </si>
  <si>
    <t>DFZ5W5</t>
  </si>
  <si>
    <t>4Q36F27TF65</t>
  </si>
  <si>
    <t>THOMAS</t>
  </si>
  <si>
    <t>GODFREY III</t>
  </si>
  <si>
    <t>IN</t>
  </si>
  <si>
    <t>H7471</t>
  </si>
  <si>
    <t>DEAGYA</t>
  </si>
  <si>
    <t>1TX7CP1KC40</t>
  </si>
  <si>
    <t>ROBERT</t>
  </si>
  <si>
    <t>BAUER JR</t>
  </si>
  <si>
    <t>16633294</t>
  </si>
  <si>
    <t>Richard Yale</t>
  </si>
  <si>
    <t>DCR8CW</t>
  </si>
  <si>
    <t>8WY1YT8RP20</t>
  </si>
  <si>
    <t>HEIDI</t>
  </si>
  <si>
    <t>RUELOS</t>
  </si>
  <si>
    <t>DG4GHG</t>
  </si>
  <si>
    <t>8TR0RP8FH08</t>
  </si>
  <si>
    <t>HECTOR</t>
  </si>
  <si>
    <t>HERNANDEZ</t>
  </si>
  <si>
    <t>19586992</t>
  </si>
  <si>
    <t>Barry Schumann</t>
  </si>
  <si>
    <t>16865615</t>
  </si>
  <si>
    <t>Heather Geske</t>
  </si>
  <si>
    <t>19396223</t>
  </si>
  <si>
    <t>Saadia Abdul</t>
  </si>
  <si>
    <t>18581063</t>
  </si>
  <si>
    <t>Timothy Hodgman</t>
  </si>
  <si>
    <t>20220688</t>
  </si>
  <si>
    <t>Nasandelger Zana</t>
  </si>
  <si>
    <t>8405446</t>
  </si>
  <si>
    <t>Patsamon Thanadabouth</t>
  </si>
  <si>
    <t>19681796</t>
  </si>
  <si>
    <t>christian taugner</t>
  </si>
  <si>
    <t>8814784</t>
  </si>
  <si>
    <t>Frank Liskovec</t>
  </si>
  <si>
    <t>Rep Name</t>
  </si>
  <si>
    <t>Rep ID</t>
  </si>
  <si>
    <t>Amount</t>
  </si>
  <si>
    <t>Note</t>
  </si>
  <si>
    <t>$50.00</t>
  </si>
  <si>
    <t>HRA for member Gerardo Espinosa DSJR7R (IL)</t>
  </si>
  <si>
    <t>HRA for member Kareema Abdul Farmer DZ25A6 (IL)</t>
  </si>
  <si>
    <t>HRA for member Bhargav Savani D83KH5 (IL)</t>
  </si>
  <si>
    <t>HRA for member Lashun Nelson DE9J4K (IL)</t>
  </si>
  <si>
    <t>HRA for member Jane GREENFIELD DZK78H (IL)</t>
  </si>
  <si>
    <t>HRA for member Kim Smith DJGRC4 (FL)</t>
  </si>
  <si>
    <t>HRA for member Roberta Beckman DUWJJS (IL)</t>
  </si>
  <si>
    <t>HRA for member carole krajeski D2WWK3 (IL)</t>
  </si>
  <si>
    <t>HRA for member ROGELIO Ruelos DC5E74 (IL)</t>
  </si>
  <si>
    <t>HRA for member Hilda Hernandez DCZ6E3 (IL)</t>
  </si>
  <si>
    <t>HRA for member John BARONE JR D678GK (IL)</t>
  </si>
  <si>
    <t>HRA for member Catalina Rodriguez DRJYWR (IL)</t>
  </si>
  <si>
    <t>HRA for member Debra Murphy DC3EKR (IL)</t>
  </si>
  <si>
    <t>HRA for member Sally Fermaint D3W8UJ (IL)</t>
  </si>
  <si>
    <t>HRA for member Gary Richter DZG38J (IL)</t>
  </si>
  <si>
    <t>HRA for member JOAN DOERING DZER6C (IL)</t>
  </si>
  <si>
    <t>HRA for member Steven Hey D4HE9G (IL)</t>
  </si>
  <si>
    <t>HRA for member Casimer Donato DHSKKF (IL)</t>
  </si>
  <si>
    <t>HRA for member Kristine Gibas DYJG9W (IL)</t>
  </si>
  <si>
    <t>HRA for member Rebecca Norton D5E4KJ (IL)</t>
  </si>
  <si>
    <t>HRA for member DEBORAH HOLMER D83CRZ (IL)</t>
  </si>
  <si>
    <t>HRA for member Kathleen Collins DJ24FH (IL)</t>
  </si>
  <si>
    <t>HRA for member MARIA PENA DE99ER (IL)</t>
  </si>
  <si>
    <t>HRA for member Arif Siraj DS9Y85 (IL)</t>
  </si>
  <si>
    <t>HRA for member Betty McKennie DAJ3ER (IL)</t>
  </si>
  <si>
    <t>HRA for member Catherine James DHRYRA (IL)</t>
  </si>
  <si>
    <t>HRA for member Clifton McKennie DJFA7R (IL)</t>
  </si>
  <si>
    <t>HRA for member Mary CARFAGNINI DA5EJF (IL)</t>
  </si>
  <si>
    <t>HRA for member Mary Barr D2KZUR (IL)</t>
  </si>
  <si>
    <t>HRA for member HENRY DAMIANO DW927K (IL)</t>
  </si>
  <si>
    <t>HRA for member Marta Cullen D3FYF5 (IL)</t>
  </si>
  <si>
    <t>HRA for member SHERYL DAMIANO DC3W39 (IL)</t>
  </si>
  <si>
    <t>HRA for member Karen Charewicz D4SJK4 (IL)</t>
  </si>
  <si>
    <t>HRA for member Donald Schrader DS2K8C (IL)</t>
  </si>
  <si>
    <t>HRA for member Jaimini Trivedi DKGJ6A (IL)</t>
  </si>
  <si>
    <t>HRA for member Samuel Book D4EE5H (IL)</t>
  </si>
  <si>
    <t>HRA for member Candace Dobrino DSF4K7 (IL)</t>
  </si>
  <si>
    <t>HRA for member Walter Beckman D2E9C8 (IL)</t>
  </si>
  <si>
    <t>HRA for member Barbara Powell DRUSCG (IL)</t>
  </si>
  <si>
    <t>HRA for member Cheryl Rudd D87SKK (IL)</t>
  </si>
  <si>
    <t>HRA for member DAWN REID D85K29 (IL)</t>
  </si>
  <si>
    <t>HRA for member Diane Vondornburg D22A48 (IL)</t>
  </si>
  <si>
    <t>HRA for member LINDA BENSING D93GSE (IL)</t>
  </si>
  <si>
    <t>HRA for member LYDIA SAGOLS DFZGZC (IL)</t>
  </si>
  <si>
    <t>HRA for member Peter Barr DFE232 (IL)</t>
  </si>
  <si>
    <t>HRA for member Scott Rudd DARF7K (IL)</t>
  </si>
  <si>
    <t>HRA for member Phillip Cullen DWZ7RJ (IL)</t>
  </si>
  <si>
    <t>HRA for member William Brennan DRR7W8 (IL)</t>
  </si>
  <si>
    <t>HRA for member ROBERT CLIFF DFA55S (IL)</t>
  </si>
  <si>
    <t>HRA for member SHERRY CLIFF DERSRA (IL)</t>
  </si>
  <si>
    <t>HRA for member Laverne Donato DE72ZC (IL)</t>
  </si>
  <si>
    <t>HRA for member Russell Corp DEU7R5 (KY)</t>
  </si>
  <si>
    <t>HRA for member Elizabeth Falconer DJHS47 (IL)</t>
  </si>
  <si>
    <t>HRA for member Helen Breidenbach DCRHUF (IL)</t>
  </si>
  <si>
    <t>HRA for member Petros Markopoulos DK5Y9F (IN)</t>
  </si>
  <si>
    <t>HRA for member Ralph De La Fuente DHF6GK (IN)</t>
  </si>
  <si>
    <t>HRA for member Sherry Mikolics DZZH46 (IN)</t>
  </si>
  <si>
    <t>HRA for member Donald Schmidt DR4826 (TX)</t>
  </si>
  <si>
    <t>HRA for member Jill Schmidt D4YY48 (TX)</t>
  </si>
  <si>
    <t>HRA for member Enoch Anderson DFFGS3 (IL)</t>
  </si>
  <si>
    <t>HRA for member Harold Wirtz D48HWR (IN)</t>
  </si>
  <si>
    <t>HRA for member Robert Falconer D74CRS (IL)</t>
  </si>
  <si>
    <t>HRA for member Thongbay Bounyavong DKA7W3 (IL)</t>
  </si>
  <si>
    <t>HRA for member Wendy Sofyanos D5HG7U (IL)</t>
  </si>
  <si>
    <t>HRA for member Eugene Lyzun DRS326 (IL)</t>
  </si>
  <si>
    <t>HRA for member Francesca Lyzun DR5KGS (IL)</t>
  </si>
  <si>
    <t>HRA for member Joyce Ward DS3JW9 (FL)</t>
  </si>
  <si>
    <t>HRA for member Eddie GILBERT III D949GW (TX)</t>
  </si>
  <si>
    <t>HRA for member NAMJSUREN DORJ DZ9ZWK (IL)</t>
  </si>
  <si>
    <t>HRA for member Bertha Carrillo DCY63A (IL)</t>
  </si>
  <si>
    <t>[%/$=313][prorate=12/12]</t>
  </si>
  <si>
    <t>[%/$=313][prorate=11/12]</t>
  </si>
  <si>
    <t>[%/$=313][prorate=1/12]</t>
  </si>
  <si>
    <t>Devoted MAPD 2025 Ovr</t>
  </si>
  <si>
    <t>Devoted MAPD 2025*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</si>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</sst>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"/>
    <numFmt numFmtId="165" formatCode="dd/mm/yyyy\ 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C2" sqref="C2:C71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3" width="15" customWidth="1"/>
    <col min="5" max="5" width="25" customWidth="1"/>
    <col min="6" max="6" width="20" customWidth="1"/>
  </cols>
  <sheetData>
    <row r="1" spans="1:6" x14ac:dyDescent="0.2">
      <c r="A1" t="s">
        <v>1</v>
      </c>
      <c r="B1" t="s">
        <v>2</v>
      </c>
      <c r="C1" t="s">
        <v>3</v>
      </c>
      <c r="E1" t="s">
        <v>4</v>
      </c>
      <c r="F1" t="s">
        <v>5</v>
      </c>
    </row>
    <row r="2" spans="1:6" x14ac:dyDescent="0.2">
      <c r="A2" t="s">
        <v>8</v>
      </c>
      <c r="B2">
        <v>25</v>
      </c>
      <c r="C2" t="s">
        <v>9</v>
      </c>
      <c r="E2" t="s">
        <v>6</v>
      </c>
      <c r="F2" t="s">
        <v>7</v>
      </c>
    </row>
    <row r="3" spans="1:6" x14ac:dyDescent="0.2">
      <c r="A3" t="s">
        <v>10</v>
      </c>
      <c r="B3">
        <v>1</v>
      </c>
      <c r="C3" t="s">
        <v>11</v>
      </c>
    </row>
    <row r="4" spans="1:6" x14ac:dyDescent="0.2">
      <c r="A4" t="s">
        <v>12</v>
      </c>
      <c r="B4">
        <v>70</v>
      </c>
      <c r="C4" t="s">
        <v>13</v>
      </c>
    </row>
    <row r="5" spans="1:6" x14ac:dyDescent="0.2">
      <c r="A5" t="s">
        <v>14</v>
      </c>
      <c r="C5" t="s">
        <v>15</v>
      </c>
    </row>
    <row r="6" spans="1:6" x14ac:dyDescent="0.2">
      <c r="A6" t="s">
        <v>16</v>
      </c>
      <c r="B6">
        <v>26</v>
      </c>
      <c r="C6" t="s">
        <v>17</v>
      </c>
    </row>
    <row r="7" spans="1:6" x14ac:dyDescent="0.2">
      <c r="A7" t="s">
        <v>18</v>
      </c>
      <c r="C7" t="s">
        <v>15</v>
      </c>
    </row>
    <row r="8" spans="1:6" x14ac:dyDescent="0.2">
      <c r="A8" t="s">
        <v>19</v>
      </c>
      <c r="C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7"/>
  <sheetViews>
    <sheetView workbookViewId="0">
      <selection activeCell="T2" sqref="T2:T27"/>
    </sheetView>
  </sheetViews>
  <sheetFormatPr baseColWidth="10" defaultColWidth="8.83203125" defaultRowHeight="15" x14ac:dyDescent="0.2"/>
  <cols>
    <col min="1" max="1" width="15" customWidth="1"/>
    <col min="2" max="2" width="10" customWidth="1"/>
    <col min="3" max="3" width="25" customWidth="1"/>
    <col min="4" max="4" width="15" customWidth="1"/>
    <col min="7" max="7" width="17.83203125" bestFit="1" customWidth="1"/>
    <col min="8" max="8" width="13.6640625" bestFit="1" customWidth="1"/>
    <col min="9" max="9" width="14.1640625" bestFit="1" customWidth="1"/>
    <col min="10" max="10" width="13.33203125" bestFit="1" customWidth="1"/>
    <col min="11" max="11" width="13.5" bestFit="1" customWidth="1"/>
    <col min="12" max="12" width="8.6640625" bestFit="1" customWidth="1"/>
    <col min="13" max="13" width="4.33203125" bestFit="1" customWidth="1"/>
    <col min="14" max="14" width="14.33203125" bestFit="1" customWidth="1"/>
    <col min="15" max="15" width="14.6640625" bestFit="1" customWidth="1"/>
    <col min="16" max="16" width="17.83203125" bestFit="1" customWidth="1"/>
    <col min="17" max="17" width="6.6640625" bestFit="1" customWidth="1"/>
    <col min="18" max="18" width="12.83203125" bestFit="1" customWidth="1"/>
    <col min="19" max="19" width="14.5" bestFit="1" customWidth="1"/>
    <col min="20" max="20" width="14" bestFit="1" customWidth="1"/>
    <col min="21" max="21" width="21" bestFit="1" customWidth="1"/>
    <col min="22" max="22" width="18" bestFit="1" customWidth="1"/>
  </cols>
  <sheetData>
    <row r="1" spans="1:22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</row>
    <row r="2" spans="1:22" x14ac:dyDescent="0.2">
      <c r="A2" s="1">
        <v>45688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s="1">
        <v>45497</v>
      </c>
      <c r="J2" s="1">
        <v>45505</v>
      </c>
      <c r="K2" t="s">
        <v>0</v>
      </c>
      <c r="L2" t="s">
        <v>49</v>
      </c>
      <c r="M2">
        <v>1</v>
      </c>
      <c r="N2" t="s">
        <v>50</v>
      </c>
      <c r="O2">
        <v>2</v>
      </c>
      <c r="P2" t="s">
        <v>51</v>
      </c>
      <c r="Q2" t="s">
        <v>52</v>
      </c>
      <c r="R2">
        <v>26.083333</v>
      </c>
      <c r="S2">
        <v>14</v>
      </c>
      <c r="T2">
        <v>40.08</v>
      </c>
      <c r="U2" t="s">
        <v>6</v>
      </c>
    </row>
    <row r="3" spans="1:22" x14ac:dyDescent="0.2">
      <c r="A3" s="1">
        <v>45688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48</v>
      </c>
      <c r="I3" s="1">
        <v>45502</v>
      </c>
      <c r="J3" s="1">
        <v>45505</v>
      </c>
      <c r="K3" t="s">
        <v>0</v>
      </c>
      <c r="L3" t="s">
        <v>59</v>
      </c>
      <c r="M3">
        <v>1</v>
      </c>
      <c r="N3" t="s">
        <v>50</v>
      </c>
      <c r="O3">
        <v>2</v>
      </c>
      <c r="P3" t="s">
        <v>51</v>
      </c>
      <c r="Q3" t="s">
        <v>52</v>
      </c>
      <c r="R3">
        <v>26.083333</v>
      </c>
      <c r="S3">
        <v>14</v>
      </c>
      <c r="T3">
        <v>40.08</v>
      </c>
      <c r="U3" t="s">
        <v>6</v>
      </c>
    </row>
    <row r="4" spans="1:22" x14ac:dyDescent="0.2">
      <c r="A4" s="1">
        <v>45688</v>
      </c>
      <c r="B4" t="s">
        <v>42</v>
      </c>
      <c r="C4" t="s">
        <v>43</v>
      </c>
      <c r="D4" t="s">
        <v>60</v>
      </c>
      <c r="E4" t="s">
        <v>61</v>
      </c>
      <c r="F4" t="s">
        <v>62</v>
      </c>
      <c r="G4" t="s">
        <v>63</v>
      </c>
      <c r="H4" t="s">
        <v>48</v>
      </c>
      <c r="I4" s="1">
        <v>45503</v>
      </c>
      <c r="J4" s="1">
        <v>45505</v>
      </c>
      <c r="K4" t="s">
        <v>0</v>
      </c>
      <c r="L4" t="s">
        <v>49</v>
      </c>
      <c r="M4">
        <v>1</v>
      </c>
      <c r="N4" t="s">
        <v>50</v>
      </c>
      <c r="O4">
        <v>2</v>
      </c>
      <c r="P4" t="s">
        <v>51</v>
      </c>
      <c r="Q4" t="s">
        <v>52</v>
      </c>
      <c r="R4">
        <v>26.083333</v>
      </c>
      <c r="S4">
        <v>14</v>
      </c>
      <c r="T4">
        <v>40.08</v>
      </c>
      <c r="U4" t="s">
        <v>6</v>
      </c>
    </row>
    <row r="5" spans="1:22" x14ac:dyDescent="0.2">
      <c r="A5" s="1">
        <v>45688</v>
      </c>
      <c r="B5" t="s">
        <v>42</v>
      </c>
      <c r="C5" t="s">
        <v>43</v>
      </c>
      <c r="D5" t="s">
        <v>64</v>
      </c>
      <c r="E5" t="s">
        <v>65</v>
      </c>
      <c r="F5" t="s">
        <v>66</v>
      </c>
      <c r="G5" t="s">
        <v>67</v>
      </c>
      <c r="H5" t="s">
        <v>48</v>
      </c>
      <c r="I5" s="1">
        <v>45510</v>
      </c>
      <c r="J5" s="1">
        <v>45566</v>
      </c>
      <c r="K5" t="s">
        <v>0</v>
      </c>
      <c r="L5" t="s">
        <v>49</v>
      </c>
      <c r="M5">
        <v>1</v>
      </c>
      <c r="N5" t="s">
        <v>50</v>
      </c>
      <c r="O5">
        <v>2</v>
      </c>
      <c r="P5" t="s">
        <v>51</v>
      </c>
      <c r="Q5" t="s">
        <v>52</v>
      </c>
      <c r="R5">
        <v>26.083333</v>
      </c>
      <c r="S5">
        <v>14</v>
      </c>
      <c r="T5">
        <v>40.08</v>
      </c>
      <c r="U5" t="s">
        <v>6</v>
      </c>
    </row>
    <row r="6" spans="1:22" x14ac:dyDescent="0.2">
      <c r="A6" s="1">
        <v>45688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48</v>
      </c>
      <c r="I6" s="2">
        <v>45512</v>
      </c>
      <c r="J6" s="1">
        <v>45597</v>
      </c>
      <c r="K6" t="s">
        <v>0</v>
      </c>
      <c r="L6" t="s">
        <v>59</v>
      </c>
      <c r="M6">
        <v>1</v>
      </c>
      <c r="N6" t="s">
        <v>50</v>
      </c>
      <c r="O6">
        <v>2</v>
      </c>
      <c r="P6" t="s">
        <v>51</v>
      </c>
      <c r="Q6" t="s">
        <v>52</v>
      </c>
      <c r="R6">
        <v>26.083333</v>
      </c>
      <c r="S6">
        <v>14</v>
      </c>
      <c r="T6">
        <v>40.08</v>
      </c>
      <c r="U6" t="s">
        <v>6</v>
      </c>
    </row>
    <row r="7" spans="1:22" x14ac:dyDescent="0.2">
      <c r="A7" s="1">
        <v>45688</v>
      </c>
      <c r="B7" t="s">
        <v>68</v>
      </c>
      <c r="C7" t="s">
        <v>69</v>
      </c>
      <c r="D7" t="s">
        <v>74</v>
      </c>
      <c r="E7" t="s">
        <v>75</v>
      </c>
      <c r="F7" t="s">
        <v>76</v>
      </c>
      <c r="G7" t="s">
        <v>77</v>
      </c>
      <c r="H7" t="s">
        <v>48</v>
      </c>
      <c r="I7" s="1">
        <v>45519</v>
      </c>
      <c r="J7" s="1">
        <v>45536</v>
      </c>
      <c r="K7" t="s">
        <v>0</v>
      </c>
      <c r="L7" t="s">
        <v>49</v>
      </c>
      <c r="M7">
        <v>1</v>
      </c>
      <c r="N7" t="s">
        <v>50</v>
      </c>
      <c r="O7">
        <v>2</v>
      </c>
      <c r="P7" t="s">
        <v>51</v>
      </c>
      <c r="Q7" t="s">
        <v>52</v>
      </c>
      <c r="R7">
        <v>26.083333</v>
      </c>
      <c r="S7">
        <v>14</v>
      </c>
      <c r="T7">
        <v>40.08</v>
      </c>
      <c r="U7" t="s">
        <v>6</v>
      </c>
    </row>
    <row r="8" spans="1:22" x14ac:dyDescent="0.2">
      <c r="A8" s="1">
        <v>45688</v>
      </c>
      <c r="B8" t="s">
        <v>68</v>
      </c>
      <c r="C8" t="s">
        <v>69</v>
      </c>
      <c r="D8" t="s">
        <v>78</v>
      </c>
      <c r="E8" t="s">
        <v>79</v>
      </c>
      <c r="F8" t="s">
        <v>80</v>
      </c>
      <c r="G8" t="s">
        <v>81</v>
      </c>
      <c r="H8" t="s">
        <v>48</v>
      </c>
      <c r="I8" s="1">
        <v>45520</v>
      </c>
      <c r="J8" s="1">
        <v>45597</v>
      </c>
      <c r="K8" t="s">
        <v>0</v>
      </c>
      <c r="L8" t="s">
        <v>59</v>
      </c>
      <c r="M8">
        <v>1</v>
      </c>
      <c r="N8" t="s">
        <v>50</v>
      </c>
      <c r="O8">
        <v>2</v>
      </c>
      <c r="P8" t="s">
        <v>51</v>
      </c>
      <c r="Q8" t="s">
        <v>52</v>
      </c>
      <c r="R8">
        <v>26.083333</v>
      </c>
      <c r="S8">
        <v>14</v>
      </c>
      <c r="T8">
        <v>40.08</v>
      </c>
      <c r="U8" t="s">
        <v>6</v>
      </c>
    </row>
    <row r="9" spans="1:22" x14ac:dyDescent="0.2">
      <c r="A9" s="1">
        <v>45688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 t="s">
        <v>48</v>
      </c>
      <c r="I9" s="1">
        <v>45530</v>
      </c>
      <c r="J9" s="1">
        <v>45566</v>
      </c>
      <c r="K9" t="s">
        <v>0</v>
      </c>
      <c r="L9" t="s">
        <v>49</v>
      </c>
      <c r="M9">
        <v>1</v>
      </c>
      <c r="N9" t="s">
        <v>50</v>
      </c>
      <c r="O9">
        <v>2</v>
      </c>
      <c r="P9" t="s">
        <v>51</v>
      </c>
      <c r="Q9" t="s">
        <v>52</v>
      </c>
      <c r="R9">
        <v>26.083333</v>
      </c>
      <c r="S9">
        <v>14</v>
      </c>
      <c r="T9">
        <v>40.08</v>
      </c>
      <c r="U9" t="s">
        <v>6</v>
      </c>
    </row>
    <row r="10" spans="1:22" x14ac:dyDescent="0.2">
      <c r="A10" s="1">
        <v>45688</v>
      </c>
      <c r="B10" t="s">
        <v>53</v>
      </c>
      <c r="C10" t="s">
        <v>54</v>
      </c>
      <c r="D10" t="s">
        <v>88</v>
      </c>
      <c r="E10" t="s">
        <v>89</v>
      </c>
      <c r="F10" t="s">
        <v>90</v>
      </c>
      <c r="G10" t="s">
        <v>91</v>
      </c>
      <c r="H10" t="s">
        <v>48</v>
      </c>
      <c r="I10" s="1">
        <v>45535</v>
      </c>
      <c r="J10" s="1">
        <v>45536</v>
      </c>
      <c r="K10" t="s">
        <v>0</v>
      </c>
      <c r="L10" t="s">
        <v>49</v>
      </c>
      <c r="M10">
        <v>1</v>
      </c>
      <c r="N10" t="s">
        <v>50</v>
      </c>
      <c r="O10">
        <v>2</v>
      </c>
      <c r="P10" t="s">
        <v>51</v>
      </c>
      <c r="Q10" t="s">
        <v>52</v>
      </c>
      <c r="R10">
        <v>26.083333</v>
      </c>
      <c r="S10">
        <v>14</v>
      </c>
      <c r="T10">
        <v>40.08</v>
      </c>
      <c r="U10" t="s">
        <v>6</v>
      </c>
    </row>
    <row r="11" spans="1:22" x14ac:dyDescent="0.2">
      <c r="A11" s="1">
        <v>45688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 t="s">
        <v>48</v>
      </c>
      <c r="I11" s="1">
        <v>45552</v>
      </c>
      <c r="J11" s="1">
        <v>45566</v>
      </c>
      <c r="K11" t="s">
        <v>0</v>
      </c>
      <c r="L11" t="s">
        <v>49</v>
      </c>
      <c r="M11">
        <v>1</v>
      </c>
      <c r="N11" t="s">
        <v>98</v>
      </c>
      <c r="O11">
        <v>6</v>
      </c>
      <c r="P11" t="s">
        <v>51</v>
      </c>
      <c r="Q11" t="s">
        <v>52</v>
      </c>
      <c r="R11">
        <v>26.083333</v>
      </c>
      <c r="S11">
        <v>14</v>
      </c>
      <c r="T11">
        <v>40.08</v>
      </c>
      <c r="U11" t="s">
        <v>6</v>
      </c>
    </row>
    <row r="12" spans="1:22" x14ac:dyDescent="0.2">
      <c r="A12" s="1">
        <v>45688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 t="s">
        <v>48</v>
      </c>
      <c r="I12" s="1">
        <v>45553</v>
      </c>
      <c r="J12" s="1">
        <v>45566</v>
      </c>
      <c r="K12" t="s">
        <v>0</v>
      </c>
      <c r="L12" t="s">
        <v>49</v>
      </c>
      <c r="M12">
        <v>1</v>
      </c>
      <c r="N12" t="s">
        <v>105</v>
      </c>
      <c r="O12">
        <v>2</v>
      </c>
      <c r="P12" t="s">
        <v>51</v>
      </c>
      <c r="Q12" t="s">
        <v>52</v>
      </c>
      <c r="R12">
        <v>26.083333</v>
      </c>
      <c r="S12">
        <v>14</v>
      </c>
      <c r="T12">
        <v>40.08</v>
      </c>
      <c r="U12" t="s">
        <v>6</v>
      </c>
    </row>
    <row r="13" spans="1:22" x14ac:dyDescent="0.2">
      <c r="A13" s="1">
        <v>45688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111</v>
      </c>
      <c r="H13" t="s">
        <v>48</v>
      </c>
      <c r="I13" s="1">
        <v>45560</v>
      </c>
      <c r="J13" s="1">
        <v>45597</v>
      </c>
      <c r="K13" t="s">
        <v>0</v>
      </c>
      <c r="L13" t="s">
        <v>49</v>
      </c>
      <c r="M13">
        <v>1</v>
      </c>
      <c r="N13" t="s">
        <v>50</v>
      </c>
      <c r="O13">
        <v>2</v>
      </c>
      <c r="P13" t="s">
        <v>51</v>
      </c>
      <c r="Q13" t="s">
        <v>52</v>
      </c>
      <c r="R13">
        <v>26.083333</v>
      </c>
      <c r="S13">
        <v>14</v>
      </c>
      <c r="T13">
        <v>40.08</v>
      </c>
      <c r="U13" t="s">
        <v>6</v>
      </c>
    </row>
    <row r="14" spans="1:22" x14ac:dyDescent="0.2">
      <c r="A14" s="1">
        <v>45688</v>
      </c>
      <c r="B14" t="s">
        <v>112</v>
      </c>
      <c r="C14" t="s">
        <v>113</v>
      </c>
      <c r="D14" t="s">
        <v>114</v>
      </c>
      <c r="E14" t="s">
        <v>115</v>
      </c>
      <c r="F14" t="s">
        <v>116</v>
      </c>
      <c r="G14" t="s">
        <v>117</v>
      </c>
      <c r="H14" t="s">
        <v>48</v>
      </c>
      <c r="I14" s="1">
        <v>45561</v>
      </c>
      <c r="J14" s="1">
        <v>45566</v>
      </c>
      <c r="K14" t="s">
        <v>0</v>
      </c>
      <c r="L14" t="s">
        <v>49</v>
      </c>
      <c r="M14">
        <v>1</v>
      </c>
      <c r="N14" t="s">
        <v>50</v>
      </c>
      <c r="O14">
        <v>2</v>
      </c>
      <c r="P14" t="s">
        <v>51</v>
      </c>
      <c r="Q14" t="s">
        <v>52</v>
      </c>
      <c r="R14">
        <v>26.083333</v>
      </c>
      <c r="S14">
        <v>14</v>
      </c>
      <c r="T14">
        <v>40.08</v>
      </c>
      <c r="U14" t="s">
        <v>6</v>
      </c>
    </row>
    <row r="15" spans="1:22" x14ac:dyDescent="0.2">
      <c r="A15" s="1">
        <v>45688</v>
      </c>
      <c r="B15" t="s">
        <v>92</v>
      </c>
      <c r="C15" t="s">
        <v>93</v>
      </c>
      <c r="D15" t="s">
        <v>118</v>
      </c>
      <c r="E15" t="s">
        <v>119</v>
      </c>
      <c r="F15" t="s">
        <v>120</v>
      </c>
      <c r="G15" t="s">
        <v>121</v>
      </c>
      <c r="H15" t="s">
        <v>48</v>
      </c>
      <c r="I15" s="1">
        <v>45566</v>
      </c>
      <c r="J15" s="1">
        <v>45627</v>
      </c>
      <c r="K15" t="s">
        <v>0</v>
      </c>
      <c r="L15" t="s">
        <v>59</v>
      </c>
      <c r="M15">
        <v>1</v>
      </c>
      <c r="N15" t="s">
        <v>50</v>
      </c>
      <c r="O15">
        <v>2</v>
      </c>
      <c r="P15" t="s">
        <v>51</v>
      </c>
      <c r="Q15" t="s">
        <v>52</v>
      </c>
      <c r="R15">
        <v>26.083333</v>
      </c>
      <c r="S15">
        <v>14</v>
      </c>
      <c r="T15">
        <v>40.08</v>
      </c>
      <c r="U15" t="s">
        <v>6</v>
      </c>
    </row>
    <row r="16" spans="1:22" x14ac:dyDescent="0.2">
      <c r="A16" s="1">
        <v>45688</v>
      </c>
      <c r="B16" t="s">
        <v>53</v>
      </c>
      <c r="C16" t="s">
        <v>54</v>
      </c>
      <c r="D16" t="s">
        <v>122</v>
      </c>
      <c r="E16" t="s">
        <v>123</v>
      </c>
      <c r="F16" t="s">
        <v>124</v>
      </c>
      <c r="G16" t="s">
        <v>125</v>
      </c>
      <c r="H16" t="s">
        <v>48</v>
      </c>
      <c r="I16" s="1">
        <v>45569</v>
      </c>
      <c r="J16" s="1">
        <v>45597</v>
      </c>
      <c r="K16" t="s">
        <v>0</v>
      </c>
      <c r="L16" t="s">
        <v>59</v>
      </c>
      <c r="M16">
        <v>1</v>
      </c>
      <c r="N16" t="s">
        <v>105</v>
      </c>
      <c r="O16">
        <v>2</v>
      </c>
      <c r="P16" t="s">
        <v>51</v>
      </c>
      <c r="Q16" t="s">
        <v>52</v>
      </c>
      <c r="R16">
        <v>26.083333</v>
      </c>
      <c r="S16">
        <v>14</v>
      </c>
      <c r="T16">
        <v>40.08</v>
      </c>
      <c r="U16" t="s">
        <v>6</v>
      </c>
    </row>
    <row r="17" spans="1:21" x14ac:dyDescent="0.2">
      <c r="A17" s="1">
        <v>45688</v>
      </c>
      <c r="B17" t="s">
        <v>92</v>
      </c>
      <c r="C17" t="s">
        <v>93</v>
      </c>
      <c r="D17" t="s">
        <v>126</v>
      </c>
      <c r="E17" t="s">
        <v>127</v>
      </c>
      <c r="F17" t="s">
        <v>128</v>
      </c>
      <c r="G17" t="s">
        <v>129</v>
      </c>
      <c r="H17" t="s">
        <v>48</v>
      </c>
      <c r="I17" s="1">
        <v>45579</v>
      </c>
      <c r="J17" s="1">
        <v>45597</v>
      </c>
      <c r="K17" t="s">
        <v>0</v>
      </c>
      <c r="L17" t="s">
        <v>59</v>
      </c>
      <c r="M17">
        <v>1</v>
      </c>
      <c r="N17" t="s">
        <v>50</v>
      </c>
      <c r="O17">
        <v>2</v>
      </c>
      <c r="P17" t="s">
        <v>51</v>
      </c>
      <c r="Q17" t="s">
        <v>52</v>
      </c>
      <c r="R17">
        <v>26.083333</v>
      </c>
      <c r="S17">
        <v>14</v>
      </c>
      <c r="T17">
        <v>40.08</v>
      </c>
      <c r="U17" t="s">
        <v>6</v>
      </c>
    </row>
    <row r="18" spans="1:21" x14ac:dyDescent="0.2">
      <c r="A18" s="1">
        <v>45688</v>
      </c>
      <c r="B18" t="s">
        <v>82</v>
      </c>
      <c r="C18" t="s">
        <v>83</v>
      </c>
      <c r="D18" t="s">
        <v>130</v>
      </c>
      <c r="E18" t="s">
        <v>131</v>
      </c>
      <c r="F18" t="s">
        <v>132</v>
      </c>
      <c r="G18" t="s">
        <v>133</v>
      </c>
      <c r="H18" t="s">
        <v>48</v>
      </c>
      <c r="I18" s="1">
        <v>45583</v>
      </c>
      <c r="J18" s="1">
        <v>45597</v>
      </c>
      <c r="K18" t="s">
        <v>0</v>
      </c>
      <c r="L18" t="s">
        <v>59</v>
      </c>
      <c r="M18">
        <v>1</v>
      </c>
      <c r="N18" t="s">
        <v>50</v>
      </c>
      <c r="O18">
        <v>2</v>
      </c>
      <c r="P18" t="s">
        <v>51</v>
      </c>
      <c r="Q18" t="s">
        <v>52</v>
      </c>
      <c r="R18">
        <v>26.083333</v>
      </c>
      <c r="S18">
        <v>14</v>
      </c>
      <c r="T18">
        <v>40.08</v>
      </c>
      <c r="U18" t="s">
        <v>6</v>
      </c>
    </row>
    <row r="19" spans="1:21" x14ac:dyDescent="0.2">
      <c r="A19" s="1">
        <v>45688</v>
      </c>
      <c r="B19" t="s">
        <v>134</v>
      </c>
      <c r="C19" t="s">
        <v>135</v>
      </c>
      <c r="D19" t="s">
        <v>136</v>
      </c>
      <c r="E19" t="s">
        <v>137</v>
      </c>
      <c r="F19" t="s">
        <v>138</v>
      </c>
      <c r="G19" t="s">
        <v>139</v>
      </c>
      <c r="H19" t="s">
        <v>140</v>
      </c>
      <c r="I19" s="1">
        <v>45602</v>
      </c>
      <c r="J19" s="1">
        <v>45627</v>
      </c>
      <c r="K19" t="s">
        <v>0</v>
      </c>
      <c r="L19" t="s">
        <v>141</v>
      </c>
      <c r="M19">
        <v>7</v>
      </c>
      <c r="N19" t="s">
        <v>98</v>
      </c>
      <c r="O19">
        <v>5</v>
      </c>
      <c r="P19" t="s">
        <v>51</v>
      </c>
      <c r="Q19" t="s">
        <v>52</v>
      </c>
      <c r="R19">
        <v>26.083333</v>
      </c>
      <c r="S19">
        <v>12.5</v>
      </c>
      <c r="T19">
        <v>38.58</v>
      </c>
      <c r="U19" t="s">
        <v>6</v>
      </c>
    </row>
    <row r="20" spans="1:21" x14ac:dyDescent="0.2">
      <c r="A20" s="1">
        <v>45688</v>
      </c>
      <c r="B20" t="s">
        <v>142</v>
      </c>
      <c r="C20" t="s">
        <v>143</v>
      </c>
      <c r="D20" t="s">
        <v>144</v>
      </c>
      <c r="E20" t="s">
        <v>145</v>
      </c>
      <c r="F20" t="s">
        <v>146</v>
      </c>
      <c r="G20" t="s">
        <v>147</v>
      </c>
      <c r="H20" t="s">
        <v>48</v>
      </c>
      <c r="I20" s="1">
        <v>45602</v>
      </c>
      <c r="J20" s="2">
        <v>45658</v>
      </c>
      <c r="K20" t="s">
        <v>0</v>
      </c>
      <c r="L20" t="s">
        <v>59</v>
      </c>
      <c r="M20">
        <v>3</v>
      </c>
      <c r="N20" t="s">
        <v>98</v>
      </c>
      <c r="O20">
        <v>2</v>
      </c>
      <c r="P20" t="s">
        <v>51</v>
      </c>
      <c r="Q20" t="s">
        <v>52</v>
      </c>
      <c r="R20">
        <v>26.083333</v>
      </c>
      <c r="S20">
        <v>14</v>
      </c>
      <c r="T20">
        <v>40.08</v>
      </c>
      <c r="U20" t="s">
        <v>6</v>
      </c>
    </row>
    <row r="21" spans="1:21" x14ac:dyDescent="0.2">
      <c r="A21" s="1">
        <v>45688</v>
      </c>
      <c r="B21" t="s">
        <v>92</v>
      </c>
      <c r="C21" t="s">
        <v>93</v>
      </c>
      <c r="D21" t="s">
        <v>148</v>
      </c>
      <c r="E21" t="s">
        <v>149</v>
      </c>
      <c r="F21" t="s">
        <v>150</v>
      </c>
      <c r="G21" t="s">
        <v>151</v>
      </c>
      <c r="H21" t="s">
        <v>48</v>
      </c>
      <c r="I21" s="1">
        <v>45621</v>
      </c>
      <c r="J21" s="2">
        <v>45658</v>
      </c>
      <c r="K21" s="1">
        <v>45688</v>
      </c>
      <c r="L21" t="s">
        <v>49</v>
      </c>
      <c r="M21">
        <v>1</v>
      </c>
      <c r="N21" t="s">
        <v>98</v>
      </c>
      <c r="O21">
        <v>4</v>
      </c>
      <c r="P21" t="s">
        <v>152</v>
      </c>
      <c r="Q21" t="s">
        <v>52</v>
      </c>
      <c r="R21">
        <v>-312.99999600000001</v>
      </c>
      <c r="S21">
        <v>-199.99999199999999</v>
      </c>
      <c r="T21">
        <v>-513</v>
      </c>
      <c r="U21" t="s">
        <v>6</v>
      </c>
    </row>
    <row r="22" spans="1:21" x14ac:dyDescent="0.2">
      <c r="A22" s="1">
        <v>45688</v>
      </c>
      <c r="B22" t="s">
        <v>153</v>
      </c>
      <c r="C22" t="s">
        <v>154</v>
      </c>
      <c r="D22" t="s">
        <v>155</v>
      </c>
      <c r="E22" t="s">
        <v>156</v>
      </c>
      <c r="F22" t="s">
        <v>157</v>
      </c>
      <c r="G22" t="s">
        <v>158</v>
      </c>
      <c r="H22" t="s">
        <v>159</v>
      </c>
      <c r="I22" s="1">
        <v>45672</v>
      </c>
      <c r="J22" s="1">
        <v>45689</v>
      </c>
      <c r="K22" t="s">
        <v>0</v>
      </c>
      <c r="L22" t="s">
        <v>160</v>
      </c>
      <c r="M22">
        <v>2</v>
      </c>
      <c r="N22" t="s">
        <v>0</v>
      </c>
      <c r="O22">
        <v>2</v>
      </c>
      <c r="P22" t="s">
        <v>152</v>
      </c>
      <c r="Q22" t="s">
        <v>52</v>
      </c>
      <c r="R22">
        <v>286.91666300000003</v>
      </c>
      <c r="S22">
        <v>199.99999199999999</v>
      </c>
      <c r="T22">
        <v>486.92</v>
      </c>
      <c r="U22" t="s">
        <v>6</v>
      </c>
    </row>
    <row r="23" spans="1:21" x14ac:dyDescent="0.2">
      <c r="A23" s="1">
        <v>45688</v>
      </c>
      <c r="B23" t="s">
        <v>68</v>
      </c>
      <c r="C23" t="s">
        <v>69</v>
      </c>
      <c r="D23" t="s">
        <v>161</v>
      </c>
      <c r="E23" t="s">
        <v>162</v>
      </c>
      <c r="F23" t="s">
        <v>163</v>
      </c>
      <c r="G23" t="s">
        <v>164</v>
      </c>
      <c r="H23" t="s">
        <v>48</v>
      </c>
      <c r="I23" s="1">
        <v>45672</v>
      </c>
      <c r="J23" s="1">
        <v>45689</v>
      </c>
      <c r="K23" t="s">
        <v>0</v>
      </c>
      <c r="L23" t="s">
        <v>59</v>
      </c>
      <c r="M23">
        <v>1</v>
      </c>
      <c r="N23" t="s">
        <v>0</v>
      </c>
      <c r="O23">
        <v>2</v>
      </c>
      <c r="P23" t="s">
        <v>152</v>
      </c>
      <c r="Q23" t="s">
        <v>52</v>
      </c>
      <c r="R23">
        <v>286.91666300000003</v>
      </c>
      <c r="S23">
        <v>199.99999199999999</v>
      </c>
      <c r="T23">
        <v>486.92</v>
      </c>
      <c r="U23" t="s">
        <v>6</v>
      </c>
    </row>
    <row r="24" spans="1:21" x14ac:dyDescent="0.2">
      <c r="A24" s="1">
        <v>45688</v>
      </c>
      <c r="B24" t="s">
        <v>106</v>
      </c>
      <c r="C24" t="s">
        <v>107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  <c r="I24" s="1">
        <v>45672</v>
      </c>
      <c r="J24" s="1">
        <v>45689</v>
      </c>
      <c r="K24" t="s">
        <v>0</v>
      </c>
      <c r="L24" t="s">
        <v>170</v>
      </c>
      <c r="M24">
        <v>5</v>
      </c>
      <c r="N24" t="s">
        <v>0</v>
      </c>
      <c r="O24">
        <v>2</v>
      </c>
      <c r="P24" t="s">
        <v>152</v>
      </c>
      <c r="Q24" t="s">
        <v>52</v>
      </c>
      <c r="R24">
        <v>286.91666300000003</v>
      </c>
      <c r="S24">
        <v>199.99999199999999</v>
      </c>
      <c r="T24">
        <v>486.92</v>
      </c>
      <c r="U24" t="s">
        <v>6</v>
      </c>
    </row>
    <row r="25" spans="1:21" x14ac:dyDescent="0.2">
      <c r="A25" s="1">
        <v>45688</v>
      </c>
      <c r="B25" t="s">
        <v>92</v>
      </c>
      <c r="C25" t="s">
        <v>93</v>
      </c>
      <c r="D25" t="s">
        <v>171</v>
      </c>
      <c r="E25" t="s">
        <v>172</v>
      </c>
      <c r="F25" t="s">
        <v>173</v>
      </c>
      <c r="G25" t="s">
        <v>174</v>
      </c>
      <c r="H25" t="s">
        <v>169</v>
      </c>
      <c r="I25" s="1">
        <v>45672</v>
      </c>
      <c r="J25" s="1">
        <v>45689</v>
      </c>
      <c r="K25" t="s">
        <v>0</v>
      </c>
      <c r="L25" t="s">
        <v>170</v>
      </c>
      <c r="M25">
        <v>5</v>
      </c>
      <c r="N25" t="s">
        <v>0</v>
      </c>
      <c r="O25">
        <v>2</v>
      </c>
      <c r="P25" t="s">
        <v>152</v>
      </c>
      <c r="Q25" t="s">
        <v>52</v>
      </c>
      <c r="R25">
        <v>286.91666300000003</v>
      </c>
      <c r="S25">
        <v>199.99999199999999</v>
      </c>
      <c r="T25">
        <v>486.92</v>
      </c>
      <c r="U25" t="s">
        <v>6</v>
      </c>
    </row>
    <row r="26" spans="1:21" x14ac:dyDescent="0.2">
      <c r="A26" s="1">
        <v>45688</v>
      </c>
      <c r="B26" t="s">
        <v>175</v>
      </c>
      <c r="C26" t="s">
        <v>176</v>
      </c>
      <c r="D26" t="s">
        <v>177</v>
      </c>
      <c r="E26" t="s">
        <v>178</v>
      </c>
      <c r="F26" t="s">
        <v>179</v>
      </c>
      <c r="G26" t="s">
        <v>180</v>
      </c>
      <c r="H26" t="s">
        <v>48</v>
      </c>
      <c r="I26" s="1">
        <v>45672</v>
      </c>
      <c r="J26" s="1">
        <v>45689</v>
      </c>
      <c r="K26" t="s">
        <v>0</v>
      </c>
      <c r="L26" t="s">
        <v>59</v>
      </c>
      <c r="M26">
        <v>1</v>
      </c>
      <c r="N26" t="s">
        <v>0</v>
      </c>
      <c r="O26">
        <v>2</v>
      </c>
      <c r="P26" t="s">
        <v>152</v>
      </c>
      <c r="Q26" t="s">
        <v>52</v>
      </c>
      <c r="R26">
        <v>286.91666300000003</v>
      </c>
      <c r="S26">
        <v>199.99999199999999</v>
      </c>
      <c r="T26">
        <v>486.92</v>
      </c>
      <c r="U26" t="s">
        <v>6</v>
      </c>
    </row>
    <row r="27" spans="1:21" x14ac:dyDescent="0.2">
      <c r="A27" s="1">
        <v>45688</v>
      </c>
      <c r="B27" t="s">
        <v>68</v>
      </c>
      <c r="C27" t="s">
        <v>69</v>
      </c>
      <c r="D27" t="s">
        <v>181</v>
      </c>
      <c r="E27" t="s">
        <v>182</v>
      </c>
      <c r="F27" t="s">
        <v>183</v>
      </c>
      <c r="G27" t="s">
        <v>184</v>
      </c>
      <c r="H27" t="s">
        <v>48</v>
      </c>
      <c r="I27" s="1">
        <v>45673</v>
      </c>
      <c r="J27" s="1">
        <v>45689</v>
      </c>
      <c r="K27" t="s">
        <v>0</v>
      </c>
      <c r="L27" t="s">
        <v>59</v>
      </c>
      <c r="M27">
        <v>1</v>
      </c>
      <c r="N27" t="s">
        <v>0</v>
      </c>
      <c r="O27">
        <v>2</v>
      </c>
      <c r="P27" t="s">
        <v>152</v>
      </c>
      <c r="Q27" t="s">
        <v>52</v>
      </c>
      <c r="R27">
        <v>286.91666300000003</v>
      </c>
      <c r="S27">
        <v>199.99999199999999</v>
      </c>
      <c r="T27">
        <v>486.92</v>
      </c>
      <c r="U27" t="s">
        <v>6</v>
      </c>
    </row>
    <row r="28" spans="1:21" x14ac:dyDescent="0.2">
      <c r="A28" s="1">
        <v>45688</v>
      </c>
      <c r="B28" t="s">
        <v>185</v>
      </c>
      <c r="C28" t="s">
        <v>186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52</v>
      </c>
      <c r="R28">
        <v>0</v>
      </c>
      <c r="S28">
        <v>0</v>
      </c>
      <c r="T28">
        <v>50</v>
      </c>
      <c r="U28" t="s">
        <v>0</v>
      </c>
    </row>
    <row r="29" spans="1:21" x14ac:dyDescent="0.2">
      <c r="A29" s="1">
        <v>45688</v>
      </c>
      <c r="B29" t="s">
        <v>92</v>
      </c>
      <c r="C29" t="s">
        <v>93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52</v>
      </c>
      <c r="R29">
        <v>0</v>
      </c>
      <c r="S29">
        <v>0</v>
      </c>
      <c r="T29">
        <v>50</v>
      </c>
      <c r="U29" t="s">
        <v>0</v>
      </c>
    </row>
    <row r="30" spans="1:21" x14ac:dyDescent="0.2">
      <c r="A30" s="1">
        <v>45688</v>
      </c>
      <c r="B30" t="s">
        <v>42</v>
      </c>
      <c r="C30" t="s">
        <v>43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52</v>
      </c>
      <c r="R30">
        <v>0</v>
      </c>
      <c r="S30">
        <v>0</v>
      </c>
      <c r="T30">
        <v>50</v>
      </c>
      <c r="U30" t="s">
        <v>0</v>
      </c>
    </row>
    <row r="31" spans="1:21" x14ac:dyDescent="0.2">
      <c r="A31" s="1">
        <v>45688</v>
      </c>
      <c r="B31" t="s">
        <v>42</v>
      </c>
      <c r="C31" t="s">
        <v>43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52</v>
      </c>
      <c r="R31">
        <v>0</v>
      </c>
      <c r="S31">
        <v>0</v>
      </c>
      <c r="T31">
        <v>50</v>
      </c>
      <c r="U31" t="s">
        <v>0</v>
      </c>
    </row>
    <row r="32" spans="1:21" x14ac:dyDescent="0.2">
      <c r="A32" s="1">
        <v>45688</v>
      </c>
      <c r="B32" t="s">
        <v>187</v>
      </c>
      <c r="C32" t="s">
        <v>188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52</v>
      </c>
      <c r="R32">
        <v>0</v>
      </c>
      <c r="S32">
        <v>0</v>
      </c>
      <c r="T32">
        <v>50</v>
      </c>
      <c r="U32" t="s">
        <v>0</v>
      </c>
    </row>
    <row r="33" spans="1:21" x14ac:dyDescent="0.2">
      <c r="A33" s="1">
        <v>45688</v>
      </c>
      <c r="B33" t="s">
        <v>153</v>
      </c>
      <c r="C33" t="s">
        <v>154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52</v>
      </c>
      <c r="R33">
        <v>0</v>
      </c>
      <c r="S33">
        <v>0</v>
      </c>
      <c r="T33">
        <v>50</v>
      </c>
      <c r="U33" t="s">
        <v>0</v>
      </c>
    </row>
    <row r="34" spans="1:21" x14ac:dyDescent="0.2">
      <c r="A34" s="1">
        <v>45688</v>
      </c>
      <c r="B34" t="s">
        <v>68</v>
      </c>
      <c r="C34" t="s">
        <v>69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52</v>
      </c>
      <c r="R34">
        <v>0</v>
      </c>
      <c r="S34">
        <v>0</v>
      </c>
      <c r="T34">
        <v>50</v>
      </c>
      <c r="U34" t="s">
        <v>0</v>
      </c>
    </row>
    <row r="35" spans="1:21" x14ac:dyDescent="0.2">
      <c r="A35" s="1">
        <v>45688</v>
      </c>
      <c r="B35" t="s">
        <v>92</v>
      </c>
      <c r="C35" t="s">
        <v>93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52</v>
      </c>
      <c r="R35">
        <v>0</v>
      </c>
      <c r="S35">
        <v>0</v>
      </c>
      <c r="T35">
        <v>50</v>
      </c>
      <c r="U35" t="s">
        <v>0</v>
      </c>
    </row>
    <row r="36" spans="1:21" x14ac:dyDescent="0.2">
      <c r="A36" s="1">
        <v>45688</v>
      </c>
      <c r="B36" t="s">
        <v>42</v>
      </c>
      <c r="C36" t="s">
        <v>43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52</v>
      </c>
      <c r="R36">
        <v>0</v>
      </c>
      <c r="S36">
        <v>0</v>
      </c>
      <c r="T36">
        <v>50</v>
      </c>
      <c r="U36" t="s">
        <v>0</v>
      </c>
    </row>
    <row r="37" spans="1:21" x14ac:dyDescent="0.2">
      <c r="A37" s="1">
        <v>45688</v>
      </c>
      <c r="B37" t="s">
        <v>106</v>
      </c>
      <c r="C37" t="s">
        <v>107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52</v>
      </c>
      <c r="R37">
        <v>0</v>
      </c>
      <c r="S37">
        <v>0</v>
      </c>
      <c r="T37">
        <v>50</v>
      </c>
      <c r="U37" t="s">
        <v>0</v>
      </c>
    </row>
    <row r="38" spans="1:21" x14ac:dyDescent="0.2">
      <c r="A38" s="1">
        <v>45688</v>
      </c>
      <c r="B38" t="s">
        <v>42</v>
      </c>
      <c r="C38" t="s">
        <v>43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52</v>
      </c>
      <c r="R38">
        <v>0</v>
      </c>
      <c r="S38">
        <v>0</v>
      </c>
      <c r="T38">
        <v>50</v>
      </c>
      <c r="U38" t="s">
        <v>0</v>
      </c>
    </row>
    <row r="39" spans="1:21" x14ac:dyDescent="0.2">
      <c r="A39" s="1">
        <v>45688</v>
      </c>
      <c r="B39" t="s">
        <v>175</v>
      </c>
      <c r="C39" t="s">
        <v>176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52</v>
      </c>
      <c r="R39">
        <v>0</v>
      </c>
      <c r="S39">
        <v>0</v>
      </c>
      <c r="T39">
        <v>50</v>
      </c>
      <c r="U39" t="s">
        <v>0</v>
      </c>
    </row>
    <row r="40" spans="1:21" x14ac:dyDescent="0.2">
      <c r="A40" s="1">
        <v>45688</v>
      </c>
      <c r="B40" t="s">
        <v>68</v>
      </c>
      <c r="C40" t="s">
        <v>69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52</v>
      </c>
      <c r="R40">
        <v>0</v>
      </c>
      <c r="S40">
        <v>0</v>
      </c>
      <c r="T40">
        <v>50</v>
      </c>
      <c r="U40" t="s">
        <v>0</v>
      </c>
    </row>
    <row r="41" spans="1:21" x14ac:dyDescent="0.2">
      <c r="A41" s="1">
        <v>45688</v>
      </c>
      <c r="B41" t="s">
        <v>68</v>
      </c>
      <c r="C41" t="s">
        <v>69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52</v>
      </c>
      <c r="R41">
        <v>0</v>
      </c>
      <c r="S41">
        <v>0</v>
      </c>
      <c r="T41">
        <v>50</v>
      </c>
      <c r="U41" t="s">
        <v>0</v>
      </c>
    </row>
    <row r="42" spans="1:21" x14ac:dyDescent="0.2">
      <c r="A42" s="1">
        <v>45688</v>
      </c>
      <c r="B42" t="s">
        <v>92</v>
      </c>
      <c r="C42" t="s">
        <v>93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52</v>
      </c>
      <c r="R42">
        <v>0</v>
      </c>
      <c r="S42">
        <v>0</v>
      </c>
      <c r="T42">
        <v>50</v>
      </c>
      <c r="U42" t="s">
        <v>0</v>
      </c>
    </row>
    <row r="43" spans="1:21" x14ac:dyDescent="0.2">
      <c r="A43" s="1">
        <v>45688</v>
      </c>
      <c r="B43" t="s">
        <v>92</v>
      </c>
      <c r="C43" t="s">
        <v>93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52</v>
      </c>
      <c r="R43">
        <v>0</v>
      </c>
      <c r="S43">
        <v>0</v>
      </c>
      <c r="T43">
        <v>50</v>
      </c>
      <c r="U43" t="s">
        <v>0</v>
      </c>
    </row>
    <row r="44" spans="1:21" x14ac:dyDescent="0.2">
      <c r="A44" s="1">
        <v>45688</v>
      </c>
      <c r="B44" t="s">
        <v>106</v>
      </c>
      <c r="C44" t="s">
        <v>107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52</v>
      </c>
      <c r="R44">
        <v>0</v>
      </c>
      <c r="S44">
        <v>0</v>
      </c>
      <c r="T44">
        <v>50</v>
      </c>
      <c r="U44" t="s">
        <v>0</v>
      </c>
    </row>
    <row r="45" spans="1:21" x14ac:dyDescent="0.2">
      <c r="A45" s="1">
        <v>45688</v>
      </c>
      <c r="B45" t="s">
        <v>185</v>
      </c>
      <c r="C45" t="s">
        <v>186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52</v>
      </c>
      <c r="R45">
        <v>0</v>
      </c>
      <c r="S45">
        <v>0</v>
      </c>
      <c r="T45">
        <v>50</v>
      </c>
      <c r="U45" t="s">
        <v>0</v>
      </c>
    </row>
    <row r="46" spans="1:21" x14ac:dyDescent="0.2">
      <c r="A46" s="1">
        <v>45688</v>
      </c>
      <c r="B46" t="s">
        <v>185</v>
      </c>
      <c r="C46" t="s">
        <v>186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52</v>
      </c>
      <c r="R46">
        <v>0</v>
      </c>
      <c r="S46">
        <v>0</v>
      </c>
      <c r="T46">
        <v>50</v>
      </c>
      <c r="U46" t="s">
        <v>0</v>
      </c>
    </row>
    <row r="47" spans="1:21" x14ac:dyDescent="0.2">
      <c r="A47" s="1">
        <v>45688</v>
      </c>
      <c r="B47" t="s">
        <v>185</v>
      </c>
      <c r="C47" t="s">
        <v>186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52</v>
      </c>
      <c r="R47">
        <v>0</v>
      </c>
      <c r="S47">
        <v>0</v>
      </c>
      <c r="T47">
        <v>50</v>
      </c>
      <c r="U47" t="s">
        <v>0</v>
      </c>
    </row>
    <row r="48" spans="1:21" x14ac:dyDescent="0.2">
      <c r="A48" s="1">
        <v>45688</v>
      </c>
      <c r="B48" t="s">
        <v>185</v>
      </c>
      <c r="C48" t="s">
        <v>186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52</v>
      </c>
      <c r="R48">
        <v>0</v>
      </c>
      <c r="S48">
        <v>0</v>
      </c>
      <c r="T48">
        <v>50</v>
      </c>
      <c r="U48" t="s">
        <v>0</v>
      </c>
    </row>
    <row r="49" spans="1:21" x14ac:dyDescent="0.2">
      <c r="A49" s="1">
        <v>45688</v>
      </c>
      <c r="B49" t="s">
        <v>42</v>
      </c>
      <c r="C49" t="s">
        <v>43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52</v>
      </c>
      <c r="R49">
        <v>0</v>
      </c>
      <c r="S49">
        <v>0</v>
      </c>
      <c r="T49">
        <v>50</v>
      </c>
      <c r="U49" t="s">
        <v>0</v>
      </c>
    </row>
    <row r="50" spans="1:21" x14ac:dyDescent="0.2">
      <c r="A50" s="1">
        <v>45688</v>
      </c>
      <c r="B50" t="s">
        <v>68</v>
      </c>
      <c r="C50" t="s">
        <v>69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52</v>
      </c>
      <c r="R50">
        <v>0</v>
      </c>
      <c r="S50">
        <v>0</v>
      </c>
      <c r="T50">
        <v>50</v>
      </c>
      <c r="U50" t="s">
        <v>0</v>
      </c>
    </row>
    <row r="51" spans="1:21" x14ac:dyDescent="0.2">
      <c r="A51" s="1">
        <v>45688</v>
      </c>
      <c r="B51" t="s">
        <v>106</v>
      </c>
      <c r="C51" t="s">
        <v>107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52</v>
      </c>
      <c r="R51">
        <v>0</v>
      </c>
      <c r="S51">
        <v>0</v>
      </c>
      <c r="T51">
        <v>50</v>
      </c>
      <c r="U51" t="s">
        <v>0</v>
      </c>
    </row>
    <row r="52" spans="1:21" x14ac:dyDescent="0.2">
      <c r="A52" s="1">
        <v>45688</v>
      </c>
      <c r="B52" t="s">
        <v>42</v>
      </c>
      <c r="C52" t="s">
        <v>43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52</v>
      </c>
      <c r="R52">
        <v>0</v>
      </c>
      <c r="S52">
        <v>0</v>
      </c>
      <c r="T52">
        <v>50</v>
      </c>
      <c r="U52" t="s">
        <v>0</v>
      </c>
    </row>
    <row r="53" spans="1:21" x14ac:dyDescent="0.2">
      <c r="A53" s="1">
        <v>45688</v>
      </c>
      <c r="B53" t="s">
        <v>187</v>
      </c>
      <c r="C53" t="s">
        <v>188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52</v>
      </c>
      <c r="R53">
        <v>0</v>
      </c>
      <c r="S53">
        <v>0</v>
      </c>
      <c r="T53">
        <v>50</v>
      </c>
      <c r="U53" t="s">
        <v>0</v>
      </c>
    </row>
    <row r="54" spans="1:21" x14ac:dyDescent="0.2">
      <c r="A54" s="1">
        <v>45688</v>
      </c>
      <c r="B54" t="s">
        <v>134</v>
      </c>
      <c r="C54" t="s">
        <v>135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52</v>
      </c>
      <c r="R54">
        <v>0</v>
      </c>
      <c r="S54">
        <v>0</v>
      </c>
      <c r="T54">
        <v>50</v>
      </c>
      <c r="U54" t="s">
        <v>0</v>
      </c>
    </row>
    <row r="55" spans="1:21" x14ac:dyDescent="0.2">
      <c r="A55" s="1">
        <v>45688</v>
      </c>
      <c r="B55" t="s">
        <v>189</v>
      </c>
      <c r="C55" t="s">
        <v>190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52</v>
      </c>
      <c r="R55">
        <v>0</v>
      </c>
      <c r="S55">
        <v>0</v>
      </c>
      <c r="T55">
        <v>50</v>
      </c>
      <c r="U55" t="s">
        <v>0</v>
      </c>
    </row>
    <row r="56" spans="1:21" x14ac:dyDescent="0.2">
      <c r="A56" s="1">
        <v>45688</v>
      </c>
      <c r="B56" t="s">
        <v>175</v>
      </c>
      <c r="C56" t="s">
        <v>176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52</v>
      </c>
      <c r="R56">
        <v>0</v>
      </c>
      <c r="S56">
        <v>0</v>
      </c>
      <c r="T56">
        <v>50</v>
      </c>
      <c r="U56" t="s">
        <v>0</v>
      </c>
    </row>
    <row r="57" spans="1:21" x14ac:dyDescent="0.2">
      <c r="A57" s="1">
        <v>45688</v>
      </c>
      <c r="B57" t="s">
        <v>92</v>
      </c>
      <c r="C57" t="s">
        <v>93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52</v>
      </c>
      <c r="R57">
        <v>0</v>
      </c>
      <c r="S57">
        <v>0</v>
      </c>
      <c r="T57">
        <v>50</v>
      </c>
      <c r="U57" t="s">
        <v>0</v>
      </c>
    </row>
    <row r="58" spans="1:21" x14ac:dyDescent="0.2">
      <c r="A58" s="1">
        <v>45688</v>
      </c>
      <c r="B58" t="s">
        <v>42</v>
      </c>
      <c r="C58" t="s">
        <v>43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52</v>
      </c>
      <c r="R58">
        <v>0</v>
      </c>
      <c r="S58">
        <v>0</v>
      </c>
      <c r="T58">
        <v>50</v>
      </c>
      <c r="U58" t="s">
        <v>0</v>
      </c>
    </row>
    <row r="59" spans="1:21" x14ac:dyDescent="0.2">
      <c r="A59" s="1">
        <v>45688</v>
      </c>
      <c r="B59" t="s">
        <v>191</v>
      </c>
      <c r="C59" t="s">
        <v>192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52</v>
      </c>
      <c r="R59">
        <v>0</v>
      </c>
      <c r="S59">
        <v>0</v>
      </c>
      <c r="T59">
        <v>50</v>
      </c>
      <c r="U59" t="s">
        <v>0</v>
      </c>
    </row>
    <row r="60" spans="1:21" x14ac:dyDescent="0.2">
      <c r="A60" s="1">
        <v>45688</v>
      </c>
      <c r="B60" t="s">
        <v>193</v>
      </c>
      <c r="C60" t="s">
        <v>194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52</v>
      </c>
      <c r="R60">
        <v>0</v>
      </c>
      <c r="S60">
        <v>0</v>
      </c>
      <c r="T60">
        <v>50</v>
      </c>
      <c r="U60" t="s">
        <v>0</v>
      </c>
    </row>
    <row r="61" spans="1:21" x14ac:dyDescent="0.2">
      <c r="A61" s="1">
        <v>45688</v>
      </c>
      <c r="B61" t="s">
        <v>92</v>
      </c>
      <c r="C61" t="s">
        <v>93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52</v>
      </c>
      <c r="R61">
        <v>0</v>
      </c>
      <c r="S61">
        <v>0</v>
      </c>
      <c r="T61">
        <v>50</v>
      </c>
      <c r="U61" t="s">
        <v>0</v>
      </c>
    </row>
    <row r="62" spans="1:21" x14ac:dyDescent="0.2">
      <c r="A62" s="1">
        <v>45688</v>
      </c>
      <c r="B62" t="s">
        <v>92</v>
      </c>
      <c r="C62" t="s">
        <v>93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52</v>
      </c>
      <c r="R62">
        <v>0</v>
      </c>
      <c r="S62">
        <v>0</v>
      </c>
      <c r="T62">
        <v>50</v>
      </c>
      <c r="U62" t="s">
        <v>0</v>
      </c>
    </row>
    <row r="63" spans="1:21" x14ac:dyDescent="0.2">
      <c r="A63" s="1">
        <v>45688</v>
      </c>
      <c r="B63" t="s">
        <v>42</v>
      </c>
      <c r="C63" t="s">
        <v>43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52</v>
      </c>
      <c r="R63">
        <v>0</v>
      </c>
      <c r="S63">
        <v>0</v>
      </c>
      <c r="T63">
        <v>50</v>
      </c>
      <c r="U63" t="s">
        <v>0</v>
      </c>
    </row>
    <row r="64" spans="1:21" x14ac:dyDescent="0.2">
      <c r="A64" s="1">
        <v>45688</v>
      </c>
      <c r="B64" t="s">
        <v>82</v>
      </c>
      <c r="C64" t="s">
        <v>83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52</v>
      </c>
      <c r="R64">
        <v>0</v>
      </c>
      <c r="S64">
        <v>0</v>
      </c>
      <c r="T64">
        <v>50</v>
      </c>
      <c r="U64" t="s">
        <v>0</v>
      </c>
    </row>
    <row r="65" spans="1:21" x14ac:dyDescent="0.2">
      <c r="A65" s="1">
        <v>45688</v>
      </c>
      <c r="B65" t="s">
        <v>68</v>
      </c>
      <c r="C65" t="s">
        <v>69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52</v>
      </c>
      <c r="R65">
        <v>0</v>
      </c>
      <c r="S65">
        <v>0</v>
      </c>
      <c r="T65">
        <v>50</v>
      </c>
      <c r="U65" t="s">
        <v>0</v>
      </c>
    </row>
    <row r="66" spans="1:21" x14ac:dyDescent="0.2">
      <c r="A66" s="1">
        <v>45688</v>
      </c>
      <c r="B66" t="s">
        <v>92</v>
      </c>
      <c r="C66" t="s">
        <v>93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52</v>
      </c>
      <c r="R66">
        <v>0</v>
      </c>
      <c r="S66">
        <v>0</v>
      </c>
      <c r="T66">
        <v>50</v>
      </c>
      <c r="U66" t="s">
        <v>0</v>
      </c>
    </row>
    <row r="67" spans="1:21" x14ac:dyDescent="0.2">
      <c r="A67" s="1">
        <v>45688</v>
      </c>
      <c r="B67" t="s">
        <v>195</v>
      </c>
      <c r="C67" t="s">
        <v>196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52</v>
      </c>
      <c r="R67">
        <v>0</v>
      </c>
      <c r="S67">
        <v>0</v>
      </c>
      <c r="T67">
        <v>50</v>
      </c>
      <c r="U67" t="s">
        <v>0</v>
      </c>
    </row>
    <row r="68" spans="1:21" x14ac:dyDescent="0.2">
      <c r="A68" s="1">
        <v>45688</v>
      </c>
      <c r="B68" t="s">
        <v>189</v>
      </c>
      <c r="C68" t="s">
        <v>190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52</v>
      </c>
      <c r="R68">
        <v>0</v>
      </c>
      <c r="S68">
        <v>0</v>
      </c>
      <c r="T68">
        <v>50</v>
      </c>
      <c r="U68" t="s">
        <v>0</v>
      </c>
    </row>
    <row r="69" spans="1:21" x14ac:dyDescent="0.2">
      <c r="A69" s="1">
        <v>45688</v>
      </c>
      <c r="B69" t="s">
        <v>189</v>
      </c>
      <c r="C69" t="s">
        <v>190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52</v>
      </c>
      <c r="R69">
        <v>0</v>
      </c>
      <c r="S69">
        <v>0</v>
      </c>
      <c r="T69">
        <v>50</v>
      </c>
      <c r="U69" t="s">
        <v>0</v>
      </c>
    </row>
    <row r="70" spans="1:21" x14ac:dyDescent="0.2">
      <c r="A70" s="1">
        <v>45688</v>
      </c>
      <c r="B70" t="s">
        <v>185</v>
      </c>
      <c r="C70" t="s">
        <v>186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52</v>
      </c>
      <c r="R70">
        <v>0</v>
      </c>
      <c r="S70">
        <v>0</v>
      </c>
      <c r="T70">
        <v>50</v>
      </c>
      <c r="U70" t="s">
        <v>0</v>
      </c>
    </row>
    <row r="71" spans="1:21" x14ac:dyDescent="0.2">
      <c r="A71" s="1">
        <v>45688</v>
      </c>
      <c r="B71" t="s">
        <v>185</v>
      </c>
      <c r="C71" t="s">
        <v>186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52</v>
      </c>
      <c r="R71">
        <v>0</v>
      </c>
      <c r="S71">
        <v>0</v>
      </c>
      <c r="T71">
        <v>50</v>
      </c>
      <c r="U71" t="s">
        <v>0</v>
      </c>
    </row>
    <row r="72" spans="1:21" x14ac:dyDescent="0.2">
      <c r="A72" s="1">
        <v>45688</v>
      </c>
      <c r="B72" t="s">
        <v>92</v>
      </c>
      <c r="C72" t="s">
        <v>93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52</v>
      </c>
      <c r="R72">
        <v>0</v>
      </c>
      <c r="S72">
        <v>0</v>
      </c>
      <c r="T72">
        <v>50</v>
      </c>
      <c r="U72" t="s">
        <v>0</v>
      </c>
    </row>
    <row r="73" spans="1:21" x14ac:dyDescent="0.2">
      <c r="A73" s="1">
        <v>45688</v>
      </c>
      <c r="B73" t="s">
        <v>92</v>
      </c>
      <c r="C73" t="s">
        <v>93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52</v>
      </c>
      <c r="R73">
        <v>0</v>
      </c>
      <c r="S73">
        <v>0</v>
      </c>
      <c r="T73">
        <v>50</v>
      </c>
      <c r="U73" t="s">
        <v>0</v>
      </c>
    </row>
    <row r="74" spans="1:21" x14ac:dyDescent="0.2">
      <c r="A74" s="1">
        <v>45688</v>
      </c>
      <c r="B74" t="s">
        <v>153</v>
      </c>
      <c r="C74" t="s">
        <v>154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52</v>
      </c>
      <c r="R74">
        <v>0</v>
      </c>
      <c r="S74">
        <v>0</v>
      </c>
      <c r="T74">
        <v>50</v>
      </c>
      <c r="U74" t="s">
        <v>0</v>
      </c>
    </row>
    <row r="75" spans="1:21" x14ac:dyDescent="0.2">
      <c r="A75" s="1">
        <v>45688</v>
      </c>
      <c r="B75" t="s">
        <v>153</v>
      </c>
      <c r="C75" t="s">
        <v>154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52</v>
      </c>
      <c r="R75">
        <v>0</v>
      </c>
      <c r="S75">
        <v>0</v>
      </c>
      <c r="T75">
        <v>50</v>
      </c>
      <c r="U75" t="s">
        <v>0</v>
      </c>
    </row>
    <row r="76" spans="1:21" x14ac:dyDescent="0.2">
      <c r="A76" s="1">
        <v>45688</v>
      </c>
      <c r="B76" t="s">
        <v>197</v>
      </c>
      <c r="C76" t="s">
        <v>198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52</v>
      </c>
      <c r="R76">
        <v>0</v>
      </c>
      <c r="S76">
        <v>0</v>
      </c>
      <c r="T76">
        <v>50</v>
      </c>
      <c r="U76" t="s">
        <v>0</v>
      </c>
    </row>
    <row r="77" spans="1:21" x14ac:dyDescent="0.2">
      <c r="A77" s="1">
        <v>45688</v>
      </c>
      <c r="B77" t="s">
        <v>134</v>
      </c>
      <c r="C77" t="s">
        <v>135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52</v>
      </c>
      <c r="R77">
        <v>0</v>
      </c>
      <c r="S77">
        <v>0</v>
      </c>
      <c r="T77">
        <v>50</v>
      </c>
      <c r="U77" t="s">
        <v>0</v>
      </c>
    </row>
    <row r="78" spans="1:21" x14ac:dyDescent="0.2">
      <c r="A78" s="1">
        <v>45688</v>
      </c>
      <c r="B78" t="s">
        <v>185</v>
      </c>
      <c r="C78" t="s">
        <v>186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52</v>
      </c>
      <c r="R78">
        <v>0</v>
      </c>
      <c r="S78">
        <v>0</v>
      </c>
      <c r="T78">
        <v>50</v>
      </c>
      <c r="U78" t="s">
        <v>0</v>
      </c>
    </row>
    <row r="79" spans="1:21" x14ac:dyDescent="0.2">
      <c r="A79" s="1">
        <v>45688</v>
      </c>
      <c r="B79" t="s">
        <v>185</v>
      </c>
      <c r="C79" t="s">
        <v>186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52</v>
      </c>
      <c r="R79">
        <v>0</v>
      </c>
      <c r="S79">
        <v>0</v>
      </c>
      <c r="T79">
        <v>50</v>
      </c>
      <c r="U79" t="s">
        <v>0</v>
      </c>
    </row>
    <row r="80" spans="1:21" x14ac:dyDescent="0.2">
      <c r="A80" s="1">
        <v>45688</v>
      </c>
      <c r="B80" t="s">
        <v>153</v>
      </c>
      <c r="C80" t="s">
        <v>154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52</v>
      </c>
      <c r="R80">
        <v>0</v>
      </c>
      <c r="S80">
        <v>0</v>
      </c>
      <c r="T80">
        <v>50</v>
      </c>
      <c r="U80" t="s">
        <v>0</v>
      </c>
    </row>
    <row r="81" spans="1:21" x14ac:dyDescent="0.2">
      <c r="A81" s="1">
        <v>45688</v>
      </c>
      <c r="B81" t="s">
        <v>199</v>
      </c>
      <c r="C81" t="s">
        <v>200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52</v>
      </c>
      <c r="R81">
        <v>0</v>
      </c>
      <c r="S81">
        <v>0</v>
      </c>
      <c r="T81">
        <v>50</v>
      </c>
      <c r="U81" t="s">
        <v>0</v>
      </c>
    </row>
    <row r="82" spans="1:21" x14ac:dyDescent="0.2">
      <c r="A82" s="1">
        <v>45688</v>
      </c>
      <c r="B82" t="s">
        <v>106</v>
      </c>
      <c r="C82" t="s">
        <v>107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52</v>
      </c>
      <c r="R82">
        <v>0</v>
      </c>
      <c r="S82">
        <v>0</v>
      </c>
      <c r="T82">
        <v>50</v>
      </c>
      <c r="U82" t="s">
        <v>0</v>
      </c>
    </row>
    <row r="83" spans="1:21" x14ac:dyDescent="0.2">
      <c r="A83" s="1">
        <v>45688</v>
      </c>
      <c r="B83" t="s">
        <v>185</v>
      </c>
      <c r="C83" t="s">
        <v>186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52</v>
      </c>
      <c r="R83">
        <v>0</v>
      </c>
      <c r="S83">
        <v>0</v>
      </c>
      <c r="T83">
        <v>50</v>
      </c>
      <c r="U83" t="s">
        <v>0</v>
      </c>
    </row>
    <row r="84" spans="1:21" x14ac:dyDescent="0.2">
      <c r="A84" s="1">
        <v>45688</v>
      </c>
      <c r="B84" t="s">
        <v>92</v>
      </c>
      <c r="C84" t="s">
        <v>93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52</v>
      </c>
      <c r="R84">
        <v>0</v>
      </c>
      <c r="S84">
        <v>0</v>
      </c>
      <c r="T84">
        <v>50</v>
      </c>
      <c r="U84" t="s">
        <v>0</v>
      </c>
    </row>
    <row r="85" spans="1:21" x14ac:dyDescent="0.2">
      <c r="A85" s="1">
        <v>45688</v>
      </c>
      <c r="B85" t="s">
        <v>92</v>
      </c>
      <c r="C85" t="s">
        <v>93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52</v>
      </c>
      <c r="R85">
        <v>0</v>
      </c>
      <c r="S85">
        <v>0</v>
      </c>
      <c r="T85">
        <v>50</v>
      </c>
      <c r="U85" t="s">
        <v>0</v>
      </c>
    </row>
    <row r="86" spans="1:21" x14ac:dyDescent="0.2">
      <c r="A86" s="1">
        <v>45688</v>
      </c>
      <c r="B86" t="s">
        <v>153</v>
      </c>
      <c r="C86" t="s">
        <v>154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52</v>
      </c>
      <c r="R86">
        <v>0</v>
      </c>
      <c r="S86">
        <v>0</v>
      </c>
      <c r="T86">
        <v>50</v>
      </c>
      <c r="U86" t="s">
        <v>0</v>
      </c>
    </row>
    <row r="87" spans="1:21" x14ac:dyDescent="0.2">
      <c r="A87" s="1">
        <v>45688</v>
      </c>
      <c r="B87" t="s">
        <v>68</v>
      </c>
      <c r="C87" t="s">
        <v>69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52</v>
      </c>
      <c r="R87">
        <v>0</v>
      </c>
      <c r="S87">
        <v>0</v>
      </c>
      <c r="T87">
        <v>50</v>
      </c>
      <c r="U87" t="s">
        <v>0</v>
      </c>
    </row>
    <row r="88" spans="1:21" x14ac:dyDescent="0.2">
      <c r="A88" s="1">
        <v>45688</v>
      </c>
      <c r="B88" t="s">
        <v>82</v>
      </c>
      <c r="C88" t="s">
        <v>83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52</v>
      </c>
      <c r="R88">
        <v>0</v>
      </c>
      <c r="S88">
        <v>0</v>
      </c>
      <c r="T88">
        <v>50</v>
      </c>
      <c r="U88" t="s">
        <v>0</v>
      </c>
    </row>
    <row r="89" spans="1:21" x14ac:dyDescent="0.2">
      <c r="A89" s="1">
        <v>45688</v>
      </c>
      <c r="B89" t="s">
        <v>153</v>
      </c>
      <c r="C89" t="s">
        <v>154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52</v>
      </c>
      <c r="R89">
        <v>0</v>
      </c>
      <c r="S89">
        <v>0</v>
      </c>
      <c r="T89">
        <v>50</v>
      </c>
      <c r="U89" t="s">
        <v>0</v>
      </c>
    </row>
    <row r="90" spans="1:21" x14ac:dyDescent="0.2">
      <c r="A90" s="1">
        <v>45688</v>
      </c>
      <c r="B90" t="s">
        <v>106</v>
      </c>
      <c r="C90" t="s">
        <v>107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52</v>
      </c>
      <c r="R90">
        <v>0</v>
      </c>
      <c r="S90">
        <v>0</v>
      </c>
      <c r="T90">
        <v>50</v>
      </c>
      <c r="U90" t="s">
        <v>0</v>
      </c>
    </row>
    <row r="91" spans="1:21" x14ac:dyDescent="0.2">
      <c r="A91" s="1">
        <v>45688</v>
      </c>
      <c r="B91" t="s">
        <v>82</v>
      </c>
      <c r="C91" t="s">
        <v>83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52</v>
      </c>
      <c r="R91">
        <v>0</v>
      </c>
      <c r="S91">
        <v>0</v>
      </c>
      <c r="T91">
        <v>50</v>
      </c>
      <c r="U91" t="s">
        <v>0</v>
      </c>
    </row>
    <row r="92" spans="1:21" x14ac:dyDescent="0.2">
      <c r="A92" s="1">
        <v>45688</v>
      </c>
      <c r="B92" t="s">
        <v>185</v>
      </c>
      <c r="C92" t="s">
        <v>186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52</v>
      </c>
      <c r="R92">
        <v>0</v>
      </c>
      <c r="S92">
        <v>0</v>
      </c>
      <c r="T92">
        <v>50</v>
      </c>
      <c r="U92" t="s">
        <v>0</v>
      </c>
    </row>
    <row r="93" spans="1:21" x14ac:dyDescent="0.2">
      <c r="A93" s="1">
        <v>45688</v>
      </c>
      <c r="B93" t="s">
        <v>153</v>
      </c>
      <c r="C93" t="s">
        <v>154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52</v>
      </c>
      <c r="R93">
        <v>0</v>
      </c>
      <c r="S93">
        <v>0</v>
      </c>
      <c r="T93">
        <v>50</v>
      </c>
      <c r="U93" t="s">
        <v>0</v>
      </c>
    </row>
    <row r="94" spans="1:21" x14ac:dyDescent="0.2">
      <c r="A94" s="1">
        <v>45688</v>
      </c>
      <c r="B94" t="s">
        <v>153</v>
      </c>
      <c r="C94" t="s">
        <v>154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52</v>
      </c>
      <c r="R94">
        <v>0</v>
      </c>
      <c r="S94">
        <v>0</v>
      </c>
      <c r="T94">
        <v>50</v>
      </c>
      <c r="U94" t="s">
        <v>0</v>
      </c>
    </row>
    <row r="95" spans="1:21" x14ac:dyDescent="0.2">
      <c r="A95" s="1">
        <v>45688</v>
      </c>
      <c r="B95" t="s">
        <v>92</v>
      </c>
      <c r="C95" t="s">
        <v>93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52</v>
      </c>
      <c r="R95">
        <v>0</v>
      </c>
      <c r="S95">
        <v>0</v>
      </c>
      <c r="T95">
        <v>50</v>
      </c>
      <c r="U95" t="s">
        <v>0</v>
      </c>
    </row>
    <row r="96" spans="1:21" x14ac:dyDescent="0.2">
      <c r="A96" s="1">
        <v>45688</v>
      </c>
      <c r="B96" t="s">
        <v>92</v>
      </c>
      <c r="C96" t="s">
        <v>93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52</v>
      </c>
      <c r="R96">
        <v>0</v>
      </c>
      <c r="S96">
        <v>0</v>
      </c>
      <c r="T96">
        <v>50</v>
      </c>
      <c r="U96" t="s">
        <v>0</v>
      </c>
    </row>
    <row r="97" spans="1:21" x14ac:dyDescent="0.2">
      <c r="A97" s="1">
        <v>45688</v>
      </c>
      <c r="B97" t="s">
        <v>142</v>
      </c>
      <c r="C97" t="s">
        <v>143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52</v>
      </c>
      <c r="R97">
        <v>0</v>
      </c>
      <c r="S97">
        <v>0</v>
      </c>
      <c r="T97">
        <v>50</v>
      </c>
      <c r="U97" t="s">
        <v>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FB78-255B-544D-86C8-6B62F2835CF5}">
  <dimension ref="A1:R53"/>
  <sheetViews>
    <sheetView tabSelected="1" topLeftCell="A6" workbookViewId="0">
      <selection activeCell="C43" sqref="C43"/>
    </sheetView>
  </sheetViews>
  <sheetFormatPr baseColWidth="10" defaultColWidth="8.83203125" defaultRowHeight="15" x14ac:dyDescent="0.2"/>
  <cols>
    <col min="1" max="1" width="10" customWidth="1"/>
    <col min="2" max="2" width="25" customWidth="1"/>
    <col min="3" max="4" width="15" customWidth="1"/>
    <col min="6" max="6" width="17.83203125" bestFit="1" customWidth="1"/>
    <col min="7" max="7" width="17.83203125" customWidth="1"/>
    <col min="8" max="8" width="13.6640625" bestFit="1" customWidth="1"/>
    <col min="9" max="9" width="14.1640625" bestFit="1" customWidth="1"/>
    <col min="10" max="10" width="13.33203125" bestFit="1" customWidth="1"/>
    <col min="11" max="11" width="9.83203125" customWidth="1"/>
    <col min="12" max="12" width="12.83203125" bestFit="1" customWidth="1"/>
    <col min="13" max="13" width="14.5" bestFit="1" customWidth="1"/>
    <col min="14" max="14" width="14" bestFit="1" customWidth="1"/>
    <col min="15" max="15" width="21" bestFit="1" customWidth="1"/>
    <col min="16" max="16" width="18" bestFit="1" customWidth="1"/>
    <col min="17" max="17" width="20.83203125" bestFit="1" customWidth="1"/>
  </cols>
  <sheetData>
    <row r="1" spans="1:18" x14ac:dyDescent="0.2">
      <c r="A1" t="s">
        <v>21</v>
      </c>
      <c r="B1" t="s">
        <v>22</v>
      </c>
      <c r="C1" t="s">
        <v>23</v>
      </c>
      <c r="E1" t="s">
        <v>25</v>
      </c>
      <c r="F1" t="s">
        <v>26</v>
      </c>
      <c r="H1" t="s">
        <v>27</v>
      </c>
      <c r="I1" t="s">
        <v>28</v>
      </c>
      <c r="J1" t="s">
        <v>29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</row>
    <row r="2" spans="1:18" x14ac:dyDescent="0.2">
      <c r="A2" s="3">
        <v>20411454</v>
      </c>
      <c r="B2" t="s">
        <v>281</v>
      </c>
      <c r="C2" t="s">
        <v>55</v>
      </c>
      <c r="D2" t="str">
        <f>CONCATENATE(C2,1)</f>
        <v>D8C7791</v>
      </c>
      <c r="E2" t="s">
        <v>57</v>
      </c>
      <c r="F2" t="s">
        <v>58</v>
      </c>
      <c r="G2" t="str">
        <f>CONCATENATE(E2, " ", F2)</f>
        <v>CHRISTOPHER SPRINGER</v>
      </c>
      <c r="H2" t="s">
        <v>48</v>
      </c>
      <c r="I2" s="1">
        <v>45502</v>
      </c>
      <c r="J2" s="1">
        <v>45505</v>
      </c>
      <c r="K2" s="4">
        <v>45658</v>
      </c>
      <c r="L2">
        <v>26.083333</v>
      </c>
      <c r="M2">
        <v>14</v>
      </c>
      <c r="N2">
        <v>40.08</v>
      </c>
      <c r="O2" t="s">
        <v>6</v>
      </c>
      <c r="P2">
        <v>14</v>
      </c>
      <c r="R2" t="s">
        <v>279</v>
      </c>
    </row>
    <row r="3" spans="1:18" x14ac:dyDescent="0.2">
      <c r="A3" s="3">
        <v>20411454</v>
      </c>
      <c r="B3" t="s">
        <v>281</v>
      </c>
      <c r="C3" t="s">
        <v>44</v>
      </c>
      <c r="D3" t="str">
        <f>CONCATENATE(C3,1)</f>
        <v>DU896U1</v>
      </c>
      <c r="E3" t="s">
        <v>46</v>
      </c>
      <c r="F3" t="s">
        <v>47</v>
      </c>
      <c r="G3" t="str">
        <f>CONCATENATE(E3, " ", F3)</f>
        <v>LINDA CIANCIO</v>
      </c>
      <c r="H3" t="s">
        <v>48</v>
      </c>
      <c r="I3" s="1">
        <v>45497</v>
      </c>
      <c r="J3" s="1">
        <v>45505</v>
      </c>
      <c r="K3" s="4">
        <v>45658</v>
      </c>
      <c r="L3">
        <v>26.083333</v>
      </c>
      <c r="M3">
        <v>14</v>
      </c>
      <c r="N3">
        <v>40.08</v>
      </c>
      <c r="O3" t="s">
        <v>6</v>
      </c>
      <c r="P3">
        <v>14</v>
      </c>
      <c r="R3" t="s">
        <v>279</v>
      </c>
    </row>
    <row r="4" spans="1:18" x14ac:dyDescent="0.2">
      <c r="A4" s="3">
        <v>20411454</v>
      </c>
      <c r="B4" t="s">
        <v>281</v>
      </c>
      <c r="C4" t="s">
        <v>60</v>
      </c>
      <c r="D4" t="str">
        <f>CONCATENATE(C4,1)</f>
        <v>DR8EJR1</v>
      </c>
      <c r="E4" t="s">
        <v>62</v>
      </c>
      <c r="F4" t="s">
        <v>63</v>
      </c>
      <c r="G4" t="str">
        <f>CONCATENATE(E4, " ", F4)</f>
        <v>THERESA MCAULEY</v>
      </c>
      <c r="H4" t="s">
        <v>48</v>
      </c>
      <c r="I4" s="1">
        <v>45503</v>
      </c>
      <c r="J4" s="1">
        <v>45505</v>
      </c>
      <c r="K4" s="4">
        <v>45658</v>
      </c>
      <c r="L4">
        <v>26.083333</v>
      </c>
      <c r="M4">
        <v>14</v>
      </c>
      <c r="N4">
        <v>40.08</v>
      </c>
      <c r="O4" t="s">
        <v>6</v>
      </c>
      <c r="P4">
        <v>14</v>
      </c>
      <c r="R4" t="s">
        <v>279</v>
      </c>
    </row>
    <row r="5" spans="1:18" x14ac:dyDescent="0.2">
      <c r="A5" s="3">
        <v>20411454</v>
      </c>
      <c r="B5" t="s">
        <v>281</v>
      </c>
      <c r="C5" t="s">
        <v>74</v>
      </c>
      <c r="D5" t="str">
        <f>CONCATENATE(C5,1)</f>
        <v>D2UZFA1</v>
      </c>
      <c r="E5" t="s">
        <v>76</v>
      </c>
      <c r="F5" t="s">
        <v>77</v>
      </c>
      <c r="G5" t="str">
        <f>CONCATENATE(E5, " ", F5)</f>
        <v>ABELARDO MONARREZ</v>
      </c>
      <c r="H5" t="s">
        <v>48</v>
      </c>
      <c r="I5" s="1">
        <v>45519</v>
      </c>
      <c r="J5" s="1">
        <v>45536</v>
      </c>
      <c r="K5" s="4">
        <v>45658</v>
      </c>
      <c r="L5">
        <v>26.083333</v>
      </c>
      <c r="M5">
        <v>14</v>
      </c>
      <c r="N5">
        <v>40.08</v>
      </c>
      <c r="O5" t="s">
        <v>6</v>
      </c>
      <c r="P5">
        <v>14</v>
      </c>
      <c r="R5" t="s">
        <v>279</v>
      </c>
    </row>
    <row r="6" spans="1:18" x14ac:dyDescent="0.2">
      <c r="A6" s="3">
        <v>20411454</v>
      </c>
      <c r="B6" t="s">
        <v>281</v>
      </c>
      <c r="C6" t="s">
        <v>88</v>
      </c>
      <c r="D6" t="str">
        <f>CONCATENATE(C6,1)</f>
        <v>D9H8YE1</v>
      </c>
      <c r="E6" t="s">
        <v>90</v>
      </c>
      <c r="F6" t="s">
        <v>91</v>
      </c>
      <c r="G6" t="str">
        <f>CONCATENATE(E6, " ", F6)</f>
        <v>ANNETTE EDWARDSON</v>
      </c>
      <c r="H6" t="s">
        <v>48</v>
      </c>
      <c r="I6" s="1">
        <v>45535</v>
      </c>
      <c r="J6" s="1">
        <v>45536</v>
      </c>
      <c r="K6" s="4">
        <v>45658</v>
      </c>
      <c r="L6">
        <v>26.083333</v>
      </c>
      <c r="M6">
        <v>14</v>
      </c>
      <c r="N6">
        <v>40.08</v>
      </c>
      <c r="O6" t="s">
        <v>6</v>
      </c>
      <c r="P6">
        <v>14</v>
      </c>
      <c r="R6" t="s">
        <v>279</v>
      </c>
    </row>
    <row r="7" spans="1:18" x14ac:dyDescent="0.2">
      <c r="A7" s="3">
        <v>20411454</v>
      </c>
      <c r="B7" t="s">
        <v>281</v>
      </c>
      <c r="C7" t="s">
        <v>84</v>
      </c>
      <c r="D7" t="str">
        <f>CONCATENATE(C7,1)</f>
        <v>D77FJC1</v>
      </c>
      <c r="E7" t="s">
        <v>86</v>
      </c>
      <c r="F7" t="s">
        <v>87</v>
      </c>
      <c r="G7" t="str">
        <f>CONCATENATE(E7, " ", F7)</f>
        <v>BETH GONSIEWSKI</v>
      </c>
      <c r="H7" t="s">
        <v>48</v>
      </c>
      <c r="I7" s="1">
        <v>45530</v>
      </c>
      <c r="J7" s="1">
        <v>45566</v>
      </c>
      <c r="K7" s="4">
        <v>45658</v>
      </c>
      <c r="L7">
        <v>26.083333</v>
      </c>
      <c r="M7">
        <v>14</v>
      </c>
      <c r="N7">
        <v>40.08</v>
      </c>
      <c r="O7" t="s">
        <v>6</v>
      </c>
      <c r="P7">
        <v>14</v>
      </c>
      <c r="R7" t="s">
        <v>279</v>
      </c>
    </row>
    <row r="8" spans="1:18" x14ac:dyDescent="0.2">
      <c r="A8" s="3">
        <v>20411454</v>
      </c>
      <c r="B8" t="s">
        <v>281</v>
      </c>
      <c r="C8" t="s">
        <v>94</v>
      </c>
      <c r="D8" t="str">
        <f>CONCATENATE(C8,1)</f>
        <v>D3A4KF1</v>
      </c>
      <c r="E8" t="s">
        <v>96</v>
      </c>
      <c r="F8" t="s">
        <v>97</v>
      </c>
      <c r="G8" t="str">
        <f>CONCATENATE(E8, " ", F8)</f>
        <v>LAURA MROZEK</v>
      </c>
      <c r="H8" t="s">
        <v>48</v>
      </c>
      <c r="I8" s="1">
        <v>45552</v>
      </c>
      <c r="J8" s="1">
        <v>45566</v>
      </c>
      <c r="K8" s="4">
        <v>45658</v>
      </c>
      <c r="L8">
        <v>26.083333</v>
      </c>
      <c r="M8">
        <v>14</v>
      </c>
      <c r="N8">
        <v>40.08</v>
      </c>
      <c r="O8" t="s">
        <v>6</v>
      </c>
      <c r="P8">
        <v>14</v>
      </c>
      <c r="R8" t="s">
        <v>279</v>
      </c>
    </row>
    <row r="9" spans="1:18" x14ac:dyDescent="0.2">
      <c r="A9" s="3">
        <v>20411454</v>
      </c>
      <c r="B9" t="s">
        <v>281</v>
      </c>
      <c r="C9" t="s">
        <v>64</v>
      </c>
      <c r="D9" t="str">
        <f>CONCATENATE(C9,1)</f>
        <v>D8YS8Y1</v>
      </c>
      <c r="E9" t="s">
        <v>66</v>
      </c>
      <c r="F9" t="s">
        <v>67</v>
      </c>
      <c r="G9" t="str">
        <f>CONCATENATE(E9, " ", F9)</f>
        <v>MARYANN CHINDERLE</v>
      </c>
      <c r="H9" t="s">
        <v>48</v>
      </c>
      <c r="I9" s="1">
        <v>45510</v>
      </c>
      <c r="J9" s="1">
        <v>45566</v>
      </c>
      <c r="K9" s="4">
        <v>45658</v>
      </c>
      <c r="L9">
        <v>26.083333</v>
      </c>
      <c r="M9">
        <v>14</v>
      </c>
      <c r="N9">
        <v>40.08</v>
      </c>
      <c r="O9" t="s">
        <v>6</v>
      </c>
      <c r="P9">
        <v>14</v>
      </c>
      <c r="R9" t="s">
        <v>279</v>
      </c>
    </row>
    <row r="10" spans="1:18" x14ac:dyDescent="0.2">
      <c r="A10" s="3">
        <v>20411454</v>
      </c>
      <c r="B10" t="s">
        <v>281</v>
      </c>
      <c r="C10" t="s">
        <v>114</v>
      </c>
      <c r="D10" t="str">
        <f>CONCATENATE(C10,1)</f>
        <v>DA25Z91</v>
      </c>
      <c r="E10" t="s">
        <v>116</v>
      </c>
      <c r="F10" t="s">
        <v>117</v>
      </c>
      <c r="G10" t="str">
        <f>CONCATENATE(E10, " ", F10)</f>
        <v>NADEZHDA ROMANOVA</v>
      </c>
      <c r="H10" t="s">
        <v>48</v>
      </c>
      <c r="I10" s="1">
        <v>45561</v>
      </c>
      <c r="J10" s="1">
        <v>45566</v>
      </c>
      <c r="K10" s="4">
        <v>45658</v>
      </c>
      <c r="L10">
        <v>26.083333</v>
      </c>
      <c r="M10">
        <v>14</v>
      </c>
      <c r="N10">
        <v>40.08</v>
      </c>
      <c r="O10" t="s">
        <v>6</v>
      </c>
      <c r="P10">
        <v>14</v>
      </c>
      <c r="R10" t="s">
        <v>279</v>
      </c>
    </row>
    <row r="11" spans="1:18" x14ac:dyDescent="0.2">
      <c r="A11" s="3">
        <v>20411454</v>
      </c>
      <c r="B11" t="s">
        <v>281</v>
      </c>
      <c r="C11" t="s">
        <v>101</v>
      </c>
      <c r="D11" t="str">
        <f>CONCATENATE(C11,1)</f>
        <v>DU29JK1</v>
      </c>
      <c r="E11" t="s">
        <v>103</v>
      </c>
      <c r="F11" t="s">
        <v>104</v>
      </c>
      <c r="G11" t="str">
        <f>CONCATENATE(E11, " ", F11)</f>
        <v>RICHARD DEHN</v>
      </c>
      <c r="H11" t="s">
        <v>48</v>
      </c>
      <c r="I11" s="1">
        <v>45553</v>
      </c>
      <c r="J11" s="1">
        <v>45566</v>
      </c>
      <c r="K11" s="4">
        <v>45658</v>
      </c>
      <c r="L11">
        <v>26.083333</v>
      </c>
      <c r="M11">
        <v>14</v>
      </c>
      <c r="N11">
        <v>40.08</v>
      </c>
      <c r="O11" t="s">
        <v>6</v>
      </c>
      <c r="P11">
        <v>14</v>
      </c>
      <c r="R11" t="s">
        <v>279</v>
      </c>
    </row>
    <row r="12" spans="1:18" x14ac:dyDescent="0.2">
      <c r="A12" s="3">
        <v>20411454</v>
      </c>
      <c r="B12" t="s">
        <v>281</v>
      </c>
      <c r="C12" t="s">
        <v>70</v>
      </c>
      <c r="D12" t="str">
        <f>CONCATENATE(C12,1)</f>
        <v>DUW2FG1</v>
      </c>
      <c r="E12" t="s">
        <v>72</v>
      </c>
      <c r="F12" t="s">
        <v>73</v>
      </c>
      <c r="G12" t="str">
        <f>CONCATENATE(E12, " ", F12)</f>
        <v>EMMA VALE</v>
      </c>
      <c r="H12" t="s">
        <v>48</v>
      </c>
      <c r="I12" s="2">
        <v>45512</v>
      </c>
      <c r="J12" s="1">
        <v>45597</v>
      </c>
      <c r="K12" s="4">
        <v>45658</v>
      </c>
      <c r="L12">
        <v>26.083333</v>
      </c>
      <c r="M12">
        <v>14</v>
      </c>
      <c r="N12">
        <v>40.08</v>
      </c>
      <c r="O12" t="s">
        <v>6</v>
      </c>
      <c r="P12">
        <v>14</v>
      </c>
      <c r="R12" t="s">
        <v>279</v>
      </c>
    </row>
    <row r="13" spans="1:18" x14ac:dyDescent="0.2">
      <c r="A13" s="3">
        <v>20411454</v>
      </c>
      <c r="B13" t="s">
        <v>281</v>
      </c>
      <c r="C13" t="s">
        <v>78</v>
      </c>
      <c r="D13" t="str">
        <f>CONCATENATE(C13,1)</f>
        <v>DRH8SG1</v>
      </c>
      <c r="E13" t="s">
        <v>80</v>
      </c>
      <c r="F13" t="s">
        <v>81</v>
      </c>
      <c r="G13" t="str">
        <f>CONCATENATE(E13, " ", F13)</f>
        <v>EUDOXIO LOPEZ</v>
      </c>
      <c r="H13" t="s">
        <v>48</v>
      </c>
      <c r="I13" s="1">
        <v>45520</v>
      </c>
      <c r="J13" s="1">
        <v>45597</v>
      </c>
      <c r="K13" s="4">
        <v>45658</v>
      </c>
      <c r="L13">
        <v>26.083333</v>
      </c>
      <c r="M13">
        <v>14</v>
      </c>
      <c r="N13">
        <v>40.08</v>
      </c>
      <c r="O13" t="s">
        <v>6</v>
      </c>
      <c r="P13">
        <v>14</v>
      </c>
      <c r="R13" t="s">
        <v>279</v>
      </c>
    </row>
    <row r="14" spans="1:18" x14ac:dyDescent="0.2">
      <c r="A14" s="3">
        <v>20411454</v>
      </c>
      <c r="B14" t="s">
        <v>281</v>
      </c>
      <c r="C14" t="s">
        <v>126</v>
      </c>
      <c r="D14" t="str">
        <f>CONCATENATE(C14,1)</f>
        <v>D7ZW4G1</v>
      </c>
      <c r="E14" t="s">
        <v>128</v>
      </c>
      <c r="F14" t="s">
        <v>129</v>
      </c>
      <c r="G14" t="str">
        <f>CONCATENATE(E14, " ", F14)</f>
        <v>JEFFREY JOHNS</v>
      </c>
      <c r="H14" t="s">
        <v>48</v>
      </c>
      <c r="I14" s="1">
        <v>45579</v>
      </c>
      <c r="J14" s="1">
        <v>45597</v>
      </c>
      <c r="K14" s="4">
        <v>45658</v>
      </c>
      <c r="L14">
        <v>26.083333</v>
      </c>
      <c r="M14">
        <v>14</v>
      </c>
      <c r="N14">
        <v>40.08</v>
      </c>
      <c r="O14" t="s">
        <v>6</v>
      </c>
      <c r="P14">
        <v>14</v>
      </c>
      <c r="R14" t="s">
        <v>279</v>
      </c>
    </row>
    <row r="15" spans="1:18" x14ac:dyDescent="0.2">
      <c r="A15" s="3">
        <v>20411454</v>
      </c>
      <c r="B15" t="s">
        <v>281</v>
      </c>
      <c r="C15" t="s">
        <v>130</v>
      </c>
      <c r="D15" t="str">
        <f>CONCATENATE(C15,1)</f>
        <v>D538HS1</v>
      </c>
      <c r="E15" t="s">
        <v>132</v>
      </c>
      <c r="F15" t="s">
        <v>133</v>
      </c>
      <c r="G15" t="str">
        <f>CONCATENATE(E15, " ", F15)</f>
        <v>JOHN PAUL</v>
      </c>
      <c r="H15" t="s">
        <v>48</v>
      </c>
      <c r="I15" s="1">
        <v>45583</v>
      </c>
      <c r="J15" s="1">
        <v>45597</v>
      </c>
      <c r="K15" s="4">
        <v>45658</v>
      </c>
      <c r="L15">
        <v>26.083333</v>
      </c>
      <c r="M15">
        <v>14</v>
      </c>
      <c r="N15">
        <v>40.08</v>
      </c>
      <c r="O15" t="s">
        <v>6</v>
      </c>
      <c r="P15">
        <v>14</v>
      </c>
      <c r="R15" t="s">
        <v>279</v>
      </c>
    </row>
    <row r="16" spans="1:18" x14ac:dyDescent="0.2">
      <c r="A16" s="3">
        <v>20411454</v>
      </c>
      <c r="B16" t="s">
        <v>281</v>
      </c>
      <c r="C16" t="s">
        <v>108</v>
      </c>
      <c r="D16" t="str">
        <f>CONCATENATE(C16,1)</f>
        <v>DEW7CR1</v>
      </c>
      <c r="E16" t="s">
        <v>110</v>
      </c>
      <c r="F16" t="s">
        <v>111</v>
      </c>
      <c r="G16" t="str">
        <f>CONCATENATE(E16, " ", F16)</f>
        <v>PATRICIA PROCHASKA</v>
      </c>
      <c r="H16" t="s">
        <v>48</v>
      </c>
      <c r="I16" s="1">
        <v>45560</v>
      </c>
      <c r="J16" s="1">
        <v>45597</v>
      </c>
      <c r="K16" s="4">
        <v>45658</v>
      </c>
      <c r="L16">
        <v>26.083333</v>
      </c>
      <c r="M16">
        <v>14</v>
      </c>
      <c r="N16">
        <v>40.08</v>
      </c>
      <c r="O16" t="s">
        <v>6</v>
      </c>
      <c r="P16">
        <v>14</v>
      </c>
      <c r="R16" t="s">
        <v>279</v>
      </c>
    </row>
    <row r="17" spans="1:18" x14ac:dyDescent="0.2">
      <c r="A17" s="3">
        <v>20411454</v>
      </c>
      <c r="B17" t="s">
        <v>281</v>
      </c>
      <c r="C17" t="s">
        <v>122</v>
      </c>
      <c r="D17" t="str">
        <f>CONCATENATE(C17,1)</f>
        <v>D4AC9K1</v>
      </c>
      <c r="E17" t="s">
        <v>124</v>
      </c>
      <c r="F17" t="s">
        <v>125</v>
      </c>
      <c r="G17" t="str">
        <f>CONCATENATE(E17, " ", F17)</f>
        <v>WILLIAM LUDWIG III</v>
      </c>
      <c r="H17" t="s">
        <v>48</v>
      </c>
      <c r="I17" s="1">
        <v>45569</v>
      </c>
      <c r="J17" s="1">
        <v>45597</v>
      </c>
      <c r="K17" s="4">
        <v>45658</v>
      </c>
      <c r="L17">
        <v>26.083333</v>
      </c>
      <c r="M17">
        <v>14</v>
      </c>
      <c r="N17">
        <v>40.08</v>
      </c>
      <c r="O17" t="s">
        <v>6</v>
      </c>
      <c r="P17">
        <v>14</v>
      </c>
      <c r="R17" t="s">
        <v>279</v>
      </c>
    </row>
    <row r="18" spans="1:18" x14ac:dyDescent="0.2">
      <c r="A18" s="3">
        <v>20411454</v>
      </c>
      <c r="B18" t="s">
        <v>281</v>
      </c>
      <c r="C18" t="s">
        <v>136</v>
      </c>
      <c r="D18" t="str">
        <f>CONCATENATE(C18,1)</f>
        <v>DH28HS1</v>
      </c>
      <c r="E18" t="s">
        <v>138</v>
      </c>
      <c r="F18" t="s">
        <v>139</v>
      </c>
      <c r="G18" t="str">
        <f>CONCATENATE(E18, " ", F18)</f>
        <v>MELQUEA EDWARDS</v>
      </c>
      <c r="H18" t="s">
        <v>140</v>
      </c>
      <c r="I18" s="1">
        <v>45602</v>
      </c>
      <c r="J18" s="1">
        <v>45627</v>
      </c>
      <c r="K18" s="4">
        <v>45658</v>
      </c>
      <c r="L18">
        <v>26.083333</v>
      </c>
      <c r="M18">
        <v>12.5</v>
      </c>
      <c r="N18">
        <v>38.58</v>
      </c>
      <c r="O18" t="s">
        <v>6</v>
      </c>
      <c r="P18">
        <v>12.5</v>
      </c>
      <c r="R18" t="s">
        <v>279</v>
      </c>
    </row>
    <row r="19" spans="1:18" x14ac:dyDescent="0.2">
      <c r="A19" s="3">
        <v>20411454</v>
      </c>
      <c r="B19" t="s">
        <v>281</v>
      </c>
      <c r="C19" t="s">
        <v>118</v>
      </c>
      <c r="D19" t="str">
        <f>CONCATENATE(C19,1)</f>
        <v>D6K5SY1</v>
      </c>
      <c r="E19" t="s">
        <v>120</v>
      </c>
      <c r="F19" t="s">
        <v>121</v>
      </c>
      <c r="G19" t="str">
        <f>CONCATENATE(E19, " ", F19)</f>
        <v>SUSAN EICHMAN PARCELL</v>
      </c>
      <c r="H19" t="s">
        <v>48</v>
      </c>
      <c r="I19" s="1">
        <v>45566</v>
      </c>
      <c r="J19" s="1">
        <v>45627</v>
      </c>
      <c r="K19" s="4">
        <v>45658</v>
      </c>
      <c r="L19">
        <v>26.083333</v>
      </c>
      <c r="M19">
        <v>14</v>
      </c>
      <c r="N19">
        <v>40.08</v>
      </c>
      <c r="O19" t="s">
        <v>6</v>
      </c>
      <c r="P19">
        <v>14</v>
      </c>
      <c r="R19" t="s">
        <v>279</v>
      </c>
    </row>
    <row r="20" spans="1:18" x14ac:dyDescent="0.2">
      <c r="A20" s="3">
        <v>20411454</v>
      </c>
      <c r="B20" t="s">
        <v>281</v>
      </c>
      <c r="C20" t="s">
        <v>144</v>
      </c>
      <c r="D20" t="str">
        <f>CONCATENATE(C20,1)</f>
        <v>DYS7K31</v>
      </c>
      <c r="E20" t="s">
        <v>146</v>
      </c>
      <c r="F20" t="s">
        <v>147</v>
      </c>
      <c r="G20" t="str">
        <f>CONCATENATE(E20, " ", F20)</f>
        <v>ANIANO OBANA JR</v>
      </c>
      <c r="H20" t="s">
        <v>48</v>
      </c>
      <c r="I20" s="1">
        <v>45602</v>
      </c>
      <c r="J20" s="2">
        <v>45658</v>
      </c>
      <c r="K20" s="4">
        <v>45689</v>
      </c>
      <c r="L20">
        <v>26.083333</v>
      </c>
      <c r="M20">
        <v>14</v>
      </c>
      <c r="N20">
        <v>40.08</v>
      </c>
      <c r="O20" t="s">
        <v>6</v>
      </c>
      <c r="P20">
        <v>14</v>
      </c>
      <c r="R20" t="s">
        <v>279</v>
      </c>
    </row>
    <row r="21" spans="1:18" x14ac:dyDescent="0.2">
      <c r="A21" s="3">
        <v>20411454</v>
      </c>
      <c r="B21" t="s">
        <v>281</v>
      </c>
      <c r="C21" t="s">
        <v>148</v>
      </c>
      <c r="D21" t="str">
        <f>CONCATENATE(C21,88)</f>
        <v>DHWE4W88</v>
      </c>
      <c r="E21" t="s">
        <v>150</v>
      </c>
      <c r="F21" t="s">
        <v>151</v>
      </c>
      <c r="G21" t="str">
        <f>CONCATENATE(E21, " ", F21)</f>
        <v>SUZANNE HEY</v>
      </c>
      <c r="H21" t="s">
        <v>48</v>
      </c>
      <c r="I21" s="1">
        <v>45621</v>
      </c>
      <c r="J21" s="2">
        <v>45658</v>
      </c>
      <c r="K21" s="4">
        <v>45689</v>
      </c>
      <c r="L21">
        <v>-312.99999600000001</v>
      </c>
      <c r="M21">
        <v>-199.99999199999999</v>
      </c>
      <c r="N21">
        <v>-513</v>
      </c>
      <c r="O21" t="s">
        <v>6</v>
      </c>
      <c r="P21">
        <v>-200</v>
      </c>
      <c r="R21" t="s">
        <v>279</v>
      </c>
    </row>
    <row r="22" spans="1:18" x14ac:dyDescent="0.2">
      <c r="A22" s="3">
        <v>20411454</v>
      </c>
      <c r="B22" t="s">
        <v>281</v>
      </c>
      <c r="C22" t="s">
        <v>161</v>
      </c>
      <c r="D22" t="str">
        <f>CONCATENATE(C22,88)</f>
        <v>D6YZ5C88</v>
      </c>
      <c r="E22" t="s">
        <v>163</v>
      </c>
      <c r="F22" t="s">
        <v>164</v>
      </c>
      <c r="G22" t="str">
        <f>CONCATENATE(E22, " ", F22)</f>
        <v>CARLOS CHAVEZ</v>
      </c>
      <c r="H22" t="s">
        <v>48</v>
      </c>
      <c r="I22" s="1">
        <v>45672</v>
      </c>
      <c r="J22" s="1">
        <v>45689</v>
      </c>
      <c r="K22" s="4">
        <v>45717</v>
      </c>
      <c r="L22">
        <v>286.91666300000003</v>
      </c>
      <c r="M22">
        <v>199.99999199999999</v>
      </c>
      <c r="N22">
        <v>486.92</v>
      </c>
      <c r="O22" t="s">
        <v>6</v>
      </c>
      <c r="P22">
        <v>200</v>
      </c>
      <c r="R22" t="s">
        <v>279</v>
      </c>
    </row>
    <row r="23" spans="1:18" x14ac:dyDescent="0.2">
      <c r="A23" s="3">
        <v>20411454</v>
      </c>
      <c r="B23" t="s">
        <v>281</v>
      </c>
      <c r="C23" t="s">
        <v>181</v>
      </c>
      <c r="D23" t="str">
        <f>CONCATENATE(C23,88)</f>
        <v>DG4GHG88</v>
      </c>
      <c r="E23" t="s">
        <v>183</v>
      </c>
      <c r="F23" t="s">
        <v>184</v>
      </c>
      <c r="G23" t="str">
        <f>CONCATENATE(E23, " ", F23)</f>
        <v>HECTOR HERNANDEZ</v>
      </c>
      <c r="H23" t="s">
        <v>48</v>
      </c>
      <c r="I23" s="1">
        <v>45673</v>
      </c>
      <c r="J23" s="1">
        <v>45689</v>
      </c>
      <c r="K23" s="4">
        <v>45717</v>
      </c>
      <c r="L23">
        <v>286.91666300000003</v>
      </c>
      <c r="M23">
        <v>199.99999199999999</v>
      </c>
      <c r="N23">
        <v>486.92</v>
      </c>
      <c r="O23" t="s">
        <v>6</v>
      </c>
      <c r="P23">
        <v>200</v>
      </c>
      <c r="R23" t="s">
        <v>279</v>
      </c>
    </row>
    <row r="24" spans="1:18" x14ac:dyDescent="0.2">
      <c r="A24" s="3">
        <v>20411454</v>
      </c>
      <c r="B24" t="s">
        <v>281</v>
      </c>
      <c r="C24" t="s">
        <v>177</v>
      </c>
      <c r="D24" t="str">
        <f>CONCATENATE(C24,88)</f>
        <v>DCR8CW88</v>
      </c>
      <c r="E24" t="s">
        <v>179</v>
      </c>
      <c r="F24" t="s">
        <v>180</v>
      </c>
      <c r="G24" t="str">
        <f>CONCATENATE(E24, " ", F24)</f>
        <v>HEIDI RUELOS</v>
      </c>
      <c r="H24" t="s">
        <v>48</v>
      </c>
      <c r="I24" s="1">
        <v>45672</v>
      </c>
      <c r="J24" s="1">
        <v>45689</v>
      </c>
      <c r="K24" s="4">
        <v>45717</v>
      </c>
      <c r="L24">
        <v>286.91666300000003</v>
      </c>
      <c r="M24">
        <v>199.99999199999999</v>
      </c>
      <c r="N24">
        <v>486.92</v>
      </c>
      <c r="O24" t="s">
        <v>6</v>
      </c>
      <c r="P24">
        <v>200</v>
      </c>
      <c r="R24" t="s">
        <v>279</v>
      </c>
    </row>
    <row r="25" spans="1:18" x14ac:dyDescent="0.2">
      <c r="A25" s="3">
        <v>20411454</v>
      </c>
      <c r="B25" t="s">
        <v>281</v>
      </c>
      <c r="C25" t="s">
        <v>155</v>
      </c>
      <c r="D25" t="str">
        <f>CONCATENATE(C25,88)</f>
        <v>D3EH2988</v>
      </c>
      <c r="E25" t="s">
        <v>157</v>
      </c>
      <c r="F25" t="s">
        <v>158</v>
      </c>
      <c r="G25" t="str">
        <f>CONCATENATE(E25, " ", F25)</f>
        <v>JEFFERY FORSBERG</v>
      </c>
      <c r="H25" t="s">
        <v>159</v>
      </c>
      <c r="I25" s="1">
        <v>45672</v>
      </c>
      <c r="J25" s="1">
        <v>45689</v>
      </c>
      <c r="K25" s="4">
        <v>45717</v>
      </c>
      <c r="L25">
        <v>286.91666300000003</v>
      </c>
      <c r="M25">
        <v>199.99999199999999</v>
      </c>
      <c r="N25">
        <v>486.92</v>
      </c>
      <c r="O25" t="s">
        <v>6</v>
      </c>
      <c r="P25">
        <v>200</v>
      </c>
      <c r="R25" t="s">
        <v>279</v>
      </c>
    </row>
    <row r="26" spans="1:18" x14ac:dyDescent="0.2">
      <c r="A26" s="3">
        <v>20411454</v>
      </c>
      <c r="B26" t="s">
        <v>281</v>
      </c>
      <c r="C26" t="s">
        <v>171</v>
      </c>
      <c r="D26" t="str">
        <f>CONCATENATE(C26,88)</f>
        <v>DEAGYA88</v>
      </c>
      <c r="E26" t="s">
        <v>173</v>
      </c>
      <c r="F26" t="s">
        <v>174</v>
      </c>
      <c r="G26" t="str">
        <f>CONCATENATE(E26, " ", F26)</f>
        <v>ROBERT BAUER JR</v>
      </c>
      <c r="H26" t="s">
        <v>169</v>
      </c>
      <c r="I26" s="1">
        <v>45672</v>
      </c>
      <c r="J26" s="1">
        <v>45689</v>
      </c>
      <c r="K26" s="4">
        <v>45717</v>
      </c>
      <c r="L26">
        <v>286.91666300000003</v>
      </c>
      <c r="M26">
        <v>199.99999199999999</v>
      </c>
      <c r="N26">
        <v>486.92</v>
      </c>
      <c r="O26" t="s">
        <v>6</v>
      </c>
      <c r="P26">
        <v>200</v>
      </c>
      <c r="R26" t="s">
        <v>279</v>
      </c>
    </row>
    <row r="27" spans="1:18" x14ac:dyDescent="0.2">
      <c r="A27" s="3">
        <v>20411454</v>
      </c>
      <c r="B27" t="s">
        <v>281</v>
      </c>
      <c r="C27" t="s">
        <v>165</v>
      </c>
      <c r="D27" t="str">
        <f>CONCATENATE(C27,88)</f>
        <v>DFZ5W588</v>
      </c>
      <c r="E27" t="s">
        <v>167</v>
      </c>
      <c r="F27" t="s">
        <v>168</v>
      </c>
      <c r="G27" t="str">
        <f>CONCATENATE(E27, " ", F27)</f>
        <v>THOMAS GODFREY III</v>
      </c>
      <c r="H27" t="s">
        <v>169</v>
      </c>
      <c r="I27" s="1">
        <v>45672</v>
      </c>
      <c r="J27" s="1">
        <v>45689</v>
      </c>
      <c r="K27" s="4">
        <v>45717</v>
      </c>
      <c r="L27">
        <v>286.91666300000003</v>
      </c>
      <c r="M27">
        <v>199.99999199999999</v>
      </c>
      <c r="N27">
        <v>486.92</v>
      </c>
      <c r="O27" t="s">
        <v>6</v>
      </c>
      <c r="P27">
        <v>200</v>
      </c>
      <c r="R27" t="s">
        <v>279</v>
      </c>
    </row>
    <row r="28" spans="1:18" x14ac:dyDescent="0.2">
      <c r="A28" s="3">
        <v>7470776</v>
      </c>
      <c r="B28" t="s">
        <v>154</v>
      </c>
      <c r="C28" t="s">
        <v>155</v>
      </c>
      <c r="D28" t="str">
        <f>CONCATENATE(C28,8)</f>
        <v>D3EH298</v>
      </c>
      <c r="E28" t="s">
        <v>157</v>
      </c>
      <c r="F28" t="s">
        <v>158</v>
      </c>
      <c r="G28" t="str">
        <f>CONCATENATE(E28, " ", F28)</f>
        <v>JEFFERY FORSBERG</v>
      </c>
      <c r="H28" t="s">
        <v>159</v>
      </c>
      <c r="I28" s="1">
        <v>45672</v>
      </c>
      <c r="J28" s="1">
        <v>45689</v>
      </c>
      <c r="K28" s="4">
        <v>45717</v>
      </c>
      <c r="L28">
        <v>286.91666300000003</v>
      </c>
      <c r="M28">
        <v>199.99999199999999</v>
      </c>
      <c r="N28">
        <v>486.92</v>
      </c>
      <c r="O28" t="s">
        <v>6</v>
      </c>
      <c r="P28">
        <v>286.92</v>
      </c>
      <c r="Q28" t="s">
        <v>277</v>
      </c>
      <c r="R28" t="s">
        <v>280</v>
      </c>
    </row>
    <row r="29" spans="1:18" x14ac:dyDescent="0.2">
      <c r="A29" s="3">
        <v>8325282</v>
      </c>
      <c r="B29" t="s">
        <v>100</v>
      </c>
      <c r="C29" t="s">
        <v>101</v>
      </c>
      <c r="D29" t="s">
        <v>101</v>
      </c>
      <c r="E29" t="s">
        <v>103</v>
      </c>
      <c r="F29" t="s">
        <v>104</v>
      </c>
      <c r="G29" t="str">
        <f>CONCATENATE(E29, " ", F29)</f>
        <v>RICHARD DEHN</v>
      </c>
      <c r="H29" t="s">
        <v>48</v>
      </c>
      <c r="I29" s="1">
        <v>45553</v>
      </c>
      <c r="J29" s="1">
        <v>45566</v>
      </c>
      <c r="K29" s="4">
        <v>45658</v>
      </c>
      <c r="L29">
        <v>26.083333</v>
      </c>
      <c r="M29">
        <v>14</v>
      </c>
      <c r="N29">
        <v>40.08</v>
      </c>
      <c r="O29" t="s">
        <v>6</v>
      </c>
      <c r="P29">
        <v>26.08</v>
      </c>
      <c r="Q29" t="s">
        <v>278</v>
      </c>
      <c r="R29" t="s">
        <v>280</v>
      </c>
    </row>
    <row r="30" spans="1:18" x14ac:dyDescent="0.2">
      <c r="A30" s="3">
        <v>17301495</v>
      </c>
      <c r="B30" t="s">
        <v>69</v>
      </c>
      <c r="C30" t="s">
        <v>74</v>
      </c>
      <c r="D30" t="s">
        <v>74</v>
      </c>
      <c r="E30" t="s">
        <v>76</v>
      </c>
      <c r="F30" t="s">
        <v>77</v>
      </c>
      <c r="G30" t="str">
        <f>CONCATENATE(E30, " ", F30)</f>
        <v>ABELARDO MONARREZ</v>
      </c>
      <c r="H30" t="s">
        <v>48</v>
      </c>
      <c r="I30" s="1">
        <v>45519</v>
      </c>
      <c r="J30" s="1">
        <v>45536</v>
      </c>
      <c r="K30" s="4">
        <v>45658</v>
      </c>
      <c r="L30">
        <v>26.083333</v>
      </c>
      <c r="M30">
        <v>14</v>
      </c>
      <c r="N30">
        <v>40.08</v>
      </c>
      <c r="O30" t="s">
        <v>6</v>
      </c>
      <c r="P30">
        <v>26.08</v>
      </c>
      <c r="Q30" t="s">
        <v>278</v>
      </c>
      <c r="R30" t="s">
        <v>280</v>
      </c>
    </row>
    <row r="31" spans="1:18" x14ac:dyDescent="0.2">
      <c r="A31" s="3">
        <v>17301495</v>
      </c>
      <c r="B31" t="s">
        <v>69</v>
      </c>
      <c r="C31" t="s">
        <v>70</v>
      </c>
      <c r="D31" t="s">
        <v>70</v>
      </c>
      <c r="E31" t="s">
        <v>72</v>
      </c>
      <c r="F31" t="s">
        <v>73</v>
      </c>
      <c r="G31" t="str">
        <f>CONCATENATE(E31, " ", F31)</f>
        <v>EMMA VALE</v>
      </c>
      <c r="H31" t="s">
        <v>48</v>
      </c>
      <c r="I31" s="2">
        <v>45512</v>
      </c>
      <c r="J31" s="1">
        <v>45597</v>
      </c>
      <c r="K31" s="4">
        <v>45658</v>
      </c>
      <c r="L31">
        <v>26.083333</v>
      </c>
      <c r="M31">
        <v>14</v>
      </c>
      <c r="N31">
        <v>40.08</v>
      </c>
      <c r="O31" t="s">
        <v>6</v>
      </c>
      <c r="P31">
        <v>26.08</v>
      </c>
      <c r="Q31" t="s">
        <v>278</v>
      </c>
      <c r="R31" t="s">
        <v>280</v>
      </c>
    </row>
    <row r="32" spans="1:18" x14ac:dyDescent="0.2">
      <c r="A32" s="3">
        <v>17301495</v>
      </c>
      <c r="B32" t="s">
        <v>69</v>
      </c>
      <c r="C32" t="s">
        <v>78</v>
      </c>
      <c r="D32" t="s">
        <v>78</v>
      </c>
      <c r="E32" t="s">
        <v>80</v>
      </c>
      <c r="F32" t="s">
        <v>81</v>
      </c>
      <c r="G32" t="str">
        <f>CONCATENATE(E32, " ", F32)</f>
        <v>EUDOXIO LOPEZ</v>
      </c>
      <c r="H32" t="s">
        <v>48</v>
      </c>
      <c r="I32" s="1">
        <v>45520</v>
      </c>
      <c r="J32" s="1">
        <v>45597</v>
      </c>
      <c r="K32" s="4">
        <v>45658</v>
      </c>
      <c r="L32">
        <v>26.083333</v>
      </c>
      <c r="M32">
        <v>14</v>
      </c>
      <c r="N32">
        <v>40.08</v>
      </c>
      <c r="O32" t="s">
        <v>6</v>
      </c>
      <c r="P32">
        <v>26.08</v>
      </c>
      <c r="Q32" t="s">
        <v>278</v>
      </c>
      <c r="R32" t="s">
        <v>280</v>
      </c>
    </row>
    <row r="33" spans="1:18" x14ac:dyDescent="0.2">
      <c r="A33" s="3">
        <v>17301495</v>
      </c>
      <c r="B33" t="s">
        <v>69</v>
      </c>
      <c r="C33" t="s">
        <v>161</v>
      </c>
      <c r="D33" t="str">
        <f>CONCATENATE(C33,8)</f>
        <v>D6YZ5C8</v>
      </c>
      <c r="E33" t="s">
        <v>163</v>
      </c>
      <c r="F33" t="s">
        <v>164</v>
      </c>
      <c r="G33" t="str">
        <f>CONCATENATE(E33, " ", F33)</f>
        <v>CARLOS CHAVEZ</v>
      </c>
      <c r="H33" t="s">
        <v>48</v>
      </c>
      <c r="I33" s="1">
        <v>45672</v>
      </c>
      <c r="J33" s="1">
        <v>45689</v>
      </c>
      <c r="K33" s="4">
        <v>45717</v>
      </c>
      <c r="L33">
        <v>286.91666300000003</v>
      </c>
      <c r="M33">
        <v>199.99999199999999</v>
      </c>
      <c r="N33">
        <v>486.92</v>
      </c>
      <c r="O33" t="s">
        <v>6</v>
      </c>
      <c r="P33">
        <v>286.92</v>
      </c>
      <c r="Q33" t="s">
        <v>277</v>
      </c>
      <c r="R33" t="s">
        <v>280</v>
      </c>
    </row>
    <row r="34" spans="1:18" x14ac:dyDescent="0.2">
      <c r="A34" s="3">
        <v>17301495</v>
      </c>
      <c r="B34" t="s">
        <v>69</v>
      </c>
      <c r="C34" t="s">
        <v>181</v>
      </c>
      <c r="D34" t="str">
        <f>CONCATENATE(C34,8)</f>
        <v>DG4GHG8</v>
      </c>
      <c r="E34" t="s">
        <v>183</v>
      </c>
      <c r="F34" t="s">
        <v>184</v>
      </c>
      <c r="G34" t="str">
        <f>CONCATENATE(E34, " ", F34)</f>
        <v>HECTOR HERNANDEZ</v>
      </c>
      <c r="H34" t="s">
        <v>48</v>
      </c>
      <c r="I34" s="1">
        <v>45673</v>
      </c>
      <c r="J34" s="1">
        <v>45689</v>
      </c>
      <c r="K34" s="4">
        <v>45717</v>
      </c>
      <c r="L34">
        <v>286.91666300000003</v>
      </c>
      <c r="M34">
        <v>199.99999199999999</v>
      </c>
      <c r="N34">
        <v>486.92</v>
      </c>
      <c r="O34" t="s">
        <v>6</v>
      </c>
      <c r="P34">
        <v>286.92</v>
      </c>
      <c r="Q34" t="s">
        <v>277</v>
      </c>
      <c r="R34" t="s">
        <v>280</v>
      </c>
    </row>
    <row r="35" spans="1:18" x14ac:dyDescent="0.2">
      <c r="A35" s="3">
        <v>9213293</v>
      </c>
      <c r="B35" t="s">
        <v>107</v>
      </c>
      <c r="C35" t="s">
        <v>108</v>
      </c>
      <c r="D35" t="s">
        <v>108</v>
      </c>
      <c r="E35" t="s">
        <v>110</v>
      </c>
      <c r="F35" t="s">
        <v>111</v>
      </c>
      <c r="G35" t="str">
        <f>CONCATENATE(E35, " ", F35)</f>
        <v>PATRICIA PROCHASKA</v>
      </c>
      <c r="H35" t="s">
        <v>48</v>
      </c>
      <c r="I35" s="1">
        <v>45560</v>
      </c>
      <c r="J35" s="1">
        <v>45597</v>
      </c>
      <c r="K35" s="4">
        <v>45658</v>
      </c>
      <c r="L35">
        <v>26.083333</v>
      </c>
      <c r="M35">
        <v>14</v>
      </c>
      <c r="N35">
        <v>40.08</v>
      </c>
      <c r="O35" t="s">
        <v>6</v>
      </c>
      <c r="P35">
        <v>26.08</v>
      </c>
      <c r="Q35" t="s">
        <v>278</v>
      </c>
      <c r="R35" t="s">
        <v>280</v>
      </c>
    </row>
    <row r="36" spans="1:18" x14ac:dyDescent="0.2">
      <c r="A36" s="3">
        <v>9213293</v>
      </c>
      <c r="B36" t="s">
        <v>107</v>
      </c>
      <c r="C36" t="s">
        <v>165</v>
      </c>
      <c r="D36" t="str">
        <f>CONCATENATE(C36,8)</f>
        <v>DFZ5W58</v>
      </c>
      <c r="E36" t="s">
        <v>167</v>
      </c>
      <c r="F36" t="s">
        <v>168</v>
      </c>
      <c r="G36" t="str">
        <f>CONCATENATE(E36, " ", F36)</f>
        <v>THOMAS GODFREY III</v>
      </c>
      <c r="H36" t="s">
        <v>169</v>
      </c>
      <c r="I36" s="1">
        <v>45672</v>
      </c>
      <c r="J36" s="1">
        <v>45689</v>
      </c>
      <c r="K36" s="4">
        <v>45717</v>
      </c>
      <c r="L36">
        <v>286.91666300000003</v>
      </c>
      <c r="M36">
        <v>199.99999199999999</v>
      </c>
      <c r="N36">
        <v>486.92</v>
      </c>
      <c r="O36" t="s">
        <v>6</v>
      </c>
      <c r="P36">
        <v>286.92</v>
      </c>
      <c r="Q36" t="s">
        <v>277</v>
      </c>
      <c r="R36" t="s">
        <v>280</v>
      </c>
    </row>
    <row r="37" spans="1:18" x14ac:dyDescent="0.2">
      <c r="A37" s="3">
        <v>18754354</v>
      </c>
      <c r="B37" t="s">
        <v>54</v>
      </c>
      <c r="C37" t="s">
        <v>55</v>
      </c>
      <c r="D37" t="s">
        <v>55</v>
      </c>
      <c r="E37" t="s">
        <v>57</v>
      </c>
      <c r="F37" t="s">
        <v>58</v>
      </c>
      <c r="G37" t="str">
        <f>CONCATENATE(E37, " ", F37)</f>
        <v>CHRISTOPHER SPRINGER</v>
      </c>
      <c r="H37" t="s">
        <v>48</v>
      </c>
      <c r="I37" s="1">
        <v>45502</v>
      </c>
      <c r="J37" s="1">
        <v>45505</v>
      </c>
      <c r="K37" s="4">
        <v>45658</v>
      </c>
      <c r="L37">
        <v>26.083333</v>
      </c>
      <c r="M37">
        <v>14</v>
      </c>
      <c r="N37">
        <v>40.08</v>
      </c>
      <c r="O37" t="s">
        <v>6</v>
      </c>
      <c r="P37">
        <v>26.08</v>
      </c>
      <c r="Q37" t="s">
        <v>278</v>
      </c>
      <c r="R37" t="s">
        <v>280</v>
      </c>
    </row>
    <row r="38" spans="1:18" x14ac:dyDescent="0.2">
      <c r="A38" s="3">
        <v>18754354</v>
      </c>
      <c r="B38" t="s">
        <v>54</v>
      </c>
      <c r="C38" t="s">
        <v>88</v>
      </c>
      <c r="D38" t="s">
        <v>88</v>
      </c>
      <c r="E38" t="s">
        <v>90</v>
      </c>
      <c r="F38" t="s">
        <v>91</v>
      </c>
      <c r="G38" t="str">
        <f>CONCATENATE(E38, " ", F38)</f>
        <v>ANNETTE EDWARDSON</v>
      </c>
      <c r="H38" t="s">
        <v>48</v>
      </c>
      <c r="I38" s="1">
        <v>45535</v>
      </c>
      <c r="J38" s="1">
        <v>45536</v>
      </c>
      <c r="K38" s="4">
        <v>45658</v>
      </c>
      <c r="L38">
        <v>26.083333</v>
      </c>
      <c r="M38">
        <v>14</v>
      </c>
      <c r="N38">
        <v>40.08</v>
      </c>
      <c r="O38" t="s">
        <v>6</v>
      </c>
      <c r="P38">
        <v>26.08</v>
      </c>
      <c r="Q38" t="s">
        <v>278</v>
      </c>
      <c r="R38" t="s">
        <v>280</v>
      </c>
    </row>
    <row r="39" spans="1:18" x14ac:dyDescent="0.2">
      <c r="A39" s="3">
        <v>18754354</v>
      </c>
      <c r="B39" t="s">
        <v>54</v>
      </c>
      <c r="C39" t="s">
        <v>122</v>
      </c>
      <c r="D39" t="s">
        <v>122</v>
      </c>
      <c r="E39" t="s">
        <v>124</v>
      </c>
      <c r="F39" t="s">
        <v>125</v>
      </c>
      <c r="G39" t="str">
        <f>CONCATENATE(E39, " ", F39)</f>
        <v>WILLIAM LUDWIG III</v>
      </c>
      <c r="H39" t="s">
        <v>48</v>
      </c>
      <c r="I39" s="1">
        <v>45569</v>
      </c>
      <c r="J39" s="1">
        <v>45597</v>
      </c>
      <c r="K39" s="4">
        <v>45658</v>
      </c>
      <c r="L39">
        <v>26.083333</v>
      </c>
      <c r="M39">
        <v>14</v>
      </c>
      <c r="N39">
        <v>40.08</v>
      </c>
      <c r="O39" t="s">
        <v>6</v>
      </c>
      <c r="P39">
        <v>26.08</v>
      </c>
      <c r="Q39" t="s">
        <v>278</v>
      </c>
      <c r="R39" t="s">
        <v>280</v>
      </c>
    </row>
    <row r="40" spans="1:18" x14ac:dyDescent="0.2">
      <c r="A40" s="3">
        <v>2158366</v>
      </c>
      <c r="B40" t="s">
        <v>93</v>
      </c>
      <c r="C40" t="s">
        <v>94</v>
      </c>
      <c r="D40" t="s">
        <v>94</v>
      </c>
      <c r="E40" t="s">
        <v>96</v>
      </c>
      <c r="F40" t="s">
        <v>97</v>
      </c>
      <c r="G40" t="str">
        <f>CONCATENATE(E40, " ", F40)</f>
        <v>LAURA MROZEK</v>
      </c>
      <c r="H40" t="s">
        <v>48</v>
      </c>
      <c r="I40" s="1">
        <v>45552</v>
      </c>
      <c r="J40" s="1">
        <v>45566</v>
      </c>
      <c r="K40" s="4">
        <v>45658</v>
      </c>
      <c r="L40">
        <v>26.083333</v>
      </c>
      <c r="M40">
        <v>14</v>
      </c>
      <c r="N40">
        <v>40.08</v>
      </c>
      <c r="O40" t="s">
        <v>6</v>
      </c>
      <c r="P40">
        <v>26.08</v>
      </c>
      <c r="Q40" t="s">
        <v>278</v>
      </c>
      <c r="R40" t="s">
        <v>280</v>
      </c>
    </row>
    <row r="41" spans="1:18" x14ac:dyDescent="0.2">
      <c r="A41" s="3">
        <v>2158366</v>
      </c>
      <c r="B41" t="s">
        <v>93</v>
      </c>
      <c r="C41" t="s">
        <v>126</v>
      </c>
      <c r="D41" t="s">
        <v>126</v>
      </c>
      <c r="E41" t="s">
        <v>128</v>
      </c>
      <c r="F41" t="s">
        <v>129</v>
      </c>
      <c r="G41" t="str">
        <f>CONCATENATE(E41, " ", F41)</f>
        <v>JEFFREY JOHNS</v>
      </c>
      <c r="H41" t="s">
        <v>48</v>
      </c>
      <c r="I41" s="1">
        <v>45579</v>
      </c>
      <c r="J41" s="1">
        <v>45597</v>
      </c>
      <c r="K41" s="4">
        <v>45658</v>
      </c>
      <c r="L41">
        <v>26.083333</v>
      </c>
      <c r="M41">
        <v>14</v>
      </c>
      <c r="N41">
        <v>40.08</v>
      </c>
      <c r="O41" t="s">
        <v>6</v>
      </c>
      <c r="P41">
        <v>26.08</v>
      </c>
      <c r="Q41" t="s">
        <v>278</v>
      </c>
      <c r="R41" t="s">
        <v>280</v>
      </c>
    </row>
    <row r="42" spans="1:18" x14ac:dyDescent="0.2">
      <c r="A42" s="3">
        <v>2158366</v>
      </c>
      <c r="B42" t="s">
        <v>93</v>
      </c>
      <c r="C42" t="s">
        <v>118</v>
      </c>
      <c r="D42" t="s">
        <v>118</v>
      </c>
      <c r="E42" t="s">
        <v>120</v>
      </c>
      <c r="F42" t="s">
        <v>121</v>
      </c>
      <c r="G42" t="str">
        <f>CONCATENATE(E42, " ", F42)</f>
        <v>SUSAN EICHMAN PARCELL</v>
      </c>
      <c r="H42" t="s">
        <v>48</v>
      </c>
      <c r="I42" s="1">
        <v>45566</v>
      </c>
      <c r="J42" s="1">
        <v>45627</v>
      </c>
      <c r="K42" s="4">
        <v>45658</v>
      </c>
      <c r="L42">
        <v>26.083333</v>
      </c>
      <c r="M42">
        <v>14</v>
      </c>
      <c r="N42">
        <v>40.08</v>
      </c>
      <c r="O42" t="s">
        <v>6</v>
      </c>
      <c r="P42">
        <v>26.08</v>
      </c>
      <c r="Q42" t="s">
        <v>278</v>
      </c>
      <c r="R42" t="s">
        <v>280</v>
      </c>
    </row>
    <row r="43" spans="1:18" x14ac:dyDescent="0.2">
      <c r="A43" s="3">
        <v>2158366</v>
      </c>
      <c r="B43" t="s">
        <v>93</v>
      </c>
      <c r="C43" t="s">
        <v>148</v>
      </c>
      <c r="D43" t="str">
        <f>CONCATENATE(C43,8)</f>
        <v>DHWE4W8</v>
      </c>
      <c r="E43" t="s">
        <v>150</v>
      </c>
      <c r="F43" t="s">
        <v>151</v>
      </c>
      <c r="G43" t="str">
        <f>CONCATENATE(E43, " ", F43)</f>
        <v>SUZANNE HEY</v>
      </c>
      <c r="H43" t="s">
        <v>48</v>
      </c>
      <c r="I43" s="1">
        <v>45621</v>
      </c>
      <c r="J43" s="2">
        <v>45658</v>
      </c>
      <c r="K43" s="4">
        <v>45689</v>
      </c>
      <c r="L43">
        <v>-312.99999600000001</v>
      </c>
      <c r="M43">
        <v>-199.99999199999999</v>
      </c>
      <c r="N43">
        <v>-513</v>
      </c>
      <c r="O43" t="s">
        <v>6</v>
      </c>
      <c r="P43">
        <v>-313</v>
      </c>
      <c r="Q43" t="s">
        <v>276</v>
      </c>
      <c r="R43" t="s">
        <v>280</v>
      </c>
    </row>
    <row r="44" spans="1:18" x14ac:dyDescent="0.2">
      <c r="A44" s="3">
        <v>2158366</v>
      </c>
      <c r="B44" t="s">
        <v>93</v>
      </c>
      <c r="C44" t="s">
        <v>171</v>
      </c>
      <c r="D44" t="str">
        <f>CONCATENATE(C44,8)</f>
        <v>DEAGYA8</v>
      </c>
      <c r="E44" t="s">
        <v>173</v>
      </c>
      <c r="F44" t="s">
        <v>174</v>
      </c>
      <c r="G44" t="str">
        <f>CONCATENATE(E44, " ", F44)</f>
        <v>ROBERT BAUER JR</v>
      </c>
      <c r="H44" t="s">
        <v>169</v>
      </c>
      <c r="I44" s="1">
        <v>45672</v>
      </c>
      <c r="J44" s="1">
        <v>45689</v>
      </c>
      <c r="K44" s="4">
        <v>45717</v>
      </c>
      <c r="L44">
        <v>286.91666300000003</v>
      </c>
      <c r="M44">
        <v>199.99999199999999</v>
      </c>
      <c r="N44">
        <v>486.92</v>
      </c>
      <c r="O44" t="s">
        <v>6</v>
      </c>
      <c r="P44">
        <v>286.92</v>
      </c>
      <c r="Q44" t="s">
        <v>277</v>
      </c>
      <c r="R44" t="s">
        <v>280</v>
      </c>
    </row>
    <row r="45" spans="1:18" x14ac:dyDescent="0.2">
      <c r="A45" s="3">
        <v>16683808</v>
      </c>
      <c r="B45" t="s">
        <v>135</v>
      </c>
      <c r="C45" t="s">
        <v>136</v>
      </c>
      <c r="D45" t="s">
        <v>136</v>
      </c>
      <c r="E45" t="s">
        <v>138</v>
      </c>
      <c r="F45" t="s">
        <v>139</v>
      </c>
      <c r="G45" t="str">
        <f>CONCATENATE(E45, " ", F45)</f>
        <v>MELQUEA EDWARDS</v>
      </c>
      <c r="H45" t="s">
        <v>140</v>
      </c>
      <c r="I45" s="1">
        <v>45602</v>
      </c>
      <c r="J45" s="1">
        <v>45627</v>
      </c>
      <c r="K45" s="4">
        <v>45658</v>
      </c>
      <c r="L45">
        <v>26.083333</v>
      </c>
      <c r="M45">
        <v>12.5</v>
      </c>
      <c r="N45">
        <v>38.58</v>
      </c>
      <c r="O45" t="s">
        <v>6</v>
      </c>
      <c r="P45">
        <v>26.08</v>
      </c>
      <c r="Q45" t="s">
        <v>278</v>
      </c>
      <c r="R45" t="s">
        <v>280</v>
      </c>
    </row>
    <row r="46" spans="1:18" x14ac:dyDescent="0.2">
      <c r="A46" s="3">
        <v>20212926</v>
      </c>
      <c r="B46" t="s">
        <v>143</v>
      </c>
      <c r="C46" t="s">
        <v>144</v>
      </c>
      <c r="D46" t="s">
        <v>144</v>
      </c>
      <c r="E46" t="s">
        <v>146</v>
      </c>
      <c r="F46" t="s">
        <v>147</v>
      </c>
      <c r="G46" t="str">
        <f>CONCATENATE(E46, " ", F46)</f>
        <v>ANIANO OBANA JR</v>
      </c>
      <c r="H46" t="s">
        <v>48</v>
      </c>
      <c r="I46" s="1">
        <v>45602</v>
      </c>
      <c r="J46" s="2">
        <v>45658</v>
      </c>
      <c r="K46" s="4">
        <v>45689</v>
      </c>
      <c r="L46">
        <v>26.083333</v>
      </c>
      <c r="M46">
        <v>14</v>
      </c>
      <c r="N46">
        <v>40.08</v>
      </c>
      <c r="O46" t="s">
        <v>6</v>
      </c>
      <c r="P46">
        <v>26.08</v>
      </c>
      <c r="Q46" t="s">
        <v>278</v>
      </c>
      <c r="R46" t="s">
        <v>280</v>
      </c>
    </row>
    <row r="47" spans="1:18" x14ac:dyDescent="0.2">
      <c r="A47" s="3">
        <v>19200754</v>
      </c>
      <c r="B47" t="s">
        <v>83</v>
      </c>
      <c r="C47" t="s">
        <v>84</v>
      </c>
      <c r="D47" t="s">
        <v>84</v>
      </c>
      <c r="E47" t="s">
        <v>86</v>
      </c>
      <c r="F47" t="s">
        <v>87</v>
      </c>
      <c r="G47" t="str">
        <f>CONCATENATE(E47, " ", F47)</f>
        <v>BETH GONSIEWSKI</v>
      </c>
      <c r="H47" t="s">
        <v>48</v>
      </c>
      <c r="I47" s="1">
        <v>45530</v>
      </c>
      <c r="J47" s="1">
        <v>45566</v>
      </c>
      <c r="K47" s="4">
        <v>45658</v>
      </c>
      <c r="L47">
        <v>26.083333</v>
      </c>
      <c r="M47">
        <v>14</v>
      </c>
      <c r="N47">
        <v>40.08</v>
      </c>
      <c r="O47" t="s">
        <v>6</v>
      </c>
      <c r="P47">
        <v>26.08</v>
      </c>
      <c r="Q47" t="s">
        <v>278</v>
      </c>
      <c r="R47" t="s">
        <v>280</v>
      </c>
    </row>
    <row r="48" spans="1:18" x14ac:dyDescent="0.2">
      <c r="A48" s="3">
        <v>19200754</v>
      </c>
      <c r="B48" t="s">
        <v>83</v>
      </c>
      <c r="C48" t="s">
        <v>130</v>
      </c>
      <c r="D48" t="s">
        <v>130</v>
      </c>
      <c r="E48" t="s">
        <v>132</v>
      </c>
      <c r="F48" t="s">
        <v>133</v>
      </c>
      <c r="G48" t="str">
        <f>CONCATENATE(E48, " ", F48)</f>
        <v>JOHN PAUL</v>
      </c>
      <c r="H48" t="s">
        <v>48</v>
      </c>
      <c r="I48" s="1">
        <v>45583</v>
      </c>
      <c r="J48" s="1">
        <v>45597</v>
      </c>
      <c r="K48" s="4">
        <v>45658</v>
      </c>
      <c r="L48">
        <v>26.083333</v>
      </c>
      <c r="M48">
        <v>14</v>
      </c>
      <c r="N48">
        <v>40.08</v>
      </c>
      <c r="O48" t="s">
        <v>6</v>
      </c>
      <c r="P48">
        <v>26.08</v>
      </c>
      <c r="Q48" t="s">
        <v>278</v>
      </c>
      <c r="R48" t="s">
        <v>280</v>
      </c>
    </row>
    <row r="49" spans="1:18" x14ac:dyDescent="0.2">
      <c r="A49" s="3">
        <v>19615078</v>
      </c>
      <c r="B49" t="s">
        <v>113</v>
      </c>
      <c r="C49" t="s">
        <v>114</v>
      </c>
      <c r="D49" t="s">
        <v>114</v>
      </c>
      <c r="E49" t="s">
        <v>116</v>
      </c>
      <c r="F49" t="s">
        <v>117</v>
      </c>
      <c r="G49" t="str">
        <f>CONCATENATE(E49, " ", F49)</f>
        <v>NADEZHDA ROMANOVA</v>
      </c>
      <c r="H49" t="s">
        <v>48</v>
      </c>
      <c r="I49" s="1">
        <v>45561</v>
      </c>
      <c r="J49" s="1">
        <v>45566</v>
      </c>
      <c r="K49" s="4">
        <v>45658</v>
      </c>
      <c r="L49">
        <v>26.083333</v>
      </c>
      <c r="M49">
        <v>14</v>
      </c>
      <c r="N49">
        <v>40.08</v>
      </c>
      <c r="O49" t="s">
        <v>6</v>
      </c>
      <c r="P49">
        <v>26.08</v>
      </c>
      <c r="Q49" t="s">
        <v>278</v>
      </c>
      <c r="R49" t="s">
        <v>280</v>
      </c>
    </row>
    <row r="50" spans="1:18" x14ac:dyDescent="0.2">
      <c r="A50" s="3">
        <v>16633294</v>
      </c>
      <c r="B50" t="s">
        <v>176</v>
      </c>
      <c r="C50" t="s">
        <v>177</v>
      </c>
      <c r="D50" t="str">
        <f>CONCATENATE(C50,8)</f>
        <v>DCR8CW8</v>
      </c>
      <c r="E50" t="s">
        <v>179</v>
      </c>
      <c r="F50" t="s">
        <v>180</v>
      </c>
      <c r="G50" t="str">
        <f>CONCATENATE(E50, " ", F50)</f>
        <v>HEIDI RUELOS</v>
      </c>
      <c r="H50" t="s">
        <v>48</v>
      </c>
      <c r="I50" s="1">
        <v>45672</v>
      </c>
      <c r="J50" s="1">
        <v>45689</v>
      </c>
      <c r="K50" s="4">
        <v>45717</v>
      </c>
      <c r="L50">
        <v>286.91666300000003</v>
      </c>
      <c r="M50">
        <v>199.99999199999999</v>
      </c>
      <c r="N50">
        <v>486.92</v>
      </c>
      <c r="O50" t="s">
        <v>6</v>
      </c>
      <c r="P50">
        <v>286.92</v>
      </c>
      <c r="Q50" t="s">
        <v>277</v>
      </c>
      <c r="R50" t="s">
        <v>280</v>
      </c>
    </row>
    <row r="51" spans="1:18" x14ac:dyDescent="0.2">
      <c r="A51" s="3">
        <v>17126004</v>
      </c>
      <c r="B51" t="s">
        <v>43</v>
      </c>
      <c r="C51" t="s">
        <v>44</v>
      </c>
      <c r="D51" t="s">
        <v>44</v>
      </c>
      <c r="E51" t="s">
        <v>46</v>
      </c>
      <c r="F51" t="s">
        <v>47</v>
      </c>
      <c r="G51" t="str">
        <f>CONCATENATE(E51, " ", F51)</f>
        <v>LINDA CIANCIO</v>
      </c>
      <c r="H51" t="s">
        <v>48</v>
      </c>
      <c r="I51" s="1">
        <v>45497</v>
      </c>
      <c r="J51" s="1">
        <v>45505</v>
      </c>
      <c r="K51" s="4">
        <v>45658</v>
      </c>
      <c r="L51">
        <v>26.083333</v>
      </c>
      <c r="M51">
        <v>14</v>
      </c>
      <c r="N51">
        <v>40.08</v>
      </c>
      <c r="O51" t="s">
        <v>6</v>
      </c>
      <c r="P51">
        <v>26.08</v>
      </c>
      <c r="Q51" t="s">
        <v>278</v>
      </c>
      <c r="R51" t="s">
        <v>280</v>
      </c>
    </row>
    <row r="52" spans="1:18" x14ac:dyDescent="0.2">
      <c r="A52" s="3">
        <v>17126004</v>
      </c>
      <c r="B52" t="s">
        <v>43</v>
      </c>
      <c r="C52" t="s">
        <v>60</v>
      </c>
      <c r="D52" t="s">
        <v>60</v>
      </c>
      <c r="E52" t="s">
        <v>62</v>
      </c>
      <c r="F52" t="s">
        <v>63</v>
      </c>
      <c r="G52" t="str">
        <f>CONCATENATE(E52, " ", F52)</f>
        <v>THERESA MCAULEY</v>
      </c>
      <c r="H52" t="s">
        <v>48</v>
      </c>
      <c r="I52" s="1">
        <v>45503</v>
      </c>
      <c r="J52" s="1">
        <v>45505</v>
      </c>
      <c r="K52" s="4">
        <v>45658</v>
      </c>
      <c r="L52">
        <v>26.083333</v>
      </c>
      <c r="M52">
        <v>14</v>
      </c>
      <c r="N52">
        <v>40.08</v>
      </c>
      <c r="O52" t="s">
        <v>6</v>
      </c>
      <c r="P52">
        <v>26.08</v>
      </c>
      <c r="Q52" t="s">
        <v>278</v>
      </c>
      <c r="R52" t="s">
        <v>280</v>
      </c>
    </row>
    <row r="53" spans="1:18" x14ac:dyDescent="0.2">
      <c r="A53" s="3">
        <v>17126004</v>
      </c>
      <c r="B53" t="s">
        <v>43</v>
      </c>
      <c r="C53" t="s">
        <v>64</v>
      </c>
      <c r="D53" t="s">
        <v>64</v>
      </c>
      <c r="E53" t="s">
        <v>66</v>
      </c>
      <c r="F53" t="s">
        <v>67</v>
      </c>
      <c r="G53" t="str">
        <f>CONCATENATE(E53, " ", F53)</f>
        <v>MARYANN CHINDERLE</v>
      </c>
      <c r="H53" t="s">
        <v>48</v>
      </c>
      <c r="I53" s="1">
        <v>45510</v>
      </c>
      <c r="J53" s="1">
        <v>45566</v>
      </c>
      <c r="K53" s="4">
        <v>45658</v>
      </c>
      <c r="L53">
        <v>26.083333</v>
      </c>
      <c r="M53">
        <v>14</v>
      </c>
      <c r="N53">
        <v>40.08</v>
      </c>
      <c r="O53" t="s">
        <v>6</v>
      </c>
      <c r="P53">
        <v>26.08</v>
      </c>
      <c r="Q53" t="s">
        <v>278</v>
      </c>
      <c r="R53" t="s">
        <v>280</v>
      </c>
    </row>
  </sheetData>
  <sortState xmlns:xlrd2="http://schemas.microsoft.com/office/spreadsheetml/2017/richdata2" ref="A28:R53">
    <sortCondition ref="B28:B53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1"/>
  <sheetViews>
    <sheetView topLeftCell="A26" workbookViewId="0">
      <selection activeCell="C2" sqref="C2:C71"/>
    </sheetView>
  </sheetViews>
  <sheetFormatPr baseColWidth="10" defaultColWidth="8.83203125" defaultRowHeight="15" x14ac:dyDescent="0.2"/>
  <cols>
    <col min="1" max="1" width="25" customWidth="1"/>
    <col min="2" max="3" width="10" customWidth="1"/>
    <col min="4" max="4" width="50" customWidth="1"/>
  </cols>
  <sheetData>
    <row r="1" spans="1:4" x14ac:dyDescent="0.2">
      <c r="A1" t="s">
        <v>201</v>
      </c>
      <c r="B1" t="s">
        <v>202</v>
      </c>
      <c r="C1" t="s">
        <v>203</v>
      </c>
      <c r="D1" t="s">
        <v>204</v>
      </c>
    </row>
    <row r="2" spans="1:4" x14ac:dyDescent="0.2">
      <c r="A2" t="s">
        <v>69</v>
      </c>
      <c r="B2" t="s">
        <v>68</v>
      </c>
      <c r="C2" t="s">
        <v>205</v>
      </c>
      <c r="D2" t="s">
        <v>206</v>
      </c>
    </row>
    <row r="3" spans="1:4" x14ac:dyDescent="0.2">
      <c r="A3" t="s">
        <v>69</v>
      </c>
      <c r="B3" t="s">
        <v>68</v>
      </c>
      <c r="C3" t="s">
        <v>205</v>
      </c>
      <c r="D3" t="s">
        <v>207</v>
      </c>
    </row>
    <row r="4" spans="1:4" x14ac:dyDescent="0.2">
      <c r="A4" t="s">
        <v>190</v>
      </c>
      <c r="B4" t="s">
        <v>189</v>
      </c>
      <c r="C4" t="s">
        <v>205</v>
      </c>
      <c r="D4" t="s">
        <v>208</v>
      </c>
    </row>
    <row r="5" spans="1:4" x14ac:dyDescent="0.2">
      <c r="A5" t="s">
        <v>190</v>
      </c>
      <c r="B5" t="s">
        <v>189</v>
      </c>
      <c r="C5" t="s">
        <v>205</v>
      </c>
      <c r="D5" t="s">
        <v>209</v>
      </c>
    </row>
    <row r="6" spans="1:4" x14ac:dyDescent="0.2">
      <c r="A6" t="s">
        <v>186</v>
      </c>
      <c r="B6" t="s">
        <v>185</v>
      </c>
      <c r="C6" t="s">
        <v>205</v>
      </c>
      <c r="D6" t="s">
        <v>210</v>
      </c>
    </row>
    <row r="7" spans="1:4" x14ac:dyDescent="0.2">
      <c r="A7" t="s">
        <v>186</v>
      </c>
      <c r="B7" t="s">
        <v>185</v>
      </c>
      <c r="C7" t="s">
        <v>205</v>
      </c>
      <c r="D7" t="s">
        <v>211</v>
      </c>
    </row>
    <row r="8" spans="1:4" x14ac:dyDescent="0.2">
      <c r="A8" t="s">
        <v>186</v>
      </c>
      <c r="B8" t="s">
        <v>185</v>
      </c>
      <c r="C8" t="s">
        <v>205</v>
      </c>
      <c r="D8" t="s">
        <v>212</v>
      </c>
    </row>
    <row r="9" spans="1:4" x14ac:dyDescent="0.2">
      <c r="A9" t="s">
        <v>176</v>
      </c>
      <c r="B9" t="s">
        <v>175</v>
      </c>
      <c r="C9" t="s">
        <v>205</v>
      </c>
      <c r="D9" t="s">
        <v>213</v>
      </c>
    </row>
    <row r="10" spans="1:4" x14ac:dyDescent="0.2">
      <c r="A10" t="s">
        <v>176</v>
      </c>
      <c r="B10" t="s">
        <v>175</v>
      </c>
      <c r="C10" t="s">
        <v>205</v>
      </c>
      <c r="D10" t="s">
        <v>214</v>
      </c>
    </row>
    <row r="11" spans="1:4" x14ac:dyDescent="0.2">
      <c r="A11" t="s">
        <v>69</v>
      </c>
      <c r="B11" t="s">
        <v>68</v>
      </c>
      <c r="C11" t="s">
        <v>205</v>
      </c>
      <c r="D11" t="s">
        <v>215</v>
      </c>
    </row>
    <row r="12" spans="1:4" x14ac:dyDescent="0.2">
      <c r="A12" t="s">
        <v>69</v>
      </c>
      <c r="B12" t="s">
        <v>68</v>
      </c>
      <c r="C12" t="s">
        <v>205</v>
      </c>
      <c r="D12" t="s">
        <v>216</v>
      </c>
    </row>
    <row r="13" spans="1:4" x14ac:dyDescent="0.2">
      <c r="A13" t="s">
        <v>83</v>
      </c>
      <c r="B13" t="s">
        <v>82</v>
      </c>
      <c r="C13" t="s">
        <v>205</v>
      </c>
      <c r="D13" t="s">
        <v>217</v>
      </c>
    </row>
    <row r="14" spans="1:4" x14ac:dyDescent="0.2">
      <c r="A14" t="s">
        <v>186</v>
      </c>
      <c r="B14" t="s">
        <v>185</v>
      </c>
      <c r="C14" t="s">
        <v>205</v>
      </c>
      <c r="D14" t="s">
        <v>218</v>
      </c>
    </row>
    <row r="15" spans="1:4" x14ac:dyDescent="0.2">
      <c r="A15" t="s">
        <v>186</v>
      </c>
      <c r="B15" t="s">
        <v>185</v>
      </c>
      <c r="C15" t="s">
        <v>205</v>
      </c>
      <c r="D15" t="s">
        <v>219</v>
      </c>
    </row>
    <row r="16" spans="1:4" x14ac:dyDescent="0.2">
      <c r="A16" t="s">
        <v>93</v>
      </c>
      <c r="B16" t="s">
        <v>92</v>
      </c>
      <c r="C16" t="s">
        <v>205</v>
      </c>
      <c r="D16" t="s">
        <v>220</v>
      </c>
    </row>
    <row r="17" spans="1:4" x14ac:dyDescent="0.2">
      <c r="A17" t="s">
        <v>93</v>
      </c>
      <c r="B17" t="s">
        <v>92</v>
      </c>
      <c r="C17" t="s">
        <v>205</v>
      </c>
      <c r="D17" t="s">
        <v>221</v>
      </c>
    </row>
    <row r="18" spans="1:4" x14ac:dyDescent="0.2">
      <c r="A18" t="s">
        <v>93</v>
      </c>
      <c r="B18" t="s">
        <v>92</v>
      </c>
      <c r="C18" t="s">
        <v>205</v>
      </c>
      <c r="D18" t="s">
        <v>222</v>
      </c>
    </row>
    <row r="19" spans="1:4" x14ac:dyDescent="0.2">
      <c r="A19" t="s">
        <v>154</v>
      </c>
      <c r="B19" t="s">
        <v>153</v>
      </c>
      <c r="C19" t="s">
        <v>205</v>
      </c>
      <c r="D19" t="s">
        <v>223</v>
      </c>
    </row>
    <row r="20" spans="1:4" x14ac:dyDescent="0.2">
      <c r="A20" t="s">
        <v>154</v>
      </c>
      <c r="B20" t="s">
        <v>153</v>
      </c>
      <c r="C20" t="s">
        <v>205</v>
      </c>
      <c r="D20" t="s">
        <v>224</v>
      </c>
    </row>
    <row r="21" spans="1:4" x14ac:dyDescent="0.2">
      <c r="A21" t="s">
        <v>43</v>
      </c>
      <c r="B21" t="s">
        <v>42</v>
      </c>
      <c r="C21" t="s">
        <v>205</v>
      </c>
      <c r="D21" t="s">
        <v>225</v>
      </c>
    </row>
    <row r="22" spans="1:4" x14ac:dyDescent="0.2">
      <c r="A22" t="s">
        <v>69</v>
      </c>
      <c r="B22" t="s">
        <v>68</v>
      </c>
      <c r="C22" t="s">
        <v>205</v>
      </c>
      <c r="D22" t="s">
        <v>226</v>
      </c>
    </row>
    <row r="23" spans="1:4" x14ac:dyDescent="0.2">
      <c r="A23" t="s">
        <v>83</v>
      </c>
      <c r="B23" t="s">
        <v>82</v>
      </c>
      <c r="C23" t="s">
        <v>205</v>
      </c>
      <c r="D23" t="s">
        <v>227</v>
      </c>
    </row>
    <row r="24" spans="1:4" x14ac:dyDescent="0.2">
      <c r="A24" t="s">
        <v>69</v>
      </c>
      <c r="B24" t="s">
        <v>68</v>
      </c>
      <c r="C24" t="s">
        <v>205</v>
      </c>
      <c r="D24" t="s">
        <v>228</v>
      </c>
    </row>
    <row r="25" spans="1:4" x14ac:dyDescent="0.2">
      <c r="A25" t="s">
        <v>190</v>
      </c>
      <c r="B25" t="s">
        <v>189</v>
      </c>
      <c r="C25" t="s">
        <v>205</v>
      </c>
      <c r="D25" t="s">
        <v>229</v>
      </c>
    </row>
    <row r="26" spans="1:4" x14ac:dyDescent="0.2">
      <c r="A26" t="s">
        <v>186</v>
      </c>
      <c r="B26" t="s">
        <v>185</v>
      </c>
      <c r="C26" t="s">
        <v>205</v>
      </c>
      <c r="D26" t="s">
        <v>230</v>
      </c>
    </row>
    <row r="27" spans="1:4" x14ac:dyDescent="0.2">
      <c r="A27" t="s">
        <v>186</v>
      </c>
      <c r="B27" t="s">
        <v>185</v>
      </c>
      <c r="C27" t="s">
        <v>205</v>
      </c>
      <c r="D27" t="s">
        <v>231</v>
      </c>
    </row>
    <row r="28" spans="1:4" x14ac:dyDescent="0.2">
      <c r="A28" t="s">
        <v>186</v>
      </c>
      <c r="B28" t="s">
        <v>185</v>
      </c>
      <c r="C28" t="s">
        <v>205</v>
      </c>
      <c r="D28" t="s">
        <v>232</v>
      </c>
    </row>
    <row r="29" spans="1:4" x14ac:dyDescent="0.2">
      <c r="A29" t="s">
        <v>186</v>
      </c>
      <c r="B29" t="s">
        <v>185</v>
      </c>
      <c r="C29" t="s">
        <v>205</v>
      </c>
      <c r="D29" t="s">
        <v>233</v>
      </c>
    </row>
    <row r="30" spans="1:4" x14ac:dyDescent="0.2">
      <c r="A30" t="s">
        <v>93</v>
      </c>
      <c r="B30" t="s">
        <v>92</v>
      </c>
      <c r="C30" t="s">
        <v>205</v>
      </c>
      <c r="D30" t="s">
        <v>234</v>
      </c>
    </row>
    <row r="31" spans="1:4" x14ac:dyDescent="0.2">
      <c r="A31" t="s">
        <v>154</v>
      </c>
      <c r="B31" t="s">
        <v>153</v>
      </c>
      <c r="C31" t="s">
        <v>205</v>
      </c>
      <c r="D31" t="s">
        <v>235</v>
      </c>
    </row>
    <row r="32" spans="1:4" x14ac:dyDescent="0.2">
      <c r="A32" t="s">
        <v>154</v>
      </c>
      <c r="B32" t="s">
        <v>153</v>
      </c>
      <c r="C32" t="s">
        <v>205</v>
      </c>
      <c r="D32" t="s">
        <v>236</v>
      </c>
    </row>
    <row r="33" spans="1:4" x14ac:dyDescent="0.2">
      <c r="A33" t="s">
        <v>154</v>
      </c>
      <c r="B33" t="s">
        <v>153</v>
      </c>
      <c r="C33" t="s">
        <v>205</v>
      </c>
      <c r="D33" t="s">
        <v>237</v>
      </c>
    </row>
    <row r="34" spans="1:4" x14ac:dyDescent="0.2">
      <c r="A34" t="s">
        <v>200</v>
      </c>
      <c r="B34" t="s">
        <v>199</v>
      </c>
      <c r="C34" t="s">
        <v>205</v>
      </c>
      <c r="D34" t="s">
        <v>238</v>
      </c>
    </row>
    <row r="35" spans="1:4" x14ac:dyDescent="0.2">
      <c r="A35" t="s">
        <v>107</v>
      </c>
      <c r="B35" t="s">
        <v>106</v>
      </c>
      <c r="C35" t="s">
        <v>205</v>
      </c>
      <c r="D35" t="s">
        <v>239</v>
      </c>
    </row>
    <row r="36" spans="1:4" x14ac:dyDescent="0.2">
      <c r="A36" t="s">
        <v>107</v>
      </c>
      <c r="B36" t="s">
        <v>106</v>
      </c>
      <c r="C36" t="s">
        <v>205</v>
      </c>
      <c r="D36" t="s">
        <v>240</v>
      </c>
    </row>
    <row r="37" spans="1:4" x14ac:dyDescent="0.2">
      <c r="A37" t="s">
        <v>83</v>
      </c>
      <c r="B37" t="s">
        <v>82</v>
      </c>
      <c r="C37" t="s">
        <v>205</v>
      </c>
      <c r="D37" t="s">
        <v>241</v>
      </c>
    </row>
    <row r="38" spans="1:4" x14ac:dyDescent="0.2">
      <c r="A38" t="s">
        <v>186</v>
      </c>
      <c r="B38" t="s">
        <v>185</v>
      </c>
      <c r="C38" t="s">
        <v>205</v>
      </c>
      <c r="D38" t="s">
        <v>242</v>
      </c>
    </row>
    <row r="39" spans="1:4" x14ac:dyDescent="0.2">
      <c r="A39" t="s">
        <v>186</v>
      </c>
      <c r="B39" t="s">
        <v>185</v>
      </c>
      <c r="C39" t="s">
        <v>205</v>
      </c>
      <c r="D39" t="s">
        <v>243</v>
      </c>
    </row>
    <row r="40" spans="1:4" x14ac:dyDescent="0.2">
      <c r="A40" t="s">
        <v>93</v>
      </c>
      <c r="B40" t="s">
        <v>92</v>
      </c>
      <c r="C40" t="s">
        <v>205</v>
      </c>
      <c r="D40" t="s">
        <v>244</v>
      </c>
    </row>
    <row r="41" spans="1:4" x14ac:dyDescent="0.2">
      <c r="A41" t="s">
        <v>93</v>
      </c>
      <c r="B41" t="s">
        <v>92</v>
      </c>
      <c r="C41" t="s">
        <v>205</v>
      </c>
      <c r="D41" t="s">
        <v>245</v>
      </c>
    </row>
    <row r="42" spans="1:4" x14ac:dyDescent="0.2">
      <c r="A42" t="s">
        <v>93</v>
      </c>
      <c r="B42" t="s">
        <v>92</v>
      </c>
      <c r="C42" t="s">
        <v>205</v>
      </c>
      <c r="D42" t="s">
        <v>246</v>
      </c>
    </row>
    <row r="43" spans="1:4" x14ac:dyDescent="0.2">
      <c r="A43" t="s">
        <v>93</v>
      </c>
      <c r="B43" t="s">
        <v>92</v>
      </c>
      <c r="C43" t="s">
        <v>205</v>
      </c>
      <c r="D43" t="s">
        <v>247</v>
      </c>
    </row>
    <row r="44" spans="1:4" x14ac:dyDescent="0.2">
      <c r="A44" t="s">
        <v>93</v>
      </c>
      <c r="B44" t="s">
        <v>92</v>
      </c>
      <c r="C44" t="s">
        <v>205</v>
      </c>
      <c r="D44" t="s">
        <v>248</v>
      </c>
    </row>
    <row r="45" spans="1:4" x14ac:dyDescent="0.2">
      <c r="A45" t="s">
        <v>93</v>
      </c>
      <c r="B45" t="s">
        <v>92</v>
      </c>
      <c r="C45" t="s">
        <v>205</v>
      </c>
      <c r="D45" t="s">
        <v>249</v>
      </c>
    </row>
    <row r="46" spans="1:4" x14ac:dyDescent="0.2">
      <c r="A46" t="s">
        <v>93</v>
      </c>
      <c r="B46" t="s">
        <v>92</v>
      </c>
      <c r="C46" t="s">
        <v>205</v>
      </c>
      <c r="D46" t="s">
        <v>250</v>
      </c>
    </row>
    <row r="47" spans="1:4" x14ac:dyDescent="0.2">
      <c r="A47" t="s">
        <v>93</v>
      </c>
      <c r="B47" t="s">
        <v>92</v>
      </c>
      <c r="C47" t="s">
        <v>205</v>
      </c>
      <c r="D47" t="s">
        <v>251</v>
      </c>
    </row>
    <row r="48" spans="1:4" x14ac:dyDescent="0.2">
      <c r="A48" t="s">
        <v>154</v>
      </c>
      <c r="B48" t="s">
        <v>153</v>
      </c>
      <c r="C48" t="s">
        <v>205</v>
      </c>
      <c r="D48" t="s">
        <v>252</v>
      </c>
    </row>
    <row r="49" spans="1:4" x14ac:dyDescent="0.2">
      <c r="A49" t="s">
        <v>154</v>
      </c>
      <c r="B49" t="s">
        <v>153</v>
      </c>
      <c r="C49" t="s">
        <v>205</v>
      </c>
      <c r="D49" t="s">
        <v>253</v>
      </c>
    </row>
    <row r="50" spans="1:4" x14ac:dyDescent="0.2">
      <c r="A50" t="s">
        <v>93</v>
      </c>
      <c r="B50" t="s">
        <v>92</v>
      </c>
      <c r="C50" t="s">
        <v>205</v>
      </c>
      <c r="D50" t="s">
        <v>254</v>
      </c>
    </row>
    <row r="51" spans="1:4" x14ac:dyDescent="0.2">
      <c r="A51" t="s">
        <v>93</v>
      </c>
      <c r="B51" t="s">
        <v>92</v>
      </c>
      <c r="C51" t="s">
        <v>205</v>
      </c>
      <c r="D51" t="s">
        <v>255</v>
      </c>
    </row>
    <row r="52" spans="1:4" x14ac:dyDescent="0.2">
      <c r="A52" t="s">
        <v>154</v>
      </c>
      <c r="B52" t="s">
        <v>153</v>
      </c>
      <c r="C52" t="s">
        <v>205</v>
      </c>
      <c r="D52" t="s">
        <v>256</v>
      </c>
    </row>
    <row r="53" spans="1:4" x14ac:dyDescent="0.2">
      <c r="A53" t="s">
        <v>107</v>
      </c>
      <c r="B53" t="s">
        <v>106</v>
      </c>
      <c r="C53" t="s">
        <v>205</v>
      </c>
      <c r="D53" t="s">
        <v>257</v>
      </c>
    </row>
    <row r="54" spans="1:4" x14ac:dyDescent="0.2">
      <c r="A54" t="s">
        <v>43</v>
      </c>
      <c r="B54" t="s">
        <v>42</v>
      </c>
      <c r="C54" t="s">
        <v>205</v>
      </c>
      <c r="D54" t="s">
        <v>258</v>
      </c>
    </row>
    <row r="55" spans="1:4" x14ac:dyDescent="0.2">
      <c r="A55" t="s">
        <v>43</v>
      </c>
      <c r="B55" t="s">
        <v>42</v>
      </c>
      <c r="C55" t="s">
        <v>205</v>
      </c>
      <c r="D55" t="s">
        <v>259</v>
      </c>
    </row>
    <row r="56" spans="1:4" x14ac:dyDescent="0.2">
      <c r="A56" t="s">
        <v>43</v>
      </c>
      <c r="B56" t="s">
        <v>42</v>
      </c>
      <c r="C56" t="s">
        <v>205</v>
      </c>
      <c r="D56" t="s">
        <v>260</v>
      </c>
    </row>
    <row r="57" spans="1:4" x14ac:dyDescent="0.2">
      <c r="A57" t="s">
        <v>43</v>
      </c>
      <c r="B57" t="s">
        <v>42</v>
      </c>
      <c r="C57" t="s">
        <v>205</v>
      </c>
      <c r="D57" t="s">
        <v>261</v>
      </c>
    </row>
    <row r="58" spans="1:4" x14ac:dyDescent="0.2">
      <c r="A58" t="s">
        <v>43</v>
      </c>
      <c r="B58" t="s">
        <v>42</v>
      </c>
      <c r="C58" t="s">
        <v>205</v>
      </c>
      <c r="D58" t="s">
        <v>262</v>
      </c>
    </row>
    <row r="59" spans="1:4" x14ac:dyDescent="0.2">
      <c r="A59" t="s">
        <v>107</v>
      </c>
      <c r="B59" t="s">
        <v>106</v>
      </c>
      <c r="C59" t="s">
        <v>205</v>
      </c>
      <c r="D59" t="s">
        <v>263</v>
      </c>
    </row>
    <row r="60" spans="1:4" x14ac:dyDescent="0.2">
      <c r="A60" t="s">
        <v>107</v>
      </c>
      <c r="B60" t="s">
        <v>106</v>
      </c>
      <c r="C60" t="s">
        <v>205</v>
      </c>
      <c r="D60" t="s">
        <v>264</v>
      </c>
    </row>
    <row r="61" spans="1:4" x14ac:dyDescent="0.2">
      <c r="A61" t="s">
        <v>192</v>
      </c>
      <c r="B61" t="s">
        <v>191</v>
      </c>
      <c r="C61" t="s">
        <v>205</v>
      </c>
      <c r="D61" t="s">
        <v>265</v>
      </c>
    </row>
    <row r="62" spans="1:4" x14ac:dyDescent="0.2">
      <c r="A62" t="s">
        <v>43</v>
      </c>
      <c r="B62" t="s">
        <v>42</v>
      </c>
      <c r="C62" t="s">
        <v>205</v>
      </c>
      <c r="D62" t="s">
        <v>266</v>
      </c>
    </row>
    <row r="63" spans="1:4" x14ac:dyDescent="0.2">
      <c r="A63" t="s">
        <v>43</v>
      </c>
      <c r="B63" t="s">
        <v>42</v>
      </c>
      <c r="C63" t="s">
        <v>205</v>
      </c>
      <c r="D63" t="s">
        <v>267</v>
      </c>
    </row>
    <row r="64" spans="1:4" x14ac:dyDescent="0.2">
      <c r="A64" t="s">
        <v>196</v>
      </c>
      <c r="B64" t="s">
        <v>195</v>
      </c>
      <c r="C64" t="s">
        <v>205</v>
      </c>
      <c r="D64" t="s">
        <v>268</v>
      </c>
    </row>
    <row r="65" spans="1:4" x14ac:dyDescent="0.2">
      <c r="A65" t="s">
        <v>198</v>
      </c>
      <c r="B65" t="s">
        <v>197</v>
      </c>
      <c r="C65" t="s">
        <v>205</v>
      </c>
      <c r="D65" t="s">
        <v>269</v>
      </c>
    </row>
    <row r="66" spans="1:4" x14ac:dyDescent="0.2">
      <c r="A66" t="s">
        <v>188</v>
      </c>
      <c r="B66" t="s">
        <v>187</v>
      </c>
      <c r="C66" t="s">
        <v>205</v>
      </c>
      <c r="D66" t="s">
        <v>270</v>
      </c>
    </row>
    <row r="67" spans="1:4" x14ac:dyDescent="0.2">
      <c r="A67" t="s">
        <v>188</v>
      </c>
      <c r="B67" t="s">
        <v>187</v>
      </c>
      <c r="C67" t="s">
        <v>205</v>
      </c>
      <c r="D67" t="s">
        <v>271</v>
      </c>
    </row>
    <row r="68" spans="1:4" x14ac:dyDescent="0.2">
      <c r="A68" t="s">
        <v>135</v>
      </c>
      <c r="B68" t="s">
        <v>134</v>
      </c>
      <c r="C68" t="s">
        <v>205</v>
      </c>
      <c r="D68" t="s">
        <v>272</v>
      </c>
    </row>
    <row r="69" spans="1:4" x14ac:dyDescent="0.2">
      <c r="A69" t="s">
        <v>135</v>
      </c>
      <c r="B69" t="s">
        <v>134</v>
      </c>
      <c r="C69" t="s">
        <v>205</v>
      </c>
      <c r="D69" t="s">
        <v>273</v>
      </c>
    </row>
    <row r="70" spans="1:4" x14ac:dyDescent="0.2">
      <c r="A70" t="s">
        <v>194</v>
      </c>
      <c r="B70" t="s">
        <v>193</v>
      </c>
      <c r="C70" t="s">
        <v>205</v>
      </c>
      <c r="D70" t="s">
        <v>274</v>
      </c>
    </row>
    <row r="71" spans="1:4" x14ac:dyDescent="0.2">
      <c r="A71" t="s">
        <v>143</v>
      </c>
      <c r="B71" t="s">
        <v>142</v>
      </c>
      <c r="C71" t="s">
        <v>205</v>
      </c>
      <c r="D71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2025-01-29T19:49:42Z</dcterms:created>
  <dcterms:modified xsi:type="dcterms:W3CDTF">2025-02-07T18:24:58Z</dcterms:modified>
</cp:coreProperties>
</file>