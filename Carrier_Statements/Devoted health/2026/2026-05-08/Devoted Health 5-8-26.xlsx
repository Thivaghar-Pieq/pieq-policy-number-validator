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Devoted health\2026\2026-05-08\"/>
    </mc:Choice>
  </mc:AlternateContent>
  <xr:revisionPtr revIDLastSave="0" documentId="13_ncr:1_{FCD63B6B-67E3-40E1-82D4-649CF2900F8E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11" i="3" l="1"/>
  <c r="D12" i="3"/>
  <c r="D13" i="3"/>
  <c r="D14" i="3"/>
  <c r="D15" i="3"/>
  <c r="D16" i="3"/>
  <c r="D17" i="3"/>
  <c r="D18" i="3"/>
  <c r="D19" i="3"/>
  <c r="D20" i="3"/>
  <c r="D21" i="3"/>
  <c r="D22" i="3"/>
  <c r="D10" i="3"/>
  <c r="D9" i="3"/>
  <c r="D8" i="3"/>
  <c r="D7" i="3"/>
  <c r="D6" i="3"/>
  <c r="D5" i="3"/>
  <c r="D4" i="3"/>
  <c r="D3" i="3"/>
  <c r="D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" i="3"/>
  <c r="S6" i="3"/>
  <c r="S5" i="3"/>
  <c r="S3" i="3"/>
  <c r="S2" i="3"/>
</calcChain>
</file>

<file path=xl/sharedStrings.xml><?xml version="1.0" encoding="utf-8"?>
<sst xmlns="http://schemas.openxmlformats.org/spreadsheetml/2006/main" count="510" uniqueCount="121">
  <si>
    <t>Description</t>
  </si>
  <si>
    <t>Member Count</t>
  </si>
  <si>
    <t>Total</t>
  </si>
  <si>
    <t>Payee</t>
  </si>
  <si>
    <t>Payment Date</t>
  </si>
  <si>
    <t>Credits</t>
  </si>
  <si>
    <t>$2,128.15</t>
  </si>
  <si>
    <t>Main Line Benefits LLC</t>
  </si>
  <si>
    <t>05/08/2026</t>
  </si>
  <si>
    <t>Debits</t>
  </si>
  <si>
    <t>($1,325.37)</t>
  </si>
  <si>
    <t>Miscellaneous</t>
  </si>
  <si>
    <t>$0.00</t>
  </si>
  <si>
    <t>Bonus</t>
  </si>
  <si>
    <t>Sub Total</t>
  </si>
  <si>
    <t>$802.78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</si>
  <si>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</si>
  <si>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</si>
  <si>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</si>
  <si>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</si>
  <si>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</si>
  <si>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</si>
  <si>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</si>
  <si>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</si>
  <si>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</si>
  <si>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</si>
  <si>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</si>
  <si>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</si>
  <si>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</si>
  <si>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</si>
  <si>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</si>
  <si>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</si>
  <si>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</si>
  <si>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</si>
  <si>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</si>
  <si>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</si>
  <si>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</si>
  <si>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</si>
  <si>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</si>
  <si>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</si>
  <si>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21436172</t>
  </si>
  <si>
    <t>Latesha Rose</t>
  </si>
  <si>
    <t>DARFY8</t>
  </si>
  <si>
    <t>3N78KY0WY35</t>
  </si>
  <si>
    <t>REBECCA</t>
  </si>
  <si>
    <t>GARCIA</t>
  </si>
  <si>
    <t>IL</t>
  </si>
  <si>
    <t>12/09/2025</t>
  </si>
  <si>
    <t>01/01/2026</t>
  </si>
  <si>
    <t>04/30/2026</t>
  </si>
  <si>
    <t>H6545</t>
  </si>
  <si>
    <t>NONE</t>
  </si>
  <si>
    <t>Initial - New</t>
  </si>
  <si>
    <t>Jan</t>
  </si>
  <si>
    <t>17094718</t>
  </si>
  <si>
    <t>Greg Hansford</t>
  </si>
  <si>
    <t>DES4F3</t>
  </si>
  <si>
    <t>4PJ0G27EW43</t>
  </si>
  <si>
    <t>MARTIN</t>
  </si>
  <si>
    <t>JACKSON</t>
  </si>
  <si>
    <t>OH</t>
  </si>
  <si>
    <t>12/11/2025</t>
  </si>
  <si>
    <t>H2697</t>
  </si>
  <si>
    <t>MAPD</t>
  </si>
  <si>
    <t>Initial - Not New</t>
  </si>
  <si>
    <t>20212926</t>
  </si>
  <si>
    <t>Jose Torres</t>
  </si>
  <si>
    <t>DWA4HZ</t>
  </si>
  <si>
    <t>2VV5AE4UE70</t>
  </si>
  <si>
    <t>RALPH</t>
  </si>
  <si>
    <t>LOCKE</t>
  </si>
  <si>
    <t>10/22/2025</t>
  </si>
  <si>
    <t>H7151</t>
  </si>
  <si>
    <t>17554531</t>
  </si>
  <si>
    <t>Brittany Oliver</t>
  </si>
  <si>
    <t>D645E6</t>
  </si>
  <si>
    <t>1EK1DE5JX95</t>
  </si>
  <si>
    <t>ANNE</t>
  </si>
  <si>
    <t>IZNER</t>
  </si>
  <si>
    <t>PA</t>
  </si>
  <si>
    <t>04/24/2026</t>
  </si>
  <si>
    <t>05/01/2026</t>
  </si>
  <si>
    <t>H6852</t>
  </si>
  <si>
    <t>May</t>
  </si>
  <si>
    <t>18754354</t>
  </si>
  <si>
    <t>Jacob Yale</t>
  </si>
  <si>
    <t>DE5YYR</t>
  </si>
  <si>
    <t>1Q92QR2NP00</t>
  </si>
  <si>
    <t>TONYA</t>
  </si>
  <si>
    <t>MILAM</t>
  </si>
  <si>
    <t>GA</t>
  </si>
  <si>
    <t>04/20/2026</t>
  </si>
  <si>
    <t>07/01/2026</t>
  </si>
  <si>
    <t>H5453</t>
  </si>
  <si>
    <t>21104854</t>
  </si>
  <si>
    <t>Brian Strohman</t>
  </si>
  <si>
    <t>D3A2GR</t>
  </si>
  <si>
    <t>9YV5ND7DX63</t>
  </si>
  <si>
    <t>SVENNINGSEN</t>
  </si>
  <si>
    <t>H8320</t>
  </si>
  <si>
    <t>9213293</t>
  </si>
  <si>
    <t>Gary Portugal</t>
  </si>
  <si>
    <t>DY64Z4</t>
  </si>
  <si>
    <t>6KY1P83KG23</t>
  </si>
  <si>
    <t>NORMAN</t>
  </si>
  <si>
    <t>VINTON</t>
  </si>
  <si>
    <t>FL</t>
  </si>
  <si>
    <t>H1290</t>
  </si>
  <si>
    <t>DE5AJY</t>
  </si>
  <si>
    <t>5HD3JW2VW88</t>
  </si>
  <si>
    <t>SCOTT</t>
  </si>
  <si>
    <t>WALLACE</t>
  </si>
  <si>
    <t>04/22/2026</t>
  </si>
  <si>
    <t>Main Line Benefits</t>
  </si>
  <si>
    <t>Devoted Health 2026</t>
  </si>
  <si>
    <t>Devoted MAPD Ovr</t>
  </si>
  <si>
    <t>Devoted Health MAPD 2026*</t>
  </si>
  <si>
    <t>[%/$=347][prorate=8/12]</t>
  </si>
  <si>
    <t>[%/$=694][prorate=8/12]</t>
  </si>
  <si>
    <t>[%/$=347][prorate=9/12]</t>
  </si>
  <si>
    <t>[%/$=347][prorate=6/12]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</si>
</sst>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3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8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10</v>
      </c>
      <c r="N2" t="s">
        <v>51</v>
      </c>
      <c r="O2">
        <v>1</v>
      </c>
      <c r="P2" t="s">
        <v>52</v>
      </c>
      <c r="Q2" t="s">
        <v>53</v>
      </c>
      <c r="R2">
        <v>-462.67</v>
      </c>
      <c r="S2">
        <v>-133.34</v>
      </c>
      <c r="T2">
        <v>-596.01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48</v>
      </c>
      <c r="K3" t="s">
        <v>49</v>
      </c>
      <c r="L3" t="s">
        <v>62</v>
      </c>
      <c r="M3">
        <v>10</v>
      </c>
      <c r="N3" t="s">
        <v>63</v>
      </c>
      <c r="O3">
        <v>8</v>
      </c>
      <c r="P3" t="s">
        <v>64</v>
      </c>
      <c r="Q3" t="s">
        <v>53</v>
      </c>
      <c r="R3">
        <v>-231.34</v>
      </c>
      <c r="S3">
        <v>-133.34</v>
      </c>
      <c r="T3">
        <v>-364.68</v>
      </c>
      <c r="U3" t="s">
        <v>7</v>
      </c>
    </row>
    <row r="4" spans="1:22" x14ac:dyDescent="0.25">
      <c r="A4" t="s">
        <v>8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46</v>
      </c>
      <c r="I4" t="s">
        <v>71</v>
      </c>
      <c r="J4" t="s">
        <v>48</v>
      </c>
      <c r="K4" t="s">
        <v>49</v>
      </c>
      <c r="L4" t="s">
        <v>72</v>
      </c>
      <c r="M4">
        <v>3</v>
      </c>
      <c r="N4" t="s">
        <v>63</v>
      </c>
      <c r="O4">
        <v>12</v>
      </c>
      <c r="P4" t="s">
        <v>64</v>
      </c>
      <c r="Q4" t="s">
        <v>53</v>
      </c>
      <c r="R4">
        <v>-231.34</v>
      </c>
      <c r="S4">
        <v>-133.34</v>
      </c>
      <c r="T4">
        <v>-364.68</v>
      </c>
      <c r="U4" t="s">
        <v>7</v>
      </c>
    </row>
    <row r="5" spans="1:22" x14ac:dyDescent="0.25">
      <c r="A5" t="s">
        <v>8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L5" t="s">
        <v>82</v>
      </c>
      <c r="M5">
        <v>13</v>
      </c>
      <c r="O5">
        <v>0</v>
      </c>
      <c r="P5" t="s">
        <v>64</v>
      </c>
      <c r="Q5" t="s">
        <v>83</v>
      </c>
      <c r="R5">
        <v>0</v>
      </c>
      <c r="S5">
        <v>125</v>
      </c>
      <c r="T5">
        <v>125</v>
      </c>
      <c r="U5" t="s">
        <v>7</v>
      </c>
    </row>
    <row r="6" spans="1:22" x14ac:dyDescent="0.25">
      <c r="A6" t="s">
        <v>8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L6" t="s">
        <v>82</v>
      </c>
      <c r="M6">
        <v>13</v>
      </c>
      <c r="O6">
        <v>0</v>
      </c>
      <c r="P6" t="s">
        <v>64</v>
      </c>
      <c r="Q6" t="s">
        <v>83</v>
      </c>
      <c r="R6">
        <v>260.66000000000003</v>
      </c>
      <c r="S6">
        <v>0</v>
      </c>
      <c r="T6">
        <v>260.66000000000003</v>
      </c>
      <c r="U6" t="s">
        <v>7</v>
      </c>
    </row>
    <row r="7" spans="1:22" x14ac:dyDescent="0.25">
      <c r="A7" t="s">
        <v>8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L7" t="s">
        <v>82</v>
      </c>
      <c r="M7">
        <v>13</v>
      </c>
      <c r="O7">
        <v>0</v>
      </c>
      <c r="P7" t="s">
        <v>64</v>
      </c>
      <c r="Q7" t="s">
        <v>83</v>
      </c>
      <c r="R7">
        <v>0</v>
      </c>
      <c r="S7">
        <v>75</v>
      </c>
      <c r="T7">
        <v>75</v>
      </c>
      <c r="U7" t="s">
        <v>7</v>
      </c>
    </row>
    <row r="8" spans="1:22" x14ac:dyDescent="0.25">
      <c r="A8" t="s">
        <v>8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L8" t="s">
        <v>93</v>
      </c>
      <c r="M8">
        <v>1</v>
      </c>
      <c r="O8">
        <v>0</v>
      </c>
      <c r="P8" t="s">
        <v>64</v>
      </c>
      <c r="Q8" t="s">
        <v>83</v>
      </c>
      <c r="R8">
        <v>0</v>
      </c>
      <c r="S8">
        <v>125</v>
      </c>
      <c r="T8">
        <v>125</v>
      </c>
      <c r="U8" t="s">
        <v>7</v>
      </c>
    </row>
    <row r="9" spans="1:22" x14ac:dyDescent="0.25">
      <c r="A9" t="s">
        <v>8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L9" t="s">
        <v>93</v>
      </c>
      <c r="M9">
        <v>1</v>
      </c>
      <c r="O9">
        <v>0</v>
      </c>
      <c r="P9" t="s">
        <v>64</v>
      </c>
      <c r="Q9" t="s">
        <v>83</v>
      </c>
      <c r="R9">
        <v>0</v>
      </c>
      <c r="S9">
        <v>75</v>
      </c>
      <c r="T9">
        <v>75</v>
      </c>
      <c r="U9" t="s">
        <v>7</v>
      </c>
    </row>
    <row r="10" spans="1:22" x14ac:dyDescent="0.25">
      <c r="A10" t="s">
        <v>8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L10" t="s">
        <v>93</v>
      </c>
      <c r="M10">
        <v>1</v>
      </c>
      <c r="O10">
        <v>0</v>
      </c>
      <c r="P10" t="s">
        <v>64</v>
      </c>
      <c r="Q10" t="s">
        <v>83</v>
      </c>
      <c r="R10">
        <v>173.5</v>
      </c>
      <c r="S10">
        <v>0</v>
      </c>
      <c r="T10">
        <v>173.5</v>
      </c>
      <c r="U10" t="s">
        <v>7</v>
      </c>
    </row>
    <row r="11" spans="1:22" x14ac:dyDescent="0.25">
      <c r="A11" t="s">
        <v>8</v>
      </c>
      <c r="B11" t="s">
        <v>94</v>
      </c>
      <c r="C11" t="s">
        <v>95</v>
      </c>
      <c r="D11" t="s">
        <v>96</v>
      </c>
      <c r="E11" t="s">
        <v>97</v>
      </c>
      <c r="F11" t="s">
        <v>44</v>
      </c>
      <c r="G11" t="s">
        <v>98</v>
      </c>
      <c r="H11" t="s">
        <v>46</v>
      </c>
      <c r="I11" t="s">
        <v>80</v>
      </c>
      <c r="J11" t="s">
        <v>81</v>
      </c>
      <c r="L11" t="s">
        <v>99</v>
      </c>
      <c r="M11">
        <v>3</v>
      </c>
      <c r="O11">
        <v>0</v>
      </c>
      <c r="P11" t="s">
        <v>64</v>
      </c>
      <c r="Q11" t="s">
        <v>83</v>
      </c>
      <c r="R11">
        <v>0</v>
      </c>
      <c r="S11">
        <v>75</v>
      </c>
      <c r="T11">
        <v>75</v>
      </c>
      <c r="U11" t="s">
        <v>7</v>
      </c>
    </row>
    <row r="12" spans="1:22" x14ac:dyDescent="0.25">
      <c r="A12" t="s">
        <v>8</v>
      </c>
      <c r="B12" t="s">
        <v>94</v>
      </c>
      <c r="C12" t="s">
        <v>95</v>
      </c>
      <c r="D12" t="s">
        <v>96</v>
      </c>
      <c r="E12" t="s">
        <v>97</v>
      </c>
      <c r="F12" t="s">
        <v>44</v>
      </c>
      <c r="G12" t="s">
        <v>98</v>
      </c>
      <c r="H12" t="s">
        <v>46</v>
      </c>
      <c r="I12" t="s">
        <v>80</v>
      </c>
      <c r="J12" t="s">
        <v>81</v>
      </c>
      <c r="L12" t="s">
        <v>99</v>
      </c>
      <c r="M12">
        <v>3</v>
      </c>
      <c r="O12">
        <v>0</v>
      </c>
      <c r="P12" t="s">
        <v>64</v>
      </c>
      <c r="Q12" t="s">
        <v>83</v>
      </c>
      <c r="R12">
        <v>0</v>
      </c>
      <c r="S12">
        <v>125</v>
      </c>
      <c r="T12">
        <v>125</v>
      </c>
      <c r="U12" t="s">
        <v>7</v>
      </c>
    </row>
    <row r="13" spans="1:22" x14ac:dyDescent="0.25">
      <c r="A13" t="s">
        <v>8</v>
      </c>
      <c r="B13" t="s">
        <v>94</v>
      </c>
      <c r="C13" t="s">
        <v>95</v>
      </c>
      <c r="D13" t="s">
        <v>96</v>
      </c>
      <c r="E13" t="s">
        <v>97</v>
      </c>
      <c r="F13" t="s">
        <v>44</v>
      </c>
      <c r="G13" t="s">
        <v>98</v>
      </c>
      <c r="H13" t="s">
        <v>46</v>
      </c>
      <c r="I13" t="s">
        <v>80</v>
      </c>
      <c r="J13" t="s">
        <v>81</v>
      </c>
      <c r="L13" t="s">
        <v>99</v>
      </c>
      <c r="M13">
        <v>3</v>
      </c>
      <c r="O13">
        <v>0</v>
      </c>
      <c r="P13" t="s">
        <v>64</v>
      </c>
      <c r="Q13" t="s">
        <v>83</v>
      </c>
      <c r="R13">
        <v>231.33</v>
      </c>
      <c r="S13">
        <v>0</v>
      </c>
      <c r="T13">
        <v>231.33</v>
      </c>
      <c r="U13" t="s">
        <v>7</v>
      </c>
    </row>
    <row r="14" spans="1:22" x14ac:dyDescent="0.25">
      <c r="A14" t="s">
        <v>8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91</v>
      </c>
      <c r="J14" t="s">
        <v>81</v>
      </c>
      <c r="L14" t="s">
        <v>107</v>
      </c>
      <c r="M14">
        <v>32</v>
      </c>
      <c r="O14">
        <v>0</v>
      </c>
      <c r="P14" t="s">
        <v>64</v>
      </c>
      <c r="Q14" t="s">
        <v>83</v>
      </c>
      <c r="R14">
        <v>0</v>
      </c>
      <c r="S14">
        <v>125</v>
      </c>
      <c r="T14">
        <v>125</v>
      </c>
      <c r="U14" t="s">
        <v>7</v>
      </c>
    </row>
    <row r="15" spans="1:22" x14ac:dyDescent="0.25">
      <c r="A15" t="s">
        <v>8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I15" t="s">
        <v>91</v>
      </c>
      <c r="J15" t="s">
        <v>81</v>
      </c>
      <c r="L15" t="s">
        <v>107</v>
      </c>
      <c r="M15">
        <v>32</v>
      </c>
      <c r="O15">
        <v>0</v>
      </c>
      <c r="P15" t="s">
        <v>64</v>
      </c>
      <c r="Q15" t="s">
        <v>83</v>
      </c>
      <c r="R15">
        <v>0</v>
      </c>
      <c r="S15">
        <v>75</v>
      </c>
      <c r="T15">
        <v>75</v>
      </c>
      <c r="U15" t="s">
        <v>7</v>
      </c>
    </row>
    <row r="16" spans="1:22" x14ac:dyDescent="0.25">
      <c r="A16" t="s">
        <v>8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91</v>
      </c>
      <c r="J16" t="s">
        <v>81</v>
      </c>
      <c r="L16" t="s">
        <v>107</v>
      </c>
      <c r="M16">
        <v>32</v>
      </c>
      <c r="O16">
        <v>0</v>
      </c>
      <c r="P16" t="s">
        <v>64</v>
      </c>
      <c r="Q16" t="s">
        <v>83</v>
      </c>
      <c r="R16">
        <v>231.33</v>
      </c>
      <c r="S16">
        <v>0</v>
      </c>
      <c r="T16">
        <v>231.33</v>
      </c>
      <c r="U16" t="s">
        <v>7</v>
      </c>
    </row>
    <row r="17" spans="1:21" x14ac:dyDescent="0.25">
      <c r="A17" t="s">
        <v>8</v>
      </c>
      <c r="B17" t="s">
        <v>84</v>
      </c>
      <c r="C17" t="s">
        <v>85</v>
      </c>
      <c r="D17" t="s">
        <v>108</v>
      </c>
      <c r="E17" t="s">
        <v>109</v>
      </c>
      <c r="F17" t="s">
        <v>110</v>
      </c>
      <c r="G17" t="s">
        <v>111</v>
      </c>
      <c r="H17" t="s">
        <v>46</v>
      </c>
      <c r="I17" t="s">
        <v>112</v>
      </c>
      <c r="J17" t="s">
        <v>81</v>
      </c>
      <c r="L17" t="s">
        <v>72</v>
      </c>
      <c r="M17">
        <v>5</v>
      </c>
      <c r="O17">
        <v>0</v>
      </c>
      <c r="P17" t="s">
        <v>64</v>
      </c>
      <c r="Q17" t="s">
        <v>83</v>
      </c>
      <c r="R17">
        <v>0</v>
      </c>
      <c r="S17">
        <v>75</v>
      </c>
      <c r="T17">
        <v>75</v>
      </c>
      <c r="U17" t="s">
        <v>7</v>
      </c>
    </row>
    <row r="18" spans="1:21" x14ac:dyDescent="0.25">
      <c r="A18" t="s">
        <v>8</v>
      </c>
      <c r="B18" t="s">
        <v>84</v>
      </c>
      <c r="C18" t="s">
        <v>85</v>
      </c>
      <c r="D18" t="s">
        <v>108</v>
      </c>
      <c r="E18" t="s">
        <v>109</v>
      </c>
      <c r="F18" t="s">
        <v>110</v>
      </c>
      <c r="G18" t="s">
        <v>111</v>
      </c>
      <c r="H18" t="s">
        <v>46</v>
      </c>
      <c r="I18" t="s">
        <v>112</v>
      </c>
      <c r="J18" t="s">
        <v>81</v>
      </c>
      <c r="L18" t="s">
        <v>72</v>
      </c>
      <c r="M18">
        <v>5</v>
      </c>
      <c r="O18">
        <v>0</v>
      </c>
      <c r="P18" t="s">
        <v>64</v>
      </c>
      <c r="Q18" t="s">
        <v>83</v>
      </c>
      <c r="R18">
        <v>231.33</v>
      </c>
      <c r="S18">
        <v>0</v>
      </c>
      <c r="T18">
        <v>231.33</v>
      </c>
      <c r="U18" t="s">
        <v>7</v>
      </c>
    </row>
    <row r="19" spans="1:21" x14ac:dyDescent="0.25">
      <c r="A19" t="s">
        <v>8</v>
      </c>
      <c r="B19" t="s">
        <v>84</v>
      </c>
      <c r="C19" t="s">
        <v>85</v>
      </c>
      <c r="D19" t="s">
        <v>108</v>
      </c>
      <c r="E19" t="s">
        <v>109</v>
      </c>
      <c r="F19" t="s">
        <v>110</v>
      </c>
      <c r="G19" t="s">
        <v>111</v>
      </c>
      <c r="H19" t="s">
        <v>46</v>
      </c>
      <c r="I19" t="s">
        <v>112</v>
      </c>
      <c r="J19" t="s">
        <v>81</v>
      </c>
      <c r="L19" t="s">
        <v>72</v>
      </c>
      <c r="M19">
        <v>5</v>
      </c>
      <c r="O19">
        <v>0</v>
      </c>
      <c r="P19" t="s">
        <v>64</v>
      </c>
      <c r="Q19" t="s">
        <v>83</v>
      </c>
      <c r="R19">
        <v>0</v>
      </c>
      <c r="S19">
        <v>125</v>
      </c>
      <c r="T19">
        <v>125</v>
      </c>
      <c r="U19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246C-186C-4AC3-8F12-7F2A63569589}">
  <dimension ref="A1:S22"/>
  <sheetViews>
    <sheetView tabSelected="1" workbookViewId="0">
      <selection activeCell="Q2" sqref="Q2:Q9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6.7109375" customWidth="1"/>
    <col min="11" max="11" width="6.7109375" customWidth="1"/>
    <col min="12" max="12" width="12.85546875" customWidth="1"/>
    <col min="13" max="13" width="14.5703125" customWidth="1"/>
    <col min="14" max="14" width="14" customWidth="1"/>
    <col min="16" max="16" width="26.7109375" bestFit="1" customWidth="1"/>
    <col min="17" max="17" width="24.140625" bestFit="1" customWidth="1"/>
  </cols>
  <sheetData>
    <row r="1" spans="1:19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9" x14ac:dyDescent="0.25">
      <c r="A2" s="2">
        <v>21436172</v>
      </c>
      <c r="B2" t="s">
        <v>41</v>
      </c>
      <c r="C2" t="s">
        <v>42</v>
      </c>
      <c r="D2" t="str">
        <f>CONCATENATE(C2,9)</f>
        <v>DARFY89</v>
      </c>
      <c r="E2" t="s">
        <v>44</v>
      </c>
      <c r="F2" t="s">
        <v>45</v>
      </c>
      <c r="G2" t="str">
        <f>CONCATENATE(E2," ",F2)</f>
        <v>REBECCA GARCIA</v>
      </c>
      <c r="H2" t="s">
        <v>46</v>
      </c>
      <c r="I2" t="s">
        <v>48</v>
      </c>
      <c r="J2" t="s">
        <v>52</v>
      </c>
      <c r="K2" t="s">
        <v>53</v>
      </c>
      <c r="L2">
        <v>-462.67</v>
      </c>
      <c r="M2">
        <v>-133.34</v>
      </c>
      <c r="N2">
        <v>-596.01</v>
      </c>
      <c r="O2">
        <v>-462.67</v>
      </c>
      <c r="P2" t="s">
        <v>114</v>
      </c>
      <c r="Q2" t="s">
        <v>118</v>
      </c>
      <c r="S2">
        <f>694/12*8</f>
        <v>462.66666666666669</v>
      </c>
    </row>
    <row r="3" spans="1:19" x14ac:dyDescent="0.25">
      <c r="A3" s="2">
        <v>17094718</v>
      </c>
      <c r="B3" t="s">
        <v>55</v>
      </c>
      <c r="C3" t="s">
        <v>56</v>
      </c>
      <c r="D3" t="str">
        <f>CONCATENATE(C3,7)</f>
        <v>DES4F37</v>
      </c>
      <c r="E3" t="s">
        <v>58</v>
      </c>
      <c r="F3" t="s">
        <v>59</v>
      </c>
      <c r="G3" t="str">
        <f t="shared" ref="G3:G22" si="0">CONCATENATE(E3," ",F3)</f>
        <v>MARTIN JACKSON</v>
      </c>
      <c r="H3" t="s">
        <v>60</v>
      </c>
      <c r="I3" t="s">
        <v>48</v>
      </c>
      <c r="J3" t="s">
        <v>64</v>
      </c>
      <c r="K3" t="s">
        <v>53</v>
      </c>
      <c r="L3">
        <v>-231.34</v>
      </c>
      <c r="M3">
        <v>-133.34</v>
      </c>
      <c r="N3">
        <v>-364.68</v>
      </c>
      <c r="O3">
        <v>-231.34</v>
      </c>
      <c r="P3" t="s">
        <v>116</v>
      </c>
      <c r="Q3" t="s">
        <v>117</v>
      </c>
      <c r="S3">
        <f>347/12*8</f>
        <v>231.33333333333334</v>
      </c>
    </row>
    <row r="4" spans="1:19" x14ac:dyDescent="0.25">
      <c r="A4" s="2">
        <v>20212926</v>
      </c>
      <c r="B4" t="s">
        <v>66</v>
      </c>
      <c r="C4" t="s">
        <v>67</v>
      </c>
      <c r="D4" t="str">
        <f t="shared" ref="D4:D9" si="1">CONCATENATE(C4,7)</f>
        <v>DWA4HZ7</v>
      </c>
      <c r="E4" t="s">
        <v>69</v>
      </c>
      <c r="F4" t="s">
        <v>70</v>
      </c>
      <c r="G4" t="str">
        <f t="shared" si="0"/>
        <v>RALPH LOCKE</v>
      </c>
      <c r="H4" t="s">
        <v>46</v>
      </c>
      <c r="I4" t="s">
        <v>48</v>
      </c>
      <c r="J4" t="s">
        <v>64</v>
      </c>
      <c r="K4" t="s">
        <v>53</v>
      </c>
      <c r="L4">
        <v>-231.34</v>
      </c>
      <c r="M4">
        <v>-133.34</v>
      </c>
      <c r="N4">
        <v>-364.68</v>
      </c>
      <c r="O4">
        <v>-231.34</v>
      </c>
      <c r="P4" t="s">
        <v>116</v>
      </c>
      <c r="Q4" t="s">
        <v>117</v>
      </c>
    </row>
    <row r="5" spans="1:19" x14ac:dyDescent="0.25">
      <c r="A5" s="2">
        <v>17554531</v>
      </c>
      <c r="B5" t="s">
        <v>74</v>
      </c>
      <c r="C5" t="s">
        <v>75</v>
      </c>
      <c r="D5" t="str">
        <f t="shared" si="1"/>
        <v>D645E67</v>
      </c>
      <c r="E5" t="s">
        <v>77</v>
      </c>
      <c r="F5" t="s">
        <v>78</v>
      </c>
      <c r="G5" t="str">
        <f t="shared" si="0"/>
        <v>ANNE IZNER</v>
      </c>
      <c r="H5" t="s">
        <v>79</v>
      </c>
      <c r="I5" t="s">
        <v>81</v>
      </c>
      <c r="J5" t="s">
        <v>64</v>
      </c>
      <c r="K5" t="s">
        <v>83</v>
      </c>
      <c r="L5">
        <v>260.66000000000003</v>
      </c>
      <c r="M5">
        <v>0</v>
      </c>
      <c r="N5">
        <v>260.66000000000003</v>
      </c>
      <c r="O5">
        <v>260.66000000000003</v>
      </c>
      <c r="P5" t="s">
        <v>116</v>
      </c>
      <c r="Q5" t="s">
        <v>119</v>
      </c>
      <c r="S5">
        <f>347/12*9</f>
        <v>260.25</v>
      </c>
    </row>
    <row r="6" spans="1:19" x14ac:dyDescent="0.25">
      <c r="A6" s="2">
        <v>18754354</v>
      </c>
      <c r="B6" t="s">
        <v>85</v>
      </c>
      <c r="C6" t="s">
        <v>86</v>
      </c>
      <c r="D6" t="str">
        <f t="shared" si="1"/>
        <v>DE5YYR7</v>
      </c>
      <c r="E6" t="s">
        <v>88</v>
      </c>
      <c r="F6" t="s">
        <v>89</v>
      </c>
      <c r="G6" t="str">
        <f t="shared" si="0"/>
        <v>TONYA MILAM</v>
      </c>
      <c r="H6" t="s">
        <v>90</v>
      </c>
      <c r="I6" t="s">
        <v>92</v>
      </c>
      <c r="J6" t="s">
        <v>64</v>
      </c>
      <c r="K6" t="s">
        <v>83</v>
      </c>
      <c r="L6">
        <v>173.5</v>
      </c>
      <c r="M6">
        <v>0</v>
      </c>
      <c r="N6">
        <v>173.5</v>
      </c>
      <c r="O6">
        <v>173.5</v>
      </c>
      <c r="P6" t="s">
        <v>116</v>
      </c>
      <c r="Q6" t="s">
        <v>120</v>
      </c>
      <c r="S6">
        <f>347/12*6</f>
        <v>173.5</v>
      </c>
    </row>
    <row r="7" spans="1:19" x14ac:dyDescent="0.25">
      <c r="A7" s="2">
        <v>21104854</v>
      </c>
      <c r="B7" t="s">
        <v>95</v>
      </c>
      <c r="C7" t="s">
        <v>96</v>
      </c>
      <c r="D7" t="str">
        <f t="shared" si="1"/>
        <v>D3A2GR7</v>
      </c>
      <c r="E7" t="s">
        <v>44</v>
      </c>
      <c r="F7" t="s">
        <v>98</v>
      </c>
      <c r="G7" t="str">
        <f t="shared" si="0"/>
        <v>REBECCA SVENNINGSEN</v>
      </c>
      <c r="H7" t="s">
        <v>46</v>
      </c>
      <c r="I7" t="s">
        <v>81</v>
      </c>
      <c r="J7" t="s">
        <v>64</v>
      </c>
      <c r="K7" t="s">
        <v>83</v>
      </c>
      <c r="L7">
        <v>231.33</v>
      </c>
      <c r="M7">
        <v>0</v>
      </c>
      <c r="N7">
        <v>231.33</v>
      </c>
      <c r="O7">
        <v>231.33</v>
      </c>
      <c r="P7" t="s">
        <v>116</v>
      </c>
      <c r="Q7" t="s">
        <v>117</v>
      </c>
    </row>
    <row r="8" spans="1:19" x14ac:dyDescent="0.25">
      <c r="A8" s="2">
        <v>9213293</v>
      </c>
      <c r="B8" t="s">
        <v>101</v>
      </c>
      <c r="C8" t="s">
        <v>102</v>
      </c>
      <c r="D8" t="str">
        <f t="shared" si="1"/>
        <v>DY64Z47</v>
      </c>
      <c r="E8" t="s">
        <v>104</v>
      </c>
      <c r="F8" t="s">
        <v>105</v>
      </c>
      <c r="G8" t="str">
        <f t="shared" si="0"/>
        <v>NORMAN VINTON</v>
      </c>
      <c r="H8" t="s">
        <v>106</v>
      </c>
      <c r="I8" t="s">
        <v>81</v>
      </c>
      <c r="J8" t="s">
        <v>64</v>
      </c>
      <c r="K8" t="s">
        <v>83</v>
      </c>
      <c r="L8">
        <v>231.33</v>
      </c>
      <c r="M8">
        <v>0</v>
      </c>
      <c r="N8">
        <v>231.33</v>
      </c>
      <c r="O8">
        <v>231.33</v>
      </c>
      <c r="P8" t="s">
        <v>116</v>
      </c>
      <c r="Q8" t="s">
        <v>117</v>
      </c>
    </row>
    <row r="9" spans="1:19" x14ac:dyDescent="0.25">
      <c r="A9" s="2">
        <v>18754354</v>
      </c>
      <c r="B9" t="s">
        <v>85</v>
      </c>
      <c r="C9" t="s">
        <v>108</v>
      </c>
      <c r="D9" t="str">
        <f t="shared" si="1"/>
        <v>DE5AJY7</v>
      </c>
      <c r="E9" t="s">
        <v>110</v>
      </c>
      <c r="F9" t="s">
        <v>111</v>
      </c>
      <c r="G9" t="str">
        <f t="shared" si="0"/>
        <v>SCOTT WALLACE</v>
      </c>
      <c r="H9" t="s">
        <v>46</v>
      </c>
      <c r="I9" t="s">
        <v>81</v>
      </c>
      <c r="J9" t="s">
        <v>64</v>
      </c>
      <c r="K9" t="s">
        <v>83</v>
      </c>
      <c r="L9">
        <v>231.33</v>
      </c>
      <c r="M9">
        <v>0</v>
      </c>
      <c r="N9">
        <v>231.33</v>
      </c>
      <c r="O9">
        <v>231.33</v>
      </c>
      <c r="P9" t="s">
        <v>116</v>
      </c>
      <c r="Q9" t="s">
        <v>117</v>
      </c>
    </row>
    <row r="10" spans="1:19" s="1" customFormat="1" x14ac:dyDescent="0.25">
      <c r="A10" s="1">
        <v>20411454</v>
      </c>
      <c r="B10" s="1" t="s">
        <v>113</v>
      </c>
      <c r="C10" s="1" t="s">
        <v>42</v>
      </c>
      <c r="D10" s="1" t="str">
        <f>CONCATENATE(C10,"OVR")</f>
        <v>DARFY8OVR</v>
      </c>
      <c r="E10" s="1" t="s">
        <v>44</v>
      </c>
      <c r="F10" s="1" t="s">
        <v>45</v>
      </c>
      <c r="G10" t="str">
        <f t="shared" si="0"/>
        <v>REBECCA GARCIA</v>
      </c>
      <c r="H10" s="1" t="s">
        <v>46</v>
      </c>
      <c r="I10" s="1" t="s">
        <v>48</v>
      </c>
      <c r="J10" s="1" t="s">
        <v>52</v>
      </c>
      <c r="K10" s="1" t="s">
        <v>53</v>
      </c>
      <c r="L10" s="1">
        <v>-462.67</v>
      </c>
      <c r="M10" s="1">
        <v>-133.34</v>
      </c>
      <c r="N10" s="1">
        <v>-596.01</v>
      </c>
      <c r="O10" s="1">
        <v>-133.34</v>
      </c>
      <c r="P10" s="1" t="s">
        <v>115</v>
      </c>
    </row>
    <row r="11" spans="1:19" s="1" customFormat="1" x14ac:dyDescent="0.25">
      <c r="A11" s="1">
        <v>20411454</v>
      </c>
      <c r="B11" s="1" t="s">
        <v>113</v>
      </c>
      <c r="C11" s="1" t="s">
        <v>56</v>
      </c>
      <c r="D11" s="1" t="str">
        <f t="shared" ref="D11:D22" si="2">CONCATENATE(C11,"OVR")</f>
        <v>DES4F3OVR</v>
      </c>
      <c r="E11" s="1" t="s">
        <v>58</v>
      </c>
      <c r="F11" s="1" t="s">
        <v>59</v>
      </c>
      <c r="G11" t="str">
        <f t="shared" si="0"/>
        <v>MARTIN JACKSON</v>
      </c>
      <c r="H11" s="1" t="s">
        <v>60</v>
      </c>
      <c r="I11" s="1" t="s">
        <v>48</v>
      </c>
      <c r="J11" s="1" t="s">
        <v>64</v>
      </c>
      <c r="K11" s="1" t="s">
        <v>53</v>
      </c>
      <c r="L11" s="1">
        <v>-231.34</v>
      </c>
      <c r="M11" s="1">
        <v>-133.34</v>
      </c>
      <c r="N11" s="1">
        <v>-364.68</v>
      </c>
      <c r="O11" s="1">
        <v>-133.34</v>
      </c>
      <c r="P11" s="1" t="s">
        <v>115</v>
      </c>
    </row>
    <row r="12" spans="1:19" s="1" customFormat="1" x14ac:dyDescent="0.25">
      <c r="A12" s="1">
        <v>20411454</v>
      </c>
      <c r="B12" s="1" t="s">
        <v>113</v>
      </c>
      <c r="C12" s="1" t="s">
        <v>67</v>
      </c>
      <c r="D12" s="1" t="str">
        <f t="shared" si="2"/>
        <v>DWA4HZOVR</v>
      </c>
      <c r="E12" s="1" t="s">
        <v>69</v>
      </c>
      <c r="F12" s="1" t="s">
        <v>70</v>
      </c>
      <c r="G12" t="str">
        <f t="shared" si="0"/>
        <v>RALPH LOCKE</v>
      </c>
      <c r="H12" s="1" t="s">
        <v>46</v>
      </c>
      <c r="I12" s="1" t="s">
        <v>48</v>
      </c>
      <c r="J12" s="1" t="s">
        <v>64</v>
      </c>
      <c r="K12" s="1" t="s">
        <v>53</v>
      </c>
      <c r="L12" s="1">
        <v>-231.34</v>
      </c>
      <c r="M12" s="1">
        <v>-133.34</v>
      </c>
      <c r="N12" s="1">
        <v>-364.68</v>
      </c>
      <c r="O12" s="1">
        <v>-133.34</v>
      </c>
      <c r="P12" s="1" t="s">
        <v>115</v>
      </c>
    </row>
    <row r="13" spans="1:19" s="1" customFormat="1" x14ac:dyDescent="0.25">
      <c r="A13" s="1">
        <v>20411454</v>
      </c>
      <c r="B13" s="1" t="s">
        <v>113</v>
      </c>
      <c r="C13" s="1" t="s">
        <v>75</v>
      </c>
      <c r="D13" s="1" t="str">
        <f t="shared" si="2"/>
        <v>D645E6OVR</v>
      </c>
      <c r="E13" s="1" t="s">
        <v>77</v>
      </c>
      <c r="F13" s="1" t="s">
        <v>78</v>
      </c>
      <c r="G13" t="str">
        <f t="shared" si="0"/>
        <v>ANNE IZNER</v>
      </c>
      <c r="H13" s="1" t="s">
        <v>79</v>
      </c>
      <c r="I13" s="1" t="s">
        <v>81</v>
      </c>
      <c r="J13" s="1" t="s">
        <v>64</v>
      </c>
      <c r="K13" s="1" t="s">
        <v>83</v>
      </c>
      <c r="L13" s="1">
        <v>0</v>
      </c>
      <c r="M13" s="1">
        <v>125</v>
      </c>
      <c r="N13" s="1">
        <v>125</v>
      </c>
      <c r="O13" s="1">
        <v>125</v>
      </c>
      <c r="P13" s="1" t="s">
        <v>115</v>
      </c>
    </row>
    <row r="14" spans="1:19" s="1" customFormat="1" x14ac:dyDescent="0.25">
      <c r="A14" s="1">
        <v>20411454</v>
      </c>
      <c r="B14" s="1" t="s">
        <v>113</v>
      </c>
      <c r="C14" s="1" t="s">
        <v>75</v>
      </c>
      <c r="D14" s="1" t="str">
        <f t="shared" si="2"/>
        <v>D645E6OVR</v>
      </c>
      <c r="E14" s="1" t="s">
        <v>77</v>
      </c>
      <c r="F14" s="1" t="s">
        <v>78</v>
      </c>
      <c r="G14" t="str">
        <f t="shared" si="0"/>
        <v>ANNE IZNER</v>
      </c>
      <c r="H14" s="1" t="s">
        <v>79</v>
      </c>
      <c r="I14" s="1" t="s">
        <v>81</v>
      </c>
      <c r="J14" s="1" t="s">
        <v>64</v>
      </c>
      <c r="K14" s="1" t="s">
        <v>83</v>
      </c>
      <c r="L14" s="1">
        <v>0</v>
      </c>
      <c r="M14" s="1">
        <v>75</v>
      </c>
      <c r="N14" s="1">
        <v>75</v>
      </c>
      <c r="O14" s="1">
        <v>75</v>
      </c>
      <c r="P14" s="1" t="s">
        <v>115</v>
      </c>
    </row>
    <row r="15" spans="1:19" s="1" customFormat="1" x14ac:dyDescent="0.25">
      <c r="A15" s="1">
        <v>20411454</v>
      </c>
      <c r="B15" s="1" t="s">
        <v>113</v>
      </c>
      <c r="C15" s="1" t="s">
        <v>86</v>
      </c>
      <c r="D15" s="1" t="str">
        <f t="shared" si="2"/>
        <v>DE5YYROVR</v>
      </c>
      <c r="E15" s="1" t="s">
        <v>88</v>
      </c>
      <c r="F15" s="1" t="s">
        <v>89</v>
      </c>
      <c r="G15" t="str">
        <f t="shared" si="0"/>
        <v>TONYA MILAM</v>
      </c>
      <c r="H15" s="1" t="s">
        <v>90</v>
      </c>
      <c r="I15" s="1" t="s">
        <v>92</v>
      </c>
      <c r="J15" s="1" t="s">
        <v>64</v>
      </c>
      <c r="K15" s="1" t="s">
        <v>83</v>
      </c>
      <c r="L15" s="1">
        <v>0</v>
      </c>
      <c r="M15" s="1">
        <v>125</v>
      </c>
      <c r="N15" s="1">
        <v>125</v>
      </c>
      <c r="O15" s="1">
        <v>125</v>
      </c>
      <c r="P15" s="1" t="s">
        <v>115</v>
      </c>
    </row>
    <row r="16" spans="1:19" s="1" customFormat="1" x14ac:dyDescent="0.25">
      <c r="A16" s="1">
        <v>20411454</v>
      </c>
      <c r="B16" s="1" t="s">
        <v>113</v>
      </c>
      <c r="C16" s="1" t="s">
        <v>86</v>
      </c>
      <c r="D16" s="1" t="str">
        <f t="shared" si="2"/>
        <v>DE5YYROVR</v>
      </c>
      <c r="E16" s="1" t="s">
        <v>88</v>
      </c>
      <c r="F16" s="1" t="s">
        <v>89</v>
      </c>
      <c r="G16" t="str">
        <f t="shared" si="0"/>
        <v>TONYA MILAM</v>
      </c>
      <c r="H16" s="1" t="s">
        <v>90</v>
      </c>
      <c r="I16" s="1" t="s">
        <v>92</v>
      </c>
      <c r="J16" s="1" t="s">
        <v>64</v>
      </c>
      <c r="K16" s="1" t="s">
        <v>83</v>
      </c>
      <c r="L16" s="1">
        <v>0</v>
      </c>
      <c r="M16" s="1">
        <v>75</v>
      </c>
      <c r="N16" s="1">
        <v>75</v>
      </c>
      <c r="O16" s="1">
        <v>75</v>
      </c>
      <c r="P16" s="1" t="s">
        <v>115</v>
      </c>
    </row>
    <row r="17" spans="1:16" s="1" customFormat="1" x14ac:dyDescent="0.25">
      <c r="A17" s="1">
        <v>20411454</v>
      </c>
      <c r="B17" s="1" t="s">
        <v>113</v>
      </c>
      <c r="C17" s="1" t="s">
        <v>96</v>
      </c>
      <c r="D17" s="1" t="str">
        <f t="shared" si="2"/>
        <v>D3A2GROVR</v>
      </c>
      <c r="E17" s="1" t="s">
        <v>44</v>
      </c>
      <c r="F17" s="1" t="s">
        <v>98</v>
      </c>
      <c r="G17" t="str">
        <f t="shared" si="0"/>
        <v>REBECCA SVENNINGSEN</v>
      </c>
      <c r="H17" s="1" t="s">
        <v>46</v>
      </c>
      <c r="I17" s="1" t="s">
        <v>81</v>
      </c>
      <c r="J17" s="1" t="s">
        <v>64</v>
      </c>
      <c r="K17" s="1" t="s">
        <v>83</v>
      </c>
      <c r="L17" s="1">
        <v>0</v>
      </c>
      <c r="M17" s="1">
        <v>75</v>
      </c>
      <c r="N17" s="1">
        <v>75</v>
      </c>
      <c r="O17" s="1">
        <v>75</v>
      </c>
      <c r="P17" s="1" t="s">
        <v>115</v>
      </c>
    </row>
    <row r="18" spans="1:16" s="1" customFormat="1" x14ac:dyDescent="0.25">
      <c r="A18" s="1">
        <v>20411454</v>
      </c>
      <c r="B18" s="1" t="s">
        <v>113</v>
      </c>
      <c r="C18" s="1" t="s">
        <v>96</v>
      </c>
      <c r="D18" s="1" t="str">
        <f t="shared" si="2"/>
        <v>D3A2GROVR</v>
      </c>
      <c r="E18" s="1" t="s">
        <v>44</v>
      </c>
      <c r="F18" s="1" t="s">
        <v>98</v>
      </c>
      <c r="G18" t="str">
        <f t="shared" si="0"/>
        <v>REBECCA SVENNINGSEN</v>
      </c>
      <c r="H18" s="1" t="s">
        <v>46</v>
      </c>
      <c r="I18" s="1" t="s">
        <v>81</v>
      </c>
      <c r="J18" s="1" t="s">
        <v>64</v>
      </c>
      <c r="K18" s="1" t="s">
        <v>83</v>
      </c>
      <c r="L18" s="1">
        <v>0</v>
      </c>
      <c r="M18" s="1">
        <v>125</v>
      </c>
      <c r="N18" s="1">
        <v>125</v>
      </c>
      <c r="O18" s="1">
        <v>125</v>
      </c>
      <c r="P18" s="1" t="s">
        <v>115</v>
      </c>
    </row>
    <row r="19" spans="1:16" s="1" customFormat="1" x14ac:dyDescent="0.25">
      <c r="A19" s="1">
        <v>20411454</v>
      </c>
      <c r="B19" s="1" t="s">
        <v>113</v>
      </c>
      <c r="C19" s="1" t="s">
        <v>102</v>
      </c>
      <c r="D19" s="1" t="str">
        <f t="shared" si="2"/>
        <v>DY64Z4OVR</v>
      </c>
      <c r="E19" s="1" t="s">
        <v>104</v>
      </c>
      <c r="F19" s="1" t="s">
        <v>105</v>
      </c>
      <c r="G19" t="str">
        <f t="shared" si="0"/>
        <v>NORMAN VINTON</v>
      </c>
      <c r="H19" s="1" t="s">
        <v>106</v>
      </c>
      <c r="I19" s="1" t="s">
        <v>81</v>
      </c>
      <c r="J19" s="1" t="s">
        <v>64</v>
      </c>
      <c r="K19" s="1" t="s">
        <v>83</v>
      </c>
      <c r="L19" s="1">
        <v>0</v>
      </c>
      <c r="M19" s="1">
        <v>125</v>
      </c>
      <c r="N19" s="1">
        <v>125</v>
      </c>
      <c r="O19" s="1">
        <v>125</v>
      </c>
      <c r="P19" s="1" t="s">
        <v>115</v>
      </c>
    </row>
    <row r="20" spans="1:16" s="1" customFormat="1" x14ac:dyDescent="0.25">
      <c r="A20" s="1">
        <v>20411454</v>
      </c>
      <c r="B20" s="1" t="s">
        <v>113</v>
      </c>
      <c r="C20" s="1" t="s">
        <v>102</v>
      </c>
      <c r="D20" s="1" t="str">
        <f t="shared" si="2"/>
        <v>DY64Z4OVR</v>
      </c>
      <c r="E20" s="1" t="s">
        <v>104</v>
      </c>
      <c r="F20" s="1" t="s">
        <v>105</v>
      </c>
      <c r="G20" t="str">
        <f t="shared" si="0"/>
        <v>NORMAN VINTON</v>
      </c>
      <c r="H20" s="1" t="s">
        <v>106</v>
      </c>
      <c r="I20" s="1" t="s">
        <v>81</v>
      </c>
      <c r="J20" s="1" t="s">
        <v>64</v>
      </c>
      <c r="K20" s="1" t="s">
        <v>83</v>
      </c>
      <c r="L20" s="1">
        <v>0</v>
      </c>
      <c r="M20" s="1">
        <v>75</v>
      </c>
      <c r="N20" s="1">
        <v>75</v>
      </c>
      <c r="O20" s="1">
        <v>75</v>
      </c>
      <c r="P20" s="1" t="s">
        <v>115</v>
      </c>
    </row>
    <row r="21" spans="1:16" s="1" customFormat="1" x14ac:dyDescent="0.25">
      <c r="A21" s="1">
        <v>20411454</v>
      </c>
      <c r="B21" s="1" t="s">
        <v>113</v>
      </c>
      <c r="C21" s="1" t="s">
        <v>108</v>
      </c>
      <c r="D21" s="1" t="str">
        <f t="shared" si="2"/>
        <v>DE5AJYOVR</v>
      </c>
      <c r="E21" s="1" t="s">
        <v>110</v>
      </c>
      <c r="F21" s="1" t="s">
        <v>111</v>
      </c>
      <c r="G21" t="str">
        <f t="shared" si="0"/>
        <v>SCOTT WALLACE</v>
      </c>
      <c r="H21" s="1" t="s">
        <v>46</v>
      </c>
      <c r="I21" s="1" t="s">
        <v>81</v>
      </c>
      <c r="J21" s="1" t="s">
        <v>64</v>
      </c>
      <c r="K21" s="1" t="s">
        <v>83</v>
      </c>
      <c r="L21" s="1">
        <v>0</v>
      </c>
      <c r="M21" s="1">
        <v>75</v>
      </c>
      <c r="N21" s="1">
        <v>75</v>
      </c>
      <c r="O21" s="1">
        <v>75</v>
      </c>
      <c r="P21" s="1" t="s">
        <v>115</v>
      </c>
    </row>
    <row r="22" spans="1:16" s="1" customFormat="1" x14ac:dyDescent="0.25">
      <c r="A22" s="1">
        <v>20411454</v>
      </c>
      <c r="B22" s="1" t="s">
        <v>113</v>
      </c>
      <c r="C22" s="1" t="s">
        <v>108</v>
      </c>
      <c r="D22" s="1" t="str">
        <f t="shared" si="2"/>
        <v>DE5AJYOVR</v>
      </c>
      <c r="E22" s="1" t="s">
        <v>110</v>
      </c>
      <c r="F22" s="1" t="s">
        <v>111</v>
      </c>
      <c r="G22" t="str">
        <f t="shared" si="0"/>
        <v>SCOTT WALLACE</v>
      </c>
      <c r="H22" s="1" t="s">
        <v>46</v>
      </c>
      <c r="I22" s="1" t="s">
        <v>81</v>
      </c>
      <c r="J22" s="1" t="s">
        <v>64</v>
      </c>
      <c r="K22" s="1" t="s">
        <v>83</v>
      </c>
      <c r="L22" s="1">
        <v>0</v>
      </c>
      <c r="M22" s="1">
        <v>125</v>
      </c>
      <c r="N22" s="1">
        <v>125</v>
      </c>
      <c r="O22" s="1">
        <v>125</v>
      </c>
      <c r="P22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2026-05-11T07:19:38Z</dcterms:created>
  <dcterms:modified xsi:type="dcterms:W3CDTF">2026-05-12T20:18:16Z</dcterms:modified>
</cp:coreProperties>
</file>