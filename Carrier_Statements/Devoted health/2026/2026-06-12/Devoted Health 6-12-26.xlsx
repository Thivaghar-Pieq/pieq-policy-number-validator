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Devoted health\2026\2026-06-12\"/>
    </mc:Choice>
  </mc:AlternateContent>
  <xr:revisionPtr revIDLastSave="0" documentId="13_ncr:1_{5870B395-24B5-40D8-8437-E2BC0474059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Detail" sheetId="2" r:id="rId2"/>
    <sheet name="Sheet1" sheetId="3" r:id="rId3"/>
  </sheets>
  <definedNames>
    <definedName name="_xlnm._FilterDatabase" localSheetId="2" hidden="1">Sheet1!$A$1:$P$1006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N2NPu4rW3fHB7npNXcwuC+JTB704GOWbTsSfEGrkCpI="/>
    </ext>
  </extLst>
</workbook>
</file>

<file path=xl/calcChain.xml><?xml version="1.0" encoding="utf-8"?>
<calcChain xmlns="http://schemas.openxmlformats.org/spreadsheetml/2006/main">
  <c r="D40" i="3" l="1"/>
  <c r="D41" i="3"/>
  <c r="D42" i="3"/>
  <c r="D43" i="3"/>
  <c r="D44" i="3"/>
  <c r="D45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V21" i="3"/>
  <c r="V20" i="3"/>
  <c r="V38" i="3"/>
  <c r="V35" i="3"/>
  <c r="V26" i="3"/>
  <c r="V25" i="3"/>
  <c r="G19" i="3"/>
  <c r="G18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U23" i="3"/>
  <c r="G22" i="3"/>
  <c r="G35" i="3"/>
  <c r="G25" i="3"/>
  <c r="G26" i="3"/>
  <c r="G38" i="3"/>
  <c r="G36" i="3"/>
  <c r="G20" i="3"/>
  <c r="G27" i="3"/>
  <c r="G28" i="3"/>
  <c r="G24" i="3"/>
  <c r="G29" i="3"/>
  <c r="G21" i="3"/>
  <c r="G30" i="3"/>
  <c r="G31" i="3"/>
  <c r="G32" i="3"/>
  <c r="G33" i="3"/>
  <c r="G34" i="3"/>
  <c r="G37" i="3"/>
  <c r="G16" i="3"/>
  <c r="G17" i="3"/>
  <c r="G39" i="3"/>
  <c r="G40" i="3"/>
  <c r="G41" i="3"/>
  <c r="G42" i="3"/>
  <c r="G43" i="3"/>
  <c r="G44" i="3"/>
  <c r="G45" i="3"/>
  <c r="G23" i="3"/>
</calcChain>
</file>

<file path=xl/sharedStrings.xml><?xml version="1.0" encoding="utf-8"?>
<sst xmlns="http://schemas.openxmlformats.org/spreadsheetml/2006/main" count="911" uniqueCount="209">
  <si>
    <t>Description</t>
  </si>
  <si>
    <t>Member Count</t>
  </si>
  <si>
    <t>Total</t>
  </si>
  <si>
    <t>Payee</t>
  </si>
  <si>
    <t>Payment Date</t>
  </si>
  <si>
    <t>Credits</t>
  </si>
  <si>
    <t>$10,159.33</t>
  </si>
  <si>
    <t>Main Line Benefits LLC</t>
  </si>
  <si>
    <t>06/12/2026</t>
  </si>
  <si>
    <t>Debits</t>
  </si>
  <si>
    <t>($779.34)</t>
  </si>
  <si>
    <t>Miscellaneous</t>
  </si>
  <si>
    <t>$0.00</t>
  </si>
  <si>
    <t>Bonus</t>
  </si>
  <si>
    <t>Sub Total</t>
  </si>
  <si>
    <t>$9,379.99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</si>
  <si>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</si>
  <si>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</si>
  <si>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</si>
  <si>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</si>
  <si>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</si>
  <si>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</si>
  <si>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</si>
  <si>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</si>
  <si>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</si>
  <si>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</si>
  <si>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</si>
  <si>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</si>
  <si>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</si>
  <si>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</si>
  <si>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</si>
  <si>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</si>
  <si>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</si>
  <si>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</si>
  <si>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</si>
  <si>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</si>
  <si>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</si>
  <si>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</si>
  <si>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</si>
  <si>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</si>
  <si>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8325282</t>
  </si>
  <si>
    <t>Dale Walenga</t>
  </si>
  <si>
    <t>DJCG22</t>
  </si>
  <si>
    <t>2KV4M18WJ62</t>
  </si>
  <si>
    <t>GLORIA</t>
  </si>
  <si>
    <t>SMITH</t>
  </si>
  <si>
    <t>IL</t>
  </si>
  <si>
    <t>10/15/2025</t>
  </si>
  <si>
    <t>01/01/2026</t>
  </si>
  <si>
    <t>05/31/2026</t>
  </si>
  <si>
    <t>H6545</t>
  </si>
  <si>
    <t>MAPD</t>
  </si>
  <si>
    <t>Initial - Not New</t>
  </si>
  <si>
    <t>Jan</t>
  </si>
  <si>
    <t>17301495</t>
  </si>
  <si>
    <t>Esther Herrera-Larsen</t>
  </si>
  <si>
    <t>DEHCC4</t>
  </si>
  <si>
    <t>7K62GA8AA25</t>
  </si>
  <si>
    <t>PONCIANO</t>
  </si>
  <si>
    <t>GONZALEZ</t>
  </si>
  <si>
    <t>03/31/2026</t>
  </si>
  <si>
    <t>04/01/2026</t>
  </si>
  <si>
    <t>H7151</t>
  </si>
  <si>
    <t>Apr</t>
  </si>
  <si>
    <t>21283956</t>
  </si>
  <si>
    <t>Victor Fuentes</t>
  </si>
  <si>
    <t>DFRHSF</t>
  </si>
  <si>
    <t>6Q28UT4EE64</t>
  </si>
  <si>
    <t>VERN</t>
  </si>
  <si>
    <t>LOHMAN</t>
  </si>
  <si>
    <t>04/29/2026</t>
  </si>
  <si>
    <t>07/01/2026</t>
  </si>
  <si>
    <t>NONE</t>
  </si>
  <si>
    <t>Initial - New</t>
  </si>
  <si>
    <t>May</t>
  </si>
  <si>
    <t>19200754</t>
  </si>
  <si>
    <t>Ricardo Santos</t>
  </si>
  <si>
    <t>DJE9EF</t>
  </si>
  <si>
    <t>6MG4JU0PF88</t>
  </si>
  <si>
    <t>TINA</t>
  </si>
  <si>
    <t>PHILLIPS</t>
  </si>
  <si>
    <t>IN</t>
  </si>
  <si>
    <t>04/30/2026</t>
  </si>
  <si>
    <t>05/01/2026</t>
  </si>
  <si>
    <t>H7471</t>
  </si>
  <si>
    <t>2158366</t>
  </si>
  <si>
    <t>Jeffrey Horn</t>
  </si>
  <si>
    <t>DYFEUA</t>
  </si>
  <si>
    <t>5T26VA6CG75</t>
  </si>
  <si>
    <t>EDGAR</t>
  </si>
  <si>
    <t>CARRERA</t>
  </si>
  <si>
    <t>05/06/2026</t>
  </si>
  <si>
    <t>06/01/2026</t>
  </si>
  <si>
    <t>9213293</t>
  </si>
  <si>
    <t>Gary Portugal</t>
  </si>
  <si>
    <t>D799RE</t>
  </si>
  <si>
    <t>1HR0W10MM31</t>
  </si>
  <si>
    <t>DALE</t>
  </si>
  <si>
    <t>OLKER</t>
  </si>
  <si>
    <t>05/02/2026</t>
  </si>
  <si>
    <t>08/01/2026</t>
  </si>
  <si>
    <t>17094718</t>
  </si>
  <si>
    <t>Greg Hansford</t>
  </si>
  <si>
    <t>DC6U8A</t>
  </si>
  <si>
    <t>1XA6D48NQ51</t>
  </si>
  <si>
    <t>JULIE</t>
  </si>
  <si>
    <t>ROBERTS</t>
  </si>
  <si>
    <t>21618313</t>
  </si>
  <si>
    <t>Mark Roccia</t>
  </si>
  <si>
    <t>DRUUE7</t>
  </si>
  <si>
    <t>2HP9E39AQ22</t>
  </si>
  <si>
    <t>JOANNE</t>
  </si>
  <si>
    <t>BRADLEY</t>
  </si>
  <si>
    <t>PA</t>
  </si>
  <si>
    <t>05/13/2026</t>
  </si>
  <si>
    <t>H6018</t>
  </si>
  <si>
    <t>D75485</t>
  </si>
  <si>
    <t>9VF9KP2QV19</t>
  </si>
  <si>
    <t>JOYCE</t>
  </si>
  <si>
    <t>BROWN</t>
  </si>
  <si>
    <t>05/10/2026</t>
  </si>
  <si>
    <t>16849453</t>
  </si>
  <si>
    <t>Danna Green</t>
  </si>
  <si>
    <t>DACWU9</t>
  </si>
  <si>
    <t>1JC0D43YK90</t>
  </si>
  <si>
    <t>LAURA</t>
  </si>
  <si>
    <t>HAMBY</t>
  </si>
  <si>
    <t>05/11/2026</t>
  </si>
  <si>
    <t>8814784</t>
  </si>
  <si>
    <t>Frank Liskovec</t>
  </si>
  <si>
    <t>D36CA8</t>
  </si>
  <si>
    <t>8TU6Q42RF68</t>
  </si>
  <si>
    <t>PATRICIA</t>
  </si>
  <si>
    <t>LISKOVEC</t>
  </si>
  <si>
    <t>PDP</t>
  </si>
  <si>
    <t>19396223</t>
  </si>
  <si>
    <t>Saadia Abdul</t>
  </si>
  <si>
    <t>DF7J4A</t>
  </si>
  <si>
    <t>4VP0UR2YJ07</t>
  </si>
  <si>
    <t>MOLY</t>
  </si>
  <si>
    <t>POMACKAL</t>
  </si>
  <si>
    <t>DZ2UHR</t>
  </si>
  <si>
    <t>1QW5MT6VD78</t>
  </si>
  <si>
    <t>CHRISTIAN</t>
  </si>
  <si>
    <t>SABATINO</t>
  </si>
  <si>
    <t>DF5URG</t>
  </si>
  <si>
    <t>2AF4CU5YP83</t>
  </si>
  <si>
    <t>RONALD</t>
  </si>
  <si>
    <t>SUMPTER</t>
  </si>
  <si>
    <t>05/14/2026</t>
  </si>
  <si>
    <t>DWFWAG</t>
  </si>
  <si>
    <t>1CW1HW0CN16</t>
  </si>
  <si>
    <t>JOSEPH</t>
  </si>
  <si>
    <t>KNEPPER</t>
  </si>
  <si>
    <t>CO</t>
  </si>
  <si>
    <t>05/19/2026</t>
  </si>
  <si>
    <t>H4808</t>
  </si>
  <si>
    <t>Jun</t>
  </si>
  <si>
    <t>16633294</t>
  </si>
  <si>
    <t>Richard Yale</t>
  </si>
  <si>
    <t>DAWY49</t>
  </si>
  <si>
    <t>4CW9X93CN16</t>
  </si>
  <si>
    <t>RENEE</t>
  </si>
  <si>
    <t>MAIORANA</t>
  </si>
  <si>
    <t>D496ZW</t>
  </si>
  <si>
    <t>6DW8V95CE68</t>
  </si>
  <si>
    <t>SILVIO</t>
  </si>
  <si>
    <t>DU895U</t>
  </si>
  <si>
    <t>3UV6PK1NP46</t>
  </si>
  <si>
    <t>LUKE</t>
  </si>
  <si>
    <t>PLANINIC</t>
  </si>
  <si>
    <t>05/21/2026</t>
  </si>
  <si>
    <t>DWSFJ7</t>
  </si>
  <si>
    <t>5NP4R14TR02</t>
  </si>
  <si>
    <t>DEBORAH</t>
  </si>
  <si>
    <t>TESNOW</t>
  </si>
  <si>
    <t>05/18/2026</t>
  </si>
  <si>
    <t>DEHYRF</t>
  </si>
  <si>
    <t>9TV8DV0XE30</t>
  </si>
  <si>
    <t>TERRY</t>
  </si>
  <si>
    <t>STILES</t>
  </si>
  <si>
    <t>FL</t>
  </si>
  <si>
    <t>05/27/2026</t>
  </si>
  <si>
    <t>H1290</t>
  </si>
  <si>
    <t>D59CS5</t>
  </si>
  <si>
    <t>8PJ1AX3NF29</t>
  </si>
  <si>
    <t>JANE</t>
  </si>
  <si>
    <t>WEBB</t>
  </si>
  <si>
    <t>AL</t>
  </si>
  <si>
    <t>05/28/2026</t>
  </si>
  <si>
    <t>H9888</t>
  </si>
  <si>
    <t>Devoted MAPD Ovr</t>
  </si>
  <si>
    <t>Devoted Health MAPD 2026*</t>
  </si>
  <si>
    <t>[%/$=347][prorate=7/12]</t>
  </si>
  <si>
    <t>Devoted Health 2026</t>
  </si>
  <si>
    <t>[%/$=694]</t>
  </si>
  <si>
    <t>Devoted Health 2026 CT, PA, DC</t>
  </si>
  <si>
    <t>[%/$=781]</t>
  </si>
  <si>
    <t>Devoted Health 2026 CT, PA, DC *</t>
  </si>
  <si>
    <t>[%/$=391][prorate=5/12]</t>
  </si>
  <si>
    <t>[%/$=391][prorate=7/12]</t>
  </si>
  <si>
    <t>[%/$=347][prorate=5/12]</t>
  </si>
  <si>
    <t>[%/$=347][prorate=9/12]</t>
  </si>
  <si>
    <t>Paid to Date</t>
  </si>
  <si>
    <t>[%/$=347][prorate=8/12]</t>
  </si>
  <si>
    <t>[%/$=347][prorate=6/12]</t>
  </si>
  <si>
    <t>8325282OVR</t>
  </si>
  <si>
    <t>17301495OVR</t>
  </si>
  <si>
    <t>17094718OVR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</si>
</sst>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1" fillId="4" borderId="0" xfId="0" applyNumberFormat="1" applyFont="1" applyFill="1" applyAlignment="1">
      <alignment horizontal="left"/>
    </xf>
    <xf numFmtId="0" fontId="1" fillId="4" borderId="0" xfId="0" applyFont="1" applyFill="1" applyAlignment="1">
      <alignment horizontal="left"/>
    </xf>
    <xf numFmtId="14" fontId="1" fillId="4" borderId="0" xfId="0" applyNumberFormat="1" applyFont="1" applyFill="1" applyAlignment="1">
      <alignment horizontal="left"/>
    </xf>
    <xf numFmtId="0" fontId="0" fillId="4" borderId="0" xfId="0" applyFill="1" applyAlignment="1">
      <alignment horizontal="left"/>
    </xf>
    <xf numFmtId="0" fontId="3" fillId="4" borderId="0" xfId="0" applyFont="1" applyFill="1" applyAlignment="1">
      <alignment horizontal="left"/>
    </xf>
    <xf numFmtId="0" fontId="1" fillId="5" borderId="0" xfId="0" applyNumberFormat="1" applyFont="1" applyFill="1" applyAlignment="1">
      <alignment horizontal="left"/>
    </xf>
    <xf numFmtId="0" fontId="1" fillId="5" borderId="0" xfId="0" applyFont="1" applyFill="1" applyAlignment="1">
      <alignment horizontal="left"/>
    </xf>
    <xf numFmtId="14" fontId="1" fillId="5" borderId="0" xfId="0" applyNumberFormat="1" applyFont="1" applyFill="1" applyAlignment="1">
      <alignment horizontal="left"/>
    </xf>
    <xf numFmtId="0" fontId="0" fillId="5" borderId="0" xfId="0" applyFill="1" applyAlignment="1">
      <alignment horizontal="left"/>
    </xf>
    <xf numFmtId="0" fontId="3" fillId="5" borderId="0" xfId="0" applyFont="1" applyFill="1" applyAlignment="1">
      <alignment horizontal="left"/>
    </xf>
    <xf numFmtId="0" fontId="1" fillId="4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14" fontId="1" fillId="4" borderId="1" xfId="0" applyNumberFormat="1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5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4" borderId="0" xfId="0" applyNumberFormat="1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0" fontId="1" fillId="5" borderId="0" xfId="0" applyNumberFormat="1" applyFont="1" applyFill="1" applyBorder="1" applyAlignment="1">
      <alignment horizontal="left"/>
    </xf>
    <xf numFmtId="0" fontId="1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/>
    </xf>
    <xf numFmtId="0" fontId="1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14" fontId="1" fillId="3" borderId="0" xfId="0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14" fontId="1" fillId="4" borderId="0" xfId="0" applyNumberFormat="1" applyFont="1" applyFill="1" applyBorder="1" applyAlignment="1">
      <alignment horizontal="left"/>
    </xf>
    <xf numFmtId="14" fontId="1" fillId="5" borderId="1" xfId="0" applyNumberFormat="1" applyFont="1" applyFill="1" applyBorder="1" applyAlignment="1">
      <alignment horizontal="left"/>
    </xf>
    <xf numFmtId="0" fontId="0" fillId="5" borderId="0" xfId="0" applyFill="1" applyBorder="1" applyAlignment="1">
      <alignment horizontal="left"/>
    </xf>
    <xf numFmtId="0" fontId="0" fillId="4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 x14ac:dyDescent="0.25"/>
  <cols>
    <col min="1" max="1" width="25" customWidth="1"/>
    <col min="2" max="2" width="20" customWidth="1"/>
    <col min="3" max="3" width="15" customWidth="1"/>
    <col min="4" max="4" width="9.42578125" customWidth="1"/>
    <col min="5" max="5" width="25" customWidth="1"/>
    <col min="6" max="6" width="20" customWidth="1"/>
    <col min="7" max="26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 s="1">
        <v>19</v>
      </c>
      <c r="C2" s="1" t="s">
        <v>6</v>
      </c>
      <c r="E2" s="1" t="s">
        <v>7</v>
      </c>
      <c r="F2" s="1" t="s">
        <v>8</v>
      </c>
    </row>
    <row r="3" spans="1:6" x14ac:dyDescent="0.25">
      <c r="A3" s="1" t="s">
        <v>9</v>
      </c>
      <c r="B3" s="1">
        <v>2</v>
      </c>
      <c r="C3" s="1" t="s">
        <v>10</v>
      </c>
    </row>
    <row r="4" spans="1:6" x14ac:dyDescent="0.25">
      <c r="A4" s="1" t="s">
        <v>11</v>
      </c>
      <c r="B4" s="1">
        <v>0</v>
      </c>
      <c r="C4" s="1" t="s">
        <v>12</v>
      </c>
    </row>
    <row r="5" spans="1:6" x14ac:dyDescent="0.25">
      <c r="A5" s="1" t="s">
        <v>13</v>
      </c>
      <c r="C5" s="1" t="s">
        <v>12</v>
      </c>
    </row>
    <row r="6" spans="1:6" x14ac:dyDescent="0.25">
      <c r="A6" s="1" t="s">
        <v>14</v>
      </c>
      <c r="B6" s="1">
        <v>21</v>
      </c>
      <c r="C6" s="1" t="s">
        <v>15</v>
      </c>
    </row>
    <row r="7" spans="1:6" x14ac:dyDescent="0.25">
      <c r="A7" s="1" t="s">
        <v>16</v>
      </c>
      <c r="C7" s="1" t="s">
        <v>12</v>
      </c>
    </row>
    <row r="8" spans="1:6" x14ac:dyDescent="0.25">
      <c r="A8" s="1" t="s">
        <v>17</v>
      </c>
      <c r="C8" s="1" t="s">
        <v>15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8749999999999998" right="0.78749999999999998" top="1.05277777777778" bottom="1.05277777777778" header="0" footer="0"/>
  <pageSetup scale="0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1"/>
  <sheetViews>
    <sheetView topLeftCell="D1" workbookViewId="0">
      <selection activeCell="T1" sqref="T1:T1048576"/>
    </sheetView>
  </sheetViews>
  <sheetFormatPr defaultColWidth="14.42578125" defaultRowHeight="15" customHeight="1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 customWidth="1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  <col min="23" max="26" width="8.7109375" customWidth="1"/>
  </cols>
  <sheetData>
    <row r="1" spans="1:26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</row>
    <row r="2" spans="1:26" x14ac:dyDescent="0.25">
      <c r="A2" s="1" t="s">
        <v>8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10</v>
      </c>
      <c r="N2" s="1" t="s">
        <v>51</v>
      </c>
      <c r="O2" s="1">
        <v>8</v>
      </c>
      <c r="P2" s="1" t="s">
        <v>52</v>
      </c>
      <c r="Q2" s="1" t="s">
        <v>53</v>
      </c>
      <c r="R2" s="1">
        <v>-202.42</v>
      </c>
      <c r="S2" s="1">
        <v>-116.67</v>
      </c>
      <c r="T2" s="1">
        <v>-319.08999999999997</v>
      </c>
      <c r="U2" s="1" t="s">
        <v>7</v>
      </c>
    </row>
    <row r="3" spans="1:26" x14ac:dyDescent="0.25">
      <c r="A3" s="1" t="s">
        <v>8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46</v>
      </c>
      <c r="I3" s="1" t="s">
        <v>60</v>
      </c>
      <c r="J3" s="1" t="s">
        <v>61</v>
      </c>
      <c r="K3" s="1" t="s">
        <v>49</v>
      </c>
      <c r="L3" s="1" t="s">
        <v>62</v>
      </c>
      <c r="M3" s="1">
        <v>6</v>
      </c>
      <c r="N3" s="1" t="s">
        <v>51</v>
      </c>
      <c r="O3" s="1">
        <v>7</v>
      </c>
      <c r="P3" s="1" t="s">
        <v>52</v>
      </c>
      <c r="Q3" s="1" t="s">
        <v>63</v>
      </c>
      <c r="R3" s="1">
        <v>0</v>
      </c>
      <c r="S3" s="1">
        <v>-75</v>
      </c>
      <c r="T3" s="1">
        <v>-75</v>
      </c>
      <c r="U3" s="1" t="s">
        <v>7</v>
      </c>
    </row>
    <row r="4" spans="1:26" x14ac:dyDescent="0.25">
      <c r="A4" s="1" t="s">
        <v>8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59</v>
      </c>
      <c r="H4" s="1" t="s">
        <v>46</v>
      </c>
      <c r="I4" s="1" t="s">
        <v>60</v>
      </c>
      <c r="J4" s="1" t="s">
        <v>61</v>
      </c>
      <c r="K4" s="1" t="s">
        <v>49</v>
      </c>
      <c r="L4" s="1" t="s">
        <v>62</v>
      </c>
      <c r="M4" s="1">
        <v>6</v>
      </c>
      <c r="N4" s="1" t="s">
        <v>51</v>
      </c>
      <c r="O4" s="1">
        <v>7</v>
      </c>
      <c r="P4" s="1" t="s">
        <v>52</v>
      </c>
      <c r="Q4" s="1" t="s">
        <v>63</v>
      </c>
      <c r="R4" s="1">
        <v>-260.25</v>
      </c>
      <c r="S4" s="1">
        <v>0</v>
      </c>
      <c r="T4" s="1">
        <v>-260.25</v>
      </c>
      <c r="U4" s="1" t="s">
        <v>7</v>
      </c>
    </row>
    <row r="5" spans="1:26" x14ac:dyDescent="0.25">
      <c r="A5" s="1" t="s">
        <v>8</v>
      </c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46</v>
      </c>
      <c r="I5" s="1" t="s">
        <v>60</v>
      </c>
      <c r="J5" s="1" t="s">
        <v>61</v>
      </c>
      <c r="K5" s="1" t="s">
        <v>49</v>
      </c>
      <c r="L5" s="1" t="s">
        <v>62</v>
      </c>
      <c r="M5" s="1">
        <v>6</v>
      </c>
      <c r="N5" s="1" t="s">
        <v>51</v>
      </c>
      <c r="O5" s="1">
        <v>7</v>
      </c>
      <c r="P5" s="1" t="s">
        <v>52</v>
      </c>
      <c r="Q5" s="1" t="s">
        <v>63</v>
      </c>
      <c r="R5" s="1">
        <v>0</v>
      </c>
      <c r="S5" s="1">
        <v>-125</v>
      </c>
      <c r="T5" s="1">
        <v>-125</v>
      </c>
      <c r="U5" s="1" t="s">
        <v>7</v>
      </c>
    </row>
    <row r="6" spans="1:26" x14ac:dyDescent="0.25">
      <c r="A6" s="1" t="s">
        <v>8</v>
      </c>
      <c r="B6" s="1" t="s">
        <v>64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  <c r="H6" s="1" t="s">
        <v>46</v>
      </c>
      <c r="I6" s="1" t="s">
        <v>70</v>
      </c>
      <c r="J6" s="1" t="s">
        <v>71</v>
      </c>
      <c r="L6" s="1" t="s">
        <v>62</v>
      </c>
      <c r="M6" s="1">
        <v>1</v>
      </c>
      <c r="N6" s="1" t="s">
        <v>72</v>
      </c>
      <c r="O6" s="1">
        <v>-1</v>
      </c>
      <c r="P6" s="1" t="s">
        <v>73</v>
      </c>
      <c r="Q6" s="1" t="s">
        <v>74</v>
      </c>
      <c r="R6" s="1">
        <v>520.5</v>
      </c>
      <c r="S6" s="1">
        <v>0</v>
      </c>
      <c r="T6" s="1">
        <v>520.5</v>
      </c>
      <c r="U6" s="1" t="s">
        <v>7</v>
      </c>
    </row>
    <row r="7" spans="1:26" x14ac:dyDescent="0.25">
      <c r="A7" s="1" t="s">
        <v>8</v>
      </c>
      <c r="B7" s="1" t="s">
        <v>75</v>
      </c>
      <c r="C7" s="1" t="s">
        <v>76</v>
      </c>
      <c r="D7" s="1" t="s">
        <v>77</v>
      </c>
      <c r="E7" s="1" t="s">
        <v>78</v>
      </c>
      <c r="F7" s="1" t="s">
        <v>79</v>
      </c>
      <c r="G7" s="1" t="s">
        <v>80</v>
      </c>
      <c r="H7" s="1" t="s">
        <v>81</v>
      </c>
      <c r="I7" s="1" t="s">
        <v>82</v>
      </c>
      <c r="J7" s="1" t="s">
        <v>83</v>
      </c>
      <c r="L7" s="1" t="s">
        <v>84</v>
      </c>
      <c r="M7" s="1">
        <v>5</v>
      </c>
      <c r="N7" s="1" t="s">
        <v>72</v>
      </c>
      <c r="O7" s="1">
        <v>1</v>
      </c>
      <c r="P7" s="1" t="s">
        <v>73</v>
      </c>
      <c r="Q7" s="1" t="s">
        <v>74</v>
      </c>
      <c r="R7" s="1">
        <v>462.67</v>
      </c>
      <c r="S7" s="1">
        <v>0</v>
      </c>
      <c r="T7" s="1">
        <v>462.67</v>
      </c>
      <c r="U7" s="1" t="s">
        <v>7</v>
      </c>
    </row>
    <row r="8" spans="1:26" x14ac:dyDescent="0.25">
      <c r="A8" s="2" t="s">
        <v>8</v>
      </c>
      <c r="B8" s="2" t="s">
        <v>85</v>
      </c>
      <c r="C8" s="2" t="s">
        <v>86</v>
      </c>
      <c r="D8" s="2" t="s">
        <v>87</v>
      </c>
      <c r="E8" s="2" t="s">
        <v>88</v>
      </c>
      <c r="F8" s="2" t="s">
        <v>89</v>
      </c>
      <c r="G8" s="2" t="s">
        <v>90</v>
      </c>
      <c r="H8" s="2" t="s">
        <v>46</v>
      </c>
      <c r="I8" s="2" t="s">
        <v>91</v>
      </c>
      <c r="J8" s="2" t="s">
        <v>92</v>
      </c>
      <c r="K8" s="3"/>
      <c r="L8" s="2" t="s">
        <v>50</v>
      </c>
      <c r="M8" s="2">
        <v>10</v>
      </c>
      <c r="N8" s="2" t="s">
        <v>72</v>
      </c>
      <c r="O8" s="2">
        <v>1</v>
      </c>
      <c r="P8" s="2" t="s">
        <v>73</v>
      </c>
      <c r="Q8" s="2" t="s">
        <v>74</v>
      </c>
      <c r="R8" s="2">
        <v>491.59</v>
      </c>
      <c r="S8" s="2">
        <v>0</v>
      </c>
      <c r="T8" s="2">
        <v>491.59</v>
      </c>
      <c r="U8" s="2" t="s">
        <v>7</v>
      </c>
      <c r="V8" s="3"/>
      <c r="W8" s="3"/>
      <c r="X8" s="3"/>
      <c r="Y8" s="3"/>
      <c r="Z8" s="3"/>
    </row>
    <row r="9" spans="1:26" x14ac:dyDescent="0.25">
      <c r="A9" s="2" t="s">
        <v>8</v>
      </c>
      <c r="B9" s="2" t="s">
        <v>93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46</v>
      </c>
      <c r="I9" s="2" t="s">
        <v>99</v>
      </c>
      <c r="J9" s="2" t="s">
        <v>100</v>
      </c>
      <c r="K9" s="3"/>
      <c r="L9" s="2" t="s">
        <v>62</v>
      </c>
      <c r="M9" s="2">
        <v>3</v>
      </c>
      <c r="N9" s="2" t="s">
        <v>72</v>
      </c>
      <c r="O9" s="2">
        <v>-1</v>
      </c>
      <c r="P9" s="2" t="s">
        <v>73</v>
      </c>
      <c r="Q9" s="2" t="s">
        <v>74</v>
      </c>
      <c r="R9" s="2">
        <v>549.41999999999996</v>
      </c>
      <c r="S9" s="2">
        <v>0</v>
      </c>
      <c r="T9" s="2">
        <v>549.41999999999996</v>
      </c>
      <c r="U9" s="2" t="s">
        <v>7</v>
      </c>
      <c r="V9" s="3"/>
      <c r="W9" s="3"/>
      <c r="X9" s="3"/>
      <c r="Y9" s="3"/>
      <c r="Z9" s="3"/>
    </row>
    <row r="10" spans="1:26" x14ac:dyDescent="0.25">
      <c r="A10" s="1" t="s">
        <v>8</v>
      </c>
      <c r="B10" s="1" t="s">
        <v>101</v>
      </c>
      <c r="C10" s="1" t="s">
        <v>102</v>
      </c>
      <c r="D10" s="1" t="s">
        <v>103</v>
      </c>
      <c r="E10" s="1" t="s">
        <v>104</v>
      </c>
      <c r="F10" s="1" t="s">
        <v>105</v>
      </c>
      <c r="G10" s="1" t="s">
        <v>106</v>
      </c>
      <c r="H10" s="1" t="s">
        <v>46</v>
      </c>
      <c r="I10" s="1" t="s">
        <v>91</v>
      </c>
      <c r="J10" s="1" t="s">
        <v>71</v>
      </c>
      <c r="L10" s="1" t="s">
        <v>62</v>
      </c>
      <c r="M10" s="1">
        <v>3</v>
      </c>
      <c r="N10" s="1" t="s">
        <v>72</v>
      </c>
      <c r="O10" s="1">
        <v>-1</v>
      </c>
      <c r="P10" s="1" t="s">
        <v>73</v>
      </c>
      <c r="Q10" s="1" t="s">
        <v>74</v>
      </c>
      <c r="R10" s="1">
        <v>520.5</v>
      </c>
      <c r="S10" s="1">
        <v>0</v>
      </c>
      <c r="T10" s="1">
        <v>520.5</v>
      </c>
      <c r="U10" s="1" t="s">
        <v>7</v>
      </c>
    </row>
    <row r="11" spans="1:26" x14ac:dyDescent="0.25">
      <c r="A11" s="2" t="s">
        <v>8</v>
      </c>
      <c r="B11" s="2" t="s">
        <v>107</v>
      </c>
      <c r="C11" s="2" t="s">
        <v>108</v>
      </c>
      <c r="D11" s="2" t="s">
        <v>109</v>
      </c>
      <c r="E11" s="2" t="s">
        <v>110</v>
      </c>
      <c r="F11" s="2" t="s">
        <v>111</v>
      </c>
      <c r="G11" s="2" t="s">
        <v>112</v>
      </c>
      <c r="H11" s="2" t="s">
        <v>113</v>
      </c>
      <c r="I11" s="2" t="s">
        <v>114</v>
      </c>
      <c r="J11" s="2" t="s">
        <v>92</v>
      </c>
      <c r="K11" s="3"/>
      <c r="L11" s="2" t="s">
        <v>115</v>
      </c>
      <c r="M11" s="2">
        <v>3</v>
      </c>
      <c r="N11" s="2" t="s">
        <v>72</v>
      </c>
      <c r="O11" s="2">
        <v>1</v>
      </c>
      <c r="P11" s="2" t="s">
        <v>73</v>
      </c>
      <c r="Q11" s="2" t="s">
        <v>74</v>
      </c>
      <c r="R11" s="2">
        <v>552.91999999999996</v>
      </c>
      <c r="S11" s="2">
        <v>0</v>
      </c>
      <c r="T11" s="2">
        <v>552.91999999999996</v>
      </c>
      <c r="U11" s="2" t="s">
        <v>7</v>
      </c>
      <c r="V11" s="3"/>
      <c r="W11" s="3"/>
      <c r="X11" s="3"/>
      <c r="Y11" s="3"/>
      <c r="Z11" s="3"/>
    </row>
    <row r="12" spans="1:26" x14ac:dyDescent="0.25">
      <c r="A12" s="1" t="s">
        <v>8</v>
      </c>
      <c r="B12" s="1" t="s">
        <v>93</v>
      </c>
      <c r="C12" s="1" t="s">
        <v>94</v>
      </c>
      <c r="D12" s="1" t="s">
        <v>116</v>
      </c>
      <c r="E12" s="1" t="s">
        <v>117</v>
      </c>
      <c r="F12" s="1" t="s">
        <v>118</v>
      </c>
      <c r="G12" s="1" t="s">
        <v>119</v>
      </c>
      <c r="H12" s="1" t="s">
        <v>46</v>
      </c>
      <c r="I12" s="1" t="s">
        <v>120</v>
      </c>
      <c r="J12" s="1" t="s">
        <v>92</v>
      </c>
      <c r="L12" s="1" t="s">
        <v>62</v>
      </c>
      <c r="M12" s="1">
        <v>5</v>
      </c>
      <c r="N12" s="1" t="s">
        <v>72</v>
      </c>
      <c r="O12" s="1">
        <v>1</v>
      </c>
      <c r="P12" s="1" t="s">
        <v>73</v>
      </c>
      <c r="Q12" s="1" t="s">
        <v>74</v>
      </c>
      <c r="R12" s="1">
        <v>491.59</v>
      </c>
      <c r="S12" s="1">
        <v>0</v>
      </c>
      <c r="T12" s="1">
        <v>491.59</v>
      </c>
      <c r="U12" s="1" t="s">
        <v>7</v>
      </c>
    </row>
    <row r="13" spans="1:26" x14ac:dyDescent="0.25">
      <c r="A13" s="1" t="s">
        <v>8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126</v>
      </c>
      <c r="H13" s="1" t="s">
        <v>81</v>
      </c>
      <c r="I13" s="1" t="s">
        <v>127</v>
      </c>
      <c r="J13" s="1" t="s">
        <v>92</v>
      </c>
      <c r="L13" s="1" t="s">
        <v>84</v>
      </c>
      <c r="M13" s="1">
        <v>12</v>
      </c>
      <c r="N13" s="1" t="s">
        <v>72</v>
      </c>
      <c r="O13" s="1">
        <v>1</v>
      </c>
      <c r="P13" s="1" t="s">
        <v>73</v>
      </c>
      <c r="Q13" s="1" t="s">
        <v>74</v>
      </c>
      <c r="R13" s="1">
        <v>491.59</v>
      </c>
      <c r="S13" s="1">
        <v>0</v>
      </c>
      <c r="T13" s="1">
        <v>491.59</v>
      </c>
      <c r="U13" s="1" t="s">
        <v>7</v>
      </c>
    </row>
    <row r="14" spans="1:26" x14ac:dyDescent="0.25">
      <c r="A14" s="1" t="s">
        <v>8</v>
      </c>
      <c r="B14" s="1" t="s">
        <v>128</v>
      </c>
      <c r="C14" s="1" t="s">
        <v>129</v>
      </c>
      <c r="D14" s="1" t="s">
        <v>130</v>
      </c>
      <c r="E14" s="1" t="s">
        <v>131</v>
      </c>
      <c r="F14" s="1" t="s">
        <v>132</v>
      </c>
      <c r="G14" s="1" t="s">
        <v>133</v>
      </c>
      <c r="H14" s="1" t="s">
        <v>46</v>
      </c>
      <c r="I14" s="1" t="s">
        <v>114</v>
      </c>
      <c r="J14" s="1" t="s">
        <v>92</v>
      </c>
      <c r="L14" s="1" t="s">
        <v>50</v>
      </c>
      <c r="M14" s="1">
        <v>10</v>
      </c>
      <c r="N14" s="1" t="s">
        <v>134</v>
      </c>
      <c r="O14" s="1">
        <v>1</v>
      </c>
      <c r="P14" s="1" t="s">
        <v>73</v>
      </c>
      <c r="Q14" s="1" t="s">
        <v>74</v>
      </c>
      <c r="R14" s="1">
        <v>202.42</v>
      </c>
      <c r="S14" s="1">
        <v>0</v>
      </c>
      <c r="T14" s="1">
        <v>202.42</v>
      </c>
      <c r="U14" s="1" t="s">
        <v>7</v>
      </c>
    </row>
    <row r="15" spans="1:26" x14ac:dyDescent="0.25">
      <c r="A15" s="1" t="s">
        <v>8</v>
      </c>
      <c r="B15" s="1" t="s">
        <v>135</v>
      </c>
      <c r="C15" s="1" t="s">
        <v>136</v>
      </c>
      <c r="D15" s="1" t="s">
        <v>137</v>
      </c>
      <c r="E15" s="1" t="s">
        <v>138</v>
      </c>
      <c r="F15" s="1" t="s">
        <v>139</v>
      </c>
      <c r="G15" s="1" t="s">
        <v>140</v>
      </c>
      <c r="H15" s="1" t="s">
        <v>46</v>
      </c>
      <c r="I15" s="1" t="s">
        <v>114</v>
      </c>
      <c r="J15" s="1" t="s">
        <v>92</v>
      </c>
      <c r="L15" s="1" t="s">
        <v>50</v>
      </c>
      <c r="M15" s="1">
        <v>10</v>
      </c>
      <c r="N15" s="1" t="s">
        <v>72</v>
      </c>
      <c r="O15" s="1">
        <v>1</v>
      </c>
      <c r="P15" s="1" t="s">
        <v>73</v>
      </c>
      <c r="Q15" s="1" t="s">
        <v>74</v>
      </c>
      <c r="R15" s="1">
        <v>491.59</v>
      </c>
      <c r="S15" s="1">
        <v>0</v>
      </c>
      <c r="T15" s="1">
        <v>491.59</v>
      </c>
      <c r="U15" s="1" t="s">
        <v>7</v>
      </c>
    </row>
    <row r="16" spans="1:26" x14ac:dyDescent="0.25">
      <c r="A16" s="2" t="s">
        <v>8</v>
      </c>
      <c r="B16" s="2" t="s">
        <v>107</v>
      </c>
      <c r="C16" s="2" t="s">
        <v>108</v>
      </c>
      <c r="D16" s="2" t="s">
        <v>141</v>
      </c>
      <c r="E16" s="2" t="s">
        <v>142</v>
      </c>
      <c r="F16" s="2" t="s">
        <v>143</v>
      </c>
      <c r="G16" s="2" t="s">
        <v>144</v>
      </c>
      <c r="H16" s="2" t="s">
        <v>113</v>
      </c>
      <c r="I16" s="2" t="s">
        <v>114</v>
      </c>
      <c r="J16" s="2" t="s">
        <v>100</v>
      </c>
      <c r="K16" s="3"/>
      <c r="L16" s="2" t="s">
        <v>115</v>
      </c>
      <c r="M16" s="2">
        <v>3</v>
      </c>
      <c r="N16" s="2" t="s">
        <v>72</v>
      </c>
      <c r="O16" s="2">
        <v>-1</v>
      </c>
      <c r="P16" s="2" t="s">
        <v>73</v>
      </c>
      <c r="Q16" s="2" t="s">
        <v>74</v>
      </c>
      <c r="R16" s="2">
        <v>618.09</v>
      </c>
      <c r="S16" s="2">
        <v>0</v>
      </c>
      <c r="T16" s="2">
        <v>618.09</v>
      </c>
      <c r="U16" s="2" t="s">
        <v>7</v>
      </c>
      <c r="V16" s="3"/>
      <c r="W16" s="3"/>
      <c r="X16" s="3"/>
      <c r="Y16" s="3"/>
      <c r="Z16" s="3"/>
    </row>
    <row r="17" spans="1:21" x14ac:dyDescent="0.25">
      <c r="A17" s="1" t="s">
        <v>8</v>
      </c>
      <c r="B17" s="1" t="s">
        <v>64</v>
      </c>
      <c r="C17" s="1" t="s">
        <v>65</v>
      </c>
      <c r="D17" s="1" t="s">
        <v>145</v>
      </c>
      <c r="E17" s="1" t="s">
        <v>146</v>
      </c>
      <c r="F17" s="1" t="s">
        <v>147</v>
      </c>
      <c r="G17" s="1" t="s">
        <v>148</v>
      </c>
      <c r="H17" s="1" t="s">
        <v>46</v>
      </c>
      <c r="I17" s="1" t="s">
        <v>149</v>
      </c>
      <c r="J17" s="1" t="s">
        <v>92</v>
      </c>
      <c r="L17" s="1" t="s">
        <v>62</v>
      </c>
      <c r="M17" s="1">
        <v>1</v>
      </c>
      <c r="N17" s="1" t="s">
        <v>72</v>
      </c>
      <c r="O17" s="1">
        <v>1</v>
      </c>
      <c r="P17" s="1" t="s">
        <v>73</v>
      </c>
      <c r="Q17" s="1" t="s">
        <v>74</v>
      </c>
      <c r="R17" s="1">
        <v>491.59</v>
      </c>
      <c r="S17" s="1">
        <v>0</v>
      </c>
      <c r="T17" s="1">
        <v>491.59</v>
      </c>
      <c r="U17" s="1" t="s">
        <v>7</v>
      </c>
    </row>
    <row r="18" spans="1:21" x14ac:dyDescent="0.25">
      <c r="A18" s="1" t="s">
        <v>8</v>
      </c>
      <c r="B18" s="1" t="s">
        <v>135</v>
      </c>
      <c r="C18" s="1" t="s">
        <v>136</v>
      </c>
      <c r="D18" s="1" t="s">
        <v>150</v>
      </c>
      <c r="E18" s="1" t="s">
        <v>151</v>
      </c>
      <c r="F18" s="1" t="s">
        <v>152</v>
      </c>
      <c r="G18" s="1" t="s">
        <v>153</v>
      </c>
      <c r="H18" s="1" t="s">
        <v>154</v>
      </c>
      <c r="I18" s="1" t="s">
        <v>155</v>
      </c>
      <c r="J18" s="1" t="s">
        <v>92</v>
      </c>
      <c r="L18" s="1" t="s">
        <v>156</v>
      </c>
      <c r="M18" s="1">
        <v>2</v>
      </c>
      <c r="N18" s="1" t="s">
        <v>72</v>
      </c>
      <c r="O18" s="1">
        <v>1</v>
      </c>
      <c r="P18" s="1" t="s">
        <v>73</v>
      </c>
      <c r="Q18" s="1" t="s">
        <v>157</v>
      </c>
      <c r="R18" s="1">
        <v>491.59</v>
      </c>
      <c r="S18" s="1">
        <v>0</v>
      </c>
      <c r="T18" s="1">
        <v>491.59</v>
      </c>
      <c r="U18" s="1" t="s">
        <v>7</v>
      </c>
    </row>
    <row r="19" spans="1:21" x14ac:dyDescent="0.25">
      <c r="A19" s="1" t="s">
        <v>8</v>
      </c>
      <c r="B19" s="1" t="s">
        <v>158</v>
      </c>
      <c r="C19" s="1" t="s">
        <v>159</v>
      </c>
      <c r="D19" s="1" t="s">
        <v>160</v>
      </c>
      <c r="E19" s="1" t="s">
        <v>161</v>
      </c>
      <c r="F19" s="1" t="s">
        <v>162</v>
      </c>
      <c r="G19" s="1" t="s">
        <v>163</v>
      </c>
      <c r="H19" s="1" t="s">
        <v>46</v>
      </c>
      <c r="I19" s="1" t="s">
        <v>155</v>
      </c>
      <c r="J19" s="1" t="s">
        <v>92</v>
      </c>
      <c r="L19" s="1" t="s">
        <v>50</v>
      </c>
      <c r="M19" s="1">
        <v>10</v>
      </c>
      <c r="N19" s="1" t="s">
        <v>134</v>
      </c>
      <c r="O19" s="1">
        <v>1</v>
      </c>
      <c r="P19" s="1" t="s">
        <v>73</v>
      </c>
      <c r="Q19" s="1" t="s">
        <v>157</v>
      </c>
      <c r="R19" s="1">
        <v>491.59</v>
      </c>
      <c r="S19" s="1">
        <v>0</v>
      </c>
      <c r="T19" s="1">
        <v>491.59</v>
      </c>
      <c r="U19" s="1" t="s">
        <v>7</v>
      </c>
    </row>
    <row r="20" spans="1:21" x14ac:dyDescent="0.25">
      <c r="A20" s="1" t="s">
        <v>8</v>
      </c>
      <c r="B20" s="1" t="s">
        <v>158</v>
      </c>
      <c r="C20" s="1" t="s">
        <v>159</v>
      </c>
      <c r="D20" s="1" t="s">
        <v>164</v>
      </c>
      <c r="E20" s="1" t="s">
        <v>165</v>
      </c>
      <c r="F20" s="1" t="s">
        <v>166</v>
      </c>
      <c r="G20" s="1" t="s">
        <v>163</v>
      </c>
      <c r="H20" s="1" t="s">
        <v>46</v>
      </c>
      <c r="I20" s="1" t="s">
        <v>155</v>
      </c>
      <c r="J20" s="1" t="s">
        <v>92</v>
      </c>
      <c r="L20" s="1" t="s">
        <v>50</v>
      </c>
      <c r="M20" s="1">
        <v>10</v>
      </c>
      <c r="N20" s="1" t="s">
        <v>134</v>
      </c>
      <c r="O20" s="1">
        <v>1</v>
      </c>
      <c r="P20" s="1" t="s">
        <v>73</v>
      </c>
      <c r="Q20" s="1" t="s">
        <v>157</v>
      </c>
      <c r="R20" s="1">
        <v>491.59</v>
      </c>
      <c r="S20" s="1">
        <v>0</v>
      </c>
      <c r="T20" s="1">
        <v>491.59</v>
      </c>
      <c r="U20" s="1" t="s">
        <v>7</v>
      </c>
    </row>
    <row r="21" spans="1:21" ht="15.75" customHeight="1" x14ac:dyDescent="0.25">
      <c r="A21" s="1" t="s">
        <v>8</v>
      </c>
      <c r="B21" s="1" t="s">
        <v>128</v>
      </c>
      <c r="C21" s="1" t="s">
        <v>129</v>
      </c>
      <c r="D21" s="1" t="s">
        <v>167</v>
      </c>
      <c r="E21" s="1" t="s">
        <v>168</v>
      </c>
      <c r="F21" s="1" t="s">
        <v>169</v>
      </c>
      <c r="G21" s="1" t="s">
        <v>170</v>
      </c>
      <c r="H21" s="1" t="s">
        <v>46</v>
      </c>
      <c r="I21" s="1" t="s">
        <v>171</v>
      </c>
      <c r="J21" s="1" t="s">
        <v>92</v>
      </c>
      <c r="L21" s="1" t="s">
        <v>62</v>
      </c>
      <c r="M21" s="1">
        <v>5</v>
      </c>
      <c r="N21" s="1" t="s">
        <v>72</v>
      </c>
      <c r="O21" s="1">
        <v>1</v>
      </c>
      <c r="P21" s="1" t="s">
        <v>73</v>
      </c>
      <c r="Q21" s="1" t="s">
        <v>157</v>
      </c>
      <c r="R21" s="1">
        <v>491.59</v>
      </c>
      <c r="S21" s="1">
        <v>0</v>
      </c>
      <c r="T21" s="1">
        <v>491.59</v>
      </c>
      <c r="U21" s="1" t="s">
        <v>7</v>
      </c>
    </row>
    <row r="22" spans="1:21" ht="15.75" customHeight="1" x14ac:dyDescent="0.25">
      <c r="A22" s="1" t="s">
        <v>8</v>
      </c>
      <c r="B22" s="1" t="s">
        <v>64</v>
      </c>
      <c r="C22" s="1" t="s">
        <v>65</v>
      </c>
      <c r="D22" s="1" t="s">
        <v>172</v>
      </c>
      <c r="E22" s="1" t="s">
        <v>173</v>
      </c>
      <c r="F22" s="1" t="s">
        <v>174</v>
      </c>
      <c r="G22" s="1" t="s">
        <v>175</v>
      </c>
      <c r="H22" s="1" t="s">
        <v>46</v>
      </c>
      <c r="I22" s="1" t="s">
        <v>176</v>
      </c>
      <c r="J22" s="1" t="s">
        <v>71</v>
      </c>
      <c r="L22" s="1" t="s">
        <v>50</v>
      </c>
      <c r="M22" s="1">
        <v>10</v>
      </c>
      <c r="N22" s="1" t="s">
        <v>72</v>
      </c>
      <c r="O22" s="1">
        <v>-1</v>
      </c>
      <c r="P22" s="1" t="s">
        <v>73</v>
      </c>
      <c r="Q22" s="1" t="s">
        <v>157</v>
      </c>
      <c r="R22" s="1">
        <v>520.5</v>
      </c>
      <c r="S22" s="1">
        <v>0</v>
      </c>
      <c r="T22" s="1">
        <v>520.5</v>
      </c>
      <c r="U22" s="1" t="s">
        <v>7</v>
      </c>
    </row>
    <row r="23" spans="1:21" ht="15.75" customHeight="1" x14ac:dyDescent="0.25">
      <c r="A23" s="1" t="s">
        <v>8</v>
      </c>
      <c r="B23" s="1" t="s">
        <v>101</v>
      </c>
      <c r="C23" s="1" t="s">
        <v>102</v>
      </c>
      <c r="D23" s="1" t="s">
        <v>177</v>
      </c>
      <c r="E23" s="1" t="s">
        <v>178</v>
      </c>
      <c r="F23" s="1" t="s">
        <v>179</v>
      </c>
      <c r="G23" s="1" t="s">
        <v>180</v>
      </c>
      <c r="H23" s="1" t="s">
        <v>181</v>
      </c>
      <c r="I23" s="1" t="s">
        <v>182</v>
      </c>
      <c r="J23" s="1" t="s">
        <v>92</v>
      </c>
      <c r="L23" s="1" t="s">
        <v>183</v>
      </c>
      <c r="M23" s="1">
        <v>64</v>
      </c>
      <c r="N23" s="1" t="s">
        <v>72</v>
      </c>
      <c r="O23" s="1">
        <v>1</v>
      </c>
      <c r="P23" s="1" t="s">
        <v>73</v>
      </c>
      <c r="Q23" s="1" t="s">
        <v>157</v>
      </c>
      <c r="R23" s="1">
        <v>0</v>
      </c>
      <c r="S23" s="1">
        <v>125</v>
      </c>
      <c r="T23" s="1">
        <v>125</v>
      </c>
      <c r="U23" s="1" t="s">
        <v>7</v>
      </c>
    </row>
    <row r="24" spans="1:21" ht="15.75" customHeight="1" x14ac:dyDescent="0.25">
      <c r="A24" s="1" t="s">
        <v>8</v>
      </c>
      <c r="B24" s="1" t="s">
        <v>101</v>
      </c>
      <c r="C24" s="1" t="s">
        <v>102</v>
      </c>
      <c r="D24" s="1" t="s">
        <v>177</v>
      </c>
      <c r="E24" s="1" t="s">
        <v>178</v>
      </c>
      <c r="F24" s="1" t="s">
        <v>179</v>
      </c>
      <c r="G24" s="1" t="s">
        <v>180</v>
      </c>
      <c r="H24" s="1" t="s">
        <v>181</v>
      </c>
      <c r="I24" s="1" t="s">
        <v>182</v>
      </c>
      <c r="J24" s="1" t="s">
        <v>92</v>
      </c>
      <c r="L24" s="1" t="s">
        <v>183</v>
      </c>
      <c r="M24" s="1">
        <v>64</v>
      </c>
      <c r="N24" s="1" t="s">
        <v>72</v>
      </c>
      <c r="O24" s="1">
        <v>1</v>
      </c>
      <c r="P24" s="1" t="s">
        <v>73</v>
      </c>
      <c r="Q24" s="1" t="s">
        <v>157</v>
      </c>
      <c r="R24" s="1">
        <v>694</v>
      </c>
      <c r="S24" s="1">
        <v>0</v>
      </c>
      <c r="T24" s="1">
        <v>694</v>
      </c>
      <c r="U24" s="1" t="s">
        <v>7</v>
      </c>
    </row>
    <row r="25" spans="1:21" ht="15.75" customHeight="1" x14ac:dyDescent="0.25">
      <c r="A25" s="1" t="s">
        <v>8</v>
      </c>
      <c r="B25" s="1" t="s">
        <v>101</v>
      </c>
      <c r="C25" s="1" t="s">
        <v>102</v>
      </c>
      <c r="D25" s="1" t="s">
        <v>177</v>
      </c>
      <c r="E25" s="1" t="s">
        <v>178</v>
      </c>
      <c r="F25" s="1" t="s">
        <v>179</v>
      </c>
      <c r="G25" s="1" t="s">
        <v>180</v>
      </c>
      <c r="H25" s="1" t="s">
        <v>181</v>
      </c>
      <c r="I25" s="1" t="s">
        <v>182</v>
      </c>
      <c r="J25" s="1" t="s">
        <v>92</v>
      </c>
      <c r="L25" s="1" t="s">
        <v>183</v>
      </c>
      <c r="M25" s="1">
        <v>64</v>
      </c>
      <c r="N25" s="1" t="s">
        <v>72</v>
      </c>
      <c r="O25" s="1">
        <v>1</v>
      </c>
      <c r="P25" s="1" t="s">
        <v>73</v>
      </c>
      <c r="Q25" s="1" t="s">
        <v>157</v>
      </c>
      <c r="R25" s="1">
        <v>0</v>
      </c>
      <c r="S25" s="1">
        <v>75</v>
      </c>
      <c r="T25" s="1">
        <v>75</v>
      </c>
      <c r="U25" s="1" t="s">
        <v>7</v>
      </c>
    </row>
    <row r="26" spans="1:21" ht="15.75" customHeight="1" x14ac:dyDescent="0.25">
      <c r="A26" s="1" t="s">
        <v>8</v>
      </c>
      <c r="B26" s="1" t="s">
        <v>101</v>
      </c>
      <c r="C26" s="1" t="s">
        <v>102</v>
      </c>
      <c r="D26" s="1" t="s">
        <v>184</v>
      </c>
      <c r="E26" s="1" t="s">
        <v>185</v>
      </c>
      <c r="F26" s="1" t="s">
        <v>186</v>
      </c>
      <c r="G26" s="1" t="s">
        <v>187</v>
      </c>
      <c r="H26" s="1" t="s">
        <v>188</v>
      </c>
      <c r="I26" s="1" t="s">
        <v>189</v>
      </c>
      <c r="J26" s="1" t="s">
        <v>92</v>
      </c>
      <c r="L26" s="1" t="s">
        <v>190</v>
      </c>
      <c r="M26" s="1">
        <v>1</v>
      </c>
      <c r="N26" s="1" t="s">
        <v>134</v>
      </c>
      <c r="O26" s="1">
        <v>1</v>
      </c>
      <c r="P26" s="1" t="s">
        <v>73</v>
      </c>
      <c r="Q26" s="1" t="s">
        <v>157</v>
      </c>
      <c r="R26" s="1">
        <v>0</v>
      </c>
      <c r="S26" s="1">
        <v>125</v>
      </c>
      <c r="T26" s="1">
        <v>125</v>
      </c>
      <c r="U26" s="1" t="s">
        <v>7</v>
      </c>
    </row>
    <row r="27" spans="1:21" ht="15.75" customHeight="1" x14ac:dyDescent="0.25">
      <c r="A27" s="1" t="s">
        <v>8</v>
      </c>
      <c r="B27" s="1" t="s">
        <v>101</v>
      </c>
      <c r="C27" s="1" t="s">
        <v>102</v>
      </c>
      <c r="D27" s="1" t="s">
        <v>184</v>
      </c>
      <c r="E27" s="1" t="s">
        <v>185</v>
      </c>
      <c r="F27" s="1" t="s">
        <v>186</v>
      </c>
      <c r="G27" s="1" t="s">
        <v>187</v>
      </c>
      <c r="H27" s="1" t="s">
        <v>188</v>
      </c>
      <c r="I27" s="1" t="s">
        <v>189</v>
      </c>
      <c r="J27" s="1" t="s">
        <v>92</v>
      </c>
      <c r="L27" s="1" t="s">
        <v>190</v>
      </c>
      <c r="M27" s="1">
        <v>1</v>
      </c>
      <c r="N27" s="1" t="s">
        <v>134</v>
      </c>
      <c r="O27" s="1">
        <v>1</v>
      </c>
      <c r="P27" s="1" t="s">
        <v>73</v>
      </c>
      <c r="Q27" s="1" t="s">
        <v>157</v>
      </c>
      <c r="R27" s="1">
        <v>0</v>
      </c>
      <c r="S27" s="1">
        <v>75</v>
      </c>
      <c r="T27" s="1">
        <v>75</v>
      </c>
      <c r="U27" s="1" t="s">
        <v>7</v>
      </c>
    </row>
    <row r="28" spans="1:21" ht="15.75" customHeight="1" x14ac:dyDescent="0.25">
      <c r="A28" s="1" t="s">
        <v>8</v>
      </c>
      <c r="B28" s="1" t="s">
        <v>101</v>
      </c>
      <c r="C28" s="1" t="s">
        <v>102</v>
      </c>
      <c r="D28" s="1" t="s">
        <v>184</v>
      </c>
      <c r="E28" s="1" t="s">
        <v>185</v>
      </c>
      <c r="F28" s="1" t="s">
        <v>186</v>
      </c>
      <c r="G28" s="1" t="s">
        <v>187</v>
      </c>
      <c r="H28" s="1" t="s">
        <v>188</v>
      </c>
      <c r="I28" s="1" t="s">
        <v>189</v>
      </c>
      <c r="J28" s="1" t="s">
        <v>92</v>
      </c>
      <c r="L28" s="1" t="s">
        <v>190</v>
      </c>
      <c r="M28" s="1">
        <v>1</v>
      </c>
      <c r="N28" s="1" t="s">
        <v>134</v>
      </c>
      <c r="O28" s="1">
        <v>1</v>
      </c>
      <c r="P28" s="1" t="s">
        <v>73</v>
      </c>
      <c r="Q28" s="1" t="s">
        <v>157</v>
      </c>
      <c r="R28" s="1">
        <v>694</v>
      </c>
      <c r="S28" s="1">
        <v>0</v>
      </c>
      <c r="T28" s="1">
        <v>694</v>
      </c>
      <c r="U28" s="1" t="s">
        <v>7</v>
      </c>
    </row>
    <row r="29" spans="1:21" ht="15.75" customHeight="1" x14ac:dyDescent="0.25"/>
    <row r="30" spans="1:21" ht="15.75" customHeight="1" x14ac:dyDescent="0.25"/>
    <row r="31" spans="1:21" ht="15.75" customHeight="1" x14ac:dyDescent="0.25"/>
    <row r="32" spans="1:21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  <row r="1011" customFormat="1" ht="15" customHeight="1" x14ac:dyDescent="0.25"/>
  </sheetData>
  <pageMargins left="0.78749999999999998" right="0.78749999999999998" top="1.05277777777778" bottom="1.05277777777778" header="0" footer="0"/>
  <pageSetup scale="0" orientation="portrait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001"/>
  <sheetViews>
    <sheetView tabSelected="1" workbookViewId="0">
      <selection activeCell="C31" sqref="C31"/>
    </sheetView>
  </sheetViews>
  <sheetFormatPr defaultColWidth="14.42578125" defaultRowHeight="15" customHeight="1" x14ac:dyDescent="0.25"/>
  <cols>
    <col min="1" max="1" width="12.85546875" style="5" bestFit="1" customWidth="1"/>
    <col min="2" max="4" width="15" style="5" customWidth="1"/>
    <col min="5" max="5" width="9.42578125" style="5" customWidth="1"/>
    <col min="6" max="7" width="12.7109375" style="5" customWidth="1"/>
    <col min="8" max="8" width="5.28515625" style="5" customWidth="1"/>
    <col min="9" max="9" width="13.42578125" style="5" customWidth="1"/>
    <col min="10" max="10" width="12" style="5" customWidth="1"/>
    <col min="11" max="11" width="10.5703125" style="5" customWidth="1"/>
    <col min="12" max="12" width="16.7109375" style="5" customWidth="1"/>
    <col min="13" max="13" width="6.7109375" style="5" customWidth="1"/>
    <col min="14" max="14" width="12.85546875" style="5" customWidth="1"/>
    <col min="15" max="15" width="14.5703125" style="5" customWidth="1"/>
    <col min="16" max="17" width="14" style="5" customWidth="1"/>
    <col min="18" max="18" width="8.7109375" style="5" customWidth="1"/>
    <col min="19" max="19" width="30.85546875" style="5" bestFit="1" customWidth="1"/>
    <col min="20" max="20" width="23.140625" style="5" bestFit="1" customWidth="1"/>
    <col min="21" max="16384" width="14.42578125" style="5"/>
  </cols>
  <sheetData>
    <row r="1" spans="1:22" x14ac:dyDescent="0.25">
      <c r="A1" s="4" t="s">
        <v>19</v>
      </c>
      <c r="B1" s="4" t="s">
        <v>20</v>
      </c>
      <c r="C1" s="4" t="s">
        <v>21</v>
      </c>
      <c r="D1" s="4"/>
      <c r="E1" s="4" t="s">
        <v>23</v>
      </c>
      <c r="F1" s="4" t="s">
        <v>24</v>
      </c>
      <c r="G1" s="4"/>
      <c r="H1" s="4" t="s">
        <v>25</v>
      </c>
      <c r="I1" s="4" t="s">
        <v>27</v>
      </c>
      <c r="J1" s="4" t="s">
        <v>203</v>
      </c>
      <c r="K1" s="4" t="s">
        <v>28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/>
    </row>
    <row r="2" spans="1:22" s="9" customFormat="1" x14ac:dyDescent="0.25">
      <c r="A2" s="11">
        <v>19200754</v>
      </c>
      <c r="B2" s="12" t="s">
        <v>76</v>
      </c>
      <c r="C2" s="12" t="s">
        <v>77</v>
      </c>
      <c r="D2" s="12" t="str">
        <f>CONCATENATE(C2,9)</f>
        <v>DJE9EF9</v>
      </c>
      <c r="E2" s="12" t="s">
        <v>79</v>
      </c>
      <c r="F2" s="12" t="s">
        <v>80</v>
      </c>
      <c r="G2" s="12" t="str">
        <f>CONCATENATE(E2," ",F2)</f>
        <v>TINA PHILLIPS</v>
      </c>
      <c r="H2" s="12" t="s">
        <v>81</v>
      </c>
      <c r="I2" s="12" t="s">
        <v>83</v>
      </c>
      <c r="J2" s="13">
        <v>46387</v>
      </c>
      <c r="K2" s="14"/>
      <c r="L2" s="12" t="s">
        <v>73</v>
      </c>
      <c r="M2" s="12" t="s">
        <v>74</v>
      </c>
      <c r="N2" s="12">
        <v>462.67</v>
      </c>
      <c r="O2" s="12">
        <v>0</v>
      </c>
      <c r="P2" s="12">
        <v>462.67</v>
      </c>
      <c r="Q2" s="12">
        <v>1</v>
      </c>
      <c r="R2" s="12">
        <v>694</v>
      </c>
      <c r="S2" s="14" t="s">
        <v>194</v>
      </c>
      <c r="T2" s="15" t="s">
        <v>195</v>
      </c>
      <c r="U2" s="12">
        <v>231.33</v>
      </c>
      <c r="V2" s="14"/>
    </row>
    <row r="3" spans="1:22" s="9" customFormat="1" x14ac:dyDescent="0.25">
      <c r="A3" s="27">
        <v>2158366</v>
      </c>
      <c r="B3" s="28" t="s">
        <v>86</v>
      </c>
      <c r="C3" s="28" t="s">
        <v>87</v>
      </c>
      <c r="D3" s="12" t="str">
        <f t="shared" ref="D3:D19" si="0">CONCATENATE(C3,9)</f>
        <v>DYFEUA9</v>
      </c>
      <c r="E3" s="28" t="s">
        <v>89</v>
      </c>
      <c r="F3" s="28" t="s">
        <v>90</v>
      </c>
      <c r="G3" s="12" t="str">
        <f>CONCATENATE(E3," ",F3)</f>
        <v>EDGAR CARRERA</v>
      </c>
      <c r="H3" s="28" t="s">
        <v>46</v>
      </c>
      <c r="I3" s="28" t="s">
        <v>92</v>
      </c>
      <c r="J3" s="13">
        <v>46387</v>
      </c>
      <c r="K3" s="29"/>
      <c r="L3" s="28" t="s">
        <v>73</v>
      </c>
      <c r="M3" s="28" t="s">
        <v>74</v>
      </c>
      <c r="N3" s="28">
        <v>491.59</v>
      </c>
      <c r="O3" s="28">
        <v>0</v>
      </c>
      <c r="P3" s="28">
        <v>491.59</v>
      </c>
      <c r="Q3" s="28">
        <v>1</v>
      </c>
      <c r="R3" s="28">
        <v>694</v>
      </c>
      <c r="S3" s="14" t="s">
        <v>194</v>
      </c>
      <c r="T3" s="15" t="s">
        <v>195</v>
      </c>
      <c r="U3" s="28"/>
      <c r="V3" s="14"/>
    </row>
    <row r="4" spans="1:22" s="9" customFormat="1" x14ac:dyDescent="0.25">
      <c r="A4" s="27">
        <v>9213293</v>
      </c>
      <c r="B4" s="28" t="s">
        <v>94</v>
      </c>
      <c r="C4" s="28" t="s">
        <v>116</v>
      </c>
      <c r="D4" s="12" t="str">
        <f t="shared" si="0"/>
        <v>D754859</v>
      </c>
      <c r="E4" s="28" t="s">
        <v>118</v>
      </c>
      <c r="F4" s="28" t="s">
        <v>119</v>
      </c>
      <c r="G4" s="12" t="str">
        <f>CONCATENATE(E4," ",F4)</f>
        <v>JOYCE BROWN</v>
      </c>
      <c r="H4" s="28" t="s">
        <v>46</v>
      </c>
      <c r="I4" s="28" t="s">
        <v>92</v>
      </c>
      <c r="J4" s="13">
        <v>46387</v>
      </c>
      <c r="K4" s="36"/>
      <c r="L4" s="28" t="s">
        <v>73</v>
      </c>
      <c r="M4" s="28" t="s">
        <v>74</v>
      </c>
      <c r="N4" s="28">
        <v>491.59</v>
      </c>
      <c r="O4" s="28">
        <v>0</v>
      </c>
      <c r="P4" s="28">
        <v>491.59</v>
      </c>
      <c r="Q4" s="28">
        <v>1</v>
      </c>
      <c r="R4" s="28">
        <v>694</v>
      </c>
      <c r="S4" s="14" t="s">
        <v>194</v>
      </c>
      <c r="T4" s="15" t="s">
        <v>195</v>
      </c>
      <c r="U4" s="14"/>
      <c r="V4" s="14"/>
    </row>
    <row r="5" spans="1:22" s="9" customFormat="1" x14ac:dyDescent="0.25">
      <c r="A5" s="11">
        <v>16849453</v>
      </c>
      <c r="B5" s="12" t="s">
        <v>122</v>
      </c>
      <c r="C5" s="12" t="s">
        <v>123</v>
      </c>
      <c r="D5" s="12" t="str">
        <f t="shared" si="0"/>
        <v>DACWU99</v>
      </c>
      <c r="E5" s="12" t="s">
        <v>125</v>
      </c>
      <c r="F5" s="12" t="s">
        <v>126</v>
      </c>
      <c r="G5" s="12" t="str">
        <f>CONCATENATE(E5," ",F5)</f>
        <v>LAURA HAMBY</v>
      </c>
      <c r="H5" s="12" t="s">
        <v>81</v>
      </c>
      <c r="I5" s="12" t="s">
        <v>92</v>
      </c>
      <c r="J5" s="13">
        <v>46387</v>
      </c>
      <c r="K5" s="14"/>
      <c r="L5" s="12" t="s">
        <v>73</v>
      </c>
      <c r="M5" s="12" t="s">
        <v>74</v>
      </c>
      <c r="N5" s="12">
        <v>491.59</v>
      </c>
      <c r="O5" s="12">
        <v>0</v>
      </c>
      <c r="P5" s="12">
        <v>491.59</v>
      </c>
      <c r="Q5" s="28">
        <v>1</v>
      </c>
      <c r="R5" s="28">
        <v>694</v>
      </c>
      <c r="S5" s="14" t="s">
        <v>194</v>
      </c>
      <c r="T5" s="15" t="s">
        <v>195</v>
      </c>
      <c r="U5" s="14"/>
      <c r="V5" s="14"/>
    </row>
    <row r="6" spans="1:22" s="14" customFormat="1" x14ac:dyDescent="0.25">
      <c r="A6" s="27">
        <v>19396223</v>
      </c>
      <c r="B6" s="28" t="s">
        <v>136</v>
      </c>
      <c r="C6" s="28" t="s">
        <v>137</v>
      </c>
      <c r="D6" s="12" t="str">
        <f t="shared" si="0"/>
        <v>DF7J4A9</v>
      </c>
      <c r="E6" s="28" t="s">
        <v>139</v>
      </c>
      <c r="F6" s="28" t="s">
        <v>140</v>
      </c>
      <c r="G6" s="12" t="str">
        <f>CONCATENATE(E6," ",F6)</f>
        <v>MOLY POMACKAL</v>
      </c>
      <c r="H6" s="28" t="s">
        <v>46</v>
      </c>
      <c r="I6" s="28" t="s">
        <v>92</v>
      </c>
      <c r="J6" s="13">
        <v>46387</v>
      </c>
      <c r="K6" s="36"/>
      <c r="L6" s="28" t="s">
        <v>73</v>
      </c>
      <c r="M6" s="28" t="s">
        <v>74</v>
      </c>
      <c r="N6" s="28">
        <v>491.59</v>
      </c>
      <c r="O6" s="28">
        <v>0</v>
      </c>
      <c r="P6" s="28">
        <v>491.59</v>
      </c>
      <c r="Q6" s="28">
        <v>1</v>
      </c>
      <c r="R6" s="28">
        <v>694</v>
      </c>
      <c r="S6" s="14" t="s">
        <v>194</v>
      </c>
      <c r="T6" s="15" t="s">
        <v>195</v>
      </c>
    </row>
    <row r="7" spans="1:22" s="9" customFormat="1" x14ac:dyDescent="0.25">
      <c r="A7" s="20">
        <v>21283956</v>
      </c>
      <c r="B7" s="21" t="s">
        <v>65</v>
      </c>
      <c r="C7" s="21" t="s">
        <v>145</v>
      </c>
      <c r="D7" s="12" t="str">
        <f t="shared" si="0"/>
        <v>DF5URG9</v>
      </c>
      <c r="E7" s="21" t="s">
        <v>147</v>
      </c>
      <c r="F7" s="21" t="s">
        <v>148</v>
      </c>
      <c r="G7" s="12" t="str">
        <f>CONCATENATE(E7," ",F7)</f>
        <v>RONALD SUMPTER</v>
      </c>
      <c r="H7" s="21" t="s">
        <v>46</v>
      </c>
      <c r="I7" s="21" t="s">
        <v>92</v>
      </c>
      <c r="J7" s="35">
        <v>46387</v>
      </c>
      <c r="K7" s="23"/>
      <c r="L7" s="21" t="s">
        <v>73</v>
      </c>
      <c r="M7" s="21" t="s">
        <v>74</v>
      </c>
      <c r="N7" s="21">
        <v>491.59</v>
      </c>
      <c r="O7" s="21">
        <v>0</v>
      </c>
      <c r="P7" s="21">
        <v>491.59</v>
      </c>
      <c r="Q7" s="21">
        <v>1</v>
      </c>
      <c r="R7" s="21">
        <v>694</v>
      </c>
      <c r="S7" s="14" t="s">
        <v>194</v>
      </c>
      <c r="T7" s="15" t="s">
        <v>195</v>
      </c>
      <c r="U7" s="23"/>
      <c r="V7" s="14"/>
    </row>
    <row r="8" spans="1:22" s="9" customFormat="1" x14ac:dyDescent="0.25">
      <c r="A8" s="20">
        <v>19396223</v>
      </c>
      <c r="B8" s="21" t="s">
        <v>136</v>
      </c>
      <c r="C8" s="21" t="s">
        <v>150</v>
      </c>
      <c r="D8" s="12" t="str">
        <f t="shared" si="0"/>
        <v>DWFWAG9</v>
      </c>
      <c r="E8" s="21" t="s">
        <v>152</v>
      </c>
      <c r="F8" s="21" t="s">
        <v>153</v>
      </c>
      <c r="G8" s="12" t="str">
        <f>CONCATENATE(E8," ",F8)</f>
        <v>JOSEPH KNEPPER</v>
      </c>
      <c r="H8" s="21" t="s">
        <v>154</v>
      </c>
      <c r="I8" s="21" t="s">
        <v>92</v>
      </c>
      <c r="J8" s="35">
        <v>46387</v>
      </c>
      <c r="K8" s="23"/>
      <c r="L8" s="21" t="s">
        <v>73</v>
      </c>
      <c r="M8" s="21" t="s">
        <v>157</v>
      </c>
      <c r="N8" s="21">
        <v>491.59</v>
      </c>
      <c r="O8" s="21">
        <v>0</v>
      </c>
      <c r="P8" s="21">
        <v>491.59</v>
      </c>
      <c r="Q8" s="21">
        <v>1</v>
      </c>
      <c r="R8" s="21">
        <v>694</v>
      </c>
      <c r="S8" s="14" t="s">
        <v>194</v>
      </c>
      <c r="T8" s="15" t="s">
        <v>195</v>
      </c>
      <c r="U8" s="14"/>
      <c r="V8" s="14"/>
    </row>
    <row r="9" spans="1:22" s="9" customFormat="1" x14ac:dyDescent="0.25">
      <c r="A9" s="11">
        <v>16633294</v>
      </c>
      <c r="B9" s="12" t="s">
        <v>159</v>
      </c>
      <c r="C9" s="12" t="s">
        <v>160</v>
      </c>
      <c r="D9" s="12" t="str">
        <f t="shared" si="0"/>
        <v>DAWY499</v>
      </c>
      <c r="E9" s="12" t="s">
        <v>162</v>
      </c>
      <c r="F9" s="12" t="s">
        <v>163</v>
      </c>
      <c r="G9" s="12" t="str">
        <f>CONCATENATE(E9," ",F9)</f>
        <v>RENEE MAIORANA</v>
      </c>
      <c r="H9" s="12" t="s">
        <v>46</v>
      </c>
      <c r="I9" s="12" t="s">
        <v>92</v>
      </c>
      <c r="J9" s="35">
        <v>46387</v>
      </c>
      <c r="K9" s="14"/>
      <c r="L9" s="12" t="s">
        <v>73</v>
      </c>
      <c r="M9" s="12" t="s">
        <v>157</v>
      </c>
      <c r="N9" s="12">
        <v>491.59</v>
      </c>
      <c r="O9" s="12">
        <v>0</v>
      </c>
      <c r="P9" s="12">
        <v>491.59</v>
      </c>
      <c r="Q9" s="21">
        <v>1</v>
      </c>
      <c r="R9" s="21">
        <v>694</v>
      </c>
      <c r="S9" s="14" t="s">
        <v>194</v>
      </c>
      <c r="T9" s="15" t="s">
        <v>195</v>
      </c>
      <c r="U9" s="14"/>
      <c r="V9" s="14"/>
    </row>
    <row r="10" spans="1:22" s="9" customFormat="1" x14ac:dyDescent="0.25">
      <c r="A10" s="20">
        <v>16633294</v>
      </c>
      <c r="B10" s="21" t="s">
        <v>159</v>
      </c>
      <c r="C10" s="21" t="s">
        <v>164</v>
      </c>
      <c r="D10" s="12" t="str">
        <f t="shared" si="0"/>
        <v>D496ZW9</v>
      </c>
      <c r="E10" s="21" t="s">
        <v>166</v>
      </c>
      <c r="F10" s="21" t="s">
        <v>163</v>
      </c>
      <c r="G10" s="12" t="str">
        <f>CONCATENATE(E10," ",F10)</f>
        <v>SILVIO MAIORANA</v>
      </c>
      <c r="H10" s="21" t="s">
        <v>46</v>
      </c>
      <c r="I10" s="21" t="s">
        <v>92</v>
      </c>
      <c r="J10" s="35">
        <v>46387</v>
      </c>
      <c r="K10" s="23"/>
      <c r="L10" s="21" t="s">
        <v>73</v>
      </c>
      <c r="M10" s="21" t="s">
        <v>157</v>
      </c>
      <c r="N10" s="21">
        <v>491.59</v>
      </c>
      <c r="O10" s="21">
        <v>0</v>
      </c>
      <c r="P10" s="21">
        <v>491.59</v>
      </c>
      <c r="Q10" s="21">
        <v>1</v>
      </c>
      <c r="R10" s="21">
        <v>694</v>
      </c>
      <c r="S10" s="14" t="s">
        <v>194</v>
      </c>
      <c r="T10" s="15" t="s">
        <v>195</v>
      </c>
      <c r="U10" s="14"/>
      <c r="V10" s="14"/>
    </row>
    <row r="11" spans="1:22" s="9" customFormat="1" x14ac:dyDescent="0.25">
      <c r="A11" s="27">
        <v>8814784</v>
      </c>
      <c r="B11" s="28" t="s">
        <v>129</v>
      </c>
      <c r="C11" s="28" t="s">
        <v>167</v>
      </c>
      <c r="D11" s="12" t="str">
        <f t="shared" si="0"/>
        <v>DU895U9</v>
      </c>
      <c r="E11" s="28" t="s">
        <v>169</v>
      </c>
      <c r="F11" s="28" t="s">
        <v>170</v>
      </c>
      <c r="G11" s="12" t="str">
        <f>CONCATENATE(E11," ",F11)</f>
        <v>LUKE PLANINIC</v>
      </c>
      <c r="H11" s="28" t="s">
        <v>46</v>
      </c>
      <c r="I11" s="28" t="s">
        <v>92</v>
      </c>
      <c r="J11" s="35">
        <v>46387</v>
      </c>
      <c r="K11" s="36"/>
      <c r="L11" s="28" t="s">
        <v>73</v>
      </c>
      <c r="M11" s="28" t="s">
        <v>157</v>
      </c>
      <c r="N11" s="28">
        <v>491.59</v>
      </c>
      <c r="O11" s="28">
        <v>0</v>
      </c>
      <c r="P11" s="28">
        <v>491.59</v>
      </c>
      <c r="Q11" s="21">
        <v>1</v>
      </c>
      <c r="R11" s="21">
        <v>694</v>
      </c>
      <c r="S11" s="14" t="s">
        <v>194</v>
      </c>
      <c r="T11" s="15" t="s">
        <v>195</v>
      </c>
      <c r="U11" s="14"/>
      <c r="V11" s="14"/>
    </row>
    <row r="12" spans="1:22" s="9" customFormat="1" x14ac:dyDescent="0.25">
      <c r="A12" s="11">
        <v>21283956</v>
      </c>
      <c r="B12" s="12" t="s">
        <v>65</v>
      </c>
      <c r="C12" s="12" t="s">
        <v>66</v>
      </c>
      <c r="D12" s="12" t="str">
        <f t="shared" si="0"/>
        <v>DFRHSF9</v>
      </c>
      <c r="E12" s="12" t="s">
        <v>68</v>
      </c>
      <c r="F12" s="12" t="s">
        <v>69</v>
      </c>
      <c r="G12" s="12" t="str">
        <f>CONCATENATE(E12," ",F12)</f>
        <v>VERN LOHMAN</v>
      </c>
      <c r="H12" s="12" t="s">
        <v>46</v>
      </c>
      <c r="I12" s="12" t="s">
        <v>71</v>
      </c>
      <c r="J12" s="35">
        <v>46387</v>
      </c>
      <c r="K12" s="14"/>
      <c r="L12" s="12" t="s">
        <v>73</v>
      </c>
      <c r="M12" s="12" t="s">
        <v>74</v>
      </c>
      <c r="N12" s="12">
        <v>520.5</v>
      </c>
      <c r="O12" s="12">
        <v>0</v>
      </c>
      <c r="P12" s="12">
        <v>520.5</v>
      </c>
      <c r="Q12" s="21">
        <v>1</v>
      </c>
      <c r="R12" s="21">
        <v>694</v>
      </c>
      <c r="S12" s="14" t="s">
        <v>194</v>
      </c>
      <c r="T12" s="15" t="s">
        <v>195</v>
      </c>
      <c r="U12" s="14"/>
      <c r="V12" s="14"/>
    </row>
    <row r="13" spans="1:22" s="9" customFormat="1" x14ac:dyDescent="0.25">
      <c r="A13" s="11">
        <v>17094718</v>
      </c>
      <c r="B13" s="12" t="s">
        <v>102</v>
      </c>
      <c r="C13" s="12" t="s">
        <v>103</v>
      </c>
      <c r="D13" s="12" t="str">
        <f t="shared" si="0"/>
        <v>DC6U8A9</v>
      </c>
      <c r="E13" s="12" t="s">
        <v>105</v>
      </c>
      <c r="F13" s="12" t="s">
        <v>106</v>
      </c>
      <c r="G13" s="12" t="str">
        <f>CONCATENATE(E13," ",F13)</f>
        <v>JULIE ROBERTS</v>
      </c>
      <c r="H13" s="12" t="s">
        <v>46</v>
      </c>
      <c r="I13" s="12" t="s">
        <v>71</v>
      </c>
      <c r="J13" s="35">
        <v>46387</v>
      </c>
      <c r="K13" s="14"/>
      <c r="L13" s="12" t="s">
        <v>73</v>
      </c>
      <c r="M13" s="12" t="s">
        <v>74</v>
      </c>
      <c r="N13" s="12">
        <v>520.5</v>
      </c>
      <c r="O13" s="12">
        <v>0</v>
      </c>
      <c r="P13" s="12">
        <v>520.5</v>
      </c>
      <c r="Q13" s="21">
        <v>1</v>
      </c>
      <c r="R13" s="21">
        <v>694</v>
      </c>
      <c r="S13" s="14" t="s">
        <v>194</v>
      </c>
      <c r="T13" s="15" t="s">
        <v>195</v>
      </c>
      <c r="U13" s="14"/>
      <c r="V13" s="14"/>
    </row>
    <row r="14" spans="1:22" s="9" customFormat="1" x14ac:dyDescent="0.25">
      <c r="A14" s="11">
        <v>21283956</v>
      </c>
      <c r="B14" s="12" t="s">
        <v>65</v>
      </c>
      <c r="C14" s="12" t="s">
        <v>172</v>
      </c>
      <c r="D14" s="12" t="str">
        <f t="shared" si="0"/>
        <v>DWSFJ79</v>
      </c>
      <c r="E14" s="12" t="s">
        <v>174</v>
      </c>
      <c r="F14" s="12" t="s">
        <v>175</v>
      </c>
      <c r="G14" s="12" t="str">
        <f>CONCATENATE(E14," ",F14)</f>
        <v>DEBORAH TESNOW</v>
      </c>
      <c r="H14" s="12" t="s">
        <v>46</v>
      </c>
      <c r="I14" s="12" t="s">
        <v>71</v>
      </c>
      <c r="J14" s="35">
        <v>46387</v>
      </c>
      <c r="K14" s="14"/>
      <c r="L14" s="12" t="s">
        <v>73</v>
      </c>
      <c r="M14" s="12" t="s">
        <v>157</v>
      </c>
      <c r="N14" s="12">
        <v>520.5</v>
      </c>
      <c r="O14" s="12">
        <v>0</v>
      </c>
      <c r="P14" s="12">
        <v>520.5</v>
      </c>
      <c r="Q14" s="21">
        <v>1</v>
      </c>
      <c r="R14" s="21">
        <v>694</v>
      </c>
      <c r="S14" s="14" t="s">
        <v>194</v>
      </c>
      <c r="T14" s="15" t="s">
        <v>195</v>
      </c>
      <c r="U14" s="14"/>
      <c r="V14" s="14"/>
    </row>
    <row r="15" spans="1:22" s="9" customFormat="1" x14ac:dyDescent="0.25">
      <c r="A15" s="20">
        <v>9213293</v>
      </c>
      <c r="B15" s="21" t="s">
        <v>94</v>
      </c>
      <c r="C15" s="21" t="s">
        <v>95</v>
      </c>
      <c r="D15" s="12" t="str">
        <f t="shared" si="0"/>
        <v>D799RE9</v>
      </c>
      <c r="E15" s="21" t="s">
        <v>97</v>
      </c>
      <c r="F15" s="21" t="s">
        <v>98</v>
      </c>
      <c r="G15" s="12" t="str">
        <f>CONCATENATE(E15," ",F15)</f>
        <v>DALE OLKER</v>
      </c>
      <c r="H15" s="21" t="s">
        <v>46</v>
      </c>
      <c r="I15" s="21" t="s">
        <v>100</v>
      </c>
      <c r="J15" s="35">
        <v>46387</v>
      </c>
      <c r="K15" s="22"/>
      <c r="L15" s="21" t="s">
        <v>73</v>
      </c>
      <c r="M15" s="21" t="s">
        <v>74</v>
      </c>
      <c r="N15" s="21">
        <v>549.41999999999996</v>
      </c>
      <c r="O15" s="21">
        <v>0</v>
      </c>
      <c r="P15" s="21">
        <v>549.41999999999996</v>
      </c>
      <c r="Q15" s="21">
        <v>1</v>
      </c>
      <c r="R15" s="21">
        <v>694</v>
      </c>
      <c r="S15" s="14" t="s">
        <v>194</v>
      </c>
      <c r="T15" s="15" t="s">
        <v>195</v>
      </c>
      <c r="U15" s="14"/>
      <c r="V15" s="14"/>
    </row>
    <row r="16" spans="1:22" s="14" customFormat="1" x14ac:dyDescent="0.25">
      <c r="A16" s="20">
        <v>17094718</v>
      </c>
      <c r="B16" s="21" t="s">
        <v>102</v>
      </c>
      <c r="C16" s="21" t="s">
        <v>177</v>
      </c>
      <c r="D16" s="12" t="str">
        <f t="shared" si="0"/>
        <v>DEHYRF9</v>
      </c>
      <c r="E16" s="21" t="s">
        <v>179</v>
      </c>
      <c r="F16" s="21" t="s">
        <v>180</v>
      </c>
      <c r="G16" s="12" t="str">
        <f>CONCATENATE(E16," ",F16)</f>
        <v>TERRY STILES</v>
      </c>
      <c r="H16" s="21" t="s">
        <v>181</v>
      </c>
      <c r="I16" s="21" t="s">
        <v>92</v>
      </c>
      <c r="J16" s="13">
        <v>46387</v>
      </c>
      <c r="K16" s="23"/>
      <c r="L16" s="21" t="s">
        <v>73</v>
      </c>
      <c r="M16" s="21" t="s">
        <v>157</v>
      </c>
      <c r="N16" s="21">
        <v>694</v>
      </c>
      <c r="O16" s="21">
        <v>0</v>
      </c>
      <c r="P16" s="21">
        <v>694</v>
      </c>
      <c r="Q16" s="21">
        <v>1</v>
      </c>
      <c r="R16" s="21">
        <v>694</v>
      </c>
      <c r="S16" s="14" t="s">
        <v>194</v>
      </c>
      <c r="T16" s="14" t="s">
        <v>195</v>
      </c>
      <c r="U16" s="23"/>
    </row>
    <row r="17" spans="1:22" s="14" customFormat="1" x14ac:dyDescent="0.25">
      <c r="A17" s="20">
        <v>17094718</v>
      </c>
      <c r="B17" s="21" t="s">
        <v>102</v>
      </c>
      <c r="C17" s="21" t="s">
        <v>184</v>
      </c>
      <c r="D17" s="12" t="str">
        <f t="shared" si="0"/>
        <v>D59CS59</v>
      </c>
      <c r="E17" s="21" t="s">
        <v>186</v>
      </c>
      <c r="F17" s="21" t="s">
        <v>187</v>
      </c>
      <c r="G17" s="12" t="str">
        <f>CONCATENATE(E17," ",F17)</f>
        <v>JANE WEBB</v>
      </c>
      <c r="H17" s="21" t="s">
        <v>188</v>
      </c>
      <c r="I17" s="21" t="s">
        <v>92</v>
      </c>
      <c r="J17" s="13">
        <v>46387</v>
      </c>
      <c r="K17" s="23"/>
      <c r="L17" s="21" t="s">
        <v>73</v>
      </c>
      <c r="M17" s="21" t="s">
        <v>157</v>
      </c>
      <c r="N17" s="21">
        <v>694</v>
      </c>
      <c r="O17" s="21">
        <v>0</v>
      </c>
      <c r="P17" s="21">
        <v>694</v>
      </c>
      <c r="Q17" s="21">
        <v>1</v>
      </c>
      <c r="R17" s="21">
        <v>694</v>
      </c>
      <c r="S17" s="14" t="s">
        <v>194</v>
      </c>
      <c r="T17" s="14" t="s">
        <v>195</v>
      </c>
    </row>
    <row r="18" spans="1:22" s="14" customFormat="1" x14ac:dyDescent="0.25">
      <c r="A18" s="27">
        <v>21618313</v>
      </c>
      <c r="B18" s="28" t="s">
        <v>108</v>
      </c>
      <c r="C18" s="28" t="s">
        <v>109</v>
      </c>
      <c r="D18" s="12" t="str">
        <f t="shared" si="0"/>
        <v>DRUUE79</v>
      </c>
      <c r="E18" s="28" t="s">
        <v>111</v>
      </c>
      <c r="F18" s="28" t="s">
        <v>112</v>
      </c>
      <c r="G18" s="12" t="str">
        <f>CONCATENATE(E18," ",F18)</f>
        <v>JOANNE BRADLEY</v>
      </c>
      <c r="H18" s="28" t="s">
        <v>113</v>
      </c>
      <c r="I18" s="28" t="s">
        <v>92</v>
      </c>
      <c r="J18" s="13">
        <v>46387</v>
      </c>
      <c r="K18" s="29"/>
      <c r="L18" s="28" t="s">
        <v>73</v>
      </c>
      <c r="M18" s="28" t="s">
        <v>74</v>
      </c>
      <c r="N18" s="28">
        <v>552.91999999999996</v>
      </c>
      <c r="O18" s="28">
        <v>0</v>
      </c>
      <c r="P18" s="28">
        <v>552.91999999999996</v>
      </c>
      <c r="Q18" s="21">
        <v>1</v>
      </c>
      <c r="R18" s="21">
        <v>781</v>
      </c>
      <c r="S18" s="14" t="s">
        <v>196</v>
      </c>
      <c r="T18" s="15" t="s">
        <v>197</v>
      </c>
    </row>
    <row r="19" spans="1:22" s="14" customFormat="1" x14ac:dyDescent="0.25">
      <c r="A19" s="20">
        <v>21618313</v>
      </c>
      <c r="B19" s="21" t="s">
        <v>108</v>
      </c>
      <c r="C19" s="21" t="s">
        <v>141</v>
      </c>
      <c r="D19" s="12" t="str">
        <f t="shared" si="0"/>
        <v>DZ2UHR9</v>
      </c>
      <c r="E19" s="21" t="s">
        <v>143</v>
      </c>
      <c r="F19" s="21" t="s">
        <v>144</v>
      </c>
      <c r="G19" s="12" t="str">
        <f>CONCATENATE(E19," ",F19)</f>
        <v>CHRISTIAN SABATINO</v>
      </c>
      <c r="H19" s="21" t="s">
        <v>113</v>
      </c>
      <c r="I19" s="21" t="s">
        <v>100</v>
      </c>
      <c r="J19" s="13">
        <v>46387</v>
      </c>
      <c r="K19" s="22"/>
      <c r="L19" s="21" t="s">
        <v>73</v>
      </c>
      <c r="M19" s="21" t="s">
        <v>74</v>
      </c>
      <c r="N19" s="21">
        <v>618.09</v>
      </c>
      <c r="O19" s="21">
        <v>0</v>
      </c>
      <c r="P19" s="21">
        <v>618.09</v>
      </c>
      <c r="Q19" s="21">
        <v>1</v>
      </c>
      <c r="R19" s="21">
        <v>781</v>
      </c>
      <c r="S19" s="14" t="s">
        <v>196</v>
      </c>
      <c r="T19" s="15" t="s">
        <v>197</v>
      </c>
    </row>
    <row r="20" spans="1:22" s="14" customFormat="1" x14ac:dyDescent="0.25">
      <c r="A20" s="24">
        <v>21618313</v>
      </c>
      <c r="B20" s="25" t="s">
        <v>108</v>
      </c>
      <c r="C20" s="25" t="s">
        <v>109</v>
      </c>
      <c r="D20" s="25" t="str">
        <f>CONCATENATE(C20,7)</f>
        <v>DRUUE77</v>
      </c>
      <c r="E20" s="25" t="s">
        <v>111</v>
      </c>
      <c r="F20" s="25" t="s">
        <v>112</v>
      </c>
      <c r="G20" s="7" t="str">
        <f>CONCATENATE(E20," ",F20)</f>
        <v>JOANNE BRADLEY</v>
      </c>
      <c r="H20" s="25" t="s">
        <v>113</v>
      </c>
      <c r="I20" s="25" t="s">
        <v>92</v>
      </c>
      <c r="J20" s="34">
        <v>46204</v>
      </c>
      <c r="K20" s="26"/>
      <c r="L20" s="25" t="s">
        <v>73</v>
      </c>
      <c r="M20" s="25" t="s">
        <v>74</v>
      </c>
      <c r="N20" s="25">
        <v>552.91999999999996</v>
      </c>
      <c r="O20" s="25">
        <v>0</v>
      </c>
      <c r="P20" s="25">
        <v>552.91999999999996</v>
      </c>
      <c r="Q20" s="17">
        <v>-1</v>
      </c>
      <c r="R20" s="17">
        <v>-228.08</v>
      </c>
      <c r="S20" s="9" t="s">
        <v>198</v>
      </c>
      <c r="T20" s="9" t="s">
        <v>200</v>
      </c>
      <c r="U20" s="9">
        <v>228.08</v>
      </c>
      <c r="V20" s="9">
        <f>391/12*7</f>
        <v>228.08333333333334</v>
      </c>
    </row>
    <row r="21" spans="1:22" s="14" customFormat="1" x14ac:dyDescent="0.25">
      <c r="A21" s="24">
        <v>21618313</v>
      </c>
      <c r="B21" s="25" t="s">
        <v>108</v>
      </c>
      <c r="C21" s="25" t="s">
        <v>141</v>
      </c>
      <c r="D21" s="25" t="str">
        <f t="shared" ref="D21:D38" si="1">CONCATENATE(C21,7)</f>
        <v>DZ2UHR7</v>
      </c>
      <c r="E21" s="25" t="s">
        <v>143</v>
      </c>
      <c r="F21" s="25" t="s">
        <v>144</v>
      </c>
      <c r="G21" s="7" t="str">
        <f>CONCATENATE(E21," ",F21)</f>
        <v>CHRISTIAN SABATINO</v>
      </c>
      <c r="H21" s="25" t="s">
        <v>113</v>
      </c>
      <c r="I21" s="25" t="s">
        <v>100</v>
      </c>
      <c r="J21" s="34">
        <v>46266</v>
      </c>
      <c r="K21" s="26"/>
      <c r="L21" s="25" t="s">
        <v>73</v>
      </c>
      <c r="M21" s="25" t="s">
        <v>74</v>
      </c>
      <c r="N21" s="25">
        <v>618.09</v>
      </c>
      <c r="O21" s="25">
        <v>0</v>
      </c>
      <c r="P21" s="25">
        <v>618.09</v>
      </c>
      <c r="Q21" s="17">
        <v>-1</v>
      </c>
      <c r="R21" s="17">
        <v>-162.91</v>
      </c>
      <c r="S21" s="9" t="s">
        <v>198</v>
      </c>
      <c r="T21" s="9" t="s">
        <v>199</v>
      </c>
      <c r="U21" s="9">
        <v>162.91</v>
      </c>
      <c r="V21" s="9">
        <f>391/12*5</f>
        <v>162.91666666666669</v>
      </c>
    </row>
    <row r="22" spans="1:22" s="14" customFormat="1" x14ac:dyDescent="0.25">
      <c r="A22" s="6">
        <v>17301495</v>
      </c>
      <c r="B22" s="7" t="s">
        <v>55</v>
      </c>
      <c r="C22" s="7" t="s">
        <v>56</v>
      </c>
      <c r="D22" s="25" t="str">
        <f t="shared" si="1"/>
        <v>DEHCC47</v>
      </c>
      <c r="E22" s="7" t="s">
        <v>58</v>
      </c>
      <c r="F22" s="7" t="s">
        <v>59</v>
      </c>
      <c r="G22" s="7" t="str">
        <f>CONCATENATE(E22," ",F22)</f>
        <v>PONCIANO GONZALEZ</v>
      </c>
      <c r="H22" s="7" t="s">
        <v>46</v>
      </c>
      <c r="I22" s="7" t="s">
        <v>61</v>
      </c>
      <c r="J22" s="8">
        <v>46143</v>
      </c>
      <c r="K22" s="7" t="s">
        <v>49</v>
      </c>
      <c r="L22" s="7" t="s">
        <v>52</v>
      </c>
      <c r="M22" s="7" t="s">
        <v>63</v>
      </c>
      <c r="N22" s="7">
        <v>-260.25</v>
      </c>
      <c r="O22" s="7">
        <v>0</v>
      </c>
      <c r="P22" s="7">
        <v>-260.25</v>
      </c>
      <c r="Q22" s="17">
        <v>-1</v>
      </c>
      <c r="R22" s="17">
        <v>-260.25</v>
      </c>
      <c r="S22" s="9" t="s">
        <v>192</v>
      </c>
      <c r="T22" s="9" t="s">
        <v>202</v>
      </c>
      <c r="U22" s="9"/>
      <c r="V22" s="9"/>
    </row>
    <row r="23" spans="1:22" s="14" customFormat="1" x14ac:dyDescent="0.25">
      <c r="A23" s="6">
        <v>8325282</v>
      </c>
      <c r="B23" s="7" t="s">
        <v>41</v>
      </c>
      <c r="C23" s="7" t="s">
        <v>42</v>
      </c>
      <c r="D23" s="25" t="str">
        <f t="shared" si="1"/>
        <v>DJCG227</v>
      </c>
      <c r="E23" s="7" t="s">
        <v>44</v>
      </c>
      <c r="F23" s="7" t="s">
        <v>45</v>
      </c>
      <c r="G23" s="7" t="str">
        <f>CONCATENATE(E23," ",F23)</f>
        <v>GLORIA SMITH</v>
      </c>
      <c r="H23" s="7" t="s">
        <v>46</v>
      </c>
      <c r="I23" s="7" t="s">
        <v>48</v>
      </c>
      <c r="J23" s="8">
        <v>46143</v>
      </c>
      <c r="K23" s="7" t="s">
        <v>49</v>
      </c>
      <c r="L23" s="7" t="s">
        <v>52</v>
      </c>
      <c r="M23" s="7" t="s">
        <v>53</v>
      </c>
      <c r="N23" s="7">
        <v>-202.42</v>
      </c>
      <c r="O23" s="7">
        <v>-116.67</v>
      </c>
      <c r="P23" s="7">
        <v>-319.08999999999997</v>
      </c>
      <c r="Q23" s="17">
        <v>-1</v>
      </c>
      <c r="R23" s="17">
        <v>-202.42</v>
      </c>
      <c r="S23" s="9" t="s">
        <v>192</v>
      </c>
      <c r="T23" s="10" t="s">
        <v>193</v>
      </c>
      <c r="U23" s="9">
        <f>347/12*7</f>
        <v>202.41666666666669</v>
      </c>
      <c r="V23" s="9"/>
    </row>
    <row r="24" spans="1:22" s="14" customFormat="1" x14ac:dyDescent="0.25">
      <c r="A24" s="16">
        <v>8814784</v>
      </c>
      <c r="B24" s="17" t="s">
        <v>129</v>
      </c>
      <c r="C24" s="17" t="s">
        <v>130</v>
      </c>
      <c r="D24" s="25" t="str">
        <f t="shared" si="1"/>
        <v>D36CA87</v>
      </c>
      <c r="E24" s="17" t="s">
        <v>132</v>
      </c>
      <c r="F24" s="17" t="s">
        <v>133</v>
      </c>
      <c r="G24" s="7" t="str">
        <f>CONCATENATE(E24," ",F24)</f>
        <v>PATRICIA LISKOVEC</v>
      </c>
      <c r="H24" s="17" t="s">
        <v>46</v>
      </c>
      <c r="I24" s="17" t="s">
        <v>92</v>
      </c>
      <c r="J24" s="8">
        <v>46387</v>
      </c>
      <c r="K24" s="19"/>
      <c r="L24" s="17" t="s">
        <v>73</v>
      </c>
      <c r="M24" s="17" t="s">
        <v>74</v>
      </c>
      <c r="N24" s="17">
        <v>202.42</v>
      </c>
      <c r="O24" s="17">
        <v>0</v>
      </c>
      <c r="P24" s="17">
        <v>202.42</v>
      </c>
      <c r="Q24" s="17">
        <v>1</v>
      </c>
      <c r="R24" s="17">
        <v>202.42</v>
      </c>
      <c r="S24" s="9" t="s">
        <v>192</v>
      </c>
      <c r="T24" s="10" t="s">
        <v>193</v>
      </c>
      <c r="U24" s="9"/>
      <c r="V24" s="9"/>
    </row>
    <row r="25" spans="1:22" s="9" customFormat="1" x14ac:dyDescent="0.25">
      <c r="A25" s="6">
        <v>19200754</v>
      </c>
      <c r="B25" s="7" t="s">
        <v>76</v>
      </c>
      <c r="C25" s="7" t="s">
        <v>77</v>
      </c>
      <c r="D25" s="25" t="str">
        <f t="shared" si="1"/>
        <v>DJE9EF7</v>
      </c>
      <c r="E25" s="7" t="s">
        <v>79</v>
      </c>
      <c r="F25" s="7" t="s">
        <v>80</v>
      </c>
      <c r="G25" s="7" t="str">
        <f>CONCATENATE(E25," ",F25)</f>
        <v>TINA PHILLIPS</v>
      </c>
      <c r="H25" s="7" t="s">
        <v>81</v>
      </c>
      <c r="I25" s="7" t="s">
        <v>83</v>
      </c>
      <c r="J25" s="8">
        <v>46174</v>
      </c>
      <c r="L25" s="7" t="s">
        <v>73</v>
      </c>
      <c r="M25" s="7" t="s">
        <v>74</v>
      </c>
      <c r="N25" s="7">
        <v>462.67</v>
      </c>
      <c r="O25" s="7">
        <v>0</v>
      </c>
      <c r="P25" s="7">
        <v>462.67</v>
      </c>
      <c r="Q25" s="7">
        <v>-1</v>
      </c>
      <c r="R25" s="7">
        <v>-231.33</v>
      </c>
      <c r="S25" s="9" t="s">
        <v>192</v>
      </c>
      <c r="T25" s="9" t="s">
        <v>204</v>
      </c>
      <c r="U25" s="7">
        <v>231.33</v>
      </c>
      <c r="V25" s="9">
        <f>347/12*8</f>
        <v>231.33333333333334</v>
      </c>
    </row>
    <row r="26" spans="1:22" s="9" customFormat="1" x14ac:dyDescent="0.25">
      <c r="A26" s="24">
        <v>2158366</v>
      </c>
      <c r="B26" s="25" t="s">
        <v>86</v>
      </c>
      <c r="C26" s="25" t="s">
        <v>87</v>
      </c>
      <c r="D26" s="25" t="str">
        <f t="shared" si="1"/>
        <v>DYFEUA7</v>
      </c>
      <c r="E26" s="25" t="s">
        <v>89</v>
      </c>
      <c r="F26" s="25" t="s">
        <v>90</v>
      </c>
      <c r="G26" s="7" t="str">
        <f>CONCATENATE(E26," ",F26)</f>
        <v>EDGAR CARRERA</v>
      </c>
      <c r="H26" s="25" t="s">
        <v>46</v>
      </c>
      <c r="I26" s="25" t="s">
        <v>92</v>
      </c>
      <c r="J26" s="34">
        <v>46204</v>
      </c>
      <c r="K26" s="26"/>
      <c r="L26" s="25" t="s">
        <v>73</v>
      </c>
      <c r="M26" s="25" t="s">
        <v>74</v>
      </c>
      <c r="N26" s="25">
        <v>491.59</v>
      </c>
      <c r="O26" s="25">
        <v>0</v>
      </c>
      <c r="P26" s="25">
        <v>491.59</v>
      </c>
      <c r="Q26" s="25">
        <v>-1</v>
      </c>
      <c r="R26" s="25">
        <v>-202.41</v>
      </c>
      <c r="S26" s="9" t="s">
        <v>192</v>
      </c>
      <c r="T26" s="9" t="s">
        <v>193</v>
      </c>
      <c r="U26" s="25">
        <v>202.41</v>
      </c>
      <c r="V26" s="9">
        <f>347/12*7</f>
        <v>202.41666666666669</v>
      </c>
    </row>
    <row r="27" spans="1:22" s="9" customFormat="1" x14ac:dyDescent="0.25">
      <c r="A27" s="24">
        <v>9213293</v>
      </c>
      <c r="B27" s="25" t="s">
        <v>94</v>
      </c>
      <c r="C27" s="25" t="s">
        <v>116</v>
      </c>
      <c r="D27" s="25" t="str">
        <f t="shared" si="1"/>
        <v>D754857</v>
      </c>
      <c r="E27" s="25" t="s">
        <v>118</v>
      </c>
      <c r="F27" s="25" t="s">
        <v>119</v>
      </c>
      <c r="G27" s="7" t="str">
        <f>CONCATENATE(E27," ",F27)</f>
        <v>JOYCE BROWN</v>
      </c>
      <c r="H27" s="25" t="s">
        <v>46</v>
      </c>
      <c r="I27" s="25" t="s">
        <v>92</v>
      </c>
      <c r="J27" s="34">
        <v>46204</v>
      </c>
      <c r="K27" s="37"/>
      <c r="L27" s="25" t="s">
        <v>73</v>
      </c>
      <c r="M27" s="25" t="s">
        <v>74</v>
      </c>
      <c r="N27" s="25">
        <v>491.59</v>
      </c>
      <c r="O27" s="25">
        <v>0</v>
      </c>
      <c r="P27" s="25">
        <v>491.59</v>
      </c>
      <c r="Q27" s="25">
        <v>-1</v>
      </c>
      <c r="R27" s="25">
        <v>-202.41</v>
      </c>
      <c r="S27" s="9" t="s">
        <v>192</v>
      </c>
      <c r="T27" s="9" t="s">
        <v>193</v>
      </c>
    </row>
    <row r="28" spans="1:22" s="14" customFormat="1" x14ac:dyDescent="0.25">
      <c r="A28" s="6">
        <v>16849453</v>
      </c>
      <c r="B28" s="7" t="s">
        <v>122</v>
      </c>
      <c r="C28" s="7" t="s">
        <v>123</v>
      </c>
      <c r="D28" s="25" t="str">
        <f t="shared" si="1"/>
        <v>DACWU97</v>
      </c>
      <c r="E28" s="7" t="s">
        <v>125</v>
      </c>
      <c r="F28" s="7" t="s">
        <v>126</v>
      </c>
      <c r="G28" s="7" t="str">
        <f>CONCATENATE(E28," ",F28)</f>
        <v>LAURA HAMBY</v>
      </c>
      <c r="H28" s="7" t="s">
        <v>81</v>
      </c>
      <c r="I28" s="7" t="s">
        <v>92</v>
      </c>
      <c r="J28" s="34">
        <v>46204</v>
      </c>
      <c r="K28" s="9"/>
      <c r="L28" s="7" t="s">
        <v>73</v>
      </c>
      <c r="M28" s="7" t="s">
        <v>74</v>
      </c>
      <c r="N28" s="7">
        <v>491.59</v>
      </c>
      <c r="O28" s="7">
        <v>0</v>
      </c>
      <c r="P28" s="7">
        <v>491.59</v>
      </c>
      <c r="Q28" s="25">
        <v>-1</v>
      </c>
      <c r="R28" s="25">
        <v>-202.41</v>
      </c>
      <c r="S28" s="9" t="s">
        <v>192</v>
      </c>
      <c r="T28" s="9" t="s">
        <v>193</v>
      </c>
      <c r="U28" s="9"/>
      <c r="V28" s="9"/>
    </row>
    <row r="29" spans="1:22" s="14" customFormat="1" x14ac:dyDescent="0.25">
      <c r="A29" s="24">
        <v>19396223</v>
      </c>
      <c r="B29" s="25" t="s">
        <v>136</v>
      </c>
      <c r="C29" s="25" t="s">
        <v>137</v>
      </c>
      <c r="D29" s="25" t="str">
        <f t="shared" si="1"/>
        <v>DF7J4A7</v>
      </c>
      <c r="E29" s="25" t="s">
        <v>139</v>
      </c>
      <c r="F29" s="25" t="s">
        <v>140</v>
      </c>
      <c r="G29" s="7" t="str">
        <f>CONCATENATE(E29," ",F29)</f>
        <v>MOLY POMACKAL</v>
      </c>
      <c r="H29" s="25" t="s">
        <v>46</v>
      </c>
      <c r="I29" s="25" t="s">
        <v>92</v>
      </c>
      <c r="J29" s="34">
        <v>46204</v>
      </c>
      <c r="K29" s="37"/>
      <c r="L29" s="25" t="s">
        <v>73</v>
      </c>
      <c r="M29" s="25" t="s">
        <v>74</v>
      </c>
      <c r="N29" s="25">
        <v>491.59</v>
      </c>
      <c r="O29" s="25">
        <v>0</v>
      </c>
      <c r="P29" s="25">
        <v>491.59</v>
      </c>
      <c r="Q29" s="25">
        <v>-1</v>
      </c>
      <c r="R29" s="25">
        <v>-202.41</v>
      </c>
      <c r="S29" s="9" t="s">
        <v>192</v>
      </c>
      <c r="T29" s="9" t="s">
        <v>193</v>
      </c>
      <c r="U29" s="9"/>
      <c r="V29" s="9"/>
    </row>
    <row r="30" spans="1:22" s="14" customFormat="1" x14ac:dyDescent="0.25">
      <c r="A30" s="6">
        <v>21283956</v>
      </c>
      <c r="B30" s="7" t="s">
        <v>65</v>
      </c>
      <c r="C30" s="7" t="s">
        <v>145</v>
      </c>
      <c r="D30" s="25" t="str">
        <f t="shared" si="1"/>
        <v>DF5URG7</v>
      </c>
      <c r="E30" s="7" t="s">
        <v>147</v>
      </c>
      <c r="F30" s="7" t="s">
        <v>148</v>
      </c>
      <c r="G30" s="7" t="str">
        <f>CONCATENATE(E30," ",F30)</f>
        <v>RONALD SUMPTER</v>
      </c>
      <c r="H30" s="7" t="s">
        <v>46</v>
      </c>
      <c r="I30" s="7" t="s">
        <v>92</v>
      </c>
      <c r="J30" s="34">
        <v>46204</v>
      </c>
      <c r="K30" s="9"/>
      <c r="L30" s="7" t="s">
        <v>73</v>
      </c>
      <c r="M30" s="7" t="s">
        <v>74</v>
      </c>
      <c r="N30" s="7">
        <v>491.59</v>
      </c>
      <c r="O30" s="7">
        <v>0</v>
      </c>
      <c r="P30" s="7">
        <v>491.59</v>
      </c>
      <c r="Q30" s="25">
        <v>-1</v>
      </c>
      <c r="R30" s="25">
        <v>-202.41</v>
      </c>
      <c r="S30" s="9" t="s">
        <v>192</v>
      </c>
      <c r="T30" s="9" t="s">
        <v>193</v>
      </c>
      <c r="U30" s="9"/>
      <c r="V30" s="9"/>
    </row>
    <row r="31" spans="1:22" s="9" customFormat="1" x14ac:dyDescent="0.25">
      <c r="A31" s="6">
        <v>19396223</v>
      </c>
      <c r="B31" s="7" t="s">
        <v>136</v>
      </c>
      <c r="C31" s="7" t="s">
        <v>150</v>
      </c>
      <c r="D31" s="25" t="str">
        <f t="shared" si="1"/>
        <v>DWFWAG7</v>
      </c>
      <c r="E31" s="7" t="s">
        <v>152</v>
      </c>
      <c r="F31" s="7" t="s">
        <v>153</v>
      </c>
      <c r="G31" s="7" t="str">
        <f>CONCATENATE(E31," ",F31)</f>
        <v>JOSEPH KNEPPER</v>
      </c>
      <c r="H31" s="7" t="s">
        <v>154</v>
      </c>
      <c r="I31" s="7" t="s">
        <v>92</v>
      </c>
      <c r="J31" s="18">
        <v>46204</v>
      </c>
      <c r="L31" s="7" t="s">
        <v>73</v>
      </c>
      <c r="M31" s="7" t="s">
        <v>157</v>
      </c>
      <c r="N31" s="7">
        <v>491.59</v>
      </c>
      <c r="O31" s="7">
        <v>0</v>
      </c>
      <c r="P31" s="7">
        <v>491.59</v>
      </c>
      <c r="Q31" s="25">
        <v>-1</v>
      </c>
      <c r="R31" s="25">
        <v>-202.41</v>
      </c>
      <c r="S31" s="9" t="s">
        <v>192</v>
      </c>
      <c r="T31" s="9" t="s">
        <v>193</v>
      </c>
    </row>
    <row r="32" spans="1:22" s="14" customFormat="1" x14ac:dyDescent="0.25">
      <c r="A32" s="6">
        <v>16633294</v>
      </c>
      <c r="B32" s="7" t="s">
        <v>159</v>
      </c>
      <c r="C32" s="7" t="s">
        <v>160</v>
      </c>
      <c r="D32" s="25" t="str">
        <f t="shared" si="1"/>
        <v>DAWY497</v>
      </c>
      <c r="E32" s="7" t="s">
        <v>162</v>
      </c>
      <c r="F32" s="7" t="s">
        <v>163</v>
      </c>
      <c r="G32" s="7" t="str">
        <f>CONCATENATE(E32," ",F32)</f>
        <v>RENEE MAIORANA</v>
      </c>
      <c r="H32" s="7" t="s">
        <v>46</v>
      </c>
      <c r="I32" s="7" t="s">
        <v>92</v>
      </c>
      <c r="J32" s="34">
        <v>46204</v>
      </c>
      <c r="K32" s="9"/>
      <c r="L32" s="7" t="s">
        <v>73</v>
      </c>
      <c r="M32" s="7" t="s">
        <v>157</v>
      </c>
      <c r="N32" s="7">
        <v>491.59</v>
      </c>
      <c r="O32" s="7">
        <v>0</v>
      </c>
      <c r="P32" s="7">
        <v>491.59</v>
      </c>
      <c r="Q32" s="25">
        <v>-1</v>
      </c>
      <c r="R32" s="25">
        <v>-202.41</v>
      </c>
      <c r="S32" s="9" t="s">
        <v>192</v>
      </c>
      <c r="T32" s="9" t="s">
        <v>193</v>
      </c>
      <c r="U32" s="9"/>
      <c r="V32" s="9"/>
    </row>
    <row r="33" spans="1:22" s="9" customFormat="1" ht="15.75" customHeight="1" x14ac:dyDescent="0.25">
      <c r="A33" s="6">
        <v>16633294</v>
      </c>
      <c r="B33" s="7" t="s">
        <v>159</v>
      </c>
      <c r="C33" s="7" t="s">
        <v>164</v>
      </c>
      <c r="D33" s="25" t="str">
        <f t="shared" si="1"/>
        <v>D496ZW7</v>
      </c>
      <c r="E33" s="7" t="s">
        <v>166</v>
      </c>
      <c r="F33" s="7" t="s">
        <v>163</v>
      </c>
      <c r="G33" s="7" t="str">
        <f>CONCATENATE(E33," ",F33)</f>
        <v>SILVIO MAIORANA</v>
      </c>
      <c r="H33" s="7" t="s">
        <v>46</v>
      </c>
      <c r="I33" s="7" t="s">
        <v>92</v>
      </c>
      <c r="J33" s="18">
        <v>46204</v>
      </c>
      <c r="L33" s="7" t="s">
        <v>73</v>
      </c>
      <c r="M33" s="7" t="s">
        <v>157</v>
      </c>
      <c r="N33" s="7">
        <v>491.59</v>
      </c>
      <c r="O33" s="7">
        <v>0</v>
      </c>
      <c r="P33" s="7">
        <v>491.59</v>
      </c>
      <c r="Q33" s="25">
        <v>-1</v>
      </c>
      <c r="R33" s="25">
        <v>-202.41</v>
      </c>
      <c r="S33" s="9" t="s">
        <v>192</v>
      </c>
      <c r="T33" s="9" t="s">
        <v>193</v>
      </c>
    </row>
    <row r="34" spans="1:22" s="14" customFormat="1" ht="15.75" customHeight="1" x14ac:dyDescent="0.25">
      <c r="A34" s="24">
        <v>8814784</v>
      </c>
      <c r="B34" s="25" t="s">
        <v>129</v>
      </c>
      <c r="C34" s="25" t="s">
        <v>167</v>
      </c>
      <c r="D34" s="25" t="str">
        <f t="shared" si="1"/>
        <v>DU895U7</v>
      </c>
      <c r="E34" s="25" t="s">
        <v>169</v>
      </c>
      <c r="F34" s="25" t="s">
        <v>170</v>
      </c>
      <c r="G34" s="7" t="str">
        <f>CONCATENATE(E34," ",F34)</f>
        <v>LUKE PLANINIC</v>
      </c>
      <c r="H34" s="25" t="s">
        <v>46</v>
      </c>
      <c r="I34" s="25" t="s">
        <v>92</v>
      </c>
      <c r="J34" s="34">
        <v>46204</v>
      </c>
      <c r="K34" s="37"/>
      <c r="L34" s="25" t="s">
        <v>73</v>
      </c>
      <c r="M34" s="25" t="s">
        <v>157</v>
      </c>
      <c r="N34" s="25">
        <v>491.59</v>
      </c>
      <c r="O34" s="25">
        <v>0</v>
      </c>
      <c r="P34" s="25">
        <v>491.59</v>
      </c>
      <c r="Q34" s="25">
        <v>-1</v>
      </c>
      <c r="R34" s="25">
        <v>-202.41</v>
      </c>
      <c r="S34" s="9" t="s">
        <v>192</v>
      </c>
      <c r="T34" s="9" t="s">
        <v>193</v>
      </c>
      <c r="U34" s="9"/>
      <c r="V34" s="9"/>
    </row>
    <row r="35" spans="1:22" s="9" customFormat="1" ht="15.75" customHeight="1" x14ac:dyDescent="0.25">
      <c r="A35" s="6">
        <v>21283956</v>
      </c>
      <c r="B35" s="7" t="s">
        <v>65</v>
      </c>
      <c r="C35" s="7" t="s">
        <v>66</v>
      </c>
      <c r="D35" s="25" t="str">
        <f t="shared" si="1"/>
        <v>DFRHSF7</v>
      </c>
      <c r="E35" s="7" t="s">
        <v>68</v>
      </c>
      <c r="F35" s="7" t="s">
        <v>69</v>
      </c>
      <c r="G35" s="7" t="str">
        <f>CONCATENATE(E35," ",F35)</f>
        <v>VERN LOHMAN</v>
      </c>
      <c r="H35" s="7" t="s">
        <v>46</v>
      </c>
      <c r="I35" s="7" t="s">
        <v>71</v>
      </c>
      <c r="J35" s="18">
        <v>46235</v>
      </c>
      <c r="L35" s="7" t="s">
        <v>73</v>
      </c>
      <c r="M35" s="7" t="s">
        <v>74</v>
      </c>
      <c r="N35" s="7">
        <v>520.5</v>
      </c>
      <c r="O35" s="7">
        <v>0</v>
      </c>
      <c r="P35" s="7">
        <v>520.5</v>
      </c>
      <c r="Q35" s="7">
        <v>-1</v>
      </c>
      <c r="R35" s="7">
        <v>-173.5</v>
      </c>
      <c r="S35" s="9" t="s">
        <v>192</v>
      </c>
      <c r="T35" s="9" t="s">
        <v>205</v>
      </c>
      <c r="U35" s="9">
        <v>173.5</v>
      </c>
      <c r="V35" s="9">
        <f>347/12*6</f>
        <v>173.5</v>
      </c>
    </row>
    <row r="36" spans="1:22" s="14" customFormat="1" ht="15.75" customHeight="1" x14ac:dyDescent="0.25">
      <c r="A36" s="6">
        <v>17094718</v>
      </c>
      <c r="B36" s="7" t="s">
        <v>102</v>
      </c>
      <c r="C36" s="7" t="s">
        <v>103</v>
      </c>
      <c r="D36" s="25" t="str">
        <f t="shared" si="1"/>
        <v>DC6U8A7</v>
      </c>
      <c r="E36" s="7" t="s">
        <v>105</v>
      </c>
      <c r="F36" s="7" t="s">
        <v>106</v>
      </c>
      <c r="G36" s="7" t="str">
        <f>CONCATENATE(E36," ",F36)</f>
        <v>JULIE ROBERTS</v>
      </c>
      <c r="H36" s="7" t="s">
        <v>46</v>
      </c>
      <c r="I36" s="7" t="s">
        <v>71</v>
      </c>
      <c r="J36" s="8">
        <v>46235</v>
      </c>
      <c r="K36" s="9"/>
      <c r="L36" s="7" t="s">
        <v>73</v>
      </c>
      <c r="M36" s="7" t="s">
        <v>74</v>
      </c>
      <c r="N36" s="7">
        <v>520.5</v>
      </c>
      <c r="O36" s="7">
        <v>0</v>
      </c>
      <c r="P36" s="7">
        <v>520.5</v>
      </c>
      <c r="Q36" s="7">
        <v>-1</v>
      </c>
      <c r="R36" s="7">
        <v>-173.5</v>
      </c>
      <c r="S36" s="9" t="s">
        <v>192</v>
      </c>
      <c r="T36" s="9" t="s">
        <v>205</v>
      </c>
      <c r="U36" s="9"/>
      <c r="V36" s="9"/>
    </row>
    <row r="37" spans="1:22" s="14" customFormat="1" ht="15.75" customHeight="1" x14ac:dyDescent="0.25">
      <c r="A37" s="6">
        <v>21283956</v>
      </c>
      <c r="B37" s="7" t="s">
        <v>65</v>
      </c>
      <c r="C37" s="7" t="s">
        <v>172</v>
      </c>
      <c r="D37" s="25" t="str">
        <f t="shared" si="1"/>
        <v>DWSFJ77</v>
      </c>
      <c r="E37" s="7" t="s">
        <v>174</v>
      </c>
      <c r="F37" s="7" t="s">
        <v>175</v>
      </c>
      <c r="G37" s="7" t="str">
        <f>CONCATENATE(E37," ",F37)</f>
        <v>DEBORAH TESNOW</v>
      </c>
      <c r="H37" s="7" t="s">
        <v>46</v>
      </c>
      <c r="I37" s="7" t="s">
        <v>71</v>
      </c>
      <c r="J37" s="8">
        <v>46235</v>
      </c>
      <c r="K37" s="9"/>
      <c r="L37" s="7" t="s">
        <v>73</v>
      </c>
      <c r="M37" s="7" t="s">
        <v>157</v>
      </c>
      <c r="N37" s="7">
        <v>520.5</v>
      </c>
      <c r="O37" s="7">
        <v>0</v>
      </c>
      <c r="P37" s="7">
        <v>520.5</v>
      </c>
      <c r="Q37" s="7">
        <v>-1</v>
      </c>
      <c r="R37" s="7">
        <v>-173.5</v>
      </c>
      <c r="S37" s="9" t="s">
        <v>192</v>
      </c>
      <c r="T37" s="9" t="s">
        <v>205</v>
      </c>
      <c r="U37" s="9"/>
      <c r="V37" s="9"/>
    </row>
    <row r="38" spans="1:22" s="14" customFormat="1" ht="15.75" customHeight="1" x14ac:dyDescent="0.25">
      <c r="A38" s="24">
        <v>9213293</v>
      </c>
      <c r="B38" s="25" t="s">
        <v>94</v>
      </c>
      <c r="C38" s="25" t="s">
        <v>95</v>
      </c>
      <c r="D38" s="25" t="str">
        <f t="shared" si="1"/>
        <v>D799RE7</v>
      </c>
      <c r="E38" s="25" t="s">
        <v>97</v>
      </c>
      <c r="F38" s="25" t="s">
        <v>98</v>
      </c>
      <c r="G38" s="7" t="str">
        <f>CONCATENATE(E38," ",F38)</f>
        <v>DALE OLKER</v>
      </c>
      <c r="H38" s="25" t="s">
        <v>46</v>
      </c>
      <c r="I38" s="25" t="s">
        <v>100</v>
      </c>
      <c r="J38" s="34">
        <v>46266</v>
      </c>
      <c r="K38" s="26"/>
      <c r="L38" s="25" t="s">
        <v>73</v>
      </c>
      <c r="M38" s="25" t="s">
        <v>74</v>
      </c>
      <c r="N38" s="25">
        <v>549.41999999999996</v>
      </c>
      <c r="O38" s="25">
        <v>0</v>
      </c>
      <c r="P38" s="25">
        <v>549.41999999999996</v>
      </c>
      <c r="Q38" s="7">
        <v>-1</v>
      </c>
      <c r="R38" s="25">
        <v>-144.58000000000001</v>
      </c>
      <c r="S38" s="9" t="s">
        <v>192</v>
      </c>
      <c r="T38" s="9" t="s">
        <v>201</v>
      </c>
      <c r="U38" s="9">
        <v>144.58000000000001</v>
      </c>
      <c r="V38" s="9">
        <f>347/12*5</f>
        <v>144.58333333333334</v>
      </c>
    </row>
    <row r="39" spans="1:22" s="33" customFormat="1" x14ac:dyDescent="0.25">
      <c r="A39" s="30" t="s">
        <v>206</v>
      </c>
      <c r="B39" s="31" t="s">
        <v>41</v>
      </c>
      <c r="C39" s="31" t="s">
        <v>42</v>
      </c>
      <c r="D39" s="31" t="str">
        <f>CONCATENATE(C39,"OVR")</f>
        <v>DJCG22OVR</v>
      </c>
      <c r="E39" s="31" t="s">
        <v>44</v>
      </c>
      <c r="F39" s="31" t="s">
        <v>45</v>
      </c>
      <c r="G39" s="31" t="str">
        <f>CONCATENATE(E39," ",F39)</f>
        <v>GLORIA SMITH</v>
      </c>
      <c r="H39" s="31" t="s">
        <v>46</v>
      </c>
      <c r="I39" s="31" t="s">
        <v>48</v>
      </c>
      <c r="J39" s="32">
        <v>46143</v>
      </c>
      <c r="K39" s="31" t="s">
        <v>49</v>
      </c>
      <c r="L39" s="31" t="s">
        <v>52</v>
      </c>
      <c r="M39" s="31" t="s">
        <v>53</v>
      </c>
      <c r="N39" s="31">
        <v>-202.42</v>
      </c>
      <c r="O39" s="31">
        <v>-116.67</v>
      </c>
      <c r="P39" s="31">
        <v>-319.08999999999997</v>
      </c>
      <c r="Q39" s="31">
        <v>-116.67</v>
      </c>
      <c r="R39" s="31">
        <v>-116.67</v>
      </c>
      <c r="S39" s="33" t="s">
        <v>191</v>
      </c>
    </row>
    <row r="40" spans="1:22" s="33" customFormat="1" x14ac:dyDescent="0.25">
      <c r="A40" s="30" t="s">
        <v>207</v>
      </c>
      <c r="B40" s="31" t="s">
        <v>55</v>
      </c>
      <c r="C40" s="31" t="s">
        <v>56</v>
      </c>
      <c r="D40" s="31" t="str">
        <f t="shared" ref="D40:D45" si="2">CONCATENATE(C40,"OVR")</f>
        <v>DEHCC4OVR</v>
      </c>
      <c r="E40" s="31" t="s">
        <v>58</v>
      </c>
      <c r="F40" s="31" t="s">
        <v>59</v>
      </c>
      <c r="G40" s="31" t="str">
        <f>CONCATENATE(E40," ",F40)</f>
        <v>PONCIANO GONZALEZ</v>
      </c>
      <c r="H40" s="31" t="s">
        <v>46</v>
      </c>
      <c r="I40" s="31" t="s">
        <v>61</v>
      </c>
      <c r="J40" s="32">
        <v>46143</v>
      </c>
      <c r="K40" s="31" t="s">
        <v>49</v>
      </c>
      <c r="L40" s="31" t="s">
        <v>52</v>
      </c>
      <c r="M40" s="31" t="s">
        <v>63</v>
      </c>
      <c r="N40" s="31">
        <v>0</v>
      </c>
      <c r="O40" s="31">
        <v>-75</v>
      </c>
      <c r="P40" s="31">
        <v>-75</v>
      </c>
      <c r="Q40" s="31">
        <v>-75</v>
      </c>
      <c r="R40" s="31">
        <v>-75</v>
      </c>
      <c r="S40" s="33" t="s">
        <v>191</v>
      </c>
    </row>
    <row r="41" spans="1:22" s="33" customFormat="1" x14ac:dyDescent="0.25">
      <c r="A41" s="30" t="s">
        <v>207</v>
      </c>
      <c r="B41" s="31" t="s">
        <v>55</v>
      </c>
      <c r="C41" s="31" t="s">
        <v>56</v>
      </c>
      <c r="D41" s="31" t="str">
        <f t="shared" si="2"/>
        <v>DEHCC4OVR</v>
      </c>
      <c r="E41" s="31" t="s">
        <v>58</v>
      </c>
      <c r="F41" s="31" t="s">
        <v>59</v>
      </c>
      <c r="G41" s="31" t="str">
        <f>CONCATENATE(E41," ",F41)</f>
        <v>PONCIANO GONZALEZ</v>
      </c>
      <c r="H41" s="31" t="s">
        <v>46</v>
      </c>
      <c r="I41" s="31" t="s">
        <v>61</v>
      </c>
      <c r="J41" s="32">
        <v>46143</v>
      </c>
      <c r="K41" s="31" t="s">
        <v>49</v>
      </c>
      <c r="L41" s="31" t="s">
        <v>52</v>
      </c>
      <c r="M41" s="31" t="s">
        <v>63</v>
      </c>
      <c r="N41" s="31">
        <v>0</v>
      </c>
      <c r="O41" s="31">
        <v>-125</v>
      </c>
      <c r="P41" s="31">
        <v>-125</v>
      </c>
      <c r="Q41" s="31">
        <v>-125</v>
      </c>
      <c r="R41" s="31">
        <v>-125</v>
      </c>
      <c r="S41" s="33" t="s">
        <v>191</v>
      </c>
    </row>
    <row r="42" spans="1:22" s="33" customFormat="1" ht="15.75" customHeight="1" x14ac:dyDescent="0.25">
      <c r="A42" s="30" t="s">
        <v>208</v>
      </c>
      <c r="B42" s="31" t="s">
        <v>102</v>
      </c>
      <c r="C42" s="31" t="s">
        <v>177</v>
      </c>
      <c r="D42" s="31" t="str">
        <f t="shared" si="2"/>
        <v>DEHYRFOVR</v>
      </c>
      <c r="E42" s="31" t="s">
        <v>179</v>
      </c>
      <c r="F42" s="31" t="s">
        <v>180</v>
      </c>
      <c r="G42" s="31" t="str">
        <f>CONCATENATE(E42," ",F42)</f>
        <v>TERRY STILES</v>
      </c>
      <c r="H42" s="31" t="s">
        <v>181</v>
      </c>
      <c r="I42" s="31" t="s">
        <v>92</v>
      </c>
      <c r="J42" s="32">
        <v>46387</v>
      </c>
      <c r="L42" s="31" t="s">
        <v>73</v>
      </c>
      <c r="M42" s="31" t="s">
        <v>157</v>
      </c>
      <c r="N42" s="31">
        <v>0</v>
      </c>
      <c r="O42" s="31">
        <v>125</v>
      </c>
      <c r="P42" s="31">
        <v>125</v>
      </c>
      <c r="Q42" s="31">
        <v>125</v>
      </c>
      <c r="R42" s="31">
        <v>125</v>
      </c>
      <c r="S42" s="33" t="s">
        <v>191</v>
      </c>
    </row>
    <row r="43" spans="1:22" s="33" customFormat="1" ht="15.75" customHeight="1" x14ac:dyDescent="0.25">
      <c r="A43" s="30" t="s">
        <v>208</v>
      </c>
      <c r="B43" s="31" t="s">
        <v>102</v>
      </c>
      <c r="C43" s="31" t="s">
        <v>177</v>
      </c>
      <c r="D43" s="31" t="str">
        <f t="shared" si="2"/>
        <v>DEHYRFOVR</v>
      </c>
      <c r="E43" s="31" t="s">
        <v>179</v>
      </c>
      <c r="F43" s="31" t="s">
        <v>180</v>
      </c>
      <c r="G43" s="31" t="str">
        <f>CONCATENATE(E43," ",F43)</f>
        <v>TERRY STILES</v>
      </c>
      <c r="H43" s="31" t="s">
        <v>181</v>
      </c>
      <c r="I43" s="31" t="s">
        <v>92</v>
      </c>
      <c r="J43" s="32">
        <v>46387</v>
      </c>
      <c r="L43" s="31" t="s">
        <v>73</v>
      </c>
      <c r="M43" s="31" t="s">
        <v>157</v>
      </c>
      <c r="N43" s="31">
        <v>0</v>
      </c>
      <c r="O43" s="31">
        <v>75</v>
      </c>
      <c r="P43" s="31">
        <v>75</v>
      </c>
      <c r="Q43" s="31">
        <v>75</v>
      </c>
      <c r="R43" s="31">
        <v>75</v>
      </c>
      <c r="S43" s="33" t="s">
        <v>191</v>
      </c>
    </row>
    <row r="44" spans="1:22" s="33" customFormat="1" ht="15.75" customHeight="1" x14ac:dyDescent="0.25">
      <c r="A44" s="30" t="s">
        <v>208</v>
      </c>
      <c r="B44" s="31" t="s">
        <v>102</v>
      </c>
      <c r="C44" s="31" t="s">
        <v>184</v>
      </c>
      <c r="D44" s="31" t="str">
        <f t="shared" si="2"/>
        <v>D59CS5OVR</v>
      </c>
      <c r="E44" s="31" t="s">
        <v>186</v>
      </c>
      <c r="F44" s="31" t="s">
        <v>187</v>
      </c>
      <c r="G44" s="31" t="str">
        <f>CONCATENATE(E44," ",F44)</f>
        <v>JANE WEBB</v>
      </c>
      <c r="H44" s="31" t="s">
        <v>188</v>
      </c>
      <c r="I44" s="31" t="s">
        <v>92</v>
      </c>
      <c r="J44" s="32">
        <v>46387</v>
      </c>
      <c r="L44" s="31" t="s">
        <v>73</v>
      </c>
      <c r="M44" s="31" t="s">
        <v>157</v>
      </c>
      <c r="N44" s="31">
        <v>0</v>
      </c>
      <c r="O44" s="31">
        <v>125</v>
      </c>
      <c r="P44" s="31">
        <v>125</v>
      </c>
      <c r="Q44" s="31">
        <v>125</v>
      </c>
      <c r="R44" s="31">
        <v>125</v>
      </c>
      <c r="S44" s="33" t="s">
        <v>191</v>
      </c>
    </row>
    <row r="45" spans="1:22" s="33" customFormat="1" ht="15.75" customHeight="1" x14ac:dyDescent="0.25">
      <c r="A45" s="30" t="s">
        <v>208</v>
      </c>
      <c r="B45" s="31" t="s">
        <v>102</v>
      </c>
      <c r="C45" s="31" t="s">
        <v>184</v>
      </c>
      <c r="D45" s="31" t="str">
        <f t="shared" si="2"/>
        <v>D59CS5OVR</v>
      </c>
      <c r="E45" s="31" t="s">
        <v>186</v>
      </c>
      <c r="F45" s="31" t="s">
        <v>187</v>
      </c>
      <c r="G45" s="31" t="str">
        <f>CONCATENATE(E45," ",F45)</f>
        <v>JANE WEBB</v>
      </c>
      <c r="H45" s="31" t="s">
        <v>188</v>
      </c>
      <c r="I45" s="31" t="s">
        <v>92</v>
      </c>
      <c r="J45" s="32">
        <v>46387</v>
      </c>
      <c r="L45" s="31" t="s">
        <v>73</v>
      </c>
      <c r="M45" s="31" t="s">
        <v>157</v>
      </c>
      <c r="N45" s="31">
        <v>0</v>
      </c>
      <c r="O45" s="31">
        <v>75</v>
      </c>
      <c r="P45" s="31">
        <v>75</v>
      </c>
      <c r="Q45" s="31">
        <v>75</v>
      </c>
      <c r="R45" s="31">
        <v>75</v>
      </c>
      <c r="S45" s="33" t="s">
        <v>191</v>
      </c>
    </row>
    <row r="46" spans="1:22" ht="15.75" customHeight="1" x14ac:dyDescent="0.25"/>
    <row r="47" spans="1:22" ht="15.75" customHeight="1" x14ac:dyDescent="0.25"/>
    <row r="48" spans="1:2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1001" x14ac:dyDescent="0.25"/>
  </sheetData>
  <sortState xmlns:xlrd2="http://schemas.microsoft.com/office/spreadsheetml/2017/richdata2" ref="A2:V45">
    <sortCondition ref="S2:S45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2026-06-15T06:29:19Z</dcterms:created>
  <dcterms:modified xsi:type="dcterms:W3CDTF">2026-06-16T20:29:08Z</dcterms:modified>
</cp:coreProperties>
</file>