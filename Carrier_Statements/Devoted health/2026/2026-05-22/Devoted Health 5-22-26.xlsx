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Devoted health\2026\2026-05-22\"/>
    </mc:Choice>
  </mc:AlternateContent>
  <xr:revisionPtr revIDLastSave="0" documentId="13_ncr:1_{B68BCE70-A83B-4B66-82EB-7796C695D91B}" xr6:coauthVersionLast="47" xr6:coauthVersionMax="47" xr10:uidLastSave="{00000000-0000-0000-0000-000000000000}"/>
  <bookViews>
    <workbookView xWindow="-120" yWindow="-120" windowWidth="29040" windowHeight="15720" tabRatio="204" firstSheet="1" activeTab="2" xr2:uid="{00000000-000D-0000-FFFF-FFFF00000000}"/>
  </bookViews>
  <sheets>
    <sheet name="Summary" sheetId="1" r:id="rId1"/>
    <sheet name="Detail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3" l="1"/>
  <c r="O3" i="3"/>
  <c r="O2" i="3"/>
</calcChain>
</file>

<file path=xl/sharedStrings.xml><?xml version="1.0" encoding="utf-8"?>
<sst xmlns="http://schemas.openxmlformats.org/spreadsheetml/2006/main" count="229" uniqueCount="66">
  <si>
    <t>Description</t>
  </si>
  <si>
    <t>Member Count</t>
  </si>
  <si>
    <t>Total</t>
  </si>
  <si>
    <t>Payee</t>
  </si>
  <si>
    <t>Payment Date</t>
  </si>
  <si>
    <t>Credits</t>
  </si>
  <si>
    <t>$1,120.49</t>
  </si>
  <si>
    <t>Main Line Benefits LLC</t>
  </si>
  <si>
    <t>05/22/2026</t>
  </si>
  <si>
    <t>Debits</t>
  </si>
  <si>
    <t>$0.00</t>
  </si>
  <si>
    <t>Miscellaneous</t>
  </si>
  <si>
    <t>Bonus</t>
  </si>
  <si>
    <t>Sub Total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</si>
  <si>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</si>
  <si>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</si>
  <si>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</si>
  <si>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</si>
  <si>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</si>
  <si>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</si>
  <si>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</si>
  <si>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</si>
  <si>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</si>
  <si>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</si>
  <si>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</si>
  <si>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</si>
  <si>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</si>
  <si>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</si>
  <si>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</si>
  <si>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</si>
  <si>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</si>
  <si>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</si>
  <si>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</si>
  <si>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</si>
  <si>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</si>
  <si>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</si>
  <si>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</si>
  <si>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</si>
  <si>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2158366</t>
  </si>
  <si>
    <t>Jeffrey Horn</t>
  </si>
  <si>
    <t>DYFEUA</t>
  </si>
  <si>
    <t>5T26VA6CG75</t>
  </si>
  <si>
    <t>EDGAR</t>
  </si>
  <si>
    <t>CARRERA</t>
  </si>
  <si>
    <t>IL</t>
  </si>
  <si>
    <t>05/06/2026</t>
  </si>
  <si>
    <t>06/01/2026</t>
  </si>
  <si>
    <t>H6545</t>
  </si>
  <si>
    <t>Initial - Not New</t>
  </si>
  <si>
    <t>May</t>
  </si>
  <si>
    <t>9213293</t>
  </si>
  <si>
    <t>Gary Portugal</t>
  </si>
  <si>
    <t>D799RE</t>
  </si>
  <si>
    <t>1HR0W10MM31</t>
  </si>
  <si>
    <t>DALE</t>
  </si>
  <si>
    <t>OLKER</t>
  </si>
  <si>
    <t>05/02/2026</t>
  </si>
  <si>
    <t>08/01/2026</t>
  </si>
  <si>
    <t>H7151</t>
  </si>
  <si>
    <t>17094718</t>
  </si>
  <si>
    <t>Greg Hansford</t>
  </si>
  <si>
    <t>DC6U8A</t>
  </si>
  <si>
    <t>1XA6D48NQ51</t>
  </si>
  <si>
    <t>JULIE</t>
  </si>
  <si>
    <t>ROBERTS</t>
  </si>
  <si>
    <t>07/01/2026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</si>
</sst>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sz val="12"/>
      <color rgb="FF212529"/>
      <name val="Ebrima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NumberFormat="1" applyAlignment="1">
      <alignment horizontal="left"/>
    </xf>
    <xf numFmtId="0" fontId="0" fillId="2" borderId="0" xfId="0" applyNumberFormat="1" applyFill="1" applyAlignment="1">
      <alignment horizontal="left"/>
    </xf>
    <xf numFmtId="0" fontId="1" fillId="0" borderId="0" xfId="0" applyFont="1"/>
    <xf numFmtId="0" fontId="1" fillId="3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3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0</v>
      </c>
      <c r="C3" t="s">
        <v>10</v>
      </c>
    </row>
    <row r="4" spans="1:6" x14ac:dyDescent="0.25">
      <c r="A4" t="s">
        <v>11</v>
      </c>
      <c r="B4">
        <v>0</v>
      </c>
      <c r="C4" t="s">
        <v>10</v>
      </c>
    </row>
    <row r="5" spans="1:6" x14ac:dyDescent="0.25">
      <c r="A5" t="s">
        <v>12</v>
      </c>
      <c r="C5" t="s">
        <v>10</v>
      </c>
    </row>
    <row r="6" spans="1:6" x14ac:dyDescent="0.25">
      <c r="A6" t="s">
        <v>13</v>
      </c>
      <c r="B6">
        <v>3</v>
      </c>
      <c r="C6" t="s">
        <v>6</v>
      </c>
    </row>
    <row r="7" spans="1:6" x14ac:dyDescent="0.25">
      <c r="A7" t="s">
        <v>14</v>
      </c>
      <c r="C7" t="s">
        <v>10</v>
      </c>
    </row>
    <row r="8" spans="1:6" x14ac:dyDescent="0.25">
      <c r="A8" t="s">
        <v>15</v>
      </c>
      <c r="C8" t="s">
        <v>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"/>
  <sheetViews>
    <sheetView zoomScaleNormal="100" workbookViewId="0">
      <selection activeCell="T1" sqref="T1:T1048576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</row>
    <row r="2" spans="1:22" x14ac:dyDescent="0.25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L2" t="s">
        <v>47</v>
      </c>
      <c r="M2">
        <v>10</v>
      </c>
      <c r="O2">
        <v>0</v>
      </c>
      <c r="P2" t="s">
        <v>48</v>
      </c>
      <c r="Q2" t="s">
        <v>49</v>
      </c>
      <c r="R2">
        <v>0</v>
      </c>
      <c r="S2">
        <v>75</v>
      </c>
      <c r="T2">
        <v>75</v>
      </c>
      <c r="U2" t="s">
        <v>7</v>
      </c>
    </row>
    <row r="3" spans="1:22" x14ac:dyDescent="0.25">
      <c r="A3" t="s">
        <v>8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L3" t="s">
        <v>47</v>
      </c>
      <c r="M3">
        <v>10</v>
      </c>
      <c r="O3">
        <v>0</v>
      </c>
      <c r="P3" t="s">
        <v>48</v>
      </c>
      <c r="Q3" t="s">
        <v>49</v>
      </c>
      <c r="R3">
        <v>0</v>
      </c>
      <c r="S3">
        <v>125</v>
      </c>
      <c r="T3">
        <v>125</v>
      </c>
      <c r="U3" t="s">
        <v>7</v>
      </c>
    </row>
    <row r="4" spans="1:22" x14ac:dyDescent="0.25">
      <c r="A4" t="s">
        <v>8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L4" t="s">
        <v>47</v>
      </c>
      <c r="M4">
        <v>10</v>
      </c>
      <c r="O4">
        <v>0</v>
      </c>
      <c r="P4" t="s">
        <v>48</v>
      </c>
      <c r="Q4" t="s">
        <v>49</v>
      </c>
      <c r="R4">
        <v>202.41</v>
      </c>
      <c r="S4">
        <v>0</v>
      </c>
      <c r="T4">
        <v>202.41</v>
      </c>
      <c r="U4" t="s">
        <v>7</v>
      </c>
    </row>
    <row r="5" spans="1:22" x14ac:dyDescent="0.25">
      <c r="A5" t="s">
        <v>8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44</v>
      </c>
      <c r="I5" t="s">
        <v>56</v>
      </c>
      <c r="J5" t="s">
        <v>57</v>
      </c>
      <c r="L5" t="s">
        <v>58</v>
      </c>
      <c r="M5">
        <v>3</v>
      </c>
      <c r="O5">
        <v>0</v>
      </c>
      <c r="P5" t="s">
        <v>48</v>
      </c>
      <c r="Q5" t="s">
        <v>49</v>
      </c>
      <c r="R5">
        <v>0</v>
      </c>
      <c r="S5">
        <v>75</v>
      </c>
      <c r="T5">
        <v>75</v>
      </c>
      <c r="U5" t="s">
        <v>7</v>
      </c>
    </row>
    <row r="6" spans="1:22" x14ac:dyDescent="0.25">
      <c r="A6" t="s">
        <v>8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44</v>
      </c>
      <c r="I6" t="s">
        <v>56</v>
      </c>
      <c r="J6" t="s">
        <v>57</v>
      </c>
      <c r="L6" t="s">
        <v>58</v>
      </c>
      <c r="M6">
        <v>3</v>
      </c>
      <c r="O6">
        <v>0</v>
      </c>
      <c r="P6" t="s">
        <v>48</v>
      </c>
      <c r="Q6" t="s">
        <v>49</v>
      </c>
      <c r="R6">
        <v>144.58000000000001</v>
      </c>
      <c r="S6">
        <v>0</v>
      </c>
      <c r="T6">
        <v>144.58000000000001</v>
      </c>
      <c r="U6" t="s">
        <v>7</v>
      </c>
    </row>
    <row r="7" spans="1:22" x14ac:dyDescent="0.25">
      <c r="A7" t="s">
        <v>8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44</v>
      </c>
      <c r="I7" t="s">
        <v>56</v>
      </c>
      <c r="J7" t="s">
        <v>57</v>
      </c>
      <c r="L7" t="s">
        <v>58</v>
      </c>
      <c r="M7">
        <v>3</v>
      </c>
      <c r="O7">
        <v>0</v>
      </c>
      <c r="P7" t="s">
        <v>48</v>
      </c>
      <c r="Q7" t="s">
        <v>49</v>
      </c>
      <c r="R7">
        <v>0</v>
      </c>
      <c r="S7">
        <v>125</v>
      </c>
      <c r="T7">
        <v>125</v>
      </c>
      <c r="U7" t="s">
        <v>7</v>
      </c>
    </row>
    <row r="8" spans="1:22" x14ac:dyDescent="0.25">
      <c r="A8" t="s">
        <v>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44</v>
      </c>
      <c r="I8" t="s">
        <v>45</v>
      </c>
      <c r="J8" t="s">
        <v>65</v>
      </c>
      <c r="L8" t="s">
        <v>58</v>
      </c>
      <c r="M8">
        <v>3</v>
      </c>
      <c r="O8">
        <v>0</v>
      </c>
      <c r="P8" t="s">
        <v>48</v>
      </c>
      <c r="Q8" t="s">
        <v>49</v>
      </c>
      <c r="R8">
        <v>0</v>
      </c>
      <c r="S8">
        <v>75</v>
      </c>
      <c r="T8">
        <v>75</v>
      </c>
      <c r="U8" t="s">
        <v>7</v>
      </c>
    </row>
    <row r="9" spans="1:22" x14ac:dyDescent="0.25">
      <c r="A9" t="s">
        <v>8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44</v>
      </c>
      <c r="I9" t="s">
        <v>45</v>
      </c>
      <c r="J9" t="s">
        <v>65</v>
      </c>
      <c r="L9" t="s">
        <v>58</v>
      </c>
      <c r="M9">
        <v>3</v>
      </c>
      <c r="O9">
        <v>0</v>
      </c>
      <c r="P9" t="s">
        <v>48</v>
      </c>
      <c r="Q9" t="s">
        <v>49</v>
      </c>
      <c r="R9">
        <v>0</v>
      </c>
      <c r="S9">
        <v>125</v>
      </c>
      <c r="T9">
        <v>125</v>
      </c>
      <c r="U9" t="s">
        <v>7</v>
      </c>
    </row>
    <row r="10" spans="1:22" x14ac:dyDescent="0.25">
      <c r="A10" t="s">
        <v>8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44</v>
      </c>
      <c r="I10" t="s">
        <v>45</v>
      </c>
      <c r="J10" t="s">
        <v>65</v>
      </c>
      <c r="L10" t="s">
        <v>58</v>
      </c>
      <c r="M10">
        <v>3</v>
      </c>
      <c r="O10">
        <v>0</v>
      </c>
      <c r="P10" t="s">
        <v>48</v>
      </c>
      <c r="Q10" t="s">
        <v>49</v>
      </c>
      <c r="R10">
        <v>173.5</v>
      </c>
      <c r="S10">
        <v>0</v>
      </c>
      <c r="T10">
        <v>173.5</v>
      </c>
      <c r="U10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D03C-DA87-4F07-A294-0F3CC773B5BE}">
  <dimension ref="A1:O17"/>
  <sheetViews>
    <sheetView tabSelected="1" workbookViewId="0">
      <selection activeCell="J11" sqref="J11"/>
    </sheetView>
  </sheetViews>
  <sheetFormatPr defaultRowHeight="15" x14ac:dyDescent="0.25"/>
  <cols>
    <col min="1" max="1" width="10" customWidth="1"/>
    <col min="2" max="2" width="25" customWidth="1"/>
    <col min="3" max="3" width="15" customWidth="1"/>
    <col min="5" max="5" width="12.7109375" customWidth="1"/>
    <col min="6" max="6" width="13.7109375" customWidth="1"/>
    <col min="7" max="7" width="13.42578125" customWidth="1"/>
    <col min="8" max="8" width="16.7109375" customWidth="1"/>
    <col min="9" max="9" width="6.7109375" customWidth="1"/>
    <col min="10" max="10" width="12.85546875" customWidth="1"/>
    <col min="11" max="11" width="14.5703125" customWidth="1"/>
    <col min="12" max="12" width="14" customWidth="1"/>
  </cols>
  <sheetData>
    <row r="1" spans="1:15" x14ac:dyDescent="0.25">
      <c r="A1" t="s">
        <v>17</v>
      </c>
      <c r="B1" t="s">
        <v>18</v>
      </c>
      <c r="C1" t="s">
        <v>19</v>
      </c>
      <c r="D1" t="s">
        <v>21</v>
      </c>
      <c r="E1" t="s">
        <v>22</v>
      </c>
      <c r="F1" t="s">
        <v>23</v>
      </c>
      <c r="G1" t="s">
        <v>25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</row>
    <row r="2" spans="1:15" x14ac:dyDescent="0.25">
      <c r="A2" s="2">
        <v>2158366</v>
      </c>
      <c r="B2" t="s">
        <v>39</v>
      </c>
      <c r="C2" t="s">
        <v>40</v>
      </c>
      <c r="D2" t="s">
        <v>42</v>
      </c>
      <c r="E2" t="s">
        <v>43</v>
      </c>
      <c r="F2" t="s">
        <v>44</v>
      </c>
      <c r="G2" t="s">
        <v>46</v>
      </c>
      <c r="H2" t="s">
        <v>48</v>
      </c>
      <c r="I2" t="s">
        <v>49</v>
      </c>
      <c r="J2">
        <v>202.41</v>
      </c>
      <c r="K2">
        <v>0</v>
      </c>
      <c r="L2">
        <v>202.41</v>
      </c>
      <c r="M2">
        <v>202.41</v>
      </c>
      <c r="O2">
        <f>347/12*7</f>
        <v>202.41666666666669</v>
      </c>
    </row>
    <row r="3" spans="1:15" x14ac:dyDescent="0.25">
      <c r="A3" s="2">
        <v>9213293</v>
      </c>
      <c r="B3" t="s">
        <v>51</v>
      </c>
      <c r="C3" t="s">
        <v>52</v>
      </c>
      <c r="D3" t="s">
        <v>54</v>
      </c>
      <c r="E3" t="s">
        <v>55</v>
      </c>
      <c r="F3" t="s">
        <v>44</v>
      </c>
      <c r="G3" t="s">
        <v>57</v>
      </c>
      <c r="H3" t="s">
        <v>48</v>
      </c>
      <c r="I3" t="s">
        <v>49</v>
      </c>
      <c r="J3">
        <v>144.58000000000001</v>
      </c>
      <c r="K3">
        <v>0</v>
      </c>
      <c r="L3">
        <v>144.58000000000001</v>
      </c>
      <c r="M3">
        <v>144.58000000000001</v>
      </c>
      <c r="O3">
        <f>347/12*5</f>
        <v>144.58333333333334</v>
      </c>
    </row>
    <row r="4" spans="1:15" x14ac:dyDescent="0.25">
      <c r="A4" s="2">
        <v>17094718</v>
      </c>
      <c r="B4" t="s">
        <v>60</v>
      </c>
      <c r="C4" t="s">
        <v>61</v>
      </c>
      <c r="D4" t="s">
        <v>63</v>
      </c>
      <c r="E4" t="s">
        <v>64</v>
      </c>
      <c r="F4" t="s">
        <v>44</v>
      </c>
      <c r="G4" t="s">
        <v>65</v>
      </c>
      <c r="H4" t="s">
        <v>48</v>
      </c>
      <c r="I4" t="s">
        <v>49</v>
      </c>
      <c r="J4">
        <v>173.5</v>
      </c>
      <c r="K4">
        <v>0</v>
      </c>
      <c r="L4">
        <v>173.5</v>
      </c>
      <c r="M4">
        <v>173.5</v>
      </c>
      <c r="O4">
        <f>347/12*6</f>
        <v>173.5</v>
      </c>
    </row>
    <row r="5" spans="1:15" s="1" customFormat="1" x14ac:dyDescent="0.25">
      <c r="A5" s="3">
        <v>2158366</v>
      </c>
      <c r="B5" s="1" t="s">
        <v>39</v>
      </c>
      <c r="C5" s="1" t="s">
        <v>40</v>
      </c>
      <c r="D5" s="1" t="s">
        <v>42</v>
      </c>
      <c r="E5" s="1" t="s">
        <v>43</v>
      </c>
      <c r="F5" s="1" t="s">
        <v>44</v>
      </c>
      <c r="G5" s="1" t="s">
        <v>46</v>
      </c>
      <c r="H5" s="1" t="s">
        <v>48</v>
      </c>
      <c r="I5" s="1" t="s">
        <v>49</v>
      </c>
      <c r="J5" s="1">
        <v>0</v>
      </c>
      <c r="K5" s="1">
        <v>75</v>
      </c>
      <c r="L5" s="1">
        <v>75</v>
      </c>
      <c r="M5" s="1">
        <v>200</v>
      </c>
    </row>
    <row r="6" spans="1:15" s="1" customFormat="1" x14ac:dyDescent="0.25">
      <c r="A6" s="3">
        <v>9213293</v>
      </c>
      <c r="B6" s="1" t="s">
        <v>51</v>
      </c>
      <c r="C6" s="1" t="s">
        <v>52</v>
      </c>
      <c r="D6" s="1" t="s">
        <v>54</v>
      </c>
      <c r="E6" s="1" t="s">
        <v>55</v>
      </c>
      <c r="F6" s="1" t="s">
        <v>44</v>
      </c>
      <c r="G6" s="1" t="s">
        <v>57</v>
      </c>
      <c r="H6" s="1" t="s">
        <v>48</v>
      </c>
      <c r="I6" s="1" t="s">
        <v>49</v>
      </c>
      <c r="J6" s="1">
        <v>0</v>
      </c>
      <c r="K6" s="1">
        <v>75</v>
      </c>
      <c r="L6" s="1">
        <v>75</v>
      </c>
      <c r="M6" s="1">
        <v>200</v>
      </c>
    </row>
    <row r="7" spans="1:15" s="1" customFormat="1" x14ac:dyDescent="0.25">
      <c r="A7" s="3">
        <v>17094718</v>
      </c>
      <c r="B7" s="1" t="s">
        <v>60</v>
      </c>
      <c r="C7" s="1" t="s">
        <v>61</v>
      </c>
      <c r="D7" s="1" t="s">
        <v>63</v>
      </c>
      <c r="E7" s="1" t="s">
        <v>64</v>
      </c>
      <c r="F7" s="1" t="s">
        <v>44</v>
      </c>
      <c r="G7" s="1" t="s">
        <v>65</v>
      </c>
      <c r="H7" s="1" t="s">
        <v>48</v>
      </c>
      <c r="I7" s="1" t="s">
        <v>49</v>
      </c>
      <c r="J7" s="1">
        <v>0</v>
      </c>
      <c r="K7" s="1">
        <v>75</v>
      </c>
      <c r="L7" s="1">
        <v>75</v>
      </c>
      <c r="M7" s="1">
        <v>200</v>
      </c>
    </row>
    <row r="16" spans="1:15" ht="18" thickBot="1" x14ac:dyDescent="0.35">
      <c r="B16" s="4"/>
    </row>
    <row r="17" spans="2:3" ht="18" thickBot="1" x14ac:dyDescent="0.3">
      <c r="B17" s="5"/>
      <c r="C1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2026-05-23T07:34:57Z</dcterms:created>
  <dcterms:modified xsi:type="dcterms:W3CDTF">2026-05-26T19:54:39Z</dcterms:modified>
</cp:coreProperties>
</file>