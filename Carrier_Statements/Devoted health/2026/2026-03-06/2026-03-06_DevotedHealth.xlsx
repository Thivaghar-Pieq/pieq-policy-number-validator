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3-6-26\"/>
    </mc:Choice>
  </mc:AlternateContent>
  <xr:revisionPtr revIDLastSave="0" documentId="13_ncr:1_{FE451504-1633-4697-B2BA-5D5A15A73EFB}" xr6:coauthVersionLast="47" xr6:coauthVersionMax="47" xr10:uidLastSave="{00000000-0000-0000-0000-000000000000}"/>
  <bookViews>
    <workbookView xWindow="-120" yWindow="-120" windowWidth="29040" windowHeight="16440" tabRatio="204" activeTab="1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D6" i="3" l="1"/>
  <c r="D5" i="3"/>
  <c r="D9" i="3"/>
  <c r="D8" i="3"/>
  <c r="D17" i="3"/>
  <c r="D16" i="3"/>
  <c r="D20" i="3"/>
  <c r="D19" i="3"/>
  <c r="D14" i="3"/>
  <c r="D13" i="3"/>
  <c r="D22" i="3"/>
  <c r="D3" i="3"/>
  <c r="D11" i="3"/>
  <c r="D4" i="3"/>
  <c r="D7" i="3"/>
  <c r="D15" i="3"/>
  <c r="D18" i="3"/>
  <c r="D12" i="3"/>
  <c r="D21" i="3"/>
  <c r="D2" i="3"/>
  <c r="D10" i="3"/>
  <c r="G2" i="3"/>
  <c r="G21" i="3"/>
  <c r="G12" i="3"/>
  <c r="G18" i="3"/>
  <c r="G15" i="3"/>
  <c r="G7" i="3"/>
  <c r="G4" i="3"/>
  <c r="G11" i="3"/>
  <c r="G3" i="3"/>
  <c r="G22" i="3"/>
  <c r="G13" i="3"/>
  <c r="G14" i="3"/>
  <c r="G19" i="3"/>
  <c r="G20" i="3"/>
  <c r="G16" i="3"/>
  <c r="G17" i="3"/>
  <c r="G8" i="3"/>
  <c r="G9" i="3"/>
  <c r="G5" i="3"/>
  <c r="G6" i="3"/>
  <c r="G10" i="3"/>
</calcChain>
</file>

<file path=xl/sharedStrings.xml><?xml version="1.0" encoding="utf-8"?>
<sst xmlns="http://schemas.openxmlformats.org/spreadsheetml/2006/main" count="488" uniqueCount="114">
  <si>
    <t>Description</t>
  </si>
  <si>
    <t>Member Count</t>
  </si>
  <si>
    <t>Total</t>
  </si>
  <si>
    <t>Payee</t>
  </si>
  <si>
    <t>Payment Date</t>
  </si>
  <si>
    <t>Credits</t>
  </si>
  <si>
    <t>$2,387.98</t>
  </si>
  <si>
    <t>Main Line Benefits LLC</t>
  </si>
  <si>
    <t>03/06/2026</t>
  </si>
  <si>
    <t>Debits</t>
  </si>
  <si>
    <t>($1,641.00)</t>
  </si>
  <si>
    <t>Miscellaneous</t>
  </si>
  <si>
    <t>$0.00</t>
  </si>
  <si>
    <t>Bonus</t>
  </si>
  <si>
    <t>Sub Total</t>
  </si>
  <si>
    <t>$746.98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</si>
  <si>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</si>
  <si>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</si>
  <si>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</si>
  <si>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</si>
  <si>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</si>
  <si>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</si>
  <si>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</si>
  <si>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</si>
  <si>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</si>
  <si>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</si>
  <si>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</si>
  <si>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</si>
  <si>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</si>
  <si>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</si>
  <si>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</si>
  <si>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</si>
  <si>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</si>
  <si>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</si>
  <si>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</si>
  <si>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</si>
  <si>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</si>
  <si>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</si>
  <si>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</si>
  <si>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</si>
  <si>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19491313</t>
  </si>
  <si>
    <t>Steven Brandt</t>
  </si>
  <si>
    <t>DW6HEW</t>
  </si>
  <si>
    <t>3V23AE3AW78</t>
  </si>
  <si>
    <t>FARAG</t>
  </si>
  <si>
    <t>ELGEROUSHI</t>
  </si>
  <si>
    <t>OH</t>
  </si>
  <si>
    <t>12/03/2025</t>
  </si>
  <si>
    <t>01/01/2026</t>
  </si>
  <si>
    <t>02/28/2026</t>
  </si>
  <si>
    <t>H2697</t>
  </si>
  <si>
    <t>MAPD</t>
  </si>
  <si>
    <t>Initial - Not New</t>
  </si>
  <si>
    <t>Jan</t>
  </si>
  <si>
    <t>21436172</t>
  </si>
  <si>
    <t>Latesha Rose</t>
  </si>
  <si>
    <t>DK534W</t>
  </si>
  <si>
    <t>3HE1AR5WX39</t>
  </si>
  <si>
    <t>BARBARA</t>
  </si>
  <si>
    <t>GREENUP</t>
  </si>
  <si>
    <t>IL</t>
  </si>
  <si>
    <t>12/01/2025</t>
  </si>
  <si>
    <t>H7151</t>
  </si>
  <si>
    <t>16997303</t>
  </si>
  <si>
    <t>Jeanet Reyes</t>
  </si>
  <si>
    <t>DGYKJY</t>
  </si>
  <si>
    <t>6G03W18TU84</t>
  </si>
  <si>
    <t>VICTOR</t>
  </si>
  <si>
    <t>RIVERA</t>
  </si>
  <si>
    <t>11/13/2025</t>
  </si>
  <si>
    <t>H6545</t>
  </si>
  <si>
    <t>17301495</t>
  </si>
  <si>
    <t>Esther Herrera-Larsen</t>
  </si>
  <si>
    <t>D4ERG6</t>
  </si>
  <si>
    <t>6EG1PT9FX02</t>
  </si>
  <si>
    <t>LAURA</t>
  </si>
  <si>
    <t>HERNANDEZ</t>
  </si>
  <si>
    <t>02/16/2026</t>
  </si>
  <si>
    <t>04/01/2026</t>
  </si>
  <si>
    <t>Mar</t>
  </si>
  <si>
    <t>8814784</t>
  </si>
  <si>
    <t>Frank Liskovec</t>
  </si>
  <si>
    <t>DSYRF2</t>
  </si>
  <si>
    <t>7J12HJ1WQ21</t>
  </si>
  <si>
    <t>MIKE</t>
  </si>
  <si>
    <t>KUROTOBI</t>
  </si>
  <si>
    <t>03/01/2026</t>
  </si>
  <si>
    <t>7565575</t>
  </si>
  <si>
    <t>Robert Shapiro</t>
  </si>
  <si>
    <t>D72AC4</t>
  </si>
  <si>
    <t>2H79CU1UD57</t>
  </si>
  <si>
    <t>MARY</t>
  </si>
  <si>
    <t>VAN RIPER</t>
  </si>
  <si>
    <t>02/17/2026</t>
  </si>
  <si>
    <t>16849453</t>
  </si>
  <si>
    <t>Danna Green</t>
  </si>
  <si>
    <t>DCAWH5</t>
  </si>
  <si>
    <t>1F23VD2JG76</t>
  </si>
  <si>
    <t>CARINA</t>
  </si>
  <si>
    <t>VISLAY</t>
  </si>
  <si>
    <t>IN</t>
  </si>
  <si>
    <t>H7471</t>
  </si>
  <si>
    <t>19586992</t>
  </si>
  <si>
    <t>Barry Schumann</t>
  </si>
  <si>
    <t>DYSUHC</t>
  </si>
  <si>
    <t>6AG2UU9KX21</t>
  </si>
  <si>
    <t>BERNICE</t>
  </si>
  <si>
    <t>WALKER WATSON</t>
  </si>
  <si>
    <t>Devoted MAPD Ovr</t>
  </si>
  <si>
    <t>Devoted Health MAPD 2026*</t>
  </si>
  <si>
    <t>[%/$=347][prorate=12/12]</t>
  </si>
  <si>
    <t>[%/$=347][prorate=10/12]</t>
  </si>
  <si>
    <t>[%/$=347][prorate=9/12]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</si>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</sst>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5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3</v>
      </c>
      <c r="C3" t="s">
        <v>10</v>
      </c>
    </row>
    <row r="4" spans="1:6" x14ac:dyDescent="0.25">
      <c r="A4" t="s">
        <v>11</v>
      </c>
      <c r="B4">
        <v>0</v>
      </c>
      <c r="C4" t="s">
        <v>12</v>
      </c>
    </row>
    <row r="5" spans="1:6" x14ac:dyDescent="0.25">
      <c r="A5" t="s">
        <v>13</v>
      </c>
      <c r="C5" t="s">
        <v>12</v>
      </c>
    </row>
    <row r="6" spans="1:6" x14ac:dyDescent="0.25">
      <c r="A6" t="s">
        <v>14</v>
      </c>
      <c r="B6">
        <v>8</v>
      </c>
      <c r="C6" t="s">
        <v>15</v>
      </c>
    </row>
    <row r="7" spans="1:6" x14ac:dyDescent="0.25">
      <c r="A7" t="s">
        <v>16</v>
      </c>
      <c r="C7" t="s">
        <v>12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tabSelected="1" topLeftCell="C1" zoomScaleNormal="100" workbookViewId="0">
      <selection activeCell="S9" sqref="S9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28515625" customWidth="1"/>
    <col min="10" max="10" width="13.28515625" customWidth="1"/>
    <col min="11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7109375" customWidth="1"/>
    <col min="19" max="19" width="14.5703125" customWidth="1"/>
    <col min="20" max="20" width="14" customWidth="1"/>
    <col min="21" max="21" width="25.7109375" customWidth="1"/>
    <col min="22" max="22" width="18.140625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16</v>
      </c>
      <c r="N2" t="s">
        <v>51</v>
      </c>
      <c r="O2">
        <v>4</v>
      </c>
      <c r="P2" t="s">
        <v>52</v>
      </c>
      <c r="Q2" t="s">
        <v>53</v>
      </c>
      <c r="R2">
        <v>-347</v>
      </c>
      <c r="S2">
        <v>-200</v>
      </c>
      <c r="T2">
        <v>-547</v>
      </c>
      <c r="U2" t="s">
        <v>7</v>
      </c>
    </row>
    <row r="3" spans="1:22" x14ac:dyDescent="0.25">
      <c r="A3" t="s">
        <v>8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48</v>
      </c>
      <c r="K3" t="s">
        <v>49</v>
      </c>
      <c r="L3" t="s">
        <v>62</v>
      </c>
      <c r="M3">
        <v>3</v>
      </c>
      <c r="N3" t="s">
        <v>51</v>
      </c>
      <c r="O3">
        <v>2</v>
      </c>
      <c r="P3" t="s">
        <v>52</v>
      </c>
      <c r="Q3" t="s">
        <v>53</v>
      </c>
      <c r="R3">
        <v>-347</v>
      </c>
      <c r="S3">
        <v>-200</v>
      </c>
      <c r="T3">
        <v>-547</v>
      </c>
      <c r="U3" t="s">
        <v>7</v>
      </c>
    </row>
    <row r="4" spans="1:22" x14ac:dyDescent="0.25">
      <c r="A4" t="s">
        <v>8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60</v>
      </c>
      <c r="I4" t="s">
        <v>69</v>
      </c>
      <c r="J4" t="s">
        <v>48</v>
      </c>
      <c r="K4" t="s">
        <v>49</v>
      </c>
      <c r="L4" t="s">
        <v>70</v>
      </c>
      <c r="M4">
        <v>10</v>
      </c>
      <c r="N4" t="s">
        <v>51</v>
      </c>
      <c r="O4">
        <v>17</v>
      </c>
      <c r="P4" t="s">
        <v>52</v>
      </c>
      <c r="Q4" t="s">
        <v>53</v>
      </c>
      <c r="R4">
        <v>-347</v>
      </c>
      <c r="S4">
        <v>-200</v>
      </c>
      <c r="T4">
        <v>-547</v>
      </c>
      <c r="U4" t="s">
        <v>7</v>
      </c>
    </row>
    <row r="5" spans="1:22" x14ac:dyDescent="0.25">
      <c r="A5" t="s">
        <v>8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60</v>
      </c>
      <c r="I5" t="s">
        <v>77</v>
      </c>
      <c r="J5" t="s">
        <v>78</v>
      </c>
      <c r="L5" t="s">
        <v>70</v>
      </c>
      <c r="M5">
        <v>10</v>
      </c>
      <c r="O5">
        <v>0</v>
      </c>
      <c r="P5" t="s">
        <v>52</v>
      </c>
      <c r="Q5" t="s">
        <v>79</v>
      </c>
      <c r="R5">
        <v>260.25</v>
      </c>
      <c r="S5">
        <v>0</v>
      </c>
      <c r="T5">
        <v>260.25</v>
      </c>
      <c r="U5" t="s">
        <v>7</v>
      </c>
    </row>
    <row r="6" spans="1:22" x14ac:dyDescent="0.25">
      <c r="A6" t="s">
        <v>8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60</v>
      </c>
      <c r="I6" t="s">
        <v>77</v>
      </c>
      <c r="J6" t="s">
        <v>78</v>
      </c>
      <c r="L6" t="s">
        <v>70</v>
      </c>
      <c r="M6">
        <v>10</v>
      </c>
      <c r="O6">
        <v>0</v>
      </c>
      <c r="P6" t="s">
        <v>52</v>
      </c>
      <c r="Q6" t="s">
        <v>79</v>
      </c>
      <c r="R6">
        <v>0</v>
      </c>
      <c r="S6">
        <v>75</v>
      </c>
      <c r="T6">
        <v>75</v>
      </c>
      <c r="U6" t="s">
        <v>7</v>
      </c>
    </row>
    <row r="7" spans="1:22" x14ac:dyDescent="0.25">
      <c r="A7" t="s">
        <v>8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60</v>
      </c>
      <c r="I7" t="s">
        <v>77</v>
      </c>
      <c r="J7" t="s">
        <v>78</v>
      </c>
      <c r="L7" t="s">
        <v>70</v>
      </c>
      <c r="M7">
        <v>10</v>
      </c>
      <c r="O7">
        <v>0</v>
      </c>
      <c r="P7" t="s">
        <v>52</v>
      </c>
      <c r="Q7" t="s">
        <v>79</v>
      </c>
      <c r="R7">
        <v>0</v>
      </c>
      <c r="S7">
        <v>125</v>
      </c>
      <c r="T7">
        <v>125</v>
      </c>
      <c r="U7" t="s">
        <v>7</v>
      </c>
    </row>
    <row r="8" spans="1:22" x14ac:dyDescent="0.25">
      <c r="A8" t="s">
        <v>8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60</v>
      </c>
      <c r="I8" t="s">
        <v>77</v>
      </c>
      <c r="J8" t="s">
        <v>86</v>
      </c>
      <c r="L8" t="s">
        <v>70</v>
      </c>
      <c r="M8">
        <v>1</v>
      </c>
      <c r="O8">
        <v>0</v>
      </c>
      <c r="P8" t="s">
        <v>52</v>
      </c>
      <c r="Q8" t="s">
        <v>79</v>
      </c>
      <c r="R8">
        <v>0</v>
      </c>
      <c r="S8">
        <v>125</v>
      </c>
      <c r="T8">
        <v>125</v>
      </c>
      <c r="U8" t="s">
        <v>7</v>
      </c>
    </row>
    <row r="9" spans="1:22" x14ac:dyDescent="0.25">
      <c r="A9" t="s">
        <v>8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60</v>
      </c>
      <c r="I9" t="s">
        <v>77</v>
      </c>
      <c r="J9" t="s">
        <v>86</v>
      </c>
      <c r="L9" t="s">
        <v>70</v>
      </c>
      <c r="M9">
        <v>1</v>
      </c>
      <c r="O9">
        <v>0</v>
      </c>
      <c r="P9" t="s">
        <v>52</v>
      </c>
      <c r="Q9" t="s">
        <v>79</v>
      </c>
      <c r="R9">
        <v>0</v>
      </c>
      <c r="S9">
        <v>75</v>
      </c>
      <c r="T9">
        <v>75</v>
      </c>
      <c r="U9" t="s">
        <v>7</v>
      </c>
    </row>
    <row r="10" spans="1:22" x14ac:dyDescent="0.25">
      <c r="A10" t="s">
        <v>8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60</v>
      </c>
      <c r="I10" t="s">
        <v>77</v>
      </c>
      <c r="J10" t="s">
        <v>86</v>
      </c>
      <c r="L10" t="s">
        <v>70</v>
      </c>
      <c r="M10">
        <v>1</v>
      </c>
      <c r="O10">
        <v>0</v>
      </c>
      <c r="P10" t="s">
        <v>52</v>
      </c>
      <c r="Q10" t="s">
        <v>79</v>
      </c>
      <c r="R10">
        <v>289.16000000000003</v>
      </c>
      <c r="S10">
        <v>0</v>
      </c>
      <c r="T10">
        <v>289.16000000000003</v>
      </c>
      <c r="U10" t="s">
        <v>7</v>
      </c>
    </row>
    <row r="11" spans="1:22" x14ac:dyDescent="0.25">
      <c r="A11" t="s">
        <v>8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60</v>
      </c>
      <c r="I11" t="s">
        <v>93</v>
      </c>
      <c r="J11" t="s">
        <v>78</v>
      </c>
      <c r="L11" t="s">
        <v>70</v>
      </c>
      <c r="M11">
        <v>1</v>
      </c>
      <c r="O11">
        <v>0</v>
      </c>
      <c r="P11" t="s">
        <v>52</v>
      </c>
      <c r="Q11" t="s">
        <v>79</v>
      </c>
      <c r="R11">
        <v>0</v>
      </c>
      <c r="S11">
        <v>75</v>
      </c>
      <c r="T11">
        <v>75</v>
      </c>
      <c r="U11" t="s">
        <v>7</v>
      </c>
    </row>
    <row r="12" spans="1:22" x14ac:dyDescent="0.25">
      <c r="A12" t="s">
        <v>8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60</v>
      </c>
      <c r="I12" t="s">
        <v>93</v>
      </c>
      <c r="J12" t="s">
        <v>78</v>
      </c>
      <c r="L12" t="s">
        <v>70</v>
      </c>
      <c r="M12">
        <v>1</v>
      </c>
      <c r="O12">
        <v>0</v>
      </c>
      <c r="P12" t="s">
        <v>52</v>
      </c>
      <c r="Q12" t="s">
        <v>79</v>
      </c>
      <c r="R12">
        <v>0</v>
      </c>
      <c r="S12">
        <v>125</v>
      </c>
      <c r="T12">
        <v>125</v>
      </c>
      <c r="U12" t="s">
        <v>7</v>
      </c>
    </row>
    <row r="13" spans="1:22" x14ac:dyDescent="0.25">
      <c r="A13" t="s">
        <v>8</v>
      </c>
      <c r="B13" t="s">
        <v>87</v>
      </c>
      <c r="C13" t="s">
        <v>88</v>
      </c>
      <c r="D13" t="s">
        <v>89</v>
      </c>
      <c r="E13" t="s">
        <v>90</v>
      </c>
      <c r="F13" t="s">
        <v>91</v>
      </c>
      <c r="G13" t="s">
        <v>92</v>
      </c>
      <c r="H13" t="s">
        <v>60</v>
      </c>
      <c r="I13" t="s">
        <v>93</v>
      </c>
      <c r="J13" t="s">
        <v>78</v>
      </c>
      <c r="L13" t="s">
        <v>70</v>
      </c>
      <c r="M13">
        <v>1</v>
      </c>
      <c r="O13">
        <v>0</v>
      </c>
      <c r="P13" t="s">
        <v>52</v>
      </c>
      <c r="Q13" t="s">
        <v>79</v>
      </c>
      <c r="R13">
        <v>260.25</v>
      </c>
      <c r="S13">
        <v>0</v>
      </c>
      <c r="T13">
        <v>260.25</v>
      </c>
      <c r="U13" t="s">
        <v>7</v>
      </c>
    </row>
    <row r="14" spans="1:22" x14ac:dyDescent="0.25">
      <c r="A14" t="s">
        <v>8</v>
      </c>
      <c r="B14" t="s">
        <v>94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 t="s">
        <v>100</v>
      </c>
      <c r="I14" t="s">
        <v>77</v>
      </c>
      <c r="J14" t="s">
        <v>86</v>
      </c>
      <c r="L14" t="s">
        <v>101</v>
      </c>
      <c r="M14">
        <v>11</v>
      </c>
      <c r="O14">
        <v>0</v>
      </c>
      <c r="P14" t="s">
        <v>52</v>
      </c>
      <c r="Q14" t="s">
        <v>79</v>
      </c>
      <c r="R14">
        <v>289.16000000000003</v>
      </c>
      <c r="S14">
        <v>0</v>
      </c>
      <c r="T14">
        <v>289.16000000000003</v>
      </c>
      <c r="U14" t="s">
        <v>7</v>
      </c>
    </row>
    <row r="15" spans="1:22" x14ac:dyDescent="0.25">
      <c r="A15" t="s">
        <v>8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 t="s">
        <v>77</v>
      </c>
      <c r="J15" t="s">
        <v>86</v>
      </c>
      <c r="L15" t="s">
        <v>101</v>
      </c>
      <c r="M15">
        <v>11</v>
      </c>
      <c r="O15">
        <v>0</v>
      </c>
      <c r="P15" t="s">
        <v>52</v>
      </c>
      <c r="Q15" t="s">
        <v>79</v>
      </c>
      <c r="R15">
        <v>0</v>
      </c>
      <c r="S15">
        <v>125</v>
      </c>
      <c r="T15">
        <v>125</v>
      </c>
      <c r="U15" t="s">
        <v>7</v>
      </c>
    </row>
    <row r="16" spans="1:22" x14ac:dyDescent="0.25">
      <c r="A16" t="s">
        <v>8</v>
      </c>
      <c r="B16" t="s">
        <v>94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 t="s">
        <v>77</v>
      </c>
      <c r="J16" t="s">
        <v>86</v>
      </c>
      <c r="L16" t="s">
        <v>101</v>
      </c>
      <c r="M16">
        <v>11</v>
      </c>
      <c r="O16">
        <v>0</v>
      </c>
      <c r="P16" t="s">
        <v>52</v>
      </c>
      <c r="Q16" t="s">
        <v>79</v>
      </c>
      <c r="R16">
        <v>0</v>
      </c>
      <c r="S16">
        <v>75</v>
      </c>
      <c r="T16">
        <v>75</v>
      </c>
      <c r="U16" t="s">
        <v>7</v>
      </c>
    </row>
    <row r="17" spans="1:21" x14ac:dyDescent="0.25">
      <c r="A17" t="s">
        <v>8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  <c r="G17" t="s">
        <v>107</v>
      </c>
      <c r="H17" t="s">
        <v>60</v>
      </c>
      <c r="I17" t="s">
        <v>77</v>
      </c>
      <c r="J17" t="s">
        <v>86</v>
      </c>
      <c r="L17" t="s">
        <v>62</v>
      </c>
      <c r="M17">
        <v>1</v>
      </c>
      <c r="O17">
        <v>0</v>
      </c>
      <c r="P17" t="s">
        <v>52</v>
      </c>
      <c r="Q17" t="s">
        <v>79</v>
      </c>
      <c r="R17">
        <v>0</v>
      </c>
      <c r="S17">
        <v>125</v>
      </c>
      <c r="T17">
        <v>125</v>
      </c>
      <c r="U17" t="s">
        <v>7</v>
      </c>
    </row>
    <row r="18" spans="1:21" x14ac:dyDescent="0.25">
      <c r="A18" t="s">
        <v>8</v>
      </c>
      <c r="B18" t="s">
        <v>102</v>
      </c>
      <c r="C18" t="s">
        <v>103</v>
      </c>
      <c r="D18" t="s">
        <v>104</v>
      </c>
      <c r="E18" t="s">
        <v>105</v>
      </c>
      <c r="F18" t="s">
        <v>106</v>
      </c>
      <c r="G18" t="s">
        <v>107</v>
      </c>
      <c r="H18" t="s">
        <v>60</v>
      </c>
      <c r="I18" t="s">
        <v>77</v>
      </c>
      <c r="J18" t="s">
        <v>86</v>
      </c>
      <c r="L18" t="s">
        <v>62</v>
      </c>
      <c r="M18">
        <v>1</v>
      </c>
      <c r="O18">
        <v>0</v>
      </c>
      <c r="P18" t="s">
        <v>52</v>
      </c>
      <c r="Q18" t="s">
        <v>79</v>
      </c>
      <c r="R18">
        <v>289.16000000000003</v>
      </c>
      <c r="S18">
        <v>0</v>
      </c>
      <c r="T18">
        <v>289.16000000000003</v>
      </c>
      <c r="U18" t="s">
        <v>7</v>
      </c>
    </row>
    <row r="19" spans="1:21" x14ac:dyDescent="0.25">
      <c r="A19" t="s">
        <v>8</v>
      </c>
      <c r="B19" t="s">
        <v>102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  <c r="H19" t="s">
        <v>60</v>
      </c>
      <c r="I19" t="s">
        <v>77</v>
      </c>
      <c r="J19" t="s">
        <v>86</v>
      </c>
      <c r="L19" t="s">
        <v>62</v>
      </c>
      <c r="M19">
        <v>1</v>
      </c>
      <c r="O19">
        <v>0</v>
      </c>
      <c r="P19" t="s">
        <v>52</v>
      </c>
      <c r="Q19" t="s">
        <v>79</v>
      </c>
      <c r="R19">
        <v>0</v>
      </c>
      <c r="S19">
        <v>75</v>
      </c>
      <c r="T19">
        <v>75</v>
      </c>
      <c r="U19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7627-9983-4A49-B7FF-8F34D5A793B7}">
  <dimension ref="A1:X22"/>
  <sheetViews>
    <sheetView workbookViewId="0">
      <selection activeCell="H2" sqref="H2:H22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6" max="7" width="12.7109375" customWidth="1"/>
    <col min="8" max="8" width="13.7109375" customWidth="1"/>
    <col min="9" max="9" width="13.28515625" customWidth="1"/>
    <col min="10" max="10" width="16.7109375" customWidth="1"/>
    <col min="11" max="11" width="12.7109375" customWidth="1"/>
    <col min="12" max="12" width="14.5703125" customWidth="1"/>
    <col min="13" max="13" width="14" customWidth="1"/>
    <col min="15" max="15" width="26.7109375" bestFit="1" customWidth="1"/>
  </cols>
  <sheetData>
    <row r="1" spans="1:24" x14ac:dyDescent="0.25">
      <c r="A1" t="s">
        <v>19</v>
      </c>
      <c r="B1" t="s">
        <v>20</v>
      </c>
      <c r="C1" t="s">
        <v>21</v>
      </c>
      <c r="E1" t="s">
        <v>23</v>
      </c>
      <c r="F1" t="s">
        <v>24</v>
      </c>
      <c r="H1" t="s">
        <v>25</v>
      </c>
      <c r="I1" t="s">
        <v>27</v>
      </c>
      <c r="J1" t="s">
        <v>33</v>
      </c>
      <c r="K1" t="s">
        <v>35</v>
      </c>
      <c r="L1" t="s">
        <v>36</v>
      </c>
      <c r="M1" t="s">
        <v>37</v>
      </c>
    </row>
    <row r="2" spans="1:24" x14ac:dyDescent="0.25">
      <c r="A2">
        <v>21436172</v>
      </c>
      <c r="B2" t="s">
        <v>55</v>
      </c>
      <c r="C2" t="s">
        <v>56</v>
      </c>
      <c r="D2" t="str">
        <f>CONCATENATE(C2,7)</f>
        <v>DK534W7</v>
      </c>
      <c r="E2" t="s">
        <v>58</v>
      </c>
      <c r="F2" t="s">
        <v>59</v>
      </c>
      <c r="G2" t="str">
        <f>CONCATENATE(E2," ",F2)</f>
        <v>BARBARA GREENUP</v>
      </c>
      <c r="H2" t="s">
        <v>60</v>
      </c>
      <c r="I2" t="s">
        <v>48</v>
      </c>
      <c r="J2" t="s">
        <v>52</v>
      </c>
      <c r="K2">
        <v>-347</v>
      </c>
      <c r="L2">
        <v>-200</v>
      </c>
      <c r="M2">
        <v>-547</v>
      </c>
      <c r="N2">
        <v>-347</v>
      </c>
      <c r="O2" t="s">
        <v>109</v>
      </c>
      <c r="P2" t="s">
        <v>110</v>
      </c>
    </row>
    <row r="3" spans="1:24" x14ac:dyDescent="0.25">
      <c r="A3" s="1">
        <v>20411454</v>
      </c>
      <c r="B3" s="1" t="s">
        <v>113</v>
      </c>
      <c r="C3" s="1" t="s">
        <v>56</v>
      </c>
      <c r="D3" s="1" t="str">
        <f>CONCATENATE(C3,"OVR")</f>
        <v>DK534WOVR</v>
      </c>
      <c r="E3" s="1" t="s">
        <v>58</v>
      </c>
      <c r="F3" s="1" t="s">
        <v>59</v>
      </c>
      <c r="G3" t="str">
        <f>CONCATENATE(E3," ",F3)</f>
        <v>BARBARA GREENUP</v>
      </c>
      <c r="H3" s="1" t="s">
        <v>60</v>
      </c>
      <c r="I3" s="1" t="s">
        <v>48</v>
      </c>
      <c r="J3" s="1" t="s">
        <v>52</v>
      </c>
      <c r="K3" s="1">
        <v>-347</v>
      </c>
      <c r="L3" s="1">
        <v>-200</v>
      </c>
      <c r="M3" s="1">
        <v>-547</v>
      </c>
      <c r="N3" s="1">
        <v>-200</v>
      </c>
      <c r="O3" s="1" t="s">
        <v>108</v>
      </c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>
        <v>19586992</v>
      </c>
      <c r="B4" t="s">
        <v>103</v>
      </c>
      <c r="C4" t="s">
        <v>104</v>
      </c>
      <c r="D4" t="str">
        <f>CONCATENATE(C4,7)</f>
        <v>DYSUHC7</v>
      </c>
      <c r="E4" t="s">
        <v>106</v>
      </c>
      <c r="F4" t="s">
        <v>107</v>
      </c>
      <c r="G4" t="str">
        <f>CONCATENATE(E4," ",F4)</f>
        <v>BERNICE WALKER WATSON</v>
      </c>
      <c r="H4" t="s">
        <v>60</v>
      </c>
      <c r="I4" t="s">
        <v>86</v>
      </c>
      <c r="J4" t="s">
        <v>52</v>
      </c>
      <c r="K4">
        <v>289.16000000000003</v>
      </c>
      <c r="L4">
        <v>0</v>
      </c>
      <c r="M4">
        <v>289.16000000000003</v>
      </c>
      <c r="N4">
        <v>289.16000000000003</v>
      </c>
      <c r="O4" t="s">
        <v>109</v>
      </c>
      <c r="P4" t="s">
        <v>111</v>
      </c>
    </row>
    <row r="5" spans="1:24" x14ac:dyDescent="0.25">
      <c r="A5" s="1">
        <v>20411454</v>
      </c>
      <c r="B5" s="1" t="s">
        <v>113</v>
      </c>
      <c r="C5" s="1" t="s">
        <v>104</v>
      </c>
      <c r="D5" s="1" t="str">
        <f>CONCATENATE(C5,"OVR")</f>
        <v>DYSUHCOVR</v>
      </c>
      <c r="E5" s="1" t="s">
        <v>106</v>
      </c>
      <c r="F5" s="1" t="s">
        <v>107</v>
      </c>
      <c r="G5" t="str">
        <f>CONCATENATE(E5," ",F5)</f>
        <v>BERNICE WALKER WATSON</v>
      </c>
      <c r="H5" s="1" t="s">
        <v>60</v>
      </c>
      <c r="I5" s="1" t="s">
        <v>86</v>
      </c>
      <c r="J5" s="1" t="s">
        <v>52</v>
      </c>
      <c r="K5" s="1">
        <v>0</v>
      </c>
      <c r="L5" s="1">
        <v>125</v>
      </c>
      <c r="M5" s="1">
        <v>125</v>
      </c>
      <c r="N5" s="1">
        <v>125</v>
      </c>
      <c r="O5" s="1" t="s">
        <v>108</v>
      </c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>
        <v>20411454</v>
      </c>
      <c r="B6" s="1" t="s">
        <v>113</v>
      </c>
      <c r="C6" s="1" t="s">
        <v>104</v>
      </c>
      <c r="D6" s="1" t="str">
        <f>CONCATENATE(C6,"OVR")</f>
        <v>DYSUHCOVR</v>
      </c>
      <c r="E6" s="1" t="s">
        <v>106</v>
      </c>
      <c r="F6" s="1" t="s">
        <v>107</v>
      </c>
      <c r="G6" t="str">
        <f>CONCATENATE(E6," ",F6)</f>
        <v>BERNICE WALKER WATSON</v>
      </c>
      <c r="H6" s="1" t="s">
        <v>60</v>
      </c>
      <c r="I6" s="1" t="s">
        <v>86</v>
      </c>
      <c r="J6" s="1" t="s">
        <v>52</v>
      </c>
      <c r="K6" s="1">
        <v>0</v>
      </c>
      <c r="L6" s="1">
        <v>75</v>
      </c>
      <c r="M6" s="1">
        <v>75</v>
      </c>
      <c r="N6" s="1">
        <v>75</v>
      </c>
      <c r="O6" s="1" t="s">
        <v>108</v>
      </c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>
        <v>16849453</v>
      </c>
      <c r="B7" t="s">
        <v>95</v>
      </c>
      <c r="C7" t="s">
        <v>96</v>
      </c>
      <c r="D7" t="str">
        <f>CONCATENATE(C7,7)</f>
        <v>DCAWH57</v>
      </c>
      <c r="E7" t="s">
        <v>98</v>
      </c>
      <c r="F7" t="s">
        <v>99</v>
      </c>
      <c r="G7" t="str">
        <f>CONCATENATE(E7," ",F7)</f>
        <v>CARINA VISLAY</v>
      </c>
      <c r="H7" t="s">
        <v>100</v>
      </c>
      <c r="I7" t="s">
        <v>86</v>
      </c>
      <c r="J7" t="s">
        <v>52</v>
      </c>
      <c r="K7">
        <v>289.16000000000003</v>
      </c>
      <c r="L7">
        <v>0</v>
      </c>
      <c r="M7">
        <v>289.16000000000003</v>
      </c>
      <c r="N7">
        <v>289.16000000000003</v>
      </c>
      <c r="O7" t="s">
        <v>109</v>
      </c>
      <c r="P7" t="s">
        <v>111</v>
      </c>
    </row>
    <row r="8" spans="1:24" x14ac:dyDescent="0.25">
      <c r="A8" s="1">
        <v>20411454</v>
      </c>
      <c r="B8" s="1" t="s">
        <v>113</v>
      </c>
      <c r="C8" s="1" t="s">
        <v>96</v>
      </c>
      <c r="D8" s="1" t="str">
        <f>CONCATENATE(C8,"OVR")</f>
        <v>DCAWH5OVR</v>
      </c>
      <c r="E8" s="1" t="s">
        <v>98</v>
      </c>
      <c r="F8" s="1" t="s">
        <v>99</v>
      </c>
      <c r="G8" t="str">
        <f>CONCATENATE(E8," ",F8)</f>
        <v>CARINA VISLAY</v>
      </c>
      <c r="H8" s="1" t="s">
        <v>100</v>
      </c>
      <c r="I8" s="1" t="s">
        <v>86</v>
      </c>
      <c r="J8" s="1" t="s">
        <v>52</v>
      </c>
      <c r="K8" s="1">
        <v>0</v>
      </c>
      <c r="L8" s="1">
        <v>125</v>
      </c>
      <c r="M8" s="1">
        <v>125</v>
      </c>
      <c r="N8" s="1">
        <v>125</v>
      </c>
      <c r="O8" s="1" t="s">
        <v>108</v>
      </c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>
        <v>20411454</v>
      </c>
      <c r="B9" s="1" t="s">
        <v>113</v>
      </c>
      <c r="C9" s="1" t="s">
        <v>96</v>
      </c>
      <c r="D9" s="1" t="str">
        <f>CONCATENATE(C9,"OVR")</f>
        <v>DCAWH5OVR</v>
      </c>
      <c r="E9" s="1" t="s">
        <v>98</v>
      </c>
      <c r="F9" s="1" t="s">
        <v>99</v>
      </c>
      <c r="G9" t="str">
        <f>CONCATENATE(E9," ",F9)</f>
        <v>CARINA VISLAY</v>
      </c>
      <c r="H9" s="1" t="s">
        <v>100</v>
      </c>
      <c r="I9" s="1" t="s">
        <v>86</v>
      </c>
      <c r="J9" s="1" t="s">
        <v>52</v>
      </c>
      <c r="K9" s="1">
        <v>0</v>
      </c>
      <c r="L9" s="1">
        <v>75</v>
      </c>
      <c r="M9" s="1">
        <v>75</v>
      </c>
      <c r="N9" s="1">
        <v>75</v>
      </c>
      <c r="O9" s="1" t="s">
        <v>108</v>
      </c>
      <c r="P9" s="1"/>
      <c r="Q9" s="1"/>
      <c r="R9" s="1"/>
      <c r="S9" s="1"/>
      <c r="T9" s="1"/>
      <c r="U9" s="1"/>
      <c r="V9" s="1"/>
      <c r="W9" s="1"/>
      <c r="X9" s="1"/>
    </row>
    <row r="10" spans="1:24" s="1" customFormat="1" x14ac:dyDescent="0.25">
      <c r="A10">
        <v>19491313</v>
      </c>
      <c r="B10" t="s">
        <v>41</v>
      </c>
      <c r="C10" t="s">
        <v>42</v>
      </c>
      <c r="D10" t="str">
        <f>CONCATENATE(C10,7)</f>
        <v>DW6HEW7</v>
      </c>
      <c r="E10" t="s">
        <v>44</v>
      </c>
      <c r="F10" t="s">
        <v>45</v>
      </c>
      <c r="G10" t="str">
        <f>CONCATENATE(E10," ",F10)</f>
        <v>FARAG ELGEROUSHI</v>
      </c>
      <c r="H10" t="s">
        <v>46</v>
      </c>
      <c r="I10" t="s">
        <v>48</v>
      </c>
      <c r="J10" t="s">
        <v>52</v>
      </c>
      <c r="K10">
        <v>-347</v>
      </c>
      <c r="L10">
        <v>-200</v>
      </c>
      <c r="M10">
        <v>-547</v>
      </c>
      <c r="N10">
        <v>-347</v>
      </c>
      <c r="O10" t="s">
        <v>109</v>
      </c>
      <c r="P10" t="s">
        <v>110</v>
      </c>
      <c r="Q10"/>
      <c r="R10"/>
      <c r="S10"/>
      <c r="T10"/>
      <c r="U10"/>
      <c r="V10"/>
      <c r="W10"/>
      <c r="X10"/>
    </row>
    <row r="11" spans="1:24" s="1" customFormat="1" x14ac:dyDescent="0.25">
      <c r="A11" s="1">
        <v>20411454</v>
      </c>
      <c r="B11" s="1" t="s">
        <v>113</v>
      </c>
      <c r="C11" s="1" t="s">
        <v>42</v>
      </c>
      <c r="D11" s="1" t="str">
        <f>CONCATENATE(C11,"OVR")</f>
        <v>DW6HEWOVR</v>
      </c>
      <c r="E11" s="1" t="s">
        <v>44</v>
      </c>
      <c r="F11" s="1" t="s">
        <v>45</v>
      </c>
      <c r="G11" t="str">
        <f>CONCATENATE(E11," ",F11)</f>
        <v>FARAG ELGEROUSHI</v>
      </c>
      <c r="H11" s="1" t="s">
        <v>46</v>
      </c>
      <c r="I11" s="1" t="s">
        <v>48</v>
      </c>
      <c r="J11" s="1" t="s">
        <v>52</v>
      </c>
      <c r="K11" s="1">
        <v>-347</v>
      </c>
      <c r="L11" s="1">
        <v>-200</v>
      </c>
      <c r="M11" s="1">
        <v>-547</v>
      </c>
      <c r="N11" s="1">
        <v>-200</v>
      </c>
      <c r="O11" s="1" t="s">
        <v>108</v>
      </c>
    </row>
    <row r="12" spans="1:24" s="1" customFormat="1" x14ac:dyDescent="0.25">
      <c r="A12">
        <v>17301495</v>
      </c>
      <c r="B12" t="s">
        <v>72</v>
      </c>
      <c r="C12" t="s">
        <v>73</v>
      </c>
      <c r="D12" t="str">
        <f>CONCATENATE(C12,7)</f>
        <v>D4ERG67</v>
      </c>
      <c r="E12" t="s">
        <v>75</v>
      </c>
      <c r="F12" t="s">
        <v>76</v>
      </c>
      <c r="G12" t="str">
        <f>CONCATENATE(E12," ",F12)</f>
        <v>LAURA HERNANDEZ</v>
      </c>
      <c r="H12" t="s">
        <v>60</v>
      </c>
      <c r="I12" t="s">
        <v>78</v>
      </c>
      <c r="J12" t="s">
        <v>52</v>
      </c>
      <c r="K12">
        <v>260.25</v>
      </c>
      <c r="L12">
        <v>0</v>
      </c>
      <c r="M12">
        <v>260.25</v>
      </c>
      <c r="N12">
        <v>260.25</v>
      </c>
      <c r="O12" t="s">
        <v>109</v>
      </c>
      <c r="P12" t="s">
        <v>112</v>
      </c>
      <c r="Q12"/>
      <c r="R12"/>
      <c r="S12"/>
      <c r="T12"/>
      <c r="U12"/>
      <c r="V12"/>
      <c r="W12"/>
      <c r="X12"/>
    </row>
    <row r="13" spans="1:24" s="1" customFormat="1" x14ac:dyDescent="0.25">
      <c r="A13" s="1">
        <v>20411454</v>
      </c>
      <c r="B13" s="1" t="s">
        <v>113</v>
      </c>
      <c r="C13" s="1" t="s">
        <v>73</v>
      </c>
      <c r="D13" s="1" t="str">
        <f>CONCATENATE(C13,"OVR")</f>
        <v>D4ERG6OVR</v>
      </c>
      <c r="E13" s="1" t="s">
        <v>75</v>
      </c>
      <c r="F13" s="1" t="s">
        <v>76</v>
      </c>
      <c r="G13" t="str">
        <f>CONCATENATE(E13," ",F13)</f>
        <v>LAURA HERNANDEZ</v>
      </c>
      <c r="H13" s="1" t="s">
        <v>60</v>
      </c>
      <c r="I13" s="1" t="s">
        <v>78</v>
      </c>
      <c r="J13" s="1" t="s">
        <v>52</v>
      </c>
      <c r="K13" s="1">
        <v>0</v>
      </c>
      <c r="L13" s="1">
        <v>75</v>
      </c>
      <c r="M13" s="1">
        <v>75</v>
      </c>
      <c r="N13" s="1">
        <v>75</v>
      </c>
      <c r="O13" s="1" t="s">
        <v>108</v>
      </c>
    </row>
    <row r="14" spans="1:24" s="1" customFormat="1" x14ac:dyDescent="0.25">
      <c r="A14" s="1">
        <v>20411454</v>
      </c>
      <c r="B14" s="1" t="s">
        <v>113</v>
      </c>
      <c r="C14" s="1" t="s">
        <v>73</v>
      </c>
      <c r="D14" s="1" t="str">
        <f>CONCATENATE(C14,"OVR")</f>
        <v>D4ERG6OVR</v>
      </c>
      <c r="E14" s="1" t="s">
        <v>75</v>
      </c>
      <c r="F14" s="1" t="s">
        <v>76</v>
      </c>
      <c r="G14" t="str">
        <f>CONCATENATE(E14," ",F14)</f>
        <v>LAURA HERNANDEZ</v>
      </c>
      <c r="H14" s="1" t="s">
        <v>60</v>
      </c>
      <c r="I14" s="1" t="s">
        <v>78</v>
      </c>
      <c r="J14" s="1" t="s">
        <v>52</v>
      </c>
      <c r="K14" s="1">
        <v>0</v>
      </c>
      <c r="L14" s="1">
        <v>125</v>
      </c>
      <c r="M14" s="1">
        <v>125</v>
      </c>
      <c r="N14" s="1">
        <v>125</v>
      </c>
      <c r="O14" s="1" t="s">
        <v>108</v>
      </c>
    </row>
    <row r="15" spans="1:24" s="1" customFormat="1" x14ac:dyDescent="0.25">
      <c r="A15">
        <v>7565575</v>
      </c>
      <c r="B15" t="s">
        <v>88</v>
      </c>
      <c r="C15" t="s">
        <v>89</v>
      </c>
      <c r="D15" t="str">
        <f>CONCATENATE(C15,7)</f>
        <v>D72AC47</v>
      </c>
      <c r="E15" t="s">
        <v>91</v>
      </c>
      <c r="F15" t="s">
        <v>92</v>
      </c>
      <c r="G15" t="str">
        <f>CONCATENATE(E15," ",F15)</f>
        <v>MARY VAN RIPER</v>
      </c>
      <c r="H15" t="s">
        <v>60</v>
      </c>
      <c r="I15" t="s">
        <v>78</v>
      </c>
      <c r="J15" t="s">
        <v>52</v>
      </c>
      <c r="K15">
        <v>260.25</v>
      </c>
      <c r="L15">
        <v>0</v>
      </c>
      <c r="M15">
        <v>260.25</v>
      </c>
      <c r="N15">
        <v>260.25</v>
      </c>
      <c r="O15" t="s">
        <v>109</v>
      </c>
      <c r="P15" t="s">
        <v>112</v>
      </c>
      <c r="Q15"/>
      <c r="R15"/>
      <c r="S15"/>
      <c r="T15"/>
      <c r="U15"/>
      <c r="V15"/>
      <c r="W15"/>
      <c r="X15"/>
    </row>
    <row r="16" spans="1:24" s="1" customFormat="1" x14ac:dyDescent="0.25">
      <c r="A16" s="1">
        <v>20411454</v>
      </c>
      <c r="B16" s="1" t="s">
        <v>113</v>
      </c>
      <c r="C16" s="1" t="s">
        <v>89</v>
      </c>
      <c r="D16" s="1" t="str">
        <f>CONCATENATE(C16,"OVR")</f>
        <v>D72AC4OVR</v>
      </c>
      <c r="E16" s="1" t="s">
        <v>91</v>
      </c>
      <c r="F16" s="1" t="s">
        <v>92</v>
      </c>
      <c r="G16" t="str">
        <f>CONCATENATE(E16," ",F16)</f>
        <v>MARY VAN RIPER</v>
      </c>
      <c r="H16" s="1" t="s">
        <v>60</v>
      </c>
      <c r="I16" s="1" t="s">
        <v>78</v>
      </c>
      <c r="J16" s="1" t="s">
        <v>52</v>
      </c>
      <c r="K16" s="1">
        <v>0</v>
      </c>
      <c r="L16" s="1">
        <v>75</v>
      </c>
      <c r="M16" s="1">
        <v>75</v>
      </c>
      <c r="N16" s="1">
        <v>75</v>
      </c>
      <c r="O16" s="1" t="s">
        <v>108</v>
      </c>
    </row>
    <row r="17" spans="1:24" s="1" customFormat="1" x14ac:dyDescent="0.25">
      <c r="A17" s="1">
        <v>20411454</v>
      </c>
      <c r="B17" s="1" t="s">
        <v>113</v>
      </c>
      <c r="C17" s="1" t="s">
        <v>89</v>
      </c>
      <c r="D17" s="1" t="str">
        <f>CONCATENATE(C17,"OVR")</f>
        <v>D72AC4OVR</v>
      </c>
      <c r="E17" s="1" t="s">
        <v>91</v>
      </c>
      <c r="F17" s="1" t="s">
        <v>92</v>
      </c>
      <c r="G17" t="str">
        <f>CONCATENATE(E17," ",F17)</f>
        <v>MARY VAN RIPER</v>
      </c>
      <c r="H17" s="1" t="s">
        <v>60</v>
      </c>
      <c r="I17" s="1" t="s">
        <v>78</v>
      </c>
      <c r="J17" s="1" t="s">
        <v>52</v>
      </c>
      <c r="K17" s="1">
        <v>0</v>
      </c>
      <c r="L17" s="1">
        <v>125</v>
      </c>
      <c r="M17" s="1">
        <v>125</v>
      </c>
      <c r="N17" s="1">
        <v>125</v>
      </c>
      <c r="O17" s="1" t="s">
        <v>108</v>
      </c>
    </row>
    <row r="18" spans="1:24" s="1" customFormat="1" x14ac:dyDescent="0.25">
      <c r="A18">
        <v>8814784</v>
      </c>
      <c r="B18" t="s">
        <v>81</v>
      </c>
      <c r="C18" t="s">
        <v>82</v>
      </c>
      <c r="D18" t="str">
        <f>CONCATENATE(C18,7)</f>
        <v>DSYRF27</v>
      </c>
      <c r="E18" t="s">
        <v>84</v>
      </c>
      <c r="F18" t="s">
        <v>85</v>
      </c>
      <c r="G18" t="str">
        <f>CONCATENATE(E18," ",F18)</f>
        <v>MIKE KUROTOBI</v>
      </c>
      <c r="H18" t="s">
        <v>60</v>
      </c>
      <c r="I18" t="s">
        <v>86</v>
      </c>
      <c r="J18" t="s">
        <v>52</v>
      </c>
      <c r="K18">
        <v>289.16000000000003</v>
      </c>
      <c r="L18">
        <v>0</v>
      </c>
      <c r="M18">
        <v>289.16000000000003</v>
      </c>
      <c r="N18">
        <v>289.16000000000003</v>
      </c>
      <c r="O18" t="s">
        <v>109</v>
      </c>
      <c r="P18" t="s">
        <v>111</v>
      </c>
      <c r="Q18"/>
      <c r="R18"/>
      <c r="S18"/>
      <c r="T18"/>
      <c r="U18"/>
      <c r="V18"/>
      <c r="W18"/>
      <c r="X18"/>
    </row>
    <row r="19" spans="1:24" s="1" customFormat="1" x14ac:dyDescent="0.25">
      <c r="A19" s="1">
        <v>20411454</v>
      </c>
      <c r="B19" s="1" t="s">
        <v>113</v>
      </c>
      <c r="C19" s="1" t="s">
        <v>82</v>
      </c>
      <c r="D19" s="1" t="str">
        <f>CONCATENATE(C19,"OVR")</f>
        <v>DSYRF2OVR</v>
      </c>
      <c r="E19" s="1" t="s">
        <v>84</v>
      </c>
      <c r="F19" s="1" t="s">
        <v>85</v>
      </c>
      <c r="G19" t="str">
        <f>CONCATENATE(E19," ",F19)</f>
        <v>MIKE KUROTOBI</v>
      </c>
      <c r="H19" s="1" t="s">
        <v>60</v>
      </c>
      <c r="I19" s="1" t="s">
        <v>86</v>
      </c>
      <c r="J19" s="1" t="s">
        <v>52</v>
      </c>
      <c r="K19" s="1">
        <v>0</v>
      </c>
      <c r="L19" s="1">
        <v>125</v>
      </c>
      <c r="M19" s="1">
        <v>125</v>
      </c>
      <c r="N19" s="1">
        <v>125</v>
      </c>
      <c r="O19" s="1" t="s">
        <v>108</v>
      </c>
    </row>
    <row r="20" spans="1:24" s="1" customFormat="1" x14ac:dyDescent="0.25">
      <c r="A20" s="1">
        <v>20411454</v>
      </c>
      <c r="B20" s="1" t="s">
        <v>113</v>
      </c>
      <c r="C20" s="1" t="s">
        <v>82</v>
      </c>
      <c r="D20" s="1" t="str">
        <f>CONCATENATE(C20,"OVR")</f>
        <v>DSYRF2OVR</v>
      </c>
      <c r="E20" s="1" t="s">
        <v>84</v>
      </c>
      <c r="F20" s="1" t="s">
        <v>85</v>
      </c>
      <c r="G20" t="str">
        <f>CONCATENATE(E20," ",F20)</f>
        <v>MIKE KUROTOBI</v>
      </c>
      <c r="H20" s="1" t="s">
        <v>60</v>
      </c>
      <c r="I20" s="1" t="s">
        <v>86</v>
      </c>
      <c r="J20" s="1" t="s">
        <v>52</v>
      </c>
      <c r="K20" s="1">
        <v>0</v>
      </c>
      <c r="L20" s="1">
        <v>75</v>
      </c>
      <c r="M20" s="1">
        <v>75</v>
      </c>
      <c r="N20" s="1">
        <v>75</v>
      </c>
      <c r="O20" s="1" t="s">
        <v>108</v>
      </c>
    </row>
    <row r="21" spans="1:24" s="1" customFormat="1" x14ac:dyDescent="0.25">
      <c r="A21">
        <v>16997303</v>
      </c>
      <c r="B21" t="s">
        <v>64</v>
      </c>
      <c r="C21" t="s">
        <v>65</v>
      </c>
      <c r="D21" t="str">
        <f>CONCATENATE(C21,7)</f>
        <v>DGYKJY7</v>
      </c>
      <c r="E21" t="s">
        <v>67</v>
      </c>
      <c r="F21" t="s">
        <v>68</v>
      </c>
      <c r="G21" t="str">
        <f>CONCATENATE(E21," ",F21)</f>
        <v>VICTOR RIVERA</v>
      </c>
      <c r="H21" t="s">
        <v>60</v>
      </c>
      <c r="I21" t="s">
        <v>48</v>
      </c>
      <c r="J21" t="s">
        <v>52</v>
      </c>
      <c r="K21">
        <v>-347</v>
      </c>
      <c r="L21">
        <v>-200</v>
      </c>
      <c r="M21">
        <v>-547</v>
      </c>
      <c r="N21">
        <v>-347</v>
      </c>
      <c r="O21" t="s">
        <v>109</v>
      </c>
      <c r="P21" t="s">
        <v>110</v>
      </c>
      <c r="Q21"/>
      <c r="R21"/>
      <c r="S21"/>
      <c r="T21"/>
      <c r="U21"/>
      <c r="V21"/>
      <c r="W21"/>
      <c r="X21"/>
    </row>
    <row r="22" spans="1:24" s="1" customFormat="1" x14ac:dyDescent="0.25">
      <c r="A22" s="1">
        <v>20411454</v>
      </c>
      <c r="B22" s="1" t="s">
        <v>113</v>
      </c>
      <c r="C22" s="1" t="s">
        <v>65</v>
      </c>
      <c r="D22" s="1" t="str">
        <f>CONCATENATE(C22,"OVR")</f>
        <v>DGYKJYOVR</v>
      </c>
      <c r="E22" s="1" t="s">
        <v>67</v>
      </c>
      <c r="F22" s="1" t="s">
        <v>68</v>
      </c>
      <c r="G22" t="str">
        <f>CONCATENATE(E22," ",F22)</f>
        <v>VICTOR RIVERA</v>
      </c>
      <c r="H22" s="1" t="s">
        <v>60</v>
      </c>
      <c r="I22" s="1" t="s">
        <v>48</v>
      </c>
      <c r="J22" s="1" t="s">
        <v>52</v>
      </c>
      <c r="K22" s="1">
        <v>-347</v>
      </c>
      <c r="L22" s="1">
        <v>-200</v>
      </c>
      <c r="M22" s="1">
        <v>-547</v>
      </c>
      <c r="N22" s="1">
        <v>-200</v>
      </c>
      <c r="O22" s="1" t="s">
        <v>108</v>
      </c>
    </row>
  </sheetData>
  <sortState xmlns:xlrd2="http://schemas.microsoft.com/office/spreadsheetml/2017/richdata2" ref="A2:X22">
    <sortCondition ref="G2:G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2026-03-06T16:35:31Z</dcterms:created>
  <dcterms:modified xsi:type="dcterms:W3CDTF">2026-03-09T19:51:16Z</dcterms:modified>
</cp:coreProperties>
</file>