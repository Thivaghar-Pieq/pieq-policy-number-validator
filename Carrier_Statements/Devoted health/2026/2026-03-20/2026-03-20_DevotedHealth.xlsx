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3-20-26\"/>
    </mc:Choice>
  </mc:AlternateContent>
  <xr:revisionPtr revIDLastSave="0" documentId="13_ncr:1_{7A2EA8BD-4A95-4814-9C7E-C4A3825A134B}" xr6:coauthVersionLast="47" xr6:coauthVersionMax="47" xr10:uidLastSave="{00000000-0000-0000-0000-000000000000}"/>
  <bookViews>
    <workbookView xWindow="28680" yWindow="-3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2" i="3"/>
  <c r="D4" i="3"/>
  <c r="D3" i="3"/>
  <c r="D2" i="3"/>
  <c r="D6" i="3"/>
  <c r="D7" i="3"/>
  <c r="D8" i="3"/>
  <c r="D9" i="3"/>
  <c r="D10" i="3"/>
  <c r="D5" i="3"/>
</calcChain>
</file>

<file path=xl/sharedStrings.xml><?xml version="1.0" encoding="utf-8"?>
<sst xmlns="http://schemas.openxmlformats.org/spreadsheetml/2006/main" count="255" uniqueCount="69">
  <si>
    <t>Description</t>
  </si>
  <si>
    <t>Member Count</t>
  </si>
  <si>
    <t>Total</t>
  </si>
  <si>
    <t>Payee</t>
  </si>
  <si>
    <t>Payment Date</t>
  </si>
  <si>
    <t>Credits</t>
  </si>
  <si>
    <t>$1,380.75</t>
  </si>
  <si>
    <t>Main Line Benefits LLC</t>
  </si>
  <si>
    <t>03/20/2026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</si>
  <si>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</si>
  <si>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</si>
  <si>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</si>
  <si>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</si>
  <si>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</si>
  <si>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</si>
  <si>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</si>
  <si>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</si>
  <si>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</si>
  <si>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</si>
  <si>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</si>
  <si>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</si>
  <si>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</si>
  <si>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</si>
  <si>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</si>
  <si>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</si>
  <si>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</si>
  <si>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</si>
  <si>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</si>
  <si>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</si>
  <si>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</si>
  <si>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</si>
  <si>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</si>
  <si>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</si>
  <si>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</si>
  <si>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</si>
  <si>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</si>
  <si>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</si>
  <si>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</si>
  <si>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7146581</t>
  </si>
  <si>
    <t>Anthony Hunsberger</t>
  </si>
  <si>
    <t>DY93UZ</t>
  </si>
  <si>
    <t>1PH2CX1UA95</t>
  </si>
  <si>
    <t>DARRELL</t>
  </si>
  <si>
    <t>JOHNSON</t>
  </si>
  <si>
    <t>IL</t>
  </si>
  <si>
    <t>03/04/2026</t>
  </si>
  <si>
    <t>04/01/2026</t>
  </si>
  <si>
    <t>H7151</t>
  </si>
  <si>
    <t>Initial - Not New</t>
  </si>
  <si>
    <t>Mar</t>
  </si>
  <si>
    <t>20212926</t>
  </si>
  <si>
    <t>Jose Torres</t>
  </si>
  <si>
    <t>DHZ6GU</t>
  </si>
  <si>
    <t>8RM8NU1CG23</t>
  </si>
  <si>
    <t>MARCOS</t>
  </si>
  <si>
    <t>SIFUENTES</t>
  </si>
  <si>
    <t>03/03/2026</t>
  </si>
  <si>
    <t>19396223</t>
  </si>
  <si>
    <t>Saadia Abdul</t>
  </si>
  <si>
    <t>DCHA5E</t>
  </si>
  <si>
    <t>3K99PG3PY56</t>
  </si>
  <si>
    <t>NERISHA</t>
  </si>
  <si>
    <t>VITUCCI</t>
  </si>
  <si>
    <t>03/06/2026</t>
  </si>
  <si>
    <t>H6545</t>
  </si>
  <si>
    <t>Main Line Benefits</t>
  </si>
  <si>
    <t>Devoted MAPD Ovr</t>
  </si>
  <si>
    <t>Devoted Health MAPD 2026*</t>
  </si>
  <si>
    <t>[%/$=347][prorate=9/12]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</si>
</sst>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F8" sqref="F8"/>
    </sheetView>
  </sheetViews>
  <sheetFormatPr defaultRowHeight="14.4" x14ac:dyDescent="0.3"/>
  <cols>
    <col min="1" max="1" width="25" customWidth="1"/>
    <col min="2" max="2" width="20" customWidth="1"/>
    <col min="3" max="3" width="15" customWidth="1"/>
    <col min="4" max="4" width="9.44140625"/>
    <col min="5" max="5" width="25" customWidth="1"/>
    <col min="6" max="6" width="20" customWidth="1"/>
  </cols>
  <sheetData>
    <row r="1" spans="1:6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3">
      <c r="A2" t="s">
        <v>5</v>
      </c>
      <c r="B2">
        <v>3</v>
      </c>
      <c r="C2" t="s">
        <v>6</v>
      </c>
      <c r="E2" t="s">
        <v>7</v>
      </c>
      <c r="F2" t="s">
        <v>8</v>
      </c>
    </row>
    <row r="3" spans="1:6" x14ac:dyDescent="0.3">
      <c r="A3" t="s">
        <v>9</v>
      </c>
      <c r="B3">
        <v>0</v>
      </c>
      <c r="C3" t="s">
        <v>10</v>
      </c>
    </row>
    <row r="4" spans="1:6" x14ac:dyDescent="0.3">
      <c r="A4" t="s">
        <v>11</v>
      </c>
      <c r="B4">
        <v>0</v>
      </c>
      <c r="C4" t="s">
        <v>10</v>
      </c>
    </row>
    <row r="5" spans="1:6" x14ac:dyDescent="0.3">
      <c r="A5" t="s">
        <v>12</v>
      </c>
      <c r="C5" t="s">
        <v>10</v>
      </c>
    </row>
    <row r="6" spans="1:6" x14ac:dyDescent="0.3">
      <c r="A6" t="s">
        <v>13</v>
      </c>
      <c r="B6">
        <v>3</v>
      </c>
      <c r="C6" t="s">
        <v>6</v>
      </c>
    </row>
    <row r="7" spans="1:6" x14ac:dyDescent="0.3">
      <c r="A7" t="s">
        <v>14</v>
      </c>
      <c r="C7" t="s">
        <v>10</v>
      </c>
    </row>
    <row r="8" spans="1:6" x14ac:dyDescent="0.3">
      <c r="A8" t="s">
        <v>15</v>
      </c>
      <c r="C8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"/>
  <sheetViews>
    <sheetView topLeftCell="D1" zoomScaleNormal="100" workbookViewId="0">
      <selection activeCell="D1" sqref="A1:XFD1048576"/>
    </sheetView>
  </sheetViews>
  <sheetFormatPr defaultRowHeight="14.4" x14ac:dyDescent="0.3"/>
  <cols>
    <col min="1" max="1" width="15" customWidth="1"/>
    <col min="2" max="2" width="10" customWidth="1"/>
    <col min="3" max="3" width="25" customWidth="1"/>
    <col min="4" max="4" width="15" customWidth="1"/>
    <col min="5" max="6" width="9.44140625"/>
    <col min="7" max="7" width="12.6640625" customWidth="1"/>
    <col min="8" max="8" width="13.6640625" customWidth="1"/>
    <col min="9" max="9" width="14.109375" customWidth="1"/>
    <col min="10" max="11" width="13.44140625" customWidth="1"/>
    <col min="12" max="12" width="8.6640625" customWidth="1"/>
    <col min="13" max="13" width="4.33203125" customWidth="1"/>
    <col min="14" max="14" width="14.33203125" customWidth="1"/>
    <col min="15" max="15" width="14.6640625" customWidth="1"/>
    <col min="16" max="16" width="16.6640625" customWidth="1"/>
    <col min="17" max="17" width="6.6640625" customWidth="1"/>
    <col min="18" max="18" width="12.88671875" customWidth="1"/>
    <col min="19" max="19" width="14.5546875" customWidth="1"/>
    <col min="20" max="20" width="14" customWidth="1"/>
    <col min="21" max="21" width="25.6640625" customWidth="1"/>
    <col min="22" max="22" width="18" customWidth="1"/>
  </cols>
  <sheetData>
    <row r="1" spans="1:22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3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L2" t="s">
        <v>47</v>
      </c>
      <c r="M2">
        <v>3</v>
      </c>
      <c r="O2">
        <v>0</v>
      </c>
      <c r="P2" t="s">
        <v>48</v>
      </c>
      <c r="Q2" t="s">
        <v>49</v>
      </c>
      <c r="R2">
        <v>0</v>
      </c>
      <c r="S2">
        <v>75</v>
      </c>
      <c r="T2">
        <v>75</v>
      </c>
      <c r="U2" t="s">
        <v>7</v>
      </c>
    </row>
    <row r="3" spans="1:22" x14ac:dyDescent="0.3">
      <c r="A3" t="s">
        <v>8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L3" t="s">
        <v>47</v>
      </c>
      <c r="M3">
        <v>3</v>
      </c>
      <c r="O3">
        <v>0</v>
      </c>
      <c r="P3" t="s">
        <v>48</v>
      </c>
      <c r="Q3" t="s">
        <v>49</v>
      </c>
      <c r="R3">
        <v>0</v>
      </c>
      <c r="S3">
        <v>125</v>
      </c>
      <c r="T3">
        <v>125</v>
      </c>
      <c r="U3" t="s">
        <v>7</v>
      </c>
    </row>
    <row r="4" spans="1:22" x14ac:dyDescent="0.3">
      <c r="A4" t="s">
        <v>8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L4" t="s">
        <v>47</v>
      </c>
      <c r="M4">
        <v>3</v>
      </c>
      <c r="O4">
        <v>0</v>
      </c>
      <c r="P4" t="s">
        <v>48</v>
      </c>
      <c r="Q4" t="s">
        <v>49</v>
      </c>
      <c r="R4">
        <v>260.25</v>
      </c>
      <c r="S4">
        <v>0</v>
      </c>
      <c r="T4">
        <v>260.25</v>
      </c>
      <c r="U4" t="s">
        <v>7</v>
      </c>
    </row>
    <row r="5" spans="1:22" x14ac:dyDescent="0.3">
      <c r="A5" t="s">
        <v>8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44</v>
      </c>
      <c r="I5" t="s">
        <v>56</v>
      </c>
      <c r="J5" t="s">
        <v>46</v>
      </c>
      <c r="L5" t="s">
        <v>47</v>
      </c>
      <c r="M5">
        <v>6</v>
      </c>
      <c r="O5">
        <v>0</v>
      </c>
      <c r="P5" t="s">
        <v>48</v>
      </c>
      <c r="Q5" t="s">
        <v>49</v>
      </c>
      <c r="R5">
        <v>0</v>
      </c>
      <c r="S5">
        <v>125</v>
      </c>
      <c r="T5">
        <v>125</v>
      </c>
      <c r="U5" t="s">
        <v>7</v>
      </c>
    </row>
    <row r="6" spans="1:22" x14ac:dyDescent="0.3">
      <c r="A6" t="s">
        <v>8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44</v>
      </c>
      <c r="I6" t="s">
        <v>56</v>
      </c>
      <c r="J6" t="s">
        <v>46</v>
      </c>
      <c r="L6" t="s">
        <v>47</v>
      </c>
      <c r="M6">
        <v>6</v>
      </c>
      <c r="O6">
        <v>0</v>
      </c>
      <c r="P6" t="s">
        <v>48</v>
      </c>
      <c r="Q6" t="s">
        <v>49</v>
      </c>
      <c r="R6">
        <v>260.25</v>
      </c>
      <c r="S6">
        <v>0</v>
      </c>
      <c r="T6">
        <v>260.25</v>
      </c>
      <c r="U6" t="s">
        <v>7</v>
      </c>
    </row>
    <row r="7" spans="1:22" x14ac:dyDescent="0.3">
      <c r="A7" t="s">
        <v>8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44</v>
      </c>
      <c r="I7" t="s">
        <v>56</v>
      </c>
      <c r="J7" t="s">
        <v>46</v>
      </c>
      <c r="L7" t="s">
        <v>47</v>
      </c>
      <c r="M7">
        <v>6</v>
      </c>
      <c r="O7">
        <v>0</v>
      </c>
      <c r="P7" t="s">
        <v>48</v>
      </c>
      <c r="Q7" t="s">
        <v>49</v>
      </c>
      <c r="R7">
        <v>0</v>
      </c>
      <c r="S7">
        <v>75</v>
      </c>
      <c r="T7">
        <v>75</v>
      </c>
      <c r="U7" t="s">
        <v>7</v>
      </c>
    </row>
    <row r="8" spans="1:22" x14ac:dyDescent="0.3">
      <c r="A8" t="s">
        <v>8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44</v>
      </c>
      <c r="I8" t="s">
        <v>63</v>
      </c>
      <c r="J8" t="s">
        <v>46</v>
      </c>
      <c r="L8" t="s">
        <v>64</v>
      </c>
      <c r="M8">
        <v>10</v>
      </c>
      <c r="O8">
        <v>0</v>
      </c>
      <c r="P8" t="s">
        <v>48</v>
      </c>
      <c r="Q8" t="s">
        <v>49</v>
      </c>
      <c r="R8">
        <v>0</v>
      </c>
      <c r="S8">
        <v>75</v>
      </c>
      <c r="T8">
        <v>75</v>
      </c>
      <c r="U8" t="s">
        <v>7</v>
      </c>
    </row>
    <row r="9" spans="1:22" x14ac:dyDescent="0.3">
      <c r="A9" t="s">
        <v>8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44</v>
      </c>
      <c r="I9" t="s">
        <v>63</v>
      </c>
      <c r="J9" t="s">
        <v>46</v>
      </c>
      <c r="L9" t="s">
        <v>64</v>
      </c>
      <c r="M9">
        <v>10</v>
      </c>
      <c r="O9">
        <v>0</v>
      </c>
      <c r="P9" t="s">
        <v>48</v>
      </c>
      <c r="Q9" t="s">
        <v>49</v>
      </c>
      <c r="R9">
        <v>0</v>
      </c>
      <c r="S9">
        <v>125</v>
      </c>
      <c r="T9">
        <v>125</v>
      </c>
      <c r="U9" t="s">
        <v>7</v>
      </c>
    </row>
    <row r="10" spans="1:22" x14ac:dyDescent="0.3">
      <c r="A10" t="s">
        <v>8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44</v>
      </c>
      <c r="I10" t="s">
        <v>63</v>
      </c>
      <c r="J10" t="s">
        <v>46</v>
      </c>
      <c r="L10" t="s">
        <v>64</v>
      </c>
      <c r="M10">
        <v>10</v>
      </c>
      <c r="O10">
        <v>0</v>
      </c>
      <c r="P10" t="s">
        <v>48</v>
      </c>
      <c r="Q10" t="s">
        <v>49</v>
      </c>
      <c r="R10">
        <v>260.25</v>
      </c>
      <c r="S10">
        <v>0</v>
      </c>
      <c r="T10">
        <v>260.25</v>
      </c>
      <c r="U10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6230-C75A-49FB-9DCF-C5A0E03011F1}">
  <dimension ref="A1:P10"/>
  <sheetViews>
    <sheetView tabSelected="1" workbookViewId="0">
      <selection activeCell="P2" sqref="P2:P4"/>
    </sheetView>
  </sheetViews>
  <sheetFormatPr defaultRowHeight="14.4" x14ac:dyDescent="0.3"/>
  <cols>
    <col min="1" max="1" width="10" customWidth="1"/>
    <col min="2" max="2" width="25" customWidth="1"/>
    <col min="3" max="4" width="15" customWidth="1"/>
    <col min="6" max="7" width="12.6640625" customWidth="1"/>
    <col min="8" max="8" width="13.6640625" customWidth="1"/>
    <col min="9" max="9" width="13.44140625" customWidth="1"/>
    <col min="10" max="10" width="6.6640625" customWidth="1"/>
    <col min="11" max="11" width="12.88671875" customWidth="1"/>
    <col min="12" max="12" width="14.5546875" customWidth="1"/>
    <col min="13" max="13" width="14" customWidth="1"/>
    <col min="15" max="15" width="26" bestFit="1" customWidth="1"/>
  </cols>
  <sheetData>
    <row r="1" spans="1:16" x14ac:dyDescent="0.3">
      <c r="A1" t="s">
        <v>17</v>
      </c>
      <c r="B1" t="s">
        <v>18</v>
      </c>
      <c r="C1" t="s">
        <v>19</v>
      </c>
      <c r="E1" t="s">
        <v>21</v>
      </c>
      <c r="F1" t="s">
        <v>22</v>
      </c>
      <c r="H1" t="s">
        <v>23</v>
      </c>
      <c r="I1" t="s">
        <v>25</v>
      </c>
      <c r="J1" t="s">
        <v>32</v>
      </c>
      <c r="K1" t="s">
        <v>33</v>
      </c>
      <c r="L1" t="s">
        <v>34</v>
      </c>
      <c r="M1" t="s">
        <v>35</v>
      </c>
    </row>
    <row r="2" spans="1:16" x14ac:dyDescent="0.3">
      <c r="A2" s="2">
        <v>7146581</v>
      </c>
      <c r="B2" t="s">
        <v>39</v>
      </c>
      <c r="C2" t="s">
        <v>40</v>
      </c>
      <c r="D2" t="str">
        <f>_xlfn.CONCAT(C2,7)</f>
        <v>DY93UZ7</v>
      </c>
      <c r="E2" t="s">
        <v>42</v>
      </c>
      <c r="F2" t="s">
        <v>43</v>
      </c>
      <c r="G2" t="str">
        <f>_xlfn.CONCAT(E2," ",F2)</f>
        <v>DARRELL JOHNSON</v>
      </c>
      <c r="H2" t="s">
        <v>44</v>
      </c>
      <c r="I2" t="s">
        <v>46</v>
      </c>
      <c r="J2" t="s">
        <v>49</v>
      </c>
      <c r="K2">
        <v>260.25</v>
      </c>
      <c r="L2">
        <v>0</v>
      </c>
      <c r="M2">
        <v>260.25</v>
      </c>
      <c r="N2">
        <v>260.25</v>
      </c>
      <c r="O2" t="s">
        <v>67</v>
      </c>
      <c r="P2" t="s">
        <v>68</v>
      </c>
    </row>
    <row r="3" spans="1:16" x14ac:dyDescent="0.3">
      <c r="A3" s="2">
        <v>20212926</v>
      </c>
      <c r="B3" t="s">
        <v>51</v>
      </c>
      <c r="C3" t="s">
        <v>52</v>
      </c>
      <c r="D3" t="str">
        <f t="shared" ref="D3:D4" si="0">_xlfn.CONCAT(C3,7)</f>
        <v>DHZ6GU7</v>
      </c>
      <c r="E3" t="s">
        <v>54</v>
      </c>
      <c r="F3" t="s">
        <v>55</v>
      </c>
      <c r="G3" t="str">
        <f t="shared" ref="G3:G10" si="1">_xlfn.CONCAT(E3," ",F3)</f>
        <v>MARCOS SIFUENTES</v>
      </c>
      <c r="H3" t="s">
        <v>44</v>
      </c>
      <c r="I3" t="s">
        <v>46</v>
      </c>
      <c r="J3" t="s">
        <v>49</v>
      </c>
      <c r="K3">
        <v>260.25</v>
      </c>
      <c r="L3">
        <v>0</v>
      </c>
      <c r="M3">
        <v>260.25</v>
      </c>
      <c r="N3">
        <v>260.25</v>
      </c>
      <c r="O3" t="s">
        <v>67</v>
      </c>
      <c r="P3" t="s">
        <v>68</v>
      </c>
    </row>
    <row r="4" spans="1:16" x14ac:dyDescent="0.3">
      <c r="A4" s="2">
        <v>19396223</v>
      </c>
      <c r="B4" t="s">
        <v>58</v>
      </c>
      <c r="C4" t="s">
        <v>59</v>
      </c>
      <c r="D4" t="str">
        <f t="shared" si="0"/>
        <v>DCHA5E7</v>
      </c>
      <c r="E4" t="s">
        <v>61</v>
      </c>
      <c r="F4" t="s">
        <v>62</v>
      </c>
      <c r="G4" t="str">
        <f t="shared" si="1"/>
        <v>NERISHA VITUCCI</v>
      </c>
      <c r="H4" t="s">
        <v>44</v>
      </c>
      <c r="I4" t="s">
        <v>46</v>
      </c>
      <c r="J4" t="s">
        <v>49</v>
      </c>
      <c r="K4">
        <v>260.25</v>
      </c>
      <c r="L4">
        <v>0</v>
      </c>
      <c r="M4">
        <v>260.25</v>
      </c>
      <c r="N4">
        <v>260.25</v>
      </c>
      <c r="O4" t="s">
        <v>67</v>
      </c>
      <c r="P4" t="s">
        <v>68</v>
      </c>
    </row>
    <row r="5" spans="1:16" s="1" customFormat="1" x14ac:dyDescent="0.3">
      <c r="A5" s="3">
        <v>20411454</v>
      </c>
      <c r="B5" s="1" t="s">
        <v>65</v>
      </c>
      <c r="C5" s="1" t="s">
        <v>40</v>
      </c>
      <c r="D5" s="1" t="str">
        <f>_xlfn.CONCAT(C5,"OVR")</f>
        <v>DY93UZOVR</v>
      </c>
      <c r="E5" s="1" t="s">
        <v>42</v>
      </c>
      <c r="F5" s="1" t="s">
        <v>43</v>
      </c>
      <c r="G5" t="str">
        <f t="shared" si="1"/>
        <v>DARRELL JOHNSON</v>
      </c>
      <c r="H5" s="1" t="s">
        <v>44</v>
      </c>
      <c r="I5" s="1" t="s">
        <v>46</v>
      </c>
      <c r="J5" s="1" t="s">
        <v>49</v>
      </c>
      <c r="K5" s="1">
        <v>0</v>
      </c>
      <c r="L5" s="1">
        <v>75</v>
      </c>
      <c r="M5" s="1">
        <v>75</v>
      </c>
      <c r="N5" s="1">
        <v>75</v>
      </c>
      <c r="O5" s="1" t="s">
        <v>66</v>
      </c>
    </row>
    <row r="6" spans="1:16" s="1" customFormat="1" x14ac:dyDescent="0.3">
      <c r="A6" s="3">
        <v>20411454</v>
      </c>
      <c r="B6" s="1" t="s">
        <v>65</v>
      </c>
      <c r="C6" s="1" t="s">
        <v>40</v>
      </c>
      <c r="D6" s="1" t="str">
        <f t="shared" ref="D6:D10" si="2">_xlfn.CONCAT(C6,"OVR")</f>
        <v>DY93UZOVR</v>
      </c>
      <c r="E6" s="1" t="s">
        <v>42</v>
      </c>
      <c r="F6" s="1" t="s">
        <v>43</v>
      </c>
      <c r="G6" t="str">
        <f t="shared" si="1"/>
        <v>DARRELL JOHNSON</v>
      </c>
      <c r="H6" s="1" t="s">
        <v>44</v>
      </c>
      <c r="I6" s="1" t="s">
        <v>46</v>
      </c>
      <c r="J6" s="1" t="s">
        <v>49</v>
      </c>
      <c r="K6" s="1">
        <v>0</v>
      </c>
      <c r="L6" s="1">
        <v>125</v>
      </c>
      <c r="M6" s="1">
        <v>125</v>
      </c>
      <c r="N6" s="1">
        <v>125</v>
      </c>
      <c r="O6" s="1" t="s">
        <v>66</v>
      </c>
    </row>
    <row r="7" spans="1:16" s="1" customFormat="1" x14ac:dyDescent="0.3">
      <c r="A7" s="3">
        <v>20411454</v>
      </c>
      <c r="B7" s="1" t="s">
        <v>65</v>
      </c>
      <c r="C7" s="1" t="s">
        <v>52</v>
      </c>
      <c r="D7" s="1" t="str">
        <f t="shared" si="2"/>
        <v>DHZ6GUOVR</v>
      </c>
      <c r="E7" s="1" t="s">
        <v>54</v>
      </c>
      <c r="F7" s="1" t="s">
        <v>55</v>
      </c>
      <c r="G7" t="str">
        <f t="shared" si="1"/>
        <v>MARCOS SIFUENTES</v>
      </c>
      <c r="H7" s="1" t="s">
        <v>44</v>
      </c>
      <c r="I7" s="1" t="s">
        <v>46</v>
      </c>
      <c r="J7" s="1" t="s">
        <v>49</v>
      </c>
      <c r="K7" s="1">
        <v>0</v>
      </c>
      <c r="L7" s="1">
        <v>125</v>
      </c>
      <c r="M7" s="1">
        <v>125</v>
      </c>
      <c r="N7" s="1">
        <v>125</v>
      </c>
      <c r="O7" s="1" t="s">
        <v>66</v>
      </c>
    </row>
    <row r="8" spans="1:16" s="1" customFormat="1" x14ac:dyDescent="0.3">
      <c r="A8" s="3">
        <v>20411454</v>
      </c>
      <c r="B8" s="1" t="s">
        <v>65</v>
      </c>
      <c r="C8" s="1" t="s">
        <v>52</v>
      </c>
      <c r="D8" s="1" t="str">
        <f t="shared" si="2"/>
        <v>DHZ6GUOVR</v>
      </c>
      <c r="E8" s="1" t="s">
        <v>54</v>
      </c>
      <c r="F8" s="1" t="s">
        <v>55</v>
      </c>
      <c r="G8" t="str">
        <f t="shared" si="1"/>
        <v>MARCOS SIFUENTES</v>
      </c>
      <c r="H8" s="1" t="s">
        <v>44</v>
      </c>
      <c r="I8" s="1" t="s">
        <v>46</v>
      </c>
      <c r="J8" s="1" t="s">
        <v>49</v>
      </c>
      <c r="K8" s="1">
        <v>0</v>
      </c>
      <c r="L8" s="1">
        <v>75</v>
      </c>
      <c r="M8" s="1">
        <v>75</v>
      </c>
      <c r="N8" s="1">
        <v>75</v>
      </c>
      <c r="O8" s="1" t="s">
        <v>66</v>
      </c>
    </row>
    <row r="9" spans="1:16" s="1" customFormat="1" x14ac:dyDescent="0.3">
      <c r="A9" s="3">
        <v>20411454</v>
      </c>
      <c r="B9" s="1" t="s">
        <v>65</v>
      </c>
      <c r="C9" s="1" t="s">
        <v>59</v>
      </c>
      <c r="D9" s="1" t="str">
        <f t="shared" si="2"/>
        <v>DCHA5EOVR</v>
      </c>
      <c r="E9" s="1" t="s">
        <v>61</v>
      </c>
      <c r="F9" s="1" t="s">
        <v>62</v>
      </c>
      <c r="G9" t="str">
        <f t="shared" si="1"/>
        <v>NERISHA VITUCCI</v>
      </c>
      <c r="H9" s="1" t="s">
        <v>44</v>
      </c>
      <c r="I9" s="1" t="s">
        <v>46</v>
      </c>
      <c r="J9" s="1" t="s">
        <v>49</v>
      </c>
      <c r="K9" s="1">
        <v>0</v>
      </c>
      <c r="L9" s="1">
        <v>75</v>
      </c>
      <c r="M9" s="1">
        <v>75</v>
      </c>
      <c r="N9" s="1">
        <v>75</v>
      </c>
      <c r="O9" s="1" t="s">
        <v>66</v>
      </c>
    </row>
    <row r="10" spans="1:16" s="1" customFormat="1" x14ac:dyDescent="0.3">
      <c r="A10" s="3">
        <v>20411454</v>
      </c>
      <c r="B10" s="1" t="s">
        <v>65</v>
      </c>
      <c r="C10" s="1" t="s">
        <v>59</v>
      </c>
      <c r="D10" s="1" t="str">
        <f t="shared" si="2"/>
        <v>DCHA5EOVR</v>
      </c>
      <c r="E10" s="1" t="s">
        <v>61</v>
      </c>
      <c r="F10" s="1" t="s">
        <v>62</v>
      </c>
      <c r="G10" t="str">
        <f t="shared" si="1"/>
        <v>NERISHA VITUCCI</v>
      </c>
      <c r="H10" s="1" t="s">
        <v>44</v>
      </c>
      <c r="I10" s="1" t="s">
        <v>46</v>
      </c>
      <c r="J10" s="1" t="s">
        <v>49</v>
      </c>
      <c r="K10" s="1">
        <v>0</v>
      </c>
      <c r="L10" s="1">
        <v>125</v>
      </c>
      <c r="M10" s="1">
        <v>125</v>
      </c>
      <c r="N10" s="1">
        <v>125</v>
      </c>
      <c r="O10" s="1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2026-03-23T09:16:09Z</dcterms:created>
  <dcterms:modified xsi:type="dcterms:W3CDTF">2026-03-23T13:01:32Z</dcterms:modified>
</cp:coreProperties>
</file>