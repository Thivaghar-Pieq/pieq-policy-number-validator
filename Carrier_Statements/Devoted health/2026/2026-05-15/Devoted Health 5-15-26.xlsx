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Devoted health\2026\2026-05-15\"/>
    </mc:Choice>
  </mc:AlternateContent>
  <xr:revisionPtr revIDLastSave="0" documentId="13_ncr:1_{B43CE964-2E78-4DEF-9276-677AE8FF12B1}" xr6:coauthVersionLast="47" xr6:coauthVersionMax="47" xr10:uidLastSave="{00000000-0000-0000-0000-000000000000}"/>
  <bookViews>
    <workbookView xWindow="-120" yWindow="-120" windowWidth="29040" windowHeight="1572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3" l="1"/>
  <c r="D23" i="3"/>
  <c r="D24" i="3"/>
  <c r="D25" i="3"/>
  <c r="D26" i="3"/>
  <c r="D27" i="3"/>
  <c r="D28" i="3"/>
  <c r="D29" i="3"/>
  <c r="D21" i="3"/>
  <c r="D16" i="3"/>
  <c r="D20" i="3"/>
  <c r="D19" i="3"/>
  <c r="D15" i="3"/>
  <c r="D14" i="3"/>
  <c r="D13" i="3"/>
  <c r="D18" i="3"/>
  <c r="D12" i="3"/>
  <c r="D11" i="3"/>
  <c r="D17" i="3"/>
  <c r="D10" i="3"/>
  <c r="D9" i="3"/>
  <c r="D6" i="3"/>
  <c r="D8" i="3"/>
  <c r="D5" i="3"/>
  <c r="D4" i="3"/>
  <c r="D7" i="3"/>
  <c r="D3" i="3"/>
  <c r="D2" i="3"/>
  <c r="G8" i="3"/>
  <c r="G5" i="3"/>
  <c r="T14" i="3"/>
  <c r="G9" i="3"/>
  <c r="G4" i="3"/>
  <c r="G7" i="3"/>
  <c r="G3" i="3"/>
  <c r="S2" i="3"/>
  <c r="S20" i="3"/>
  <c r="S17" i="3"/>
  <c r="S10" i="3"/>
  <c r="G2" i="3"/>
  <c r="G17" i="3"/>
  <c r="G11" i="3"/>
  <c r="G12" i="3"/>
  <c r="G18" i="3"/>
  <c r="G13" i="3"/>
  <c r="G14" i="3"/>
  <c r="G15" i="3"/>
  <c r="G19" i="3"/>
  <c r="G20" i="3"/>
  <c r="G16" i="3"/>
  <c r="G6" i="3"/>
  <c r="G21" i="3"/>
  <c r="G22" i="3"/>
  <c r="G23" i="3"/>
  <c r="G24" i="3"/>
  <c r="G25" i="3"/>
  <c r="G26" i="3"/>
  <c r="G27" i="3"/>
  <c r="G28" i="3"/>
  <c r="G29" i="3"/>
  <c r="G10" i="3"/>
</calcChain>
</file>

<file path=xl/sharedStrings.xml><?xml version="1.0" encoding="utf-8"?>
<sst xmlns="http://schemas.openxmlformats.org/spreadsheetml/2006/main" count="641" uniqueCount="164">
  <si>
    <t>Description</t>
  </si>
  <si>
    <t>Member Count</t>
  </si>
  <si>
    <t>Total</t>
  </si>
  <si>
    <t>Payee</t>
  </si>
  <si>
    <t>Payment Date</t>
  </si>
  <si>
    <t>Credits</t>
  </si>
  <si>
    <t>$4,908.43</t>
  </si>
  <si>
    <t>Main Line Benefits LLC</t>
  </si>
  <si>
    <t>05/15/2026</t>
  </si>
  <si>
    <t>Debits</t>
  </si>
  <si>
    <t>($1,229.77)</t>
  </si>
  <si>
    <t>Miscellaneous</t>
  </si>
  <si>
    <t>$0.00</t>
  </si>
  <si>
    <t>Bonus</t>
  </si>
  <si>
    <t>Sub Total</t>
  </si>
  <si>
    <t>$3,678.66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</si>
  <si>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</si>
  <si>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</si>
  <si>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</si>
  <si>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</si>
  <si>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</si>
  <si>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</si>
  <si>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</si>
  <si>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</si>
  <si>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</si>
  <si>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</si>
  <si>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</si>
  <si>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</si>
  <si>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</si>
  <si>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</si>
  <si>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</si>
  <si>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</si>
  <si>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</si>
  <si>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</si>
  <si>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</si>
  <si>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</si>
  <si>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</si>
  <si>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</si>
  <si>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</si>
  <si>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</si>
  <si>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8814784</t>
  </si>
  <si>
    <t>Frank Liskovec</t>
  </si>
  <si>
    <t>D36CA8</t>
  </si>
  <si>
    <t>8TU6Q42RF68</t>
  </si>
  <si>
    <t>PATRICIA</t>
  </si>
  <si>
    <t>LISKOVEC</t>
  </si>
  <si>
    <t>IL</t>
  </si>
  <si>
    <t>10/16/2025</t>
  </si>
  <si>
    <t>01/01/2026</t>
  </si>
  <si>
    <t>04/30/2026</t>
  </si>
  <si>
    <t>H6545</t>
  </si>
  <si>
    <t>MAPD</t>
  </si>
  <si>
    <t>Initial - Not New</t>
  </si>
  <si>
    <t>Jan</t>
  </si>
  <si>
    <t>8325282</t>
  </si>
  <si>
    <t>Dale Walenga</t>
  </si>
  <si>
    <t>DJJSJR</t>
  </si>
  <si>
    <t>2QJ3F44JQ78</t>
  </si>
  <si>
    <t>JOSEPH</t>
  </si>
  <si>
    <t>WALKER</t>
  </si>
  <si>
    <t>02/09/2026</t>
  </si>
  <si>
    <t>03/01/2026</t>
  </si>
  <si>
    <t>Feb</t>
  </si>
  <si>
    <t>20212926</t>
  </si>
  <si>
    <t>Jose Torres</t>
  </si>
  <si>
    <t>DHZ6GU</t>
  </si>
  <si>
    <t>8RM8NU1CG23</t>
  </si>
  <si>
    <t>MARCOS</t>
  </si>
  <si>
    <t>SIFUENTES</t>
  </si>
  <si>
    <t>03/03/2026</t>
  </si>
  <si>
    <t>04/01/2026</t>
  </si>
  <si>
    <t>H7151</t>
  </si>
  <si>
    <t>Mar</t>
  </si>
  <si>
    <t>9213293</t>
  </si>
  <si>
    <t>Gary Portugal</t>
  </si>
  <si>
    <t>DYE467</t>
  </si>
  <si>
    <t>7K01W31RA19</t>
  </si>
  <si>
    <t>MANUEL</t>
  </si>
  <si>
    <t>VALDEZ SR</t>
  </si>
  <si>
    <t>03/30/2026</t>
  </si>
  <si>
    <t>Initial - New</t>
  </si>
  <si>
    <t>Apr</t>
  </si>
  <si>
    <t>DAARCC</t>
  </si>
  <si>
    <t>8J97R99HP59</t>
  </si>
  <si>
    <t>COLEEN</t>
  </si>
  <si>
    <t>SPENCER JOHNSON</t>
  </si>
  <si>
    <t>04/06/2026</t>
  </si>
  <si>
    <t>07/01/2026</t>
  </si>
  <si>
    <t>NONE</t>
  </si>
  <si>
    <t>21104854</t>
  </si>
  <si>
    <t>Brian Strohman</t>
  </si>
  <si>
    <t>DR9U89</t>
  </si>
  <si>
    <t>5N22CE4TD12</t>
  </si>
  <si>
    <t>ANGELA</t>
  </si>
  <si>
    <t>GODFREY</t>
  </si>
  <si>
    <t>OH</t>
  </si>
  <si>
    <t>04/17/2026</t>
  </si>
  <si>
    <t>05/01/2026</t>
  </si>
  <si>
    <t>H2697</t>
  </si>
  <si>
    <t>May</t>
  </si>
  <si>
    <t>16633294</t>
  </si>
  <si>
    <t>Richard Yale</t>
  </si>
  <si>
    <t>DG8YA2</t>
  </si>
  <si>
    <t>5V07DK9FD41</t>
  </si>
  <si>
    <t>STEVEN</t>
  </si>
  <si>
    <t>HARRIS</t>
  </si>
  <si>
    <t>04/13/2026</t>
  </si>
  <si>
    <t>17554531</t>
  </si>
  <si>
    <t>Brittany Oliver</t>
  </si>
  <si>
    <t>D645E6</t>
  </si>
  <si>
    <t>1EK1DE5JX95</t>
  </si>
  <si>
    <t>ANNE</t>
  </si>
  <si>
    <t>IZNER</t>
  </si>
  <si>
    <t>PA</t>
  </si>
  <si>
    <t>04/24/2026</t>
  </si>
  <si>
    <t>H6852</t>
  </si>
  <si>
    <t>18754354</t>
  </si>
  <si>
    <t>Jacob Yale</t>
  </si>
  <si>
    <t>DE5YYR</t>
  </si>
  <si>
    <t>1Q92QR2NP00</t>
  </si>
  <si>
    <t>TONYA</t>
  </si>
  <si>
    <t>MILAM</t>
  </si>
  <si>
    <t>GA</t>
  </si>
  <si>
    <t>04/20/2026</t>
  </si>
  <si>
    <t>H5453</t>
  </si>
  <si>
    <t>D3A2GR</t>
  </si>
  <si>
    <t>9YV5ND7DX63</t>
  </si>
  <si>
    <t>REBECCA</t>
  </si>
  <si>
    <t>SVENNINGSEN</t>
  </si>
  <si>
    <t>H8320</t>
  </si>
  <si>
    <t>21283956</t>
  </si>
  <si>
    <t>Victor Fuentes</t>
  </si>
  <si>
    <t>DFRHSF</t>
  </si>
  <si>
    <t>6Q28UT4EE64</t>
  </si>
  <si>
    <t>VERN</t>
  </si>
  <si>
    <t>LOHMAN</t>
  </si>
  <si>
    <t>04/29/2026</t>
  </si>
  <si>
    <t>19200754</t>
  </si>
  <si>
    <t>Ricardo Santos</t>
  </si>
  <si>
    <t>DJE9EF</t>
  </si>
  <si>
    <t>6MG4JU0PF88</t>
  </si>
  <si>
    <t>TINA</t>
  </si>
  <si>
    <t>PHILLIPS</t>
  </si>
  <si>
    <t>IN</t>
  </si>
  <si>
    <t>H7471</t>
  </si>
  <si>
    <t>20490188</t>
  </si>
  <si>
    <t>Tom Serio</t>
  </si>
  <si>
    <t>DAGF83</t>
  </si>
  <si>
    <t>1J43CU4ER86</t>
  </si>
  <si>
    <t>SHARON</t>
  </si>
  <si>
    <t>PRIDEMORE</t>
  </si>
  <si>
    <t>04/27/2026</t>
  </si>
  <si>
    <t>Main Line Benefits</t>
  </si>
  <si>
    <t>Devoted Health MAPD 2026*</t>
  </si>
  <si>
    <t>Devoted MAPD Ovr</t>
  </si>
  <si>
    <t>[%/$=347][prorate=8/12]</t>
  </si>
  <si>
    <t>[%/$=347][prorate=9/12]</t>
  </si>
  <si>
    <t>[%/$=347][prorate=6/12]</t>
  </si>
  <si>
    <t>Devoted Health 2026</t>
  </si>
  <si>
    <t>[%/$=694][prorate=7/12]</t>
  </si>
  <si>
    <t>[%/$=694]</t>
  </si>
  <si>
    <t>Devoted Health 2026 CT, PA, DC</t>
  </si>
  <si>
    <t>[%/$=781]</t>
  </si>
  <si>
    <t>17554531O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</si>
</sst>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NumberFormat="1" applyAlignment="1">
      <alignment horizontal="left"/>
    </xf>
    <xf numFmtId="0" fontId="0" fillId="2" borderId="0" xfId="0" applyNumberFormat="1" applyFill="1" applyAlignment="1">
      <alignment horizontal="left"/>
    </xf>
    <xf numFmtId="0" fontId="0" fillId="3" borderId="0" xfId="0" applyNumberFormat="1" applyFill="1" applyAlignment="1">
      <alignment horizontal="left"/>
    </xf>
    <xf numFmtId="0" fontId="0" fillId="3" borderId="0" xfId="0" applyFill="1"/>
    <xf numFmtId="0" fontId="0" fillId="0" borderId="0" xfId="0" applyNumberFormat="1" applyFill="1" applyAlignment="1">
      <alignment horizontal="left"/>
    </xf>
    <xf numFmtId="0" fontId="0" fillId="0" borderId="0" xfId="0" applyFill="1"/>
    <xf numFmtId="14" fontId="0" fillId="0" borderId="0" xfId="0" applyNumberFormat="1"/>
    <xf numFmtId="14" fontId="0" fillId="3" borderId="0" xfId="0" applyNumberFormat="1" applyFill="1"/>
    <xf numFmtId="14" fontId="0" fillId="0" borderId="0" xfId="0" applyNumberFormat="1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10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3</v>
      </c>
      <c r="C3" t="s">
        <v>10</v>
      </c>
    </row>
    <row r="4" spans="1:6" x14ac:dyDescent="0.25">
      <c r="A4" t="s">
        <v>11</v>
      </c>
      <c r="B4">
        <v>0</v>
      </c>
      <c r="C4" t="s">
        <v>12</v>
      </c>
    </row>
    <row r="5" spans="1:6" x14ac:dyDescent="0.25">
      <c r="A5" t="s">
        <v>13</v>
      </c>
      <c r="C5" t="s">
        <v>12</v>
      </c>
    </row>
    <row r="6" spans="1:6" x14ac:dyDescent="0.25">
      <c r="A6" t="s">
        <v>14</v>
      </c>
      <c r="B6">
        <v>13</v>
      </c>
      <c r="C6" t="s">
        <v>15</v>
      </c>
    </row>
    <row r="7" spans="1:6" x14ac:dyDescent="0.25">
      <c r="A7" t="s">
        <v>16</v>
      </c>
      <c r="C7" t="s">
        <v>12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2"/>
  <sheetViews>
    <sheetView zoomScaleNormal="100" workbookViewId="0">
      <selection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10</v>
      </c>
      <c r="N2" t="s">
        <v>51</v>
      </c>
      <c r="O2">
        <v>5</v>
      </c>
      <c r="P2" t="s">
        <v>52</v>
      </c>
      <c r="Q2" t="s">
        <v>53</v>
      </c>
      <c r="R2">
        <v>-231.34</v>
      </c>
      <c r="S2">
        <v>-133.34</v>
      </c>
      <c r="T2">
        <v>-364.68</v>
      </c>
      <c r="U2" t="s">
        <v>7</v>
      </c>
    </row>
    <row r="3" spans="1:22" x14ac:dyDescent="0.25">
      <c r="A3" t="s">
        <v>8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46</v>
      </c>
      <c r="I3" t="s">
        <v>60</v>
      </c>
      <c r="J3" t="s">
        <v>61</v>
      </c>
      <c r="L3" t="s">
        <v>50</v>
      </c>
      <c r="M3">
        <v>10</v>
      </c>
      <c r="N3" t="s">
        <v>51</v>
      </c>
      <c r="O3">
        <v>2</v>
      </c>
      <c r="P3" t="s">
        <v>52</v>
      </c>
      <c r="Q3" t="s">
        <v>62</v>
      </c>
      <c r="R3">
        <v>-404.84</v>
      </c>
      <c r="S3">
        <v>0</v>
      </c>
      <c r="T3">
        <v>-404.84</v>
      </c>
      <c r="U3" t="s">
        <v>7</v>
      </c>
    </row>
    <row r="4" spans="1:22" x14ac:dyDescent="0.25">
      <c r="A4" t="s">
        <v>8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46</v>
      </c>
      <c r="I4" t="s">
        <v>69</v>
      </c>
      <c r="J4" t="s">
        <v>70</v>
      </c>
      <c r="K4" t="s">
        <v>49</v>
      </c>
      <c r="L4" t="s">
        <v>71</v>
      </c>
      <c r="M4">
        <v>6</v>
      </c>
      <c r="N4" t="s">
        <v>51</v>
      </c>
      <c r="O4">
        <v>7</v>
      </c>
      <c r="P4" t="s">
        <v>52</v>
      </c>
      <c r="Q4" t="s">
        <v>72</v>
      </c>
      <c r="R4">
        <v>0</v>
      </c>
      <c r="S4">
        <v>-125</v>
      </c>
      <c r="T4">
        <v>-125</v>
      </c>
      <c r="U4" t="s">
        <v>7</v>
      </c>
    </row>
    <row r="5" spans="1:22" x14ac:dyDescent="0.25">
      <c r="A5" t="s">
        <v>8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46</v>
      </c>
      <c r="I5" t="s">
        <v>69</v>
      </c>
      <c r="J5" t="s">
        <v>70</v>
      </c>
      <c r="K5" t="s">
        <v>49</v>
      </c>
      <c r="L5" t="s">
        <v>71</v>
      </c>
      <c r="M5">
        <v>6</v>
      </c>
      <c r="N5" t="s">
        <v>51</v>
      </c>
      <c r="O5">
        <v>7</v>
      </c>
      <c r="P5" t="s">
        <v>52</v>
      </c>
      <c r="Q5" t="s">
        <v>72</v>
      </c>
      <c r="R5">
        <v>0</v>
      </c>
      <c r="S5">
        <v>-75</v>
      </c>
      <c r="T5">
        <v>-75</v>
      </c>
      <c r="U5" t="s">
        <v>7</v>
      </c>
    </row>
    <row r="6" spans="1:22" x14ac:dyDescent="0.25">
      <c r="A6" t="s">
        <v>8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46</v>
      </c>
      <c r="I6" t="s">
        <v>69</v>
      </c>
      <c r="J6" t="s">
        <v>70</v>
      </c>
      <c r="K6" t="s">
        <v>49</v>
      </c>
      <c r="L6" t="s">
        <v>71</v>
      </c>
      <c r="M6">
        <v>6</v>
      </c>
      <c r="N6" t="s">
        <v>51</v>
      </c>
      <c r="O6">
        <v>7</v>
      </c>
      <c r="P6" t="s">
        <v>52</v>
      </c>
      <c r="Q6" t="s">
        <v>72</v>
      </c>
      <c r="R6">
        <v>-260.25</v>
      </c>
      <c r="S6">
        <v>0</v>
      </c>
      <c r="T6">
        <v>-260.25</v>
      </c>
      <c r="U6" t="s">
        <v>7</v>
      </c>
    </row>
    <row r="7" spans="1:22" x14ac:dyDescent="0.25">
      <c r="A7" t="s">
        <v>8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46</v>
      </c>
      <c r="I7" t="s">
        <v>79</v>
      </c>
      <c r="J7" t="s">
        <v>70</v>
      </c>
      <c r="L7" t="s">
        <v>71</v>
      </c>
      <c r="M7">
        <v>5</v>
      </c>
      <c r="N7" t="s">
        <v>51</v>
      </c>
      <c r="O7">
        <v>1</v>
      </c>
      <c r="P7" t="s">
        <v>80</v>
      </c>
      <c r="Q7" t="s">
        <v>81</v>
      </c>
      <c r="R7">
        <v>260.25</v>
      </c>
      <c r="S7">
        <v>0</v>
      </c>
      <c r="T7">
        <v>260.25</v>
      </c>
      <c r="U7" t="s">
        <v>7</v>
      </c>
    </row>
    <row r="8" spans="1:22" x14ac:dyDescent="0.25">
      <c r="A8" t="s">
        <v>8</v>
      </c>
      <c r="B8" t="s">
        <v>73</v>
      </c>
      <c r="C8" t="s">
        <v>74</v>
      </c>
      <c r="D8" t="s">
        <v>82</v>
      </c>
      <c r="E8" t="s">
        <v>83</v>
      </c>
      <c r="F8" t="s">
        <v>84</v>
      </c>
      <c r="G8" t="s">
        <v>85</v>
      </c>
      <c r="H8" t="s">
        <v>46</v>
      </c>
      <c r="I8" t="s">
        <v>86</v>
      </c>
      <c r="J8" t="s">
        <v>87</v>
      </c>
      <c r="L8" t="s">
        <v>71</v>
      </c>
      <c r="M8">
        <v>3</v>
      </c>
      <c r="N8" t="s">
        <v>88</v>
      </c>
      <c r="O8">
        <v>-1</v>
      </c>
      <c r="P8" t="s">
        <v>80</v>
      </c>
      <c r="Q8" t="s">
        <v>81</v>
      </c>
      <c r="R8">
        <v>520.5</v>
      </c>
      <c r="S8">
        <v>0</v>
      </c>
      <c r="T8">
        <v>520.5</v>
      </c>
      <c r="U8" t="s">
        <v>7</v>
      </c>
    </row>
    <row r="9" spans="1:22" x14ac:dyDescent="0.25">
      <c r="A9" t="s">
        <v>8</v>
      </c>
      <c r="B9" t="s">
        <v>89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L9" t="s">
        <v>98</v>
      </c>
      <c r="M9">
        <v>17</v>
      </c>
      <c r="N9" t="s">
        <v>88</v>
      </c>
      <c r="O9">
        <v>1</v>
      </c>
      <c r="P9" t="s">
        <v>80</v>
      </c>
      <c r="Q9" t="s">
        <v>99</v>
      </c>
      <c r="R9">
        <v>462.67</v>
      </c>
      <c r="S9">
        <v>0</v>
      </c>
      <c r="T9">
        <v>462.67</v>
      </c>
      <c r="U9" t="s">
        <v>7</v>
      </c>
    </row>
    <row r="10" spans="1:22" x14ac:dyDescent="0.25">
      <c r="A10" t="s">
        <v>8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105</v>
      </c>
      <c r="H10" t="s">
        <v>46</v>
      </c>
      <c r="I10" t="s">
        <v>106</v>
      </c>
      <c r="J10" t="s">
        <v>97</v>
      </c>
      <c r="L10" t="s">
        <v>71</v>
      </c>
      <c r="M10">
        <v>1</v>
      </c>
      <c r="N10" t="s">
        <v>88</v>
      </c>
      <c r="O10">
        <v>1</v>
      </c>
      <c r="P10" t="s">
        <v>80</v>
      </c>
      <c r="Q10" t="s">
        <v>99</v>
      </c>
      <c r="R10">
        <v>462.67</v>
      </c>
      <c r="S10">
        <v>0</v>
      </c>
      <c r="T10">
        <v>462.67</v>
      </c>
      <c r="U10" t="s">
        <v>7</v>
      </c>
    </row>
    <row r="11" spans="1:22" x14ac:dyDescent="0.25">
      <c r="A11" t="s">
        <v>8</v>
      </c>
      <c r="B11" t="s">
        <v>107</v>
      </c>
      <c r="C11" t="s">
        <v>108</v>
      </c>
      <c r="D11" t="s">
        <v>109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97</v>
      </c>
      <c r="L11" t="s">
        <v>115</v>
      </c>
      <c r="M11">
        <v>13</v>
      </c>
      <c r="N11" t="s">
        <v>88</v>
      </c>
      <c r="O11">
        <v>1</v>
      </c>
      <c r="P11" t="s">
        <v>80</v>
      </c>
      <c r="Q11" t="s">
        <v>99</v>
      </c>
      <c r="R11">
        <v>520.34</v>
      </c>
      <c r="S11">
        <v>0</v>
      </c>
      <c r="T11">
        <v>520.34</v>
      </c>
      <c r="U11" t="s">
        <v>7</v>
      </c>
    </row>
    <row r="12" spans="1:22" x14ac:dyDescent="0.25">
      <c r="A12" t="s">
        <v>8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87</v>
      </c>
      <c r="L12" t="s">
        <v>124</v>
      </c>
      <c r="M12">
        <v>1</v>
      </c>
      <c r="N12" t="s">
        <v>88</v>
      </c>
      <c r="O12">
        <v>-1</v>
      </c>
      <c r="P12" t="s">
        <v>80</v>
      </c>
      <c r="Q12" t="s">
        <v>99</v>
      </c>
      <c r="R12">
        <v>520.5</v>
      </c>
      <c r="S12">
        <v>0</v>
      </c>
      <c r="T12">
        <v>520.5</v>
      </c>
      <c r="U12" t="s">
        <v>7</v>
      </c>
    </row>
    <row r="13" spans="1:22" x14ac:dyDescent="0.25">
      <c r="A13" t="s">
        <v>8</v>
      </c>
      <c r="B13" t="s">
        <v>89</v>
      </c>
      <c r="C13" t="s">
        <v>90</v>
      </c>
      <c r="D13" t="s">
        <v>125</v>
      </c>
      <c r="E13" t="s">
        <v>126</v>
      </c>
      <c r="F13" t="s">
        <v>127</v>
      </c>
      <c r="G13" t="s">
        <v>128</v>
      </c>
      <c r="H13" t="s">
        <v>46</v>
      </c>
      <c r="I13" t="s">
        <v>114</v>
      </c>
      <c r="J13" t="s">
        <v>97</v>
      </c>
      <c r="L13" t="s">
        <v>129</v>
      </c>
      <c r="M13">
        <v>3</v>
      </c>
      <c r="N13" t="s">
        <v>88</v>
      </c>
      <c r="O13">
        <v>1</v>
      </c>
      <c r="P13" t="s">
        <v>80</v>
      </c>
      <c r="Q13" t="s">
        <v>99</v>
      </c>
      <c r="R13">
        <v>462.67</v>
      </c>
      <c r="S13">
        <v>0</v>
      </c>
      <c r="T13">
        <v>462.67</v>
      </c>
      <c r="U13" t="s">
        <v>7</v>
      </c>
    </row>
    <row r="14" spans="1:22" x14ac:dyDescent="0.25">
      <c r="A14" t="s">
        <v>8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46</v>
      </c>
      <c r="I14" t="s">
        <v>136</v>
      </c>
      <c r="J14" t="s">
        <v>87</v>
      </c>
      <c r="L14" t="s">
        <v>71</v>
      </c>
      <c r="M14">
        <v>1</v>
      </c>
      <c r="O14">
        <v>0</v>
      </c>
      <c r="P14" t="s">
        <v>52</v>
      </c>
      <c r="Q14" t="s">
        <v>99</v>
      </c>
      <c r="R14">
        <v>0</v>
      </c>
      <c r="S14">
        <v>125</v>
      </c>
      <c r="T14">
        <v>125</v>
      </c>
      <c r="U14" t="s">
        <v>7</v>
      </c>
    </row>
    <row r="15" spans="1:22" x14ac:dyDescent="0.25">
      <c r="A15" t="s">
        <v>8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H15" t="s">
        <v>46</v>
      </c>
      <c r="I15" t="s">
        <v>136</v>
      </c>
      <c r="J15" t="s">
        <v>87</v>
      </c>
      <c r="L15" t="s">
        <v>71</v>
      </c>
      <c r="M15">
        <v>1</v>
      </c>
      <c r="O15">
        <v>0</v>
      </c>
      <c r="P15" t="s">
        <v>52</v>
      </c>
      <c r="Q15" t="s">
        <v>99</v>
      </c>
      <c r="R15">
        <v>0</v>
      </c>
      <c r="S15">
        <v>75</v>
      </c>
      <c r="T15">
        <v>75</v>
      </c>
      <c r="U15" t="s">
        <v>7</v>
      </c>
    </row>
    <row r="16" spans="1:22" x14ac:dyDescent="0.25">
      <c r="A16" t="s">
        <v>8</v>
      </c>
      <c r="B16" t="s">
        <v>130</v>
      </c>
      <c r="C16" t="s">
        <v>131</v>
      </c>
      <c r="D16" t="s">
        <v>132</v>
      </c>
      <c r="E16" t="s">
        <v>133</v>
      </c>
      <c r="F16" t="s">
        <v>134</v>
      </c>
      <c r="G16" t="s">
        <v>135</v>
      </c>
      <c r="H16" t="s">
        <v>46</v>
      </c>
      <c r="I16" t="s">
        <v>136</v>
      </c>
      <c r="J16" t="s">
        <v>87</v>
      </c>
      <c r="L16" t="s">
        <v>71</v>
      </c>
      <c r="M16">
        <v>1</v>
      </c>
      <c r="O16">
        <v>0</v>
      </c>
      <c r="P16" t="s">
        <v>52</v>
      </c>
      <c r="Q16" t="s">
        <v>99</v>
      </c>
      <c r="R16">
        <v>173.5</v>
      </c>
      <c r="S16">
        <v>0</v>
      </c>
      <c r="T16">
        <v>173.5</v>
      </c>
      <c r="U16" t="s">
        <v>7</v>
      </c>
    </row>
    <row r="17" spans="1:21" x14ac:dyDescent="0.25">
      <c r="A17" t="s">
        <v>8</v>
      </c>
      <c r="B17" t="s">
        <v>137</v>
      </c>
      <c r="C17" t="s">
        <v>138</v>
      </c>
      <c r="D17" t="s">
        <v>139</v>
      </c>
      <c r="E17" t="s">
        <v>140</v>
      </c>
      <c r="F17" t="s">
        <v>141</v>
      </c>
      <c r="G17" t="s">
        <v>142</v>
      </c>
      <c r="H17" t="s">
        <v>143</v>
      </c>
      <c r="I17" t="s">
        <v>49</v>
      </c>
      <c r="J17" t="s">
        <v>97</v>
      </c>
      <c r="L17" t="s">
        <v>144</v>
      </c>
      <c r="M17">
        <v>5</v>
      </c>
      <c r="O17">
        <v>0</v>
      </c>
      <c r="P17" t="s">
        <v>52</v>
      </c>
      <c r="Q17" t="s">
        <v>99</v>
      </c>
      <c r="R17">
        <v>0</v>
      </c>
      <c r="S17">
        <v>125</v>
      </c>
      <c r="T17">
        <v>125</v>
      </c>
      <c r="U17" t="s">
        <v>7</v>
      </c>
    </row>
    <row r="18" spans="1:21" x14ac:dyDescent="0.25">
      <c r="A18" t="s">
        <v>8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  <c r="I18" t="s">
        <v>49</v>
      </c>
      <c r="J18" t="s">
        <v>97</v>
      </c>
      <c r="L18" t="s">
        <v>144</v>
      </c>
      <c r="M18">
        <v>5</v>
      </c>
      <c r="O18">
        <v>0</v>
      </c>
      <c r="P18" t="s">
        <v>52</v>
      </c>
      <c r="Q18" t="s">
        <v>99</v>
      </c>
      <c r="R18">
        <v>231.33</v>
      </c>
      <c r="S18">
        <v>0</v>
      </c>
      <c r="T18">
        <v>231.33</v>
      </c>
      <c r="U18" t="s">
        <v>7</v>
      </c>
    </row>
    <row r="19" spans="1:21" x14ac:dyDescent="0.25">
      <c r="A19" t="s">
        <v>8</v>
      </c>
      <c r="B19" t="s">
        <v>137</v>
      </c>
      <c r="C19" t="s">
        <v>138</v>
      </c>
      <c r="D19" t="s">
        <v>139</v>
      </c>
      <c r="E19" t="s">
        <v>140</v>
      </c>
      <c r="F19" t="s">
        <v>141</v>
      </c>
      <c r="G19" t="s">
        <v>142</v>
      </c>
      <c r="H19" t="s">
        <v>143</v>
      </c>
      <c r="I19" t="s">
        <v>49</v>
      </c>
      <c r="J19" t="s">
        <v>97</v>
      </c>
      <c r="L19" t="s">
        <v>144</v>
      </c>
      <c r="M19">
        <v>5</v>
      </c>
      <c r="O19">
        <v>0</v>
      </c>
      <c r="P19" t="s">
        <v>52</v>
      </c>
      <c r="Q19" t="s">
        <v>99</v>
      </c>
      <c r="R19">
        <v>0</v>
      </c>
      <c r="S19">
        <v>75</v>
      </c>
      <c r="T19">
        <v>75</v>
      </c>
      <c r="U19" t="s">
        <v>7</v>
      </c>
    </row>
    <row r="20" spans="1:21" x14ac:dyDescent="0.25">
      <c r="A20" t="s">
        <v>8</v>
      </c>
      <c r="B20" t="s">
        <v>145</v>
      </c>
      <c r="C20" t="s">
        <v>146</v>
      </c>
      <c r="D20" t="s">
        <v>147</v>
      </c>
      <c r="E20" t="s">
        <v>148</v>
      </c>
      <c r="F20" t="s">
        <v>149</v>
      </c>
      <c r="G20" t="s">
        <v>150</v>
      </c>
      <c r="H20" t="s">
        <v>46</v>
      </c>
      <c r="I20" t="s">
        <v>151</v>
      </c>
      <c r="J20" t="s">
        <v>97</v>
      </c>
      <c r="L20" t="s">
        <v>71</v>
      </c>
      <c r="M20">
        <v>3</v>
      </c>
      <c r="N20" t="s">
        <v>88</v>
      </c>
      <c r="O20">
        <v>1</v>
      </c>
      <c r="P20" t="s">
        <v>80</v>
      </c>
      <c r="Q20" t="s">
        <v>99</v>
      </c>
      <c r="R20">
        <v>0</v>
      </c>
      <c r="S20">
        <v>75</v>
      </c>
      <c r="T20">
        <v>75</v>
      </c>
      <c r="U20" t="s">
        <v>7</v>
      </c>
    </row>
    <row r="21" spans="1:21" x14ac:dyDescent="0.25">
      <c r="A21" t="s">
        <v>8</v>
      </c>
      <c r="B21" t="s">
        <v>145</v>
      </c>
      <c r="C21" t="s">
        <v>146</v>
      </c>
      <c r="D21" t="s">
        <v>147</v>
      </c>
      <c r="E21" t="s">
        <v>148</v>
      </c>
      <c r="F21" t="s">
        <v>149</v>
      </c>
      <c r="G21" t="s">
        <v>150</v>
      </c>
      <c r="H21" t="s">
        <v>46</v>
      </c>
      <c r="I21" t="s">
        <v>151</v>
      </c>
      <c r="J21" t="s">
        <v>97</v>
      </c>
      <c r="L21" t="s">
        <v>71</v>
      </c>
      <c r="M21">
        <v>3</v>
      </c>
      <c r="N21" t="s">
        <v>88</v>
      </c>
      <c r="O21">
        <v>1</v>
      </c>
      <c r="P21" t="s">
        <v>80</v>
      </c>
      <c r="Q21" t="s">
        <v>99</v>
      </c>
      <c r="R21">
        <v>694</v>
      </c>
      <c r="S21">
        <v>0</v>
      </c>
      <c r="T21">
        <v>694</v>
      </c>
      <c r="U21" t="s">
        <v>7</v>
      </c>
    </row>
    <row r="22" spans="1:21" x14ac:dyDescent="0.25">
      <c r="A22" t="s">
        <v>8</v>
      </c>
      <c r="B22" t="s">
        <v>145</v>
      </c>
      <c r="C22" t="s">
        <v>146</v>
      </c>
      <c r="D22" t="s">
        <v>147</v>
      </c>
      <c r="E22" t="s">
        <v>148</v>
      </c>
      <c r="F22" t="s">
        <v>149</v>
      </c>
      <c r="G22" t="s">
        <v>150</v>
      </c>
      <c r="H22" t="s">
        <v>46</v>
      </c>
      <c r="I22" t="s">
        <v>151</v>
      </c>
      <c r="J22" t="s">
        <v>97</v>
      </c>
      <c r="L22" t="s">
        <v>71</v>
      </c>
      <c r="M22">
        <v>3</v>
      </c>
      <c r="N22" t="s">
        <v>88</v>
      </c>
      <c r="O22">
        <v>1</v>
      </c>
      <c r="P22" t="s">
        <v>80</v>
      </c>
      <c r="Q22" t="s">
        <v>99</v>
      </c>
      <c r="R22">
        <v>0</v>
      </c>
      <c r="S22">
        <v>125</v>
      </c>
      <c r="T22">
        <v>125</v>
      </c>
      <c r="U22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2AED-AAC9-4ED7-9677-873860CDCDFF}">
  <dimension ref="A1:Z29"/>
  <sheetViews>
    <sheetView tabSelected="1" topLeftCell="B1" workbookViewId="0">
      <selection activeCell="R2" sqref="R2:R20"/>
    </sheetView>
  </sheetViews>
  <sheetFormatPr defaultRowHeight="15" x14ac:dyDescent="0.25"/>
  <cols>
    <col min="1" max="1" width="10" customWidth="1"/>
    <col min="2" max="2" width="20" customWidth="1"/>
    <col min="3" max="4" width="15" customWidth="1"/>
    <col min="6" max="7" width="12.7109375" customWidth="1"/>
    <col min="8" max="8" width="13.7109375" customWidth="1"/>
    <col min="9" max="9" width="13.42578125" customWidth="1"/>
    <col min="10" max="10" width="16.7109375" customWidth="1"/>
    <col min="11" max="11" width="6.7109375" customWidth="1"/>
    <col min="12" max="12" width="12.85546875" customWidth="1"/>
    <col min="13" max="13" width="14.5703125" customWidth="1"/>
    <col min="14" max="15" width="14" customWidth="1"/>
    <col min="17" max="17" width="26.7109375" bestFit="1" customWidth="1"/>
    <col min="18" max="18" width="24.140625" bestFit="1" customWidth="1"/>
  </cols>
  <sheetData>
    <row r="1" spans="1:26" x14ac:dyDescent="0.25">
      <c r="A1" t="s">
        <v>19</v>
      </c>
      <c r="B1" t="s">
        <v>20</v>
      </c>
      <c r="C1" t="s">
        <v>21</v>
      </c>
      <c r="E1" t="s">
        <v>23</v>
      </c>
      <c r="F1" t="s">
        <v>24</v>
      </c>
      <c r="H1" t="s">
        <v>25</v>
      </c>
      <c r="I1" t="s">
        <v>27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</row>
    <row r="2" spans="1:26" x14ac:dyDescent="0.25">
      <c r="A2" s="2">
        <v>8325282</v>
      </c>
      <c r="B2" t="s">
        <v>55</v>
      </c>
      <c r="C2" t="s">
        <v>56</v>
      </c>
      <c r="D2" t="str">
        <f>CONCATENATE(C2,9)</f>
        <v>DJJSJR9</v>
      </c>
      <c r="E2" t="s">
        <v>58</v>
      </c>
      <c r="F2" t="s">
        <v>59</v>
      </c>
      <c r="G2" t="str">
        <f>CONCATENATE(E2," ",F2)</f>
        <v>JOSEPH WALKER</v>
      </c>
      <c r="H2" t="s">
        <v>46</v>
      </c>
      <c r="I2" t="s">
        <v>61</v>
      </c>
      <c r="J2" t="s">
        <v>52</v>
      </c>
      <c r="K2" s="8" t="s">
        <v>62</v>
      </c>
      <c r="L2">
        <v>-404.84</v>
      </c>
      <c r="M2">
        <v>0</v>
      </c>
      <c r="N2">
        <v>-404.84</v>
      </c>
      <c r="O2">
        <v>-1</v>
      </c>
      <c r="P2">
        <v>-404.84</v>
      </c>
      <c r="Q2" t="s">
        <v>158</v>
      </c>
      <c r="R2" t="s">
        <v>159</v>
      </c>
      <c r="S2">
        <f>694/12*7</f>
        <v>404.83333333333337</v>
      </c>
    </row>
    <row r="3" spans="1:26" x14ac:dyDescent="0.25">
      <c r="A3" s="4">
        <v>9213293</v>
      </c>
      <c r="B3" s="5" t="s">
        <v>74</v>
      </c>
      <c r="C3" s="5" t="s">
        <v>82</v>
      </c>
      <c r="D3" t="str">
        <f>CONCATENATE(C3,9)</f>
        <v>DAARCC9</v>
      </c>
      <c r="E3" s="5" t="s">
        <v>84</v>
      </c>
      <c r="F3" s="5" t="s">
        <v>85</v>
      </c>
      <c r="G3" s="5" t="str">
        <f>CONCATENATE(E3," ",F3)</f>
        <v>COLEEN SPENCER JOHNSON</v>
      </c>
      <c r="H3" s="5" t="s">
        <v>46</v>
      </c>
      <c r="I3" s="5" t="s">
        <v>87</v>
      </c>
      <c r="J3" s="5" t="s">
        <v>80</v>
      </c>
      <c r="K3" s="9" t="s">
        <v>81</v>
      </c>
      <c r="L3" s="5">
        <v>520.5</v>
      </c>
      <c r="M3" s="5">
        <v>0</v>
      </c>
      <c r="N3" s="5">
        <v>520.5</v>
      </c>
      <c r="O3" s="5">
        <v>1</v>
      </c>
      <c r="P3" s="5">
        <v>694</v>
      </c>
      <c r="Q3" s="5" t="s">
        <v>158</v>
      </c>
      <c r="R3" s="5" t="s">
        <v>160</v>
      </c>
      <c r="S3" s="5"/>
      <c r="T3" s="5"/>
      <c r="U3" s="5"/>
      <c r="V3" s="5"/>
      <c r="W3" s="5"/>
      <c r="X3" s="5"/>
      <c r="Y3" s="5"/>
    </row>
    <row r="4" spans="1:26" x14ac:dyDescent="0.25">
      <c r="A4" s="4">
        <v>16633294</v>
      </c>
      <c r="B4" s="5" t="s">
        <v>101</v>
      </c>
      <c r="C4" s="5" t="s">
        <v>102</v>
      </c>
      <c r="D4" t="str">
        <f>CONCATENATE(C4,9)</f>
        <v>DG8YA29</v>
      </c>
      <c r="E4" s="5" t="s">
        <v>104</v>
      </c>
      <c r="F4" s="5" t="s">
        <v>105</v>
      </c>
      <c r="G4" s="5" t="str">
        <f>CONCATENATE(E4," ",F4)</f>
        <v>STEVEN HARRIS</v>
      </c>
      <c r="H4" s="5" t="s">
        <v>46</v>
      </c>
      <c r="I4" s="5" t="s">
        <v>97</v>
      </c>
      <c r="J4" s="5" t="s">
        <v>80</v>
      </c>
      <c r="K4" s="9" t="s">
        <v>99</v>
      </c>
      <c r="L4" s="5">
        <v>462.67</v>
      </c>
      <c r="M4" s="5">
        <v>0</v>
      </c>
      <c r="N4" s="5">
        <v>462.67</v>
      </c>
      <c r="O4" s="5">
        <v>1</v>
      </c>
      <c r="P4" s="5">
        <v>694</v>
      </c>
      <c r="Q4" s="5" t="s">
        <v>158</v>
      </c>
      <c r="R4" s="5" t="s">
        <v>160</v>
      </c>
      <c r="S4" s="5"/>
      <c r="T4" s="5"/>
      <c r="U4" s="5"/>
      <c r="V4" s="5"/>
      <c r="W4" s="5"/>
      <c r="X4" s="5"/>
      <c r="Y4" s="5"/>
    </row>
    <row r="5" spans="1:26" x14ac:dyDescent="0.25">
      <c r="A5" s="4">
        <v>18754354</v>
      </c>
      <c r="B5" s="5" t="s">
        <v>117</v>
      </c>
      <c r="C5" s="5" t="s">
        <v>118</v>
      </c>
      <c r="D5" t="str">
        <f>CONCATENATE(C5,9)</f>
        <v>DE5YYR9</v>
      </c>
      <c r="E5" s="5" t="s">
        <v>120</v>
      </c>
      <c r="F5" s="5" t="s">
        <v>121</v>
      </c>
      <c r="G5" s="5" t="str">
        <f>CONCATENATE(E5," ",F5)</f>
        <v>TONYA MILAM</v>
      </c>
      <c r="H5" s="5" t="s">
        <v>122</v>
      </c>
      <c r="I5" s="5" t="s">
        <v>87</v>
      </c>
      <c r="J5" s="5" t="s">
        <v>80</v>
      </c>
      <c r="K5" s="9" t="s">
        <v>99</v>
      </c>
      <c r="L5" s="5">
        <v>520.5</v>
      </c>
      <c r="M5" s="5">
        <v>0</v>
      </c>
      <c r="N5" s="5">
        <v>520.5</v>
      </c>
      <c r="O5" s="5">
        <v>1</v>
      </c>
      <c r="P5" s="5">
        <v>694</v>
      </c>
      <c r="Q5" s="5" t="s">
        <v>158</v>
      </c>
      <c r="R5" s="5" t="s">
        <v>160</v>
      </c>
      <c r="S5" s="5">
        <v>173.5</v>
      </c>
      <c r="T5" s="5"/>
      <c r="U5" s="5"/>
      <c r="V5" s="5"/>
      <c r="W5" s="5"/>
      <c r="X5" s="5"/>
      <c r="Y5" s="5"/>
      <c r="Z5" s="5"/>
    </row>
    <row r="6" spans="1:26" s="5" customFormat="1" x14ac:dyDescent="0.25">
      <c r="A6" s="2">
        <v>20490188</v>
      </c>
      <c r="B6" t="s">
        <v>146</v>
      </c>
      <c r="C6" t="s">
        <v>147</v>
      </c>
      <c r="D6" t="str">
        <f>CONCATENATE(C6,9)</f>
        <v>DAGF839</v>
      </c>
      <c r="E6" t="s">
        <v>149</v>
      </c>
      <c r="F6" t="s">
        <v>150</v>
      </c>
      <c r="G6" t="str">
        <f>CONCATENATE(E6," ",F6)</f>
        <v>SHARON PRIDEMORE</v>
      </c>
      <c r="H6" t="s">
        <v>46</v>
      </c>
      <c r="I6" t="s">
        <v>97</v>
      </c>
      <c r="J6" t="s">
        <v>80</v>
      </c>
      <c r="K6" s="8" t="s">
        <v>99</v>
      </c>
      <c r="L6">
        <v>694</v>
      </c>
      <c r="M6">
        <v>0</v>
      </c>
      <c r="N6">
        <v>694</v>
      </c>
      <c r="O6">
        <v>1</v>
      </c>
      <c r="P6">
        <v>694</v>
      </c>
      <c r="Q6" t="s">
        <v>158</v>
      </c>
      <c r="R6" t="s">
        <v>160</v>
      </c>
      <c r="S6"/>
      <c r="T6"/>
      <c r="U6"/>
      <c r="V6"/>
      <c r="W6"/>
      <c r="X6"/>
      <c r="Y6"/>
    </row>
    <row r="7" spans="1:26" s="5" customFormat="1" x14ac:dyDescent="0.25">
      <c r="A7" s="4">
        <v>21104854</v>
      </c>
      <c r="B7" s="5" t="s">
        <v>90</v>
      </c>
      <c r="C7" s="5" t="s">
        <v>91</v>
      </c>
      <c r="D7" t="str">
        <f>CONCATENATE(C7,9)</f>
        <v>DR9U899</v>
      </c>
      <c r="E7" s="5" t="s">
        <v>93</v>
      </c>
      <c r="F7" s="5" t="s">
        <v>94</v>
      </c>
      <c r="G7" s="5" t="str">
        <f>CONCATENATE(E7," ",F7)</f>
        <v>ANGELA GODFREY</v>
      </c>
      <c r="H7" s="5" t="s">
        <v>95</v>
      </c>
      <c r="I7" s="5" t="s">
        <v>97</v>
      </c>
      <c r="J7" s="5" t="s">
        <v>80</v>
      </c>
      <c r="K7" s="9" t="s">
        <v>99</v>
      </c>
      <c r="L7" s="5">
        <v>462.67</v>
      </c>
      <c r="M7" s="5">
        <v>0</v>
      </c>
      <c r="N7" s="5">
        <v>462.67</v>
      </c>
      <c r="O7" s="5">
        <v>1</v>
      </c>
      <c r="P7" s="5">
        <v>694</v>
      </c>
      <c r="Q7" s="5" t="s">
        <v>158</v>
      </c>
      <c r="R7" s="5" t="s">
        <v>160</v>
      </c>
      <c r="Z7"/>
    </row>
    <row r="8" spans="1:26" s="5" customFormat="1" x14ac:dyDescent="0.25">
      <c r="A8" s="4">
        <v>21104854</v>
      </c>
      <c r="B8" s="5" t="s">
        <v>90</v>
      </c>
      <c r="C8" s="5" t="s">
        <v>125</v>
      </c>
      <c r="D8" t="str">
        <f>CONCATENATE(C8,9)</f>
        <v>D3A2GR9</v>
      </c>
      <c r="E8" s="5" t="s">
        <v>127</v>
      </c>
      <c r="F8" s="5" t="s">
        <v>128</v>
      </c>
      <c r="G8" s="5" t="str">
        <f>CONCATENATE(E8," ",F8)</f>
        <v>REBECCA SVENNINGSEN</v>
      </c>
      <c r="H8" s="5" t="s">
        <v>46</v>
      </c>
      <c r="I8" s="5" t="s">
        <v>97</v>
      </c>
      <c r="J8" s="5" t="s">
        <v>80</v>
      </c>
      <c r="K8" s="9" t="s">
        <v>99</v>
      </c>
      <c r="L8" s="5">
        <v>462.67</v>
      </c>
      <c r="M8" s="5">
        <v>0</v>
      </c>
      <c r="N8" s="5">
        <v>462.67</v>
      </c>
      <c r="O8" s="5">
        <v>1</v>
      </c>
      <c r="P8" s="5">
        <v>694</v>
      </c>
      <c r="Q8" s="5" t="s">
        <v>158</v>
      </c>
      <c r="R8" s="5" t="s">
        <v>160</v>
      </c>
    </row>
    <row r="9" spans="1:26" s="5" customFormat="1" x14ac:dyDescent="0.25">
      <c r="A9" s="4" t="s">
        <v>163</v>
      </c>
      <c r="B9" s="5" t="s">
        <v>108</v>
      </c>
      <c r="C9" s="5" t="s">
        <v>109</v>
      </c>
      <c r="D9" t="str">
        <f>CONCATENATE(C9,9)</f>
        <v>D645E69</v>
      </c>
      <c r="E9" s="5" t="s">
        <v>111</v>
      </c>
      <c r="F9" s="5" t="s">
        <v>112</v>
      </c>
      <c r="G9" s="5" t="str">
        <f>CONCATENATE(E9," ",F9)</f>
        <v>ANNE IZNER</v>
      </c>
      <c r="H9" s="5" t="s">
        <v>113</v>
      </c>
      <c r="I9" s="5" t="s">
        <v>97</v>
      </c>
      <c r="J9" s="5" t="s">
        <v>80</v>
      </c>
      <c r="K9" s="9" t="s">
        <v>99</v>
      </c>
      <c r="L9" s="5">
        <v>520.34</v>
      </c>
      <c r="M9" s="5">
        <v>0</v>
      </c>
      <c r="N9" s="5">
        <v>520.34</v>
      </c>
      <c r="O9" s="5">
        <v>1</v>
      </c>
      <c r="P9" s="5">
        <v>781</v>
      </c>
      <c r="Q9" s="5" t="s">
        <v>161</v>
      </c>
      <c r="R9" s="5" t="s">
        <v>162</v>
      </c>
      <c r="S9" s="5">
        <v>260.66000000000003</v>
      </c>
    </row>
    <row r="10" spans="1:26" s="7" customFormat="1" x14ac:dyDescent="0.25">
      <c r="A10" s="6">
        <v>8814784</v>
      </c>
      <c r="B10" s="7" t="s">
        <v>41</v>
      </c>
      <c r="C10" s="7" t="s">
        <v>42</v>
      </c>
      <c r="D10" s="7" t="str">
        <f>CONCATENATE(C10,7)</f>
        <v>D36CA87</v>
      </c>
      <c r="E10" s="7" t="s">
        <v>44</v>
      </c>
      <c r="F10" s="7" t="s">
        <v>45</v>
      </c>
      <c r="G10" s="7" t="str">
        <f>CONCATENATE(E10," ",F10)</f>
        <v>PATRICIA LISKOVEC</v>
      </c>
      <c r="H10" s="7" t="s">
        <v>46</v>
      </c>
      <c r="I10" s="7" t="s">
        <v>48</v>
      </c>
      <c r="J10" s="7" t="s">
        <v>52</v>
      </c>
      <c r="K10" s="10" t="s">
        <v>53</v>
      </c>
      <c r="L10" s="7">
        <v>-231.34</v>
      </c>
      <c r="M10" s="7">
        <v>-133.34</v>
      </c>
      <c r="N10" s="7">
        <v>-364.68</v>
      </c>
      <c r="O10" s="7">
        <v>-1</v>
      </c>
      <c r="P10" s="7">
        <v>-231.34</v>
      </c>
      <c r="Q10" s="7" t="s">
        <v>153</v>
      </c>
      <c r="R10" s="7" t="s">
        <v>155</v>
      </c>
      <c r="S10" s="7">
        <f>347/12*8</f>
        <v>231.33333333333334</v>
      </c>
    </row>
    <row r="11" spans="1:26" s="5" customFormat="1" x14ac:dyDescent="0.25">
      <c r="A11" s="2">
        <v>9213293</v>
      </c>
      <c r="B11" t="s">
        <v>74</v>
      </c>
      <c r="C11" t="s">
        <v>75</v>
      </c>
      <c r="D11" t="str">
        <f>CONCATENATE(C11,7)</f>
        <v>DYE4677</v>
      </c>
      <c r="E11" t="s">
        <v>77</v>
      </c>
      <c r="F11" t="s">
        <v>78</v>
      </c>
      <c r="G11" t="str">
        <f>CONCATENATE(E11," ",F11)</f>
        <v>MANUEL VALDEZ SR</v>
      </c>
      <c r="H11" t="s">
        <v>46</v>
      </c>
      <c r="I11" t="s">
        <v>70</v>
      </c>
      <c r="J11" t="s">
        <v>80</v>
      </c>
      <c r="K11" s="8" t="s">
        <v>81</v>
      </c>
      <c r="L11">
        <v>260.25</v>
      </c>
      <c r="M11">
        <v>0</v>
      </c>
      <c r="N11">
        <v>260.25</v>
      </c>
      <c r="O11">
        <v>1</v>
      </c>
      <c r="P11">
        <v>260.25</v>
      </c>
      <c r="Q11" t="s">
        <v>153</v>
      </c>
      <c r="R11" t="s">
        <v>156</v>
      </c>
      <c r="S11"/>
      <c r="T11"/>
      <c r="U11"/>
      <c r="V11"/>
      <c r="W11"/>
      <c r="X11"/>
      <c r="Y11"/>
    </row>
    <row r="12" spans="1:26" s="5" customFormat="1" x14ac:dyDescent="0.25">
      <c r="A12" s="4">
        <v>9213293</v>
      </c>
      <c r="B12" s="5" t="s">
        <v>74</v>
      </c>
      <c r="C12" s="5" t="s">
        <v>82</v>
      </c>
      <c r="D12" t="str">
        <f>CONCATENATE(C12,7)</f>
        <v>DAARCC7</v>
      </c>
      <c r="E12" s="5" t="s">
        <v>84</v>
      </c>
      <c r="F12" s="5" t="s">
        <v>85</v>
      </c>
      <c r="G12" s="5" t="str">
        <f>CONCATENATE(E12," ",F12)</f>
        <v>COLEEN SPENCER JOHNSON</v>
      </c>
      <c r="H12" s="5" t="s">
        <v>46</v>
      </c>
      <c r="I12" s="5" t="s">
        <v>87</v>
      </c>
      <c r="J12" s="5" t="s">
        <v>80</v>
      </c>
      <c r="K12" s="9" t="s">
        <v>81</v>
      </c>
      <c r="L12" s="5">
        <v>520.5</v>
      </c>
      <c r="M12" s="5">
        <v>0</v>
      </c>
      <c r="N12" s="5">
        <v>520.5</v>
      </c>
      <c r="O12" s="5">
        <v>-1</v>
      </c>
      <c r="P12" s="5">
        <v>-173.5</v>
      </c>
      <c r="Q12" s="5" t="s">
        <v>153</v>
      </c>
      <c r="R12" s="5" t="s">
        <v>157</v>
      </c>
      <c r="S12" s="5">
        <v>173.5</v>
      </c>
    </row>
    <row r="13" spans="1:26" s="5" customFormat="1" x14ac:dyDescent="0.25">
      <c r="A13" s="4">
        <v>16633294</v>
      </c>
      <c r="B13" s="5" t="s">
        <v>101</v>
      </c>
      <c r="C13" s="5" t="s">
        <v>102</v>
      </c>
      <c r="D13" t="str">
        <f>CONCATENATE(C13,7)</f>
        <v>DG8YA27</v>
      </c>
      <c r="E13" s="5" t="s">
        <v>104</v>
      </c>
      <c r="F13" s="5" t="s">
        <v>105</v>
      </c>
      <c r="G13" s="5" t="str">
        <f>CONCATENATE(E13," ",F13)</f>
        <v>STEVEN HARRIS</v>
      </c>
      <c r="H13" s="5" t="s">
        <v>46</v>
      </c>
      <c r="I13" s="5" t="s">
        <v>97</v>
      </c>
      <c r="J13" s="5" t="s">
        <v>80</v>
      </c>
      <c r="K13" s="9" t="s">
        <v>99</v>
      </c>
      <c r="L13" s="5">
        <v>462.67</v>
      </c>
      <c r="M13" s="5">
        <v>0</v>
      </c>
      <c r="N13" s="5">
        <v>462.67</v>
      </c>
      <c r="O13" s="5">
        <v>-1</v>
      </c>
      <c r="P13" s="5">
        <v>-231.33</v>
      </c>
      <c r="Q13" s="5" t="s">
        <v>153</v>
      </c>
      <c r="R13" s="5" t="s">
        <v>155</v>
      </c>
    </row>
    <row r="14" spans="1:26" s="5" customFormat="1" x14ac:dyDescent="0.25">
      <c r="A14" s="4" t="s">
        <v>163</v>
      </c>
      <c r="B14" s="5" t="s">
        <v>108</v>
      </c>
      <c r="C14" s="5" t="s">
        <v>109</v>
      </c>
      <c r="D14" t="str">
        <f>CONCATENATE(C14,7)</f>
        <v>D645E67</v>
      </c>
      <c r="E14" s="5" t="s">
        <v>111</v>
      </c>
      <c r="F14" s="5" t="s">
        <v>112</v>
      </c>
      <c r="G14" s="5" t="str">
        <f>CONCATENATE(E14," ",F14)</f>
        <v>ANNE IZNER</v>
      </c>
      <c r="H14" s="5" t="s">
        <v>113</v>
      </c>
      <c r="I14" s="5" t="s">
        <v>97</v>
      </c>
      <c r="J14" s="5" t="s">
        <v>80</v>
      </c>
      <c r="K14" s="9" t="s">
        <v>99</v>
      </c>
      <c r="L14" s="5">
        <v>520.34</v>
      </c>
      <c r="M14" s="5">
        <v>0</v>
      </c>
      <c r="N14" s="5">
        <v>520.34</v>
      </c>
      <c r="O14" s="5">
        <v>-1</v>
      </c>
      <c r="P14" s="5">
        <v>-260.66000000000003</v>
      </c>
      <c r="Q14" s="5" t="s">
        <v>153</v>
      </c>
      <c r="R14" s="5" t="s">
        <v>156</v>
      </c>
      <c r="S14" s="5">
        <v>260.66000000000003</v>
      </c>
      <c r="T14" s="5">
        <f>391/12*8</f>
        <v>260.66666666666669</v>
      </c>
    </row>
    <row r="15" spans="1:26" s="5" customFormat="1" x14ac:dyDescent="0.25">
      <c r="A15" s="4">
        <v>18754354</v>
      </c>
      <c r="B15" s="5" t="s">
        <v>117</v>
      </c>
      <c r="C15" s="5" t="s">
        <v>118</v>
      </c>
      <c r="D15" t="str">
        <f>CONCATENATE(C15,7)</f>
        <v>DE5YYR7</v>
      </c>
      <c r="E15" s="5" t="s">
        <v>120</v>
      </c>
      <c r="F15" s="5" t="s">
        <v>121</v>
      </c>
      <c r="G15" s="5" t="str">
        <f>CONCATENATE(E15," ",F15)</f>
        <v>TONYA MILAM</v>
      </c>
      <c r="H15" s="5" t="s">
        <v>122</v>
      </c>
      <c r="I15" s="5" t="s">
        <v>87</v>
      </c>
      <c r="J15" s="5" t="s">
        <v>80</v>
      </c>
      <c r="K15" s="9" t="s">
        <v>99</v>
      </c>
      <c r="L15" s="5">
        <v>520.5</v>
      </c>
      <c r="M15" s="5">
        <v>0</v>
      </c>
      <c r="N15" s="5">
        <v>520.5</v>
      </c>
      <c r="O15" s="5">
        <v>-1</v>
      </c>
      <c r="P15" s="5">
        <v>-173.5</v>
      </c>
      <c r="Q15" s="5" t="s">
        <v>153</v>
      </c>
      <c r="R15" s="5" t="s">
        <v>157</v>
      </c>
      <c r="S15" s="5">
        <v>173.5</v>
      </c>
    </row>
    <row r="16" spans="1:26" s="5" customFormat="1" x14ac:dyDescent="0.25">
      <c r="A16" s="2">
        <v>19200754</v>
      </c>
      <c r="B16" t="s">
        <v>138</v>
      </c>
      <c r="C16" t="s">
        <v>139</v>
      </c>
      <c r="D16" t="str">
        <f>CONCATENATE(C16,7)</f>
        <v>DJE9EF7</v>
      </c>
      <c r="E16" t="s">
        <v>141</v>
      </c>
      <c r="F16" t="s">
        <v>142</v>
      </c>
      <c r="G16" t="str">
        <f>CONCATENATE(E16," ",F16)</f>
        <v>TINA PHILLIPS</v>
      </c>
      <c r="H16" t="s">
        <v>143</v>
      </c>
      <c r="I16" t="s">
        <v>97</v>
      </c>
      <c r="J16" t="s">
        <v>52</v>
      </c>
      <c r="K16" s="8" t="s">
        <v>99</v>
      </c>
      <c r="L16">
        <v>231.33</v>
      </c>
      <c r="M16">
        <v>0</v>
      </c>
      <c r="N16">
        <v>231.33</v>
      </c>
      <c r="O16">
        <v>1</v>
      </c>
      <c r="P16">
        <v>231.33</v>
      </c>
      <c r="Q16" t="s">
        <v>153</v>
      </c>
      <c r="R16" t="s">
        <v>155</v>
      </c>
      <c r="S16"/>
      <c r="T16"/>
      <c r="U16"/>
      <c r="V16"/>
      <c r="W16"/>
      <c r="X16"/>
      <c r="Y16"/>
      <c r="Z16"/>
    </row>
    <row r="17" spans="1:26" s="5" customFormat="1" x14ac:dyDescent="0.25">
      <c r="A17" s="2">
        <v>20212926</v>
      </c>
      <c r="B17" t="s">
        <v>64</v>
      </c>
      <c r="C17" t="s">
        <v>65</v>
      </c>
      <c r="D17" t="str">
        <f>CONCATENATE(C17,7)</f>
        <v>DHZ6GU7</v>
      </c>
      <c r="E17" t="s">
        <v>67</v>
      </c>
      <c r="F17" t="s">
        <v>68</v>
      </c>
      <c r="G17" t="str">
        <f>CONCATENATE(E17," ",F17)</f>
        <v>MARCOS SIFUENTES</v>
      </c>
      <c r="H17" t="s">
        <v>46</v>
      </c>
      <c r="I17" t="s">
        <v>70</v>
      </c>
      <c r="J17" t="s">
        <v>52</v>
      </c>
      <c r="K17" s="8" t="s">
        <v>72</v>
      </c>
      <c r="L17">
        <v>-260.25</v>
      </c>
      <c r="M17">
        <v>0</v>
      </c>
      <c r="N17">
        <v>-260.25</v>
      </c>
      <c r="O17" s="7">
        <v>-1</v>
      </c>
      <c r="P17">
        <v>-260.25</v>
      </c>
      <c r="Q17" t="s">
        <v>153</v>
      </c>
      <c r="R17" t="s">
        <v>156</v>
      </c>
      <c r="S17">
        <f>347/12*9</f>
        <v>260.25</v>
      </c>
      <c r="T17"/>
      <c r="U17"/>
      <c r="V17"/>
      <c r="W17"/>
      <c r="X17"/>
      <c r="Y17"/>
    </row>
    <row r="18" spans="1:26" x14ac:dyDescent="0.25">
      <c r="A18" s="4">
        <v>21104854</v>
      </c>
      <c r="B18" s="5" t="s">
        <v>90</v>
      </c>
      <c r="C18" s="5" t="s">
        <v>91</v>
      </c>
      <c r="D18" t="str">
        <f>CONCATENATE(C18,7)</f>
        <v>DR9U897</v>
      </c>
      <c r="E18" s="5" t="s">
        <v>93</v>
      </c>
      <c r="F18" s="5" t="s">
        <v>94</v>
      </c>
      <c r="G18" s="5" t="str">
        <f>CONCATENATE(E18," ",F18)</f>
        <v>ANGELA GODFREY</v>
      </c>
      <c r="H18" s="5" t="s">
        <v>95</v>
      </c>
      <c r="I18" s="5" t="s">
        <v>97</v>
      </c>
      <c r="J18" s="5" t="s">
        <v>80</v>
      </c>
      <c r="K18" s="9" t="s">
        <v>99</v>
      </c>
      <c r="L18" s="5">
        <v>462.67</v>
      </c>
      <c r="M18" s="5">
        <v>0</v>
      </c>
      <c r="N18" s="5">
        <v>462.67</v>
      </c>
      <c r="O18" s="5">
        <v>-1</v>
      </c>
      <c r="P18" s="5">
        <v>-231.33</v>
      </c>
      <c r="Q18" s="5" t="s">
        <v>153</v>
      </c>
      <c r="R18" s="5" t="s">
        <v>155</v>
      </c>
      <c r="S18" s="5"/>
      <c r="T18" s="5"/>
      <c r="U18" s="5"/>
      <c r="V18" s="5"/>
      <c r="W18" s="5"/>
      <c r="X18" s="5"/>
      <c r="Y18" s="5"/>
      <c r="Z18" s="5"/>
    </row>
    <row r="19" spans="1:26" x14ac:dyDescent="0.25">
      <c r="A19" s="4">
        <v>21104854</v>
      </c>
      <c r="B19" s="5" t="s">
        <v>90</v>
      </c>
      <c r="C19" s="5" t="s">
        <v>125</v>
      </c>
      <c r="D19" t="str">
        <f>CONCATENATE(C19,7)</f>
        <v>D3A2GR7</v>
      </c>
      <c r="E19" s="5" t="s">
        <v>127</v>
      </c>
      <c r="F19" s="5" t="s">
        <v>128</v>
      </c>
      <c r="G19" s="5" t="str">
        <f>CONCATENATE(E19," ",F19)</f>
        <v>REBECCA SVENNINGSEN</v>
      </c>
      <c r="H19" s="5" t="s">
        <v>46</v>
      </c>
      <c r="I19" s="5" t="s">
        <v>97</v>
      </c>
      <c r="J19" s="5" t="s">
        <v>80</v>
      </c>
      <c r="K19" s="9" t="s">
        <v>99</v>
      </c>
      <c r="L19" s="5">
        <v>462.67</v>
      </c>
      <c r="M19" s="5">
        <v>0</v>
      </c>
      <c r="N19" s="5">
        <v>462.67</v>
      </c>
      <c r="O19" s="5">
        <v>-1</v>
      </c>
      <c r="P19" s="5">
        <v>-231.33</v>
      </c>
      <c r="Q19" s="5" t="s">
        <v>153</v>
      </c>
      <c r="R19" s="5" t="s">
        <v>155</v>
      </c>
      <c r="S19" s="5"/>
      <c r="T19" s="5"/>
      <c r="U19" s="5"/>
      <c r="V19" s="5"/>
      <c r="W19" s="5"/>
      <c r="X19" s="5"/>
      <c r="Y19" s="5"/>
    </row>
    <row r="20" spans="1:26" s="7" customFormat="1" x14ac:dyDescent="0.25">
      <c r="A20" s="6">
        <v>21283956</v>
      </c>
      <c r="B20" s="7" t="s">
        <v>131</v>
      </c>
      <c r="C20" s="7" t="s">
        <v>132</v>
      </c>
      <c r="D20" s="7" t="str">
        <f>CONCATENATE(C20,7)</f>
        <v>DFRHSF7</v>
      </c>
      <c r="E20" s="7" t="s">
        <v>134</v>
      </c>
      <c r="F20" s="7" t="s">
        <v>135</v>
      </c>
      <c r="G20" s="7" t="str">
        <f>CONCATENATE(E20," ",F20)</f>
        <v>VERN LOHMAN</v>
      </c>
      <c r="H20" s="7" t="s">
        <v>46</v>
      </c>
      <c r="I20" s="7" t="s">
        <v>87</v>
      </c>
      <c r="J20" s="7" t="s">
        <v>52</v>
      </c>
      <c r="K20" s="10" t="s">
        <v>99</v>
      </c>
      <c r="L20" s="7">
        <v>173.5</v>
      </c>
      <c r="M20" s="7">
        <v>0</v>
      </c>
      <c r="N20" s="7">
        <v>173.5</v>
      </c>
      <c r="O20" s="7">
        <v>1</v>
      </c>
      <c r="P20" s="7">
        <v>173.5</v>
      </c>
      <c r="Q20" s="7" t="s">
        <v>153</v>
      </c>
      <c r="R20" s="7" t="s">
        <v>157</v>
      </c>
      <c r="S20" s="7">
        <f>347/12*6</f>
        <v>173.5</v>
      </c>
    </row>
    <row r="21" spans="1:26" s="1" customFormat="1" x14ac:dyDescent="0.25">
      <c r="A21" s="3">
        <v>20411454</v>
      </c>
      <c r="B21" s="1" t="s">
        <v>152</v>
      </c>
      <c r="C21" s="1" t="s">
        <v>42</v>
      </c>
      <c r="D21" s="1" t="str">
        <f>CONCATENATE(C21,"OVR")</f>
        <v>D36CA8OVR</v>
      </c>
      <c r="E21" s="1" t="s">
        <v>44</v>
      </c>
      <c r="F21" s="1" t="s">
        <v>45</v>
      </c>
      <c r="G21" s="1" t="str">
        <f>CONCATENATE(E21," ",F21)</f>
        <v>PATRICIA LISKOVEC</v>
      </c>
      <c r="H21" s="1" t="s">
        <v>46</v>
      </c>
      <c r="I21" s="1" t="s">
        <v>48</v>
      </c>
      <c r="J21" s="1" t="s">
        <v>52</v>
      </c>
      <c r="K21" s="11" t="s">
        <v>53</v>
      </c>
      <c r="L21" s="1">
        <v>-231.34</v>
      </c>
      <c r="M21" s="1">
        <v>-133.34</v>
      </c>
      <c r="N21" s="1">
        <v>-364.68</v>
      </c>
      <c r="O21" s="1">
        <v>-133.34</v>
      </c>
      <c r="P21" s="1">
        <v>-133.34</v>
      </c>
      <c r="Q21" s="1" t="s">
        <v>154</v>
      </c>
    </row>
    <row r="22" spans="1:26" s="1" customFormat="1" x14ac:dyDescent="0.25">
      <c r="A22" s="3">
        <v>20411454</v>
      </c>
      <c r="B22" s="1" t="s">
        <v>152</v>
      </c>
      <c r="C22" s="1" t="s">
        <v>65</v>
      </c>
      <c r="D22" s="1" t="str">
        <f>CONCATENATE(C22,"OVR")</f>
        <v>DHZ6GUOVR</v>
      </c>
      <c r="E22" s="1" t="s">
        <v>67</v>
      </c>
      <c r="F22" s="1" t="s">
        <v>68</v>
      </c>
      <c r="G22" s="1" t="str">
        <f>CONCATENATE(E22," ",F22)</f>
        <v>MARCOS SIFUENTES</v>
      </c>
      <c r="H22" s="1" t="s">
        <v>46</v>
      </c>
      <c r="I22" s="1" t="s">
        <v>70</v>
      </c>
      <c r="J22" s="1" t="s">
        <v>52</v>
      </c>
      <c r="K22" s="11" t="s">
        <v>72</v>
      </c>
      <c r="L22" s="1">
        <v>0</v>
      </c>
      <c r="M22" s="1">
        <v>-125</v>
      </c>
      <c r="N22" s="1">
        <v>-125</v>
      </c>
      <c r="O22" s="1">
        <v>-125</v>
      </c>
      <c r="P22" s="1">
        <v>-125</v>
      </c>
      <c r="Q22" s="1" t="s">
        <v>154</v>
      </c>
    </row>
    <row r="23" spans="1:26" s="1" customFormat="1" x14ac:dyDescent="0.25">
      <c r="A23" s="3">
        <v>20411454</v>
      </c>
      <c r="B23" s="1" t="s">
        <v>152</v>
      </c>
      <c r="C23" s="1" t="s">
        <v>65</v>
      </c>
      <c r="D23" s="1" t="str">
        <f>CONCATENATE(C23,"OVR")</f>
        <v>DHZ6GUOVR</v>
      </c>
      <c r="E23" s="1" t="s">
        <v>67</v>
      </c>
      <c r="F23" s="1" t="s">
        <v>68</v>
      </c>
      <c r="G23" s="1" t="str">
        <f>CONCATENATE(E23," ",F23)</f>
        <v>MARCOS SIFUENTES</v>
      </c>
      <c r="H23" s="1" t="s">
        <v>46</v>
      </c>
      <c r="I23" s="1" t="s">
        <v>70</v>
      </c>
      <c r="J23" s="1" t="s">
        <v>52</v>
      </c>
      <c r="K23" s="11" t="s">
        <v>72</v>
      </c>
      <c r="L23" s="1">
        <v>0</v>
      </c>
      <c r="M23" s="1">
        <v>-75</v>
      </c>
      <c r="N23" s="1">
        <v>-75</v>
      </c>
      <c r="O23" s="1">
        <v>-75</v>
      </c>
      <c r="P23" s="1">
        <v>-75</v>
      </c>
      <c r="Q23" s="1" t="s">
        <v>154</v>
      </c>
    </row>
    <row r="24" spans="1:26" s="1" customFormat="1" x14ac:dyDescent="0.25">
      <c r="A24" s="3">
        <v>20411454</v>
      </c>
      <c r="B24" s="1" t="s">
        <v>152</v>
      </c>
      <c r="C24" s="1" t="s">
        <v>132</v>
      </c>
      <c r="D24" s="1" t="str">
        <f>CONCATENATE(C24,"OVR")</f>
        <v>DFRHSFOVR</v>
      </c>
      <c r="E24" s="1" t="s">
        <v>134</v>
      </c>
      <c r="F24" s="1" t="s">
        <v>135</v>
      </c>
      <c r="G24" s="1" t="str">
        <f>CONCATENATE(E24," ",F24)</f>
        <v>VERN LOHMAN</v>
      </c>
      <c r="H24" s="1" t="s">
        <v>46</v>
      </c>
      <c r="I24" s="1" t="s">
        <v>87</v>
      </c>
      <c r="J24" s="1" t="s">
        <v>52</v>
      </c>
      <c r="K24" s="11" t="s">
        <v>99</v>
      </c>
      <c r="L24" s="1">
        <v>0</v>
      </c>
      <c r="M24" s="1">
        <v>125</v>
      </c>
      <c r="N24" s="1">
        <v>125</v>
      </c>
      <c r="O24" s="1">
        <v>125</v>
      </c>
      <c r="P24" s="1">
        <v>125</v>
      </c>
      <c r="Q24" s="1" t="s">
        <v>154</v>
      </c>
    </row>
    <row r="25" spans="1:26" s="1" customFormat="1" x14ac:dyDescent="0.25">
      <c r="A25" s="3">
        <v>20411454</v>
      </c>
      <c r="B25" s="1" t="s">
        <v>152</v>
      </c>
      <c r="C25" s="1" t="s">
        <v>132</v>
      </c>
      <c r="D25" s="1" t="str">
        <f>CONCATENATE(C25,"OVR")</f>
        <v>DFRHSFOVR</v>
      </c>
      <c r="E25" s="1" t="s">
        <v>134</v>
      </c>
      <c r="F25" s="1" t="s">
        <v>135</v>
      </c>
      <c r="G25" s="1" t="str">
        <f>CONCATENATE(E25," ",F25)</f>
        <v>VERN LOHMAN</v>
      </c>
      <c r="H25" s="1" t="s">
        <v>46</v>
      </c>
      <c r="I25" s="1" t="s">
        <v>87</v>
      </c>
      <c r="J25" s="1" t="s">
        <v>52</v>
      </c>
      <c r="K25" s="11" t="s">
        <v>99</v>
      </c>
      <c r="L25" s="1">
        <v>0</v>
      </c>
      <c r="M25" s="1">
        <v>75</v>
      </c>
      <c r="N25" s="1">
        <v>75</v>
      </c>
      <c r="O25" s="1">
        <v>75</v>
      </c>
      <c r="P25" s="1">
        <v>75</v>
      </c>
      <c r="Q25" s="1" t="s">
        <v>154</v>
      </c>
    </row>
    <row r="26" spans="1:26" s="1" customFormat="1" x14ac:dyDescent="0.25">
      <c r="A26" s="3">
        <v>20411454</v>
      </c>
      <c r="B26" s="1" t="s">
        <v>152</v>
      </c>
      <c r="C26" s="1" t="s">
        <v>139</v>
      </c>
      <c r="D26" s="1" t="str">
        <f>CONCATENATE(C26,"OVR")</f>
        <v>DJE9EFOVR</v>
      </c>
      <c r="E26" s="1" t="s">
        <v>141</v>
      </c>
      <c r="F26" s="1" t="s">
        <v>142</v>
      </c>
      <c r="G26" s="1" t="str">
        <f>CONCATENATE(E26," ",F26)</f>
        <v>TINA PHILLIPS</v>
      </c>
      <c r="H26" s="1" t="s">
        <v>143</v>
      </c>
      <c r="I26" s="1" t="s">
        <v>97</v>
      </c>
      <c r="J26" s="1" t="s">
        <v>52</v>
      </c>
      <c r="K26" s="11" t="s">
        <v>99</v>
      </c>
      <c r="L26" s="1">
        <v>0</v>
      </c>
      <c r="M26" s="1">
        <v>125</v>
      </c>
      <c r="N26" s="1">
        <v>125</v>
      </c>
      <c r="O26" s="1">
        <v>125</v>
      </c>
      <c r="P26" s="1">
        <v>125</v>
      </c>
      <c r="Q26" s="1" t="s">
        <v>154</v>
      </c>
    </row>
    <row r="27" spans="1:26" s="1" customFormat="1" x14ac:dyDescent="0.25">
      <c r="A27" s="3">
        <v>20411454</v>
      </c>
      <c r="B27" s="1" t="s">
        <v>152</v>
      </c>
      <c r="C27" s="1" t="s">
        <v>139</v>
      </c>
      <c r="D27" s="1" t="str">
        <f>CONCATENATE(C27,"OVR")</f>
        <v>DJE9EFOVR</v>
      </c>
      <c r="E27" s="1" t="s">
        <v>141</v>
      </c>
      <c r="F27" s="1" t="s">
        <v>142</v>
      </c>
      <c r="G27" s="1" t="str">
        <f>CONCATENATE(E27," ",F27)</f>
        <v>TINA PHILLIPS</v>
      </c>
      <c r="H27" s="1" t="s">
        <v>143</v>
      </c>
      <c r="I27" s="1" t="s">
        <v>97</v>
      </c>
      <c r="J27" s="1" t="s">
        <v>52</v>
      </c>
      <c r="K27" s="11" t="s">
        <v>99</v>
      </c>
      <c r="L27" s="1">
        <v>0</v>
      </c>
      <c r="M27" s="1">
        <v>75</v>
      </c>
      <c r="N27" s="1">
        <v>75</v>
      </c>
      <c r="O27" s="1">
        <v>75</v>
      </c>
      <c r="P27" s="1">
        <v>75</v>
      </c>
      <c r="Q27" s="1" t="s">
        <v>154</v>
      </c>
    </row>
    <row r="28" spans="1:26" s="1" customFormat="1" x14ac:dyDescent="0.25">
      <c r="A28" s="3">
        <v>20411454</v>
      </c>
      <c r="B28" s="1" t="s">
        <v>152</v>
      </c>
      <c r="C28" s="1" t="s">
        <v>147</v>
      </c>
      <c r="D28" s="1" t="str">
        <f>CONCATENATE(C28,"OVR")</f>
        <v>DAGF83OVR</v>
      </c>
      <c r="E28" s="1" t="s">
        <v>149</v>
      </c>
      <c r="F28" s="1" t="s">
        <v>150</v>
      </c>
      <c r="G28" s="1" t="str">
        <f>CONCATENATE(E28," ",F28)</f>
        <v>SHARON PRIDEMORE</v>
      </c>
      <c r="H28" s="1" t="s">
        <v>46</v>
      </c>
      <c r="I28" s="1" t="s">
        <v>97</v>
      </c>
      <c r="J28" s="1" t="s">
        <v>80</v>
      </c>
      <c r="K28" s="11" t="s">
        <v>99</v>
      </c>
      <c r="L28" s="1">
        <v>0</v>
      </c>
      <c r="M28" s="1">
        <v>75</v>
      </c>
      <c r="N28" s="1">
        <v>75</v>
      </c>
      <c r="O28" s="1">
        <v>75</v>
      </c>
      <c r="P28" s="1">
        <v>75</v>
      </c>
      <c r="Q28" s="1" t="s">
        <v>154</v>
      </c>
    </row>
    <row r="29" spans="1:26" s="1" customFormat="1" x14ac:dyDescent="0.25">
      <c r="A29" s="3">
        <v>20411454</v>
      </c>
      <c r="B29" s="1" t="s">
        <v>152</v>
      </c>
      <c r="C29" s="1" t="s">
        <v>147</v>
      </c>
      <c r="D29" s="1" t="str">
        <f>CONCATENATE(C29,"OVR")</f>
        <v>DAGF83OVR</v>
      </c>
      <c r="E29" s="1" t="s">
        <v>149</v>
      </c>
      <c r="F29" s="1" t="s">
        <v>150</v>
      </c>
      <c r="G29" s="1" t="str">
        <f>CONCATENATE(E29," ",F29)</f>
        <v>SHARON PRIDEMORE</v>
      </c>
      <c r="H29" s="1" t="s">
        <v>46</v>
      </c>
      <c r="I29" s="1" t="s">
        <v>97</v>
      </c>
      <c r="J29" s="1" t="s">
        <v>80</v>
      </c>
      <c r="K29" s="11" t="s">
        <v>99</v>
      </c>
      <c r="L29" s="1">
        <v>0</v>
      </c>
      <c r="M29" s="1">
        <v>125</v>
      </c>
      <c r="N29" s="1">
        <v>125</v>
      </c>
      <c r="O29" s="1">
        <v>125</v>
      </c>
      <c r="P29" s="1">
        <v>125</v>
      </c>
      <c r="Q29" s="1" t="s">
        <v>154</v>
      </c>
    </row>
  </sheetData>
  <sortState xmlns:xlrd2="http://schemas.microsoft.com/office/spreadsheetml/2017/richdata2" ref="A2:Z29">
    <sortCondition ref="Q2:Q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2026-05-18T08:02:04Z</dcterms:created>
  <dcterms:modified xsi:type="dcterms:W3CDTF">2026-05-19T20:19:56Z</dcterms:modified>
</cp:coreProperties>
</file>