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Devoted health\2026\2026-07-10\"/>
    </mc:Choice>
  </mc:AlternateContent>
  <xr:revisionPtr revIDLastSave="0" documentId="13_ncr:1_{CE1D3517-9B40-46F1-9B6E-0710EE1165C3}" xr6:coauthVersionLast="47" xr6:coauthVersionMax="47" xr10:uidLastSave="{00000000-0000-0000-0000-000000000000}"/>
  <bookViews>
    <workbookView xWindow="-120" yWindow="-120" windowWidth="29040" windowHeight="15720" tabRatio="204" activeTab="2" xr2:uid="{00000000-000D-0000-FFFF-FFFF00000000}"/>
  </bookViews>
  <sheets>
    <sheet name="Summary" sheetId="1" r:id="rId1"/>
    <sheet name="Detail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2" i="3"/>
  <c r="C35" i="3"/>
  <c r="C36" i="3"/>
  <c r="C37" i="3"/>
  <c r="C38" i="3"/>
  <c r="C34" i="3"/>
  <c r="F35" i="3"/>
  <c r="F36" i="3"/>
  <c r="F37" i="3"/>
  <c r="F38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V2" i="3"/>
</calcChain>
</file>

<file path=xl/sharedStrings.xml><?xml version="1.0" encoding="utf-8"?>
<sst xmlns="http://schemas.openxmlformats.org/spreadsheetml/2006/main" count="784" uniqueCount="197">
  <si>
    <t>Description</t>
  </si>
  <si>
    <t>Member Count</t>
  </si>
  <si>
    <t>Total</t>
  </si>
  <si>
    <t>Payee</t>
  </si>
  <si>
    <t>Payment Date</t>
  </si>
  <si>
    <t>Credits</t>
  </si>
  <si>
    <t>$9,542.44</t>
  </si>
  <si>
    <t>Main Line Benefits LLC</t>
  </si>
  <si>
    <t>07/10/2026</t>
  </si>
  <si>
    <t>Debits</t>
  </si>
  <si>
    <t>($869.51)</t>
  </si>
  <si>
    <t>Miscellaneous</t>
  </si>
  <si>
    <t>$0.00</t>
  </si>
  <si>
    <t>Bonus</t>
  </si>
  <si>
    <t>Sub Total</t>
  </si>
  <si>
    <t>$8,672.93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</si>
  <si>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</si>
  <si>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</si>
  <si>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</si>
  <si>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</si>
  <si>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</si>
  <si>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</si>
  <si>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</si>
  <si>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</si>
  <si>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</si>
  <si>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</si>
  <si>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</si>
  <si>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</si>
  <si>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</si>
  <si>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</si>
  <si>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</si>
  <si>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</si>
  <si>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</si>
  <si>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</si>
  <si>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</si>
  <si>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</si>
  <si>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</si>
  <si>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</si>
  <si>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</si>
  <si>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</si>
  <si>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17516272</t>
  </si>
  <si>
    <t>Kenneth Weitzman</t>
  </si>
  <si>
    <t>DHSZH9</t>
  </si>
  <si>
    <t>7NG7MA2YT77</t>
  </si>
  <si>
    <t>TERRY</t>
  </si>
  <si>
    <t>CARVER</t>
  </si>
  <si>
    <t>OH</t>
  </si>
  <si>
    <t>12/07/2025</t>
  </si>
  <si>
    <t>01/01/2026</t>
  </si>
  <si>
    <t>06/30/2026</t>
  </si>
  <si>
    <t>H2697</t>
  </si>
  <si>
    <t>MAPD</t>
  </si>
  <si>
    <t>Initial - Not New</t>
  </si>
  <si>
    <t>Jan</t>
  </si>
  <si>
    <t>19219478</t>
  </si>
  <si>
    <t>Nathan Weller</t>
  </si>
  <si>
    <t>DY9JK6</t>
  </si>
  <si>
    <t>8HT7XA6GG48</t>
  </si>
  <si>
    <t>JANICE</t>
  </si>
  <si>
    <t>LENZ</t>
  </si>
  <si>
    <t>02/13/2026</t>
  </si>
  <si>
    <t>03/01/2026</t>
  </si>
  <si>
    <t>NONE</t>
  </si>
  <si>
    <t>Initial - New</t>
  </si>
  <si>
    <t>Feb</t>
  </si>
  <si>
    <t>7565575</t>
  </si>
  <si>
    <t>Robert Shapiro</t>
  </si>
  <si>
    <t>DHF8C5</t>
  </si>
  <si>
    <t>2A08Y89KY30</t>
  </si>
  <si>
    <t>JAMES</t>
  </si>
  <si>
    <t>KOWALSKI</t>
  </si>
  <si>
    <t>IL</t>
  </si>
  <si>
    <t>06/03/2026</t>
  </si>
  <si>
    <t>07/01/2026</t>
  </si>
  <si>
    <t>H8320</t>
  </si>
  <si>
    <t>Jun</t>
  </si>
  <si>
    <t>16849453</t>
  </si>
  <si>
    <t>Danna Green</t>
  </si>
  <si>
    <t>DYKZKK</t>
  </si>
  <si>
    <t>9NR0JM4GP13</t>
  </si>
  <si>
    <t>BALFOUR</t>
  </si>
  <si>
    <t>LONG</t>
  </si>
  <si>
    <t>IN</t>
  </si>
  <si>
    <t>08/01/2026</t>
  </si>
  <si>
    <t>H7471</t>
  </si>
  <si>
    <t>19396223</t>
  </si>
  <si>
    <t>Saadia Abdul</t>
  </si>
  <si>
    <t>DA9SF3</t>
  </si>
  <si>
    <t>5VY5T99KK85</t>
  </si>
  <si>
    <t>ROSEMARIE</t>
  </si>
  <si>
    <t>SCHNUPP</t>
  </si>
  <si>
    <t>06/01/2026</t>
  </si>
  <si>
    <t>H6545</t>
  </si>
  <si>
    <t>DJKF4F</t>
  </si>
  <si>
    <t>7G90PM8CF12</t>
  </si>
  <si>
    <t>CAROL</t>
  </si>
  <si>
    <t>STEWART</t>
  </si>
  <si>
    <t>06/02/2026</t>
  </si>
  <si>
    <t>D765S3</t>
  </si>
  <si>
    <t>7W02G22YM98</t>
  </si>
  <si>
    <t>7146581</t>
  </si>
  <si>
    <t>Anthony Hunsberger</t>
  </si>
  <si>
    <t>D8S2H3</t>
  </si>
  <si>
    <t>1HH0RP6DN15</t>
  </si>
  <si>
    <t>RICHARD</t>
  </si>
  <si>
    <t>FRACHEY</t>
  </si>
  <si>
    <t>06/08/2026</t>
  </si>
  <si>
    <t>18754354</t>
  </si>
  <si>
    <t>Jacob Yale</t>
  </si>
  <si>
    <t>DYRF55</t>
  </si>
  <si>
    <t>3KU6R54JK72</t>
  </si>
  <si>
    <t>GUINN</t>
  </si>
  <si>
    <t>FL</t>
  </si>
  <si>
    <t>06/09/2026</t>
  </si>
  <si>
    <t>H9884</t>
  </si>
  <si>
    <t>DHW26W</t>
  </si>
  <si>
    <t>2PV4EJ6YT79</t>
  </si>
  <si>
    <t>ALAN</t>
  </si>
  <si>
    <t>KEENE</t>
  </si>
  <si>
    <t>09/01/2026</t>
  </si>
  <si>
    <t>H7151</t>
  </si>
  <si>
    <t>21618313</t>
  </si>
  <si>
    <t>Mark Roccia</t>
  </si>
  <si>
    <t>DAU328</t>
  </si>
  <si>
    <t>4Y27DK6UU36</t>
  </si>
  <si>
    <t>MARTIN</t>
  </si>
  <si>
    <t>REEVES</t>
  </si>
  <si>
    <t>PA</t>
  </si>
  <si>
    <t>06/11/2026</t>
  </si>
  <si>
    <t>H6018</t>
  </si>
  <si>
    <t>17094718</t>
  </si>
  <si>
    <t>Greg Hansford</t>
  </si>
  <si>
    <t>D3GJZ3</t>
  </si>
  <si>
    <t>4TU3Y28CP75</t>
  </si>
  <si>
    <t>GLORIA</t>
  </si>
  <si>
    <t>SMITH</t>
  </si>
  <si>
    <t>06/12/2026</t>
  </si>
  <si>
    <t>19278370</t>
  </si>
  <si>
    <t>Anne Marie Kozacheck</t>
  </si>
  <si>
    <t>D29ZS7</t>
  </si>
  <si>
    <t>8Y19JV9JN59</t>
  </si>
  <si>
    <t>KAREN</t>
  </si>
  <si>
    <t>THORNTON</t>
  </si>
  <si>
    <t>NC</t>
  </si>
  <si>
    <t>H9700</t>
  </si>
  <si>
    <t>DAWCSJ</t>
  </si>
  <si>
    <t>3F33YP0KV78</t>
  </si>
  <si>
    <t>JOHN</t>
  </si>
  <si>
    <t>LECUYER</t>
  </si>
  <si>
    <t>06/18/2026</t>
  </si>
  <si>
    <t>Jul</t>
  </si>
  <si>
    <t>9213293</t>
  </si>
  <si>
    <t>Gary Portugal</t>
  </si>
  <si>
    <t>DKG5U5</t>
  </si>
  <si>
    <t>4J16C91XK40</t>
  </si>
  <si>
    <t>MAZHENNA</t>
  </si>
  <si>
    <t>SOYFER</t>
  </si>
  <si>
    <t>H1290</t>
  </si>
  <si>
    <t>19200754</t>
  </si>
  <si>
    <t>Ricardo Santos</t>
  </si>
  <si>
    <t>DWW8UU</t>
  </si>
  <si>
    <t>3X30MK9RC33</t>
  </si>
  <si>
    <t>CHARLIE</t>
  </si>
  <si>
    <t>TRIPLITT</t>
  </si>
  <si>
    <t>06/15/2026</t>
  </si>
  <si>
    <t>D9HJ9K</t>
  </si>
  <si>
    <t>9DM4JR1KJ05</t>
  </si>
  <si>
    <t>TWILA</t>
  </si>
  <si>
    <t>FRENCH</t>
  </si>
  <si>
    <t>OK</t>
  </si>
  <si>
    <t>06/20/2026</t>
  </si>
  <si>
    <t>H2845</t>
  </si>
  <si>
    <t>D4JAW9</t>
  </si>
  <si>
    <t>8YU3GE0UR87</t>
  </si>
  <si>
    <t>SYED</t>
  </si>
  <si>
    <t>HUSSAINI</t>
  </si>
  <si>
    <t>06/24/2026</t>
  </si>
  <si>
    <t>17126004</t>
  </si>
  <si>
    <t>Stephanie Drapac</t>
  </si>
  <si>
    <t>D3868E</t>
  </si>
  <si>
    <t>2P90HF6EG03</t>
  </si>
  <si>
    <t>GEORGE</t>
  </si>
  <si>
    <t>MULVANEY JR</t>
  </si>
  <si>
    <t>[%/$=694][prorate=8/12]</t>
  </si>
  <si>
    <t>Devoted Health 2026</t>
  </si>
  <si>
    <t>Devoted Health MAPD 2026*</t>
  </si>
  <si>
    <t>[%/$=347][prorate=6/12]</t>
  </si>
  <si>
    <t>[%/$=347][prorate=12/12]</t>
  </si>
  <si>
    <t>[%/$=694]</t>
  </si>
  <si>
    <t>[%/$=347][prorate=5/12]</t>
  </si>
  <si>
    <t>[%/$=347][prorate=4/12]</t>
  </si>
  <si>
    <t>Devoted Health 2026 CT, PA, DC *</t>
  </si>
  <si>
    <t>[%/$=391][prorate=6/12]</t>
  </si>
  <si>
    <t>Devoted Health 2026 CT, PA, DC</t>
  </si>
  <si>
    <t>[%/$=781]</t>
  </si>
  <si>
    <t>Devoted MAPD Ovr</t>
  </si>
  <si>
    <t>Paid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</si>
</sst>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NumberFormat="1"/>
    <xf numFmtId="0" fontId="0" fillId="2" borderId="0" xfId="0" applyNumberFormat="1" applyFill="1"/>
    <xf numFmtId="0" fontId="0" fillId="3" borderId="0" xfId="0" applyFill="1"/>
    <xf numFmtId="0" fontId="0" fillId="3" borderId="0" xfId="0" applyNumberFormat="1" applyFill="1"/>
    <xf numFmtId="0" fontId="0" fillId="4" borderId="0" xfId="0" applyFill="1"/>
    <xf numFmtId="0" fontId="0" fillId="4" borderId="0" xfId="0" applyNumberFormat="1" applyFill="1"/>
    <xf numFmtId="14" fontId="0" fillId="0" borderId="0" xfId="0" applyNumberFormat="1"/>
    <xf numFmtId="14" fontId="0" fillId="2" borderId="0" xfId="0" applyNumberFormat="1" applyFill="1"/>
    <xf numFmtId="14" fontId="0" fillId="3" borderId="0" xfId="0" applyNumberFormat="1" applyFill="1"/>
    <xf numFmtId="1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/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17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2</v>
      </c>
      <c r="C3" t="s">
        <v>10</v>
      </c>
    </row>
    <row r="4" spans="1:6" x14ac:dyDescent="0.25">
      <c r="A4" t="s">
        <v>11</v>
      </c>
      <c r="B4">
        <v>0</v>
      </c>
      <c r="C4" t="s">
        <v>12</v>
      </c>
    </row>
    <row r="5" spans="1:6" x14ac:dyDescent="0.25">
      <c r="A5" t="s">
        <v>13</v>
      </c>
      <c r="C5" t="s">
        <v>12</v>
      </c>
    </row>
    <row r="6" spans="1:6" x14ac:dyDescent="0.25">
      <c r="A6" t="s">
        <v>14</v>
      </c>
      <c r="B6">
        <v>19</v>
      </c>
      <c r="C6" t="s">
        <v>15</v>
      </c>
    </row>
    <row r="7" spans="1:6" x14ac:dyDescent="0.25">
      <c r="A7" t="s">
        <v>16</v>
      </c>
      <c r="C7" t="s">
        <v>12</v>
      </c>
    </row>
    <row r="8" spans="1:6" x14ac:dyDescent="0.25">
      <c r="A8" t="s">
        <v>17</v>
      </c>
      <c r="C8" t="s">
        <v>15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0"/>
  <sheetViews>
    <sheetView topLeftCell="D1" zoomScaleNormal="100" workbookViewId="0">
      <selection activeCell="D1" sqref="A1:XFD1048576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</row>
    <row r="2" spans="1:22" x14ac:dyDescent="0.25">
      <c r="A2" t="s">
        <v>8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>
        <v>3</v>
      </c>
      <c r="N2" t="s">
        <v>51</v>
      </c>
      <c r="O2">
        <v>3</v>
      </c>
      <c r="P2" t="s">
        <v>52</v>
      </c>
      <c r="Q2" t="s">
        <v>53</v>
      </c>
      <c r="R2">
        <v>-173.5</v>
      </c>
      <c r="S2">
        <v>-100</v>
      </c>
      <c r="T2">
        <v>-273.5</v>
      </c>
      <c r="U2" t="s">
        <v>7</v>
      </c>
    </row>
    <row r="3" spans="1:22" x14ac:dyDescent="0.25">
      <c r="A3" t="s">
        <v>8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46</v>
      </c>
      <c r="I3" t="s">
        <v>60</v>
      </c>
      <c r="J3" t="s">
        <v>61</v>
      </c>
      <c r="K3" t="s">
        <v>49</v>
      </c>
      <c r="L3" t="s">
        <v>50</v>
      </c>
      <c r="M3">
        <v>3</v>
      </c>
      <c r="N3" t="s">
        <v>62</v>
      </c>
      <c r="O3">
        <v>1</v>
      </c>
      <c r="P3" t="s">
        <v>63</v>
      </c>
      <c r="Q3" t="s">
        <v>64</v>
      </c>
      <c r="R3">
        <v>-462.67</v>
      </c>
      <c r="S3">
        <v>-133.34</v>
      </c>
      <c r="T3">
        <v>-596.01</v>
      </c>
      <c r="U3" t="s">
        <v>7</v>
      </c>
    </row>
    <row r="4" spans="1:22" x14ac:dyDescent="0.25">
      <c r="A4" t="s">
        <v>8</v>
      </c>
      <c r="B4" t="s">
        <v>65</v>
      </c>
      <c r="C4" t="s">
        <v>66</v>
      </c>
      <c r="D4" t="s">
        <v>67</v>
      </c>
      <c r="E4" t="s">
        <v>68</v>
      </c>
      <c r="F4" t="s">
        <v>69</v>
      </c>
      <c r="G4" t="s">
        <v>70</v>
      </c>
      <c r="H4" t="s">
        <v>71</v>
      </c>
      <c r="I4" t="s">
        <v>72</v>
      </c>
      <c r="J4" t="s">
        <v>73</v>
      </c>
      <c r="L4" t="s">
        <v>74</v>
      </c>
      <c r="M4">
        <v>4</v>
      </c>
      <c r="N4" t="s">
        <v>51</v>
      </c>
      <c r="O4">
        <v>1</v>
      </c>
      <c r="P4" t="s">
        <v>63</v>
      </c>
      <c r="Q4" t="s">
        <v>75</v>
      </c>
      <c r="R4">
        <v>173.5</v>
      </c>
      <c r="S4">
        <v>0</v>
      </c>
      <c r="T4">
        <v>173.5</v>
      </c>
      <c r="U4" t="s">
        <v>7</v>
      </c>
    </row>
    <row r="5" spans="1:22" x14ac:dyDescent="0.25">
      <c r="A5" t="s">
        <v>8</v>
      </c>
      <c r="B5" t="s">
        <v>76</v>
      </c>
      <c r="C5" t="s">
        <v>77</v>
      </c>
      <c r="D5" t="s">
        <v>78</v>
      </c>
      <c r="E5" t="s">
        <v>79</v>
      </c>
      <c r="F5" t="s">
        <v>80</v>
      </c>
      <c r="G5" t="s">
        <v>81</v>
      </c>
      <c r="H5" t="s">
        <v>82</v>
      </c>
      <c r="I5" t="s">
        <v>72</v>
      </c>
      <c r="J5" t="s">
        <v>83</v>
      </c>
      <c r="L5" t="s">
        <v>84</v>
      </c>
      <c r="M5">
        <v>11</v>
      </c>
      <c r="N5" t="s">
        <v>62</v>
      </c>
      <c r="O5">
        <v>-1</v>
      </c>
      <c r="P5" t="s">
        <v>63</v>
      </c>
      <c r="Q5" t="s">
        <v>75</v>
      </c>
      <c r="R5">
        <v>549.41999999999996</v>
      </c>
      <c r="S5">
        <v>0</v>
      </c>
      <c r="T5">
        <v>549.41999999999996</v>
      </c>
      <c r="U5" t="s">
        <v>7</v>
      </c>
    </row>
    <row r="6" spans="1:22" x14ac:dyDescent="0.25">
      <c r="A6" t="s">
        <v>8</v>
      </c>
      <c r="B6" t="s">
        <v>85</v>
      </c>
      <c r="C6" t="s">
        <v>86</v>
      </c>
      <c r="D6" t="s">
        <v>87</v>
      </c>
      <c r="E6" t="s">
        <v>88</v>
      </c>
      <c r="F6" t="s">
        <v>89</v>
      </c>
      <c r="G6" t="s">
        <v>90</v>
      </c>
      <c r="H6" t="s">
        <v>71</v>
      </c>
      <c r="I6" t="s">
        <v>91</v>
      </c>
      <c r="J6" t="s">
        <v>73</v>
      </c>
      <c r="L6" t="s">
        <v>92</v>
      </c>
      <c r="M6">
        <v>10</v>
      </c>
      <c r="N6" t="s">
        <v>62</v>
      </c>
      <c r="O6">
        <v>1</v>
      </c>
      <c r="P6" t="s">
        <v>63</v>
      </c>
      <c r="Q6" t="s">
        <v>75</v>
      </c>
      <c r="R6">
        <v>520.5</v>
      </c>
      <c r="S6">
        <v>0</v>
      </c>
      <c r="T6">
        <v>520.5</v>
      </c>
      <c r="U6" t="s">
        <v>7</v>
      </c>
    </row>
    <row r="7" spans="1:22" x14ac:dyDescent="0.25">
      <c r="A7" t="s">
        <v>8</v>
      </c>
      <c r="B7" t="s">
        <v>85</v>
      </c>
      <c r="C7" t="s">
        <v>86</v>
      </c>
      <c r="D7" t="s">
        <v>93</v>
      </c>
      <c r="E7" t="s">
        <v>94</v>
      </c>
      <c r="F7" t="s">
        <v>95</v>
      </c>
      <c r="G7" t="s">
        <v>96</v>
      </c>
      <c r="H7" t="s">
        <v>71</v>
      </c>
      <c r="I7" t="s">
        <v>97</v>
      </c>
      <c r="J7" t="s">
        <v>73</v>
      </c>
      <c r="L7" t="s">
        <v>92</v>
      </c>
      <c r="M7">
        <v>10</v>
      </c>
      <c r="N7" t="s">
        <v>62</v>
      </c>
      <c r="O7">
        <v>1</v>
      </c>
      <c r="P7" t="s">
        <v>63</v>
      </c>
      <c r="Q7" t="s">
        <v>75</v>
      </c>
      <c r="R7">
        <v>520.5</v>
      </c>
      <c r="S7">
        <v>0</v>
      </c>
      <c r="T7">
        <v>520.5</v>
      </c>
      <c r="U7" t="s">
        <v>7</v>
      </c>
    </row>
    <row r="8" spans="1:22" x14ac:dyDescent="0.25">
      <c r="A8" t="s">
        <v>8</v>
      </c>
      <c r="B8" t="s">
        <v>85</v>
      </c>
      <c r="C8" t="s">
        <v>86</v>
      </c>
      <c r="D8" t="s">
        <v>98</v>
      </c>
      <c r="E8" t="s">
        <v>99</v>
      </c>
      <c r="F8" t="s">
        <v>69</v>
      </c>
      <c r="G8" t="s">
        <v>96</v>
      </c>
      <c r="H8" t="s">
        <v>71</v>
      </c>
      <c r="I8" t="s">
        <v>97</v>
      </c>
      <c r="J8" t="s">
        <v>73</v>
      </c>
      <c r="L8" t="s">
        <v>92</v>
      </c>
      <c r="M8">
        <v>10</v>
      </c>
      <c r="N8" t="s">
        <v>62</v>
      </c>
      <c r="O8">
        <v>1</v>
      </c>
      <c r="P8" t="s">
        <v>63</v>
      </c>
      <c r="Q8" t="s">
        <v>75</v>
      </c>
      <c r="R8">
        <v>520.5</v>
      </c>
      <c r="S8">
        <v>0</v>
      </c>
      <c r="T8">
        <v>520.5</v>
      </c>
      <c r="U8" t="s">
        <v>7</v>
      </c>
    </row>
    <row r="9" spans="1:22" x14ac:dyDescent="0.25">
      <c r="A9" t="s">
        <v>8</v>
      </c>
      <c r="B9" t="s">
        <v>100</v>
      </c>
      <c r="C9" t="s">
        <v>101</v>
      </c>
      <c r="D9" t="s">
        <v>102</v>
      </c>
      <c r="E9" t="s">
        <v>103</v>
      </c>
      <c r="F9" t="s">
        <v>104</v>
      </c>
      <c r="G9" t="s">
        <v>105</v>
      </c>
      <c r="H9" t="s">
        <v>71</v>
      </c>
      <c r="I9" t="s">
        <v>106</v>
      </c>
      <c r="J9" t="s">
        <v>83</v>
      </c>
      <c r="L9" t="s">
        <v>92</v>
      </c>
      <c r="M9">
        <v>10</v>
      </c>
      <c r="N9" t="s">
        <v>62</v>
      </c>
      <c r="O9">
        <v>-1</v>
      </c>
      <c r="P9" t="s">
        <v>63</v>
      </c>
      <c r="Q9" t="s">
        <v>75</v>
      </c>
      <c r="R9">
        <v>549.41999999999996</v>
      </c>
      <c r="S9">
        <v>0</v>
      </c>
      <c r="T9">
        <v>549.41999999999996</v>
      </c>
      <c r="U9" t="s">
        <v>7</v>
      </c>
    </row>
    <row r="10" spans="1:22" x14ac:dyDescent="0.25">
      <c r="A10" t="s">
        <v>8</v>
      </c>
      <c r="B10" t="s">
        <v>107</v>
      </c>
      <c r="C10" t="s">
        <v>108</v>
      </c>
      <c r="D10" t="s">
        <v>109</v>
      </c>
      <c r="E10" t="s">
        <v>110</v>
      </c>
      <c r="F10" t="s">
        <v>104</v>
      </c>
      <c r="G10" t="s">
        <v>111</v>
      </c>
      <c r="H10" t="s">
        <v>112</v>
      </c>
      <c r="I10" t="s">
        <v>113</v>
      </c>
      <c r="J10" t="s">
        <v>73</v>
      </c>
      <c r="L10" t="s">
        <v>114</v>
      </c>
      <c r="M10">
        <v>8</v>
      </c>
      <c r="N10" t="s">
        <v>62</v>
      </c>
      <c r="O10">
        <v>1</v>
      </c>
      <c r="P10" t="s">
        <v>63</v>
      </c>
      <c r="Q10" t="s">
        <v>75</v>
      </c>
      <c r="R10">
        <v>520.5</v>
      </c>
      <c r="S10">
        <v>0</v>
      </c>
      <c r="T10">
        <v>520.5</v>
      </c>
      <c r="U10" t="s">
        <v>7</v>
      </c>
    </row>
    <row r="11" spans="1:22" x14ac:dyDescent="0.25">
      <c r="A11" t="s">
        <v>8</v>
      </c>
      <c r="B11" t="s">
        <v>107</v>
      </c>
      <c r="C11" t="s">
        <v>108</v>
      </c>
      <c r="D11" t="s">
        <v>115</v>
      </c>
      <c r="E11" t="s">
        <v>116</v>
      </c>
      <c r="F11" t="s">
        <v>117</v>
      </c>
      <c r="G11" t="s">
        <v>118</v>
      </c>
      <c r="H11" t="s">
        <v>71</v>
      </c>
      <c r="I11" t="s">
        <v>106</v>
      </c>
      <c r="J11" t="s">
        <v>119</v>
      </c>
      <c r="L11" t="s">
        <v>120</v>
      </c>
      <c r="M11">
        <v>1</v>
      </c>
      <c r="N11" t="s">
        <v>62</v>
      </c>
      <c r="O11">
        <v>-1</v>
      </c>
      <c r="P11" t="s">
        <v>63</v>
      </c>
      <c r="Q11" t="s">
        <v>75</v>
      </c>
      <c r="R11">
        <v>578.34</v>
      </c>
      <c r="S11">
        <v>0</v>
      </c>
      <c r="T11">
        <v>578.34</v>
      </c>
      <c r="U11" t="s">
        <v>7</v>
      </c>
    </row>
    <row r="12" spans="1:22" x14ac:dyDescent="0.25">
      <c r="A12" t="s">
        <v>8</v>
      </c>
      <c r="B12" t="s">
        <v>121</v>
      </c>
      <c r="C12" t="s">
        <v>122</v>
      </c>
      <c r="D12" t="s">
        <v>123</v>
      </c>
      <c r="E12" t="s">
        <v>124</v>
      </c>
      <c r="F12" t="s">
        <v>125</v>
      </c>
      <c r="G12" t="s">
        <v>126</v>
      </c>
      <c r="H12" t="s">
        <v>127</v>
      </c>
      <c r="I12" t="s">
        <v>128</v>
      </c>
      <c r="J12" t="s">
        <v>73</v>
      </c>
      <c r="L12" t="s">
        <v>129</v>
      </c>
      <c r="M12">
        <v>3</v>
      </c>
      <c r="N12" t="s">
        <v>62</v>
      </c>
      <c r="O12">
        <v>1</v>
      </c>
      <c r="P12" t="s">
        <v>63</v>
      </c>
      <c r="Q12" t="s">
        <v>75</v>
      </c>
      <c r="R12">
        <v>585.5</v>
      </c>
      <c r="S12">
        <v>0</v>
      </c>
      <c r="T12">
        <v>585.5</v>
      </c>
      <c r="U12" t="s">
        <v>7</v>
      </c>
    </row>
    <row r="13" spans="1:22" x14ac:dyDescent="0.25">
      <c r="A13" t="s">
        <v>8</v>
      </c>
      <c r="B13" t="s">
        <v>130</v>
      </c>
      <c r="C13" t="s">
        <v>131</v>
      </c>
      <c r="D13" t="s">
        <v>132</v>
      </c>
      <c r="E13" t="s">
        <v>133</v>
      </c>
      <c r="F13" t="s">
        <v>134</v>
      </c>
      <c r="G13" t="s">
        <v>135</v>
      </c>
      <c r="H13" t="s">
        <v>71</v>
      </c>
      <c r="I13" t="s">
        <v>136</v>
      </c>
      <c r="J13" t="s">
        <v>119</v>
      </c>
      <c r="L13" t="s">
        <v>120</v>
      </c>
      <c r="M13">
        <v>1</v>
      </c>
      <c r="N13" t="s">
        <v>62</v>
      </c>
      <c r="O13">
        <v>-1</v>
      </c>
      <c r="P13" t="s">
        <v>63</v>
      </c>
      <c r="Q13" t="s">
        <v>75</v>
      </c>
      <c r="R13">
        <v>578.34</v>
      </c>
      <c r="S13">
        <v>0</v>
      </c>
      <c r="T13">
        <v>578.34</v>
      </c>
      <c r="U13" t="s">
        <v>7</v>
      </c>
    </row>
    <row r="14" spans="1:22" x14ac:dyDescent="0.25">
      <c r="A14" t="s">
        <v>8</v>
      </c>
      <c r="B14" t="s">
        <v>137</v>
      </c>
      <c r="C14" t="s">
        <v>138</v>
      </c>
      <c r="D14" t="s">
        <v>139</v>
      </c>
      <c r="E14" t="s">
        <v>140</v>
      </c>
      <c r="F14" t="s">
        <v>141</v>
      </c>
      <c r="G14" t="s">
        <v>142</v>
      </c>
      <c r="H14" t="s">
        <v>143</v>
      </c>
      <c r="I14" t="s">
        <v>128</v>
      </c>
      <c r="J14" t="s">
        <v>73</v>
      </c>
      <c r="L14" t="s">
        <v>144</v>
      </c>
      <c r="M14">
        <v>9</v>
      </c>
      <c r="N14" t="s">
        <v>62</v>
      </c>
      <c r="O14">
        <v>1</v>
      </c>
      <c r="P14" t="s">
        <v>63</v>
      </c>
      <c r="Q14" t="s">
        <v>75</v>
      </c>
      <c r="R14">
        <v>520.5</v>
      </c>
      <c r="S14">
        <v>0</v>
      </c>
      <c r="T14">
        <v>520.5</v>
      </c>
      <c r="U14" t="s">
        <v>7</v>
      </c>
    </row>
    <row r="15" spans="1:22" x14ac:dyDescent="0.25">
      <c r="A15" t="s">
        <v>8</v>
      </c>
      <c r="B15" t="s">
        <v>100</v>
      </c>
      <c r="C15" t="s">
        <v>101</v>
      </c>
      <c r="D15" t="s">
        <v>145</v>
      </c>
      <c r="E15" t="s">
        <v>146</v>
      </c>
      <c r="F15" t="s">
        <v>147</v>
      </c>
      <c r="G15" t="s">
        <v>148</v>
      </c>
      <c r="H15" t="s">
        <v>71</v>
      </c>
      <c r="I15" t="s">
        <v>149</v>
      </c>
      <c r="J15" t="s">
        <v>83</v>
      </c>
      <c r="L15" t="s">
        <v>92</v>
      </c>
      <c r="M15">
        <v>10</v>
      </c>
      <c r="N15" t="s">
        <v>62</v>
      </c>
      <c r="O15">
        <v>-1</v>
      </c>
      <c r="P15" t="s">
        <v>63</v>
      </c>
      <c r="Q15" t="s">
        <v>150</v>
      </c>
      <c r="R15">
        <v>549.41999999999996</v>
      </c>
      <c r="S15">
        <v>0</v>
      </c>
      <c r="T15">
        <v>549.41999999999996</v>
      </c>
      <c r="U15" t="s">
        <v>7</v>
      </c>
    </row>
    <row r="16" spans="1:22" x14ac:dyDescent="0.25">
      <c r="A16" t="s">
        <v>8</v>
      </c>
      <c r="B16" t="s">
        <v>151</v>
      </c>
      <c r="C16" t="s">
        <v>152</v>
      </c>
      <c r="D16" t="s">
        <v>153</v>
      </c>
      <c r="E16" t="s">
        <v>154</v>
      </c>
      <c r="F16" t="s">
        <v>155</v>
      </c>
      <c r="G16" t="s">
        <v>156</v>
      </c>
      <c r="H16" t="s">
        <v>112</v>
      </c>
      <c r="I16" t="s">
        <v>149</v>
      </c>
      <c r="J16" t="s">
        <v>73</v>
      </c>
      <c r="L16" t="s">
        <v>157</v>
      </c>
      <c r="M16">
        <v>14</v>
      </c>
      <c r="N16" t="s">
        <v>62</v>
      </c>
      <c r="O16">
        <v>1</v>
      </c>
      <c r="P16" t="s">
        <v>63</v>
      </c>
      <c r="Q16" t="s">
        <v>150</v>
      </c>
      <c r="R16">
        <v>520.5</v>
      </c>
      <c r="S16">
        <v>0</v>
      </c>
      <c r="T16">
        <v>520.5</v>
      </c>
      <c r="U16" t="s">
        <v>7</v>
      </c>
    </row>
    <row r="17" spans="1:21" x14ac:dyDescent="0.25">
      <c r="A17" t="s">
        <v>8</v>
      </c>
      <c r="B17" t="s">
        <v>158</v>
      </c>
      <c r="C17" t="s">
        <v>159</v>
      </c>
      <c r="D17" t="s">
        <v>160</v>
      </c>
      <c r="E17" t="s">
        <v>161</v>
      </c>
      <c r="F17" t="s">
        <v>162</v>
      </c>
      <c r="G17" t="s">
        <v>163</v>
      </c>
      <c r="H17" t="s">
        <v>71</v>
      </c>
      <c r="I17" t="s">
        <v>164</v>
      </c>
      <c r="J17" t="s">
        <v>73</v>
      </c>
      <c r="L17" t="s">
        <v>92</v>
      </c>
      <c r="M17">
        <v>1</v>
      </c>
      <c r="N17" t="s">
        <v>62</v>
      </c>
      <c r="O17">
        <v>1</v>
      </c>
      <c r="P17" t="s">
        <v>63</v>
      </c>
      <c r="Q17" t="s">
        <v>150</v>
      </c>
      <c r="R17">
        <v>520.5</v>
      </c>
      <c r="S17">
        <v>0</v>
      </c>
      <c r="T17">
        <v>520.5</v>
      </c>
      <c r="U17" t="s">
        <v>7</v>
      </c>
    </row>
    <row r="18" spans="1:21" x14ac:dyDescent="0.25">
      <c r="A18" t="s">
        <v>8</v>
      </c>
      <c r="B18" t="s">
        <v>151</v>
      </c>
      <c r="C18" t="s">
        <v>152</v>
      </c>
      <c r="D18" t="s">
        <v>165</v>
      </c>
      <c r="E18" t="s">
        <v>166</v>
      </c>
      <c r="F18" t="s">
        <v>167</v>
      </c>
      <c r="G18" t="s">
        <v>168</v>
      </c>
      <c r="H18" t="s">
        <v>169</v>
      </c>
      <c r="I18" t="s">
        <v>170</v>
      </c>
      <c r="J18" t="s">
        <v>73</v>
      </c>
      <c r="L18" t="s">
        <v>171</v>
      </c>
      <c r="M18">
        <v>2</v>
      </c>
      <c r="N18" t="s">
        <v>51</v>
      </c>
      <c r="O18">
        <v>1</v>
      </c>
      <c r="P18" t="s">
        <v>63</v>
      </c>
      <c r="Q18" t="s">
        <v>150</v>
      </c>
      <c r="R18">
        <v>347</v>
      </c>
      <c r="S18">
        <v>200</v>
      </c>
      <c r="T18">
        <v>547</v>
      </c>
      <c r="U18" t="s">
        <v>7</v>
      </c>
    </row>
    <row r="19" spans="1:21" x14ac:dyDescent="0.25">
      <c r="A19" t="s">
        <v>8</v>
      </c>
      <c r="B19" t="s">
        <v>85</v>
      </c>
      <c r="C19" t="s">
        <v>86</v>
      </c>
      <c r="D19" t="s">
        <v>172</v>
      </c>
      <c r="E19" t="s">
        <v>173</v>
      </c>
      <c r="F19" t="s">
        <v>174</v>
      </c>
      <c r="G19" t="s">
        <v>175</v>
      </c>
      <c r="H19" t="s">
        <v>71</v>
      </c>
      <c r="I19" t="s">
        <v>176</v>
      </c>
      <c r="J19" t="s">
        <v>73</v>
      </c>
      <c r="L19" t="s">
        <v>92</v>
      </c>
      <c r="M19">
        <v>10</v>
      </c>
      <c r="N19" t="s">
        <v>62</v>
      </c>
      <c r="O19">
        <v>1</v>
      </c>
      <c r="P19" t="s">
        <v>63</v>
      </c>
      <c r="Q19" t="s">
        <v>150</v>
      </c>
      <c r="R19">
        <v>694</v>
      </c>
      <c r="S19">
        <v>200</v>
      </c>
      <c r="T19">
        <v>894</v>
      </c>
      <c r="U19" t="s">
        <v>7</v>
      </c>
    </row>
    <row r="20" spans="1:21" x14ac:dyDescent="0.25">
      <c r="A20" t="s">
        <v>8</v>
      </c>
      <c r="B20" t="s">
        <v>177</v>
      </c>
      <c r="C20" t="s">
        <v>178</v>
      </c>
      <c r="D20" t="s">
        <v>179</v>
      </c>
      <c r="E20" t="s">
        <v>180</v>
      </c>
      <c r="F20" t="s">
        <v>181</v>
      </c>
      <c r="G20" t="s">
        <v>182</v>
      </c>
      <c r="H20" t="s">
        <v>71</v>
      </c>
      <c r="I20" t="s">
        <v>176</v>
      </c>
      <c r="J20" t="s">
        <v>73</v>
      </c>
      <c r="L20" t="s">
        <v>120</v>
      </c>
      <c r="M20">
        <v>1</v>
      </c>
      <c r="N20" t="s">
        <v>62</v>
      </c>
      <c r="O20">
        <v>1</v>
      </c>
      <c r="P20" t="s">
        <v>63</v>
      </c>
      <c r="Q20" t="s">
        <v>150</v>
      </c>
      <c r="R20">
        <v>694</v>
      </c>
      <c r="S20">
        <v>200</v>
      </c>
      <c r="T20">
        <v>894</v>
      </c>
      <c r="U20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85763-C6A8-4475-B336-51E9604D3245}">
  <dimension ref="A1:Y38"/>
  <sheetViews>
    <sheetView tabSelected="1" topLeftCell="B2" workbookViewId="0">
      <selection activeCell="J2" sqref="J2:J38"/>
    </sheetView>
  </sheetViews>
  <sheetFormatPr defaultRowHeight="15" x14ac:dyDescent="0.25"/>
  <cols>
    <col min="1" max="1" width="15" customWidth="1"/>
    <col min="2" max="3" width="10" customWidth="1"/>
    <col min="4" max="4" width="25" customWidth="1"/>
    <col min="5" max="6" width="15" customWidth="1"/>
    <col min="8" max="9" width="12.7109375" customWidth="1"/>
    <col min="10" max="10" width="13.7109375" customWidth="1"/>
    <col min="11" max="11" width="14.140625" customWidth="1"/>
    <col min="12" max="13" width="13.42578125" customWidth="1"/>
    <col min="14" max="14" width="16.7109375" customWidth="1"/>
    <col min="15" max="15" width="6.7109375" customWidth="1"/>
    <col min="16" max="16" width="12.85546875" customWidth="1"/>
    <col min="17" max="17" width="14.5703125" customWidth="1"/>
    <col min="18" max="18" width="14" customWidth="1"/>
    <col min="20" max="20" width="30.85546875" bestFit="1" customWidth="1"/>
    <col min="21" max="21" width="24.140625" bestFit="1" customWidth="1"/>
  </cols>
  <sheetData>
    <row r="1" spans="1:25" x14ac:dyDescent="0.25">
      <c r="A1" t="s">
        <v>18</v>
      </c>
      <c r="B1" t="s">
        <v>19</v>
      </c>
      <c r="D1" t="s">
        <v>20</v>
      </c>
      <c r="E1" t="s">
        <v>21</v>
      </c>
      <c r="G1" t="s">
        <v>23</v>
      </c>
      <c r="H1" t="s">
        <v>24</v>
      </c>
      <c r="J1" t="s">
        <v>25</v>
      </c>
      <c r="K1" t="s">
        <v>26</v>
      </c>
      <c r="L1" t="s">
        <v>27</v>
      </c>
      <c r="M1" t="s">
        <v>196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</row>
    <row r="2" spans="1:25" x14ac:dyDescent="0.25">
      <c r="A2" t="s">
        <v>8</v>
      </c>
      <c r="B2" s="2">
        <v>19219478</v>
      </c>
      <c r="C2" s="2">
        <v>19219478</v>
      </c>
      <c r="D2" t="s">
        <v>55</v>
      </c>
      <c r="E2" t="s">
        <v>56</v>
      </c>
      <c r="F2" t="str">
        <f>CONCATENATE(E2,9)</f>
        <v>DY9JK69</v>
      </c>
      <c r="G2" t="s">
        <v>58</v>
      </c>
      <c r="H2" t="s">
        <v>59</v>
      </c>
      <c r="I2" t="str">
        <f>CONCATENATE(G2," ",H2)</f>
        <v>JANICE LENZ</v>
      </c>
      <c r="J2" t="s">
        <v>46</v>
      </c>
      <c r="K2" t="s">
        <v>60</v>
      </c>
      <c r="L2" t="s">
        <v>61</v>
      </c>
      <c r="M2" s="8">
        <v>46204</v>
      </c>
      <c r="N2" t="s">
        <v>63</v>
      </c>
      <c r="O2" t="s">
        <v>64</v>
      </c>
      <c r="P2">
        <v>-462.67</v>
      </c>
      <c r="Q2">
        <v>-133.34</v>
      </c>
      <c r="R2">
        <v>-596.01</v>
      </c>
      <c r="S2">
        <v>-462.67</v>
      </c>
      <c r="T2" t="s">
        <v>184</v>
      </c>
      <c r="U2" t="s">
        <v>183</v>
      </c>
      <c r="V2">
        <f>694/12*8</f>
        <v>462.66666666666669</v>
      </c>
    </row>
    <row r="3" spans="1:25" x14ac:dyDescent="0.25">
      <c r="A3" s="6" t="s">
        <v>8</v>
      </c>
      <c r="B3" s="7">
        <v>19396223</v>
      </c>
      <c r="C3" s="7">
        <v>19396223</v>
      </c>
      <c r="D3" s="6" t="s">
        <v>86</v>
      </c>
      <c r="E3" s="6" t="s">
        <v>87</v>
      </c>
      <c r="F3" t="str">
        <f t="shared" ref="F3:F17" si="0">CONCATENATE(E3,9)</f>
        <v>DA9SF39</v>
      </c>
      <c r="G3" s="6" t="s">
        <v>89</v>
      </c>
      <c r="H3" s="6" t="s">
        <v>90</v>
      </c>
      <c r="I3" t="str">
        <f t="shared" ref="I3:I38" si="1">CONCATENATE(G3," ",H3)</f>
        <v>ROSEMARIE SCHNUPP</v>
      </c>
      <c r="J3" s="6" t="s">
        <v>71</v>
      </c>
      <c r="K3" s="6" t="s">
        <v>91</v>
      </c>
      <c r="L3" s="6" t="s">
        <v>73</v>
      </c>
      <c r="M3" s="11">
        <v>46387</v>
      </c>
      <c r="N3" s="6" t="s">
        <v>63</v>
      </c>
      <c r="O3" s="6" t="s">
        <v>75</v>
      </c>
      <c r="P3" s="6">
        <v>520.5</v>
      </c>
      <c r="Q3" s="6">
        <v>0</v>
      </c>
      <c r="R3" s="6">
        <v>520.5</v>
      </c>
      <c r="S3" s="6">
        <v>694</v>
      </c>
      <c r="T3" s="6" t="s">
        <v>184</v>
      </c>
      <c r="U3" s="6" t="s">
        <v>188</v>
      </c>
      <c r="V3" s="6">
        <v>173.5</v>
      </c>
      <c r="W3" s="6"/>
      <c r="X3" s="6"/>
      <c r="Y3" s="6"/>
    </row>
    <row r="4" spans="1:25" x14ac:dyDescent="0.25">
      <c r="A4" s="6" t="s">
        <v>8</v>
      </c>
      <c r="B4" s="7">
        <v>19396223</v>
      </c>
      <c r="C4" s="7">
        <v>19396223</v>
      </c>
      <c r="D4" s="6" t="s">
        <v>86</v>
      </c>
      <c r="E4" s="6" t="s">
        <v>93</v>
      </c>
      <c r="F4" t="str">
        <f t="shared" si="0"/>
        <v>DJKF4F9</v>
      </c>
      <c r="G4" s="6" t="s">
        <v>95</v>
      </c>
      <c r="H4" s="6" t="s">
        <v>96</v>
      </c>
      <c r="I4" t="str">
        <f t="shared" si="1"/>
        <v>CAROL STEWART</v>
      </c>
      <c r="J4" s="6" t="s">
        <v>71</v>
      </c>
      <c r="K4" s="6" t="s">
        <v>97</v>
      </c>
      <c r="L4" s="6" t="s">
        <v>73</v>
      </c>
      <c r="M4" s="11">
        <v>46387</v>
      </c>
      <c r="N4" s="6" t="s">
        <v>63</v>
      </c>
      <c r="O4" s="6" t="s">
        <v>75</v>
      </c>
      <c r="P4" s="6">
        <v>520.5</v>
      </c>
      <c r="Q4" s="6">
        <v>0</v>
      </c>
      <c r="R4" s="6">
        <v>520.5</v>
      </c>
      <c r="S4" s="6">
        <v>694</v>
      </c>
      <c r="T4" s="6" t="s">
        <v>184</v>
      </c>
      <c r="U4" s="6" t="s">
        <v>188</v>
      </c>
      <c r="V4" s="6"/>
      <c r="W4" s="6"/>
      <c r="X4" s="6"/>
      <c r="Y4" s="6"/>
    </row>
    <row r="5" spans="1:25" x14ac:dyDescent="0.25">
      <c r="A5" s="6" t="s">
        <v>8</v>
      </c>
      <c r="B5" s="7">
        <v>19396223</v>
      </c>
      <c r="C5" s="7">
        <v>19396223</v>
      </c>
      <c r="D5" s="6" t="s">
        <v>86</v>
      </c>
      <c r="E5" s="6" t="s">
        <v>98</v>
      </c>
      <c r="F5" t="str">
        <f t="shared" si="0"/>
        <v>D765S39</v>
      </c>
      <c r="G5" s="6" t="s">
        <v>69</v>
      </c>
      <c r="H5" s="6" t="s">
        <v>96</v>
      </c>
      <c r="I5" t="str">
        <f t="shared" si="1"/>
        <v>JAMES STEWART</v>
      </c>
      <c r="J5" s="6" t="s">
        <v>71</v>
      </c>
      <c r="K5" s="6" t="s">
        <v>97</v>
      </c>
      <c r="L5" s="6" t="s">
        <v>73</v>
      </c>
      <c r="M5" s="11">
        <v>46387</v>
      </c>
      <c r="N5" s="6" t="s">
        <v>63</v>
      </c>
      <c r="O5" s="6" t="s">
        <v>75</v>
      </c>
      <c r="P5" s="6">
        <v>520.5</v>
      </c>
      <c r="Q5" s="6">
        <v>0</v>
      </c>
      <c r="R5" s="6">
        <v>520.5</v>
      </c>
      <c r="S5" s="6">
        <v>694</v>
      </c>
      <c r="T5" s="6" t="s">
        <v>184</v>
      </c>
      <c r="U5" s="6" t="s">
        <v>188</v>
      </c>
      <c r="V5" s="6"/>
      <c r="W5" s="6"/>
      <c r="X5" s="6"/>
      <c r="Y5" s="6"/>
    </row>
    <row r="6" spans="1:25" s="4" customFormat="1" x14ac:dyDescent="0.25">
      <c r="A6" s="6" t="s">
        <v>8</v>
      </c>
      <c r="B6" s="7">
        <v>18754354</v>
      </c>
      <c r="C6" s="7">
        <v>18754354</v>
      </c>
      <c r="D6" s="6" t="s">
        <v>108</v>
      </c>
      <c r="E6" s="6" t="s">
        <v>109</v>
      </c>
      <c r="F6" t="str">
        <f t="shared" si="0"/>
        <v>DYRF559</v>
      </c>
      <c r="G6" s="6" t="s">
        <v>104</v>
      </c>
      <c r="H6" s="6" t="s">
        <v>111</v>
      </c>
      <c r="I6" t="str">
        <f t="shared" si="1"/>
        <v>RICHARD GUINN</v>
      </c>
      <c r="J6" s="6" t="s">
        <v>112</v>
      </c>
      <c r="K6" s="6" t="s">
        <v>113</v>
      </c>
      <c r="L6" s="6" t="s">
        <v>73</v>
      </c>
      <c r="M6" s="11">
        <v>46387</v>
      </c>
      <c r="N6" s="6" t="s">
        <v>63</v>
      </c>
      <c r="O6" s="6" t="s">
        <v>75</v>
      </c>
      <c r="P6" s="6">
        <v>520.5</v>
      </c>
      <c r="Q6" s="6">
        <v>0</v>
      </c>
      <c r="R6" s="6">
        <v>520.5</v>
      </c>
      <c r="S6" s="6">
        <v>694</v>
      </c>
      <c r="T6" s="6" t="s">
        <v>184</v>
      </c>
      <c r="U6" s="6" t="s">
        <v>188</v>
      </c>
      <c r="V6" s="6"/>
      <c r="W6" s="6"/>
      <c r="X6" s="6"/>
      <c r="Y6" s="6"/>
    </row>
    <row r="7" spans="1:25" s="4" customFormat="1" x14ac:dyDescent="0.25">
      <c r="A7" s="6" t="s">
        <v>8</v>
      </c>
      <c r="B7" s="7">
        <v>19278370</v>
      </c>
      <c r="C7" s="7">
        <v>19278370</v>
      </c>
      <c r="D7" s="6" t="s">
        <v>138</v>
      </c>
      <c r="E7" s="6" t="s">
        <v>139</v>
      </c>
      <c r="F7" t="str">
        <f t="shared" si="0"/>
        <v>D29ZS79</v>
      </c>
      <c r="G7" s="6" t="s">
        <v>141</v>
      </c>
      <c r="H7" s="6" t="s">
        <v>142</v>
      </c>
      <c r="I7" t="str">
        <f t="shared" si="1"/>
        <v>KAREN THORNTON</v>
      </c>
      <c r="J7" s="6" t="s">
        <v>143</v>
      </c>
      <c r="K7" s="6" t="s">
        <v>128</v>
      </c>
      <c r="L7" s="6" t="s">
        <v>73</v>
      </c>
      <c r="M7" s="11">
        <v>46387</v>
      </c>
      <c r="N7" s="6" t="s">
        <v>63</v>
      </c>
      <c r="O7" s="6" t="s">
        <v>75</v>
      </c>
      <c r="P7" s="6">
        <v>520.5</v>
      </c>
      <c r="Q7" s="6">
        <v>0</v>
      </c>
      <c r="R7" s="6">
        <v>520.5</v>
      </c>
      <c r="S7" s="6">
        <v>694</v>
      </c>
      <c r="T7" s="6" t="s">
        <v>184</v>
      </c>
      <c r="U7" s="6" t="s">
        <v>188</v>
      </c>
      <c r="V7" s="6"/>
      <c r="W7" s="6"/>
      <c r="X7" s="6"/>
      <c r="Y7" s="6"/>
    </row>
    <row r="8" spans="1:25" s="4" customFormat="1" x14ac:dyDescent="0.25">
      <c r="A8" s="6" t="s">
        <v>8</v>
      </c>
      <c r="B8" s="7">
        <v>9213293</v>
      </c>
      <c r="C8" s="7">
        <v>9213293</v>
      </c>
      <c r="D8" s="6" t="s">
        <v>152</v>
      </c>
      <c r="E8" s="6" t="s">
        <v>153</v>
      </c>
      <c r="F8" t="str">
        <f t="shared" si="0"/>
        <v>DKG5U59</v>
      </c>
      <c r="G8" s="6" t="s">
        <v>155</v>
      </c>
      <c r="H8" s="6" t="s">
        <v>156</v>
      </c>
      <c r="I8" t="str">
        <f t="shared" si="1"/>
        <v>MAZHENNA SOYFER</v>
      </c>
      <c r="J8" s="6" t="s">
        <v>112</v>
      </c>
      <c r="K8" s="6" t="s">
        <v>149</v>
      </c>
      <c r="L8" s="6" t="s">
        <v>73</v>
      </c>
      <c r="M8" s="11">
        <v>46387</v>
      </c>
      <c r="N8" s="6" t="s">
        <v>63</v>
      </c>
      <c r="O8" s="6" t="s">
        <v>150</v>
      </c>
      <c r="P8" s="6">
        <v>520.5</v>
      </c>
      <c r="Q8" s="6">
        <v>0</v>
      </c>
      <c r="R8" s="6">
        <v>520.5</v>
      </c>
      <c r="S8" s="6">
        <v>694</v>
      </c>
      <c r="T8" s="6" t="s">
        <v>184</v>
      </c>
      <c r="U8" s="6" t="s">
        <v>188</v>
      </c>
      <c r="V8" s="6"/>
      <c r="W8" s="6"/>
      <c r="X8" s="6"/>
      <c r="Y8" s="6"/>
    </row>
    <row r="9" spans="1:25" s="4" customFormat="1" x14ac:dyDescent="0.25">
      <c r="A9" s="6" t="s">
        <v>8</v>
      </c>
      <c r="B9" s="7">
        <v>19200754</v>
      </c>
      <c r="C9" s="7">
        <v>19200754</v>
      </c>
      <c r="D9" s="6" t="s">
        <v>159</v>
      </c>
      <c r="E9" s="6" t="s">
        <v>160</v>
      </c>
      <c r="F9" t="str">
        <f t="shared" si="0"/>
        <v>DWW8UU9</v>
      </c>
      <c r="G9" s="6" t="s">
        <v>162</v>
      </c>
      <c r="H9" s="6" t="s">
        <v>163</v>
      </c>
      <c r="I9" t="str">
        <f t="shared" si="1"/>
        <v>CHARLIE TRIPLITT</v>
      </c>
      <c r="J9" s="6" t="s">
        <v>71</v>
      </c>
      <c r="K9" s="6" t="s">
        <v>164</v>
      </c>
      <c r="L9" s="6" t="s">
        <v>73</v>
      </c>
      <c r="M9" s="11">
        <v>46387</v>
      </c>
      <c r="N9" s="6" t="s">
        <v>63</v>
      </c>
      <c r="O9" s="6" t="s">
        <v>150</v>
      </c>
      <c r="P9" s="6">
        <v>520.5</v>
      </c>
      <c r="Q9" s="6">
        <v>0</v>
      </c>
      <c r="R9" s="6">
        <v>520.5</v>
      </c>
      <c r="S9" s="6">
        <v>694</v>
      </c>
      <c r="T9" s="6" t="s">
        <v>184</v>
      </c>
      <c r="U9" s="6" t="s">
        <v>188</v>
      </c>
      <c r="V9" s="6"/>
      <c r="W9" s="6"/>
      <c r="X9" s="6"/>
      <c r="Y9" s="6"/>
    </row>
    <row r="10" spans="1:25" s="4" customFormat="1" x14ac:dyDescent="0.25">
      <c r="A10" s="6" t="s">
        <v>8</v>
      </c>
      <c r="B10" s="7">
        <v>16849453</v>
      </c>
      <c r="C10" s="7">
        <v>16849453</v>
      </c>
      <c r="D10" s="6" t="s">
        <v>77</v>
      </c>
      <c r="E10" s="6" t="s">
        <v>78</v>
      </c>
      <c r="F10" t="str">
        <f t="shared" si="0"/>
        <v>DYKZKK9</v>
      </c>
      <c r="G10" s="6" t="s">
        <v>80</v>
      </c>
      <c r="H10" s="6" t="s">
        <v>81</v>
      </c>
      <c r="I10" t="str">
        <f t="shared" si="1"/>
        <v>BALFOUR LONG</v>
      </c>
      <c r="J10" s="6" t="s">
        <v>82</v>
      </c>
      <c r="K10" s="6" t="s">
        <v>72</v>
      </c>
      <c r="L10" s="6" t="s">
        <v>83</v>
      </c>
      <c r="M10" s="11">
        <v>46387</v>
      </c>
      <c r="N10" s="6" t="s">
        <v>63</v>
      </c>
      <c r="O10" s="6" t="s">
        <v>75</v>
      </c>
      <c r="P10" s="6">
        <v>549.41999999999996</v>
      </c>
      <c r="Q10" s="6">
        <v>0</v>
      </c>
      <c r="R10" s="6">
        <v>549.41999999999996</v>
      </c>
      <c r="S10" s="6">
        <v>694</v>
      </c>
      <c r="T10" s="6" t="s">
        <v>184</v>
      </c>
      <c r="U10" s="6" t="s">
        <v>188</v>
      </c>
      <c r="V10" s="6"/>
      <c r="W10" s="6"/>
      <c r="X10" s="6"/>
      <c r="Y10" s="6"/>
    </row>
    <row r="11" spans="1:25" s="4" customFormat="1" x14ac:dyDescent="0.25">
      <c r="A11" s="6" t="s">
        <v>8</v>
      </c>
      <c r="B11" s="7">
        <v>7146581</v>
      </c>
      <c r="C11" s="7">
        <v>7146581</v>
      </c>
      <c r="D11" s="6" t="s">
        <v>101</v>
      </c>
      <c r="E11" s="6" t="s">
        <v>102</v>
      </c>
      <c r="F11" t="str">
        <f t="shared" si="0"/>
        <v>D8S2H39</v>
      </c>
      <c r="G11" s="6" t="s">
        <v>104</v>
      </c>
      <c r="H11" s="6" t="s">
        <v>105</v>
      </c>
      <c r="I11" t="str">
        <f t="shared" si="1"/>
        <v>RICHARD FRACHEY</v>
      </c>
      <c r="J11" s="6" t="s">
        <v>71</v>
      </c>
      <c r="K11" s="6" t="s">
        <v>106</v>
      </c>
      <c r="L11" s="6" t="s">
        <v>83</v>
      </c>
      <c r="M11" s="11">
        <v>46387</v>
      </c>
      <c r="N11" s="6" t="s">
        <v>63</v>
      </c>
      <c r="O11" s="6" t="s">
        <v>75</v>
      </c>
      <c r="P11" s="6">
        <v>549.41999999999996</v>
      </c>
      <c r="Q11" s="6">
        <v>0</v>
      </c>
      <c r="R11" s="6">
        <v>549.41999999999996</v>
      </c>
      <c r="S11" s="6">
        <v>694</v>
      </c>
      <c r="T11" s="6" t="s">
        <v>184</v>
      </c>
      <c r="U11" s="6" t="s">
        <v>188</v>
      </c>
      <c r="V11" s="6"/>
      <c r="W11" s="6"/>
      <c r="X11" s="6"/>
      <c r="Y11" s="6"/>
    </row>
    <row r="12" spans="1:25" s="4" customFormat="1" x14ac:dyDescent="0.25">
      <c r="A12" s="6" t="s">
        <v>8</v>
      </c>
      <c r="B12" s="7">
        <v>7146581</v>
      </c>
      <c r="C12" s="7">
        <v>7146581</v>
      </c>
      <c r="D12" s="6" t="s">
        <v>101</v>
      </c>
      <c r="E12" s="6" t="s">
        <v>145</v>
      </c>
      <c r="F12" t="str">
        <f t="shared" si="0"/>
        <v>DAWCSJ9</v>
      </c>
      <c r="G12" s="6" t="s">
        <v>147</v>
      </c>
      <c r="H12" s="6" t="s">
        <v>148</v>
      </c>
      <c r="I12" t="str">
        <f t="shared" si="1"/>
        <v>JOHN LECUYER</v>
      </c>
      <c r="J12" s="6" t="s">
        <v>71</v>
      </c>
      <c r="K12" s="6" t="s">
        <v>149</v>
      </c>
      <c r="L12" s="6" t="s">
        <v>83</v>
      </c>
      <c r="M12" s="11">
        <v>46387</v>
      </c>
      <c r="N12" s="6" t="s">
        <v>63</v>
      </c>
      <c r="O12" s="6" t="s">
        <v>150</v>
      </c>
      <c r="P12" s="6">
        <v>549.41999999999996</v>
      </c>
      <c r="Q12" s="6">
        <v>0</v>
      </c>
      <c r="R12" s="6">
        <v>549.41999999999996</v>
      </c>
      <c r="S12" s="6">
        <v>694</v>
      </c>
      <c r="T12" s="6" t="s">
        <v>184</v>
      </c>
      <c r="U12" s="6" t="s">
        <v>188</v>
      </c>
      <c r="V12" s="6"/>
      <c r="W12" s="6"/>
      <c r="X12" s="6"/>
      <c r="Y12" s="6"/>
    </row>
    <row r="13" spans="1:25" s="6" customFormat="1" x14ac:dyDescent="0.25">
      <c r="A13" s="6" t="s">
        <v>8</v>
      </c>
      <c r="B13" s="7">
        <v>18754354</v>
      </c>
      <c r="C13" s="7">
        <v>18754354</v>
      </c>
      <c r="D13" s="6" t="s">
        <v>108</v>
      </c>
      <c r="E13" s="6" t="s">
        <v>115</v>
      </c>
      <c r="F13" t="str">
        <f t="shared" si="0"/>
        <v>DHW26W9</v>
      </c>
      <c r="G13" s="6" t="s">
        <v>117</v>
      </c>
      <c r="H13" s="6" t="s">
        <v>118</v>
      </c>
      <c r="I13" t="str">
        <f t="shared" si="1"/>
        <v>ALAN KEENE</v>
      </c>
      <c r="J13" s="6" t="s">
        <v>71</v>
      </c>
      <c r="K13" s="6" t="s">
        <v>106</v>
      </c>
      <c r="L13" s="6" t="s">
        <v>119</v>
      </c>
      <c r="M13" s="11">
        <v>46387</v>
      </c>
      <c r="N13" s="6" t="s">
        <v>63</v>
      </c>
      <c r="O13" s="6" t="s">
        <v>75</v>
      </c>
      <c r="P13" s="6">
        <v>578.34</v>
      </c>
      <c r="Q13" s="6">
        <v>0</v>
      </c>
      <c r="R13" s="6">
        <v>578.34</v>
      </c>
      <c r="S13" s="6">
        <v>694</v>
      </c>
      <c r="T13" s="6" t="s">
        <v>184</v>
      </c>
      <c r="U13" s="6" t="s">
        <v>188</v>
      </c>
    </row>
    <row r="14" spans="1:25" s="6" customFormat="1" x14ac:dyDescent="0.25">
      <c r="A14" s="6" t="s">
        <v>8</v>
      </c>
      <c r="B14" s="7">
        <v>17094718</v>
      </c>
      <c r="C14" s="7">
        <v>17094718</v>
      </c>
      <c r="D14" s="6" t="s">
        <v>131</v>
      </c>
      <c r="E14" s="6" t="s">
        <v>132</v>
      </c>
      <c r="F14" t="str">
        <f t="shared" si="0"/>
        <v>D3GJZ39</v>
      </c>
      <c r="G14" s="6" t="s">
        <v>134</v>
      </c>
      <c r="H14" s="6" t="s">
        <v>135</v>
      </c>
      <c r="I14" t="str">
        <f t="shared" si="1"/>
        <v>GLORIA SMITH</v>
      </c>
      <c r="J14" s="6" t="s">
        <v>71</v>
      </c>
      <c r="K14" s="6" t="s">
        <v>136</v>
      </c>
      <c r="L14" s="6" t="s">
        <v>119</v>
      </c>
      <c r="M14" s="11">
        <v>46387</v>
      </c>
      <c r="N14" s="6" t="s">
        <v>63</v>
      </c>
      <c r="O14" s="6" t="s">
        <v>75</v>
      </c>
      <c r="P14" s="6">
        <v>578.34</v>
      </c>
      <c r="Q14" s="6">
        <v>0</v>
      </c>
      <c r="R14" s="6">
        <v>578.34</v>
      </c>
      <c r="S14" s="6">
        <v>694</v>
      </c>
      <c r="T14" s="6" t="s">
        <v>184</v>
      </c>
      <c r="U14" s="6" t="s">
        <v>188</v>
      </c>
    </row>
    <row r="15" spans="1:25" s="6" customFormat="1" x14ac:dyDescent="0.25">
      <c r="A15" t="s">
        <v>8</v>
      </c>
      <c r="B15" s="2">
        <v>19396223</v>
      </c>
      <c r="C15" s="2">
        <v>19396223</v>
      </c>
      <c r="D15" t="s">
        <v>86</v>
      </c>
      <c r="E15" t="s">
        <v>172</v>
      </c>
      <c r="F15" t="str">
        <f t="shared" si="0"/>
        <v>D4JAW99</v>
      </c>
      <c r="G15" t="s">
        <v>174</v>
      </c>
      <c r="H15" t="s">
        <v>175</v>
      </c>
      <c r="I15" t="str">
        <f t="shared" si="1"/>
        <v>SYED HUSSAINI</v>
      </c>
      <c r="J15" t="s">
        <v>71</v>
      </c>
      <c r="K15" t="s">
        <v>176</v>
      </c>
      <c r="L15" t="s">
        <v>73</v>
      </c>
      <c r="M15" s="8">
        <v>46387</v>
      </c>
      <c r="N15" t="s">
        <v>63</v>
      </c>
      <c r="O15" t="s">
        <v>150</v>
      </c>
      <c r="P15">
        <v>694</v>
      </c>
      <c r="Q15">
        <v>200</v>
      </c>
      <c r="R15">
        <v>894</v>
      </c>
      <c r="S15">
        <v>694</v>
      </c>
      <c r="T15" t="s">
        <v>184</v>
      </c>
      <c r="U15" t="s">
        <v>188</v>
      </c>
      <c r="V15"/>
      <c r="W15"/>
      <c r="X15"/>
      <c r="Y15"/>
    </row>
    <row r="16" spans="1:25" s="6" customFormat="1" x14ac:dyDescent="0.25">
      <c r="A16" t="s">
        <v>8</v>
      </c>
      <c r="B16" s="2">
        <v>17126004</v>
      </c>
      <c r="C16" s="2">
        <v>17126004</v>
      </c>
      <c r="D16" t="s">
        <v>178</v>
      </c>
      <c r="E16" t="s">
        <v>179</v>
      </c>
      <c r="F16" t="str">
        <f t="shared" si="0"/>
        <v>D3868E9</v>
      </c>
      <c r="G16" t="s">
        <v>181</v>
      </c>
      <c r="H16" t="s">
        <v>182</v>
      </c>
      <c r="I16" t="str">
        <f t="shared" si="1"/>
        <v>GEORGE MULVANEY JR</v>
      </c>
      <c r="J16" t="s">
        <v>71</v>
      </c>
      <c r="K16" t="s">
        <v>176</v>
      </c>
      <c r="L16" t="s">
        <v>73</v>
      </c>
      <c r="M16" s="8">
        <v>46387</v>
      </c>
      <c r="N16" t="s">
        <v>63</v>
      </c>
      <c r="O16" t="s">
        <v>150</v>
      </c>
      <c r="P16">
        <v>694</v>
      </c>
      <c r="Q16">
        <v>200</v>
      </c>
      <c r="R16">
        <v>894</v>
      </c>
      <c r="S16">
        <v>694</v>
      </c>
      <c r="T16" t="s">
        <v>184</v>
      </c>
      <c r="U16" t="s">
        <v>188</v>
      </c>
      <c r="V16"/>
      <c r="W16"/>
      <c r="X16"/>
      <c r="Y16"/>
    </row>
    <row r="17" spans="1:25" s="6" customFormat="1" x14ac:dyDescent="0.25">
      <c r="A17" s="6" t="s">
        <v>8</v>
      </c>
      <c r="B17" s="7">
        <v>21618313</v>
      </c>
      <c r="C17" s="7">
        <v>21618313</v>
      </c>
      <c r="D17" s="6" t="s">
        <v>122</v>
      </c>
      <c r="E17" s="6" t="s">
        <v>123</v>
      </c>
      <c r="F17" t="str">
        <f t="shared" si="0"/>
        <v>DAU3289</v>
      </c>
      <c r="G17" s="6" t="s">
        <v>125</v>
      </c>
      <c r="H17" s="6" t="s">
        <v>126</v>
      </c>
      <c r="I17" t="str">
        <f t="shared" si="1"/>
        <v>MARTIN REEVES</v>
      </c>
      <c r="J17" s="6" t="s">
        <v>127</v>
      </c>
      <c r="K17" s="6" t="s">
        <v>128</v>
      </c>
      <c r="L17" s="6" t="s">
        <v>73</v>
      </c>
      <c r="M17" s="11">
        <v>46387</v>
      </c>
      <c r="N17" s="6" t="s">
        <v>63</v>
      </c>
      <c r="O17" s="6" t="s">
        <v>75</v>
      </c>
      <c r="P17" s="6">
        <v>585.5</v>
      </c>
      <c r="Q17" s="6">
        <v>0</v>
      </c>
      <c r="R17" s="6">
        <v>585.5</v>
      </c>
      <c r="S17" s="6">
        <v>781</v>
      </c>
      <c r="T17" s="6" t="s">
        <v>193</v>
      </c>
      <c r="U17" s="6" t="s">
        <v>194</v>
      </c>
    </row>
    <row r="18" spans="1:25" s="6" customFormat="1" x14ac:dyDescent="0.25">
      <c r="A18" s="4" t="s">
        <v>8</v>
      </c>
      <c r="B18" s="5">
        <v>21618313</v>
      </c>
      <c r="C18" s="5">
        <v>21618313</v>
      </c>
      <c r="D18" s="4" t="s">
        <v>122</v>
      </c>
      <c r="E18" s="4" t="s">
        <v>123</v>
      </c>
      <c r="F18" t="str">
        <f>CONCATENATE(E18,7)</f>
        <v>DAU3287</v>
      </c>
      <c r="G18" s="4" t="s">
        <v>125</v>
      </c>
      <c r="H18" s="4" t="s">
        <v>126</v>
      </c>
      <c r="I18" t="str">
        <f t="shared" si="1"/>
        <v>MARTIN REEVES</v>
      </c>
      <c r="J18" s="4" t="s">
        <v>127</v>
      </c>
      <c r="K18" s="4" t="s">
        <v>128</v>
      </c>
      <c r="L18" s="4" t="s">
        <v>73</v>
      </c>
      <c r="M18" s="10">
        <v>46387</v>
      </c>
      <c r="N18" s="4" t="s">
        <v>63</v>
      </c>
      <c r="O18" s="4" t="s">
        <v>75</v>
      </c>
      <c r="P18" s="4">
        <v>585.5</v>
      </c>
      <c r="Q18" s="4">
        <v>0</v>
      </c>
      <c r="R18" s="4">
        <v>585.5</v>
      </c>
      <c r="S18" s="4">
        <v>-195.5</v>
      </c>
      <c r="T18" s="4" t="s">
        <v>191</v>
      </c>
      <c r="U18" s="4" t="s">
        <v>192</v>
      </c>
      <c r="V18" s="4">
        <v>195.5</v>
      </c>
      <c r="W18" s="4"/>
      <c r="X18" s="4"/>
      <c r="Y18" s="4"/>
    </row>
    <row r="19" spans="1:25" s="6" customFormat="1" x14ac:dyDescent="0.25">
      <c r="A19" t="s">
        <v>8</v>
      </c>
      <c r="B19" s="2">
        <v>17516272</v>
      </c>
      <c r="C19" s="2">
        <v>17516272</v>
      </c>
      <c r="D19" t="s">
        <v>41</v>
      </c>
      <c r="E19" t="s">
        <v>42</v>
      </c>
      <c r="F19" t="str">
        <f t="shared" ref="F19:F33" si="2">CONCATENATE(E19,7)</f>
        <v>DHSZH97</v>
      </c>
      <c r="G19" t="s">
        <v>44</v>
      </c>
      <c r="H19" t="s">
        <v>45</v>
      </c>
      <c r="I19" t="str">
        <f t="shared" si="1"/>
        <v>TERRY CARVER</v>
      </c>
      <c r="J19" t="s">
        <v>46</v>
      </c>
      <c r="K19" t="s">
        <v>47</v>
      </c>
      <c r="L19" t="s">
        <v>48</v>
      </c>
      <c r="M19" s="8">
        <v>46204</v>
      </c>
      <c r="N19" t="s">
        <v>52</v>
      </c>
      <c r="O19" t="s">
        <v>53</v>
      </c>
      <c r="P19">
        <v>-173.5</v>
      </c>
      <c r="Q19">
        <v>-100</v>
      </c>
      <c r="R19">
        <v>-273.5</v>
      </c>
      <c r="S19">
        <v>-173.5</v>
      </c>
      <c r="T19" t="s">
        <v>185</v>
      </c>
      <c r="U19" t="s">
        <v>186</v>
      </c>
      <c r="V19"/>
      <c r="W19"/>
      <c r="X19"/>
      <c r="Y19"/>
    </row>
    <row r="20" spans="1:25" s="4" customFormat="1" x14ac:dyDescent="0.25">
      <c r="A20" t="s">
        <v>8</v>
      </c>
      <c r="B20" s="2">
        <v>7565575</v>
      </c>
      <c r="C20" s="2">
        <v>7565575</v>
      </c>
      <c r="D20" t="s">
        <v>66</v>
      </c>
      <c r="E20" t="s">
        <v>67</v>
      </c>
      <c r="F20" t="str">
        <f t="shared" si="2"/>
        <v>DHF8C57</v>
      </c>
      <c r="G20" t="s">
        <v>69</v>
      </c>
      <c r="H20" t="s">
        <v>70</v>
      </c>
      <c r="I20" t="str">
        <f t="shared" si="1"/>
        <v>JAMES KOWALSKI</v>
      </c>
      <c r="J20" t="s">
        <v>71</v>
      </c>
      <c r="K20" t="s">
        <v>72</v>
      </c>
      <c r="L20" t="s">
        <v>73</v>
      </c>
      <c r="M20" s="8">
        <v>46387</v>
      </c>
      <c r="N20" t="s">
        <v>63</v>
      </c>
      <c r="O20" t="s">
        <v>75</v>
      </c>
      <c r="P20">
        <v>173.5</v>
      </c>
      <c r="Q20">
        <v>0</v>
      </c>
      <c r="R20">
        <v>173.5</v>
      </c>
      <c r="S20">
        <v>173.5</v>
      </c>
      <c r="T20" t="s">
        <v>185</v>
      </c>
      <c r="U20" t="s">
        <v>186</v>
      </c>
      <c r="V20"/>
      <c r="W20"/>
      <c r="X20"/>
      <c r="Y20"/>
    </row>
    <row r="21" spans="1:25" s="4" customFormat="1" x14ac:dyDescent="0.25">
      <c r="A21" t="s">
        <v>8</v>
      </c>
      <c r="B21" s="2">
        <v>9213293</v>
      </c>
      <c r="C21" s="2">
        <v>9213293</v>
      </c>
      <c r="D21" t="s">
        <v>152</v>
      </c>
      <c r="E21" t="s">
        <v>165</v>
      </c>
      <c r="F21" t="str">
        <f t="shared" si="2"/>
        <v>D9HJ9K7</v>
      </c>
      <c r="G21" t="s">
        <v>167</v>
      </c>
      <c r="H21" t="s">
        <v>168</v>
      </c>
      <c r="I21" t="str">
        <f t="shared" si="1"/>
        <v>TWILA FRENCH</v>
      </c>
      <c r="J21" t="s">
        <v>169</v>
      </c>
      <c r="K21" t="s">
        <v>170</v>
      </c>
      <c r="L21" t="s">
        <v>73</v>
      </c>
      <c r="M21" s="8">
        <v>46387</v>
      </c>
      <c r="N21" t="s">
        <v>63</v>
      </c>
      <c r="O21" t="s">
        <v>150</v>
      </c>
      <c r="P21">
        <v>347</v>
      </c>
      <c r="Q21">
        <v>200</v>
      </c>
      <c r="R21">
        <v>547</v>
      </c>
      <c r="S21">
        <v>347</v>
      </c>
      <c r="T21" t="s">
        <v>185</v>
      </c>
      <c r="U21" t="s">
        <v>187</v>
      </c>
      <c r="V21"/>
      <c r="W21"/>
      <c r="X21"/>
      <c r="Y21"/>
    </row>
    <row r="22" spans="1:25" s="4" customFormat="1" x14ac:dyDescent="0.25">
      <c r="A22" s="4" t="s">
        <v>8</v>
      </c>
      <c r="B22" s="5">
        <v>19396223</v>
      </c>
      <c r="C22" s="5">
        <v>19396223</v>
      </c>
      <c r="D22" s="4" t="s">
        <v>86</v>
      </c>
      <c r="E22" s="4" t="s">
        <v>87</v>
      </c>
      <c r="F22" t="str">
        <f t="shared" si="2"/>
        <v>DA9SF37</v>
      </c>
      <c r="G22" s="4" t="s">
        <v>89</v>
      </c>
      <c r="H22" s="4" t="s">
        <v>90</v>
      </c>
      <c r="I22" t="str">
        <f t="shared" si="1"/>
        <v>ROSEMARIE SCHNUPP</v>
      </c>
      <c r="J22" s="4" t="s">
        <v>71</v>
      </c>
      <c r="K22" s="4" t="s">
        <v>91</v>
      </c>
      <c r="L22" s="4" t="s">
        <v>73</v>
      </c>
      <c r="M22" s="10">
        <v>46387</v>
      </c>
      <c r="N22" s="4" t="s">
        <v>63</v>
      </c>
      <c r="O22" s="4" t="s">
        <v>75</v>
      </c>
      <c r="P22" s="4">
        <v>520.5</v>
      </c>
      <c r="Q22" s="4">
        <v>0</v>
      </c>
      <c r="R22" s="4">
        <v>520.5</v>
      </c>
      <c r="S22" s="4">
        <v>-173.5</v>
      </c>
      <c r="T22" s="4" t="s">
        <v>185</v>
      </c>
      <c r="U22" s="4" t="s">
        <v>186</v>
      </c>
      <c r="V22" s="4">
        <v>173.5</v>
      </c>
    </row>
    <row r="23" spans="1:25" s="6" customFormat="1" x14ac:dyDescent="0.25">
      <c r="A23" s="4" t="s">
        <v>8</v>
      </c>
      <c r="B23" s="5">
        <v>19396223</v>
      </c>
      <c r="C23" s="5">
        <v>19396223</v>
      </c>
      <c r="D23" s="4" t="s">
        <v>86</v>
      </c>
      <c r="E23" s="4" t="s">
        <v>93</v>
      </c>
      <c r="F23" t="str">
        <f t="shared" si="2"/>
        <v>DJKF4F7</v>
      </c>
      <c r="G23" s="4" t="s">
        <v>95</v>
      </c>
      <c r="H23" s="4" t="s">
        <v>96</v>
      </c>
      <c r="I23" t="str">
        <f t="shared" si="1"/>
        <v>CAROL STEWART</v>
      </c>
      <c r="J23" s="4" t="s">
        <v>71</v>
      </c>
      <c r="K23" s="4" t="s">
        <v>97</v>
      </c>
      <c r="L23" s="4" t="s">
        <v>73</v>
      </c>
      <c r="M23" s="10">
        <v>46387</v>
      </c>
      <c r="N23" s="4" t="s">
        <v>63</v>
      </c>
      <c r="O23" s="4" t="s">
        <v>75</v>
      </c>
      <c r="P23" s="4">
        <v>520.5</v>
      </c>
      <c r="Q23" s="4">
        <v>0</v>
      </c>
      <c r="R23" s="4">
        <v>520.5</v>
      </c>
      <c r="S23" s="4">
        <v>-173.5</v>
      </c>
      <c r="T23" s="4" t="s">
        <v>185</v>
      </c>
      <c r="U23" s="4" t="s">
        <v>186</v>
      </c>
      <c r="V23" s="4"/>
      <c r="W23" s="4"/>
      <c r="X23" s="4"/>
      <c r="Y23" s="4"/>
    </row>
    <row r="24" spans="1:25" s="6" customFormat="1" x14ac:dyDescent="0.25">
      <c r="A24" s="4" t="s">
        <v>8</v>
      </c>
      <c r="B24" s="5">
        <v>19396223</v>
      </c>
      <c r="C24" s="5">
        <v>19396223</v>
      </c>
      <c r="D24" s="4" t="s">
        <v>86</v>
      </c>
      <c r="E24" s="4" t="s">
        <v>98</v>
      </c>
      <c r="F24" t="str">
        <f t="shared" si="2"/>
        <v>D765S37</v>
      </c>
      <c r="G24" s="4" t="s">
        <v>69</v>
      </c>
      <c r="H24" s="4" t="s">
        <v>96</v>
      </c>
      <c r="I24" t="str">
        <f t="shared" si="1"/>
        <v>JAMES STEWART</v>
      </c>
      <c r="J24" s="4" t="s">
        <v>71</v>
      </c>
      <c r="K24" s="4" t="s">
        <v>97</v>
      </c>
      <c r="L24" s="4" t="s">
        <v>73</v>
      </c>
      <c r="M24" s="10">
        <v>46387</v>
      </c>
      <c r="N24" s="4" t="s">
        <v>63</v>
      </c>
      <c r="O24" s="4" t="s">
        <v>75</v>
      </c>
      <c r="P24" s="4">
        <v>520.5</v>
      </c>
      <c r="Q24" s="4">
        <v>0</v>
      </c>
      <c r="R24" s="4">
        <v>520.5</v>
      </c>
      <c r="S24" s="4">
        <v>-173.5</v>
      </c>
      <c r="T24" s="4" t="s">
        <v>185</v>
      </c>
      <c r="U24" s="4" t="s">
        <v>186</v>
      </c>
      <c r="V24" s="4"/>
      <c r="W24" s="4"/>
      <c r="X24" s="4"/>
      <c r="Y24" s="4"/>
    </row>
    <row r="25" spans="1:25" s="6" customFormat="1" x14ac:dyDescent="0.25">
      <c r="A25" s="4" t="s">
        <v>8</v>
      </c>
      <c r="B25" s="5">
        <v>18754354</v>
      </c>
      <c r="C25" s="5">
        <v>18754354</v>
      </c>
      <c r="D25" s="4" t="s">
        <v>108</v>
      </c>
      <c r="E25" s="4" t="s">
        <v>109</v>
      </c>
      <c r="F25" t="str">
        <f t="shared" si="2"/>
        <v>DYRF557</v>
      </c>
      <c r="G25" s="4" t="s">
        <v>104</v>
      </c>
      <c r="H25" s="4" t="s">
        <v>111</v>
      </c>
      <c r="I25" t="str">
        <f t="shared" si="1"/>
        <v>RICHARD GUINN</v>
      </c>
      <c r="J25" s="4" t="s">
        <v>112</v>
      </c>
      <c r="K25" s="4" t="s">
        <v>113</v>
      </c>
      <c r="L25" s="4" t="s">
        <v>73</v>
      </c>
      <c r="M25" s="10">
        <v>46387</v>
      </c>
      <c r="N25" s="4" t="s">
        <v>63</v>
      </c>
      <c r="O25" s="4" t="s">
        <v>75</v>
      </c>
      <c r="P25" s="4">
        <v>520.5</v>
      </c>
      <c r="Q25" s="4">
        <v>0</v>
      </c>
      <c r="R25" s="4">
        <v>520.5</v>
      </c>
      <c r="S25" s="4">
        <v>-173.5</v>
      </c>
      <c r="T25" s="4" t="s">
        <v>185</v>
      </c>
      <c r="U25" s="4" t="s">
        <v>186</v>
      </c>
      <c r="V25" s="4"/>
      <c r="W25" s="4"/>
      <c r="X25" s="4"/>
      <c r="Y25" s="4"/>
    </row>
    <row r="26" spans="1:25" s="4" customFormat="1" x14ac:dyDescent="0.25">
      <c r="A26" s="4" t="s">
        <v>8</v>
      </c>
      <c r="B26" s="5">
        <v>19278370</v>
      </c>
      <c r="C26" s="5">
        <v>19278370</v>
      </c>
      <c r="D26" s="4" t="s">
        <v>138</v>
      </c>
      <c r="E26" s="4" t="s">
        <v>139</v>
      </c>
      <c r="F26" t="str">
        <f t="shared" si="2"/>
        <v>D29ZS77</v>
      </c>
      <c r="G26" s="4" t="s">
        <v>141</v>
      </c>
      <c r="H26" s="4" t="s">
        <v>142</v>
      </c>
      <c r="I26" t="str">
        <f t="shared" si="1"/>
        <v>KAREN THORNTON</v>
      </c>
      <c r="J26" s="4" t="s">
        <v>143</v>
      </c>
      <c r="K26" s="4" t="s">
        <v>128</v>
      </c>
      <c r="L26" s="4" t="s">
        <v>73</v>
      </c>
      <c r="M26" s="10">
        <v>46387</v>
      </c>
      <c r="N26" s="4" t="s">
        <v>63</v>
      </c>
      <c r="O26" s="4" t="s">
        <v>75</v>
      </c>
      <c r="P26" s="4">
        <v>520.5</v>
      </c>
      <c r="Q26" s="4">
        <v>0</v>
      </c>
      <c r="R26" s="4">
        <v>520.5</v>
      </c>
      <c r="S26" s="4">
        <v>-173.5</v>
      </c>
      <c r="T26" s="4" t="s">
        <v>185</v>
      </c>
      <c r="U26" s="4" t="s">
        <v>186</v>
      </c>
    </row>
    <row r="27" spans="1:25" s="4" customFormat="1" x14ac:dyDescent="0.25">
      <c r="A27" s="4" t="s">
        <v>8</v>
      </c>
      <c r="B27" s="5">
        <v>9213293</v>
      </c>
      <c r="C27" s="5">
        <v>9213293</v>
      </c>
      <c r="D27" s="4" t="s">
        <v>152</v>
      </c>
      <c r="E27" s="4" t="s">
        <v>153</v>
      </c>
      <c r="F27" t="str">
        <f t="shared" si="2"/>
        <v>DKG5U57</v>
      </c>
      <c r="G27" s="4" t="s">
        <v>155</v>
      </c>
      <c r="H27" s="4" t="s">
        <v>156</v>
      </c>
      <c r="I27" t="str">
        <f t="shared" si="1"/>
        <v>MAZHENNA SOYFER</v>
      </c>
      <c r="J27" s="4" t="s">
        <v>112</v>
      </c>
      <c r="K27" s="4" t="s">
        <v>149</v>
      </c>
      <c r="L27" s="4" t="s">
        <v>73</v>
      </c>
      <c r="M27" s="10">
        <v>46387</v>
      </c>
      <c r="N27" s="4" t="s">
        <v>63</v>
      </c>
      <c r="O27" s="4" t="s">
        <v>150</v>
      </c>
      <c r="P27" s="4">
        <v>520.5</v>
      </c>
      <c r="Q27" s="4">
        <v>0</v>
      </c>
      <c r="R27" s="4">
        <v>520.5</v>
      </c>
      <c r="S27" s="4">
        <v>-173.5</v>
      </c>
      <c r="T27" s="4" t="s">
        <v>185</v>
      </c>
      <c r="U27" s="4" t="s">
        <v>186</v>
      </c>
    </row>
    <row r="28" spans="1:25" s="6" customFormat="1" x14ac:dyDescent="0.25">
      <c r="A28" s="4" t="s">
        <v>8</v>
      </c>
      <c r="B28" s="5">
        <v>19200754</v>
      </c>
      <c r="C28" s="5">
        <v>19200754</v>
      </c>
      <c r="D28" s="4" t="s">
        <v>159</v>
      </c>
      <c r="E28" s="4" t="s">
        <v>160</v>
      </c>
      <c r="F28" t="str">
        <f t="shared" si="2"/>
        <v>DWW8UU7</v>
      </c>
      <c r="G28" s="4" t="s">
        <v>162</v>
      </c>
      <c r="H28" s="4" t="s">
        <v>163</v>
      </c>
      <c r="I28" t="str">
        <f t="shared" si="1"/>
        <v>CHARLIE TRIPLITT</v>
      </c>
      <c r="J28" s="4" t="s">
        <v>71</v>
      </c>
      <c r="K28" s="4" t="s">
        <v>164</v>
      </c>
      <c r="L28" s="4" t="s">
        <v>73</v>
      </c>
      <c r="M28" s="10">
        <v>46387</v>
      </c>
      <c r="N28" s="4" t="s">
        <v>63</v>
      </c>
      <c r="O28" s="4" t="s">
        <v>150</v>
      </c>
      <c r="P28" s="4">
        <v>520.5</v>
      </c>
      <c r="Q28" s="4">
        <v>0</v>
      </c>
      <c r="R28" s="4">
        <v>520.5</v>
      </c>
      <c r="S28" s="4">
        <v>-173.5</v>
      </c>
      <c r="T28" s="4" t="s">
        <v>185</v>
      </c>
      <c r="U28" s="4" t="s">
        <v>186</v>
      </c>
      <c r="V28" s="4"/>
      <c r="W28" s="4"/>
      <c r="X28" s="4"/>
      <c r="Y28" s="4"/>
    </row>
    <row r="29" spans="1:25" s="6" customFormat="1" x14ac:dyDescent="0.25">
      <c r="A29" s="4" t="s">
        <v>8</v>
      </c>
      <c r="B29" s="5">
        <v>16849453</v>
      </c>
      <c r="C29" s="5">
        <v>16849453</v>
      </c>
      <c r="D29" s="4" t="s">
        <v>77</v>
      </c>
      <c r="E29" s="4" t="s">
        <v>78</v>
      </c>
      <c r="F29" t="str">
        <f t="shared" si="2"/>
        <v>DYKZKK7</v>
      </c>
      <c r="G29" s="4" t="s">
        <v>80</v>
      </c>
      <c r="H29" s="4" t="s">
        <v>81</v>
      </c>
      <c r="I29" t="str">
        <f t="shared" si="1"/>
        <v>BALFOUR LONG</v>
      </c>
      <c r="J29" s="4" t="s">
        <v>82</v>
      </c>
      <c r="K29" s="4" t="s">
        <v>72</v>
      </c>
      <c r="L29" s="4" t="s">
        <v>83</v>
      </c>
      <c r="M29" s="10">
        <v>46387</v>
      </c>
      <c r="N29" s="4" t="s">
        <v>63</v>
      </c>
      <c r="O29" s="4" t="s">
        <v>75</v>
      </c>
      <c r="P29" s="4">
        <v>549.41999999999996</v>
      </c>
      <c r="Q29" s="4">
        <v>0</v>
      </c>
      <c r="R29" s="4">
        <v>549.41999999999996</v>
      </c>
      <c r="S29" s="4">
        <v>-144.58000000000001</v>
      </c>
      <c r="T29" s="4" t="s">
        <v>185</v>
      </c>
      <c r="U29" s="4" t="s">
        <v>189</v>
      </c>
      <c r="V29" s="4"/>
      <c r="W29" s="4"/>
      <c r="X29" s="4"/>
      <c r="Y29" s="4"/>
    </row>
    <row r="30" spans="1:25" s="4" customFormat="1" x14ac:dyDescent="0.25">
      <c r="A30" s="4" t="s">
        <v>8</v>
      </c>
      <c r="B30" s="5">
        <v>7146581</v>
      </c>
      <c r="C30" s="5">
        <v>7146581</v>
      </c>
      <c r="D30" s="4" t="s">
        <v>101</v>
      </c>
      <c r="E30" s="4" t="s">
        <v>102</v>
      </c>
      <c r="F30" t="str">
        <f t="shared" si="2"/>
        <v>D8S2H37</v>
      </c>
      <c r="G30" s="4" t="s">
        <v>104</v>
      </c>
      <c r="H30" s="4" t="s">
        <v>105</v>
      </c>
      <c r="I30" t="str">
        <f t="shared" si="1"/>
        <v>RICHARD FRACHEY</v>
      </c>
      <c r="J30" s="4" t="s">
        <v>71</v>
      </c>
      <c r="K30" s="4" t="s">
        <v>106</v>
      </c>
      <c r="L30" s="4" t="s">
        <v>83</v>
      </c>
      <c r="M30" s="10">
        <v>46387</v>
      </c>
      <c r="N30" s="4" t="s">
        <v>63</v>
      </c>
      <c r="O30" s="4" t="s">
        <v>75</v>
      </c>
      <c r="P30" s="4">
        <v>549.41999999999996</v>
      </c>
      <c r="Q30" s="4">
        <v>0</v>
      </c>
      <c r="R30" s="4">
        <v>549.41999999999996</v>
      </c>
      <c r="S30" s="4">
        <v>-144.58000000000001</v>
      </c>
      <c r="T30" s="4" t="s">
        <v>185</v>
      </c>
      <c r="U30" s="4" t="s">
        <v>189</v>
      </c>
    </row>
    <row r="31" spans="1:25" s="6" customFormat="1" x14ac:dyDescent="0.25">
      <c r="A31" s="4" t="s">
        <v>8</v>
      </c>
      <c r="B31" s="5">
        <v>7146581</v>
      </c>
      <c r="C31" s="5">
        <v>7146581</v>
      </c>
      <c r="D31" s="4" t="s">
        <v>101</v>
      </c>
      <c r="E31" s="4" t="s">
        <v>145</v>
      </c>
      <c r="F31" t="str">
        <f t="shared" si="2"/>
        <v>DAWCSJ7</v>
      </c>
      <c r="G31" s="4" t="s">
        <v>147</v>
      </c>
      <c r="H31" s="4" t="s">
        <v>148</v>
      </c>
      <c r="I31" t="str">
        <f t="shared" si="1"/>
        <v>JOHN LECUYER</v>
      </c>
      <c r="J31" s="4" t="s">
        <v>71</v>
      </c>
      <c r="K31" s="4" t="s">
        <v>149</v>
      </c>
      <c r="L31" s="4" t="s">
        <v>83</v>
      </c>
      <c r="M31" s="10">
        <v>46387</v>
      </c>
      <c r="N31" s="4" t="s">
        <v>63</v>
      </c>
      <c r="O31" s="4" t="s">
        <v>150</v>
      </c>
      <c r="P31" s="4">
        <v>549.41999999999996</v>
      </c>
      <c r="Q31" s="4">
        <v>0</v>
      </c>
      <c r="R31" s="4">
        <v>549.41999999999996</v>
      </c>
      <c r="S31" s="4">
        <v>-144.58000000000001</v>
      </c>
      <c r="T31" s="4" t="s">
        <v>185</v>
      </c>
      <c r="U31" s="4" t="s">
        <v>189</v>
      </c>
      <c r="V31" s="4"/>
      <c r="W31" s="4"/>
      <c r="X31" s="4"/>
      <c r="Y31" s="4"/>
    </row>
    <row r="32" spans="1:25" x14ac:dyDescent="0.25">
      <c r="A32" s="4" t="s">
        <v>8</v>
      </c>
      <c r="B32" s="5">
        <v>18754354</v>
      </c>
      <c r="C32" s="5">
        <v>18754354</v>
      </c>
      <c r="D32" s="4" t="s">
        <v>108</v>
      </c>
      <c r="E32" s="4" t="s">
        <v>115</v>
      </c>
      <c r="F32" t="str">
        <f t="shared" si="2"/>
        <v>DHW26W7</v>
      </c>
      <c r="G32" s="4" t="s">
        <v>117</v>
      </c>
      <c r="H32" s="4" t="s">
        <v>118</v>
      </c>
      <c r="I32" t="str">
        <f t="shared" si="1"/>
        <v>ALAN KEENE</v>
      </c>
      <c r="J32" s="4" t="s">
        <v>71</v>
      </c>
      <c r="K32" s="4" t="s">
        <v>106</v>
      </c>
      <c r="L32" s="4" t="s">
        <v>119</v>
      </c>
      <c r="M32" s="10">
        <v>46387</v>
      </c>
      <c r="N32" s="4" t="s">
        <v>63</v>
      </c>
      <c r="O32" s="4" t="s">
        <v>75</v>
      </c>
      <c r="P32" s="4">
        <v>578.34</v>
      </c>
      <c r="Q32" s="4">
        <v>0</v>
      </c>
      <c r="R32" s="4">
        <v>578.34</v>
      </c>
      <c r="S32" s="4">
        <v>-115.66</v>
      </c>
      <c r="T32" s="4" t="s">
        <v>185</v>
      </c>
      <c r="U32" s="4" t="s">
        <v>190</v>
      </c>
      <c r="V32" s="4">
        <v>115.66</v>
      </c>
      <c r="W32" s="4"/>
      <c r="X32" s="4"/>
      <c r="Y32" s="4"/>
    </row>
    <row r="33" spans="1:25" x14ac:dyDescent="0.25">
      <c r="A33" s="4" t="s">
        <v>8</v>
      </c>
      <c r="B33" s="5">
        <v>17094718</v>
      </c>
      <c r="C33" s="5">
        <v>17094718</v>
      </c>
      <c r="D33" s="4" t="s">
        <v>131</v>
      </c>
      <c r="E33" s="4" t="s">
        <v>132</v>
      </c>
      <c r="F33" t="str">
        <f t="shared" si="2"/>
        <v>D3GJZ37</v>
      </c>
      <c r="G33" s="4" t="s">
        <v>134</v>
      </c>
      <c r="H33" s="4" t="s">
        <v>135</v>
      </c>
      <c r="I33" t="str">
        <f t="shared" si="1"/>
        <v>GLORIA SMITH</v>
      </c>
      <c r="J33" s="4" t="s">
        <v>71</v>
      </c>
      <c r="K33" s="4" t="s">
        <v>136</v>
      </c>
      <c r="L33" s="4" t="s">
        <v>119</v>
      </c>
      <c r="M33" s="10">
        <v>46387</v>
      </c>
      <c r="N33" s="4" t="s">
        <v>63</v>
      </c>
      <c r="O33" s="4" t="s">
        <v>75</v>
      </c>
      <c r="P33" s="4">
        <v>578.34</v>
      </c>
      <c r="Q33" s="4">
        <v>0</v>
      </c>
      <c r="R33" s="4">
        <v>578.34</v>
      </c>
      <c r="S33" s="4">
        <v>-115.66</v>
      </c>
      <c r="T33" s="4" t="s">
        <v>185</v>
      </c>
      <c r="U33" s="4" t="s">
        <v>190</v>
      </c>
      <c r="V33" s="4"/>
      <c r="W33" s="4"/>
      <c r="X33" s="4"/>
      <c r="Y33" s="4"/>
    </row>
    <row r="34" spans="1:25" s="1" customFormat="1" x14ac:dyDescent="0.25">
      <c r="A34" s="1" t="s">
        <v>8</v>
      </c>
      <c r="B34" s="3">
        <v>17516272</v>
      </c>
      <c r="C34" s="3" t="str">
        <f>CONCATENATE(B34,"OVR")</f>
        <v>17516272OVR</v>
      </c>
      <c r="D34" s="1" t="s">
        <v>41</v>
      </c>
      <c r="E34" s="1" t="s">
        <v>42</v>
      </c>
      <c r="F34" s="1" t="str">
        <f>CONCATENATE(E34,"OVR")</f>
        <v>DHSZH9OVR</v>
      </c>
      <c r="G34" s="1" t="s">
        <v>44</v>
      </c>
      <c r="H34" s="1" t="s">
        <v>45</v>
      </c>
      <c r="I34" t="str">
        <f t="shared" si="1"/>
        <v>TERRY CARVER</v>
      </c>
      <c r="J34" s="1" t="s">
        <v>46</v>
      </c>
      <c r="K34" s="1" t="s">
        <v>47</v>
      </c>
      <c r="L34" s="1" t="s">
        <v>48</v>
      </c>
      <c r="M34" s="9">
        <v>46204</v>
      </c>
      <c r="N34" s="1" t="s">
        <v>52</v>
      </c>
      <c r="O34" s="1" t="s">
        <v>53</v>
      </c>
      <c r="P34" s="1">
        <v>-173.5</v>
      </c>
      <c r="Q34" s="1">
        <v>-100</v>
      </c>
      <c r="R34" s="1">
        <v>-273.5</v>
      </c>
      <c r="S34" s="1">
        <v>-100</v>
      </c>
      <c r="T34" s="1" t="s">
        <v>195</v>
      </c>
    </row>
    <row r="35" spans="1:25" s="1" customFormat="1" x14ac:dyDescent="0.25">
      <c r="A35" s="1" t="s">
        <v>8</v>
      </c>
      <c r="B35" s="3">
        <v>19219478</v>
      </c>
      <c r="C35" s="3" t="str">
        <f t="shared" ref="C35:C38" si="3">CONCATENATE(B35,"OVR")</f>
        <v>19219478OVR</v>
      </c>
      <c r="D35" s="1" t="s">
        <v>55</v>
      </c>
      <c r="E35" s="1" t="s">
        <v>56</v>
      </c>
      <c r="F35" s="1" t="str">
        <f t="shared" ref="F35:F38" si="4">CONCATENATE(E35,"OVR")</f>
        <v>DY9JK6OVR</v>
      </c>
      <c r="G35" s="1" t="s">
        <v>58</v>
      </c>
      <c r="H35" s="1" t="s">
        <v>59</v>
      </c>
      <c r="I35" t="str">
        <f t="shared" si="1"/>
        <v>JANICE LENZ</v>
      </c>
      <c r="J35" s="1" t="s">
        <v>46</v>
      </c>
      <c r="K35" s="1" t="s">
        <v>60</v>
      </c>
      <c r="L35" s="1" t="s">
        <v>61</v>
      </c>
      <c r="M35" s="9">
        <v>46204</v>
      </c>
      <c r="N35" s="1" t="s">
        <v>63</v>
      </c>
      <c r="O35" s="1" t="s">
        <v>64</v>
      </c>
      <c r="P35" s="1">
        <v>-462.67</v>
      </c>
      <c r="Q35" s="1">
        <v>-133.34</v>
      </c>
      <c r="R35" s="1">
        <v>-596.01</v>
      </c>
      <c r="S35" s="1">
        <v>-133.34</v>
      </c>
      <c r="T35" s="1" t="s">
        <v>195</v>
      </c>
    </row>
    <row r="36" spans="1:25" s="1" customFormat="1" x14ac:dyDescent="0.25">
      <c r="A36" s="1" t="s">
        <v>8</v>
      </c>
      <c r="B36" s="3">
        <v>9213293</v>
      </c>
      <c r="C36" s="3" t="str">
        <f t="shared" si="3"/>
        <v>9213293OVR</v>
      </c>
      <c r="D36" s="1" t="s">
        <v>152</v>
      </c>
      <c r="E36" s="1" t="s">
        <v>165</v>
      </c>
      <c r="F36" s="1" t="str">
        <f t="shared" si="4"/>
        <v>D9HJ9KOVR</v>
      </c>
      <c r="G36" s="1" t="s">
        <v>167</v>
      </c>
      <c r="H36" s="1" t="s">
        <v>168</v>
      </c>
      <c r="I36" t="str">
        <f t="shared" si="1"/>
        <v>TWILA FRENCH</v>
      </c>
      <c r="J36" s="1" t="s">
        <v>169</v>
      </c>
      <c r="K36" s="1" t="s">
        <v>170</v>
      </c>
      <c r="L36" s="1" t="s">
        <v>73</v>
      </c>
      <c r="M36" s="9">
        <v>46387</v>
      </c>
      <c r="N36" s="1" t="s">
        <v>63</v>
      </c>
      <c r="O36" s="1" t="s">
        <v>150</v>
      </c>
      <c r="P36" s="1">
        <v>347</v>
      </c>
      <c r="Q36" s="1">
        <v>200</v>
      </c>
      <c r="R36" s="1">
        <v>547</v>
      </c>
      <c r="S36" s="1">
        <v>200</v>
      </c>
      <c r="T36" s="1" t="s">
        <v>195</v>
      </c>
    </row>
    <row r="37" spans="1:25" s="1" customFormat="1" x14ac:dyDescent="0.25">
      <c r="A37" s="1" t="s">
        <v>8</v>
      </c>
      <c r="B37" s="3">
        <v>19396223</v>
      </c>
      <c r="C37" s="3" t="str">
        <f t="shared" si="3"/>
        <v>19396223OVR</v>
      </c>
      <c r="D37" s="1" t="s">
        <v>86</v>
      </c>
      <c r="E37" s="1" t="s">
        <v>172</v>
      </c>
      <c r="F37" s="1" t="str">
        <f t="shared" si="4"/>
        <v>D4JAW9OVR</v>
      </c>
      <c r="G37" s="1" t="s">
        <v>174</v>
      </c>
      <c r="H37" s="1" t="s">
        <v>175</v>
      </c>
      <c r="I37" t="str">
        <f t="shared" si="1"/>
        <v>SYED HUSSAINI</v>
      </c>
      <c r="J37" s="1" t="s">
        <v>71</v>
      </c>
      <c r="K37" s="1" t="s">
        <v>176</v>
      </c>
      <c r="L37" s="1" t="s">
        <v>73</v>
      </c>
      <c r="M37" s="9">
        <v>46387</v>
      </c>
      <c r="N37" s="1" t="s">
        <v>63</v>
      </c>
      <c r="O37" s="1" t="s">
        <v>150</v>
      </c>
      <c r="P37" s="1">
        <v>694</v>
      </c>
      <c r="Q37" s="1">
        <v>200</v>
      </c>
      <c r="R37" s="1">
        <v>894</v>
      </c>
      <c r="S37" s="1">
        <v>200</v>
      </c>
      <c r="T37" s="1" t="s">
        <v>195</v>
      </c>
    </row>
    <row r="38" spans="1:25" s="1" customFormat="1" x14ac:dyDescent="0.25">
      <c r="A38" s="1" t="s">
        <v>8</v>
      </c>
      <c r="B38" s="3">
        <v>17126004</v>
      </c>
      <c r="C38" s="3" t="str">
        <f t="shared" si="3"/>
        <v>17126004OVR</v>
      </c>
      <c r="D38" s="1" t="s">
        <v>178</v>
      </c>
      <c r="E38" s="1" t="s">
        <v>179</v>
      </c>
      <c r="F38" s="1" t="str">
        <f t="shared" si="4"/>
        <v>D3868EOVR</v>
      </c>
      <c r="G38" s="1" t="s">
        <v>181</v>
      </c>
      <c r="H38" s="1" t="s">
        <v>182</v>
      </c>
      <c r="I38" t="str">
        <f t="shared" si="1"/>
        <v>GEORGE MULVANEY JR</v>
      </c>
      <c r="J38" s="1" t="s">
        <v>71</v>
      </c>
      <c r="K38" s="1" t="s">
        <v>176</v>
      </c>
      <c r="L38" s="1" t="s">
        <v>73</v>
      </c>
      <c r="M38" s="9">
        <v>46387</v>
      </c>
      <c r="N38" s="1" t="s">
        <v>63</v>
      </c>
      <c r="O38" s="1" t="s">
        <v>150</v>
      </c>
      <c r="P38" s="1">
        <v>694</v>
      </c>
      <c r="Q38" s="1">
        <v>200</v>
      </c>
      <c r="R38" s="1">
        <v>894</v>
      </c>
      <c r="S38" s="1">
        <v>200</v>
      </c>
      <c r="T38" s="1" t="s">
        <v>195</v>
      </c>
    </row>
  </sheetData>
  <sortState xmlns:xlrd2="http://schemas.microsoft.com/office/spreadsheetml/2017/richdata2" ref="A2:Y38">
    <sortCondition ref="T2:T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2026-07-13T07:02:17Z</dcterms:created>
  <dcterms:modified xsi:type="dcterms:W3CDTF">2026-07-13T19:08:15Z</dcterms:modified>
</cp:coreProperties>
</file>