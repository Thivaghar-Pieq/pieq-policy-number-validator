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Shared drives\Main Line Benefits Office\Commissions\Commission_Processing\Carrier_Statements\Devoted health\2026\2026-07-17\"/>
    </mc:Choice>
  </mc:AlternateContent>
  <xr:revisionPtr revIDLastSave="0" documentId="13_ncr:1_{22D05E17-AC2A-494B-A207-AF333E898975}" xr6:coauthVersionLast="47" xr6:coauthVersionMax="47" xr10:uidLastSave="{00000000-0000-0000-0000-000000000000}"/>
  <bookViews>
    <workbookView xWindow="-120" yWindow="-120" windowWidth="29040" windowHeight="15720" tabRatio="204" activeTab="2" xr2:uid="{00000000-000D-0000-FFFF-FFFF00000000}"/>
  </bookViews>
  <sheets>
    <sheet name="Summary" sheetId="1" r:id="rId1"/>
    <sheet name="Detail" sheetId="2" r:id="rId2"/>
    <sheet name="Sheet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3" l="1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2" i="3"/>
  <c r="F9" i="3"/>
  <c r="F6" i="3"/>
  <c r="V3" i="3"/>
  <c r="V4" i="3"/>
  <c r="V2" i="3"/>
  <c r="C11" i="3"/>
  <c r="C12" i="3"/>
  <c r="C13" i="3"/>
  <c r="C14" i="3"/>
  <c r="C15" i="3"/>
  <c r="C16" i="3"/>
  <c r="C17" i="3"/>
  <c r="C18" i="3"/>
  <c r="C10" i="3"/>
  <c r="F11" i="3"/>
  <c r="F12" i="3"/>
  <c r="F13" i="3"/>
  <c r="F14" i="3"/>
  <c r="F15" i="3"/>
  <c r="F16" i="3"/>
  <c r="F17" i="3"/>
  <c r="F18" i="3"/>
  <c r="F10" i="3"/>
  <c r="F8" i="3"/>
  <c r="F7" i="3"/>
  <c r="F5" i="3"/>
  <c r="F4" i="3"/>
  <c r="F3" i="3"/>
  <c r="F2" i="3"/>
</calcChain>
</file>

<file path=xl/sharedStrings.xml><?xml version="1.0" encoding="utf-8"?>
<sst xmlns="http://schemas.openxmlformats.org/spreadsheetml/2006/main" count="365" uniqueCount="126">
  <si>
    <t>Description</t>
  </si>
  <si>
    <t>Member Count</t>
  </si>
  <si>
    <t>Total</t>
  </si>
  <si>
    <t>Payee</t>
  </si>
  <si>
    <t>Payment Date</t>
  </si>
  <si>
    <t>Credits</t>
  </si>
  <si>
    <t>$3,624.16</t>
  </si>
  <si>
    <t>Main Line Benefits LLC</t>
  </si>
  <si>
    <t>07/17/2026</t>
  </si>
  <si>
    <t>Debits</t>
  </si>
  <si>
    <t>($227.93)</t>
  </si>
  <si>
    <t>Miscellaneous</t>
  </si>
  <si>
    <t>$0.00</t>
  </si>
  <si>
    <t>Bonus</t>
  </si>
  <si>
    <t>Sub Total</t>
  </si>
  <si>
    <t>$3,396.23</t>
  </si>
  <si>
    <t>Balance</t>
  </si>
  <si>
    <t>TOTAL</t>
  </si>
  <si>
    <t>Statement Date</t>
  </si>
  <si>
    <t>Agent NPN</t>
  </si>
  <si>
    <t>Agent Name</t>
  </si>
  <si>
    <t>Member ID</t>
  </si>
  <si>
    <t>Member HICN</t>
  </si>
  <si>
    <t>Member First</t>
  </si>
  <si>
    <t>Member Last</t>
  </si>
  <si>
    <t>Member State</t>
  </si>
  <si>
    <t>Signature Date</t>
  </si>
  <si>
    <t>Effective Date</t>
  </si>
  <si>
    <t>Disenroll Date</t>
  </si>
  <si>
    <t>Contract</t>
  </si>
  <si>
    <t>PBP</t>
  </si>
  <si>
    <t>Prior Plan Type</t>
  </si>
  <si>
    <t>CMS Cycle Year</t>
  </si>
  <si>
    <t>Commission Type</t>
  </si>
  <si>
    <t>Period</t>
  </si>
  <si>
    <t>Base Amount</t>
  </si>
  <si>
    <t>Admin Amount</t>
  </si>
  <si>
    <t>Total Payment</t>
  </si>
  <si>
    <t>FMO</t>
  </si>
  <si>
    <t>Payment Notations</t>
  </si>
  <si>
    <t>17516272</t>
  </si>
  <si>
    <t>Kenneth Weitzman</t>
  </si>
  <si>
    <t>DSY9R7</t>
  </si>
  <si>
    <t>6K04QC7KG03</t>
  </si>
  <si>
    <t>SHIRLEY</t>
  </si>
  <si>
    <t>COOMER</t>
  </si>
  <si>
    <t>AZ</t>
  </si>
  <si>
    <t>12/07/2025</t>
  </si>
  <si>
    <t>01/01/2026</t>
  </si>
  <si>
    <t>07/31/2026</t>
  </si>
  <si>
    <t>H6586</t>
  </si>
  <si>
    <t>MAPD</t>
  </si>
  <si>
    <t>Initial - Not New</t>
  </si>
  <si>
    <t>Jan</t>
  </si>
  <si>
    <t>14903711</t>
  </si>
  <si>
    <t>William Peppler</t>
  </si>
  <si>
    <t>D3KFSS</t>
  </si>
  <si>
    <t>4FV3F18HC16</t>
  </si>
  <si>
    <t>PEGGY</t>
  </si>
  <si>
    <t>ADAMS</t>
  </si>
  <si>
    <t>IL</t>
  </si>
  <si>
    <t>06/25/2026</t>
  </si>
  <si>
    <t>07/01/2026</t>
  </si>
  <si>
    <t>H7151</t>
  </si>
  <si>
    <t>Jul</t>
  </si>
  <si>
    <t>19681796</t>
  </si>
  <si>
    <t>christian taugner</t>
  </si>
  <si>
    <t>DWAGKY</t>
  </si>
  <si>
    <t>6R10FT4DT34</t>
  </si>
  <si>
    <t>CLARK</t>
  </si>
  <si>
    <t>GIVENS</t>
  </si>
  <si>
    <t>07/02/2026</t>
  </si>
  <si>
    <t>10/01/2026</t>
  </si>
  <si>
    <t>8814784</t>
  </si>
  <si>
    <t>Frank Liskovec</t>
  </si>
  <si>
    <t>DKGY5U</t>
  </si>
  <si>
    <t>6JG1PP6CC05</t>
  </si>
  <si>
    <t>FRANK</t>
  </si>
  <si>
    <t>LISKOVEC</t>
  </si>
  <si>
    <t>08/01/2026</t>
  </si>
  <si>
    <t>H6545</t>
  </si>
  <si>
    <t>20212926</t>
  </si>
  <si>
    <t>Jose Torres</t>
  </si>
  <si>
    <t>D92U9R</t>
  </si>
  <si>
    <t>9HC1WH7VX08</t>
  </si>
  <si>
    <t>ROBERTO</t>
  </si>
  <si>
    <t>MAZARIEGOS</t>
  </si>
  <si>
    <t>19396223</t>
  </si>
  <si>
    <t>Saadia Abdul</t>
  </si>
  <si>
    <t>DJS33W</t>
  </si>
  <si>
    <t>2XD1TQ9UT95</t>
  </si>
  <si>
    <t>SYED</t>
  </si>
  <si>
    <t>NIAMATHULLAH</t>
  </si>
  <si>
    <t>06/30/2026</t>
  </si>
  <si>
    <t>NONE</t>
  </si>
  <si>
    <t>Initial - New</t>
  </si>
  <si>
    <t>16633294</t>
  </si>
  <si>
    <t>Richard Yale</t>
  </si>
  <si>
    <t>D2CY93</t>
  </si>
  <si>
    <t>3QD1X79PW90</t>
  </si>
  <si>
    <t>DEBRA</t>
  </si>
  <si>
    <t>RUEPING-VINCENT</t>
  </si>
  <si>
    <t>IN</t>
  </si>
  <si>
    <t>H7471</t>
  </si>
  <si>
    <t>9213293</t>
  </si>
  <si>
    <t>Gary Portugal</t>
  </si>
  <si>
    <t>DUFSZ3</t>
  </si>
  <si>
    <t>4JQ1YC7PE34</t>
  </si>
  <si>
    <t>FRANCES</t>
  </si>
  <si>
    <t>STEFANIK</t>
  </si>
  <si>
    <t>16865615</t>
  </si>
  <si>
    <t>Heather Geske</t>
  </si>
  <si>
    <t>D8JK2G</t>
  </si>
  <si>
    <t>8FF8AG0FP64</t>
  </si>
  <si>
    <t>RUBEN</t>
  </si>
  <si>
    <t>VALDEZ</t>
  </si>
  <si>
    <t>CO</t>
  </si>
  <si>
    <t>06/29/2026</t>
  </si>
  <si>
    <t>H4808</t>
  </si>
  <si>
    <t>Devoted Health MAPD 2026*</t>
  </si>
  <si>
    <t>Devoted MAPD Ovr</t>
  </si>
  <si>
    <t>[%/$=347][prorate=6/12]</t>
  </si>
  <si>
    <t>[%/$=347][prorate=5/12]</t>
  </si>
  <si>
    <t>[%/$=347][prorate=3/12]</t>
  </si>
  <si>
    <t>Devoted Health 2026</t>
  </si>
  <si>
    <t>[%/$=694]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</si>
</sst>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  <family val="2"/>
    </font>
    <font>
      <sz val="11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0" borderId="0" xfId="0" applyNumberFormat="1"/>
    <xf numFmtId="0" fontId="0" fillId="2" borderId="0" xfId="0" applyNumberFormat="1" applyFill="1"/>
    <xf numFmtId="14" fontId="0" fillId="0" borderId="0" xfId="0" applyNumberFormat="1"/>
    <xf numFmtId="14" fontId="0" fillId="2" borderId="0" xfId="0" applyNumberFormat="1" applyFill="1"/>
    <xf numFmtId="0" fontId="1" fillId="0" borderId="0" xfId="0" applyFont="1"/>
    <xf numFmtId="0" fontId="1" fillId="0" borderId="0" xfId="0" applyNumberFormat="1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zoomScaleNormal="100" workbookViewId="0"/>
  </sheetViews>
  <sheetFormatPr defaultRowHeight="15" x14ac:dyDescent="0.25"/>
  <cols>
    <col min="1" max="1" width="25" customWidth="1"/>
    <col min="2" max="2" width="20" customWidth="1"/>
    <col min="3" max="3" width="15" customWidth="1"/>
    <col min="4" max="4" width="9.42578125"/>
    <col min="5" max="5" width="25" customWidth="1"/>
    <col min="6" max="6" width="20" customWidth="1"/>
  </cols>
  <sheetData>
    <row r="1" spans="1:6" x14ac:dyDescent="0.25">
      <c r="A1" t="s">
        <v>0</v>
      </c>
      <c r="B1" t="s">
        <v>1</v>
      </c>
      <c r="C1" t="s">
        <v>2</v>
      </c>
      <c r="E1" t="s">
        <v>3</v>
      </c>
      <c r="F1" t="s">
        <v>4</v>
      </c>
    </row>
    <row r="2" spans="1:6" x14ac:dyDescent="0.25">
      <c r="A2" t="s">
        <v>5</v>
      </c>
      <c r="B2">
        <v>8</v>
      </c>
      <c r="C2" t="s">
        <v>6</v>
      </c>
      <c r="E2" t="s">
        <v>7</v>
      </c>
      <c r="F2" t="s">
        <v>8</v>
      </c>
    </row>
    <row r="3" spans="1:6" x14ac:dyDescent="0.25">
      <c r="A3" t="s">
        <v>9</v>
      </c>
      <c r="B3">
        <v>1</v>
      </c>
      <c r="C3" t="s">
        <v>10</v>
      </c>
    </row>
    <row r="4" spans="1:6" x14ac:dyDescent="0.25">
      <c r="A4" t="s">
        <v>11</v>
      </c>
      <c r="B4">
        <v>0</v>
      </c>
      <c r="C4" t="s">
        <v>12</v>
      </c>
    </row>
    <row r="5" spans="1:6" x14ac:dyDescent="0.25">
      <c r="A5" t="s">
        <v>13</v>
      </c>
      <c r="C5" t="s">
        <v>12</v>
      </c>
    </row>
    <row r="6" spans="1:6" x14ac:dyDescent="0.25">
      <c r="A6" t="s">
        <v>14</v>
      </c>
      <c r="B6">
        <v>9</v>
      </c>
      <c r="C6" t="s">
        <v>15</v>
      </c>
    </row>
    <row r="7" spans="1:6" x14ac:dyDescent="0.25">
      <c r="A7" t="s">
        <v>16</v>
      </c>
      <c r="C7" t="s">
        <v>12</v>
      </c>
    </row>
    <row r="8" spans="1:6" x14ac:dyDescent="0.25">
      <c r="A8" t="s">
        <v>17</v>
      </c>
      <c r="C8" t="s">
        <v>15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0"/>
  <sheetViews>
    <sheetView topLeftCell="C1" zoomScaleNormal="100" workbookViewId="0">
      <selection activeCell="C1" sqref="A1:XFD1048576"/>
    </sheetView>
  </sheetViews>
  <sheetFormatPr defaultRowHeight="15" x14ac:dyDescent="0.25"/>
  <cols>
    <col min="1" max="1" width="15" customWidth="1"/>
    <col min="2" max="2" width="10" customWidth="1"/>
    <col min="3" max="3" width="25" customWidth="1"/>
    <col min="4" max="4" width="15" customWidth="1"/>
    <col min="5" max="6" width="9.42578125"/>
    <col min="7" max="7" width="12.7109375" customWidth="1"/>
    <col min="8" max="8" width="13.7109375" customWidth="1"/>
    <col min="9" max="9" width="14.140625" customWidth="1"/>
    <col min="10" max="11" width="13.42578125" customWidth="1"/>
    <col min="12" max="12" width="8.7109375" customWidth="1"/>
    <col min="13" max="13" width="4.28515625" customWidth="1"/>
    <col min="14" max="14" width="14.28515625" customWidth="1"/>
    <col min="15" max="15" width="14.7109375" customWidth="1"/>
    <col min="16" max="16" width="16.7109375" customWidth="1"/>
    <col min="17" max="17" width="6.7109375" customWidth="1"/>
    <col min="18" max="18" width="12.85546875" customWidth="1"/>
    <col min="19" max="19" width="14.5703125" customWidth="1"/>
    <col min="20" max="20" width="14" customWidth="1"/>
    <col min="21" max="21" width="25.7109375" customWidth="1"/>
    <col min="22" max="22" width="18" customWidth="1"/>
  </cols>
  <sheetData>
    <row r="1" spans="1:22" x14ac:dyDescent="0.2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  <c r="Q1" t="s">
        <v>34</v>
      </c>
      <c r="R1" t="s">
        <v>35</v>
      </c>
      <c r="S1" t="s">
        <v>36</v>
      </c>
      <c r="T1" t="s">
        <v>37</v>
      </c>
      <c r="U1" t="s">
        <v>38</v>
      </c>
      <c r="V1" t="s">
        <v>39</v>
      </c>
    </row>
    <row r="2" spans="1:22" x14ac:dyDescent="0.25">
      <c r="A2" t="s">
        <v>8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48</v>
      </c>
      <c r="K2" t="s">
        <v>49</v>
      </c>
      <c r="L2" t="s">
        <v>50</v>
      </c>
      <c r="M2">
        <v>5</v>
      </c>
      <c r="N2" t="s">
        <v>51</v>
      </c>
      <c r="O2">
        <v>3</v>
      </c>
      <c r="P2" t="s">
        <v>52</v>
      </c>
      <c r="Q2" t="s">
        <v>53</v>
      </c>
      <c r="R2">
        <v>-144.59</v>
      </c>
      <c r="S2">
        <v>-83.34</v>
      </c>
      <c r="T2">
        <v>-227.93</v>
      </c>
      <c r="U2" t="s">
        <v>7</v>
      </c>
    </row>
    <row r="3" spans="1:22" x14ac:dyDescent="0.25">
      <c r="A3" t="s">
        <v>8</v>
      </c>
      <c r="B3" t="s">
        <v>54</v>
      </c>
      <c r="C3" t="s">
        <v>55</v>
      </c>
      <c r="D3" t="s">
        <v>56</v>
      </c>
      <c r="E3" t="s">
        <v>57</v>
      </c>
      <c r="F3" t="s">
        <v>58</v>
      </c>
      <c r="G3" t="s">
        <v>59</v>
      </c>
      <c r="H3" t="s">
        <v>60</v>
      </c>
      <c r="I3" t="s">
        <v>61</v>
      </c>
      <c r="J3" t="s">
        <v>62</v>
      </c>
      <c r="L3" t="s">
        <v>63</v>
      </c>
      <c r="M3">
        <v>1</v>
      </c>
      <c r="O3">
        <v>0</v>
      </c>
      <c r="P3" t="s">
        <v>52</v>
      </c>
      <c r="Q3" t="s">
        <v>64</v>
      </c>
      <c r="R3">
        <v>173.5</v>
      </c>
      <c r="S3">
        <v>200</v>
      </c>
      <c r="T3">
        <v>373.5</v>
      </c>
      <c r="U3" t="s">
        <v>7</v>
      </c>
    </row>
    <row r="4" spans="1:22" x14ac:dyDescent="0.25">
      <c r="A4" t="s">
        <v>8</v>
      </c>
      <c r="B4" t="s">
        <v>65</v>
      </c>
      <c r="C4" t="s">
        <v>66</v>
      </c>
      <c r="D4" t="s">
        <v>67</v>
      </c>
      <c r="E4" t="s">
        <v>68</v>
      </c>
      <c r="F4" t="s">
        <v>69</v>
      </c>
      <c r="G4" t="s">
        <v>70</v>
      </c>
      <c r="H4" t="s">
        <v>60</v>
      </c>
      <c r="I4" t="s">
        <v>71</v>
      </c>
      <c r="J4" t="s">
        <v>72</v>
      </c>
      <c r="L4" t="s">
        <v>63</v>
      </c>
      <c r="M4">
        <v>1</v>
      </c>
      <c r="O4">
        <v>0</v>
      </c>
      <c r="P4" t="s">
        <v>52</v>
      </c>
      <c r="Q4" t="s">
        <v>64</v>
      </c>
      <c r="R4">
        <v>86.75</v>
      </c>
      <c r="S4">
        <v>200</v>
      </c>
      <c r="T4">
        <v>286.75</v>
      </c>
      <c r="U4" t="s">
        <v>7</v>
      </c>
    </row>
    <row r="5" spans="1:22" x14ac:dyDescent="0.25">
      <c r="A5" t="s">
        <v>8</v>
      </c>
      <c r="B5" t="s">
        <v>73</v>
      </c>
      <c r="C5" t="s">
        <v>74</v>
      </c>
      <c r="D5" t="s">
        <v>75</v>
      </c>
      <c r="E5" t="s">
        <v>76</v>
      </c>
      <c r="F5" t="s">
        <v>77</v>
      </c>
      <c r="G5" t="s">
        <v>78</v>
      </c>
      <c r="H5" t="s">
        <v>60</v>
      </c>
      <c r="I5" t="s">
        <v>62</v>
      </c>
      <c r="J5" t="s">
        <v>79</v>
      </c>
      <c r="L5" t="s">
        <v>80</v>
      </c>
      <c r="M5">
        <v>1</v>
      </c>
      <c r="O5">
        <v>0</v>
      </c>
      <c r="P5" t="s">
        <v>52</v>
      </c>
      <c r="Q5" t="s">
        <v>64</v>
      </c>
      <c r="R5">
        <v>144.58000000000001</v>
      </c>
      <c r="S5">
        <v>200</v>
      </c>
      <c r="T5">
        <v>344.58</v>
      </c>
      <c r="U5" t="s">
        <v>7</v>
      </c>
    </row>
    <row r="6" spans="1:22" x14ac:dyDescent="0.25">
      <c r="A6" t="s">
        <v>8</v>
      </c>
      <c r="B6" t="s">
        <v>81</v>
      </c>
      <c r="C6" t="s">
        <v>82</v>
      </c>
      <c r="D6" t="s">
        <v>83</v>
      </c>
      <c r="E6" t="s">
        <v>84</v>
      </c>
      <c r="F6" t="s">
        <v>85</v>
      </c>
      <c r="G6" t="s">
        <v>86</v>
      </c>
      <c r="H6" t="s">
        <v>60</v>
      </c>
      <c r="I6" t="s">
        <v>62</v>
      </c>
      <c r="J6" t="s">
        <v>79</v>
      </c>
      <c r="L6" t="s">
        <v>63</v>
      </c>
      <c r="M6">
        <v>3</v>
      </c>
      <c r="O6">
        <v>0</v>
      </c>
      <c r="P6" t="s">
        <v>52</v>
      </c>
      <c r="Q6" t="s">
        <v>64</v>
      </c>
      <c r="R6">
        <v>0</v>
      </c>
      <c r="S6">
        <v>200</v>
      </c>
      <c r="T6">
        <v>200</v>
      </c>
      <c r="U6" t="s">
        <v>7</v>
      </c>
    </row>
    <row r="7" spans="1:22" x14ac:dyDescent="0.25">
      <c r="A7" t="s">
        <v>8</v>
      </c>
      <c r="B7" t="s">
        <v>87</v>
      </c>
      <c r="C7" t="s">
        <v>88</v>
      </c>
      <c r="D7" t="s">
        <v>89</v>
      </c>
      <c r="E7" t="s">
        <v>90</v>
      </c>
      <c r="F7" t="s">
        <v>91</v>
      </c>
      <c r="G7" t="s">
        <v>92</v>
      </c>
      <c r="H7" t="s">
        <v>60</v>
      </c>
      <c r="I7" t="s">
        <v>93</v>
      </c>
      <c r="J7" t="s">
        <v>62</v>
      </c>
      <c r="L7" t="s">
        <v>80</v>
      </c>
      <c r="M7">
        <v>10</v>
      </c>
      <c r="N7" t="s">
        <v>94</v>
      </c>
      <c r="O7">
        <v>1</v>
      </c>
      <c r="P7" t="s">
        <v>95</v>
      </c>
      <c r="Q7" t="s">
        <v>64</v>
      </c>
      <c r="R7">
        <v>694</v>
      </c>
      <c r="S7">
        <v>200</v>
      </c>
      <c r="T7">
        <v>894</v>
      </c>
      <c r="U7" t="s">
        <v>7</v>
      </c>
    </row>
    <row r="8" spans="1:22" x14ac:dyDescent="0.25">
      <c r="A8" t="s">
        <v>8</v>
      </c>
      <c r="B8" t="s">
        <v>96</v>
      </c>
      <c r="C8" t="s">
        <v>97</v>
      </c>
      <c r="D8" t="s">
        <v>98</v>
      </c>
      <c r="E8" t="s">
        <v>99</v>
      </c>
      <c r="F8" t="s">
        <v>100</v>
      </c>
      <c r="G8" t="s">
        <v>101</v>
      </c>
      <c r="H8" t="s">
        <v>102</v>
      </c>
      <c r="I8" t="s">
        <v>93</v>
      </c>
      <c r="J8" t="s">
        <v>79</v>
      </c>
      <c r="L8" t="s">
        <v>103</v>
      </c>
      <c r="M8">
        <v>5</v>
      </c>
      <c r="O8">
        <v>0</v>
      </c>
      <c r="P8" t="s">
        <v>52</v>
      </c>
      <c r="Q8" t="s">
        <v>64</v>
      </c>
      <c r="R8">
        <v>144.58000000000001</v>
      </c>
      <c r="S8">
        <v>200</v>
      </c>
      <c r="T8">
        <v>344.58</v>
      </c>
      <c r="U8" t="s">
        <v>7</v>
      </c>
    </row>
    <row r="9" spans="1:22" x14ac:dyDescent="0.25">
      <c r="A9" t="s">
        <v>8</v>
      </c>
      <c r="B9" t="s">
        <v>104</v>
      </c>
      <c r="C9" t="s">
        <v>105</v>
      </c>
      <c r="D9" t="s">
        <v>106</v>
      </c>
      <c r="E9" t="s">
        <v>107</v>
      </c>
      <c r="F9" t="s">
        <v>108</v>
      </c>
      <c r="G9" t="s">
        <v>109</v>
      </c>
      <c r="H9" t="s">
        <v>60</v>
      </c>
      <c r="I9" t="s">
        <v>62</v>
      </c>
      <c r="J9" t="s">
        <v>72</v>
      </c>
      <c r="L9" t="s">
        <v>63</v>
      </c>
      <c r="M9">
        <v>3</v>
      </c>
      <c r="O9">
        <v>0</v>
      </c>
      <c r="P9" t="s">
        <v>52</v>
      </c>
      <c r="Q9" t="s">
        <v>64</v>
      </c>
      <c r="R9">
        <v>86.75</v>
      </c>
      <c r="S9">
        <v>200</v>
      </c>
      <c r="T9">
        <v>286.75</v>
      </c>
      <c r="U9" t="s">
        <v>7</v>
      </c>
    </row>
    <row r="10" spans="1:22" x14ac:dyDescent="0.25">
      <c r="A10" t="s">
        <v>8</v>
      </c>
      <c r="B10" t="s">
        <v>110</v>
      </c>
      <c r="C10" t="s">
        <v>111</v>
      </c>
      <c r="D10" t="s">
        <v>112</v>
      </c>
      <c r="E10" t="s">
        <v>113</v>
      </c>
      <c r="F10" t="s">
        <v>114</v>
      </c>
      <c r="G10" t="s">
        <v>115</v>
      </c>
      <c r="H10" t="s">
        <v>116</v>
      </c>
      <c r="I10" t="s">
        <v>117</v>
      </c>
      <c r="J10" t="s">
        <v>62</v>
      </c>
      <c r="L10" t="s">
        <v>118</v>
      </c>
      <c r="M10">
        <v>3</v>
      </c>
      <c r="N10" t="s">
        <v>94</v>
      </c>
      <c r="O10">
        <v>1</v>
      </c>
      <c r="P10" t="s">
        <v>95</v>
      </c>
      <c r="Q10" t="s">
        <v>64</v>
      </c>
      <c r="R10">
        <v>694</v>
      </c>
      <c r="S10">
        <v>200</v>
      </c>
      <c r="T10">
        <v>894</v>
      </c>
      <c r="U10" t="s">
        <v>7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6BB64-9CBF-4F19-9028-3B1106640813}">
  <dimension ref="A1:V18"/>
  <sheetViews>
    <sheetView tabSelected="1" topLeftCell="B1" workbookViewId="0">
      <selection activeCell="E14" sqref="E14"/>
    </sheetView>
  </sheetViews>
  <sheetFormatPr defaultRowHeight="15" x14ac:dyDescent="0.25"/>
  <cols>
    <col min="1" max="1" width="15" customWidth="1"/>
    <col min="2" max="3" width="10" customWidth="1"/>
    <col min="4" max="4" width="21.140625" customWidth="1"/>
    <col min="5" max="6" width="15" customWidth="1"/>
    <col min="8" max="9" width="12.7109375" customWidth="1"/>
    <col min="10" max="10" width="9.85546875" customWidth="1"/>
    <col min="11" max="12" width="13.42578125" customWidth="1"/>
    <col min="13" max="13" width="16.7109375" customWidth="1"/>
    <col min="14" max="14" width="6.7109375" customWidth="1"/>
    <col min="15" max="15" width="9.5703125" customWidth="1"/>
    <col min="16" max="16" width="9.85546875" customWidth="1"/>
    <col min="17" max="18" width="10.28515625" customWidth="1"/>
    <col min="20" max="20" width="26.7109375" bestFit="1" customWidth="1"/>
    <col min="21" max="21" width="23.140625" bestFit="1" customWidth="1"/>
  </cols>
  <sheetData>
    <row r="1" spans="1:22" x14ac:dyDescent="0.25">
      <c r="A1" t="s">
        <v>18</v>
      </c>
      <c r="B1" t="s">
        <v>19</v>
      </c>
      <c r="D1" t="s">
        <v>20</v>
      </c>
      <c r="E1" t="s">
        <v>21</v>
      </c>
      <c r="G1" t="s">
        <v>23</v>
      </c>
      <c r="H1" t="s">
        <v>24</v>
      </c>
      <c r="J1" t="s">
        <v>25</v>
      </c>
      <c r="K1" t="s">
        <v>27</v>
      </c>
      <c r="L1" t="s">
        <v>28</v>
      </c>
      <c r="M1" t="s">
        <v>33</v>
      </c>
      <c r="N1" t="s">
        <v>34</v>
      </c>
      <c r="O1" t="s">
        <v>35</v>
      </c>
      <c r="P1" t="s">
        <v>36</v>
      </c>
      <c r="Q1" t="s">
        <v>37</v>
      </c>
    </row>
    <row r="2" spans="1:22" x14ac:dyDescent="0.25">
      <c r="A2" t="s">
        <v>8</v>
      </c>
      <c r="B2" s="2">
        <v>17516272</v>
      </c>
      <c r="C2" s="2">
        <v>17516272</v>
      </c>
      <c r="D2" t="s">
        <v>41</v>
      </c>
      <c r="E2" t="s">
        <v>42</v>
      </c>
      <c r="F2" t="str">
        <f>CONCATENATE(E2,7)</f>
        <v>DSY9R77</v>
      </c>
      <c r="G2" t="s">
        <v>44</v>
      </c>
      <c r="H2" t="s">
        <v>45</v>
      </c>
      <c r="I2" t="str">
        <f>CONCATENATE(G2," ",H2)</f>
        <v>SHIRLEY COOMER</v>
      </c>
      <c r="J2" t="s">
        <v>46</v>
      </c>
      <c r="K2" t="s">
        <v>48</v>
      </c>
      <c r="L2" s="4">
        <v>46204</v>
      </c>
      <c r="M2" t="s">
        <v>52</v>
      </c>
      <c r="N2" t="s">
        <v>53</v>
      </c>
      <c r="O2">
        <v>-144.59</v>
      </c>
      <c r="P2">
        <v>-83.34</v>
      </c>
      <c r="Q2">
        <v>-227.93</v>
      </c>
      <c r="R2">
        <v>-1</v>
      </c>
      <c r="S2">
        <v>-144.59</v>
      </c>
      <c r="T2" t="s">
        <v>119</v>
      </c>
      <c r="U2" t="s">
        <v>122</v>
      </c>
      <c r="V2">
        <f>347/12*5</f>
        <v>144.58333333333334</v>
      </c>
    </row>
    <row r="3" spans="1:22" x14ac:dyDescent="0.25">
      <c r="A3" t="s">
        <v>8</v>
      </c>
      <c r="B3" s="2">
        <v>14903711</v>
      </c>
      <c r="C3" s="2">
        <v>14903711</v>
      </c>
      <c r="D3" t="s">
        <v>55</v>
      </c>
      <c r="E3" t="s">
        <v>56</v>
      </c>
      <c r="F3" t="str">
        <f t="shared" ref="F3:F8" si="0">CONCATENATE(E3,7)</f>
        <v>D3KFSS7</v>
      </c>
      <c r="G3" t="s">
        <v>58</v>
      </c>
      <c r="H3" t="s">
        <v>59</v>
      </c>
      <c r="I3" t="str">
        <f t="shared" ref="I3:I18" si="1">CONCATENATE(G3," ",H3)</f>
        <v>PEGGY ADAMS</v>
      </c>
      <c r="J3" t="s">
        <v>60</v>
      </c>
      <c r="K3" t="s">
        <v>62</v>
      </c>
      <c r="L3" s="4">
        <v>46387</v>
      </c>
      <c r="M3" t="s">
        <v>52</v>
      </c>
      <c r="N3" t="s">
        <v>64</v>
      </c>
      <c r="O3">
        <v>173.5</v>
      </c>
      <c r="P3">
        <v>200</v>
      </c>
      <c r="Q3">
        <v>373.5</v>
      </c>
      <c r="R3">
        <v>1</v>
      </c>
      <c r="S3">
        <v>173.5</v>
      </c>
      <c r="T3" t="s">
        <v>119</v>
      </c>
      <c r="U3" t="s">
        <v>121</v>
      </c>
      <c r="V3">
        <f>347/12*6</f>
        <v>173.5</v>
      </c>
    </row>
    <row r="4" spans="1:22" x14ac:dyDescent="0.25">
      <c r="A4" t="s">
        <v>8</v>
      </c>
      <c r="B4" s="2">
        <v>19681796</v>
      </c>
      <c r="C4" s="2">
        <v>19681796</v>
      </c>
      <c r="D4" t="s">
        <v>66</v>
      </c>
      <c r="E4" t="s">
        <v>67</v>
      </c>
      <c r="F4" t="str">
        <f t="shared" si="0"/>
        <v>DWAGKY7</v>
      </c>
      <c r="G4" t="s">
        <v>69</v>
      </c>
      <c r="H4" t="s">
        <v>70</v>
      </c>
      <c r="I4" t="str">
        <f t="shared" si="1"/>
        <v>CLARK GIVENS</v>
      </c>
      <c r="J4" t="s">
        <v>60</v>
      </c>
      <c r="K4" t="s">
        <v>72</v>
      </c>
      <c r="L4" s="4">
        <v>46387</v>
      </c>
      <c r="M4" t="s">
        <v>52</v>
      </c>
      <c r="N4" t="s">
        <v>64</v>
      </c>
      <c r="O4">
        <v>86.75</v>
      </c>
      <c r="P4">
        <v>200</v>
      </c>
      <c r="Q4">
        <v>286.75</v>
      </c>
      <c r="R4">
        <v>1</v>
      </c>
      <c r="S4">
        <v>86.75</v>
      </c>
      <c r="T4" t="s">
        <v>119</v>
      </c>
      <c r="U4" t="s">
        <v>123</v>
      </c>
      <c r="V4">
        <f>347/12*3</f>
        <v>86.75</v>
      </c>
    </row>
    <row r="5" spans="1:22" x14ac:dyDescent="0.25">
      <c r="A5" t="s">
        <v>8</v>
      </c>
      <c r="B5" s="2">
        <v>8814784</v>
      </c>
      <c r="C5" s="2">
        <v>8814784</v>
      </c>
      <c r="D5" t="s">
        <v>74</v>
      </c>
      <c r="E5" t="s">
        <v>75</v>
      </c>
      <c r="F5" t="str">
        <f t="shared" si="0"/>
        <v>DKGY5U7</v>
      </c>
      <c r="G5" t="s">
        <v>77</v>
      </c>
      <c r="H5" t="s">
        <v>78</v>
      </c>
      <c r="I5" t="str">
        <f t="shared" si="1"/>
        <v>FRANK LISKOVEC</v>
      </c>
      <c r="J5" t="s">
        <v>60</v>
      </c>
      <c r="K5" t="s">
        <v>79</v>
      </c>
      <c r="L5" s="4">
        <v>46387</v>
      </c>
      <c r="M5" t="s">
        <v>52</v>
      </c>
      <c r="N5" t="s">
        <v>64</v>
      </c>
      <c r="O5">
        <v>144.58000000000001</v>
      </c>
      <c r="P5">
        <v>200</v>
      </c>
      <c r="Q5">
        <v>344.58</v>
      </c>
      <c r="R5">
        <v>1</v>
      </c>
      <c r="S5">
        <v>144.58000000000001</v>
      </c>
      <c r="T5" t="s">
        <v>119</v>
      </c>
      <c r="U5" t="s">
        <v>122</v>
      </c>
    </row>
    <row r="6" spans="1:22" s="6" customFormat="1" x14ac:dyDescent="0.25">
      <c r="A6" s="6" t="s">
        <v>8</v>
      </c>
      <c r="B6" s="7">
        <v>19396223</v>
      </c>
      <c r="C6" s="7">
        <v>19396223</v>
      </c>
      <c r="D6" s="6" t="s">
        <v>88</v>
      </c>
      <c r="E6" s="6" t="s">
        <v>89</v>
      </c>
      <c r="F6" s="6" t="str">
        <f>CONCATENATE(E6,9)</f>
        <v>DJS33W9</v>
      </c>
      <c r="G6" s="6" t="s">
        <v>91</v>
      </c>
      <c r="H6" s="6" t="s">
        <v>92</v>
      </c>
      <c r="I6" t="str">
        <f t="shared" si="1"/>
        <v>SYED NIAMATHULLAH</v>
      </c>
      <c r="J6" s="6" t="s">
        <v>60</v>
      </c>
      <c r="K6" s="6" t="s">
        <v>62</v>
      </c>
      <c r="L6" s="8">
        <v>46387</v>
      </c>
      <c r="M6" s="6" t="s">
        <v>95</v>
      </c>
      <c r="N6" s="6" t="s">
        <v>64</v>
      </c>
      <c r="O6" s="6">
        <v>694</v>
      </c>
      <c r="P6" s="6">
        <v>200</v>
      </c>
      <c r="Q6" s="6">
        <v>894</v>
      </c>
      <c r="R6">
        <v>1</v>
      </c>
      <c r="S6" s="6">
        <v>694</v>
      </c>
      <c r="T6" s="6" t="s">
        <v>124</v>
      </c>
      <c r="U6" s="6" t="s">
        <v>125</v>
      </c>
    </row>
    <row r="7" spans="1:22" x14ac:dyDescent="0.25">
      <c r="A7" t="s">
        <v>8</v>
      </c>
      <c r="B7" s="2">
        <v>16633294</v>
      </c>
      <c r="C7" s="2">
        <v>16633294</v>
      </c>
      <c r="D7" t="s">
        <v>97</v>
      </c>
      <c r="E7" t="s">
        <v>98</v>
      </c>
      <c r="F7" t="str">
        <f t="shared" si="0"/>
        <v>D2CY937</v>
      </c>
      <c r="G7" t="s">
        <v>100</v>
      </c>
      <c r="H7" t="s">
        <v>101</v>
      </c>
      <c r="I7" t="str">
        <f t="shared" si="1"/>
        <v>DEBRA RUEPING-VINCENT</v>
      </c>
      <c r="J7" t="s">
        <v>102</v>
      </c>
      <c r="K7" t="s">
        <v>79</v>
      </c>
      <c r="L7" s="4">
        <v>46387</v>
      </c>
      <c r="M7" t="s">
        <v>52</v>
      </c>
      <c r="N7" t="s">
        <v>64</v>
      </c>
      <c r="O7">
        <v>144.58000000000001</v>
      </c>
      <c r="P7">
        <v>200</v>
      </c>
      <c r="Q7">
        <v>344.58</v>
      </c>
      <c r="R7">
        <v>1</v>
      </c>
      <c r="S7">
        <v>144.58000000000001</v>
      </c>
      <c r="T7" t="s">
        <v>119</v>
      </c>
      <c r="U7" t="s">
        <v>122</v>
      </c>
    </row>
    <row r="8" spans="1:22" x14ac:dyDescent="0.25">
      <c r="A8" t="s">
        <v>8</v>
      </c>
      <c r="B8" s="2">
        <v>9213293</v>
      </c>
      <c r="C8" s="2">
        <v>9213293</v>
      </c>
      <c r="D8" t="s">
        <v>105</v>
      </c>
      <c r="E8" t="s">
        <v>106</v>
      </c>
      <c r="F8" t="str">
        <f t="shared" si="0"/>
        <v>DUFSZ37</v>
      </c>
      <c r="G8" t="s">
        <v>108</v>
      </c>
      <c r="H8" t="s">
        <v>109</v>
      </c>
      <c r="I8" t="str">
        <f t="shared" si="1"/>
        <v>FRANCES STEFANIK</v>
      </c>
      <c r="J8" t="s">
        <v>60</v>
      </c>
      <c r="K8" t="s">
        <v>72</v>
      </c>
      <c r="L8" s="4">
        <v>46387</v>
      </c>
      <c r="M8" t="s">
        <v>52</v>
      </c>
      <c r="N8" t="s">
        <v>64</v>
      </c>
      <c r="O8">
        <v>86.75</v>
      </c>
      <c r="P8">
        <v>200</v>
      </c>
      <c r="Q8">
        <v>286.75</v>
      </c>
      <c r="R8">
        <v>1</v>
      </c>
      <c r="S8">
        <v>86.75</v>
      </c>
      <c r="T8" t="s">
        <v>119</v>
      </c>
      <c r="U8" t="s">
        <v>123</v>
      </c>
    </row>
    <row r="9" spans="1:22" s="6" customFormat="1" x14ac:dyDescent="0.25">
      <c r="A9" s="6" t="s">
        <v>8</v>
      </c>
      <c r="B9" s="7">
        <v>16865615</v>
      </c>
      <c r="C9" s="7">
        <v>16865615</v>
      </c>
      <c r="D9" s="6" t="s">
        <v>111</v>
      </c>
      <c r="E9" s="6" t="s">
        <v>112</v>
      </c>
      <c r="F9" s="6" t="str">
        <f>CONCATENATE(E9,9)</f>
        <v>D8JK2G9</v>
      </c>
      <c r="G9" s="6" t="s">
        <v>114</v>
      </c>
      <c r="H9" s="6" t="s">
        <v>115</v>
      </c>
      <c r="I9" t="str">
        <f t="shared" si="1"/>
        <v>RUBEN VALDEZ</v>
      </c>
      <c r="J9" s="6" t="s">
        <v>116</v>
      </c>
      <c r="K9" s="6" t="s">
        <v>62</v>
      </c>
      <c r="L9" s="8">
        <v>46387</v>
      </c>
      <c r="M9" s="6" t="s">
        <v>95</v>
      </c>
      <c r="N9" s="6" t="s">
        <v>64</v>
      </c>
      <c r="O9" s="6">
        <v>694</v>
      </c>
      <c r="P9" s="6">
        <v>200</v>
      </c>
      <c r="Q9" s="6">
        <v>894</v>
      </c>
      <c r="R9">
        <v>1</v>
      </c>
      <c r="S9" s="6">
        <v>694</v>
      </c>
      <c r="T9" s="6" t="s">
        <v>124</v>
      </c>
      <c r="U9" s="6" t="s">
        <v>125</v>
      </c>
    </row>
    <row r="10" spans="1:22" s="1" customFormat="1" x14ac:dyDescent="0.25">
      <c r="A10" s="1" t="s">
        <v>8</v>
      </c>
      <c r="B10" s="3">
        <v>17516272</v>
      </c>
      <c r="C10" s="3" t="str">
        <f>CONCATENATE(B10,"OVR")</f>
        <v>17516272OVR</v>
      </c>
      <c r="D10" s="1" t="s">
        <v>41</v>
      </c>
      <c r="E10" s="1" t="s">
        <v>42</v>
      </c>
      <c r="F10" s="1" t="str">
        <f>CONCATENATE(E10,"OVR")</f>
        <v>DSY9R7OVR</v>
      </c>
      <c r="G10" s="1" t="s">
        <v>44</v>
      </c>
      <c r="H10" s="1" t="s">
        <v>45</v>
      </c>
      <c r="I10" t="str">
        <f t="shared" si="1"/>
        <v>SHIRLEY COOMER</v>
      </c>
      <c r="J10" s="1" t="s">
        <v>46</v>
      </c>
      <c r="K10" s="1" t="s">
        <v>48</v>
      </c>
      <c r="L10" s="5">
        <v>46204</v>
      </c>
      <c r="M10" s="1" t="s">
        <v>52</v>
      </c>
      <c r="N10" s="1" t="s">
        <v>53</v>
      </c>
      <c r="O10" s="1">
        <v>-144.59</v>
      </c>
      <c r="P10" s="1">
        <v>-83.34</v>
      </c>
      <c r="Q10" s="1">
        <v>-227.93</v>
      </c>
      <c r="R10" s="1">
        <v>-83.34</v>
      </c>
      <c r="S10" s="1">
        <v>-83.34</v>
      </c>
      <c r="T10" s="1" t="s">
        <v>120</v>
      </c>
    </row>
    <row r="11" spans="1:22" s="1" customFormat="1" x14ac:dyDescent="0.25">
      <c r="A11" s="1" t="s">
        <v>8</v>
      </c>
      <c r="B11" s="3">
        <v>14903711</v>
      </c>
      <c r="C11" s="3" t="str">
        <f t="shared" ref="C11:C18" si="2">CONCATENATE(B11,"OVR")</f>
        <v>14903711OVR</v>
      </c>
      <c r="D11" s="1" t="s">
        <v>55</v>
      </c>
      <c r="E11" s="1" t="s">
        <v>56</v>
      </c>
      <c r="F11" s="1" t="str">
        <f t="shared" ref="F11:F18" si="3">CONCATENATE(E11,"OVR")</f>
        <v>D3KFSSOVR</v>
      </c>
      <c r="G11" s="1" t="s">
        <v>58</v>
      </c>
      <c r="H11" s="1" t="s">
        <v>59</v>
      </c>
      <c r="I11" t="str">
        <f t="shared" si="1"/>
        <v>PEGGY ADAMS</v>
      </c>
      <c r="J11" s="1" t="s">
        <v>60</v>
      </c>
      <c r="K11" s="1" t="s">
        <v>62</v>
      </c>
      <c r="L11" s="5">
        <v>46387</v>
      </c>
      <c r="M11" s="1" t="s">
        <v>52</v>
      </c>
      <c r="N11" s="1" t="s">
        <v>64</v>
      </c>
      <c r="O11" s="1">
        <v>173.5</v>
      </c>
      <c r="P11" s="1">
        <v>200</v>
      </c>
      <c r="Q11" s="1">
        <v>373.5</v>
      </c>
      <c r="R11" s="1">
        <v>200</v>
      </c>
      <c r="S11" s="1">
        <v>200</v>
      </c>
      <c r="T11" s="1" t="s">
        <v>120</v>
      </c>
    </row>
    <row r="12" spans="1:22" s="1" customFormat="1" x14ac:dyDescent="0.25">
      <c r="A12" s="1" t="s">
        <v>8</v>
      </c>
      <c r="B12" s="3">
        <v>19681796</v>
      </c>
      <c r="C12" s="3" t="str">
        <f t="shared" si="2"/>
        <v>19681796OVR</v>
      </c>
      <c r="D12" s="1" t="s">
        <v>66</v>
      </c>
      <c r="E12" s="1" t="s">
        <v>67</v>
      </c>
      <c r="F12" s="1" t="str">
        <f t="shared" si="3"/>
        <v>DWAGKYOVR</v>
      </c>
      <c r="G12" s="1" t="s">
        <v>69</v>
      </c>
      <c r="H12" s="1" t="s">
        <v>70</v>
      </c>
      <c r="I12" t="str">
        <f t="shared" si="1"/>
        <v>CLARK GIVENS</v>
      </c>
      <c r="J12" s="1" t="s">
        <v>60</v>
      </c>
      <c r="K12" s="1" t="s">
        <v>72</v>
      </c>
      <c r="L12" s="5">
        <v>46387</v>
      </c>
      <c r="M12" s="1" t="s">
        <v>52</v>
      </c>
      <c r="N12" s="1" t="s">
        <v>64</v>
      </c>
      <c r="O12" s="1">
        <v>86.75</v>
      </c>
      <c r="P12" s="1">
        <v>200</v>
      </c>
      <c r="Q12" s="1">
        <v>286.75</v>
      </c>
      <c r="R12" s="1">
        <v>200</v>
      </c>
      <c r="S12" s="1">
        <v>200</v>
      </c>
      <c r="T12" s="1" t="s">
        <v>120</v>
      </c>
    </row>
    <row r="13" spans="1:22" s="1" customFormat="1" x14ac:dyDescent="0.25">
      <c r="A13" s="1" t="s">
        <v>8</v>
      </c>
      <c r="B13" s="3">
        <v>8814784</v>
      </c>
      <c r="C13" s="3" t="str">
        <f t="shared" si="2"/>
        <v>8814784OVR</v>
      </c>
      <c r="D13" s="1" t="s">
        <v>74</v>
      </c>
      <c r="E13" s="1" t="s">
        <v>75</v>
      </c>
      <c r="F13" s="1" t="str">
        <f t="shared" si="3"/>
        <v>DKGY5UOVR</v>
      </c>
      <c r="G13" s="1" t="s">
        <v>77</v>
      </c>
      <c r="H13" s="1" t="s">
        <v>78</v>
      </c>
      <c r="I13" t="str">
        <f t="shared" si="1"/>
        <v>FRANK LISKOVEC</v>
      </c>
      <c r="J13" s="1" t="s">
        <v>60</v>
      </c>
      <c r="K13" s="1" t="s">
        <v>79</v>
      </c>
      <c r="L13" s="5">
        <v>46387</v>
      </c>
      <c r="M13" s="1" t="s">
        <v>52</v>
      </c>
      <c r="N13" s="1" t="s">
        <v>64</v>
      </c>
      <c r="O13" s="1">
        <v>144.58000000000001</v>
      </c>
      <c r="P13" s="1">
        <v>200</v>
      </c>
      <c r="Q13" s="1">
        <v>344.58</v>
      </c>
      <c r="R13" s="1">
        <v>200</v>
      </c>
      <c r="S13" s="1">
        <v>200</v>
      </c>
      <c r="T13" s="1" t="s">
        <v>120</v>
      </c>
    </row>
    <row r="14" spans="1:22" s="1" customFormat="1" x14ac:dyDescent="0.25">
      <c r="A14" s="1" t="s">
        <v>8</v>
      </c>
      <c r="B14" s="3">
        <v>20212926</v>
      </c>
      <c r="C14" s="3" t="str">
        <f t="shared" si="2"/>
        <v>20212926OVR</v>
      </c>
      <c r="D14" s="1" t="s">
        <v>82</v>
      </c>
      <c r="E14" s="1" t="s">
        <v>83</v>
      </c>
      <c r="F14" s="1" t="str">
        <f t="shared" si="3"/>
        <v>D92U9ROVR</v>
      </c>
      <c r="G14" s="1" t="s">
        <v>85</v>
      </c>
      <c r="H14" s="1" t="s">
        <v>86</v>
      </c>
      <c r="I14" t="str">
        <f t="shared" si="1"/>
        <v>ROBERTO MAZARIEGOS</v>
      </c>
      <c r="J14" s="1" t="s">
        <v>60</v>
      </c>
      <c r="K14" s="1" t="s">
        <v>79</v>
      </c>
      <c r="L14" s="5">
        <v>46387</v>
      </c>
      <c r="M14" s="1" t="s">
        <v>52</v>
      </c>
      <c r="N14" s="1" t="s">
        <v>64</v>
      </c>
      <c r="O14" s="1">
        <v>0</v>
      </c>
      <c r="P14" s="1">
        <v>200</v>
      </c>
      <c r="Q14" s="1">
        <v>200</v>
      </c>
      <c r="R14" s="1">
        <v>200</v>
      </c>
      <c r="S14" s="1">
        <v>200</v>
      </c>
      <c r="T14" s="1" t="s">
        <v>120</v>
      </c>
    </row>
    <row r="15" spans="1:22" s="1" customFormat="1" x14ac:dyDescent="0.25">
      <c r="A15" s="1" t="s">
        <v>8</v>
      </c>
      <c r="B15" s="3">
        <v>19396223</v>
      </c>
      <c r="C15" s="3" t="str">
        <f t="shared" si="2"/>
        <v>19396223OVR</v>
      </c>
      <c r="D15" s="1" t="s">
        <v>88</v>
      </c>
      <c r="E15" s="1" t="s">
        <v>89</v>
      </c>
      <c r="F15" s="1" t="str">
        <f t="shared" si="3"/>
        <v>DJS33WOVR</v>
      </c>
      <c r="G15" s="1" t="s">
        <v>91</v>
      </c>
      <c r="H15" s="1" t="s">
        <v>92</v>
      </c>
      <c r="I15" t="str">
        <f t="shared" si="1"/>
        <v>SYED NIAMATHULLAH</v>
      </c>
      <c r="J15" s="1" t="s">
        <v>60</v>
      </c>
      <c r="K15" s="1" t="s">
        <v>62</v>
      </c>
      <c r="L15" s="5">
        <v>46387</v>
      </c>
      <c r="M15" s="1" t="s">
        <v>95</v>
      </c>
      <c r="N15" s="1" t="s">
        <v>64</v>
      </c>
      <c r="O15" s="1">
        <v>694</v>
      </c>
      <c r="P15" s="1">
        <v>200</v>
      </c>
      <c r="Q15" s="1">
        <v>894</v>
      </c>
      <c r="R15" s="1">
        <v>200</v>
      </c>
      <c r="S15" s="1">
        <v>200</v>
      </c>
      <c r="T15" s="1" t="s">
        <v>120</v>
      </c>
    </row>
    <row r="16" spans="1:22" s="1" customFormat="1" x14ac:dyDescent="0.25">
      <c r="A16" s="1" t="s">
        <v>8</v>
      </c>
      <c r="B16" s="3">
        <v>16633294</v>
      </c>
      <c r="C16" s="3" t="str">
        <f t="shared" si="2"/>
        <v>16633294OVR</v>
      </c>
      <c r="D16" s="1" t="s">
        <v>97</v>
      </c>
      <c r="E16" s="1" t="s">
        <v>98</v>
      </c>
      <c r="F16" s="1" t="str">
        <f t="shared" si="3"/>
        <v>D2CY93OVR</v>
      </c>
      <c r="G16" s="1" t="s">
        <v>100</v>
      </c>
      <c r="H16" s="1" t="s">
        <v>101</v>
      </c>
      <c r="I16" t="str">
        <f t="shared" si="1"/>
        <v>DEBRA RUEPING-VINCENT</v>
      </c>
      <c r="J16" s="1" t="s">
        <v>102</v>
      </c>
      <c r="K16" s="1" t="s">
        <v>79</v>
      </c>
      <c r="L16" s="5">
        <v>46387</v>
      </c>
      <c r="M16" s="1" t="s">
        <v>52</v>
      </c>
      <c r="N16" s="1" t="s">
        <v>64</v>
      </c>
      <c r="O16" s="1">
        <v>144.58000000000001</v>
      </c>
      <c r="P16" s="1">
        <v>200</v>
      </c>
      <c r="Q16" s="1">
        <v>344.58</v>
      </c>
      <c r="R16" s="1">
        <v>200</v>
      </c>
      <c r="S16" s="1">
        <v>200</v>
      </c>
      <c r="T16" s="1" t="s">
        <v>120</v>
      </c>
    </row>
    <row r="17" spans="1:20" s="1" customFormat="1" x14ac:dyDescent="0.25">
      <c r="A17" s="1" t="s">
        <v>8</v>
      </c>
      <c r="B17" s="3">
        <v>9213293</v>
      </c>
      <c r="C17" s="3" t="str">
        <f t="shared" si="2"/>
        <v>9213293OVR</v>
      </c>
      <c r="D17" s="1" t="s">
        <v>105</v>
      </c>
      <c r="E17" s="1" t="s">
        <v>106</v>
      </c>
      <c r="F17" s="1" t="str">
        <f t="shared" si="3"/>
        <v>DUFSZ3OVR</v>
      </c>
      <c r="G17" s="1" t="s">
        <v>108</v>
      </c>
      <c r="H17" s="1" t="s">
        <v>109</v>
      </c>
      <c r="I17" t="str">
        <f t="shared" si="1"/>
        <v>FRANCES STEFANIK</v>
      </c>
      <c r="J17" s="1" t="s">
        <v>60</v>
      </c>
      <c r="K17" s="1" t="s">
        <v>72</v>
      </c>
      <c r="L17" s="5">
        <v>46387</v>
      </c>
      <c r="M17" s="1" t="s">
        <v>52</v>
      </c>
      <c r="N17" s="1" t="s">
        <v>64</v>
      </c>
      <c r="O17" s="1">
        <v>86.75</v>
      </c>
      <c r="P17" s="1">
        <v>200</v>
      </c>
      <c r="Q17" s="1">
        <v>286.75</v>
      </c>
      <c r="R17" s="1">
        <v>200</v>
      </c>
      <c r="S17" s="1">
        <v>200</v>
      </c>
      <c r="T17" s="1" t="s">
        <v>120</v>
      </c>
    </row>
    <row r="18" spans="1:20" s="1" customFormat="1" x14ac:dyDescent="0.25">
      <c r="A18" s="1" t="s">
        <v>8</v>
      </c>
      <c r="B18" s="3">
        <v>16865615</v>
      </c>
      <c r="C18" s="3" t="str">
        <f t="shared" si="2"/>
        <v>16865615OVR</v>
      </c>
      <c r="D18" s="1" t="s">
        <v>111</v>
      </c>
      <c r="E18" s="1" t="s">
        <v>112</v>
      </c>
      <c r="F18" s="1" t="str">
        <f t="shared" si="3"/>
        <v>D8JK2GOVR</v>
      </c>
      <c r="G18" s="1" t="s">
        <v>114</v>
      </c>
      <c r="H18" s="1" t="s">
        <v>115</v>
      </c>
      <c r="I18" t="str">
        <f t="shared" si="1"/>
        <v>RUBEN VALDEZ</v>
      </c>
      <c r="J18" s="1" t="s">
        <v>116</v>
      </c>
      <c r="K18" s="1" t="s">
        <v>62</v>
      </c>
      <c r="L18" s="5">
        <v>46387</v>
      </c>
      <c r="M18" s="1" t="s">
        <v>95</v>
      </c>
      <c r="N18" s="1" t="s">
        <v>64</v>
      </c>
      <c r="O18" s="1">
        <v>694</v>
      </c>
      <c r="P18" s="1">
        <v>200</v>
      </c>
      <c r="Q18" s="1">
        <v>894</v>
      </c>
      <c r="R18" s="1">
        <v>200</v>
      </c>
      <c r="S18" s="1">
        <v>200</v>
      </c>
      <c r="T18" s="1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Detail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Loula Irene Cabel</cp:lastModifiedBy>
  <dcterms:created xsi:type="dcterms:W3CDTF">2026-07-20T09:14:08Z</dcterms:created>
  <dcterms:modified xsi:type="dcterms:W3CDTF">2026-07-20T20:16:12Z</dcterms:modified>
</cp:coreProperties>
</file>