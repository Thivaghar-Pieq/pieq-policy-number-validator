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Devoted health\2026\2026-06-19\"/>
    </mc:Choice>
  </mc:AlternateContent>
  <xr:revisionPtr revIDLastSave="0" documentId="13_ncr:1_{92B67944-0B7A-4F70-AAFF-A8B69D6DA134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2" i="3"/>
  <c r="E13" i="3"/>
  <c r="E12" i="3"/>
  <c r="E11" i="3"/>
  <c r="E10" i="3"/>
  <c r="E9" i="3"/>
  <c r="E8" i="3"/>
  <c r="E7" i="3"/>
  <c r="E6" i="3"/>
  <c r="E5" i="3"/>
  <c r="E4" i="3"/>
  <c r="E3" i="3"/>
  <c r="E18" i="3"/>
  <c r="E17" i="3"/>
  <c r="E16" i="3"/>
  <c r="E15" i="3"/>
  <c r="E14" i="3"/>
  <c r="E2" i="3"/>
  <c r="B13" i="3"/>
  <c r="B12" i="3"/>
  <c r="B11" i="3"/>
  <c r="B10" i="3"/>
  <c r="B9" i="3"/>
  <c r="B8" i="3"/>
  <c r="B7" i="3"/>
  <c r="B6" i="3"/>
  <c r="B5" i="3"/>
  <c r="B4" i="3"/>
  <c r="B3" i="3"/>
  <c r="T15" i="3"/>
  <c r="T14" i="3"/>
</calcChain>
</file>

<file path=xl/sharedStrings.xml><?xml version="1.0" encoding="utf-8"?>
<sst xmlns="http://schemas.openxmlformats.org/spreadsheetml/2006/main" count="442" uniqueCount="90">
  <si>
    <t>Description</t>
  </si>
  <si>
    <t>Member Count</t>
  </si>
  <si>
    <t>Total</t>
  </si>
  <si>
    <t>Payee</t>
  </si>
  <si>
    <t>Payment Date</t>
  </si>
  <si>
    <t>Credits</t>
  </si>
  <si>
    <t>$1,838.58</t>
  </si>
  <si>
    <t>Main Line Benefits LLC</t>
  </si>
  <si>
    <t>06/19/2026</t>
  </si>
  <si>
    <t>Debits</t>
  </si>
  <si>
    <t>($273.50)</t>
  </si>
  <si>
    <t>Miscellaneous</t>
  </si>
  <si>
    <t>$0.00</t>
  </si>
  <si>
    <t>Bonus</t>
  </si>
  <si>
    <t>Sub Total</t>
  </si>
  <si>
    <t>$1,565.08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</si>
  <si>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</si>
  <si>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</si>
  <si>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</si>
  <si>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</si>
  <si>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</si>
  <si>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</si>
  <si>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</si>
  <si>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</si>
  <si>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</si>
  <si>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</si>
  <si>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</si>
  <si>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</si>
  <si>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</si>
  <si>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</si>
  <si>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</si>
  <si>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</si>
  <si>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</si>
  <si>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</si>
  <si>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</si>
  <si>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</si>
  <si>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</si>
  <si>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</si>
  <si>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</si>
  <si>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</si>
  <si>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16849453</t>
  </si>
  <si>
    <t>Danna Green</t>
  </si>
  <si>
    <t>DSURCS</t>
  </si>
  <si>
    <t>3QH6R67VQ47</t>
  </si>
  <si>
    <t>THERESA</t>
  </si>
  <si>
    <t>SHANK</t>
  </si>
  <si>
    <t>IN</t>
  </si>
  <si>
    <t>11/06/2025</t>
  </si>
  <si>
    <t>01/01/2026</t>
  </si>
  <si>
    <t>06/30/2026</t>
  </si>
  <si>
    <t>H7471</t>
  </si>
  <si>
    <t>MAPD</t>
  </si>
  <si>
    <t>Initial - Not New</t>
  </si>
  <si>
    <t>Jan</t>
  </si>
  <si>
    <t>7565575</t>
  </si>
  <si>
    <t>Robert Shapiro</t>
  </si>
  <si>
    <t>DHF8C5</t>
  </si>
  <si>
    <t>2A08Y89KY30</t>
  </si>
  <si>
    <t>JAMES</t>
  </si>
  <si>
    <t>KOWALSKI</t>
  </si>
  <si>
    <t>IL</t>
  </si>
  <si>
    <t>06/03/2026</t>
  </si>
  <si>
    <t>07/01/2026</t>
  </si>
  <si>
    <t>H8320</t>
  </si>
  <si>
    <t>Jun</t>
  </si>
  <si>
    <t>DYKZKK</t>
  </si>
  <si>
    <t>9NR0JM4GP13</t>
  </si>
  <si>
    <t>BALFOUR</t>
  </si>
  <si>
    <t>LONG</t>
  </si>
  <si>
    <t>08/01/2026</t>
  </si>
  <si>
    <t>19396223</t>
  </si>
  <si>
    <t>Saadia Abdul</t>
  </si>
  <si>
    <t>DA9SF3</t>
  </si>
  <si>
    <t>5VY5T99KK85</t>
  </si>
  <si>
    <t>ROSEMARIE</t>
  </si>
  <si>
    <t>SCHNUPP</t>
  </si>
  <si>
    <t>06/01/2026</t>
  </si>
  <si>
    <t>H6545</t>
  </si>
  <si>
    <t>DJKF4F</t>
  </si>
  <si>
    <t>7G90PM8CF12</t>
  </si>
  <si>
    <t>CAROL</t>
  </si>
  <si>
    <t>STEWART</t>
  </si>
  <si>
    <t>06/02/2026</t>
  </si>
  <si>
    <t>D765S3</t>
  </si>
  <si>
    <t>7W02G22YM98</t>
  </si>
  <si>
    <t>Devoted Health MAPD 2026*</t>
  </si>
  <si>
    <t>Devoted MAPD Ovr</t>
  </si>
  <si>
    <t>[%/$=347][prorate=6/12]</t>
  </si>
  <si>
    <t>[%/$=347][prorate=5/12]</t>
  </si>
  <si>
    <t>16849453L5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</si>
</sst>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8" sqref="C8"/>
    </sheetView>
  </sheetViews>
  <sheetFormatPr defaultRowHeight="14.4" x14ac:dyDescent="0.3"/>
  <cols>
    <col min="1" max="1" width="25" customWidth="1"/>
    <col min="2" max="2" width="20" customWidth="1"/>
    <col min="3" max="3" width="15" customWidth="1"/>
    <col min="4" max="4" width="9.44140625"/>
    <col min="5" max="5" width="25" customWidth="1"/>
    <col min="6" max="6" width="20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5</v>
      </c>
      <c r="C2" t="s">
        <v>6</v>
      </c>
      <c r="E2" t="s">
        <v>7</v>
      </c>
      <c r="F2" t="s">
        <v>8</v>
      </c>
    </row>
    <row r="3" spans="1:6" x14ac:dyDescent="0.3">
      <c r="A3" t="s">
        <v>9</v>
      </c>
      <c r="B3">
        <v>1</v>
      </c>
      <c r="C3" t="s">
        <v>10</v>
      </c>
    </row>
    <row r="4" spans="1:6" x14ac:dyDescent="0.3">
      <c r="A4" t="s">
        <v>11</v>
      </c>
      <c r="B4">
        <v>0</v>
      </c>
      <c r="C4" t="s">
        <v>12</v>
      </c>
    </row>
    <row r="5" spans="1:6" x14ac:dyDescent="0.3">
      <c r="A5" t="s">
        <v>13</v>
      </c>
      <c r="C5" t="s">
        <v>12</v>
      </c>
    </row>
    <row r="6" spans="1:6" x14ac:dyDescent="0.3">
      <c r="A6" t="s">
        <v>14</v>
      </c>
      <c r="B6">
        <v>6</v>
      </c>
      <c r="C6" t="s">
        <v>15</v>
      </c>
    </row>
    <row r="7" spans="1:6" x14ac:dyDescent="0.3">
      <c r="A7" t="s">
        <v>16</v>
      </c>
      <c r="C7" t="s">
        <v>12</v>
      </c>
    </row>
    <row r="8" spans="1:6" x14ac:dyDescent="0.3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zoomScaleNormal="100" workbookViewId="0">
      <selection sqref="A1:XFD1048576"/>
    </sheetView>
  </sheetViews>
  <sheetFormatPr defaultRowHeight="14.4" x14ac:dyDescent="0.3"/>
  <cols>
    <col min="1" max="1" width="15" customWidth="1"/>
    <col min="2" max="2" width="10" customWidth="1"/>
    <col min="3" max="3" width="25" customWidth="1"/>
    <col min="4" max="4" width="15" customWidth="1"/>
    <col min="5" max="6" width="9.44140625"/>
    <col min="7" max="7" width="12.6640625" customWidth="1"/>
    <col min="8" max="8" width="13.6640625" customWidth="1"/>
    <col min="9" max="9" width="14.109375" customWidth="1"/>
    <col min="10" max="11" width="13.44140625" customWidth="1"/>
    <col min="12" max="12" width="8.6640625" customWidth="1"/>
    <col min="13" max="13" width="4.33203125" customWidth="1"/>
    <col min="14" max="14" width="14.33203125" customWidth="1"/>
    <col min="15" max="15" width="14.6640625" customWidth="1"/>
    <col min="16" max="16" width="16.6640625" customWidth="1"/>
    <col min="17" max="17" width="6.6640625" customWidth="1"/>
    <col min="18" max="18" width="12.88671875" customWidth="1"/>
    <col min="19" max="19" width="14.5546875" customWidth="1"/>
    <col min="20" max="20" width="14" customWidth="1"/>
    <col min="21" max="21" width="25.6640625" customWidth="1"/>
    <col min="22" max="22" width="18" customWidth="1"/>
  </cols>
  <sheetData>
    <row r="1" spans="1:22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3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11</v>
      </c>
      <c r="N2" t="s">
        <v>51</v>
      </c>
      <c r="O2">
        <v>3</v>
      </c>
      <c r="P2" t="s">
        <v>52</v>
      </c>
      <c r="Q2" t="s">
        <v>53</v>
      </c>
      <c r="R2">
        <v>-173.5</v>
      </c>
      <c r="S2">
        <v>-100</v>
      </c>
      <c r="T2">
        <v>-273.5</v>
      </c>
      <c r="U2" t="s">
        <v>7</v>
      </c>
    </row>
    <row r="3" spans="1:22" x14ac:dyDescent="0.3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L3" t="s">
        <v>63</v>
      </c>
      <c r="M3">
        <v>4</v>
      </c>
      <c r="O3">
        <v>0</v>
      </c>
      <c r="P3" t="s">
        <v>52</v>
      </c>
      <c r="Q3" t="s">
        <v>64</v>
      </c>
      <c r="R3">
        <v>0</v>
      </c>
      <c r="S3">
        <v>75</v>
      </c>
      <c r="T3">
        <v>75</v>
      </c>
      <c r="U3" t="s">
        <v>7</v>
      </c>
    </row>
    <row r="4" spans="1:22" x14ac:dyDescent="0.3">
      <c r="A4" t="s">
        <v>8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L4" t="s">
        <v>63</v>
      </c>
      <c r="M4">
        <v>4</v>
      </c>
      <c r="O4">
        <v>0</v>
      </c>
      <c r="P4" t="s">
        <v>52</v>
      </c>
      <c r="Q4" t="s">
        <v>64</v>
      </c>
      <c r="R4">
        <v>0</v>
      </c>
      <c r="S4">
        <v>125</v>
      </c>
      <c r="T4">
        <v>125</v>
      </c>
      <c r="U4" t="s">
        <v>7</v>
      </c>
    </row>
    <row r="5" spans="1:22" x14ac:dyDescent="0.3">
      <c r="A5" t="s">
        <v>8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L5" t="s">
        <v>63</v>
      </c>
      <c r="M5">
        <v>4</v>
      </c>
      <c r="O5">
        <v>0</v>
      </c>
      <c r="P5" t="s">
        <v>52</v>
      </c>
      <c r="Q5" t="s">
        <v>64</v>
      </c>
      <c r="R5">
        <v>173.5</v>
      </c>
      <c r="S5">
        <v>0</v>
      </c>
      <c r="T5">
        <v>173.5</v>
      </c>
      <c r="U5" t="s">
        <v>7</v>
      </c>
    </row>
    <row r="6" spans="1:22" x14ac:dyDescent="0.3">
      <c r="A6" t="s">
        <v>8</v>
      </c>
      <c r="B6" t="s">
        <v>40</v>
      </c>
      <c r="C6" t="s">
        <v>41</v>
      </c>
      <c r="D6" t="s">
        <v>65</v>
      </c>
      <c r="E6" t="s">
        <v>66</v>
      </c>
      <c r="F6" t="s">
        <v>67</v>
      </c>
      <c r="G6" t="s">
        <v>68</v>
      </c>
      <c r="H6" t="s">
        <v>46</v>
      </c>
      <c r="I6" t="s">
        <v>61</v>
      </c>
      <c r="J6" t="s">
        <v>69</v>
      </c>
      <c r="L6" t="s">
        <v>50</v>
      </c>
      <c r="M6">
        <v>11</v>
      </c>
      <c r="O6">
        <v>0</v>
      </c>
      <c r="P6" t="s">
        <v>52</v>
      </c>
      <c r="Q6" t="s">
        <v>64</v>
      </c>
      <c r="R6">
        <v>0</v>
      </c>
      <c r="S6">
        <v>75</v>
      </c>
      <c r="T6">
        <v>75</v>
      </c>
      <c r="U6" t="s">
        <v>7</v>
      </c>
    </row>
    <row r="7" spans="1:22" x14ac:dyDescent="0.3">
      <c r="A7" t="s">
        <v>8</v>
      </c>
      <c r="B7" t="s">
        <v>40</v>
      </c>
      <c r="C7" t="s">
        <v>41</v>
      </c>
      <c r="D7" t="s">
        <v>65</v>
      </c>
      <c r="E7" t="s">
        <v>66</v>
      </c>
      <c r="F7" t="s">
        <v>67</v>
      </c>
      <c r="G7" t="s">
        <v>68</v>
      </c>
      <c r="H7" t="s">
        <v>46</v>
      </c>
      <c r="I7" t="s">
        <v>61</v>
      </c>
      <c r="J7" t="s">
        <v>69</v>
      </c>
      <c r="L7" t="s">
        <v>50</v>
      </c>
      <c r="M7">
        <v>11</v>
      </c>
      <c r="O7">
        <v>0</v>
      </c>
      <c r="P7" t="s">
        <v>52</v>
      </c>
      <c r="Q7" t="s">
        <v>64</v>
      </c>
      <c r="R7">
        <v>144.58000000000001</v>
      </c>
      <c r="S7">
        <v>0</v>
      </c>
      <c r="T7">
        <v>144.58000000000001</v>
      </c>
      <c r="U7" t="s">
        <v>7</v>
      </c>
    </row>
    <row r="8" spans="1:22" x14ac:dyDescent="0.3">
      <c r="A8" t="s">
        <v>8</v>
      </c>
      <c r="B8" t="s">
        <v>40</v>
      </c>
      <c r="C8" t="s">
        <v>41</v>
      </c>
      <c r="D8" t="s">
        <v>65</v>
      </c>
      <c r="E8" t="s">
        <v>66</v>
      </c>
      <c r="F8" t="s">
        <v>67</v>
      </c>
      <c r="G8" t="s">
        <v>68</v>
      </c>
      <c r="H8" t="s">
        <v>46</v>
      </c>
      <c r="I8" t="s">
        <v>61</v>
      </c>
      <c r="J8" t="s">
        <v>69</v>
      </c>
      <c r="L8" t="s">
        <v>50</v>
      </c>
      <c r="M8">
        <v>11</v>
      </c>
      <c r="O8">
        <v>0</v>
      </c>
      <c r="P8" t="s">
        <v>52</v>
      </c>
      <c r="Q8" t="s">
        <v>64</v>
      </c>
      <c r="R8">
        <v>0</v>
      </c>
      <c r="S8">
        <v>125</v>
      </c>
      <c r="T8">
        <v>125</v>
      </c>
      <c r="U8" t="s">
        <v>7</v>
      </c>
    </row>
    <row r="9" spans="1:22" x14ac:dyDescent="0.3">
      <c r="A9" t="s">
        <v>8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60</v>
      </c>
      <c r="I9" t="s">
        <v>76</v>
      </c>
      <c r="J9" t="s">
        <v>62</v>
      </c>
      <c r="L9" t="s">
        <v>77</v>
      </c>
      <c r="M9">
        <v>10</v>
      </c>
      <c r="O9">
        <v>0</v>
      </c>
      <c r="P9" t="s">
        <v>52</v>
      </c>
      <c r="Q9" t="s">
        <v>64</v>
      </c>
      <c r="R9">
        <v>173.5</v>
      </c>
      <c r="S9">
        <v>0</v>
      </c>
      <c r="T9">
        <v>173.5</v>
      </c>
      <c r="U9" t="s">
        <v>7</v>
      </c>
    </row>
    <row r="10" spans="1:22" x14ac:dyDescent="0.3">
      <c r="A10" t="s">
        <v>8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60</v>
      </c>
      <c r="I10" t="s">
        <v>76</v>
      </c>
      <c r="J10" t="s">
        <v>62</v>
      </c>
      <c r="L10" t="s">
        <v>77</v>
      </c>
      <c r="M10">
        <v>10</v>
      </c>
      <c r="O10">
        <v>0</v>
      </c>
      <c r="P10" t="s">
        <v>52</v>
      </c>
      <c r="Q10" t="s">
        <v>64</v>
      </c>
      <c r="R10">
        <v>0</v>
      </c>
      <c r="S10">
        <v>125</v>
      </c>
      <c r="T10">
        <v>125</v>
      </c>
      <c r="U10" t="s">
        <v>7</v>
      </c>
    </row>
    <row r="11" spans="1:22" x14ac:dyDescent="0.3">
      <c r="A11" t="s">
        <v>8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60</v>
      </c>
      <c r="I11" t="s">
        <v>76</v>
      </c>
      <c r="J11" t="s">
        <v>62</v>
      </c>
      <c r="L11" t="s">
        <v>77</v>
      </c>
      <c r="M11">
        <v>10</v>
      </c>
      <c r="O11">
        <v>0</v>
      </c>
      <c r="P11" t="s">
        <v>52</v>
      </c>
      <c r="Q11" t="s">
        <v>64</v>
      </c>
      <c r="R11">
        <v>0</v>
      </c>
      <c r="S11">
        <v>75</v>
      </c>
      <c r="T11">
        <v>75</v>
      </c>
      <c r="U11" t="s">
        <v>7</v>
      </c>
    </row>
    <row r="12" spans="1:22" x14ac:dyDescent="0.3">
      <c r="A12" t="s">
        <v>8</v>
      </c>
      <c r="B12" t="s">
        <v>70</v>
      </c>
      <c r="C12" t="s">
        <v>71</v>
      </c>
      <c r="D12" t="s">
        <v>78</v>
      </c>
      <c r="E12" t="s">
        <v>79</v>
      </c>
      <c r="F12" t="s">
        <v>80</v>
      </c>
      <c r="G12" t="s">
        <v>81</v>
      </c>
      <c r="H12" t="s">
        <v>60</v>
      </c>
      <c r="I12" t="s">
        <v>82</v>
      </c>
      <c r="J12" t="s">
        <v>62</v>
      </c>
      <c r="L12" t="s">
        <v>77</v>
      </c>
      <c r="M12">
        <v>10</v>
      </c>
      <c r="O12">
        <v>0</v>
      </c>
      <c r="P12" t="s">
        <v>52</v>
      </c>
      <c r="Q12" t="s">
        <v>64</v>
      </c>
      <c r="R12">
        <v>0</v>
      </c>
      <c r="S12">
        <v>125</v>
      </c>
      <c r="T12">
        <v>125</v>
      </c>
      <c r="U12" t="s">
        <v>7</v>
      </c>
    </row>
    <row r="13" spans="1:22" x14ac:dyDescent="0.3">
      <c r="A13" t="s">
        <v>8</v>
      </c>
      <c r="B13" t="s">
        <v>70</v>
      </c>
      <c r="C13" t="s">
        <v>71</v>
      </c>
      <c r="D13" t="s">
        <v>78</v>
      </c>
      <c r="E13" t="s">
        <v>79</v>
      </c>
      <c r="F13" t="s">
        <v>80</v>
      </c>
      <c r="G13" t="s">
        <v>81</v>
      </c>
      <c r="H13" t="s">
        <v>60</v>
      </c>
      <c r="I13" t="s">
        <v>82</v>
      </c>
      <c r="J13" t="s">
        <v>62</v>
      </c>
      <c r="L13" t="s">
        <v>77</v>
      </c>
      <c r="M13">
        <v>10</v>
      </c>
      <c r="O13">
        <v>0</v>
      </c>
      <c r="P13" t="s">
        <v>52</v>
      </c>
      <c r="Q13" t="s">
        <v>64</v>
      </c>
      <c r="R13">
        <v>173.5</v>
      </c>
      <c r="S13">
        <v>0</v>
      </c>
      <c r="T13">
        <v>173.5</v>
      </c>
      <c r="U13" t="s">
        <v>7</v>
      </c>
    </row>
    <row r="14" spans="1:22" x14ac:dyDescent="0.3">
      <c r="A14" t="s">
        <v>8</v>
      </c>
      <c r="B14" t="s">
        <v>70</v>
      </c>
      <c r="C14" t="s">
        <v>71</v>
      </c>
      <c r="D14" t="s">
        <v>78</v>
      </c>
      <c r="E14" t="s">
        <v>79</v>
      </c>
      <c r="F14" t="s">
        <v>80</v>
      </c>
      <c r="G14" t="s">
        <v>81</v>
      </c>
      <c r="H14" t="s">
        <v>60</v>
      </c>
      <c r="I14" t="s">
        <v>82</v>
      </c>
      <c r="J14" t="s">
        <v>62</v>
      </c>
      <c r="L14" t="s">
        <v>77</v>
      </c>
      <c r="M14">
        <v>10</v>
      </c>
      <c r="O14">
        <v>0</v>
      </c>
      <c r="P14" t="s">
        <v>52</v>
      </c>
      <c r="Q14" t="s">
        <v>64</v>
      </c>
      <c r="R14">
        <v>0</v>
      </c>
      <c r="S14">
        <v>75</v>
      </c>
      <c r="T14">
        <v>75</v>
      </c>
      <c r="U14" t="s">
        <v>7</v>
      </c>
    </row>
    <row r="15" spans="1:22" x14ac:dyDescent="0.3">
      <c r="A15" t="s">
        <v>8</v>
      </c>
      <c r="B15" t="s">
        <v>70</v>
      </c>
      <c r="C15" t="s">
        <v>71</v>
      </c>
      <c r="D15" t="s">
        <v>83</v>
      </c>
      <c r="E15" t="s">
        <v>84</v>
      </c>
      <c r="F15" t="s">
        <v>58</v>
      </c>
      <c r="G15" t="s">
        <v>81</v>
      </c>
      <c r="H15" t="s">
        <v>60</v>
      </c>
      <c r="I15" t="s">
        <v>82</v>
      </c>
      <c r="J15" t="s">
        <v>62</v>
      </c>
      <c r="L15" t="s">
        <v>77</v>
      </c>
      <c r="M15">
        <v>10</v>
      </c>
      <c r="O15">
        <v>0</v>
      </c>
      <c r="P15" t="s">
        <v>52</v>
      </c>
      <c r="Q15" t="s">
        <v>64</v>
      </c>
      <c r="R15">
        <v>0</v>
      </c>
      <c r="S15">
        <v>125</v>
      </c>
      <c r="T15">
        <v>125</v>
      </c>
      <c r="U15" t="s">
        <v>7</v>
      </c>
    </row>
    <row r="16" spans="1:22" x14ac:dyDescent="0.3">
      <c r="A16" t="s">
        <v>8</v>
      </c>
      <c r="B16" t="s">
        <v>70</v>
      </c>
      <c r="C16" t="s">
        <v>71</v>
      </c>
      <c r="D16" t="s">
        <v>83</v>
      </c>
      <c r="E16" t="s">
        <v>84</v>
      </c>
      <c r="F16" t="s">
        <v>58</v>
      </c>
      <c r="G16" t="s">
        <v>81</v>
      </c>
      <c r="H16" t="s">
        <v>60</v>
      </c>
      <c r="I16" t="s">
        <v>82</v>
      </c>
      <c r="J16" t="s">
        <v>62</v>
      </c>
      <c r="L16" t="s">
        <v>77</v>
      </c>
      <c r="M16">
        <v>10</v>
      </c>
      <c r="O16">
        <v>0</v>
      </c>
      <c r="P16" t="s">
        <v>52</v>
      </c>
      <c r="Q16" t="s">
        <v>64</v>
      </c>
      <c r="R16">
        <v>173.5</v>
      </c>
      <c r="S16">
        <v>0</v>
      </c>
      <c r="T16">
        <v>173.5</v>
      </c>
      <c r="U16" t="s">
        <v>7</v>
      </c>
    </row>
    <row r="17" spans="1:21" x14ac:dyDescent="0.3">
      <c r="A17" t="s">
        <v>8</v>
      </c>
      <c r="B17" t="s">
        <v>70</v>
      </c>
      <c r="C17" t="s">
        <v>71</v>
      </c>
      <c r="D17" t="s">
        <v>83</v>
      </c>
      <c r="E17" t="s">
        <v>84</v>
      </c>
      <c r="F17" t="s">
        <v>58</v>
      </c>
      <c r="G17" t="s">
        <v>81</v>
      </c>
      <c r="H17" t="s">
        <v>60</v>
      </c>
      <c r="I17" t="s">
        <v>82</v>
      </c>
      <c r="J17" t="s">
        <v>62</v>
      </c>
      <c r="L17" t="s">
        <v>77</v>
      </c>
      <c r="M17">
        <v>10</v>
      </c>
      <c r="O17">
        <v>0</v>
      </c>
      <c r="P17" t="s">
        <v>52</v>
      </c>
      <c r="Q17" t="s">
        <v>64</v>
      </c>
      <c r="R17">
        <v>0</v>
      </c>
      <c r="S17">
        <v>75</v>
      </c>
      <c r="T17">
        <v>75</v>
      </c>
      <c r="U17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DD46-1F45-430B-B9D6-EEE1AD29BEBF}">
  <dimension ref="A1:X18"/>
  <sheetViews>
    <sheetView tabSelected="1" workbookViewId="0">
      <selection activeCell="D18" sqref="D18"/>
    </sheetView>
  </sheetViews>
  <sheetFormatPr defaultRowHeight="14.4" x14ac:dyDescent="0.3"/>
  <cols>
    <col min="1" max="1" width="10" customWidth="1"/>
    <col min="2" max="2" width="12.5546875" bestFit="1" customWidth="1"/>
    <col min="3" max="3" width="16" customWidth="1"/>
    <col min="4" max="5" width="15" customWidth="1"/>
    <col min="7" max="8" width="12.6640625" customWidth="1"/>
    <col min="9" max="9" width="13.6640625" customWidth="1"/>
    <col min="10" max="11" width="13.44140625" customWidth="1"/>
    <col min="12" max="12" width="16.6640625" customWidth="1"/>
    <col min="13" max="13" width="6.6640625" customWidth="1"/>
    <col min="14" max="14" width="9.21875" customWidth="1"/>
    <col min="15" max="15" width="10.109375" customWidth="1"/>
    <col min="16" max="16" width="10.21875" customWidth="1"/>
    <col min="18" max="18" width="26" bestFit="1" customWidth="1"/>
    <col min="19" max="19" width="22.44140625" bestFit="1" customWidth="1"/>
  </cols>
  <sheetData>
    <row r="1" spans="1:24" x14ac:dyDescent="0.3">
      <c r="A1" t="s">
        <v>19</v>
      </c>
      <c r="C1" t="s">
        <v>20</v>
      </c>
      <c r="D1" t="s">
        <v>21</v>
      </c>
      <c r="F1" t="s">
        <v>23</v>
      </c>
      <c r="G1" t="s">
        <v>24</v>
      </c>
      <c r="I1" t="s">
        <v>25</v>
      </c>
      <c r="J1" t="s">
        <v>27</v>
      </c>
      <c r="K1" t="s">
        <v>28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24" x14ac:dyDescent="0.3">
      <c r="A2" s="2">
        <v>16849453</v>
      </c>
      <c r="B2" s="2" t="s">
        <v>89</v>
      </c>
      <c r="C2" t="s">
        <v>41</v>
      </c>
      <c r="D2" t="s">
        <v>42</v>
      </c>
      <c r="E2" t="str">
        <f>CONCATENATE(D2,7)</f>
        <v>DSURCS7</v>
      </c>
      <c r="F2" t="s">
        <v>44</v>
      </c>
      <c r="G2" t="s">
        <v>45</v>
      </c>
      <c r="H2" t="str">
        <f>CONCATENATE(F2," ",G2)</f>
        <v>THERESA SHANK</v>
      </c>
      <c r="I2" t="s">
        <v>46</v>
      </c>
      <c r="J2" t="s">
        <v>48</v>
      </c>
      <c r="K2" s="5">
        <v>46203</v>
      </c>
      <c r="L2" t="s">
        <v>52</v>
      </c>
      <c r="M2" t="s">
        <v>53</v>
      </c>
      <c r="N2">
        <v>-173.5</v>
      </c>
      <c r="O2">
        <v>-100</v>
      </c>
      <c r="P2">
        <v>-273.5</v>
      </c>
      <c r="Q2">
        <v>-173.5</v>
      </c>
      <c r="R2" t="s">
        <v>85</v>
      </c>
      <c r="S2" t="s">
        <v>87</v>
      </c>
    </row>
    <row r="3" spans="1:24" x14ac:dyDescent="0.3">
      <c r="A3" s="3">
        <v>16849453</v>
      </c>
      <c r="B3" s="3" t="str">
        <f>CONCATENATE(A3,"OVR")</f>
        <v>16849453OVR</v>
      </c>
      <c r="C3" s="1" t="s">
        <v>41</v>
      </c>
      <c r="D3" s="1" t="s">
        <v>42</v>
      </c>
      <c r="E3" s="1" t="str">
        <f>CONCATENATE(D3,"OVR")</f>
        <v>DSURCSOVR</v>
      </c>
      <c r="F3" s="1" t="s">
        <v>44</v>
      </c>
      <c r="G3" s="1" t="s">
        <v>45</v>
      </c>
      <c r="H3" t="str">
        <f t="shared" ref="H3:H18" si="0">CONCATENATE(F3," ",G3)</f>
        <v>THERESA SHANK</v>
      </c>
      <c r="I3" s="1" t="s">
        <v>46</v>
      </c>
      <c r="J3" s="1" t="s">
        <v>48</v>
      </c>
      <c r="K3" s="4">
        <v>46203</v>
      </c>
      <c r="L3" s="1" t="s">
        <v>52</v>
      </c>
      <c r="M3" s="1" t="s">
        <v>53</v>
      </c>
      <c r="N3" s="1">
        <v>-173.5</v>
      </c>
      <c r="O3" s="1">
        <v>-100</v>
      </c>
      <c r="P3" s="1">
        <v>-273.5</v>
      </c>
      <c r="Q3" s="1">
        <v>-100</v>
      </c>
      <c r="R3" s="1" t="s">
        <v>86</v>
      </c>
      <c r="S3" s="1"/>
      <c r="T3" s="1"/>
      <c r="U3" s="1"/>
      <c r="V3" s="1"/>
      <c r="W3" s="1"/>
      <c r="X3" s="1"/>
    </row>
    <row r="4" spans="1:24" s="1" customFormat="1" x14ac:dyDescent="0.3">
      <c r="A4" s="3">
        <v>7565575</v>
      </c>
      <c r="B4" s="3" t="str">
        <f t="shared" ref="B4:B13" si="1">CONCATENATE(A4,"OVR")</f>
        <v>7565575OVR</v>
      </c>
      <c r="C4" s="1" t="s">
        <v>55</v>
      </c>
      <c r="D4" s="1" t="s">
        <v>56</v>
      </c>
      <c r="E4" s="1" t="str">
        <f t="shared" ref="E4:E13" si="2">CONCATENATE(D4,"OVR")</f>
        <v>DHF8C5OVR</v>
      </c>
      <c r="F4" s="1" t="s">
        <v>58</v>
      </c>
      <c r="G4" s="1" t="s">
        <v>59</v>
      </c>
      <c r="H4" t="str">
        <f t="shared" si="0"/>
        <v>JAMES KOWALSKI</v>
      </c>
      <c r="I4" s="1" t="s">
        <v>60</v>
      </c>
      <c r="J4" s="1" t="s">
        <v>62</v>
      </c>
      <c r="K4" s="4">
        <v>46387</v>
      </c>
      <c r="L4" s="1" t="s">
        <v>52</v>
      </c>
      <c r="M4" s="1" t="s">
        <v>64</v>
      </c>
      <c r="N4" s="1">
        <v>0</v>
      </c>
      <c r="O4" s="1">
        <v>75</v>
      </c>
      <c r="P4" s="1">
        <v>75</v>
      </c>
      <c r="Q4" s="1">
        <v>75</v>
      </c>
      <c r="R4" s="1" t="s">
        <v>86</v>
      </c>
    </row>
    <row r="5" spans="1:24" s="1" customFormat="1" x14ac:dyDescent="0.3">
      <c r="A5" s="3">
        <v>16849453</v>
      </c>
      <c r="B5" s="3" t="str">
        <f t="shared" si="1"/>
        <v>16849453OVR</v>
      </c>
      <c r="C5" s="1" t="s">
        <v>41</v>
      </c>
      <c r="D5" s="1" t="s">
        <v>65</v>
      </c>
      <c r="E5" s="1" t="str">
        <f t="shared" si="2"/>
        <v>DYKZKKOVR</v>
      </c>
      <c r="F5" s="1" t="s">
        <v>67</v>
      </c>
      <c r="G5" s="1" t="s">
        <v>68</v>
      </c>
      <c r="H5" t="str">
        <f t="shared" si="0"/>
        <v>BALFOUR LONG</v>
      </c>
      <c r="I5" s="1" t="s">
        <v>46</v>
      </c>
      <c r="J5" s="1" t="s">
        <v>69</v>
      </c>
      <c r="K5" s="4">
        <v>46387</v>
      </c>
      <c r="L5" s="1" t="s">
        <v>52</v>
      </c>
      <c r="M5" s="1" t="s">
        <v>64</v>
      </c>
      <c r="N5" s="1">
        <v>0</v>
      </c>
      <c r="O5" s="1">
        <v>75</v>
      </c>
      <c r="P5" s="1">
        <v>75</v>
      </c>
      <c r="Q5" s="1">
        <v>75</v>
      </c>
      <c r="R5" s="1" t="s">
        <v>86</v>
      </c>
    </row>
    <row r="6" spans="1:24" s="1" customFormat="1" x14ac:dyDescent="0.3">
      <c r="A6" s="3">
        <v>19396223</v>
      </c>
      <c r="B6" s="3" t="str">
        <f t="shared" si="1"/>
        <v>19396223OVR</v>
      </c>
      <c r="C6" s="1" t="s">
        <v>71</v>
      </c>
      <c r="D6" s="1" t="s">
        <v>72</v>
      </c>
      <c r="E6" s="1" t="str">
        <f t="shared" si="2"/>
        <v>DA9SF3OVR</v>
      </c>
      <c r="F6" s="1" t="s">
        <v>74</v>
      </c>
      <c r="G6" s="1" t="s">
        <v>75</v>
      </c>
      <c r="H6" t="str">
        <f t="shared" si="0"/>
        <v>ROSEMARIE SCHNUPP</v>
      </c>
      <c r="I6" s="1" t="s">
        <v>60</v>
      </c>
      <c r="J6" s="1" t="s">
        <v>62</v>
      </c>
      <c r="K6" s="4">
        <v>46387</v>
      </c>
      <c r="L6" s="1" t="s">
        <v>52</v>
      </c>
      <c r="M6" s="1" t="s">
        <v>64</v>
      </c>
      <c r="N6" s="1">
        <v>0</v>
      </c>
      <c r="O6" s="1">
        <v>75</v>
      </c>
      <c r="P6" s="1">
        <v>75</v>
      </c>
      <c r="Q6" s="1">
        <v>75</v>
      </c>
      <c r="R6" s="1" t="s">
        <v>86</v>
      </c>
    </row>
    <row r="7" spans="1:24" s="1" customFormat="1" x14ac:dyDescent="0.3">
      <c r="A7" s="3">
        <v>19396223</v>
      </c>
      <c r="B7" s="3" t="str">
        <f t="shared" si="1"/>
        <v>19396223OVR</v>
      </c>
      <c r="C7" s="1" t="s">
        <v>71</v>
      </c>
      <c r="D7" s="1" t="s">
        <v>78</v>
      </c>
      <c r="E7" s="1" t="str">
        <f t="shared" si="2"/>
        <v>DJKF4FOVR</v>
      </c>
      <c r="F7" s="1" t="s">
        <v>80</v>
      </c>
      <c r="G7" s="1" t="s">
        <v>81</v>
      </c>
      <c r="H7" t="str">
        <f t="shared" si="0"/>
        <v>CAROL STEWART</v>
      </c>
      <c r="I7" s="1" t="s">
        <v>60</v>
      </c>
      <c r="J7" s="1" t="s">
        <v>62</v>
      </c>
      <c r="K7" s="4">
        <v>46387</v>
      </c>
      <c r="L7" s="1" t="s">
        <v>52</v>
      </c>
      <c r="M7" s="1" t="s">
        <v>64</v>
      </c>
      <c r="N7" s="1">
        <v>0</v>
      </c>
      <c r="O7" s="1">
        <v>75</v>
      </c>
      <c r="P7" s="1">
        <v>75</v>
      </c>
      <c r="Q7" s="1">
        <v>75</v>
      </c>
      <c r="R7" s="1" t="s">
        <v>86</v>
      </c>
    </row>
    <row r="8" spans="1:24" s="1" customFormat="1" x14ac:dyDescent="0.3">
      <c r="A8" s="3">
        <v>19396223</v>
      </c>
      <c r="B8" s="3" t="str">
        <f t="shared" si="1"/>
        <v>19396223OVR</v>
      </c>
      <c r="C8" s="1" t="s">
        <v>71</v>
      </c>
      <c r="D8" s="1" t="s">
        <v>83</v>
      </c>
      <c r="E8" s="1" t="str">
        <f t="shared" si="2"/>
        <v>D765S3OVR</v>
      </c>
      <c r="F8" s="1" t="s">
        <v>58</v>
      </c>
      <c r="G8" s="1" t="s">
        <v>81</v>
      </c>
      <c r="H8" t="str">
        <f t="shared" si="0"/>
        <v>JAMES STEWART</v>
      </c>
      <c r="I8" s="1" t="s">
        <v>60</v>
      </c>
      <c r="J8" s="1" t="s">
        <v>62</v>
      </c>
      <c r="K8" s="4">
        <v>46387</v>
      </c>
      <c r="L8" s="1" t="s">
        <v>52</v>
      </c>
      <c r="M8" s="1" t="s">
        <v>64</v>
      </c>
      <c r="N8" s="1">
        <v>0</v>
      </c>
      <c r="O8" s="1">
        <v>75</v>
      </c>
      <c r="P8" s="1">
        <v>75</v>
      </c>
      <c r="Q8" s="1">
        <v>75</v>
      </c>
      <c r="R8" s="1" t="s">
        <v>86</v>
      </c>
    </row>
    <row r="9" spans="1:24" s="1" customFormat="1" x14ac:dyDescent="0.3">
      <c r="A9" s="3">
        <v>7565575</v>
      </c>
      <c r="B9" s="3" t="str">
        <f t="shared" si="1"/>
        <v>7565575OVR</v>
      </c>
      <c r="C9" s="1" t="s">
        <v>55</v>
      </c>
      <c r="D9" s="1" t="s">
        <v>56</v>
      </c>
      <c r="E9" s="1" t="str">
        <f t="shared" si="2"/>
        <v>DHF8C5OVR</v>
      </c>
      <c r="F9" s="1" t="s">
        <v>58</v>
      </c>
      <c r="G9" s="1" t="s">
        <v>59</v>
      </c>
      <c r="H9" t="str">
        <f t="shared" si="0"/>
        <v>JAMES KOWALSKI</v>
      </c>
      <c r="I9" s="1" t="s">
        <v>60</v>
      </c>
      <c r="J9" s="1" t="s">
        <v>62</v>
      </c>
      <c r="K9" s="4">
        <v>46387</v>
      </c>
      <c r="L9" s="1" t="s">
        <v>52</v>
      </c>
      <c r="M9" s="1" t="s">
        <v>64</v>
      </c>
      <c r="N9" s="1">
        <v>0</v>
      </c>
      <c r="O9" s="1">
        <v>125</v>
      </c>
      <c r="P9" s="1">
        <v>125</v>
      </c>
      <c r="Q9" s="1">
        <v>125</v>
      </c>
      <c r="R9" s="1" t="s">
        <v>86</v>
      </c>
    </row>
    <row r="10" spans="1:24" s="1" customFormat="1" x14ac:dyDescent="0.3">
      <c r="A10" s="3">
        <v>16849453</v>
      </c>
      <c r="B10" s="3" t="str">
        <f t="shared" si="1"/>
        <v>16849453OVR</v>
      </c>
      <c r="C10" s="1" t="s">
        <v>41</v>
      </c>
      <c r="D10" s="1" t="s">
        <v>65</v>
      </c>
      <c r="E10" s="1" t="str">
        <f t="shared" si="2"/>
        <v>DYKZKKOVR</v>
      </c>
      <c r="F10" s="1" t="s">
        <v>67</v>
      </c>
      <c r="G10" s="1" t="s">
        <v>68</v>
      </c>
      <c r="H10" t="str">
        <f t="shared" si="0"/>
        <v>BALFOUR LONG</v>
      </c>
      <c r="I10" s="1" t="s">
        <v>46</v>
      </c>
      <c r="J10" s="1" t="s">
        <v>69</v>
      </c>
      <c r="K10" s="4">
        <v>46387</v>
      </c>
      <c r="L10" s="1" t="s">
        <v>52</v>
      </c>
      <c r="M10" s="1" t="s">
        <v>64</v>
      </c>
      <c r="N10" s="1">
        <v>0</v>
      </c>
      <c r="O10" s="1">
        <v>125</v>
      </c>
      <c r="P10" s="1">
        <v>125</v>
      </c>
      <c r="Q10" s="1">
        <v>125</v>
      </c>
      <c r="R10" s="1" t="s">
        <v>86</v>
      </c>
    </row>
    <row r="11" spans="1:24" s="1" customFormat="1" x14ac:dyDescent="0.3">
      <c r="A11" s="3">
        <v>19396223</v>
      </c>
      <c r="B11" s="3" t="str">
        <f t="shared" si="1"/>
        <v>19396223OVR</v>
      </c>
      <c r="C11" s="1" t="s">
        <v>71</v>
      </c>
      <c r="D11" s="1" t="s">
        <v>72</v>
      </c>
      <c r="E11" s="1" t="str">
        <f t="shared" si="2"/>
        <v>DA9SF3OVR</v>
      </c>
      <c r="F11" s="1" t="s">
        <v>74</v>
      </c>
      <c r="G11" s="1" t="s">
        <v>75</v>
      </c>
      <c r="H11" t="str">
        <f t="shared" si="0"/>
        <v>ROSEMARIE SCHNUPP</v>
      </c>
      <c r="I11" s="1" t="s">
        <v>60</v>
      </c>
      <c r="J11" s="1" t="s">
        <v>62</v>
      </c>
      <c r="K11" s="4">
        <v>46387</v>
      </c>
      <c r="L11" s="1" t="s">
        <v>52</v>
      </c>
      <c r="M11" s="1" t="s">
        <v>64</v>
      </c>
      <c r="N11" s="1">
        <v>0</v>
      </c>
      <c r="O11" s="1">
        <v>125</v>
      </c>
      <c r="P11" s="1">
        <v>125</v>
      </c>
      <c r="Q11" s="1">
        <v>125</v>
      </c>
      <c r="R11" s="1" t="s">
        <v>86</v>
      </c>
    </row>
    <row r="12" spans="1:24" s="1" customFormat="1" x14ac:dyDescent="0.3">
      <c r="A12" s="3">
        <v>19396223</v>
      </c>
      <c r="B12" s="3" t="str">
        <f t="shared" si="1"/>
        <v>19396223OVR</v>
      </c>
      <c r="C12" s="1" t="s">
        <v>71</v>
      </c>
      <c r="D12" s="1" t="s">
        <v>78</v>
      </c>
      <c r="E12" s="1" t="str">
        <f t="shared" si="2"/>
        <v>DJKF4FOVR</v>
      </c>
      <c r="F12" s="1" t="s">
        <v>80</v>
      </c>
      <c r="G12" s="1" t="s">
        <v>81</v>
      </c>
      <c r="H12" t="str">
        <f t="shared" si="0"/>
        <v>CAROL STEWART</v>
      </c>
      <c r="I12" s="1" t="s">
        <v>60</v>
      </c>
      <c r="J12" s="1" t="s">
        <v>62</v>
      </c>
      <c r="K12" s="4">
        <v>46387</v>
      </c>
      <c r="L12" s="1" t="s">
        <v>52</v>
      </c>
      <c r="M12" s="1" t="s">
        <v>64</v>
      </c>
      <c r="N12" s="1">
        <v>0</v>
      </c>
      <c r="O12" s="1">
        <v>125</v>
      </c>
      <c r="P12" s="1">
        <v>125</v>
      </c>
      <c r="Q12" s="1">
        <v>125</v>
      </c>
      <c r="R12" s="1" t="s">
        <v>86</v>
      </c>
    </row>
    <row r="13" spans="1:24" s="1" customFormat="1" x14ac:dyDescent="0.3">
      <c r="A13" s="3">
        <v>19396223</v>
      </c>
      <c r="B13" s="3" t="str">
        <f t="shared" si="1"/>
        <v>19396223OVR</v>
      </c>
      <c r="C13" s="1" t="s">
        <v>71</v>
      </c>
      <c r="D13" s="1" t="s">
        <v>83</v>
      </c>
      <c r="E13" s="1" t="str">
        <f t="shared" si="2"/>
        <v>D765S3OVR</v>
      </c>
      <c r="F13" s="1" t="s">
        <v>58</v>
      </c>
      <c r="G13" s="1" t="s">
        <v>81</v>
      </c>
      <c r="H13" t="str">
        <f t="shared" si="0"/>
        <v>JAMES STEWART</v>
      </c>
      <c r="I13" s="1" t="s">
        <v>60</v>
      </c>
      <c r="J13" s="1" t="s">
        <v>62</v>
      </c>
      <c r="K13" s="4">
        <v>46387</v>
      </c>
      <c r="L13" s="1" t="s">
        <v>52</v>
      </c>
      <c r="M13" s="1" t="s">
        <v>64</v>
      </c>
      <c r="N13" s="1">
        <v>0</v>
      </c>
      <c r="O13" s="1">
        <v>125</v>
      </c>
      <c r="P13" s="1">
        <v>125</v>
      </c>
      <c r="Q13" s="1">
        <v>125</v>
      </c>
      <c r="R13" s="1" t="s">
        <v>86</v>
      </c>
    </row>
    <row r="14" spans="1:24" s="1" customFormat="1" x14ac:dyDescent="0.3">
      <c r="A14" s="2">
        <v>16849453</v>
      </c>
      <c r="B14" s="2">
        <v>16849453</v>
      </c>
      <c r="C14" t="s">
        <v>41</v>
      </c>
      <c r="D14" t="s">
        <v>65</v>
      </c>
      <c r="E14" t="str">
        <f t="shared" ref="E14:E18" si="3">CONCATENATE(D14,7)</f>
        <v>DYKZKK7</v>
      </c>
      <c r="F14" t="s">
        <v>67</v>
      </c>
      <c r="G14" t="s">
        <v>68</v>
      </c>
      <c r="H14" t="str">
        <f t="shared" si="0"/>
        <v>BALFOUR LONG</v>
      </c>
      <c r="I14" t="s">
        <v>46</v>
      </c>
      <c r="J14" t="s">
        <v>69</v>
      </c>
      <c r="K14" s="5">
        <v>46387</v>
      </c>
      <c r="L14" t="s">
        <v>52</v>
      </c>
      <c r="M14" t="s">
        <v>64</v>
      </c>
      <c r="N14">
        <v>144.58000000000001</v>
      </c>
      <c r="O14">
        <v>0</v>
      </c>
      <c r="P14">
        <v>144.58000000000001</v>
      </c>
      <c r="Q14">
        <v>144.58000000000001</v>
      </c>
      <c r="R14" t="s">
        <v>85</v>
      </c>
      <c r="S14" t="s">
        <v>88</v>
      </c>
      <c r="T14">
        <f>347/12*5</f>
        <v>144.58333333333334</v>
      </c>
      <c r="U14"/>
      <c r="V14"/>
      <c r="W14"/>
      <c r="X14"/>
    </row>
    <row r="15" spans="1:24" s="1" customFormat="1" x14ac:dyDescent="0.3">
      <c r="A15" s="2">
        <v>7565575</v>
      </c>
      <c r="B15" s="2">
        <v>7565575</v>
      </c>
      <c r="C15" t="s">
        <v>55</v>
      </c>
      <c r="D15" t="s">
        <v>56</v>
      </c>
      <c r="E15" t="str">
        <f t="shared" si="3"/>
        <v>DHF8C57</v>
      </c>
      <c r="F15" t="s">
        <v>58</v>
      </c>
      <c r="G15" t="s">
        <v>59</v>
      </c>
      <c r="H15" t="str">
        <f t="shared" si="0"/>
        <v>JAMES KOWALSKI</v>
      </c>
      <c r="I15" t="s">
        <v>60</v>
      </c>
      <c r="J15" t="s">
        <v>62</v>
      </c>
      <c r="K15" s="5">
        <v>46387</v>
      </c>
      <c r="L15" t="s">
        <v>52</v>
      </c>
      <c r="M15" t="s">
        <v>64</v>
      </c>
      <c r="N15">
        <v>173.5</v>
      </c>
      <c r="O15">
        <v>0</v>
      </c>
      <c r="P15">
        <v>173.5</v>
      </c>
      <c r="Q15">
        <v>173.5</v>
      </c>
      <c r="R15" t="s">
        <v>85</v>
      </c>
      <c r="S15" t="s">
        <v>87</v>
      </c>
      <c r="T15">
        <f>347/12*6</f>
        <v>173.5</v>
      </c>
      <c r="U15"/>
      <c r="V15"/>
      <c r="W15"/>
      <c r="X15"/>
    </row>
    <row r="16" spans="1:24" s="1" customFormat="1" x14ac:dyDescent="0.3">
      <c r="A16" s="2">
        <v>19396223</v>
      </c>
      <c r="B16" s="2">
        <v>19396223</v>
      </c>
      <c r="C16" t="s">
        <v>71</v>
      </c>
      <c r="D16" t="s">
        <v>72</v>
      </c>
      <c r="E16" t="str">
        <f t="shared" si="3"/>
        <v>DA9SF37</v>
      </c>
      <c r="F16" t="s">
        <v>74</v>
      </c>
      <c r="G16" t="s">
        <v>75</v>
      </c>
      <c r="H16" t="str">
        <f t="shared" si="0"/>
        <v>ROSEMARIE SCHNUPP</v>
      </c>
      <c r="I16" t="s">
        <v>60</v>
      </c>
      <c r="J16" t="s">
        <v>62</v>
      </c>
      <c r="K16" s="5">
        <v>46387</v>
      </c>
      <c r="L16" t="s">
        <v>52</v>
      </c>
      <c r="M16" t="s">
        <v>64</v>
      </c>
      <c r="N16">
        <v>173.5</v>
      </c>
      <c r="O16">
        <v>0</v>
      </c>
      <c r="P16">
        <v>173.5</v>
      </c>
      <c r="Q16">
        <v>173.5</v>
      </c>
      <c r="R16" t="s">
        <v>85</v>
      </c>
      <c r="S16" t="s">
        <v>87</v>
      </c>
      <c r="T16"/>
      <c r="U16"/>
      <c r="V16"/>
      <c r="W16"/>
      <c r="X16"/>
    </row>
    <row r="17" spans="1:24" s="1" customFormat="1" x14ac:dyDescent="0.3">
      <c r="A17" s="2">
        <v>19396223</v>
      </c>
      <c r="B17" s="2">
        <v>19396223</v>
      </c>
      <c r="C17" t="s">
        <v>71</v>
      </c>
      <c r="D17" t="s">
        <v>78</v>
      </c>
      <c r="E17" t="str">
        <f t="shared" si="3"/>
        <v>DJKF4F7</v>
      </c>
      <c r="F17" t="s">
        <v>80</v>
      </c>
      <c r="G17" t="s">
        <v>81</v>
      </c>
      <c r="H17" t="str">
        <f t="shared" si="0"/>
        <v>CAROL STEWART</v>
      </c>
      <c r="I17" t="s">
        <v>60</v>
      </c>
      <c r="J17" t="s">
        <v>62</v>
      </c>
      <c r="K17" s="5">
        <v>46387</v>
      </c>
      <c r="L17" t="s">
        <v>52</v>
      </c>
      <c r="M17" t="s">
        <v>64</v>
      </c>
      <c r="N17">
        <v>173.5</v>
      </c>
      <c r="O17">
        <v>0</v>
      </c>
      <c r="P17">
        <v>173.5</v>
      </c>
      <c r="Q17">
        <v>173.5</v>
      </c>
      <c r="R17" t="s">
        <v>85</v>
      </c>
      <c r="S17" t="s">
        <v>87</v>
      </c>
      <c r="T17"/>
      <c r="U17"/>
      <c r="V17"/>
      <c r="W17"/>
      <c r="X17"/>
    </row>
    <row r="18" spans="1:24" s="1" customFormat="1" x14ac:dyDescent="0.3">
      <c r="A18" s="2">
        <v>19396223</v>
      </c>
      <c r="B18" s="2">
        <v>19396223</v>
      </c>
      <c r="C18" t="s">
        <v>71</v>
      </c>
      <c r="D18" t="s">
        <v>83</v>
      </c>
      <c r="E18" t="str">
        <f t="shared" si="3"/>
        <v>D765S37</v>
      </c>
      <c r="F18" t="s">
        <v>58</v>
      </c>
      <c r="G18" t="s">
        <v>81</v>
      </c>
      <c r="H18" t="str">
        <f t="shared" si="0"/>
        <v>JAMES STEWART</v>
      </c>
      <c r="I18" t="s">
        <v>60</v>
      </c>
      <c r="J18" t="s">
        <v>62</v>
      </c>
      <c r="K18" s="5">
        <v>46387</v>
      </c>
      <c r="L18" t="s">
        <v>52</v>
      </c>
      <c r="M18" t="s">
        <v>64</v>
      </c>
      <c r="N18">
        <v>173.5</v>
      </c>
      <c r="O18">
        <v>0</v>
      </c>
      <c r="P18">
        <v>173.5</v>
      </c>
      <c r="Q18">
        <v>173.5</v>
      </c>
      <c r="R18" t="s">
        <v>85</v>
      </c>
      <c r="S18" t="s">
        <v>87</v>
      </c>
      <c r="T18"/>
      <c r="U18"/>
      <c r="V18"/>
      <c r="W18"/>
      <c r="X18"/>
    </row>
  </sheetData>
  <sortState xmlns:xlrd2="http://schemas.microsoft.com/office/spreadsheetml/2017/richdata2" ref="A2:X18">
    <sortCondition ref="Q2:Q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2026-06-20T07:04:13Z</dcterms:created>
  <dcterms:modified xsi:type="dcterms:W3CDTF">2026-06-22T20:37:32Z</dcterms:modified>
</cp:coreProperties>
</file>