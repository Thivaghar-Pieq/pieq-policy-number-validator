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4nyFmMDq0Y58rAu/mPKWurhX3XSMjq7QHyhJKUIArBI="/>
    </ext>
  </extLst>
</workbook>
</file>

<file path=xl/sharedStrings.xml><?xml version="1.0" encoding="utf-8"?>
<sst xmlns="http://schemas.openxmlformats.org/spreadsheetml/2006/main" count="572" uniqueCount="129">
  <si>
    <t>Description</t>
  </si>
  <si>
    <t>Member Count</t>
  </si>
  <si>
    <t>Total</t>
  </si>
  <si>
    <t>Payee</t>
  </si>
  <si>
    <t>Payment Date</t>
  </si>
  <si>
    <t>Credits</t>
  </si>
  <si>
    <t>Main Line Benefits LLC</t>
  </si>
  <si>
    <t>04/17/2026</t>
  </si>
  <si>
    <t>Debits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</si>
  <si>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</si>
  <si>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</si>
  <si>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</si>
  <si>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</si>
  <si>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</si>
  <si>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</si>
  <si>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</si>
  <si>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</si>
  <si>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</si>
  <si>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</si>
  <si>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</si>
  <si>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</si>
  <si>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</si>
  <si>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</si>
  <si>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</si>
  <si>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</si>
  <si>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</si>
  <si>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</si>
  <si>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</si>
  <si>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</si>
  <si>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</si>
  <si>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</si>
  <si>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</si>
  <si>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</si>
  <si>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</si>
  <si>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</si>
  <si>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</si>
  <si>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17094718</t>
  </si>
  <si>
    <t>Greg Hansford</t>
  </si>
  <si>
    <t>DCHCZ8</t>
  </si>
  <si>
    <t>4J84NU9WF81</t>
  </si>
  <si>
    <t>LUPE</t>
  </si>
  <si>
    <t>GOMEZ</t>
  </si>
  <si>
    <t>AZ</t>
  </si>
  <si>
    <t>11/11/2025</t>
  </si>
  <si>
    <t>01/01/2026</t>
  </si>
  <si>
    <t>03/31/2026</t>
  </si>
  <si>
    <t>H8173</t>
  </si>
  <si>
    <t>MAPD</t>
  </si>
  <si>
    <t>Initial - Not New</t>
  </si>
  <si>
    <t>Jan</t>
  </si>
  <si>
    <t>19586992</t>
  </si>
  <si>
    <t>Barry Schumann</t>
  </si>
  <si>
    <t>DHEJ45</t>
  </si>
  <si>
    <t>6KC5RQ3WX60</t>
  </si>
  <si>
    <t>BONNIE</t>
  </si>
  <si>
    <t>PHILLIPS</t>
  </si>
  <si>
    <t>TX</t>
  </si>
  <si>
    <t>03/11/2026</t>
  </si>
  <si>
    <t>06/01/2026</t>
  </si>
  <si>
    <t>H7993</t>
  </si>
  <si>
    <t>NONE</t>
  </si>
  <si>
    <t>Initial - New</t>
  </si>
  <si>
    <t>Mar</t>
  </si>
  <si>
    <t>16170994</t>
  </si>
  <si>
    <t>Ryan Shepard</t>
  </si>
  <si>
    <t>DF7J3U</t>
  </si>
  <si>
    <t>2JE9DH9YH30</t>
  </si>
  <si>
    <t>IVETTE</t>
  </si>
  <si>
    <t>MORALES</t>
  </si>
  <si>
    <t>OH</t>
  </si>
  <si>
    <t>03/18/2026</t>
  </si>
  <si>
    <t>04/01/2026</t>
  </si>
  <si>
    <t>H2697</t>
  </si>
  <si>
    <t>Apr</t>
  </si>
  <si>
    <t>19645587</t>
  </si>
  <si>
    <t>Stacey Portugal</t>
  </si>
  <si>
    <t>DUEH7H</t>
  </si>
  <si>
    <t>4AD8Y16UX68</t>
  </si>
  <si>
    <t>QUOVADIS</t>
  </si>
  <si>
    <t>DAVIS</t>
  </si>
  <si>
    <t>IL</t>
  </si>
  <si>
    <t>03/23/2026</t>
  </si>
  <si>
    <t>H7151</t>
  </si>
  <si>
    <t>20212926</t>
  </si>
  <si>
    <t>Jose Torres</t>
  </si>
  <si>
    <t>D7WR36</t>
  </si>
  <si>
    <t>2NU3A21XE77</t>
  </si>
  <si>
    <t>HUMBERTO</t>
  </si>
  <si>
    <t>GALARZA</t>
  </si>
  <si>
    <t>03/27/2026</t>
  </si>
  <si>
    <t>9213293</t>
  </si>
  <si>
    <t>Gary Portugal</t>
  </si>
  <si>
    <t>DW4Y7Y</t>
  </si>
  <si>
    <t>4HF9PJ3AU30</t>
  </si>
  <si>
    <t>KATHRYN</t>
  </si>
  <si>
    <t>CHAPPELL</t>
  </si>
  <si>
    <t>OR</t>
  </si>
  <si>
    <t>03/29/2026</t>
  </si>
  <si>
    <t>H2923</t>
  </si>
  <si>
    <t>17301495</t>
  </si>
  <si>
    <t>Esther Herrera-Larsen</t>
  </si>
  <si>
    <t>DEHCC4</t>
  </si>
  <si>
    <t>7K62GA8AA25</t>
  </si>
  <si>
    <t>PONCIANO</t>
  </si>
  <si>
    <t>GONZALEZ</t>
  </si>
  <si>
    <t>DK8HH5</t>
  </si>
  <si>
    <t>7XU7XN7YG59</t>
  </si>
  <si>
    <t>ROBERT</t>
  </si>
  <si>
    <t>HERRON</t>
  </si>
  <si>
    <t>03/30/2026</t>
  </si>
  <si>
    <t>16849453</t>
  </si>
  <si>
    <t>Danna Green</t>
  </si>
  <si>
    <t>D868YS</t>
  </si>
  <si>
    <t>7JF3EF6DE06</t>
  </si>
  <si>
    <t>LORAINE</t>
  </si>
  <si>
    <t>LEWIS</t>
  </si>
  <si>
    <t>IN</t>
  </si>
  <si>
    <t>H7471</t>
  </si>
  <si>
    <t>D3A39Z</t>
  </si>
  <si>
    <t>5D63NE9FW11</t>
  </si>
  <si>
    <t>LAWRENCE</t>
  </si>
  <si>
    <t>TRUEBLOOD</t>
  </si>
  <si>
    <t>Devoted Health 2026</t>
  </si>
  <si>
    <t>[%/$=694]</t>
  </si>
  <si>
    <t>Devoted Health MAPD 2026*</t>
  </si>
  <si>
    <t>[%/$=347][prorate=9/12]</t>
  </si>
  <si>
    <t>[%/$=347][prorate=7/12]</t>
  </si>
  <si>
    <t>Main Line Benefits</t>
  </si>
  <si>
    <t>Devoted MAPD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</si>
</sst>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15.0"/>
    <col customWidth="1" min="4" max="4" width="9.43"/>
    <col customWidth="1" min="5" max="5" width="25.0"/>
    <col customWidth="1" min="6" max="6" width="2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</row>
    <row r="2">
      <c r="A2" s="1" t="s">
        <v>5</v>
      </c>
      <c r="B2" s="1">
        <v>9.0</v>
      </c>
      <c r="C2" s="2">
        <v>3920.59</v>
      </c>
      <c r="E2" s="1" t="s">
        <v>6</v>
      </c>
      <c r="F2" s="1" t="s">
        <v>7</v>
      </c>
    </row>
    <row r="3">
      <c r="A3" s="1" t="s">
        <v>8</v>
      </c>
      <c r="B3" s="1">
        <v>1.0</v>
      </c>
      <c r="C3" s="2">
        <v>-410.25</v>
      </c>
    </row>
    <row r="4">
      <c r="A4" s="1" t="s">
        <v>9</v>
      </c>
      <c r="B4" s="1">
        <v>0.0</v>
      </c>
      <c r="C4" s="2">
        <v>0.0</v>
      </c>
    </row>
    <row r="5">
      <c r="A5" s="1" t="s">
        <v>10</v>
      </c>
      <c r="C5" s="2">
        <v>0.0</v>
      </c>
    </row>
    <row r="6">
      <c r="A6" s="1" t="s">
        <v>11</v>
      </c>
      <c r="B6" s="1">
        <v>10.0</v>
      </c>
      <c r="C6" s="2">
        <v>2729.59</v>
      </c>
    </row>
    <row r="7">
      <c r="A7" s="1" t="s">
        <v>12</v>
      </c>
      <c r="C7" s="2">
        <v>-780.75</v>
      </c>
    </row>
    <row r="8">
      <c r="A8" s="1" t="s">
        <v>13</v>
      </c>
      <c r="C8" s="2">
        <v>2729.59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25.0"/>
    <col customWidth="1" min="4" max="4" width="15.0"/>
    <col customWidth="1" min="5" max="6" width="9.43"/>
    <col customWidth="1" min="7" max="7" width="12.71"/>
    <col customWidth="1" min="8" max="8" width="13.71"/>
    <col customWidth="1" min="9" max="9" width="14.14"/>
    <col customWidth="1" min="10" max="11" width="13.43"/>
    <col customWidth="1" min="12" max="12" width="8.71"/>
    <col customWidth="1" min="13" max="13" width="4.29"/>
    <col customWidth="1" min="14" max="14" width="14.29"/>
    <col customWidth="1" min="15" max="15" width="14.71"/>
    <col customWidth="1" min="16" max="16" width="16.71"/>
    <col customWidth="1" min="17" max="17" width="6.71"/>
    <col customWidth="1" min="18" max="18" width="12.86"/>
    <col customWidth="1" min="19" max="19" width="14.57"/>
    <col customWidth="1" min="20" max="20" width="14.0"/>
    <col customWidth="1" min="21" max="21" width="25.71"/>
    <col customWidth="1" min="22" max="22" width="18.0"/>
    <col customWidth="1" min="23" max="26" width="8.7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>
      <c r="A2" s="1" t="s">
        <v>7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>
        <v>19.0</v>
      </c>
      <c r="N2" s="1" t="s">
        <v>47</v>
      </c>
      <c r="O2" s="1">
        <v>15.0</v>
      </c>
      <c r="P2" s="1" t="s">
        <v>48</v>
      </c>
      <c r="Q2" s="1" t="s">
        <v>49</v>
      </c>
      <c r="R2" s="1">
        <v>-260.25</v>
      </c>
      <c r="S2" s="1">
        <v>-150.0</v>
      </c>
      <c r="T2" s="1">
        <v>-410.25</v>
      </c>
      <c r="U2" s="1" t="s">
        <v>6</v>
      </c>
    </row>
    <row r="3">
      <c r="A3" s="1" t="s">
        <v>7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L3" s="1" t="s">
        <v>59</v>
      </c>
      <c r="M3" s="1">
        <v>19.0</v>
      </c>
      <c r="N3" s="1" t="s">
        <v>60</v>
      </c>
      <c r="O3" s="1">
        <v>-1.0</v>
      </c>
      <c r="P3" s="1" t="s">
        <v>61</v>
      </c>
      <c r="Q3" s="1" t="s">
        <v>62</v>
      </c>
      <c r="R3" s="1">
        <v>491.59</v>
      </c>
      <c r="S3" s="1">
        <v>0.0</v>
      </c>
      <c r="T3" s="1">
        <v>491.59</v>
      </c>
      <c r="U3" s="1" t="s">
        <v>6</v>
      </c>
    </row>
    <row r="4">
      <c r="A4" s="1" t="s">
        <v>7</v>
      </c>
      <c r="B4" s="1" t="s">
        <v>63</v>
      </c>
      <c r="C4" s="1" t="s">
        <v>64</v>
      </c>
      <c r="D4" s="1" t="s">
        <v>65</v>
      </c>
      <c r="E4" s="1" t="s">
        <v>66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L4" s="1" t="s">
        <v>72</v>
      </c>
      <c r="M4" s="1">
        <v>10.0</v>
      </c>
      <c r="N4" s="1" t="s">
        <v>60</v>
      </c>
      <c r="O4" s="1">
        <v>1.0</v>
      </c>
      <c r="P4" s="1" t="s">
        <v>61</v>
      </c>
      <c r="Q4" s="1" t="s">
        <v>73</v>
      </c>
      <c r="R4" s="1">
        <v>433.75</v>
      </c>
      <c r="S4" s="1">
        <v>0.0</v>
      </c>
      <c r="T4" s="1">
        <v>433.75</v>
      </c>
      <c r="U4" s="1" t="s">
        <v>6</v>
      </c>
    </row>
    <row r="5">
      <c r="A5" s="1" t="s">
        <v>7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71</v>
      </c>
      <c r="L5" s="1" t="s">
        <v>82</v>
      </c>
      <c r="M5" s="1">
        <v>3.0</v>
      </c>
      <c r="N5" s="1" t="s">
        <v>47</v>
      </c>
      <c r="O5" s="1">
        <v>1.0</v>
      </c>
      <c r="P5" s="1" t="s">
        <v>61</v>
      </c>
      <c r="Q5" s="1" t="s">
        <v>73</v>
      </c>
      <c r="R5" s="1">
        <v>260.25</v>
      </c>
      <c r="S5" s="1">
        <v>0.0</v>
      </c>
      <c r="T5" s="1">
        <v>260.25</v>
      </c>
      <c r="U5" s="1" t="s">
        <v>6</v>
      </c>
    </row>
    <row r="6">
      <c r="A6" s="1" t="s">
        <v>7</v>
      </c>
      <c r="B6" s="1" t="s">
        <v>83</v>
      </c>
      <c r="C6" s="1" t="s">
        <v>84</v>
      </c>
      <c r="D6" s="1" t="s">
        <v>85</v>
      </c>
      <c r="E6" s="1" t="s">
        <v>86</v>
      </c>
      <c r="F6" s="1" t="s">
        <v>87</v>
      </c>
      <c r="G6" s="1" t="s">
        <v>88</v>
      </c>
      <c r="H6" s="1" t="s">
        <v>80</v>
      </c>
      <c r="I6" s="1" t="s">
        <v>89</v>
      </c>
      <c r="J6" s="1" t="s">
        <v>71</v>
      </c>
      <c r="L6" s="1" t="s">
        <v>82</v>
      </c>
      <c r="M6" s="1">
        <v>3.0</v>
      </c>
      <c r="N6" s="1" t="s">
        <v>60</v>
      </c>
      <c r="O6" s="1">
        <v>1.0</v>
      </c>
      <c r="P6" s="1" t="s">
        <v>61</v>
      </c>
      <c r="Q6" s="1" t="s">
        <v>73</v>
      </c>
      <c r="R6" s="1">
        <v>433.75</v>
      </c>
      <c r="S6" s="1">
        <v>0.0</v>
      </c>
      <c r="T6" s="1">
        <v>433.75</v>
      </c>
      <c r="U6" s="1" t="s">
        <v>6</v>
      </c>
    </row>
    <row r="7">
      <c r="A7" s="1" t="s">
        <v>7</v>
      </c>
      <c r="B7" s="1" t="s">
        <v>90</v>
      </c>
      <c r="C7" s="1" t="s">
        <v>91</v>
      </c>
      <c r="D7" s="1" t="s">
        <v>92</v>
      </c>
      <c r="E7" s="1" t="s">
        <v>93</v>
      </c>
      <c r="F7" s="1" t="s">
        <v>94</v>
      </c>
      <c r="G7" s="1" t="s">
        <v>95</v>
      </c>
      <c r="H7" s="1" t="s">
        <v>96</v>
      </c>
      <c r="I7" s="1" t="s">
        <v>97</v>
      </c>
      <c r="J7" s="1" t="s">
        <v>71</v>
      </c>
      <c r="L7" s="1" t="s">
        <v>98</v>
      </c>
      <c r="M7" s="1">
        <v>4.0</v>
      </c>
      <c r="N7" s="1" t="s">
        <v>47</v>
      </c>
      <c r="O7" s="1">
        <v>11.0</v>
      </c>
      <c r="P7" s="1" t="s">
        <v>48</v>
      </c>
      <c r="Q7" s="1" t="s">
        <v>73</v>
      </c>
      <c r="R7" s="1">
        <v>0.0</v>
      </c>
      <c r="S7" s="1">
        <v>125.0</v>
      </c>
      <c r="T7" s="1">
        <v>125.0</v>
      </c>
      <c r="U7" s="1" t="s">
        <v>6</v>
      </c>
    </row>
    <row r="8">
      <c r="A8" s="1" t="s">
        <v>7</v>
      </c>
      <c r="B8" s="1" t="s">
        <v>90</v>
      </c>
      <c r="C8" s="1" t="s">
        <v>91</v>
      </c>
      <c r="D8" s="1" t="s">
        <v>92</v>
      </c>
      <c r="E8" s="1" t="s">
        <v>93</v>
      </c>
      <c r="F8" s="1" t="s">
        <v>94</v>
      </c>
      <c r="G8" s="1" t="s">
        <v>95</v>
      </c>
      <c r="H8" s="1" t="s">
        <v>96</v>
      </c>
      <c r="I8" s="1" t="s">
        <v>97</v>
      </c>
      <c r="J8" s="1" t="s">
        <v>71</v>
      </c>
      <c r="L8" s="1" t="s">
        <v>98</v>
      </c>
      <c r="M8" s="1">
        <v>4.0</v>
      </c>
      <c r="N8" s="1" t="s">
        <v>47</v>
      </c>
      <c r="O8" s="1">
        <v>11.0</v>
      </c>
      <c r="P8" s="1" t="s">
        <v>48</v>
      </c>
      <c r="Q8" s="1" t="s">
        <v>73</v>
      </c>
      <c r="R8" s="1">
        <v>0.0</v>
      </c>
      <c r="S8" s="1">
        <v>75.0</v>
      </c>
      <c r="T8" s="1">
        <v>75.0</v>
      </c>
      <c r="U8" s="1" t="s">
        <v>6</v>
      </c>
    </row>
    <row r="9">
      <c r="A9" s="1" t="s">
        <v>7</v>
      </c>
      <c r="B9" s="1" t="s">
        <v>90</v>
      </c>
      <c r="C9" s="1" t="s">
        <v>91</v>
      </c>
      <c r="D9" s="1" t="s">
        <v>92</v>
      </c>
      <c r="E9" s="1" t="s">
        <v>93</v>
      </c>
      <c r="F9" s="1" t="s">
        <v>94</v>
      </c>
      <c r="G9" s="1" t="s">
        <v>95</v>
      </c>
      <c r="H9" s="1" t="s">
        <v>96</v>
      </c>
      <c r="I9" s="1" t="s">
        <v>97</v>
      </c>
      <c r="J9" s="1" t="s">
        <v>71</v>
      </c>
      <c r="L9" s="1" t="s">
        <v>98</v>
      </c>
      <c r="M9" s="1">
        <v>4.0</v>
      </c>
      <c r="N9" s="1" t="s">
        <v>47</v>
      </c>
      <c r="O9" s="1">
        <v>11.0</v>
      </c>
      <c r="P9" s="1" t="s">
        <v>48</v>
      </c>
      <c r="Q9" s="1" t="s">
        <v>73</v>
      </c>
      <c r="R9" s="1">
        <v>260.25</v>
      </c>
      <c r="S9" s="1">
        <v>0.0</v>
      </c>
      <c r="T9" s="1">
        <v>260.25</v>
      </c>
      <c r="U9" s="1" t="s">
        <v>6</v>
      </c>
    </row>
    <row r="10">
      <c r="A10" s="1" t="s">
        <v>7</v>
      </c>
      <c r="B10" s="1" t="s">
        <v>99</v>
      </c>
      <c r="C10" s="1" t="s">
        <v>100</v>
      </c>
      <c r="D10" s="1" t="s">
        <v>101</v>
      </c>
      <c r="E10" s="1" t="s">
        <v>102</v>
      </c>
      <c r="F10" s="1" t="s">
        <v>103</v>
      </c>
      <c r="G10" s="1" t="s">
        <v>104</v>
      </c>
      <c r="H10" s="1" t="s">
        <v>80</v>
      </c>
      <c r="I10" s="1" t="s">
        <v>45</v>
      </c>
      <c r="J10" s="1" t="s">
        <v>71</v>
      </c>
      <c r="L10" s="1" t="s">
        <v>82</v>
      </c>
      <c r="M10" s="1">
        <v>6.0</v>
      </c>
      <c r="O10" s="1">
        <v>0.0</v>
      </c>
      <c r="P10" s="1" t="s">
        <v>48</v>
      </c>
      <c r="Q10" s="1" t="s">
        <v>73</v>
      </c>
      <c r="R10" s="1">
        <v>260.25</v>
      </c>
      <c r="S10" s="1">
        <v>0.0</v>
      </c>
      <c r="T10" s="1">
        <v>260.25</v>
      </c>
      <c r="U10" s="1" t="s">
        <v>6</v>
      </c>
    </row>
    <row r="11">
      <c r="A11" s="1" t="s">
        <v>7</v>
      </c>
      <c r="B11" s="1" t="s">
        <v>99</v>
      </c>
      <c r="C11" s="1" t="s">
        <v>100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80</v>
      </c>
      <c r="I11" s="1" t="s">
        <v>45</v>
      </c>
      <c r="J11" s="1" t="s">
        <v>71</v>
      </c>
      <c r="L11" s="1" t="s">
        <v>82</v>
      </c>
      <c r="M11" s="1">
        <v>6.0</v>
      </c>
      <c r="O11" s="1">
        <v>0.0</v>
      </c>
      <c r="P11" s="1" t="s">
        <v>48</v>
      </c>
      <c r="Q11" s="1" t="s">
        <v>73</v>
      </c>
      <c r="R11" s="1">
        <v>0.0</v>
      </c>
      <c r="S11" s="1">
        <v>75.0</v>
      </c>
      <c r="T11" s="1">
        <v>75.0</v>
      </c>
      <c r="U11" s="1" t="s">
        <v>6</v>
      </c>
    </row>
    <row r="12">
      <c r="A12" s="1" t="s">
        <v>7</v>
      </c>
      <c r="B12" s="1" t="s">
        <v>99</v>
      </c>
      <c r="C12" s="1" t="s">
        <v>100</v>
      </c>
      <c r="D12" s="1" t="s">
        <v>101</v>
      </c>
      <c r="E12" s="1" t="s">
        <v>102</v>
      </c>
      <c r="F12" s="1" t="s">
        <v>103</v>
      </c>
      <c r="G12" s="1" t="s">
        <v>104</v>
      </c>
      <c r="H12" s="1" t="s">
        <v>80</v>
      </c>
      <c r="I12" s="1" t="s">
        <v>45</v>
      </c>
      <c r="J12" s="1" t="s">
        <v>71</v>
      </c>
      <c r="L12" s="1" t="s">
        <v>82</v>
      </c>
      <c r="M12" s="1">
        <v>6.0</v>
      </c>
      <c r="O12" s="1">
        <v>0.0</v>
      </c>
      <c r="P12" s="1" t="s">
        <v>48</v>
      </c>
      <c r="Q12" s="1" t="s">
        <v>73</v>
      </c>
      <c r="R12" s="1">
        <v>0.0</v>
      </c>
      <c r="S12" s="1">
        <v>125.0</v>
      </c>
      <c r="T12" s="1">
        <v>125.0</v>
      </c>
      <c r="U12" s="1" t="s">
        <v>6</v>
      </c>
    </row>
    <row r="13">
      <c r="A13" s="1" t="s">
        <v>7</v>
      </c>
      <c r="B13" s="1" t="s">
        <v>36</v>
      </c>
      <c r="C13" s="1" t="s">
        <v>37</v>
      </c>
      <c r="D13" s="1" t="s">
        <v>105</v>
      </c>
      <c r="E13" s="1" t="s">
        <v>106</v>
      </c>
      <c r="F13" s="1" t="s">
        <v>107</v>
      </c>
      <c r="G13" s="1" t="s">
        <v>108</v>
      </c>
      <c r="H13" s="1" t="s">
        <v>42</v>
      </c>
      <c r="I13" s="1" t="s">
        <v>109</v>
      </c>
      <c r="J13" s="1" t="s">
        <v>71</v>
      </c>
      <c r="L13" s="1" t="s">
        <v>46</v>
      </c>
      <c r="M13" s="1">
        <v>14.0</v>
      </c>
      <c r="O13" s="1">
        <v>0.0</v>
      </c>
      <c r="P13" s="1" t="s">
        <v>48</v>
      </c>
      <c r="Q13" s="1" t="s">
        <v>73</v>
      </c>
      <c r="R13" s="1">
        <v>0.0</v>
      </c>
      <c r="S13" s="1">
        <v>75.0</v>
      </c>
      <c r="T13" s="1">
        <v>75.0</v>
      </c>
      <c r="U13" s="1" t="s">
        <v>6</v>
      </c>
    </row>
    <row r="14">
      <c r="A14" s="1" t="s">
        <v>7</v>
      </c>
      <c r="B14" s="1" t="s">
        <v>36</v>
      </c>
      <c r="C14" s="1" t="s">
        <v>37</v>
      </c>
      <c r="D14" s="1" t="s">
        <v>105</v>
      </c>
      <c r="E14" s="1" t="s">
        <v>106</v>
      </c>
      <c r="F14" s="1" t="s">
        <v>107</v>
      </c>
      <c r="G14" s="1" t="s">
        <v>108</v>
      </c>
      <c r="H14" s="1" t="s">
        <v>42</v>
      </c>
      <c r="I14" s="1" t="s">
        <v>109</v>
      </c>
      <c r="J14" s="1" t="s">
        <v>71</v>
      </c>
      <c r="L14" s="1" t="s">
        <v>46</v>
      </c>
      <c r="M14" s="1">
        <v>14.0</v>
      </c>
      <c r="O14" s="1">
        <v>0.0</v>
      </c>
      <c r="P14" s="1" t="s">
        <v>48</v>
      </c>
      <c r="Q14" s="1" t="s">
        <v>73</v>
      </c>
      <c r="R14" s="1">
        <v>0.0</v>
      </c>
      <c r="S14" s="1">
        <v>125.0</v>
      </c>
      <c r="T14" s="1">
        <v>125.0</v>
      </c>
      <c r="U14" s="1" t="s">
        <v>6</v>
      </c>
    </row>
    <row r="15">
      <c r="A15" s="1" t="s">
        <v>7</v>
      </c>
      <c r="B15" s="1" t="s">
        <v>36</v>
      </c>
      <c r="C15" s="1" t="s">
        <v>37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42</v>
      </c>
      <c r="I15" s="1" t="s">
        <v>109</v>
      </c>
      <c r="J15" s="1" t="s">
        <v>71</v>
      </c>
      <c r="L15" s="1" t="s">
        <v>46</v>
      </c>
      <c r="M15" s="1">
        <v>14.0</v>
      </c>
      <c r="O15" s="1">
        <v>0.0</v>
      </c>
      <c r="P15" s="1" t="s">
        <v>48</v>
      </c>
      <c r="Q15" s="1" t="s">
        <v>73</v>
      </c>
      <c r="R15" s="1">
        <v>260.25</v>
      </c>
      <c r="S15" s="1">
        <v>0.0</v>
      </c>
      <c r="T15" s="1">
        <v>260.25</v>
      </c>
      <c r="U15" s="1" t="s">
        <v>6</v>
      </c>
    </row>
    <row r="16">
      <c r="A16" s="1" t="s">
        <v>7</v>
      </c>
      <c r="B16" s="1" t="s">
        <v>110</v>
      </c>
      <c r="C16" s="1" t="s">
        <v>111</v>
      </c>
      <c r="D16" s="1" t="s">
        <v>112</v>
      </c>
      <c r="E16" s="1" t="s">
        <v>113</v>
      </c>
      <c r="F16" s="1" t="s">
        <v>114</v>
      </c>
      <c r="G16" s="1" t="s">
        <v>115</v>
      </c>
      <c r="H16" s="1" t="s">
        <v>116</v>
      </c>
      <c r="I16" s="1" t="s">
        <v>45</v>
      </c>
      <c r="J16" s="1" t="s">
        <v>71</v>
      </c>
      <c r="L16" s="1" t="s">
        <v>117</v>
      </c>
      <c r="M16" s="1">
        <v>11.0</v>
      </c>
      <c r="N16" s="1" t="s">
        <v>47</v>
      </c>
      <c r="O16" s="1">
        <v>17.0</v>
      </c>
      <c r="P16" s="1" t="s">
        <v>48</v>
      </c>
      <c r="Q16" s="1" t="s">
        <v>73</v>
      </c>
      <c r="R16" s="1">
        <v>0.0</v>
      </c>
      <c r="S16" s="1">
        <v>125.0</v>
      </c>
      <c r="T16" s="1">
        <v>125.0</v>
      </c>
      <c r="U16" s="1" t="s">
        <v>6</v>
      </c>
    </row>
    <row r="17">
      <c r="A17" s="1" t="s">
        <v>7</v>
      </c>
      <c r="B17" s="1" t="s">
        <v>110</v>
      </c>
      <c r="C17" s="1" t="s">
        <v>111</v>
      </c>
      <c r="D17" s="1" t="s">
        <v>112</v>
      </c>
      <c r="E17" s="1" t="s">
        <v>113</v>
      </c>
      <c r="F17" s="1" t="s">
        <v>114</v>
      </c>
      <c r="G17" s="1" t="s">
        <v>115</v>
      </c>
      <c r="H17" s="1" t="s">
        <v>116</v>
      </c>
      <c r="I17" s="1" t="s">
        <v>45</v>
      </c>
      <c r="J17" s="1" t="s">
        <v>71</v>
      </c>
      <c r="L17" s="1" t="s">
        <v>117</v>
      </c>
      <c r="M17" s="1">
        <v>11.0</v>
      </c>
      <c r="N17" s="1" t="s">
        <v>47</v>
      </c>
      <c r="O17" s="1">
        <v>17.0</v>
      </c>
      <c r="P17" s="1" t="s">
        <v>48</v>
      </c>
      <c r="Q17" s="1" t="s">
        <v>73</v>
      </c>
      <c r="R17" s="1">
        <v>0.0</v>
      </c>
      <c r="S17" s="1">
        <v>75.0</v>
      </c>
      <c r="T17" s="1">
        <v>75.0</v>
      </c>
      <c r="U17" s="1" t="s">
        <v>6</v>
      </c>
    </row>
    <row r="18">
      <c r="A18" s="1" t="s">
        <v>7</v>
      </c>
      <c r="B18" s="1" t="s">
        <v>110</v>
      </c>
      <c r="C18" s="1" t="s">
        <v>111</v>
      </c>
      <c r="D18" s="1" t="s">
        <v>112</v>
      </c>
      <c r="E18" s="1" t="s">
        <v>113</v>
      </c>
      <c r="F18" s="1" t="s">
        <v>114</v>
      </c>
      <c r="G18" s="1" t="s">
        <v>115</v>
      </c>
      <c r="H18" s="1" t="s">
        <v>116</v>
      </c>
      <c r="I18" s="1" t="s">
        <v>45</v>
      </c>
      <c r="J18" s="1" t="s">
        <v>71</v>
      </c>
      <c r="L18" s="1" t="s">
        <v>117</v>
      </c>
      <c r="M18" s="1">
        <v>11.0</v>
      </c>
      <c r="N18" s="1" t="s">
        <v>47</v>
      </c>
      <c r="O18" s="1">
        <v>17.0</v>
      </c>
      <c r="P18" s="1" t="s">
        <v>48</v>
      </c>
      <c r="Q18" s="1" t="s">
        <v>73</v>
      </c>
      <c r="R18" s="1">
        <v>260.25</v>
      </c>
      <c r="S18" s="1">
        <v>0.0</v>
      </c>
      <c r="T18" s="1">
        <v>260.25</v>
      </c>
      <c r="U18" s="1" t="s">
        <v>6</v>
      </c>
    </row>
    <row r="19">
      <c r="A19" s="1" t="s">
        <v>7</v>
      </c>
      <c r="B19" s="1" t="s">
        <v>99</v>
      </c>
      <c r="C19" s="1" t="s">
        <v>100</v>
      </c>
      <c r="D19" s="1" t="s">
        <v>118</v>
      </c>
      <c r="E19" s="1" t="s">
        <v>119</v>
      </c>
      <c r="F19" s="1" t="s">
        <v>120</v>
      </c>
      <c r="G19" s="1" t="s">
        <v>121</v>
      </c>
      <c r="H19" s="1" t="s">
        <v>116</v>
      </c>
      <c r="I19" s="1" t="s">
        <v>109</v>
      </c>
      <c r="J19" s="1" t="s">
        <v>71</v>
      </c>
      <c r="L19" s="1" t="s">
        <v>117</v>
      </c>
      <c r="M19" s="1">
        <v>11.0</v>
      </c>
      <c r="N19" s="1" t="s">
        <v>47</v>
      </c>
      <c r="O19" s="1">
        <v>5.0</v>
      </c>
      <c r="P19" s="1" t="s">
        <v>48</v>
      </c>
      <c r="Q19" s="1" t="s">
        <v>73</v>
      </c>
      <c r="R19" s="1">
        <v>0.0</v>
      </c>
      <c r="S19" s="1">
        <v>75.0</v>
      </c>
      <c r="T19" s="1">
        <v>75.0</v>
      </c>
      <c r="U19" s="1" t="s">
        <v>6</v>
      </c>
    </row>
    <row r="20">
      <c r="A20" s="1" t="s">
        <v>7</v>
      </c>
      <c r="B20" s="1" t="s">
        <v>99</v>
      </c>
      <c r="C20" s="1" t="s">
        <v>100</v>
      </c>
      <c r="D20" s="1" t="s">
        <v>118</v>
      </c>
      <c r="E20" s="1" t="s">
        <v>119</v>
      </c>
      <c r="F20" s="1" t="s">
        <v>120</v>
      </c>
      <c r="G20" s="1" t="s">
        <v>121</v>
      </c>
      <c r="H20" s="1" t="s">
        <v>116</v>
      </c>
      <c r="I20" s="1" t="s">
        <v>109</v>
      </c>
      <c r="J20" s="1" t="s">
        <v>71</v>
      </c>
      <c r="L20" s="1" t="s">
        <v>117</v>
      </c>
      <c r="M20" s="1">
        <v>11.0</v>
      </c>
      <c r="N20" s="1" t="s">
        <v>47</v>
      </c>
      <c r="O20" s="1">
        <v>5.0</v>
      </c>
      <c r="P20" s="1" t="s">
        <v>48</v>
      </c>
      <c r="Q20" s="1" t="s">
        <v>73</v>
      </c>
      <c r="R20" s="1">
        <v>0.0</v>
      </c>
      <c r="S20" s="1">
        <v>125.0</v>
      </c>
      <c r="T20" s="1">
        <v>125.0</v>
      </c>
      <c r="U20" s="1" t="s">
        <v>6</v>
      </c>
    </row>
    <row r="21" ht="15.75" customHeight="1">
      <c r="A21" s="1" t="s">
        <v>7</v>
      </c>
      <c r="B21" s="1" t="s">
        <v>99</v>
      </c>
      <c r="C21" s="1" t="s">
        <v>100</v>
      </c>
      <c r="D21" s="1" t="s">
        <v>118</v>
      </c>
      <c r="E21" s="1" t="s">
        <v>119</v>
      </c>
      <c r="F21" s="1" t="s">
        <v>120</v>
      </c>
      <c r="G21" s="1" t="s">
        <v>121</v>
      </c>
      <c r="H21" s="1" t="s">
        <v>116</v>
      </c>
      <c r="I21" s="1" t="s">
        <v>109</v>
      </c>
      <c r="J21" s="1" t="s">
        <v>71</v>
      </c>
      <c r="L21" s="1" t="s">
        <v>117</v>
      </c>
      <c r="M21" s="1">
        <v>11.0</v>
      </c>
      <c r="N21" s="1" t="s">
        <v>47</v>
      </c>
      <c r="O21" s="1">
        <v>5.0</v>
      </c>
      <c r="P21" s="1" t="s">
        <v>48</v>
      </c>
      <c r="Q21" s="1" t="s">
        <v>73</v>
      </c>
      <c r="R21" s="1">
        <v>260.25</v>
      </c>
      <c r="S21" s="1">
        <v>0.0</v>
      </c>
      <c r="T21" s="1">
        <v>260.25</v>
      </c>
      <c r="U21" s="1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scale="0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5.0"/>
    <col customWidth="1" min="3" max="4" width="15.0"/>
    <col customWidth="1" min="5" max="5" width="8.71"/>
    <col customWidth="1" min="6" max="7" width="12.71"/>
    <col customWidth="1" min="8" max="8" width="13.71"/>
    <col customWidth="1" min="9" max="9" width="13.43"/>
    <col customWidth="1" min="10" max="10" width="16.71"/>
    <col customWidth="1" min="11" max="11" width="6.71"/>
    <col customWidth="1" min="12" max="12" width="12.86"/>
    <col customWidth="1" min="13" max="13" width="14.57"/>
    <col customWidth="1" min="14" max="14" width="14.0"/>
    <col customWidth="1" min="15" max="15" width="8.71"/>
    <col customWidth="1" min="16" max="16" width="26.71"/>
    <col customWidth="1" min="17" max="17" width="24.14"/>
    <col customWidth="1" min="18" max="26" width="8.71"/>
  </cols>
  <sheetData>
    <row r="1">
      <c r="A1" s="1" t="s">
        <v>15</v>
      </c>
      <c r="B1" s="1" t="s">
        <v>16</v>
      </c>
      <c r="C1" s="1" t="s">
        <v>17</v>
      </c>
      <c r="E1" s="1" t="s">
        <v>19</v>
      </c>
      <c r="F1" s="1" t="s">
        <v>20</v>
      </c>
      <c r="H1" s="1" t="s">
        <v>21</v>
      </c>
      <c r="I1" s="1" t="s">
        <v>23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>
      <c r="A2" s="1">
        <v>1.9586992E7</v>
      </c>
      <c r="B2" s="1" t="s">
        <v>51</v>
      </c>
      <c r="C2" s="1" t="s">
        <v>52</v>
      </c>
      <c r="D2" s="1" t="str">
        <f t="shared" ref="D2:D4" si="1">CONCATENATE(C2,9)</f>
        <v>DHEJ459</v>
      </c>
      <c r="E2" s="1" t="s">
        <v>54</v>
      </c>
      <c r="F2" s="1" t="s">
        <v>55</v>
      </c>
      <c r="G2" s="1" t="str">
        <f t="shared" ref="G2:G25" si="2">CONCATENATE(E2," ",F2)</f>
        <v>BONNIE PHILLIPS</v>
      </c>
      <c r="H2" s="1" t="s">
        <v>56</v>
      </c>
      <c r="I2" s="1" t="s">
        <v>58</v>
      </c>
      <c r="J2" s="1" t="s">
        <v>61</v>
      </c>
      <c r="K2" s="1" t="s">
        <v>62</v>
      </c>
      <c r="L2" s="1">
        <v>491.59</v>
      </c>
      <c r="M2" s="1">
        <v>0.0</v>
      </c>
      <c r="N2" s="1">
        <v>491.59</v>
      </c>
      <c r="O2" s="1">
        <v>694.0</v>
      </c>
      <c r="P2" s="1" t="s">
        <v>122</v>
      </c>
      <c r="Q2" s="1" t="s">
        <v>123</v>
      </c>
      <c r="R2" s="1">
        <v>202.41</v>
      </c>
    </row>
    <row r="3">
      <c r="A3" s="1">
        <v>1.6170994E7</v>
      </c>
      <c r="B3" s="1" t="s">
        <v>64</v>
      </c>
      <c r="C3" s="1" t="s">
        <v>65</v>
      </c>
      <c r="D3" s="1" t="str">
        <f t="shared" si="1"/>
        <v>DF7J3U9</v>
      </c>
      <c r="E3" s="1" t="s">
        <v>67</v>
      </c>
      <c r="F3" s="1" t="s">
        <v>68</v>
      </c>
      <c r="G3" s="1" t="str">
        <f t="shared" si="2"/>
        <v>IVETTE MORALES</v>
      </c>
      <c r="H3" s="1" t="s">
        <v>69</v>
      </c>
      <c r="I3" s="1" t="s">
        <v>71</v>
      </c>
      <c r="J3" s="1" t="s">
        <v>61</v>
      </c>
      <c r="K3" s="1" t="s">
        <v>73</v>
      </c>
      <c r="L3" s="1">
        <v>433.75</v>
      </c>
      <c r="M3" s="1">
        <v>0.0</v>
      </c>
      <c r="N3" s="1">
        <v>433.75</v>
      </c>
      <c r="O3" s="1">
        <v>694.0</v>
      </c>
      <c r="P3" s="1" t="s">
        <v>122</v>
      </c>
      <c r="Q3" s="1" t="s">
        <v>123</v>
      </c>
      <c r="R3" s="1">
        <v>260.25</v>
      </c>
      <c r="S3" s="1">
        <v>433.75</v>
      </c>
    </row>
    <row r="4">
      <c r="A4" s="1">
        <v>2.0212926E7</v>
      </c>
      <c r="B4" s="1" t="s">
        <v>84</v>
      </c>
      <c r="C4" s="1" t="s">
        <v>85</v>
      </c>
      <c r="D4" s="1" t="str">
        <f t="shared" si="1"/>
        <v>D7WR369</v>
      </c>
      <c r="E4" s="1" t="s">
        <v>87</v>
      </c>
      <c r="F4" s="1" t="s">
        <v>88</v>
      </c>
      <c r="G4" s="1" t="str">
        <f t="shared" si="2"/>
        <v>HUMBERTO GALARZA</v>
      </c>
      <c r="H4" s="1" t="s">
        <v>80</v>
      </c>
      <c r="I4" s="1" t="s">
        <v>71</v>
      </c>
      <c r="J4" s="1" t="s">
        <v>61</v>
      </c>
      <c r="K4" s="1" t="s">
        <v>73</v>
      </c>
      <c r="L4" s="1">
        <v>433.75</v>
      </c>
      <c r="M4" s="1">
        <v>0.0</v>
      </c>
      <c r="N4" s="1">
        <v>433.75</v>
      </c>
      <c r="O4" s="1">
        <v>694.0</v>
      </c>
      <c r="P4" s="1" t="s">
        <v>122</v>
      </c>
      <c r="Q4" s="1" t="s">
        <v>123</v>
      </c>
    </row>
    <row r="5">
      <c r="A5" s="1">
        <v>1.7094718E7</v>
      </c>
      <c r="B5" s="1" t="s">
        <v>37</v>
      </c>
      <c r="C5" s="1" t="s">
        <v>38</v>
      </c>
      <c r="D5" s="1" t="str">
        <f t="shared" ref="D5:D14" si="3">CONCATENATE(C5,7)</f>
        <v>DCHCZ87</v>
      </c>
      <c r="E5" s="1" t="s">
        <v>40</v>
      </c>
      <c r="F5" s="1" t="s">
        <v>41</v>
      </c>
      <c r="G5" s="1" t="str">
        <f t="shared" si="2"/>
        <v>LUPE GOMEZ</v>
      </c>
      <c r="H5" s="1" t="s">
        <v>42</v>
      </c>
      <c r="I5" s="1" t="s">
        <v>44</v>
      </c>
      <c r="J5" s="1" t="s">
        <v>48</v>
      </c>
      <c r="K5" s="1" t="s">
        <v>49</v>
      </c>
      <c r="L5" s="1">
        <v>-260.25</v>
      </c>
      <c r="M5" s="1">
        <v>-150.0</v>
      </c>
      <c r="N5" s="1">
        <v>-410.25</v>
      </c>
      <c r="O5" s="1">
        <v>-260.25</v>
      </c>
      <c r="P5" s="1" t="s">
        <v>124</v>
      </c>
      <c r="Q5" s="1" t="s">
        <v>125</v>
      </c>
      <c r="R5" s="1">
        <f>347/12*9</f>
        <v>260.25</v>
      </c>
    </row>
    <row r="6">
      <c r="A6" s="1">
        <v>1.9586992E7</v>
      </c>
      <c r="B6" s="1" t="s">
        <v>51</v>
      </c>
      <c r="C6" s="1" t="s">
        <v>52</v>
      </c>
      <c r="D6" s="1" t="str">
        <f t="shared" si="3"/>
        <v>DHEJ457</v>
      </c>
      <c r="E6" s="1" t="s">
        <v>54</v>
      </c>
      <c r="F6" s="1" t="s">
        <v>55</v>
      </c>
      <c r="G6" s="1" t="str">
        <f t="shared" si="2"/>
        <v>BONNIE PHILLIPS</v>
      </c>
      <c r="H6" s="1" t="s">
        <v>56</v>
      </c>
      <c r="I6" s="1" t="s">
        <v>58</v>
      </c>
      <c r="J6" s="1" t="s">
        <v>61</v>
      </c>
      <c r="K6" s="1" t="s">
        <v>62</v>
      </c>
      <c r="L6" s="1">
        <v>491.59</v>
      </c>
      <c r="M6" s="1">
        <v>0.0</v>
      </c>
      <c r="N6" s="1">
        <v>491.59</v>
      </c>
      <c r="O6" s="1">
        <v>-202.41</v>
      </c>
      <c r="P6" s="1" t="s">
        <v>124</v>
      </c>
      <c r="Q6" s="1" t="s">
        <v>126</v>
      </c>
      <c r="R6" s="1">
        <v>202.41</v>
      </c>
      <c r="S6" s="1">
        <v>491.59</v>
      </c>
    </row>
    <row r="7">
      <c r="A7" s="1">
        <v>1.6170994E7</v>
      </c>
      <c r="B7" s="1" t="s">
        <v>64</v>
      </c>
      <c r="C7" s="1" t="s">
        <v>65</v>
      </c>
      <c r="D7" s="1" t="str">
        <f t="shared" si="3"/>
        <v>DF7J3U7</v>
      </c>
      <c r="E7" s="1" t="s">
        <v>67</v>
      </c>
      <c r="F7" s="1" t="s">
        <v>68</v>
      </c>
      <c r="G7" s="1" t="str">
        <f t="shared" si="2"/>
        <v>IVETTE MORALES</v>
      </c>
      <c r="H7" s="1" t="s">
        <v>69</v>
      </c>
      <c r="I7" s="1" t="s">
        <v>71</v>
      </c>
      <c r="J7" s="1" t="s">
        <v>61</v>
      </c>
      <c r="K7" s="1" t="s">
        <v>73</v>
      </c>
      <c r="L7" s="1">
        <v>433.75</v>
      </c>
      <c r="M7" s="1">
        <v>0.0</v>
      </c>
      <c r="N7" s="1">
        <v>433.75</v>
      </c>
      <c r="O7" s="1">
        <v>-260.25</v>
      </c>
      <c r="P7" s="1" t="s">
        <v>124</v>
      </c>
      <c r="Q7" s="1" t="s">
        <v>125</v>
      </c>
      <c r="R7" s="1">
        <v>260.25</v>
      </c>
      <c r="S7" s="1">
        <v>433.75</v>
      </c>
    </row>
    <row r="8">
      <c r="A8" s="1">
        <v>1.9645587E7</v>
      </c>
      <c r="B8" s="1" t="s">
        <v>75</v>
      </c>
      <c r="C8" s="1" t="s">
        <v>76</v>
      </c>
      <c r="D8" s="1" t="str">
        <f t="shared" si="3"/>
        <v>DUEH7H7</v>
      </c>
      <c r="E8" s="1" t="s">
        <v>78</v>
      </c>
      <c r="F8" s="1" t="s">
        <v>79</v>
      </c>
      <c r="G8" s="1" t="str">
        <f t="shared" si="2"/>
        <v>QUOVADIS DAVIS</v>
      </c>
      <c r="H8" s="1" t="s">
        <v>80</v>
      </c>
      <c r="I8" s="1" t="s">
        <v>71</v>
      </c>
      <c r="J8" s="1" t="s">
        <v>61</v>
      </c>
      <c r="K8" s="1" t="s">
        <v>73</v>
      </c>
      <c r="L8" s="1">
        <v>260.25</v>
      </c>
      <c r="M8" s="1">
        <v>0.0</v>
      </c>
      <c r="N8" s="1">
        <v>260.25</v>
      </c>
      <c r="O8" s="1">
        <v>260.25</v>
      </c>
      <c r="P8" s="1" t="s">
        <v>124</v>
      </c>
      <c r="Q8" s="1" t="s">
        <v>125</v>
      </c>
    </row>
    <row r="9">
      <c r="A9" s="1">
        <v>2.0212926E7</v>
      </c>
      <c r="B9" s="1" t="s">
        <v>84</v>
      </c>
      <c r="C9" s="1" t="s">
        <v>85</v>
      </c>
      <c r="D9" s="1" t="str">
        <f t="shared" si="3"/>
        <v>D7WR367</v>
      </c>
      <c r="E9" s="1" t="s">
        <v>87</v>
      </c>
      <c r="F9" s="1" t="s">
        <v>88</v>
      </c>
      <c r="G9" s="1" t="str">
        <f t="shared" si="2"/>
        <v>HUMBERTO GALARZA</v>
      </c>
      <c r="H9" s="1" t="s">
        <v>80</v>
      </c>
      <c r="I9" s="1" t="s">
        <v>71</v>
      </c>
      <c r="J9" s="1" t="s">
        <v>61</v>
      </c>
      <c r="K9" s="1" t="s">
        <v>73</v>
      </c>
      <c r="L9" s="1">
        <v>433.75</v>
      </c>
      <c r="M9" s="1">
        <v>0.0</v>
      </c>
      <c r="N9" s="1">
        <v>433.75</v>
      </c>
      <c r="O9" s="1">
        <v>-260.25</v>
      </c>
      <c r="P9" s="1" t="s">
        <v>124</v>
      </c>
      <c r="Q9" s="1" t="s">
        <v>125</v>
      </c>
    </row>
    <row r="10">
      <c r="A10" s="1">
        <v>9213293.0</v>
      </c>
      <c r="B10" s="1" t="s">
        <v>91</v>
      </c>
      <c r="C10" s="1" t="s">
        <v>92</v>
      </c>
      <c r="D10" s="1" t="str">
        <f t="shared" si="3"/>
        <v>DW4Y7Y7</v>
      </c>
      <c r="E10" s="1" t="s">
        <v>94</v>
      </c>
      <c r="F10" s="1" t="s">
        <v>95</v>
      </c>
      <c r="G10" s="1" t="str">
        <f t="shared" si="2"/>
        <v>KATHRYN CHAPPELL</v>
      </c>
      <c r="H10" s="1" t="s">
        <v>96</v>
      </c>
      <c r="I10" s="1" t="s">
        <v>71</v>
      </c>
      <c r="J10" s="1" t="s">
        <v>48</v>
      </c>
      <c r="K10" s="1" t="s">
        <v>73</v>
      </c>
      <c r="L10" s="1">
        <v>260.25</v>
      </c>
      <c r="M10" s="1">
        <v>0.0</v>
      </c>
      <c r="N10" s="1">
        <v>260.25</v>
      </c>
      <c r="O10" s="1">
        <v>260.25</v>
      </c>
      <c r="P10" s="1" t="s">
        <v>124</v>
      </c>
      <c r="Q10" s="1" t="s">
        <v>125</v>
      </c>
    </row>
    <row r="11">
      <c r="A11" s="1">
        <v>1.7301495E7</v>
      </c>
      <c r="B11" s="1" t="s">
        <v>100</v>
      </c>
      <c r="C11" s="1" t="s">
        <v>101</v>
      </c>
      <c r="D11" s="1" t="str">
        <f t="shared" si="3"/>
        <v>DEHCC47</v>
      </c>
      <c r="E11" s="1" t="s">
        <v>103</v>
      </c>
      <c r="F11" s="1" t="s">
        <v>104</v>
      </c>
      <c r="G11" s="1" t="str">
        <f t="shared" si="2"/>
        <v>PONCIANO GONZALEZ</v>
      </c>
      <c r="H11" s="1" t="s">
        <v>80</v>
      </c>
      <c r="I11" s="1" t="s">
        <v>71</v>
      </c>
      <c r="J11" s="1" t="s">
        <v>48</v>
      </c>
      <c r="K11" s="1" t="s">
        <v>73</v>
      </c>
      <c r="L11" s="1">
        <v>260.25</v>
      </c>
      <c r="M11" s="1">
        <v>0.0</v>
      </c>
      <c r="N11" s="1">
        <v>260.25</v>
      </c>
      <c r="O11" s="1">
        <v>260.25</v>
      </c>
      <c r="P11" s="1" t="s">
        <v>124</v>
      </c>
      <c r="Q11" s="1" t="s">
        <v>125</v>
      </c>
    </row>
    <row r="12">
      <c r="A12" s="1">
        <v>1.7094718E7</v>
      </c>
      <c r="B12" s="1" t="s">
        <v>37</v>
      </c>
      <c r="C12" s="1" t="s">
        <v>105</v>
      </c>
      <c r="D12" s="1" t="str">
        <f t="shared" si="3"/>
        <v>DK8HH57</v>
      </c>
      <c r="E12" s="1" t="s">
        <v>107</v>
      </c>
      <c r="F12" s="1" t="s">
        <v>108</v>
      </c>
      <c r="G12" s="1" t="str">
        <f t="shared" si="2"/>
        <v>ROBERT HERRON</v>
      </c>
      <c r="H12" s="1" t="s">
        <v>42</v>
      </c>
      <c r="I12" s="1" t="s">
        <v>71</v>
      </c>
      <c r="J12" s="1" t="s">
        <v>48</v>
      </c>
      <c r="K12" s="1" t="s">
        <v>73</v>
      </c>
      <c r="L12" s="1">
        <v>260.25</v>
      </c>
      <c r="M12" s="1">
        <v>0.0</v>
      </c>
      <c r="N12" s="1">
        <v>260.25</v>
      </c>
      <c r="O12" s="1">
        <v>260.25</v>
      </c>
      <c r="P12" s="1" t="s">
        <v>124</v>
      </c>
      <c r="Q12" s="1" t="s">
        <v>125</v>
      </c>
    </row>
    <row r="13">
      <c r="A13" s="1">
        <v>1.6849453E7</v>
      </c>
      <c r="B13" s="1" t="s">
        <v>111</v>
      </c>
      <c r="C13" s="1" t="s">
        <v>112</v>
      </c>
      <c r="D13" s="1" t="str">
        <f t="shared" si="3"/>
        <v>D868YS7</v>
      </c>
      <c r="E13" s="1" t="s">
        <v>114</v>
      </c>
      <c r="F13" s="1" t="s">
        <v>115</v>
      </c>
      <c r="G13" s="1" t="str">
        <f t="shared" si="2"/>
        <v>LORAINE LEWIS</v>
      </c>
      <c r="H13" s="1" t="s">
        <v>116</v>
      </c>
      <c r="I13" s="1" t="s">
        <v>71</v>
      </c>
      <c r="J13" s="1" t="s">
        <v>48</v>
      </c>
      <c r="K13" s="1" t="s">
        <v>73</v>
      </c>
      <c r="L13" s="1">
        <v>260.25</v>
      </c>
      <c r="M13" s="1">
        <v>0.0</v>
      </c>
      <c r="N13" s="1">
        <v>260.25</v>
      </c>
      <c r="O13" s="1">
        <v>260.25</v>
      </c>
      <c r="P13" s="1" t="s">
        <v>124</v>
      </c>
      <c r="Q13" s="1" t="s">
        <v>125</v>
      </c>
    </row>
    <row r="14">
      <c r="A14" s="1">
        <v>1.7301495E7</v>
      </c>
      <c r="B14" s="1" t="s">
        <v>100</v>
      </c>
      <c r="C14" s="1" t="s">
        <v>118</v>
      </c>
      <c r="D14" s="1" t="str">
        <f t="shared" si="3"/>
        <v>D3A39Z7</v>
      </c>
      <c r="E14" s="1" t="s">
        <v>120</v>
      </c>
      <c r="F14" s="1" t="s">
        <v>121</v>
      </c>
      <c r="G14" s="1" t="str">
        <f t="shared" si="2"/>
        <v>LAWRENCE TRUEBLOOD</v>
      </c>
      <c r="H14" s="1" t="s">
        <v>116</v>
      </c>
      <c r="I14" s="1" t="s">
        <v>71</v>
      </c>
      <c r="J14" s="1" t="s">
        <v>48</v>
      </c>
      <c r="K14" s="1" t="s">
        <v>73</v>
      </c>
      <c r="L14" s="1">
        <v>260.25</v>
      </c>
      <c r="M14" s="1">
        <v>0.0</v>
      </c>
      <c r="N14" s="1">
        <v>260.25</v>
      </c>
      <c r="O14" s="1">
        <v>260.25</v>
      </c>
      <c r="P14" s="1" t="s">
        <v>124</v>
      </c>
      <c r="Q14" s="1" t="s">
        <v>125</v>
      </c>
    </row>
    <row r="15">
      <c r="A15" s="3">
        <v>2.0411454E7</v>
      </c>
      <c r="B15" s="3" t="s">
        <v>127</v>
      </c>
      <c r="C15" s="3" t="s">
        <v>38</v>
      </c>
      <c r="D15" s="3" t="str">
        <f t="shared" ref="D15:D25" si="4">CONCATENATE(C15,"OVR")</f>
        <v>DCHCZ8OVR</v>
      </c>
      <c r="E15" s="3" t="s">
        <v>40</v>
      </c>
      <c r="F15" s="3" t="s">
        <v>41</v>
      </c>
      <c r="G15" s="3" t="str">
        <f t="shared" si="2"/>
        <v>LUPE GOMEZ</v>
      </c>
      <c r="H15" s="3" t="s">
        <v>42</v>
      </c>
      <c r="I15" s="3" t="s">
        <v>44</v>
      </c>
      <c r="J15" s="3" t="s">
        <v>48</v>
      </c>
      <c r="K15" s="3" t="s">
        <v>49</v>
      </c>
      <c r="L15" s="3">
        <v>-260.25</v>
      </c>
      <c r="M15" s="3">
        <v>-150.0</v>
      </c>
      <c r="N15" s="3">
        <v>-410.25</v>
      </c>
      <c r="O15" s="3">
        <v>-150.0</v>
      </c>
      <c r="P15" s="3" t="s">
        <v>128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2.0411454E7</v>
      </c>
      <c r="B16" s="3" t="s">
        <v>127</v>
      </c>
      <c r="C16" s="3" t="s">
        <v>92</v>
      </c>
      <c r="D16" s="3" t="str">
        <f t="shared" si="4"/>
        <v>DW4Y7YOVR</v>
      </c>
      <c r="E16" s="3" t="s">
        <v>94</v>
      </c>
      <c r="F16" s="3" t="s">
        <v>95</v>
      </c>
      <c r="G16" s="3" t="str">
        <f t="shared" si="2"/>
        <v>KATHRYN CHAPPELL</v>
      </c>
      <c r="H16" s="3" t="s">
        <v>96</v>
      </c>
      <c r="I16" s="3" t="s">
        <v>71</v>
      </c>
      <c r="J16" s="3" t="s">
        <v>48</v>
      </c>
      <c r="K16" s="3" t="s">
        <v>73</v>
      </c>
      <c r="L16" s="3">
        <v>0.0</v>
      </c>
      <c r="M16" s="3">
        <v>125.0</v>
      </c>
      <c r="N16" s="3">
        <v>125.0</v>
      </c>
      <c r="O16" s="3">
        <v>125.0</v>
      </c>
      <c r="P16" s="3" t="s">
        <v>128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2.0411454E7</v>
      </c>
      <c r="B17" s="3" t="s">
        <v>127</v>
      </c>
      <c r="C17" s="3" t="s">
        <v>92</v>
      </c>
      <c r="D17" s="3" t="str">
        <f t="shared" si="4"/>
        <v>DW4Y7YOVR</v>
      </c>
      <c r="E17" s="3" t="s">
        <v>94</v>
      </c>
      <c r="F17" s="3" t="s">
        <v>95</v>
      </c>
      <c r="G17" s="3" t="str">
        <f t="shared" si="2"/>
        <v>KATHRYN CHAPPELL</v>
      </c>
      <c r="H17" s="3" t="s">
        <v>96</v>
      </c>
      <c r="I17" s="3" t="s">
        <v>71</v>
      </c>
      <c r="J17" s="3" t="s">
        <v>48</v>
      </c>
      <c r="K17" s="3" t="s">
        <v>73</v>
      </c>
      <c r="L17" s="3">
        <v>0.0</v>
      </c>
      <c r="M17" s="3">
        <v>75.0</v>
      </c>
      <c r="N17" s="3">
        <v>75.0</v>
      </c>
      <c r="O17" s="3">
        <v>75.0</v>
      </c>
      <c r="P17" s="3" t="s">
        <v>128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2.0411454E7</v>
      </c>
      <c r="B18" s="3" t="s">
        <v>127</v>
      </c>
      <c r="C18" s="3" t="s">
        <v>101</v>
      </c>
      <c r="D18" s="3" t="str">
        <f t="shared" si="4"/>
        <v>DEHCC4OVR</v>
      </c>
      <c r="E18" s="3" t="s">
        <v>103</v>
      </c>
      <c r="F18" s="3" t="s">
        <v>104</v>
      </c>
      <c r="G18" s="3" t="str">
        <f t="shared" si="2"/>
        <v>PONCIANO GONZALEZ</v>
      </c>
      <c r="H18" s="3" t="s">
        <v>80</v>
      </c>
      <c r="I18" s="3" t="s">
        <v>71</v>
      </c>
      <c r="J18" s="3" t="s">
        <v>48</v>
      </c>
      <c r="K18" s="3" t="s">
        <v>73</v>
      </c>
      <c r="L18" s="3">
        <v>0.0</v>
      </c>
      <c r="M18" s="3">
        <v>75.0</v>
      </c>
      <c r="N18" s="3">
        <v>75.0</v>
      </c>
      <c r="O18" s="3">
        <v>75.0</v>
      </c>
      <c r="P18" s="3" t="s">
        <v>128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2.0411454E7</v>
      </c>
      <c r="B19" s="3" t="s">
        <v>127</v>
      </c>
      <c r="C19" s="3" t="s">
        <v>101</v>
      </c>
      <c r="D19" s="3" t="str">
        <f t="shared" si="4"/>
        <v>DEHCC4OVR</v>
      </c>
      <c r="E19" s="3" t="s">
        <v>103</v>
      </c>
      <c r="F19" s="3" t="s">
        <v>104</v>
      </c>
      <c r="G19" s="3" t="str">
        <f t="shared" si="2"/>
        <v>PONCIANO GONZALEZ</v>
      </c>
      <c r="H19" s="3" t="s">
        <v>80</v>
      </c>
      <c r="I19" s="3" t="s">
        <v>71</v>
      </c>
      <c r="J19" s="3" t="s">
        <v>48</v>
      </c>
      <c r="K19" s="3" t="s">
        <v>73</v>
      </c>
      <c r="L19" s="3">
        <v>0.0</v>
      </c>
      <c r="M19" s="3">
        <v>125.0</v>
      </c>
      <c r="N19" s="3">
        <v>125.0</v>
      </c>
      <c r="O19" s="3">
        <v>125.0</v>
      </c>
      <c r="P19" s="3" t="s">
        <v>128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2.0411454E7</v>
      </c>
      <c r="B20" s="3" t="s">
        <v>127</v>
      </c>
      <c r="C20" s="3" t="s">
        <v>105</v>
      </c>
      <c r="D20" s="3" t="str">
        <f t="shared" si="4"/>
        <v>DK8HH5OVR</v>
      </c>
      <c r="E20" s="3" t="s">
        <v>107</v>
      </c>
      <c r="F20" s="3" t="s">
        <v>108</v>
      </c>
      <c r="G20" s="3" t="str">
        <f t="shared" si="2"/>
        <v>ROBERT HERRON</v>
      </c>
      <c r="H20" s="3" t="s">
        <v>42</v>
      </c>
      <c r="I20" s="3" t="s">
        <v>71</v>
      </c>
      <c r="J20" s="3" t="s">
        <v>48</v>
      </c>
      <c r="K20" s="3" t="s">
        <v>73</v>
      </c>
      <c r="L20" s="3">
        <v>0.0</v>
      </c>
      <c r="M20" s="3">
        <v>75.0</v>
      </c>
      <c r="N20" s="3">
        <v>75.0</v>
      </c>
      <c r="O20" s="3">
        <v>75.0</v>
      </c>
      <c r="P20" s="3" t="s">
        <v>128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2.0411454E7</v>
      </c>
      <c r="B21" s="3" t="s">
        <v>127</v>
      </c>
      <c r="C21" s="3" t="s">
        <v>105</v>
      </c>
      <c r="D21" s="3" t="str">
        <f t="shared" si="4"/>
        <v>DK8HH5OVR</v>
      </c>
      <c r="E21" s="3" t="s">
        <v>107</v>
      </c>
      <c r="F21" s="3" t="s">
        <v>108</v>
      </c>
      <c r="G21" s="3" t="str">
        <f t="shared" si="2"/>
        <v>ROBERT HERRON</v>
      </c>
      <c r="H21" s="3" t="s">
        <v>42</v>
      </c>
      <c r="I21" s="3" t="s">
        <v>71</v>
      </c>
      <c r="J21" s="3" t="s">
        <v>48</v>
      </c>
      <c r="K21" s="3" t="s">
        <v>73</v>
      </c>
      <c r="L21" s="3">
        <v>0.0</v>
      </c>
      <c r="M21" s="3">
        <v>125.0</v>
      </c>
      <c r="N21" s="3">
        <v>125.0</v>
      </c>
      <c r="O21" s="3">
        <v>125.0</v>
      </c>
      <c r="P21" s="3" t="s">
        <v>128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2.0411454E7</v>
      </c>
      <c r="B22" s="3" t="s">
        <v>127</v>
      </c>
      <c r="C22" s="3" t="s">
        <v>112</v>
      </c>
      <c r="D22" s="3" t="str">
        <f t="shared" si="4"/>
        <v>D868YSOVR</v>
      </c>
      <c r="E22" s="3" t="s">
        <v>114</v>
      </c>
      <c r="F22" s="3" t="s">
        <v>115</v>
      </c>
      <c r="G22" s="3" t="str">
        <f t="shared" si="2"/>
        <v>LORAINE LEWIS</v>
      </c>
      <c r="H22" s="3" t="s">
        <v>116</v>
      </c>
      <c r="I22" s="3" t="s">
        <v>71</v>
      </c>
      <c r="J22" s="3" t="s">
        <v>48</v>
      </c>
      <c r="K22" s="3" t="s">
        <v>73</v>
      </c>
      <c r="L22" s="3">
        <v>0.0</v>
      </c>
      <c r="M22" s="3">
        <v>125.0</v>
      </c>
      <c r="N22" s="3">
        <v>125.0</v>
      </c>
      <c r="O22" s="3">
        <v>125.0</v>
      </c>
      <c r="P22" s="3" t="s">
        <v>128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2.0411454E7</v>
      </c>
      <c r="B23" s="3" t="s">
        <v>127</v>
      </c>
      <c r="C23" s="3" t="s">
        <v>112</v>
      </c>
      <c r="D23" s="3" t="str">
        <f t="shared" si="4"/>
        <v>D868YSOVR</v>
      </c>
      <c r="E23" s="3" t="s">
        <v>114</v>
      </c>
      <c r="F23" s="3" t="s">
        <v>115</v>
      </c>
      <c r="G23" s="3" t="str">
        <f t="shared" si="2"/>
        <v>LORAINE LEWIS</v>
      </c>
      <c r="H23" s="3" t="s">
        <v>116</v>
      </c>
      <c r="I23" s="3" t="s">
        <v>71</v>
      </c>
      <c r="J23" s="3" t="s">
        <v>48</v>
      </c>
      <c r="K23" s="3" t="s">
        <v>73</v>
      </c>
      <c r="L23" s="3">
        <v>0.0</v>
      </c>
      <c r="M23" s="3">
        <v>75.0</v>
      </c>
      <c r="N23" s="3">
        <v>75.0</v>
      </c>
      <c r="O23" s="3">
        <v>75.0</v>
      </c>
      <c r="P23" s="3" t="s">
        <v>128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2.0411454E7</v>
      </c>
      <c r="B24" s="3" t="s">
        <v>127</v>
      </c>
      <c r="C24" s="3" t="s">
        <v>118</v>
      </c>
      <c r="D24" s="3" t="str">
        <f t="shared" si="4"/>
        <v>D3A39ZOVR</v>
      </c>
      <c r="E24" s="3" t="s">
        <v>120</v>
      </c>
      <c r="F24" s="3" t="s">
        <v>121</v>
      </c>
      <c r="G24" s="3" t="str">
        <f t="shared" si="2"/>
        <v>LAWRENCE TRUEBLOOD</v>
      </c>
      <c r="H24" s="3" t="s">
        <v>116</v>
      </c>
      <c r="I24" s="3" t="s">
        <v>71</v>
      </c>
      <c r="J24" s="3" t="s">
        <v>48</v>
      </c>
      <c r="K24" s="3" t="s">
        <v>73</v>
      </c>
      <c r="L24" s="3">
        <v>0.0</v>
      </c>
      <c r="M24" s="3">
        <v>75.0</v>
      </c>
      <c r="N24" s="3">
        <v>75.0</v>
      </c>
      <c r="O24" s="3">
        <v>75.0</v>
      </c>
      <c r="P24" s="3" t="s">
        <v>128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>
        <v>2.0411454E7</v>
      </c>
      <c r="B25" s="3" t="s">
        <v>127</v>
      </c>
      <c r="C25" s="3" t="s">
        <v>118</v>
      </c>
      <c r="D25" s="3" t="str">
        <f t="shared" si="4"/>
        <v>D3A39ZOVR</v>
      </c>
      <c r="E25" s="3" t="s">
        <v>120</v>
      </c>
      <c r="F25" s="3" t="s">
        <v>121</v>
      </c>
      <c r="G25" s="3" t="str">
        <f t="shared" si="2"/>
        <v>LAWRENCE TRUEBLOOD</v>
      </c>
      <c r="H25" s="3" t="s">
        <v>116</v>
      </c>
      <c r="I25" s="3" t="s">
        <v>71</v>
      </c>
      <c r="J25" s="3" t="s">
        <v>48</v>
      </c>
      <c r="K25" s="3" t="s">
        <v>73</v>
      </c>
      <c r="L25" s="3">
        <v>0.0</v>
      </c>
      <c r="M25" s="3">
        <v>125.0</v>
      </c>
      <c r="N25" s="3">
        <v>125.0</v>
      </c>
      <c r="O25" s="3">
        <v>125.0</v>
      </c>
      <c r="P25" s="3" t="s">
        <v>128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2026-04-18T10:34:42Z</dcterms:created>
  <dc:creator>JB Infotech</dc:creator>
</cp:coreProperties>
</file>