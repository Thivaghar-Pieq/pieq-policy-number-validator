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1-23-26\"/>
    </mc:Choice>
  </mc:AlternateContent>
  <xr:revisionPtr revIDLastSave="0" documentId="13_ncr:1_{367F59C3-AB84-452E-87D6-605D5582ADFD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42" i="3" l="1"/>
  <c r="D56" i="3"/>
  <c r="D40" i="3"/>
  <c r="D36" i="3"/>
  <c r="D8" i="3"/>
  <c r="D12" i="3"/>
  <c r="D38" i="3"/>
  <c r="D51" i="3"/>
  <c r="D25" i="3"/>
  <c r="D49" i="3"/>
  <c r="D3" i="3"/>
  <c r="D10" i="3"/>
  <c r="D23" i="3"/>
  <c r="D18" i="3"/>
  <c r="D17" i="3"/>
  <c r="D33" i="3"/>
  <c r="D34" i="3"/>
  <c r="D31" i="3"/>
  <c r="D30" i="3"/>
  <c r="D14" i="3"/>
  <c r="D15" i="3"/>
  <c r="D5" i="3"/>
  <c r="D6" i="3"/>
  <c r="D21" i="3"/>
  <c r="D20" i="3"/>
  <c r="D53" i="3"/>
  <c r="D54" i="3"/>
  <c r="D28" i="3"/>
  <c r="D27" i="3"/>
  <c r="D44" i="3"/>
  <c r="D45" i="3"/>
  <c r="D47" i="3"/>
  <c r="D43" i="3"/>
  <c r="D26" i="3"/>
  <c r="D52" i="3"/>
  <c r="D19" i="3"/>
  <c r="D4" i="3"/>
  <c r="D13" i="3"/>
  <c r="D29" i="3"/>
  <c r="D32" i="3"/>
  <c r="D16" i="3"/>
  <c r="D22" i="3"/>
  <c r="D9" i="3"/>
  <c r="D2" i="3"/>
  <c r="D48" i="3"/>
  <c r="D24" i="3"/>
  <c r="D50" i="3"/>
  <c r="D37" i="3"/>
  <c r="D11" i="3"/>
  <c r="D7" i="3"/>
  <c r="D35" i="3"/>
  <c r="D39" i="3"/>
  <c r="D55" i="3"/>
  <c r="D41" i="3"/>
  <c r="D46" i="3"/>
  <c r="Q29" i="3"/>
  <c r="Q22" i="3"/>
  <c r="G45" i="3"/>
  <c r="G44" i="3"/>
  <c r="G27" i="3"/>
  <c r="G28" i="3"/>
  <c r="G54" i="3"/>
  <c r="G53" i="3"/>
  <c r="G20" i="3"/>
  <c r="G21" i="3"/>
  <c r="G6" i="3"/>
  <c r="G5" i="3"/>
  <c r="G15" i="3"/>
  <c r="G14" i="3"/>
  <c r="G30" i="3"/>
  <c r="G31" i="3"/>
  <c r="G34" i="3"/>
  <c r="G33" i="3"/>
  <c r="G17" i="3"/>
  <c r="G18" i="3"/>
  <c r="G23" i="3"/>
  <c r="G10" i="3"/>
  <c r="G3" i="3"/>
  <c r="G49" i="3"/>
  <c r="G25" i="3"/>
  <c r="G51" i="3"/>
  <c r="G38" i="3"/>
  <c r="G12" i="3"/>
  <c r="G8" i="3"/>
  <c r="G36" i="3"/>
  <c r="G40" i="3"/>
  <c r="G56" i="3"/>
  <c r="G42" i="3"/>
  <c r="G47" i="3"/>
  <c r="G41" i="3"/>
  <c r="G55" i="3"/>
  <c r="G39" i="3"/>
  <c r="G35" i="3"/>
  <c r="G7" i="3"/>
  <c r="G11" i="3"/>
  <c r="G37" i="3"/>
  <c r="G50" i="3"/>
  <c r="G24" i="3"/>
  <c r="G48" i="3"/>
  <c r="G2" i="3"/>
  <c r="G9" i="3"/>
  <c r="G22" i="3"/>
  <c r="G16" i="3"/>
  <c r="G32" i="3"/>
  <c r="G29" i="3"/>
  <c r="G13" i="3"/>
  <c r="G4" i="3"/>
  <c r="G19" i="3"/>
  <c r="G52" i="3"/>
  <c r="G26" i="3"/>
  <c r="G43" i="3"/>
  <c r="G46" i="3"/>
</calcChain>
</file>

<file path=xl/sharedStrings.xml><?xml version="1.0" encoding="utf-8"?>
<sst xmlns="http://schemas.openxmlformats.org/spreadsheetml/2006/main" count="1117" uniqueCount="214">
  <si>
    <t>Description</t>
  </si>
  <si>
    <t>Member Count</t>
  </si>
  <si>
    <t>Total</t>
  </si>
  <si>
    <t>Payee</t>
  </si>
  <si>
    <t>Payment Date</t>
  </si>
  <si>
    <t>Credits</t>
  </si>
  <si>
    <t>$5,180.80</t>
  </si>
  <si>
    <t>Main Line Benefits LLC</t>
  </si>
  <si>
    <t>01/23/2026</t>
  </si>
  <si>
    <t>Debits</t>
  </si>
  <si>
    <t>($7,065.43)</t>
  </si>
  <si>
    <t>Miscellaneous</t>
  </si>
  <si>
    <t>$0.00</t>
  </si>
  <si>
    <t>Bonus</t>
  </si>
  <si>
    <t>Sub Total</t>
  </si>
  <si>
    <t>($1,884.63)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</si>
  <si>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</si>
  <si>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</si>
  <si>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</si>
  <si>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</si>
  <si>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</si>
  <si>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</si>
  <si>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</si>
  <si>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</si>
  <si>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</si>
  <si>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</si>
  <si>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</si>
  <si>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</si>
  <si>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</si>
  <si>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</si>
  <si>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</si>
  <si>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</si>
  <si>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</si>
  <si>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</si>
  <si>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</si>
  <si>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</si>
  <si>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</si>
  <si>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</si>
  <si>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</si>
  <si>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</si>
  <si>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19586992</t>
  </si>
  <si>
    <t>Barry Schumann</t>
  </si>
  <si>
    <t>D5S2G6</t>
  </si>
  <si>
    <t>7FP6Y44TF44</t>
  </si>
  <si>
    <t>RAQUEL</t>
  </si>
  <si>
    <t>GABRIEL BENNEWITZ</t>
  </si>
  <si>
    <t>IL</t>
  </si>
  <si>
    <t>11/12/2025</t>
  </si>
  <si>
    <t>01/01/2026</t>
  </si>
  <si>
    <t>01/31/2026</t>
  </si>
  <si>
    <t>H6545</t>
  </si>
  <si>
    <t>MAPD</t>
  </si>
  <si>
    <t>Initial - Not New</t>
  </si>
  <si>
    <t>Jan</t>
  </si>
  <si>
    <t>17301495</t>
  </si>
  <si>
    <t>Esther Herrera-Larsen</t>
  </si>
  <si>
    <t>D2WAY6</t>
  </si>
  <si>
    <t>2A80E25XU22</t>
  </si>
  <si>
    <t>MOISES</t>
  </si>
  <si>
    <t>GIRAL</t>
  </si>
  <si>
    <t>12/07/2025</t>
  </si>
  <si>
    <t>H7151</t>
  </si>
  <si>
    <t>7152559</t>
  </si>
  <si>
    <t>Dennis Holyn</t>
  </si>
  <si>
    <t>DWS6Y3</t>
  </si>
  <si>
    <t>7HW9YK4RM25</t>
  </si>
  <si>
    <t>WOODROE</t>
  </si>
  <si>
    <t>GLENN</t>
  </si>
  <si>
    <t>10/17/2025</t>
  </si>
  <si>
    <t>17859093</t>
  </si>
  <si>
    <t>Lensie Gonzalez</t>
  </si>
  <si>
    <t>DGK2YE</t>
  </si>
  <si>
    <t>9VR5NW8YG67</t>
  </si>
  <si>
    <t>MIGUEL</t>
  </si>
  <si>
    <t>GONZALEZ</t>
  </si>
  <si>
    <t>NM</t>
  </si>
  <si>
    <t>11/06/2025</t>
  </si>
  <si>
    <t>H9977</t>
  </si>
  <si>
    <t>17094718</t>
  </si>
  <si>
    <t>Greg Hansford</t>
  </si>
  <si>
    <t>DG9CA7</t>
  </si>
  <si>
    <t>8PC5K07GH75</t>
  </si>
  <si>
    <t>MARQUESE</t>
  </si>
  <si>
    <t>GRIMES</t>
  </si>
  <si>
    <t>10/16/2025</t>
  </si>
  <si>
    <t>21435997</t>
  </si>
  <si>
    <t>CHRISTOPHER BROUSSEAU</t>
  </si>
  <si>
    <t>DSUGKC</t>
  </si>
  <si>
    <t>4F09DF2YA19</t>
  </si>
  <si>
    <t>FRANCES</t>
  </si>
  <si>
    <t>LIVINGSTON</t>
  </si>
  <si>
    <t>OH</t>
  </si>
  <si>
    <t>12/05/2025</t>
  </si>
  <si>
    <t>H2697</t>
  </si>
  <si>
    <t>21283956</t>
  </si>
  <si>
    <t>Victor Fuentes</t>
  </si>
  <si>
    <t>DSZFWU</t>
  </si>
  <si>
    <t>9XD1G44MX19</t>
  </si>
  <si>
    <t>GUADALUPE</t>
  </si>
  <si>
    <t>OCHOA</t>
  </si>
  <si>
    <t>11/29/2025</t>
  </si>
  <si>
    <t>16228684</t>
  </si>
  <si>
    <t>Jason Roller</t>
  </si>
  <si>
    <t>DAC86Y</t>
  </si>
  <si>
    <t>6A36QA1MA72</t>
  </si>
  <si>
    <t>MAUREEN</t>
  </si>
  <si>
    <t>PERAZZOLO</t>
  </si>
  <si>
    <t>11/14/2025</t>
  </si>
  <si>
    <t>DWRHUH</t>
  </si>
  <si>
    <t>9UX2M27MW24</t>
  </si>
  <si>
    <t>SCOTT</t>
  </si>
  <si>
    <t>8325282</t>
  </si>
  <si>
    <t>Dale Walenga</t>
  </si>
  <si>
    <t>D6WKZU</t>
  </si>
  <si>
    <t>5DA6V33AX66</t>
  </si>
  <si>
    <t>JOSEPH</t>
  </si>
  <si>
    <t>RUBINO</t>
  </si>
  <si>
    <t>12/09/2025</t>
  </si>
  <si>
    <t>17126004</t>
  </si>
  <si>
    <t>Stephanie Drapac</t>
  </si>
  <si>
    <t>D22F42</t>
  </si>
  <si>
    <t>2D83CD2NY16</t>
  </si>
  <si>
    <t>RONALD</t>
  </si>
  <si>
    <t>SCHRADER</t>
  </si>
  <si>
    <t>IN</t>
  </si>
  <si>
    <t>11/18/2025</t>
  </si>
  <si>
    <t>H7471</t>
  </si>
  <si>
    <t>DHJ2RA</t>
  </si>
  <si>
    <t>3C50AF7FT28</t>
  </si>
  <si>
    <t>CONSTANCE</t>
  </si>
  <si>
    <t>THOMAS</t>
  </si>
  <si>
    <t>18142208</t>
  </si>
  <si>
    <t>Jill Shepard</t>
  </si>
  <si>
    <t>DJ69JC</t>
  </si>
  <si>
    <t>9E56ER9XQ65</t>
  </si>
  <si>
    <t>GEORGE</t>
  </si>
  <si>
    <t>WADE</t>
  </si>
  <si>
    <t>11/21/2025</t>
  </si>
  <si>
    <t>H2526</t>
  </si>
  <si>
    <t>19200754</t>
  </si>
  <si>
    <t>Ricardo Santos</t>
  </si>
  <si>
    <t>DWA6Y4</t>
  </si>
  <si>
    <t>4G45Q40XU88</t>
  </si>
  <si>
    <t>JOHNNY</t>
  </si>
  <si>
    <t>WHITE</t>
  </si>
  <si>
    <t>IA</t>
  </si>
  <si>
    <t>10/20/2025</t>
  </si>
  <si>
    <t>H7993</t>
  </si>
  <si>
    <t>2158366</t>
  </si>
  <si>
    <t>Jeffrey Horn</t>
  </si>
  <si>
    <t>DSH4WR</t>
  </si>
  <si>
    <t>4YF5M85RE75</t>
  </si>
  <si>
    <t>JOANNE</t>
  </si>
  <si>
    <t>KLEE</t>
  </si>
  <si>
    <t>01/06/2026</t>
  </si>
  <si>
    <t>02/01/2026</t>
  </si>
  <si>
    <t>9213293</t>
  </si>
  <si>
    <t>Gary Portugal</t>
  </si>
  <si>
    <t>DZFFRG</t>
  </si>
  <si>
    <t>7HP3G30NR12</t>
  </si>
  <si>
    <t>LINDA</t>
  </si>
  <si>
    <t>MASON</t>
  </si>
  <si>
    <t>01/08/2026</t>
  </si>
  <si>
    <t>16849453</t>
  </si>
  <si>
    <t>Danna Green</t>
  </si>
  <si>
    <t>DGA948</t>
  </si>
  <si>
    <t>6XK0J29RJ44</t>
  </si>
  <si>
    <t>LESA</t>
  </si>
  <si>
    <t>NEEMAN</t>
  </si>
  <si>
    <t>01/07/2026</t>
  </si>
  <si>
    <t>03/01/2026</t>
  </si>
  <si>
    <t>21436172</t>
  </si>
  <si>
    <t>Latesha Rose</t>
  </si>
  <si>
    <t>D2C5GR</t>
  </si>
  <si>
    <t>8X81XD8AU11</t>
  </si>
  <si>
    <t>JAMES</t>
  </si>
  <si>
    <t>PATTERSON JR</t>
  </si>
  <si>
    <t>AZ</t>
  </si>
  <si>
    <t>01/02/2026</t>
  </si>
  <si>
    <t>H8173</t>
  </si>
  <si>
    <t>19645587</t>
  </si>
  <si>
    <t>Stacey Portugal</t>
  </si>
  <si>
    <t>D685J6</t>
  </si>
  <si>
    <t>1FE5VM4EV70</t>
  </si>
  <si>
    <t>CYNTHIA</t>
  </si>
  <si>
    <t>PETERS</t>
  </si>
  <si>
    <t>DEJFA9</t>
  </si>
  <si>
    <t>9HC5J86VX58</t>
  </si>
  <si>
    <t>JOE</t>
  </si>
  <si>
    <t>STANFORD JR</t>
  </si>
  <si>
    <t>SC</t>
  </si>
  <si>
    <t>01/04/2026</t>
  </si>
  <si>
    <t>H7028</t>
  </si>
  <si>
    <t>D55YWW</t>
  </si>
  <si>
    <t>7KJ9Y59MM15</t>
  </si>
  <si>
    <t>TERRENCE</t>
  </si>
  <si>
    <t>TRATTNER</t>
  </si>
  <si>
    <t>01/05/2026</t>
  </si>
  <si>
    <t>DK8YK8</t>
  </si>
  <si>
    <t>3CE4F28XC73</t>
  </si>
  <si>
    <t>JULIE</t>
  </si>
  <si>
    <t>WAGNER PICKENS</t>
  </si>
  <si>
    <t>16170994</t>
  </si>
  <si>
    <t>Ryan Shepard</t>
  </si>
  <si>
    <t>DR32CC</t>
  </si>
  <si>
    <t>7M28C80PV37</t>
  </si>
  <si>
    <t>RAMONA</t>
  </si>
  <si>
    <t>ZAVADA</t>
  </si>
  <si>
    <t>Devoted MAPD Ovr</t>
  </si>
  <si>
    <t>Devoted Health MAPD 2026*</t>
  </si>
  <si>
    <t>[%/$=347][prorate=12/12]</t>
  </si>
  <si>
    <t>[%/$=347][prorate=11/12]</t>
  </si>
  <si>
    <t>[%/$=347][prorate=10/12]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</si>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</sst>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6" sqref="C6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10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13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23</v>
      </c>
      <c r="C6" t="s">
        <v>15</v>
      </c>
    </row>
    <row r="7" spans="1:6" x14ac:dyDescent="0.25">
      <c r="A7" t="s">
        <v>16</v>
      </c>
      <c r="C7" t="s">
        <v>12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"/>
  <sheetViews>
    <sheetView topLeftCell="D7" zoomScaleNormal="100" workbookViewId="0">
      <selection activeCell="D34" sqref="A34:XFD3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28515625" customWidth="1"/>
    <col min="10" max="10" width="13.28515625" customWidth="1"/>
    <col min="11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7109375" customWidth="1"/>
    <col min="19" max="19" width="14.5703125" customWidth="1"/>
    <col min="20" max="20" width="14" customWidth="1"/>
    <col min="21" max="21" width="25.7109375" customWidth="1"/>
    <col min="22" max="22" width="18.140625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10</v>
      </c>
      <c r="N2" t="s">
        <v>51</v>
      </c>
      <c r="O2">
        <v>9</v>
      </c>
      <c r="P2" t="s">
        <v>52</v>
      </c>
      <c r="Q2" t="s">
        <v>53</v>
      </c>
      <c r="R2">
        <v>-347</v>
      </c>
      <c r="S2">
        <v>-200</v>
      </c>
      <c r="T2">
        <v>-547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46</v>
      </c>
      <c r="I3" t="s">
        <v>60</v>
      </c>
      <c r="J3" t="s">
        <v>48</v>
      </c>
      <c r="K3" t="s">
        <v>49</v>
      </c>
      <c r="L3" t="s">
        <v>61</v>
      </c>
      <c r="M3">
        <v>6</v>
      </c>
      <c r="N3" t="s">
        <v>51</v>
      </c>
      <c r="O3">
        <v>4</v>
      </c>
      <c r="P3" t="s">
        <v>52</v>
      </c>
      <c r="Q3" t="s">
        <v>53</v>
      </c>
      <c r="R3">
        <v>-347</v>
      </c>
      <c r="S3">
        <v>-200</v>
      </c>
      <c r="T3">
        <v>-547</v>
      </c>
      <c r="U3" t="s">
        <v>7</v>
      </c>
    </row>
    <row r="4" spans="1:22" x14ac:dyDescent="0.25">
      <c r="A4" t="s">
        <v>8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46</v>
      </c>
      <c r="I4" t="s">
        <v>68</v>
      </c>
      <c r="J4" t="s">
        <v>48</v>
      </c>
      <c r="K4" t="s">
        <v>49</v>
      </c>
      <c r="L4" t="s">
        <v>50</v>
      </c>
      <c r="M4">
        <v>10</v>
      </c>
      <c r="N4" t="s">
        <v>51</v>
      </c>
      <c r="O4">
        <v>9</v>
      </c>
      <c r="P4" t="s">
        <v>52</v>
      </c>
      <c r="Q4" t="s">
        <v>53</v>
      </c>
      <c r="R4">
        <v>-347</v>
      </c>
      <c r="S4">
        <v>-200</v>
      </c>
      <c r="T4">
        <v>-547</v>
      </c>
      <c r="U4" t="s">
        <v>7</v>
      </c>
    </row>
    <row r="5" spans="1:22" x14ac:dyDescent="0.25">
      <c r="A5" t="s">
        <v>8</v>
      </c>
      <c r="B5" t="s">
        <v>69</v>
      </c>
      <c r="C5" t="s">
        <v>70</v>
      </c>
      <c r="D5" t="s">
        <v>71</v>
      </c>
      <c r="E5" t="s">
        <v>72</v>
      </c>
      <c r="F5" t="s">
        <v>73</v>
      </c>
      <c r="G5" t="s">
        <v>74</v>
      </c>
      <c r="H5" t="s">
        <v>75</v>
      </c>
      <c r="I5" t="s">
        <v>76</v>
      </c>
      <c r="J5" t="s">
        <v>48</v>
      </c>
      <c r="K5" t="s">
        <v>49</v>
      </c>
      <c r="L5" t="s">
        <v>77</v>
      </c>
      <c r="M5">
        <v>6</v>
      </c>
      <c r="N5" t="s">
        <v>51</v>
      </c>
      <c r="O5">
        <v>13</v>
      </c>
      <c r="P5" t="s">
        <v>52</v>
      </c>
      <c r="Q5" t="s">
        <v>53</v>
      </c>
      <c r="R5">
        <v>-347</v>
      </c>
      <c r="S5">
        <v>-200</v>
      </c>
      <c r="T5">
        <v>-547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84</v>
      </c>
      <c r="J6" t="s">
        <v>48</v>
      </c>
      <c r="K6" t="s">
        <v>49</v>
      </c>
      <c r="L6" t="s">
        <v>50</v>
      </c>
      <c r="M6">
        <v>1</v>
      </c>
      <c r="N6" t="s">
        <v>51</v>
      </c>
      <c r="O6">
        <v>8</v>
      </c>
      <c r="P6" t="s">
        <v>52</v>
      </c>
      <c r="Q6" t="s">
        <v>53</v>
      </c>
      <c r="R6">
        <v>-347</v>
      </c>
      <c r="S6">
        <v>-200</v>
      </c>
      <c r="T6">
        <v>-547</v>
      </c>
      <c r="U6" t="s">
        <v>7</v>
      </c>
    </row>
    <row r="7" spans="1:22" x14ac:dyDescent="0.25">
      <c r="A7" t="s">
        <v>8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48</v>
      </c>
      <c r="K7" t="s">
        <v>49</v>
      </c>
      <c r="L7" t="s">
        <v>93</v>
      </c>
      <c r="M7">
        <v>22</v>
      </c>
      <c r="N7" t="s">
        <v>51</v>
      </c>
      <c r="O7">
        <v>16</v>
      </c>
      <c r="P7" t="s">
        <v>52</v>
      </c>
      <c r="Q7" t="s">
        <v>53</v>
      </c>
      <c r="R7">
        <v>-347</v>
      </c>
      <c r="S7">
        <v>-200</v>
      </c>
      <c r="T7">
        <v>-547</v>
      </c>
      <c r="U7" t="s">
        <v>7</v>
      </c>
    </row>
    <row r="8" spans="1:22" x14ac:dyDescent="0.25">
      <c r="A8" t="s">
        <v>8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46</v>
      </c>
      <c r="I8" t="s">
        <v>100</v>
      </c>
      <c r="J8" t="s">
        <v>48</v>
      </c>
      <c r="K8" t="s">
        <v>49</v>
      </c>
      <c r="L8" t="s">
        <v>50</v>
      </c>
      <c r="M8">
        <v>10</v>
      </c>
      <c r="N8" t="s">
        <v>51</v>
      </c>
      <c r="O8">
        <v>2</v>
      </c>
      <c r="P8" t="s">
        <v>52</v>
      </c>
      <c r="Q8" t="s">
        <v>53</v>
      </c>
      <c r="R8">
        <v>-347</v>
      </c>
      <c r="S8">
        <v>-200</v>
      </c>
      <c r="T8">
        <v>-547</v>
      </c>
      <c r="U8" t="s">
        <v>7</v>
      </c>
    </row>
    <row r="9" spans="1:22" x14ac:dyDescent="0.25">
      <c r="A9" t="s">
        <v>8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46</v>
      </c>
      <c r="I9" t="s">
        <v>107</v>
      </c>
      <c r="J9" t="s">
        <v>48</v>
      </c>
      <c r="K9" t="s">
        <v>49</v>
      </c>
      <c r="L9" t="s">
        <v>50</v>
      </c>
      <c r="M9">
        <v>10</v>
      </c>
      <c r="N9" t="s">
        <v>51</v>
      </c>
      <c r="O9">
        <v>6</v>
      </c>
      <c r="P9" t="s">
        <v>52</v>
      </c>
      <c r="Q9" t="s">
        <v>53</v>
      </c>
      <c r="R9">
        <v>-347</v>
      </c>
      <c r="S9">
        <v>-200</v>
      </c>
      <c r="T9">
        <v>-547</v>
      </c>
      <c r="U9" t="s">
        <v>7</v>
      </c>
    </row>
    <row r="10" spans="1:22" x14ac:dyDescent="0.25">
      <c r="A10" t="s">
        <v>8</v>
      </c>
      <c r="B10" t="s">
        <v>101</v>
      </c>
      <c r="C10" t="s">
        <v>102</v>
      </c>
      <c r="D10" t="s">
        <v>108</v>
      </c>
      <c r="E10" t="s">
        <v>109</v>
      </c>
      <c r="F10" t="s">
        <v>110</v>
      </c>
      <c r="G10" t="s">
        <v>106</v>
      </c>
      <c r="H10" t="s">
        <v>46</v>
      </c>
      <c r="I10" t="s">
        <v>107</v>
      </c>
      <c r="J10" t="s">
        <v>48</v>
      </c>
      <c r="K10" t="s">
        <v>49</v>
      </c>
      <c r="L10" t="s">
        <v>50</v>
      </c>
      <c r="M10">
        <v>10</v>
      </c>
      <c r="N10" t="s">
        <v>51</v>
      </c>
      <c r="O10">
        <v>6</v>
      </c>
      <c r="P10" t="s">
        <v>52</v>
      </c>
      <c r="Q10" t="s">
        <v>53</v>
      </c>
      <c r="R10">
        <v>-347</v>
      </c>
      <c r="S10">
        <v>-200</v>
      </c>
      <c r="T10">
        <v>-547</v>
      </c>
      <c r="U10" t="s">
        <v>7</v>
      </c>
    </row>
    <row r="11" spans="1:22" x14ac:dyDescent="0.25">
      <c r="A11" t="s">
        <v>8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46</v>
      </c>
      <c r="I11" t="s">
        <v>117</v>
      </c>
      <c r="J11" t="s">
        <v>48</v>
      </c>
      <c r="L11" t="s">
        <v>50</v>
      </c>
      <c r="M11">
        <v>10</v>
      </c>
      <c r="O11">
        <v>0</v>
      </c>
      <c r="P11" t="s">
        <v>52</v>
      </c>
      <c r="Q11" t="s">
        <v>53</v>
      </c>
      <c r="R11">
        <v>347</v>
      </c>
      <c r="S11">
        <v>200</v>
      </c>
      <c r="T11">
        <v>547</v>
      </c>
      <c r="U11" t="s">
        <v>7</v>
      </c>
    </row>
    <row r="12" spans="1:22" x14ac:dyDescent="0.25">
      <c r="A12" t="s">
        <v>8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48</v>
      </c>
      <c r="K12" t="s">
        <v>49</v>
      </c>
      <c r="L12" t="s">
        <v>126</v>
      </c>
      <c r="M12">
        <v>5</v>
      </c>
      <c r="N12" t="s">
        <v>51</v>
      </c>
      <c r="O12">
        <v>7</v>
      </c>
      <c r="P12" t="s">
        <v>52</v>
      </c>
      <c r="Q12" t="s">
        <v>53</v>
      </c>
      <c r="R12">
        <v>-347</v>
      </c>
      <c r="S12">
        <v>-200</v>
      </c>
      <c r="T12">
        <v>-547</v>
      </c>
      <c r="U12" t="s">
        <v>7</v>
      </c>
    </row>
    <row r="13" spans="1:22" x14ac:dyDescent="0.25">
      <c r="A13" t="s">
        <v>8</v>
      </c>
      <c r="B13" t="s">
        <v>101</v>
      </c>
      <c r="C13" t="s">
        <v>102</v>
      </c>
      <c r="D13" t="s">
        <v>127</v>
      </c>
      <c r="E13" t="s">
        <v>128</v>
      </c>
      <c r="F13" t="s">
        <v>129</v>
      </c>
      <c r="G13" t="s">
        <v>130</v>
      </c>
      <c r="H13" t="s">
        <v>46</v>
      </c>
      <c r="I13" t="s">
        <v>47</v>
      </c>
      <c r="J13" t="s">
        <v>48</v>
      </c>
      <c r="K13" t="s">
        <v>49</v>
      </c>
      <c r="L13" t="s">
        <v>50</v>
      </c>
      <c r="M13">
        <v>10</v>
      </c>
      <c r="N13" t="s">
        <v>51</v>
      </c>
      <c r="O13">
        <v>4</v>
      </c>
      <c r="P13" t="s">
        <v>52</v>
      </c>
      <c r="Q13" t="s">
        <v>53</v>
      </c>
      <c r="R13">
        <v>-347</v>
      </c>
      <c r="S13">
        <v>-200</v>
      </c>
      <c r="T13">
        <v>-547</v>
      </c>
      <c r="U13" t="s">
        <v>7</v>
      </c>
    </row>
    <row r="14" spans="1:22" x14ac:dyDescent="0.25">
      <c r="A14" t="s">
        <v>8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91</v>
      </c>
      <c r="I14" t="s">
        <v>137</v>
      </c>
      <c r="J14" t="s">
        <v>48</v>
      </c>
      <c r="K14" t="s">
        <v>49</v>
      </c>
      <c r="L14" t="s">
        <v>138</v>
      </c>
      <c r="M14">
        <v>3</v>
      </c>
      <c r="N14" t="s">
        <v>51</v>
      </c>
      <c r="O14">
        <v>12</v>
      </c>
      <c r="P14" t="s">
        <v>52</v>
      </c>
      <c r="Q14" t="s">
        <v>53</v>
      </c>
      <c r="R14">
        <v>-347</v>
      </c>
      <c r="S14">
        <v>-200</v>
      </c>
      <c r="T14">
        <v>-547</v>
      </c>
      <c r="U14" t="s">
        <v>7</v>
      </c>
    </row>
    <row r="15" spans="1:22" x14ac:dyDescent="0.25">
      <c r="A15" t="s">
        <v>8</v>
      </c>
      <c r="B15" t="s">
        <v>139</v>
      </c>
      <c r="C15" t="s">
        <v>140</v>
      </c>
      <c r="D15" t="s">
        <v>141</v>
      </c>
      <c r="E15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48</v>
      </c>
      <c r="K15" t="s">
        <v>49</v>
      </c>
      <c r="L15" t="s">
        <v>147</v>
      </c>
      <c r="M15">
        <v>34</v>
      </c>
      <c r="N15" t="s">
        <v>51</v>
      </c>
      <c r="O15">
        <v>9</v>
      </c>
      <c r="P15" t="s">
        <v>52</v>
      </c>
      <c r="Q15" t="s">
        <v>53</v>
      </c>
      <c r="R15">
        <v>-318.08999999999997</v>
      </c>
      <c r="S15">
        <v>-183.34</v>
      </c>
      <c r="T15">
        <v>-501.43</v>
      </c>
      <c r="U15" t="s">
        <v>7</v>
      </c>
    </row>
    <row r="16" spans="1:22" x14ac:dyDescent="0.25">
      <c r="A16" t="s">
        <v>8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46</v>
      </c>
      <c r="I16" t="s">
        <v>154</v>
      </c>
      <c r="J16" t="s">
        <v>155</v>
      </c>
      <c r="L16" t="s">
        <v>50</v>
      </c>
      <c r="M16">
        <v>10</v>
      </c>
      <c r="O16">
        <v>0</v>
      </c>
      <c r="P16" t="s">
        <v>52</v>
      </c>
      <c r="Q16" t="s">
        <v>53</v>
      </c>
      <c r="R16">
        <v>0</v>
      </c>
      <c r="S16">
        <v>125</v>
      </c>
      <c r="T16">
        <v>125</v>
      </c>
      <c r="U16" t="s">
        <v>7</v>
      </c>
    </row>
    <row r="17" spans="1:21" x14ac:dyDescent="0.25">
      <c r="A17" t="s">
        <v>8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H17" t="s">
        <v>46</v>
      </c>
      <c r="I17" t="s">
        <v>154</v>
      </c>
      <c r="J17" t="s">
        <v>155</v>
      </c>
      <c r="L17" t="s">
        <v>50</v>
      </c>
      <c r="M17">
        <v>10</v>
      </c>
      <c r="O17">
        <v>0</v>
      </c>
      <c r="P17" t="s">
        <v>52</v>
      </c>
      <c r="Q17" t="s">
        <v>53</v>
      </c>
      <c r="R17">
        <v>0</v>
      </c>
      <c r="S17">
        <v>75</v>
      </c>
      <c r="T17">
        <v>75</v>
      </c>
      <c r="U17" t="s">
        <v>7</v>
      </c>
    </row>
    <row r="18" spans="1:21" x14ac:dyDescent="0.25">
      <c r="A18" t="s">
        <v>8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153</v>
      </c>
      <c r="H18" t="s">
        <v>46</v>
      </c>
      <c r="I18" t="s">
        <v>154</v>
      </c>
      <c r="J18" t="s">
        <v>155</v>
      </c>
      <c r="L18" t="s">
        <v>50</v>
      </c>
      <c r="M18">
        <v>10</v>
      </c>
      <c r="O18">
        <v>0</v>
      </c>
      <c r="P18" t="s">
        <v>52</v>
      </c>
      <c r="Q18" t="s">
        <v>53</v>
      </c>
      <c r="R18">
        <v>318.08</v>
      </c>
      <c r="S18">
        <v>0</v>
      </c>
      <c r="T18">
        <v>318.08</v>
      </c>
      <c r="U18" t="s">
        <v>7</v>
      </c>
    </row>
    <row r="19" spans="1:21" x14ac:dyDescent="0.25">
      <c r="A19" t="s">
        <v>8</v>
      </c>
      <c r="B19" t="s">
        <v>156</v>
      </c>
      <c r="C19" t="s">
        <v>157</v>
      </c>
      <c r="D19" t="s">
        <v>158</v>
      </c>
      <c r="E19" t="s">
        <v>159</v>
      </c>
      <c r="F19" t="s">
        <v>160</v>
      </c>
      <c r="G19" t="s">
        <v>161</v>
      </c>
      <c r="H19" t="s">
        <v>46</v>
      </c>
      <c r="I19" t="s">
        <v>162</v>
      </c>
      <c r="J19" t="s">
        <v>155</v>
      </c>
      <c r="L19" t="s">
        <v>61</v>
      </c>
      <c r="M19">
        <v>5</v>
      </c>
      <c r="O19">
        <v>0</v>
      </c>
      <c r="P19" t="s">
        <v>52</v>
      </c>
      <c r="Q19" t="s">
        <v>53</v>
      </c>
      <c r="R19">
        <v>0</v>
      </c>
      <c r="S19">
        <v>75</v>
      </c>
      <c r="T19">
        <v>75</v>
      </c>
      <c r="U19" t="s">
        <v>7</v>
      </c>
    </row>
    <row r="20" spans="1:21" x14ac:dyDescent="0.25">
      <c r="A20" t="s">
        <v>8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46</v>
      </c>
      <c r="I20" t="s">
        <v>162</v>
      </c>
      <c r="J20" t="s">
        <v>155</v>
      </c>
      <c r="L20" t="s">
        <v>61</v>
      </c>
      <c r="M20">
        <v>5</v>
      </c>
      <c r="O20">
        <v>0</v>
      </c>
      <c r="P20" t="s">
        <v>52</v>
      </c>
      <c r="Q20" t="s">
        <v>53</v>
      </c>
      <c r="R20">
        <v>318.08</v>
      </c>
      <c r="S20">
        <v>0</v>
      </c>
      <c r="T20">
        <v>318.08</v>
      </c>
      <c r="U20" t="s">
        <v>7</v>
      </c>
    </row>
    <row r="21" spans="1:21" x14ac:dyDescent="0.25">
      <c r="A21" t="s">
        <v>8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46</v>
      </c>
      <c r="I21" t="s">
        <v>162</v>
      </c>
      <c r="J21" t="s">
        <v>155</v>
      </c>
      <c r="L21" t="s">
        <v>61</v>
      </c>
      <c r="M21">
        <v>5</v>
      </c>
      <c r="O21">
        <v>0</v>
      </c>
      <c r="P21" t="s">
        <v>52</v>
      </c>
      <c r="Q21" t="s">
        <v>53</v>
      </c>
      <c r="R21">
        <v>0</v>
      </c>
      <c r="S21">
        <v>125</v>
      </c>
      <c r="T21">
        <v>125</v>
      </c>
      <c r="U21" t="s">
        <v>7</v>
      </c>
    </row>
    <row r="22" spans="1:21" x14ac:dyDescent="0.25">
      <c r="A22" t="s">
        <v>8</v>
      </c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124</v>
      </c>
      <c r="I22" t="s">
        <v>169</v>
      </c>
      <c r="J22" t="s">
        <v>170</v>
      </c>
      <c r="L22" t="s">
        <v>126</v>
      </c>
      <c r="M22">
        <v>11</v>
      </c>
      <c r="O22">
        <v>0</v>
      </c>
      <c r="P22" t="s">
        <v>52</v>
      </c>
      <c r="Q22" t="s">
        <v>53</v>
      </c>
      <c r="R22">
        <v>0</v>
      </c>
      <c r="S22">
        <v>125</v>
      </c>
      <c r="T22">
        <v>125</v>
      </c>
      <c r="U22" t="s">
        <v>7</v>
      </c>
    </row>
    <row r="23" spans="1:21" x14ac:dyDescent="0.25">
      <c r="A23" t="s">
        <v>8</v>
      </c>
      <c r="B23" t="s">
        <v>163</v>
      </c>
      <c r="C23" t="s">
        <v>164</v>
      </c>
      <c r="D23" t="s">
        <v>165</v>
      </c>
      <c r="E23" t="s">
        <v>166</v>
      </c>
      <c r="F23" t="s">
        <v>167</v>
      </c>
      <c r="G23" t="s">
        <v>168</v>
      </c>
      <c r="H23" t="s">
        <v>124</v>
      </c>
      <c r="I23" t="s">
        <v>169</v>
      </c>
      <c r="J23" t="s">
        <v>170</v>
      </c>
      <c r="L23" t="s">
        <v>126</v>
      </c>
      <c r="M23">
        <v>11</v>
      </c>
      <c r="O23">
        <v>0</v>
      </c>
      <c r="P23" t="s">
        <v>52</v>
      </c>
      <c r="Q23" t="s">
        <v>53</v>
      </c>
      <c r="R23">
        <v>0</v>
      </c>
      <c r="S23">
        <v>75</v>
      </c>
      <c r="T23">
        <v>75</v>
      </c>
      <c r="U23" t="s">
        <v>7</v>
      </c>
    </row>
    <row r="24" spans="1:21" x14ac:dyDescent="0.25">
      <c r="A24" t="s">
        <v>8</v>
      </c>
      <c r="B24" t="s">
        <v>163</v>
      </c>
      <c r="C24" t="s">
        <v>164</v>
      </c>
      <c r="D24" t="s">
        <v>165</v>
      </c>
      <c r="E24" t="s">
        <v>166</v>
      </c>
      <c r="F24" t="s">
        <v>167</v>
      </c>
      <c r="G24" t="s">
        <v>168</v>
      </c>
      <c r="H24" t="s">
        <v>124</v>
      </c>
      <c r="I24" t="s">
        <v>169</v>
      </c>
      <c r="J24" t="s">
        <v>170</v>
      </c>
      <c r="L24" t="s">
        <v>126</v>
      </c>
      <c r="M24">
        <v>11</v>
      </c>
      <c r="O24">
        <v>0</v>
      </c>
      <c r="P24" t="s">
        <v>52</v>
      </c>
      <c r="Q24" t="s">
        <v>53</v>
      </c>
      <c r="R24">
        <v>289.16000000000003</v>
      </c>
      <c r="S24">
        <v>0</v>
      </c>
      <c r="T24">
        <v>289.16000000000003</v>
      </c>
      <c r="U24" t="s">
        <v>7</v>
      </c>
    </row>
    <row r="25" spans="1:21" x14ac:dyDescent="0.25">
      <c r="A25" t="s">
        <v>8</v>
      </c>
      <c r="B25" t="s">
        <v>171</v>
      </c>
      <c r="C25" t="s">
        <v>172</v>
      </c>
      <c r="D25" t="s">
        <v>173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  <c r="J25" t="s">
        <v>155</v>
      </c>
      <c r="L25" t="s">
        <v>179</v>
      </c>
      <c r="M25">
        <v>19</v>
      </c>
      <c r="O25">
        <v>0</v>
      </c>
      <c r="P25" t="s">
        <v>52</v>
      </c>
      <c r="Q25" t="s">
        <v>53</v>
      </c>
      <c r="R25">
        <v>318.08</v>
      </c>
      <c r="S25">
        <v>0</v>
      </c>
      <c r="T25">
        <v>318.08</v>
      </c>
      <c r="U25" t="s">
        <v>7</v>
      </c>
    </row>
    <row r="26" spans="1:21" x14ac:dyDescent="0.25">
      <c r="A26" t="s">
        <v>8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177</v>
      </c>
      <c r="I26" t="s">
        <v>178</v>
      </c>
      <c r="J26" t="s">
        <v>155</v>
      </c>
      <c r="L26" t="s">
        <v>179</v>
      </c>
      <c r="M26">
        <v>19</v>
      </c>
      <c r="O26">
        <v>0</v>
      </c>
      <c r="P26" t="s">
        <v>52</v>
      </c>
      <c r="Q26" t="s">
        <v>53</v>
      </c>
      <c r="R26">
        <v>0</v>
      </c>
      <c r="S26">
        <v>75</v>
      </c>
      <c r="T26">
        <v>75</v>
      </c>
      <c r="U26" t="s">
        <v>7</v>
      </c>
    </row>
    <row r="27" spans="1:21" x14ac:dyDescent="0.25">
      <c r="A27" t="s">
        <v>8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I27" t="s">
        <v>178</v>
      </c>
      <c r="J27" t="s">
        <v>155</v>
      </c>
      <c r="L27" t="s">
        <v>179</v>
      </c>
      <c r="M27">
        <v>19</v>
      </c>
      <c r="O27">
        <v>0</v>
      </c>
      <c r="P27" t="s">
        <v>52</v>
      </c>
      <c r="Q27" t="s">
        <v>53</v>
      </c>
      <c r="R27">
        <v>0</v>
      </c>
      <c r="S27">
        <v>125</v>
      </c>
      <c r="T27">
        <v>125</v>
      </c>
      <c r="U27" t="s">
        <v>7</v>
      </c>
    </row>
    <row r="28" spans="1:21" x14ac:dyDescent="0.25">
      <c r="A28" t="s">
        <v>8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46</v>
      </c>
      <c r="I28" t="s">
        <v>169</v>
      </c>
      <c r="J28" t="s">
        <v>155</v>
      </c>
      <c r="L28" t="s">
        <v>50</v>
      </c>
      <c r="M28">
        <v>10</v>
      </c>
      <c r="O28">
        <v>0</v>
      </c>
      <c r="P28" t="s">
        <v>52</v>
      </c>
      <c r="Q28" t="s">
        <v>53</v>
      </c>
      <c r="R28">
        <v>318.08</v>
      </c>
      <c r="S28">
        <v>0</v>
      </c>
      <c r="T28">
        <v>318.08</v>
      </c>
      <c r="U28" t="s">
        <v>7</v>
      </c>
    </row>
    <row r="29" spans="1:21" x14ac:dyDescent="0.25">
      <c r="A29" t="s">
        <v>8</v>
      </c>
      <c r="B29" t="s">
        <v>180</v>
      </c>
      <c r="C29" t="s">
        <v>181</v>
      </c>
      <c r="D29" t="s">
        <v>182</v>
      </c>
      <c r="E29" t="s">
        <v>183</v>
      </c>
      <c r="F29" t="s">
        <v>184</v>
      </c>
      <c r="G29" t="s">
        <v>185</v>
      </c>
      <c r="H29" t="s">
        <v>46</v>
      </c>
      <c r="I29" t="s">
        <v>169</v>
      </c>
      <c r="J29" t="s">
        <v>155</v>
      </c>
      <c r="L29" t="s">
        <v>50</v>
      </c>
      <c r="M29">
        <v>10</v>
      </c>
      <c r="O29">
        <v>0</v>
      </c>
      <c r="P29" t="s">
        <v>52</v>
      </c>
      <c r="Q29" t="s">
        <v>53</v>
      </c>
      <c r="R29">
        <v>0</v>
      </c>
      <c r="S29">
        <v>75</v>
      </c>
      <c r="T29">
        <v>75</v>
      </c>
      <c r="U29" t="s">
        <v>7</v>
      </c>
    </row>
    <row r="30" spans="1:21" x14ac:dyDescent="0.25">
      <c r="A30" t="s">
        <v>8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46</v>
      </c>
      <c r="I30" t="s">
        <v>169</v>
      </c>
      <c r="J30" t="s">
        <v>155</v>
      </c>
      <c r="L30" t="s">
        <v>50</v>
      </c>
      <c r="M30">
        <v>10</v>
      </c>
      <c r="O30">
        <v>0</v>
      </c>
      <c r="P30" t="s">
        <v>52</v>
      </c>
      <c r="Q30" t="s">
        <v>53</v>
      </c>
      <c r="R30">
        <v>0</v>
      </c>
      <c r="S30">
        <v>125</v>
      </c>
      <c r="T30">
        <v>125</v>
      </c>
      <c r="U30" t="s">
        <v>7</v>
      </c>
    </row>
    <row r="31" spans="1:21" x14ac:dyDescent="0.25">
      <c r="A31" t="s">
        <v>8</v>
      </c>
      <c r="B31" t="s">
        <v>156</v>
      </c>
      <c r="C31" t="s">
        <v>157</v>
      </c>
      <c r="D31" t="s">
        <v>186</v>
      </c>
      <c r="E31" t="s">
        <v>187</v>
      </c>
      <c r="F31" t="s">
        <v>188</v>
      </c>
      <c r="G31" t="s">
        <v>189</v>
      </c>
      <c r="H31" t="s">
        <v>190</v>
      </c>
      <c r="I31" t="s">
        <v>191</v>
      </c>
      <c r="J31" t="s">
        <v>155</v>
      </c>
      <c r="L31" t="s">
        <v>192</v>
      </c>
      <c r="M31">
        <v>2</v>
      </c>
      <c r="O31">
        <v>0</v>
      </c>
      <c r="P31" t="s">
        <v>52</v>
      </c>
      <c r="Q31" t="s">
        <v>53</v>
      </c>
      <c r="R31">
        <v>0</v>
      </c>
      <c r="S31">
        <v>125</v>
      </c>
      <c r="T31">
        <v>125</v>
      </c>
      <c r="U31" t="s">
        <v>7</v>
      </c>
    </row>
    <row r="32" spans="1:21" x14ac:dyDescent="0.25">
      <c r="A32" t="s">
        <v>8</v>
      </c>
      <c r="B32" t="s">
        <v>156</v>
      </c>
      <c r="C32" t="s">
        <v>157</v>
      </c>
      <c r="D32" t="s">
        <v>186</v>
      </c>
      <c r="E32" t="s">
        <v>187</v>
      </c>
      <c r="F32" t="s">
        <v>188</v>
      </c>
      <c r="G32" t="s">
        <v>189</v>
      </c>
      <c r="H32" t="s">
        <v>190</v>
      </c>
      <c r="I32" t="s">
        <v>191</v>
      </c>
      <c r="J32" t="s">
        <v>155</v>
      </c>
      <c r="L32" t="s">
        <v>192</v>
      </c>
      <c r="M32">
        <v>2</v>
      </c>
      <c r="O32">
        <v>0</v>
      </c>
      <c r="P32" t="s">
        <v>52</v>
      </c>
      <c r="Q32" t="s">
        <v>53</v>
      </c>
      <c r="R32">
        <v>0</v>
      </c>
      <c r="S32">
        <v>75</v>
      </c>
      <c r="T32">
        <v>75</v>
      </c>
      <c r="U32" t="s">
        <v>7</v>
      </c>
    </row>
    <row r="33" spans="1:21" x14ac:dyDescent="0.25">
      <c r="A33" t="s">
        <v>8</v>
      </c>
      <c r="B33" t="s">
        <v>156</v>
      </c>
      <c r="C33" t="s">
        <v>157</v>
      </c>
      <c r="D33" t="s">
        <v>186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  <c r="J33" t="s">
        <v>155</v>
      </c>
      <c r="L33" t="s">
        <v>192</v>
      </c>
      <c r="M33">
        <v>2</v>
      </c>
      <c r="O33">
        <v>0</v>
      </c>
      <c r="P33" t="s">
        <v>52</v>
      </c>
      <c r="Q33" t="s">
        <v>53</v>
      </c>
      <c r="R33">
        <v>318.08</v>
      </c>
      <c r="S33">
        <v>0</v>
      </c>
      <c r="T33">
        <v>318.08</v>
      </c>
      <c r="U33" t="s">
        <v>7</v>
      </c>
    </row>
    <row r="34" spans="1:21" x14ac:dyDescent="0.25">
      <c r="A34" t="s">
        <v>8</v>
      </c>
      <c r="B34" t="s">
        <v>148</v>
      </c>
      <c r="C34" t="s">
        <v>149</v>
      </c>
      <c r="D34" t="s">
        <v>193</v>
      </c>
      <c r="E34" t="s">
        <v>194</v>
      </c>
      <c r="F34" t="s">
        <v>195</v>
      </c>
      <c r="G34" t="s">
        <v>196</v>
      </c>
      <c r="H34" t="s">
        <v>46</v>
      </c>
      <c r="I34" t="s">
        <v>197</v>
      </c>
      <c r="J34" t="s">
        <v>155</v>
      </c>
      <c r="L34" t="s">
        <v>50</v>
      </c>
      <c r="M34">
        <v>10</v>
      </c>
      <c r="O34">
        <v>0</v>
      </c>
      <c r="P34" t="s">
        <v>52</v>
      </c>
      <c r="Q34" t="s">
        <v>53</v>
      </c>
      <c r="R34">
        <v>318.08</v>
      </c>
      <c r="S34">
        <v>0</v>
      </c>
      <c r="T34">
        <v>318.08</v>
      </c>
      <c r="U34" t="s">
        <v>7</v>
      </c>
    </row>
    <row r="35" spans="1:21" x14ac:dyDescent="0.25">
      <c r="A35" t="s">
        <v>8</v>
      </c>
      <c r="B35" t="s">
        <v>148</v>
      </c>
      <c r="C35" t="s">
        <v>149</v>
      </c>
      <c r="D35" t="s">
        <v>193</v>
      </c>
      <c r="E35" t="s">
        <v>194</v>
      </c>
      <c r="F35" t="s">
        <v>195</v>
      </c>
      <c r="G35" t="s">
        <v>196</v>
      </c>
      <c r="H35" t="s">
        <v>46</v>
      </c>
      <c r="I35" t="s">
        <v>197</v>
      </c>
      <c r="J35" t="s">
        <v>155</v>
      </c>
      <c r="L35" t="s">
        <v>50</v>
      </c>
      <c r="M35">
        <v>10</v>
      </c>
      <c r="O35">
        <v>0</v>
      </c>
      <c r="P35" t="s">
        <v>52</v>
      </c>
      <c r="Q35" t="s">
        <v>53</v>
      </c>
      <c r="R35">
        <v>0</v>
      </c>
      <c r="S35">
        <v>75</v>
      </c>
      <c r="T35">
        <v>75</v>
      </c>
      <c r="U35" t="s">
        <v>7</v>
      </c>
    </row>
    <row r="36" spans="1:21" x14ac:dyDescent="0.25">
      <c r="A36" t="s">
        <v>8</v>
      </c>
      <c r="B36" t="s">
        <v>148</v>
      </c>
      <c r="C36" t="s">
        <v>149</v>
      </c>
      <c r="D36" t="s">
        <v>193</v>
      </c>
      <c r="E36" t="s">
        <v>194</v>
      </c>
      <c r="F36" t="s">
        <v>195</v>
      </c>
      <c r="G36" t="s">
        <v>196</v>
      </c>
      <c r="H36" t="s">
        <v>46</v>
      </c>
      <c r="I36" t="s">
        <v>197</v>
      </c>
      <c r="J36" t="s">
        <v>155</v>
      </c>
      <c r="L36" t="s">
        <v>50</v>
      </c>
      <c r="M36">
        <v>10</v>
      </c>
      <c r="O36">
        <v>0</v>
      </c>
      <c r="P36" t="s">
        <v>52</v>
      </c>
      <c r="Q36" t="s">
        <v>53</v>
      </c>
      <c r="R36">
        <v>0</v>
      </c>
      <c r="S36">
        <v>125</v>
      </c>
      <c r="T36">
        <v>125</v>
      </c>
      <c r="U36" t="s">
        <v>7</v>
      </c>
    </row>
    <row r="37" spans="1:21" x14ac:dyDescent="0.25">
      <c r="A37" t="s">
        <v>8</v>
      </c>
      <c r="B37" t="s">
        <v>148</v>
      </c>
      <c r="C37" t="s">
        <v>149</v>
      </c>
      <c r="D37" t="s">
        <v>198</v>
      </c>
      <c r="E37" t="s">
        <v>199</v>
      </c>
      <c r="F37" t="s">
        <v>200</v>
      </c>
      <c r="G37" t="s">
        <v>201</v>
      </c>
      <c r="H37" t="s">
        <v>46</v>
      </c>
      <c r="I37" t="s">
        <v>197</v>
      </c>
      <c r="J37" t="s">
        <v>155</v>
      </c>
      <c r="L37" t="s">
        <v>50</v>
      </c>
      <c r="M37">
        <v>10</v>
      </c>
      <c r="O37">
        <v>0</v>
      </c>
      <c r="P37" t="s">
        <v>52</v>
      </c>
      <c r="Q37" t="s">
        <v>53</v>
      </c>
      <c r="R37">
        <v>0</v>
      </c>
      <c r="S37">
        <v>125</v>
      </c>
      <c r="T37">
        <v>125</v>
      </c>
      <c r="U37" t="s">
        <v>7</v>
      </c>
    </row>
    <row r="38" spans="1:21" x14ac:dyDescent="0.25">
      <c r="A38" t="s">
        <v>8</v>
      </c>
      <c r="B38" t="s">
        <v>148</v>
      </c>
      <c r="C38" t="s">
        <v>149</v>
      </c>
      <c r="D38" t="s">
        <v>198</v>
      </c>
      <c r="E38" t="s">
        <v>199</v>
      </c>
      <c r="F38" t="s">
        <v>200</v>
      </c>
      <c r="G38" t="s">
        <v>201</v>
      </c>
      <c r="H38" t="s">
        <v>46</v>
      </c>
      <c r="I38" t="s">
        <v>197</v>
      </c>
      <c r="J38" t="s">
        <v>155</v>
      </c>
      <c r="L38" t="s">
        <v>50</v>
      </c>
      <c r="M38">
        <v>10</v>
      </c>
      <c r="O38">
        <v>0</v>
      </c>
      <c r="P38" t="s">
        <v>52</v>
      </c>
      <c r="Q38" t="s">
        <v>53</v>
      </c>
      <c r="R38">
        <v>318.08</v>
      </c>
      <c r="S38">
        <v>0</v>
      </c>
      <c r="T38">
        <v>318.08</v>
      </c>
      <c r="U38" t="s">
        <v>7</v>
      </c>
    </row>
    <row r="39" spans="1:21" x14ac:dyDescent="0.25">
      <c r="A39" t="s">
        <v>8</v>
      </c>
      <c r="B39" t="s">
        <v>148</v>
      </c>
      <c r="C39" t="s">
        <v>149</v>
      </c>
      <c r="D39" t="s">
        <v>198</v>
      </c>
      <c r="E39" t="s">
        <v>199</v>
      </c>
      <c r="F39" t="s">
        <v>200</v>
      </c>
      <c r="G39" t="s">
        <v>201</v>
      </c>
      <c r="H39" t="s">
        <v>46</v>
      </c>
      <c r="I39" t="s">
        <v>197</v>
      </c>
      <c r="J39" t="s">
        <v>155</v>
      </c>
      <c r="L39" t="s">
        <v>50</v>
      </c>
      <c r="M39">
        <v>10</v>
      </c>
      <c r="O39">
        <v>0</v>
      </c>
      <c r="P39" t="s">
        <v>52</v>
      </c>
      <c r="Q39" t="s">
        <v>53</v>
      </c>
      <c r="R39">
        <v>0</v>
      </c>
      <c r="S39">
        <v>75</v>
      </c>
      <c r="T39">
        <v>75</v>
      </c>
      <c r="U39" t="s">
        <v>7</v>
      </c>
    </row>
    <row r="40" spans="1:21" x14ac:dyDescent="0.25">
      <c r="A40" t="s">
        <v>8</v>
      </c>
      <c r="B40" t="s">
        <v>202</v>
      </c>
      <c r="C40" t="s">
        <v>203</v>
      </c>
      <c r="D40" t="s">
        <v>204</v>
      </c>
      <c r="E40" t="s">
        <v>205</v>
      </c>
      <c r="F40" t="s">
        <v>206</v>
      </c>
      <c r="G40" t="s">
        <v>207</v>
      </c>
      <c r="H40" t="s">
        <v>91</v>
      </c>
      <c r="I40" t="s">
        <v>162</v>
      </c>
      <c r="J40" t="s">
        <v>155</v>
      </c>
      <c r="L40" t="s">
        <v>93</v>
      </c>
      <c r="M40">
        <v>10</v>
      </c>
      <c r="O40">
        <v>0</v>
      </c>
      <c r="P40" t="s">
        <v>52</v>
      </c>
      <c r="Q40" t="s">
        <v>53</v>
      </c>
      <c r="R40">
        <v>0</v>
      </c>
      <c r="S40">
        <v>75</v>
      </c>
      <c r="T40">
        <v>75</v>
      </c>
      <c r="U40" t="s">
        <v>7</v>
      </c>
    </row>
    <row r="41" spans="1:21" x14ac:dyDescent="0.25">
      <c r="A41" t="s">
        <v>8</v>
      </c>
      <c r="B41" t="s">
        <v>202</v>
      </c>
      <c r="C41" t="s">
        <v>203</v>
      </c>
      <c r="D41" t="s">
        <v>204</v>
      </c>
      <c r="E41" t="s">
        <v>205</v>
      </c>
      <c r="F41" t="s">
        <v>206</v>
      </c>
      <c r="G41" t="s">
        <v>207</v>
      </c>
      <c r="H41" t="s">
        <v>91</v>
      </c>
      <c r="I41" t="s">
        <v>162</v>
      </c>
      <c r="J41" t="s">
        <v>155</v>
      </c>
      <c r="L41" t="s">
        <v>93</v>
      </c>
      <c r="M41">
        <v>10</v>
      </c>
      <c r="O41">
        <v>0</v>
      </c>
      <c r="P41" t="s">
        <v>52</v>
      </c>
      <c r="Q41" t="s">
        <v>53</v>
      </c>
      <c r="R41">
        <v>0</v>
      </c>
      <c r="S41">
        <v>125</v>
      </c>
      <c r="T41">
        <v>125</v>
      </c>
      <c r="U41" t="s">
        <v>7</v>
      </c>
    </row>
    <row r="42" spans="1:21" x14ac:dyDescent="0.25">
      <c r="A42" t="s">
        <v>8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 t="s">
        <v>207</v>
      </c>
      <c r="H42" t="s">
        <v>91</v>
      </c>
      <c r="I42" t="s">
        <v>162</v>
      </c>
      <c r="J42" t="s">
        <v>155</v>
      </c>
      <c r="L42" t="s">
        <v>93</v>
      </c>
      <c r="M42">
        <v>10</v>
      </c>
      <c r="O42">
        <v>0</v>
      </c>
      <c r="P42" t="s">
        <v>52</v>
      </c>
      <c r="Q42" t="s">
        <v>53</v>
      </c>
      <c r="R42">
        <v>318.08</v>
      </c>
      <c r="S42">
        <v>0</v>
      </c>
      <c r="T42">
        <v>318.08</v>
      </c>
      <c r="U4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D76F-DC3A-490F-9E28-5E24EFDB7B8A}">
  <dimension ref="A1:X56"/>
  <sheetViews>
    <sheetView tabSelected="1" topLeftCell="A25" workbookViewId="0">
      <selection activeCell="D54" sqref="D54"/>
    </sheetView>
  </sheetViews>
  <sheetFormatPr defaultRowHeight="15" x14ac:dyDescent="0.25"/>
  <cols>
    <col min="1" max="1" width="11.42578125" customWidth="1"/>
    <col min="2" max="2" width="25" customWidth="1"/>
    <col min="3" max="4" width="15" customWidth="1"/>
    <col min="6" max="6" width="12.7109375" customWidth="1"/>
    <col min="7" max="7" width="27.140625" bestFit="1" customWidth="1"/>
    <col min="8" max="8" width="13.7109375" customWidth="1"/>
    <col min="9" max="9" width="13.28515625" customWidth="1"/>
    <col min="10" max="10" width="6.7109375" customWidth="1"/>
    <col min="11" max="11" width="12.7109375" customWidth="1"/>
    <col min="12" max="12" width="14.5703125" customWidth="1"/>
    <col min="13" max="13" width="14" customWidth="1"/>
    <col min="15" max="15" width="26.7109375" bestFit="1" customWidth="1"/>
    <col min="16" max="16" width="24.140625" bestFit="1" customWidth="1"/>
  </cols>
  <sheetData>
    <row r="1" spans="1:24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34</v>
      </c>
      <c r="K1" t="s">
        <v>35</v>
      </c>
      <c r="L1" t="s">
        <v>36</v>
      </c>
      <c r="M1" t="s">
        <v>37</v>
      </c>
    </row>
    <row r="2" spans="1:24" x14ac:dyDescent="0.25">
      <c r="A2">
        <v>16228684</v>
      </c>
      <c r="B2" t="s">
        <v>102</v>
      </c>
      <c r="C2" t="s">
        <v>127</v>
      </c>
      <c r="D2" t="str">
        <f>CONCATENATE(C2,7)</f>
        <v>DHJ2RA7</v>
      </c>
      <c r="E2" t="s">
        <v>129</v>
      </c>
      <c r="F2" t="s">
        <v>130</v>
      </c>
      <c r="G2" t="str">
        <f>CONCATENATE(E2," ",F2)</f>
        <v>CONSTANCE THOMAS</v>
      </c>
      <c r="H2" t="s">
        <v>46</v>
      </c>
      <c r="I2" t="s">
        <v>48</v>
      </c>
      <c r="J2" t="s">
        <v>53</v>
      </c>
      <c r="K2">
        <v>-347</v>
      </c>
      <c r="L2">
        <v>-200</v>
      </c>
      <c r="M2">
        <v>-547</v>
      </c>
      <c r="N2">
        <v>-347</v>
      </c>
      <c r="O2" t="s">
        <v>209</v>
      </c>
      <c r="P2" t="s">
        <v>210</v>
      </c>
    </row>
    <row r="3" spans="1:24" x14ac:dyDescent="0.25">
      <c r="A3" s="1">
        <v>20411454</v>
      </c>
      <c r="B3" s="1" t="s">
        <v>213</v>
      </c>
      <c r="C3" s="1" t="s">
        <v>127</v>
      </c>
      <c r="D3" s="1" t="str">
        <f>CONCATENATE(C3,"OVR")</f>
        <v>DHJ2RAOVR</v>
      </c>
      <c r="E3" s="1" t="s">
        <v>129</v>
      </c>
      <c r="F3" s="1" t="s">
        <v>130</v>
      </c>
      <c r="G3" s="1" t="str">
        <f>CONCATENATE(E3," ",F3)</f>
        <v>CONSTANCE THOMAS</v>
      </c>
      <c r="H3" s="1" t="s">
        <v>46</v>
      </c>
      <c r="I3" s="1" t="s">
        <v>48</v>
      </c>
      <c r="J3" s="1" t="s">
        <v>53</v>
      </c>
      <c r="K3" s="1">
        <v>-347</v>
      </c>
      <c r="L3" s="1">
        <v>-200</v>
      </c>
      <c r="M3" s="1">
        <v>-547</v>
      </c>
      <c r="N3" s="1">
        <v>-200</v>
      </c>
      <c r="O3" s="1" t="s">
        <v>208</v>
      </c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>
        <v>19645587</v>
      </c>
      <c r="B4" t="s">
        <v>181</v>
      </c>
      <c r="C4" t="s">
        <v>182</v>
      </c>
      <c r="D4" t="str">
        <f>CONCATENATE(C4,7)</f>
        <v>D685J67</v>
      </c>
      <c r="E4" t="s">
        <v>184</v>
      </c>
      <c r="F4" t="s">
        <v>185</v>
      </c>
      <c r="G4" t="str">
        <f>CONCATENATE(E4," ",F4)</f>
        <v>CYNTHIA PETERS</v>
      </c>
      <c r="H4" t="s">
        <v>46</v>
      </c>
      <c r="I4" t="s">
        <v>155</v>
      </c>
      <c r="J4" t="s">
        <v>53</v>
      </c>
      <c r="K4">
        <v>318.08</v>
      </c>
      <c r="L4">
        <v>0</v>
      </c>
      <c r="M4">
        <v>318.08</v>
      </c>
      <c r="N4">
        <v>318.08</v>
      </c>
      <c r="O4" t="s">
        <v>209</v>
      </c>
      <c r="P4" t="s">
        <v>211</v>
      </c>
    </row>
    <row r="5" spans="1:24" x14ac:dyDescent="0.25">
      <c r="A5" s="1">
        <v>20411454</v>
      </c>
      <c r="B5" s="1" t="s">
        <v>213</v>
      </c>
      <c r="C5" s="1" t="s">
        <v>182</v>
      </c>
      <c r="D5" s="1" t="str">
        <f>CONCATENATE(C5,"OVR")</f>
        <v>D685J6OVR</v>
      </c>
      <c r="E5" s="1" t="s">
        <v>184</v>
      </c>
      <c r="F5" s="1" t="s">
        <v>185</v>
      </c>
      <c r="G5" s="1" t="str">
        <f>CONCATENATE(E5," ",F5)</f>
        <v>CYNTHIA PETERS</v>
      </c>
      <c r="H5" s="1" t="s">
        <v>46</v>
      </c>
      <c r="I5" s="1" t="s">
        <v>155</v>
      </c>
      <c r="J5" s="1" t="s">
        <v>53</v>
      </c>
      <c r="K5" s="1">
        <v>0</v>
      </c>
      <c r="L5" s="1">
        <v>75</v>
      </c>
      <c r="M5" s="1">
        <v>75</v>
      </c>
      <c r="N5" s="1">
        <v>75</v>
      </c>
      <c r="O5" s="1" t="s">
        <v>208</v>
      </c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>
        <v>20411454</v>
      </c>
      <c r="B6" s="1" t="s">
        <v>213</v>
      </c>
      <c r="C6" s="1" t="s">
        <v>182</v>
      </c>
      <c r="D6" s="1" t="str">
        <f>CONCATENATE(C6,"OVR")</f>
        <v>D685J6OVR</v>
      </c>
      <c r="E6" s="1" t="s">
        <v>184</v>
      </c>
      <c r="F6" s="1" t="s">
        <v>185</v>
      </c>
      <c r="G6" s="1" t="str">
        <f>CONCATENATE(E6," ",F6)</f>
        <v>CYNTHIA PETERS</v>
      </c>
      <c r="H6" s="1" t="s">
        <v>46</v>
      </c>
      <c r="I6" s="1" t="s">
        <v>155</v>
      </c>
      <c r="J6" s="1" t="s">
        <v>53</v>
      </c>
      <c r="K6" s="1">
        <v>0</v>
      </c>
      <c r="L6" s="1">
        <v>125</v>
      </c>
      <c r="M6" s="1">
        <v>125</v>
      </c>
      <c r="N6" s="1">
        <v>125</v>
      </c>
      <c r="O6" s="1" t="s">
        <v>208</v>
      </c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>
        <v>21435997</v>
      </c>
      <c r="B7" t="s">
        <v>86</v>
      </c>
      <c r="C7" t="s">
        <v>87</v>
      </c>
      <c r="D7" t="str">
        <f>CONCATENATE(C7,7)</f>
        <v>DSUGKC7</v>
      </c>
      <c r="E7" t="s">
        <v>89</v>
      </c>
      <c r="F7" t="s">
        <v>90</v>
      </c>
      <c r="G7" t="str">
        <f>CONCATENATE(E7," ",F7)</f>
        <v>FRANCES LIVINGSTON</v>
      </c>
      <c r="H7" t="s">
        <v>91</v>
      </c>
      <c r="I7" t="s">
        <v>48</v>
      </c>
      <c r="J7" t="s">
        <v>53</v>
      </c>
      <c r="K7">
        <v>-347</v>
      </c>
      <c r="L7">
        <v>-200</v>
      </c>
      <c r="M7">
        <v>-547</v>
      </c>
      <c r="N7">
        <v>-347</v>
      </c>
      <c r="O7" t="s">
        <v>209</v>
      </c>
      <c r="P7" t="s">
        <v>210</v>
      </c>
    </row>
    <row r="8" spans="1:24" x14ac:dyDescent="0.25">
      <c r="A8" s="1">
        <v>20411454</v>
      </c>
      <c r="B8" s="1" t="s">
        <v>213</v>
      </c>
      <c r="C8" s="1" t="s">
        <v>87</v>
      </c>
      <c r="D8" s="1" t="str">
        <f>CONCATENATE(C8,"OVR")</f>
        <v>DSUGKCOVR</v>
      </c>
      <c r="E8" s="1" t="s">
        <v>89</v>
      </c>
      <c r="F8" s="1" t="s">
        <v>90</v>
      </c>
      <c r="G8" s="1" t="str">
        <f>CONCATENATE(E8," ",F8)</f>
        <v>FRANCES LIVINGSTON</v>
      </c>
      <c r="H8" s="1" t="s">
        <v>91</v>
      </c>
      <c r="I8" s="1" t="s">
        <v>48</v>
      </c>
      <c r="J8" s="1" t="s">
        <v>53</v>
      </c>
      <c r="K8" s="1">
        <v>-347</v>
      </c>
      <c r="L8" s="1">
        <v>-200</v>
      </c>
      <c r="M8" s="1">
        <v>-547</v>
      </c>
      <c r="N8" s="1">
        <v>-200</v>
      </c>
      <c r="O8" s="1" t="s">
        <v>208</v>
      </c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>
        <v>18142208</v>
      </c>
      <c r="B9" t="s">
        <v>132</v>
      </c>
      <c r="C9" t="s">
        <v>133</v>
      </c>
      <c r="D9" t="str">
        <f>CONCATENATE(C9,7)</f>
        <v>DJ69JC7</v>
      </c>
      <c r="E9" t="s">
        <v>135</v>
      </c>
      <c r="F9" t="s">
        <v>136</v>
      </c>
      <c r="G9" t="str">
        <f>CONCATENATE(E9," ",F9)</f>
        <v>GEORGE WADE</v>
      </c>
      <c r="H9" t="s">
        <v>91</v>
      </c>
      <c r="I9" t="s">
        <v>48</v>
      </c>
      <c r="J9" t="s">
        <v>53</v>
      </c>
      <c r="K9">
        <v>-347</v>
      </c>
      <c r="L9">
        <v>-200</v>
      </c>
      <c r="M9">
        <v>-547</v>
      </c>
      <c r="N9">
        <v>-347</v>
      </c>
      <c r="O9" t="s">
        <v>209</v>
      </c>
      <c r="P9" t="s">
        <v>210</v>
      </c>
    </row>
    <row r="10" spans="1:24" x14ac:dyDescent="0.25">
      <c r="A10" s="1">
        <v>20411454</v>
      </c>
      <c r="B10" s="1" t="s">
        <v>213</v>
      </c>
      <c r="C10" s="1" t="s">
        <v>133</v>
      </c>
      <c r="D10" s="1" t="str">
        <f>CONCATENATE(C10,"OVR")</f>
        <v>DJ69JCOVR</v>
      </c>
      <c r="E10" s="1" t="s">
        <v>135</v>
      </c>
      <c r="F10" s="1" t="s">
        <v>136</v>
      </c>
      <c r="G10" s="1" t="str">
        <f>CONCATENATE(E10," ",F10)</f>
        <v>GEORGE WADE</v>
      </c>
      <c r="H10" s="1" t="s">
        <v>91</v>
      </c>
      <c r="I10" s="1" t="s">
        <v>48</v>
      </c>
      <c r="J10" s="1" t="s">
        <v>53</v>
      </c>
      <c r="K10" s="1">
        <v>-347</v>
      </c>
      <c r="L10" s="1">
        <v>-200</v>
      </c>
      <c r="M10" s="1">
        <v>-547</v>
      </c>
      <c r="N10" s="1">
        <v>-200</v>
      </c>
      <c r="O10" s="1" t="s">
        <v>208</v>
      </c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>
        <v>21283956</v>
      </c>
      <c r="B11" t="s">
        <v>95</v>
      </c>
      <c r="C11" t="s">
        <v>96</v>
      </c>
      <c r="D11" t="str">
        <f>CONCATENATE(C11,7)</f>
        <v>DSZFWU7</v>
      </c>
      <c r="E11" t="s">
        <v>98</v>
      </c>
      <c r="F11" t="s">
        <v>99</v>
      </c>
      <c r="G11" t="str">
        <f>CONCATENATE(E11," ",F11)</f>
        <v>GUADALUPE OCHOA</v>
      </c>
      <c r="H11" t="s">
        <v>46</v>
      </c>
      <c r="I11" t="s">
        <v>48</v>
      </c>
      <c r="J11" t="s">
        <v>53</v>
      </c>
      <c r="K11">
        <v>-347</v>
      </c>
      <c r="L11">
        <v>-200</v>
      </c>
      <c r="M11">
        <v>-547</v>
      </c>
      <c r="N11">
        <v>-347</v>
      </c>
      <c r="O11" t="s">
        <v>209</v>
      </c>
      <c r="P11" t="s">
        <v>210</v>
      </c>
    </row>
    <row r="12" spans="1:24" x14ac:dyDescent="0.25">
      <c r="A12" s="1">
        <v>20411454</v>
      </c>
      <c r="B12" s="1" t="s">
        <v>213</v>
      </c>
      <c r="C12" s="1" t="s">
        <v>96</v>
      </c>
      <c r="D12" s="1" t="str">
        <f>CONCATENATE(C12,"OVR")</f>
        <v>DSZFWUOVR</v>
      </c>
      <c r="E12" s="1" t="s">
        <v>98</v>
      </c>
      <c r="F12" s="1" t="s">
        <v>99</v>
      </c>
      <c r="G12" s="1" t="str">
        <f>CONCATENATE(E12," ",F12)</f>
        <v>GUADALUPE OCHOA</v>
      </c>
      <c r="H12" s="1" t="s">
        <v>46</v>
      </c>
      <c r="I12" s="1" t="s">
        <v>48</v>
      </c>
      <c r="J12" s="1" t="s">
        <v>53</v>
      </c>
      <c r="K12" s="1">
        <v>-347</v>
      </c>
      <c r="L12" s="1">
        <v>-200</v>
      </c>
      <c r="M12" s="1">
        <v>-547</v>
      </c>
      <c r="N12" s="1">
        <v>-200</v>
      </c>
      <c r="O12" s="1" t="s">
        <v>208</v>
      </c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>
        <v>21436172</v>
      </c>
      <c r="B13" t="s">
        <v>172</v>
      </c>
      <c r="C13" t="s">
        <v>173</v>
      </c>
      <c r="D13" t="str">
        <f>CONCATENATE(C13,7)</f>
        <v>D2C5GR7</v>
      </c>
      <c r="E13" t="s">
        <v>175</v>
      </c>
      <c r="F13" t="s">
        <v>176</v>
      </c>
      <c r="G13" t="str">
        <f>CONCATENATE(E13," ",F13)</f>
        <v>JAMES PATTERSON JR</v>
      </c>
      <c r="H13" t="s">
        <v>177</v>
      </c>
      <c r="I13" t="s">
        <v>155</v>
      </c>
      <c r="J13" t="s">
        <v>53</v>
      </c>
      <c r="K13">
        <v>318.08</v>
      </c>
      <c r="L13">
        <v>0</v>
      </c>
      <c r="M13">
        <v>318.08</v>
      </c>
      <c r="N13">
        <v>318.08</v>
      </c>
      <c r="O13" t="s">
        <v>209</v>
      </c>
      <c r="P13" t="s">
        <v>211</v>
      </c>
    </row>
    <row r="14" spans="1:24" x14ac:dyDescent="0.25">
      <c r="A14" s="1">
        <v>20411454</v>
      </c>
      <c r="B14" s="1" t="s">
        <v>213</v>
      </c>
      <c r="C14" s="1" t="s">
        <v>173</v>
      </c>
      <c r="D14" s="1" t="str">
        <f>CONCATENATE(C14,"OVR")</f>
        <v>D2C5GROVR</v>
      </c>
      <c r="E14" s="1" t="s">
        <v>175</v>
      </c>
      <c r="F14" s="1" t="s">
        <v>176</v>
      </c>
      <c r="G14" s="1" t="str">
        <f>CONCATENATE(E14," ",F14)</f>
        <v>JAMES PATTERSON JR</v>
      </c>
      <c r="H14" s="1" t="s">
        <v>177</v>
      </c>
      <c r="I14" s="1" t="s">
        <v>155</v>
      </c>
      <c r="J14" s="1" t="s">
        <v>53</v>
      </c>
      <c r="K14" s="1">
        <v>0</v>
      </c>
      <c r="L14" s="1">
        <v>75</v>
      </c>
      <c r="M14" s="1">
        <v>75</v>
      </c>
      <c r="N14" s="1">
        <v>75</v>
      </c>
      <c r="O14" s="1" t="s">
        <v>208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>
        <v>20411454</v>
      </c>
      <c r="B15" s="1" t="s">
        <v>213</v>
      </c>
      <c r="C15" s="1" t="s">
        <v>173</v>
      </c>
      <c r="D15" s="1" t="str">
        <f>CONCATENATE(C15,"OVR")</f>
        <v>D2C5GROVR</v>
      </c>
      <c r="E15" s="1" t="s">
        <v>175</v>
      </c>
      <c r="F15" s="1" t="s">
        <v>176</v>
      </c>
      <c r="G15" s="1" t="str">
        <f>CONCATENATE(E15," ",F15)</f>
        <v>JAMES PATTERSON JR</v>
      </c>
      <c r="H15" s="1" t="s">
        <v>177</v>
      </c>
      <c r="I15" s="1" t="s">
        <v>155</v>
      </c>
      <c r="J15" s="1" t="s">
        <v>53</v>
      </c>
      <c r="K15" s="1">
        <v>0</v>
      </c>
      <c r="L15" s="1">
        <v>125</v>
      </c>
      <c r="M15" s="1">
        <v>125</v>
      </c>
      <c r="N15" s="1">
        <v>125</v>
      </c>
      <c r="O15" s="1" t="s">
        <v>208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>
        <v>2158366</v>
      </c>
      <c r="B16" t="s">
        <v>149</v>
      </c>
      <c r="C16" t="s">
        <v>150</v>
      </c>
      <c r="D16" t="str">
        <f>CONCATENATE(C16,7)</f>
        <v>DSH4WR7</v>
      </c>
      <c r="E16" t="s">
        <v>152</v>
      </c>
      <c r="F16" t="s">
        <v>153</v>
      </c>
      <c r="G16" t="str">
        <f>CONCATENATE(E16," ",F16)</f>
        <v>JOANNE KLEE</v>
      </c>
      <c r="H16" t="s">
        <v>46</v>
      </c>
      <c r="I16" t="s">
        <v>155</v>
      </c>
      <c r="J16" t="s">
        <v>53</v>
      </c>
      <c r="K16">
        <v>318.08</v>
      </c>
      <c r="L16">
        <v>0</v>
      </c>
      <c r="M16">
        <v>318.08</v>
      </c>
      <c r="N16">
        <v>318.08</v>
      </c>
      <c r="O16" t="s">
        <v>209</v>
      </c>
      <c r="P16" t="s">
        <v>211</v>
      </c>
    </row>
    <row r="17" spans="1:24" x14ac:dyDescent="0.25">
      <c r="A17" s="1">
        <v>20411454</v>
      </c>
      <c r="B17" s="1" t="s">
        <v>213</v>
      </c>
      <c r="C17" s="1" t="s">
        <v>150</v>
      </c>
      <c r="D17" s="1" t="str">
        <f>CONCATENATE(C17,"OVR")</f>
        <v>DSH4WROVR</v>
      </c>
      <c r="E17" s="1" t="s">
        <v>152</v>
      </c>
      <c r="F17" s="1" t="s">
        <v>153</v>
      </c>
      <c r="G17" s="1" t="str">
        <f>CONCATENATE(E17," ",F17)</f>
        <v>JOANNE KLEE</v>
      </c>
      <c r="H17" s="1" t="s">
        <v>46</v>
      </c>
      <c r="I17" s="1" t="s">
        <v>155</v>
      </c>
      <c r="J17" s="1" t="s">
        <v>53</v>
      </c>
      <c r="K17" s="1">
        <v>0</v>
      </c>
      <c r="L17" s="1">
        <v>75</v>
      </c>
      <c r="M17" s="1">
        <v>75</v>
      </c>
      <c r="N17" s="1">
        <v>75</v>
      </c>
      <c r="O17" s="1" t="s">
        <v>208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>
        <v>20411454</v>
      </c>
      <c r="B18" s="1" t="s">
        <v>213</v>
      </c>
      <c r="C18" s="1" t="s">
        <v>150</v>
      </c>
      <c r="D18" s="1" t="str">
        <f>CONCATENATE(C18,"OVR")</f>
        <v>DSH4WROVR</v>
      </c>
      <c r="E18" s="1" t="s">
        <v>152</v>
      </c>
      <c r="F18" s="1" t="s">
        <v>153</v>
      </c>
      <c r="G18" s="1" t="str">
        <f>CONCATENATE(E18," ",F18)</f>
        <v>JOANNE KLEE</v>
      </c>
      <c r="H18" s="1" t="s">
        <v>46</v>
      </c>
      <c r="I18" s="1" t="s">
        <v>155</v>
      </c>
      <c r="J18" s="1" t="s">
        <v>53</v>
      </c>
      <c r="K18" s="1">
        <v>0</v>
      </c>
      <c r="L18" s="1">
        <v>125</v>
      </c>
      <c r="M18" s="1">
        <v>125</v>
      </c>
      <c r="N18" s="1">
        <v>125</v>
      </c>
      <c r="O18" s="1" t="s">
        <v>208</v>
      </c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>
        <v>9213293</v>
      </c>
      <c r="B19" t="s">
        <v>157</v>
      </c>
      <c r="C19" t="s">
        <v>186</v>
      </c>
      <c r="D19" t="str">
        <f>CONCATENATE(C19,7)</f>
        <v>DEJFA97</v>
      </c>
      <c r="E19" t="s">
        <v>188</v>
      </c>
      <c r="F19" t="s">
        <v>189</v>
      </c>
      <c r="G19" t="str">
        <f>CONCATENATE(E19," ",F19)</f>
        <v>JOE STANFORD JR</v>
      </c>
      <c r="H19" t="s">
        <v>190</v>
      </c>
      <c r="I19" t="s">
        <v>155</v>
      </c>
      <c r="J19" t="s">
        <v>53</v>
      </c>
      <c r="K19">
        <v>318.08</v>
      </c>
      <c r="L19">
        <v>0</v>
      </c>
      <c r="M19">
        <v>318.08</v>
      </c>
      <c r="N19">
        <v>318.08</v>
      </c>
      <c r="O19" t="s">
        <v>209</v>
      </c>
      <c r="P19" t="s">
        <v>211</v>
      </c>
    </row>
    <row r="20" spans="1:24" x14ac:dyDescent="0.25">
      <c r="A20" s="1">
        <v>20411454</v>
      </c>
      <c r="B20" s="1" t="s">
        <v>213</v>
      </c>
      <c r="C20" s="1" t="s">
        <v>186</v>
      </c>
      <c r="D20" s="1" t="str">
        <f>CONCATENATE(C20,"OVR")</f>
        <v>DEJFA9OVR</v>
      </c>
      <c r="E20" s="1" t="s">
        <v>188</v>
      </c>
      <c r="F20" s="1" t="s">
        <v>189</v>
      </c>
      <c r="G20" s="1" t="str">
        <f>CONCATENATE(E20," ",F20)</f>
        <v>JOE STANFORD JR</v>
      </c>
      <c r="H20" s="1" t="s">
        <v>190</v>
      </c>
      <c r="I20" s="1" t="s">
        <v>155</v>
      </c>
      <c r="J20" s="1" t="s">
        <v>53</v>
      </c>
      <c r="K20" s="1">
        <v>0</v>
      </c>
      <c r="L20" s="1">
        <v>75</v>
      </c>
      <c r="M20" s="1">
        <v>75</v>
      </c>
      <c r="N20" s="1">
        <v>75</v>
      </c>
      <c r="O20" s="1" t="s">
        <v>208</v>
      </c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>
        <v>20411454</v>
      </c>
      <c r="B21" s="1" t="s">
        <v>213</v>
      </c>
      <c r="C21" s="1" t="s">
        <v>186</v>
      </c>
      <c r="D21" s="1" t="str">
        <f>CONCATENATE(C21,"OVR")</f>
        <v>DEJFA9OVR</v>
      </c>
      <c r="E21" s="1" t="s">
        <v>188</v>
      </c>
      <c r="F21" s="1" t="s">
        <v>189</v>
      </c>
      <c r="G21" s="1" t="str">
        <f>CONCATENATE(E21," ",F21)</f>
        <v>JOE STANFORD JR</v>
      </c>
      <c r="H21" s="1" t="s">
        <v>190</v>
      </c>
      <c r="I21" s="1" t="s">
        <v>155</v>
      </c>
      <c r="J21" s="1" t="s">
        <v>53</v>
      </c>
      <c r="K21" s="1">
        <v>0</v>
      </c>
      <c r="L21" s="1">
        <v>125</v>
      </c>
      <c r="M21" s="1">
        <v>125</v>
      </c>
      <c r="N21" s="1">
        <v>125</v>
      </c>
      <c r="O21" s="1" t="s">
        <v>208</v>
      </c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>
        <v>19200754</v>
      </c>
      <c r="B22" t="s">
        <v>140</v>
      </c>
      <c r="C22" t="s">
        <v>141</v>
      </c>
      <c r="D22" t="str">
        <f>CONCATENATE(C22,7)</f>
        <v>DWA6Y47</v>
      </c>
      <c r="E22" t="s">
        <v>143</v>
      </c>
      <c r="F22" t="s">
        <v>144</v>
      </c>
      <c r="G22" t="str">
        <f>CONCATENATE(E22," ",F22)</f>
        <v>JOHNNY WHITE</v>
      </c>
      <c r="H22" t="s">
        <v>145</v>
      </c>
      <c r="I22" t="s">
        <v>48</v>
      </c>
      <c r="J22" t="s">
        <v>53</v>
      </c>
      <c r="K22">
        <v>-318.08999999999997</v>
      </c>
      <c r="L22">
        <v>-183.34</v>
      </c>
      <c r="M22">
        <v>-501.43</v>
      </c>
      <c r="N22">
        <v>-318.08999999999997</v>
      </c>
      <c r="O22" t="s">
        <v>209</v>
      </c>
      <c r="P22" t="s">
        <v>211</v>
      </c>
      <c r="Q22">
        <f>347/12*11</f>
        <v>318.08333333333337</v>
      </c>
    </row>
    <row r="23" spans="1:24" x14ac:dyDescent="0.25">
      <c r="A23" s="1">
        <v>20411454</v>
      </c>
      <c r="B23" s="1" t="s">
        <v>213</v>
      </c>
      <c r="C23" s="1" t="s">
        <v>141</v>
      </c>
      <c r="D23" s="1" t="str">
        <f>CONCATENATE(C23,"OVR")</f>
        <v>DWA6Y4OVR</v>
      </c>
      <c r="E23" s="1" t="s">
        <v>143</v>
      </c>
      <c r="F23" s="1" t="s">
        <v>144</v>
      </c>
      <c r="G23" s="1" t="str">
        <f>CONCATENATE(E23," ",F23)</f>
        <v>JOHNNY WHITE</v>
      </c>
      <c r="H23" s="1" t="s">
        <v>145</v>
      </c>
      <c r="I23" s="1" t="s">
        <v>48</v>
      </c>
      <c r="J23" s="1" t="s">
        <v>53</v>
      </c>
      <c r="K23" s="1">
        <v>-318.08999999999997</v>
      </c>
      <c r="L23" s="1">
        <v>-183.34</v>
      </c>
      <c r="M23" s="1">
        <v>-501.43</v>
      </c>
      <c r="N23" s="1">
        <v>-183.34</v>
      </c>
      <c r="O23" s="1" t="s">
        <v>208</v>
      </c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>
        <v>8325282</v>
      </c>
      <c r="B24" t="s">
        <v>112</v>
      </c>
      <c r="C24" t="s">
        <v>113</v>
      </c>
      <c r="D24" t="str">
        <f>CONCATENATE(C24,7)</f>
        <v>D6WKZU7</v>
      </c>
      <c r="E24" t="s">
        <v>115</v>
      </c>
      <c r="F24" t="s">
        <v>116</v>
      </c>
      <c r="G24" t="str">
        <f>CONCATENATE(E24," ",F24)</f>
        <v>JOSEPH RUBINO</v>
      </c>
      <c r="H24" t="s">
        <v>46</v>
      </c>
      <c r="I24" t="s">
        <v>48</v>
      </c>
      <c r="J24" t="s">
        <v>53</v>
      </c>
      <c r="K24">
        <v>347</v>
      </c>
      <c r="L24">
        <v>200</v>
      </c>
      <c r="M24">
        <v>547</v>
      </c>
      <c r="N24">
        <v>347</v>
      </c>
      <c r="O24" t="s">
        <v>209</v>
      </c>
      <c r="P24" t="s">
        <v>210</v>
      </c>
    </row>
    <row r="25" spans="1:24" s="1" customFormat="1" x14ac:dyDescent="0.25">
      <c r="A25" s="1">
        <v>20411454</v>
      </c>
      <c r="B25" s="1" t="s">
        <v>213</v>
      </c>
      <c r="C25" s="1" t="s">
        <v>113</v>
      </c>
      <c r="D25" s="1" t="str">
        <f>CONCATENATE(C25,"OVR")</f>
        <v>D6WKZUOVR</v>
      </c>
      <c r="E25" s="1" t="s">
        <v>115</v>
      </c>
      <c r="F25" s="1" t="s">
        <v>116</v>
      </c>
      <c r="G25" s="1" t="str">
        <f>CONCATENATE(E25," ",F25)</f>
        <v>JOSEPH RUBINO</v>
      </c>
      <c r="H25" s="1" t="s">
        <v>46</v>
      </c>
      <c r="I25" s="1" t="s">
        <v>48</v>
      </c>
      <c r="J25" s="1" t="s">
        <v>53</v>
      </c>
      <c r="K25" s="1">
        <v>347</v>
      </c>
      <c r="L25" s="1">
        <v>200</v>
      </c>
      <c r="M25" s="1">
        <v>547</v>
      </c>
      <c r="N25" s="1">
        <v>200</v>
      </c>
      <c r="O25" s="1" t="s">
        <v>208</v>
      </c>
    </row>
    <row r="26" spans="1:24" s="1" customFormat="1" x14ac:dyDescent="0.25">
      <c r="A26">
        <v>2158366</v>
      </c>
      <c r="B26" t="s">
        <v>149</v>
      </c>
      <c r="C26" t="s">
        <v>198</v>
      </c>
      <c r="D26" t="str">
        <f>CONCATENATE(C26,7)</f>
        <v>DK8YK87</v>
      </c>
      <c r="E26" t="s">
        <v>200</v>
      </c>
      <c r="F26" t="s">
        <v>201</v>
      </c>
      <c r="G26" t="str">
        <f>CONCATENATE(E26," ",F26)</f>
        <v>JULIE WAGNER PICKENS</v>
      </c>
      <c r="H26" t="s">
        <v>46</v>
      </c>
      <c r="I26" t="s">
        <v>155</v>
      </c>
      <c r="J26" t="s">
        <v>53</v>
      </c>
      <c r="K26">
        <v>318.08</v>
      </c>
      <c r="L26">
        <v>0</v>
      </c>
      <c r="M26">
        <v>318.08</v>
      </c>
      <c r="N26">
        <v>318.08</v>
      </c>
      <c r="O26" t="s">
        <v>209</v>
      </c>
      <c r="P26" t="s">
        <v>211</v>
      </c>
      <c r="Q26"/>
      <c r="R26"/>
      <c r="S26"/>
      <c r="T26"/>
      <c r="U26"/>
      <c r="V26"/>
      <c r="W26"/>
      <c r="X26"/>
    </row>
    <row r="27" spans="1:24" s="1" customFormat="1" x14ac:dyDescent="0.25">
      <c r="A27" s="1">
        <v>20411454</v>
      </c>
      <c r="B27" s="1" t="s">
        <v>213</v>
      </c>
      <c r="C27" s="1" t="s">
        <v>198</v>
      </c>
      <c r="D27" s="1" t="str">
        <f>CONCATENATE(C27,"OVR")</f>
        <v>DK8YK8OVR</v>
      </c>
      <c r="E27" s="1" t="s">
        <v>200</v>
      </c>
      <c r="F27" s="1" t="s">
        <v>201</v>
      </c>
      <c r="G27" s="1" t="str">
        <f>CONCATENATE(E27," ",F27)</f>
        <v>JULIE WAGNER PICKENS</v>
      </c>
      <c r="H27" s="1" t="s">
        <v>46</v>
      </c>
      <c r="I27" s="1" t="s">
        <v>155</v>
      </c>
      <c r="J27" s="1" t="s">
        <v>53</v>
      </c>
      <c r="K27" s="1">
        <v>0</v>
      </c>
      <c r="L27" s="1">
        <v>75</v>
      </c>
      <c r="M27" s="1">
        <v>75</v>
      </c>
      <c r="N27" s="1">
        <v>75</v>
      </c>
      <c r="O27" s="1" t="s">
        <v>208</v>
      </c>
    </row>
    <row r="28" spans="1:24" s="1" customFormat="1" x14ac:dyDescent="0.25">
      <c r="A28" s="1">
        <v>20411454</v>
      </c>
      <c r="B28" s="1" t="s">
        <v>213</v>
      </c>
      <c r="C28" s="1" t="s">
        <v>198</v>
      </c>
      <c r="D28" s="1" t="str">
        <f>CONCATENATE(C28,"OVR")</f>
        <v>DK8YK8OVR</v>
      </c>
      <c r="E28" s="1" t="s">
        <v>200</v>
      </c>
      <c r="F28" s="1" t="s">
        <v>201</v>
      </c>
      <c r="G28" s="1" t="str">
        <f>CONCATENATE(E28," ",F28)</f>
        <v>JULIE WAGNER PICKENS</v>
      </c>
      <c r="H28" s="1" t="s">
        <v>46</v>
      </c>
      <c r="I28" s="1" t="s">
        <v>155</v>
      </c>
      <c r="J28" s="1" t="s">
        <v>53</v>
      </c>
      <c r="K28" s="1">
        <v>0</v>
      </c>
      <c r="L28" s="1">
        <v>125</v>
      </c>
      <c r="M28" s="1">
        <v>125</v>
      </c>
      <c r="N28" s="1">
        <v>125</v>
      </c>
      <c r="O28" s="1" t="s">
        <v>208</v>
      </c>
    </row>
    <row r="29" spans="1:24" s="1" customFormat="1" x14ac:dyDescent="0.25">
      <c r="A29">
        <v>16849453</v>
      </c>
      <c r="B29" t="s">
        <v>164</v>
      </c>
      <c r="C29" t="s">
        <v>165</v>
      </c>
      <c r="D29" t="str">
        <f>CONCATENATE(C29,7)</f>
        <v>DGA9487</v>
      </c>
      <c r="E29" t="s">
        <v>167</v>
      </c>
      <c r="F29" t="s">
        <v>168</v>
      </c>
      <c r="G29" t="str">
        <f>CONCATENATE(E29," ",F29)</f>
        <v>LESA NEEMAN</v>
      </c>
      <c r="H29" t="s">
        <v>124</v>
      </c>
      <c r="I29" t="s">
        <v>170</v>
      </c>
      <c r="J29" t="s">
        <v>53</v>
      </c>
      <c r="K29">
        <v>289.16000000000003</v>
      </c>
      <c r="L29">
        <v>0</v>
      </c>
      <c r="M29">
        <v>289.16000000000003</v>
      </c>
      <c r="N29">
        <v>289.16000000000003</v>
      </c>
      <c r="O29" t="s">
        <v>209</v>
      </c>
      <c r="P29" t="s">
        <v>212</v>
      </c>
      <c r="Q29">
        <f>347/12*10</f>
        <v>289.16666666666669</v>
      </c>
      <c r="R29"/>
      <c r="S29"/>
      <c r="T29"/>
      <c r="U29"/>
      <c r="V29"/>
      <c r="W29"/>
      <c r="X29"/>
    </row>
    <row r="30" spans="1:24" s="1" customFormat="1" x14ac:dyDescent="0.25">
      <c r="A30" s="1">
        <v>20411454</v>
      </c>
      <c r="B30" s="1" t="s">
        <v>213</v>
      </c>
      <c r="C30" s="1" t="s">
        <v>165</v>
      </c>
      <c r="D30" s="1" t="str">
        <f>CONCATENATE(C30,"OVR")</f>
        <v>DGA948OVR</v>
      </c>
      <c r="E30" s="1" t="s">
        <v>167</v>
      </c>
      <c r="F30" s="1" t="s">
        <v>168</v>
      </c>
      <c r="G30" s="1" t="str">
        <f>CONCATENATE(E30," ",F30)</f>
        <v>LESA NEEMAN</v>
      </c>
      <c r="H30" s="1" t="s">
        <v>124</v>
      </c>
      <c r="I30" s="1" t="s">
        <v>170</v>
      </c>
      <c r="J30" s="1" t="s">
        <v>53</v>
      </c>
      <c r="K30" s="1">
        <v>0</v>
      </c>
      <c r="L30" s="1">
        <v>75</v>
      </c>
      <c r="M30" s="1">
        <v>75</v>
      </c>
      <c r="N30" s="1">
        <v>75</v>
      </c>
      <c r="O30" s="1" t="s">
        <v>208</v>
      </c>
    </row>
    <row r="31" spans="1:24" s="1" customFormat="1" x14ac:dyDescent="0.25">
      <c r="A31" s="1">
        <v>20411454</v>
      </c>
      <c r="B31" s="1" t="s">
        <v>213</v>
      </c>
      <c r="C31" s="1" t="s">
        <v>165</v>
      </c>
      <c r="D31" s="1" t="str">
        <f>CONCATENATE(C31,"OVR")</f>
        <v>DGA948OVR</v>
      </c>
      <c r="E31" s="1" t="s">
        <v>167</v>
      </c>
      <c r="F31" s="1" t="s">
        <v>168</v>
      </c>
      <c r="G31" s="1" t="str">
        <f>CONCATENATE(E31," ",F31)</f>
        <v>LESA NEEMAN</v>
      </c>
      <c r="H31" s="1" t="s">
        <v>124</v>
      </c>
      <c r="I31" s="1" t="s">
        <v>170</v>
      </c>
      <c r="J31" s="1" t="s">
        <v>53</v>
      </c>
      <c r="K31" s="1">
        <v>0</v>
      </c>
      <c r="L31" s="1">
        <v>125</v>
      </c>
      <c r="M31" s="1">
        <v>125</v>
      </c>
      <c r="N31" s="1">
        <v>125</v>
      </c>
      <c r="O31" s="1" t="s">
        <v>208</v>
      </c>
    </row>
    <row r="32" spans="1:24" s="1" customFormat="1" x14ac:dyDescent="0.25">
      <c r="A32">
        <v>9213293</v>
      </c>
      <c r="B32" t="s">
        <v>157</v>
      </c>
      <c r="C32" t="s">
        <v>158</v>
      </c>
      <c r="D32" t="str">
        <f>CONCATENATE(C32,7)</f>
        <v>DZFFRG7</v>
      </c>
      <c r="E32" t="s">
        <v>160</v>
      </c>
      <c r="F32" t="s">
        <v>161</v>
      </c>
      <c r="G32" t="str">
        <f>CONCATENATE(E32," ",F32)</f>
        <v>LINDA MASON</v>
      </c>
      <c r="H32" t="s">
        <v>46</v>
      </c>
      <c r="I32" t="s">
        <v>155</v>
      </c>
      <c r="J32" t="s">
        <v>53</v>
      </c>
      <c r="K32">
        <v>318.08</v>
      </c>
      <c r="L32">
        <v>0</v>
      </c>
      <c r="M32">
        <v>318.08</v>
      </c>
      <c r="N32">
        <v>318.08</v>
      </c>
      <c r="O32" t="s">
        <v>209</v>
      </c>
      <c r="P32" t="s">
        <v>211</v>
      </c>
      <c r="Q32"/>
      <c r="R32"/>
      <c r="S32"/>
      <c r="T32"/>
      <c r="U32"/>
      <c r="V32"/>
      <c r="W32"/>
      <c r="X32"/>
    </row>
    <row r="33" spans="1:24" s="1" customFormat="1" x14ac:dyDescent="0.25">
      <c r="A33" s="1">
        <v>20411454</v>
      </c>
      <c r="B33" s="1" t="s">
        <v>213</v>
      </c>
      <c r="C33" s="1" t="s">
        <v>158</v>
      </c>
      <c r="D33" s="1" t="str">
        <f>CONCATENATE(C33,"OVR")</f>
        <v>DZFFRGOVR</v>
      </c>
      <c r="E33" s="1" t="s">
        <v>160</v>
      </c>
      <c r="F33" s="1" t="s">
        <v>161</v>
      </c>
      <c r="G33" s="1" t="str">
        <f>CONCATENATE(E33," ",F33)</f>
        <v>LINDA MASON</v>
      </c>
      <c r="H33" s="1" t="s">
        <v>46</v>
      </c>
      <c r="I33" s="1" t="s">
        <v>155</v>
      </c>
      <c r="J33" s="1" t="s">
        <v>53</v>
      </c>
      <c r="K33" s="1">
        <v>0</v>
      </c>
      <c r="L33" s="1">
        <v>75</v>
      </c>
      <c r="M33" s="1">
        <v>75</v>
      </c>
      <c r="N33" s="1">
        <v>75</v>
      </c>
      <c r="O33" s="1" t="s">
        <v>208</v>
      </c>
    </row>
    <row r="34" spans="1:24" s="1" customFormat="1" x14ac:dyDescent="0.25">
      <c r="A34" s="1">
        <v>20411454</v>
      </c>
      <c r="B34" s="1" t="s">
        <v>213</v>
      </c>
      <c r="C34" s="1" t="s">
        <v>158</v>
      </c>
      <c r="D34" s="1" t="str">
        <f>CONCATENATE(C34,"OVR")</f>
        <v>DZFFRGOVR</v>
      </c>
      <c r="E34" s="1" t="s">
        <v>160</v>
      </c>
      <c r="F34" s="1" t="s">
        <v>161</v>
      </c>
      <c r="G34" s="1" t="str">
        <f>CONCATENATE(E34," ",F34)</f>
        <v>LINDA MASON</v>
      </c>
      <c r="H34" s="1" t="s">
        <v>46</v>
      </c>
      <c r="I34" s="1" t="s">
        <v>155</v>
      </c>
      <c r="J34" s="1" t="s">
        <v>53</v>
      </c>
      <c r="K34" s="1">
        <v>0</v>
      </c>
      <c r="L34" s="1">
        <v>125</v>
      </c>
      <c r="M34" s="1">
        <v>125</v>
      </c>
      <c r="N34" s="1">
        <v>125</v>
      </c>
      <c r="O34" s="1" t="s">
        <v>208</v>
      </c>
    </row>
    <row r="35" spans="1:24" s="1" customFormat="1" x14ac:dyDescent="0.25">
      <c r="A35">
        <v>17094718</v>
      </c>
      <c r="B35" t="s">
        <v>79</v>
      </c>
      <c r="C35" t="s">
        <v>80</v>
      </c>
      <c r="D35" t="str">
        <f>CONCATENATE(C35,7)</f>
        <v>DG9CA77</v>
      </c>
      <c r="E35" t="s">
        <v>82</v>
      </c>
      <c r="F35" t="s">
        <v>83</v>
      </c>
      <c r="G35" t="str">
        <f>CONCATENATE(E35," ",F35)</f>
        <v>MARQUESE GRIMES</v>
      </c>
      <c r="H35" t="s">
        <v>46</v>
      </c>
      <c r="I35" t="s">
        <v>48</v>
      </c>
      <c r="J35" t="s">
        <v>53</v>
      </c>
      <c r="K35">
        <v>-347</v>
      </c>
      <c r="L35">
        <v>-200</v>
      </c>
      <c r="M35">
        <v>-547</v>
      </c>
      <c r="N35">
        <v>-347</v>
      </c>
      <c r="O35" t="s">
        <v>209</v>
      </c>
      <c r="P35" t="s">
        <v>210</v>
      </c>
      <c r="Q35"/>
      <c r="R35"/>
      <c r="S35"/>
      <c r="T35"/>
      <c r="U35"/>
      <c r="V35"/>
      <c r="W35"/>
      <c r="X35"/>
    </row>
    <row r="36" spans="1:24" s="1" customFormat="1" x14ac:dyDescent="0.25">
      <c r="A36" s="1">
        <v>20411454</v>
      </c>
      <c r="B36" s="1" t="s">
        <v>213</v>
      </c>
      <c r="C36" s="1" t="s">
        <v>80</v>
      </c>
      <c r="D36" s="1" t="str">
        <f>CONCATENATE(C36,"OVR")</f>
        <v>DG9CA7OVR</v>
      </c>
      <c r="E36" s="1" t="s">
        <v>82</v>
      </c>
      <c r="F36" s="1" t="s">
        <v>83</v>
      </c>
      <c r="G36" s="1" t="str">
        <f>CONCATENATE(E36," ",F36)</f>
        <v>MARQUESE GRIMES</v>
      </c>
      <c r="H36" s="1" t="s">
        <v>46</v>
      </c>
      <c r="I36" s="1" t="s">
        <v>48</v>
      </c>
      <c r="J36" s="1" t="s">
        <v>53</v>
      </c>
      <c r="K36" s="1">
        <v>-347</v>
      </c>
      <c r="L36" s="1">
        <v>-200</v>
      </c>
      <c r="M36" s="1">
        <v>-547</v>
      </c>
      <c r="N36" s="1">
        <v>-200</v>
      </c>
      <c r="O36" s="1" t="s">
        <v>208</v>
      </c>
    </row>
    <row r="37" spans="1:24" s="1" customFormat="1" x14ac:dyDescent="0.25">
      <c r="A37">
        <v>16228684</v>
      </c>
      <c r="B37" t="s">
        <v>102</v>
      </c>
      <c r="C37" t="s">
        <v>103</v>
      </c>
      <c r="D37" t="str">
        <f>CONCATENATE(C37,7)</f>
        <v>DAC86Y7</v>
      </c>
      <c r="E37" t="s">
        <v>105</v>
      </c>
      <c r="F37" t="s">
        <v>106</v>
      </c>
      <c r="G37" t="str">
        <f>CONCATENATE(E37," ",F37)</f>
        <v>MAUREEN PERAZZOLO</v>
      </c>
      <c r="H37" t="s">
        <v>46</v>
      </c>
      <c r="I37" t="s">
        <v>48</v>
      </c>
      <c r="J37" t="s">
        <v>53</v>
      </c>
      <c r="K37">
        <v>-347</v>
      </c>
      <c r="L37">
        <v>-200</v>
      </c>
      <c r="M37">
        <v>-547</v>
      </c>
      <c r="N37">
        <v>-347</v>
      </c>
      <c r="O37" t="s">
        <v>209</v>
      </c>
      <c r="P37" t="s">
        <v>210</v>
      </c>
      <c r="Q37"/>
      <c r="R37"/>
      <c r="S37"/>
      <c r="T37"/>
      <c r="U37"/>
      <c r="V37"/>
      <c r="W37"/>
      <c r="X37"/>
    </row>
    <row r="38" spans="1:24" s="1" customFormat="1" x14ac:dyDescent="0.25">
      <c r="A38" s="1">
        <v>20411454</v>
      </c>
      <c r="B38" s="1" t="s">
        <v>213</v>
      </c>
      <c r="C38" s="1" t="s">
        <v>103</v>
      </c>
      <c r="D38" s="1" t="str">
        <f>CONCATENATE(C38,"OVR")</f>
        <v>DAC86YOVR</v>
      </c>
      <c r="E38" s="1" t="s">
        <v>105</v>
      </c>
      <c r="F38" s="1" t="s">
        <v>106</v>
      </c>
      <c r="G38" s="1" t="str">
        <f>CONCATENATE(E38," ",F38)</f>
        <v>MAUREEN PERAZZOLO</v>
      </c>
      <c r="H38" s="1" t="s">
        <v>46</v>
      </c>
      <c r="I38" s="1" t="s">
        <v>48</v>
      </c>
      <c r="J38" s="1" t="s">
        <v>53</v>
      </c>
      <c r="K38" s="1">
        <v>-347</v>
      </c>
      <c r="L38" s="1">
        <v>-200</v>
      </c>
      <c r="M38" s="1">
        <v>-547</v>
      </c>
      <c r="N38" s="1">
        <v>-200</v>
      </c>
      <c r="O38" s="1" t="s">
        <v>208</v>
      </c>
    </row>
    <row r="39" spans="1:24" s="1" customFormat="1" x14ac:dyDescent="0.25">
      <c r="A39">
        <v>17859093</v>
      </c>
      <c r="B39" t="s">
        <v>70</v>
      </c>
      <c r="C39" t="s">
        <v>71</v>
      </c>
      <c r="D39" t="str">
        <f>CONCATENATE(C39,7)</f>
        <v>DGK2YE7</v>
      </c>
      <c r="E39" t="s">
        <v>73</v>
      </c>
      <c r="F39" t="s">
        <v>74</v>
      </c>
      <c r="G39" t="str">
        <f>CONCATENATE(E39," ",F39)</f>
        <v>MIGUEL GONZALEZ</v>
      </c>
      <c r="H39" t="s">
        <v>75</v>
      </c>
      <c r="I39" t="s">
        <v>48</v>
      </c>
      <c r="J39" t="s">
        <v>53</v>
      </c>
      <c r="K39">
        <v>-347</v>
      </c>
      <c r="L39">
        <v>-200</v>
      </c>
      <c r="M39">
        <v>-547</v>
      </c>
      <c r="N39">
        <v>-347</v>
      </c>
      <c r="O39" t="s">
        <v>209</v>
      </c>
      <c r="P39" t="s">
        <v>210</v>
      </c>
      <c r="Q39"/>
      <c r="R39"/>
      <c r="S39"/>
      <c r="T39"/>
      <c r="U39"/>
      <c r="V39"/>
      <c r="W39"/>
      <c r="X39"/>
    </row>
    <row r="40" spans="1:24" s="1" customFormat="1" x14ac:dyDescent="0.25">
      <c r="A40" s="1">
        <v>20411454</v>
      </c>
      <c r="B40" s="1" t="s">
        <v>213</v>
      </c>
      <c r="C40" s="1" t="s">
        <v>71</v>
      </c>
      <c r="D40" s="1" t="str">
        <f>CONCATENATE(C40,"OVR")</f>
        <v>DGK2YEOVR</v>
      </c>
      <c r="E40" s="1" t="s">
        <v>73</v>
      </c>
      <c r="F40" s="1" t="s">
        <v>74</v>
      </c>
      <c r="G40" s="1" t="str">
        <f>CONCATENATE(E40," ",F40)</f>
        <v>MIGUEL GONZALEZ</v>
      </c>
      <c r="H40" s="1" t="s">
        <v>75</v>
      </c>
      <c r="I40" s="1" t="s">
        <v>48</v>
      </c>
      <c r="J40" s="1" t="s">
        <v>53</v>
      </c>
      <c r="K40" s="1">
        <v>-347</v>
      </c>
      <c r="L40" s="1">
        <v>-200</v>
      </c>
      <c r="M40" s="1">
        <v>-547</v>
      </c>
      <c r="N40" s="1">
        <v>-200</v>
      </c>
      <c r="O40" s="1" t="s">
        <v>208</v>
      </c>
    </row>
    <row r="41" spans="1:24" s="1" customFormat="1" x14ac:dyDescent="0.25">
      <c r="A41">
        <v>17301495</v>
      </c>
      <c r="B41" t="s">
        <v>55</v>
      </c>
      <c r="C41" t="s">
        <v>56</v>
      </c>
      <c r="D41" t="str">
        <f>CONCATENATE(C41,7)</f>
        <v>D2WAY67</v>
      </c>
      <c r="E41" t="s">
        <v>58</v>
      </c>
      <c r="F41" t="s">
        <v>59</v>
      </c>
      <c r="G41" t="str">
        <f>CONCATENATE(E41," ",F41)</f>
        <v>MOISES GIRAL</v>
      </c>
      <c r="H41" t="s">
        <v>46</v>
      </c>
      <c r="I41" t="s">
        <v>48</v>
      </c>
      <c r="J41" t="s">
        <v>53</v>
      </c>
      <c r="K41">
        <v>-347</v>
      </c>
      <c r="L41">
        <v>-200</v>
      </c>
      <c r="M41">
        <v>-547</v>
      </c>
      <c r="N41">
        <v>-347</v>
      </c>
      <c r="O41" t="s">
        <v>209</v>
      </c>
      <c r="P41" t="s">
        <v>210</v>
      </c>
      <c r="Q41"/>
      <c r="R41"/>
      <c r="S41"/>
      <c r="T41"/>
      <c r="U41"/>
      <c r="V41"/>
      <c r="W41"/>
      <c r="X41"/>
    </row>
    <row r="42" spans="1:24" s="1" customFormat="1" x14ac:dyDescent="0.25">
      <c r="A42" s="1">
        <v>20411454</v>
      </c>
      <c r="B42" s="1" t="s">
        <v>213</v>
      </c>
      <c r="C42" s="1" t="s">
        <v>56</v>
      </c>
      <c r="D42" s="1" t="str">
        <f>CONCATENATE(C42,"OVR")</f>
        <v>D2WAY6OVR</v>
      </c>
      <c r="E42" s="1" t="s">
        <v>58</v>
      </c>
      <c r="F42" s="1" t="s">
        <v>59</v>
      </c>
      <c r="G42" s="1" t="str">
        <f>CONCATENATE(E42," ",F42)</f>
        <v>MOISES GIRAL</v>
      </c>
      <c r="H42" s="1" t="s">
        <v>46</v>
      </c>
      <c r="I42" s="1" t="s">
        <v>48</v>
      </c>
      <c r="J42" s="1" t="s">
        <v>53</v>
      </c>
      <c r="K42" s="1">
        <v>-347</v>
      </c>
      <c r="L42" s="1">
        <v>-200</v>
      </c>
      <c r="M42" s="1">
        <v>-547</v>
      </c>
      <c r="N42" s="1">
        <v>-200</v>
      </c>
      <c r="O42" s="1" t="s">
        <v>208</v>
      </c>
    </row>
    <row r="43" spans="1:24" s="1" customFormat="1" x14ac:dyDescent="0.25">
      <c r="A43">
        <v>16170994</v>
      </c>
      <c r="B43" t="s">
        <v>203</v>
      </c>
      <c r="C43" t="s">
        <v>204</v>
      </c>
      <c r="D43" t="str">
        <f>CONCATENATE(C43,7)</f>
        <v>DR32CC7</v>
      </c>
      <c r="E43" t="s">
        <v>206</v>
      </c>
      <c r="F43" t="s">
        <v>207</v>
      </c>
      <c r="G43" t="str">
        <f>CONCATENATE(E43," ",F43)</f>
        <v>RAMONA ZAVADA</v>
      </c>
      <c r="H43" t="s">
        <v>91</v>
      </c>
      <c r="I43" t="s">
        <v>155</v>
      </c>
      <c r="J43" t="s">
        <v>53</v>
      </c>
      <c r="K43">
        <v>318.08</v>
      </c>
      <c r="L43">
        <v>0</v>
      </c>
      <c r="M43">
        <v>318.08</v>
      </c>
      <c r="N43">
        <v>318.08</v>
      </c>
      <c r="O43" t="s">
        <v>209</v>
      </c>
      <c r="P43" t="s">
        <v>211</v>
      </c>
      <c r="Q43"/>
      <c r="R43"/>
      <c r="S43"/>
      <c r="T43"/>
      <c r="U43"/>
      <c r="V43"/>
      <c r="W43"/>
      <c r="X43"/>
    </row>
    <row r="44" spans="1:24" s="1" customFormat="1" x14ac:dyDescent="0.25">
      <c r="A44" s="1">
        <v>20411454</v>
      </c>
      <c r="B44" s="1" t="s">
        <v>213</v>
      </c>
      <c r="C44" s="1" t="s">
        <v>204</v>
      </c>
      <c r="D44" s="1" t="str">
        <f>CONCATENATE(C44,"OVR")</f>
        <v>DR32CCOVR</v>
      </c>
      <c r="E44" s="1" t="s">
        <v>206</v>
      </c>
      <c r="F44" s="1" t="s">
        <v>207</v>
      </c>
      <c r="G44" s="1" t="str">
        <f>CONCATENATE(E44," ",F44)</f>
        <v>RAMONA ZAVADA</v>
      </c>
      <c r="H44" s="1" t="s">
        <v>91</v>
      </c>
      <c r="I44" s="1" t="s">
        <v>155</v>
      </c>
      <c r="J44" s="1" t="s">
        <v>53</v>
      </c>
      <c r="K44" s="1">
        <v>0</v>
      </c>
      <c r="L44" s="1">
        <v>75</v>
      </c>
      <c r="M44" s="1">
        <v>75</v>
      </c>
      <c r="N44" s="1">
        <v>75</v>
      </c>
      <c r="O44" s="1" t="s">
        <v>208</v>
      </c>
    </row>
    <row r="45" spans="1:24" s="1" customFormat="1" x14ac:dyDescent="0.25">
      <c r="A45" s="1">
        <v>20411454</v>
      </c>
      <c r="B45" s="1" t="s">
        <v>213</v>
      </c>
      <c r="C45" s="1" t="s">
        <v>204</v>
      </c>
      <c r="D45" s="1" t="str">
        <f>CONCATENATE(C45,"OVR")</f>
        <v>DR32CCOVR</v>
      </c>
      <c r="E45" s="1" t="s">
        <v>206</v>
      </c>
      <c r="F45" s="1" t="s">
        <v>207</v>
      </c>
      <c r="G45" s="1" t="str">
        <f>CONCATENATE(E45," ",F45)</f>
        <v>RAMONA ZAVADA</v>
      </c>
      <c r="H45" s="1" t="s">
        <v>91</v>
      </c>
      <c r="I45" s="1" t="s">
        <v>155</v>
      </c>
      <c r="J45" s="1" t="s">
        <v>53</v>
      </c>
      <c r="K45" s="1">
        <v>0</v>
      </c>
      <c r="L45" s="1">
        <v>125</v>
      </c>
      <c r="M45" s="1">
        <v>125</v>
      </c>
      <c r="N45" s="1">
        <v>125</v>
      </c>
      <c r="O45" s="1" t="s">
        <v>208</v>
      </c>
    </row>
    <row r="46" spans="1:24" s="1" customFormat="1" x14ac:dyDescent="0.25">
      <c r="A46">
        <v>19586992</v>
      </c>
      <c r="B46" t="s">
        <v>41</v>
      </c>
      <c r="C46" t="s">
        <v>42</v>
      </c>
      <c r="D46" t="str">
        <f>CONCATENATE(C46,7)</f>
        <v>D5S2G67</v>
      </c>
      <c r="E46" t="s">
        <v>44</v>
      </c>
      <c r="F46" t="s">
        <v>45</v>
      </c>
      <c r="G46" t="str">
        <f>CONCATENATE(E46," ",F46)</f>
        <v>RAQUEL GABRIEL BENNEWITZ</v>
      </c>
      <c r="H46" t="s">
        <v>46</v>
      </c>
      <c r="I46" t="s">
        <v>48</v>
      </c>
      <c r="J46" t="s">
        <v>53</v>
      </c>
      <c r="K46">
        <v>-347</v>
      </c>
      <c r="L46">
        <v>-200</v>
      </c>
      <c r="M46">
        <v>-547</v>
      </c>
      <c r="N46">
        <v>-347</v>
      </c>
      <c r="O46" t="s">
        <v>209</v>
      </c>
      <c r="P46" t="s">
        <v>210</v>
      </c>
      <c r="Q46"/>
      <c r="R46"/>
      <c r="S46"/>
      <c r="T46"/>
      <c r="U46"/>
      <c r="V46"/>
      <c r="W46"/>
      <c r="X46"/>
    </row>
    <row r="47" spans="1:24" s="1" customFormat="1" x14ac:dyDescent="0.25">
      <c r="A47" s="1">
        <v>20411454</v>
      </c>
      <c r="B47" s="1" t="s">
        <v>213</v>
      </c>
      <c r="C47" s="1" t="s">
        <v>42</v>
      </c>
      <c r="D47" s="1" t="str">
        <f>CONCATENATE(C47,"OVR")</f>
        <v>D5S2G6OVR</v>
      </c>
      <c r="E47" s="1" t="s">
        <v>44</v>
      </c>
      <c r="F47" s="1" t="s">
        <v>45</v>
      </c>
      <c r="G47" s="1" t="str">
        <f>CONCATENATE(E47," ",F47)</f>
        <v>RAQUEL GABRIEL BENNEWITZ</v>
      </c>
      <c r="H47" s="1" t="s">
        <v>46</v>
      </c>
      <c r="I47" s="1" t="s">
        <v>48</v>
      </c>
      <c r="J47" s="1" t="s">
        <v>53</v>
      </c>
      <c r="K47" s="1">
        <v>-347</v>
      </c>
      <c r="L47" s="1">
        <v>-200</v>
      </c>
      <c r="M47" s="1">
        <v>-547</v>
      </c>
      <c r="N47" s="1">
        <v>-200</v>
      </c>
      <c r="O47" s="1" t="s">
        <v>208</v>
      </c>
    </row>
    <row r="48" spans="1:24" s="1" customFormat="1" x14ac:dyDescent="0.25">
      <c r="A48">
        <v>17126004</v>
      </c>
      <c r="B48" t="s">
        <v>119</v>
      </c>
      <c r="C48" t="s">
        <v>120</v>
      </c>
      <c r="D48" t="str">
        <f>CONCATENATE(C48,7)</f>
        <v>D22F427</v>
      </c>
      <c r="E48" t="s">
        <v>122</v>
      </c>
      <c r="F48" t="s">
        <v>123</v>
      </c>
      <c r="G48" t="str">
        <f>CONCATENATE(E48," ",F48)</f>
        <v>RONALD SCHRADER</v>
      </c>
      <c r="H48" t="s">
        <v>124</v>
      </c>
      <c r="I48" t="s">
        <v>48</v>
      </c>
      <c r="J48" t="s">
        <v>53</v>
      </c>
      <c r="K48">
        <v>-347</v>
      </c>
      <c r="L48">
        <v>-200</v>
      </c>
      <c r="M48">
        <v>-547</v>
      </c>
      <c r="N48">
        <v>-347</v>
      </c>
      <c r="O48" t="s">
        <v>209</v>
      </c>
      <c r="P48" t="s">
        <v>210</v>
      </c>
      <c r="Q48"/>
      <c r="R48"/>
      <c r="S48"/>
      <c r="T48"/>
      <c r="U48"/>
      <c r="V48"/>
      <c r="W48"/>
      <c r="X48"/>
    </row>
    <row r="49" spans="1:24" s="1" customFormat="1" x14ac:dyDescent="0.25">
      <c r="A49" s="1">
        <v>20411454</v>
      </c>
      <c r="B49" s="1" t="s">
        <v>213</v>
      </c>
      <c r="C49" s="1" t="s">
        <v>120</v>
      </c>
      <c r="D49" s="1" t="str">
        <f>CONCATENATE(C49,"OVR")</f>
        <v>D22F42OVR</v>
      </c>
      <c r="E49" s="1" t="s">
        <v>122</v>
      </c>
      <c r="F49" s="1" t="s">
        <v>123</v>
      </c>
      <c r="G49" s="1" t="str">
        <f>CONCATENATE(E49," ",F49)</f>
        <v>RONALD SCHRADER</v>
      </c>
      <c r="H49" s="1" t="s">
        <v>124</v>
      </c>
      <c r="I49" s="1" t="s">
        <v>48</v>
      </c>
      <c r="J49" s="1" t="s">
        <v>53</v>
      </c>
      <c r="K49" s="1">
        <v>-347</v>
      </c>
      <c r="L49" s="1">
        <v>-200</v>
      </c>
      <c r="M49" s="1">
        <v>-547</v>
      </c>
      <c r="N49" s="1">
        <v>-200</v>
      </c>
      <c r="O49" s="1" t="s">
        <v>208</v>
      </c>
    </row>
    <row r="50" spans="1:24" s="1" customFormat="1" x14ac:dyDescent="0.25">
      <c r="A50">
        <v>16228684</v>
      </c>
      <c r="B50" t="s">
        <v>102</v>
      </c>
      <c r="C50" t="s">
        <v>108</v>
      </c>
      <c r="D50" t="str">
        <f>CONCATENATE(C50,7)</f>
        <v>DWRHUH7</v>
      </c>
      <c r="E50" t="s">
        <v>110</v>
      </c>
      <c r="F50" t="s">
        <v>106</v>
      </c>
      <c r="G50" t="str">
        <f>CONCATENATE(E50," ",F50)</f>
        <v>SCOTT PERAZZOLO</v>
      </c>
      <c r="H50" t="s">
        <v>46</v>
      </c>
      <c r="I50" t="s">
        <v>48</v>
      </c>
      <c r="J50" t="s">
        <v>53</v>
      </c>
      <c r="K50">
        <v>-347</v>
      </c>
      <c r="L50">
        <v>-200</v>
      </c>
      <c r="M50">
        <v>-547</v>
      </c>
      <c r="N50">
        <v>-347</v>
      </c>
      <c r="O50" t="s">
        <v>209</v>
      </c>
      <c r="P50" t="s">
        <v>210</v>
      </c>
      <c r="Q50"/>
      <c r="R50"/>
      <c r="S50"/>
      <c r="T50"/>
      <c r="U50"/>
      <c r="V50"/>
      <c r="W50"/>
      <c r="X50"/>
    </row>
    <row r="51" spans="1:24" s="1" customFormat="1" x14ac:dyDescent="0.25">
      <c r="A51" s="1">
        <v>20411454</v>
      </c>
      <c r="B51" s="1" t="s">
        <v>213</v>
      </c>
      <c r="C51" s="1" t="s">
        <v>108</v>
      </c>
      <c r="D51" s="1" t="str">
        <f>CONCATENATE(C51,"OVR")</f>
        <v>DWRHUHOVR</v>
      </c>
      <c r="E51" s="1" t="s">
        <v>110</v>
      </c>
      <c r="F51" s="1" t="s">
        <v>106</v>
      </c>
      <c r="G51" s="1" t="str">
        <f>CONCATENATE(E51," ",F51)</f>
        <v>SCOTT PERAZZOLO</v>
      </c>
      <c r="H51" s="1" t="s">
        <v>46</v>
      </c>
      <c r="I51" s="1" t="s">
        <v>48</v>
      </c>
      <c r="J51" s="1" t="s">
        <v>53</v>
      </c>
      <c r="K51" s="1">
        <v>-347</v>
      </c>
      <c r="L51" s="1">
        <v>-200</v>
      </c>
      <c r="M51" s="1">
        <v>-547</v>
      </c>
      <c r="N51" s="1">
        <v>-200</v>
      </c>
      <c r="O51" s="1" t="s">
        <v>208</v>
      </c>
    </row>
    <row r="52" spans="1:24" s="1" customFormat="1" x14ac:dyDescent="0.25">
      <c r="A52">
        <v>2158366</v>
      </c>
      <c r="B52" t="s">
        <v>149</v>
      </c>
      <c r="C52" t="s">
        <v>193</v>
      </c>
      <c r="D52" t="str">
        <f>CONCATENATE(C52,7)</f>
        <v>D55YWW7</v>
      </c>
      <c r="E52" t="s">
        <v>195</v>
      </c>
      <c r="F52" t="s">
        <v>196</v>
      </c>
      <c r="G52" t="str">
        <f>CONCATENATE(E52," ",F52)</f>
        <v>TERRENCE TRATTNER</v>
      </c>
      <c r="H52" t="s">
        <v>46</v>
      </c>
      <c r="I52" t="s">
        <v>155</v>
      </c>
      <c r="J52" t="s">
        <v>53</v>
      </c>
      <c r="K52">
        <v>318.08</v>
      </c>
      <c r="L52">
        <v>0</v>
      </c>
      <c r="M52">
        <v>318.08</v>
      </c>
      <c r="N52">
        <v>318.08</v>
      </c>
      <c r="O52" t="s">
        <v>209</v>
      </c>
      <c r="P52" t="s">
        <v>211</v>
      </c>
      <c r="Q52"/>
      <c r="R52"/>
      <c r="S52"/>
      <c r="T52"/>
      <c r="U52"/>
      <c r="V52"/>
      <c r="W52"/>
      <c r="X52"/>
    </row>
    <row r="53" spans="1:24" s="1" customFormat="1" x14ac:dyDescent="0.25">
      <c r="A53" s="1">
        <v>20411454</v>
      </c>
      <c r="B53" s="1" t="s">
        <v>213</v>
      </c>
      <c r="C53" s="1" t="s">
        <v>193</v>
      </c>
      <c r="D53" s="1" t="str">
        <f>CONCATENATE(C53,"OVR")</f>
        <v>D55YWWOVR</v>
      </c>
      <c r="E53" s="1" t="s">
        <v>195</v>
      </c>
      <c r="F53" s="1" t="s">
        <v>196</v>
      </c>
      <c r="G53" s="1" t="str">
        <f>CONCATENATE(E53," ",F53)</f>
        <v>TERRENCE TRATTNER</v>
      </c>
      <c r="H53" s="1" t="s">
        <v>46</v>
      </c>
      <c r="I53" s="1" t="s">
        <v>155</v>
      </c>
      <c r="J53" s="1" t="s">
        <v>53</v>
      </c>
      <c r="K53" s="1">
        <v>0</v>
      </c>
      <c r="L53" s="1">
        <v>75</v>
      </c>
      <c r="M53" s="1">
        <v>75</v>
      </c>
      <c r="N53" s="1">
        <v>75</v>
      </c>
      <c r="O53" s="1" t="s">
        <v>208</v>
      </c>
    </row>
    <row r="54" spans="1:24" s="1" customFormat="1" x14ac:dyDescent="0.25">
      <c r="A54" s="1">
        <v>20411454</v>
      </c>
      <c r="B54" s="1" t="s">
        <v>213</v>
      </c>
      <c r="C54" s="1" t="s">
        <v>193</v>
      </c>
      <c r="D54" s="1" t="str">
        <f>CONCATENATE(C54,"OVR")</f>
        <v>D55YWWOVR</v>
      </c>
      <c r="E54" s="1" t="s">
        <v>195</v>
      </c>
      <c r="F54" s="1" t="s">
        <v>196</v>
      </c>
      <c r="G54" s="1" t="str">
        <f>CONCATENATE(E54," ",F54)</f>
        <v>TERRENCE TRATTNER</v>
      </c>
      <c r="H54" s="1" t="s">
        <v>46</v>
      </c>
      <c r="I54" s="1" t="s">
        <v>155</v>
      </c>
      <c r="J54" s="1" t="s">
        <v>53</v>
      </c>
      <c r="K54" s="1">
        <v>0</v>
      </c>
      <c r="L54" s="1">
        <v>125</v>
      </c>
      <c r="M54" s="1">
        <v>125</v>
      </c>
      <c r="N54" s="1">
        <v>125</v>
      </c>
      <c r="O54" s="1" t="s">
        <v>208</v>
      </c>
    </row>
    <row r="55" spans="1:24" s="1" customFormat="1" x14ac:dyDescent="0.25">
      <c r="A55">
        <v>7152559</v>
      </c>
      <c r="B55" t="s">
        <v>63</v>
      </c>
      <c r="C55" t="s">
        <v>64</v>
      </c>
      <c r="D55" t="str">
        <f>CONCATENATE(C55,7)</f>
        <v>DWS6Y37</v>
      </c>
      <c r="E55" t="s">
        <v>66</v>
      </c>
      <c r="F55" t="s">
        <v>67</v>
      </c>
      <c r="G55" t="str">
        <f>CONCATENATE(E55," ",F55)</f>
        <v>WOODROE GLENN</v>
      </c>
      <c r="H55" t="s">
        <v>46</v>
      </c>
      <c r="I55" t="s">
        <v>48</v>
      </c>
      <c r="J55" t="s">
        <v>53</v>
      </c>
      <c r="K55">
        <v>-347</v>
      </c>
      <c r="L55">
        <v>-200</v>
      </c>
      <c r="M55">
        <v>-547</v>
      </c>
      <c r="N55">
        <v>-347</v>
      </c>
      <c r="O55" t="s">
        <v>209</v>
      </c>
      <c r="P55" t="s">
        <v>210</v>
      </c>
      <c r="Q55"/>
      <c r="R55"/>
      <c r="S55"/>
      <c r="T55"/>
      <c r="U55"/>
      <c r="V55"/>
      <c r="W55"/>
      <c r="X55"/>
    </row>
    <row r="56" spans="1:24" s="1" customFormat="1" x14ac:dyDescent="0.25">
      <c r="A56" s="1">
        <v>20411454</v>
      </c>
      <c r="B56" s="1" t="s">
        <v>213</v>
      </c>
      <c r="C56" s="1" t="s">
        <v>64</v>
      </c>
      <c r="D56" s="1" t="str">
        <f>CONCATENATE(C56,"OVR")</f>
        <v>DWS6Y3OVR</v>
      </c>
      <c r="E56" s="1" t="s">
        <v>66</v>
      </c>
      <c r="F56" s="1" t="s">
        <v>67</v>
      </c>
      <c r="G56" s="1" t="str">
        <f>CONCATENATE(E56," ",F56)</f>
        <v>WOODROE GLENN</v>
      </c>
      <c r="H56" s="1" t="s">
        <v>46</v>
      </c>
      <c r="I56" s="1" t="s">
        <v>48</v>
      </c>
      <c r="J56" s="1" t="s">
        <v>53</v>
      </c>
      <c r="K56" s="1">
        <v>-347</v>
      </c>
      <c r="L56" s="1">
        <v>-200</v>
      </c>
      <c r="M56" s="1">
        <v>-547</v>
      </c>
      <c r="N56" s="1">
        <v>-200</v>
      </c>
      <c r="O56" s="1" t="s">
        <v>208</v>
      </c>
    </row>
  </sheetData>
  <sortState xmlns:xlrd2="http://schemas.microsoft.com/office/spreadsheetml/2017/richdata2" ref="A2:X56">
    <sortCondition ref="G2:G5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2026-01-26T06:15:37Z</dcterms:created>
  <dcterms:modified xsi:type="dcterms:W3CDTF">2026-01-26T21:22:05Z</dcterms:modified>
</cp:coreProperties>
</file>