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2-13-26\"/>
    </mc:Choice>
  </mc:AlternateContent>
  <xr:revisionPtr revIDLastSave="0" documentId="13_ncr:1_{F76F8722-027F-4D2D-86A1-141E576222AE}" xr6:coauthVersionLast="47" xr6:coauthVersionMax="47" xr10:uidLastSave="{00000000-0000-0000-0000-000000000000}"/>
  <bookViews>
    <workbookView xWindow="-120" yWindow="-120" windowWidth="29040" windowHeight="16440" tabRatio="204" activeTab="1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14" i="3" l="1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13" i="3"/>
  <c r="D5" i="3"/>
  <c r="D4" i="3"/>
  <c r="D12" i="3"/>
  <c r="D11" i="3"/>
  <c r="D10" i="3"/>
  <c r="D9" i="3"/>
  <c r="D8" i="3"/>
  <c r="D7" i="3"/>
  <c r="D6" i="3"/>
  <c r="D3" i="3"/>
  <c r="D2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3" i="3"/>
  <c r="G4" i="3"/>
  <c r="G5" i="3"/>
  <c r="G6" i="3"/>
  <c r="G7" i="3"/>
  <c r="G8" i="3"/>
  <c r="G9" i="3"/>
  <c r="G10" i="3"/>
  <c r="G11" i="3"/>
  <c r="G12" i="3"/>
  <c r="G2" i="3"/>
</calcChain>
</file>

<file path=xl/sharedStrings.xml><?xml version="1.0" encoding="utf-8"?>
<sst xmlns="http://schemas.openxmlformats.org/spreadsheetml/2006/main" count="647" uniqueCount="123">
  <si>
    <t>Description</t>
  </si>
  <si>
    <t>Member Count</t>
  </si>
  <si>
    <t>Total</t>
  </si>
  <si>
    <t>Payee</t>
  </si>
  <si>
    <t>Payment Date</t>
  </si>
  <si>
    <t>Credits</t>
  </si>
  <si>
    <t>Main Line Benefits LLC</t>
  </si>
  <si>
    <t>02/13/2026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</si>
  <si>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</si>
  <si>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</si>
  <si>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</si>
  <si>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</si>
  <si>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</si>
  <si>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</si>
  <si>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</si>
  <si>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</si>
  <si>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</si>
  <si>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</si>
  <si>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</si>
  <si>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</si>
  <si>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</si>
  <si>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</si>
  <si>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</si>
  <si>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</si>
  <si>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</si>
  <si>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</si>
  <si>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</si>
  <si>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</si>
  <si>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</si>
  <si>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</si>
  <si>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</si>
  <si>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</si>
  <si>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</si>
  <si>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</si>
  <si>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</si>
  <si>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</si>
  <si>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19491313</t>
  </si>
  <si>
    <t>Steven Brandt</t>
  </si>
  <si>
    <t>DHHCG5</t>
  </si>
  <si>
    <t>6W78JV9YP37</t>
  </si>
  <si>
    <t>MARTHA</t>
  </si>
  <si>
    <t>LINNABARY</t>
  </si>
  <si>
    <t>OH</t>
  </si>
  <si>
    <t>10/27/2025</t>
  </si>
  <si>
    <t>01/01/2026</t>
  </si>
  <si>
    <t>H2697</t>
  </si>
  <si>
    <t>MAPD</t>
  </si>
  <si>
    <t>Initial - Not New</t>
  </si>
  <si>
    <t>Jan</t>
  </si>
  <si>
    <t>16912722</t>
  </si>
  <si>
    <t>Andrea Petrungaro</t>
  </si>
  <si>
    <t>DSUK56</t>
  </si>
  <si>
    <t>2JM5JX5AW74</t>
  </si>
  <si>
    <t>DEBORAH</t>
  </si>
  <si>
    <t>MCCAIN</t>
  </si>
  <si>
    <t>11/06/2025</t>
  </si>
  <si>
    <t>01/31/2026</t>
  </si>
  <si>
    <t>16228684</t>
  </si>
  <si>
    <t>Jason Roller</t>
  </si>
  <si>
    <t>D4GFGE</t>
  </si>
  <si>
    <t>4FG7W81NU59</t>
  </si>
  <si>
    <t>JOHN</t>
  </si>
  <si>
    <t>POULOS</t>
  </si>
  <si>
    <t>IL</t>
  </si>
  <si>
    <t>12/19/2025</t>
  </si>
  <si>
    <t>H6545</t>
  </si>
  <si>
    <t>NONE</t>
  </si>
  <si>
    <t>Initial - New</t>
  </si>
  <si>
    <t>DG3UWY</t>
  </si>
  <si>
    <t>3V18K84XH65</t>
  </si>
  <si>
    <t>MARY</t>
  </si>
  <si>
    <t>7152559</t>
  </si>
  <si>
    <t>Dennis Holyn</t>
  </si>
  <si>
    <t>DZUW88</t>
  </si>
  <si>
    <t>8GD7XQ5QJ30</t>
  </si>
  <si>
    <t>LINDA</t>
  </si>
  <si>
    <t>PRAWITZ</t>
  </si>
  <si>
    <t>12/06/2025</t>
  </si>
  <si>
    <t>H8320</t>
  </si>
  <si>
    <t>DHJ2RA</t>
  </si>
  <si>
    <t>3C50AF7FT28</t>
  </si>
  <si>
    <t>CONSTANCE</t>
  </si>
  <si>
    <t>THOMAS</t>
  </si>
  <si>
    <t>11/12/2025</t>
  </si>
  <si>
    <t>19396223</t>
  </si>
  <si>
    <t>Saadia Abdul</t>
  </si>
  <si>
    <t>D7RE8E</t>
  </si>
  <si>
    <t>6FH2Y98TX22</t>
  </si>
  <si>
    <t>FARZANA</t>
  </si>
  <si>
    <t>AKRAM</t>
  </si>
  <si>
    <t>01/27/2026</t>
  </si>
  <si>
    <t>02/01/2026</t>
  </si>
  <si>
    <t>H7151</t>
  </si>
  <si>
    <t>Feb</t>
  </si>
  <si>
    <t>DU74YH</t>
  </si>
  <si>
    <t>7T88JW9DY46</t>
  </si>
  <si>
    <t>JAVED</t>
  </si>
  <si>
    <t>17094718</t>
  </si>
  <si>
    <t>Greg Hansford</t>
  </si>
  <si>
    <t>DRR8US</t>
  </si>
  <si>
    <t>1MD0GJ2VK10</t>
  </si>
  <si>
    <t>MICHAEL</t>
  </si>
  <si>
    <t>HANSEN</t>
  </si>
  <si>
    <t>TX</t>
  </si>
  <si>
    <t>01/28/2026</t>
  </si>
  <si>
    <t>H7993</t>
  </si>
  <si>
    <t>DYA9JJ</t>
  </si>
  <si>
    <t>3K76A44KW53</t>
  </si>
  <si>
    <t>CHERYLL</t>
  </si>
  <si>
    <t>HARRIS</t>
  </si>
  <si>
    <t>9213293</t>
  </si>
  <si>
    <t>Gary Portugal</t>
  </si>
  <si>
    <t>DZ3RWG</t>
  </si>
  <si>
    <t>6QG7FH3DN44</t>
  </si>
  <si>
    <t>MINX</t>
  </si>
  <si>
    <t>01/29/2026</t>
  </si>
  <si>
    <t>Main Line Benefits</t>
  </si>
  <si>
    <t>Devoted Health MAPD 2026*</t>
  </si>
  <si>
    <t>[%/$=347][prorate=12/12]</t>
  </si>
  <si>
    <t>[%/$=347][prorate=11/12]</t>
  </si>
  <si>
    <t>Devoted MAPD Ovr</t>
  </si>
  <si>
    <t>Devoted Health 2026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</si>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</sst>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" sqref="C2:C9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9</v>
      </c>
      <c r="C2" s="1">
        <v>5522.4</v>
      </c>
      <c r="E2" t="s">
        <v>6</v>
      </c>
      <c r="F2" t="s">
        <v>7</v>
      </c>
    </row>
    <row r="3" spans="1:6" x14ac:dyDescent="0.25">
      <c r="A3" t="s">
        <v>8</v>
      </c>
      <c r="B3">
        <v>2</v>
      </c>
      <c r="C3" s="1">
        <v>-1094</v>
      </c>
    </row>
    <row r="4" spans="1:6" x14ac:dyDescent="0.25">
      <c r="A4" t="s">
        <v>9</v>
      </c>
      <c r="B4">
        <v>0</v>
      </c>
      <c r="C4" s="1">
        <v>0</v>
      </c>
    </row>
    <row r="5" spans="1:6" x14ac:dyDescent="0.25">
      <c r="A5" t="s">
        <v>10</v>
      </c>
      <c r="C5" s="1">
        <v>0</v>
      </c>
    </row>
    <row r="6" spans="1:6" x14ac:dyDescent="0.25">
      <c r="A6" t="s">
        <v>11</v>
      </c>
      <c r="B6">
        <v>11</v>
      </c>
      <c r="C6" s="1">
        <v>4428.3999999999996</v>
      </c>
    </row>
    <row r="7" spans="1:6" x14ac:dyDescent="0.25">
      <c r="A7" t="s">
        <v>12</v>
      </c>
      <c r="C7" s="1">
        <v>0</v>
      </c>
    </row>
    <row r="8" spans="1:6" x14ac:dyDescent="0.25">
      <c r="A8" t="s">
        <v>13</v>
      </c>
      <c r="C8" s="1">
        <v>4428.3999999999996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tabSelected="1" zoomScaleNormal="100" workbookViewId="0">
      <selection activeCell="J31" sqref="J31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 x14ac:dyDescent="0.25">
      <c r="A2" t="s">
        <v>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L2" t="s">
        <v>45</v>
      </c>
      <c r="M2">
        <v>9</v>
      </c>
      <c r="N2" t="s">
        <v>46</v>
      </c>
      <c r="O2">
        <v>8</v>
      </c>
      <c r="P2" t="s">
        <v>47</v>
      </c>
      <c r="Q2" t="s">
        <v>48</v>
      </c>
      <c r="R2">
        <v>347</v>
      </c>
      <c r="S2">
        <v>200</v>
      </c>
      <c r="T2">
        <v>547</v>
      </c>
      <c r="U2" t="s">
        <v>6</v>
      </c>
    </row>
    <row r="3" spans="1:22" x14ac:dyDescent="0.25">
      <c r="A3" t="s">
        <v>7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42</v>
      </c>
      <c r="I3" t="s">
        <v>55</v>
      </c>
      <c r="J3" t="s">
        <v>44</v>
      </c>
      <c r="K3" t="s">
        <v>56</v>
      </c>
      <c r="L3" t="s">
        <v>45</v>
      </c>
      <c r="M3">
        <v>16</v>
      </c>
      <c r="N3" t="s">
        <v>46</v>
      </c>
      <c r="O3">
        <v>11</v>
      </c>
      <c r="P3" t="s">
        <v>47</v>
      </c>
      <c r="Q3" t="s">
        <v>48</v>
      </c>
      <c r="R3">
        <v>-347</v>
      </c>
      <c r="S3">
        <v>-200</v>
      </c>
      <c r="T3">
        <v>-547</v>
      </c>
      <c r="U3" t="s">
        <v>6</v>
      </c>
    </row>
    <row r="4" spans="1:22" x14ac:dyDescent="0.25">
      <c r="A4" t="s">
        <v>7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44</v>
      </c>
      <c r="L4" t="s">
        <v>65</v>
      </c>
      <c r="M4">
        <v>10</v>
      </c>
      <c r="N4" t="s">
        <v>66</v>
      </c>
      <c r="O4">
        <v>1</v>
      </c>
      <c r="P4" t="s">
        <v>67</v>
      </c>
      <c r="Q4" t="s">
        <v>48</v>
      </c>
      <c r="R4">
        <v>694</v>
      </c>
      <c r="S4">
        <v>200</v>
      </c>
      <c r="T4">
        <v>894</v>
      </c>
      <c r="U4" t="s">
        <v>6</v>
      </c>
    </row>
    <row r="5" spans="1:22" x14ac:dyDescent="0.25">
      <c r="A5" t="s">
        <v>7</v>
      </c>
      <c r="B5" t="s">
        <v>57</v>
      </c>
      <c r="C5" t="s">
        <v>58</v>
      </c>
      <c r="D5" t="s">
        <v>68</v>
      </c>
      <c r="E5" t="s">
        <v>69</v>
      </c>
      <c r="F5" t="s">
        <v>70</v>
      </c>
      <c r="G5" t="s">
        <v>62</v>
      </c>
      <c r="H5" t="s">
        <v>63</v>
      </c>
      <c r="I5" t="s">
        <v>64</v>
      </c>
      <c r="J5" t="s">
        <v>44</v>
      </c>
      <c r="L5" t="s">
        <v>65</v>
      </c>
      <c r="M5">
        <v>10</v>
      </c>
      <c r="N5" t="s">
        <v>66</v>
      </c>
      <c r="O5">
        <v>1</v>
      </c>
      <c r="P5" t="s">
        <v>67</v>
      </c>
      <c r="Q5" t="s">
        <v>48</v>
      </c>
      <c r="R5">
        <v>694</v>
      </c>
      <c r="S5">
        <v>200</v>
      </c>
      <c r="T5">
        <v>894</v>
      </c>
      <c r="U5" t="s">
        <v>6</v>
      </c>
    </row>
    <row r="6" spans="1:22" x14ac:dyDescent="0.25">
      <c r="A6" t="s">
        <v>7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63</v>
      </c>
      <c r="I6" t="s">
        <v>77</v>
      </c>
      <c r="J6" t="s">
        <v>44</v>
      </c>
      <c r="K6" t="s">
        <v>56</v>
      </c>
      <c r="L6" t="s">
        <v>78</v>
      </c>
      <c r="M6">
        <v>12</v>
      </c>
      <c r="N6" t="s">
        <v>46</v>
      </c>
      <c r="O6">
        <v>4</v>
      </c>
      <c r="P6" t="s">
        <v>47</v>
      </c>
      <c r="Q6" t="s">
        <v>48</v>
      </c>
      <c r="R6">
        <v>-347</v>
      </c>
      <c r="S6">
        <v>-200</v>
      </c>
      <c r="T6">
        <v>-547</v>
      </c>
      <c r="U6" t="s">
        <v>6</v>
      </c>
    </row>
    <row r="7" spans="1:22" x14ac:dyDescent="0.25">
      <c r="A7" t="s">
        <v>7</v>
      </c>
      <c r="B7" t="s">
        <v>57</v>
      </c>
      <c r="C7" t="s">
        <v>58</v>
      </c>
      <c r="D7" t="s">
        <v>79</v>
      </c>
      <c r="E7" t="s">
        <v>80</v>
      </c>
      <c r="F7" t="s">
        <v>81</v>
      </c>
      <c r="G7" t="s">
        <v>82</v>
      </c>
      <c r="H7" t="s">
        <v>63</v>
      </c>
      <c r="I7" t="s">
        <v>83</v>
      </c>
      <c r="J7" t="s">
        <v>44</v>
      </c>
      <c r="L7" t="s">
        <v>65</v>
      </c>
      <c r="M7">
        <v>10</v>
      </c>
      <c r="N7" t="s">
        <v>46</v>
      </c>
      <c r="O7">
        <v>4</v>
      </c>
      <c r="P7" t="s">
        <v>47</v>
      </c>
      <c r="Q7" t="s">
        <v>48</v>
      </c>
      <c r="R7">
        <v>347</v>
      </c>
      <c r="S7">
        <v>200</v>
      </c>
      <c r="T7">
        <v>547</v>
      </c>
      <c r="U7" t="s">
        <v>6</v>
      </c>
    </row>
    <row r="8" spans="1:22" x14ac:dyDescent="0.25">
      <c r="A8" t="s">
        <v>7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63</v>
      </c>
      <c r="I8" t="s">
        <v>90</v>
      </c>
      <c r="J8" t="s">
        <v>91</v>
      </c>
      <c r="L8" t="s">
        <v>92</v>
      </c>
      <c r="M8">
        <v>1</v>
      </c>
      <c r="N8" t="s">
        <v>46</v>
      </c>
      <c r="O8">
        <v>3</v>
      </c>
      <c r="P8" t="s">
        <v>47</v>
      </c>
      <c r="Q8" t="s">
        <v>93</v>
      </c>
      <c r="R8">
        <v>0</v>
      </c>
      <c r="S8">
        <v>125</v>
      </c>
      <c r="T8">
        <v>125</v>
      </c>
      <c r="U8" t="s">
        <v>6</v>
      </c>
    </row>
    <row r="9" spans="1:22" x14ac:dyDescent="0.25">
      <c r="A9" t="s">
        <v>7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63</v>
      </c>
      <c r="I9" t="s">
        <v>90</v>
      </c>
      <c r="J9" t="s">
        <v>91</v>
      </c>
      <c r="L9" t="s">
        <v>92</v>
      </c>
      <c r="M9">
        <v>1</v>
      </c>
      <c r="N9" t="s">
        <v>46</v>
      </c>
      <c r="O9">
        <v>3</v>
      </c>
      <c r="P9" t="s">
        <v>47</v>
      </c>
      <c r="Q9" t="s">
        <v>93</v>
      </c>
      <c r="R9">
        <v>0</v>
      </c>
      <c r="S9">
        <v>75</v>
      </c>
      <c r="T9">
        <v>75</v>
      </c>
      <c r="U9" t="s">
        <v>6</v>
      </c>
    </row>
    <row r="10" spans="1:22" x14ac:dyDescent="0.25">
      <c r="A10" t="s">
        <v>7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63</v>
      </c>
      <c r="I10" t="s">
        <v>90</v>
      </c>
      <c r="J10" t="s">
        <v>91</v>
      </c>
      <c r="L10" t="s">
        <v>92</v>
      </c>
      <c r="M10">
        <v>1</v>
      </c>
      <c r="N10" t="s">
        <v>46</v>
      </c>
      <c r="O10">
        <v>3</v>
      </c>
      <c r="P10" t="s">
        <v>47</v>
      </c>
      <c r="Q10" t="s">
        <v>93</v>
      </c>
      <c r="R10">
        <v>318.08</v>
      </c>
      <c r="S10">
        <v>0</v>
      </c>
      <c r="T10">
        <v>318.08</v>
      </c>
      <c r="U10" t="s">
        <v>6</v>
      </c>
    </row>
    <row r="11" spans="1:22" x14ac:dyDescent="0.25">
      <c r="A11" t="s">
        <v>7</v>
      </c>
      <c r="B11" t="s">
        <v>84</v>
      </c>
      <c r="C11" t="s">
        <v>85</v>
      </c>
      <c r="D11" t="s">
        <v>94</v>
      </c>
      <c r="E11" t="s">
        <v>95</v>
      </c>
      <c r="F11" t="s">
        <v>96</v>
      </c>
      <c r="G11" t="s">
        <v>89</v>
      </c>
      <c r="H11" t="s">
        <v>63</v>
      </c>
      <c r="I11" t="s">
        <v>90</v>
      </c>
      <c r="J11" t="s">
        <v>91</v>
      </c>
      <c r="L11" t="s">
        <v>92</v>
      </c>
      <c r="M11">
        <v>1</v>
      </c>
      <c r="N11" t="s">
        <v>46</v>
      </c>
      <c r="O11">
        <v>8</v>
      </c>
      <c r="P11" t="s">
        <v>47</v>
      </c>
      <c r="Q11" t="s">
        <v>93</v>
      </c>
      <c r="R11">
        <v>318.08</v>
      </c>
      <c r="S11">
        <v>0</v>
      </c>
      <c r="T11">
        <v>318.08</v>
      </c>
      <c r="U11" t="s">
        <v>6</v>
      </c>
    </row>
    <row r="12" spans="1:22" x14ac:dyDescent="0.25">
      <c r="A12" t="s">
        <v>7</v>
      </c>
      <c r="B12" t="s">
        <v>84</v>
      </c>
      <c r="C12" t="s">
        <v>85</v>
      </c>
      <c r="D12" t="s">
        <v>94</v>
      </c>
      <c r="E12" t="s">
        <v>95</v>
      </c>
      <c r="F12" t="s">
        <v>96</v>
      </c>
      <c r="G12" t="s">
        <v>89</v>
      </c>
      <c r="H12" t="s">
        <v>63</v>
      </c>
      <c r="I12" t="s">
        <v>90</v>
      </c>
      <c r="J12" t="s">
        <v>91</v>
      </c>
      <c r="L12" t="s">
        <v>92</v>
      </c>
      <c r="M12">
        <v>1</v>
      </c>
      <c r="N12" t="s">
        <v>46</v>
      </c>
      <c r="O12">
        <v>8</v>
      </c>
      <c r="P12" t="s">
        <v>47</v>
      </c>
      <c r="Q12" t="s">
        <v>93</v>
      </c>
      <c r="R12">
        <v>0</v>
      </c>
      <c r="S12">
        <v>75</v>
      </c>
      <c r="T12">
        <v>75</v>
      </c>
      <c r="U12" t="s">
        <v>6</v>
      </c>
    </row>
    <row r="13" spans="1:22" x14ac:dyDescent="0.25">
      <c r="A13" t="s">
        <v>7</v>
      </c>
      <c r="B13" t="s">
        <v>84</v>
      </c>
      <c r="C13" t="s">
        <v>85</v>
      </c>
      <c r="D13" t="s">
        <v>94</v>
      </c>
      <c r="E13" t="s">
        <v>95</v>
      </c>
      <c r="F13" t="s">
        <v>96</v>
      </c>
      <c r="G13" t="s">
        <v>89</v>
      </c>
      <c r="H13" t="s">
        <v>63</v>
      </c>
      <c r="I13" t="s">
        <v>90</v>
      </c>
      <c r="J13" t="s">
        <v>91</v>
      </c>
      <c r="L13" t="s">
        <v>92</v>
      </c>
      <c r="M13">
        <v>1</v>
      </c>
      <c r="N13" t="s">
        <v>46</v>
      </c>
      <c r="O13">
        <v>8</v>
      </c>
      <c r="P13" t="s">
        <v>47</v>
      </c>
      <c r="Q13" t="s">
        <v>93</v>
      </c>
      <c r="R13">
        <v>0</v>
      </c>
      <c r="S13">
        <v>125</v>
      </c>
      <c r="T13">
        <v>125</v>
      </c>
      <c r="U13" t="s">
        <v>6</v>
      </c>
    </row>
    <row r="14" spans="1:22" x14ac:dyDescent="0.25">
      <c r="A14" t="s">
        <v>7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91</v>
      </c>
      <c r="L14" t="s">
        <v>105</v>
      </c>
      <c r="M14">
        <v>6</v>
      </c>
      <c r="N14" t="s">
        <v>46</v>
      </c>
      <c r="O14">
        <v>3</v>
      </c>
      <c r="P14" t="s">
        <v>47</v>
      </c>
      <c r="Q14" t="s">
        <v>93</v>
      </c>
      <c r="R14">
        <v>318.08</v>
      </c>
      <c r="S14">
        <v>0</v>
      </c>
      <c r="T14">
        <v>318.08</v>
      </c>
      <c r="U14" t="s">
        <v>6</v>
      </c>
    </row>
    <row r="15" spans="1:22" x14ac:dyDescent="0.25">
      <c r="A15" t="s">
        <v>7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91</v>
      </c>
      <c r="L15" t="s">
        <v>105</v>
      </c>
      <c r="M15">
        <v>6</v>
      </c>
      <c r="N15" t="s">
        <v>46</v>
      </c>
      <c r="O15">
        <v>3</v>
      </c>
      <c r="P15" t="s">
        <v>47</v>
      </c>
      <c r="Q15" t="s">
        <v>93</v>
      </c>
      <c r="R15">
        <v>0</v>
      </c>
      <c r="S15">
        <v>125</v>
      </c>
      <c r="T15">
        <v>125</v>
      </c>
      <c r="U15" t="s">
        <v>6</v>
      </c>
    </row>
    <row r="16" spans="1:22" x14ac:dyDescent="0.25">
      <c r="A16" t="s">
        <v>7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91</v>
      </c>
      <c r="L16" t="s">
        <v>105</v>
      </c>
      <c r="M16">
        <v>6</v>
      </c>
      <c r="N16" t="s">
        <v>46</v>
      </c>
      <c r="O16">
        <v>3</v>
      </c>
      <c r="P16" t="s">
        <v>47</v>
      </c>
      <c r="Q16" t="s">
        <v>93</v>
      </c>
      <c r="R16">
        <v>0</v>
      </c>
      <c r="S16">
        <v>125</v>
      </c>
      <c r="T16">
        <v>125</v>
      </c>
      <c r="U16" t="s">
        <v>6</v>
      </c>
    </row>
    <row r="17" spans="1:21" x14ac:dyDescent="0.25">
      <c r="A17" t="s">
        <v>7</v>
      </c>
      <c r="B17" t="s">
        <v>97</v>
      </c>
      <c r="C17" t="s">
        <v>98</v>
      </c>
      <c r="D17" t="s">
        <v>106</v>
      </c>
      <c r="E17" t="s">
        <v>107</v>
      </c>
      <c r="F17" t="s">
        <v>108</v>
      </c>
      <c r="G17" t="s">
        <v>109</v>
      </c>
      <c r="H17" t="s">
        <v>63</v>
      </c>
      <c r="I17" t="s">
        <v>104</v>
      </c>
      <c r="J17" t="s">
        <v>91</v>
      </c>
      <c r="L17" t="s">
        <v>92</v>
      </c>
      <c r="M17">
        <v>3</v>
      </c>
      <c r="N17" t="s">
        <v>46</v>
      </c>
      <c r="O17">
        <v>8</v>
      </c>
      <c r="P17" t="s">
        <v>47</v>
      </c>
      <c r="Q17" t="s">
        <v>93</v>
      </c>
      <c r="R17">
        <v>0</v>
      </c>
      <c r="S17">
        <v>75</v>
      </c>
      <c r="T17">
        <v>75</v>
      </c>
      <c r="U17" t="s">
        <v>6</v>
      </c>
    </row>
    <row r="18" spans="1:21" x14ac:dyDescent="0.25">
      <c r="A18" t="s">
        <v>7</v>
      </c>
      <c r="B18" t="s">
        <v>97</v>
      </c>
      <c r="C18" t="s">
        <v>98</v>
      </c>
      <c r="D18" t="s">
        <v>106</v>
      </c>
      <c r="E18" t="s">
        <v>107</v>
      </c>
      <c r="F18" t="s">
        <v>108</v>
      </c>
      <c r="G18" t="s">
        <v>109</v>
      </c>
      <c r="H18" t="s">
        <v>63</v>
      </c>
      <c r="I18" t="s">
        <v>104</v>
      </c>
      <c r="J18" t="s">
        <v>91</v>
      </c>
      <c r="L18" t="s">
        <v>92</v>
      </c>
      <c r="M18">
        <v>3</v>
      </c>
      <c r="N18" t="s">
        <v>46</v>
      </c>
      <c r="O18">
        <v>8</v>
      </c>
      <c r="P18" t="s">
        <v>47</v>
      </c>
      <c r="Q18" t="s">
        <v>93</v>
      </c>
      <c r="R18">
        <v>318.08</v>
      </c>
      <c r="S18">
        <v>0</v>
      </c>
      <c r="T18">
        <v>318.08</v>
      </c>
      <c r="U18" t="s">
        <v>6</v>
      </c>
    </row>
    <row r="19" spans="1:21" x14ac:dyDescent="0.25">
      <c r="A19" t="s">
        <v>7</v>
      </c>
      <c r="B19" t="s">
        <v>97</v>
      </c>
      <c r="C19" t="s">
        <v>98</v>
      </c>
      <c r="D19" t="s">
        <v>106</v>
      </c>
      <c r="E19" t="s">
        <v>107</v>
      </c>
      <c r="F19" t="s">
        <v>108</v>
      </c>
      <c r="G19" t="s">
        <v>109</v>
      </c>
      <c r="H19" t="s">
        <v>63</v>
      </c>
      <c r="I19" t="s">
        <v>104</v>
      </c>
      <c r="J19" t="s">
        <v>91</v>
      </c>
      <c r="L19" t="s">
        <v>92</v>
      </c>
      <c r="M19">
        <v>3</v>
      </c>
      <c r="N19" t="s">
        <v>46</v>
      </c>
      <c r="O19">
        <v>8</v>
      </c>
      <c r="P19" t="s">
        <v>47</v>
      </c>
      <c r="Q19" t="s">
        <v>93</v>
      </c>
      <c r="R19">
        <v>0</v>
      </c>
      <c r="S19">
        <v>125</v>
      </c>
      <c r="T19">
        <v>125</v>
      </c>
      <c r="U19" t="s">
        <v>6</v>
      </c>
    </row>
    <row r="20" spans="1:21" x14ac:dyDescent="0.25">
      <c r="A20" t="s">
        <v>7</v>
      </c>
      <c r="B20" t="s">
        <v>110</v>
      </c>
      <c r="C20" t="s">
        <v>111</v>
      </c>
      <c r="D20" t="s">
        <v>112</v>
      </c>
      <c r="E20" t="s">
        <v>113</v>
      </c>
      <c r="F20" t="s">
        <v>75</v>
      </c>
      <c r="G20" t="s">
        <v>114</v>
      </c>
      <c r="H20" t="s">
        <v>63</v>
      </c>
      <c r="I20" t="s">
        <v>115</v>
      </c>
      <c r="J20" t="s">
        <v>91</v>
      </c>
      <c r="L20" t="s">
        <v>92</v>
      </c>
      <c r="M20">
        <v>3</v>
      </c>
      <c r="N20" t="s">
        <v>46</v>
      </c>
      <c r="O20">
        <v>7</v>
      </c>
      <c r="P20" t="s">
        <v>47</v>
      </c>
      <c r="Q20" t="s">
        <v>93</v>
      </c>
      <c r="R20">
        <v>0</v>
      </c>
      <c r="S20">
        <v>125</v>
      </c>
      <c r="T20">
        <v>125</v>
      </c>
      <c r="U20" t="s">
        <v>6</v>
      </c>
    </row>
    <row r="21" spans="1:21" x14ac:dyDescent="0.25">
      <c r="A21" t="s">
        <v>7</v>
      </c>
      <c r="B21" t="s">
        <v>110</v>
      </c>
      <c r="C21" t="s">
        <v>111</v>
      </c>
      <c r="D21" t="s">
        <v>112</v>
      </c>
      <c r="E21" t="s">
        <v>113</v>
      </c>
      <c r="F21" t="s">
        <v>75</v>
      </c>
      <c r="G21" t="s">
        <v>114</v>
      </c>
      <c r="H21" t="s">
        <v>63</v>
      </c>
      <c r="I21" t="s">
        <v>115</v>
      </c>
      <c r="J21" t="s">
        <v>91</v>
      </c>
      <c r="L21" t="s">
        <v>92</v>
      </c>
      <c r="M21">
        <v>3</v>
      </c>
      <c r="N21" t="s">
        <v>46</v>
      </c>
      <c r="O21">
        <v>7</v>
      </c>
      <c r="P21" t="s">
        <v>47</v>
      </c>
      <c r="Q21" t="s">
        <v>93</v>
      </c>
      <c r="R21">
        <v>318.08</v>
      </c>
      <c r="S21">
        <v>0</v>
      </c>
      <c r="T21">
        <v>318.08</v>
      </c>
      <c r="U21" t="s">
        <v>6</v>
      </c>
    </row>
    <row r="22" spans="1:21" x14ac:dyDescent="0.25">
      <c r="A22" t="s">
        <v>7</v>
      </c>
      <c r="B22" t="s">
        <v>110</v>
      </c>
      <c r="C22" t="s">
        <v>111</v>
      </c>
      <c r="D22" t="s">
        <v>112</v>
      </c>
      <c r="E22" t="s">
        <v>113</v>
      </c>
      <c r="F22" t="s">
        <v>75</v>
      </c>
      <c r="G22" t="s">
        <v>114</v>
      </c>
      <c r="H22" t="s">
        <v>63</v>
      </c>
      <c r="I22" t="s">
        <v>115</v>
      </c>
      <c r="J22" t="s">
        <v>91</v>
      </c>
      <c r="L22" t="s">
        <v>92</v>
      </c>
      <c r="M22">
        <v>3</v>
      </c>
      <c r="N22" t="s">
        <v>46</v>
      </c>
      <c r="O22">
        <v>7</v>
      </c>
      <c r="P22" t="s">
        <v>47</v>
      </c>
      <c r="Q22" t="s">
        <v>93</v>
      </c>
      <c r="R22">
        <v>0</v>
      </c>
      <c r="S22">
        <v>75</v>
      </c>
      <c r="T22">
        <v>75</v>
      </c>
      <c r="U22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47C4-252C-485A-BA38-312EC54A850C}">
  <dimension ref="A1:Q28"/>
  <sheetViews>
    <sheetView workbookViewId="0">
      <selection activeCell="O23" sqref="O23:O24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4.28515625" customWidth="1"/>
    <col min="11" max="11" width="16.7109375" customWidth="1"/>
    <col min="12" max="12" width="6.7109375" customWidth="1"/>
    <col min="13" max="13" width="12.85546875" customWidth="1"/>
    <col min="14" max="14" width="14.5703125" customWidth="1"/>
    <col min="15" max="15" width="14" customWidth="1"/>
    <col min="16" max="16" width="26.7109375" bestFit="1" customWidth="1"/>
  </cols>
  <sheetData>
    <row r="1" spans="1:17" x14ac:dyDescent="0.25">
      <c r="A1" t="s">
        <v>15</v>
      </c>
      <c r="B1" t="s">
        <v>16</v>
      </c>
      <c r="C1" t="s">
        <v>17</v>
      </c>
      <c r="E1" t="s">
        <v>19</v>
      </c>
      <c r="F1" t="s">
        <v>20</v>
      </c>
      <c r="H1" t="s">
        <v>21</v>
      </c>
      <c r="I1" t="s">
        <v>23</v>
      </c>
      <c r="J1" t="s">
        <v>27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7" x14ac:dyDescent="0.25">
      <c r="A2">
        <v>19491313</v>
      </c>
      <c r="B2" t="s">
        <v>37</v>
      </c>
      <c r="C2" t="s">
        <v>38</v>
      </c>
      <c r="D2" t="str">
        <f>CONCATENATE(C2,7)</f>
        <v>DHHCG57</v>
      </c>
      <c r="E2" t="s">
        <v>40</v>
      </c>
      <c r="F2" t="s">
        <v>41</v>
      </c>
      <c r="G2" t="str">
        <f>CONCATENATE(E2," ",F2)</f>
        <v>MARTHA LINNABARY</v>
      </c>
      <c r="H2" t="s">
        <v>42</v>
      </c>
      <c r="I2" t="s">
        <v>44</v>
      </c>
      <c r="J2" t="s">
        <v>46</v>
      </c>
      <c r="K2" t="s">
        <v>47</v>
      </c>
      <c r="L2" t="s">
        <v>48</v>
      </c>
      <c r="M2">
        <v>347</v>
      </c>
      <c r="N2">
        <v>200</v>
      </c>
      <c r="O2">
        <v>347</v>
      </c>
      <c r="P2" t="s">
        <v>117</v>
      </c>
      <c r="Q2" t="s">
        <v>118</v>
      </c>
    </row>
    <row r="3" spans="1:17" x14ac:dyDescent="0.25">
      <c r="A3">
        <v>16912722</v>
      </c>
      <c r="B3" t="s">
        <v>50</v>
      </c>
      <c r="C3" t="s">
        <v>51</v>
      </c>
      <c r="D3" t="str">
        <f>CONCATENATE(C3,7)</f>
        <v>DSUK567</v>
      </c>
      <c r="E3" t="s">
        <v>53</v>
      </c>
      <c r="F3" t="s">
        <v>54</v>
      </c>
      <c r="G3" t="str">
        <f t="shared" ref="G3:G12" si="0">CONCATENATE(E3," ",F3)</f>
        <v>DEBORAH MCCAIN</v>
      </c>
      <c r="H3" t="s">
        <v>42</v>
      </c>
      <c r="I3" t="s">
        <v>44</v>
      </c>
      <c r="J3" t="s">
        <v>46</v>
      </c>
      <c r="K3" t="s">
        <v>47</v>
      </c>
      <c r="L3" t="s">
        <v>48</v>
      </c>
      <c r="M3">
        <v>-347</v>
      </c>
      <c r="N3">
        <v>-200</v>
      </c>
      <c r="O3">
        <v>-347</v>
      </c>
      <c r="P3" t="s">
        <v>117</v>
      </c>
      <c r="Q3" t="s">
        <v>118</v>
      </c>
    </row>
    <row r="4" spans="1:17" x14ac:dyDescent="0.25">
      <c r="A4">
        <v>16228684</v>
      </c>
      <c r="B4" t="s">
        <v>58</v>
      </c>
      <c r="C4" t="s">
        <v>59</v>
      </c>
      <c r="D4" t="str">
        <f>CONCATENATE(C4,9)</f>
        <v>D4GFGE9</v>
      </c>
      <c r="E4" t="s">
        <v>61</v>
      </c>
      <c r="F4" t="s">
        <v>62</v>
      </c>
      <c r="G4" t="str">
        <f t="shared" si="0"/>
        <v>JOHN POULOS</v>
      </c>
      <c r="H4" t="s">
        <v>63</v>
      </c>
      <c r="I4" t="s">
        <v>44</v>
      </c>
      <c r="J4" t="s">
        <v>66</v>
      </c>
      <c r="K4" t="s">
        <v>67</v>
      </c>
      <c r="L4" t="s">
        <v>48</v>
      </c>
      <c r="M4">
        <v>694</v>
      </c>
      <c r="N4">
        <v>200</v>
      </c>
      <c r="O4">
        <v>694</v>
      </c>
      <c r="P4" t="s">
        <v>121</v>
      </c>
      <c r="Q4" t="s">
        <v>122</v>
      </c>
    </row>
    <row r="5" spans="1:17" x14ac:dyDescent="0.25">
      <c r="A5">
        <v>16228684</v>
      </c>
      <c r="B5" t="s">
        <v>58</v>
      </c>
      <c r="C5" t="s">
        <v>68</v>
      </c>
      <c r="D5" t="str">
        <f>CONCATENATE(C5,9)</f>
        <v>DG3UWY9</v>
      </c>
      <c r="E5" t="s">
        <v>70</v>
      </c>
      <c r="F5" t="s">
        <v>62</v>
      </c>
      <c r="G5" t="str">
        <f t="shared" si="0"/>
        <v>MARY POULOS</v>
      </c>
      <c r="H5" t="s">
        <v>63</v>
      </c>
      <c r="I5" t="s">
        <v>44</v>
      </c>
      <c r="J5" t="s">
        <v>66</v>
      </c>
      <c r="K5" t="s">
        <v>67</v>
      </c>
      <c r="L5" t="s">
        <v>48</v>
      </c>
      <c r="M5">
        <v>694</v>
      </c>
      <c r="N5">
        <v>200</v>
      </c>
      <c r="O5">
        <v>694</v>
      </c>
      <c r="P5" t="s">
        <v>121</v>
      </c>
      <c r="Q5" t="s">
        <v>122</v>
      </c>
    </row>
    <row r="6" spans="1:17" x14ac:dyDescent="0.25">
      <c r="A6">
        <v>7152559</v>
      </c>
      <c r="B6" t="s">
        <v>72</v>
      </c>
      <c r="C6" t="s">
        <v>73</v>
      </c>
      <c r="D6" t="str">
        <f t="shared" ref="D6:D12" si="1">CONCATENATE(C6,7)</f>
        <v>DZUW887</v>
      </c>
      <c r="E6" t="s">
        <v>75</v>
      </c>
      <c r="F6" t="s">
        <v>76</v>
      </c>
      <c r="G6" t="str">
        <f t="shared" si="0"/>
        <v>LINDA PRAWITZ</v>
      </c>
      <c r="H6" t="s">
        <v>63</v>
      </c>
      <c r="I6" t="s">
        <v>44</v>
      </c>
      <c r="J6" t="s">
        <v>46</v>
      </c>
      <c r="K6" t="s">
        <v>47</v>
      </c>
      <c r="L6" t="s">
        <v>48</v>
      </c>
      <c r="M6">
        <v>-347</v>
      </c>
      <c r="N6">
        <v>-200</v>
      </c>
      <c r="O6">
        <v>-347</v>
      </c>
      <c r="P6" t="s">
        <v>117</v>
      </c>
      <c r="Q6" t="s">
        <v>118</v>
      </c>
    </row>
    <row r="7" spans="1:17" x14ac:dyDescent="0.25">
      <c r="A7">
        <v>16228684</v>
      </c>
      <c r="B7" t="s">
        <v>58</v>
      </c>
      <c r="C7" t="s">
        <v>79</v>
      </c>
      <c r="D7" t="str">
        <f t="shared" si="1"/>
        <v>DHJ2RA7</v>
      </c>
      <c r="E7" t="s">
        <v>81</v>
      </c>
      <c r="F7" t="s">
        <v>82</v>
      </c>
      <c r="G7" t="str">
        <f t="shared" si="0"/>
        <v>CONSTANCE THOMAS</v>
      </c>
      <c r="H7" t="s">
        <v>63</v>
      </c>
      <c r="I7" t="s">
        <v>44</v>
      </c>
      <c r="J7" t="s">
        <v>46</v>
      </c>
      <c r="K7" t="s">
        <v>47</v>
      </c>
      <c r="L7" t="s">
        <v>48</v>
      </c>
      <c r="M7">
        <v>347</v>
      </c>
      <c r="N7">
        <v>200</v>
      </c>
      <c r="O7">
        <v>347</v>
      </c>
      <c r="P7" t="s">
        <v>117</v>
      </c>
      <c r="Q7" t="s">
        <v>118</v>
      </c>
    </row>
    <row r="8" spans="1:17" x14ac:dyDescent="0.25">
      <c r="A8">
        <v>19396223</v>
      </c>
      <c r="B8" t="s">
        <v>85</v>
      </c>
      <c r="C8" t="s">
        <v>86</v>
      </c>
      <c r="D8" t="str">
        <f t="shared" si="1"/>
        <v>D7RE8E7</v>
      </c>
      <c r="E8" t="s">
        <v>88</v>
      </c>
      <c r="F8" t="s">
        <v>89</v>
      </c>
      <c r="G8" t="str">
        <f t="shared" si="0"/>
        <v>FARZANA AKRAM</v>
      </c>
      <c r="H8" t="s">
        <v>63</v>
      </c>
      <c r="I8" t="s">
        <v>91</v>
      </c>
      <c r="J8" t="s">
        <v>46</v>
      </c>
      <c r="K8" t="s">
        <v>47</v>
      </c>
      <c r="L8" t="s">
        <v>93</v>
      </c>
      <c r="M8">
        <v>318.08</v>
      </c>
      <c r="N8">
        <v>0</v>
      </c>
      <c r="O8">
        <v>318.08</v>
      </c>
      <c r="P8" t="s">
        <v>117</v>
      </c>
      <c r="Q8" t="s">
        <v>119</v>
      </c>
    </row>
    <row r="9" spans="1:17" x14ac:dyDescent="0.25">
      <c r="A9">
        <v>19396223</v>
      </c>
      <c r="B9" t="s">
        <v>85</v>
      </c>
      <c r="C9" t="s">
        <v>94</v>
      </c>
      <c r="D9" t="str">
        <f t="shared" si="1"/>
        <v>DU74YH7</v>
      </c>
      <c r="E9" t="s">
        <v>96</v>
      </c>
      <c r="F9" t="s">
        <v>89</v>
      </c>
      <c r="G9" t="str">
        <f t="shared" si="0"/>
        <v>JAVED AKRAM</v>
      </c>
      <c r="H9" t="s">
        <v>63</v>
      </c>
      <c r="I9" t="s">
        <v>91</v>
      </c>
      <c r="J9" t="s">
        <v>46</v>
      </c>
      <c r="K9" t="s">
        <v>47</v>
      </c>
      <c r="L9" t="s">
        <v>93</v>
      </c>
      <c r="M9">
        <v>318.08</v>
      </c>
      <c r="N9">
        <v>0</v>
      </c>
      <c r="O9">
        <v>318.08</v>
      </c>
      <c r="P9" t="s">
        <v>117</v>
      </c>
      <c r="Q9" t="s">
        <v>119</v>
      </c>
    </row>
    <row r="10" spans="1:17" x14ac:dyDescent="0.25">
      <c r="A10">
        <v>17094718</v>
      </c>
      <c r="B10" t="s">
        <v>98</v>
      </c>
      <c r="C10" t="s">
        <v>99</v>
      </c>
      <c r="D10" t="str">
        <f t="shared" si="1"/>
        <v>DRR8US7</v>
      </c>
      <c r="E10" t="s">
        <v>101</v>
      </c>
      <c r="F10" t="s">
        <v>102</v>
      </c>
      <c r="G10" t="str">
        <f t="shared" si="0"/>
        <v>MICHAEL HANSEN</v>
      </c>
      <c r="H10" t="s">
        <v>103</v>
      </c>
      <c r="I10" t="s">
        <v>91</v>
      </c>
      <c r="J10" t="s">
        <v>46</v>
      </c>
      <c r="K10" t="s">
        <v>47</v>
      </c>
      <c r="L10" t="s">
        <v>93</v>
      </c>
      <c r="M10">
        <v>318.08</v>
      </c>
      <c r="N10">
        <v>0</v>
      </c>
      <c r="O10">
        <v>318.08</v>
      </c>
      <c r="P10" t="s">
        <v>117</v>
      </c>
      <c r="Q10" t="s">
        <v>119</v>
      </c>
    </row>
    <row r="11" spans="1:17" x14ac:dyDescent="0.25">
      <c r="A11">
        <v>17094718</v>
      </c>
      <c r="B11" t="s">
        <v>98</v>
      </c>
      <c r="C11" t="s">
        <v>106</v>
      </c>
      <c r="D11" t="str">
        <f t="shared" si="1"/>
        <v>DYA9JJ7</v>
      </c>
      <c r="E11" t="s">
        <v>108</v>
      </c>
      <c r="F11" t="s">
        <v>109</v>
      </c>
      <c r="G11" t="str">
        <f t="shared" si="0"/>
        <v>CHERYLL HARRIS</v>
      </c>
      <c r="H11" t="s">
        <v>63</v>
      </c>
      <c r="I11" t="s">
        <v>91</v>
      </c>
      <c r="J11" t="s">
        <v>46</v>
      </c>
      <c r="K11" t="s">
        <v>47</v>
      </c>
      <c r="L11" t="s">
        <v>93</v>
      </c>
      <c r="M11">
        <v>318.08</v>
      </c>
      <c r="N11">
        <v>0</v>
      </c>
      <c r="O11">
        <v>318.08</v>
      </c>
      <c r="P11" t="s">
        <v>117</v>
      </c>
      <c r="Q11" t="s">
        <v>119</v>
      </c>
    </row>
    <row r="12" spans="1:17" x14ac:dyDescent="0.25">
      <c r="A12">
        <v>9213293</v>
      </c>
      <c r="B12" t="s">
        <v>111</v>
      </c>
      <c r="C12" t="s">
        <v>112</v>
      </c>
      <c r="D12" t="str">
        <f t="shared" si="1"/>
        <v>DZ3RWG7</v>
      </c>
      <c r="E12" t="s">
        <v>75</v>
      </c>
      <c r="F12" t="s">
        <v>114</v>
      </c>
      <c r="G12" t="str">
        <f t="shared" si="0"/>
        <v>LINDA MINX</v>
      </c>
      <c r="H12" t="s">
        <v>63</v>
      </c>
      <c r="I12" t="s">
        <v>91</v>
      </c>
      <c r="J12" t="s">
        <v>46</v>
      </c>
      <c r="K12" t="s">
        <v>47</v>
      </c>
      <c r="L12" t="s">
        <v>93</v>
      </c>
      <c r="M12">
        <v>318.08</v>
      </c>
      <c r="N12">
        <v>0</v>
      </c>
      <c r="O12">
        <v>318.08</v>
      </c>
      <c r="P12" t="s">
        <v>117</v>
      </c>
      <c r="Q12" t="s">
        <v>119</v>
      </c>
    </row>
    <row r="13" spans="1:17" s="2" customFormat="1" x14ac:dyDescent="0.25">
      <c r="A13" s="2">
        <v>20411454</v>
      </c>
      <c r="B13" s="2" t="s">
        <v>116</v>
      </c>
      <c r="C13" s="2" t="s">
        <v>38</v>
      </c>
      <c r="D13" s="2" t="str">
        <f>CONCATENATE(C13,"OVR")</f>
        <v>DHHCG5OVR</v>
      </c>
      <c r="E13" s="2" t="s">
        <v>40</v>
      </c>
      <c r="F13" s="2" t="s">
        <v>41</v>
      </c>
      <c r="G13" s="2" t="str">
        <f>CONCATENATE(E13," ",F13)</f>
        <v>MARTHA LINNABARY</v>
      </c>
      <c r="H13" s="2" t="s">
        <v>42</v>
      </c>
      <c r="I13" s="2" t="s">
        <v>44</v>
      </c>
      <c r="J13" s="2" t="s">
        <v>46</v>
      </c>
      <c r="K13" s="2" t="s">
        <v>47</v>
      </c>
      <c r="L13" s="2" t="s">
        <v>48</v>
      </c>
      <c r="M13" s="2">
        <v>347</v>
      </c>
      <c r="N13" s="2">
        <v>200</v>
      </c>
      <c r="O13" s="2">
        <v>200</v>
      </c>
      <c r="P13" s="2" t="s">
        <v>120</v>
      </c>
    </row>
    <row r="14" spans="1:17" s="2" customFormat="1" x14ac:dyDescent="0.25">
      <c r="A14" s="2">
        <v>20411454</v>
      </c>
      <c r="B14" s="2" t="s">
        <v>116</v>
      </c>
      <c r="C14" s="2" t="s">
        <v>51</v>
      </c>
      <c r="D14" s="2" t="str">
        <f t="shared" ref="D14:D28" si="2">CONCATENATE(C14,"OVR")</f>
        <v>DSUK56OVR</v>
      </c>
      <c r="E14" s="2" t="s">
        <v>53</v>
      </c>
      <c r="F14" s="2" t="s">
        <v>54</v>
      </c>
      <c r="G14" s="2" t="str">
        <f t="shared" ref="G14:G28" si="3">CONCATENATE(E14," ",F14)</f>
        <v>DEBORAH MCCAIN</v>
      </c>
      <c r="H14" s="2" t="s">
        <v>42</v>
      </c>
      <c r="I14" s="2" t="s">
        <v>44</v>
      </c>
      <c r="J14" s="2" t="s">
        <v>46</v>
      </c>
      <c r="K14" s="2" t="s">
        <v>47</v>
      </c>
      <c r="L14" s="2" t="s">
        <v>48</v>
      </c>
      <c r="M14" s="2">
        <v>-347</v>
      </c>
      <c r="N14" s="2">
        <v>-200</v>
      </c>
      <c r="O14" s="2">
        <v>-200</v>
      </c>
      <c r="P14" s="2" t="s">
        <v>120</v>
      </c>
    </row>
    <row r="15" spans="1:17" s="2" customFormat="1" x14ac:dyDescent="0.25">
      <c r="A15" s="2">
        <v>20411454</v>
      </c>
      <c r="B15" s="2" t="s">
        <v>116</v>
      </c>
      <c r="C15" s="2" t="s">
        <v>59</v>
      </c>
      <c r="D15" s="2" t="str">
        <f t="shared" si="2"/>
        <v>D4GFGEOVR</v>
      </c>
      <c r="E15" s="2" t="s">
        <v>61</v>
      </c>
      <c r="F15" s="2" t="s">
        <v>62</v>
      </c>
      <c r="G15" s="2" t="str">
        <f t="shared" si="3"/>
        <v>JOHN POULOS</v>
      </c>
      <c r="H15" s="2" t="s">
        <v>63</v>
      </c>
      <c r="I15" s="2" t="s">
        <v>44</v>
      </c>
      <c r="J15" s="2" t="s">
        <v>66</v>
      </c>
      <c r="K15" s="2" t="s">
        <v>67</v>
      </c>
      <c r="L15" s="2" t="s">
        <v>48</v>
      </c>
      <c r="M15" s="2">
        <v>694</v>
      </c>
      <c r="N15" s="2">
        <v>200</v>
      </c>
      <c r="O15" s="2">
        <v>200</v>
      </c>
      <c r="P15" s="2" t="s">
        <v>120</v>
      </c>
    </row>
    <row r="16" spans="1:17" s="2" customFormat="1" x14ac:dyDescent="0.25">
      <c r="A16" s="2">
        <v>20411454</v>
      </c>
      <c r="B16" s="2" t="s">
        <v>116</v>
      </c>
      <c r="C16" s="2" t="s">
        <v>68</v>
      </c>
      <c r="D16" s="2" t="str">
        <f t="shared" si="2"/>
        <v>DG3UWYOVR</v>
      </c>
      <c r="E16" s="2" t="s">
        <v>70</v>
      </c>
      <c r="F16" s="2" t="s">
        <v>62</v>
      </c>
      <c r="G16" s="2" t="str">
        <f t="shared" si="3"/>
        <v>MARY POULOS</v>
      </c>
      <c r="H16" s="2" t="s">
        <v>63</v>
      </c>
      <c r="I16" s="2" t="s">
        <v>44</v>
      </c>
      <c r="J16" s="2" t="s">
        <v>66</v>
      </c>
      <c r="K16" s="2" t="s">
        <v>67</v>
      </c>
      <c r="L16" s="2" t="s">
        <v>48</v>
      </c>
      <c r="M16" s="2">
        <v>694</v>
      </c>
      <c r="N16" s="2">
        <v>200</v>
      </c>
      <c r="O16" s="2">
        <v>200</v>
      </c>
      <c r="P16" s="2" t="s">
        <v>120</v>
      </c>
    </row>
    <row r="17" spans="1:16" s="2" customFormat="1" x14ac:dyDescent="0.25">
      <c r="A17" s="2">
        <v>20411454</v>
      </c>
      <c r="B17" s="2" t="s">
        <v>116</v>
      </c>
      <c r="C17" s="2" t="s">
        <v>73</v>
      </c>
      <c r="D17" s="2" t="str">
        <f t="shared" si="2"/>
        <v>DZUW88OVR</v>
      </c>
      <c r="E17" s="2" t="s">
        <v>75</v>
      </c>
      <c r="F17" s="2" t="s">
        <v>76</v>
      </c>
      <c r="G17" s="2" t="str">
        <f t="shared" si="3"/>
        <v>LINDA PRAWITZ</v>
      </c>
      <c r="H17" s="2" t="s">
        <v>63</v>
      </c>
      <c r="I17" s="2" t="s">
        <v>44</v>
      </c>
      <c r="J17" s="2" t="s">
        <v>46</v>
      </c>
      <c r="K17" s="2" t="s">
        <v>47</v>
      </c>
      <c r="L17" s="2" t="s">
        <v>48</v>
      </c>
      <c r="M17" s="2">
        <v>-347</v>
      </c>
      <c r="N17" s="2">
        <v>-200</v>
      </c>
      <c r="O17" s="2">
        <v>-200</v>
      </c>
      <c r="P17" s="2" t="s">
        <v>120</v>
      </c>
    </row>
    <row r="18" spans="1:16" s="2" customFormat="1" x14ac:dyDescent="0.25">
      <c r="A18" s="2">
        <v>20411454</v>
      </c>
      <c r="B18" s="2" t="s">
        <v>116</v>
      </c>
      <c r="C18" s="2" t="s">
        <v>79</v>
      </c>
      <c r="D18" s="2" t="str">
        <f t="shared" si="2"/>
        <v>DHJ2RAOVR</v>
      </c>
      <c r="E18" s="2" t="s">
        <v>81</v>
      </c>
      <c r="F18" s="2" t="s">
        <v>82</v>
      </c>
      <c r="G18" s="2" t="str">
        <f t="shared" si="3"/>
        <v>CONSTANCE THOMAS</v>
      </c>
      <c r="H18" s="2" t="s">
        <v>63</v>
      </c>
      <c r="I18" s="2" t="s">
        <v>44</v>
      </c>
      <c r="J18" s="2" t="s">
        <v>46</v>
      </c>
      <c r="K18" s="2" t="s">
        <v>47</v>
      </c>
      <c r="L18" s="2" t="s">
        <v>48</v>
      </c>
      <c r="M18" s="2">
        <v>347</v>
      </c>
      <c r="N18" s="2">
        <v>200</v>
      </c>
      <c r="O18" s="2">
        <v>200</v>
      </c>
      <c r="P18" s="2" t="s">
        <v>120</v>
      </c>
    </row>
    <row r="19" spans="1:16" s="2" customFormat="1" x14ac:dyDescent="0.25">
      <c r="A19" s="2">
        <v>20411454</v>
      </c>
      <c r="B19" s="2" t="s">
        <v>116</v>
      </c>
      <c r="C19" s="2" t="s">
        <v>86</v>
      </c>
      <c r="D19" s="2" t="str">
        <f t="shared" si="2"/>
        <v>D7RE8EOVR</v>
      </c>
      <c r="E19" s="2" t="s">
        <v>88</v>
      </c>
      <c r="F19" s="2" t="s">
        <v>89</v>
      </c>
      <c r="G19" s="2" t="str">
        <f t="shared" si="3"/>
        <v>FARZANA AKRAM</v>
      </c>
      <c r="H19" s="2" t="s">
        <v>63</v>
      </c>
      <c r="I19" s="2" t="s">
        <v>91</v>
      </c>
      <c r="J19" s="2" t="s">
        <v>46</v>
      </c>
      <c r="K19" s="2" t="s">
        <v>47</v>
      </c>
      <c r="L19" s="2" t="s">
        <v>93</v>
      </c>
      <c r="M19" s="2">
        <v>0</v>
      </c>
      <c r="N19" s="2">
        <v>125</v>
      </c>
      <c r="O19" s="2">
        <v>125</v>
      </c>
      <c r="P19" s="2" t="s">
        <v>120</v>
      </c>
    </row>
    <row r="20" spans="1:16" s="2" customFormat="1" x14ac:dyDescent="0.25">
      <c r="A20" s="2">
        <v>20411454</v>
      </c>
      <c r="B20" s="2" t="s">
        <v>116</v>
      </c>
      <c r="C20" s="2" t="s">
        <v>86</v>
      </c>
      <c r="D20" s="2" t="str">
        <f t="shared" si="2"/>
        <v>D7RE8EOVR</v>
      </c>
      <c r="E20" s="2" t="s">
        <v>88</v>
      </c>
      <c r="F20" s="2" t="s">
        <v>89</v>
      </c>
      <c r="G20" s="2" t="str">
        <f t="shared" si="3"/>
        <v>FARZANA AKRAM</v>
      </c>
      <c r="H20" s="2" t="s">
        <v>63</v>
      </c>
      <c r="I20" s="2" t="s">
        <v>91</v>
      </c>
      <c r="J20" s="2" t="s">
        <v>46</v>
      </c>
      <c r="K20" s="2" t="s">
        <v>47</v>
      </c>
      <c r="L20" s="2" t="s">
        <v>93</v>
      </c>
      <c r="M20" s="2">
        <v>0</v>
      </c>
      <c r="N20" s="2">
        <v>75</v>
      </c>
      <c r="O20" s="2">
        <v>75</v>
      </c>
      <c r="P20" s="2" t="s">
        <v>120</v>
      </c>
    </row>
    <row r="21" spans="1:16" s="2" customFormat="1" x14ac:dyDescent="0.25">
      <c r="A21" s="2">
        <v>20411454</v>
      </c>
      <c r="B21" s="2" t="s">
        <v>116</v>
      </c>
      <c r="C21" s="2" t="s">
        <v>94</v>
      </c>
      <c r="D21" s="2" t="str">
        <f t="shared" si="2"/>
        <v>DU74YHOVR</v>
      </c>
      <c r="E21" s="2" t="s">
        <v>96</v>
      </c>
      <c r="F21" s="2" t="s">
        <v>89</v>
      </c>
      <c r="G21" s="2" t="str">
        <f t="shared" si="3"/>
        <v>JAVED AKRAM</v>
      </c>
      <c r="H21" s="2" t="s">
        <v>63</v>
      </c>
      <c r="I21" s="2" t="s">
        <v>91</v>
      </c>
      <c r="J21" s="2" t="s">
        <v>46</v>
      </c>
      <c r="K21" s="2" t="s">
        <v>47</v>
      </c>
      <c r="L21" s="2" t="s">
        <v>93</v>
      </c>
      <c r="M21" s="2">
        <v>0</v>
      </c>
      <c r="N21" s="2">
        <v>75</v>
      </c>
      <c r="O21" s="2">
        <v>75</v>
      </c>
      <c r="P21" s="2" t="s">
        <v>120</v>
      </c>
    </row>
    <row r="22" spans="1:16" s="2" customFormat="1" x14ac:dyDescent="0.25">
      <c r="A22" s="2">
        <v>20411454</v>
      </c>
      <c r="B22" s="2" t="s">
        <v>116</v>
      </c>
      <c r="C22" s="2" t="s">
        <v>94</v>
      </c>
      <c r="D22" s="2" t="str">
        <f t="shared" si="2"/>
        <v>DU74YHOVR</v>
      </c>
      <c r="E22" s="2" t="s">
        <v>96</v>
      </c>
      <c r="F22" s="2" t="s">
        <v>89</v>
      </c>
      <c r="G22" s="2" t="str">
        <f t="shared" si="3"/>
        <v>JAVED AKRAM</v>
      </c>
      <c r="H22" s="2" t="s">
        <v>63</v>
      </c>
      <c r="I22" s="2" t="s">
        <v>91</v>
      </c>
      <c r="J22" s="2" t="s">
        <v>46</v>
      </c>
      <c r="K22" s="2" t="s">
        <v>47</v>
      </c>
      <c r="L22" s="2" t="s">
        <v>93</v>
      </c>
      <c r="M22" s="2">
        <v>0</v>
      </c>
      <c r="N22" s="2">
        <v>125</v>
      </c>
      <c r="O22" s="2">
        <v>125</v>
      </c>
      <c r="P22" s="2" t="s">
        <v>120</v>
      </c>
    </row>
    <row r="23" spans="1:16" s="2" customFormat="1" x14ac:dyDescent="0.25">
      <c r="A23" s="2">
        <v>20411454</v>
      </c>
      <c r="B23" s="2" t="s">
        <v>116</v>
      </c>
      <c r="C23" s="2" t="s">
        <v>99</v>
      </c>
      <c r="D23" s="2" t="str">
        <f t="shared" si="2"/>
        <v>DRR8USOVR</v>
      </c>
      <c r="E23" s="2" t="s">
        <v>101</v>
      </c>
      <c r="F23" s="2" t="s">
        <v>102</v>
      </c>
      <c r="G23" s="2" t="str">
        <f t="shared" si="3"/>
        <v>MICHAEL HANSEN</v>
      </c>
      <c r="H23" s="2" t="s">
        <v>103</v>
      </c>
      <c r="I23" s="2" t="s">
        <v>91</v>
      </c>
      <c r="J23" s="2" t="s">
        <v>46</v>
      </c>
      <c r="K23" s="2" t="s">
        <v>47</v>
      </c>
      <c r="L23" s="2" t="s">
        <v>93</v>
      </c>
      <c r="M23" s="2">
        <v>0</v>
      </c>
      <c r="N23" s="2">
        <v>125</v>
      </c>
      <c r="O23" s="2">
        <v>125</v>
      </c>
      <c r="P23" s="2" t="s">
        <v>120</v>
      </c>
    </row>
    <row r="24" spans="1:16" s="2" customFormat="1" x14ac:dyDescent="0.25">
      <c r="A24" s="2">
        <v>20411454</v>
      </c>
      <c r="B24" s="2" t="s">
        <v>116</v>
      </c>
      <c r="C24" s="2" t="s">
        <v>99</v>
      </c>
      <c r="D24" s="2" t="str">
        <f t="shared" si="2"/>
        <v>DRR8USOVR</v>
      </c>
      <c r="E24" s="2" t="s">
        <v>101</v>
      </c>
      <c r="F24" s="2" t="s">
        <v>102</v>
      </c>
      <c r="G24" s="2" t="str">
        <f t="shared" si="3"/>
        <v>MICHAEL HANSEN</v>
      </c>
      <c r="H24" s="2" t="s">
        <v>103</v>
      </c>
      <c r="I24" s="2" t="s">
        <v>91</v>
      </c>
      <c r="J24" s="2" t="s">
        <v>46</v>
      </c>
      <c r="K24" s="2" t="s">
        <v>47</v>
      </c>
      <c r="L24" s="2" t="s">
        <v>93</v>
      </c>
      <c r="M24" s="2">
        <v>0</v>
      </c>
      <c r="N24" s="2">
        <v>125</v>
      </c>
      <c r="O24" s="2">
        <v>125</v>
      </c>
      <c r="P24" s="2" t="s">
        <v>120</v>
      </c>
    </row>
    <row r="25" spans="1:16" s="2" customFormat="1" x14ac:dyDescent="0.25">
      <c r="A25" s="2">
        <v>20411454</v>
      </c>
      <c r="B25" s="2" t="s">
        <v>116</v>
      </c>
      <c r="C25" s="2" t="s">
        <v>106</v>
      </c>
      <c r="D25" s="2" t="str">
        <f t="shared" si="2"/>
        <v>DYA9JJOVR</v>
      </c>
      <c r="E25" s="2" t="s">
        <v>108</v>
      </c>
      <c r="F25" s="2" t="s">
        <v>109</v>
      </c>
      <c r="G25" s="2" t="str">
        <f t="shared" si="3"/>
        <v>CHERYLL HARRIS</v>
      </c>
      <c r="H25" s="2" t="s">
        <v>63</v>
      </c>
      <c r="I25" s="2" t="s">
        <v>91</v>
      </c>
      <c r="J25" s="2" t="s">
        <v>46</v>
      </c>
      <c r="K25" s="2" t="s">
        <v>47</v>
      </c>
      <c r="L25" s="2" t="s">
        <v>93</v>
      </c>
      <c r="M25" s="2">
        <v>0</v>
      </c>
      <c r="N25" s="2">
        <v>75</v>
      </c>
      <c r="O25" s="2">
        <v>75</v>
      </c>
      <c r="P25" s="2" t="s">
        <v>120</v>
      </c>
    </row>
    <row r="26" spans="1:16" s="2" customFormat="1" x14ac:dyDescent="0.25">
      <c r="A26" s="2">
        <v>20411454</v>
      </c>
      <c r="B26" s="2" t="s">
        <v>116</v>
      </c>
      <c r="C26" s="2" t="s">
        <v>106</v>
      </c>
      <c r="D26" s="2" t="str">
        <f t="shared" si="2"/>
        <v>DYA9JJOVR</v>
      </c>
      <c r="E26" s="2" t="s">
        <v>108</v>
      </c>
      <c r="F26" s="2" t="s">
        <v>109</v>
      </c>
      <c r="G26" s="2" t="str">
        <f t="shared" si="3"/>
        <v>CHERYLL HARRIS</v>
      </c>
      <c r="H26" s="2" t="s">
        <v>63</v>
      </c>
      <c r="I26" s="2" t="s">
        <v>91</v>
      </c>
      <c r="J26" s="2" t="s">
        <v>46</v>
      </c>
      <c r="K26" s="2" t="s">
        <v>47</v>
      </c>
      <c r="L26" s="2" t="s">
        <v>93</v>
      </c>
      <c r="M26" s="2">
        <v>0</v>
      </c>
      <c r="N26" s="2">
        <v>125</v>
      </c>
      <c r="O26" s="2">
        <v>125</v>
      </c>
      <c r="P26" s="2" t="s">
        <v>120</v>
      </c>
    </row>
    <row r="27" spans="1:16" s="2" customFormat="1" x14ac:dyDescent="0.25">
      <c r="A27" s="2">
        <v>20411454</v>
      </c>
      <c r="B27" s="2" t="s">
        <v>116</v>
      </c>
      <c r="C27" s="2" t="s">
        <v>112</v>
      </c>
      <c r="D27" s="2" t="str">
        <f t="shared" si="2"/>
        <v>DZ3RWGOVR</v>
      </c>
      <c r="E27" s="2" t="s">
        <v>75</v>
      </c>
      <c r="F27" s="2" t="s">
        <v>114</v>
      </c>
      <c r="G27" s="2" t="str">
        <f t="shared" si="3"/>
        <v>LINDA MINX</v>
      </c>
      <c r="H27" s="2" t="s">
        <v>63</v>
      </c>
      <c r="I27" s="2" t="s">
        <v>91</v>
      </c>
      <c r="J27" s="2" t="s">
        <v>46</v>
      </c>
      <c r="K27" s="2" t="s">
        <v>47</v>
      </c>
      <c r="L27" s="2" t="s">
        <v>93</v>
      </c>
      <c r="M27" s="2">
        <v>0</v>
      </c>
      <c r="N27" s="2">
        <v>125</v>
      </c>
      <c r="O27" s="2">
        <v>125</v>
      </c>
      <c r="P27" s="2" t="s">
        <v>120</v>
      </c>
    </row>
    <row r="28" spans="1:16" s="2" customFormat="1" x14ac:dyDescent="0.25">
      <c r="A28" s="2">
        <v>20411454</v>
      </c>
      <c r="B28" s="2" t="s">
        <v>116</v>
      </c>
      <c r="C28" s="2" t="s">
        <v>112</v>
      </c>
      <c r="D28" s="2" t="str">
        <f t="shared" si="2"/>
        <v>DZ3RWGOVR</v>
      </c>
      <c r="E28" s="2" t="s">
        <v>75</v>
      </c>
      <c r="F28" s="2" t="s">
        <v>114</v>
      </c>
      <c r="G28" s="2" t="str">
        <f t="shared" si="3"/>
        <v>LINDA MINX</v>
      </c>
      <c r="H28" s="2" t="s">
        <v>63</v>
      </c>
      <c r="I28" s="2" t="s">
        <v>91</v>
      </c>
      <c r="J28" s="2" t="s">
        <v>46</v>
      </c>
      <c r="K28" s="2" t="s">
        <v>47</v>
      </c>
      <c r="L28" s="2" t="s">
        <v>93</v>
      </c>
      <c r="M28" s="2">
        <v>0</v>
      </c>
      <c r="N28" s="2">
        <v>75</v>
      </c>
      <c r="O28" s="2">
        <v>75</v>
      </c>
      <c r="P28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2026-02-14T07:59:25Z</dcterms:created>
  <dcterms:modified xsi:type="dcterms:W3CDTF">2026-02-16T20:20:09Z</dcterms:modified>
</cp:coreProperties>
</file>