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2-6-26\"/>
    </mc:Choice>
  </mc:AlternateContent>
  <xr:revisionPtr revIDLastSave="0" documentId="13_ncr:1_{52B357CE-7CD8-4DD8-A4CF-2C2FB8156B00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2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<sst xmlns="http://schemas.openxmlformats.org/spreadsheetml/2006/main" count="1196" uniqueCount="208">
  <si>
    <t>Description</t>
  </si>
  <si>
    <t>Member Count</t>
  </si>
  <si>
    <t>Total</t>
  </si>
  <si>
    <t>Payee</t>
  </si>
  <si>
    <t>Payment Date</t>
  </si>
  <si>
    <t>Credits</t>
  </si>
  <si>
    <t>Main Line Benefits LLC</t>
  </si>
  <si>
    <t>02/06/2026</t>
  </si>
  <si>
    <t>Debits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</si>
  <si>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</si>
  <si>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</si>
  <si>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</si>
  <si>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</si>
  <si>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</si>
  <si>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</si>
  <si>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</si>
  <si>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</si>
  <si>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</si>
  <si>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</si>
  <si>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</si>
  <si>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</si>
  <si>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</si>
  <si>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</si>
  <si>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</si>
  <si>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</si>
  <si>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</si>
  <si>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</si>
  <si>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</si>
  <si>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</si>
  <si>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</si>
  <si>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</si>
  <si>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</si>
  <si>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</si>
  <si>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</si>
  <si>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</si>
  <si>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</si>
  <si>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16633294</t>
  </si>
  <si>
    <t>Richard Yale</t>
  </si>
  <si>
    <t>DC84JY</t>
  </si>
  <si>
    <t>9HX6Q39NC30</t>
  </si>
  <si>
    <t>SUSAN</t>
  </si>
  <si>
    <t>COHEN</t>
  </si>
  <si>
    <t>IL</t>
  </si>
  <si>
    <t>10/15/2025</t>
  </si>
  <si>
    <t>01/01/2026</t>
  </si>
  <si>
    <t>01/31/2026</t>
  </si>
  <si>
    <t>H7151</t>
  </si>
  <si>
    <t>MAPD</t>
  </si>
  <si>
    <t>Initial - Not New</t>
  </si>
  <si>
    <t>Jan</t>
  </si>
  <si>
    <t>7152559</t>
  </si>
  <si>
    <t>Dennis Holyn</t>
  </si>
  <si>
    <t>DWEZYE</t>
  </si>
  <si>
    <t>3H35GJ3AA52</t>
  </si>
  <si>
    <t>JEANETTE</t>
  </si>
  <si>
    <t>JEFFRIES</t>
  </si>
  <si>
    <t>11/29/2025</t>
  </si>
  <si>
    <t>19491313</t>
  </si>
  <si>
    <t>Steven Brandt</t>
  </si>
  <si>
    <t>DHHCG5</t>
  </si>
  <si>
    <t>6W78JV9YP37</t>
  </si>
  <si>
    <t>MARTHA</t>
  </si>
  <si>
    <t>LINNABARY</t>
  </si>
  <si>
    <t>OH</t>
  </si>
  <si>
    <t>10/27/2025</t>
  </si>
  <si>
    <t>H2697</t>
  </si>
  <si>
    <t>8325282</t>
  </si>
  <si>
    <t>Dale Walenga</t>
  </si>
  <si>
    <t>D99E5R</t>
  </si>
  <si>
    <t>1FP1UE8TF24</t>
  </si>
  <si>
    <t>NICK</t>
  </si>
  <si>
    <t>MIROBALLI</t>
  </si>
  <si>
    <t>10/24/2025</t>
  </si>
  <si>
    <t>H6545</t>
  </si>
  <si>
    <t>PDP</t>
  </si>
  <si>
    <t>Initial - New</t>
  </si>
  <si>
    <t>16228684</t>
  </si>
  <si>
    <t>Jason Roller</t>
  </si>
  <si>
    <t>D4GFGE</t>
  </si>
  <si>
    <t>4FG7W81NU59</t>
  </si>
  <si>
    <t>JOHN</t>
  </si>
  <si>
    <t>POULOS</t>
  </si>
  <si>
    <t>12/19/2025</t>
  </si>
  <si>
    <t>NONE</t>
  </si>
  <si>
    <t>DG3UWY</t>
  </si>
  <si>
    <t>3V18K84XH65</t>
  </si>
  <si>
    <t>MARY</t>
  </si>
  <si>
    <t>16849453</t>
  </si>
  <si>
    <t>Danna Green</t>
  </si>
  <si>
    <t>DC8WHG</t>
  </si>
  <si>
    <t>2F82Y63GW14</t>
  </si>
  <si>
    <t>ROBIN</t>
  </si>
  <si>
    <t>PROCTOR</t>
  </si>
  <si>
    <t>IN</t>
  </si>
  <si>
    <t>12/30/2025</t>
  </si>
  <si>
    <t>H7471</t>
  </si>
  <si>
    <t>D6WKZU</t>
  </si>
  <si>
    <t>5DA6V33AX66</t>
  </si>
  <si>
    <t>JOSEPH</t>
  </si>
  <si>
    <t>RUBINO</t>
  </si>
  <si>
    <t>12/09/2025</t>
  </si>
  <si>
    <t>17094718</t>
  </si>
  <si>
    <t>Greg Hansford</t>
  </si>
  <si>
    <t>DFJEZZ</t>
  </si>
  <si>
    <t>7NG9NC2TT20</t>
  </si>
  <si>
    <t>CONNIE</t>
  </si>
  <si>
    <t>WILLIAMS</t>
  </si>
  <si>
    <t>GA</t>
  </si>
  <si>
    <t>11/13/2025</t>
  </si>
  <si>
    <t>H5453</t>
  </si>
  <si>
    <t>9213293</t>
  </si>
  <si>
    <t>Gary Portugal</t>
  </si>
  <si>
    <t>DZFFRG</t>
  </si>
  <si>
    <t>7HP3G30NR12</t>
  </si>
  <si>
    <t>LINDA</t>
  </si>
  <si>
    <t>MASON</t>
  </si>
  <si>
    <t>01/08/2026</t>
  </si>
  <si>
    <t>02/01/2026</t>
  </si>
  <si>
    <t>DGA948</t>
  </si>
  <si>
    <t>6XK0J29RJ44</t>
  </si>
  <si>
    <t>LESA</t>
  </si>
  <si>
    <t>NEEMAN</t>
  </si>
  <si>
    <t>01/07/2026</t>
  </si>
  <si>
    <t>03/01/2026</t>
  </si>
  <si>
    <t>21436172</t>
  </si>
  <si>
    <t>Latesha Rose</t>
  </si>
  <si>
    <t>D2C5GR</t>
  </si>
  <si>
    <t>8X81XD8AU11</t>
  </si>
  <si>
    <t>JAMES</t>
  </si>
  <si>
    <t>PATTERSON JR</t>
  </si>
  <si>
    <t>AZ</t>
  </si>
  <si>
    <t>01/02/2026</t>
  </si>
  <si>
    <t>H8173</t>
  </si>
  <si>
    <t>2158366</t>
  </si>
  <si>
    <t>Jeffrey Horn</t>
  </si>
  <si>
    <t>DK8YK8</t>
  </si>
  <si>
    <t>3CE4F28XC73</t>
  </si>
  <si>
    <t>JULIE</t>
  </si>
  <si>
    <t>WAGNER PICKENS</t>
  </si>
  <si>
    <t>01/05/2026</t>
  </si>
  <si>
    <t>DGRRHK</t>
  </si>
  <si>
    <t>3W14F25WU65</t>
  </si>
  <si>
    <t>SONDA</t>
  </si>
  <si>
    <t>BLACKBURN</t>
  </si>
  <si>
    <t>01/15/2026</t>
  </si>
  <si>
    <t>04/01/2026</t>
  </si>
  <si>
    <t>17301495</t>
  </si>
  <si>
    <t>Esther Herrera-Larsen</t>
  </si>
  <si>
    <t>DF9HK9</t>
  </si>
  <si>
    <t>8CX5EQ3NX94</t>
  </si>
  <si>
    <t>GERASSIMOS</t>
  </si>
  <si>
    <t>FERENTINOS</t>
  </si>
  <si>
    <t>01/16/2026</t>
  </si>
  <si>
    <t>18754354</t>
  </si>
  <si>
    <t>Jacob Yale</t>
  </si>
  <si>
    <t>D43553</t>
  </si>
  <si>
    <t>9RX7QN4FP77</t>
  </si>
  <si>
    <t>CATHERINE</t>
  </si>
  <si>
    <t>HORTON</t>
  </si>
  <si>
    <t>DJAWK3</t>
  </si>
  <si>
    <t>6X33X36JV78</t>
  </si>
  <si>
    <t>THOMAS</t>
  </si>
  <si>
    <t>PICKENS</t>
  </si>
  <si>
    <t>01/13/2026</t>
  </si>
  <si>
    <t>D3S7SZ</t>
  </si>
  <si>
    <t>8JA6AQ2KE82</t>
  </si>
  <si>
    <t>ROBERT</t>
  </si>
  <si>
    <t>SWENSON</t>
  </si>
  <si>
    <t>01/10/2026</t>
  </si>
  <si>
    <t>DUR8WZ</t>
  </si>
  <si>
    <t>4JD4V77PF05</t>
  </si>
  <si>
    <t>LOUIS</t>
  </si>
  <si>
    <t>VASILOPOULOS</t>
  </si>
  <si>
    <t>21283956</t>
  </si>
  <si>
    <t>Victor Fuentes</t>
  </si>
  <si>
    <t>D9WY64</t>
  </si>
  <si>
    <t>3MD6RK2XF45</t>
  </si>
  <si>
    <t>PATRICIA</t>
  </si>
  <si>
    <t>FAGOAGA</t>
  </si>
  <si>
    <t>01/21/2026</t>
  </si>
  <si>
    <t>Feb</t>
  </si>
  <si>
    <t>D5524R</t>
  </si>
  <si>
    <t>4QA0H76NR12</t>
  </si>
  <si>
    <t>JOY</t>
  </si>
  <si>
    <t>LOWRY</t>
  </si>
  <si>
    <t>DCHJJ5</t>
  </si>
  <si>
    <t>5ED3MT0EA81</t>
  </si>
  <si>
    <t>LINH</t>
  </si>
  <si>
    <t>TRIEU</t>
  </si>
  <si>
    <t>01/22/2026</t>
  </si>
  <si>
    <t>DA2US5</t>
  </si>
  <si>
    <t>1NJ0J01TR20</t>
  </si>
  <si>
    <t>QUANG</t>
  </si>
  <si>
    <t>16170994</t>
  </si>
  <si>
    <t>Ryan Shepard</t>
  </si>
  <si>
    <t>DZCAS8</t>
  </si>
  <si>
    <t>2HQ4G14PQ63</t>
  </si>
  <si>
    <t>VALVO</t>
  </si>
  <si>
    <t>01/23/2026</t>
  </si>
  <si>
    <t>Devoted MAPD Ovr</t>
  </si>
  <si>
    <t>Devoted Health MAPD 2026*</t>
  </si>
  <si>
    <t>Devoted Health 2026</t>
  </si>
  <si>
    <t>[%/$=347][prorate=11/12]</t>
  </si>
  <si>
    <t>[%/$=347][prorate=12/12]</t>
  </si>
  <si>
    <t>[%/$=347][prorate=10/12]</t>
  </si>
  <si>
    <t>[%/$=347][prorate=9/12]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</si>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</sst>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" sqref="C2:C3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16</v>
      </c>
      <c r="C2" s="1">
        <v>6783.35</v>
      </c>
      <c r="E2" t="s">
        <v>6</v>
      </c>
      <c r="F2" t="s">
        <v>7</v>
      </c>
    </row>
    <row r="3" spans="1:6" x14ac:dyDescent="0.25">
      <c r="A3" t="s">
        <v>8</v>
      </c>
      <c r="B3">
        <v>8</v>
      </c>
      <c r="C3" s="1">
        <v>-5388.08</v>
      </c>
    </row>
    <row r="4" spans="1:6" x14ac:dyDescent="0.25">
      <c r="A4" t="s">
        <v>9</v>
      </c>
      <c r="B4">
        <v>0</v>
      </c>
      <c r="C4" s="1">
        <v>0</v>
      </c>
    </row>
    <row r="5" spans="1:6" x14ac:dyDescent="0.25">
      <c r="A5" t="s">
        <v>10</v>
      </c>
      <c r="C5" s="1">
        <v>0</v>
      </c>
    </row>
    <row r="6" spans="1:6" x14ac:dyDescent="0.25">
      <c r="A6" t="s">
        <v>11</v>
      </c>
      <c r="B6">
        <v>24</v>
      </c>
      <c r="C6" s="1">
        <v>1395.27</v>
      </c>
    </row>
    <row r="7" spans="1:6" x14ac:dyDescent="0.25">
      <c r="A7" t="s">
        <v>12</v>
      </c>
      <c r="C7" s="1">
        <v>0</v>
      </c>
    </row>
    <row r="8" spans="1:6" x14ac:dyDescent="0.25">
      <c r="A8" t="s">
        <v>13</v>
      </c>
      <c r="C8" s="1">
        <v>1395.27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zoomScaleNormal="100" workbookViewId="0">
      <selection activeCell="T1" sqref="T1:T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</row>
    <row r="2" spans="1:22" x14ac:dyDescent="0.25">
      <c r="A2" t="s">
        <v>7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>
        <v>1</v>
      </c>
      <c r="N2" t="s">
        <v>47</v>
      </c>
      <c r="O2">
        <v>8</v>
      </c>
      <c r="P2" t="s">
        <v>48</v>
      </c>
      <c r="Q2" t="s">
        <v>49</v>
      </c>
      <c r="R2">
        <v>-347</v>
      </c>
      <c r="S2">
        <v>-200</v>
      </c>
      <c r="T2">
        <v>-547</v>
      </c>
      <c r="U2" t="s">
        <v>6</v>
      </c>
    </row>
    <row r="3" spans="1:22" x14ac:dyDescent="0.25">
      <c r="A3" t="s">
        <v>7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42</v>
      </c>
      <c r="I3" t="s">
        <v>56</v>
      </c>
      <c r="J3" t="s">
        <v>44</v>
      </c>
      <c r="K3" t="s">
        <v>45</v>
      </c>
      <c r="L3" t="s">
        <v>46</v>
      </c>
      <c r="M3">
        <v>6</v>
      </c>
      <c r="N3" t="s">
        <v>47</v>
      </c>
      <c r="O3">
        <v>3</v>
      </c>
      <c r="P3" t="s">
        <v>48</v>
      </c>
      <c r="Q3" t="s">
        <v>49</v>
      </c>
      <c r="R3">
        <v>-347</v>
      </c>
      <c r="S3">
        <v>-200</v>
      </c>
      <c r="T3">
        <v>-547</v>
      </c>
      <c r="U3" t="s">
        <v>6</v>
      </c>
    </row>
    <row r="4" spans="1:22" x14ac:dyDescent="0.25">
      <c r="A4" t="s">
        <v>7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44</v>
      </c>
      <c r="K4" t="s">
        <v>45</v>
      </c>
      <c r="L4" t="s">
        <v>65</v>
      </c>
      <c r="M4">
        <v>9</v>
      </c>
      <c r="N4" t="s">
        <v>47</v>
      </c>
      <c r="O4">
        <v>8</v>
      </c>
      <c r="P4" t="s">
        <v>48</v>
      </c>
      <c r="Q4" t="s">
        <v>49</v>
      </c>
      <c r="R4">
        <v>-347</v>
      </c>
      <c r="S4">
        <v>-200</v>
      </c>
      <c r="T4">
        <v>-547</v>
      </c>
      <c r="U4" t="s">
        <v>6</v>
      </c>
    </row>
    <row r="5" spans="1:22" x14ac:dyDescent="0.25">
      <c r="A5" t="s">
        <v>7</v>
      </c>
      <c r="B5" t="s">
        <v>66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42</v>
      </c>
      <c r="I5" t="s">
        <v>72</v>
      </c>
      <c r="J5" t="s">
        <v>44</v>
      </c>
      <c r="K5" t="s">
        <v>45</v>
      </c>
      <c r="L5" t="s">
        <v>73</v>
      </c>
      <c r="M5">
        <v>10</v>
      </c>
      <c r="N5" t="s">
        <v>74</v>
      </c>
      <c r="O5">
        <v>1</v>
      </c>
      <c r="P5" t="s">
        <v>75</v>
      </c>
      <c r="Q5" t="s">
        <v>49</v>
      </c>
      <c r="R5">
        <v>-694</v>
      </c>
      <c r="S5">
        <v>-200</v>
      </c>
      <c r="T5">
        <v>-894</v>
      </c>
      <c r="U5" t="s">
        <v>6</v>
      </c>
    </row>
    <row r="6" spans="1:22" x14ac:dyDescent="0.25">
      <c r="A6" t="s">
        <v>7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42</v>
      </c>
      <c r="I6" t="s">
        <v>82</v>
      </c>
      <c r="J6" t="s">
        <v>44</v>
      </c>
      <c r="K6" t="s">
        <v>45</v>
      </c>
      <c r="L6" t="s">
        <v>73</v>
      </c>
      <c r="M6">
        <v>10</v>
      </c>
      <c r="N6" t="s">
        <v>83</v>
      </c>
      <c r="O6">
        <v>1</v>
      </c>
      <c r="P6" t="s">
        <v>75</v>
      </c>
      <c r="Q6" t="s">
        <v>49</v>
      </c>
      <c r="R6">
        <v>-694</v>
      </c>
      <c r="S6">
        <v>-200</v>
      </c>
      <c r="T6">
        <v>-894</v>
      </c>
      <c r="U6" t="s">
        <v>6</v>
      </c>
    </row>
    <row r="7" spans="1:22" x14ac:dyDescent="0.25">
      <c r="A7" t="s">
        <v>7</v>
      </c>
      <c r="B7" t="s">
        <v>76</v>
      </c>
      <c r="C7" t="s">
        <v>77</v>
      </c>
      <c r="D7" t="s">
        <v>84</v>
      </c>
      <c r="E7" t="s">
        <v>85</v>
      </c>
      <c r="F7" t="s">
        <v>86</v>
      </c>
      <c r="G7" t="s">
        <v>81</v>
      </c>
      <c r="H7" t="s">
        <v>42</v>
      </c>
      <c r="I7" t="s">
        <v>82</v>
      </c>
      <c r="J7" t="s">
        <v>44</v>
      </c>
      <c r="K7" t="s">
        <v>45</v>
      </c>
      <c r="L7" t="s">
        <v>73</v>
      </c>
      <c r="M7">
        <v>10</v>
      </c>
      <c r="N7" t="s">
        <v>83</v>
      </c>
      <c r="O7">
        <v>1</v>
      </c>
      <c r="P7" t="s">
        <v>75</v>
      </c>
      <c r="Q7" t="s">
        <v>49</v>
      </c>
      <c r="R7">
        <v>-694</v>
      </c>
      <c r="S7">
        <v>-200</v>
      </c>
      <c r="T7">
        <v>-894</v>
      </c>
      <c r="U7" t="s">
        <v>6</v>
      </c>
    </row>
    <row r="8" spans="1:22" x14ac:dyDescent="0.25">
      <c r="A8" t="s">
        <v>7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44</v>
      </c>
      <c r="L8" t="s">
        <v>95</v>
      </c>
      <c r="M8">
        <v>13</v>
      </c>
      <c r="N8" t="s">
        <v>83</v>
      </c>
      <c r="O8">
        <v>1</v>
      </c>
      <c r="P8" t="s">
        <v>75</v>
      </c>
      <c r="Q8" t="s">
        <v>49</v>
      </c>
      <c r="R8">
        <v>347</v>
      </c>
      <c r="S8">
        <v>0</v>
      </c>
      <c r="T8">
        <v>347</v>
      </c>
      <c r="U8" t="s">
        <v>6</v>
      </c>
    </row>
    <row r="9" spans="1:22" x14ac:dyDescent="0.25">
      <c r="A9" t="s">
        <v>7</v>
      </c>
      <c r="B9" t="s">
        <v>66</v>
      </c>
      <c r="C9" t="s">
        <v>67</v>
      </c>
      <c r="D9" t="s">
        <v>96</v>
      </c>
      <c r="E9" t="s">
        <v>97</v>
      </c>
      <c r="F9" t="s">
        <v>98</v>
      </c>
      <c r="G9" t="s">
        <v>99</v>
      </c>
      <c r="H9" t="s">
        <v>42</v>
      </c>
      <c r="I9" t="s">
        <v>100</v>
      </c>
      <c r="J9" t="s">
        <v>44</v>
      </c>
      <c r="L9" t="s">
        <v>73</v>
      </c>
      <c r="M9">
        <v>10</v>
      </c>
      <c r="N9" t="s">
        <v>83</v>
      </c>
      <c r="O9">
        <v>1</v>
      </c>
      <c r="P9" t="s">
        <v>75</v>
      </c>
      <c r="Q9" t="s">
        <v>49</v>
      </c>
      <c r="R9">
        <v>347</v>
      </c>
      <c r="S9">
        <v>0</v>
      </c>
      <c r="T9">
        <v>347</v>
      </c>
      <c r="U9" t="s">
        <v>6</v>
      </c>
    </row>
    <row r="10" spans="1:22" x14ac:dyDescent="0.25">
      <c r="A10" t="s">
        <v>7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44</v>
      </c>
      <c r="K10" t="s">
        <v>45</v>
      </c>
      <c r="L10" t="s">
        <v>109</v>
      </c>
      <c r="M10">
        <v>15</v>
      </c>
      <c r="N10" t="s">
        <v>47</v>
      </c>
      <c r="O10">
        <v>12</v>
      </c>
      <c r="P10" t="s">
        <v>48</v>
      </c>
      <c r="Q10" t="s">
        <v>49</v>
      </c>
      <c r="R10">
        <v>-347</v>
      </c>
      <c r="S10">
        <v>-200</v>
      </c>
      <c r="T10">
        <v>-547</v>
      </c>
      <c r="U10" t="s">
        <v>6</v>
      </c>
    </row>
    <row r="11" spans="1:22" x14ac:dyDescent="0.25">
      <c r="A11" t="s">
        <v>7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42</v>
      </c>
      <c r="I11" t="s">
        <v>116</v>
      </c>
      <c r="J11" t="s">
        <v>117</v>
      </c>
      <c r="L11" t="s">
        <v>46</v>
      </c>
      <c r="M11">
        <v>5</v>
      </c>
      <c r="N11" t="s">
        <v>74</v>
      </c>
      <c r="O11">
        <v>1</v>
      </c>
      <c r="P11" t="s">
        <v>75</v>
      </c>
      <c r="Q11" t="s">
        <v>49</v>
      </c>
      <c r="R11">
        <v>375.92</v>
      </c>
      <c r="S11">
        <v>0</v>
      </c>
      <c r="T11">
        <v>375.92</v>
      </c>
      <c r="U11" t="s">
        <v>6</v>
      </c>
    </row>
    <row r="12" spans="1:22" x14ac:dyDescent="0.25">
      <c r="A12" t="s">
        <v>7</v>
      </c>
      <c r="B12" t="s">
        <v>87</v>
      </c>
      <c r="C12" t="s">
        <v>88</v>
      </c>
      <c r="D12" t="s">
        <v>118</v>
      </c>
      <c r="E12" t="s">
        <v>119</v>
      </c>
      <c r="F12" t="s">
        <v>120</v>
      </c>
      <c r="G12" t="s">
        <v>121</v>
      </c>
      <c r="H12" t="s">
        <v>93</v>
      </c>
      <c r="I12" t="s">
        <v>122</v>
      </c>
      <c r="J12" t="s">
        <v>123</v>
      </c>
      <c r="L12" t="s">
        <v>95</v>
      </c>
      <c r="M12">
        <v>11</v>
      </c>
      <c r="N12" t="s">
        <v>83</v>
      </c>
      <c r="O12">
        <v>-1</v>
      </c>
      <c r="P12" t="s">
        <v>75</v>
      </c>
      <c r="Q12" t="s">
        <v>49</v>
      </c>
      <c r="R12">
        <v>404.84</v>
      </c>
      <c r="S12">
        <v>0</v>
      </c>
      <c r="T12">
        <v>404.84</v>
      </c>
      <c r="U12" t="s">
        <v>6</v>
      </c>
    </row>
    <row r="13" spans="1:22" x14ac:dyDescent="0.25">
      <c r="A13" t="s">
        <v>7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117</v>
      </c>
      <c r="L13" t="s">
        <v>132</v>
      </c>
      <c r="M13">
        <v>19</v>
      </c>
      <c r="N13" t="s">
        <v>83</v>
      </c>
      <c r="O13">
        <v>1</v>
      </c>
      <c r="P13" t="s">
        <v>75</v>
      </c>
      <c r="Q13" t="s">
        <v>49</v>
      </c>
      <c r="R13">
        <v>375.92</v>
      </c>
      <c r="S13">
        <v>0</v>
      </c>
      <c r="T13">
        <v>375.92</v>
      </c>
      <c r="U13" t="s">
        <v>6</v>
      </c>
    </row>
    <row r="14" spans="1:22" x14ac:dyDescent="0.25">
      <c r="A14" t="s">
        <v>7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 t="s">
        <v>42</v>
      </c>
      <c r="I14" t="s">
        <v>139</v>
      </c>
      <c r="J14" t="s">
        <v>117</v>
      </c>
      <c r="L14" t="s">
        <v>73</v>
      </c>
      <c r="M14">
        <v>10</v>
      </c>
      <c r="N14" t="s">
        <v>83</v>
      </c>
      <c r="O14">
        <v>1</v>
      </c>
      <c r="P14" t="s">
        <v>75</v>
      </c>
      <c r="Q14" t="s">
        <v>49</v>
      </c>
      <c r="R14">
        <v>375.92</v>
      </c>
      <c r="S14">
        <v>0</v>
      </c>
      <c r="T14">
        <v>375.92</v>
      </c>
      <c r="U14" t="s">
        <v>6</v>
      </c>
    </row>
    <row r="15" spans="1:22" x14ac:dyDescent="0.25">
      <c r="A15" t="s">
        <v>7</v>
      </c>
      <c r="B15" t="s">
        <v>87</v>
      </c>
      <c r="C15" t="s">
        <v>88</v>
      </c>
      <c r="D15" t="s">
        <v>140</v>
      </c>
      <c r="E15" t="s">
        <v>141</v>
      </c>
      <c r="F15" t="s">
        <v>142</v>
      </c>
      <c r="G15" t="s">
        <v>143</v>
      </c>
      <c r="H15" t="s">
        <v>93</v>
      </c>
      <c r="I15" t="s">
        <v>144</v>
      </c>
      <c r="J15" t="s">
        <v>145</v>
      </c>
      <c r="L15" t="s">
        <v>95</v>
      </c>
      <c r="M15">
        <v>11</v>
      </c>
      <c r="N15" t="s">
        <v>83</v>
      </c>
      <c r="O15">
        <v>-1</v>
      </c>
      <c r="P15" t="s">
        <v>75</v>
      </c>
      <c r="Q15" t="s">
        <v>49</v>
      </c>
      <c r="R15">
        <v>433.75</v>
      </c>
      <c r="S15">
        <v>0</v>
      </c>
      <c r="T15">
        <v>433.75</v>
      </c>
      <c r="U15" t="s">
        <v>6</v>
      </c>
    </row>
    <row r="16" spans="1:22" x14ac:dyDescent="0.25">
      <c r="A16" t="s">
        <v>7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151</v>
      </c>
      <c r="H16" t="s">
        <v>42</v>
      </c>
      <c r="I16" t="s">
        <v>152</v>
      </c>
      <c r="J16" t="s">
        <v>117</v>
      </c>
      <c r="L16" t="s">
        <v>46</v>
      </c>
      <c r="M16">
        <v>3</v>
      </c>
      <c r="N16" t="s">
        <v>74</v>
      </c>
      <c r="O16">
        <v>1</v>
      </c>
      <c r="P16" t="s">
        <v>75</v>
      </c>
      <c r="Q16" t="s">
        <v>49</v>
      </c>
      <c r="R16">
        <v>375.92</v>
      </c>
      <c r="S16">
        <v>0</v>
      </c>
      <c r="T16">
        <v>375.92</v>
      </c>
      <c r="U16" t="s">
        <v>6</v>
      </c>
    </row>
    <row r="17" spans="1:21" x14ac:dyDescent="0.25">
      <c r="A17" t="s">
        <v>7</v>
      </c>
      <c r="B17" t="s">
        <v>153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107</v>
      </c>
      <c r="I17" t="s">
        <v>152</v>
      </c>
      <c r="J17" t="s">
        <v>117</v>
      </c>
      <c r="L17" t="s">
        <v>109</v>
      </c>
      <c r="M17">
        <v>5</v>
      </c>
      <c r="O17">
        <v>0</v>
      </c>
      <c r="P17" t="s">
        <v>48</v>
      </c>
      <c r="Q17" t="s">
        <v>49</v>
      </c>
      <c r="R17">
        <v>-318.08</v>
      </c>
      <c r="S17">
        <v>0</v>
      </c>
      <c r="T17">
        <v>-318.08</v>
      </c>
      <c r="U17" t="s">
        <v>6</v>
      </c>
    </row>
    <row r="18" spans="1:21" x14ac:dyDescent="0.25">
      <c r="A18" t="s">
        <v>7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107</v>
      </c>
      <c r="I18" t="s">
        <v>152</v>
      </c>
      <c r="J18" t="s">
        <v>117</v>
      </c>
      <c r="L18" t="s">
        <v>109</v>
      </c>
      <c r="M18">
        <v>5</v>
      </c>
      <c r="O18">
        <v>0</v>
      </c>
      <c r="P18" t="s">
        <v>48</v>
      </c>
      <c r="Q18" t="s">
        <v>49</v>
      </c>
      <c r="R18">
        <v>0</v>
      </c>
      <c r="S18">
        <v>-125</v>
      </c>
      <c r="T18">
        <v>-125</v>
      </c>
      <c r="U18" t="s">
        <v>6</v>
      </c>
    </row>
    <row r="19" spans="1:21" x14ac:dyDescent="0.25">
      <c r="A19" t="s">
        <v>7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107</v>
      </c>
      <c r="I19" t="s">
        <v>152</v>
      </c>
      <c r="J19" t="s">
        <v>117</v>
      </c>
      <c r="L19" t="s">
        <v>109</v>
      </c>
      <c r="M19">
        <v>5</v>
      </c>
      <c r="O19">
        <v>0</v>
      </c>
      <c r="P19" t="s">
        <v>48</v>
      </c>
      <c r="Q19" t="s">
        <v>49</v>
      </c>
      <c r="R19">
        <v>0</v>
      </c>
      <c r="S19">
        <v>-75</v>
      </c>
      <c r="T19">
        <v>-75</v>
      </c>
      <c r="U19" t="s">
        <v>6</v>
      </c>
    </row>
    <row r="20" spans="1:21" x14ac:dyDescent="0.25">
      <c r="A20" t="s">
        <v>7</v>
      </c>
      <c r="B20" t="s">
        <v>133</v>
      </c>
      <c r="C20" t="s">
        <v>134</v>
      </c>
      <c r="D20" t="s">
        <v>159</v>
      </c>
      <c r="E20" t="s">
        <v>160</v>
      </c>
      <c r="F20" t="s">
        <v>161</v>
      </c>
      <c r="G20" t="s">
        <v>162</v>
      </c>
      <c r="H20" t="s">
        <v>42</v>
      </c>
      <c r="I20" t="s">
        <v>163</v>
      </c>
      <c r="J20" t="s">
        <v>117</v>
      </c>
      <c r="L20" t="s">
        <v>73</v>
      </c>
      <c r="M20">
        <v>10</v>
      </c>
      <c r="N20" t="s">
        <v>83</v>
      </c>
      <c r="O20">
        <v>1</v>
      </c>
      <c r="P20" t="s">
        <v>75</v>
      </c>
      <c r="Q20" t="s">
        <v>49</v>
      </c>
      <c r="R20">
        <v>375.92</v>
      </c>
      <c r="S20">
        <v>0</v>
      </c>
      <c r="T20">
        <v>375.92</v>
      </c>
      <c r="U20" t="s">
        <v>6</v>
      </c>
    </row>
    <row r="21" spans="1:21" x14ac:dyDescent="0.25">
      <c r="A21" t="s">
        <v>7</v>
      </c>
      <c r="B21" t="s">
        <v>57</v>
      </c>
      <c r="C21" t="s">
        <v>58</v>
      </c>
      <c r="D21" t="s">
        <v>164</v>
      </c>
      <c r="E21" t="s">
        <v>165</v>
      </c>
      <c r="F21" t="s">
        <v>166</v>
      </c>
      <c r="G21" t="s">
        <v>167</v>
      </c>
      <c r="H21" t="s">
        <v>63</v>
      </c>
      <c r="I21" t="s">
        <v>168</v>
      </c>
      <c r="J21" t="s">
        <v>123</v>
      </c>
      <c r="L21" t="s">
        <v>65</v>
      </c>
      <c r="M21">
        <v>9</v>
      </c>
      <c r="N21" t="s">
        <v>83</v>
      </c>
      <c r="O21">
        <v>-1</v>
      </c>
      <c r="P21" t="s">
        <v>75</v>
      </c>
      <c r="Q21" t="s">
        <v>49</v>
      </c>
      <c r="R21">
        <v>404.84</v>
      </c>
      <c r="S21">
        <v>0</v>
      </c>
      <c r="T21">
        <v>404.84</v>
      </c>
      <c r="U21" t="s">
        <v>6</v>
      </c>
    </row>
    <row r="22" spans="1:21" x14ac:dyDescent="0.25">
      <c r="A22" t="s">
        <v>7</v>
      </c>
      <c r="B22" t="s">
        <v>146</v>
      </c>
      <c r="C22" t="s">
        <v>147</v>
      </c>
      <c r="D22" t="s">
        <v>169</v>
      </c>
      <c r="E22" t="s">
        <v>170</v>
      </c>
      <c r="F22" t="s">
        <v>171</v>
      </c>
      <c r="G22" t="s">
        <v>172</v>
      </c>
      <c r="H22" t="s">
        <v>42</v>
      </c>
      <c r="I22" t="s">
        <v>163</v>
      </c>
      <c r="J22" t="s">
        <v>117</v>
      </c>
      <c r="L22" t="s">
        <v>46</v>
      </c>
      <c r="M22">
        <v>3</v>
      </c>
      <c r="N22" t="s">
        <v>74</v>
      </c>
      <c r="O22">
        <v>1</v>
      </c>
      <c r="P22" t="s">
        <v>75</v>
      </c>
      <c r="Q22" t="s">
        <v>49</v>
      </c>
      <c r="R22">
        <v>375.92</v>
      </c>
      <c r="S22">
        <v>0</v>
      </c>
      <c r="T22">
        <v>375.92</v>
      </c>
      <c r="U22" t="s">
        <v>6</v>
      </c>
    </row>
    <row r="23" spans="1:21" x14ac:dyDescent="0.25">
      <c r="A23" t="s">
        <v>7</v>
      </c>
      <c r="B23" t="s">
        <v>173</v>
      </c>
      <c r="C23" t="s">
        <v>174</v>
      </c>
      <c r="D23" t="s">
        <v>175</v>
      </c>
      <c r="E23" t="s">
        <v>176</v>
      </c>
      <c r="F23" t="s">
        <v>177</v>
      </c>
      <c r="G23" t="s">
        <v>178</v>
      </c>
      <c r="H23" t="s">
        <v>42</v>
      </c>
      <c r="I23" t="s">
        <v>179</v>
      </c>
      <c r="J23" t="s">
        <v>117</v>
      </c>
      <c r="L23" t="s">
        <v>46</v>
      </c>
      <c r="M23">
        <v>6</v>
      </c>
      <c r="N23" t="s">
        <v>47</v>
      </c>
      <c r="O23">
        <v>5</v>
      </c>
      <c r="P23" t="s">
        <v>48</v>
      </c>
      <c r="Q23" t="s">
        <v>180</v>
      </c>
      <c r="R23">
        <v>318.08</v>
      </c>
      <c r="S23">
        <v>0</v>
      </c>
      <c r="T23">
        <v>318.08</v>
      </c>
      <c r="U23" t="s">
        <v>6</v>
      </c>
    </row>
    <row r="24" spans="1:21" x14ac:dyDescent="0.25">
      <c r="A24" t="s">
        <v>7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42</v>
      </c>
      <c r="I24" t="s">
        <v>179</v>
      </c>
      <c r="J24" t="s">
        <v>117</v>
      </c>
      <c r="L24" t="s">
        <v>46</v>
      </c>
      <c r="M24">
        <v>6</v>
      </c>
      <c r="N24" t="s">
        <v>47</v>
      </c>
      <c r="O24">
        <v>5</v>
      </c>
      <c r="P24" t="s">
        <v>48</v>
      </c>
      <c r="Q24" t="s">
        <v>180</v>
      </c>
      <c r="R24">
        <v>0</v>
      </c>
      <c r="S24">
        <v>75</v>
      </c>
      <c r="T24">
        <v>75</v>
      </c>
      <c r="U24" t="s">
        <v>6</v>
      </c>
    </row>
    <row r="25" spans="1:21" x14ac:dyDescent="0.25">
      <c r="A25" t="s">
        <v>7</v>
      </c>
      <c r="B25" t="s">
        <v>173</v>
      </c>
      <c r="C25" t="s">
        <v>174</v>
      </c>
      <c r="D25" t="s">
        <v>175</v>
      </c>
      <c r="E25" t="s">
        <v>176</v>
      </c>
      <c r="F25" t="s">
        <v>177</v>
      </c>
      <c r="G25" t="s">
        <v>178</v>
      </c>
      <c r="H25" t="s">
        <v>42</v>
      </c>
      <c r="I25" t="s">
        <v>179</v>
      </c>
      <c r="J25" t="s">
        <v>117</v>
      </c>
      <c r="L25" t="s">
        <v>46</v>
      </c>
      <c r="M25">
        <v>6</v>
      </c>
      <c r="N25" t="s">
        <v>47</v>
      </c>
      <c r="O25">
        <v>5</v>
      </c>
      <c r="P25" t="s">
        <v>48</v>
      </c>
      <c r="Q25" t="s">
        <v>180</v>
      </c>
      <c r="R25">
        <v>0</v>
      </c>
      <c r="S25">
        <v>125</v>
      </c>
      <c r="T25">
        <v>125</v>
      </c>
      <c r="U25" t="s">
        <v>6</v>
      </c>
    </row>
    <row r="26" spans="1:21" x14ac:dyDescent="0.25">
      <c r="A26" t="s">
        <v>7</v>
      </c>
      <c r="B26" t="s">
        <v>110</v>
      </c>
      <c r="C26" t="s">
        <v>111</v>
      </c>
      <c r="D26" t="s">
        <v>181</v>
      </c>
      <c r="E26" t="s">
        <v>182</v>
      </c>
      <c r="F26" t="s">
        <v>183</v>
      </c>
      <c r="G26" t="s">
        <v>184</v>
      </c>
      <c r="H26" t="s">
        <v>93</v>
      </c>
      <c r="I26" t="s">
        <v>179</v>
      </c>
      <c r="J26" t="s">
        <v>117</v>
      </c>
      <c r="L26" t="s">
        <v>95</v>
      </c>
      <c r="M26">
        <v>14</v>
      </c>
      <c r="N26" t="s">
        <v>47</v>
      </c>
      <c r="O26">
        <v>8</v>
      </c>
      <c r="P26" t="s">
        <v>48</v>
      </c>
      <c r="Q26" t="s">
        <v>180</v>
      </c>
      <c r="R26">
        <v>318.08</v>
      </c>
      <c r="S26">
        <v>0</v>
      </c>
      <c r="T26">
        <v>318.08</v>
      </c>
      <c r="U26" t="s">
        <v>6</v>
      </c>
    </row>
    <row r="27" spans="1:21" x14ac:dyDescent="0.25">
      <c r="A27" t="s">
        <v>7</v>
      </c>
      <c r="B27" t="s">
        <v>110</v>
      </c>
      <c r="C27" t="s">
        <v>111</v>
      </c>
      <c r="D27" t="s">
        <v>181</v>
      </c>
      <c r="E27" t="s">
        <v>182</v>
      </c>
      <c r="F27" t="s">
        <v>183</v>
      </c>
      <c r="G27" t="s">
        <v>184</v>
      </c>
      <c r="H27" t="s">
        <v>93</v>
      </c>
      <c r="I27" t="s">
        <v>179</v>
      </c>
      <c r="J27" t="s">
        <v>117</v>
      </c>
      <c r="L27" t="s">
        <v>95</v>
      </c>
      <c r="M27">
        <v>14</v>
      </c>
      <c r="N27" t="s">
        <v>47</v>
      </c>
      <c r="O27">
        <v>8</v>
      </c>
      <c r="P27" t="s">
        <v>48</v>
      </c>
      <c r="Q27" t="s">
        <v>180</v>
      </c>
      <c r="R27">
        <v>0</v>
      </c>
      <c r="S27">
        <v>75</v>
      </c>
      <c r="T27">
        <v>75</v>
      </c>
      <c r="U27" t="s">
        <v>6</v>
      </c>
    </row>
    <row r="28" spans="1:21" x14ac:dyDescent="0.25">
      <c r="A28" t="s">
        <v>7</v>
      </c>
      <c r="B28" t="s">
        <v>110</v>
      </c>
      <c r="C28" t="s">
        <v>111</v>
      </c>
      <c r="D28" t="s">
        <v>181</v>
      </c>
      <c r="E28" t="s">
        <v>182</v>
      </c>
      <c r="F28" t="s">
        <v>183</v>
      </c>
      <c r="G28" t="s">
        <v>184</v>
      </c>
      <c r="H28" t="s">
        <v>93</v>
      </c>
      <c r="I28" t="s">
        <v>179</v>
      </c>
      <c r="J28" t="s">
        <v>117</v>
      </c>
      <c r="L28" t="s">
        <v>95</v>
      </c>
      <c r="M28">
        <v>14</v>
      </c>
      <c r="N28" t="s">
        <v>47</v>
      </c>
      <c r="O28">
        <v>8</v>
      </c>
      <c r="P28" t="s">
        <v>48</v>
      </c>
      <c r="Q28" t="s">
        <v>180</v>
      </c>
      <c r="R28">
        <v>0</v>
      </c>
      <c r="S28">
        <v>125</v>
      </c>
      <c r="T28">
        <v>125</v>
      </c>
      <c r="U28" t="s">
        <v>6</v>
      </c>
    </row>
    <row r="29" spans="1:21" x14ac:dyDescent="0.25">
      <c r="A29" t="s">
        <v>7</v>
      </c>
      <c r="B29" t="s">
        <v>110</v>
      </c>
      <c r="C29" t="s">
        <v>111</v>
      </c>
      <c r="D29" t="s">
        <v>185</v>
      </c>
      <c r="E29" t="s">
        <v>186</v>
      </c>
      <c r="F29" t="s">
        <v>187</v>
      </c>
      <c r="G29" t="s">
        <v>188</v>
      </c>
      <c r="H29" t="s">
        <v>42</v>
      </c>
      <c r="I29" t="s">
        <v>189</v>
      </c>
      <c r="J29" t="s">
        <v>117</v>
      </c>
      <c r="L29" t="s">
        <v>46</v>
      </c>
      <c r="M29">
        <v>3</v>
      </c>
      <c r="N29" t="s">
        <v>47</v>
      </c>
      <c r="O29">
        <v>7</v>
      </c>
      <c r="P29" t="s">
        <v>48</v>
      </c>
      <c r="Q29" t="s">
        <v>180</v>
      </c>
      <c r="R29">
        <v>318.08</v>
      </c>
      <c r="S29">
        <v>0</v>
      </c>
      <c r="T29">
        <v>318.08</v>
      </c>
      <c r="U29" t="s">
        <v>6</v>
      </c>
    </row>
    <row r="30" spans="1:21" x14ac:dyDescent="0.25">
      <c r="A30" t="s">
        <v>7</v>
      </c>
      <c r="B30" t="s">
        <v>110</v>
      </c>
      <c r="C30" t="s">
        <v>111</v>
      </c>
      <c r="D30" t="s">
        <v>185</v>
      </c>
      <c r="E30" t="s">
        <v>186</v>
      </c>
      <c r="F30" t="s">
        <v>187</v>
      </c>
      <c r="G30" t="s">
        <v>188</v>
      </c>
      <c r="H30" t="s">
        <v>42</v>
      </c>
      <c r="I30" t="s">
        <v>189</v>
      </c>
      <c r="J30" t="s">
        <v>117</v>
      </c>
      <c r="L30" t="s">
        <v>46</v>
      </c>
      <c r="M30">
        <v>3</v>
      </c>
      <c r="N30" t="s">
        <v>47</v>
      </c>
      <c r="O30">
        <v>7</v>
      </c>
      <c r="P30" t="s">
        <v>48</v>
      </c>
      <c r="Q30" t="s">
        <v>180</v>
      </c>
      <c r="R30">
        <v>0</v>
      </c>
      <c r="S30">
        <v>75</v>
      </c>
      <c r="T30">
        <v>75</v>
      </c>
      <c r="U30" t="s">
        <v>6</v>
      </c>
    </row>
    <row r="31" spans="1:21" x14ac:dyDescent="0.25">
      <c r="A31" t="s">
        <v>7</v>
      </c>
      <c r="B31" t="s">
        <v>110</v>
      </c>
      <c r="C31" t="s">
        <v>111</v>
      </c>
      <c r="D31" t="s">
        <v>185</v>
      </c>
      <c r="E31" t="s">
        <v>186</v>
      </c>
      <c r="F31" t="s">
        <v>187</v>
      </c>
      <c r="G31" t="s">
        <v>188</v>
      </c>
      <c r="H31" t="s">
        <v>42</v>
      </c>
      <c r="I31" t="s">
        <v>189</v>
      </c>
      <c r="J31" t="s">
        <v>117</v>
      </c>
      <c r="L31" t="s">
        <v>46</v>
      </c>
      <c r="M31">
        <v>3</v>
      </c>
      <c r="N31" t="s">
        <v>47</v>
      </c>
      <c r="O31">
        <v>7</v>
      </c>
      <c r="P31" t="s">
        <v>48</v>
      </c>
      <c r="Q31" t="s">
        <v>180</v>
      </c>
      <c r="R31">
        <v>0</v>
      </c>
      <c r="S31">
        <v>125</v>
      </c>
      <c r="T31">
        <v>125</v>
      </c>
      <c r="U31" t="s">
        <v>6</v>
      </c>
    </row>
    <row r="32" spans="1:21" x14ac:dyDescent="0.25">
      <c r="A32" t="s">
        <v>7</v>
      </c>
      <c r="B32" t="s">
        <v>110</v>
      </c>
      <c r="C32" t="s">
        <v>111</v>
      </c>
      <c r="D32" t="s">
        <v>190</v>
      </c>
      <c r="E32" t="s">
        <v>191</v>
      </c>
      <c r="F32" t="s">
        <v>192</v>
      </c>
      <c r="G32" t="s">
        <v>188</v>
      </c>
      <c r="H32" t="s">
        <v>42</v>
      </c>
      <c r="I32" t="s">
        <v>189</v>
      </c>
      <c r="J32" t="s">
        <v>117</v>
      </c>
      <c r="L32" t="s">
        <v>46</v>
      </c>
      <c r="M32">
        <v>3</v>
      </c>
      <c r="N32" t="s">
        <v>47</v>
      </c>
      <c r="O32">
        <v>10</v>
      </c>
      <c r="P32" t="s">
        <v>48</v>
      </c>
      <c r="Q32" t="s">
        <v>180</v>
      </c>
      <c r="R32">
        <v>0</v>
      </c>
      <c r="S32">
        <v>75</v>
      </c>
      <c r="T32">
        <v>75</v>
      </c>
      <c r="U32" t="s">
        <v>6</v>
      </c>
    </row>
    <row r="33" spans="1:21" x14ac:dyDescent="0.25">
      <c r="A33" t="s">
        <v>7</v>
      </c>
      <c r="B33" t="s">
        <v>110</v>
      </c>
      <c r="C33" t="s">
        <v>111</v>
      </c>
      <c r="D33" t="s">
        <v>190</v>
      </c>
      <c r="E33" t="s">
        <v>191</v>
      </c>
      <c r="F33" t="s">
        <v>192</v>
      </c>
      <c r="G33" t="s">
        <v>188</v>
      </c>
      <c r="H33" t="s">
        <v>42</v>
      </c>
      <c r="I33" t="s">
        <v>189</v>
      </c>
      <c r="J33" t="s">
        <v>117</v>
      </c>
      <c r="L33" t="s">
        <v>46</v>
      </c>
      <c r="M33">
        <v>3</v>
      </c>
      <c r="N33" t="s">
        <v>47</v>
      </c>
      <c r="O33">
        <v>10</v>
      </c>
      <c r="P33" t="s">
        <v>48</v>
      </c>
      <c r="Q33" t="s">
        <v>180</v>
      </c>
      <c r="R33">
        <v>0</v>
      </c>
      <c r="S33">
        <v>125</v>
      </c>
      <c r="T33">
        <v>125</v>
      </c>
      <c r="U33" t="s">
        <v>6</v>
      </c>
    </row>
    <row r="34" spans="1:21" x14ac:dyDescent="0.25">
      <c r="A34" t="s">
        <v>7</v>
      </c>
      <c r="B34" t="s">
        <v>110</v>
      </c>
      <c r="C34" t="s">
        <v>111</v>
      </c>
      <c r="D34" t="s">
        <v>190</v>
      </c>
      <c r="E34" t="s">
        <v>191</v>
      </c>
      <c r="F34" t="s">
        <v>192</v>
      </c>
      <c r="G34" t="s">
        <v>188</v>
      </c>
      <c r="H34" t="s">
        <v>42</v>
      </c>
      <c r="I34" t="s">
        <v>189</v>
      </c>
      <c r="J34" t="s">
        <v>117</v>
      </c>
      <c r="L34" t="s">
        <v>46</v>
      </c>
      <c r="M34">
        <v>3</v>
      </c>
      <c r="N34" t="s">
        <v>47</v>
      </c>
      <c r="O34">
        <v>10</v>
      </c>
      <c r="P34" t="s">
        <v>48</v>
      </c>
      <c r="Q34" t="s">
        <v>180</v>
      </c>
      <c r="R34">
        <v>318.08</v>
      </c>
      <c r="S34">
        <v>0</v>
      </c>
      <c r="T34">
        <v>318.08</v>
      </c>
      <c r="U34" t="s">
        <v>6</v>
      </c>
    </row>
    <row r="35" spans="1:21" x14ac:dyDescent="0.25">
      <c r="A35" t="s">
        <v>7</v>
      </c>
      <c r="B35" t="s">
        <v>193</v>
      </c>
      <c r="C35" t="s">
        <v>194</v>
      </c>
      <c r="D35" t="s">
        <v>195</v>
      </c>
      <c r="E35" t="s">
        <v>196</v>
      </c>
      <c r="F35" t="s">
        <v>86</v>
      </c>
      <c r="G35" t="s">
        <v>197</v>
      </c>
      <c r="H35" t="s">
        <v>63</v>
      </c>
      <c r="I35" t="s">
        <v>198</v>
      </c>
      <c r="J35" t="s">
        <v>117</v>
      </c>
      <c r="L35" t="s">
        <v>65</v>
      </c>
      <c r="M35">
        <v>3</v>
      </c>
      <c r="N35" t="s">
        <v>47</v>
      </c>
      <c r="O35">
        <v>3</v>
      </c>
      <c r="P35" t="s">
        <v>48</v>
      </c>
      <c r="Q35" t="s">
        <v>180</v>
      </c>
      <c r="R35">
        <v>0</v>
      </c>
      <c r="S35">
        <v>75</v>
      </c>
      <c r="T35">
        <v>75</v>
      </c>
      <c r="U35" t="s">
        <v>6</v>
      </c>
    </row>
    <row r="36" spans="1:21" x14ac:dyDescent="0.25">
      <c r="A36" t="s">
        <v>7</v>
      </c>
      <c r="B36" t="s">
        <v>193</v>
      </c>
      <c r="C36" t="s">
        <v>194</v>
      </c>
      <c r="D36" t="s">
        <v>195</v>
      </c>
      <c r="E36" t="s">
        <v>196</v>
      </c>
      <c r="F36" t="s">
        <v>86</v>
      </c>
      <c r="G36" t="s">
        <v>197</v>
      </c>
      <c r="H36" t="s">
        <v>63</v>
      </c>
      <c r="I36" t="s">
        <v>198</v>
      </c>
      <c r="J36" t="s">
        <v>117</v>
      </c>
      <c r="L36" t="s">
        <v>65</v>
      </c>
      <c r="M36">
        <v>3</v>
      </c>
      <c r="N36" t="s">
        <v>47</v>
      </c>
      <c r="O36">
        <v>3</v>
      </c>
      <c r="P36" t="s">
        <v>48</v>
      </c>
      <c r="Q36" t="s">
        <v>180</v>
      </c>
      <c r="R36">
        <v>0</v>
      </c>
      <c r="S36">
        <v>125</v>
      </c>
      <c r="T36">
        <v>125</v>
      </c>
      <c r="U36" t="s">
        <v>6</v>
      </c>
    </row>
    <row r="37" spans="1:21" x14ac:dyDescent="0.25">
      <c r="A37" t="s">
        <v>7</v>
      </c>
      <c r="B37" t="s">
        <v>193</v>
      </c>
      <c r="C37" t="s">
        <v>194</v>
      </c>
      <c r="D37" t="s">
        <v>195</v>
      </c>
      <c r="E37" t="s">
        <v>196</v>
      </c>
      <c r="F37" t="s">
        <v>86</v>
      </c>
      <c r="G37" t="s">
        <v>197</v>
      </c>
      <c r="H37" t="s">
        <v>63</v>
      </c>
      <c r="I37" t="s">
        <v>198</v>
      </c>
      <c r="J37" t="s">
        <v>117</v>
      </c>
      <c r="L37" t="s">
        <v>65</v>
      </c>
      <c r="M37">
        <v>3</v>
      </c>
      <c r="N37" t="s">
        <v>47</v>
      </c>
      <c r="O37">
        <v>3</v>
      </c>
      <c r="P37" t="s">
        <v>48</v>
      </c>
      <c r="Q37" t="s">
        <v>180</v>
      </c>
      <c r="R37">
        <v>318.08</v>
      </c>
      <c r="S37">
        <v>0</v>
      </c>
      <c r="T37">
        <v>318.08</v>
      </c>
      <c r="U37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CED3-B057-48B3-8A32-2CA75DD1313D}">
  <dimension ref="A1:X53"/>
  <sheetViews>
    <sheetView tabSelected="1" workbookViewId="0">
      <selection activeCell="R2" sqref="R2:R34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7" max="8" width="12.7109375" customWidth="1"/>
    <col min="9" max="9" width="13.7109375" customWidth="1"/>
    <col min="10" max="10" width="13.42578125" customWidth="1"/>
    <col min="11" max="11" width="14.28515625" customWidth="1"/>
    <col min="12" max="12" width="16.7109375" customWidth="1"/>
    <col min="13" max="13" width="6.7109375" customWidth="1"/>
    <col min="14" max="14" width="12.85546875" customWidth="1"/>
    <col min="15" max="15" width="14.5703125" customWidth="1"/>
    <col min="16" max="16" width="14" customWidth="1"/>
    <col min="17" max="17" width="26.7109375" bestFit="1" customWidth="1"/>
  </cols>
  <sheetData>
    <row r="1" spans="1:18" x14ac:dyDescent="0.25">
      <c r="A1" t="s">
        <v>15</v>
      </c>
      <c r="B1" t="s">
        <v>16</v>
      </c>
      <c r="C1" t="s">
        <v>17</v>
      </c>
      <c r="E1" t="s">
        <v>18</v>
      </c>
      <c r="F1" t="s">
        <v>19</v>
      </c>
      <c r="G1" t="s">
        <v>20</v>
      </c>
      <c r="I1" t="s">
        <v>21</v>
      </c>
      <c r="J1" t="s">
        <v>23</v>
      </c>
      <c r="K1" t="s">
        <v>27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 spans="1:18" x14ac:dyDescent="0.25">
      <c r="A2">
        <v>8325282</v>
      </c>
      <c r="B2" t="s">
        <v>67</v>
      </c>
      <c r="C2" t="s">
        <v>68</v>
      </c>
      <c r="D2" t="str">
        <f>CONCATENATE(C2,9)</f>
        <v>D99E5R9</v>
      </c>
      <c r="E2" t="s">
        <v>69</v>
      </c>
      <c r="F2" t="s">
        <v>70</v>
      </c>
      <c r="G2" t="s">
        <v>71</v>
      </c>
      <c r="H2" t="str">
        <f>CONCATENATE(F2," ",G2)</f>
        <v>NICK MIROBALLI</v>
      </c>
      <c r="I2" t="s">
        <v>42</v>
      </c>
      <c r="J2" t="s">
        <v>44</v>
      </c>
      <c r="K2" t="s">
        <v>74</v>
      </c>
      <c r="L2" t="s">
        <v>75</v>
      </c>
      <c r="M2" t="s">
        <v>49</v>
      </c>
      <c r="N2">
        <v>-694</v>
      </c>
      <c r="O2">
        <v>-200</v>
      </c>
      <c r="P2">
        <v>-694</v>
      </c>
      <c r="Q2" t="s">
        <v>201</v>
      </c>
      <c r="R2" t="s">
        <v>206</v>
      </c>
    </row>
    <row r="3" spans="1:18" x14ac:dyDescent="0.25">
      <c r="A3">
        <v>16228684</v>
      </c>
      <c r="B3" t="s">
        <v>77</v>
      </c>
      <c r="C3" t="s">
        <v>78</v>
      </c>
      <c r="D3" t="str">
        <f t="shared" ref="D3:D13" si="0">CONCATENATE(C3,9)</f>
        <v>D4GFGE9</v>
      </c>
      <c r="E3" t="s">
        <v>79</v>
      </c>
      <c r="F3" t="s">
        <v>80</v>
      </c>
      <c r="G3" t="s">
        <v>81</v>
      </c>
      <c r="H3" t="str">
        <f t="shared" ref="H3:H53" si="1">CONCATENATE(F3," ",G3)</f>
        <v>JOHN POULOS</v>
      </c>
      <c r="I3" t="s">
        <v>42</v>
      </c>
      <c r="J3" t="s">
        <v>44</v>
      </c>
      <c r="K3" t="s">
        <v>83</v>
      </c>
      <c r="L3" t="s">
        <v>75</v>
      </c>
      <c r="M3" t="s">
        <v>49</v>
      </c>
      <c r="N3">
        <v>-694</v>
      </c>
      <c r="O3">
        <v>-200</v>
      </c>
      <c r="P3">
        <v>-694</v>
      </c>
      <c r="Q3" t="s">
        <v>201</v>
      </c>
      <c r="R3" t="s">
        <v>206</v>
      </c>
    </row>
    <row r="4" spans="1:18" x14ac:dyDescent="0.25">
      <c r="A4">
        <v>16228684</v>
      </c>
      <c r="B4" t="s">
        <v>77</v>
      </c>
      <c r="C4" t="s">
        <v>84</v>
      </c>
      <c r="D4" t="str">
        <f t="shared" si="0"/>
        <v>DG3UWY9</v>
      </c>
      <c r="E4" t="s">
        <v>85</v>
      </c>
      <c r="F4" t="s">
        <v>86</v>
      </c>
      <c r="G4" t="s">
        <v>81</v>
      </c>
      <c r="H4" t="str">
        <f t="shared" si="1"/>
        <v>MARY POULOS</v>
      </c>
      <c r="I4" t="s">
        <v>42</v>
      </c>
      <c r="J4" t="s">
        <v>44</v>
      </c>
      <c r="K4" t="s">
        <v>83</v>
      </c>
      <c r="L4" t="s">
        <v>75</v>
      </c>
      <c r="M4" t="s">
        <v>49</v>
      </c>
      <c r="N4">
        <v>-694</v>
      </c>
      <c r="O4">
        <v>-200</v>
      </c>
      <c r="P4">
        <v>-694</v>
      </c>
      <c r="Q4" t="s">
        <v>201</v>
      </c>
      <c r="R4" t="s">
        <v>206</v>
      </c>
    </row>
    <row r="5" spans="1:18" x14ac:dyDescent="0.25">
      <c r="A5">
        <v>9213293</v>
      </c>
      <c r="B5" t="s">
        <v>111</v>
      </c>
      <c r="C5" t="s">
        <v>112</v>
      </c>
      <c r="D5" t="str">
        <f t="shared" si="0"/>
        <v>DZFFRG9</v>
      </c>
      <c r="E5" t="s">
        <v>113</v>
      </c>
      <c r="F5" t="s">
        <v>114</v>
      </c>
      <c r="G5" t="s">
        <v>115</v>
      </c>
      <c r="H5" t="str">
        <f t="shared" si="1"/>
        <v>LINDA MASON</v>
      </c>
      <c r="I5" t="s">
        <v>42</v>
      </c>
      <c r="J5" t="s">
        <v>117</v>
      </c>
      <c r="K5" t="s">
        <v>74</v>
      </c>
      <c r="L5" t="s">
        <v>75</v>
      </c>
      <c r="M5" t="s">
        <v>49</v>
      </c>
      <c r="N5">
        <v>375.92</v>
      </c>
      <c r="O5">
        <v>0</v>
      </c>
      <c r="P5">
        <v>694</v>
      </c>
      <c r="Q5" t="s">
        <v>201</v>
      </c>
      <c r="R5" t="s">
        <v>206</v>
      </c>
    </row>
    <row r="6" spans="1:18" x14ac:dyDescent="0.25">
      <c r="A6">
        <v>21436172</v>
      </c>
      <c r="B6" t="s">
        <v>125</v>
      </c>
      <c r="C6" t="s">
        <v>126</v>
      </c>
      <c r="D6" t="str">
        <f t="shared" si="0"/>
        <v>D2C5GR9</v>
      </c>
      <c r="E6" t="s">
        <v>127</v>
      </c>
      <c r="F6" t="s">
        <v>128</v>
      </c>
      <c r="G6" t="s">
        <v>129</v>
      </c>
      <c r="H6" t="str">
        <f t="shared" si="1"/>
        <v>JAMES PATTERSON JR</v>
      </c>
      <c r="I6" t="s">
        <v>130</v>
      </c>
      <c r="J6" t="s">
        <v>117</v>
      </c>
      <c r="K6" t="s">
        <v>83</v>
      </c>
      <c r="L6" t="s">
        <v>75</v>
      </c>
      <c r="M6" t="s">
        <v>49</v>
      </c>
      <c r="N6">
        <v>375.92</v>
      </c>
      <c r="O6">
        <v>0</v>
      </c>
      <c r="P6">
        <v>694</v>
      </c>
      <c r="Q6" t="s">
        <v>201</v>
      </c>
      <c r="R6" t="s">
        <v>206</v>
      </c>
    </row>
    <row r="7" spans="1:18" x14ac:dyDescent="0.25">
      <c r="A7">
        <v>2158366</v>
      </c>
      <c r="B7" t="s">
        <v>134</v>
      </c>
      <c r="C7" t="s">
        <v>135</v>
      </c>
      <c r="D7" t="str">
        <f t="shared" si="0"/>
        <v>DK8YK89</v>
      </c>
      <c r="E7" t="s">
        <v>136</v>
      </c>
      <c r="F7" t="s">
        <v>137</v>
      </c>
      <c r="G7" t="s">
        <v>138</v>
      </c>
      <c r="H7" t="str">
        <f t="shared" si="1"/>
        <v>JULIE WAGNER PICKENS</v>
      </c>
      <c r="I7" t="s">
        <v>42</v>
      </c>
      <c r="J7" t="s">
        <v>117</v>
      </c>
      <c r="K7" t="s">
        <v>83</v>
      </c>
      <c r="L7" t="s">
        <v>75</v>
      </c>
      <c r="M7" t="s">
        <v>49</v>
      </c>
      <c r="N7">
        <v>375.92</v>
      </c>
      <c r="O7">
        <v>0</v>
      </c>
      <c r="P7">
        <v>694</v>
      </c>
      <c r="Q7" t="s">
        <v>201</v>
      </c>
      <c r="R7" t="s">
        <v>206</v>
      </c>
    </row>
    <row r="8" spans="1:18" x14ac:dyDescent="0.25">
      <c r="A8">
        <v>17301495</v>
      </c>
      <c r="B8" t="s">
        <v>147</v>
      </c>
      <c r="C8" t="s">
        <v>148</v>
      </c>
      <c r="D8" t="str">
        <f t="shared" si="0"/>
        <v>DF9HK99</v>
      </c>
      <c r="E8" t="s">
        <v>149</v>
      </c>
      <c r="F8" t="s">
        <v>150</v>
      </c>
      <c r="G8" t="s">
        <v>151</v>
      </c>
      <c r="H8" t="str">
        <f t="shared" si="1"/>
        <v>GERASSIMOS FERENTINOS</v>
      </c>
      <c r="I8" t="s">
        <v>42</v>
      </c>
      <c r="J8" t="s">
        <v>117</v>
      </c>
      <c r="K8" t="s">
        <v>74</v>
      </c>
      <c r="L8" t="s">
        <v>75</v>
      </c>
      <c r="M8" t="s">
        <v>49</v>
      </c>
      <c r="N8">
        <v>375.92</v>
      </c>
      <c r="O8">
        <v>0</v>
      </c>
      <c r="P8">
        <v>694</v>
      </c>
      <c r="Q8" t="s">
        <v>201</v>
      </c>
      <c r="R8" t="s">
        <v>206</v>
      </c>
    </row>
    <row r="9" spans="1:18" x14ac:dyDescent="0.25">
      <c r="A9">
        <v>2158366</v>
      </c>
      <c r="B9" t="s">
        <v>134</v>
      </c>
      <c r="C9" t="s">
        <v>159</v>
      </c>
      <c r="D9" t="str">
        <f t="shared" si="0"/>
        <v>DJAWK39</v>
      </c>
      <c r="E9" t="s">
        <v>160</v>
      </c>
      <c r="F9" t="s">
        <v>161</v>
      </c>
      <c r="G9" t="s">
        <v>162</v>
      </c>
      <c r="H9" t="str">
        <f t="shared" si="1"/>
        <v>THOMAS PICKENS</v>
      </c>
      <c r="I9" t="s">
        <v>42</v>
      </c>
      <c r="J9" t="s">
        <v>117</v>
      </c>
      <c r="K9" t="s">
        <v>83</v>
      </c>
      <c r="L9" t="s">
        <v>75</v>
      </c>
      <c r="M9" t="s">
        <v>49</v>
      </c>
      <c r="N9">
        <v>375.92</v>
      </c>
      <c r="O9">
        <v>0</v>
      </c>
      <c r="P9">
        <v>694</v>
      </c>
      <c r="Q9" t="s">
        <v>201</v>
      </c>
      <c r="R9" t="s">
        <v>206</v>
      </c>
    </row>
    <row r="10" spans="1:18" x14ac:dyDescent="0.25">
      <c r="A10">
        <v>17301495</v>
      </c>
      <c r="B10" t="s">
        <v>147</v>
      </c>
      <c r="C10" t="s">
        <v>169</v>
      </c>
      <c r="D10" t="str">
        <f t="shared" si="0"/>
        <v>DUR8WZ9</v>
      </c>
      <c r="E10" t="s">
        <v>170</v>
      </c>
      <c r="F10" t="s">
        <v>171</v>
      </c>
      <c r="G10" t="s">
        <v>172</v>
      </c>
      <c r="H10" t="str">
        <f t="shared" si="1"/>
        <v>LOUIS VASILOPOULOS</v>
      </c>
      <c r="I10" t="s">
        <v>42</v>
      </c>
      <c r="J10" t="s">
        <v>117</v>
      </c>
      <c r="K10" t="s">
        <v>74</v>
      </c>
      <c r="L10" t="s">
        <v>75</v>
      </c>
      <c r="M10" t="s">
        <v>49</v>
      </c>
      <c r="N10">
        <v>375.92</v>
      </c>
      <c r="O10">
        <v>0</v>
      </c>
      <c r="P10">
        <v>694</v>
      </c>
      <c r="Q10" t="s">
        <v>201</v>
      </c>
      <c r="R10" t="s">
        <v>206</v>
      </c>
    </row>
    <row r="11" spans="1:18" x14ac:dyDescent="0.25">
      <c r="A11">
        <v>16849453</v>
      </c>
      <c r="B11" t="s">
        <v>88</v>
      </c>
      <c r="C11" t="s">
        <v>118</v>
      </c>
      <c r="D11" t="str">
        <f t="shared" si="0"/>
        <v>DGA9489</v>
      </c>
      <c r="E11" t="s">
        <v>119</v>
      </c>
      <c r="F11" t="s">
        <v>120</v>
      </c>
      <c r="G11" t="s">
        <v>121</v>
      </c>
      <c r="H11" t="str">
        <f t="shared" si="1"/>
        <v>LESA NEEMAN</v>
      </c>
      <c r="I11" t="s">
        <v>93</v>
      </c>
      <c r="J11" t="s">
        <v>123</v>
      </c>
      <c r="K11" t="s">
        <v>83</v>
      </c>
      <c r="L11" t="s">
        <v>75</v>
      </c>
      <c r="M11" t="s">
        <v>49</v>
      </c>
      <c r="N11">
        <v>404.84</v>
      </c>
      <c r="O11">
        <v>0</v>
      </c>
      <c r="P11">
        <v>694</v>
      </c>
      <c r="Q11" t="s">
        <v>201</v>
      </c>
      <c r="R11" t="s">
        <v>206</v>
      </c>
    </row>
    <row r="12" spans="1:18" x14ac:dyDescent="0.25">
      <c r="A12">
        <v>19491313</v>
      </c>
      <c r="B12" t="s">
        <v>58</v>
      </c>
      <c r="C12" t="s">
        <v>164</v>
      </c>
      <c r="D12" t="str">
        <f t="shared" si="0"/>
        <v>D3S7SZ9</v>
      </c>
      <c r="E12" t="s">
        <v>165</v>
      </c>
      <c r="F12" t="s">
        <v>166</v>
      </c>
      <c r="G12" t="s">
        <v>167</v>
      </c>
      <c r="H12" t="str">
        <f t="shared" si="1"/>
        <v>ROBERT SWENSON</v>
      </c>
      <c r="I12" t="s">
        <v>63</v>
      </c>
      <c r="J12" t="s">
        <v>123</v>
      </c>
      <c r="K12" t="s">
        <v>83</v>
      </c>
      <c r="L12" t="s">
        <v>75</v>
      </c>
      <c r="M12" t="s">
        <v>49</v>
      </c>
      <c r="N12">
        <v>404.84</v>
      </c>
      <c r="O12">
        <v>0</v>
      </c>
      <c r="P12">
        <v>694</v>
      </c>
      <c r="Q12" t="s">
        <v>201</v>
      </c>
      <c r="R12" t="s">
        <v>206</v>
      </c>
    </row>
    <row r="13" spans="1:18" x14ac:dyDescent="0.25">
      <c r="A13">
        <v>16849453</v>
      </c>
      <c r="B13" t="s">
        <v>88</v>
      </c>
      <c r="C13" t="s">
        <v>140</v>
      </c>
      <c r="D13" t="str">
        <f t="shared" si="0"/>
        <v>DGRRHK9</v>
      </c>
      <c r="E13" t="s">
        <v>141</v>
      </c>
      <c r="F13" t="s">
        <v>142</v>
      </c>
      <c r="G13" t="s">
        <v>143</v>
      </c>
      <c r="H13" t="str">
        <f t="shared" si="1"/>
        <v>SONDA BLACKBURN</v>
      </c>
      <c r="I13" t="s">
        <v>93</v>
      </c>
      <c r="J13" t="s">
        <v>145</v>
      </c>
      <c r="K13" t="s">
        <v>83</v>
      </c>
      <c r="L13" t="s">
        <v>75</v>
      </c>
      <c r="M13" t="s">
        <v>49</v>
      </c>
      <c r="N13">
        <v>433.75</v>
      </c>
      <c r="O13">
        <v>0</v>
      </c>
      <c r="P13">
        <v>694</v>
      </c>
      <c r="Q13" t="s">
        <v>201</v>
      </c>
      <c r="R13" t="s">
        <v>206</v>
      </c>
    </row>
    <row r="14" spans="1:18" x14ac:dyDescent="0.25">
      <c r="A14">
        <v>16633294</v>
      </c>
      <c r="B14" t="s">
        <v>37</v>
      </c>
      <c r="C14" t="s">
        <v>38</v>
      </c>
      <c r="D14" t="str">
        <f>CONCATENATE(C14,7)</f>
        <v>DC84JY7</v>
      </c>
      <c r="E14" t="s">
        <v>39</v>
      </c>
      <c r="F14" t="s">
        <v>40</v>
      </c>
      <c r="G14" t="s">
        <v>41</v>
      </c>
      <c r="H14" t="str">
        <f t="shared" si="1"/>
        <v>SUSAN COHEN</v>
      </c>
      <c r="I14" t="s">
        <v>42</v>
      </c>
      <c r="J14" t="s">
        <v>44</v>
      </c>
      <c r="K14" t="s">
        <v>47</v>
      </c>
      <c r="L14" t="s">
        <v>48</v>
      </c>
      <c r="M14" t="s">
        <v>49</v>
      </c>
      <c r="N14">
        <v>-347</v>
      </c>
      <c r="O14">
        <v>-200</v>
      </c>
      <c r="P14">
        <v>-347</v>
      </c>
      <c r="Q14" t="s">
        <v>200</v>
      </c>
      <c r="R14" t="s">
        <v>203</v>
      </c>
    </row>
    <row r="15" spans="1:18" x14ac:dyDescent="0.25">
      <c r="A15">
        <v>7152559</v>
      </c>
      <c r="B15" t="s">
        <v>51</v>
      </c>
      <c r="C15" t="s">
        <v>52</v>
      </c>
      <c r="D15" t="str">
        <f t="shared" ref="D15:D34" si="2">CONCATENATE(C15,7)</f>
        <v>DWEZYE7</v>
      </c>
      <c r="E15" t="s">
        <v>53</v>
      </c>
      <c r="F15" t="s">
        <v>54</v>
      </c>
      <c r="G15" t="s">
        <v>55</v>
      </c>
      <c r="H15" t="str">
        <f t="shared" si="1"/>
        <v>JEANETTE JEFFRIES</v>
      </c>
      <c r="I15" t="s">
        <v>42</v>
      </c>
      <c r="J15" t="s">
        <v>44</v>
      </c>
      <c r="K15" t="s">
        <v>47</v>
      </c>
      <c r="L15" t="s">
        <v>48</v>
      </c>
      <c r="M15" t="s">
        <v>49</v>
      </c>
      <c r="N15">
        <v>-347</v>
      </c>
      <c r="O15">
        <v>-200</v>
      </c>
      <c r="P15">
        <v>-347</v>
      </c>
      <c r="Q15" t="s">
        <v>200</v>
      </c>
      <c r="R15" t="s">
        <v>203</v>
      </c>
    </row>
    <row r="16" spans="1:18" x14ac:dyDescent="0.25">
      <c r="A16">
        <v>19491313</v>
      </c>
      <c r="B16" t="s">
        <v>58</v>
      </c>
      <c r="C16" t="s">
        <v>59</v>
      </c>
      <c r="D16" t="str">
        <f t="shared" si="2"/>
        <v>DHHCG57</v>
      </c>
      <c r="E16" t="s">
        <v>60</v>
      </c>
      <c r="F16" t="s">
        <v>61</v>
      </c>
      <c r="G16" t="s">
        <v>62</v>
      </c>
      <c r="H16" t="str">
        <f t="shared" si="1"/>
        <v>MARTHA LINNABARY</v>
      </c>
      <c r="I16" t="s">
        <v>63</v>
      </c>
      <c r="J16" t="s">
        <v>44</v>
      </c>
      <c r="K16" t="s">
        <v>47</v>
      </c>
      <c r="L16" t="s">
        <v>48</v>
      </c>
      <c r="M16" t="s">
        <v>49</v>
      </c>
      <c r="N16">
        <v>-347</v>
      </c>
      <c r="O16">
        <v>-200</v>
      </c>
      <c r="P16">
        <v>-347</v>
      </c>
      <c r="Q16" t="s">
        <v>200</v>
      </c>
      <c r="R16" t="s">
        <v>203</v>
      </c>
    </row>
    <row r="17" spans="1:24" x14ac:dyDescent="0.25">
      <c r="A17">
        <v>17094718</v>
      </c>
      <c r="B17" t="s">
        <v>102</v>
      </c>
      <c r="C17" t="s">
        <v>103</v>
      </c>
      <c r="D17" t="str">
        <f t="shared" si="2"/>
        <v>DFJEZZ7</v>
      </c>
      <c r="E17" t="s">
        <v>104</v>
      </c>
      <c r="F17" t="s">
        <v>105</v>
      </c>
      <c r="G17" t="s">
        <v>106</v>
      </c>
      <c r="H17" t="str">
        <f t="shared" si="1"/>
        <v>CONNIE WILLIAMS</v>
      </c>
      <c r="I17" t="s">
        <v>107</v>
      </c>
      <c r="J17" t="s">
        <v>44</v>
      </c>
      <c r="K17" t="s">
        <v>47</v>
      </c>
      <c r="L17" t="s">
        <v>48</v>
      </c>
      <c r="M17" t="s">
        <v>49</v>
      </c>
      <c r="N17">
        <v>-347</v>
      </c>
      <c r="O17">
        <v>-200</v>
      </c>
      <c r="P17">
        <v>-347</v>
      </c>
      <c r="Q17" t="s">
        <v>200</v>
      </c>
      <c r="R17" t="s">
        <v>203</v>
      </c>
    </row>
    <row r="18" spans="1:24" x14ac:dyDescent="0.25">
      <c r="A18">
        <v>18754354</v>
      </c>
      <c r="B18" t="s">
        <v>154</v>
      </c>
      <c r="C18" t="s">
        <v>155</v>
      </c>
      <c r="D18" t="str">
        <f t="shared" si="2"/>
        <v>D435537</v>
      </c>
      <c r="E18" t="s">
        <v>156</v>
      </c>
      <c r="F18" t="s">
        <v>157</v>
      </c>
      <c r="G18" t="s">
        <v>158</v>
      </c>
      <c r="H18" t="str">
        <f t="shared" si="1"/>
        <v>CATHERINE HORTON</v>
      </c>
      <c r="I18" t="s">
        <v>107</v>
      </c>
      <c r="J18" t="s">
        <v>117</v>
      </c>
      <c r="L18" t="s">
        <v>48</v>
      </c>
      <c r="M18" t="s">
        <v>49</v>
      </c>
      <c r="N18">
        <v>-318.08</v>
      </c>
      <c r="O18">
        <v>0</v>
      </c>
      <c r="P18">
        <v>-318.08</v>
      </c>
      <c r="Q18" t="s">
        <v>200</v>
      </c>
      <c r="R18" s="4" t="s">
        <v>202</v>
      </c>
    </row>
    <row r="19" spans="1:24" x14ac:dyDescent="0.25">
      <c r="A19">
        <v>21283956</v>
      </c>
      <c r="B19" t="s">
        <v>174</v>
      </c>
      <c r="C19" t="s">
        <v>175</v>
      </c>
      <c r="D19" t="str">
        <f t="shared" si="2"/>
        <v>D9WY647</v>
      </c>
      <c r="E19" t="s">
        <v>176</v>
      </c>
      <c r="F19" t="s">
        <v>177</v>
      </c>
      <c r="G19" t="s">
        <v>178</v>
      </c>
      <c r="H19" t="str">
        <f t="shared" si="1"/>
        <v>PATRICIA FAGOAGA</v>
      </c>
      <c r="I19" t="s">
        <v>42</v>
      </c>
      <c r="J19" t="s">
        <v>117</v>
      </c>
      <c r="K19" t="s">
        <v>47</v>
      </c>
      <c r="L19" t="s">
        <v>48</v>
      </c>
      <c r="M19" t="s">
        <v>180</v>
      </c>
      <c r="N19">
        <v>318.08</v>
      </c>
      <c r="O19">
        <v>0</v>
      </c>
      <c r="P19">
        <v>318.08</v>
      </c>
      <c r="Q19" t="s">
        <v>200</v>
      </c>
      <c r="R19" s="4" t="s">
        <v>202</v>
      </c>
    </row>
    <row r="20" spans="1:24" x14ac:dyDescent="0.25">
      <c r="A20">
        <v>9213293</v>
      </c>
      <c r="B20" t="s">
        <v>111</v>
      </c>
      <c r="C20" t="s">
        <v>181</v>
      </c>
      <c r="D20" t="str">
        <f t="shared" si="2"/>
        <v>D5524R7</v>
      </c>
      <c r="E20" t="s">
        <v>182</v>
      </c>
      <c r="F20" t="s">
        <v>183</v>
      </c>
      <c r="G20" t="s">
        <v>184</v>
      </c>
      <c r="H20" t="str">
        <f t="shared" si="1"/>
        <v>JOY LOWRY</v>
      </c>
      <c r="I20" t="s">
        <v>93</v>
      </c>
      <c r="J20" t="s">
        <v>117</v>
      </c>
      <c r="K20" t="s">
        <v>47</v>
      </c>
      <c r="L20" t="s">
        <v>48</v>
      </c>
      <c r="M20" t="s">
        <v>180</v>
      </c>
      <c r="N20">
        <v>318.08</v>
      </c>
      <c r="O20">
        <v>0</v>
      </c>
      <c r="P20">
        <v>318.08</v>
      </c>
      <c r="Q20" t="s">
        <v>200</v>
      </c>
      <c r="R20" s="4" t="s">
        <v>202</v>
      </c>
    </row>
    <row r="21" spans="1:24" x14ac:dyDescent="0.25">
      <c r="A21">
        <v>9213293</v>
      </c>
      <c r="B21" t="s">
        <v>111</v>
      </c>
      <c r="C21" t="s">
        <v>185</v>
      </c>
      <c r="D21" t="str">
        <f t="shared" si="2"/>
        <v>DCHJJ57</v>
      </c>
      <c r="E21" t="s">
        <v>186</v>
      </c>
      <c r="F21" t="s">
        <v>187</v>
      </c>
      <c r="G21" t="s">
        <v>188</v>
      </c>
      <c r="H21" t="str">
        <f t="shared" si="1"/>
        <v>LINH TRIEU</v>
      </c>
      <c r="I21" t="s">
        <v>42</v>
      </c>
      <c r="J21" t="s">
        <v>117</v>
      </c>
      <c r="K21" t="s">
        <v>47</v>
      </c>
      <c r="L21" t="s">
        <v>48</v>
      </c>
      <c r="M21" t="s">
        <v>180</v>
      </c>
      <c r="N21">
        <v>318.08</v>
      </c>
      <c r="O21">
        <v>0</v>
      </c>
      <c r="P21">
        <v>318.08</v>
      </c>
      <c r="Q21" t="s">
        <v>200</v>
      </c>
      <c r="R21" s="4" t="s">
        <v>202</v>
      </c>
    </row>
    <row r="22" spans="1:24" x14ac:dyDescent="0.25">
      <c r="A22">
        <v>9213293</v>
      </c>
      <c r="B22" t="s">
        <v>111</v>
      </c>
      <c r="C22" t="s">
        <v>190</v>
      </c>
      <c r="D22" t="str">
        <f t="shared" si="2"/>
        <v>DA2US57</v>
      </c>
      <c r="E22" t="s">
        <v>191</v>
      </c>
      <c r="F22" t="s">
        <v>192</v>
      </c>
      <c r="G22" t="s">
        <v>188</v>
      </c>
      <c r="H22" t="str">
        <f t="shared" si="1"/>
        <v>QUANG TRIEU</v>
      </c>
      <c r="I22" t="s">
        <v>42</v>
      </c>
      <c r="J22" t="s">
        <v>117</v>
      </c>
      <c r="K22" t="s">
        <v>47</v>
      </c>
      <c r="L22" t="s">
        <v>48</v>
      </c>
      <c r="M22" t="s">
        <v>180</v>
      </c>
      <c r="N22">
        <v>318.08</v>
      </c>
      <c r="O22">
        <v>0</v>
      </c>
      <c r="P22">
        <v>318.08</v>
      </c>
      <c r="Q22" t="s">
        <v>200</v>
      </c>
      <c r="R22" s="4" t="s">
        <v>202</v>
      </c>
    </row>
    <row r="23" spans="1:24" s="3" customFormat="1" x14ac:dyDescent="0.25">
      <c r="A23">
        <v>16170994</v>
      </c>
      <c r="B23" t="s">
        <v>194</v>
      </c>
      <c r="C23" t="s">
        <v>195</v>
      </c>
      <c r="D23" t="str">
        <f t="shared" si="2"/>
        <v>DZCAS87</v>
      </c>
      <c r="E23" t="s">
        <v>196</v>
      </c>
      <c r="F23" t="s">
        <v>86</v>
      </c>
      <c r="G23" t="s">
        <v>197</v>
      </c>
      <c r="H23" t="str">
        <f t="shared" si="1"/>
        <v>MARY VALVO</v>
      </c>
      <c r="I23" t="s">
        <v>63</v>
      </c>
      <c r="J23" t="s">
        <v>117</v>
      </c>
      <c r="K23" t="s">
        <v>47</v>
      </c>
      <c r="L23" t="s">
        <v>48</v>
      </c>
      <c r="M23" t="s">
        <v>180</v>
      </c>
      <c r="N23">
        <v>318.08</v>
      </c>
      <c r="O23">
        <v>0</v>
      </c>
      <c r="P23">
        <v>318.08</v>
      </c>
      <c r="Q23" t="s">
        <v>200</v>
      </c>
      <c r="R23" s="4" t="s">
        <v>202</v>
      </c>
      <c r="S23"/>
      <c r="T23"/>
      <c r="U23"/>
      <c r="V23"/>
      <c r="W23"/>
      <c r="X23"/>
    </row>
    <row r="24" spans="1:24" s="3" customFormat="1" x14ac:dyDescent="0.25">
      <c r="A24">
        <v>16849453</v>
      </c>
      <c r="B24" t="s">
        <v>88</v>
      </c>
      <c r="C24" t="s">
        <v>89</v>
      </c>
      <c r="D24" t="str">
        <f t="shared" si="2"/>
        <v>DC8WHG7</v>
      </c>
      <c r="E24" t="s">
        <v>90</v>
      </c>
      <c r="F24" t="s">
        <v>91</v>
      </c>
      <c r="G24" t="s">
        <v>92</v>
      </c>
      <c r="H24" t="str">
        <f t="shared" si="1"/>
        <v>ROBIN PROCTOR</v>
      </c>
      <c r="I24" t="s">
        <v>93</v>
      </c>
      <c r="J24" t="s">
        <v>44</v>
      </c>
      <c r="K24" t="s">
        <v>83</v>
      </c>
      <c r="L24" t="s">
        <v>75</v>
      </c>
      <c r="M24" t="s">
        <v>49</v>
      </c>
      <c r="N24">
        <v>347</v>
      </c>
      <c r="O24">
        <v>0</v>
      </c>
      <c r="P24">
        <v>347</v>
      </c>
      <c r="Q24" t="s">
        <v>200</v>
      </c>
      <c r="R24" t="s">
        <v>203</v>
      </c>
      <c r="S24"/>
      <c r="T24"/>
      <c r="U24"/>
      <c r="V24"/>
      <c r="W24"/>
      <c r="X24"/>
    </row>
    <row r="25" spans="1:24" s="3" customFormat="1" x14ac:dyDescent="0.25">
      <c r="A25">
        <v>8325282</v>
      </c>
      <c r="B25" t="s">
        <v>67</v>
      </c>
      <c r="C25" t="s">
        <v>96</v>
      </c>
      <c r="D25" t="str">
        <f t="shared" si="2"/>
        <v>D6WKZU7</v>
      </c>
      <c r="E25" t="s">
        <v>97</v>
      </c>
      <c r="F25" t="s">
        <v>98</v>
      </c>
      <c r="G25" t="s">
        <v>99</v>
      </c>
      <c r="H25" t="str">
        <f t="shared" si="1"/>
        <v>JOSEPH RUBINO</v>
      </c>
      <c r="I25" t="s">
        <v>42</v>
      </c>
      <c r="J25" t="s">
        <v>44</v>
      </c>
      <c r="K25" t="s">
        <v>83</v>
      </c>
      <c r="L25" t="s">
        <v>75</v>
      </c>
      <c r="M25" t="s">
        <v>49</v>
      </c>
      <c r="N25">
        <v>347</v>
      </c>
      <c r="O25">
        <v>0</v>
      </c>
      <c r="P25">
        <v>347</v>
      </c>
      <c r="Q25" t="s">
        <v>200</v>
      </c>
      <c r="R25" t="s">
        <v>203</v>
      </c>
      <c r="S25"/>
      <c r="T25"/>
      <c r="U25"/>
      <c r="V25"/>
      <c r="W25"/>
      <c r="X25"/>
    </row>
    <row r="26" spans="1:24" s="3" customFormat="1" x14ac:dyDescent="0.25">
      <c r="A26" s="3">
        <v>9213293</v>
      </c>
      <c r="B26" s="3" t="s">
        <v>111</v>
      </c>
      <c r="C26" s="3" t="s">
        <v>112</v>
      </c>
      <c r="D26" s="3" t="str">
        <f t="shared" si="2"/>
        <v>DZFFRG7</v>
      </c>
      <c r="E26" s="3" t="s">
        <v>113</v>
      </c>
      <c r="F26" s="3" t="s">
        <v>114</v>
      </c>
      <c r="G26" s="3" t="s">
        <v>115</v>
      </c>
      <c r="H26" t="str">
        <f t="shared" si="1"/>
        <v>LINDA MASON</v>
      </c>
      <c r="I26" s="3" t="s">
        <v>42</v>
      </c>
      <c r="J26" s="3" t="s">
        <v>117</v>
      </c>
      <c r="K26" s="3" t="s">
        <v>74</v>
      </c>
      <c r="L26" s="3" t="s">
        <v>75</v>
      </c>
      <c r="M26" s="3" t="s">
        <v>49</v>
      </c>
      <c r="N26" s="3">
        <v>375.92</v>
      </c>
      <c r="O26" s="3">
        <v>0</v>
      </c>
      <c r="P26" s="3">
        <v>-318.08</v>
      </c>
      <c r="Q26" s="3" t="s">
        <v>200</v>
      </c>
      <c r="R26" s="3" t="s">
        <v>202</v>
      </c>
    </row>
    <row r="27" spans="1:24" s="3" customFormat="1" x14ac:dyDescent="0.25">
      <c r="A27" s="3">
        <v>21436172</v>
      </c>
      <c r="B27" s="3" t="s">
        <v>125</v>
      </c>
      <c r="C27" s="3" t="s">
        <v>126</v>
      </c>
      <c r="D27" s="3" t="str">
        <f t="shared" si="2"/>
        <v>D2C5GR7</v>
      </c>
      <c r="E27" s="3" t="s">
        <v>127</v>
      </c>
      <c r="F27" s="3" t="s">
        <v>128</v>
      </c>
      <c r="G27" s="3" t="s">
        <v>129</v>
      </c>
      <c r="H27" t="str">
        <f t="shared" si="1"/>
        <v>JAMES PATTERSON JR</v>
      </c>
      <c r="I27" s="3" t="s">
        <v>130</v>
      </c>
      <c r="J27" s="3" t="s">
        <v>117</v>
      </c>
      <c r="K27" s="3" t="s">
        <v>83</v>
      </c>
      <c r="L27" s="3" t="s">
        <v>75</v>
      </c>
      <c r="M27" s="3" t="s">
        <v>49</v>
      </c>
      <c r="N27" s="3">
        <v>375.92</v>
      </c>
      <c r="O27" s="3">
        <v>0</v>
      </c>
      <c r="P27" s="3">
        <v>-318.08</v>
      </c>
      <c r="Q27" s="3" t="s">
        <v>200</v>
      </c>
      <c r="R27" s="3" t="s">
        <v>202</v>
      </c>
    </row>
    <row r="28" spans="1:24" s="3" customFormat="1" x14ac:dyDescent="0.25">
      <c r="A28" s="3">
        <v>2158366</v>
      </c>
      <c r="B28" s="3" t="s">
        <v>134</v>
      </c>
      <c r="C28" s="3" t="s">
        <v>135</v>
      </c>
      <c r="D28" s="3" t="str">
        <f t="shared" si="2"/>
        <v>DK8YK87</v>
      </c>
      <c r="E28" s="3" t="s">
        <v>136</v>
      </c>
      <c r="F28" s="3" t="s">
        <v>137</v>
      </c>
      <c r="G28" s="3" t="s">
        <v>138</v>
      </c>
      <c r="H28" t="str">
        <f t="shared" si="1"/>
        <v>JULIE WAGNER PICKENS</v>
      </c>
      <c r="I28" s="3" t="s">
        <v>42</v>
      </c>
      <c r="J28" s="3" t="s">
        <v>117</v>
      </c>
      <c r="K28" s="3" t="s">
        <v>83</v>
      </c>
      <c r="L28" s="3" t="s">
        <v>75</v>
      </c>
      <c r="M28" s="3" t="s">
        <v>49</v>
      </c>
      <c r="N28" s="3">
        <v>375.92</v>
      </c>
      <c r="O28" s="3">
        <v>0</v>
      </c>
      <c r="P28" s="3">
        <v>-318.08</v>
      </c>
      <c r="Q28" s="3" t="s">
        <v>200</v>
      </c>
      <c r="R28" s="3" t="s">
        <v>202</v>
      </c>
    </row>
    <row r="29" spans="1:24" s="3" customFormat="1" x14ac:dyDescent="0.25">
      <c r="A29" s="3">
        <v>17301495</v>
      </c>
      <c r="B29" s="3" t="s">
        <v>147</v>
      </c>
      <c r="C29" s="3" t="s">
        <v>148</v>
      </c>
      <c r="D29" s="3" t="str">
        <f t="shared" si="2"/>
        <v>DF9HK97</v>
      </c>
      <c r="E29" s="3" t="s">
        <v>149</v>
      </c>
      <c r="F29" s="3" t="s">
        <v>150</v>
      </c>
      <c r="G29" s="3" t="s">
        <v>151</v>
      </c>
      <c r="H29" t="str">
        <f t="shared" si="1"/>
        <v>GERASSIMOS FERENTINOS</v>
      </c>
      <c r="I29" s="3" t="s">
        <v>42</v>
      </c>
      <c r="J29" s="3" t="s">
        <v>117</v>
      </c>
      <c r="K29" s="3" t="s">
        <v>74</v>
      </c>
      <c r="L29" s="3" t="s">
        <v>75</v>
      </c>
      <c r="M29" s="3" t="s">
        <v>49</v>
      </c>
      <c r="N29" s="3">
        <v>375.92</v>
      </c>
      <c r="O29" s="3">
        <v>0</v>
      </c>
      <c r="P29" s="3">
        <v>-318.08</v>
      </c>
      <c r="Q29" s="3" t="s">
        <v>200</v>
      </c>
      <c r="R29" s="3" t="s">
        <v>202</v>
      </c>
    </row>
    <row r="30" spans="1:24" s="3" customFormat="1" x14ac:dyDescent="0.25">
      <c r="A30" s="3">
        <v>2158366</v>
      </c>
      <c r="B30" s="3" t="s">
        <v>134</v>
      </c>
      <c r="C30" s="3" t="s">
        <v>159</v>
      </c>
      <c r="D30" s="3" t="str">
        <f t="shared" si="2"/>
        <v>DJAWK37</v>
      </c>
      <c r="E30" s="3" t="s">
        <v>160</v>
      </c>
      <c r="F30" s="3" t="s">
        <v>161</v>
      </c>
      <c r="G30" s="3" t="s">
        <v>162</v>
      </c>
      <c r="H30" t="str">
        <f t="shared" si="1"/>
        <v>THOMAS PICKENS</v>
      </c>
      <c r="I30" s="3" t="s">
        <v>42</v>
      </c>
      <c r="J30" s="3" t="s">
        <v>117</v>
      </c>
      <c r="K30" s="3" t="s">
        <v>83</v>
      </c>
      <c r="L30" s="3" t="s">
        <v>75</v>
      </c>
      <c r="M30" s="3" t="s">
        <v>49</v>
      </c>
      <c r="N30" s="3">
        <v>375.92</v>
      </c>
      <c r="O30" s="3">
        <v>0</v>
      </c>
      <c r="P30" s="3">
        <v>-318.08</v>
      </c>
      <c r="Q30" s="3" t="s">
        <v>200</v>
      </c>
      <c r="R30" s="3" t="s">
        <v>202</v>
      </c>
    </row>
    <row r="31" spans="1:24" s="3" customFormat="1" x14ac:dyDescent="0.25">
      <c r="A31" s="3">
        <v>17301495</v>
      </c>
      <c r="B31" s="3" t="s">
        <v>147</v>
      </c>
      <c r="C31" s="3" t="s">
        <v>169</v>
      </c>
      <c r="D31" s="3" t="str">
        <f t="shared" si="2"/>
        <v>DUR8WZ7</v>
      </c>
      <c r="E31" s="3" t="s">
        <v>170</v>
      </c>
      <c r="F31" s="3" t="s">
        <v>171</v>
      </c>
      <c r="G31" s="3" t="s">
        <v>172</v>
      </c>
      <c r="H31" t="str">
        <f t="shared" si="1"/>
        <v>LOUIS VASILOPOULOS</v>
      </c>
      <c r="I31" s="3" t="s">
        <v>42</v>
      </c>
      <c r="J31" s="3" t="s">
        <v>117</v>
      </c>
      <c r="K31" s="3" t="s">
        <v>74</v>
      </c>
      <c r="L31" s="3" t="s">
        <v>75</v>
      </c>
      <c r="M31" s="3" t="s">
        <v>49</v>
      </c>
      <c r="N31" s="3">
        <v>375.92</v>
      </c>
      <c r="O31" s="3">
        <v>0</v>
      </c>
      <c r="P31" s="3">
        <v>-318.08</v>
      </c>
      <c r="Q31" s="3" t="s">
        <v>200</v>
      </c>
      <c r="R31" s="3" t="s">
        <v>202</v>
      </c>
    </row>
    <row r="32" spans="1:24" s="3" customFormat="1" x14ac:dyDescent="0.25">
      <c r="A32" s="3">
        <v>16849453</v>
      </c>
      <c r="B32" s="3" t="s">
        <v>88</v>
      </c>
      <c r="C32" s="3" t="s">
        <v>118</v>
      </c>
      <c r="D32" s="3" t="str">
        <f t="shared" si="2"/>
        <v>DGA9487</v>
      </c>
      <c r="E32" s="3" t="s">
        <v>119</v>
      </c>
      <c r="F32" s="3" t="s">
        <v>120</v>
      </c>
      <c r="G32" s="3" t="s">
        <v>121</v>
      </c>
      <c r="H32" t="str">
        <f t="shared" si="1"/>
        <v>LESA NEEMAN</v>
      </c>
      <c r="I32" s="3" t="s">
        <v>93</v>
      </c>
      <c r="J32" s="3" t="s">
        <v>123</v>
      </c>
      <c r="K32" s="3" t="s">
        <v>83</v>
      </c>
      <c r="L32" s="3" t="s">
        <v>75</v>
      </c>
      <c r="M32" s="3" t="s">
        <v>49</v>
      </c>
      <c r="N32" s="3">
        <v>404.84</v>
      </c>
      <c r="O32" s="3">
        <v>0</v>
      </c>
      <c r="P32" s="3">
        <v>-289.16000000000003</v>
      </c>
      <c r="Q32" s="3" t="s">
        <v>200</v>
      </c>
      <c r="R32" s="3" t="s">
        <v>204</v>
      </c>
    </row>
    <row r="33" spans="1:18" s="3" customFormat="1" x14ac:dyDescent="0.25">
      <c r="A33" s="3">
        <v>19491313</v>
      </c>
      <c r="B33" s="3" t="s">
        <v>58</v>
      </c>
      <c r="C33" s="3" t="s">
        <v>164</v>
      </c>
      <c r="D33" s="3" t="str">
        <f t="shared" si="2"/>
        <v>D3S7SZ7</v>
      </c>
      <c r="E33" s="3" t="s">
        <v>165</v>
      </c>
      <c r="F33" s="3" t="s">
        <v>166</v>
      </c>
      <c r="G33" s="3" t="s">
        <v>167</v>
      </c>
      <c r="H33" t="str">
        <f t="shared" si="1"/>
        <v>ROBERT SWENSON</v>
      </c>
      <c r="I33" s="3" t="s">
        <v>63</v>
      </c>
      <c r="J33" s="3" t="s">
        <v>123</v>
      </c>
      <c r="K33" s="3" t="s">
        <v>83</v>
      </c>
      <c r="L33" s="3" t="s">
        <v>75</v>
      </c>
      <c r="M33" s="3" t="s">
        <v>49</v>
      </c>
      <c r="N33" s="3">
        <v>404.84</v>
      </c>
      <c r="O33" s="3">
        <v>0</v>
      </c>
      <c r="P33" s="3">
        <v>-289.16000000000003</v>
      </c>
      <c r="Q33" s="3" t="s">
        <v>200</v>
      </c>
      <c r="R33" s="3" t="s">
        <v>204</v>
      </c>
    </row>
    <row r="34" spans="1:18" s="3" customFormat="1" x14ac:dyDescent="0.25">
      <c r="A34" s="3">
        <v>16849453</v>
      </c>
      <c r="B34" s="3" t="s">
        <v>88</v>
      </c>
      <c r="C34" s="3" t="s">
        <v>140</v>
      </c>
      <c r="D34" s="3" t="str">
        <f t="shared" si="2"/>
        <v>DGRRHK7</v>
      </c>
      <c r="E34" s="3" t="s">
        <v>141</v>
      </c>
      <c r="F34" s="3" t="s">
        <v>142</v>
      </c>
      <c r="G34" s="3" t="s">
        <v>143</v>
      </c>
      <c r="H34" t="str">
        <f t="shared" si="1"/>
        <v>SONDA BLACKBURN</v>
      </c>
      <c r="I34" s="3" t="s">
        <v>93</v>
      </c>
      <c r="J34" s="3" t="s">
        <v>145</v>
      </c>
      <c r="K34" s="3" t="s">
        <v>83</v>
      </c>
      <c r="L34" s="3" t="s">
        <v>75</v>
      </c>
      <c r="M34" s="3" t="s">
        <v>49</v>
      </c>
      <c r="N34" s="3">
        <v>433.75</v>
      </c>
      <c r="O34" s="3">
        <v>0</v>
      </c>
      <c r="P34" s="3">
        <v>-260.25</v>
      </c>
      <c r="Q34" s="3" t="s">
        <v>200</v>
      </c>
      <c r="R34" s="3" t="s">
        <v>205</v>
      </c>
    </row>
    <row r="35" spans="1:18" s="2" customFormat="1" x14ac:dyDescent="0.25">
      <c r="A35" s="2">
        <v>20411454</v>
      </c>
      <c r="B35" s="2" t="s">
        <v>207</v>
      </c>
      <c r="C35" s="2" t="s">
        <v>38</v>
      </c>
      <c r="D35" s="2" t="str">
        <f>CONCATENATE(C35,"OVR")</f>
        <v>DC84JYOVR</v>
      </c>
      <c r="E35" s="2" t="s">
        <v>39</v>
      </c>
      <c r="F35" s="2" t="s">
        <v>40</v>
      </c>
      <c r="G35" s="2" t="s">
        <v>41</v>
      </c>
      <c r="H35" t="str">
        <f t="shared" si="1"/>
        <v>SUSAN COHEN</v>
      </c>
      <c r="I35" s="2" t="s">
        <v>42</v>
      </c>
      <c r="J35" s="2" t="s">
        <v>44</v>
      </c>
      <c r="K35" s="2" t="s">
        <v>47</v>
      </c>
      <c r="L35" s="2" t="s">
        <v>48</v>
      </c>
      <c r="M35" s="2" t="s">
        <v>49</v>
      </c>
      <c r="N35" s="2">
        <v>-347</v>
      </c>
      <c r="O35" s="2">
        <v>-200</v>
      </c>
      <c r="P35" s="2">
        <v>-200</v>
      </c>
      <c r="Q35" s="2" t="s">
        <v>199</v>
      </c>
    </row>
    <row r="36" spans="1:18" s="2" customFormat="1" x14ac:dyDescent="0.25">
      <c r="A36" s="2">
        <v>20411454</v>
      </c>
      <c r="B36" s="2" t="s">
        <v>207</v>
      </c>
      <c r="C36" s="2" t="s">
        <v>52</v>
      </c>
      <c r="D36" s="2" t="str">
        <f t="shared" ref="D36:D53" si="3">CONCATENATE(C36,"OVR")</f>
        <v>DWEZYEOVR</v>
      </c>
      <c r="E36" s="2" t="s">
        <v>53</v>
      </c>
      <c r="F36" s="2" t="s">
        <v>54</v>
      </c>
      <c r="G36" s="2" t="s">
        <v>55</v>
      </c>
      <c r="H36" t="str">
        <f t="shared" si="1"/>
        <v>JEANETTE JEFFRIES</v>
      </c>
      <c r="I36" s="2" t="s">
        <v>42</v>
      </c>
      <c r="J36" s="2" t="s">
        <v>44</v>
      </c>
      <c r="K36" s="2" t="s">
        <v>47</v>
      </c>
      <c r="L36" s="2" t="s">
        <v>48</v>
      </c>
      <c r="M36" s="2" t="s">
        <v>49</v>
      </c>
      <c r="N36" s="2">
        <v>-347</v>
      </c>
      <c r="O36" s="2">
        <v>-200</v>
      </c>
      <c r="P36" s="2">
        <v>-200</v>
      </c>
      <c r="Q36" s="2" t="s">
        <v>199</v>
      </c>
    </row>
    <row r="37" spans="1:18" s="2" customFormat="1" x14ac:dyDescent="0.25">
      <c r="A37" s="2">
        <v>20411454</v>
      </c>
      <c r="B37" s="2" t="s">
        <v>207</v>
      </c>
      <c r="C37" s="2" t="s">
        <v>59</v>
      </c>
      <c r="D37" s="2" t="str">
        <f t="shared" si="3"/>
        <v>DHHCG5OVR</v>
      </c>
      <c r="E37" s="2" t="s">
        <v>60</v>
      </c>
      <c r="F37" s="2" t="s">
        <v>61</v>
      </c>
      <c r="G37" s="2" t="s">
        <v>62</v>
      </c>
      <c r="H37" t="str">
        <f t="shared" si="1"/>
        <v>MARTHA LINNABARY</v>
      </c>
      <c r="I37" s="2" t="s">
        <v>63</v>
      </c>
      <c r="J37" s="2" t="s">
        <v>44</v>
      </c>
      <c r="K37" s="2" t="s">
        <v>47</v>
      </c>
      <c r="L37" s="2" t="s">
        <v>48</v>
      </c>
      <c r="M37" s="2" t="s">
        <v>49</v>
      </c>
      <c r="N37" s="2">
        <v>-347</v>
      </c>
      <c r="O37" s="2">
        <v>-200</v>
      </c>
      <c r="P37" s="2">
        <v>-200</v>
      </c>
      <c r="Q37" s="2" t="s">
        <v>199</v>
      </c>
    </row>
    <row r="38" spans="1:18" s="2" customFormat="1" x14ac:dyDescent="0.25">
      <c r="A38" s="2">
        <v>20411454</v>
      </c>
      <c r="B38" s="2" t="s">
        <v>207</v>
      </c>
      <c r="C38" s="2" t="s">
        <v>68</v>
      </c>
      <c r="D38" s="2" t="str">
        <f t="shared" si="3"/>
        <v>D99E5ROVR</v>
      </c>
      <c r="E38" s="2" t="s">
        <v>69</v>
      </c>
      <c r="F38" s="2" t="s">
        <v>70</v>
      </c>
      <c r="G38" s="2" t="s">
        <v>71</v>
      </c>
      <c r="H38" t="str">
        <f t="shared" si="1"/>
        <v>NICK MIROBALLI</v>
      </c>
      <c r="I38" s="2" t="s">
        <v>42</v>
      </c>
      <c r="J38" s="2" t="s">
        <v>44</v>
      </c>
      <c r="K38" s="2" t="s">
        <v>74</v>
      </c>
      <c r="L38" s="2" t="s">
        <v>75</v>
      </c>
      <c r="M38" s="2" t="s">
        <v>49</v>
      </c>
      <c r="N38" s="2">
        <v>-694</v>
      </c>
      <c r="O38" s="2">
        <v>-200</v>
      </c>
      <c r="P38" s="2">
        <v>-200</v>
      </c>
      <c r="Q38" s="2" t="s">
        <v>199</v>
      </c>
    </row>
    <row r="39" spans="1:18" s="2" customFormat="1" x14ac:dyDescent="0.25">
      <c r="A39" s="2">
        <v>20411454</v>
      </c>
      <c r="B39" s="2" t="s">
        <v>207</v>
      </c>
      <c r="C39" s="2" t="s">
        <v>78</v>
      </c>
      <c r="D39" s="2" t="str">
        <f t="shared" si="3"/>
        <v>D4GFGEOVR</v>
      </c>
      <c r="E39" s="2" t="s">
        <v>79</v>
      </c>
      <c r="F39" s="2" t="s">
        <v>80</v>
      </c>
      <c r="G39" s="2" t="s">
        <v>81</v>
      </c>
      <c r="H39" t="str">
        <f t="shared" si="1"/>
        <v>JOHN POULOS</v>
      </c>
      <c r="I39" s="2" t="s">
        <v>42</v>
      </c>
      <c r="J39" s="2" t="s">
        <v>44</v>
      </c>
      <c r="K39" s="2" t="s">
        <v>83</v>
      </c>
      <c r="L39" s="2" t="s">
        <v>75</v>
      </c>
      <c r="M39" s="2" t="s">
        <v>49</v>
      </c>
      <c r="N39" s="2">
        <v>-694</v>
      </c>
      <c r="O39" s="2">
        <v>-200</v>
      </c>
      <c r="P39" s="2">
        <v>-200</v>
      </c>
      <c r="Q39" s="2" t="s">
        <v>199</v>
      </c>
    </row>
    <row r="40" spans="1:18" s="2" customFormat="1" x14ac:dyDescent="0.25">
      <c r="A40" s="2">
        <v>20411454</v>
      </c>
      <c r="B40" s="2" t="s">
        <v>207</v>
      </c>
      <c r="C40" s="2" t="s">
        <v>84</v>
      </c>
      <c r="D40" s="2" t="str">
        <f t="shared" si="3"/>
        <v>DG3UWYOVR</v>
      </c>
      <c r="E40" s="2" t="s">
        <v>85</v>
      </c>
      <c r="F40" s="2" t="s">
        <v>86</v>
      </c>
      <c r="G40" s="2" t="s">
        <v>81</v>
      </c>
      <c r="H40" t="str">
        <f t="shared" si="1"/>
        <v>MARY POULOS</v>
      </c>
      <c r="I40" s="2" t="s">
        <v>42</v>
      </c>
      <c r="J40" s="2" t="s">
        <v>44</v>
      </c>
      <c r="K40" s="2" t="s">
        <v>83</v>
      </c>
      <c r="L40" s="2" t="s">
        <v>75</v>
      </c>
      <c r="M40" s="2" t="s">
        <v>49</v>
      </c>
      <c r="N40" s="2">
        <v>-694</v>
      </c>
      <c r="O40" s="2">
        <v>-200</v>
      </c>
      <c r="P40" s="2">
        <v>-200</v>
      </c>
      <c r="Q40" s="2" t="s">
        <v>199</v>
      </c>
    </row>
    <row r="41" spans="1:18" s="2" customFormat="1" x14ac:dyDescent="0.25">
      <c r="A41" s="2">
        <v>20411454</v>
      </c>
      <c r="B41" s="2" t="s">
        <v>207</v>
      </c>
      <c r="C41" s="2" t="s">
        <v>103</v>
      </c>
      <c r="D41" s="2" t="str">
        <f t="shared" si="3"/>
        <v>DFJEZZOVR</v>
      </c>
      <c r="E41" s="2" t="s">
        <v>104</v>
      </c>
      <c r="F41" s="2" t="s">
        <v>105</v>
      </c>
      <c r="G41" s="2" t="s">
        <v>106</v>
      </c>
      <c r="H41" t="str">
        <f t="shared" si="1"/>
        <v>CONNIE WILLIAMS</v>
      </c>
      <c r="I41" s="2" t="s">
        <v>107</v>
      </c>
      <c r="J41" s="2" t="s">
        <v>44</v>
      </c>
      <c r="K41" s="2" t="s">
        <v>47</v>
      </c>
      <c r="L41" s="2" t="s">
        <v>48</v>
      </c>
      <c r="M41" s="2" t="s">
        <v>49</v>
      </c>
      <c r="N41" s="2">
        <v>-347</v>
      </c>
      <c r="O41" s="2">
        <v>-200</v>
      </c>
      <c r="P41" s="2">
        <v>-200</v>
      </c>
      <c r="Q41" s="2" t="s">
        <v>199</v>
      </c>
    </row>
    <row r="42" spans="1:18" s="2" customFormat="1" x14ac:dyDescent="0.25">
      <c r="A42" s="2">
        <v>20411454</v>
      </c>
      <c r="B42" s="2" t="s">
        <v>207</v>
      </c>
      <c r="C42" s="2" t="s">
        <v>155</v>
      </c>
      <c r="D42" s="2" t="str">
        <f t="shared" si="3"/>
        <v>D43553OVR</v>
      </c>
      <c r="E42" s="2" t="s">
        <v>156</v>
      </c>
      <c r="F42" s="2" t="s">
        <v>157</v>
      </c>
      <c r="G42" s="2" t="s">
        <v>158</v>
      </c>
      <c r="H42" t="str">
        <f t="shared" si="1"/>
        <v>CATHERINE HORTON</v>
      </c>
      <c r="I42" s="2" t="s">
        <v>107</v>
      </c>
      <c r="J42" s="2" t="s">
        <v>117</v>
      </c>
      <c r="L42" s="2" t="s">
        <v>48</v>
      </c>
      <c r="M42" s="2" t="s">
        <v>49</v>
      </c>
      <c r="N42" s="2">
        <v>0</v>
      </c>
      <c r="O42" s="2">
        <v>-125</v>
      </c>
      <c r="P42" s="2">
        <v>-125</v>
      </c>
      <c r="Q42" s="2" t="s">
        <v>199</v>
      </c>
    </row>
    <row r="43" spans="1:18" s="2" customFormat="1" x14ac:dyDescent="0.25">
      <c r="A43" s="2">
        <v>20411454</v>
      </c>
      <c r="B43" s="2" t="s">
        <v>207</v>
      </c>
      <c r="C43" s="2" t="s">
        <v>155</v>
      </c>
      <c r="D43" s="2" t="str">
        <f t="shared" si="3"/>
        <v>D43553OVR</v>
      </c>
      <c r="E43" s="2" t="s">
        <v>156</v>
      </c>
      <c r="F43" s="2" t="s">
        <v>157</v>
      </c>
      <c r="G43" s="2" t="s">
        <v>158</v>
      </c>
      <c r="H43" t="str">
        <f t="shared" si="1"/>
        <v>CATHERINE HORTON</v>
      </c>
      <c r="I43" s="2" t="s">
        <v>107</v>
      </c>
      <c r="J43" s="2" t="s">
        <v>117</v>
      </c>
      <c r="L43" s="2" t="s">
        <v>48</v>
      </c>
      <c r="M43" s="2" t="s">
        <v>49</v>
      </c>
      <c r="N43" s="2">
        <v>0</v>
      </c>
      <c r="O43" s="2">
        <v>-75</v>
      </c>
      <c r="P43" s="2">
        <v>-75</v>
      </c>
      <c r="Q43" s="2" t="s">
        <v>199</v>
      </c>
    </row>
    <row r="44" spans="1:18" s="2" customFormat="1" x14ac:dyDescent="0.25">
      <c r="A44" s="2">
        <v>20411454</v>
      </c>
      <c r="B44" s="2" t="s">
        <v>207</v>
      </c>
      <c r="C44" s="2" t="s">
        <v>175</v>
      </c>
      <c r="D44" s="2" t="str">
        <f t="shared" si="3"/>
        <v>D9WY64OVR</v>
      </c>
      <c r="E44" s="2" t="s">
        <v>176</v>
      </c>
      <c r="F44" s="2" t="s">
        <v>177</v>
      </c>
      <c r="G44" s="2" t="s">
        <v>178</v>
      </c>
      <c r="H44" t="str">
        <f t="shared" si="1"/>
        <v>PATRICIA FAGOAGA</v>
      </c>
      <c r="I44" s="2" t="s">
        <v>42</v>
      </c>
      <c r="J44" s="2" t="s">
        <v>117</v>
      </c>
      <c r="K44" s="2" t="s">
        <v>47</v>
      </c>
      <c r="L44" s="2" t="s">
        <v>48</v>
      </c>
      <c r="M44" s="2" t="s">
        <v>180</v>
      </c>
      <c r="N44" s="2">
        <v>0</v>
      </c>
      <c r="O44" s="2">
        <v>75</v>
      </c>
      <c r="P44" s="2">
        <v>75</v>
      </c>
      <c r="Q44" s="2" t="s">
        <v>199</v>
      </c>
    </row>
    <row r="45" spans="1:18" s="2" customFormat="1" x14ac:dyDescent="0.25">
      <c r="A45" s="2">
        <v>20411454</v>
      </c>
      <c r="B45" s="2" t="s">
        <v>207</v>
      </c>
      <c r="C45" s="2" t="s">
        <v>175</v>
      </c>
      <c r="D45" s="2" t="str">
        <f t="shared" si="3"/>
        <v>D9WY64OVR</v>
      </c>
      <c r="E45" s="2" t="s">
        <v>176</v>
      </c>
      <c r="F45" s="2" t="s">
        <v>177</v>
      </c>
      <c r="G45" s="2" t="s">
        <v>178</v>
      </c>
      <c r="H45" t="str">
        <f t="shared" si="1"/>
        <v>PATRICIA FAGOAGA</v>
      </c>
      <c r="I45" s="2" t="s">
        <v>42</v>
      </c>
      <c r="J45" s="2" t="s">
        <v>117</v>
      </c>
      <c r="K45" s="2" t="s">
        <v>47</v>
      </c>
      <c r="L45" s="2" t="s">
        <v>48</v>
      </c>
      <c r="M45" s="2" t="s">
        <v>180</v>
      </c>
      <c r="N45" s="2">
        <v>0</v>
      </c>
      <c r="O45" s="2">
        <v>125</v>
      </c>
      <c r="P45" s="2">
        <v>125</v>
      </c>
      <c r="Q45" s="2" t="s">
        <v>199</v>
      </c>
    </row>
    <row r="46" spans="1:18" s="2" customFormat="1" x14ac:dyDescent="0.25">
      <c r="A46" s="2">
        <v>20411454</v>
      </c>
      <c r="B46" s="2" t="s">
        <v>207</v>
      </c>
      <c r="C46" s="2" t="s">
        <v>181</v>
      </c>
      <c r="D46" s="2" t="str">
        <f t="shared" si="3"/>
        <v>D5524ROVR</v>
      </c>
      <c r="E46" s="2" t="s">
        <v>182</v>
      </c>
      <c r="F46" s="2" t="s">
        <v>183</v>
      </c>
      <c r="G46" s="2" t="s">
        <v>184</v>
      </c>
      <c r="H46" t="str">
        <f t="shared" si="1"/>
        <v>JOY LOWRY</v>
      </c>
      <c r="I46" s="2" t="s">
        <v>93</v>
      </c>
      <c r="J46" s="2" t="s">
        <v>117</v>
      </c>
      <c r="K46" s="2" t="s">
        <v>47</v>
      </c>
      <c r="L46" s="2" t="s">
        <v>48</v>
      </c>
      <c r="M46" s="2" t="s">
        <v>180</v>
      </c>
      <c r="N46" s="2">
        <v>0</v>
      </c>
      <c r="O46" s="2">
        <v>75</v>
      </c>
      <c r="P46" s="2">
        <v>75</v>
      </c>
      <c r="Q46" s="2" t="s">
        <v>199</v>
      </c>
    </row>
    <row r="47" spans="1:18" s="2" customFormat="1" x14ac:dyDescent="0.25">
      <c r="A47" s="2">
        <v>20411454</v>
      </c>
      <c r="B47" s="2" t="s">
        <v>207</v>
      </c>
      <c r="C47" s="2" t="s">
        <v>181</v>
      </c>
      <c r="D47" s="2" t="str">
        <f t="shared" si="3"/>
        <v>D5524ROVR</v>
      </c>
      <c r="E47" s="2" t="s">
        <v>182</v>
      </c>
      <c r="F47" s="2" t="s">
        <v>183</v>
      </c>
      <c r="G47" s="2" t="s">
        <v>184</v>
      </c>
      <c r="H47" t="str">
        <f t="shared" si="1"/>
        <v>JOY LOWRY</v>
      </c>
      <c r="I47" s="2" t="s">
        <v>93</v>
      </c>
      <c r="J47" s="2" t="s">
        <v>117</v>
      </c>
      <c r="K47" s="2" t="s">
        <v>47</v>
      </c>
      <c r="L47" s="2" t="s">
        <v>48</v>
      </c>
      <c r="M47" s="2" t="s">
        <v>180</v>
      </c>
      <c r="N47" s="2">
        <v>0</v>
      </c>
      <c r="O47" s="2">
        <v>125</v>
      </c>
      <c r="P47" s="2">
        <v>125</v>
      </c>
      <c r="Q47" s="2" t="s">
        <v>199</v>
      </c>
    </row>
    <row r="48" spans="1:18" s="2" customFormat="1" x14ac:dyDescent="0.25">
      <c r="A48" s="2">
        <v>20411454</v>
      </c>
      <c r="B48" s="2" t="s">
        <v>207</v>
      </c>
      <c r="C48" s="2" t="s">
        <v>185</v>
      </c>
      <c r="D48" s="2" t="str">
        <f t="shared" si="3"/>
        <v>DCHJJ5OVR</v>
      </c>
      <c r="E48" s="2" t="s">
        <v>186</v>
      </c>
      <c r="F48" s="2" t="s">
        <v>187</v>
      </c>
      <c r="G48" s="2" t="s">
        <v>188</v>
      </c>
      <c r="H48" t="str">
        <f t="shared" si="1"/>
        <v>LINH TRIEU</v>
      </c>
      <c r="I48" s="2" t="s">
        <v>42</v>
      </c>
      <c r="J48" s="2" t="s">
        <v>117</v>
      </c>
      <c r="K48" s="2" t="s">
        <v>47</v>
      </c>
      <c r="L48" s="2" t="s">
        <v>48</v>
      </c>
      <c r="M48" s="2" t="s">
        <v>180</v>
      </c>
      <c r="N48" s="2">
        <v>0</v>
      </c>
      <c r="O48" s="2">
        <v>75</v>
      </c>
      <c r="P48" s="2">
        <v>75</v>
      </c>
      <c r="Q48" s="2" t="s">
        <v>199</v>
      </c>
    </row>
    <row r="49" spans="1:17" s="2" customFormat="1" x14ac:dyDescent="0.25">
      <c r="A49" s="2">
        <v>20411454</v>
      </c>
      <c r="B49" s="2" t="s">
        <v>207</v>
      </c>
      <c r="C49" s="2" t="s">
        <v>185</v>
      </c>
      <c r="D49" s="2" t="str">
        <f t="shared" si="3"/>
        <v>DCHJJ5OVR</v>
      </c>
      <c r="E49" s="2" t="s">
        <v>186</v>
      </c>
      <c r="F49" s="2" t="s">
        <v>187</v>
      </c>
      <c r="G49" s="2" t="s">
        <v>188</v>
      </c>
      <c r="H49" t="str">
        <f t="shared" si="1"/>
        <v>LINH TRIEU</v>
      </c>
      <c r="I49" s="2" t="s">
        <v>42</v>
      </c>
      <c r="J49" s="2" t="s">
        <v>117</v>
      </c>
      <c r="K49" s="2" t="s">
        <v>47</v>
      </c>
      <c r="L49" s="2" t="s">
        <v>48</v>
      </c>
      <c r="M49" s="2" t="s">
        <v>180</v>
      </c>
      <c r="N49" s="2">
        <v>0</v>
      </c>
      <c r="O49" s="2">
        <v>125</v>
      </c>
      <c r="P49" s="2">
        <v>125</v>
      </c>
      <c r="Q49" s="2" t="s">
        <v>199</v>
      </c>
    </row>
    <row r="50" spans="1:17" s="2" customFormat="1" x14ac:dyDescent="0.25">
      <c r="A50" s="2">
        <v>20411454</v>
      </c>
      <c r="B50" s="2" t="s">
        <v>207</v>
      </c>
      <c r="C50" s="2" t="s">
        <v>190</v>
      </c>
      <c r="D50" s="2" t="str">
        <f t="shared" si="3"/>
        <v>DA2US5OVR</v>
      </c>
      <c r="E50" s="2" t="s">
        <v>191</v>
      </c>
      <c r="F50" s="2" t="s">
        <v>192</v>
      </c>
      <c r="G50" s="2" t="s">
        <v>188</v>
      </c>
      <c r="H50" t="str">
        <f t="shared" si="1"/>
        <v>QUANG TRIEU</v>
      </c>
      <c r="I50" s="2" t="s">
        <v>42</v>
      </c>
      <c r="J50" s="2" t="s">
        <v>117</v>
      </c>
      <c r="K50" s="2" t="s">
        <v>47</v>
      </c>
      <c r="L50" s="2" t="s">
        <v>48</v>
      </c>
      <c r="M50" s="2" t="s">
        <v>180</v>
      </c>
      <c r="N50" s="2">
        <v>0</v>
      </c>
      <c r="O50" s="2">
        <v>75</v>
      </c>
      <c r="P50" s="2">
        <v>75</v>
      </c>
      <c r="Q50" s="2" t="s">
        <v>199</v>
      </c>
    </row>
    <row r="51" spans="1:17" s="2" customFormat="1" x14ac:dyDescent="0.25">
      <c r="A51" s="2">
        <v>20411454</v>
      </c>
      <c r="B51" s="2" t="s">
        <v>207</v>
      </c>
      <c r="C51" s="2" t="s">
        <v>190</v>
      </c>
      <c r="D51" s="2" t="str">
        <f t="shared" si="3"/>
        <v>DA2US5OVR</v>
      </c>
      <c r="E51" s="2" t="s">
        <v>191</v>
      </c>
      <c r="F51" s="2" t="s">
        <v>192</v>
      </c>
      <c r="G51" s="2" t="s">
        <v>188</v>
      </c>
      <c r="H51" t="str">
        <f t="shared" si="1"/>
        <v>QUANG TRIEU</v>
      </c>
      <c r="I51" s="2" t="s">
        <v>42</v>
      </c>
      <c r="J51" s="2" t="s">
        <v>117</v>
      </c>
      <c r="K51" s="2" t="s">
        <v>47</v>
      </c>
      <c r="L51" s="2" t="s">
        <v>48</v>
      </c>
      <c r="M51" s="2" t="s">
        <v>180</v>
      </c>
      <c r="N51" s="2">
        <v>0</v>
      </c>
      <c r="O51" s="2">
        <v>125</v>
      </c>
      <c r="P51" s="2">
        <v>125</v>
      </c>
      <c r="Q51" s="2" t="s">
        <v>199</v>
      </c>
    </row>
    <row r="52" spans="1:17" s="2" customFormat="1" x14ac:dyDescent="0.25">
      <c r="A52" s="2">
        <v>20411454</v>
      </c>
      <c r="B52" s="2" t="s">
        <v>207</v>
      </c>
      <c r="C52" s="2" t="s">
        <v>195</v>
      </c>
      <c r="D52" s="2" t="str">
        <f t="shared" si="3"/>
        <v>DZCAS8OVR</v>
      </c>
      <c r="E52" s="2" t="s">
        <v>196</v>
      </c>
      <c r="F52" s="2" t="s">
        <v>86</v>
      </c>
      <c r="G52" s="2" t="s">
        <v>197</v>
      </c>
      <c r="H52" t="str">
        <f t="shared" si="1"/>
        <v>MARY VALVO</v>
      </c>
      <c r="I52" s="2" t="s">
        <v>63</v>
      </c>
      <c r="J52" s="2" t="s">
        <v>117</v>
      </c>
      <c r="K52" s="2" t="s">
        <v>47</v>
      </c>
      <c r="L52" s="2" t="s">
        <v>48</v>
      </c>
      <c r="M52" s="2" t="s">
        <v>180</v>
      </c>
      <c r="N52" s="2">
        <v>0</v>
      </c>
      <c r="O52" s="2">
        <v>75</v>
      </c>
      <c r="P52" s="2">
        <v>75</v>
      </c>
      <c r="Q52" s="2" t="s">
        <v>199</v>
      </c>
    </row>
    <row r="53" spans="1:17" s="2" customFormat="1" x14ac:dyDescent="0.25">
      <c r="A53" s="2">
        <v>20411454</v>
      </c>
      <c r="B53" s="2" t="s">
        <v>207</v>
      </c>
      <c r="C53" s="2" t="s">
        <v>195</v>
      </c>
      <c r="D53" s="2" t="str">
        <f t="shared" si="3"/>
        <v>DZCAS8OVR</v>
      </c>
      <c r="E53" s="2" t="s">
        <v>196</v>
      </c>
      <c r="F53" s="2" t="s">
        <v>86</v>
      </c>
      <c r="G53" s="2" t="s">
        <v>197</v>
      </c>
      <c r="H53" t="str">
        <f t="shared" si="1"/>
        <v>MARY VALVO</v>
      </c>
      <c r="I53" s="2" t="s">
        <v>63</v>
      </c>
      <c r="J53" s="2" t="s">
        <v>117</v>
      </c>
      <c r="K53" s="2" t="s">
        <v>47</v>
      </c>
      <c r="L53" s="2" t="s">
        <v>48</v>
      </c>
      <c r="M53" s="2" t="s">
        <v>180</v>
      </c>
      <c r="N53" s="2">
        <v>0</v>
      </c>
      <c r="O53" s="2">
        <v>125</v>
      </c>
      <c r="P53" s="2">
        <v>125</v>
      </c>
      <c r="Q53" s="2" t="s">
        <v>199</v>
      </c>
    </row>
  </sheetData>
  <sortState xmlns:xlrd2="http://schemas.microsoft.com/office/spreadsheetml/2017/richdata2" ref="A2:X53">
    <sortCondition ref="Q2:Q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2026-02-07T08:47:15Z</dcterms:created>
  <dcterms:modified xsi:type="dcterms:W3CDTF">2026-02-10T16:16:29Z</dcterms:modified>
</cp:coreProperties>
</file>