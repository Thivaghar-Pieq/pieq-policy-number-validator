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Devoted health\2026\2026-06-05\"/>
    </mc:Choice>
  </mc:AlternateContent>
  <xr:revisionPtr revIDLastSave="0" documentId="13_ncr:1_{42A0BE1C-1BC2-43D6-AB87-F95ECB860248}" xr6:coauthVersionLast="47" xr6:coauthVersionMax="47" xr10:uidLastSave="{00000000-0000-0000-0000-000000000000}"/>
  <bookViews>
    <workbookView xWindow="-120" yWindow="-120" windowWidth="29040" windowHeight="15720" tabRatio="204" firstSheet="1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" i="3"/>
  <c r="B9" i="3"/>
  <c r="B10" i="3"/>
  <c r="B11" i="3"/>
  <c r="B12" i="3"/>
  <c r="B13" i="3"/>
  <c r="B14" i="3"/>
  <c r="B15" i="3"/>
  <c r="B16" i="3"/>
  <c r="B17" i="3"/>
  <c r="B18" i="3"/>
  <c r="B19" i="3"/>
  <c r="B8" i="3"/>
  <c r="E9" i="3"/>
  <c r="E10" i="3"/>
  <c r="E11" i="3"/>
  <c r="E12" i="3"/>
  <c r="E13" i="3"/>
  <c r="E14" i="3"/>
  <c r="E15" i="3"/>
  <c r="E16" i="3"/>
  <c r="E17" i="3"/>
  <c r="E18" i="3"/>
  <c r="E19" i="3"/>
  <c r="E8" i="3"/>
  <c r="E7" i="3"/>
  <c r="E6" i="3"/>
  <c r="E5" i="3"/>
  <c r="E4" i="3"/>
  <c r="E3" i="3"/>
  <c r="E2" i="3"/>
  <c r="T7" i="3"/>
  <c r="T3" i="3"/>
</calcChain>
</file>

<file path=xl/sharedStrings.xml><?xml version="1.0" encoding="utf-8"?>
<sst xmlns="http://schemas.openxmlformats.org/spreadsheetml/2006/main" count="481" uniqueCount="95">
  <si>
    <t>Description</t>
  </si>
  <si>
    <t>Member Count</t>
  </si>
  <si>
    <t>Total</t>
  </si>
  <si>
    <t>Payee</t>
  </si>
  <si>
    <t>Payment Date</t>
  </si>
  <si>
    <t>Credits</t>
  </si>
  <si>
    <t>$1,983.14</t>
  </si>
  <si>
    <t>Main Line Benefits LLC</t>
  </si>
  <si>
    <t>06/05/2026</t>
  </si>
  <si>
    <t>Debits</t>
  </si>
  <si>
    <t>($460.25)</t>
  </si>
  <si>
    <t>Miscellaneous</t>
  </si>
  <si>
    <t>$0.00</t>
  </si>
  <si>
    <t>Bonus</t>
  </si>
  <si>
    <t>Sub Total</t>
  </si>
  <si>
    <t>$1,522.89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</si>
  <si>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</si>
  <si>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</si>
  <si>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</si>
  <si>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</si>
  <si>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</si>
  <si>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</si>
  <si>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</si>
  <si>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</si>
  <si>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</si>
  <si>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</si>
  <si>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</si>
  <si>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</si>
  <si>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</si>
  <si>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</si>
  <si>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</si>
  <si>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</si>
  <si>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</si>
  <si>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</si>
  <si>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</si>
  <si>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</si>
  <si>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</si>
  <si>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</si>
  <si>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</si>
  <si>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</si>
  <si>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20212926</t>
  </si>
  <si>
    <t>Jose Torres</t>
  </si>
  <si>
    <t>DA9YER</t>
  </si>
  <si>
    <t>7JP9G94UA49</t>
  </si>
  <si>
    <t>ARTEMIO</t>
  </si>
  <si>
    <t>BUSTOS</t>
  </si>
  <si>
    <t>IL</t>
  </si>
  <si>
    <t>03/23/2026</t>
  </si>
  <si>
    <t>04/01/2026</t>
  </si>
  <si>
    <t>05/31/2026</t>
  </si>
  <si>
    <t>H7151</t>
  </si>
  <si>
    <t>MAPD</t>
  </si>
  <si>
    <t>Initial - Not New</t>
  </si>
  <si>
    <t>Apr</t>
  </si>
  <si>
    <t>19396223</t>
  </si>
  <si>
    <t>Saadia Abdul</t>
  </si>
  <si>
    <t>DWFWAG</t>
  </si>
  <si>
    <t>1CW1HW0CN16</t>
  </si>
  <si>
    <t>JOSEPH</t>
  </si>
  <si>
    <t>KNEPPER</t>
  </si>
  <si>
    <t>CO</t>
  </si>
  <si>
    <t>05/19/2026</t>
  </si>
  <si>
    <t>06/01/2026</t>
  </si>
  <si>
    <t>H4808</t>
  </si>
  <si>
    <t>Jun</t>
  </si>
  <si>
    <t>16633294</t>
  </si>
  <si>
    <t>Richard Yale</t>
  </si>
  <si>
    <t>DAWY49</t>
  </si>
  <si>
    <t>4CW9X93CN16</t>
  </si>
  <si>
    <t>RENEE</t>
  </si>
  <si>
    <t>MAIORANA</t>
  </si>
  <si>
    <t>H6545</t>
  </si>
  <si>
    <t>D496ZW</t>
  </si>
  <si>
    <t>6DW8V95CE68</t>
  </si>
  <si>
    <t>SILVIO</t>
  </si>
  <si>
    <t>8814784</t>
  </si>
  <si>
    <t>Frank Liskovec</t>
  </si>
  <si>
    <t>DU895U</t>
  </si>
  <si>
    <t>3UV6PK1NP46</t>
  </si>
  <si>
    <t>LUKE</t>
  </si>
  <si>
    <t>PLANINIC</t>
  </si>
  <si>
    <t>05/21/2026</t>
  </si>
  <si>
    <t>21283956</t>
  </si>
  <si>
    <t>Victor Fuentes</t>
  </si>
  <si>
    <t>DWSFJ7</t>
  </si>
  <si>
    <t>5NP4R14TR02</t>
  </si>
  <si>
    <t>DEBORAH</t>
  </si>
  <si>
    <t>TESNOW</t>
  </si>
  <si>
    <t>05/18/2026</t>
  </si>
  <si>
    <t>07/01/2026</t>
  </si>
  <si>
    <t>[%/$=347][prorate=9/12]</t>
  </si>
  <si>
    <t>Devoted Health MAPD 2026*</t>
  </si>
  <si>
    <t>[%/$=347][prorate=7/12]</t>
  </si>
  <si>
    <t>[%/$=347][prorate=6/12]</t>
  </si>
  <si>
    <t>Devoted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</si>
</sst>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6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3</v>
      </c>
      <c r="N2" t="s">
        <v>51</v>
      </c>
      <c r="O2">
        <v>2</v>
      </c>
      <c r="P2" t="s">
        <v>52</v>
      </c>
      <c r="Q2" t="s">
        <v>53</v>
      </c>
      <c r="R2">
        <v>0</v>
      </c>
      <c r="S2">
        <v>-125</v>
      </c>
      <c r="T2">
        <v>-125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>
        <v>3</v>
      </c>
      <c r="N3" t="s">
        <v>51</v>
      </c>
      <c r="O3">
        <v>2</v>
      </c>
      <c r="P3" t="s">
        <v>52</v>
      </c>
      <c r="Q3" t="s">
        <v>53</v>
      </c>
      <c r="R3">
        <v>0</v>
      </c>
      <c r="S3">
        <v>-75</v>
      </c>
      <c r="T3">
        <v>-75</v>
      </c>
      <c r="U3" t="s">
        <v>7</v>
      </c>
    </row>
    <row r="4" spans="1:22" x14ac:dyDescent="0.25">
      <c r="A4" t="s">
        <v>8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>
        <v>3</v>
      </c>
      <c r="N4" t="s">
        <v>51</v>
      </c>
      <c r="O4">
        <v>2</v>
      </c>
      <c r="P4" t="s">
        <v>52</v>
      </c>
      <c r="Q4" t="s">
        <v>53</v>
      </c>
      <c r="R4">
        <v>-260.25</v>
      </c>
      <c r="S4">
        <v>0</v>
      </c>
      <c r="T4">
        <v>-260.25</v>
      </c>
      <c r="U4" t="s">
        <v>7</v>
      </c>
    </row>
    <row r="5" spans="1:22" x14ac:dyDescent="0.25">
      <c r="A5" t="s">
        <v>8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L5" t="s">
        <v>63</v>
      </c>
      <c r="M5">
        <v>2</v>
      </c>
      <c r="O5">
        <v>0</v>
      </c>
      <c r="P5" t="s">
        <v>52</v>
      </c>
      <c r="Q5" t="s">
        <v>64</v>
      </c>
      <c r="R5">
        <v>0</v>
      </c>
      <c r="S5">
        <v>125</v>
      </c>
      <c r="T5">
        <v>125</v>
      </c>
      <c r="U5" t="s">
        <v>7</v>
      </c>
    </row>
    <row r="6" spans="1:22" x14ac:dyDescent="0.25">
      <c r="A6" t="s">
        <v>8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L6" t="s">
        <v>63</v>
      </c>
      <c r="M6">
        <v>2</v>
      </c>
      <c r="O6">
        <v>0</v>
      </c>
      <c r="P6" t="s">
        <v>52</v>
      </c>
      <c r="Q6" t="s">
        <v>64</v>
      </c>
      <c r="R6">
        <v>0</v>
      </c>
      <c r="S6">
        <v>75</v>
      </c>
      <c r="T6">
        <v>75</v>
      </c>
      <c r="U6" t="s">
        <v>7</v>
      </c>
    </row>
    <row r="7" spans="1:22" x14ac:dyDescent="0.25">
      <c r="A7" t="s">
        <v>8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L7" t="s">
        <v>63</v>
      </c>
      <c r="M7">
        <v>2</v>
      </c>
      <c r="O7">
        <v>0</v>
      </c>
      <c r="P7" t="s">
        <v>52</v>
      </c>
      <c r="Q7" t="s">
        <v>64</v>
      </c>
      <c r="R7">
        <v>202.41</v>
      </c>
      <c r="S7">
        <v>0</v>
      </c>
      <c r="T7">
        <v>202.41</v>
      </c>
      <c r="U7" t="s">
        <v>7</v>
      </c>
    </row>
    <row r="8" spans="1:22" x14ac:dyDescent="0.25">
      <c r="A8" t="s">
        <v>8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46</v>
      </c>
      <c r="I8" t="s">
        <v>61</v>
      </c>
      <c r="J8" t="s">
        <v>62</v>
      </c>
      <c r="L8" t="s">
        <v>71</v>
      </c>
      <c r="M8">
        <v>10</v>
      </c>
      <c r="O8">
        <v>0</v>
      </c>
      <c r="P8" t="s">
        <v>52</v>
      </c>
      <c r="Q8" t="s">
        <v>64</v>
      </c>
      <c r="R8">
        <v>202.41</v>
      </c>
      <c r="S8">
        <v>0</v>
      </c>
      <c r="T8">
        <v>202.41</v>
      </c>
      <c r="U8" t="s">
        <v>7</v>
      </c>
    </row>
    <row r="9" spans="1:22" x14ac:dyDescent="0.25">
      <c r="A9" t="s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46</v>
      </c>
      <c r="I9" t="s">
        <v>61</v>
      </c>
      <c r="J9" t="s">
        <v>62</v>
      </c>
      <c r="L9" t="s">
        <v>71</v>
      </c>
      <c r="M9">
        <v>10</v>
      </c>
      <c r="O9">
        <v>0</v>
      </c>
      <c r="P9" t="s">
        <v>52</v>
      </c>
      <c r="Q9" t="s">
        <v>64</v>
      </c>
      <c r="R9">
        <v>0</v>
      </c>
      <c r="S9">
        <v>125</v>
      </c>
      <c r="T9">
        <v>125</v>
      </c>
      <c r="U9" t="s">
        <v>7</v>
      </c>
    </row>
    <row r="10" spans="1:22" x14ac:dyDescent="0.25">
      <c r="A10" t="s">
        <v>8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46</v>
      </c>
      <c r="I10" t="s">
        <v>61</v>
      </c>
      <c r="J10" t="s">
        <v>62</v>
      </c>
      <c r="L10" t="s">
        <v>71</v>
      </c>
      <c r="M10">
        <v>10</v>
      </c>
      <c r="O10">
        <v>0</v>
      </c>
      <c r="P10" t="s">
        <v>52</v>
      </c>
      <c r="Q10" t="s">
        <v>64</v>
      </c>
      <c r="R10">
        <v>0</v>
      </c>
      <c r="S10">
        <v>75</v>
      </c>
      <c r="T10">
        <v>75</v>
      </c>
      <c r="U10" t="s">
        <v>7</v>
      </c>
    </row>
    <row r="11" spans="1:22" x14ac:dyDescent="0.25">
      <c r="A11" t="s">
        <v>8</v>
      </c>
      <c r="B11" t="s">
        <v>65</v>
      </c>
      <c r="C11" t="s">
        <v>66</v>
      </c>
      <c r="D11" t="s">
        <v>72</v>
      </c>
      <c r="E11" t="s">
        <v>73</v>
      </c>
      <c r="F11" t="s">
        <v>74</v>
      </c>
      <c r="G11" t="s">
        <v>70</v>
      </c>
      <c r="H11" t="s">
        <v>46</v>
      </c>
      <c r="I11" t="s">
        <v>61</v>
      </c>
      <c r="J11" t="s">
        <v>62</v>
      </c>
      <c r="L11" t="s">
        <v>71</v>
      </c>
      <c r="M11">
        <v>10</v>
      </c>
      <c r="O11">
        <v>0</v>
      </c>
      <c r="P11" t="s">
        <v>52</v>
      </c>
      <c r="Q11" t="s">
        <v>64</v>
      </c>
      <c r="R11">
        <v>0</v>
      </c>
      <c r="S11">
        <v>75</v>
      </c>
      <c r="T11">
        <v>75</v>
      </c>
      <c r="U11" t="s">
        <v>7</v>
      </c>
    </row>
    <row r="12" spans="1:22" x14ac:dyDescent="0.25">
      <c r="A12" t="s">
        <v>8</v>
      </c>
      <c r="B12" t="s">
        <v>65</v>
      </c>
      <c r="C12" t="s">
        <v>66</v>
      </c>
      <c r="D12" t="s">
        <v>72</v>
      </c>
      <c r="E12" t="s">
        <v>73</v>
      </c>
      <c r="F12" t="s">
        <v>74</v>
      </c>
      <c r="G12" t="s">
        <v>70</v>
      </c>
      <c r="H12" t="s">
        <v>46</v>
      </c>
      <c r="I12" t="s">
        <v>61</v>
      </c>
      <c r="J12" t="s">
        <v>62</v>
      </c>
      <c r="L12" t="s">
        <v>71</v>
      </c>
      <c r="M12">
        <v>10</v>
      </c>
      <c r="O12">
        <v>0</v>
      </c>
      <c r="P12" t="s">
        <v>52</v>
      </c>
      <c r="Q12" t="s">
        <v>64</v>
      </c>
      <c r="R12">
        <v>0</v>
      </c>
      <c r="S12">
        <v>125</v>
      </c>
      <c r="T12">
        <v>125</v>
      </c>
      <c r="U12" t="s">
        <v>7</v>
      </c>
    </row>
    <row r="13" spans="1:22" x14ac:dyDescent="0.25">
      <c r="A13" t="s">
        <v>8</v>
      </c>
      <c r="B13" t="s">
        <v>65</v>
      </c>
      <c r="C13" t="s">
        <v>66</v>
      </c>
      <c r="D13" t="s">
        <v>72</v>
      </c>
      <c r="E13" t="s">
        <v>73</v>
      </c>
      <c r="F13" t="s">
        <v>74</v>
      </c>
      <c r="G13" t="s">
        <v>70</v>
      </c>
      <c r="H13" t="s">
        <v>46</v>
      </c>
      <c r="I13" t="s">
        <v>61</v>
      </c>
      <c r="J13" t="s">
        <v>62</v>
      </c>
      <c r="L13" t="s">
        <v>71</v>
      </c>
      <c r="M13">
        <v>10</v>
      </c>
      <c r="O13">
        <v>0</v>
      </c>
      <c r="P13" t="s">
        <v>52</v>
      </c>
      <c r="Q13" t="s">
        <v>64</v>
      </c>
      <c r="R13">
        <v>202.41</v>
      </c>
      <c r="S13">
        <v>0</v>
      </c>
      <c r="T13">
        <v>202.41</v>
      </c>
      <c r="U13" t="s">
        <v>7</v>
      </c>
    </row>
    <row r="14" spans="1:22" x14ac:dyDescent="0.25">
      <c r="A14" t="s">
        <v>8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46</v>
      </c>
      <c r="I14" t="s">
        <v>81</v>
      </c>
      <c r="J14" t="s">
        <v>62</v>
      </c>
      <c r="L14" t="s">
        <v>50</v>
      </c>
      <c r="M14">
        <v>5</v>
      </c>
      <c r="O14">
        <v>0</v>
      </c>
      <c r="P14" t="s">
        <v>52</v>
      </c>
      <c r="Q14" t="s">
        <v>64</v>
      </c>
      <c r="R14">
        <v>202.41</v>
      </c>
      <c r="S14">
        <v>0</v>
      </c>
      <c r="T14">
        <v>202.41</v>
      </c>
      <c r="U14" t="s">
        <v>7</v>
      </c>
    </row>
    <row r="15" spans="1:22" x14ac:dyDescent="0.25">
      <c r="A15" t="s">
        <v>8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46</v>
      </c>
      <c r="I15" t="s">
        <v>81</v>
      </c>
      <c r="J15" t="s">
        <v>62</v>
      </c>
      <c r="L15" t="s">
        <v>50</v>
      </c>
      <c r="M15">
        <v>5</v>
      </c>
      <c r="O15">
        <v>0</v>
      </c>
      <c r="P15" t="s">
        <v>52</v>
      </c>
      <c r="Q15" t="s">
        <v>64</v>
      </c>
      <c r="R15">
        <v>0</v>
      </c>
      <c r="S15">
        <v>75</v>
      </c>
      <c r="T15">
        <v>75</v>
      </c>
      <c r="U15" t="s">
        <v>7</v>
      </c>
    </row>
    <row r="16" spans="1:22" x14ac:dyDescent="0.25">
      <c r="A16" t="s">
        <v>8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46</v>
      </c>
      <c r="I16" t="s">
        <v>81</v>
      </c>
      <c r="J16" t="s">
        <v>62</v>
      </c>
      <c r="L16" t="s">
        <v>50</v>
      </c>
      <c r="M16">
        <v>5</v>
      </c>
      <c r="O16">
        <v>0</v>
      </c>
      <c r="P16" t="s">
        <v>52</v>
      </c>
      <c r="Q16" t="s">
        <v>64</v>
      </c>
      <c r="R16">
        <v>0</v>
      </c>
      <c r="S16">
        <v>125</v>
      </c>
      <c r="T16">
        <v>125</v>
      </c>
      <c r="U16" t="s">
        <v>7</v>
      </c>
    </row>
    <row r="17" spans="1:21" x14ac:dyDescent="0.25">
      <c r="A17" t="s">
        <v>8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46</v>
      </c>
      <c r="I17" t="s">
        <v>88</v>
      </c>
      <c r="J17" t="s">
        <v>89</v>
      </c>
      <c r="L17" t="s">
        <v>71</v>
      </c>
      <c r="M17">
        <v>10</v>
      </c>
      <c r="O17">
        <v>0</v>
      </c>
      <c r="P17" t="s">
        <v>52</v>
      </c>
      <c r="Q17" t="s">
        <v>64</v>
      </c>
      <c r="R17">
        <v>173.5</v>
      </c>
      <c r="S17">
        <v>0</v>
      </c>
      <c r="T17">
        <v>173.5</v>
      </c>
      <c r="U17" t="s">
        <v>7</v>
      </c>
    </row>
    <row r="18" spans="1:21" x14ac:dyDescent="0.25">
      <c r="A18" t="s">
        <v>8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46</v>
      </c>
      <c r="I18" t="s">
        <v>88</v>
      </c>
      <c r="J18" t="s">
        <v>89</v>
      </c>
      <c r="L18" t="s">
        <v>71</v>
      </c>
      <c r="M18">
        <v>10</v>
      </c>
      <c r="O18">
        <v>0</v>
      </c>
      <c r="P18" t="s">
        <v>52</v>
      </c>
      <c r="Q18" t="s">
        <v>64</v>
      </c>
      <c r="R18">
        <v>0</v>
      </c>
      <c r="S18">
        <v>75</v>
      </c>
      <c r="T18">
        <v>75</v>
      </c>
      <c r="U18" t="s">
        <v>7</v>
      </c>
    </row>
    <row r="19" spans="1:21" x14ac:dyDescent="0.25">
      <c r="A19" t="s">
        <v>8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46</v>
      </c>
      <c r="I19" t="s">
        <v>88</v>
      </c>
      <c r="J19" t="s">
        <v>89</v>
      </c>
      <c r="L19" t="s">
        <v>71</v>
      </c>
      <c r="M19">
        <v>10</v>
      </c>
      <c r="O19">
        <v>0</v>
      </c>
      <c r="P19" t="s">
        <v>52</v>
      </c>
      <c r="Q19" t="s">
        <v>64</v>
      </c>
      <c r="R19">
        <v>0</v>
      </c>
      <c r="S19">
        <v>125</v>
      </c>
      <c r="T19">
        <v>125</v>
      </c>
      <c r="U19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B344-E051-4CB1-B506-865F04B15104}">
  <dimension ref="A1:T19"/>
  <sheetViews>
    <sheetView tabSelected="1" topLeftCell="C1" workbookViewId="0">
      <selection activeCell="D7" sqref="D7"/>
    </sheetView>
  </sheetViews>
  <sheetFormatPr defaultRowHeight="15" x14ac:dyDescent="0.25"/>
  <cols>
    <col min="1" max="1" width="10" customWidth="1"/>
    <col min="2" max="2" width="12.85546875" bestFit="1" customWidth="1"/>
    <col min="3" max="3" width="17.28515625" customWidth="1"/>
    <col min="4" max="5" width="15" customWidth="1"/>
    <col min="7" max="8" width="12.7109375" customWidth="1"/>
    <col min="9" max="9" width="13.7109375" customWidth="1"/>
    <col min="10" max="11" width="13.4257812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8" max="18" width="26.7109375" bestFit="1" customWidth="1"/>
    <col min="19" max="19" width="23.140625" bestFit="1" customWidth="1"/>
  </cols>
  <sheetData>
    <row r="1" spans="1:20" x14ac:dyDescent="0.25">
      <c r="A1" t="s">
        <v>19</v>
      </c>
      <c r="C1" t="s">
        <v>20</v>
      </c>
      <c r="D1" t="s">
        <v>21</v>
      </c>
      <c r="F1" t="s">
        <v>23</v>
      </c>
      <c r="G1" t="s">
        <v>24</v>
      </c>
      <c r="I1" t="s">
        <v>25</v>
      </c>
      <c r="J1" t="s">
        <v>27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20" x14ac:dyDescent="0.25">
      <c r="A2" s="2">
        <v>20212926</v>
      </c>
      <c r="B2" s="2">
        <v>20212926</v>
      </c>
      <c r="C2" t="s">
        <v>41</v>
      </c>
      <c r="D2" t="s">
        <v>42</v>
      </c>
      <c r="E2" t="str">
        <f>CONCATENATE(D2,7)</f>
        <v>DA9YER7</v>
      </c>
      <c r="F2" t="s">
        <v>44</v>
      </c>
      <c r="G2" t="s">
        <v>45</v>
      </c>
      <c r="H2" t="str">
        <f>CONCATENATE(F2," ",G2)</f>
        <v>ARTEMIO BUSTOS</v>
      </c>
      <c r="I2" t="s">
        <v>46</v>
      </c>
      <c r="J2" t="s">
        <v>48</v>
      </c>
      <c r="K2" s="4">
        <v>46143</v>
      </c>
      <c r="L2" t="s">
        <v>52</v>
      </c>
      <c r="M2" t="s">
        <v>53</v>
      </c>
      <c r="N2">
        <v>-260.25</v>
      </c>
      <c r="O2">
        <v>0</v>
      </c>
      <c r="P2">
        <v>-260.25</v>
      </c>
      <c r="Q2">
        <v>-260.25</v>
      </c>
      <c r="R2" t="s">
        <v>91</v>
      </c>
      <c r="S2" t="s">
        <v>90</v>
      </c>
    </row>
    <row r="3" spans="1:20" x14ac:dyDescent="0.25">
      <c r="A3" s="2">
        <v>19396223</v>
      </c>
      <c r="B3" s="2">
        <v>19396223</v>
      </c>
      <c r="C3" t="s">
        <v>55</v>
      </c>
      <c r="D3" t="s">
        <v>56</v>
      </c>
      <c r="E3" t="str">
        <f t="shared" ref="E3:E7" si="0">CONCATENATE(D3,7)</f>
        <v>DWFWAG7</v>
      </c>
      <c r="F3" t="s">
        <v>58</v>
      </c>
      <c r="G3" t="s">
        <v>59</v>
      </c>
      <c r="H3" t="str">
        <f t="shared" ref="H3:H19" si="1">CONCATENATE(F3," ",G3)</f>
        <v>JOSEPH KNEPPER</v>
      </c>
      <c r="I3" t="s">
        <v>60</v>
      </c>
      <c r="J3" t="s">
        <v>62</v>
      </c>
      <c r="K3" s="4">
        <v>46387</v>
      </c>
      <c r="L3" t="s">
        <v>52</v>
      </c>
      <c r="M3" t="s">
        <v>64</v>
      </c>
      <c r="N3">
        <v>202.41</v>
      </c>
      <c r="O3">
        <v>0</v>
      </c>
      <c r="P3">
        <v>202.41</v>
      </c>
      <c r="Q3">
        <v>202.41</v>
      </c>
      <c r="R3" t="s">
        <v>91</v>
      </c>
      <c r="S3" t="s">
        <v>92</v>
      </c>
      <c r="T3">
        <f>347/12*7</f>
        <v>202.41666666666669</v>
      </c>
    </row>
    <row r="4" spans="1:20" x14ac:dyDescent="0.25">
      <c r="A4" s="2">
        <v>16633294</v>
      </c>
      <c r="B4" s="2">
        <v>16633294</v>
      </c>
      <c r="C4" t="s">
        <v>66</v>
      </c>
      <c r="D4" t="s">
        <v>67</v>
      </c>
      <c r="E4" t="str">
        <f t="shared" si="0"/>
        <v>DAWY497</v>
      </c>
      <c r="F4" t="s">
        <v>69</v>
      </c>
      <c r="G4" t="s">
        <v>70</v>
      </c>
      <c r="H4" t="str">
        <f t="shared" si="1"/>
        <v>RENEE MAIORANA</v>
      </c>
      <c r="I4" t="s">
        <v>46</v>
      </c>
      <c r="J4" t="s">
        <v>62</v>
      </c>
      <c r="K4" s="4">
        <v>46387</v>
      </c>
      <c r="L4" t="s">
        <v>52</v>
      </c>
      <c r="M4" t="s">
        <v>64</v>
      </c>
      <c r="N4">
        <v>202.41</v>
      </c>
      <c r="O4">
        <v>0</v>
      </c>
      <c r="P4">
        <v>202.41</v>
      </c>
      <c r="Q4">
        <v>202.41</v>
      </c>
      <c r="R4" t="s">
        <v>91</v>
      </c>
      <c r="S4" t="s">
        <v>92</v>
      </c>
    </row>
    <row r="5" spans="1:20" x14ac:dyDescent="0.25">
      <c r="A5" s="2">
        <v>16633294</v>
      </c>
      <c r="B5" s="2">
        <v>16633294</v>
      </c>
      <c r="C5" t="s">
        <v>66</v>
      </c>
      <c r="D5" t="s">
        <v>72</v>
      </c>
      <c r="E5" t="str">
        <f t="shared" si="0"/>
        <v>D496ZW7</v>
      </c>
      <c r="F5" t="s">
        <v>74</v>
      </c>
      <c r="G5" t="s">
        <v>70</v>
      </c>
      <c r="H5" t="str">
        <f t="shared" si="1"/>
        <v>SILVIO MAIORANA</v>
      </c>
      <c r="I5" t="s">
        <v>46</v>
      </c>
      <c r="J5" t="s">
        <v>62</v>
      </c>
      <c r="K5" s="4">
        <v>46387</v>
      </c>
      <c r="L5" t="s">
        <v>52</v>
      </c>
      <c r="M5" t="s">
        <v>64</v>
      </c>
      <c r="N5">
        <v>202.41</v>
      </c>
      <c r="O5">
        <v>0</v>
      </c>
      <c r="P5">
        <v>202.41</v>
      </c>
      <c r="Q5">
        <v>202.41</v>
      </c>
      <c r="R5" t="s">
        <v>91</v>
      </c>
      <c r="S5" t="s">
        <v>92</v>
      </c>
    </row>
    <row r="6" spans="1:20" x14ac:dyDescent="0.25">
      <c r="A6" s="2">
        <v>8814784</v>
      </c>
      <c r="B6" s="2">
        <v>8814784</v>
      </c>
      <c r="C6" t="s">
        <v>76</v>
      </c>
      <c r="D6" t="s">
        <v>77</v>
      </c>
      <c r="E6" t="str">
        <f t="shared" si="0"/>
        <v>DU895U7</v>
      </c>
      <c r="F6" t="s">
        <v>79</v>
      </c>
      <c r="G6" t="s">
        <v>80</v>
      </c>
      <c r="H6" t="str">
        <f t="shared" si="1"/>
        <v>LUKE PLANINIC</v>
      </c>
      <c r="I6" t="s">
        <v>46</v>
      </c>
      <c r="J6" t="s">
        <v>62</v>
      </c>
      <c r="K6" s="4">
        <v>46387</v>
      </c>
      <c r="L6" t="s">
        <v>52</v>
      </c>
      <c r="M6" t="s">
        <v>64</v>
      </c>
      <c r="N6">
        <v>202.41</v>
      </c>
      <c r="O6">
        <v>0</v>
      </c>
      <c r="P6">
        <v>202.41</v>
      </c>
      <c r="Q6">
        <v>202.41</v>
      </c>
      <c r="R6" t="s">
        <v>91</v>
      </c>
      <c r="S6" t="s">
        <v>92</v>
      </c>
    </row>
    <row r="7" spans="1:20" x14ac:dyDescent="0.25">
      <c r="A7" s="2">
        <v>21283956</v>
      </c>
      <c r="B7" s="2">
        <v>21283956</v>
      </c>
      <c r="C7" t="s">
        <v>83</v>
      </c>
      <c r="D7" t="s">
        <v>84</v>
      </c>
      <c r="E7" t="str">
        <f t="shared" si="0"/>
        <v>DWSFJ77</v>
      </c>
      <c r="F7" t="s">
        <v>86</v>
      </c>
      <c r="G7" t="s">
        <v>87</v>
      </c>
      <c r="H7" t="str">
        <f t="shared" si="1"/>
        <v>DEBORAH TESNOW</v>
      </c>
      <c r="I7" t="s">
        <v>46</v>
      </c>
      <c r="J7" t="s">
        <v>89</v>
      </c>
      <c r="K7" s="4">
        <v>46387</v>
      </c>
      <c r="L7" t="s">
        <v>52</v>
      </c>
      <c r="M7" t="s">
        <v>64</v>
      </c>
      <c r="N7">
        <v>173.5</v>
      </c>
      <c r="O7">
        <v>0</v>
      </c>
      <c r="P7">
        <v>173.5</v>
      </c>
      <c r="Q7">
        <v>173.5</v>
      </c>
      <c r="R7" t="s">
        <v>91</v>
      </c>
      <c r="S7" t="s">
        <v>93</v>
      </c>
      <c r="T7">
        <f>347/12*6</f>
        <v>173.5</v>
      </c>
    </row>
    <row r="8" spans="1:20" s="1" customFormat="1" x14ac:dyDescent="0.25">
      <c r="A8" s="3">
        <v>20212926</v>
      </c>
      <c r="B8" s="3" t="str">
        <f>CONCATENATE(A8,"OVR")</f>
        <v>20212926OVR</v>
      </c>
      <c r="C8" s="1" t="s">
        <v>41</v>
      </c>
      <c r="D8" s="1" t="s">
        <v>42</v>
      </c>
      <c r="E8" s="1" t="str">
        <f>CONCATENATE(D8,"OVR")</f>
        <v>DA9YEROVR</v>
      </c>
      <c r="F8" s="1" t="s">
        <v>44</v>
      </c>
      <c r="G8" s="1" t="s">
        <v>45</v>
      </c>
      <c r="H8" t="str">
        <f t="shared" si="1"/>
        <v>ARTEMIO BUSTOS</v>
      </c>
      <c r="I8" s="1" t="s">
        <v>46</v>
      </c>
      <c r="J8" s="1" t="s">
        <v>48</v>
      </c>
      <c r="K8" s="5">
        <v>46143</v>
      </c>
      <c r="L8" s="1" t="s">
        <v>52</v>
      </c>
      <c r="M8" s="1" t="s">
        <v>53</v>
      </c>
      <c r="N8" s="1">
        <v>0</v>
      </c>
      <c r="O8" s="1">
        <v>-125</v>
      </c>
      <c r="P8" s="1">
        <v>-125</v>
      </c>
      <c r="Q8" s="1">
        <v>-125</v>
      </c>
      <c r="R8" s="1" t="s">
        <v>94</v>
      </c>
    </row>
    <row r="9" spans="1:20" s="1" customFormat="1" x14ac:dyDescent="0.25">
      <c r="A9" s="3">
        <v>20212926</v>
      </c>
      <c r="B9" s="3" t="str">
        <f t="shared" ref="B9:B19" si="2">CONCATENATE(A9,"OVR")</f>
        <v>20212926OVR</v>
      </c>
      <c r="C9" s="1" t="s">
        <v>41</v>
      </c>
      <c r="D9" s="1" t="s">
        <v>42</v>
      </c>
      <c r="E9" s="1" t="str">
        <f t="shared" ref="E9:E19" si="3">CONCATENATE(D9,"OVR")</f>
        <v>DA9YEROVR</v>
      </c>
      <c r="F9" s="1" t="s">
        <v>44</v>
      </c>
      <c r="G9" s="1" t="s">
        <v>45</v>
      </c>
      <c r="H9" t="str">
        <f t="shared" si="1"/>
        <v>ARTEMIO BUSTOS</v>
      </c>
      <c r="I9" s="1" t="s">
        <v>46</v>
      </c>
      <c r="J9" s="1" t="s">
        <v>48</v>
      </c>
      <c r="K9" s="5">
        <v>46143</v>
      </c>
      <c r="L9" s="1" t="s">
        <v>52</v>
      </c>
      <c r="M9" s="1" t="s">
        <v>53</v>
      </c>
      <c r="N9" s="1">
        <v>0</v>
      </c>
      <c r="O9" s="1">
        <v>-75</v>
      </c>
      <c r="P9" s="1">
        <v>-75</v>
      </c>
      <c r="Q9" s="1">
        <v>-75</v>
      </c>
      <c r="R9" s="1" t="s">
        <v>94</v>
      </c>
    </row>
    <row r="10" spans="1:20" s="1" customFormat="1" x14ac:dyDescent="0.25">
      <c r="A10" s="3">
        <v>19396223</v>
      </c>
      <c r="B10" s="3" t="str">
        <f t="shared" si="2"/>
        <v>19396223OVR</v>
      </c>
      <c r="C10" s="1" t="s">
        <v>55</v>
      </c>
      <c r="D10" s="1" t="s">
        <v>56</v>
      </c>
      <c r="E10" s="1" t="str">
        <f t="shared" si="3"/>
        <v>DWFWAGOVR</v>
      </c>
      <c r="F10" s="1" t="s">
        <v>58</v>
      </c>
      <c r="G10" s="1" t="s">
        <v>59</v>
      </c>
      <c r="H10" t="str">
        <f t="shared" si="1"/>
        <v>JOSEPH KNEPPER</v>
      </c>
      <c r="I10" s="1" t="s">
        <v>60</v>
      </c>
      <c r="J10" s="1" t="s">
        <v>62</v>
      </c>
      <c r="K10" s="5">
        <v>46387</v>
      </c>
      <c r="L10" s="1" t="s">
        <v>52</v>
      </c>
      <c r="M10" s="1" t="s">
        <v>64</v>
      </c>
      <c r="N10" s="1">
        <v>0</v>
      </c>
      <c r="O10" s="1">
        <v>125</v>
      </c>
      <c r="P10" s="1">
        <v>125</v>
      </c>
      <c r="Q10" s="1">
        <v>125</v>
      </c>
      <c r="R10" s="1" t="s">
        <v>94</v>
      </c>
    </row>
    <row r="11" spans="1:20" s="1" customFormat="1" x14ac:dyDescent="0.25">
      <c r="A11" s="3">
        <v>19396223</v>
      </c>
      <c r="B11" s="3" t="str">
        <f t="shared" si="2"/>
        <v>19396223OVR</v>
      </c>
      <c r="C11" s="1" t="s">
        <v>55</v>
      </c>
      <c r="D11" s="1" t="s">
        <v>56</v>
      </c>
      <c r="E11" s="1" t="str">
        <f t="shared" si="3"/>
        <v>DWFWAGOVR</v>
      </c>
      <c r="F11" s="1" t="s">
        <v>58</v>
      </c>
      <c r="G11" s="1" t="s">
        <v>59</v>
      </c>
      <c r="H11" t="str">
        <f t="shared" si="1"/>
        <v>JOSEPH KNEPPER</v>
      </c>
      <c r="I11" s="1" t="s">
        <v>60</v>
      </c>
      <c r="J11" s="1" t="s">
        <v>62</v>
      </c>
      <c r="K11" s="5">
        <v>46387</v>
      </c>
      <c r="L11" s="1" t="s">
        <v>52</v>
      </c>
      <c r="M11" s="1" t="s">
        <v>64</v>
      </c>
      <c r="N11" s="1">
        <v>0</v>
      </c>
      <c r="O11" s="1">
        <v>75</v>
      </c>
      <c r="P11" s="1">
        <v>75</v>
      </c>
      <c r="Q11" s="1">
        <v>75</v>
      </c>
      <c r="R11" s="1" t="s">
        <v>94</v>
      </c>
    </row>
    <row r="12" spans="1:20" s="1" customFormat="1" x14ac:dyDescent="0.25">
      <c r="A12" s="3">
        <v>16633294</v>
      </c>
      <c r="B12" s="3" t="str">
        <f t="shared" si="2"/>
        <v>16633294OVR</v>
      </c>
      <c r="C12" s="1" t="s">
        <v>66</v>
      </c>
      <c r="D12" s="1" t="s">
        <v>67</v>
      </c>
      <c r="E12" s="1" t="str">
        <f t="shared" si="3"/>
        <v>DAWY49OVR</v>
      </c>
      <c r="F12" s="1" t="s">
        <v>69</v>
      </c>
      <c r="G12" s="1" t="s">
        <v>70</v>
      </c>
      <c r="H12" t="str">
        <f t="shared" si="1"/>
        <v>RENEE MAIORANA</v>
      </c>
      <c r="I12" s="1" t="s">
        <v>46</v>
      </c>
      <c r="J12" s="1" t="s">
        <v>62</v>
      </c>
      <c r="K12" s="5">
        <v>46387</v>
      </c>
      <c r="L12" s="1" t="s">
        <v>52</v>
      </c>
      <c r="M12" s="1" t="s">
        <v>64</v>
      </c>
      <c r="N12" s="1">
        <v>0</v>
      </c>
      <c r="O12" s="1">
        <v>125</v>
      </c>
      <c r="P12" s="1">
        <v>125</v>
      </c>
      <c r="Q12" s="1">
        <v>125</v>
      </c>
      <c r="R12" s="1" t="s">
        <v>94</v>
      </c>
    </row>
    <row r="13" spans="1:20" s="1" customFormat="1" x14ac:dyDescent="0.25">
      <c r="A13" s="3">
        <v>16633294</v>
      </c>
      <c r="B13" s="3" t="str">
        <f t="shared" si="2"/>
        <v>16633294OVR</v>
      </c>
      <c r="C13" s="1" t="s">
        <v>66</v>
      </c>
      <c r="D13" s="1" t="s">
        <v>67</v>
      </c>
      <c r="E13" s="1" t="str">
        <f t="shared" si="3"/>
        <v>DAWY49OVR</v>
      </c>
      <c r="F13" s="1" t="s">
        <v>69</v>
      </c>
      <c r="G13" s="1" t="s">
        <v>70</v>
      </c>
      <c r="H13" t="str">
        <f t="shared" si="1"/>
        <v>RENEE MAIORANA</v>
      </c>
      <c r="I13" s="1" t="s">
        <v>46</v>
      </c>
      <c r="J13" s="1" t="s">
        <v>62</v>
      </c>
      <c r="K13" s="5">
        <v>46387</v>
      </c>
      <c r="L13" s="1" t="s">
        <v>52</v>
      </c>
      <c r="M13" s="1" t="s">
        <v>64</v>
      </c>
      <c r="N13" s="1">
        <v>0</v>
      </c>
      <c r="O13" s="1">
        <v>75</v>
      </c>
      <c r="P13" s="1">
        <v>75</v>
      </c>
      <c r="Q13" s="1">
        <v>75</v>
      </c>
      <c r="R13" s="1" t="s">
        <v>94</v>
      </c>
    </row>
    <row r="14" spans="1:20" s="1" customFormat="1" x14ac:dyDescent="0.25">
      <c r="A14" s="3">
        <v>16633294</v>
      </c>
      <c r="B14" s="3" t="str">
        <f t="shared" si="2"/>
        <v>16633294OVR</v>
      </c>
      <c r="C14" s="1" t="s">
        <v>66</v>
      </c>
      <c r="D14" s="1" t="s">
        <v>72</v>
      </c>
      <c r="E14" s="1" t="str">
        <f t="shared" si="3"/>
        <v>D496ZWOVR</v>
      </c>
      <c r="F14" s="1" t="s">
        <v>74</v>
      </c>
      <c r="G14" s="1" t="s">
        <v>70</v>
      </c>
      <c r="H14" t="str">
        <f t="shared" si="1"/>
        <v>SILVIO MAIORANA</v>
      </c>
      <c r="I14" s="1" t="s">
        <v>46</v>
      </c>
      <c r="J14" s="1" t="s">
        <v>62</v>
      </c>
      <c r="K14" s="5">
        <v>46387</v>
      </c>
      <c r="L14" s="1" t="s">
        <v>52</v>
      </c>
      <c r="M14" s="1" t="s">
        <v>64</v>
      </c>
      <c r="N14" s="1">
        <v>0</v>
      </c>
      <c r="O14" s="1">
        <v>75</v>
      </c>
      <c r="P14" s="1">
        <v>75</v>
      </c>
      <c r="Q14" s="1">
        <v>75</v>
      </c>
      <c r="R14" s="1" t="s">
        <v>94</v>
      </c>
    </row>
    <row r="15" spans="1:20" s="1" customFormat="1" x14ac:dyDescent="0.25">
      <c r="A15" s="3">
        <v>16633294</v>
      </c>
      <c r="B15" s="3" t="str">
        <f t="shared" si="2"/>
        <v>16633294OVR</v>
      </c>
      <c r="C15" s="1" t="s">
        <v>66</v>
      </c>
      <c r="D15" s="1" t="s">
        <v>72</v>
      </c>
      <c r="E15" s="1" t="str">
        <f t="shared" si="3"/>
        <v>D496ZWOVR</v>
      </c>
      <c r="F15" s="1" t="s">
        <v>74</v>
      </c>
      <c r="G15" s="1" t="s">
        <v>70</v>
      </c>
      <c r="H15" t="str">
        <f t="shared" si="1"/>
        <v>SILVIO MAIORANA</v>
      </c>
      <c r="I15" s="1" t="s">
        <v>46</v>
      </c>
      <c r="J15" s="1" t="s">
        <v>62</v>
      </c>
      <c r="K15" s="5">
        <v>46387</v>
      </c>
      <c r="L15" s="1" t="s">
        <v>52</v>
      </c>
      <c r="M15" s="1" t="s">
        <v>64</v>
      </c>
      <c r="N15" s="1">
        <v>0</v>
      </c>
      <c r="O15" s="1">
        <v>125</v>
      </c>
      <c r="P15" s="1">
        <v>125</v>
      </c>
      <c r="Q15" s="1">
        <v>125</v>
      </c>
      <c r="R15" s="1" t="s">
        <v>94</v>
      </c>
    </row>
    <row r="16" spans="1:20" s="1" customFormat="1" x14ac:dyDescent="0.25">
      <c r="A16" s="3">
        <v>8814784</v>
      </c>
      <c r="B16" s="3" t="str">
        <f t="shared" si="2"/>
        <v>8814784OVR</v>
      </c>
      <c r="C16" s="1" t="s">
        <v>76</v>
      </c>
      <c r="D16" s="1" t="s">
        <v>77</v>
      </c>
      <c r="E16" s="1" t="str">
        <f t="shared" si="3"/>
        <v>DU895UOVR</v>
      </c>
      <c r="F16" s="1" t="s">
        <v>79</v>
      </c>
      <c r="G16" s="1" t="s">
        <v>80</v>
      </c>
      <c r="H16" t="str">
        <f t="shared" si="1"/>
        <v>LUKE PLANINIC</v>
      </c>
      <c r="I16" s="1" t="s">
        <v>46</v>
      </c>
      <c r="J16" s="1" t="s">
        <v>62</v>
      </c>
      <c r="K16" s="5">
        <v>46387</v>
      </c>
      <c r="L16" s="1" t="s">
        <v>52</v>
      </c>
      <c r="M16" s="1" t="s">
        <v>64</v>
      </c>
      <c r="N16" s="1">
        <v>0</v>
      </c>
      <c r="O16" s="1">
        <v>75</v>
      </c>
      <c r="P16" s="1">
        <v>75</v>
      </c>
      <c r="Q16" s="1">
        <v>75</v>
      </c>
      <c r="R16" s="1" t="s">
        <v>94</v>
      </c>
    </row>
    <row r="17" spans="1:18" s="1" customFormat="1" x14ac:dyDescent="0.25">
      <c r="A17" s="3">
        <v>8814784</v>
      </c>
      <c r="B17" s="3" t="str">
        <f t="shared" si="2"/>
        <v>8814784OVR</v>
      </c>
      <c r="C17" s="1" t="s">
        <v>76</v>
      </c>
      <c r="D17" s="1" t="s">
        <v>77</v>
      </c>
      <c r="E17" s="1" t="str">
        <f t="shared" si="3"/>
        <v>DU895UOVR</v>
      </c>
      <c r="F17" s="1" t="s">
        <v>79</v>
      </c>
      <c r="G17" s="1" t="s">
        <v>80</v>
      </c>
      <c r="H17" t="str">
        <f t="shared" si="1"/>
        <v>LUKE PLANINIC</v>
      </c>
      <c r="I17" s="1" t="s">
        <v>46</v>
      </c>
      <c r="J17" s="1" t="s">
        <v>62</v>
      </c>
      <c r="K17" s="5">
        <v>46387</v>
      </c>
      <c r="L17" s="1" t="s">
        <v>52</v>
      </c>
      <c r="M17" s="1" t="s">
        <v>64</v>
      </c>
      <c r="N17" s="1">
        <v>0</v>
      </c>
      <c r="O17" s="1">
        <v>125</v>
      </c>
      <c r="P17" s="1">
        <v>125</v>
      </c>
      <c r="Q17" s="1">
        <v>125</v>
      </c>
      <c r="R17" s="1" t="s">
        <v>94</v>
      </c>
    </row>
    <row r="18" spans="1:18" s="1" customFormat="1" x14ac:dyDescent="0.25">
      <c r="A18" s="3">
        <v>21283956</v>
      </c>
      <c r="B18" s="3" t="str">
        <f t="shared" si="2"/>
        <v>21283956OVR</v>
      </c>
      <c r="C18" s="1" t="s">
        <v>83</v>
      </c>
      <c r="D18" s="1" t="s">
        <v>84</v>
      </c>
      <c r="E18" s="1" t="str">
        <f t="shared" si="3"/>
        <v>DWSFJ7OVR</v>
      </c>
      <c r="F18" s="1" t="s">
        <v>86</v>
      </c>
      <c r="G18" s="1" t="s">
        <v>87</v>
      </c>
      <c r="H18" t="str">
        <f t="shared" si="1"/>
        <v>DEBORAH TESNOW</v>
      </c>
      <c r="I18" s="1" t="s">
        <v>46</v>
      </c>
      <c r="J18" s="1" t="s">
        <v>89</v>
      </c>
      <c r="K18" s="5">
        <v>46387</v>
      </c>
      <c r="L18" s="1" t="s">
        <v>52</v>
      </c>
      <c r="M18" s="1" t="s">
        <v>64</v>
      </c>
      <c r="N18" s="1">
        <v>0</v>
      </c>
      <c r="O18" s="1">
        <v>75</v>
      </c>
      <c r="P18" s="1">
        <v>75</v>
      </c>
      <c r="Q18" s="1">
        <v>75</v>
      </c>
      <c r="R18" s="1" t="s">
        <v>94</v>
      </c>
    </row>
    <row r="19" spans="1:18" s="1" customFormat="1" x14ac:dyDescent="0.25">
      <c r="A19" s="3">
        <v>21283956</v>
      </c>
      <c r="B19" s="3" t="str">
        <f t="shared" si="2"/>
        <v>21283956OVR</v>
      </c>
      <c r="C19" s="1" t="s">
        <v>83</v>
      </c>
      <c r="D19" s="1" t="s">
        <v>84</v>
      </c>
      <c r="E19" s="1" t="str">
        <f t="shared" si="3"/>
        <v>DWSFJ7OVR</v>
      </c>
      <c r="F19" s="1" t="s">
        <v>86</v>
      </c>
      <c r="G19" s="1" t="s">
        <v>87</v>
      </c>
      <c r="H19" t="str">
        <f t="shared" si="1"/>
        <v>DEBORAH TESNOW</v>
      </c>
      <c r="I19" s="1" t="s">
        <v>46</v>
      </c>
      <c r="J19" s="1" t="s">
        <v>89</v>
      </c>
      <c r="K19" s="5">
        <v>46387</v>
      </c>
      <c r="L19" s="1" t="s">
        <v>52</v>
      </c>
      <c r="M19" s="1" t="s">
        <v>64</v>
      </c>
      <c r="N19" s="1">
        <v>0</v>
      </c>
      <c r="O19" s="1">
        <v>125</v>
      </c>
      <c r="P19" s="1">
        <v>125</v>
      </c>
      <c r="Q19" s="1">
        <v>125</v>
      </c>
      <c r="R19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2026-06-08T06:17:25Z</dcterms:created>
  <dcterms:modified xsi:type="dcterms:W3CDTF">2026-06-09T18:50:43Z</dcterms:modified>
</cp:coreProperties>
</file>