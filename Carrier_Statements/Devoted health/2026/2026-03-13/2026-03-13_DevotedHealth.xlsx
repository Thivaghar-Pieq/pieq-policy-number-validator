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3-13-26\"/>
    </mc:Choice>
  </mc:AlternateContent>
  <xr:revisionPtr revIDLastSave="0" documentId="13_ncr:1_{A4FCED0B-44C8-4453-8BFA-5E78B91572F9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33" i="3" l="1"/>
  <c r="G38" i="3"/>
  <c r="G20" i="3"/>
  <c r="G22" i="3"/>
  <c r="G34" i="3"/>
  <c r="G5" i="3"/>
  <c r="G24" i="3"/>
  <c r="G28" i="3"/>
  <c r="G26" i="3"/>
  <c r="G13" i="3"/>
  <c r="G43" i="3"/>
  <c r="G40" i="3"/>
  <c r="G2" i="3"/>
  <c r="G30" i="3"/>
  <c r="G15" i="3"/>
  <c r="G39" i="3"/>
  <c r="G21" i="3"/>
  <c r="G23" i="3"/>
  <c r="G35" i="3"/>
  <c r="G6" i="3"/>
  <c r="G25" i="3"/>
  <c r="G29" i="3"/>
  <c r="G27" i="3"/>
  <c r="G14" i="3"/>
  <c r="G44" i="3"/>
  <c r="G7" i="3"/>
  <c r="G10" i="3"/>
  <c r="G17" i="3"/>
  <c r="G16" i="3"/>
  <c r="G37" i="3"/>
  <c r="G41" i="3"/>
  <c r="G8" i="3"/>
  <c r="G31" i="3"/>
  <c r="G3" i="3"/>
  <c r="G11" i="3"/>
  <c r="G18" i="3"/>
  <c r="G42" i="3"/>
  <c r="G9" i="3"/>
  <c r="G32" i="3"/>
  <c r="G4" i="3"/>
  <c r="G12" i="3"/>
  <c r="G19" i="3"/>
  <c r="G36" i="3"/>
  <c r="D37" i="3"/>
  <c r="D41" i="3"/>
  <c r="D8" i="3"/>
  <c r="D31" i="3"/>
  <c r="D3" i="3"/>
  <c r="D11" i="3"/>
  <c r="D18" i="3"/>
  <c r="D42" i="3"/>
  <c r="D9" i="3"/>
  <c r="D32" i="3"/>
  <c r="D4" i="3"/>
  <c r="D12" i="3"/>
  <c r="D19" i="3"/>
  <c r="D16" i="3"/>
  <c r="D17" i="3"/>
  <c r="D10" i="3"/>
  <c r="D7" i="3"/>
  <c r="D44" i="3"/>
  <c r="D14" i="3"/>
  <c r="D27" i="3"/>
  <c r="D29" i="3"/>
  <c r="D25" i="3"/>
  <c r="D6" i="3"/>
  <c r="D35" i="3"/>
  <c r="D23" i="3"/>
  <c r="D21" i="3"/>
  <c r="D39" i="3"/>
  <c r="D15" i="3"/>
  <c r="D30" i="3"/>
  <c r="D2" i="3"/>
  <c r="D40" i="3"/>
  <c r="D43" i="3"/>
  <c r="D13" i="3"/>
  <c r="D26" i="3"/>
  <c r="D28" i="3"/>
  <c r="D24" i="3"/>
  <c r="D5" i="3"/>
  <c r="D34" i="3"/>
  <c r="D22" i="3"/>
  <c r="D20" i="3"/>
  <c r="D38" i="3"/>
  <c r="D33" i="3"/>
  <c r="D36" i="3"/>
  <c r="T33" i="3"/>
</calcChain>
</file>

<file path=xl/sharedStrings.xml><?xml version="1.0" encoding="utf-8"?>
<sst xmlns="http://schemas.openxmlformats.org/spreadsheetml/2006/main" count="982" uniqueCount="198">
  <si>
    <t>Description</t>
  </si>
  <si>
    <t>Member Count</t>
  </si>
  <si>
    <t>Total</t>
  </si>
  <si>
    <t>Payee</t>
  </si>
  <si>
    <t>Payment Date</t>
  </si>
  <si>
    <t>Credits</t>
  </si>
  <si>
    <t>$9,036.53</t>
  </si>
  <si>
    <t>Main Line Benefits LLC</t>
  </si>
  <si>
    <t>03/13/2026</t>
  </si>
  <si>
    <t>Debits</t>
  </si>
  <si>
    <t>($1,441.00)</t>
  </si>
  <si>
    <t>Miscellaneous</t>
  </si>
  <si>
    <t>$0.00</t>
  </si>
  <si>
    <t>Bonus</t>
  </si>
  <si>
    <t>Sub Total</t>
  </si>
  <si>
    <t>$7,595.53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</si>
  <si>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</si>
  <si>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</si>
  <si>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</si>
  <si>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</si>
  <si>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</si>
  <si>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</si>
  <si>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</si>
  <si>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</si>
  <si>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</si>
  <si>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</si>
  <si>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</si>
  <si>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</si>
  <si>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</si>
  <si>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</si>
  <si>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</si>
  <si>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</si>
  <si>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</si>
  <si>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</si>
  <si>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</si>
  <si>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</si>
  <si>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</si>
  <si>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</si>
  <si>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</si>
  <si>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</si>
  <si>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20003537</t>
  </si>
  <si>
    <t>Chad Yale</t>
  </si>
  <si>
    <t>D6UY6A</t>
  </si>
  <si>
    <t>3TY9TK1WE31</t>
  </si>
  <si>
    <t>GENEVA</t>
  </si>
  <si>
    <t>ABSHER</t>
  </si>
  <si>
    <t>NC</t>
  </si>
  <si>
    <t>12/05/2025</t>
  </si>
  <si>
    <t>01/01/2026</t>
  </si>
  <si>
    <t>03/31/2026</t>
  </si>
  <si>
    <t>H9700</t>
  </si>
  <si>
    <t>MAPD</t>
  </si>
  <si>
    <t>Initial - Not New</t>
  </si>
  <si>
    <t>Jan</t>
  </si>
  <si>
    <t>7152559</t>
  </si>
  <si>
    <t>Dennis Holyn</t>
  </si>
  <si>
    <t>DYRU4G</t>
  </si>
  <si>
    <t>1XC4EM8KX68</t>
  </si>
  <si>
    <t>PEARL</t>
  </si>
  <si>
    <t>AGEE</t>
  </si>
  <si>
    <t>IL</t>
  </si>
  <si>
    <t>10/28/2025</t>
  </si>
  <si>
    <t>02/28/2026</t>
  </si>
  <si>
    <t>H7151</t>
  </si>
  <si>
    <t>PDP</t>
  </si>
  <si>
    <t>Initial - New</t>
  </si>
  <si>
    <t>19586992</t>
  </si>
  <si>
    <t>Barry Schumann</t>
  </si>
  <si>
    <t>D27HJW</t>
  </si>
  <si>
    <t>3NN9NU9UG34</t>
  </si>
  <si>
    <t>LORI</t>
  </si>
  <si>
    <t>BETTENDORF</t>
  </si>
  <si>
    <t>02/06/2026</t>
  </si>
  <si>
    <t>05/01/2026</t>
  </si>
  <si>
    <t>H6545</t>
  </si>
  <si>
    <t>NONE</t>
  </si>
  <si>
    <t>Feb</t>
  </si>
  <si>
    <t>18794740</t>
  </si>
  <si>
    <t>Patricia Long</t>
  </si>
  <si>
    <t>D24JCY</t>
  </si>
  <si>
    <t>3N31CV7GC33</t>
  </si>
  <si>
    <t>MICHELE</t>
  </si>
  <si>
    <t>HECKENBERGER</t>
  </si>
  <si>
    <t>PA</t>
  </si>
  <si>
    <t>02/03/2026</t>
  </si>
  <si>
    <t>H6018</t>
  </si>
  <si>
    <t>18754354</t>
  </si>
  <si>
    <t>Jacob Yale</t>
  </si>
  <si>
    <t>D8ZCJF</t>
  </si>
  <si>
    <t>9NT4NE9XF67</t>
  </si>
  <si>
    <t>DENISE</t>
  </si>
  <si>
    <t>TOMAN</t>
  </si>
  <si>
    <t>02/02/2026</t>
  </si>
  <si>
    <t>19645587</t>
  </si>
  <si>
    <t>Stacey Portugal</t>
  </si>
  <si>
    <t>DZCFJ8</t>
  </si>
  <si>
    <t>2NH3J08NR08</t>
  </si>
  <si>
    <t>RAI</t>
  </si>
  <si>
    <t>TORRES</t>
  </si>
  <si>
    <t>AZ</t>
  </si>
  <si>
    <t>02/04/2026</t>
  </si>
  <si>
    <t>03/01/2026</t>
  </si>
  <si>
    <t>H8173</t>
  </si>
  <si>
    <t>19219478</t>
  </si>
  <si>
    <t>Nathan Weller</t>
  </si>
  <si>
    <t>DY9JK6</t>
  </si>
  <si>
    <t>8HT7XA6GG48</t>
  </si>
  <si>
    <t>JANICE</t>
  </si>
  <si>
    <t>LENZ</t>
  </si>
  <si>
    <t>OH</t>
  </si>
  <si>
    <t>02/13/2026</t>
  </si>
  <si>
    <t>H2697</t>
  </si>
  <si>
    <t>DE9JJ3</t>
  </si>
  <si>
    <t>4DJ2WV3HQ70</t>
  </si>
  <si>
    <t>VALERIE</t>
  </si>
  <si>
    <t>THOMMEN</t>
  </si>
  <si>
    <t>02/12/2026</t>
  </si>
  <si>
    <t>8325282</t>
  </si>
  <si>
    <t>Dale Walenga</t>
  </si>
  <si>
    <t>DJJSJR</t>
  </si>
  <si>
    <t>2QJ3F44JQ78</t>
  </si>
  <si>
    <t>JOSEPH</t>
  </si>
  <si>
    <t>WALKER</t>
  </si>
  <si>
    <t>02/09/2026</t>
  </si>
  <si>
    <t>17301495</t>
  </si>
  <si>
    <t>Esther Herrera-Larsen</t>
  </si>
  <si>
    <t>D4ERG6</t>
  </si>
  <si>
    <t>6EG1PT9FX02</t>
  </si>
  <si>
    <t>LAURA</t>
  </si>
  <si>
    <t>HERNANDEZ</t>
  </si>
  <si>
    <t>02/16/2026</t>
  </si>
  <si>
    <t>04/01/2026</t>
  </si>
  <si>
    <t>Mar</t>
  </si>
  <si>
    <t>8814784</t>
  </si>
  <si>
    <t>Frank Liskovec</t>
  </si>
  <si>
    <t>DSYRF2</t>
  </si>
  <si>
    <t>7J12HJ1WQ21</t>
  </si>
  <si>
    <t>MIKE</t>
  </si>
  <si>
    <t>KUROTOBI</t>
  </si>
  <si>
    <t>7565575</t>
  </si>
  <si>
    <t>Robert Shapiro</t>
  </si>
  <si>
    <t>D72AC4</t>
  </si>
  <si>
    <t>2H79CU1UD57</t>
  </si>
  <si>
    <t>MARY</t>
  </si>
  <si>
    <t>VAN RIPER</t>
  </si>
  <si>
    <t>02/17/2026</t>
  </si>
  <si>
    <t>16849453</t>
  </si>
  <si>
    <t>Danna Green</t>
  </si>
  <si>
    <t>DCAWH5</t>
  </si>
  <si>
    <t>1F23VD2JG76</t>
  </si>
  <si>
    <t>CARINA</t>
  </si>
  <si>
    <t>VISLAY</t>
  </si>
  <si>
    <t>IN</t>
  </si>
  <si>
    <t>H7471</t>
  </si>
  <si>
    <t>2158366</t>
  </si>
  <si>
    <t>Jeffrey Horn</t>
  </si>
  <si>
    <t>DGHZKF</t>
  </si>
  <si>
    <t>2A49RT8NA23</t>
  </si>
  <si>
    <t>SUSAN</t>
  </si>
  <si>
    <t>CHEVAL</t>
  </si>
  <si>
    <t>02/25/2026</t>
  </si>
  <si>
    <t>DC33C6</t>
  </si>
  <si>
    <t>5C60EF4QP06</t>
  </si>
  <si>
    <t>CARLOS</t>
  </si>
  <si>
    <t>GARCIA</t>
  </si>
  <si>
    <t>02/23/2026</t>
  </si>
  <si>
    <t>21618313</t>
  </si>
  <si>
    <t>Mark Roccia</t>
  </si>
  <si>
    <t>DZG6US</t>
  </si>
  <si>
    <t>2D94Q41GT82</t>
  </si>
  <si>
    <t>MARZENA</t>
  </si>
  <si>
    <t>OLEJNIK</t>
  </si>
  <si>
    <t>02/27/2026</t>
  </si>
  <si>
    <t>17094718</t>
  </si>
  <si>
    <t>Greg Hansford</t>
  </si>
  <si>
    <t>D9FA69</t>
  </si>
  <si>
    <t>4K41AK4GY11</t>
  </si>
  <si>
    <t>BERNARD</t>
  </si>
  <si>
    <t>RICHARDSON</t>
  </si>
  <si>
    <t>D3Z3SA</t>
  </si>
  <si>
    <t>9YW0EP5JT39</t>
  </si>
  <si>
    <t>CAROL</t>
  </si>
  <si>
    <t>SCRIMA</t>
  </si>
  <si>
    <t>DJCRCF</t>
  </si>
  <si>
    <t>7W26F40KV56</t>
  </si>
  <si>
    <t>GIORGIO</t>
  </si>
  <si>
    <t>Devoted MAPD Ovr</t>
  </si>
  <si>
    <t>Devoted Health 2026</t>
  </si>
  <si>
    <t>Devoted Health MAPD 2026*</t>
  </si>
  <si>
    <t>Devoted Health 2026 CT, PA, DC</t>
  </si>
  <si>
    <t>[%/$=347][prorate=10/12]</t>
  </si>
  <si>
    <t>[%/$=347][prorate=12/12]</t>
  </si>
  <si>
    <t>[%/$=694]</t>
  </si>
  <si>
    <t>[%/$=781]</t>
  </si>
  <si>
    <t>[%/$=347][prorate=9/12]</t>
  </si>
  <si>
    <t>[%/$=347][prorate=8/12]</t>
  </si>
  <si>
    <t>[%/$=694][prorate=9/12]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</si>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</sst>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6" sqref="C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19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8</v>
      </c>
      <c r="N2" t="s">
        <v>51</v>
      </c>
      <c r="O2">
        <v>5</v>
      </c>
      <c r="P2" t="s">
        <v>52</v>
      </c>
      <c r="Q2" t="s">
        <v>53</v>
      </c>
      <c r="R2">
        <v>-347</v>
      </c>
      <c r="S2">
        <v>-200</v>
      </c>
      <c r="T2">
        <v>-547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48</v>
      </c>
      <c r="K3" t="s">
        <v>62</v>
      </c>
      <c r="L3" t="s">
        <v>63</v>
      </c>
      <c r="M3">
        <v>6</v>
      </c>
      <c r="N3" t="s">
        <v>64</v>
      </c>
      <c r="O3">
        <v>1</v>
      </c>
      <c r="P3" t="s">
        <v>65</v>
      </c>
      <c r="Q3" t="s">
        <v>53</v>
      </c>
      <c r="R3">
        <v>-694</v>
      </c>
      <c r="S3">
        <v>-200</v>
      </c>
      <c r="T3">
        <v>-894</v>
      </c>
      <c r="U3" t="s">
        <v>7</v>
      </c>
    </row>
    <row r="4" spans="1:22" x14ac:dyDescent="0.25">
      <c r="A4" t="s">
        <v>8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60</v>
      </c>
      <c r="I4" t="s">
        <v>72</v>
      </c>
      <c r="J4" t="s">
        <v>73</v>
      </c>
      <c r="L4" t="s">
        <v>74</v>
      </c>
      <c r="M4">
        <v>10</v>
      </c>
      <c r="N4" t="s">
        <v>75</v>
      </c>
      <c r="O4">
        <v>-1</v>
      </c>
      <c r="P4" t="s">
        <v>65</v>
      </c>
      <c r="Q4" t="s">
        <v>76</v>
      </c>
      <c r="R4">
        <v>462.67</v>
      </c>
      <c r="S4">
        <v>0</v>
      </c>
      <c r="T4">
        <v>462.67</v>
      </c>
      <c r="U4" t="s">
        <v>7</v>
      </c>
    </row>
    <row r="5" spans="1:22" x14ac:dyDescent="0.25">
      <c r="A5" t="s">
        <v>8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73</v>
      </c>
      <c r="L5" t="s">
        <v>85</v>
      </c>
      <c r="M5">
        <v>3</v>
      </c>
      <c r="N5" t="s">
        <v>75</v>
      </c>
      <c r="O5">
        <v>-1</v>
      </c>
      <c r="P5" t="s">
        <v>65</v>
      </c>
      <c r="Q5" t="s">
        <v>76</v>
      </c>
      <c r="R5">
        <v>520.34</v>
      </c>
      <c r="S5">
        <v>0</v>
      </c>
      <c r="T5">
        <v>520.34</v>
      </c>
      <c r="U5" t="s">
        <v>7</v>
      </c>
    </row>
    <row r="6" spans="1:22" x14ac:dyDescent="0.25">
      <c r="A6" t="s">
        <v>8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60</v>
      </c>
      <c r="I6" t="s">
        <v>92</v>
      </c>
      <c r="J6" t="s">
        <v>73</v>
      </c>
      <c r="L6" t="s">
        <v>63</v>
      </c>
      <c r="M6">
        <v>3</v>
      </c>
      <c r="N6" t="s">
        <v>75</v>
      </c>
      <c r="O6">
        <v>-1</v>
      </c>
      <c r="P6" t="s">
        <v>65</v>
      </c>
      <c r="Q6" t="s">
        <v>76</v>
      </c>
      <c r="R6">
        <v>462.67</v>
      </c>
      <c r="S6">
        <v>0</v>
      </c>
      <c r="T6">
        <v>462.67</v>
      </c>
      <c r="U6" t="s">
        <v>7</v>
      </c>
    </row>
    <row r="7" spans="1:22" x14ac:dyDescent="0.25">
      <c r="A7" t="s">
        <v>8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L7" t="s">
        <v>102</v>
      </c>
      <c r="M7">
        <v>1</v>
      </c>
      <c r="N7" t="s">
        <v>75</v>
      </c>
      <c r="O7">
        <v>1</v>
      </c>
      <c r="P7" t="s">
        <v>65</v>
      </c>
      <c r="Q7" t="s">
        <v>76</v>
      </c>
      <c r="R7">
        <v>404.84</v>
      </c>
      <c r="S7">
        <v>0</v>
      </c>
      <c r="T7">
        <v>404.84</v>
      </c>
      <c r="U7" t="s">
        <v>7</v>
      </c>
    </row>
    <row r="8" spans="1:22" x14ac:dyDescent="0.25">
      <c r="A8" t="s">
        <v>8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101</v>
      </c>
      <c r="L8" t="s">
        <v>111</v>
      </c>
      <c r="M8">
        <v>3</v>
      </c>
      <c r="N8" t="s">
        <v>75</v>
      </c>
      <c r="O8">
        <v>1</v>
      </c>
      <c r="P8" t="s">
        <v>65</v>
      </c>
      <c r="Q8" t="s">
        <v>76</v>
      </c>
      <c r="R8">
        <v>404.84</v>
      </c>
      <c r="S8">
        <v>0</v>
      </c>
      <c r="T8">
        <v>404.84</v>
      </c>
      <c r="U8" t="s">
        <v>7</v>
      </c>
    </row>
    <row r="9" spans="1:22" x14ac:dyDescent="0.25">
      <c r="A9" t="s">
        <v>8</v>
      </c>
      <c r="B9" t="s">
        <v>86</v>
      </c>
      <c r="C9" t="s">
        <v>87</v>
      </c>
      <c r="D9" t="s">
        <v>112</v>
      </c>
      <c r="E9" t="s">
        <v>113</v>
      </c>
      <c r="F9" t="s">
        <v>114</v>
      </c>
      <c r="G9" t="s">
        <v>115</v>
      </c>
      <c r="H9" t="s">
        <v>46</v>
      </c>
      <c r="I9" t="s">
        <v>116</v>
      </c>
      <c r="J9" t="s">
        <v>73</v>
      </c>
      <c r="L9" t="s">
        <v>50</v>
      </c>
      <c r="M9">
        <v>1</v>
      </c>
      <c r="N9" t="s">
        <v>75</v>
      </c>
      <c r="O9">
        <v>-1</v>
      </c>
      <c r="P9" t="s">
        <v>65</v>
      </c>
      <c r="Q9" t="s">
        <v>76</v>
      </c>
      <c r="R9">
        <v>462.67</v>
      </c>
      <c r="S9">
        <v>0</v>
      </c>
      <c r="T9">
        <v>462.67</v>
      </c>
      <c r="U9" t="s">
        <v>7</v>
      </c>
    </row>
    <row r="10" spans="1:22" x14ac:dyDescent="0.25">
      <c r="A10" t="s">
        <v>8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60</v>
      </c>
      <c r="I10" t="s">
        <v>123</v>
      </c>
      <c r="J10" t="s">
        <v>101</v>
      </c>
      <c r="L10" t="s">
        <v>74</v>
      </c>
      <c r="M10">
        <v>10</v>
      </c>
      <c r="N10" t="s">
        <v>75</v>
      </c>
      <c r="O10">
        <v>1</v>
      </c>
      <c r="P10" t="s">
        <v>65</v>
      </c>
      <c r="Q10" t="s">
        <v>76</v>
      </c>
      <c r="R10">
        <v>404.84</v>
      </c>
      <c r="S10">
        <v>0</v>
      </c>
      <c r="T10">
        <v>404.84</v>
      </c>
      <c r="U10" t="s">
        <v>7</v>
      </c>
    </row>
    <row r="11" spans="1:22" x14ac:dyDescent="0.25">
      <c r="A11" t="s">
        <v>8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60</v>
      </c>
      <c r="I11" t="s">
        <v>130</v>
      </c>
      <c r="J11" t="s">
        <v>131</v>
      </c>
      <c r="L11" t="s">
        <v>74</v>
      </c>
      <c r="M11">
        <v>10</v>
      </c>
      <c r="N11" t="s">
        <v>75</v>
      </c>
      <c r="O11">
        <v>-1</v>
      </c>
      <c r="P11" t="s">
        <v>65</v>
      </c>
      <c r="Q11" t="s">
        <v>132</v>
      </c>
      <c r="R11">
        <v>433.75</v>
      </c>
      <c r="S11">
        <v>0</v>
      </c>
      <c r="T11">
        <v>433.75</v>
      </c>
      <c r="U11" t="s">
        <v>7</v>
      </c>
    </row>
    <row r="12" spans="1:22" x14ac:dyDescent="0.25">
      <c r="A12" t="s">
        <v>8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60</v>
      </c>
      <c r="I12" t="s">
        <v>130</v>
      </c>
      <c r="J12" t="s">
        <v>101</v>
      </c>
      <c r="L12" t="s">
        <v>74</v>
      </c>
      <c r="M12">
        <v>1</v>
      </c>
      <c r="N12" t="s">
        <v>75</v>
      </c>
      <c r="O12">
        <v>1</v>
      </c>
      <c r="P12" t="s">
        <v>65</v>
      </c>
      <c r="Q12" t="s">
        <v>132</v>
      </c>
      <c r="R12">
        <v>404.84</v>
      </c>
      <c r="S12">
        <v>0</v>
      </c>
      <c r="T12">
        <v>404.84</v>
      </c>
      <c r="U12" t="s">
        <v>7</v>
      </c>
    </row>
    <row r="13" spans="1:22" x14ac:dyDescent="0.25">
      <c r="A13" t="s">
        <v>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60</v>
      </c>
      <c r="I13" t="s">
        <v>145</v>
      </c>
      <c r="J13" t="s">
        <v>131</v>
      </c>
      <c r="L13" t="s">
        <v>74</v>
      </c>
      <c r="M13">
        <v>1</v>
      </c>
      <c r="N13" t="s">
        <v>75</v>
      </c>
      <c r="O13">
        <v>-1</v>
      </c>
      <c r="P13" t="s">
        <v>65</v>
      </c>
      <c r="Q13" t="s">
        <v>132</v>
      </c>
      <c r="R13">
        <v>433.75</v>
      </c>
      <c r="S13">
        <v>0</v>
      </c>
      <c r="T13">
        <v>433.75</v>
      </c>
      <c r="U13" t="s">
        <v>7</v>
      </c>
    </row>
    <row r="14" spans="1:22" x14ac:dyDescent="0.25">
      <c r="A14" t="s">
        <v>8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130</v>
      </c>
      <c r="J14" t="s">
        <v>101</v>
      </c>
      <c r="L14" t="s">
        <v>153</v>
      </c>
      <c r="M14">
        <v>11</v>
      </c>
      <c r="N14" t="s">
        <v>75</v>
      </c>
      <c r="O14">
        <v>1</v>
      </c>
      <c r="P14" t="s">
        <v>65</v>
      </c>
      <c r="Q14" t="s">
        <v>132</v>
      </c>
      <c r="R14">
        <v>404.84</v>
      </c>
      <c r="S14">
        <v>0</v>
      </c>
      <c r="T14">
        <v>404.84</v>
      </c>
      <c r="U14" t="s">
        <v>7</v>
      </c>
    </row>
    <row r="15" spans="1:22" x14ac:dyDescent="0.25">
      <c r="A15" t="s">
        <v>8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60</v>
      </c>
      <c r="I15" t="s">
        <v>160</v>
      </c>
      <c r="J15" t="s">
        <v>73</v>
      </c>
      <c r="L15" t="s">
        <v>63</v>
      </c>
      <c r="M15">
        <v>1</v>
      </c>
      <c r="N15" t="s">
        <v>75</v>
      </c>
      <c r="O15">
        <v>-1</v>
      </c>
      <c r="P15" t="s">
        <v>65</v>
      </c>
      <c r="Q15" t="s">
        <v>132</v>
      </c>
      <c r="R15">
        <v>694</v>
      </c>
      <c r="S15">
        <v>0</v>
      </c>
      <c r="T15">
        <v>694</v>
      </c>
      <c r="U15" t="s">
        <v>7</v>
      </c>
    </row>
    <row r="16" spans="1:22" x14ac:dyDescent="0.25">
      <c r="A16" t="s">
        <v>8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60</v>
      </c>
      <c r="I16" t="s">
        <v>160</v>
      </c>
      <c r="J16" t="s">
        <v>73</v>
      </c>
      <c r="L16" t="s">
        <v>63</v>
      </c>
      <c r="M16">
        <v>1</v>
      </c>
      <c r="N16" t="s">
        <v>75</v>
      </c>
      <c r="O16">
        <v>-1</v>
      </c>
      <c r="P16" t="s">
        <v>65</v>
      </c>
      <c r="Q16" t="s">
        <v>132</v>
      </c>
      <c r="R16">
        <v>0</v>
      </c>
      <c r="S16">
        <v>125</v>
      </c>
      <c r="T16">
        <v>125</v>
      </c>
      <c r="U16" t="s">
        <v>7</v>
      </c>
    </row>
    <row r="17" spans="1:21" x14ac:dyDescent="0.25">
      <c r="A17" t="s">
        <v>8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60</v>
      </c>
      <c r="I17" t="s">
        <v>160</v>
      </c>
      <c r="J17" t="s">
        <v>73</v>
      </c>
      <c r="L17" t="s">
        <v>63</v>
      </c>
      <c r="M17">
        <v>1</v>
      </c>
      <c r="N17" t="s">
        <v>75</v>
      </c>
      <c r="O17">
        <v>-1</v>
      </c>
      <c r="P17" t="s">
        <v>65</v>
      </c>
      <c r="Q17" t="s">
        <v>132</v>
      </c>
      <c r="R17">
        <v>0</v>
      </c>
      <c r="S17">
        <v>75</v>
      </c>
      <c r="T17">
        <v>75</v>
      </c>
      <c r="U17" t="s">
        <v>7</v>
      </c>
    </row>
    <row r="18" spans="1:21" x14ac:dyDescent="0.25">
      <c r="A18" t="s">
        <v>8</v>
      </c>
      <c r="B18" t="s">
        <v>124</v>
      </c>
      <c r="C18" t="s">
        <v>125</v>
      </c>
      <c r="D18" t="s">
        <v>161</v>
      </c>
      <c r="E18" t="s">
        <v>162</v>
      </c>
      <c r="F18" t="s">
        <v>163</v>
      </c>
      <c r="G18" t="s">
        <v>164</v>
      </c>
      <c r="H18" t="s">
        <v>60</v>
      </c>
      <c r="I18" t="s">
        <v>165</v>
      </c>
      <c r="J18" t="s">
        <v>101</v>
      </c>
      <c r="L18" t="s">
        <v>63</v>
      </c>
      <c r="M18">
        <v>6</v>
      </c>
      <c r="N18" t="s">
        <v>51</v>
      </c>
      <c r="O18">
        <v>4</v>
      </c>
      <c r="P18" t="s">
        <v>52</v>
      </c>
      <c r="Q18" t="s">
        <v>132</v>
      </c>
      <c r="R18">
        <v>289.16000000000003</v>
      </c>
      <c r="S18">
        <v>0</v>
      </c>
      <c r="T18">
        <v>289.16000000000003</v>
      </c>
      <c r="U18" t="s">
        <v>7</v>
      </c>
    </row>
    <row r="19" spans="1:21" x14ac:dyDescent="0.25">
      <c r="A19" t="s">
        <v>8</v>
      </c>
      <c r="B19" t="s">
        <v>124</v>
      </c>
      <c r="C19" t="s">
        <v>125</v>
      </c>
      <c r="D19" t="s">
        <v>161</v>
      </c>
      <c r="E19" t="s">
        <v>162</v>
      </c>
      <c r="F19" t="s">
        <v>163</v>
      </c>
      <c r="G19" t="s">
        <v>164</v>
      </c>
      <c r="H19" t="s">
        <v>60</v>
      </c>
      <c r="I19" t="s">
        <v>165</v>
      </c>
      <c r="J19" t="s">
        <v>101</v>
      </c>
      <c r="L19" t="s">
        <v>63</v>
      </c>
      <c r="M19">
        <v>6</v>
      </c>
      <c r="N19" t="s">
        <v>51</v>
      </c>
      <c r="O19">
        <v>4</v>
      </c>
      <c r="P19" t="s">
        <v>52</v>
      </c>
      <c r="Q19" t="s">
        <v>132</v>
      </c>
      <c r="R19">
        <v>0</v>
      </c>
      <c r="S19">
        <v>125</v>
      </c>
      <c r="T19">
        <v>125</v>
      </c>
      <c r="U19" t="s">
        <v>7</v>
      </c>
    </row>
    <row r="20" spans="1:21" x14ac:dyDescent="0.25">
      <c r="A20" t="s">
        <v>8</v>
      </c>
      <c r="B20" t="s">
        <v>124</v>
      </c>
      <c r="C20" t="s">
        <v>125</v>
      </c>
      <c r="D20" t="s">
        <v>161</v>
      </c>
      <c r="E20" t="s">
        <v>162</v>
      </c>
      <c r="F20" t="s">
        <v>163</v>
      </c>
      <c r="G20" t="s">
        <v>164</v>
      </c>
      <c r="H20" t="s">
        <v>60</v>
      </c>
      <c r="I20" t="s">
        <v>165</v>
      </c>
      <c r="J20" t="s">
        <v>101</v>
      </c>
      <c r="L20" t="s">
        <v>63</v>
      </c>
      <c r="M20">
        <v>6</v>
      </c>
      <c r="N20" t="s">
        <v>51</v>
      </c>
      <c r="O20">
        <v>4</v>
      </c>
      <c r="P20" t="s">
        <v>52</v>
      </c>
      <c r="Q20" t="s">
        <v>132</v>
      </c>
      <c r="R20">
        <v>0</v>
      </c>
      <c r="S20">
        <v>75</v>
      </c>
      <c r="T20">
        <v>75</v>
      </c>
      <c r="U20" t="s">
        <v>7</v>
      </c>
    </row>
    <row r="21" spans="1:21" x14ac:dyDescent="0.25">
      <c r="A21" t="s">
        <v>8</v>
      </c>
      <c r="B21" t="s">
        <v>166</v>
      </c>
      <c r="C21" t="s">
        <v>167</v>
      </c>
      <c r="D21" t="s">
        <v>168</v>
      </c>
      <c r="E21" t="s">
        <v>169</v>
      </c>
      <c r="F21" t="s">
        <v>170</v>
      </c>
      <c r="G21" t="s">
        <v>171</v>
      </c>
      <c r="H21" t="s">
        <v>83</v>
      </c>
      <c r="I21" t="s">
        <v>172</v>
      </c>
      <c r="J21" t="s">
        <v>101</v>
      </c>
      <c r="L21" t="s">
        <v>85</v>
      </c>
      <c r="M21">
        <v>3</v>
      </c>
      <c r="N21" t="s">
        <v>75</v>
      </c>
      <c r="O21">
        <v>1</v>
      </c>
      <c r="P21" t="s">
        <v>65</v>
      </c>
      <c r="Q21" t="s">
        <v>132</v>
      </c>
      <c r="R21">
        <v>0</v>
      </c>
      <c r="S21">
        <v>125</v>
      </c>
      <c r="T21">
        <v>125</v>
      </c>
      <c r="U21" t="s">
        <v>7</v>
      </c>
    </row>
    <row r="22" spans="1:21" x14ac:dyDescent="0.25">
      <c r="A22" t="s">
        <v>8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83</v>
      </c>
      <c r="I22" t="s">
        <v>172</v>
      </c>
      <c r="J22" t="s">
        <v>101</v>
      </c>
      <c r="L22" t="s">
        <v>85</v>
      </c>
      <c r="M22">
        <v>3</v>
      </c>
      <c r="N22" t="s">
        <v>75</v>
      </c>
      <c r="O22">
        <v>1</v>
      </c>
      <c r="P22" t="s">
        <v>65</v>
      </c>
      <c r="Q22" t="s">
        <v>132</v>
      </c>
      <c r="R22">
        <v>0</v>
      </c>
      <c r="S22">
        <v>75</v>
      </c>
      <c r="T22">
        <v>75</v>
      </c>
      <c r="U22" t="s">
        <v>7</v>
      </c>
    </row>
    <row r="23" spans="1:21" x14ac:dyDescent="0.25">
      <c r="A23" t="s">
        <v>8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83</v>
      </c>
      <c r="I23" t="s">
        <v>172</v>
      </c>
      <c r="J23" t="s">
        <v>101</v>
      </c>
      <c r="L23" t="s">
        <v>85</v>
      </c>
      <c r="M23">
        <v>3</v>
      </c>
      <c r="N23" t="s">
        <v>75</v>
      </c>
      <c r="O23">
        <v>1</v>
      </c>
      <c r="P23" t="s">
        <v>65</v>
      </c>
      <c r="Q23" t="s">
        <v>132</v>
      </c>
      <c r="R23">
        <v>781</v>
      </c>
      <c r="S23">
        <v>0</v>
      </c>
      <c r="T23">
        <v>781</v>
      </c>
      <c r="U23" t="s">
        <v>7</v>
      </c>
    </row>
    <row r="24" spans="1:21" x14ac:dyDescent="0.25">
      <c r="A24" t="s">
        <v>8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109</v>
      </c>
      <c r="I24" t="s">
        <v>165</v>
      </c>
      <c r="J24" t="s">
        <v>101</v>
      </c>
      <c r="L24" t="s">
        <v>111</v>
      </c>
      <c r="M24">
        <v>6</v>
      </c>
      <c r="N24" t="s">
        <v>75</v>
      </c>
      <c r="O24">
        <v>1</v>
      </c>
      <c r="P24" t="s">
        <v>65</v>
      </c>
      <c r="Q24" t="s">
        <v>132</v>
      </c>
      <c r="R24">
        <v>0</v>
      </c>
      <c r="S24">
        <v>125</v>
      </c>
      <c r="T24">
        <v>125</v>
      </c>
      <c r="U24" t="s">
        <v>7</v>
      </c>
    </row>
    <row r="25" spans="1:21" x14ac:dyDescent="0.25">
      <c r="A25" t="s">
        <v>8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178</v>
      </c>
      <c r="H25" t="s">
        <v>109</v>
      </c>
      <c r="I25" t="s">
        <v>165</v>
      </c>
      <c r="J25" t="s">
        <v>101</v>
      </c>
      <c r="L25" t="s">
        <v>111</v>
      </c>
      <c r="M25">
        <v>6</v>
      </c>
      <c r="N25" t="s">
        <v>75</v>
      </c>
      <c r="O25">
        <v>1</v>
      </c>
      <c r="P25" t="s">
        <v>65</v>
      </c>
      <c r="Q25" t="s">
        <v>132</v>
      </c>
      <c r="R25">
        <v>694</v>
      </c>
      <c r="S25">
        <v>0</v>
      </c>
      <c r="T25">
        <v>694</v>
      </c>
      <c r="U25" t="s">
        <v>7</v>
      </c>
    </row>
    <row r="26" spans="1:21" x14ac:dyDescent="0.25">
      <c r="A26" t="s">
        <v>8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H26" t="s">
        <v>109</v>
      </c>
      <c r="I26" t="s">
        <v>165</v>
      </c>
      <c r="J26" t="s">
        <v>101</v>
      </c>
      <c r="L26" t="s">
        <v>111</v>
      </c>
      <c r="M26">
        <v>6</v>
      </c>
      <c r="N26" t="s">
        <v>75</v>
      </c>
      <c r="O26">
        <v>1</v>
      </c>
      <c r="P26" t="s">
        <v>65</v>
      </c>
      <c r="Q26" t="s">
        <v>132</v>
      </c>
      <c r="R26">
        <v>0</v>
      </c>
      <c r="S26">
        <v>75</v>
      </c>
      <c r="T26">
        <v>75</v>
      </c>
      <c r="U26" t="s">
        <v>7</v>
      </c>
    </row>
    <row r="27" spans="1:21" x14ac:dyDescent="0.25">
      <c r="A27" t="s">
        <v>8</v>
      </c>
      <c r="B27" t="s">
        <v>154</v>
      </c>
      <c r="C27" t="s">
        <v>155</v>
      </c>
      <c r="D27" t="s">
        <v>179</v>
      </c>
      <c r="E27" t="s">
        <v>180</v>
      </c>
      <c r="F27" t="s">
        <v>181</v>
      </c>
      <c r="G27" t="s">
        <v>182</v>
      </c>
      <c r="H27" t="s">
        <v>60</v>
      </c>
      <c r="I27" t="s">
        <v>165</v>
      </c>
      <c r="J27" t="s">
        <v>101</v>
      </c>
      <c r="L27" t="s">
        <v>63</v>
      </c>
      <c r="M27">
        <v>1</v>
      </c>
      <c r="N27" t="s">
        <v>51</v>
      </c>
      <c r="O27">
        <v>15</v>
      </c>
      <c r="P27" t="s">
        <v>52</v>
      </c>
      <c r="Q27" t="s">
        <v>132</v>
      </c>
      <c r="R27">
        <v>289.16000000000003</v>
      </c>
      <c r="S27">
        <v>0</v>
      </c>
      <c r="T27">
        <v>289.16000000000003</v>
      </c>
      <c r="U27" t="s">
        <v>7</v>
      </c>
    </row>
    <row r="28" spans="1:21" x14ac:dyDescent="0.25">
      <c r="A28" t="s">
        <v>8</v>
      </c>
      <c r="B28" t="s">
        <v>154</v>
      </c>
      <c r="C28" t="s">
        <v>155</v>
      </c>
      <c r="D28" t="s">
        <v>179</v>
      </c>
      <c r="E28" t="s">
        <v>180</v>
      </c>
      <c r="F28" t="s">
        <v>181</v>
      </c>
      <c r="G28" t="s">
        <v>182</v>
      </c>
      <c r="H28" t="s">
        <v>60</v>
      </c>
      <c r="I28" t="s">
        <v>165</v>
      </c>
      <c r="J28" t="s">
        <v>101</v>
      </c>
      <c r="L28" t="s">
        <v>63</v>
      </c>
      <c r="M28">
        <v>1</v>
      </c>
      <c r="N28" t="s">
        <v>51</v>
      </c>
      <c r="O28">
        <v>15</v>
      </c>
      <c r="P28" t="s">
        <v>52</v>
      </c>
      <c r="Q28" t="s">
        <v>132</v>
      </c>
      <c r="R28">
        <v>0</v>
      </c>
      <c r="S28">
        <v>125</v>
      </c>
      <c r="T28">
        <v>125</v>
      </c>
      <c r="U28" t="s">
        <v>7</v>
      </c>
    </row>
    <row r="29" spans="1:21" x14ac:dyDescent="0.25">
      <c r="A29" t="s">
        <v>8</v>
      </c>
      <c r="B29" t="s">
        <v>154</v>
      </c>
      <c r="C29" t="s">
        <v>155</v>
      </c>
      <c r="D29" t="s">
        <v>179</v>
      </c>
      <c r="E29" t="s">
        <v>180</v>
      </c>
      <c r="F29" t="s">
        <v>181</v>
      </c>
      <c r="G29" t="s">
        <v>182</v>
      </c>
      <c r="H29" t="s">
        <v>60</v>
      </c>
      <c r="I29" t="s">
        <v>165</v>
      </c>
      <c r="J29" t="s">
        <v>101</v>
      </c>
      <c r="L29" t="s">
        <v>63</v>
      </c>
      <c r="M29">
        <v>1</v>
      </c>
      <c r="N29" t="s">
        <v>51</v>
      </c>
      <c r="O29">
        <v>15</v>
      </c>
      <c r="P29" t="s">
        <v>52</v>
      </c>
      <c r="Q29" t="s">
        <v>132</v>
      </c>
      <c r="R29">
        <v>0</v>
      </c>
      <c r="S29">
        <v>75</v>
      </c>
      <c r="T29">
        <v>75</v>
      </c>
      <c r="U29" t="s">
        <v>7</v>
      </c>
    </row>
    <row r="30" spans="1:21" x14ac:dyDescent="0.25">
      <c r="A30" t="s">
        <v>8</v>
      </c>
      <c r="B30" t="s">
        <v>154</v>
      </c>
      <c r="C30" t="s">
        <v>155</v>
      </c>
      <c r="D30" t="s">
        <v>183</v>
      </c>
      <c r="E30" t="s">
        <v>184</v>
      </c>
      <c r="F30" t="s">
        <v>185</v>
      </c>
      <c r="G30" t="s">
        <v>182</v>
      </c>
      <c r="H30" t="s">
        <v>60</v>
      </c>
      <c r="I30" t="s">
        <v>165</v>
      </c>
      <c r="J30" t="s">
        <v>101</v>
      </c>
      <c r="L30" t="s">
        <v>63</v>
      </c>
      <c r="M30">
        <v>1</v>
      </c>
      <c r="N30" t="s">
        <v>51</v>
      </c>
      <c r="O30">
        <v>18</v>
      </c>
      <c r="P30" t="s">
        <v>52</v>
      </c>
      <c r="Q30" t="s">
        <v>132</v>
      </c>
      <c r="R30">
        <v>0</v>
      </c>
      <c r="S30">
        <v>75</v>
      </c>
      <c r="T30">
        <v>75</v>
      </c>
      <c r="U30" t="s">
        <v>7</v>
      </c>
    </row>
    <row r="31" spans="1:21" x14ac:dyDescent="0.25">
      <c r="A31" t="s">
        <v>8</v>
      </c>
      <c r="B31" t="s">
        <v>154</v>
      </c>
      <c r="C31" t="s">
        <v>155</v>
      </c>
      <c r="D31" t="s">
        <v>183</v>
      </c>
      <c r="E31" t="s">
        <v>184</v>
      </c>
      <c r="F31" t="s">
        <v>185</v>
      </c>
      <c r="G31" t="s">
        <v>182</v>
      </c>
      <c r="H31" t="s">
        <v>60</v>
      </c>
      <c r="I31" t="s">
        <v>165</v>
      </c>
      <c r="J31" t="s">
        <v>101</v>
      </c>
      <c r="L31" t="s">
        <v>63</v>
      </c>
      <c r="M31">
        <v>1</v>
      </c>
      <c r="N31" t="s">
        <v>51</v>
      </c>
      <c r="O31">
        <v>18</v>
      </c>
      <c r="P31" t="s">
        <v>52</v>
      </c>
      <c r="Q31" t="s">
        <v>132</v>
      </c>
      <c r="R31">
        <v>0</v>
      </c>
      <c r="S31">
        <v>125</v>
      </c>
      <c r="T31">
        <v>125</v>
      </c>
      <c r="U31" t="s">
        <v>7</v>
      </c>
    </row>
    <row r="32" spans="1:21" x14ac:dyDescent="0.25">
      <c r="A32" t="s">
        <v>8</v>
      </c>
      <c r="B32" t="s">
        <v>154</v>
      </c>
      <c r="C32" t="s">
        <v>155</v>
      </c>
      <c r="D32" t="s">
        <v>183</v>
      </c>
      <c r="E32" t="s">
        <v>184</v>
      </c>
      <c r="F32" t="s">
        <v>185</v>
      </c>
      <c r="G32" t="s">
        <v>182</v>
      </c>
      <c r="H32" t="s">
        <v>60</v>
      </c>
      <c r="I32" t="s">
        <v>165</v>
      </c>
      <c r="J32" t="s">
        <v>101</v>
      </c>
      <c r="L32" t="s">
        <v>63</v>
      </c>
      <c r="M32">
        <v>1</v>
      </c>
      <c r="N32" t="s">
        <v>51</v>
      </c>
      <c r="O32">
        <v>18</v>
      </c>
      <c r="P32" t="s">
        <v>52</v>
      </c>
      <c r="Q32" t="s">
        <v>132</v>
      </c>
      <c r="R32">
        <v>289.16000000000003</v>
      </c>
      <c r="S32">
        <v>0</v>
      </c>
      <c r="T32">
        <v>289.16000000000003</v>
      </c>
      <c r="U3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5BAD-9CD4-4400-92F5-91DE6F0DCBC2}">
  <dimension ref="A1:X44"/>
  <sheetViews>
    <sheetView tabSelected="1" topLeftCell="B1" workbookViewId="0">
      <selection activeCell="H2" sqref="H2:H44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4.28515625" customWidth="1"/>
    <col min="11" max="11" width="16.7109375" customWidth="1"/>
    <col min="12" max="12" width="6.7109375" customWidth="1"/>
    <col min="13" max="13" width="12.85546875" customWidth="1"/>
    <col min="14" max="14" width="14.5703125" customWidth="1"/>
    <col min="15" max="15" width="14" customWidth="1"/>
    <col min="17" max="17" width="29.28515625" bestFit="1" customWidth="1"/>
    <col min="18" max="18" width="24.140625" bestFit="1" customWidth="1"/>
  </cols>
  <sheetData>
    <row r="1" spans="1:24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31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24" s="2" customFormat="1" x14ac:dyDescent="0.25">
      <c r="A2" s="2">
        <v>17094718</v>
      </c>
      <c r="B2" s="2" t="s">
        <v>174</v>
      </c>
      <c r="C2" s="2" t="s">
        <v>175</v>
      </c>
      <c r="D2" s="2" t="str">
        <f>CONCATENATE(C2,9)</f>
        <v>D9FA699</v>
      </c>
      <c r="E2" s="2" t="s">
        <v>177</v>
      </c>
      <c r="F2" s="2" t="s">
        <v>178</v>
      </c>
      <c r="G2" s="2" t="str">
        <f>CONCATENATE(E2, " ",F2)</f>
        <v>BERNARD RICHARDSON</v>
      </c>
      <c r="H2" s="2" t="s">
        <v>109</v>
      </c>
      <c r="I2" s="2" t="s">
        <v>101</v>
      </c>
      <c r="J2" s="2" t="s">
        <v>75</v>
      </c>
      <c r="K2" s="2" t="s">
        <v>65</v>
      </c>
      <c r="L2" s="2" t="s">
        <v>132</v>
      </c>
      <c r="M2" s="2">
        <v>694</v>
      </c>
      <c r="N2" s="2">
        <v>0</v>
      </c>
      <c r="O2" s="2">
        <v>694</v>
      </c>
      <c r="P2" s="2">
        <v>694</v>
      </c>
      <c r="Q2" s="2" t="s">
        <v>187</v>
      </c>
      <c r="R2" s="2" t="s">
        <v>192</v>
      </c>
    </row>
    <row r="3" spans="1:24" x14ac:dyDescent="0.25">
      <c r="A3" s="1">
        <v>20411454</v>
      </c>
      <c r="B3" s="1" t="s">
        <v>197</v>
      </c>
      <c r="C3" s="1" t="s">
        <v>175</v>
      </c>
      <c r="D3" s="1" t="str">
        <f>CONCATENATE(C3,"OVR")</f>
        <v>D9FA69OVR</v>
      </c>
      <c r="E3" s="1" t="s">
        <v>177</v>
      </c>
      <c r="F3" s="1" t="s">
        <v>178</v>
      </c>
      <c r="G3" s="1" t="str">
        <f>CONCATENATE(E3, " ",F3)</f>
        <v>BERNARD RICHARDSON</v>
      </c>
      <c r="H3" s="1" t="s">
        <v>109</v>
      </c>
      <c r="I3" s="1" t="s">
        <v>101</v>
      </c>
      <c r="J3" s="1" t="s">
        <v>75</v>
      </c>
      <c r="K3" s="1" t="s">
        <v>65</v>
      </c>
      <c r="L3" s="1" t="s">
        <v>132</v>
      </c>
      <c r="M3" s="1">
        <v>0</v>
      </c>
      <c r="N3" s="1">
        <v>75</v>
      </c>
      <c r="O3" s="1">
        <v>75</v>
      </c>
      <c r="P3" s="1">
        <v>75</v>
      </c>
      <c r="Q3" s="1" t="s">
        <v>186</v>
      </c>
      <c r="R3" s="1"/>
      <c r="S3" s="1"/>
      <c r="T3" s="1"/>
      <c r="U3" s="1"/>
      <c r="V3" s="1"/>
      <c r="W3" s="1"/>
      <c r="X3" s="1"/>
    </row>
    <row r="4" spans="1:24" x14ac:dyDescent="0.25">
      <c r="A4" s="1">
        <v>20411454</v>
      </c>
      <c r="B4" s="1" t="s">
        <v>197</v>
      </c>
      <c r="C4" s="1" t="s">
        <v>175</v>
      </c>
      <c r="D4" s="1" t="str">
        <f>CONCATENATE(C4,"OVR")</f>
        <v>D9FA69OVR</v>
      </c>
      <c r="E4" s="1" t="s">
        <v>177</v>
      </c>
      <c r="F4" s="1" t="s">
        <v>178</v>
      </c>
      <c r="G4" s="1" t="str">
        <f>CONCATENATE(E4, " ",F4)</f>
        <v>BERNARD RICHARDSON</v>
      </c>
      <c r="H4" s="1" t="s">
        <v>109</v>
      </c>
      <c r="I4" s="1" t="s">
        <v>101</v>
      </c>
      <c r="J4" s="1" t="s">
        <v>75</v>
      </c>
      <c r="K4" s="1" t="s">
        <v>65</v>
      </c>
      <c r="L4" s="1" t="s">
        <v>132</v>
      </c>
      <c r="M4" s="1">
        <v>0</v>
      </c>
      <c r="N4" s="1">
        <v>125</v>
      </c>
      <c r="O4" s="1">
        <v>125</v>
      </c>
      <c r="P4" s="1">
        <v>125</v>
      </c>
      <c r="Q4" s="1" t="s">
        <v>186</v>
      </c>
      <c r="R4" s="1"/>
      <c r="S4" s="1"/>
      <c r="T4" s="1"/>
      <c r="U4" s="1"/>
      <c r="V4" s="1"/>
      <c r="W4" s="1"/>
      <c r="X4" s="1"/>
    </row>
    <row r="5" spans="1:24" x14ac:dyDescent="0.25">
      <c r="A5" s="2">
        <v>16849453</v>
      </c>
      <c r="B5" s="2" t="s">
        <v>147</v>
      </c>
      <c r="C5" s="2" t="s">
        <v>148</v>
      </c>
      <c r="D5" s="2" t="str">
        <f>CONCATENATE(C5,9)</f>
        <v>DCAWH59</v>
      </c>
      <c r="E5" s="2" t="s">
        <v>150</v>
      </c>
      <c r="F5" s="2" t="s">
        <v>151</v>
      </c>
      <c r="G5" s="2" t="str">
        <f>CONCATENATE(E5, " ",F5)</f>
        <v>CARINA VISLAY</v>
      </c>
      <c r="H5" s="2" t="s">
        <v>152</v>
      </c>
      <c r="I5" s="2" t="s">
        <v>101</v>
      </c>
      <c r="J5" s="2" t="s">
        <v>75</v>
      </c>
      <c r="K5" s="2" t="s">
        <v>65</v>
      </c>
      <c r="L5" s="2" t="s">
        <v>132</v>
      </c>
      <c r="M5" s="2">
        <v>404.84</v>
      </c>
      <c r="N5" s="2">
        <v>0</v>
      </c>
      <c r="O5" s="2">
        <v>404.84</v>
      </c>
      <c r="P5" s="2">
        <v>694</v>
      </c>
      <c r="Q5" s="2" t="s">
        <v>187</v>
      </c>
      <c r="R5" s="2" t="s">
        <v>192</v>
      </c>
      <c r="S5" s="2"/>
      <c r="T5" s="2"/>
      <c r="U5" s="2"/>
      <c r="V5" s="2"/>
      <c r="W5" s="2"/>
      <c r="X5" s="2"/>
    </row>
    <row r="6" spans="1:24" x14ac:dyDescent="0.25">
      <c r="A6" s="3">
        <v>16849453</v>
      </c>
      <c r="B6" s="3" t="s">
        <v>147</v>
      </c>
      <c r="C6" s="3" t="s">
        <v>148</v>
      </c>
      <c r="D6" s="3" t="str">
        <f>CONCATENATE(C6,7)</f>
        <v>DCAWH57</v>
      </c>
      <c r="E6" s="3" t="s">
        <v>150</v>
      </c>
      <c r="F6" s="3" t="s">
        <v>151</v>
      </c>
      <c r="G6" s="3" t="str">
        <f>CONCATENATE(E6, " ",F6)</f>
        <v>CARINA VISLAY</v>
      </c>
      <c r="H6" s="3" t="s">
        <v>152</v>
      </c>
      <c r="I6" s="3" t="s">
        <v>101</v>
      </c>
      <c r="J6" s="3" t="s">
        <v>75</v>
      </c>
      <c r="K6" s="3" t="s">
        <v>65</v>
      </c>
      <c r="L6" s="3" t="s">
        <v>132</v>
      </c>
      <c r="M6" s="3">
        <v>404.84</v>
      </c>
      <c r="N6" s="3">
        <v>0</v>
      </c>
      <c r="O6" s="3">
        <v>404.84</v>
      </c>
      <c r="P6" s="3">
        <v>-289.16000000000003</v>
      </c>
      <c r="Q6" s="3" t="s">
        <v>188</v>
      </c>
      <c r="R6" s="3" t="s">
        <v>190</v>
      </c>
      <c r="S6" s="3"/>
      <c r="T6" s="3"/>
      <c r="U6" s="3"/>
      <c r="V6" s="3"/>
      <c r="W6" s="3"/>
      <c r="X6" s="3"/>
    </row>
    <row r="7" spans="1:24" x14ac:dyDescent="0.25">
      <c r="A7" s="3">
        <v>17301495</v>
      </c>
      <c r="B7" s="3" t="s">
        <v>125</v>
      </c>
      <c r="C7" s="3" t="s">
        <v>161</v>
      </c>
      <c r="D7" s="3" t="str">
        <f>CONCATENATE(C7,7)</f>
        <v>DC33C67</v>
      </c>
      <c r="E7" s="3" t="s">
        <v>163</v>
      </c>
      <c r="F7" s="3" t="s">
        <v>164</v>
      </c>
      <c r="G7" s="3" t="str">
        <f>CONCATENATE(E7, " ",F7)</f>
        <v>CARLOS GARCIA</v>
      </c>
      <c r="H7" s="3" t="s">
        <v>60</v>
      </c>
      <c r="I7" s="3" t="s">
        <v>101</v>
      </c>
      <c r="J7" s="3" t="s">
        <v>51</v>
      </c>
      <c r="K7" s="3" t="s">
        <v>52</v>
      </c>
      <c r="L7" s="3" t="s">
        <v>132</v>
      </c>
      <c r="M7" s="3">
        <v>289.16000000000003</v>
      </c>
      <c r="N7" s="3">
        <v>0</v>
      </c>
      <c r="O7" s="3">
        <v>289.16000000000003</v>
      </c>
      <c r="P7" s="3">
        <v>289.16000000000003</v>
      </c>
      <c r="Q7" s="3" t="s">
        <v>188</v>
      </c>
      <c r="R7" s="3" t="s">
        <v>190</v>
      </c>
      <c r="S7" s="3"/>
      <c r="T7" s="3"/>
      <c r="U7" s="3"/>
      <c r="V7" s="3"/>
      <c r="W7" s="3"/>
      <c r="X7" s="3"/>
    </row>
    <row r="8" spans="1:24" x14ac:dyDescent="0.25">
      <c r="A8" s="1">
        <v>20411454</v>
      </c>
      <c r="B8" s="1" t="s">
        <v>197</v>
      </c>
      <c r="C8" s="1" t="s">
        <v>161</v>
      </c>
      <c r="D8" s="1" t="str">
        <f>CONCATENATE(C8,"OVR")</f>
        <v>DC33C6OVR</v>
      </c>
      <c r="E8" s="1" t="s">
        <v>163</v>
      </c>
      <c r="F8" s="1" t="s">
        <v>164</v>
      </c>
      <c r="G8" s="1" t="str">
        <f>CONCATENATE(E8, " ",F8)</f>
        <v>CARLOS GARCIA</v>
      </c>
      <c r="H8" s="1" t="s">
        <v>60</v>
      </c>
      <c r="I8" s="1" t="s">
        <v>101</v>
      </c>
      <c r="J8" s="1" t="s">
        <v>51</v>
      </c>
      <c r="K8" s="1" t="s">
        <v>52</v>
      </c>
      <c r="L8" s="1" t="s">
        <v>132</v>
      </c>
      <c r="M8" s="1">
        <v>0</v>
      </c>
      <c r="N8" s="1">
        <v>75</v>
      </c>
      <c r="O8" s="1">
        <v>75</v>
      </c>
      <c r="P8" s="1">
        <v>75</v>
      </c>
      <c r="Q8" s="1" t="s">
        <v>186</v>
      </c>
      <c r="R8" s="1"/>
      <c r="S8" s="1"/>
      <c r="T8" s="1"/>
      <c r="U8" s="1"/>
      <c r="V8" s="1"/>
      <c r="W8" s="1"/>
      <c r="X8" s="1"/>
    </row>
    <row r="9" spans="1:24" x14ac:dyDescent="0.25">
      <c r="A9" s="1">
        <v>20411454</v>
      </c>
      <c r="B9" s="1" t="s">
        <v>197</v>
      </c>
      <c r="C9" s="1" t="s">
        <v>161</v>
      </c>
      <c r="D9" s="1" t="str">
        <f>CONCATENATE(C9,"OVR")</f>
        <v>DC33C6OVR</v>
      </c>
      <c r="E9" s="1" t="s">
        <v>163</v>
      </c>
      <c r="F9" s="1" t="s">
        <v>164</v>
      </c>
      <c r="G9" s="1" t="str">
        <f>CONCATENATE(E9, " ",F9)</f>
        <v>CARLOS GARCIA</v>
      </c>
      <c r="H9" s="1" t="s">
        <v>60</v>
      </c>
      <c r="I9" s="1" t="s">
        <v>101</v>
      </c>
      <c r="J9" s="1" t="s">
        <v>51</v>
      </c>
      <c r="K9" s="1" t="s">
        <v>52</v>
      </c>
      <c r="L9" s="1" t="s">
        <v>132</v>
      </c>
      <c r="M9" s="1">
        <v>0</v>
      </c>
      <c r="N9" s="1">
        <v>125</v>
      </c>
      <c r="O9" s="1">
        <v>125</v>
      </c>
      <c r="P9" s="1">
        <v>125</v>
      </c>
      <c r="Q9" s="1" t="s">
        <v>186</v>
      </c>
      <c r="R9" s="1"/>
      <c r="S9" s="1"/>
      <c r="T9" s="1"/>
      <c r="U9" s="1"/>
      <c r="V9" s="1"/>
      <c r="W9" s="1"/>
      <c r="X9" s="1"/>
    </row>
    <row r="10" spans="1:24" x14ac:dyDescent="0.25">
      <c r="A10" s="3">
        <v>2158366</v>
      </c>
      <c r="B10" s="3" t="s">
        <v>155</v>
      </c>
      <c r="C10" s="3" t="s">
        <v>179</v>
      </c>
      <c r="D10" s="3" t="str">
        <f>CONCATENATE(C10,7)</f>
        <v>D3Z3SA7</v>
      </c>
      <c r="E10" s="3" t="s">
        <v>181</v>
      </c>
      <c r="F10" s="3" t="s">
        <v>182</v>
      </c>
      <c r="G10" s="3" t="str">
        <f>CONCATENATE(E10, " ",F10)</f>
        <v>CAROL SCRIMA</v>
      </c>
      <c r="H10" s="3" t="s">
        <v>60</v>
      </c>
      <c r="I10" s="3" t="s">
        <v>101</v>
      </c>
      <c r="J10" s="3" t="s">
        <v>51</v>
      </c>
      <c r="K10" s="3" t="s">
        <v>52</v>
      </c>
      <c r="L10" s="3" t="s">
        <v>132</v>
      </c>
      <c r="M10" s="3">
        <v>289.16000000000003</v>
      </c>
      <c r="N10" s="3">
        <v>0</v>
      </c>
      <c r="O10" s="3">
        <v>289.16000000000003</v>
      </c>
      <c r="P10" s="3">
        <v>289.16000000000003</v>
      </c>
      <c r="Q10" s="3" t="s">
        <v>188</v>
      </c>
      <c r="R10" s="3" t="s">
        <v>190</v>
      </c>
      <c r="S10" s="3"/>
      <c r="T10" s="3"/>
      <c r="U10" s="3"/>
      <c r="V10" s="3"/>
      <c r="W10" s="3"/>
      <c r="X10" s="3"/>
    </row>
    <row r="11" spans="1:24" x14ac:dyDescent="0.25">
      <c r="A11" s="1">
        <v>20411454</v>
      </c>
      <c r="B11" s="1" t="s">
        <v>197</v>
      </c>
      <c r="C11" s="1" t="s">
        <v>179</v>
      </c>
      <c r="D11" s="1" t="str">
        <f>CONCATENATE(C11,"OVR")</f>
        <v>D3Z3SAOVR</v>
      </c>
      <c r="E11" s="1" t="s">
        <v>181</v>
      </c>
      <c r="F11" s="1" t="s">
        <v>182</v>
      </c>
      <c r="G11" s="1" t="str">
        <f>CONCATENATE(E11, " ",F11)</f>
        <v>CAROL SCRIMA</v>
      </c>
      <c r="H11" s="1" t="s">
        <v>60</v>
      </c>
      <c r="I11" s="1" t="s">
        <v>101</v>
      </c>
      <c r="J11" s="1" t="s">
        <v>51</v>
      </c>
      <c r="K11" s="1" t="s">
        <v>52</v>
      </c>
      <c r="L11" s="1" t="s">
        <v>132</v>
      </c>
      <c r="M11" s="1">
        <v>0</v>
      </c>
      <c r="N11" s="1">
        <v>75</v>
      </c>
      <c r="O11" s="1">
        <v>75</v>
      </c>
      <c r="P11" s="1">
        <v>75</v>
      </c>
      <c r="Q11" s="1" t="s">
        <v>186</v>
      </c>
      <c r="R11" s="1"/>
      <c r="S11" s="1"/>
      <c r="T11" s="1"/>
      <c r="U11" s="1"/>
      <c r="V11" s="1"/>
      <c r="W11" s="1"/>
      <c r="X11" s="1"/>
    </row>
    <row r="12" spans="1:24" s="2" customFormat="1" x14ac:dyDescent="0.25">
      <c r="A12" s="1">
        <v>20411454</v>
      </c>
      <c r="B12" s="1" t="s">
        <v>197</v>
      </c>
      <c r="C12" s="1" t="s">
        <v>179</v>
      </c>
      <c r="D12" s="1" t="str">
        <f>CONCATENATE(C12,"OVR")</f>
        <v>D3Z3SAOVR</v>
      </c>
      <c r="E12" s="1" t="s">
        <v>181</v>
      </c>
      <c r="F12" s="1" t="s">
        <v>182</v>
      </c>
      <c r="G12" s="1" t="str">
        <f>CONCATENATE(E12, " ",F12)</f>
        <v>CAROL SCRIMA</v>
      </c>
      <c r="H12" s="1" t="s">
        <v>60</v>
      </c>
      <c r="I12" s="1" t="s">
        <v>101</v>
      </c>
      <c r="J12" s="1" t="s">
        <v>51</v>
      </c>
      <c r="K12" s="1" t="s">
        <v>52</v>
      </c>
      <c r="L12" s="1" t="s">
        <v>132</v>
      </c>
      <c r="M12" s="1">
        <v>0</v>
      </c>
      <c r="N12" s="1">
        <v>125</v>
      </c>
      <c r="O12" s="1">
        <v>125</v>
      </c>
      <c r="P12" s="1">
        <v>125</v>
      </c>
      <c r="Q12" s="1" t="s">
        <v>186</v>
      </c>
      <c r="R12" s="1"/>
      <c r="S12" s="1"/>
      <c r="T12" s="1"/>
      <c r="U12" s="1"/>
      <c r="V12" s="1"/>
      <c r="W12" s="1"/>
      <c r="X12" s="1"/>
    </row>
    <row r="13" spans="1:24" s="2" customFormat="1" x14ac:dyDescent="0.25">
      <c r="A13" s="2">
        <v>18754354</v>
      </c>
      <c r="B13" s="2" t="s">
        <v>87</v>
      </c>
      <c r="C13" s="2" t="s">
        <v>88</v>
      </c>
      <c r="D13" s="2" t="str">
        <f>CONCATENATE(C13,9)</f>
        <v>D8ZCJF9</v>
      </c>
      <c r="E13" s="2" t="s">
        <v>90</v>
      </c>
      <c r="F13" s="2" t="s">
        <v>91</v>
      </c>
      <c r="G13" s="2" t="str">
        <f>CONCATENATE(E13, " ",F13)</f>
        <v>DENISE TOMAN</v>
      </c>
      <c r="H13" s="2" t="s">
        <v>60</v>
      </c>
      <c r="I13" s="2" t="s">
        <v>73</v>
      </c>
      <c r="J13" s="2" t="s">
        <v>75</v>
      </c>
      <c r="K13" s="2" t="s">
        <v>65</v>
      </c>
      <c r="L13" s="2" t="s">
        <v>76</v>
      </c>
      <c r="M13" s="2">
        <v>462.67</v>
      </c>
      <c r="N13" s="2">
        <v>0</v>
      </c>
      <c r="O13" s="2">
        <v>462.67</v>
      </c>
      <c r="P13" s="2">
        <v>694</v>
      </c>
      <c r="Q13" s="2" t="s">
        <v>187</v>
      </c>
      <c r="R13" s="2" t="s">
        <v>192</v>
      </c>
    </row>
    <row r="14" spans="1:24" s="2" customFormat="1" x14ac:dyDescent="0.25">
      <c r="A14" s="3">
        <v>18754354</v>
      </c>
      <c r="B14" s="3" t="s">
        <v>87</v>
      </c>
      <c r="C14" s="3" t="s">
        <v>88</v>
      </c>
      <c r="D14" s="3" t="str">
        <f>CONCATENATE(C14,7)</f>
        <v>D8ZCJF7</v>
      </c>
      <c r="E14" s="3" t="s">
        <v>90</v>
      </c>
      <c r="F14" s="3" t="s">
        <v>91</v>
      </c>
      <c r="G14" s="3" t="str">
        <f>CONCATENATE(E14, " ",F14)</f>
        <v>DENISE TOMAN</v>
      </c>
      <c r="H14" s="3" t="s">
        <v>60</v>
      </c>
      <c r="I14" s="3" t="s">
        <v>73</v>
      </c>
      <c r="J14" s="3" t="s">
        <v>75</v>
      </c>
      <c r="K14" s="3" t="s">
        <v>65</v>
      </c>
      <c r="L14" s="3" t="s">
        <v>76</v>
      </c>
      <c r="M14" s="3">
        <v>462.67</v>
      </c>
      <c r="N14" s="3">
        <v>0</v>
      </c>
      <c r="O14" s="3">
        <v>462.67</v>
      </c>
      <c r="P14" s="3">
        <v>-231.33</v>
      </c>
      <c r="Q14" s="3" t="s">
        <v>188</v>
      </c>
      <c r="R14" s="3" t="s">
        <v>195</v>
      </c>
      <c r="S14" s="3"/>
      <c r="T14" s="3"/>
      <c r="U14" s="3"/>
      <c r="V14" s="3"/>
      <c r="W14" s="3"/>
      <c r="X14" s="3"/>
    </row>
    <row r="15" spans="1:24" s="2" customFormat="1" x14ac:dyDescent="0.25">
      <c r="A15" s="3">
        <v>20003537</v>
      </c>
      <c r="B15" s="3" t="s">
        <v>41</v>
      </c>
      <c r="C15" s="3" t="s">
        <v>42</v>
      </c>
      <c r="D15" s="3" t="str">
        <f>CONCATENATE(C15,7)</f>
        <v>D6UY6A7</v>
      </c>
      <c r="E15" s="3" t="s">
        <v>44</v>
      </c>
      <c r="F15" s="3" t="s">
        <v>45</v>
      </c>
      <c r="G15" s="3" t="str">
        <f>CONCATENATE(E15, " ",F15)</f>
        <v>GENEVA ABSHER</v>
      </c>
      <c r="H15" s="3" t="s">
        <v>46</v>
      </c>
      <c r="I15" s="3" t="s">
        <v>48</v>
      </c>
      <c r="J15" s="3" t="s">
        <v>51</v>
      </c>
      <c r="K15" s="3" t="s">
        <v>52</v>
      </c>
      <c r="L15" s="3" t="s">
        <v>53</v>
      </c>
      <c r="M15" s="3">
        <v>-347</v>
      </c>
      <c r="N15" s="3">
        <v>-200</v>
      </c>
      <c r="O15" s="3">
        <v>-547</v>
      </c>
      <c r="P15" s="3">
        <v>-347</v>
      </c>
      <c r="Q15" s="3" t="s">
        <v>188</v>
      </c>
      <c r="R15" s="3" t="s">
        <v>191</v>
      </c>
      <c r="S15" s="3"/>
      <c r="T15" s="3"/>
      <c r="U15" s="3"/>
      <c r="V15" s="3"/>
      <c r="W15" s="3"/>
      <c r="X15" s="3"/>
    </row>
    <row r="16" spans="1:24" s="2" customFormat="1" x14ac:dyDescent="0.25">
      <c r="A16" s="1">
        <v>20411454</v>
      </c>
      <c r="B16" s="1" t="s">
        <v>197</v>
      </c>
      <c r="C16" s="1" t="s">
        <v>42</v>
      </c>
      <c r="D16" s="1" t="str">
        <f>CONCATENATE(C16,"OVR")</f>
        <v>D6UY6AOVR</v>
      </c>
      <c r="E16" s="1" t="s">
        <v>44</v>
      </c>
      <c r="F16" s="1" t="s">
        <v>45</v>
      </c>
      <c r="G16" s="1" t="str">
        <f>CONCATENATE(E16, " ",F16)</f>
        <v>GENEVA ABSHER</v>
      </c>
      <c r="H16" s="1" t="s">
        <v>46</v>
      </c>
      <c r="I16" s="1" t="s">
        <v>48</v>
      </c>
      <c r="J16" s="1" t="s">
        <v>51</v>
      </c>
      <c r="K16" s="1" t="s">
        <v>52</v>
      </c>
      <c r="L16" s="1" t="s">
        <v>53</v>
      </c>
      <c r="M16" s="1">
        <v>-347</v>
      </c>
      <c r="N16" s="1">
        <v>-200</v>
      </c>
      <c r="O16" s="1">
        <v>-547</v>
      </c>
      <c r="P16" s="1">
        <v>-200</v>
      </c>
      <c r="Q16" s="1" t="s">
        <v>186</v>
      </c>
      <c r="R16" s="1"/>
      <c r="S16" s="1"/>
      <c r="T16" s="1"/>
      <c r="U16" s="1"/>
      <c r="V16" s="1"/>
      <c r="W16" s="1"/>
      <c r="X16" s="1"/>
    </row>
    <row r="17" spans="1:24" s="3" customFormat="1" x14ac:dyDescent="0.25">
      <c r="A17" s="3">
        <v>2158366</v>
      </c>
      <c r="B17" s="3" t="s">
        <v>155</v>
      </c>
      <c r="C17" s="3" t="s">
        <v>183</v>
      </c>
      <c r="D17" s="3" t="str">
        <f>CONCATENATE(C17,7)</f>
        <v>DJCRCF7</v>
      </c>
      <c r="E17" s="3" t="s">
        <v>185</v>
      </c>
      <c r="F17" s="3" t="s">
        <v>182</v>
      </c>
      <c r="G17" s="3" t="str">
        <f>CONCATENATE(E17, " ",F17)</f>
        <v>GIORGIO SCRIMA</v>
      </c>
      <c r="H17" s="3" t="s">
        <v>60</v>
      </c>
      <c r="I17" s="3" t="s">
        <v>101</v>
      </c>
      <c r="J17" s="3" t="s">
        <v>51</v>
      </c>
      <c r="K17" s="3" t="s">
        <v>52</v>
      </c>
      <c r="L17" s="3" t="s">
        <v>132</v>
      </c>
      <c r="M17" s="3">
        <v>289.16000000000003</v>
      </c>
      <c r="N17" s="3">
        <v>0</v>
      </c>
      <c r="O17" s="3">
        <v>289.16000000000003</v>
      </c>
      <c r="P17" s="3">
        <v>289.16000000000003</v>
      </c>
      <c r="Q17" s="3" t="s">
        <v>188</v>
      </c>
      <c r="R17" s="3" t="s">
        <v>190</v>
      </c>
    </row>
    <row r="18" spans="1:24" s="3" customFormat="1" x14ac:dyDescent="0.25">
      <c r="A18" s="1">
        <v>20411454</v>
      </c>
      <c r="B18" s="1" t="s">
        <v>197</v>
      </c>
      <c r="C18" s="1" t="s">
        <v>183</v>
      </c>
      <c r="D18" s="1" t="str">
        <f>CONCATENATE(C18,"OVR")</f>
        <v>DJCRCFOVR</v>
      </c>
      <c r="E18" s="1" t="s">
        <v>185</v>
      </c>
      <c r="F18" s="1" t="s">
        <v>182</v>
      </c>
      <c r="G18" s="1" t="str">
        <f>CONCATENATE(E18, " ",F18)</f>
        <v>GIORGIO SCRIMA</v>
      </c>
      <c r="H18" s="1" t="s">
        <v>60</v>
      </c>
      <c r="I18" s="1" t="s">
        <v>101</v>
      </c>
      <c r="J18" s="1" t="s">
        <v>51</v>
      </c>
      <c r="K18" s="1" t="s">
        <v>52</v>
      </c>
      <c r="L18" s="1" t="s">
        <v>132</v>
      </c>
      <c r="M18" s="1">
        <v>0</v>
      </c>
      <c r="N18" s="1">
        <v>75</v>
      </c>
      <c r="O18" s="1">
        <v>75</v>
      </c>
      <c r="P18" s="1">
        <v>75</v>
      </c>
      <c r="Q18" s="1" t="s">
        <v>186</v>
      </c>
      <c r="R18" s="1"/>
      <c r="S18" s="1"/>
      <c r="T18" s="1"/>
      <c r="U18" s="1"/>
      <c r="V18" s="1"/>
      <c r="W18" s="1"/>
      <c r="X18" s="1"/>
    </row>
    <row r="19" spans="1:24" s="3" customFormat="1" x14ac:dyDescent="0.25">
      <c r="A19" s="1">
        <v>20411454</v>
      </c>
      <c r="B19" s="1" t="s">
        <v>197</v>
      </c>
      <c r="C19" s="1" t="s">
        <v>183</v>
      </c>
      <c r="D19" s="1" t="str">
        <f>CONCATENATE(C19,"OVR")</f>
        <v>DJCRCFOVR</v>
      </c>
      <c r="E19" s="1" t="s">
        <v>185</v>
      </c>
      <c r="F19" s="1" t="s">
        <v>182</v>
      </c>
      <c r="G19" s="1" t="str">
        <f>CONCATENATE(E19, " ",F19)</f>
        <v>GIORGIO SCRIMA</v>
      </c>
      <c r="H19" s="1" t="s">
        <v>60</v>
      </c>
      <c r="I19" s="1" t="s">
        <v>101</v>
      </c>
      <c r="J19" s="1" t="s">
        <v>51</v>
      </c>
      <c r="K19" s="1" t="s">
        <v>52</v>
      </c>
      <c r="L19" s="1" t="s">
        <v>132</v>
      </c>
      <c r="M19" s="1">
        <v>0</v>
      </c>
      <c r="N19" s="1">
        <v>125</v>
      </c>
      <c r="O19" s="1">
        <v>125</v>
      </c>
      <c r="P19" s="1">
        <v>125</v>
      </c>
      <c r="Q19" s="1" t="s">
        <v>186</v>
      </c>
      <c r="R19" s="1"/>
      <c r="S19" s="1"/>
      <c r="T19" s="1"/>
      <c r="U19" s="1"/>
      <c r="V19" s="1"/>
      <c r="W19" s="1"/>
      <c r="X19" s="1"/>
    </row>
    <row r="20" spans="1:24" s="3" customFormat="1" x14ac:dyDescent="0.25">
      <c r="A20" s="2">
        <v>19219478</v>
      </c>
      <c r="B20" s="2" t="s">
        <v>104</v>
      </c>
      <c r="C20" s="2" t="s">
        <v>105</v>
      </c>
      <c r="D20" s="2" t="str">
        <f>CONCATENATE(C20,9)</f>
        <v>DY9JK69</v>
      </c>
      <c r="E20" s="2" t="s">
        <v>107</v>
      </c>
      <c r="F20" s="2" t="s">
        <v>108</v>
      </c>
      <c r="G20" s="2" t="str">
        <f>CONCATENATE(E20, " ",F20)</f>
        <v>JANICE LENZ</v>
      </c>
      <c r="H20" s="2" t="s">
        <v>109</v>
      </c>
      <c r="I20" s="2" t="s">
        <v>101</v>
      </c>
      <c r="J20" s="2" t="s">
        <v>75</v>
      </c>
      <c r="K20" s="2" t="s">
        <v>65</v>
      </c>
      <c r="L20" s="2" t="s">
        <v>76</v>
      </c>
      <c r="M20" s="2">
        <v>404.84</v>
      </c>
      <c r="N20" s="2">
        <v>0</v>
      </c>
      <c r="O20" s="2">
        <v>404.84</v>
      </c>
      <c r="P20" s="2">
        <v>694</v>
      </c>
      <c r="Q20" s="2" t="s">
        <v>187</v>
      </c>
      <c r="R20" s="2" t="s">
        <v>192</v>
      </c>
      <c r="S20" s="2"/>
      <c r="T20" s="2"/>
      <c r="U20" s="2"/>
      <c r="V20" s="2"/>
      <c r="W20" s="2"/>
      <c r="X20" s="2"/>
    </row>
    <row r="21" spans="1:24" s="3" customFormat="1" x14ac:dyDescent="0.25">
      <c r="A21" s="3">
        <v>19219478</v>
      </c>
      <c r="B21" s="3" t="s">
        <v>104</v>
      </c>
      <c r="C21" s="3" t="s">
        <v>105</v>
      </c>
      <c r="D21" s="3" t="str">
        <f>CONCATENATE(C21,7)</f>
        <v>DY9JK67</v>
      </c>
      <c r="E21" s="3" t="s">
        <v>107</v>
      </c>
      <c r="F21" s="3" t="s">
        <v>108</v>
      </c>
      <c r="G21" s="3" t="str">
        <f>CONCATENATE(E21, " ",F21)</f>
        <v>JANICE LENZ</v>
      </c>
      <c r="H21" s="3" t="s">
        <v>109</v>
      </c>
      <c r="I21" s="3" t="s">
        <v>101</v>
      </c>
      <c r="J21" s="3" t="s">
        <v>75</v>
      </c>
      <c r="K21" s="3" t="s">
        <v>65</v>
      </c>
      <c r="L21" s="3" t="s">
        <v>76</v>
      </c>
      <c r="M21" s="3">
        <v>404.84</v>
      </c>
      <c r="N21" s="3">
        <v>0</v>
      </c>
      <c r="O21" s="3">
        <v>404.84</v>
      </c>
      <c r="P21" s="3">
        <v>-289.16000000000003</v>
      </c>
      <c r="Q21" s="3" t="s">
        <v>188</v>
      </c>
      <c r="R21" s="3" t="s">
        <v>190</v>
      </c>
    </row>
    <row r="22" spans="1:24" s="3" customFormat="1" x14ac:dyDescent="0.25">
      <c r="A22" s="2">
        <v>8325282</v>
      </c>
      <c r="B22" s="2" t="s">
        <v>118</v>
      </c>
      <c r="C22" s="2" t="s">
        <v>119</v>
      </c>
      <c r="D22" s="2" t="str">
        <f>CONCATENATE(C22,9)</f>
        <v>DJJSJR9</v>
      </c>
      <c r="E22" s="2" t="s">
        <v>121</v>
      </c>
      <c r="F22" s="2" t="s">
        <v>122</v>
      </c>
      <c r="G22" s="2" t="str">
        <f>CONCATENATE(E22, " ",F22)</f>
        <v>JOSEPH WALKER</v>
      </c>
      <c r="H22" s="2" t="s">
        <v>60</v>
      </c>
      <c r="I22" s="2" t="s">
        <v>101</v>
      </c>
      <c r="J22" s="2" t="s">
        <v>75</v>
      </c>
      <c r="K22" s="2" t="s">
        <v>65</v>
      </c>
      <c r="L22" s="2" t="s">
        <v>76</v>
      </c>
      <c r="M22" s="2">
        <v>404.84</v>
      </c>
      <c r="N22" s="2">
        <v>0</v>
      </c>
      <c r="O22" s="2">
        <v>404.84</v>
      </c>
      <c r="P22" s="2">
        <v>694</v>
      </c>
      <c r="Q22" s="2" t="s">
        <v>187</v>
      </c>
      <c r="R22" s="2" t="s">
        <v>192</v>
      </c>
      <c r="S22" s="2"/>
      <c r="T22" s="2"/>
      <c r="U22" s="2"/>
      <c r="V22" s="2"/>
      <c r="W22" s="2"/>
      <c r="X22" s="2"/>
    </row>
    <row r="23" spans="1:24" s="3" customFormat="1" x14ac:dyDescent="0.25">
      <c r="A23" s="3">
        <v>8325282</v>
      </c>
      <c r="B23" s="3" t="s">
        <v>118</v>
      </c>
      <c r="C23" s="3" t="s">
        <v>119</v>
      </c>
      <c r="D23" s="3" t="str">
        <f>CONCATENATE(C23,7)</f>
        <v>DJJSJR7</v>
      </c>
      <c r="E23" s="3" t="s">
        <v>121</v>
      </c>
      <c r="F23" s="3" t="s">
        <v>122</v>
      </c>
      <c r="G23" s="3" t="str">
        <f>CONCATENATE(E23, " ",F23)</f>
        <v>JOSEPH WALKER</v>
      </c>
      <c r="H23" s="3" t="s">
        <v>60</v>
      </c>
      <c r="I23" s="3" t="s">
        <v>101</v>
      </c>
      <c r="J23" s="3" t="s">
        <v>75</v>
      </c>
      <c r="K23" s="3" t="s">
        <v>65</v>
      </c>
      <c r="L23" s="3" t="s">
        <v>76</v>
      </c>
      <c r="M23" s="3">
        <v>404.84</v>
      </c>
      <c r="N23" s="3">
        <v>0</v>
      </c>
      <c r="O23" s="3">
        <v>404.84</v>
      </c>
      <c r="P23" s="3">
        <v>-289.16000000000003</v>
      </c>
      <c r="Q23" s="3" t="s">
        <v>188</v>
      </c>
      <c r="R23" s="3" t="s">
        <v>190</v>
      </c>
    </row>
    <row r="24" spans="1:24" s="3" customFormat="1" x14ac:dyDescent="0.25">
      <c r="A24" s="2">
        <v>17301495</v>
      </c>
      <c r="B24" s="2" t="s">
        <v>125</v>
      </c>
      <c r="C24" s="2" t="s">
        <v>126</v>
      </c>
      <c r="D24" s="2" t="str">
        <f>CONCATENATE(C24,9)</f>
        <v>D4ERG69</v>
      </c>
      <c r="E24" s="2" t="s">
        <v>128</v>
      </c>
      <c r="F24" s="2" t="s">
        <v>129</v>
      </c>
      <c r="G24" s="2" t="str">
        <f>CONCATENATE(E24, " ",F24)</f>
        <v>LAURA HERNANDEZ</v>
      </c>
      <c r="H24" s="2" t="s">
        <v>60</v>
      </c>
      <c r="I24" s="2" t="s">
        <v>131</v>
      </c>
      <c r="J24" s="2" t="s">
        <v>75</v>
      </c>
      <c r="K24" s="2" t="s">
        <v>65</v>
      </c>
      <c r="L24" s="2" t="s">
        <v>132</v>
      </c>
      <c r="M24" s="2">
        <v>433.75</v>
      </c>
      <c r="N24" s="2">
        <v>0</v>
      </c>
      <c r="O24" s="2">
        <v>433.75</v>
      </c>
      <c r="P24" s="2">
        <v>694</v>
      </c>
      <c r="Q24" s="2" t="s">
        <v>187</v>
      </c>
      <c r="R24" s="2" t="s">
        <v>192</v>
      </c>
      <c r="S24" s="2"/>
      <c r="T24" s="2"/>
      <c r="U24" s="2"/>
      <c r="V24" s="2"/>
      <c r="W24" s="2"/>
      <c r="X24" s="2"/>
    </row>
    <row r="25" spans="1:24" s="3" customFormat="1" x14ac:dyDescent="0.25">
      <c r="A25" s="3">
        <v>17301495</v>
      </c>
      <c r="B25" s="3" t="s">
        <v>125</v>
      </c>
      <c r="C25" s="3" t="s">
        <v>126</v>
      </c>
      <c r="D25" s="3" t="str">
        <f>CONCATENATE(C25,7)</f>
        <v>D4ERG67</v>
      </c>
      <c r="E25" s="3" t="s">
        <v>128</v>
      </c>
      <c r="F25" s="3" t="s">
        <v>129</v>
      </c>
      <c r="G25" s="3" t="str">
        <f>CONCATENATE(E25, " ",F25)</f>
        <v>LAURA HERNANDEZ</v>
      </c>
      <c r="H25" s="3" t="s">
        <v>60</v>
      </c>
      <c r="I25" s="3" t="s">
        <v>131</v>
      </c>
      <c r="J25" s="3" t="s">
        <v>75</v>
      </c>
      <c r="K25" s="3" t="s">
        <v>65</v>
      </c>
      <c r="L25" s="3" t="s">
        <v>132</v>
      </c>
      <c r="M25" s="3">
        <v>433.75</v>
      </c>
      <c r="N25" s="3">
        <v>0</v>
      </c>
      <c r="O25" s="3">
        <v>433.75</v>
      </c>
      <c r="P25" s="3">
        <v>-260.25</v>
      </c>
      <c r="Q25" s="3" t="s">
        <v>188</v>
      </c>
      <c r="R25" s="3" t="s">
        <v>194</v>
      </c>
      <c r="T25" s="3">
        <v>260.25</v>
      </c>
    </row>
    <row r="26" spans="1:24" s="3" customFormat="1" x14ac:dyDescent="0.25">
      <c r="A26" s="2">
        <v>19586992</v>
      </c>
      <c r="B26" s="2" t="s">
        <v>67</v>
      </c>
      <c r="C26" s="2" t="s">
        <v>68</v>
      </c>
      <c r="D26" s="2" t="str">
        <f>CONCATENATE(C26,9)</f>
        <v>D27HJW9</v>
      </c>
      <c r="E26" s="2" t="s">
        <v>70</v>
      </c>
      <c r="F26" s="2" t="s">
        <v>71</v>
      </c>
      <c r="G26" s="2" t="str">
        <f>CONCATENATE(E26, " ",F26)</f>
        <v>LORI BETTENDORF</v>
      </c>
      <c r="H26" s="2" t="s">
        <v>60</v>
      </c>
      <c r="I26" s="2" t="s">
        <v>73</v>
      </c>
      <c r="J26" s="2" t="s">
        <v>75</v>
      </c>
      <c r="K26" s="2" t="s">
        <v>65</v>
      </c>
      <c r="L26" s="2" t="s">
        <v>76</v>
      </c>
      <c r="M26" s="2">
        <v>462.67</v>
      </c>
      <c r="N26" s="2">
        <v>0</v>
      </c>
      <c r="O26" s="2">
        <v>462.67</v>
      </c>
      <c r="P26" s="2">
        <v>694</v>
      </c>
      <c r="Q26" s="2" t="s">
        <v>187</v>
      </c>
      <c r="R26" s="2" t="s">
        <v>192</v>
      </c>
      <c r="S26" s="2"/>
      <c r="T26" s="2"/>
      <c r="U26" s="2"/>
      <c r="V26" s="2"/>
      <c r="W26" s="2"/>
      <c r="X26" s="2"/>
    </row>
    <row r="27" spans="1:24" s="3" customFormat="1" x14ac:dyDescent="0.25">
      <c r="A27" s="3">
        <v>19586992</v>
      </c>
      <c r="B27" s="3" t="s">
        <v>67</v>
      </c>
      <c r="C27" s="3" t="s">
        <v>68</v>
      </c>
      <c r="D27" s="3" t="str">
        <f>CONCATENATE(C27,7)</f>
        <v>D27HJW7</v>
      </c>
      <c r="E27" s="3" t="s">
        <v>70</v>
      </c>
      <c r="F27" s="3" t="s">
        <v>71</v>
      </c>
      <c r="G27" s="3" t="str">
        <f>CONCATENATE(E27, " ",F27)</f>
        <v>LORI BETTENDORF</v>
      </c>
      <c r="H27" s="3" t="s">
        <v>60</v>
      </c>
      <c r="I27" s="3" t="s">
        <v>73</v>
      </c>
      <c r="J27" s="3" t="s">
        <v>75</v>
      </c>
      <c r="K27" s="3" t="s">
        <v>65</v>
      </c>
      <c r="L27" s="3" t="s">
        <v>76</v>
      </c>
      <c r="M27" s="3">
        <v>462.67</v>
      </c>
      <c r="N27" s="3">
        <v>0</v>
      </c>
      <c r="O27" s="3">
        <v>462.67</v>
      </c>
      <c r="P27" s="3">
        <v>-231.33</v>
      </c>
      <c r="Q27" s="3" t="s">
        <v>188</v>
      </c>
      <c r="R27" s="3" t="s">
        <v>195</v>
      </c>
      <c r="T27" s="3">
        <v>231.33</v>
      </c>
    </row>
    <row r="28" spans="1:24" s="3" customFormat="1" x14ac:dyDescent="0.25">
      <c r="A28" s="2">
        <v>7565575</v>
      </c>
      <c r="B28" s="2" t="s">
        <v>140</v>
      </c>
      <c r="C28" s="2" t="s">
        <v>141</v>
      </c>
      <c r="D28" s="2" t="str">
        <f>CONCATENATE(C28,9)</f>
        <v>D72AC49</v>
      </c>
      <c r="E28" s="2" t="s">
        <v>143</v>
      </c>
      <c r="F28" s="2" t="s">
        <v>144</v>
      </c>
      <c r="G28" s="2" t="str">
        <f>CONCATENATE(E28, " ",F28)</f>
        <v>MARY VAN RIPER</v>
      </c>
      <c r="H28" s="2" t="s">
        <v>60</v>
      </c>
      <c r="I28" s="2" t="s">
        <v>131</v>
      </c>
      <c r="J28" s="2" t="s">
        <v>75</v>
      </c>
      <c r="K28" s="2" t="s">
        <v>65</v>
      </c>
      <c r="L28" s="2" t="s">
        <v>132</v>
      </c>
      <c r="M28" s="2">
        <v>433.75</v>
      </c>
      <c r="N28" s="2">
        <v>0</v>
      </c>
      <c r="O28" s="2">
        <v>433.75</v>
      </c>
      <c r="P28" s="2">
        <v>694</v>
      </c>
      <c r="Q28" s="2" t="s">
        <v>187</v>
      </c>
      <c r="R28" s="2" t="s">
        <v>192</v>
      </c>
      <c r="S28" s="2"/>
      <c r="T28" s="2"/>
      <c r="U28" s="2"/>
      <c r="V28" s="2"/>
      <c r="W28" s="2"/>
      <c r="X28" s="2"/>
    </row>
    <row r="29" spans="1:24" s="3" customFormat="1" x14ac:dyDescent="0.25">
      <c r="A29" s="3">
        <v>7565575</v>
      </c>
      <c r="B29" s="3" t="s">
        <v>140</v>
      </c>
      <c r="C29" s="3" t="s">
        <v>141</v>
      </c>
      <c r="D29" s="3" t="str">
        <f>CONCATENATE(C29,7)</f>
        <v>D72AC47</v>
      </c>
      <c r="E29" s="3" t="s">
        <v>143</v>
      </c>
      <c r="F29" s="3" t="s">
        <v>144</v>
      </c>
      <c r="G29" s="3" t="str">
        <f>CONCATENATE(E29, " ",F29)</f>
        <v>MARY VAN RIPER</v>
      </c>
      <c r="H29" s="3" t="s">
        <v>60</v>
      </c>
      <c r="I29" s="3" t="s">
        <v>131</v>
      </c>
      <c r="J29" s="3" t="s">
        <v>75</v>
      </c>
      <c r="K29" s="3" t="s">
        <v>65</v>
      </c>
      <c r="L29" s="3" t="s">
        <v>132</v>
      </c>
      <c r="M29" s="3">
        <v>433.75</v>
      </c>
      <c r="N29" s="3">
        <v>0</v>
      </c>
      <c r="O29" s="3">
        <v>433.75</v>
      </c>
      <c r="P29" s="3">
        <v>-260.25</v>
      </c>
      <c r="Q29" s="3" t="s">
        <v>188</v>
      </c>
      <c r="R29" s="3" t="s">
        <v>194</v>
      </c>
    </row>
    <row r="30" spans="1:24" s="3" customFormat="1" x14ac:dyDescent="0.25">
      <c r="A30" s="2">
        <v>21618313</v>
      </c>
      <c r="B30" s="2" t="s">
        <v>167</v>
      </c>
      <c r="C30" s="2" t="s">
        <v>168</v>
      </c>
      <c r="D30" s="2" t="str">
        <f>CONCATENATE(C30,9)</f>
        <v>DZG6US9</v>
      </c>
      <c r="E30" s="2" t="s">
        <v>170</v>
      </c>
      <c r="F30" s="2" t="s">
        <v>171</v>
      </c>
      <c r="G30" s="2" t="str">
        <f>CONCATENATE(E30, " ",F30)</f>
        <v>MARZENA OLEJNIK</v>
      </c>
      <c r="H30" s="2" t="s">
        <v>83</v>
      </c>
      <c r="I30" s="2" t="s">
        <v>101</v>
      </c>
      <c r="J30" s="2" t="s">
        <v>75</v>
      </c>
      <c r="K30" s="2" t="s">
        <v>65</v>
      </c>
      <c r="L30" s="2" t="s">
        <v>132</v>
      </c>
      <c r="M30" s="2">
        <v>781</v>
      </c>
      <c r="N30" s="2">
        <v>0</v>
      </c>
      <c r="O30" s="2">
        <v>781</v>
      </c>
      <c r="P30" s="2">
        <v>781</v>
      </c>
      <c r="Q30" s="2" t="s">
        <v>189</v>
      </c>
      <c r="R30" s="2" t="s">
        <v>193</v>
      </c>
      <c r="S30" s="2"/>
      <c r="T30" s="2"/>
      <c r="U30" s="2"/>
      <c r="V30" s="2"/>
      <c r="W30" s="2"/>
      <c r="X30" s="2"/>
    </row>
    <row r="31" spans="1:24" s="1" customFormat="1" x14ac:dyDescent="0.25">
      <c r="A31" s="1">
        <v>20411454</v>
      </c>
      <c r="B31" s="1" t="s">
        <v>197</v>
      </c>
      <c r="C31" s="1" t="s">
        <v>168</v>
      </c>
      <c r="D31" s="1" t="str">
        <f>CONCATENATE(C31,"OVR")</f>
        <v>DZG6USOVR</v>
      </c>
      <c r="E31" s="1" t="s">
        <v>170</v>
      </c>
      <c r="F31" s="1" t="s">
        <v>171</v>
      </c>
      <c r="G31" s="1" t="str">
        <f>CONCATENATE(E31, " ",F31)</f>
        <v>MARZENA OLEJNIK</v>
      </c>
      <c r="H31" s="1" t="s">
        <v>83</v>
      </c>
      <c r="I31" s="1" t="s">
        <v>101</v>
      </c>
      <c r="J31" s="1" t="s">
        <v>75</v>
      </c>
      <c r="K31" s="1" t="s">
        <v>65</v>
      </c>
      <c r="L31" s="1" t="s">
        <v>132</v>
      </c>
      <c r="M31" s="1">
        <v>0</v>
      </c>
      <c r="N31" s="1">
        <v>75</v>
      </c>
      <c r="O31" s="1">
        <v>75</v>
      </c>
      <c r="P31" s="1">
        <v>75</v>
      </c>
      <c r="Q31" s="1" t="s">
        <v>186</v>
      </c>
    </row>
    <row r="32" spans="1:24" s="1" customFormat="1" x14ac:dyDescent="0.25">
      <c r="A32" s="1">
        <v>20411454</v>
      </c>
      <c r="B32" s="1" t="s">
        <v>197</v>
      </c>
      <c r="C32" s="1" t="s">
        <v>168</v>
      </c>
      <c r="D32" s="1" t="str">
        <f>CONCATENATE(C32,"OVR")</f>
        <v>DZG6USOVR</v>
      </c>
      <c r="E32" s="1" t="s">
        <v>170</v>
      </c>
      <c r="F32" s="1" t="s">
        <v>171</v>
      </c>
      <c r="G32" s="1" t="str">
        <f>CONCATENATE(E32, " ",F32)</f>
        <v>MARZENA OLEJNIK</v>
      </c>
      <c r="H32" s="1" t="s">
        <v>83</v>
      </c>
      <c r="I32" s="1" t="s">
        <v>101</v>
      </c>
      <c r="J32" s="1" t="s">
        <v>75</v>
      </c>
      <c r="K32" s="1" t="s">
        <v>65</v>
      </c>
      <c r="L32" s="1" t="s">
        <v>132</v>
      </c>
      <c r="M32" s="1">
        <v>0</v>
      </c>
      <c r="N32" s="1">
        <v>125</v>
      </c>
      <c r="O32" s="1">
        <v>125</v>
      </c>
      <c r="P32" s="1">
        <v>125</v>
      </c>
      <c r="Q32" s="1" t="s">
        <v>186</v>
      </c>
    </row>
    <row r="33" spans="1:24" s="1" customFormat="1" x14ac:dyDescent="0.25">
      <c r="A33" s="2">
        <v>18794740</v>
      </c>
      <c r="B33" s="2" t="s">
        <v>78</v>
      </c>
      <c r="C33" s="2" t="s">
        <v>79</v>
      </c>
      <c r="D33" s="2" t="str">
        <f>CONCATENATE(C33,9)</f>
        <v>D24JCY9</v>
      </c>
      <c r="E33" s="2" t="s">
        <v>81</v>
      </c>
      <c r="F33" s="2" t="s">
        <v>82</v>
      </c>
      <c r="G33" s="2" t="str">
        <f>CONCATENATE(E33, " ",F33)</f>
        <v>MICHELE HECKENBERGER</v>
      </c>
      <c r="H33" s="2" t="s">
        <v>83</v>
      </c>
      <c r="I33" s="2" t="s">
        <v>73</v>
      </c>
      <c r="J33" s="2" t="s">
        <v>75</v>
      </c>
      <c r="K33" s="2" t="s">
        <v>65</v>
      </c>
      <c r="L33" s="2" t="s">
        <v>76</v>
      </c>
      <c r="M33" s="2">
        <v>520.34</v>
      </c>
      <c r="N33" s="2">
        <v>0</v>
      </c>
      <c r="O33" s="2">
        <v>520.34</v>
      </c>
      <c r="P33" s="2">
        <v>520.34</v>
      </c>
      <c r="Q33" s="2" t="s">
        <v>187</v>
      </c>
      <c r="R33" s="2" t="s">
        <v>196</v>
      </c>
      <c r="S33" s="2"/>
      <c r="T33" s="2">
        <f>694/12*9</f>
        <v>520.5</v>
      </c>
      <c r="U33" s="2"/>
      <c r="V33" s="2"/>
      <c r="W33" s="2"/>
      <c r="X33" s="2"/>
    </row>
    <row r="34" spans="1:24" s="1" customFormat="1" x14ac:dyDescent="0.25">
      <c r="A34" s="2">
        <v>8814784</v>
      </c>
      <c r="B34" s="2" t="s">
        <v>134</v>
      </c>
      <c r="C34" s="2" t="s">
        <v>135</v>
      </c>
      <c r="D34" s="2" t="str">
        <f>CONCATENATE(C34,9)</f>
        <v>DSYRF29</v>
      </c>
      <c r="E34" s="2" t="s">
        <v>137</v>
      </c>
      <c r="F34" s="2" t="s">
        <v>138</v>
      </c>
      <c r="G34" s="2" t="str">
        <f>CONCATENATE(E34, " ",F34)</f>
        <v>MIKE KUROTOBI</v>
      </c>
      <c r="H34" s="2" t="s">
        <v>60</v>
      </c>
      <c r="I34" s="2" t="s">
        <v>101</v>
      </c>
      <c r="J34" s="2" t="s">
        <v>75</v>
      </c>
      <c r="K34" s="2" t="s">
        <v>65</v>
      </c>
      <c r="L34" s="2" t="s">
        <v>132</v>
      </c>
      <c r="M34" s="2">
        <v>404.84</v>
      </c>
      <c r="N34" s="2">
        <v>0</v>
      </c>
      <c r="O34" s="2">
        <v>404.84</v>
      </c>
      <c r="P34" s="2">
        <v>694</v>
      </c>
      <c r="Q34" s="2" t="s">
        <v>187</v>
      </c>
      <c r="R34" s="2" t="s">
        <v>192</v>
      </c>
      <c r="S34" s="2"/>
      <c r="T34" s="2"/>
      <c r="U34" s="2"/>
      <c r="V34" s="2"/>
      <c r="W34" s="2"/>
      <c r="X34" s="2"/>
    </row>
    <row r="35" spans="1:24" s="1" customFormat="1" x14ac:dyDescent="0.25">
      <c r="A35" s="3">
        <v>8814784</v>
      </c>
      <c r="B35" s="3" t="s">
        <v>134</v>
      </c>
      <c r="C35" s="3" t="s">
        <v>135</v>
      </c>
      <c r="D35" s="3" t="str">
        <f>CONCATENATE(C35,7)</f>
        <v>DSYRF27</v>
      </c>
      <c r="E35" s="3" t="s">
        <v>137</v>
      </c>
      <c r="F35" s="3" t="s">
        <v>138</v>
      </c>
      <c r="G35" s="3" t="str">
        <f>CONCATENATE(E35, " ",F35)</f>
        <v>MIKE KUROTOBI</v>
      </c>
      <c r="H35" s="3" t="s">
        <v>60</v>
      </c>
      <c r="I35" s="3" t="s">
        <v>101</v>
      </c>
      <c r="J35" s="3" t="s">
        <v>75</v>
      </c>
      <c r="K35" s="3" t="s">
        <v>65</v>
      </c>
      <c r="L35" s="3" t="s">
        <v>132</v>
      </c>
      <c r="M35" s="3">
        <v>404.84</v>
      </c>
      <c r="N35" s="3">
        <v>0</v>
      </c>
      <c r="O35" s="3">
        <v>404.84</v>
      </c>
      <c r="P35" s="3">
        <v>-289.16000000000003</v>
      </c>
      <c r="Q35" s="3" t="s">
        <v>188</v>
      </c>
      <c r="R35" s="3" t="s">
        <v>190</v>
      </c>
      <c r="S35" s="3"/>
      <c r="T35" s="3"/>
      <c r="U35" s="3"/>
      <c r="V35" s="3"/>
      <c r="W35" s="3"/>
      <c r="X35" s="3"/>
    </row>
    <row r="36" spans="1:24" s="1" customFormat="1" x14ac:dyDescent="0.25">
      <c r="A36" s="2">
        <v>7152559</v>
      </c>
      <c r="B36" s="2" t="s">
        <v>55</v>
      </c>
      <c r="C36" s="2" t="s">
        <v>56</v>
      </c>
      <c r="D36" s="2" t="str">
        <f>CONCATENATE(C36,9)</f>
        <v>DYRU4G9</v>
      </c>
      <c r="E36" s="2" t="s">
        <v>58</v>
      </c>
      <c r="F36" s="2" t="s">
        <v>59</v>
      </c>
      <c r="G36" s="2" t="str">
        <f>CONCATENATE(E36, " ",F36)</f>
        <v>PEARL AGEE</v>
      </c>
      <c r="H36" s="2" t="s">
        <v>60</v>
      </c>
      <c r="I36" s="2" t="s">
        <v>48</v>
      </c>
      <c r="J36" s="2" t="s">
        <v>64</v>
      </c>
      <c r="K36" s="2" t="s">
        <v>65</v>
      </c>
      <c r="L36" s="2" t="s">
        <v>53</v>
      </c>
      <c r="M36" s="2">
        <v>-694</v>
      </c>
      <c r="N36" s="2">
        <v>-200</v>
      </c>
      <c r="O36" s="2">
        <v>-894</v>
      </c>
      <c r="P36" s="2">
        <v>-694</v>
      </c>
      <c r="Q36" s="2" t="s">
        <v>187</v>
      </c>
      <c r="R36" s="2" t="s">
        <v>192</v>
      </c>
      <c r="S36" s="2"/>
      <c r="T36" s="2"/>
      <c r="U36" s="2"/>
      <c r="V36" s="2"/>
      <c r="W36" s="2"/>
      <c r="X36" s="2"/>
    </row>
    <row r="37" spans="1:24" s="1" customFormat="1" x14ac:dyDescent="0.25">
      <c r="A37" s="1">
        <v>20411454</v>
      </c>
      <c r="B37" s="1" t="s">
        <v>197</v>
      </c>
      <c r="C37" s="1" t="s">
        <v>56</v>
      </c>
      <c r="D37" s="1" t="str">
        <f>CONCATENATE(C37,"OVR")</f>
        <v>DYRU4GOVR</v>
      </c>
      <c r="E37" s="1" t="s">
        <v>58</v>
      </c>
      <c r="F37" s="1" t="s">
        <v>59</v>
      </c>
      <c r="G37" s="1" t="str">
        <f>CONCATENATE(E37, " ",F37)</f>
        <v>PEARL AGEE</v>
      </c>
      <c r="H37" s="1" t="s">
        <v>60</v>
      </c>
      <c r="I37" s="1" t="s">
        <v>48</v>
      </c>
      <c r="J37" s="1" t="s">
        <v>64</v>
      </c>
      <c r="K37" s="1" t="s">
        <v>65</v>
      </c>
      <c r="L37" s="1" t="s">
        <v>53</v>
      </c>
      <c r="M37" s="1">
        <v>-694</v>
      </c>
      <c r="N37" s="1">
        <v>-200</v>
      </c>
      <c r="O37" s="1">
        <v>-894</v>
      </c>
      <c r="P37" s="1">
        <v>-200</v>
      </c>
      <c r="Q37" s="1" t="s">
        <v>186</v>
      </c>
    </row>
    <row r="38" spans="1:24" s="1" customFormat="1" x14ac:dyDescent="0.25">
      <c r="A38" s="2">
        <v>19645587</v>
      </c>
      <c r="B38" s="2" t="s">
        <v>94</v>
      </c>
      <c r="C38" s="2" t="s">
        <v>95</v>
      </c>
      <c r="D38" s="2" t="str">
        <f>CONCATENATE(C38,9)</f>
        <v>DZCFJ89</v>
      </c>
      <c r="E38" s="2" t="s">
        <v>97</v>
      </c>
      <c r="F38" s="2" t="s">
        <v>98</v>
      </c>
      <c r="G38" s="2" t="str">
        <f>CONCATENATE(E38, " ",F38)</f>
        <v>RAI TORRES</v>
      </c>
      <c r="H38" s="2" t="s">
        <v>99</v>
      </c>
      <c r="I38" s="2" t="s">
        <v>101</v>
      </c>
      <c r="J38" s="2" t="s">
        <v>75</v>
      </c>
      <c r="K38" s="2" t="s">
        <v>65</v>
      </c>
      <c r="L38" s="2" t="s">
        <v>76</v>
      </c>
      <c r="M38" s="2">
        <v>404.84</v>
      </c>
      <c r="N38" s="2">
        <v>0</v>
      </c>
      <c r="O38" s="2">
        <v>404.84</v>
      </c>
      <c r="P38" s="2">
        <v>694</v>
      </c>
      <c r="Q38" s="2" t="s">
        <v>187</v>
      </c>
      <c r="R38" s="2" t="s">
        <v>192</v>
      </c>
      <c r="S38" s="2"/>
      <c r="T38" s="2">
        <v>289.16000000000003</v>
      </c>
      <c r="U38" s="2"/>
      <c r="V38" s="2"/>
      <c r="W38" s="2"/>
      <c r="X38" s="2"/>
    </row>
    <row r="39" spans="1:24" s="1" customFormat="1" x14ac:dyDescent="0.25">
      <c r="A39" s="3">
        <v>19645587</v>
      </c>
      <c r="B39" s="3" t="s">
        <v>94</v>
      </c>
      <c r="C39" s="3" t="s">
        <v>95</v>
      </c>
      <c r="D39" s="3" t="str">
        <f>CONCATENATE(C39,7)</f>
        <v>DZCFJ87</v>
      </c>
      <c r="E39" s="3" t="s">
        <v>97</v>
      </c>
      <c r="F39" s="3" t="s">
        <v>98</v>
      </c>
      <c r="G39" s="3" t="str">
        <f>CONCATENATE(E39, " ",F39)</f>
        <v>RAI TORRES</v>
      </c>
      <c r="H39" s="3" t="s">
        <v>99</v>
      </c>
      <c r="I39" s="3" t="s">
        <v>101</v>
      </c>
      <c r="J39" s="3" t="s">
        <v>75</v>
      </c>
      <c r="K39" s="3" t="s">
        <v>65</v>
      </c>
      <c r="L39" s="3" t="s">
        <v>76</v>
      </c>
      <c r="M39" s="3">
        <v>404.84</v>
      </c>
      <c r="N39" s="3">
        <v>0</v>
      </c>
      <c r="O39" s="3">
        <v>404.84</v>
      </c>
      <c r="P39" s="3">
        <v>-289.16000000000003</v>
      </c>
      <c r="Q39" s="3" t="s">
        <v>188</v>
      </c>
      <c r="R39" s="3" t="s">
        <v>190</v>
      </c>
      <c r="S39" s="3"/>
      <c r="T39" s="3">
        <v>289.16000000000003</v>
      </c>
      <c r="U39" s="3"/>
      <c r="V39" s="3"/>
      <c r="W39" s="3"/>
      <c r="X39" s="3"/>
    </row>
    <row r="40" spans="1:24" s="1" customFormat="1" x14ac:dyDescent="0.25">
      <c r="A40" s="2">
        <v>2158366</v>
      </c>
      <c r="B40" s="2" t="s">
        <v>155</v>
      </c>
      <c r="C40" s="2" t="s">
        <v>156</v>
      </c>
      <c r="D40" s="2" t="str">
        <f>CONCATENATE(C40,9)</f>
        <v>DGHZKF9</v>
      </c>
      <c r="E40" s="2" t="s">
        <v>158</v>
      </c>
      <c r="F40" s="2" t="s">
        <v>159</v>
      </c>
      <c r="G40" s="2" t="str">
        <f>CONCATENATE(E40, " ",F40)</f>
        <v>SUSAN CHEVAL</v>
      </c>
      <c r="H40" s="2" t="s">
        <v>60</v>
      </c>
      <c r="I40" s="2" t="s">
        <v>73</v>
      </c>
      <c r="J40" s="2" t="s">
        <v>75</v>
      </c>
      <c r="K40" s="2" t="s">
        <v>65</v>
      </c>
      <c r="L40" s="2" t="s">
        <v>132</v>
      </c>
      <c r="M40" s="2">
        <v>694</v>
      </c>
      <c r="N40" s="2">
        <v>0</v>
      </c>
      <c r="O40" s="2">
        <v>694</v>
      </c>
      <c r="P40" s="2">
        <v>694</v>
      </c>
      <c r="Q40" s="2" t="s">
        <v>187</v>
      </c>
      <c r="R40" s="2" t="s">
        <v>192</v>
      </c>
      <c r="S40" s="2"/>
      <c r="T40" s="2"/>
      <c r="U40" s="2"/>
      <c r="V40" s="2"/>
      <c r="W40" s="2"/>
      <c r="X40" s="2"/>
    </row>
    <row r="41" spans="1:24" s="1" customFormat="1" x14ac:dyDescent="0.25">
      <c r="A41" s="1">
        <v>20411454</v>
      </c>
      <c r="B41" s="1" t="s">
        <v>197</v>
      </c>
      <c r="C41" s="1" t="s">
        <v>156</v>
      </c>
      <c r="D41" s="1" t="str">
        <f>CONCATENATE(C41,"OVR")</f>
        <v>DGHZKFOVR</v>
      </c>
      <c r="E41" s="1" t="s">
        <v>158</v>
      </c>
      <c r="F41" s="1" t="s">
        <v>159</v>
      </c>
      <c r="G41" s="1" t="str">
        <f>CONCATENATE(E41, " ",F41)</f>
        <v>SUSAN CHEVAL</v>
      </c>
      <c r="H41" s="1" t="s">
        <v>60</v>
      </c>
      <c r="I41" s="1" t="s">
        <v>73</v>
      </c>
      <c r="J41" s="1" t="s">
        <v>75</v>
      </c>
      <c r="K41" s="1" t="s">
        <v>65</v>
      </c>
      <c r="L41" s="1" t="s">
        <v>132</v>
      </c>
      <c r="M41" s="1">
        <v>0</v>
      </c>
      <c r="N41" s="1">
        <v>75</v>
      </c>
      <c r="O41" s="1">
        <v>75</v>
      </c>
      <c r="P41" s="1">
        <v>75</v>
      </c>
      <c r="Q41" s="1" t="s">
        <v>186</v>
      </c>
    </row>
    <row r="42" spans="1:24" s="1" customFormat="1" x14ac:dyDescent="0.25">
      <c r="A42" s="1">
        <v>20411454</v>
      </c>
      <c r="B42" s="1" t="s">
        <v>197</v>
      </c>
      <c r="C42" s="1" t="s">
        <v>156</v>
      </c>
      <c r="D42" s="1" t="str">
        <f>CONCATENATE(C42,"OVR")</f>
        <v>DGHZKFOVR</v>
      </c>
      <c r="E42" s="1" t="s">
        <v>158</v>
      </c>
      <c r="F42" s="1" t="s">
        <v>159</v>
      </c>
      <c r="G42" s="1" t="str">
        <f>CONCATENATE(E42, " ",F42)</f>
        <v>SUSAN CHEVAL</v>
      </c>
      <c r="H42" s="1" t="s">
        <v>60</v>
      </c>
      <c r="I42" s="1" t="s">
        <v>73</v>
      </c>
      <c r="J42" s="1" t="s">
        <v>75</v>
      </c>
      <c r="K42" s="1" t="s">
        <v>65</v>
      </c>
      <c r="L42" s="1" t="s">
        <v>132</v>
      </c>
      <c r="M42" s="1">
        <v>0</v>
      </c>
      <c r="N42" s="1">
        <v>125</v>
      </c>
      <c r="O42" s="1">
        <v>125</v>
      </c>
      <c r="P42" s="1">
        <v>125</v>
      </c>
      <c r="Q42" s="1" t="s">
        <v>186</v>
      </c>
    </row>
    <row r="43" spans="1:24" s="1" customFormat="1" x14ac:dyDescent="0.25">
      <c r="A43" s="2">
        <v>18754354</v>
      </c>
      <c r="B43" s="2" t="s">
        <v>87</v>
      </c>
      <c r="C43" s="2" t="s">
        <v>112</v>
      </c>
      <c r="D43" s="2" t="str">
        <f>CONCATENATE(C43,9)</f>
        <v>DE9JJ39</v>
      </c>
      <c r="E43" s="2" t="s">
        <v>114</v>
      </c>
      <c r="F43" s="2" t="s">
        <v>115</v>
      </c>
      <c r="G43" s="2" t="str">
        <f>CONCATENATE(E43, " ",F43)</f>
        <v>VALERIE THOMMEN</v>
      </c>
      <c r="H43" s="2" t="s">
        <v>46</v>
      </c>
      <c r="I43" s="2" t="s">
        <v>73</v>
      </c>
      <c r="J43" s="2" t="s">
        <v>75</v>
      </c>
      <c r="K43" s="2" t="s">
        <v>65</v>
      </c>
      <c r="L43" s="2" t="s">
        <v>76</v>
      </c>
      <c r="M43" s="2">
        <v>462.67</v>
      </c>
      <c r="N43" s="2">
        <v>0</v>
      </c>
      <c r="O43" s="2">
        <v>462.67</v>
      </c>
      <c r="P43" s="2">
        <v>694</v>
      </c>
      <c r="Q43" s="2" t="s">
        <v>187</v>
      </c>
      <c r="R43" s="2" t="s">
        <v>192</v>
      </c>
      <c r="S43" s="2"/>
      <c r="T43" s="2"/>
      <c r="U43" s="2"/>
      <c r="V43" s="2"/>
      <c r="W43" s="2"/>
      <c r="X43" s="2"/>
    </row>
    <row r="44" spans="1:24" s="1" customFormat="1" x14ac:dyDescent="0.25">
      <c r="A44" s="3">
        <v>18754354</v>
      </c>
      <c r="B44" s="3" t="s">
        <v>87</v>
      </c>
      <c r="C44" s="3" t="s">
        <v>112</v>
      </c>
      <c r="D44" s="3" t="str">
        <f>CONCATENATE(C44,7)</f>
        <v>DE9JJ37</v>
      </c>
      <c r="E44" s="3" t="s">
        <v>114</v>
      </c>
      <c r="F44" s="3" t="s">
        <v>115</v>
      </c>
      <c r="G44" s="3" t="str">
        <f>CONCATENATE(E44, " ",F44)</f>
        <v>VALERIE THOMMEN</v>
      </c>
      <c r="H44" s="3" t="s">
        <v>46</v>
      </c>
      <c r="I44" s="3" t="s">
        <v>73</v>
      </c>
      <c r="J44" s="3" t="s">
        <v>75</v>
      </c>
      <c r="K44" s="3" t="s">
        <v>65</v>
      </c>
      <c r="L44" s="3" t="s">
        <v>76</v>
      </c>
      <c r="M44" s="3">
        <v>462.67</v>
      </c>
      <c r="N44" s="3">
        <v>0</v>
      </c>
      <c r="O44" s="3">
        <v>462.67</v>
      </c>
      <c r="P44" s="3">
        <v>-231.33</v>
      </c>
      <c r="Q44" s="3" t="s">
        <v>188</v>
      </c>
      <c r="R44" s="3" t="s">
        <v>195</v>
      </c>
      <c r="S44" s="3"/>
      <c r="T44" s="3"/>
      <c r="U44" s="3"/>
      <c r="V44" s="3"/>
      <c r="W44" s="3"/>
      <c r="X44" s="3"/>
    </row>
  </sheetData>
  <sortState xmlns:xlrd2="http://schemas.microsoft.com/office/spreadsheetml/2017/richdata2" ref="A2:X44">
    <sortCondition ref="G2:G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2026-03-16T09:07:50Z</dcterms:created>
  <dcterms:modified xsi:type="dcterms:W3CDTF">2026-03-16T15:14:17Z</dcterms:modified>
</cp:coreProperties>
</file>