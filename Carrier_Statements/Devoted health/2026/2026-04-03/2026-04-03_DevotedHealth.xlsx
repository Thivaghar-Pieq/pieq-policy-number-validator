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4-3-26\"/>
    </mc:Choice>
  </mc:AlternateContent>
  <xr:revisionPtr revIDLastSave="0" documentId="13_ncr:1_{F2C473CA-BF18-455D-9107-972F8B909817}" xr6:coauthVersionLast="47" xr6:coauthVersionMax="47" xr10:uidLastSave="{00000000-0000-0000-0000-000000000000}"/>
  <bookViews>
    <workbookView xWindow="28680" yWindow="-3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3" l="1"/>
  <c r="D11" i="3"/>
  <c r="D12" i="3"/>
  <c r="D13" i="3"/>
  <c r="D14" i="3"/>
  <c r="D15" i="3"/>
  <c r="D16" i="3"/>
  <c r="D17" i="3"/>
  <c r="D18" i="3"/>
  <c r="D9" i="3"/>
  <c r="D8" i="3"/>
  <c r="D7" i="3"/>
  <c r="D6" i="3"/>
  <c r="D5" i="3"/>
  <c r="D4" i="3"/>
  <c r="D3" i="3"/>
  <c r="D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" i="3"/>
  <c r="T4" i="3"/>
</calcChain>
</file>

<file path=xl/sharedStrings.xml><?xml version="1.0" encoding="utf-8"?>
<sst xmlns="http://schemas.openxmlformats.org/spreadsheetml/2006/main" count="405" uniqueCount="105">
  <si>
    <t>Description</t>
  </si>
  <si>
    <t>Member Count</t>
  </si>
  <si>
    <t>Total</t>
  </si>
  <si>
    <t>Payee</t>
  </si>
  <si>
    <t>Payment Date</t>
  </si>
  <si>
    <t>Credits</t>
  </si>
  <si>
    <t>$920.50</t>
  </si>
  <si>
    <t>Main Line Benefits LLC</t>
  </si>
  <si>
    <t>04/03/2026</t>
  </si>
  <si>
    <t>Debits</t>
  </si>
  <si>
    <t>($2,561.50)</t>
  </si>
  <si>
    <t>Miscellaneous</t>
  </si>
  <si>
    <t>$0.00</t>
  </si>
  <si>
    <t>Bonus</t>
  </si>
  <si>
    <t>Sub Total</t>
  </si>
  <si>
    <t>($1,641.00)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</si>
  <si>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</si>
  <si>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</si>
  <si>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</si>
  <si>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</si>
  <si>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</si>
  <si>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</si>
  <si>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</si>
  <si>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</si>
  <si>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</si>
  <si>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</si>
  <si>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</si>
  <si>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</si>
  <si>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</si>
  <si>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</si>
  <si>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</si>
  <si>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</si>
  <si>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</si>
  <si>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</si>
  <si>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</si>
  <si>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</si>
  <si>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</si>
  <si>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</si>
  <si>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</si>
  <si>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</si>
  <si>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19396223</t>
  </si>
  <si>
    <t>Saadia Abdul</t>
  </si>
  <si>
    <t>D4JAW9</t>
  </si>
  <si>
    <t>8YU3GE0UR87</t>
  </si>
  <si>
    <t>SYED</t>
  </si>
  <si>
    <t>HUSSAINI</t>
  </si>
  <si>
    <t>IL</t>
  </si>
  <si>
    <t>10/16/2025</t>
  </si>
  <si>
    <t>01/01/2026</t>
  </si>
  <si>
    <t>03/31/2026</t>
  </si>
  <si>
    <t>H7151</t>
  </si>
  <si>
    <t>MAPD</t>
  </si>
  <si>
    <t>Initial - Not New</t>
  </si>
  <si>
    <t>Jan</t>
  </si>
  <si>
    <t>DZK3G7</t>
  </si>
  <si>
    <t>7CP2CM1DW07</t>
  </si>
  <si>
    <t>ZAREEFUNNISA</t>
  </si>
  <si>
    <t>16228684</t>
  </si>
  <si>
    <t>Jason Roller</t>
  </si>
  <si>
    <t>D57SZA</t>
  </si>
  <si>
    <t>8Y27V30MN31</t>
  </si>
  <si>
    <t>LISA</t>
  </si>
  <si>
    <t>LECHNER</t>
  </si>
  <si>
    <t>11/29/2025</t>
  </si>
  <si>
    <t>H6545</t>
  </si>
  <si>
    <t>16633294</t>
  </si>
  <si>
    <t>Richard Yale</t>
  </si>
  <si>
    <t>DZA25H</t>
  </si>
  <si>
    <t>9EJ7P83MD47</t>
  </si>
  <si>
    <t>SUREN</t>
  </si>
  <si>
    <t>SUTHAR</t>
  </si>
  <si>
    <t>TX</t>
  </si>
  <si>
    <t>12/07/2025</t>
  </si>
  <si>
    <t>H6813</t>
  </si>
  <si>
    <t>2158366</t>
  </si>
  <si>
    <t>Jeffrey Horn</t>
  </si>
  <si>
    <t>DC3UKW</t>
  </si>
  <si>
    <t>3XX0VF2TJ24</t>
  </si>
  <si>
    <t>OFIK</t>
  </si>
  <si>
    <t>SOLTANIAN</t>
  </si>
  <si>
    <t>03/07/2026</t>
  </si>
  <si>
    <t>04/01/2026</t>
  </si>
  <si>
    <t>Mar</t>
  </si>
  <si>
    <t>20212926</t>
  </si>
  <si>
    <t>Jose Torres</t>
  </si>
  <si>
    <t>D4YGKR</t>
  </si>
  <si>
    <t>1H11KY6AD92</t>
  </si>
  <si>
    <t>LETICIA</t>
  </si>
  <si>
    <t>HERNANDEZ</t>
  </si>
  <si>
    <t>03/19/2026</t>
  </si>
  <si>
    <t>Apr</t>
  </si>
  <si>
    <t>16170994</t>
  </si>
  <si>
    <t>Ryan Shepard</t>
  </si>
  <si>
    <t>DF7J3U</t>
  </si>
  <si>
    <t>2JE9DH9YH30</t>
  </si>
  <si>
    <t>IVETTE</t>
  </si>
  <si>
    <t>MORALES</t>
  </si>
  <si>
    <t>OH</t>
  </si>
  <si>
    <t>03/18/2026</t>
  </si>
  <si>
    <t>H2697</t>
  </si>
  <si>
    <t>Devoted Health MAPD 2026*</t>
  </si>
  <si>
    <t>Devoted MAPD Ovr</t>
  </si>
  <si>
    <t>[%/$=347][prorate=12/12]</t>
  </si>
  <si>
    <t>[%/$=347][prorate=9/12]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</si>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</sst>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4.4" x14ac:dyDescent="0.3"/>
  <cols>
    <col min="1" max="1" width="25" customWidth="1"/>
    <col min="2" max="2" width="20" customWidth="1"/>
    <col min="3" max="3" width="15" customWidth="1"/>
    <col min="4" max="4" width="9.44140625"/>
    <col min="5" max="5" width="25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2</v>
      </c>
      <c r="C2" t="s">
        <v>6</v>
      </c>
      <c r="E2" t="s">
        <v>7</v>
      </c>
      <c r="F2" t="s">
        <v>8</v>
      </c>
    </row>
    <row r="3" spans="1:6" x14ac:dyDescent="0.3">
      <c r="A3" t="s">
        <v>9</v>
      </c>
      <c r="B3">
        <v>5</v>
      </c>
      <c r="C3" t="s">
        <v>10</v>
      </c>
    </row>
    <row r="4" spans="1:6" x14ac:dyDescent="0.3">
      <c r="A4" t="s">
        <v>11</v>
      </c>
      <c r="B4">
        <v>0</v>
      </c>
      <c r="C4" t="s">
        <v>12</v>
      </c>
    </row>
    <row r="5" spans="1:6" x14ac:dyDescent="0.3">
      <c r="A5" t="s">
        <v>13</v>
      </c>
      <c r="C5" t="s">
        <v>12</v>
      </c>
    </row>
    <row r="6" spans="1:6" x14ac:dyDescent="0.3">
      <c r="A6" t="s">
        <v>14</v>
      </c>
      <c r="B6">
        <v>7</v>
      </c>
      <c r="C6" t="s">
        <v>15</v>
      </c>
    </row>
    <row r="7" spans="1:6" x14ac:dyDescent="0.3">
      <c r="A7" t="s">
        <v>16</v>
      </c>
      <c r="C7" t="s">
        <v>12</v>
      </c>
    </row>
    <row r="8" spans="1:6" x14ac:dyDescent="0.3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zoomScaleNormal="100" workbookViewId="0">
      <selection sqref="A1:XFD1048576"/>
    </sheetView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5" customWidth="1"/>
    <col min="5" max="6" width="9.44140625"/>
    <col min="7" max="7" width="12.6640625" customWidth="1"/>
    <col min="8" max="8" width="13.6640625" customWidth="1"/>
    <col min="9" max="9" width="14.109375" customWidth="1"/>
    <col min="10" max="11" width="13.44140625" customWidth="1"/>
    <col min="12" max="12" width="8.6640625" customWidth="1"/>
    <col min="13" max="13" width="4.33203125" customWidth="1"/>
    <col min="14" max="14" width="14.33203125" customWidth="1"/>
    <col min="15" max="15" width="14.6640625" customWidth="1"/>
    <col min="16" max="16" width="16.6640625" customWidth="1"/>
    <col min="17" max="17" width="6.6640625" customWidth="1"/>
    <col min="18" max="18" width="12.88671875" customWidth="1"/>
    <col min="19" max="19" width="14.5546875" customWidth="1"/>
    <col min="20" max="20" width="14" customWidth="1"/>
    <col min="21" max="21" width="25.6640625" customWidth="1"/>
    <col min="22" max="22" width="18" customWidth="1"/>
  </cols>
  <sheetData>
    <row r="1" spans="1:22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3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5</v>
      </c>
      <c r="N2" t="s">
        <v>51</v>
      </c>
      <c r="O2">
        <v>3</v>
      </c>
      <c r="P2" t="s">
        <v>52</v>
      </c>
      <c r="Q2" t="s">
        <v>53</v>
      </c>
      <c r="R2">
        <v>-347</v>
      </c>
      <c r="S2">
        <v>-200</v>
      </c>
      <c r="T2">
        <v>-547</v>
      </c>
      <c r="U2" t="s">
        <v>7</v>
      </c>
    </row>
    <row r="3" spans="1:22" x14ac:dyDescent="0.3">
      <c r="A3" t="s">
        <v>8</v>
      </c>
      <c r="B3" t="s">
        <v>40</v>
      </c>
      <c r="C3" t="s">
        <v>41</v>
      </c>
      <c r="D3" t="s">
        <v>54</v>
      </c>
      <c r="E3" t="s">
        <v>55</v>
      </c>
      <c r="F3" t="s">
        <v>56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>
        <v>5</v>
      </c>
      <c r="N3" t="s">
        <v>51</v>
      </c>
      <c r="O3">
        <v>3</v>
      </c>
      <c r="P3" t="s">
        <v>52</v>
      </c>
      <c r="Q3" t="s">
        <v>53</v>
      </c>
      <c r="R3">
        <v>-347</v>
      </c>
      <c r="S3">
        <v>-200</v>
      </c>
      <c r="T3">
        <v>-547</v>
      </c>
      <c r="U3" t="s">
        <v>7</v>
      </c>
    </row>
    <row r="4" spans="1:22" x14ac:dyDescent="0.3">
      <c r="A4" t="s">
        <v>8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46</v>
      </c>
      <c r="I4" t="s">
        <v>63</v>
      </c>
      <c r="J4" t="s">
        <v>48</v>
      </c>
      <c r="K4" t="s">
        <v>49</v>
      </c>
      <c r="L4" t="s">
        <v>64</v>
      </c>
      <c r="M4">
        <v>10</v>
      </c>
      <c r="N4" t="s">
        <v>51</v>
      </c>
      <c r="O4">
        <v>5</v>
      </c>
      <c r="P4" t="s">
        <v>52</v>
      </c>
      <c r="Q4" t="s">
        <v>53</v>
      </c>
      <c r="R4">
        <v>-260.25</v>
      </c>
      <c r="S4">
        <v>-150</v>
      </c>
      <c r="T4">
        <v>-410.25</v>
      </c>
      <c r="U4" t="s">
        <v>7</v>
      </c>
    </row>
    <row r="5" spans="1:22" x14ac:dyDescent="0.3">
      <c r="A5" t="s">
        <v>8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48</v>
      </c>
      <c r="K5" t="s">
        <v>49</v>
      </c>
      <c r="L5" t="s">
        <v>73</v>
      </c>
      <c r="M5">
        <v>1</v>
      </c>
      <c r="N5" t="s">
        <v>51</v>
      </c>
      <c r="O5">
        <v>7</v>
      </c>
      <c r="P5" t="s">
        <v>52</v>
      </c>
      <c r="Q5" t="s">
        <v>53</v>
      </c>
      <c r="R5">
        <v>-347</v>
      </c>
      <c r="S5">
        <v>-250</v>
      </c>
      <c r="T5">
        <v>-597</v>
      </c>
      <c r="U5" t="s">
        <v>7</v>
      </c>
    </row>
    <row r="6" spans="1:22" x14ac:dyDescent="0.3">
      <c r="A6" t="s">
        <v>8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46</v>
      </c>
      <c r="I6" t="s">
        <v>80</v>
      </c>
      <c r="J6" t="s">
        <v>81</v>
      </c>
      <c r="L6" t="s">
        <v>50</v>
      </c>
      <c r="M6">
        <v>1</v>
      </c>
      <c r="O6">
        <v>0</v>
      </c>
      <c r="P6" t="s">
        <v>52</v>
      </c>
      <c r="Q6" t="s">
        <v>82</v>
      </c>
      <c r="R6">
        <v>-260.25</v>
      </c>
      <c r="S6">
        <v>0</v>
      </c>
      <c r="T6">
        <v>-260.25</v>
      </c>
      <c r="U6" t="s">
        <v>7</v>
      </c>
    </row>
    <row r="7" spans="1:22" x14ac:dyDescent="0.3">
      <c r="A7" t="s">
        <v>8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46</v>
      </c>
      <c r="I7" t="s">
        <v>80</v>
      </c>
      <c r="J7" t="s">
        <v>81</v>
      </c>
      <c r="L7" t="s">
        <v>50</v>
      </c>
      <c r="M7">
        <v>1</v>
      </c>
      <c r="O7">
        <v>0</v>
      </c>
      <c r="P7" t="s">
        <v>52</v>
      </c>
      <c r="Q7" t="s">
        <v>82</v>
      </c>
      <c r="R7">
        <v>0</v>
      </c>
      <c r="S7">
        <v>-75</v>
      </c>
      <c r="T7">
        <v>-75</v>
      </c>
      <c r="U7" t="s">
        <v>7</v>
      </c>
    </row>
    <row r="8" spans="1:22" x14ac:dyDescent="0.3">
      <c r="A8" t="s">
        <v>8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46</v>
      </c>
      <c r="I8" t="s">
        <v>80</v>
      </c>
      <c r="J8" t="s">
        <v>81</v>
      </c>
      <c r="L8" t="s">
        <v>50</v>
      </c>
      <c r="M8">
        <v>1</v>
      </c>
      <c r="O8">
        <v>0</v>
      </c>
      <c r="P8" t="s">
        <v>52</v>
      </c>
      <c r="Q8" t="s">
        <v>82</v>
      </c>
      <c r="R8">
        <v>0</v>
      </c>
      <c r="S8">
        <v>-125</v>
      </c>
      <c r="T8">
        <v>-125</v>
      </c>
      <c r="U8" t="s">
        <v>7</v>
      </c>
    </row>
    <row r="9" spans="1:22" x14ac:dyDescent="0.3">
      <c r="A9" t="s">
        <v>8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46</v>
      </c>
      <c r="I9" t="s">
        <v>89</v>
      </c>
      <c r="J9" t="s">
        <v>81</v>
      </c>
      <c r="L9" t="s">
        <v>50</v>
      </c>
      <c r="M9">
        <v>3</v>
      </c>
      <c r="O9">
        <v>0</v>
      </c>
      <c r="P9" t="s">
        <v>52</v>
      </c>
      <c r="Q9" t="s">
        <v>90</v>
      </c>
      <c r="R9">
        <v>0</v>
      </c>
      <c r="S9">
        <v>75</v>
      </c>
      <c r="T9">
        <v>75</v>
      </c>
      <c r="U9" t="s">
        <v>7</v>
      </c>
    </row>
    <row r="10" spans="1:22" x14ac:dyDescent="0.3">
      <c r="A10" t="s">
        <v>8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46</v>
      </c>
      <c r="I10" t="s">
        <v>89</v>
      </c>
      <c r="J10" t="s">
        <v>81</v>
      </c>
      <c r="L10" t="s">
        <v>50</v>
      </c>
      <c r="M10">
        <v>3</v>
      </c>
      <c r="O10">
        <v>0</v>
      </c>
      <c r="P10" t="s">
        <v>52</v>
      </c>
      <c r="Q10" t="s">
        <v>90</v>
      </c>
      <c r="R10">
        <v>0</v>
      </c>
      <c r="S10">
        <v>125</v>
      </c>
      <c r="T10">
        <v>125</v>
      </c>
      <c r="U10" t="s">
        <v>7</v>
      </c>
    </row>
    <row r="11" spans="1:22" x14ac:dyDescent="0.3">
      <c r="A11" t="s">
        <v>8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46</v>
      </c>
      <c r="I11" t="s">
        <v>89</v>
      </c>
      <c r="J11" t="s">
        <v>81</v>
      </c>
      <c r="L11" t="s">
        <v>50</v>
      </c>
      <c r="M11">
        <v>3</v>
      </c>
      <c r="O11">
        <v>0</v>
      </c>
      <c r="P11" t="s">
        <v>52</v>
      </c>
      <c r="Q11" t="s">
        <v>90</v>
      </c>
      <c r="R11">
        <v>260.25</v>
      </c>
      <c r="S11">
        <v>0</v>
      </c>
      <c r="T11">
        <v>260.25</v>
      </c>
      <c r="U11" t="s">
        <v>7</v>
      </c>
    </row>
    <row r="12" spans="1:22" x14ac:dyDescent="0.3">
      <c r="A12" t="s">
        <v>8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81</v>
      </c>
      <c r="L12" t="s">
        <v>99</v>
      </c>
      <c r="M12">
        <v>10</v>
      </c>
      <c r="O12">
        <v>0</v>
      </c>
      <c r="P12" t="s">
        <v>52</v>
      </c>
      <c r="Q12" t="s">
        <v>90</v>
      </c>
      <c r="R12">
        <v>0</v>
      </c>
      <c r="S12">
        <v>75</v>
      </c>
      <c r="T12">
        <v>75</v>
      </c>
      <c r="U12" t="s">
        <v>7</v>
      </c>
    </row>
    <row r="13" spans="1:22" x14ac:dyDescent="0.3">
      <c r="A13" t="s">
        <v>8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81</v>
      </c>
      <c r="L13" t="s">
        <v>99</v>
      </c>
      <c r="M13">
        <v>10</v>
      </c>
      <c r="O13">
        <v>0</v>
      </c>
      <c r="P13" t="s">
        <v>52</v>
      </c>
      <c r="Q13" t="s">
        <v>90</v>
      </c>
      <c r="R13">
        <v>0</v>
      </c>
      <c r="S13">
        <v>125</v>
      </c>
      <c r="T13">
        <v>125</v>
      </c>
      <c r="U13" t="s">
        <v>7</v>
      </c>
    </row>
    <row r="14" spans="1:22" x14ac:dyDescent="0.3">
      <c r="A14" t="s">
        <v>8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81</v>
      </c>
      <c r="L14" t="s">
        <v>99</v>
      </c>
      <c r="M14">
        <v>10</v>
      </c>
      <c r="O14">
        <v>0</v>
      </c>
      <c r="P14" t="s">
        <v>52</v>
      </c>
      <c r="Q14" t="s">
        <v>90</v>
      </c>
      <c r="R14">
        <v>260.25</v>
      </c>
      <c r="S14">
        <v>0</v>
      </c>
      <c r="T14">
        <v>260.25</v>
      </c>
      <c r="U1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18C0-B9D3-4A9E-B6B4-B7E6D8BD7B06}">
  <dimension ref="A1:T18"/>
  <sheetViews>
    <sheetView tabSelected="1" workbookViewId="0">
      <selection activeCell="O6" sqref="O6"/>
    </sheetView>
  </sheetViews>
  <sheetFormatPr defaultRowHeight="14.4" x14ac:dyDescent="0.3"/>
  <cols>
    <col min="1" max="1" width="10" customWidth="1"/>
    <col min="2" max="2" width="20" customWidth="1"/>
    <col min="3" max="4" width="15" customWidth="1"/>
    <col min="6" max="7" width="12.6640625" customWidth="1"/>
    <col min="8" max="8" width="13.6640625" customWidth="1"/>
    <col min="9" max="9" width="13.44140625" customWidth="1"/>
    <col min="10" max="10" width="16.6640625" customWidth="1"/>
    <col min="11" max="11" width="6.6640625" customWidth="1"/>
    <col min="12" max="12" width="12.88671875" customWidth="1"/>
    <col min="13" max="13" width="14.5546875" customWidth="1"/>
    <col min="14" max="14" width="14" customWidth="1"/>
    <col min="16" max="16" width="26" bestFit="1" customWidth="1"/>
  </cols>
  <sheetData>
    <row r="1" spans="1:20" x14ac:dyDescent="0.3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20" x14ac:dyDescent="0.3">
      <c r="A2">
        <v>19396223</v>
      </c>
      <c r="B2" t="s">
        <v>41</v>
      </c>
      <c r="C2" t="s">
        <v>42</v>
      </c>
      <c r="D2" t="str">
        <f>_xlfn.CONCAT(C2,7)</f>
        <v>D4JAW97</v>
      </c>
      <c r="E2" t="s">
        <v>44</v>
      </c>
      <c r="F2" t="s">
        <v>45</v>
      </c>
      <c r="G2" t="str">
        <f>_xlfn.CONCAT(E2," ",F2)</f>
        <v>SYED HUSSAINI</v>
      </c>
      <c r="H2" t="s">
        <v>46</v>
      </c>
      <c r="I2" t="s">
        <v>48</v>
      </c>
      <c r="J2" t="s">
        <v>52</v>
      </c>
      <c r="K2" t="s">
        <v>53</v>
      </c>
      <c r="L2">
        <v>-347</v>
      </c>
      <c r="M2">
        <v>-200</v>
      </c>
      <c r="N2">
        <v>-547</v>
      </c>
      <c r="O2">
        <v>-347</v>
      </c>
      <c r="P2" t="s">
        <v>100</v>
      </c>
      <c r="Q2" t="s">
        <v>102</v>
      </c>
    </row>
    <row r="3" spans="1:20" x14ac:dyDescent="0.3">
      <c r="A3">
        <v>19396223</v>
      </c>
      <c r="B3" t="s">
        <v>41</v>
      </c>
      <c r="C3" t="s">
        <v>54</v>
      </c>
      <c r="D3" t="str">
        <f t="shared" ref="D3:D8" si="0">_xlfn.CONCAT(C3,7)</f>
        <v>DZK3G77</v>
      </c>
      <c r="E3" t="s">
        <v>56</v>
      </c>
      <c r="F3" t="s">
        <v>45</v>
      </c>
      <c r="G3" t="str">
        <f t="shared" ref="G3:G18" si="1">_xlfn.CONCAT(E3," ",F3)</f>
        <v>ZAREEFUNNISA HUSSAINI</v>
      </c>
      <c r="H3" t="s">
        <v>46</v>
      </c>
      <c r="I3" t="s">
        <v>48</v>
      </c>
      <c r="J3" t="s">
        <v>52</v>
      </c>
      <c r="K3" t="s">
        <v>53</v>
      </c>
      <c r="L3">
        <v>-347</v>
      </c>
      <c r="M3">
        <v>-200</v>
      </c>
      <c r="N3">
        <v>-547</v>
      </c>
      <c r="O3">
        <v>-347</v>
      </c>
      <c r="P3" t="s">
        <v>100</v>
      </c>
      <c r="Q3" t="s">
        <v>102</v>
      </c>
    </row>
    <row r="4" spans="1:20" x14ac:dyDescent="0.3">
      <c r="A4">
        <v>16228684</v>
      </c>
      <c r="B4" t="s">
        <v>58</v>
      </c>
      <c r="C4" t="s">
        <v>59</v>
      </c>
      <c r="D4" t="str">
        <f t="shared" si="0"/>
        <v>D57SZA7</v>
      </c>
      <c r="E4" t="s">
        <v>61</v>
      </c>
      <c r="F4" t="s">
        <v>62</v>
      </c>
      <c r="G4" t="str">
        <f t="shared" si="1"/>
        <v>LISA LECHNER</v>
      </c>
      <c r="H4" t="s">
        <v>46</v>
      </c>
      <c r="I4" t="s">
        <v>48</v>
      </c>
      <c r="J4" t="s">
        <v>52</v>
      </c>
      <c r="K4" t="s">
        <v>53</v>
      </c>
      <c r="L4">
        <v>-260.25</v>
      </c>
      <c r="M4">
        <v>-150</v>
      </c>
      <c r="N4">
        <v>-410.25</v>
      </c>
      <c r="O4">
        <v>-260.25</v>
      </c>
      <c r="P4" t="s">
        <v>100</v>
      </c>
      <c r="Q4" t="s">
        <v>103</v>
      </c>
      <c r="T4">
        <f>347/12*9</f>
        <v>260.25</v>
      </c>
    </row>
    <row r="5" spans="1:20" x14ac:dyDescent="0.3">
      <c r="A5">
        <v>16633294</v>
      </c>
      <c r="B5" t="s">
        <v>66</v>
      </c>
      <c r="C5" t="s">
        <v>67</v>
      </c>
      <c r="D5" t="str">
        <f t="shared" si="0"/>
        <v>DZA25H7</v>
      </c>
      <c r="E5" t="s">
        <v>69</v>
      </c>
      <c r="F5" t="s">
        <v>70</v>
      </c>
      <c r="G5" t="str">
        <f t="shared" si="1"/>
        <v>SUREN SUTHAR</v>
      </c>
      <c r="H5" t="s">
        <v>71</v>
      </c>
      <c r="I5" t="s">
        <v>48</v>
      </c>
      <c r="J5" t="s">
        <v>52</v>
      </c>
      <c r="K5" t="s">
        <v>53</v>
      </c>
      <c r="L5">
        <v>-347</v>
      </c>
      <c r="M5">
        <v>-250</v>
      </c>
      <c r="N5">
        <v>-597</v>
      </c>
      <c r="O5">
        <v>-347</v>
      </c>
      <c r="P5" t="s">
        <v>100</v>
      </c>
      <c r="Q5" t="s">
        <v>102</v>
      </c>
    </row>
    <row r="6" spans="1:20" x14ac:dyDescent="0.3">
      <c r="A6">
        <v>2158366</v>
      </c>
      <c r="B6" t="s">
        <v>75</v>
      </c>
      <c r="C6" t="s">
        <v>76</v>
      </c>
      <c r="D6" t="str">
        <f t="shared" si="0"/>
        <v>DC3UKW7</v>
      </c>
      <c r="E6" t="s">
        <v>78</v>
      </c>
      <c r="F6" t="s">
        <v>79</v>
      </c>
      <c r="G6" t="str">
        <f t="shared" si="1"/>
        <v>OFIK SOLTANIAN</v>
      </c>
      <c r="H6" t="s">
        <v>46</v>
      </c>
      <c r="I6" t="s">
        <v>81</v>
      </c>
      <c r="J6" t="s">
        <v>52</v>
      </c>
      <c r="K6" t="s">
        <v>82</v>
      </c>
      <c r="L6">
        <v>-260.25</v>
      </c>
      <c r="M6">
        <v>0</v>
      </c>
      <c r="N6">
        <v>-260.25</v>
      </c>
      <c r="O6">
        <v>-260.25</v>
      </c>
      <c r="P6" t="s">
        <v>100</v>
      </c>
      <c r="Q6" t="s">
        <v>103</v>
      </c>
    </row>
    <row r="7" spans="1:20" x14ac:dyDescent="0.3">
      <c r="A7">
        <v>20212926</v>
      </c>
      <c r="B7" t="s">
        <v>84</v>
      </c>
      <c r="C7" t="s">
        <v>85</v>
      </c>
      <c r="D7" t="str">
        <f t="shared" si="0"/>
        <v>D4YGKR7</v>
      </c>
      <c r="E7" t="s">
        <v>87</v>
      </c>
      <c r="F7" t="s">
        <v>88</v>
      </c>
      <c r="G7" t="str">
        <f t="shared" si="1"/>
        <v>LETICIA HERNANDEZ</v>
      </c>
      <c r="H7" t="s">
        <v>46</v>
      </c>
      <c r="I7" t="s">
        <v>81</v>
      </c>
      <c r="J7" t="s">
        <v>52</v>
      </c>
      <c r="K7" t="s">
        <v>90</v>
      </c>
      <c r="L7">
        <v>260.25</v>
      </c>
      <c r="M7">
        <v>0</v>
      </c>
      <c r="N7">
        <v>260.25</v>
      </c>
      <c r="O7">
        <v>260.25</v>
      </c>
      <c r="P7" t="s">
        <v>100</v>
      </c>
      <c r="Q7" t="s">
        <v>103</v>
      </c>
    </row>
    <row r="8" spans="1:20" x14ac:dyDescent="0.3">
      <c r="A8">
        <v>16170994</v>
      </c>
      <c r="B8" t="s">
        <v>92</v>
      </c>
      <c r="C8" t="s">
        <v>93</v>
      </c>
      <c r="D8" t="str">
        <f t="shared" si="0"/>
        <v>DF7J3U7</v>
      </c>
      <c r="E8" t="s">
        <v>95</v>
      </c>
      <c r="F8" t="s">
        <v>96</v>
      </c>
      <c r="G8" t="str">
        <f t="shared" si="1"/>
        <v>IVETTE MORALES</v>
      </c>
      <c r="H8" t="s">
        <v>97</v>
      </c>
      <c r="I8" t="s">
        <v>81</v>
      </c>
      <c r="J8" t="s">
        <v>52</v>
      </c>
      <c r="K8" t="s">
        <v>90</v>
      </c>
      <c r="L8">
        <v>260.25</v>
      </c>
      <c r="M8">
        <v>0</v>
      </c>
      <c r="N8">
        <v>260.25</v>
      </c>
      <c r="O8">
        <v>260.25</v>
      </c>
      <c r="P8" t="s">
        <v>100</v>
      </c>
      <c r="Q8" t="s">
        <v>103</v>
      </c>
    </row>
    <row r="9" spans="1:20" s="1" customFormat="1" x14ac:dyDescent="0.3">
      <c r="A9" s="1">
        <v>20411454</v>
      </c>
      <c r="B9" s="1" t="s">
        <v>104</v>
      </c>
      <c r="C9" s="1" t="s">
        <v>42</v>
      </c>
      <c r="D9" s="1" t="str">
        <f>_xlfn.CONCAT(C9,"OVR")</f>
        <v>D4JAW9OVR</v>
      </c>
      <c r="E9" s="1" t="s">
        <v>44</v>
      </c>
      <c r="F9" s="1" t="s">
        <v>45</v>
      </c>
      <c r="G9" t="str">
        <f t="shared" si="1"/>
        <v>SYED HUSSAINI</v>
      </c>
      <c r="H9" s="1" t="s">
        <v>46</v>
      </c>
      <c r="I9" s="1" t="s">
        <v>48</v>
      </c>
      <c r="J9" s="1" t="s">
        <v>52</v>
      </c>
      <c r="K9" s="1" t="s">
        <v>53</v>
      </c>
      <c r="L9" s="1">
        <v>-347</v>
      </c>
      <c r="M9" s="1">
        <v>-200</v>
      </c>
      <c r="N9" s="1">
        <v>-547</v>
      </c>
      <c r="O9" s="1">
        <v>-200</v>
      </c>
      <c r="P9" s="1" t="s">
        <v>101</v>
      </c>
    </row>
    <row r="10" spans="1:20" s="1" customFormat="1" x14ac:dyDescent="0.3">
      <c r="A10" s="1">
        <v>20411454</v>
      </c>
      <c r="B10" s="1" t="s">
        <v>104</v>
      </c>
      <c r="C10" s="1" t="s">
        <v>54</v>
      </c>
      <c r="D10" s="1" t="str">
        <f t="shared" ref="D10:D18" si="2">_xlfn.CONCAT(C10,"OVR")</f>
        <v>DZK3G7OVR</v>
      </c>
      <c r="E10" s="1" t="s">
        <v>56</v>
      </c>
      <c r="F10" s="1" t="s">
        <v>45</v>
      </c>
      <c r="G10" t="str">
        <f t="shared" si="1"/>
        <v>ZAREEFUNNISA HUSSAINI</v>
      </c>
      <c r="H10" s="1" t="s">
        <v>46</v>
      </c>
      <c r="I10" s="1" t="s">
        <v>48</v>
      </c>
      <c r="J10" s="1" t="s">
        <v>52</v>
      </c>
      <c r="K10" s="1" t="s">
        <v>53</v>
      </c>
      <c r="L10" s="1">
        <v>-347</v>
      </c>
      <c r="M10" s="1">
        <v>-200</v>
      </c>
      <c r="N10" s="1">
        <v>-547</v>
      </c>
      <c r="O10" s="1">
        <v>-200</v>
      </c>
      <c r="P10" s="1" t="s">
        <v>101</v>
      </c>
    </row>
    <row r="11" spans="1:20" s="1" customFormat="1" x14ac:dyDescent="0.3">
      <c r="A11" s="1">
        <v>20411454</v>
      </c>
      <c r="B11" s="1" t="s">
        <v>104</v>
      </c>
      <c r="C11" s="1" t="s">
        <v>59</v>
      </c>
      <c r="D11" s="1" t="str">
        <f t="shared" si="2"/>
        <v>D57SZAOVR</v>
      </c>
      <c r="E11" s="1" t="s">
        <v>61</v>
      </c>
      <c r="F11" s="1" t="s">
        <v>62</v>
      </c>
      <c r="G11" t="str">
        <f t="shared" si="1"/>
        <v>LISA LECHNER</v>
      </c>
      <c r="H11" s="1" t="s">
        <v>46</v>
      </c>
      <c r="I11" s="1" t="s">
        <v>48</v>
      </c>
      <c r="J11" s="1" t="s">
        <v>52</v>
      </c>
      <c r="K11" s="1" t="s">
        <v>53</v>
      </c>
      <c r="L11" s="1">
        <v>-260.25</v>
      </c>
      <c r="M11" s="1">
        <v>-150</v>
      </c>
      <c r="N11" s="1">
        <v>-410.25</v>
      </c>
      <c r="O11" s="1">
        <v>-150</v>
      </c>
      <c r="P11" s="1" t="s">
        <v>101</v>
      </c>
    </row>
    <row r="12" spans="1:20" s="1" customFormat="1" x14ac:dyDescent="0.3">
      <c r="A12" s="1">
        <v>20411454</v>
      </c>
      <c r="B12" s="1" t="s">
        <v>104</v>
      </c>
      <c r="C12" s="1" t="s">
        <v>67</v>
      </c>
      <c r="D12" s="1" t="str">
        <f t="shared" si="2"/>
        <v>DZA25HOVR</v>
      </c>
      <c r="E12" s="1" t="s">
        <v>69</v>
      </c>
      <c r="F12" s="1" t="s">
        <v>70</v>
      </c>
      <c r="G12" t="str">
        <f t="shared" si="1"/>
        <v>SUREN SUTHAR</v>
      </c>
      <c r="H12" s="1" t="s">
        <v>71</v>
      </c>
      <c r="I12" s="1" t="s">
        <v>48</v>
      </c>
      <c r="J12" s="1" t="s">
        <v>52</v>
      </c>
      <c r="K12" s="1" t="s">
        <v>53</v>
      </c>
      <c r="L12" s="1">
        <v>-347</v>
      </c>
      <c r="M12" s="1">
        <v>-250</v>
      </c>
      <c r="N12" s="1">
        <v>-597</v>
      </c>
      <c r="O12" s="1">
        <v>-250</v>
      </c>
      <c r="P12" s="1" t="s">
        <v>101</v>
      </c>
    </row>
    <row r="13" spans="1:20" s="1" customFormat="1" x14ac:dyDescent="0.3">
      <c r="A13" s="1">
        <v>20411454</v>
      </c>
      <c r="B13" s="1" t="s">
        <v>104</v>
      </c>
      <c r="C13" s="1" t="s">
        <v>76</v>
      </c>
      <c r="D13" s="1" t="str">
        <f t="shared" si="2"/>
        <v>DC3UKWOVR</v>
      </c>
      <c r="E13" s="1" t="s">
        <v>78</v>
      </c>
      <c r="F13" s="1" t="s">
        <v>79</v>
      </c>
      <c r="G13" t="str">
        <f t="shared" si="1"/>
        <v>OFIK SOLTANIAN</v>
      </c>
      <c r="H13" s="1" t="s">
        <v>46</v>
      </c>
      <c r="I13" s="1" t="s">
        <v>81</v>
      </c>
      <c r="J13" s="1" t="s">
        <v>52</v>
      </c>
      <c r="K13" s="1" t="s">
        <v>82</v>
      </c>
      <c r="L13" s="1">
        <v>0</v>
      </c>
      <c r="M13" s="1">
        <v>-75</v>
      </c>
      <c r="N13" s="1">
        <v>-75</v>
      </c>
      <c r="O13" s="1">
        <v>-75</v>
      </c>
      <c r="P13" s="1" t="s">
        <v>101</v>
      </c>
    </row>
    <row r="14" spans="1:20" s="1" customFormat="1" x14ac:dyDescent="0.3">
      <c r="A14" s="1">
        <v>20411454</v>
      </c>
      <c r="B14" s="1" t="s">
        <v>104</v>
      </c>
      <c r="C14" s="1" t="s">
        <v>76</v>
      </c>
      <c r="D14" s="1" t="str">
        <f t="shared" si="2"/>
        <v>DC3UKWOVR</v>
      </c>
      <c r="E14" s="1" t="s">
        <v>78</v>
      </c>
      <c r="F14" s="1" t="s">
        <v>79</v>
      </c>
      <c r="G14" t="str">
        <f t="shared" si="1"/>
        <v>OFIK SOLTANIAN</v>
      </c>
      <c r="H14" s="1" t="s">
        <v>46</v>
      </c>
      <c r="I14" s="1" t="s">
        <v>81</v>
      </c>
      <c r="J14" s="1" t="s">
        <v>52</v>
      </c>
      <c r="K14" s="1" t="s">
        <v>82</v>
      </c>
      <c r="L14" s="1">
        <v>0</v>
      </c>
      <c r="M14" s="1">
        <v>-125</v>
      </c>
      <c r="N14" s="1">
        <v>-125</v>
      </c>
      <c r="O14" s="1">
        <v>-125</v>
      </c>
      <c r="P14" s="1" t="s">
        <v>101</v>
      </c>
    </row>
    <row r="15" spans="1:20" s="1" customFormat="1" x14ac:dyDescent="0.3">
      <c r="A15" s="1">
        <v>20411454</v>
      </c>
      <c r="B15" s="1" t="s">
        <v>104</v>
      </c>
      <c r="C15" s="1" t="s">
        <v>85</v>
      </c>
      <c r="D15" s="1" t="str">
        <f t="shared" si="2"/>
        <v>D4YGKROVR</v>
      </c>
      <c r="E15" s="1" t="s">
        <v>87</v>
      </c>
      <c r="F15" s="1" t="s">
        <v>88</v>
      </c>
      <c r="G15" t="str">
        <f t="shared" si="1"/>
        <v>LETICIA HERNANDEZ</v>
      </c>
      <c r="H15" s="1" t="s">
        <v>46</v>
      </c>
      <c r="I15" s="1" t="s">
        <v>81</v>
      </c>
      <c r="J15" s="1" t="s">
        <v>52</v>
      </c>
      <c r="K15" s="1" t="s">
        <v>90</v>
      </c>
      <c r="L15" s="1">
        <v>0</v>
      </c>
      <c r="M15" s="1">
        <v>75</v>
      </c>
      <c r="N15" s="1">
        <v>75</v>
      </c>
      <c r="O15" s="1">
        <v>75</v>
      </c>
      <c r="P15" s="1" t="s">
        <v>101</v>
      </c>
    </row>
    <row r="16" spans="1:20" s="1" customFormat="1" x14ac:dyDescent="0.3">
      <c r="A16" s="1">
        <v>20411454</v>
      </c>
      <c r="B16" s="1" t="s">
        <v>104</v>
      </c>
      <c r="C16" s="1" t="s">
        <v>85</v>
      </c>
      <c r="D16" s="1" t="str">
        <f t="shared" si="2"/>
        <v>D4YGKROVR</v>
      </c>
      <c r="E16" s="1" t="s">
        <v>87</v>
      </c>
      <c r="F16" s="1" t="s">
        <v>88</v>
      </c>
      <c r="G16" t="str">
        <f t="shared" si="1"/>
        <v>LETICIA HERNANDEZ</v>
      </c>
      <c r="H16" s="1" t="s">
        <v>46</v>
      </c>
      <c r="I16" s="1" t="s">
        <v>81</v>
      </c>
      <c r="J16" s="1" t="s">
        <v>52</v>
      </c>
      <c r="K16" s="1" t="s">
        <v>90</v>
      </c>
      <c r="L16" s="1">
        <v>0</v>
      </c>
      <c r="M16" s="1">
        <v>125</v>
      </c>
      <c r="N16" s="1">
        <v>125</v>
      </c>
      <c r="O16" s="1">
        <v>125</v>
      </c>
      <c r="P16" s="1" t="s">
        <v>101</v>
      </c>
    </row>
    <row r="17" spans="1:16" s="1" customFormat="1" x14ac:dyDescent="0.3">
      <c r="A17" s="1">
        <v>20411454</v>
      </c>
      <c r="B17" s="1" t="s">
        <v>104</v>
      </c>
      <c r="C17" s="1" t="s">
        <v>93</v>
      </c>
      <c r="D17" s="1" t="str">
        <f t="shared" si="2"/>
        <v>DF7J3UOVR</v>
      </c>
      <c r="E17" s="1" t="s">
        <v>95</v>
      </c>
      <c r="F17" s="1" t="s">
        <v>96</v>
      </c>
      <c r="G17" t="str">
        <f t="shared" si="1"/>
        <v>IVETTE MORALES</v>
      </c>
      <c r="H17" s="1" t="s">
        <v>97</v>
      </c>
      <c r="I17" s="1" t="s">
        <v>81</v>
      </c>
      <c r="J17" s="1" t="s">
        <v>52</v>
      </c>
      <c r="K17" s="1" t="s">
        <v>90</v>
      </c>
      <c r="L17" s="1">
        <v>0</v>
      </c>
      <c r="M17" s="1">
        <v>75</v>
      </c>
      <c r="N17" s="1">
        <v>75</v>
      </c>
      <c r="O17" s="1">
        <v>75</v>
      </c>
      <c r="P17" s="1" t="s">
        <v>101</v>
      </c>
    </row>
    <row r="18" spans="1:16" s="1" customFormat="1" x14ac:dyDescent="0.3">
      <c r="A18" s="1">
        <v>20411454</v>
      </c>
      <c r="B18" s="1" t="s">
        <v>104</v>
      </c>
      <c r="C18" s="1" t="s">
        <v>93</v>
      </c>
      <c r="D18" s="1" t="str">
        <f t="shared" si="2"/>
        <v>DF7J3UOVR</v>
      </c>
      <c r="E18" s="1" t="s">
        <v>95</v>
      </c>
      <c r="F18" s="1" t="s">
        <v>96</v>
      </c>
      <c r="G18" t="str">
        <f t="shared" si="1"/>
        <v>IVETTE MORALES</v>
      </c>
      <c r="H18" s="1" t="s">
        <v>97</v>
      </c>
      <c r="I18" s="1" t="s">
        <v>81</v>
      </c>
      <c r="J18" s="1" t="s">
        <v>52</v>
      </c>
      <c r="K18" s="1" t="s">
        <v>90</v>
      </c>
      <c r="L18" s="1">
        <v>0</v>
      </c>
      <c r="M18" s="1">
        <v>125</v>
      </c>
      <c r="N18" s="1">
        <v>125</v>
      </c>
      <c r="O18" s="1">
        <v>125</v>
      </c>
      <c r="P18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2026-04-04T09:20:32Z</dcterms:created>
  <dcterms:modified xsi:type="dcterms:W3CDTF">2026-04-06T15:23:04Z</dcterms:modified>
</cp:coreProperties>
</file>