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30026"/>
  <workbookPr/>
  <mc:AlternateContent xmlns:mc="http://schemas.openxmlformats.org/markup-compatibility/2006">
    <mc:Choice Requires="x15">
      <x15ac:absPath xmlns:x15ac="http://schemas.microsoft.com/office/spreadsheetml/2010/11/ac" url="E:\Shared drives\Main Line Benefits Office\Commissions\Commission_Processing\Carrier Statements\Devoted health\2026\2026-05-29\"/>
    </mc:Choice>
  </mc:AlternateContent>
  <xr:revisionPtr revIDLastSave="0" documentId="13_ncr:1_{3E2B2DB4-7865-4C52-9EA4-FF71B8215589}" xr6:coauthVersionLast="47" xr6:coauthVersionMax="47" xr10:uidLastSave="{00000000-0000-0000-0000-000000000000}"/>
  <bookViews>
    <workbookView xWindow="3345" yWindow="2055" windowWidth="21600" windowHeight="11295" tabRatio="204" firstSheet="1" activeTab="3" xr2:uid="{00000000-000D-0000-FFFF-FFFF00000000}"/>
  </bookViews>
  <sheets>
    <sheet name="Summary" sheetId="1" r:id="rId1"/>
    <sheet name="Detail" sheetId="2" r:id="rId2"/>
    <sheet name="Sheet1" sheetId="4" r:id="rId3"/>
    <sheet name="Misc" sheetId="3" r:id="rId4"/>
  </sheet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</xcalcf:calcFeatures>
    </ext>
  </extLst>
</workbook>
</file>

<file path=xl/calcChain.xml><?xml version="1.0" encoding="utf-8"?>
<calcChain xmlns="http://schemas.openxmlformats.org/spreadsheetml/2006/main">
  <c r="F3" i="3" l="1"/>
  <c r="F4" i="3"/>
  <c r="F5" i="3"/>
  <c r="F6" i="3"/>
  <c r="F7" i="3"/>
  <c r="F8" i="3"/>
  <c r="F9" i="3"/>
  <c r="F10" i="3"/>
  <c r="F11" i="3"/>
  <c r="F12" i="3"/>
  <c r="F13" i="3"/>
  <c r="F2" i="3"/>
  <c r="H3" i="4"/>
  <c r="H4" i="4"/>
  <c r="H5" i="4"/>
  <c r="H6" i="4"/>
  <c r="H7" i="4"/>
  <c r="H8" i="4"/>
  <c r="H9" i="4"/>
  <c r="H10" i="4"/>
  <c r="H11" i="4"/>
  <c r="H12" i="4"/>
  <c r="H13" i="4"/>
  <c r="H14" i="4"/>
  <c r="H15" i="4"/>
  <c r="H16" i="4"/>
  <c r="H17" i="4"/>
  <c r="H18" i="4"/>
  <c r="H19" i="4"/>
  <c r="H20" i="4"/>
  <c r="H21" i="4"/>
  <c r="H22" i="4"/>
  <c r="H23" i="4"/>
  <c r="H24" i="4"/>
  <c r="H25" i="4"/>
  <c r="H26" i="4"/>
  <c r="H27" i="4"/>
  <c r="H28" i="4"/>
  <c r="H29" i="4"/>
  <c r="H30" i="4"/>
  <c r="H31" i="4"/>
  <c r="H32" i="4"/>
  <c r="H33" i="4"/>
  <c r="H34" i="4"/>
  <c r="H35" i="4"/>
  <c r="H36" i="4"/>
  <c r="H37" i="4"/>
  <c r="H38" i="4"/>
  <c r="H39" i="4"/>
  <c r="H40" i="4"/>
  <c r="H41" i="4"/>
  <c r="H42" i="4"/>
  <c r="H43" i="4"/>
  <c r="H44" i="4"/>
  <c r="H45" i="4"/>
  <c r="H46" i="4"/>
  <c r="H47" i="4"/>
  <c r="H48" i="4"/>
  <c r="H49" i="4"/>
  <c r="H50" i="4"/>
  <c r="H51" i="4"/>
  <c r="H52" i="4"/>
  <c r="H53" i="4"/>
  <c r="H54" i="4"/>
  <c r="H55" i="4"/>
  <c r="H56" i="4"/>
  <c r="H57" i="4"/>
  <c r="H58" i="4"/>
  <c r="H59" i="4"/>
  <c r="H60" i="4"/>
  <c r="H61" i="4"/>
  <c r="H62" i="4"/>
  <c r="H63" i="4"/>
  <c r="H64" i="4"/>
  <c r="H65" i="4"/>
  <c r="H66" i="4"/>
  <c r="H67" i="4"/>
  <c r="H68" i="4"/>
  <c r="H69" i="4"/>
  <c r="H70" i="4"/>
  <c r="H71" i="4"/>
  <c r="H72" i="4"/>
  <c r="H73" i="4"/>
  <c r="H74" i="4"/>
  <c r="H75" i="4"/>
  <c r="H76" i="4"/>
  <c r="H77" i="4"/>
  <c r="H78" i="4"/>
  <c r="H79" i="4"/>
  <c r="H80" i="4"/>
  <c r="H81" i="4"/>
  <c r="H82" i="4"/>
  <c r="H83" i="4"/>
  <c r="H84" i="4"/>
  <c r="H85" i="4"/>
  <c r="H86" i="4"/>
  <c r="H87" i="4"/>
  <c r="H88" i="4"/>
  <c r="H89" i="4"/>
  <c r="H90" i="4"/>
  <c r="H91" i="4"/>
  <c r="H92" i="4"/>
  <c r="H93" i="4"/>
  <c r="H94" i="4"/>
  <c r="H95" i="4"/>
  <c r="H96" i="4"/>
  <c r="H97" i="4"/>
  <c r="H98" i="4"/>
  <c r="H99" i="4"/>
  <c r="H100" i="4"/>
  <c r="H101" i="4"/>
  <c r="H102" i="4"/>
  <c r="H103" i="4"/>
  <c r="H104" i="4"/>
  <c r="H105" i="4"/>
  <c r="H106" i="4"/>
  <c r="H107" i="4"/>
  <c r="H108" i="4"/>
  <c r="H109" i="4"/>
  <c r="H110" i="4"/>
  <c r="H111" i="4"/>
  <c r="H112" i="4"/>
  <c r="H113" i="4"/>
  <c r="H114" i="4"/>
  <c r="H115" i="4"/>
  <c r="H116" i="4"/>
  <c r="H117" i="4"/>
  <c r="H118" i="4"/>
  <c r="H119" i="4"/>
  <c r="H120" i="4"/>
  <c r="H121" i="4"/>
  <c r="H122" i="4"/>
  <c r="H123" i="4"/>
  <c r="H124" i="4"/>
  <c r="H125" i="4"/>
  <c r="H126" i="4"/>
  <c r="H127" i="4"/>
  <c r="H128" i="4"/>
  <c r="H129" i="4"/>
  <c r="H130" i="4"/>
  <c r="H131" i="4"/>
  <c r="H132" i="4"/>
  <c r="H133" i="4"/>
  <c r="H134" i="4"/>
  <c r="H135" i="4"/>
  <c r="H136" i="4"/>
  <c r="H137" i="4"/>
  <c r="H138" i="4"/>
  <c r="H139" i="4"/>
  <c r="H140" i="4"/>
  <c r="H141" i="4"/>
  <c r="H142" i="4"/>
  <c r="H143" i="4"/>
  <c r="H144" i="4"/>
  <c r="H145" i="4"/>
  <c r="H146" i="4"/>
  <c r="H147" i="4"/>
  <c r="H148" i="4"/>
  <c r="H149" i="4"/>
  <c r="H150" i="4"/>
  <c r="H151" i="4"/>
  <c r="H152" i="4"/>
  <c r="H153" i="4"/>
  <c r="H154" i="4"/>
  <c r="H155" i="4"/>
  <c r="H156" i="4"/>
  <c r="H157" i="4"/>
  <c r="H158" i="4"/>
  <c r="H159" i="4"/>
  <c r="H160" i="4"/>
  <c r="H161" i="4"/>
  <c r="H162" i="4"/>
  <c r="H163" i="4"/>
  <c r="H164" i="4"/>
  <c r="H165" i="4"/>
  <c r="H166" i="4"/>
  <c r="H167" i="4"/>
  <c r="H168" i="4"/>
  <c r="H169" i="4"/>
  <c r="H170" i="4"/>
  <c r="H171" i="4"/>
  <c r="H172" i="4"/>
  <c r="H173" i="4"/>
  <c r="H174" i="4"/>
  <c r="H175" i="4"/>
  <c r="H176" i="4"/>
  <c r="H177" i="4"/>
  <c r="H178" i="4"/>
  <c r="H179" i="4"/>
  <c r="H180" i="4"/>
  <c r="H181" i="4"/>
  <c r="H182" i="4"/>
  <c r="H183" i="4"/>
  <c r="H184" i="4"/>
  <c r="H185" i="4"/>
  <c r="H186" i="4"/>
  <c r="H187" i="4"/>
  <c r="H188" i="4"/>
  <c r="H189" i="4"/>
  <c r="H190" i="4"/>
  <c r="H191" i="4"/>
  <c r="H192" i="4"/>
  <c r="H193" i="4"/>
  <c r="H194" i="4"/>
  <c r="H195" i="4"/>
  <c r="H196" i="4"/>
  <c r="H197" i="4"/>
  <c r="H198" i="4"/>
  <c r="H199" i="4"/>
  <c r="H200" i="4"/>
  <c r="H201" i="4"/>
  <c r="H202" i="4"/>
  <c r="H203" i="4"/>
  <c r="H204" i="4"/>
  <c r="H205" i="4"/>
  <c r="H206" i="4"/>
  <c r="H207" i="4"/>
  <c r="H208" i="4"/>
  <c r="H209" i="4"/>
  <c r="H210" i="4"/>
  <c r="H211" i="4"/>
  <c r="H212" i="4"/>
  <c r="H213" i="4"/>
  <c r="H214" i="4"/>
  <c r="H215" i="4"/>
  <c r="H216" i="4"/>
  <c r="H217" i="4"/>
  <c r="H218" i="4"/>
  <c r="H219" i="4"/>
  <c r="H220" i="4"/>
  <c r="H221" i="4"/>
  <c r="H222" i="4"/>
  <c r="H223" i="4"/>
  <c r="H224" i="4"/>
  <c r="H225" i="4"/>
  <c r="H226" i="4"/>
  <c r="H227" i="4"/>
  <c r="H228" i="4"/>
  <c r="H229" i="4"/>
  <c r="H230" i="4"/>
  <c r="H231" i="4"/>
  <c r="H232" i="4"/>
  <c r="H233" i="4"/>
  <c r="H234" i="4"/>
  <c r="H235" i="4"/>
  <c r="H236" i="4"/>
  <c r="H237" i="4"/>
  <c r="H238" i="4"/>
  <c r="H239" i="4"/>
  <c r="H240" i="4"/>
  <c r="H241" i="4"/>
  <c r="H242" i="4"/>
  <c r="H243" i="4"/>
  <c r="H244" i="4"/>
  <c r="H245" i="4"/>
  <c r="H246" i="4"/>
  <c r="H247" i="4"/>
  <c r="H248" i="4"/>
  <c r="H249" i="4"/>
  <c r="H250" i="4"/>
  <c r="H251" i="4"/>
  <c r="H252" i="4"/>
  <c r="H253" i="4"/>
  <c r="H254" i="4"/>
  <c r="H255" i="4"/>
  <c r="H256" i="4"/>
  <c r="H257" i="4"/>
  <c r="H258" i="4"/>
  <c r="H259" i="4"/>
  <c r="H260" i="4"/>
  <c r="H261" i="4"/>
  <c r="H262" i="4"/>
  <c r="H263" i="4"/>
  <c r="H264" i="4"/>
  <c r="H265" i="4"/>
  <c r="H266" i="4"/>
  <c r="H267" i="4"/>
  <c r="H268" i="4"/>
  <c r="H269" i="4"/>
  <c r="H270" i="4"/>
  <c r="H271" i="4"/>
  <c r="H272" i="4"/>
  <c r="H273" i="4"/>
  <c r="H274" i="4"/>
  <c r="H275" i="4"/>
  <c r="H276" i="4"/>
  <c r="H277" i="4"/>
  <c r="H278" i="4"/>
  <c r="H279" i="4"/>
  <c r="H280" i="4"/>
  <c r="H281" i="4"/>
  <c r="H282" i="4"/>
  <c r="H283" i="4"/>
  <c r="H284" i="4"/>
  <c r="H285" i="4"/>
  <c r="H286" i="4"/>
  <c r="H287" i="4"/>
  <c r="H288" i="4"/>
  <c r="H289" i="4"/>
  <c r="H290" i="4"/>
  <c r="H291" i="4"/>
  <c r="H292" i="4"/>
  <c r="H293" i="4"/>
  <c r="H294" i="4"/>
  <c r="H295" i="4"/>
  <c r="H296" i="4"/>
  <c r="H297" i="4"/>
  <c r="H298" i="4"/>
  <c r="H299" i="4"/>
  <c r="H300" i="4"/>
  <c r="H301" i="4"/>
  <c r="H302" i="4"/>
  <c r="H303" i="4"/>
  <c r="H304" i="4"/>
  <c r="H305" i="4"/>
  <c r="H306" i="4"/>
  <c r="H307" i="4"/>
  <c r="H308" i="4"/>
  <c r="H309" i="4"/>
  <c r="H310" i="4"/>
  <c r="H311" i="4"/>
  <c r="H312" i="4"/>
  <c r="H313" i="4"/>
  <c r="H314" i="4"/>
  <c r="H315" i="4"/>
  <c r="H316" i="4"/>
  <c r="H317" i="4"/>
  <c r="H318" i="4"/>
  <c r="H319" i="4"/>
  <c r="H320" i="4"/>
  <c r="H321" i="4"/>
  <c r="H322" i="4"/>
  <c r="H323" i="4"/>
  <c r="H324" i="4"/>
  <c r="H325" i="4"/>
  <c r="H326" i="4"/>
  <c r="H327" i="4"/>
  <c r="H328" i="4"/>
  <c r="H329" i="4"/>
  <c r="H330" i="4"/>
  <c r="H331" i="4"/>
  <c r="H332" i="4"/>
  <c r="H333" i="4"/>
  <c r="H334" i="4"/>
  <c r="H335" i="4"/>
  <c r="H336" i="4"/>
  <c r="H337" i="4"/>
  <c r="H338" i="4"/>
  <c r="H339" i="4"/>
  <c r="H340" i="4"/>
  <c r="H341" i="4"/>
  <c r="H342" i="4"/>
  <c r="H343" i="4"/>
  <c r="H344" i="4"/>
  <c r="H345" i="4"/>
  <c r="H346" i="4"/>
  <c r="H2" i="4"/>
  <c r="E118" i="4"/>
  <c r="E119" i="4"/>
  <c r="E120" i="4"/>
  <c r="E121" i="4"/>
  <c r="E122" i="4"/>
  <c r="E123" i="4"/>
  <c r="E124" i="4"/>
  <c r="E125" i="4"/>
  <c r="E126" i="4"/>
  <c r="E127" i="4"/>
  <c r="E128" i="4"/>
  <c r="E129" i="4"/>
  <c r="E130" i="4"/>
  <c r="E131" i="4"/>
  <c r="E132" i="4"/>
  <c r="E133" i="4"/>
  <c r="E134" i="4"/>
  <c r="E135" i="4"/>
  <c r="E136" i="4"/>
  <c r="E137" i="4"/>
  <c r="E138" i="4"/>
  <c r="E139" i="4"/>
  <c r="E140" i="4"/>
  <c r="E141" i="4"/>
  <c r="E142" i="4"/>
  <c r="E143" i="4"/>
  <c r="E144" i="4"/>
  <c r="E145" i="4"/>
  <c r="E146" i="4"/>
  <c r="E147" i="4"/>
  <c r="E148" i="4"/>
  <c r="E149" i="4"/>
  <c r="E150" i="4"/>
  <c r="E151" i="4"/>
  <c r="E152" i="4"/>
  <c r="E153" i="4"/>
  <c r="E154" i="4"/>
  <c r="E155" i="4"/>
  <c r="E156" i="4"/>
  <c r="E157" i="4"/>
  <c r="E158" i="4"/>
  <c r="E159" i="4"/>
  <c r="E160" i="4"/>
  <c r="E161" i="4"/>
  <c r="E162" i="4"/>
  <c r="E163" i="4"/>
  <c r="E164" i="4"/>
  <c r="E165" i="4"/>
  <c r="E166" i="4"/>
  <c r="E167" i="4"/>
  <c r="E168" i="4"/>
  <c r="E169" i="4"/>
  <c r="E170" i="4"/>
  <c r="E171" i="4"/>
  <c r="E172" i="4"/>
  <c r="E173" i="4"/>
  <c r="E174" i="4"/>
  <c r="E175" i="4"/>
  <c r="E176" i="4"/>
  <c r="E177" i="4"/>
  <c r="E178" i="4"/>
  <c r="E179" i="4"/>
  <c r="E180" i="4"/>
  <c r="E181" i="4"/>
  <c r="E182" i="4"/>
  <c r="E183" i="4"/>
  <c r="E184" i="4"/>
  <c r="E185" i="4"/>
  <c r="E186" i="4"/>
  <c r="E187" i="4"/>
  <c r="E188" i="4"/>
  <c r="E189" i="4"/>
  <c r="E190" i="4"/>
  <c r="E191" i="4"/>
  <c r="E192" i="4"/>
  <c r="E193" i="4"/>
  <c r="E194" i="4"/>
  <c r="E195" i="4"/>
  <c r="E196" i="4"/>
  <c r="E197" i="4"/>
  <c r="E198" i="4"/>
  <c r="E199" i="4"/>
  <c r="E200" i="4"/>
  <c r="E201" i="4"/>
  <c r="E202" i="4"/>
  <c r="E203" i="4"/>
  <c r="E204" i="4"/>
  <c r="E205" i="4"/>
  <c r="E206" i="4"/>
  <c r="E207" i="4"/>
  <c r="E208" i="4"/>
  <c r="E209" i="4"/>
  <c r="E210" i="4"/>
  <c r="E211" i="4"/>
  <c r="E212" i="4"/>
  <c r="E213" i="4"/>
  <c r="E214" i="4"/>
  <c r="E215" i="4"/>
  <c r="E216" i="4"/>
  <c r="E217" i="4"/>
  <c r="E218" i="4"/>
  <c r="E219" i="4"/>
  <c r="E220" i="4"/>
  <c r="E221" i="4"/>
  <c r="E222" i="4"/>
  <c r="E223" i="4"/>
  <c r="E224" i="4"/>
  <c r="E225" i="4"/>
  <c r="E226" i="4"/>
  <c r="E227" i="4"/>
  <c r="E228" i="4"/>
  <c r="E229" i="4"/>
  <c r="E230" i="4"/>
  <c r="E231" i="4"/>
  <c r="E232" i="4"/>
  <c r="E233" i="4"/>
  <c r="E234" i="4"/>
  <c r="E235" i="4"/>
  <c r="E236" i="4"/>
  <c r="E237" i="4"/>
  <c r="E238" i="4"/>
  <c r="E239" i="4"/>
  <c r="E240" i="4"/>
  <c r="E241" i="4"/>
  <c r="E242" i="4"/>
  <c r="E243" i="4"/>
  <c r="E244" i="4"/>
  <c r="E245" i="4"/>
  <c r="E246" i="4"/>
  <c r="E247" i="4"/>
  <c r="E248" i="4"/>
  <c r="E249" i="4"/>
  <c r="E250" i="4"/>
  <c r="E251" i="4"/>
  <c r="E252" i="4"/>
  <c r="E253" i="4"/>
  <c r="E254" i="4"/>
  <c r="E255" i="4"/>
  <c r="E256" i="4"/>
  <c r="E257" i="4"/>
  <c r="E258" i="4"/>
  <c r="E259" i="4"/>
  <c r="E260" i="4"/>
  <c r="E261" i="4"/>
  <c r="E262" i="4"/>
  <c r="E263" i="4"/>
  <c r="E264" i="4"/>
  <c r="E265" i="4"/>
  <c r="E266" i="4"/>
  <c r="E267" i="4"/>
  <c r="E268" i="4"/>
  <c r="E269" i="4"/>
  <c r="E270" i="4"/>
  <c r="E271" i="4"/>
  <c r="E272" i="4"/>
  <c r="E273" i="4"/>
  <c r="E274" i="4"/>
  <c r="E275" i="4"/>
  <c r="E276" i="4"/>
  <c r="E277" i="4"/>
  <c r="E278" i="4"/>
  <c r="E279" i="4"/>
  <c r="E280" i="4"/>
  <c r="E281" i="4"/>
  <c r="E282" i="4"/>
  <c r="E283" i="4"/>
  <c r="E284" i="4"/>
  <c r="E285" i="4"/>
  <c r="E286" i="4"/>
  <c r="E287" i="4"/>
  <c r="E288" i="4"/>
  <c r="E289" i="4"/>
  <c r="E290" i="4"/>
  <c r="E291" i="4"/>
  <c r="E292" i="4"/>
  <c r="E293" i="4"/>
  <c r="E294" i="4"/>
  <c r="E295" i="4"/>
  <c r="E296" i="4"/>
  <c r="E297" i="4"/>
  <c r="E298" i="4"/>
  <c r="E299" i="4"/>
  <c r="E300" i="4"/>
  <c r="E301" i="4"/>
  <c r="E302" i="4"/>
  <c r="E303" i="4"/>
  <c r="E304" i="4"/>
  <c r="E305" i="4"/>
  <c r="E306" i="4"/>
  <c r="E307" i="4"/>
  <c r="E308" i="4"/>
  <c r="E309" i="4"/>
  <c r="E310" i="4"/>
  <c r="E311" i="4"/>
  <c r="E312" i="4"/>
  <c r="E313" i="4"/>
  <c r="E314" i="4"/>
  <c r="E315" i="4"/>
  <c r="E316" i="4"/>
  <c r="E317" i="4"/>
  <c r="E318" i="4"/>
  <c r="E319" i="4"/>
  <c r="E320" i="4"/>
  <c r="E321" i="4"/>
  <c r="E322" i="4"/>
  <c r="E323" i="4"/>
  <c r="E324" i="4"/>
  <c r="E325" i="4"/>
  <c r="E326" i="4"/>
  <c r="E327" i="4"/>
  <c r="E328" i="4"/>
  <c r="E329" i="4"/>
  <c r="E330" i="4"/>
  <c r="E331" i="4"/>
  <c r="E332" i="4"/>
  <c r="E333" i="4"/>
  <c r="E334" i="4"/>
  <c r="E335" i="4"/>
  <c r="E336" i="4"/>
  <c r="E337" i="4"/>
  <c r="E338" i="4"/>
  <c r="E339" i="4"/>
  <c r="E340" i="4"/>
  <c r="E341" i="4"/>
  <c r="E342" i="4"/>
  <c r="E343" i="4"/>
  <c r="E344" i="4"/>
  <c r="E345" i="4"/>
  <c r="E346" i="4"/>
  <c r="E117" i="4"/>
  <c r="E116" i="4"/>
  <c r="E115" i="4"/>
  <c r="E114" i="4"/>
  <c r="E113" i="4"/>
  <c r="E112" i="4"/>
  <c r="E111" i="4"/>
  <c r="E110" i="4"/>
  <c r="E109" i="4"/>
  <c r="E108" i="4"/>
  <c r="E107" i="4"/>
  <c r="E106" i="4"/>
  <c r="E105" i="4"/>
  <c r="E104" i="4"/>
  <c r="E103" i="4"/>
  <c r="E102" i="4"/>
  <c r="E101" i="4"/>
  <c r="E100" i="4"/>
  <c r="E99" i="4"/>
  <c r="E98" i="4"/>
  <c r="E97" i="4"/>
  <c r="E96" i="4"/>
  <c r="E95" i="4"/>
  <c r="E94" i="4"/>
  <c r="E93" i="4"/>
  <c r="E92" i="4"/>
  <c r="E91" i="4"/>
  <c r="E90" i="4"/>
  <c r="E89" i="4"/>
  <c r="E88" i="4"/>
  <c r="E87" i="4"/>
  <c r="E86" i="4"/>
  <c r="E85" i="4"/>
  <c r="E84" i="4"/>
  <c r="E83" i="4"/>
  <c r="E82" i="4"/>
  <c r="E81" i="4"/>
  <c r="E80" i="4"/>
  <c r="E79" i="4"/>
  <c r="E78" i="4"/>
  <c r="E77" i="4"/>
  <c r="E76" i="4"/>
  <c r="E75" i="4"/>
  <c r="E74" i="4"/>
  <c r="E73" i="4"/>
  <c r="E72" i="4"/>
  <c r="E71" i="4"/>
  <c r="E70" i="4"/>
  <c r="E69" i="4"/>
  <c r="E68" i="4"/>
  <c r="E67" i="4"/>
  <c r="E66" i="4"/>
  <c r="E65" i="4"/>
  <c r="E64" i="4"/>
  <c r="E63" i="4"/>
  <c r="E62" i="4"/>
  <c r="E61" i="4"/>
  <c r="E60" i="4"/>
  <c r="E59" i="4"/>
  <c r="E58" i="4"/>
  <c r="E57" i="4"/>
  <c r="E56" i="4"/>
  <c r="E55" i="4"/>
  <c r="E54" i="4"/>
  <c r="E53" i="4"/>
  <c r="E52" i="4"/>
  <c r="E51" i="4"/>
  <c r="E50" i="4"/>
  <c r="E49" i="4"/>
  <c r="E48" i="4"/>
  <c r="E47" i="4"/>
  <c r="E46" i="4"/>
  <c r="E45" i="4"/>
  <c r="E44" i="4"/>
  <c r="E43" i="4"/>
  <c r="E42" i="4"/>
  <c r="E41" i="4"/>
  <c r="E40" i="4"/>
  <c r="E39" i="4"/>
  <c r="E38" i="4"/>
  <c r="E37" i="4"/>
  <c r="E36" i="4"/>
  <c r="E35" i="4"/>
  <c r="E34" i="4"/>
  <c r="E33" i="4"/>
  <c r="E32" i="4"/>
  <c r="E31" i="4"/>
  <c r="E30" i="4"/>
  <c r="E29" i="4"/>
  <c r="E28" i="4"/>
  <c r="E27" i="4"/>
  <c r="E26" i="4"/>
  <c r="E25" i="4"/>
  <c r="E24" i="4"/>
  <c r="E23" i="4"/>
  <c r="E22" i="4"/>
  <c r="E21" i="4"/>
  <c r="E20" i="4"/>
  <c r="E19" i="4"/>
  <c r="E18" i="4"/>
  <c r="E17" i="4"/>
  <c r="E16" i="4"/>
  <c r="E15" i="4"/>
  <c r="E14" i="4"/>
  <c r="E13" i="4"/>
  <c r="E12" i="4"/>
  <c r="E11" i="4"/>
  <c r="E10" i="4"/>
  <c r="E9" i="4"/>
  <c r="E8" i="4"/>
  <c r="E7" i="4"/>
  <c r="E6" i="4"/>
  <c r="E5" i="4"/>
  <c r="E4" i="4"/>
  <c r="E3" i="4"/>
  <c r="E2" i="4"/>
  <c r="B118" i="4"/>
  <c r="B119" i="4"/>
  <c r="B120" i="4"/>
  <c r="B121" i="4"/>
  <c r="B122" i="4"/>
  <c r="B123" i="4"/>
  <c r="B124" i="4"/>
  <c r="B125" i="4"/>
  <c r="B126" i="4"/>
  <c r="B127" i="4"/>
  <c r="B128" i="4"/>
  <c r="B129" i="4"/>
  <c r="B130" i="4"/>
  <c r="B131" i="4"/>
  <c r="B132" i="4"/>
  <c r="B133" i="4"/>
  <c r="B134" i="4"/>
  <c r="B135" i="4"/>
  <c r="B136" i="4"/>
  <c r="B137" i="4"/>
  <c r="B138" i="4"/>
  <c r="B139" i="4"/>
  <c r="B140" i="4"/>
  <c r="B141" i="4"/>
  <c r="B142" i="4"/>
  <c r="B143" i="4"/>
  <c r="B144" i="4"/>
  <c r="B145" i="4"/>
  <c r="B146" i="4"/>
  <c r="B147" i="4"/>
  <c r="B148" i="4"/>
  <c r="B149" i="4"/>
  <c r="B150" i="4"/>
  <c r="B151" i="4"/>
  <c r="B152" i="4"/>
  <c r="B153" i="4"/>
  <c r="B154" i="4"/>
  <c r="B155" i="4"/>
  <c r="B156" i="4"/>
  <c r="B157" i="4"/>
  <c r="B158" i="4"/>
  <c r="B159" i="4"/>
  <c r="B160" i="4"/>
  <c r="B161" i="4"/>
  <c r="B162" i="4"/>
  <c r="B163" i="4"/>
  <c r="B164" i="4"/>
  <c r="B165" i="4"/>
  <c r="B166" i="4"/>
  <c r="B167" i="4"/>
  <c r="B168" i="4"/>
  <c r="B169" i="4"/>
  <c r="B170" i="4"/>
  <c r="B171" i="4"/>
  <c r="B172" i="4"/>
  <c r="B173" i="4"/>
  <c r="B174" i="4"/>
  <c r="B175" i="4"/>
  <c r="B176" i="4"/>
  <c r="B177" i="4"/>
  <c r="B178" i="4"/>
  <c r="B179" i="4"/>
  <c r="B180" i="4"/>
  <c r="B181" i="4"/>
  <c r="B182" i="4"/>
  <c r="B183" i="4"/>
  <c r="B184" i="4"/>
  <c r="B185" i="4"/>
  <c r="B186" i="4"/>
  <c r="B187" i="4"/>
  <c r="B188" i="4"/>
  <c r="B189" i="4"/>
  <c r="B190" i="4"/>
  <c r="B191" i="4"/>
  <c r="B192" i="4"/>
  <c r="B193" i="4"/>
  <c r="B194" i="4"/>
  <c r="B195" i="4"/>
  <c r="B196" i="4"/>
  <c r="B197" i="4"/>
  <c r="B198" i="4"/>
  <c r="B199" i="4"/>
  <c r="B200" i="4"/>
  <c r="B201" i="4"/>
  <c r="B202" i="4"/>
  <c r="B203" i="4"/>
  <c r="B204" i="4"/>
  <c r="B205" i="4"/>
  <c r="B206" i="4"/>
  <c r="B207" i="4"/>
  <c r="B208" i="4"/>
  <c r="B209" i="4"/>
  <c r="B210" i="4"/>
  <c r="B211" i="4"/>
  <c r="B212" i="4"/>
  <c r="B213" i="4"/>
  <c r="B214" i="4"/>
  <c r="B215" i="4"/>
  <c r="B216" i="4"/>
  <c r="B217" i="4"/>
  <c r="B218" i="4"/>
  <c r="B219" i="4"/>
  <c r="B220" i="4"/>
  <c r="B221" i="4"/>
  <c r="B222" i="4"/>
  <c r="B223" i="4"/>
  <c r="B224" i="4"/>
  <c r="B225" i="4"/>
  <c r="B226" i="4"/>
  <c r="B227" i="4"/>
  <c r="B228" i="4"/>
  <c r="B229" i="4"/>
  <c r="B230" i="4"/>
  <c r="B231" i="4"/>
  <c r="B232" i="4"/>
  <c r="B233" i="4"/>
  <c r="B234" i="4"/>
  <c r="B235" i="4"/>
  <c r="B236" i="4"/>
  <c r="B237" i="4"/>
  <c r="B238" i="4"/>
  <c r="B239" i="4"/>
  <c r="B240" i="4"/>
  <c r="B241" i="4"/>
  <c r="B242" i="4"/>
  <c r="B243" i="4"/>
  <c r="B244" i="4"/>
  <c r="B245" i="4"/>
  <c r="B246" i="4"/>
  <c r="B247" i="4"/>
  <c r="B248" i="4"/>
  <c r="B249" i="4"/>
  <c r="B250" i="4"/>
  <c r="B251" i="4"/>
  <c r="B252" i="4"/>
  <c r="B253" i="4"/>
  <c r="B254" i="4"/>
  <c r="B255" i="4"/>
  <c r="B256" i="4"/>
  <c r="B257" i="4"/>
  <c r="B258" i="4"/>
  <c r="B259" i="4"/>
  <c r="B260" i="4"/>
  <c r="B261" i="4"/>
  <c r="B262" i="4"/>
  <c r="B263" i="4"/>
  <c r="B264" i="4"/>
  <c r="B265" i="4"/>
  <c r="B266" i="4"/>
  <c r="B267" i="4"/>
  <c r="B268" i="4"/>
  <c r="B269" i="4"/>
  <c r="B270" i="4"/>
  <c r="B271" i="4"/>
  <c r="B272" i="4"/>
  <c r="B273" i="4"/>
  <c r="B274" i="4"/>
  <c r="B275" i="4"/>
  <c r="B276" i="4"/>
  <c r="B277" i="4"/>
  <c r="B278" i="4"/>
  <c r="B279" i="4"/>
  <c r="B280" i="4"/>
  <c r="B281" i="4"/>
  <c r="B282" i="4"/>
  <c r="B283" i="4"/>
  <c r="B284" i="4"/>
  <c r="B285" i="4"/>
  <c r="B286" i="4"/>
  <c r="B287" i="4"/>
  <c r="B288" i="4"/>
  <c r="B289" i="4"/>
  <c r="B290" i="4"/>
  <c r="B291" i="4"/>
  <c r="B292" i="4"/>
  <c r="B293" i="4"/>
  <c r="B294" i="4"/>
  <c r="B295" i="4"/>
  <c r="B296" i="4"/>
  <c r="B297" i="4"/>
  <c r="B298" i="4"/>
  <c r="B299" i="4"/>
  <c r="B300" i="4"/>
  <c r="B301" i="4"/>
  <c r="B302" i="4"/>
  <c r="B303" i="4"/>
  <c r="B304" i="4"/>
  <c r="B305" i="4"/>
  <c r="B306" i="4"/>
  <c r="B307" i="4"/>
  <c r="B308" i="4"/>
  <c r="B309" i="4"/>
  <c r="B310" i="4"/>
  <c r="B311" i="4"/>
  <c r="B312" i="4"/>
  <c r="B313" i="4"/>
  <c r="B314" i="4"/>
  <c r="B315" i="4"/>
  <c r="B316" i="4"/>
  <c r="B317" i="4"/>
  <c r="B318" i="4"/>
  <c r="B319" i="4"/>
  <c r="B320" i="4"/>
  <c r="B321" i="4"/>
  <c r="B322" i="4"/>
  <c r="B323" i="4"/>
  <c r="B324" i="4"/>
  <c r="B325" i="4"/>
  <c r="B326" i="4"/>
  <c r="B327" i="4"/>
  <c r="B328" i="4"/>
  <c r="B329" i="4"/>
  <c r="B330" i="4"/>
  <c r="B331" i="4"/>
  <c r="B332" i="4"/>
  <c r="B333" i="4"/>
  <c r="B334" i="4"/>
  <c r="B335" i="4"/>
  <c r="B336" i="4"/>
  <c r="B337" i="4"/>
  <c r="B338" i="4"/>
  <c r="B339" i="4"/>
  <c r="B340" i="4"/>
  <c r="B341" i="4"/>
  <c r="B342" i="4"/>
  <c r="B343" i="4"/>
  <c r="B344" i="4"/>
  <c r="B345" i="4"/>
  <c r="B346" i="4"/>
  <c r="B117" i="4"/>
  <c r="U3" i="4"/>
  <c r="U2" i="4"/>
  <c r="U113" i="4"/>
</calcChain>
</file>

<file path=xl/sharedStrings.xml><?xml version="1.0" encoding="utf-8"?>
<sst xmlns="http://schemas.openxmlformats.org/spreadsheetml/2006/main" count="8797" uniqueCount="692">
  <si>
    <t>Description</t>
  </si>
  <si>
    <t>Member Count</t>
  </si>
  <si>
    <t>Total</t>
  </si>
  <si>
    <t>Payee</t>
  </si>
  <si>
    <t>Payment Date</t>
  </si>
  <si>
    <t>Credits</t>
  </si>
  <si>
    <t>$7,386.91</t>
  </si>
  <si>
    <t>Main Line Benefits LLC</t>
  </si>
  <si>
    <t>05/29/2026</t>
  </si>
  <si>
    <t>Debits</t>
  </si>
  <si>
    <t>($335.76)</t>
  </si>
  <si>
    <t>Miscellaneous</t>
  </si>
  <si>
    <t>($400.00)</t>
  </si>
  <si>
    <t>Bonus</t>
  </si>
  <si>
    <t>$0.00</t>
  </si>
  <si>
    <t>Sub Total</t>
  </si>
  <si>
    <t>$6,651.15</t>
  </si>
  <si>
    <t>Balance</t>
  </si>
  <si>
    <t>TOTAL</t>
  </si>
  <si>
    <t>Statement Date</t>
  </si>
  <si>
    <t>Agent NPN</t>
  </si>
  <si>
    <t>Agent Name</t>
  </si>
  <si>
    <t>Member ID</t>
  </si>
  <si>
    <t>Member HICN</t>
  </si>
  <si>
    <t>Member First</t>
  </si>
  <si>
    <t>Member Last</t>
  </si>
  <si>
    <t>Member State</t>
  </si>
  <si>
    <t>Signature Date</t>
  </si>
  <si>
    <t>Effective Date</t>
  </si>
  <si>
    <t>Disenroll Date</t>
  </si>
  <si>
    <t>Contract</t>
  </si>
  <si>
    <t>PBP</t>
  </si>
  <si>
    <t>Prior Plan Type</t>
  </si>
  <si>
    <t>CMS Cycle Year</t>
  </si>
  <si>
    <t>Commission Type</t>
  </si>
  <si>
    <t>Period</t>
  </si>
  <si>
    <t>Base Amount</t>
  </si>
  <si>
    <t>Admin Amount</t>
  </si>
  <si>
    <t>Total Payment</t>
  </si>
  <si>
    <t>FMO</t>
  </si>
  <si>
    <t>Payment Notations</t>
  </si>
  <si>
    <t>19586992</t>
  </si>
  <si>
    <t>Barry Schumann</t>
  </si>
  <si>
    <t>DY77JY</t>
  </si>
  <si>
    <t>6CM2WK3MV14</t>
  </si>
  <si>
    <t>RONALD</t>
  </si>
  <si>
    <t>WATSON</t>
  </si>
  <si>
    <t>IL</t>
  </si>
  <si>
    <t>01/31/2026</t>
  </si>
  <si>
    <t>02/01/2026</t>
  </si>
  <si>
    <t>05/31/2026</t>
  </si>
  <si>
    <t>H6545</t>
  </si>
  <si>
    <t>MAPD</t>
  </si>
  <si>
    <t>Initial - Not New</t>
  </si>
  <si>
    <t>Feb</t>
  </si>
  <si>
    <t>17301495</t>
  </si>
  <si>
    <t>Esther Herrera-Larsen</t>
  </si>
  <si>
    <t>D3ZZRK</t>
  </si>
  <si>
    <t>5RC0PP9VK18</t>
  </si>
  <si>
    <t>MARCO</t>
  </si>
  <si>
    <t>ALVAREZ PEREZ</t>
  </si>
  <si>
    <t>02/12/2025</t>
  </si>
  <si>
    <t>03/01/2025</t>
  </si>
  <si>
    <t>H7151</t>
  </si>
  <si>
    <t>Renewal - Monthly</t>
  </si>
  <si>
    <t>May</t>
  </si>
  <si>
    <t>18142208</t>
  </si>
  <si>
    <t>Jill Shepard</t>
  </si>
  <si>
    <t>DG9922</t>
  </si>
  <si>
    <t>1H61RK9MR90</t>
  </si>
  <si>
    <t>MARILYN</t>
  </si>
  <si>
    <t>ANDERSON</t>
  </si>
  <si>
    <t>OH</t>
  </si>
  <si>
    <t>12/02/2024</t>
  </si>
  <si>
    <t>01/01/2025</t>
  </si>
  <si>
    <t>H2697</t>
  </si>
  <si>
    <t>16378851</t>
  </si>
  <si>
    <t>Matthew Daugherty</t>
  </si>
  <si>
    <t>DSW76K</t>
  </si>
  <si>
    <t>8N43VH3HC94</t>
  </si>
  <si>
    <t>ROSA</t>
  </si>
  <si>
    <t>TX</t>
  </si>
  <si>
    <t>10/23/2025</t>
  </si>
  <si>
    <t>11/01/2025</t>
  </si>
  <si>
    <t>H6813</t>
  </si>
  <si>
    <t>NONE</t>
  </si>
  <si>
    <t>7146581</t>
  </si>
  <si>
    <t>Anthony Hunsberger</t>
  </si>
  <si>
    <t>DA4WEU</t>
  </si>
  <si>
    <t>2QF6GM2WU48</t>
  </si>
  <si>
    <t>LOIS</t>
  </si>
  <si>
    <t>BARNES</t>
  </si>
  <si>
    <t>11/03/2024</t>
  </si>
  <si>
    <t>20212926</t>
  </si>
  <si>
    <t>Jose Torres</t>
  </si>
  <si>
    <t>DZ6GWY</t>
  </si>
  <si>
    <t>8YT2EG0DA13</t>
  </si>
  <si>
    <t>MICHAEL</t>
  </si>
  <si>
    <t>BARNISH</t>
  </si>
  <si>
    <t>11/19/2024</t>
  </si>
  <si>
    <t>PDP</t>
  </si>
  <si>
    <t>D678GK</t>
  </si>
  <si>
    <t>1RR8CY6RT26</t>
  </si>
  <si>
    <t>JOHN</t>
  </si>
  <si>
    <t>BARONE JR</t>
  </si>
  <si>
    <t>11/13/2024</t>
  </si>
  <si>
    <t>2158366</t>
  </si>
  <si>
    <t>Jeffrey Horn</t>
  </si>
  <si>
    <t>D2KZUR</t>
  </si>
  <si>
    <t>8RH8N43TD37</t>
  </si>
  <si>
    <t>MARY</t>
  </si>
  <si>
    <t>BARR</t>
  </si>
  <si>
    <t>12/06/2024</t>
  </si>
  <si>
    <t>DFE232</t>
  </si>
  <si>
    <t>4U83GD5EP88</t>
  </si>
  <si>
    <t>PETER</t>
  </si>
  <si>
    <t>DJ4K76</t>
  </si>
  <si>
    <t>1T16EN4CG45</t>
  </si>
  <si>
    <t>MARYLINE</t>
  </si>
  <si>
    <t>BARRAUD</t>
  </si>
  <si>
    <t>10/03/2025</t>
  </si>
  <si>
    <t>12/01/2025</t>
  </si>
  <si>
    <t>DEAGYA</t>
  </si>
  <si>
    <t>1TX7CP1KC40</t>
  </si>
  <si>
    <t>ROBERT</t>
  </si>
  <si>
    <t>BAUER JR</t>
  </si>
  <si>
    <t>IN</t>
  </si>
  <si>
    <t>01/15/2025</t>
  </si>
  <si>
    <t>02/01/2025</t>
  </si>
  <si>
    <t>H7471</t>
  </si>
  <si>
    <t>DUWJJS</t>
  </si>
  <si>
    <t>6XV2Q65GN95</t>
  </si>
  <si>
    <t>ROBERTA</t>
  </si>
  <si>
    <t>BECKMAN</t>
  </si>
  <si>
    <t>D2E9C8</t>
  </si>
  <si>
    <t>5FH8G28RK23</t>
  </si>
  <si>
    <t>WALTER</t>
  </si>
  <si>
    <t>19200754</t>
  </si>
  <si>
    <t>Ricardo Santos</t>
  </si>
  <si>
    <t>D4EE5H</t>
  </si>
  <si>
    <t>5KR3J09KQ83</t>
  </si>
  <si>
    <t>SAMUEL</t>
  </si>
  <si>
    <t>BOOK</t>
  </si>
  <si>
    <t>11/18/2024</t>
  </si>
  <si>
    <t>21618313</t>
  </si>
  <si>
    <t>Mark Roccia</t>
  </si>
  <si>
    <t>DRUUE7</t>
  </si>
  <si>
    <t>2HP9E39AQ22</t>
  </si>
  <si>
    <t>JOANNE</t>
  </si>
  <si>
    <t>BRADLEY</t>
  </si>
  <si>
    <t>PA</t>
  </si>
  <si>
    <t>05/13/2026</t>
  </si>
  <si>
    <t>06/01/2026</t>
  </si>
  <si>
    <t>H6018</t>
  </si>
  <si>
    <t>17126004</t>
  </si>
  <si>
    <t>Stephanie Drapac</t>
  </si>
  <si>
    <t>DCRHUF</t>
  </si>
  <si>
    <t>5UM4PE3XW74</t>
  </si>
  <si>
    <t>HELEN</t>
  </si>
  <si>
    <t>BREIDENBACH</t>
  </si>
  <si>
    <t>12/01/2024</t>
  </si>
  <si>
    <t>9213293</t>
  </si>
  <si>
    <t>Gary Portugal</t>
  </si>
  <si>
    <t>D75485</t>
  </si>
  <si>
    <t>9VF9KP2QV19</t>
  </si>
  <si>
    <t>JOYCE</t>
  </si>
  <si>
    <t>BROWN</t>
  </si>
  <si>
    <t>05/10/2026</t>
  </si>
  <si>
    <t>DA5EJF</t>
  </si>
  <si>
    <t>1RM4U18AA60</t>
  </si>
  <si>
    <t>CARFAGNINI</t>
  </si>
  <si>
    <t>10/25/2024</t>
  </si>
  <si>
    <t>DCY63A</t>
  </si>
  <si>
    <t>1UE0D40XD14</t>
  </si>
  <si>
    <t>BERTHA</t>
  </si>
  <si>
    <t>CARRILLO</t>
  </si>
  <si>
    <t>10/30/2024</t>
  </si>
  <si>
    <t>8814784</t>
  </si>
  <si>
    <t>Frank Liskovec</t>
  </si>
  <si>
    <t>D4SJK4</t>
  </si>
  <si>
    <t>9EU1PK6KQ36</t>
  </si>
  <si>
    <t>KAREN</t>
  </si>
  <si>
    <t>CHAREWICZ</t>
  </si>
  <si>
    <t>10/22/2024</t>
  </si>
  <si>
    <t>D6YZ5C</t>
  </si>
  <si>
    <t>6WD1V32PM29</t>
  </si>
  <si>
    <t>CARLOS</t>
  </si>
  <si>
    <t>CHAVEZ</t>
  </si>
  <si>
    <t>D8YS8Y</t>
  </si>
  <si>
    <t>9QE9Q25VU37</t>
  </si>
  <si>
    <t>MARYANN</t>
  </si>
  <si>
    <t>CHINDERLE</t>
  </si>
  <si>
    <t>08/06/2024</t>
  </si>
  <si>
    <t>10/01/2024</t>
  </si>
  <si>
    <t>DU896U</t>
  </si>
  <si>
    <t>5CM0EK1XF12</t>
  </si>
  <si>
    <t>LINDA</t>
  </si>
  <si>
    <t>CIANCIO</t>
  </si>
  <si>
    <t>07/24/2024</t>
  </si>
  <si>
    <t>08/01/2024</t>
  </si>
  <si>
    <t>DEU7R5</t>
  </si>
  <si>
    <t>4AK1KT0KU01</t>
  </si>
  <si>
    <t>RUSSELL</t>
  </si>
  <si>
    <t>CORP</t>
  </si>
  <si>
    <t>KY</t>
  </si>
  <si>
    <t>12/18/2024</t>
  </si>
  <si>
    <t>H5718</t>
  </si>
  <si>
    <t>7470776</t>
  </si>
  <si>
    <t>Andrew Choi</t>
  </si>
  <si>
    <t>D3FYF5</t>
  </si>
  <si>
    <t>9GJ7CD6QH32</t>
  </si>
  <si>
    <t>MARTA</t>
  </si>
  <si>
    <t>CULLEN</t>
  </si>
  <si>
    <t>10/29/2024</t>
  </si>
  <si>
    <t>DWZ7RJ</t>
  </si>
  <si>
    <t>5X24T73WW98</t>
  </si>
  <si>
    <t>PHILLIP</t>
  </si>
  <si>
    <t>DHF6GK</t>
  </si>
  <si>
    <t>6FP1PN8QQ11</t>
  </si>
  <si>
    <t>RALPH</t>
  </si>
  <si>
    <t>DE LA FUENTE</t>
  </si>
  <si>
    <t>12/03/2025</t>
  </si>
  <si>
    <t>01/01/2026</t>
  </si>
  <si>
    <t>DSF4K7</t>
  </si>
  <si>
    <t>9DM2K74WH24</t>
  </si>
  <si>
    <t>CANDACE</t>
  </si>
  <si>
    <t>DOBRINO</t>
  </si>
  <si>
    <t>10/25/2025</t>
  </si>
  <si>
    <t>DHSKKF</t>
  </si>
  <si>
    <t>7H73FK0HD88</t>
  </si>
  <si>
    <t>CASIMER</t>
  </si>
  <si>
    <t>DONATO</t>
  </si>
  <si>
    <t>10/16/2024</t>
  </si>
  <si>
    <t>DE72ZC</t>
  </si>
  <si>
    <t>6MC5M62HF93</t>
  </si>
  <si>
    <t>LAVERNE</t>
  </si>
  <si>
    <t>16683808</t>
  </si>
  <si>
    <t>Jonathan Aloff</t>
  </si>
  <si>
    <t>DH28HS</t>
  </si>
  <si>
    <t>3DU4M88UK01</t>
  </si>
  <si>
    <t>MELQUEA</t>
  </si>
  <si>
    <t>EDWARDS</t>
  </si>
  <si>
    <t>06/06/2025</t>
  </si>
  <si>
    <t>07/01/2025</t>
  </si>
  <si>
    <t>H7993</t>
  </si>
  <si>
    <t>D6K5SY</t>
  </si>
  <si>
    <t>8EC0EW1WG35</t>
  </si>
  <si>
    <t>SUSAN</t>
  </si>
  <si>
    <t>EICHMAN PARCELL</t>
  </si>
  <si>
    <t>DR9GSJ</t>
  </si>
  <si>
    <t>3UQ2GP9AU06</t>
  </si>
  <si>
    <t>SHEILA</t>
  </si>
  <si>
    <t>ENGLISH</t>
  </si>
  <si>
    <t>10/18/2024</t>
  </si>
  <si>
    <t>D8RSSE</t>
  </si>
  <si>
    <t>5E06U01MK67</t>
  </si>
  <si>
    <t>FREDERICK</t>
  </si>
  <si>
    <t>EREMO</t>
  </si>
  <si>
    <t>09/23/2025</t>
  </si>
  <si>
    <t>10/01/2025</t>
  </si>
  <si>
    <t>DSJR7R</t>
  </si>
  <si>
    <t>7A98GM2VC49</t>
  </si>
  <si>
    <t>GERARDO</t>
  </si>
  <si>
    <t>ESPINOSA</t>
  </si>
  <si>
    <t>11/11/2024</t>
  </si>
  <si>
    <t>19396223</t>
  </si>
  <si>
    <t>Saadia Abdul</t>
  </si>
  <si>
    <t>DZ4FFJ</t>
  </si>
  <si>
    <t>2QD3UE0DR74</t>
  </si>
  <si>
    <t>SALVATORE</t>
  </si>
  <si>
    <t>ESPOSITO</t>
  </si>
  <si>
    <t>12/07/2024</t>
  </si>
  <si>
    <t>DZ34AR</t>
  </si>
  <si>
    <t>8KQ6D94WJ30</t>
  </si>
  <si>
    <t>GRAZYNA</t>
  </si>
  <si>
    <t>EWERT</t>
  </si>
  <si>
    <t>10/19/2024</t>
  </si>
  <si>
    <t>DJHS47</t>
  </si>
  <si>
    <t>9UT3M61NR76</t>
  </si>
  <si>
    <t>ELIZABETH</t>
  </si>
  <si>
    <t>FALCONER</t>
  </si>
  <si>
    <t>11/30/2025</t>
  </si>
  <si>
    <t>D3W8UJ</t>
  </si>
  <si>
    <t>8UJ2RD3YY15</t>
  </si>
  <si>
    <t>SALLY</t>
  </si>
  <si>
    <t>FERMAINT</t>
  </si>
  <si>
    <t>10/21/2024</t>
  </si>
  <si>
    <t>D77WRJ</t>
  </si>
  <si>
    <t>9MM4KG4GE61</t>
  </si>
  <si>
    <t>ANDREW</t>
  </si>
  <si>
    <t>FERNANDEZ</t>
  </si>
  <si>
    <t>D3EH29</t>
  </si>
  <si>
    <t>7HJ5FP9UP67</t>
  </si>
  <si>
    <t>JEFFERY</t>
  </si>
  <si>
    <t>FORSBERG</t>
  </si>
  <si>
    <t>TN</t>
  </si>
  <si>
    <t>H9231</t>
  </si>
  <si>
    <t>DYJG9W</t>
  </si>
  <si>
    <t>5MU8NX5NT47</t>
  </si>
  <si>
    <t>KRISTINE</t>
  </si>
  <si>
    <t>GIBAS</t>
  </si>
  <si>
    <t>11/14/2024</t>
  </si>
  <si>
    <t>D949GW</t>
  </si>
  <si>
    <t>4EV0AV1VX33</t>
  </si>
  <si>
    <t>EDDIE</t>
  </si>
  <si>
    <t>GILBERT III</t>
  </si>
  <si>
    <t>12/04/2024</t>
  </si>
  <si>
    <t>D77FJC</t>
  </si>
  <si>
    <t>1H75YU5EY55</t>
  </si>
  <si>
    <t>BETH</t>
  </si>
  <si>
    <t>GONSIEWSKI</t>
  </si>
  <si>
    <t>08/26/2024</t>
  </si>
  <si>
    <t>DCZUZA</t>
  </si>
  <si>
    <t>5HT5UQ4EE56</t>
  </si>
  <si>
    <t>GOWOROWSKI</t>
  </si>
  <si>
    <t>10/27/2025</t>
  </si>
  <si>
    <t>16849453</t>
  </si>
  <si>
    <t>Danna Green</t>
  </si>
  <si>
    <t>DACWU9</t>
  </si>
  <si>
    <t>1JC0D43YK90</t>
  </si>
  <si>
    <t>LAURA</t>
  </si>
  <si>
    <t>HAMBY</t>
  </si>
  <si>
    <t>05/11/2026</t>
  </si>
  <si>
    <t>DG4GHG</t>
  </si>
  <si>
    <t>8TR0RP8FH08</t>
  </si>
  <si>
    <t>HECTOR</t>
  </si>
  <si>
    <t>HERNANDEZ</t>
  </si>
  <si>
    <t>01/16/2025</t>
  </si>
  <si>
    <t>D4HE9G</t>
  </si>
  <si>
    <t>8FU8QG4KG68</t>
  </si>
  <si>
    <t>STEVEN</t>
  </si>
  <si>
    <t>HEY</t>
  </si>
  <si>
    <t>11/25/2024</t>
  </si>
  <si>
    <t>D79W82</t>
  </si>
  <si>
    <t>6XR8DA5KH28</t>
  </si>
  <si>
    <t>HORN</t>
  </si>
  <si>
    <t>GA</t>
  </si>
  <si>
    <t>01/30/2025</t>
  </si>
  <si>
    <t>H5453</t>
  </si>
  <si>
    <t>DYG5UY</t>
  </si>
  <si>
    <t>1WG1AT5PG19</t>
  </si>
  <si>
    <t>MARIA</t>
  </si>
  <si>
    <t>JACOBO DE CADENA</t>
  </si>
  <si>
    <t>03/31/2025</t>
  </si>
  <si>
    <t>04/01/2025</t>
  </si>
  <si>
    <t>DHRYRA</t>
  </si>
  <si>
    <t>5NQ6NA9TJ50</t>
  </si>
  <si>
    <t>CATHERINE</t>
  </si>
  <si>
    <t>JAMES</t>
  </si>
  <si>
    <t>11/21/2024</t>
  </si>
  <si>
    <t>16865615</t>
  </si>
  <si>
    <t>Heather Geske</t>
  </si>
  <si>
    <t>DS5GHY</t>
  </si>
  <si>
    <t>7DA6NP6NX66</t>
  </si>
  <si>
    <t>DINO</t>
  </si>
  <si>
    <t>JENERRO</t>
  </si>
  <si>
    <t>CO</t>
  </si>
  <si>
    <t>05/01/2025</t>
  </si>
  <si>
    <t>H4808</t>
  </si>
  <si>
    <t>D7ZW4G</t>
  </si>
  <si>
    <t>3X37JK1GE45</t>
  </si>
  <si>
    <t>JEFFREY</t>
  </si>
  <si>
    <t>JOHNS</t>
  </si>
  <si>
    <t>10/14/2024</t>
  </si>
  <si>
    <t>11/01/2024</t>
  </si>
  <si>
    <t>21435997</t>
  </si>
  <si>
    <t>CHRISTOPHER BROUSSEAU</t>
  </si>
  <si>
    <t>D3KYC8</t>
  </si>
  <si>
    <t>7FV2WQ0FK23</t>
  </si>
  <si>
    <t>PAUL</t>
  </si>
  <si>
    <t>KINGMAN</t>
  </si>
  <si>
    <t>11/29/2025</t>
  </si>
  <si>
    <t>D25HA7</t>
  </si>
  <si>
    <t>4CT6P10ND74</t>
  </si>
  <si>
    <t>RICHARD</t>
  </si>
  <si>
    <t>KULIK</t>
  </si>
  <si>
    <t>DCEG4Z</t>
  </si>
  <si>
    <t>7DK6CR4VP60</t>
  </si>
  <si>
    <t>LINGENFELTER</t>
  </si>
  <si>
    <t>12/16/2025</t>
  </si>
  <si>
    <t>D36CA8</t>
  </si>
  <si>
    <t>8TU6Q42RF68</t>
  </si>
  <si>
    <t>PATRICIA</t>
  </si>
  <si>
    <t>LISKOVEC</t>
  </si>
  <si>
    <t>DU7JU7</t>
  </si>
  <si>
    <t>5J97EH0YG53</t>
  </si>
  <si>
    <t>SANDRA</t>
  </si>
  <si>
    <t>LOWELL</t>
  </si>
  <si>
    <t>02/28/2025</t>
  </si>
  <si>
    <t>18754354</t>
  </si>
  <si>
    <t>Jacob Yale</t>
  </si>
  <si>
    <t>D4AC9K</t>
  </si>
  <si>
    <t>6GA0R99WK27</t>
  </si>
  <si>
    <t>WILLIAM</t>
  </si>
  <si>
    <t>LUDWIG III</t>
  </si>
  <si>
    <t>10/04/2024</t>
  </si>
  <si>
    <t>17094718</t>
  </si>
  <si>
    <t>Greg Hansford</t>
  </si>
  <si>
    <t>DRZF48</t>
  </si>
  <si>
    <t>1RG3Y78UF98</t>
  </si>
  <si>
    <t>LYDON</t>
  </si>
  <si>
    <t>MO</t>
  </si>
  <si>
    <t>H2041</t>
  </si>
  <si>
    <t>DRS326</t>
  </si>
  <si>
    <t>6XK3WK0GM06</t>
  </si>
  <si>
    <t>EUGENE</t>
  </si>
  <si>
    <t>LYZUN</t>
  </si>
  <si>
    <t>10/15/2025</t>
  </si>
  <si>
    <t>19481808</t>
  </si>
  <si>
    <t>Steven Werner</t>
  </si>
  <si>
    <t>D56WZZ</t>
  </si>
  <si>
    <t>2CE8PJ1XC43</t>
  </si>
  <si>
    <t>JOSEPHINE</t>
  </si>
  <si>
    <t>MANZELLA</t>
  </si>
  <si>
    <t>12/05/2024</t>
  </si>
  <si>
    <t>DK5Y9F</t>
  </si>
  <si>
    <t>1VR6JK6PH88</t>
  </si>
  <si>
    <t>PETROS</t>
  </si>
  <si>
    <t>MARKOPOULOS</t>
  </si>
  <si>
    <t>11/22/2024</t>
  </si>
  <si>
    <t>DCKKWK</t>
  </si>
  <si>
    <t>3KE9A68CT46</t>
  </si>
  <si>
    <t>DANIEL</t>
  </si>
  <si>
    <t>MARTINEZ</t>
  </si>
  <si>
    <t>10/08/2025</t>
  </si>
  <si>
    <t>DR8EJR</t>
  </si>
  <si>
    <t>4RV9DP2GR28</t>
  </si>
  <si>
    <t>THERESA</t>
  </si>
  <si>
    <t>MCAULEY</t>
  </si>
  <si>
    <t>07/30/2024</t>
  </si>
  <si>
    <t>DAJ3ER</t>
  </si>
  <si>
    <t>2Q67R64QX53</t>
  </si>
  <si>
    <t>BETTY</t>
  </si>
  <si>
    <t>MCKENNIE</t>
  </si>
  <si>
    <t>DCU77J</t>
  </si>
  <si>
    <t>2VR9X64GH30</t>
  </si>
  <si>
    <t>MIELE</t>
  </si>
  <si>
    <t>FL</t>
  </si>
  <si>
    <t>04/23/2025</t>
  </si>
  <si>
    <t>H1290</t>
  </si>
  <si>
    <t>DZZH46</t>
  </si>
  <si>
    <t>9VT5EY0FK81</t>
  </si>
  <si>
    <t>SHERRY</t>
  </si>
  <si>
    <t>MIKOLICS</t>
  </si>
  <si>
    <t>12/04/2025</t>
  </si>
  <si>
    <t>D2UZFA</t>
  </si>
  <si>
    <t>5KH0A34HV31</t>
  </si>
  <si>
    <t>ABELARDO</t>
  </si>
  <si>
    <t>MONARREZ</t>
  </si>
  <si>
    <t>8307933</t>
  </si>
  <si>
    <t>Gregory Teipel</t>
  </si>
  <si>
    <t>DCFRRU</t>
  </si>
  <si>
    <t>1Q88QR9NU32</t>
  </si>
  <si>
    <t>KYLE</t>
  </si>
  <si>
    <t>MOORE</t>
  </si>
  <si>
    <t>OR</t>
  </si>
  <si>
    <t>08/13/2025</t>
  </si>
  <si>
    <t>09/01/2025</t>
  </si>
  <si>
    <t>H2923</t>
  </si>
  <si>
    <t>DC3EKR</t>
  </si>
  <si>
    <t>5Q16JC0NC71</t>
  </si>
  <si>
    <t>DEBRA</t>
  </si>
  <si>
    <t>MURPHY</t>
  </si>
  <si>
    <t>10/15/2024</t>
  </si>
  <si>
    <t>DE9J4K</t>
  </si>
  <si>
    <t>7E23R20PK89</t>
  </si>
  <si>
    <t>LASHUN</t>
  </si>
  <si>
    <t>NELSON</t>
  </si>
  <si>
    <t>D5E4KJ</t>
  </si>
  <si>
    <t>1YP6X40UW57</t>
  </si>
  <si>
    <t>REBECCA</t>
  </si>
  <si>
    <t>NORTON</t>
  </si>
  <si>
    <t>11/12/2025</t>
  </si>
  <si>
    <t>D538HS</t>
  </si>
  <si>
    <t>8FR8K36WG37</t>
  </si>
  <si>
    <t>DF7J4A</t>
  </si>
  <si>
    <t>4VP0UR2YJ07</t>
  </si>
  <si>
    <t>MOLY</t>
  </si>
  <si>
    <t>POMACKAL</t>
  </si>
  <si>
    <t>DRUSCG</t>
  </si>
  <si>
    <t>4TT7K00XM62</t>
  </si>
  <si>
    <t>BARBARA</t>
  </si>
  <si>
    <t>POWELL</t>
  </si>
  <si>
    <t>DEW7CR</t>
  </si>
  <si>
    <t>9GX4VW5TX84</t>
  </si>
  <si>
    <t>PROCHASKA</t>
  </si>
  <si>
    <t>09/25/2024</t>
  </si>
  <si>
    <t>DCJ3W4</t>
  </si>
  <si>
    <t>2VP0YA9HR23</t>
  </si>
  <si>
    <t>QUEST</t>
  </si>
  <si>
    <t>09/15/2025</t>
  </si>
  <si>
    <t>DAR472</t>
  </si>
  <si>
    <t>3FD5KG4EQ63</t>
  </si>
  <si>
    <t>RACS</t>
  </si>
  <si>
    <t>8405446</t>
  </si>
  <si>
    <t>Patsamon Thanadabouth</t>
  </si>
  <si>
    <t>DY48JR</t>
  </si>
  <si>
    <t>9P11KQ9XW07</t>
  </si>
  <si>
    <t>BINH</t>
  </si>
  <si>
    <t>RATSAVONGSY</t>
  </si>
  <si>
    <t>11/22/2023</t>
  </si>
  <si>
    <t>01/01/2024</t>
  </si>
  <si>
    <t>19615078</t>
  </si>
  <si>
    <t>Richard Wuensch</t>
  </si>
  <si>
    <t>D3GA7Z</t>
  </si>
  <si>
    <t>5D61XM7JX93</t>
  </si>
  <si>
    <t>ANN</t>
  </si>
  <si>
    <t>REISEL</t>
  </si>
  <si>
    <t>07/16/2025</t>
  </si>
  <si>
    <t>08/01/2025</t>
  </si>
  <si>
    <t>DZG38J</t>
  </si>
  <si>
    <t>1KU4RJ6NP95</t>
  </si>
  <si>
    <t>GARY</t>
  </si>
  <si>
    <t>RICHTER</t>
  </si>
  <si>
    <t>10/26/2024</t>
  </si>
  <si>
    <t>H8320</t>
  </si>
  <si>
    <t>D8KF97</t>
  </si>
  <si>
    <t>6CE7CK9UJ49</t>
  </si>
  <si>
    <t>BONNIE</t>
  </si>
  <si>
    <t>RIESER</t>
  </si>
  <si>
    <t>11/08/2024</t>
  </si>
  <si>
    <t>DYZU3S</t>
  </si>
  <si>
    <t>6AM4CG0PJ95</t>
  </si>
  <si>
    <t>LIZETTE</t>
  </si>
  <si>
    <t>RIVERA</t>
  </si>
  <si>
    <t>01/30/2026</t>
  </si>
  <si>
    <t>DA25Z9</t>
  </si>
  <si>
    <t>9GT8GY8NX41</t>
  </si>
  <si>
    <t>NADEZHDA</t>
  </si>
  <si>
    <t>ROMANOVA</t>
  </si>
  <si>
    <t>09/26/2024</t>
  </si>
  <si>
    <t>D87SKK</t>
  </si>
  <si>
    <t>9F35HR2YW89</t>
  </si>
  <si>
    <t>CHERYL</t>
  </si>
  <si>
    <t>RUDD</t>
  </si>
  <si>
    <t>10/22/2025</t>
  </si>
  <si>
    <t>DARF7K</t>
  </si>
  <si>
    <t>4U13M55QW97</t>
  </si>
  <si>
    <t>SCOTT</t>
  </si>
  <si>
    <t>16633294</t>
  </si>
  <si>
    <t>Richard Yale</t>
  </si>
  <si>
    <t>DCR8CW</t>
  </si>
  <si>
    <t>8WY1YT8RP20</t>
  </si>
  <si>
    <t>HEIDI</t>
  </si>
  <si>
    <t>RUELOS</t>
  </si>
  <si>
    <t>DC5E74</t>
  </si>
  <si>
    <t>2A30WW0JY21</t>
  </si>
  <si>
    <t>ROGELIO</t>
  </si>
  <si>
    <t>12/30/2024</t>
  </si>
  <si>
    <t>DZ2UHR</t>
  </si>
  <si>
    <t>1QW5MT6VD78</t>
  </si>
  <si>
    <t>CHRISTIAN</t>
  </si>
  <si>
    <t>SABATINO</t>
  </si>
  <si>
    <t>08/01/2026</t>
  </si>
  <si>
    <t>D83KH5</t>
  </si>
  <si>
    <t>2GV4VA9FA74</t>
  </si>
  <si>
    <t>BHARGAV</t>
  </si>
  <si>
    <t>SAVANI</t>
  </si>
  <si>
    <t>DR4826</t>
  </si>
  <si>
    <t>1N24JN4FC72</t>
  </si>
  <si>
    <t>DONALD</t>
  </si>
  <si>
    <t>SCHMIDT</t>
  </si>
  <si>
    <t>01/21/2026</t>
  </si>
  <si>
    <t>D4YY48</t>
  </si>
  <si>
    <t>7G46HG2WT67</t>
  </si>
  <si>
    <t>JILL</t>
  </si>
  <si>
    <t>DS2K8C</t>
  </si>
  <si>
    <t>8K48JD8UX51</t>
  </si>
  <si>
    <t>SCHRADER</t>
  </si>
  <si>
    <t>DJGRC4</t>
  </si>
  <si>
    <t>3EK4WA7CD09</t>
  </si>
  <si>
    <t>KIM</t>
  </si>
  <si>
    <t>SMITH</t>
  </si>
  <si>
    <t>DG6YEF</t>
  </si>
  <si>
    <t>2VY5K24UF62</t>
  </si>
  <si>
    <t>19681796</t>
  </si>
  <si>
    <t>christian taugner</t>
  </si>
  <si>
    <t>D5HG7U</t>
  </si>
  <si>
    <t>3QN7NH6AQ41</t>
  </si>
  <si>
    <t>WENDY</t>
  </si>
  <si>
    <t>SOFYANOS</t>
  </si>
  <si>
    <t>D33HEG</t>
  </si>
  <si>
    <t>4P66QD6KQ87</t>
  </si>
  <si>
    <t>SORENSON</t>
  </si>
  <si>
    <t>10/17/2025</t>
  </si>
  <si>
    <t>D8C779</t>
  </si>
  <si>
    <t>2XN3YK0ET73</t>
  </si>
  <si>
    <t>CHRISTOPHER</t>
  </si>
  <si>
    <t>SPRINGER</t>
  </si>
  <si>
    <t>07/29/2024</t>
  </si>
  <si>
    <t>DJJ9HY</t>
  </si>
  <si>
    <t>3E21NF4PK99</t>
  </si>
  <si>
    <t>MARK</t>
  </si>
  <si>
    <t>STEPHANO</t>
  </si>
  <si>
    <t>16170994</t>
  </si>
  <si>
    <t>Ryan Shepard</t>
  </si>
  <si>
    <t>D9A3G7</t>
  </si>
  <si>
    <t>3DJ0MT5PP07</t>
  </si>
  <si>
    <t>STEWART</t>
  </si>
  <si>
    <t>08/12/2024</t>
  </si>
  <si>
    <t>09/01/2024</t>
  </si>
  <si>
    <t>21283956</t>
  </si>
  <si>
    <t>Victor Fuentes</t>
  </si>
  <si>
    <t>DF5URG</t>
  </si>
  <si>
    <t>2AF4CU5YP83</t>
  </si>
  <si>
    <t>SUMPTER</t>
  </si>
  <si>
    <t>05/14/2026</t>
  </si>
  <si>
    <t>DWR9FJ</t>
  </si>
  <si>
    <t>5G72N04NH11</t>
  </si>
  <si>
    <t>KERRY</t>
  </si>
  <si>
    <t>TONGE</t>
  </si>
  <si>
    <t>11/04/2024</t>
  </si>
  <si>
    <t>D5K25C</t>
  </si>
  <si>
    <t>3KQ0KU3HN31</t>
  </si>
  <si>
    <t>D8S2AK</t>
  </si>
  <si>
    <t>7W79C22KP56</t>
  </si>
  <si>
    <t>GAIL</t>
  </si>
  <si>
    <t>VALADEZ</t>
  </si>
  <si>
    <t>08/30/2025</t>
  </si>
  <si>
    <t>DUW2FG</t>
  </si>
  <si>
    <t>1PD5GW2MJ88</t>
  </si>
  <si>
    <t>EMMA</t>
  </si>
  <si>
    <t>VALE</t>
  </si>
  <si>
    <t>10/24/2025</t>
  </si>
  <si>
    <t>DWWCE9</t>
  </si>
  <si>
    <t>6MF4NW8PG08</t>
  </si>
  <si>
    <t>JAN</t>
  </si>
  <si>
    <t>VAN STRAATEN</t>
  </si>
  <si>
    <t>03/28/2023</t>
  </si>
  <si>
    <t>04/01/2023</t>
  </si>
  <si>
    <t>DS3JW9</t>
  </si>
  <si>
    <t>9MK9VQ4PD38</t>
  </si>
  <si>
    <t>WARD</t>
  </si>
  <si>
    <t>DK8GWE</t>
  </si>
  <si>
    <t>2KP1KN1NH96</t>
  </si>
  <si>
    <t>WATERS</t>
  </si>
  <si>
    <t>10/24/2024</t>
  </si>
  <si>
    <t>D6HHKW</t>
  </si>
  <si>
    <t>9N34AD7JE95</t>
  </si>
  <si>
    <t>WEIS</t>
  </si>
  <si>
    <t>12/03/2024</t>
  </si>
  <si>
    <t>D3YF2S</t>
  </si>
  <si>
    <t>6QV4H12CE70</t>
  </si>
  <si>
    <t>PAMM</t>
  </si>
  <si>
    <t>WILCOX</t>
  </si>
  <si>
    <t>DRUW3J</t>
  </si>
  <si>
    <t>2XA3AJ0YA99</t>
  </si>
  <si>
    <t>NICOLASA</t>
  </si>
  <si>
    <t>WILSON</t>
  </si>
  <si>
    <t>D48HWR</t>
  </si>
  <si>
    <t>3JC7CG5PH75</t>
  </si>
  <si>
    <t>HAROLD</t>
  </si>
  <si>
    <t>WIRTZ</t>
  </si>
  <si>
    <t>D86URU</t>
  </si>
  <si>
    <t>4DW3VG5DE09</t>
  </si>
  <si>
    <t>ROGER</t>
  </si>
  <si>
    <t>YOUNG</t>
  </si>
  <si>
    <t>11/21/2025</t>
  </si>
  <si>
    <t>DR59AA</t>
  </si>
  <si>
    <t>2RC2FP7NK80</t>
  </si>
  <si>
    <t>YUQUILIMA</t>
  </si>
  <si>
    <t>02/11/2025</t>
  </si>
  <si>
    <t>Rep Name</t>
  </si>
  <si>
    <t>Rep ID</t>
  </si>
  <si>
    <t>Amount</t>
  </si>
  <si>
    <t>Note</t>
  </si>
  <si>
    <t>Steven Brandt</t>
  </si>
  <si>
    <t>HRA for member Farag Elgeroushi DW6HEW (OH)</t>
  </si>
  <si>
    <t>Brian Strohman</t>
  </si>
  <si>
    <t>HRA for member Angela Godfrey DR9U89 (OH)</t>
  </si>
  <si>
    <t>HRA for member LUPE GOMEZ DCHCZ8 (AZ)</t>
  </si>
  <si>
    <t>HRA for member Pamela Griffey DF38E4 (IL)</t>
  </si>
  <si>
    <t>HRA for member Syed Hussaini D4JAW9 (IL)</t>
  </si>
  <si>
    <t>HRA for member Zareefunnisa Hussaini DZK3G7 (IL)</t>
  </si>
  <si>
    <t>HRA for member Randolph LYNCH JR DCU6JR (IL)</t>
  </si>
  <si>
    <t>Tom Serio</t>
  </si>
  <si>
    <t>HRA for member Louise May D8RRJ6 (IL)</t>
  </si>
  <si>
    <t>Dale Walenga</t>
  </si>
  <si>
    <t>HRA for member Nick Miroballi D99E5R (IL)</t>
  </si>
  <si>
    <t>Dennis Holyn</t>
  </si>
  <si>
    <t>HRA for member Nancy Monfiston DF2UKS (IL)</t>
  </si>
  <si>
    <t>HRA for member Scott Wallace DE5AJY (IL)</t>
  </si>
  <si>
    <t>HRA for member CONNIE WILLIAMS DFJEZZ (GA)</t>
  </si>
  <si>
    <t>Devoted Health MAPD 2026*</t>
  </si>
  <si>
    <t>[%/$=347][prorate=11/12]</t>
  </si>
  <si>
    <t>Devoted MAPD Ovr</t>
  </si>
  <si>
    <t>[%/$=347][prorate=1/12]</t>
  </si>
  <si>
    <t>[%/$=347][prorate=7/12]</t>
  </si>
  <si>
    <t>Devoted Health 2026 CT, PA, DC *</t>
  </si>
  <si>
    <t>[%/$=391][prorate=5/12]</t>
  </si>
  <si>
    <t>[%/$=391][prorate=7/12]</t>
  </si>
  <si>
    <t>Devoted Health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</si>
</sst>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8" formatCode="&quot;$&quot;#,##0.00_);[Red]\(&quot;$&quot;#,##0.00\)"/>
  </numFmts>
  <fonts count="1" x14ac:knownFonts="1">
    <font>
      <sz val="11"/>
      <name val="Calibri"/>
      <family val="2"/>
    </font>
  </fonts>
  <fills count="3">
    <fill>
      <patternFill patternType="none"/>
    </fill>
    <fill>
      <patternFill patternType="gray125"/>
    </fill>
    <fill>
      <patternFill patternType="solid">
        <fgColor rgb="FFFFC000"/>
        <bgColor indexed="64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6">
    <xf numFmtId="0" fontId="0" fillId="0" borderId="0" xfId="0"/>
    <xf numFmtId="0" fontId="0" fillId="2" borderId="0" xfId="0" applyFill="1"/>
    <xf numFmtId="14" fontId="0" fillId="2" borderId="0" xfId="0" applyNumberFormat="1" applyFill="1"/>
    <xf numFmtId="14" fontId="0" fillId="0" borderId="0" xfId="0" applyNumberFormat="1"/>
    <xf numFmtId="0" fontId="0" fillId="0" borderId="0" xfId="0" applyNumberFormat="1"/>
    <xf numFmtId="8" fontId="0" fillId="0" borderId="0" xfId="0" applyNumberFormat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calcChain" Target="calcChain.xml"/><Relationship Id="rId3" Type="http://schemas.openxmlformats.org/officeDocument/2006/relationships/worksheet" Target="worksheets/sheet3.xml"/><Relationship Id="rId7" Type="http://schemas.openxmlformats.org/officeDocument/2006/relationships/sharedStrings" Target="sharedStrings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tyles" Target="styles.xml"/><Relationship Id="rId5" Type="http://schemas.openxmlformats.org/officeDocument/2006/relationships/theme" Target="theme/theme1.xml"/><Relationship Id="rId4" Type="http://schemas.openxmlformats.org/officeDocument/2006/relationships/worksheet" Target="worksheets/sheet4.xml"/></Relationships>
</file>

<file path=xl/theme/theme1.xml><?xml version="1.0" encoding="utf-8"?>
<a:theme xmlns:a="http://schemas.openxmlformats.org/drawingml/2006/main" name="Office-Design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F8"/>
  <sheetViews>
    <sheetView zoomScaleNormal="100" workbookViewId="0"/>
  </sheetViews>
  <sheetFormatPr defaultRowHeight="15" x14ac:dyDescent="0.25"/>
  <cols>
    <col min="1" max="1" width="25" customWidth="1"/>
    <col min="2" max="2" width="20" customWidth="1"/>
    <col min="3" max="3" width="15" customWidth="1"/>
    <col min="4" max="4" width="9.42578125"/>
    <col min="5" max="5" width="25" customWidth="1"/>
    <col min="6" max="6" width="20" customWidth="1"/>
  </cols>
  <sheetData>
    <row r="1" spans="1:6" x14ac:dyDescent="0.25">
      <c r="A1" t="s">
        <v>0</v>
      </c>
      <c r="B1" t="s">
        <v>1</v>
      </c>
      <c r="C1" t="s">
        <v>2</v>
      </c>
      <c r="E1" t="s">
        <v>3</v>
      </c>
      <c r="F1" t="s">
        <v>4</v>
      </c>
    </row>
    <row r="2" spans="1:6" x14ac:dyDescent="0.25">
      <c r="A2" t="s">
        <v>5</v>
      </c>
      <c r="B2">
        <v>114</v>
      </c>
      <c r="C2" t="s">
        <v>6</v>
      </c>
      <c r="E2" t="s">
        <v>7</v>
      </c>
      <c r="F2" t="s">
        <v>8</v>
      </c>
    </row>
    <row r="3" spans="1:6" x14ac:dyDescent="0.25">
      <c r="A3" t="s">
        <v>9</v>
      </c>
      <c r="B3">
        <v>1</v>
      </c>
      <c r="C3" t="s">
        <v>10</v>
      </c>
    </row>
    <row r="4" spans="1:6" x14ac:dyDescent="0.25">
      <c r="A4" t="s">
        <v>11</v>
      </c>
      <c r="B4">
        <v>12</v>
      </c>
      <c r="C4" t="s">
        <v>12</v>
      </c>
    </row>
    <row r="5" spans="1:6" x14ac:dyDescent="0.25">
      <c r="A5" t="s">
        <v>13</v>
      </c>
      <c r="C5" t="s">
        <v>14</v>
      </c>
    </row>
    <row r="6" spans="1:6" x14ac:dyDescent="0.25">
      <c r="A6" t="s">
        <v>15</v>
      </c>
      <c r="B6">
        <v>127</v>
      </c>
      <c r="C6" t="s">
        <v>16</v>
      </c>
    </row>
    <row r="7" spans="1:6" x14ac:dyDescent="0.25">
      <c r="A7" t="s">
        <v>17</v>
      </c>
      <c r="C7" t="s">
        <v>14</v>
      </c>
    </row>
    <row r="8" spans="1:6" x14ac:dyDescent="0.25">
      <c r="A8" t="s">
        <v>18</v>
      </c>
      <c r="C8" t="s">
        <v>16</v>
      </c>
    </row>
  </sheetData>
  <pageMargins left="0.78749999999999998" right="0.78749999999999998" top="1.05277777777778" bottom="1.05277777777778" header="0.78749999999999998" footer="0.78749999999999998"/>
  <pageSetup paperSize="0" scale="0" orientation="portrait" usePrinterDefaults="0" useFirstPageNumber="1" horizontalDpi="0" verticalDpi="0" copies="0"/>
  <headerFooter>
    <oddHeader>&amp;C&amp;"Times New Roman,Regular"&amp;12&amp;A</oddHeader>
    <oddFooter>&amp;C&amp;"Times New Roman,Regular"&amp;12Page &amp;P</oddFooter>
  </headerFooter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dimension ref="A1:V346"/>
  <sheetViews>
    <sheetView topLeftCell="D1" zoomScaleNormal="100" workbookViewId="0">
      <selection activeCell="T12" sqref="T12"/>
    </sheetView>
  </sheetViews>
  <sheetFormatPr defaultRowHeight="15" x14ac:dyDescent="0.25"/>
  <cols>
    <col min="1" max="1" width="15" customWidth="1"/>
    <col min="2" max="2" width="10" customWidth="1"/>
    <col min="3" max="3" width="25" customWidth="1"/>
    <col min="4" max="4" width="15" customWidth="1"/>
    <col min="5" max="6" width="9.42578125"/>
    <col min="7" max="7" width="12.7109375" customWidth="1"/>
    <col min="8" max="8" width="13.7109375" customWidth="1"/>
    <col min="9" max="9" width="14.140625" customWidth="1"/>
    <col min="10" max="11" width="13.42578125" customWidth="1"/>
    <col min="12" max="12" width="8.7109375" customWidth="1"/>
    <col min="13" max="13" width="4.28515625" customWidth="1"/>
    <col min="14" max="14" width="14.28515625" customWidth="1"/>
    <col min="15" max="15" width="14.7109375" customWidth="1"/>
    <col min="16" max="16" width="16.7109375" customWidth="1"/>
    <col min="17" max="17" width="6.7109375" customWidth="1"/>
    <col min="18" max="18" width="12.85546875" customWidth="1"/>
    <col min="19" max="19" width="14.5703125" customWidth="1"/>
    <col min="20" max="20" width="14" customWidth="1"/>
    <col min="21" max="21" width="25.7109375" customWidth="1"/>
    <col min="22" max="22" width="18" customWidth="1"/>
  </cols>
  <sheetData>
    <row r="1" spans="1:22" x14ac:dyDescent="0.25">
      <c r="A1" t="s">
        <v>19</v>
      </c>
      <c r="B1" t="s">
        <v>20</v>
      </c>
      <c r="C1" t="s">
        <v>21</v>
      </c>
      <c r="D1" t="s">
        <v>22</v>
      </c>
      <c r="E1" t="s">
        <v>23</v>
      </c>
      <c r="F1" t="s">
        <v>24</v>
      </c>
      <c r="G1" t="s">
        <v>25</v>
      </c>
      <c r="H1" t="s">
        <v>26</v>
      </c>
      <c r="I1" t="s">
        <v>27</v>
      </c>
      <c r="J1" t="s">
        <v>28</v>
      </c>
      <c r="K1" t="s">
        <v>29</v>
      </c>
      <c r="L1" t="s">
        <v>30</v>
      </c>
      <c r="M1" t="s">
        <v>31</v>
      </c>
      <c r="N1" t="s">
        <v>32</v>
      </c>
      <c r="O1" t="s">
        <v>33</v>
      </c>
      <c r="P1" t="s">
        <v>34</v>
      </c>
      <c r="Q1" t="s">
        <v>35</v>
      </c>
      <c r="R1" t="s">
        <v>36</v>
      </c>
      <c r="S1" t="s">
        <v>37</v>
      </c>
      <c r="T1" t="s">
        <v>38</v>
      </c>
      <c r="U1" t="s">
        <v>39</v>
      </c>
      <c r="V1" t="s">
        <v>40</v>
      </c>
    </row>
    <row r="2" spans="1:22" x14ac:dyDescent="0.25">
      <c r="A2" t="s">
        <v>8</v>
      </c>
      <c r="B2" t="s">
        <v>41</v>
      </c>
      <c r="C2" t="s">
        <v>42</v>
      </c>
      <c r="D2" t="s">
        <v>43</v>
      </c>
      <c r="E2" t="s">
        <v>44</v>
      </c>
      <c r="F2" t="s">
        <v>45</v>
      </c>
      <c r="G2" t="s">
        <v>46</v>
      </c>
      <c r="H2" t="s">
        <v>47</v>
      </c>
      <c r="I2" t="s">
        <v>48</v>
      </c>
      <c r="J2" t="s">
        <v>49</v>
      </c>
      <c r="K2" t="s">
        <v>50</v>
      </c>
      <c r="L2" t="s">
        <v>51</v>
      </c>
      <c r="M2">
        <v>10</v>
      </c>
      <c r="N2" t="s">
        <v>52</v>
      </c>
      <c r="O2">
        <v>18</v>
      </c>
      <c r="P2" t="s">
        <v>53</v>
      </c>
      <c r="Q2" t="s">
        <v>54</v>
      </c>
      <c r="R2">
        <v>0</v>
      </c>
      <c r="S2">
        <v>-83.34</v>
      </c>
      <c r="T2">
        <v>-83.34</v>
      </c>
      <c r="U2" t="s">
        <v>7</v>
      </c>
    </row>
    <row r="3" spans="1:22" x14ac:dyDescent="0.25">
      <c r="A3" t="s">
        <v>8</v>
      </c>
      <c r="B3" t="s">
        <v>41</v>
      </c>
      <c r="C3" t="s">
        <v>42</v>
      </c>
      <c r="D3" t="s">
        <v>43</v>
      </c>
      <c r="E3" t="s">
        <v>44</v>
      </c>
      <c r="F3" t="s">
        <v>45</v>
      </c>
      <c r="G3" t="s">
        <v>46</v>
      </c>
      <c r="H3" t="s">
        <v>47</v>
      </c>
      <c r="I3" t="s">
        <v>48</v>
      </c>
      <c r="J3" t="s">
        <v>49</v>
      </c>
      <c r="K3" t="s">
        <v>50</v>
      </c>
      <c r="L3" t="s">
        <v>51</v>
      </c>
      <c r="M3">
        <v>10</v>
      </c>
      <c r="N3" t="s">
        <v>52</v>
      </c>
      <c r="O3">
        <v>18</v>
      </c>
      <c r="P3" t="s">
        <v>53</v>
      </c>
      <c r="Q3" t="s">
        <v>54</v>
      </c>
      <c r="R3">
        <v>0</v>
      </c>
      <c r="S3">
        <v>-50</v>
      </c>
      <c r="T3">
        <v>-50</v>
      </c>
      <c r="U3" t="s">
        <v>7</v>
      </c>
    </row>
    <row r="4" spans="1:22" x14ac:dyDescent="0.25">
      <c r="A4" t="s">
        <v>8</v>
      </c>
      <c r="B4" t="s">
        <v>41</v>
      </c>
      <c r="C4" t="s">
        <v>42</v>
      </c>
      <c r="D4" t="s">
        <v>43</v>
      </c>
      <c r="E4" t="s">
        <v>44</v>
      </c>
      <c r="F4" t="s">
        <v>45</v>
      </c>
      <c r="G4" t="s">
        <v>46</v>
      </c>
      <c r="H4" t="s">
        <v>47</v>
      </c>
      <c r="I4" t="s">
        <v>48</v>
      </c>
      <c r="J4" t="s">
        <v>49</v>
      </c>
      <c r="K4" t="s">
        <v>50</v>
      </c>
      <c r="L4" t="s">
        <v>51</v>
      </c>
      <c r="M4">
        <v>10</v>
      </c>
      <c r="N4" t="s">
        <v>52</v>
      </c>
      <c r="O4">
        <v>18</v>
      </c>
      <c r="P4" t="s">
        <v>53</v>
      </c>
      <c r="Q4" t="s">
        <v>54</v>
      </c>
      <c r="R4">
        <v>-202.42</v>
      </c>
      <c r="S4">
        <v>0</v>
      </c>
      <c r="T4">
        <v>-202.42</v>
      </c>
      <c r="U4" t="s">
        <v>7</v>
      </c>
    </row>
    <row r="5" spans="1:22" x14ac:dyDescent="0.25">
      <c r="A5" t="s">
        <v>8</v>
      </c>
      <c r="B5" t="s">
        <v>55</v>
      </c>
      <c r="C5" t="s">
        <v>56</v>
      </c>
      <c r="D5" t="s">
        <v>57</v>
      </c>
      <c r="E5" t="s">
        <v>58</v>
      </c>
      <c r="F5" t="s">
        <v>59</v>
      </c>
      <c r="G5" t="s">
        <v>60</v>
      </c>
      <c r="H5" t="s">
        <v>47</v>
      </c>
      <c r="I5" t="s">
        <v>61</v>
      </c>
      <c r="J5" t="s">
        <v>62</v>
      </c>
      <c r="L5" t="s">
        <v>63</v>
      </c>
      <c r="M5">
        <v>1</v>
      </c>
      <c r="N5" t="s">
        <v>52</v>
      </c>
      <c r="O5">
        <v>7</v>
      </c>
      <c r="P5" t="s">
        <v>64</v>
      </c>
      <c r="Q5" t="s">
        <v>65</v>
      </c>
      <c r="R5">
        <v>0</v>
      </c>
      <c r="S5">
        <v>8.75</v>
      </c>
      <c r="T5">
        <v>8.75</v>
      </c>
      <c r="U5" t="s">
        <v>7</v>
      </c>
    </row>
    <row r="6" spans="1:22" x14ac:dyDescent="0.25">
      <c r="A6" t="s">
        <v>8</v>
      </c>
      <c r="B6" t="s">
        <v>55</v>
      </c>
      <c r="C6" t="s">
        <v>56</v>
      </c>
      <c r="D6" t="s">
        <v>57</v>
      </c>
      <c r="E6" t="s">
        <v>58</v>
      </c>
      <c r="F6" t="s">
        <v>59</v>
      </c>
      <c r="G6" t="s">
        <v>60</v>
      </c>
      <c r="H6" t="s">
        <v>47</v>
      </c>
      <c r="I6" t="s">
        <v>61</v>
      </c>
      <c r="J6" t="s">
        <v>62</v>
      </c>
      <c r="L6" t="s">
        <v>63</v>
      </c>
      <c r="M6">
        <v>1</v>
      </c>
      <c r="N6" t="s">
        <v>52</v>
      </c>
      <c r="O6">
        <v>7</v>
      </c>
      <c r="P6" t="s">
        <v>64</v>
      </c>
      <c r="Q6" t="s">
        <v>65</v>
      </c>
      <c r="R6">
        <v>28.91</v>
      </c>
      <c r="S6">
        <v>0</v>
      </c>
      <c r="T6">
        <v>28.91</v>
      </c>
      <c r="U6" t="s">
        <v>7</v>
      </c>
    </row>
    <row r="7" spans="1:22" x14ac:dyDescent="0.25">
      <c r="A7" t="s">
        <v>8</v>
      </c>
      <c r="B7" t="s">
        <v>55</v>
      </c>
      <c r="C7" t="s">
        <v>56</v>
      </c>
      <c r="D7" t="s">
        <v>57</v>
      </c>
      <c r="E7" t="s">
        <v>58</v>
      </c>
      <c r="F7" t="s">
        <v>59</v>
      </c>
      <c r="G7" t="s">
        <v>60</v>
      </c>
      <c r="H7" t="s">
        <v>47</v>
      </c>
      <c r="I7" t="s">
        <v>61</v>
      </c>
      <c r="J7" t="s">
        <v>62</v>
      </c>
      <c r="L7" t="s">
        <v>63</v>
      </c>
      <c r="M7">
        <v>1</v>
      </c>
      <c r="N7" t="s">
        <v>52</v>
      </c>
      <c r="O7">
        <v>7</v>
      </c>
      <c r="P7" t="s">
        <v>64</v>
      </c>
      <c r="Q7" t="s">
        <v>65</v>
      </c>
      <c r="R7">
        <v>0</v>
      </c>
      <c r="S7">
        <v>5.25</v>
      </c>
      <c r="T7">
        <v>5.25</v>
      </c>
      <c r="U7" t="s">
        <v>7</v>
      </c>
    </row>
    <row r="8" spans="1:22" x14ac:dyDescent="0.25">
      <c r="A8" t="s">
        <v>8</v>
      </c>
      <c r="B8" t="s">
        <v>66</v>
      </c>
      <c r="C8" t="s">
        <v>67</v>
      </c>
      <c r="D8" t="s">
        <v>68</v>
      </c>
      <c r="E8" t="s">
        <v>69</v>
      </c>
      <c r="F8" t="s">
        <v>70</v>
      </c>
      <c r="G8" t="s">
        <v>71</v>
      </c>
      <c r="H8" t="s">
        <v>72</v>
      </c>
      <c r="I8" t="s">
        <v>73</v>
      </c>
      <c r="J8" t="s">
        <v>74</v>
      </c>
      <c r="L8" t="s">
        <v>75</v>
      </c>
      <c r="M8">
        <v>3</v>
      </c>
      <c r="N8" t="s">
        <v>52</v>
      </c>
      <c r="O8">
        <v>12</v>
      </c>
      <c r="P8" t="s">
        <v>64</v>
      </c>
      <c r="Q8" t="s">
        <v>65</v>
      </c>
      <c r="R8">
        <v>0</v>
      </c>
      <c r="S8">
        <v>5.25</v>
      </c>
      <c r="T8">
        <v>5.25</v>
      </c>
      <c r="U8" t="s">
        <v>7</v>
      </c>
    </row>
    <row r="9" spans="1:22" x14ac:dyDescent="0.25">
      <c r="A9" t="s">
        <v>8</v>
      </c>
      <c r="B9" t="s">
        <v>66</v>
      </c>
      <c r="C9" t="s">
        <v>67</v>
      </c>
      <c r="D9" t="s">
        <v>68</v>
      </c>
      <c r="E9" t="s">
        <v>69</v>
      </c>
      <c r="F9" t="s">
        <v>70</v>
      </c>
      <c r="G9" t="s">
        <v>71</v>
      </c>
      <c r="H9" t="s">
        <v>72</v>
      </c>
      <c r="I9" t="s">
        <v>73</v>
      </c>
      <c r="J9" t="s">
        <v>74</v>
      </c>
      <c r="L9" t="s">
        <v>75</v>
      </c>
      <c r="M9">
        <v>3</v>
      </c>
      <c r="N9" t="s">
        <v>52</v>
      </c>
      <c r="O9">
        <v>12</v>
      </c>
      <c r="P9" t="s">
        <v>64</v>
      </c>
      <c r="Q9" t="s">
        <v>65</v>
      </c>
      <c r="R9">
        <v>0</v>
      </c>
      <c r="S9">
        <v>8.75</v>
      </c>
      <c r="T9">
        <v>8.75</v>
      </c>
      <c r="U9" t="s">
        <v>7</v>
      </c>
    </row>
    <row r="10" spans="1:22" x14ac:dyDescent="0.25">
      <c r="A10" t="s">
        <v>8</v>
      </c>
      <c r="B10" t="s">
        <v>66</v>
      </c>
      <c r="C10" t="s">
        <v>67</v>
      </c>
      <c r="D10" t="s">
        <v>68</v>
      </c>
      <c r="E10" t="s">
        <v>69</v>
      </c>
      <c r="F10" t="s">
        <v>70</v>
      </c>
      <c r="G10" t="s">
        <v>71</v>
      </c>
      <c r="H10" t="s">
        <v>72</v>
      </c>
      <c r="I10" t="s">
        <v>73</v>
      </c>
      <c r="J10" t="s">
        <v>74</v>
      </c>
      <c r="L10" t="s">
        <v>75</v>
      </c>
      <c r="M10">
        <v>3</v>
      </c>
      <c r="N10" t="s">
        <v>52</v>
      </c>
      <c r="O10">
        <v>12</v>
      </c>
      <c r="P10" t="s">
        <v>64</v>
      </c>
      <c r="Q10" t="s">
        <v>65</v>
      </c>
      <c r="R10">
        <v>28.91</v>
      </c>
      <c r="S10">
        <v>0</v>
      </c>
      <c r="T10">
        <v>28.91</v>
      </c>
      <c r="U10" t="s">
        <v>7</v>
      </c>
    </row>
    <row r="11" spans="1:22" x14ac:dyDescent="0.25">
      <c r="A11" t="s">
        <v>8</v>
      </c>
      <c r="B11" t="s">
        <v>76</v>
      </c>
      <c r="C11" t="s">
        <v>77</v>
      </c>
      <c r="D11" t="s">
        <v>78</v>
      </c>
      <c r="E11" t="s">
        <v>79</v>
      </c>
      <c r="F11" t="s">
        <v>80</v>
      </c>
      <c r="G11" t="s">
        <v>71</v>
      </c>
      <c r="H11" t="s">
        <v>81</v>
      </c>
      <c r="I11" t="s">
        <v>82</v>
      </c>
      <c r="J11" t="s">
        <v>83</v>
      </c>
      <c r="L11" t="s">
        <v>84</v>
      </c>
      <c r="M11">
        <v>1</v>
      </c>
      <c r="N11" t="s">
        <v>85</v>
      </c>
      <c r="O11">
        <v>2</v>
      </c>
      <c r="P11" t="s">
        <v>64</v>
      </c>
      <c r="Q11" t="s">
        <v>65</v>
      </c>
      <c r="R11">
        <v>0</v>
      </c>
      <c r="S11">
        <v>8.75</v>
      </c>
      <c r="T11">
        <v>8.75</v>
      </c>
      <c r="U11" t="s">
        <v>7</v>
      </c>
    </row>
    <row r="12" spans="1:22" x14ac:dyDescent="0.25">
      <c r="A12" t="s">
        <v>8</v>
      </c>
      <c r="B12" t="s">
        <v>76</v>
      </c>
      <c r="C12" t="s">
        <v>77</v>
      </c>
      <c r="D12" t="s">
        <v>78</v>
      </c>
      <c r="E12" t="s">
        <v>79</v>
      </c>
      <c r="F12" t="s">
        <v>80</v>
      </c>
      <c r="G12" t="s">
        <v>71</v>
      </c>
      <c r="H12" t="s">
        <v>81</v>
      </c>
      <c r="I12" t="s">
        <v>82</v>
      </c>
      <c r="J12" t="s">
        <v>83</v>
      </c>
      <c r="L12" t="s">
        <v>84</v>
      </c>
      <c r="M12">
        <v>1</v>
      </c>
      <c r="N12" t="s">
        <v>85</v>
      </c>
      <c r="O12">
        <v>2</v>
      </c>
      <c r="P12" t="s">
        <v>64</v>
      </c>
      <c r="Q12" t="s">
        <v>65</v>
      </c>
      <c r="R12">
        <v>28.91</v>
      </c>
      <c r="S12">
        <v>0</v>
      </c>
      <c r="T12">
        <v>28.91</v>
      </c>
      <c r="U12" t="s">
        <v>7</v>
      </c>
    </row>
    <row r="13" spans="1:22" x14ac:dyDescent="0.25">
      <c r="A13" t="s">
        <v>8</v>
      </c>
      <c r="B13" t="s">
        <v>76</v>
      </c>
      <c r="C13" t="s">
        <v>77</v>
      </c>
      <c r="D13" t="s">
        <v>78</v>
      </c>
      <c r="E13" t="s">
        <v>79</v>
      </c>
      <c r="F13" t="s">
        <v>80</v>
      </c>
      <c r="G13" t="s">
        <v>71</v>
      </c>
      <c r="H13" t="s">
        <v>81</v>
      </c>
      <c r="I13" t="s">
        <v>82</v>
      </c>
      <c r="J13" t="s">
        <v>83</v>
      </c>
      <c r="L13" t="s">
        <v>84</v>
      </c>
      <c r="M13">
        <v>1</v>
      </c>
      <c r="N13" t="s">
        <v>85</v>
      </c>
      <c r="O13">
        <v>2</v>
      </c>
      <c r="P13" t="s">
        <v>64</v>
      </c>
      <c r="Q13" t="s">
        <v>65</v>
      </c>
      <c r="R13">
        <v>0</v>
      </c>
      <c r="S13">
        <v>3.75</v>
      </c>
      <c r="T13">
        <v>3.75</v>
      </c>
      <c r="U13" t="s">
        <v>7</v>
      </c>
    </row>
    <row r="14" spans="1:22" x14ac:dyDescent="0.25">
      <c r="A14" t="s">
        <v>8</v>
      </c>
      <c r="B14" t="s">
        <v>86</v>
      </c>
      <c r="C14" t="s">
        <v>87</v>
      </c>
      <c r="D14" t="s">
        <v>88</v>
      </c>
      <c r="E14" t="s">
        <v>89</v>
      </c>
      <c r="F14" t="s">
        <v>90</v>
      </c>
      <c r="G14" t="s">
        <v>91</v>
      </c>
      <c r="H14" t="s">
        <v>47</v>
      </c>
      <c r="I14" t="s">
        <v>92</v>
      </c>
      <c r="J14" t="s">
        <v>74</v>
      </c>
      <c r="L14" t="s">
        <v>63</v>
      </c>
      <c r="M14">
        <v>1</v>
      </c>
      <c r="N14" t="s">
        <v>52</v>
      </c>
      <c r="O14">
        <v>4</v>
      </c>
      <c r="P14" t="s">
        <v>64</v>
      </c>
      <c r="Q14" t="s">
        <v>65</v>
      </c>
      <c r="R14">
        <v>0</v>
      </c>
      <c r="S14">
        <v>5.25</v>
      </c>
      <c r="T14">
        <v>5.25</v>
      </c>
      <c r="U14" t="s">
        <v>7</v>
      </c>
    </row>
    <row r="15" spans="1:22" x14ac:dyDescent="0.25">
      <c r="A15" t="s">
        <v>8</v>
      </c>
      <c r="B15" t="s">
        <v>86</v>
      </c>
      <c r="C15" t="s">
        <v>87</v>
      </c>
      <c r="D15" t="s">
        <v>88</v>
      </c>
      <c r="E15" t="s">
        <v>89</v>
      </c>
      <c r="F15" t="s">
        <v>90</v>
      </c>
      <c r="G15" t="s">
        <v>91</v>
      </c>
      <c r="H15" t="s">
        <v>47</v>
      </c>
      <c r="I15" t="s">
        <v>92</v>
      </c>
      <c r="J15" t="s">
        <v>74</v>
      </c>
      <c r="L15" t="s">
        <v>63</v>
      </c>
      <c r="M15">
        <v>1</v>
      </c>
      <c r="N15" t="s">
        <v>52</v>
      </c>
      <c r="O15">
        <v>4</v>
      </c>
      <c r="P15" t="s">
        <v>64</v>
      </c>
      <c r="Q15" t="s">
        <v>65</v>
      </c>
      <c r="R15">
        <v>0</v>
      </c>
      <c r="S15">
        <v>8.75</v>
      </c>
      <c r="T15">
        <v>8.75</v>
      </c>
      <c r="U15" t="s">
        <v>7</v>
      </c>
    </row>
    <row r="16" spans="1:22" x14ac:dyDescent="0.25">
      <c r="A16" t="s">
        <v>8</v>
      </c>
      <c r="B16" t="s">
        <v>86</v>
      </c>
      <c r="C16" t="s">
        <v>87</v>
      </c>
      <c r="D16" t="s">
        <v>88</v>
      </c>
      <c r="E16" t="s">
        <v>89</v>
      </c>
      <c r="F16" t="s">
        <v>90</v>
      </c>
      <c r="G16" t="s">
        <v>91</v>
      </c>
      <c r="H16" t="s">
        <v>47</v>
      </c>
      <c r="I16" t="s">
        <v>92</v>
      </c>
      <c r="J16" t="s">
        <v>74</v>
      </c>
      <c r="L16" t="s">
        <v>63</v>
      </c>
      <c r="M16">
        <v>1</v>
      </c>
      <c r="N16" t="s">
        <v>52</v>
      </c>
      <c r="O16">
        <v>4</v>
      </c>
      <c r="P16" t="s">
        <v>64</v>
      </c>
      <c r="Q16" t="s">
        <v>65</v>
      </c>
      <c r="R16">
        <v>28.91</v>
      </c>
      <c r="S16">
        <v>0</v>
      </c>
      <c r="T16">
        <v>28.91</v>
      </c>
      <c r="U16" t="s">
        <v>7</v>
      </c>
    </row>
    <row r="17" spans="1:21" x14ac:dyDescent="0.25">
      <c r="A17" t="s">
        <v>8</v>
      </c>
      <c r="B17" t="s">
        <v>93</v>
      </c>
      <c r="C17" t="s">
        <v>94</v>
      </c>
      <c r="D17" t="s">
        <v>95</v>
      </c>
      <c r="E17" t="s">
        <v>96</v>
      </c>
      <c r="F17" t="s">
        <v>97</v>
      </c>
      <c r="G17" t="s">
        <v>98</v>
      </c>
      <c r="H17" t="s">
        <v>47</v>
      </c>
      <c r="I17" t="s">
        <v>99</v>
      </c>
      <c r="J17" t="s">
        <v>74</v>
      </c>
      <c r="L17" t="s">
        <v>51</v>
      </c>
      <c r="M17">
        <v>1</v>
      </c>
      <c r="N17" t="s">
        <v>100</v>
      </c>
      <c r="O17">
        <v>2</v>
      </c>
      <c r="P17" t="s">
        <v>64</v>
      </c>
      <c r="Q17" t="s">
        <v>65</v>
      </c>
      <c r="R17">
        <v>0</v>
      </c>
      <c r="S17">
        <v>5.25</v>
      </c>
      <c r="T17">
        <v>5.25</v>
      </c>
      <c r="U17" t="s">
        <v>7</v>
      </c>
    </row>
    <row r="18" spans="1:21" x14ac:dyDescent="0.25">
      <c r="A18" t="s">
        <v>8</v>
      </c>
      <c r="B18" t="s">
        <v>93</v>
      </c>
      <c r="C18" t="s">
        <v>94</v>
      </c>
      <c r="D18" t="s">
        <v>95</v>
      </c>
      <c r="E18" t="s">
        <v>96</v>
      </c>
      <c r="F18" t="s">
        <v>97</v>
      </c>
      <c r="G18" t="s">
        <v>98</v>
      </c>
      <c r="H18" t="s">
        <v>47</v>
      </c>
      <c r="I18" t="s">
        <v>99</v>
      </c>
      <c r="J18" t="s">
        <v>74</v>
      </c>
      <c r="L18" t="s">
        <v>51</v>
      </c>
      <c r="M18">
        <v>1</v>
      </c>
      <c r="N18" t="s">
        <v>100</v>
      </c>
      <c r="O18">
        <v>2</v>
      </c>
      <c r="P18" t="s">
        <v>64</v>
      </c>
      <c r="Q18" t="s">
        <v>65</v>
      </c>
      <c r="R18">
        <v>0</v>
      </c>
      <c r="S18">
        <v>8.75</v>
      </c>
      <c r="T18">
        <v>8.75</v>
      </c>
      <c r="U18" t="s">
        <v>7</v>
      </c>
    </row>
    <row r="19" spans="1:21" x14ac:dyDescent="0.25">
      <c r="A19" t="s">
        <v>8</v>
      </c>
      <c r="B19" t="s">
        <v>93</v>
      </c>
      <c r="C19" t="s">
        <v>94</v>
      </c>
      <c r="D19" t="s">
        <v>95</v>
      </c>
      <c r="E19" t="s">
        <v>96</v>
      </c>
      <c r="F19" t="s">
        <v>97</v>
      </c>
      <c r="G19" t="s">
        <v>98</v>
      </c>
      <c r="H19" t="s">
        <v>47</v>
      </c>
      <c r="I19" t="s">
        <v>99</v>
      </c>
      <c r="J19" t="s">
        <v>74</v>
      </c>
      <c r="L19" t="s">
        <v>51</v>
      </c>
      <c r="M19">
        <v>1</v>
      </c>
      <c r="N19" t="s">
        <v>100</v>
      </c>
      <c r="O19">
        <v>2</v>
      </c>
      <c r="P19" t="s">
        <v>64</v>
      </c>
      <c r="Q19" t="s">
        <v>65</v>
      </c>
      <c r="R19">
        <v>28.91</v>
      </c>
      <c r="S19">
        <v>0</v>
      </c>
      <c r="T19">
        <v>28.91</v>
      </c>
      <c r="U19" t="s">
        <v>7</v>
      </c>
    </row>
    <row r="20" spans="1:21" x14ac:dyDescent="0.25">
      <c r="A20" t="s">
        <v>8</v>
      </c>
      <c r="B20" t="s">
        <v>55</v>
      </c>
      <c r="C20" t="s">
        <v>56</v>
      </c>
      <c r="D20" t="s">
        <v>101</v>
      </c>
      <c r="E20" t="s">
        <v>102</v>
      </c>
      <c r="F20" t="s">
        <v>103</v>
      </c>
      <c r="G20" t="s">
        <v>104</v>
      </c>
      <c r="H20" t="s">
        <v>47</v>
      </c>
      <c r="I20" t="s">
        <v>105</v>
      </c>
      <c r="J20" t="s">
        <v>74</v>
      </c>
      <c r="L20" t="s">
        <v>63</v>
      </c>
      <c r="M20">
        <v>1</v>
      </c>
      <c r="N20" t="s">
        <v>85</v>
      </c>
      <c r="O20">
        <v>2</v>
      </c>
      <c r="P20" t="s">
        <v>64</v>
      </c>
      <c r="Q20" t="s">
        <v>65</v>
      </c>
      <c r="R20">
        <v>28.91</v>
      </c>
      <c r="S20">
        <v>0</v>
      </c>
      <c r="T20">
        <v>28.91</v>
      </c>
      <c r="U20" t="s">
        <v>7</v>
      </c>
    </row>
    <row r="21" spans="1:21" x14ac:dyDescent="0.25">
      <c r="A21" t="s">
        <v>8</v>
      </c>
      <c r="B21" t="s">
        <v>55</v>
      </c>
      <c r="C21" t="s">
        <v>56</v>
      </c>
      <c r="D21" t="s">
        <v>101</v>
      </c>
      <c r="E21" t="s">
        <v>102</v>
      </c>
      <c r="F21" t="s">
        <v>103</v>
      </c>
      <c r="G21" t="s">
        <v>104</v>
      </c>
      <c r="H21" t="s">
        <v>47</v>
      </c>
      <c r="I21" t="s">
        <v>105</v>
      </c>
      <c r="J21" t="s">
        <v>74</v>
      </c>
      <c r="L21" t="s">
        <v>63</v>
      </c>
      <c r="M21">
        <v>1</v>
      </c>
      <c r="N21" t="s">
        <v>85</v>
      </c>
      <c r="O21">
        <v>2</v>
      </c>
      <c r="P21" t="s">
        <v>64</v>
      </c>
      <c r="Q21" t="s">
        <v>65</v>
      </c>
      <c r="R21">
        <v>0</v>
      </c>
      <c r="S21">
        <v>8.75</v>
      </c>
      <c r="T21">
        <v>8.75</v>
      </c>
      <c r="U21" t="s">
        <v>7</v>
      </c>
    </row>
    <row r="22" spans="1:21" x14ac:dyDescent="0.25">
      <c r="A22" t="s">
        <v>8</v>
      </c>
      <c r="B22" t="s">
        <v>55</v>
      </c>
      <c r="C22" t="s">
        <v>56</v>
      </c>
      <c r="D22" t="s">
        <v>101</v>
      </c>
      <c r="E22" t="s">
        <v>102</v>
      </c>
      <c r="F22" t="s">
        <v>103</v>
      </c>
      <c r="G22" t="s">
        <v>104</v>
      </c>
      <c r="H22" t="s">
        <v>47</v>
      </c>
      <c r="I22" t="s">
        <v>105</v>
      </c>
      <c r="J22" t="s">
        <v>74</v>
      </c>
      <c r="L22" t="s">
        <v>63</v>
      </c>
      <c r="M22">
        <v>1</v>
      </c>
      <c r="N22" t="s">
        <v>85</v>
      </c>
      <c r="O22">
        <v>2</v>
      </c>
      <c r="P22" t="s">
        <v>64</v>
      </c>
      <c r="Q22" t="s">
        <v>65</v>
      </c>
      <c r="R22">
        <v>0</v>
      </c>
      <c r="S22">
        <v>5.25</v>
      </c>
      <c r="T22">
        <v>5.25</v>
      </c>
      <c r="U22" t="s">
        <v>7</v>
      </c>
    </row>
    <row r="23" spans="1:21" x14ac:dyDescent="0.25">
      <c r="A23" t="s">
        <v>8</v>
      </c>
      <c r="B23" t="s">
        <v>106</v>
      </c>
      <c r="C23" t="s">
        <v>107</v>
      </c>
      <c r="D23" t="s">
        <v>108</v>
      </c>
      <c r="E23" t="s">
        <v>109</v>
      </c>
      <c r="F23" t="s">
        <v>110</v>
      </c>
      <c r="G23" t="s">
        <v>111</v>
      </c>
      <c r="H23" t="s">
        <v>47</v>
      </c>
      <c r="I23" t="s">
        <v>112</v>
      </c>
      <c r="J23" t="s">
        <v>74</v>
      </c>
      <c r="L23" t="s">
        <v>51</v>
      </c>
      <c r="M23">
        <v>1</v>
      </c>
      <c r="N23" t="s">
        <v>85</v>
      </c>
      <c r="O23">
        <v>2</v>
      </c>
      <c r="P23" t="s">
        <v>64</v>
      </c>
      <c r="Q23" t="s">
        <v>65</v>
      </c>
      <c r="R23">
        <v>0</v>
      </c>
      <c r="S23">
        <v>5.25</v>
      </c>
      <c r="T23">
        <v>5.25</v>
      </c>
      <c r="U23" t="s">
        <v>7</v>
      </c>
    </row>
    <row r="24" spans="1:21" x14ac:dyDescent="0.25">
      <c r="A24" t="s">
        <v>8</v>
      </c>
      <c r="B24" t="s">
        <v>106</v>
      </c>
      <c r="C24" t="s">
        <v>107</v>
      </c>
      <c r="D24" t="s">
        <v>108</v>
      </c>
      <c r="E24" t="s">
        <v>109</v>
      </c>
      <c r="F24" t="s">
        <v>110</v>
      </c>
      <c r="G24" t="s">
        <v>111</v>
      </c>
      <c r="H24" t="s">
        <v>47</v>
      </c>
      <c r="I24" t="s">
        <v>112</v>
      </c>
      <c r="J24" t="s">
        <v>74</v>
      </c>
      <c r="L24" t="s">
        <v>51</v>
      </c>
      <c r="M24">
        <v>1</v>
      </c>
      <c r="N24" t="s">
        <v>85</v>
      </c>
      <c r="O24">
        <v>2</v>
      </c>
      <c r="P24" t="s">
        <v>64</v>
      </c>
      <c r="Q24" t="s">
        <v>65</v>
      </c>
      <c r="R24">
        <v>0</v>
      </c>
      <c r="S24">
        <v>8.75</v>
      </c>
      <c r="T24">
        <v>8.75</v>
      </c>
      <c r="U24" t="s">
        <v>7</v>
      </c>
    </row>
    <row r="25" spans="1:21" x14ac:dyDescent="0.25">
      <c r="A25" t="s">
        <v>8</v>
      </c>
      <c r="B25" t="s">
        <v>106</v>
      </c>
      <c r="C25" t="s">
        <v>107</v>
      </c>
      <c r="D25" t="s">
        <v>108</v>
      </c>
      <c r="E25" t="s">
        <v>109</v>
      </c>
      <c r="F25" t="s">
        <v>110</v>
      </c>
      <c r="G25" t="s">
        <v>111</v>
      </c>
      <c r="H25" t="s">
        <v>47</v>
      </c>
      <c r="I25" t="s">
        <v>112</v>
      </c>
      <c r="J25" t="s">
        <v>74</v>
      </c>
      <c r="L25" t="s">
        <v>51</v>
      </c>
      <c r="M25">
        <v>1</v>
      </c>
      <c r="N25" t="s">
        <v>85</v>
      </c>
      <c r="O25">
        <v>2</v>
      </c>
      <c r="P25" t="s">
        <v>64</v>
      </c>
      <c r="Q25" t="s">
        <v>65</v>
      </c>
      <c r="R25">
        <v>28.91</v>
      </c>
      <c r="S25">
        <v>0</v>
      </c>
      <c r="T25">
        <v>28.91</v>
      </c>
      <c r="U25" t="s">
        <v>7</v>
      </c>
    </row>
    <row r="26" spans="1:21" x14ac:dyDescent="0.25">
      <c r="A26" t="s">
        <v>8</v>
      </c>
      <c r="B26" t="s">
        <v>106</v>
      </c>
      <c r="C26" t="s">
        <v>107</v>
      </c>
      <c r="D26" t="s">
        <v>113</v>
      </c>
      <c r="E26" t="s">
        <v>114</v>
      </c>
      <c r="F26" t="s">
        <v>115</v>
      </c>
      <c r="G26" t="s">
        <v>111</v>
      </c>
      <c r="H26" t="s">
        <v>47</v>
      </c>
      <c r="I26" t="s">
        <v>112</v>
      </c>
      <c r="J26" t="s">
        <v>74</v>
      </c>
      <c r="L26" t="s">
        <v>51</v>
      </c>
      <c r="M26">
        <v>1</v>
      </c>
      <c r="N26" t="s">
        <v>85</v>
      </c>
      <c r="O26">
        <v>2</v>
      </c>
      <c r="P26" t="s">
        <v>64</v>
      </c>
      <c r="Q26" t="s">
        <v>65</v>
      </c>
      <c r="R26">
        <v>28.91</v>
      </c>
      <c r="S26">
        <v>0</v>
      </c>
      <c r="T26">
        <v>28.91</v>
      </c>
      <c r="U26" t="s">
        <v>7</v>
      </c>
    </row>
    <row r="27" spans="1:21" x14ac:dyDescent="0.25">
      <c r="A27" t="s">
        <v>8</v>
      </c>
      <c r="B27" t="s">
        <v>106</v>
      </c>
      <c r="C27" t="s">
        <v>107</v>
      </c>
      <c r="D27" t="s">
        <v>113</v>
      </c>
      <c r="E27" t="s">
        <v>114</v>
      </c>
      <c r="F27" t="s">
        <v>115</v>
      </c>
      <c r="G27" t="s">
        <v>111</v>
      </c>
      <c r="H27" t="s">
        <v>47</v>
      </c>
      <c r="I27" t="s">
        <v>112</v>
      </c>
      <c r="J27" t="s">
        <v>74</v>
      </c>
      <c r="L27" t="s">
        <v>51</v>
      </c>
      <c r="M27">
        <v>1</v>
      </c>
      <c r="N27" t="s">
        <v>85</v>
      </c>
      <c r="O27">
        <v>2</v>
      </c>
      <c r="P27" t="s">
        <v>64</v>
      </c>
      <c r="Q27" t="s">
        <v>65</v>
      </c>
      <c r="R27">
        <v>0</v>
      </c>
      <c r="S27">
        <v>8.75</v>
      </c>
      <c r="T27">
        <v>8.75</v>
      </c>
      <c r="U27" t="s">
        <v>7</v>
      </c>
    </row>
    <row r="28" spans="1:21" x14ac:dyDescent="0.25">
      <c r="A28" t="s">
        <v>8</v>
      </c>
      <c r="B28" t="s">
        <v>106</v>
      </c>
      <c r="C28" t="s">
        <v>107</v>
      </c>
      <c r="D28" t="s">
        <v>113</v>
      </c>
      <c r="E28" t="s">
        <v>114</v>
      </c>
      <c r="F28" t="s">
        <v>115</v>
      </c>
      <c r="G28" t="s">
        <v>111</v>
      </c>
      <c r="H28" t="s">
        <v>47</v>
      </c>
      <c r="I28" t="s">
        <v>112</v>
      </c>
      <c r="J28" t="s">
        <v>74</v>
      </c>
      <c r="L28" t="s">
        <v>51</v>
      </c>
      <c r="M28">
        <v>1</v>
      </c>
      <c r="N28" t="s">
        <v>85</v>
      </c>
      <c r="O28">
        <v>2</v>
      </c>
      <c r="P28" t="s">
        <v>64</v>
      </c>
      <c r="Q28" t="s">
        <v>65</v>
      </c>
      <c r="R28">
        <v>0</v>
      </c>
      <c r="S28">
        <v>5.25</v>
      </c>
      <c r="T28">
        <v>5.25</v>
      </c>
      <c r="U28" t="s">
        <v>7</v>
      </c>
    </row>
    <row r="29" spans="1:21" x14ac:dyDescent="0.25">
      <c r="A29" t="s">
        <v>8</v>
      </c>
      <c r="B29" t="s">
        <v>55</v>
      </c>
      <c r="C29" t="s">
        <v>56</v>
      </c>
      <c r="D29" t="s">
        <v>116</v>
      </c>
      <c r="E29" t="s">
        <v>117</v>
      </c>
      <c r="F29" t="s">
        <v>118</v>
      </c>
      <c r="G29" t="s">
        <v>119</v>
      </c>
      <c r="H29" t="s">
        <v>47</v>
      </c>
      <c r="I29" t="s">
        <v>120</v>
      </c>
      <c r="J29" t="s">
        <v>121</v>
      </c>
      <c r="L29" t="s">
        <v>51</v>
      </c>
      <c r="M29">
        <v>1</v>
      </c>
      <c r="N29" t="s">
        <v>85</v>
      </c>
      <c r="O29">
        <v>2</v>
      </c>
      <c r="P29" t="s">
        <v>64</v>
      </c>
      <c r="Q29" t="s">
        <v>65</v>
      </c>
      <c r="R29">
        <v>0</v>
      </c>
      <c r="S29">
        <v>8.75</v>
      </c>
      <c r="T29">
        <v>8.75</v>
      </c>
      <c r="U29" t="s">
        <v>7</v>
      </c>
    </row>
    <row r="30" spans="1:21" x14ac:dyDescent="0.25">
      <c r="A30" t="s">
        <v>8</v>
      </c>
      <c r="B30" t="s">
        <v>55</v>
      </c>
      <c r="C30" t="s">
        <v>56</v>
      </c>
      <c r="D30" t="s">
        <v>116</v>
      </c>
      <c r="E30" t="s">
        <v>117</v>
      </c>
      <c r="F30" t="s">
        <v>118</v>
      </c>
      <c r="G30" t="s">
        <v>119</v>
      </c>
      <c r="H30" t="s">
        <v>47</v>
      </c>
      <c r="I30" t="s">
        <v>120</v>
      </c>
      <c r="J30" t="s">
        <v>121</v>
      </c>
      <c r="L30" t="s">
        <v>51</v>
      </c>
      <c r="M30">
        <v>1</v>
      </c>
      <c r="N30" t="s">
        <v>85</v>
      </c>
      <c r="O30">
        <v>2</v>
      </c>
      <c r="P30" t="s">
        <v>64</v>
      </c>
      <c r="Q30" t="s">
        <v>65</v>
      </c>
      <c r="R30">
        <v>0</v>
      </c>
      <c r="S30">
        <v>5.25</v>
      </c>
      <c r="T30">
        <v>5.25</v>
      </c>
      <c r="U30" t="s">
        <v>7</v>
      </c>
    </row>
    <row r="31" spans="1:21" x14ac:dyDescent="0.25">
      <c r="A31" t="s">
        <v>8</v>
      </c>
      <c r="B31" t="s">
        <v>55</v>
      </c>
      <c r="C31" t="s">
        <v>56</v>
      </c>
      <c r="D31" t="s">
        <v>116</v>
      </c>
      <c r="E31" t="s">
        <v>117</v>
      </c>
      <c r="F31" t="s">
        <v>118</v>
      </c>
      <c r="G31" t="s">
        <v>119</v>
      </c>
      <c r="H31" t="s">
        <v>47</v>
      </c>
      <c r="I31" t="s">
        <v>120</v>
      </c>
      <c r="J31" t="s">
        <v>121</v>
      </c>
      <c r="L31" t="s">
        <v>51</v>
      </c>
      <c r="M31">
        <v>1</v>
      </c>
      <c r="N31" t="s">
        <v>85</v>
      </c>
      <c r="O31">
        <v>2</v>
      </c>
      <c r="P31" t="s">
        <v>64</v>
      </c>
      <c r="Q31" t="s">
        <v>65</v>
      </c>
      <c r="R31">
        <v>28.91</v>
      </c>
      <c r="S31">
        <v>0</v>
      </c>
      <c r="T31">
        <v>28.91</v>
      </c>
      <c r="U31" t="s">
        <v>7</v>
      </c>
    </row>
    <row r="32" spans="1:21" x14ac:dyDescent="0.25">
      <c r="A32" t="s">
        <v>8</v>
      </c>
      <c r="B32" t="s">
        <v>106</v>
      </c>
      <c r="C32" t="s">
        <v>107</v>
      </c>
      <c r="D32" t="s">
        <v>122</v>
      </c>
      <c r="E32" t="s">
        <v>123</v>
      </c>
      <c r="F32" t="s">
        <v>124</v>
      </c>
      <c r="G32" t="s">
        <v>125</v>
      </c>
      <c r="H32" t="s">
        <v>126</v>
      </c>
      <c r="I32" t="s">
        <v>127</v>
      </c>
      <c r="J32" t="s">
        <v>128</v>
      </c>
      <c r="L32" t="s">
        <v>129</v>
      </c>
      <c r="M32">
        <v>5</v>
      </c>
      <c r="N32" t="s">
        <v>85</v>
      </c>
      <c r="O32">
        <v>2</v>
      </c>
      <c r="P32" t="s">
        <v>64</v>
      </c>
      <c r="Q32" t="s">
        <v>65</v>
      </c>
      <c r="R32">
        <v>28.91</v>
      </c>
      <c r="S32">
        <v>0</v>
      </c>
      <c r="T32">
        <v>28.91</v>
      </c>
      <c r="U32" t="s">
        <v>7</v>
      </c>
    </row>
    <row r="33" spans="1:21" x14ac:dyDescent="0.25">
      <c r="A33" t="s">
        <v>8</v>
      </c>
      <c r="B33" t="s">
        <v>106</v>
      </c>
      <c r="C33" t="s">
        <v>107</v>
      </c>
      <c r="D33" t="s">
        <v>122</v>
      </c>
      <c r="E33" t="s">
        <v>123</v>
      </c>
      <c r="F33" t="s">
        <v>124</v>
      </c>
      <c r="G33" t="s">
        <v>125</v>
      </c>
      <c r="H33" t="s">
        <v>126</v>
      </c>
      <c r="I33" t="s">
        <v>127</v>
      </c>
      <c r="J33" t="s">
        <v>128</v>
      </c>
      <c r="L33" t="s">
        <v>129</v>
      </c>
      <c r="M33">
        <v>5</v>
      </c>
      <c r="N33" t="s">
        <v>85</v>
      </c>
      <c r="O33">
        <v>2</v>
      </c>
      <c r="P33" t="s">
        <v>64</v>
      </c>
      <c r="Q33" t="s">
        <v>65</v>
      </c>
      <c r="R33">
        <v>0</v>
      </c>
      <c r="S33">
        <v>5.25</v>
      </c>
      <c r="T33">
        <v>5.25</v>
      </c>
      <c r="U33" t="s">
        <v>7</v>
      </c>
    </row>
    <row r="34" spans="1:21" x14ac:dyDescent="0.25">
      <c r="A34" t="s">
        <v>8</v>
      </c>
      <c r="B34" t="s">
        <v>106</v>
      </c>
      <c r="C34" t="s">
        <v>107</v>
      </c>
      <c r="D34" t="s">
        <v>122</v>
      </c>
      <c r="E34" t="s">
        <v>123</v>
      </c>
      <c r="F34" t="s">
        <v>124</v>
      </c>
      <c r="G34" t="s">
        <v>125</v>
      </c>
      <c r="H34" t="s">
        <v>126</v>
      </c>
      <c r="I34" t="s">
        <v>127</v>
      </c>
      <c r="J34" t="s">
        <v>128</v>
      </c>
      <c r="L34" t="s">
        <v>129</v>
      </c>
      <c r="M34">
        <v>5</v>
      </c>
      <c r="N34" t="s">
        <v>85</v>
      </c>
      <c r="O34">
        <v>2</v>
      </c>
      <c r="P34" t="s">
        <v>64</v>
      </c>
      <c r="Q34" t="s">
        <v>65</v>
      </c>
      <c r="R34">
        <v>0</v>
      </c>
      <c r="S34">
        <v>8.75</v>
      </c>
      <c r="T34">
        <v>8.75</v>
      </c>
      <c r="U34" t="s">
        <v>7</v>
      </c>
    </row>
    <row r="35" spans="1:21" x14ac:dyDescent="0.25">
      <c r="A35" t="s">
        <v>8</v>
      </c>
      <c r="B35" t="s">
        <v>41</v>
      </c>
      <c r="C35" t="s">
        <v>42</v>
      </c>
      <c r="D35" t="s">
        <v>130</v>
      </c>
      <c r="E35" t="s">
        <v>131</v>
      </c>
      <c r="F35" t="s">
        <v>132</v>
      </c>
      <c r="G35" t="s">
        <v>133</v>
      </c>
      <c r="H35" t="s">
        <v>47</v>
      </c>
      <c r="I35" t="s">
        <v>105</v>
      </c>
      <c r="J35" t="s">
        <v>74</v>
      </c>
      <c r="L35" t="s">
        <v>63</v>
      </c>
      <c r="M35">
        <v>3</v>
      </c>
      <c r="N35" t="s">
        <v>100</v>
      </c>
      <c r="O35">
        <v>2</v>
      </c>
      <c r="P35" t="s">
        <v>64</v>
      </c>
      <c r="Q35" t="s">
        <v>65</v>
      </c>
      <c r="R35">
        <v>28.91</v>
      </c>
      <c r="S35">
        <v>0</v>
      </c>
      <c r="T35">
        <v>28.91</v>
      </c>
      <c r="U35" t="s">
        <v>7</v>
      </c>
    </row>
    <row r="36" spans="1:21" x14ac:dyDescent="0.25">
      <c r="A36" t="s">
        <v>8</v>
      </c>
      <c r="B36" t="s">
        <v>41</v>
      </c>
      <c r="C36" t="s">
        <v>42</v>
      </c>
      <c r="D36" t="s">
        <v>130</v>
      </c>
      <c r="E36" t="s">
        <v>131</v>
      </c>
      <c r="F36" t="s">
        <v>132</v>
      </c>
      <c r="G36" t="s">
        <v>133</v>
      </c>
      <c r="H36" t="s">
        <v>47</v>
      </c>
      <c r="I36" t="s">
        <v>105</v>
      </c>
      <c r="J36" t="s">
        <v>74</v>
      </c>
      <c r="L36" t="s">
        <v>63</v>
      </c>
      <c r="M36">
        <v>3</v>
      </c>
      <c r="N36" t="s">
        <v>100</v>
      </c>
      <c r="O36">
        <v>2</v>
      </c>
      <c r="P36" t="s">
        <v>64</v>
      </c>
      <c r="Q36" t="s">
        <v>65</v>
      </c>
      <c r="R36">
        <v>0</v>
      </c>
      <c r="S36">
        <v>8.75</v>
      </c>
      <c r="T36">
        <v>8.75</v>
      </c>
      <c r="U36" t="s">
        <v>7</v>
      </c>
    </row>
    <row r="37" spans="1:21" x14ac:dyDescent="0.25">
      <c r="A37" t="s">
        <v>8</v>
      </c>
      <c r="B37" t="s">
        <v>41</v>
      </c>
      <c r="C37" t="s">
        <v>42</v>
      </c>
      <c r="D37" t="s">
        <v>130</v>
      </c>
      <c r="E37" t="s">
        <v>131</v>
      </c>
      <c r="F37" t="s">
        <v>132</v>
      </c>
      <c r="G37" t="s">
        <v>133</v>
      </c>
      <c r="H37" t="s">
        <v>47</v>
      </c>
      <c r="I37" t="s">
        <v>105</v>
      </c>
      <c r="J37" t="s">
        <v>74</v>
      </c>
      <c r="L37" t="s">
        <v>63</v>
      </c>
      <c r="M37">
        <v>3</v>
      </c>
      <c r="N37" t="s">
        <v>100</v>
      </c>
      <c r="O37">
        <v>2</v>
      </c>
      <c r="P37" t="s">
        <v>64</v>
      </c>
      <c r="Q37" t="s">
        <v>65</v>
      </c>
      <c r="R37">
        <v>0</v>
      </c>
      <c r="S37">
        <v>5.25</v>
      </c>
      <c r="T37">
        <v>5.25</v>
      </c>
      <c r="U37" t="s">
        <v>7</v>
      </c>
    </row>
    <row r="38" spans="1:21" x14ac:dyDescent="0.25">
      <c r="A38" t="s">
        <v>8</v>
      </c>
      <c r="B38" t="s">
        <v>41</v>
      </c>
      <c r="C38" t="s">
        <v>42</v>
      </c>
      <c r="D38" t="s">
        <v>134</v>
      </c>
      <c r="E38" t="s">
        <v>135</v>
      </c>
      <c r="F38" t="s">
        <v>136</v>
      </c>
      <c r="G38" t="s">
        <v>133</v>
      </c>
      <c r="H38" t="s">
        <v>47</v>
      </c>
      <c r="I38" t="s">
        <v>105</v>
      </c>
      <c r="J38" t="s">
        <v>74</v>
      </c>
      <c r="L38" t="s">
        <v>63</v>
      </c>
      <c r="M38">
        <v>3</v>
      </c>
      <c r="N38" t="s">
        <v>100</v>
      </c>
      <c r="O38">
        <v>2</v>
      </c>
      <c r="P38" t="s">
        <v>64</v>
      </c>
      <c r="Q38" t="s">
        <v>65</v>
      </c>
      <c r="R38">
        <v>28.91</v>
      </c>
      <c r="S38">
        <v>0</v>
      </c>
      <c r="T38">
        <v>28.91</v>
      </c>
      <c r="U38" t="s">
        <v>7</v>
      </c>
    </row>
    <row r="39" spans="1:21" x14ac:dyDescent="0.25">
      <c r="A39" t="s">
        <v>8</v>
      </c>
      <c r="B39" t="s">
        <v>41</v>
      </c>
      <c r="C39" t="s">
        <v>42</v>
      </c>
      <c r="D39" t="s">
        <v>134</v>
      </c>
      <c r="E39" t="s">
        <v>135</v>
      </c>
      <c r="F39" t="s">
        <v>136</v>
      </c>
      <c r="G39" t="s">
        <v>133</v>
      </c>
      <c r="H39" t="s">
        <v>47</v>
      </c>
      <c r="I39" t="s">
        <v>105</v>
      </c>
      <c r="J39" t="s">
        <v>74</v>
      </c>
      <c r="L39" t="s">
        <v>63</v>
      </c>
      <c r="M39">
        <v>3</v>
      </c>
      <c r="N39" t="s">
        <v>100</v>
      </c>
      <c r="O39">
        <v>2</v>
      </c>
      <c r="P39" t="s">
        <v>64</v>
      </c>
      <c r="Q39" t="s">
        <v>65</v>
      </c>
      <c r="R39">
        <v>0</v>
      </c>
      <c r="S39">
        <v>8.75</v>
      </c>
      <c r="T39">
        <v>8.75</v>
      </c>
      <c r="U39" t="s">
        <v>7</v>
      </c>
    </row>
    <row r="40" spans="1:21" x14ac:dyDescent="0.25">
      <c r="A40" t="s">
        <v>8</v>
      </c>
      <c r="B40" t="s">
        <v>41</v>
      </c>
      <c r="C40" t="s">
        <v>42</v>
      </c>
      <c r="D40" t="s">
        <v>134</v>
      </c>
      <c r="E40" t="s">
        <v>135</v>
      </c>
      <c r="F40" t="s">
        <v>136</v>
      </c>
      <c r="G40" t="s">
        <v>133</v>
      </c>
      <c r="H40" t="s">
        <v>47</v>
      </c>
      <c r="I40" t="s">
        <v>105</v>
      </c>
      <c r="J40" t="s">
        <v>74</v>
      </c>
      <c r="L40" t="s">
        <v>63</v>
      </c>
      <c r="M40">
        <v>3</v>
      </c>
      <c r="N40" t="s">
        <v>100</v>
      </c>
      <c r="O40">
        <v>2</v>
      </c>
      <c r="P40" t="s">
        <v>64</v>
      </c>
      <c r="Q40" t="s">
        <v>65</v>
      </c>
      <c r="R40">
        <v>0</v>
      </c>
      <c r="S40">
        <v>5.25</v>
      </c>
      <c r="T40">
        <v>5.25</v>
      </c>
      <c r="U40" t="s">
        <v>7</v>
      </c>
    </row>
    <row r="41" spans="1:21" x14ac:dyDescent="0.25">
      <c r="A41" t="s">
        <v>8</v>
      </c>
      <c r="B41" t="s">
        <v>137</v>
      </c>
      <c r="C41" t="s">
        <v>138</v>
      </c>
      <c r="D41" t="s">
        <v>139</v>
      </c>
      <c r="E41" t="s">
        <v>140</v>
      </c>
      <c r="F41" t="s">
        <v>141</v>
      </c>
      <c r="G41" t="s">
        <v>142</v>
      </c>
      <c r="H41" t="s">
        <v>47</v>
      </c>
      <c r="I41" t="s">
        <v>143</v>
      </c>
      <c r="J41" t="s">
        <v>74</v>
      </c>
      <c r="L41" t="s">
        <v>63</v>
      </c>
      <c r="M41">
        <v>3</v>
      </c>
      <c r="N41" t="s">
        <v>52</v>
      </c>
      <c r="O41">
        <v>13</v>
      </c>
      <c r="P41" t="s">
        <v>64</v>
      </c>
      <c r="Q41" t="s">
        <v>65</v>
      </c>
      <c r="R41">
        <v>28.91</v>
      </c>
      <c r="S41">
        <v>0</v>
      </c>
      <c r="T41">
        <v>28.91</v>
      </c>
      <c r="U41" t="s">
        <v>7</v>
      </c>
    </row>
    <row r="42" spans="1:21" x14ac:dyDescent="0.25">
      <c r="A42" t="s">
        <v>8</v>
      </c>
      <c r="B42" t="s">
        <v>137</v>
      </c>
      <c r="C42" t="s">
        <v>138</v>
      </c>
      <c r="D42" t="s">
        <v>139</v>
      </c>
      <c r="E42" t="s">
        <v>140</v>
      </c>
      <c r="F42" t="s">
        <v>141</v>
      </c>
      <c r="G42" t="s">
        <v>142</v>
      </c>
      <c r="H42" t="s">
        <v>47</v>
      </c>
      <c r="I42" t="s">
        <v>143</v>
      </c>
      <c r="J42" t="s">
        <v>74</v>
      </c>
      <c r="L42" t="s">
        <v>63</v>
      </c>
      <c r="M42">
        <v>3</v>
      </c>
      <c r="N42" t="s">
        <v>52</v>
      </c>
      <c r="O42">
        <v>13</v>
      </c>
      <c r="P42" t="s">
        <v>64</v>
      </c>
      <c r="Q42" t="s">
        <v>65</v>
      </c>
      <c r="R42">
        <v>0</v>
      </c>
      <c r="S42">
        <v>5.25</v>
      </c>
      <c r="T42">
        <v>5.25</v>
      </c>
      <c r="U42" t="s">
        <v>7</v>
      </c>
    </row>
    <row r="43" spans="1:21" x14ac:dyDescent="0.25">
      <c r="A43" t="s">
        <v>8</v>
      </c>
      <c r="B43" t="s">
        <v>137</v>
      </c>
      <c r="C43" t="s">
        <v>138</v>
      </c>
      <c r="D43" t="s">
        <v>139</v>
      </c>
      <c r="E43" t="s">
        <v>140</v>
      </c>
      <c r="F43" t="s">
        <v>141</v>
      </c>
      <c r="G43" t="s">
        <v>142</v>
      </c>
      <c r="H43" t="s">
        <v>47</v>
      </c>
      <c r="I43" t="s">
        <v>143</v>
      </c>
      <c r="J43" t="s">
        <v>74</v>
      </c>
      <c r="L43" t="s">
        <v>63</v>
      </c>
      <c r="M43">
        <v>3</v>
      </c>
      <c r="N43" t="s">
        <v>52</v>
      </c>
      <c r="O43">
        <v>13</v>
      </c>
      <c r="P43" t="s">
        <v>64</v>
      </c>
      <c r="Q43" t="s">
        <v>65</v>
      </c>
      <c r="R43">
        <v>0</v>
      </c>
      <c r="S43">
        <v>8.75</v>
      </c>
      <c r="T43">
        <v>8.75</v>
      </c>
      <c r="U43" t="s">
        <v>7</v>
      </c>
    </row>
    <row r="44" spans="1:21" x14ac:dyDescent="0.25">
      <c r="A44" t="s">
        <v>8</v>
      </c>
      <c r="B44" t="s">
        <v>144</v>
      </c>
      <c r="C44" t="s">
        <v>145</v>
      </c>
      <c r="D44" t="s">
        <v>146</v>
      </c>
      <c r="E44" t="s">
        <v>147</v>
      </c>
      <c r="F44" t="s">
        <v>148</v>
      </c>
      <c r="G44" t="s">
        <v>149</v>
      </c>
      <c r="H44" t="s">
        <v>150</v>
      </c>
      <c r="I44" t="s">
        <v>151</v>
      </c>
      <c r="J44" t="s">
        <v>152</v>
      </c>
      <c r="L44" t="s">
        <v>153</v>
      </c>
      <c r="M44">
        <v>3</v>
      </c>
      <c r="O44">
        <v>0</v>
      </c>
      <c r="P44" t="s">
        <v>53</v>
      </c>
      <c r="Q44" t="s">
        <v>65</v>
      </c>
      <c r="R44">
        <v>0</v>
      </c>
      <c r="S44">
        <v>125</v>
      </c>
      <c r="T44">
        <v>125</v>
      </c>
      <c r="U44" t="s">
        <v>7</v>
      </c>
    </row>
    <row r="45" spans="1:21" x14ac:dyDescent="0.25">
      <c r="A45" t="s">
        <v>8</v>
      </c>
      <c r="B45" t="s">
        <v>144</v>
      </c>
      <c r="C45" t="s">
        <v>145</v>
      </c>
      <c r="D45" t="s">
        <v>146</v>
      </c>
      <c r="E45" t="s">
        <v>147</v>
      </c>
      <c r="F45" t="s">
        <v>148</v>
      </c>
      <c r="G45" t="s">
        <v>149</v>
      </c>
      <c r="H45" t="s">
        <v>150</v>
      </c>
      <c r="I45" t="s">
        <v>151</v>
      </c>
      <c r="J45" t="s">
        <v>152</v>
      </c>
      <c r="L45" t="s">
        <v>153</v>
      </c>
      <c r="M45">
        <v>3</v>
      </c>
      <c r="O45">
        <v>0</v>
      </c>
      <c r="P45" t="s">
        <v>53</v>
      </c>
      <c r="Q45" t="s">
        <v>65</v>
      </c>
      <c r="R45">
        <v>228.08</v>
      </c>
      <c r="S45">
        <v>0</v>
      </c>
      <c r="T45">
        <v>228.08</v>
      </c>
      <c r="U45" t="s">
        <v>7</v>
      </c>
    </row>
    <row r="46" spans="1:21" x14ac:dyDescent="0.25">
      <c r="A46" t="s">
        <v>8</v>
      </c>
      <c r="B46" t="s">
        <v>144</v>
      </c>
      <c r="C46" t="s">
        <v>145</v>
      </c>
      <c r="D46" t="s">
        <v>146</v>
      </c>
      <c r="E46" t="s">
        <v>147</v>
      </c>
      <c r="F46" t="s">
        <v>148</v>
      </c>
      <c r="G46" t="s">
        <v>149</v>
      </c>
      <c r="H46" t="s">
        <v>150</v>
      </c>
      <c r="I46" t="s">
        <v>151</v>
      </c>
      <c r="J46" t="s">
        <v>152</v>
      </c>
      <c r="L46" t="s">
        <v>153</v>
      </c>
      <c r="M46">
        <v>3</v>
      </c>
      <c r="O46">
        <v>0</v>
      </c>
      <c r="P46" t="s">
        <v>53</v>
      </c>
      <c r="Q46" t="s">
        <v>65</v>
      </c>
      <c r="R46">
        <v>0</v>
      </c>
      <c r="S46">
        <v>75</v>
      </c>
      <c r="T46">
        <v>75</v>
      </c>
      <c r="U46" t="s">
        <v>7</v>
      </c>
    </row>
    <row r="47" spans="1:21" x14ac:dyDescent="0.25">
      <c r="A47" t="s">
        <v>8</v>
      </c>
      <c r="B47" t="s">
        <v>154</v>
      </c>
      <c r="C47" t="s">
        <v>155</v>
      </c>
      <c r="D47" t="s">
        <v>156</v>
      </c>
      <c r="E47" t="s">
        <v>157</v>
      </c>
      <c r="F47" t="s">
        <v>158</v>
      </c>
      <c r="G47" t="s">
        <v>159</v>
      </c>
      <c r="H47" t="s">
        <v>47</v>
      </c>
      <c r="I47" t="s">
        <v>160</v>
      </c>
      <c r="J47" t="s">
        <v>74</v>
      </c>
      <c r="L47" t="s">
        <v>51</v>
      </c>
      <c r="M47">
        <v>1</v>
      </c>
      <c r="N47" t="s">
        <v>52</v>
      </c>
      <c r="O47">
        <v>5</v>
      </c>
      <c r="P47" t="s">
        <v>64</v>
      </c>
      <c r="Q47" t="s">
        <v>65</v>
      </c>
      <c r="R47">
        <v>28.91</v>
      </c>
      <c r="S47">
        <v>0</v>
      </c>
      <c r="T47">
        <v>28.91</v>
      </c>
      <c r="U47" t="s">
        <v>7</v>
      </c>
    </row>
    <row r="48" spans="1:21" x14ac:dyDescent="0.25">
      <c r="A48" t="s">
        <v>8</v>
      </c>
      <c r="B48" t="s">
        <v>154</v>
      </c>
      <c r="C48" t="s">
        <v>155</v>
      </c>
      <c r="D48" t="s">
        <v>156</v>
      </c>
      <c r="E48" t="s">
        <v>157</v>
      </c>
      <c r="F48" t="s">
        <v>158</v>
      </c>
      <c r="G48" t="s">
        <v>159</v>
      </c>
      <c r="H48" t="s">
        <v>47</v>
      </c>
      <c r="I48" t="s">
        <v>160</v>
      </c>
      <c r="J48" t="s">
        <v>74</v>
      </c>
      <c r="L48" t="s">
        <v>51</v>
      </c>
      <c r="M48">
        <v>1</v>
      </c>
      <c r="N48" t="s">
        <v>52</v>
      </c>
      <c r="O48">
        <v>5</v>
      </c>
      <c r="P48" t="s">
        <v>64</v>
      </c>
      <c r="Q48" t="s">
        <v>65</v>
      </c>
      <c r="R48">
        <v>0</v>
      </c>
      <c r="S48">
        <v>5.25</v>
      </c>
      <c r="T48">
        <v>5.25</v>
      </c>
      <c r="U48" t="s">
        <v>7</v>
      </c>
    </row>
    <row r="49" spans="1:21" x14ac:dyDescent="0.25">
      <c r="A49" t="s">
        <v>8</v>
      </c>
      <c r="B49" t="s">
        <v>154</v>
      </c>
      <c r="C49" t="s">
        <v>155</v>
      </c>
      <c r="D49" t="s">
        <v>156</v>
      </c>
      <c r="E49" t="s">
        <v>157</v>
      </c>
      <c r="F49" t="s">
        <v>158</v>
      </c>
      <c r="G49" t="s">
        <v>159</v>
      </c>
      <c r="H49" t="s">
        <v>47</v>
      </c>
      <c r="I49" t="s">
        <v>160</v>
      </c>
      <c r="J49" t="s">
        <v>74</v>
      </c>
      <c r="L49" t="s">
        <v>51</v>
      </c>
      <c r="M49">
        <v>1</v>
      </c>
      <c r="N49" t="s">
        <v>52</v>
      </c>
      <c r="O49">
        <v>5</v>
      </c>
      <c r="P49" t="s">
        <v>64</v>
      </c>
      <c r="Q49" t="s">
        <v>65</v>
      </c>
      <c r="R49">
        <v>0</v>
      </c>
      <c r="S49">
        <v>8.75</v>
      </c>
      <c r="T49">
        <v>8.75</v>
      </c>
      <c r="U49" t="s">
        <v>7</v>
      </c>
    </row>
    <row r="50" spans="1:21" x14ac:dyDescent="0.25">
      <c r="A50" t="s">
        <v>8</v>
      </c>
      <c r="B50" t="s">
        <v>161</v>
      </c>
      <c r="C50" t="s">
        <v>162</v>
      </c>
      <c r="D50" t="s">
        <v>163</v>
      </c>
      <c r="E50" t="s">
        <v>164</v>
      </c>
      <c r="F50" t="s">
        <v>165</v>
      </c>
      <c r="G50" t="s">
        <v>166</v>
      </c>
      <c r="H50" t="s">
        <v>47</v>
      </c>
      <c r="I50" t="s">
        <v>167</v>
      </c>
      <c r="J50" t="s">
        <v>152</v>
      </c>
      <c r="L50" t="s">
        <v>63</v>
      </c>
      <c r="M50">
        <v>5</v>
      </c>
      <c r="O50">
        <v>0</v>
      </c>
      <c r="P50" t="s">
        <v>53</v>
      </c>
      <c r="Q50" t="s">
        <v>65</v>
      </c>
      <c r="R50">
        <v>0</v>
      </c>
      <c r="S50">
        <v>75</v>
      </c>
      <c r="T50">
        <v>75</v>
      </c>
      <c r="U50" t="s">
        <v>7</v>
      </c>
    </row>
    <row r="51" spans="1:21" x14ac:dyDescent="0.25">
      <c r="A51" t="s">
        <v>8</v>
      </c>
      <c r="B51" t="s">
        <v>161</v>
      </c>
      <c r="C51" t="s">
        <v>162</v>
      </c>
      <c r="D51" t="s">
        <v>163</v>
      </c>
      <c r="E51" t="s">
        <v>164</v>
      </c>
      <c r="F51" t="s">
        <v>165</v>
      </c>
      <c r="G51" t="s">
        <v>166</v>
      </c>
      <c r="H51" t="s">
        <v>47</v>
      </c>
      <c r="I51" t="s">
        <v>167</v>
      </c>
      <c r="J51" t="s">
        <v>152</v>
      </c>
      <c r="L51" t="s">
        <v>63</v>
      </c>
      <c r="M51">
        <v>5</v>
      </c>
      <c r="O51">
        <v>0</v>
      </c>
      <c r="P51" t="s">
        <v>53</v>
      </c>
      <c r="Q51" t="s">
        <v>65</v>
      </c>
      <c r="R51">
        <v>202.41</v>
      </c>
      <c r="S51">
        <v>0</v>
      </c>
      <c r="T51">
        <v>202.41</v>
      </c>
      <c r="U51" t="s">
        <v>7</v>
      </c>
    </row>
    <row r="52" spans="1:21" x14ac:dyDescent="0.25">
      <c r="A52" t="s">
        <v>8</v>
      </c>
      <c r="B52" t="s">
        <v>161</v>
      </c>
      <c r="C52" t="s">
        <v>162</v>
      </c>
      <c r="D52" t="s">
        <v>163</v>
      </c>
      <c r="E52" t="s">
        <v>164</v>
      </c>
      <c r="F52" t="s">
        <v>165</v>
      </c>
      <c r="G52" t="s">
        <v>166</v>
      </c>
      <c r="H52" t="s">
        <v>47</v>
      </c>
      <c r="I52" t="s">
        <v>167</v>
      </c>
      <c r="J52" t="s">
        <v>152</v>
      </c>
      <c r="L52" t="s">
        <v>63</v>
      </c>
      <c r="M52">
        <v>5</v>
      </c>
      <c r="O52">
        <v>0</v>
      </c>
      <c r="P52" t="s">
        <v>53</v>
      </c>
      <c r="Q52" t="s">
        <v>65</v>
      </c>
      <c r="R52">
        <v>0</v>
      </c>
      <c r="S52">
        <v>125</v>
      </c>
      <c r="T52">
        <v>125</v>
      </c>
      <c r="U52" t="s">
        <v>7</v>
      </c>
    </row>
    <row r="53" spans="1:21" x14ac:dyDescent="0.25">
      <c r="A53" t="s">
        <v>8</v>
      </c>
      <c r="B53" t="s">
        <v>41</v>
      </c>
      <c r="C53" t="s">
        <v>42</v>
      </c>
      <c r="D53" t="s">
        <v>168</v>
      </c>
      <c r="E53" t="s">
        <v>169</v>
      </c>
      <c r="F53" t="s">
        <v>110</v>
      </c>
      <c r="G53" t="s">
        <v>170</v>
      </c>
      <c r="H53" t="s">
        <v>47</v>
      </c>
      <c r="I53" t="s">
        <v>171</v>
      </c>
      <c r="J53" t="s">
        <v>74</v>
      </c>
      <c r="L53" t="s">
        <v>51</v>
      </c>
      <c r="M53">
        <v>1</v>
      </c>
      <c r="N53" t="s">
        <v>52</v>
      </c>
      <c r="O53">
        <v>7</v>
      </c>
      <c r="P53" t="s">
        <v>64</v>
      </c>
      <c r="Q53" t="s">
        <v>65</v>
      </c>
      <c r="R53">
        <v>28.91</v>
      </c>
      <c r="S53">
        <v>0</v>
      </c>
      <c r="T53">
        <v>28.91</v>
      </c>
      <c r="U53" t="s">
        <v>7</v>
      </c>
    </row>
    <row r="54" spans="1:21" x14ac:dyDescent="0.25">
      <c r="A54" t="s">
        <v>8</v>
      </c>
      <c r="B54" t="s">
        <v>41</v>
      </c>
      <c r="C54" t="s">
        <v>42</v>
      </c>
      <c r="D54" t="s">
        <v>168</v>
      </c>
      <c r="E54" t="s">
        <v>169</v>
      </c>
      <c r="F54" t="s">
        <v>110</v>
      </c>
      <c r="G54" t="s">
        <v>170</v>
      </c>
      <c r="H54" t="s">
        <v>47</v>
      </c>
      <c r="I54" t="s">
        <v>171</v>
      </c>
      <c r="J54" t="s">
        <v>74</v>
      </c>
      <c r="L54" t="s">
        <v>51</v>
      </c>
      <c r="M54">
        <v>1</v>
      </c>
      <c r="N54" t="s">
        <v>52</v>
      </c>
      <c r="O54">
        <v>7</v>
      </c>
      <c r="P54" t="s">
        <v>64</v>
      </c>
      <c r="Q54" t="s">
        <v>65</v>
      </c>
      <c r="R54">
        <v>0</v>
      </c>
      <c r="S54">
        <v>5.25</v>
      </c>
      <c r="T54">
        <v>5.25</v>
      </c>
      <c r="U54" t="s">
        <v>7</v>
      </c>
    </row>
    <row r="55" spans="1:21" x14ac:dyDescent="0.25">
      <c r="A55" t="s">
        <v>8</v>
      </c>
      <c r="B55" t="s">
        <v>41</v>
      </c>
      <c r="C55" t="s">
        <v>42</v>
      </c>
      <c r="D55" t="s">
        <v>168</v>
      </c>
      <c r="E55" t="s">
        <v>169</v>
      </c>
      <c r="F55" t="s">
        <v>110</v>
      </c>
      <c r="G55" t="s">
        <v>170</v>
      </c>
      <c r="H55" t="s">
        <v>47</v>
      </c>
      <c r="I55" t="s">
        <v>171</v>
      </c>
      <c r="J55" t="s">
        <v>74</v>
      </c>
      <c r="L55" t="s">
        <v>51</v>
      </c>
      <c r="M55">
        <v>1</v>
      </c>
      <c r="N55" t="s">
        <v>52</v>
      </c>
      <c r="O55">
        <v>7</v>
      </c>
      <c r="P55" t="s">
        <v>64</v>
      </c>
      <c r="Q55" t="s">
        <v>65</v>
      </c>
      <c r="R55">
        <v>0</v>
      </c>
      <c r="S55">
        <v>8.75</v>
      </c>
      <c r="T55">
        <v>8.75</v>
      </c>
      <c r="U55" t="s">
        <v>7</v>
      </c>
    </row>
    <row r="56" spans="1:21" x14ac:dyDescent="0.25">
      <c r="A56" t="s">
        <v>8</v>
      </c>
      <c r="B56" t="s">
        <v>93</v>
      </c>
      <c r="C56" t="s">
        <v>94</v>
      </c>
      <c r="D56" t="s">
        <v>172</v>
      </c>
      <c r="E56" t="s">
        <v>173</v>
      </c>
      <c r="F56" t="s">
        <v>174</v>
      </c>
      <c r="G56" t="s">
        <v>175</v>
      </c>
      <c r="H56" t="s">
        <v>47</v>
      </c>
      <c r="I56" t="s">
        <v>176</v>
      </c>
      <c r="J56" t="s">
        <v>74</v>
      </c>
      <c r="L56" t="s">
        <v>63</v>
      </c>
      <c r="M56">
        <v>3</v>
      </c>
      <c r="N56" t="s">
        <v>52</v>
      </c>
      <c r="O56">
        <v>6</v>
      </c>
      <c r="P56" t="s">
        <v>64</v>
      </c>
      <c r="Q56" t="s">
        <v>65</v>
      </c>
      <c r="R56">
        <v>0</v>
      </c>
      <c r="S56">
        <v>8.75</v>
      </c>
      <c r="T56">
        <v>8.75</v>
      </c>
      <c r="U56" t="s">
        <v>7</v>
      </c>
    </row>
    <row r="57" spans="1:21" x14ac:dyDescent="0.25">
      <c r="A57" t="s">
        <v>8</v>
      </c>
      <c r="B57" t="s">
        <v>93</v>
      </c>
      <c r="C57" t="s">
        <v>94</v>
      </c>
      <c r="D57" t="s">
        <v>172</v>
      </c>
      <c r="E57" t="s">
        <v>173</v>
      </c>
      <c r="F57" t="s">
        <v>174</v>
      </c>
      <c r="G57" t="s">
        <v>175</v>
      </c>
      <c r="H57" t="s">
        <v>47</v>
      </c>
      <c r="I57" t="s">
        <v>176</v>
      </c>
      <c r="J57" t="s">
        <v>74</v>
      </c>
      <c r="L57" t="s">
        <v>63</v>
      </c>
      <c r="M57">
        <v>3</v>
      </c>
      <c r="N57" t="s">
        <v>52</v>
      </c>
      <c r="O57">
        <v>6</v>
      </c>
      <c r="P57" t="s">
        <v>64</v>
      </c>
      <c r="Q57" t="s">
        <v>65</v>
      </c>
      <c r="R57">
        <v>0</v>
      </c>
      <c r="S57">
        <v>5.25</v>
      </c>
      <c r="T57">
        <v>5.25</v>
      </c>
      <c r="U57" t="s">
        <v>7</v>
      </c>
    </row>
    <row r="58" spans="1:21" x14ac:dyDescent="0.25">
      <c r="A58" t="s">
        <v>8</v>
      </c>
      <c r="B58" t="s">
        <v>93</v>
      </c>
      <c r="C58" t="s">
        <v>94</v>
      </c>
      <c r="D58" t="s">
        <v>172</v>
      </c>
      <c r="E58" t="s">
        <v>173</v>
      </c>
      <c r="F58" t="s">
        <v>174</v>
      </c>
      <c r="G58" t="s">
        <v>175</v>
      </c>
      <c r="H58" t="s">
        <v>47</v>
      </c>
      <c r="I58" t="s">
        <v>176</v>
      </c>
      <c r="J58" t="s">
        <v>74</v>
      </c>
      <c r="L58" t="s">
        <v>63</v>
      </c>
      <c r="M58">
        <v>3</v>
      </c>
      <c r="N58" t="s">
        <v>52</v>
      </c>
      <c r="O58">
        <v>6</v>
      </c>
      <c r="P58" t="s">
        <v>64</v>
      </c>
      <c r="Q58" t="s">
        <v>65</v>
      </c>
      <c r="R58">
        <v>28.91</v>
      </c>
      <c r="S58">
        <v>0</v>
      </c>
      <c r="T58">
        <v>28.91</v>
      </c>
      <c r="U58" t="s">
        <v>7</v>
      </c>
    </row>
    <row r="59" spans="1:21" x14ac:dyDescent="0.25">
      <c r="A59" t="s">
        <v>8</v>
      </c>
      <c r="B59" t="s">
        <v>177</v>
      </c>
      <c r="C59" t="s">
        <v>178</v>
      </c>
      <c r="D59" t="s">
        <v>179</v>
      </c>
      <c r="E59" t="s">
        <v>180</v>
      </c>
      <c r="F59" t="s">
        <v>181</v>
      </c>
      <c r="G59" t="s">
        <v>182</v>
      </c>
      <c r="H59" t="s">
        <v>47</v>
      </c>
      <c r="I59" t="s">
        <v>183</v>
      </c>
      <c r="J59" t="s">
        <v>74</v>
      </c>
      <c r="L59" t="s">
        <v>51</v>
      </c>
      <c r="M59">
        <v>1</v>
      </c>
      <c r="N59" t="s">
        <v>100</v>
      </c>
      <c r="O59">
        <v>2</v>
      </c>
      <c r="P59" t="s">
        <v>64</v>
      </c>
      <c r="Q59" t="s">
        <v>65</v>
      </c>
      <c r="R59">
        <v>0</v>
      </c>
      <c r="S59">
        <v>5.25</v>
      </c>
      <c r="T59">
        <v>5.25</v>
      </c>
      <c r="U59" t="s">
        <v>7</v>
      </c>
    </row>
    <row r="60" spans="1:21" x14ac:dyDescent="0.25">
      <c r="A60" t="s">
        <v>8</v>
      </c>
      <c r="B60" t="s">
        <v>177</v>
      </c>
      <c r="C60" t="s">
        <v>178</v>
      </c>
      <c r="D60" t="s">
        <v>179</v>
      </c>
      <c r="E60" t="s">
        <v>180</v>
      </c>
      <c r="F60" t="s">
        <v>181</v>
      </c>
      <c r="G60" t="s">
        <v>182</v>
      </c>
      <c r="H60" t="s">
        <v>47</v>
      </c>
      <c r="I60" t="s">
        <v>183</v>
      </c>
      <c r="J60" t="s">
        <v>74</v>
      </c>
      <c r="L60" t="s">
        <v>51</v>
      </c>
      <c r="M60">
        <v>1</v>
      </c>
      <c r="N60" t="s">
        <v>100</v>
      </c>
      <c r="O60">
        <v>2</v>
      </c>
      <c r="P60" t="s">
        <v>64</v>
      </c>
      <c r="Q60" t="s">
        <v>65</v>
      </c>
      <c r="R60">
        <v>28.91</v>
      </c>
      <c r="S60">
        <v>0</v>
      </c>
      <c r="T60">
        <v>28.91</v>
      </c>
      <c r="U60" t="s">
        <v>7</v>
      </c>
    </row>
    <row r="61" spans="1:21" x14ac:dyDescent="0.25">
      <c r="A61" t="s">
        <v>8</v>
      </c>
      <c r="B61" t="s">
        <v>177</v>
      </c>
      <c r="C61" t="s">
        <v>178</v>
      </c>
      <c r="D61" t="s">
        <v>179</v>
      </c>
      <c r="E61" t="s">
        <v>180</v>
      </c>
      <c r="F61" t="s">
        <v>181</v>
      </c>
      <c r="G61" t="s">
        <v>182</v>
      </c>
      <c r="H61" t="s">
        <v>47</v>
      </c>
      <c r="I61" t="s">
        <v>183</v>
      </c>
      <c r="J61" t="s">
        <v>74</v>
      </c>
      <c r="L61" t="s">
        <v>51</v>
      </c>
      <c r="M61">
        <v>1</v>
      </c>
      <c r="N61" t="s">
        <v>100</v>
      </c>
      <c r="O61">
        <v>2</v>
      </c>
      <c r="P61" t="s">
        <v>64</v>
      </c>
      <c r="Q61" t="s">
        <v>65</v>
      </c>
      <c r="R61">
        <v>0</v>
      </c>
      <c r="S61">
        <v>8.75</v>
      </c>
      <c r="T61">
        <v>8.75</v>
      </c>
      <c r="U61" t="s">
        <v>7</v>
      </c>
    </row>
    <row r="62" spans="1:21" x14ac:dyDescent="0.25">
      <c r="A62" t="s">
        <v>8</v>
      </c>
      <c r="B62" t="s">
        <v>55</v>
      </c>
      <c r="C62" t="s">
        <v>56</v>
      </c>
      <c r="D62" t="s">
        <v>184</v>
      </c>
      <c r="E62" t="s">
        <v>185</v>
      </c>
      <c r="F62" t="s">
        <v>186</v>
      </c>
      <c r="G62" t="s">
        <v>187</v>
      </c>
      <c r="H62" t="s">
        <v>47</v>
      </c>
      <c r="I62" t="s">
        <v>127</v>
      </c>
      <c r="J62" t="s">
        <v>128</v>
      </c>
      <c r="L62" t="s">
        <v>63</v>
      </c>
      <c r="M62">
        <v>1</v>
      </c>
      <c r="N62" t="s">
        <v>52</v>
      </c>
      <c r="O62">
        <v>8</v>
      </c>
      <c r="P62" t="s">
        <v>64</v>
      </c>
      <c r="Q62" t="s">
        <v>65</v>
      </c>
      <c r="R62">
        <v>28.91</v>
      </c>
      <c r="S62">
        <v>0</v>
      </c>
      <c r="T62">
        <v>28.91</v>
      </c>
      <c r="U62" t="s">
        <v>7</v>
      </c>
    </row>
    <row r="63" spans="1:21" x14ac:dyDescent="0.25">
      <c r="A63" t="s">
        <v>8</v>
      </c>
      <c r="B63" t="s">
        <v>55</v>
      </c>
      <c r="C63" t="s">
        <v>56</v>
      </c>
      <c r="D63" t="s">
        <v>184</v>
      </c>
      <c r="E63" t="s">
        <v>185</v>
      </c>
      <c r="F63" t="s">
        <v>186</v>
      </c>
      <c r="G63" t="s">
        <v>187</v>
      </c>
      <c r="H63" t="s">
        <v>47</v>
      </c>
      <c r="I63" t="s">
        <v>127</v>
      </c>
      <c r="J63" t="s">
        <v>128</v>
      </c>
      <c r="L63" t="s">
        <v>63</v>
      </c>
      <c r="M63">
        <v>1</v>
      </c>
      <c r="N63" t="s">
        <v>52</v>
      </c>
      <c r="O63">
        <v>8</v>
      </c>
      <c r="P63" t="s">
        <v>64</v>
      </c>
      <c r="Q63" t="s">
        <v>65</v>
      </c>
      <c r="R63">
        <v>0</v>
      </c>
      <c r="S63">
        <v>8.75</v>
      </c>
      <c r="T63">
        <v>8.75</v>
      </c>
      <c r="U63" t="s">
        <v>7</v>
      </c>
    </row>
    <row r="64" spans="1:21" x14ac:dyDescent="0.25">
      <c r="A64" t="s">
        <v>8</v>
      </c>
      <c r="B64" t="s">
        <v>55</v>
      </c>
      <c r="C64" t="s">
        <v>56</v>
      </c>
      <c r="D64" t="s">
        <v>184</v>
      </c>
      <c r="E64" t="s">
        <v>185</v>
      </c>
      <c r="F64" t="s">
        <v>186</v>
      </c>
      <c r="G64" t="s">
        <v>187</v>
      </c>
      <c r="H64" t="s">
        <v>47</v>
      </c>
      <c r="I64" t="s">
        <v>127</v>
      </c>
      <c r="J64" t="s">
        <v>128</v>
      </c>
      <c r="L64" t="s">
        <v>63</v>
      </c>
      <c r="M64">
        <v>1</v>
      </c>
      <c r="N64" t="s">
        <v>52</v>
      </c>
      <c r="O64">
        <v>8</v>
      </c>
      <c r="P64" t="s">
        <v>64</v>
      </c>
      <c r="Q64" t="s">
        <v>65</v>
      </c>
      <c r="R64">
        <v>0</v>
      </c>
      <c r="S64">
        <v>5.25</v>
      </c>
      <c r="T64">
        <v>5.25</v>
      </c>
      <c r="U64" t="s">
        <v>7</v>
      </c>
    </row>
    <row r="65" spans="1:21" x14ac:dyDescent="0.25">
      <c r="A65" t="s">
        <v>8</v>
      </c>
      <c r="B65" t="s">
        <v>154</v>
      </c>
      <c r="C65" t="s">
        <v>155</v>
      </c>
      <c r="D65" t="s">
        <v>188</v>
      </c>
      <c r="E65" t="s">
        <v>189</v>
      </c>
      <c r="F65" t="s">
        <v>190</v>
      </c>
      <c r="G65" t="s">
        <v>191</v>
      </c>
      <c r="H65" t="s">
        <v>47</v>
      </c>
      <c r="I65" t="s">
        <v>192</v>
      </c>
      <c r="J65" t="s">
        <v>193</v>
      </c>
      <c r="L65" t="s">
        <v>51</v>
      </c>
      <c r="M65">
        <v>1</v>
      </c>
      <c r="N65" t="s">
        <v>85</v>
      </c>
      <c r="O65">
        <v>3</v>
      </c>
      <c r="P65" t="s">
        <v>64</v>
      </c>
      <c r="Q65" t="s">
        <v>65</v>
      </c>
      <c r="R65">
        <v>0</v>
      </c>
      <c r="S65">
        <v>5.25</v>
      </c>
      <c r="T65">
        <v>5.25</v>
      </c>
      <c r="U65" t="s">
        <v>7</v>
      </c>
    </row>
    <row r="66" spans="1:21" x14ac:dyDescent="0.25">
      <c r="A66" t="s">
        <v>8</v>
      </c>
      <c r="B66" t="s">
        <v>154</v>
      </c>
      <c r="C66" t="s">
        <v>155</v>
      </c>
      <c r="D66" t="s">
        <v>188</v>
      </c>
      <c r="E66" t="s">
        <v>189</v>
      </c>
      <c r="F66" t="s">
        <v>190</v>
      </c>
      <c r="G66" t="s">
        <v>191</v>
      </c>
      <c r="H66" t="s">
        <v>47</v>
      </c>
      <c r="I66" t="s">
        <v>192</v>
      </c>
      <c r="J66" t="s">
        <v>193</v>
      </c>
      <c r="L66" t="s">
        <v>51</v>
      </c>
      <c r="M66">
        <v>1</v>
      </c>
      <c r="N66" t="s">
        <v>85</v>
      </c>
      <c r="O66">
        <v>3</v>
      </c>
      <c r="P66" t="s">
        <v>64</v>
      </c>
      <c r="Q66" t="s">
        <v>65</v>
      </c>
      <c r="R66">
        <v>0</v>
      </c>
      <c r="S66">
        <v>8.75</v>
      </c>
      <c r="T66">
        <v>8.75</v>
      </c>
      <c r="U66" t="s">
        <v>7</v>
      </c>
    </row>
    <row r="67" spans="1:21" x14ac:dyDescent="0.25">
      <c r="A67" t="s">
        <v>8</v>
      </c>
      <c r="B67" t="s">
        <v>154</v>
      </c>
      <c r="C67" t="s">
        <v>155</v>
      </c>
      <c r="D67" t="s">
        <v>188</v>
      </c>
      <c r="E67" t="s">
        <v>189</v>
      </c>
      <c r="F67" t="s">
        <v>190</v>
      </c>
      <c r="G67" t="s">
        <v>191</v>
      </c>
      <c r="H67" t="s">
        <v>47</v>
      </c>
      <c r="I67" t="s">
        <v>192</v>
      </c>
      <c r="J67" t="s">
        <v>193</v>
      </c>
      <c r="L67" t="s">
        <v>51</v>
      </c>
      <c r="M67">
        <v>1</v>
      </c>
      <c r="N67" t="s">
        <v>85</v>
      </c>
      <c r="O67">
        <v>3</v>
      </c>
      <c r="P67" t="s">
        <v>64</v>
      </c>
      <c r="Q67" t="s">
        <v>65</v>
      </c>
      <c r="R67">
        <v>28.91</v>
      </c>
      <c r="S67">
        <v>0</v>
      </c>
      <c r="T67">
        <v>28.91</v>
      </c>
      <c r="U67" t="s">
        <v>7</v>
      </c>
    </row>
    <row r="68" spans="1:21" x14ac:dyDescent="0.25">
      <c r="A68" t="s">
        <v>8</v>
      </c>
      <c r="B68" t="s">
        <v>154</v>
      </c>
      <c r="C68" t="s">
        <v>155</v>
      </c>
      <c r="D68" t="s">
        <v>194</v>
      </c>
      <c r="E68" t="s">
        <v>195</v>
      </c>
      <c r="F68" t="s">
        <v>196</v>
      </c>
      <c r="G68" t="s">
        <v>197</v>
      </c>
      <c r="H68" t="s">
        <v>47</v>
      </c>
      <c r="I68" t="s">
        <v>198</v>
      </c>
      <c r="J68" t="s">
        <v>199</v>
      </c>
      <c r="L68" t="s">
        <v>51</v>
      </c>
      <c r="M68">
        <v>1</v>
      </c>
      <c r="N68" t="s">
        <v>85</v>
      </c>
      <c r="O68">
        <v>3</v>
      </c>
      <c r="P68" t="s">
        <v>64</v>
      </c>
      <c r="Q68" t="s">
        <v>65</v>
      </c>
      <c r="R68">
        <v>0</v>
      </c>
      <c r="S68">
        <v>5.25</v>
      </c>
      <c r="T68">
        <v>5.25</v>
      </c>
      <c r="U68" t="s">
        <v>7</v>
      </c>
    </row>
    <row r="69" spans="1:21" x14ac:dyDescent="0.25">
      <c r="A69" t="s">
        <v>8</v>
      </c>
      <c r="B69" t="s">
        <v>154</v>
      </c>
      <c r="C69" t="s">
        <v>155</v>
      </c>
      <c r="D69" t="s">
        <v>194</v>
      </c>
      <c r="E69" t="s">
        <v>195</v>
      </c>
      <c r="F69" t="s">
        <v>196</v>
      </c>
      <c r="G69" t="s">
        <v>197</v>
      </c>
      <c r="H69" t="s">
        <v>47</v>
      </c>
      <c r="I69" t="s">
        <v>198</v>
      </c>
      <c r="J69" t="s">
        <v>199</v>
      </c>
      <c r="L69" t="s">
        <v>51</v>
      </c>
      <c r="M69">
        <v>1</v>
      </c>
      <c r="N69" t="s">
        <v>85</v>
      </c>
      <c r="O69">
        <v>3</v>
      </c>
      <c r="P69" t="s">
        <v>64</v>
      </c>
      <c r="Q69" t="s">
        <v>65</v>
      </c>
      <c r="R69">
        <v>28.91</v>
      </c>
      <c r="S69">
        <v>0</v>
      </c>
      <c r="T69">
        <v>28.91</v>
      </c>
      <c r="U69" t="s">
        <v>7</v>
      </c>
    </row>
    <row r="70" spans="1:21" x14ac:dyDescent="0.25">
      <c r="A70" t="s">
        <v>8</v>
      </c>
      <c r="B70" t="s">
        <v>154</v>
      </c>
      <c r="C70" t="s">
        <v>155</v>
      </c>
      <c r="D70" t="s">
        <v>194</v>
      </c>
      <c r="E70" t="s">
        <v>195</v>
      </c>
      <c r="F70" t="s">
        <v>196</v>
      </c>
      <c r="G70" t="s">
        <v>197</v>
      </c>
      <c r="H70" t="s">
        <v>47</v>
      </c>
      <c r="I70" t="s">
        <v>198</v>
      </c>
      <c r="J70" t="s">
        <v>199</v>
      </c>
      <c r="L70" t="s">
        <v>51</v>
      </c>
      <c r="M70">
        <v>1</v>
      </c>
      <c r="N70" t="s">
        <v>85</v>
      </c>
      <c r="O70">
        <v>3</v>
      </c>
      <c r="P70" t="s">
        <v>64</v>
      </c>
      <c r="Q70" t="s">
        <v>65</v>
      </c>
      <c r="R70">
        <v>0</v>
      </c>
      <c r="S70">
        <v>8.75</v>
      </c>
      <c r="T70">
        <v>8.75</v>
      </c>
      <c r="U70" t="s">
        <v>7</v>
      </c>
    </row>
    <row r="71" spans="1:21" x14ac:dyDescent="0.25">
      <c r="A71" t="s">
        <v>8</v>
      </c>
      <c r="B71" t="s">
        <v>161</v>
      </c>
      <c r="C71" t="s">
        <v>162</v>
      </c>
      <c r="D71" t="s">
        <v>200</v>
      </c>
      <c r="E71" t="s">
        <v>201</v>
      </c>
      <c r="F71" t="s">
        <v>202</v>
      </c>
      <c r="G71" t="s">
        <v>203</v>
      </c>
      <c r="H71" t="s">
        <v>204</v>
      </c>
      <c r="I71" t="s">
        <v>205</v>
      </c>
      <c r="J71" t="s">
        <v>74</v>
      </c>
      <c r="L71" t="s">
        <v>206</v>
      </c>
      <c r="M71">
        <v>2</v>
      </c>
      <c r="N71" t="s">
        <v>85</v>
      </c>
      <c r="O71">
        <v>2</v>
      </c>
      <c r="P71" t="s">
        <v>64</v>
      </c>
      <c r="Q71" t="s">
        <v>65</v>
      </c>
      <c r="R71">
        <v>0</v>
      </c>
      <c r="S71">
        <v>5.25</v>
      </c>
      <c r="T71">
        <v>5.25</v>
      </c>
      <c r="U71" t="s">
        <v>7</v>
      </c>
    </row>
    <row r="72" spans="1:21" x14ac:dyDescent="0.25">
      <c r="A72" t="s">
        <v>8</v>
      </c>
      <c r="B72" t="s">
        <v>161</v>
      </c>
      <c r="C72" t="s">
        <v>162</v>
      </c>
      <c r="D72" t="s">
        <v>200</v>
      </c>
      <c r="E72" t="s">
        <v>201</v>
      </c>
      <c r="F72" t="s">
        <v>202</v>
      </c>
      <c r="G72" t="s">
        <v>203</v>
      </c>
      <c r="H72" t="s">
        <v>204</v>
      </c>
      <c r="I72" t="s">
        <v>205</v>
      </c>
      <c r="J72" t="s">
        <v>74</v>
      </c>
      <c r="L72" t="s">
        <v>206</v>
      </c>
      <c r="M72">
        <v>2</v>
      </c>
      <c r="N72" t="s">
        <v>85</v>
      </c>
      <c r="O72">
        <v>2</v>
      </c>
      <c r="P72" t="s">
        <v>64</v>
      </c>
      <c r="Q72" t="s">
        <v>65</v>
      </c>
      <c r="R72">
        <v>28.91</v>
      </c>
      <c r="S72">
        <v>0</v>
      </c>
      <c r="T72">
        <v>28.91</v>
      </c>
      <c r="U72" t="s">
        <v>7</v>
      </c>
    </row>
    <row r="73" spans="1:21" x14ac:dyDescent="0.25">
      <c r="A73" t="s">
        <v>8</v>
      </c>
      <c r="B73" t="s">
        <v>161</v>
      </c>
      <c r="C73" t="s">
        <v>162</v>
      </c>
      <c r="D73" t="s">
        <v>200</v>
      </c>
      <c r="E73" t="s">
        <v>201</v>
      </c>
      <c r="F73" t="s">
        <v>202</v>
      </c>
      <c r="G73" t="s">
        <v>203</v>
      </c>
      <c r="H73" t="s">
        <v>204</v>
      </c>
      <c r="I73" t="s">
        <v>205</v>
      </c>
      <c r="J73" t="s">
        <v>74</v>
      </c>
      <c r="L73" t="s">
        <v>206</v>
      </c>
      <c r="M73">
        <v>2</v>
      </c>
      <c r="N73" t="s">
        <v>85</v>
      </c>
      <c r="O73">
        <v>2</v>
      </c>
      <c r="P73" t="s">
        <v>64</v>
      </c>
      <c r="Q73" t="s">
        <v>65</v>
      </c>
      <c r="R73">
        <v>0</v>
      </c>
      <c r="S73">
        <v>8.75</v>
      </c>
      <c r="T73">
        <v>8.75</v>
      </c>
      <c r="U73" t="s">
        <v>7</v>
      </c>
    </row>
    <row r="74" spans="1:21" x14ac:dyDescent="0.25">
      <c r="A74" t="s">
        <v>8</v>
      </c>
      <c r="B74" t="s">
        <v>207</v>
      </c>
      <c r="C74" t="s">
        <v>208</v>
      </c>
      <c r="D74" t="s">
        <v>209</v>
      </c>
      <c r="E74" t="s">
        <v>210</v>
      </c>
      <c r="F74" t="s">
        <v>211</v>
      </c>
      <c r="G74" t="s">
        <v>212</v>
      </c>
      <c r="H74" t="s">
        <v>47</v>
      </c>
      <c r="I74" t="s">
        <v>213</v>
      </c>
      <c r="J74" t="s">
        <v>74</v>
      </c>
      <c r="L74" t="s">
        <v>51</v>
      </c>
      <c r="M74">
        <v>1</v>
      </c>
      <c r="N74" t="s">
        <v>52</v>
      </c>
      <c r="O74">
        <v>4</v>
      </c>
      <c r="P74" t="s">
        <v>64</v>
      </c>
      <c r="Q74" t="s">
        <v>65</v>
      </c>
      <c r="R74">
        <v>0</v>
      </c>
      <c r="S74">
        <v>8.75</v>
      </c>
      <c r="T74">
        <v>8.75</v>
      </c>
      <c r="U74" t="s">
        <v>7</v>
      </c>
    </row>
    <row r="75" spans="1:21" x14ac:dyDescent="0.25">
      <c r="A75" t="s">
        <v>8</v>
      </c>
      <c r="B75" t="s">
        <v>207</v>
      </c>
      <c r="C75" t="s">
        <v>208</v>
      </c>
      <c r="D75" t="s">
        <v>209</v>
      </c>
      <c r="E75" t="s">
        <v>210</v>
      </c>
      <c r="F75" t="s">
        <v>211</v>
      </c>
      <c r="G75" t="s">
        <v>212</v>
      </c>
      <c r="H75" t="s">
        <v>47</v>
      </c>
      <c r="I75" t="s">
        <v>213</v>
      </c>
      <c r="J75" t="s">
        <v>74</v>
      </c>
      <c r="L75" t="s">
        <v>51</v>
      </c>
      <c r="M75">
        <v>1</v>
      </c>
      <c r="N75" t="s">
        <v>52</v>
      </c>
      <c r="O75">
        <v>4</v>
      </c>
      <c r="P75" t="s">
        <v>64</v>
      </c>
      <c r="Q75" t="s">
        <v>65</v>
      </c>
      <c r="R75">
        <v>0</v>
      </c>
      <c r="S75">
        <v>5.25</v>
      </c>
      <c r="T75">
        <v>5.25</v>
      </c>
      <c r="U75" t="s">
        <v>7</v>
      </c>
    </row>
    <row r="76" spans="1:21" x14ac:dyDescent="0.25">
      <c r="A76" t="s">
        <v>8</v>
      </c>
      <c r="B76" t="s">
        <v>207</v>
      </c>
      <c r="C76" t="s">
        <v>208</v>
      </c>
      <c r="D76" t="s">
        <v>209</v>
      </c>
      <c r="E76" t="s">
        <v>210</v>
      </c>
      <c r="F76" t="s">
        <v>211</v>
      </c>
      <c r="G76" t="s">
        <v>212</v>
      </c>
      <c r="H76" t="s">
        <v>47</v>
      </c>
      <c r="I76" t="s">
        <v>213</v>
      </c>
      <c r="J76" t="s">
        <v>74</v>
      </c>
      <c r="L76" t="s">
        <v>51</v>
      </c>
      <c r="M76">
        <v>1</v>
      </c>
      <c r="N76" t="s">
        <v>52</v>
      </c>
      <c r="O76">
        <v>4</v>
      </c>
      <c r="P76" t="s">
        <v>64</v>
      </c>
      <c r="Q76" t="s">
        <v>65</v>
      </c>
      <c r="R76">
        <v>28.91</v>
      </c>
      <c r="S76">
        <v>0</v>
      </c>
      <c r="T76">
        <v>28.91</v>
      </c>
      <c r="U76" t="s">
        <v>7</v>
      </c>
    </row>
    <row r="77" spans="1:21" x14ac:dyDescent="0.25">
      <c r="A77" t="s">
        <v>8</v>
      </c>
      <c r="B77" t="s">
        <v>207</v>
      </c>
      <c r="C77" t="s">
        <v>208</v>
      </c>
      <c r="D77" t="s">
        <v>214</v>
      </c>
      <c r="E77" t="s">
        <v>215</v>
      </c>
      <c r="F77" t="s">
        <v>216</v>
      </c>
      <c r="G77" t="s">
        <v>212</v>
      </c>
      <c r="H77" t="s">
        <v>47</v>
      </c>
      <c r="I77" t="s">
        <v>213</v>
      </c>
      <c r="J77" t="s">
        <v>74</v>
      </c>
      <c r="L77" t="s">
        <v>51</v>
      </c>
      <c r="M77">
        <v>1</v>
      </c>
      <c r="N77" t="s">
        <v>52</v>
      </c>
      <c r="O77">
        <v>4</v>
      </c>
      <c r="P77" t="s">
        <v>64</v>
      </c>
      <c r="Q77" t="s">
        <v>65</v>
      </c>
      <c r="R77">
        <v>28.91</v>
      </c>
      <c r="S77">
        <v>0</v>
      </c>
      <c r="T77">
        <v>28.91</v>
      </c>
      <c r="U77" t="s">
        <v>7</v>
      </c>
    </row>
    <row r="78" spans="1:21" x14ac:dyDescent="0.25">
      <c r="A78" t="s">
        <v>8</v>
      </c>
      <c r="B78" t="s">
        <v>207</v>
      </c>
      <c r="C78" t="s">
        <v>208</v>
      </c>
      <c r="D78" t="s">
        <v>214</v>
      </c>
      <c r="E78" t="s">
        <v>215</v>
      </c>
      <c r="F78" t="s">
        <v>216</v>
      </c>
      <c r="G78" t="s">
        <v>212</v>
      </c>
      <c r="H78" t="s">
        <v>47</v>
      </c>
      <c r="I78" t="s">
        <v>213</v>
      </c>
      <c r="J78" t="s">
        <v>74</v>
      </c>
      <c r="L78" t="s">
        <v>51</v>
      </c>
      <c r="M78">
        <v>1</v>
      </c>
      <c r="N78" t="s">
        <v>52</v>
      </c>
      <c r="O78">
        <v>4</v>
      </c>
      <c r="P78" t="s">
        <v>64</v>
      </c>
      <c r="Q78" t="s">
        <v>65</v>
      </c>
      <c r="R78">
        <v>0</v>
      </c>
      <c r="S78">
        <v>5.25</v>
      </c>
      <c r="T78">
        <v>5.25</v>
      </c>
      <c r="U78" t="s">
        <v>7</v>
      </c>
    </row>
    <row r="79" spans="1:21" x14ac:dyDescent="0.25">
      <c r="A79" t="s">
        <v>8</v>
      </c>
      <c r="B79" t="s">
        <v>207</v>
      </c>
      <c r="C79" t="s">
        <v>208</v>
      </c>
      <c r="D79" t="s">
        <v>214</v>
      </c>
      <c r="E79" t="s">
        <v>215</v>
      </c>
      <c r="F79" t="s">
        <v>216</v>
      </c>
      <c r="G79" t="s">
        <v>212</v>
      </c>
      <c r="H79" t="s">
        <v>47</v>
      </c>
      <c r="I79" t="s">
        <v>213</v>
      </c>
      <c r="J79" t="s">
        <v>74</v>
      </c>
      <c r="L79" t="s">
        <v>51</v>
      </c>
      <c r="M79">
        <v>1</v>
      </c>
      <c r="N79" t="s">
        <v>52</v>
      </c>
      <c r="O79">
        <v>4</v>
      </c>
      <c r="P79" t="s">
        <v>64</v>
      </c>
      <c r="Q79" t="s">
        <v>65</v>
      </c>
      <c r="R79">
        <v>0</v>
      </c>
      <c r="S79">
        <v>8.75</v>
      </c>
      <c r="T79">
        <v>8.75</v>
      </c>
      <c r="U79" t="s">
        <v>7</v>
      </c>
    </row>
    <row r="80" spans="1:21" x14ac:dyDescent="0.25">
      <c r="A80" t="s">
        <v>8</v>
      </c>
      <c r="B80" t="s">
        <v>154</v>
      </c>
      <c r="C80" t="s">
        <v>155</v>
      </c>
      <c r="D80" t="s">
        <v>217</v>
      </c>
      <c r="E80" t="s">
        <v>218</v>
      </c>
      <c r="F80" t="s">
        <v>219</v>
      </c>
      <c r="G80" t="s">
        <v>220</v>
      </c>
      <c r="H80" t="s">
        <v>126</v>
      </c>
      <c r="I80" t="s">
        <v>221</v>
      </c>
      <c r="J80" t="s">
        <v>222</v>
      </c>
      <c r="L80" t="s">
        <v>129</v>
      </c>
      <c r="M80">
        <v>16</v>
      </c>
      <c r="N80" t="s">
        <v>52</v>
      </c>
      <c r="O80">
        <v>12</v>
      </c>
      <c r="P80" t="s">
        <v>64</v>
      </c>
      <c r="Q80" t="s">
        <v>65</v>
      </c>
      <c r="R80">
        <v>28.91</v>
      </c>
      <c r="S80">
        <v>0</v>
      </c>
      <c r="T80">
        <v>28.91</v>
      </c>
      <c r="U80" t="s">
        <v>7</v>
      </c>
    </row>
    <row r="81" spans="1:21" x14ac:dyDescent="0.25">
      <c r="A81" t="s">
        <v>8</v>
      </c>
      <c r="B81" t="s">
        <v>154</v>
      </c>
      <c r="C81" t="s">
        <v>155</v>
      </c>
      <c r="D81" t="s">
        <v>217</v>
      </c>
      <c r="E81" t="s">
        <v>218</v>
      </c>
      <c r="F81" t="s">
        <v>219</v>
      </c>
      <c r="G81" t="s">
        <v>220</v>
      </c>
      <c r="H81" t="s">
        <v>126</v>
      </c>
      <c r="I81" t="s">
        <v>221</v>
      </c>
      <c r="J81" t="s">
        <v>222</v>
      </c>
      <c r="L81" t="s">
        <v>129</v>
      </c>
      <c r="M81">
        <v>16</v>
      </c>
      <c r="N81" t="s">
        <v>52</v>
      </c>
      <c r="O81">
        <v>12</v>
      </c>
      <c r="P81" t="s">
        <v>64</v>
      </c>
      <c r="Q81" t="s">
        <v>65</v>
      </c>
      <c r="R81">
        <v>0</v>
      </c>
      <c r="S81">
        <v>8.75</v>
      </c>
      <c r="T81">
        <v>8.75</v>
      </c>
      <c r="U81" t="s">
        <v>7</v>
      </c>
    </row>
    <row r="82" spans="1:21" x14ac:dyDescent="0.25">
      <c r="A82" t="s">
        <v>8</v>
      </c>
      <c r="B82" t="s">
        <v>154</v>
      </c>
      <c r="C82" t="s">
        <v>155</v>
      </c>
      <c r="D82" t="s">
        <v>217</v>
      </c>
      <c r="E82" t="s">
        <v>218</v>
      </c>
      <c r="F82" t="s">
        <v>219</v>
      </c>
      <c r="G82" t="s">
        <v>220</v>
      </c>
      <c r="H82" t="s">
        <v>126</v>
      </c>
      <c r="I82" t="s">
        <v>221</v>
      </c>
      <c r="J82" t="s">
        <v>222</v>
      </c>
      <c r="L82" t="s">
        <v>129</v>
      </c>
      <c r="M82">
        <v>16</v>
      </c>
      <c r="N82" t="s">
        <v>52</v>
      </c>
      <c r="O82">
        <v>12</v>
      </c>
      <c r="P82" t="s">
        <v>64</v>
      </c>
      <c r="Q82" t="s">
        <v>65</v>
      </c>
      <c r="R82">
        <v>0</v>
      </c>
      <c r="S82">
        <v>5.25</v>
      </c>
      <c r="T82">
        <v>5.25</v>
      </c>
      <c r="U82" t="s">
        <v>7</v>
      </c>
    </row>
    <row r="83" spans="1:21" x14ac:dyDescent="0.25">
      <c r="A83" t="s">
        <v>8</v>
      </c>
      <c r="B83" t="s">
        <v>41</v>
      </c>
      <c r="C83" t="s">
        <v>42</v>
      </c>
      <c r="D83" t="s">
        <v>223</v>
      </c>
      <c r="E83" t="s">
        <v>224</v>
      </c>
      <c r="F83" t="s">
        <v>225</v>
      </c>
      <c r="G83" t="s">
        <v>226</v>
      </c>
      <c r="H83" t="s">
        <v>47</v>
      </c>
      <c r="I83" t="s">
        <v>227</v>
      </c>
      <c r="J83" t="s">
        <v>222</v>
      </c>
      <c r="L83" t="s">
        <v>51</v>
      </c>
      <c r="M83">
        <v>10</v>
      </c>
      <c r="N83" t="s">
        <v>52</v>
      </c>
      <c r="O83">
        <v>3</v>
      </c>
      <c r="P83" t="s">
        <v>64</v>
      </c>
      <c r="Q83" t="s">
        <v>65</v>
      </c>
      <c r="R83">
        <v>0</v>
      </c>
      <c r="S83">
        <v>5.25</v>
      </c>
      <c r="T83">
        <v>5.25</v>
      </c>
      <c r="U83" t="s">
        <v>7</v>
      </c>
    </row>
    <row r="84" spans="1:21" x14ac:dyDescent="0.25">
      <c r="A84" t="s">
        <v>8</v>
      </c>
      <c r="B84" t="s">
        <v>41</v>
      </c>
      <c r="C84" t="s">
        <v>42</v>
      </c>
      <c r="D84" t="s">
        <v>223</v>
      </c>
      <c r="E84" t="s">
        <v>224</v>
      </c>
      <c r="F84" t="s">
        <v>225</v>
      </c>
      <c r="G84" t="s">
        <v>226</v>
      </c>
      <c r="H84" t="s">
        <v>47</v>
      </c>
      <c r="I84" t="s">
        <v>227</v>
      </c>
      <c r="J84" t="s">
        <v>222</v>
      </c>
      <c r="L84" t="s">
        <v>51</v>
      </c>
      <c r="M84">
        <v>10</v>
      </c>
      <c r="N84" t="s">
        <v>52</v>
      </c>
      <c r="O84">
        <v>3</v>
      </c>
      <c r="P84" t="s">
        <v>64</v>
      </c>
      <c r="Q84" t="s">
        <v>65</v>
      </c>
      <c r="R84">
        <v>28.91</v>
      </c>
      <c r="S84">
        <v>0</v>
      </c>
      <c r="T84">
        <v>28.91</v>
      </c>
      <c r="U84" t="s">
        <v>7</v>
      </c>
    </row>
    <row r="85" spans="1:21" x14ac:dyDescent="0.25">
      <c r="A85" t="s">
        <v>8</v>
      </c>
      <c r="B85" t="s">
        <v>41</v>
      </c>
      <c r="C85" t="s">
        <v>42</v>
      </c>
      <c r="D85" t="s">
        <v>223</v>
      </c>
      <c r="E85" t="s">
        <v>224</v>
      </c>
      <c r="F85" t="s">
        <v>225</v>
      </c>
      <c r="G85" t="s">
        <v>226</v>
      </c>
      <c r="H85" t="s">
        <v>47</v>
      </c>
      <c r="I85" t="s">
        <v>227</v>
      </c>
      <c r="J85" t="s">
        <v>222</v>
      </c>
      <c r="L85" t="s">
        <v>51</v>
      </c>
      <c r="M85">
        <v>10</v>
      </c>
      <c r="N85" t="s">
        <v>52</v>
      </c>
      <c r="O85">
        <v>3</v>
      </c>
      <c r="P85" t="s">
        <v>64</v>
      </c>
      <c r="Q85" t="s">
        <v>65</v>
      </c>
      <c r="R85">
        <v>0</v>
      </c>
      <c r="S85">
        <v>8.75</v>
      </c>
      <c r="T85">
        <v>8.75</v>
      </c>
      <c r="U85" t="s">
        <v>7</v>
      </c>
    </row>
    <row r="86" spans="1:21" x14ac:dyDescent="0.25">
      <c r="A86" t="s">
        <v>8</v>
      </c>
      <c r="B86" t="s">
        <v>207</v>
      </c>
      <c r="C86" t="s">
        <v>208</v>
      </c>
      <c r="D86" t="s">
        <v>228</v>
      </c>
      <c r="E86" t="s">
        <v>229</v>
      </c>
      <c r="F86" t="s">
        <v>230</v>
      </c>
      <c r="G86" t="s">
        <v>231</v>
      </c>
      <c r="H86" t="s">
        <v>47</v>
      </c>
      <c r="I86" t="s">
        <v>232</v>
      </c>
      <c r="J86" t="s">
        <v>74</v>
      </c>
      <c r="L86" t="s">
        <v>51</v>
      </c>
      <c r="M86">
        <v>1</v>
      </c>
      <c r="N86" t="s">
        <v>52</v>
      </c>
      <c r="O86">
        <v>7</v>
      </c>
      <c r="P86" t="s">
        <v>64</v>
      </c>
      <c r="Q86" t="s">
        <v>65</v>
      </c>
      <c r="R86">
        <v>0</v>
      </c>
      <c r="S86">
        <v>5.25</v>
      </c>
      <c r="T86">
        <v>5.25</v>
      </c>
      <c r="U86" t="s">
        <v>7</v>
      </c>
    </row>
    <row r="87" spans="1:21" x14ac:dyDescent="0.25">
      <c r="A87" t="s">
        <v>8</v>
      </c>
      <c r="B87" t="s">
        <v>207</v>
      </c>
      <c r="C87" t="s">
        <v>208</v>
      </c>
      <c r="D87" t="s">
        <v>228</v>
      </c>
      <c r="E87" t="s">
        <v>229</v>
      </c>
      <c r="F87" t="s">
        <v>230</v>
      </c>
      <c r="G87" t="s">
        <v>231</v>
      </c>
      <c r="H87" t="s">
        <v>47</v>
      </c>
      <c r="I87" t="s">
        <v>232</v>
      </c>
      <c r="J87" t="s">
        <v>74</v>
      </c>
      <c r="L87" t="s">
        <v>51</v>
      </c>
      <c r="M87">
        <v>1</v>
      </c>
      <c r="N87" t="s">
        <v>52</v>
      </c>
      <c r="O87">
        <v>7</v>
      </c>
      <c r="P87" t="s">
        <v>64</v>
      </c>
      <c r="Q87" t="s">
        <v>65</v>
      </c>
      <c r="R87">
        <v>0</v>
      </c>
      <c r="S87">
        <v>8.75</v>
      </c>
      <c r="T87">
        <v>8.75</v>
      </c>
      <c r="U87" t="s">
        <v>7</v>
      </c>
    </row>
    <row r="88" spans="1:21" x14ac:dyDescent="0.25">
      <c r="A88" t="s">
        <v>8</v>
      </c>
      <c r="B88" t="s">
        <v>207</v>
      </c>
      <c r="C88" t="s">
        <v>208</v>
      </c>
      <c r="D88" t="s">
        <v>228</v>
      </c>
      <c r="E88" t="s">
        <v>229</v>
      </c>
      <c r="F88" t="s">
        <v>230</v>
      </c>
      <c r="G88" t="s">
        <v>231</v>
      </c>
      <c r="H88" t="s">
        <v>47</v>
      </c>
      <c r="I88" t="s">
        <v>232</v>
      </c>
      <c r="J88" t="s">
        <v>74</v>
      </c>
      <c r="L88" t="s">
        <v>51</v>
      </c>
      <c r="M88">
        <v>1</v>
      </c>
      <c r="N88" t="s">
        <v>52</v>
      </c>
      <c r="O88">
        <v>7</v>
      </c>
      <c r="P88" t="s">
        <v>64</v>
      </c>
      <c r="Q88" t="s">
        <v>65</v>
      </c>
      <c r="R88">
        <v>28.91</v>
      </c>
      <c r="S88">
        <v>0</v>
      </c>
      <c r="T88">
        <v>28.91</v>
      </c>
      <c r="U88" t="s">
        <v>7</v>
      </c>
    </row>
    <row r="89" spans="1:21" x14ac:dyDescent="0.25">
      <c r="A89" t="s">
        <v>8</v>
      </c>
      <c r="B89" t="s">
        <v>207</v>
      </c>
      <c r="C89" t="s">
        <v>208</v>
      </c>
      <c r="D89" t="s">
        <v>233</v>
      </c>
      <c r="E89" t="s">
        <v>234</v>
      </c>
      <c r="F89" t="s">
        <v>235</v>
      </c>
      <c r="G89" t="s">
        <v>231</v>
      </c>
      <c r="H89" t="s">
        <v>47</v>
      </c>
      <c r="I89" t="s">
        <v>232</v>
      </c>
      <c r="J89" t="s">
        <v>74</v>
      </c>
      <c r="L89" t="s">
        <v>51</v>
      </c>
      <c r="M89">
        <v>1</v>
      </c>
      <c r="N89" t="s">
        <v>52</v>
      </c>
      <c r="O89">
        <v>7</v>
      </c>
      <c r="P89" t="s">
        <v>64</v>
      </c>
      <c r="Q89" t="s">
        <v>65</v>
      </c>
      <c r="R89">
        <v>0</v>
      </c>
      <c r="S89">
        <v>5.25</v>
      </c>
      <c r="T89">
        <v>5.25</v>
      </c>
      <c r="U89" t="s">
        <v>7</v>
      </c>
    </row>
    <row r="90" spans="1:21" x14ac:dyDescent="0.25">
      <c r="A90" t="s">
        <v>8</v>
      </c>
      <c r="B90" t="s">
        <v>207</v>
      </c>
      <c r="C90" t="s">
        <v>208</v>
      </c>
      <c r="D90" t="s">
        <v>233</v>
      </c>
      <c r="E90" t="s">
        <v>234</v>
      </c>
      <c r="F90" t="s">
        <v>235</v>
      </c>
      <c r="G90" t="s">
        <v>231</v>
      </c>
      <c r="H90" t="s">
        <v>47</v>
      </c>
      <c r="I90" t="s">
        <v>232</v>
      </c>
      <c r="J90" t="s">
        <v>74</v>
      </c>
      <c r="L90" t="s">
        <v>51</v>
      </c>
      <c r="M90">
        <v>1</v>
      </c>
      <c r="N90" t="s">
        <v>52</v>
      </c>
      <c r="O90">
        <v>7</v>
      </c>
      <c r="P90" t="s">
        <v>64</v>
      </c>
      <c r="Q90" t="s">
        <v>65</v>
      </c>
      <c r="R90">
        <v>0</v>
      </c>
      <c r="S90">
        <v>8.75</v>
      </c>
      <c r="T90">
        <v>8.75</v>
      </c>
      <c r="U90" t="s">
        <v>7</v>
      </c>
    </row>
    <row r="91" spans="1:21" x14ac:dyDescent="0.25">
      <c r="A91" t="s">
        <v>8</v>
      </c>
      <c r="B91" t="s">
        <v>207</v>
      </c>
      <c r="C91" t="s">
        <v>208</v>
      </c>
      <c r="D91" t="s">
        <v>233</v>
      </c>
      <c r="E91" t="s">
        <v>234</v>
      </c>
      <c r="F91" t="s">
        <v>235</v>
      </c>
      <c r="G91" t="s">
        <v>231</v>
      </c>
      <c r="H91" t="s">
        <v>47</v>
      </c>
      <c r="I91" t="s">
        <v>232</v>
      </c>
      <c r="J91" t="s">
        <v>74</v>
      </c>
      <c r="L91" t="s">
        <v>51</v>
      </c>
      <c r="M91">
        <v>1</v>
      </c>
      <c r="N91" t="s">
        <v>52</v>
      </c>
      <c r="O91">
        <v>7</v>
      </c>
      <c r="P91" t="s">
        <v>64</v>
      </c>
      <c r="Q91" t="s">
        <v>65</v>
      </c>
      <c r="R91">
        <v>28.91</v>
      </c>
      <c r="S91">
        <v>0</v>
      </c>
      <c r="T91">
        <v>28.91</v>
      </c>
      <c r="U91" t="s">
        <v>7</v>
      </c>
    </row>
    <row r="92" spans="1:21" x14ac:dyDescent="0.25">
      <c r="A92" t="s">
        <v>8</v>
      </c>
      <c r="B92" t="s">
        <v>236</v>
      </c>
      <c r="C92" t="s">
        <v>237</v>
      </c>
      <c r="D92" t="s">
        <v>238</v>
      </c>
      <c r="E92" t="s">
        <v>239</v>
      </c>
      <c r="F92" t="s">
        <v>240</v>
      </c>
      <c r="G92" t="s">
        <v>241</v>
      </c>
      <c r="H92" t="s">
        <v>81</v>
      </c>
      <c r="I92" t="s">
        <v>242</v>
      </c>
      <c r="J92" t="s">
        <v>243</v>
      </c>
      <c r="L92" t="s">
        <v>244</v>
      </c>
      <c r="M92">
        <v>17</v>
      </c>
      <c r="N92" t="s">
        <v>52</v>
      </c>
      <c r="O92">
        <v>6</v>
      </c>
      <c r="P92" t="s">
        <v>64</v>
      </c>
      <c r="Q92" t="s">
        <v>65</v>
      </c>
      <c r="R92">
        <v>0</v>
      </c>
      <c r="S92">
        <v>3.75</v>
      </c>
      <c r="T92">
        <v>3.75</v>
      </c>
      <c r="U92" t="s">
        <v>7</v>
      </c>
    </row>
    <row r="93" spans="1:21" x14ac:dyDescent="0.25">
      <c r="A93" t="s">
        <v>8</v>
      </c>
      <c r="B93" t="s">
        <v>236</v>
      </c>
      <c r="C93" t="s">
        <v>237</v>
      </c>
      <c r="D93" t="s">
        <v>238</v>
      </c>
      <c r="E93" t="s">
        <v>239</v>
      </c>
      <c r="F93" t="s">
        <v>240</v>
      </c>
      <c r="G93" t="s">
        <v>241</v>
      </c>
      <c r="H93" t="s">
        <v>81</v>
      </c>
      <c r="I93" t="s">
        <v>242</v>
      </c>
      <c r="J93" t="s">
        <v>243</v>
      </c>
      <c r="L93" t="s">
        <v>244</v>
      </c>
      <c r="M93">
        <v>17</v>
      </c>
      <c r="N93" t="s">
        <v>52</v>
      </c>
      <c r="O93">
        <v>6</v>
      </c>
      <c r="P93" t="s">
        <v>64</v>
      </c>
      <c r="Q93" t="s">
        <v>65</v>
      </c>
      <c r="R93">
        <v>0</v>
      </c>
      <c r="S93">
        <v>8.75</v>
      </c>
      <c r="T93">
        <v>8.75</v>
      </c>
      <c r="U93" t="s">
        <v>7</v>
      </c>
    </row>
    <row r="94" spans="1:21" x14ac:dyDescent="0.25">
      <c r="A94" t="s">
        <v>8</v>
      </c>
      <c r="B94" t="s">
        <v>236</v>
      </c>
      <c r="C94" t="s">
        <v>237</v>
      </c>
      <c r="D94" t="s">
        <v>238</v>
      </c>
      <c r="E94" t="s">
        <v>239</v>
      </c>
      <c r="F94" t="s">
        <v>240</v>
      </c>
      <c r="G94" t="s">
        <v>241</v>
      </c>
      <c r="H94" t="s">
        <v>81</v>
      </c>
      <c r="I94" t="s">
        <v>242</v>
      </c>
      <c r="J94" t="s">
        <v>243</v>
      </c>
      <c r="L94" t="s">
        <v>244</v>
      </c>
      <c r="M94">
        <v>17</v>
      </c>
      <c r="N94" t="s">
        <v>52</v>
      </c>
      <c r="O94">
        <v>6</v>
      </c>
      <c r="P94" t="s">
        <v>64</v>
      </c>
      <c r="Q94" t="s">
        <v>65</v>
      </c>
      <c r="R94">
        <v>28.91</v>
      </c>
      <c r="S94">
        <v>0</v>
      </c>
      <c r="T94">
        <v>28.91</v>
      </c>
      <c r="U94" t="s">
        <v>7</v>
      </c>
    </row>
    <row r="95" spans="1:21" x14ac:dyDescent="0.25">
      <c r="A95" t="s">
        <v>8</v>
      </c>
      <c r="B95" t="s">
        <v>106</v>
      </c>
      <c r="C95" t="s">
        <v>107</v>
      </c>
      <c r="D95" t="s">
        <v>245</v>
      </c>
      <c r="E95" t="s">
        <v>246</v>
      </c>
      <c r="F95" t="s">
        <v>247</v>
      </c>
      <c r="G95" t="s">
        <v>248</v>
      </c>
      <c r="H95" t="s">
        <v>47</v>
      </c>
      <c r="I95" t="s">
        <v>193</v>
      </c>
      <c r="J95" t="s">
        <v>160</v>
      </c>
      <c r="L95" t="s">
        <v>63</v>
      </c>
      <c r="M95">
        <v>1</v>
      </c>
      <c r="N95" t="s">
        <v>85</v>
      </c>
      <c r="O95">
        <v>3</v>
      </c>
      <c r="P95" t="s">
        <v>64</v>
      </c>
      <c r="Q95" t="s">
        <v>65</v>
      </c>
      <c r="R95">
        <v>28.91</v>
      </c>
      <c r="S95">
        <v>0</v>
      </c>
      <c r="T95">
        <v>28.91</v>
      </c>
      <c r="U95" t="s">
        <v>7</v>
      </c>
    </row>
    <row r="96" spans="1:21" x14ac:dyDescent="0.25">
      <c r="A96" t="s">
        <v>8</v>
      </c>
      <c r="B96" t="s">
        <v>106</v>
      </c>
      <c r="C96" t="s">
        <v>107</v>
      </c>
      <c r="D96" t="s">
        <v>245</v>
      </c>
      <c r="E96" t="s">
        <v>246</v>
      </c>
      <c r="F96" t="s">
        <v>247</v>
      </c>
      <c r="G96" t="s">
        <v>248</v>
      </c>
      <c r="H96" t="s">
        <v>47</v>
      </c>
      <c r="I96" t="s">
        <v>193</v>
      </c>
      <c r="J96" t="s">
        <v>160</v>
      </c>
      <c r="L96" t="s">
        <v>63</v>
      </c>
      <c r="M96">
        <v>1</v>
      </c>
      <c r="N96" t="s">
        <v>85</v>
      </c>
      <c r="O96">
        <v>3</v>
      </c>
      <c r="P96" t="s">
        <v>64</v>
      </c>
      <c r="Q96" t="s">
        <v>65</v>
      </c>
      <c r="R96">
        <v>0</v>
      </c>
      <c r="S96">
        <v>8.75</v>
      </c>
      <c r="T96">
        <v>8.75</v>
      </c>
      <c r="U96" t="s">
        <v>7</v>
      </c>
    </row>
    <row r="97" spans="1:21" x14ac:dyDescent="0.25">
      <c r="A97" t="s">
        <v>8</v>
      </c>
      <c r="B97" t="s">
        <v>106</v>
      </c>
      <c r="C97" t="s">
        <v>107</v>
      </c>
      <c r="D97" t="s">
        <v>245</v>
      </c>
      <c r="E97" t="s">
        <v>246</v>
      </c>
      <c r="F97" t="s">
        <v>247</v>
      </c>
      <c r="G97" t="s">
        <v>248</v>
      </c>
      <c r="H97" t="s">
        <v>47</v>
      </c>
      <c r="I97" t="s">
        <v>193</v>
      </c>
      <c r="J97" t="s">
        <v>160</v>
      </c>
      <c r="L97" t="s">
        <v>63</v>
      </c>
      <c r="M97">
        <v>1</v>
      </c>
      <c r="N97" t="s">
        <v>85</v>
      </c>
      <c r="O97">
        <v>3</v>
      </c>
      <c r="P97" t="s">
        <v>64</v>
      </c>
      <c r="Q97" t="s">
        <v>65</v>
      </c>
      <c r="R97">
        <v>0</v>
      </c>
      <c r="S97">
        <v>5.25</v>
      </c>
      <c r="T97">
        <v>5.25</v>
      </c>
      <c r="U97" t="s">
        <v>7</v>
      </c>
    </row>
    <row r="98" spans="1:21" x14ac:dyDescent="0.25">
      <c r="A98" t="s">
        <v>8</v>
      </c>
      <c r="B98" t="s">
        <v>86</v>
      </c>
      <c r="C98" t="s">
        <v>87</v>
      </c>
      <c r="D98" t="s">
        <v>249</v>
      </c>
      <c r="E98" t="s">
        <v>250</v>
      </c>
      <c r="F98" t="s">
        <v>251</v>
      </c>
      <c r="G98" t="s">
        <v>252</v>
      </c>
      <c r="H98" t="s">
        <v>47</v>
      </c>
      <c r="I98" t="s">
        <v>253</v>
      </c>
      <c r="J98" t="s">
        <v>74</v>
      </c>
      <c r="L98" t="s">
        <v>51</v>
      </c>
      <c r="M98">
        <v>1</v>
      </c>
      <c r="N98" t="s">
        <v>52</v>
      </c>
      <c r="O98">
        <v>6</v>
      </c>
      <c r="P98" t="s">
        <v>64</v>
      </c>
      <c r="Q98" t="s">
        <v>65</v>
      </c>
      <c r="R98">
        <v>0</v>
      </c>
      <c r="S98">
        <v>5.25</v>
      </c>
      <c r="T98">
        <v>5.25</v>
      </c>
      <c r="U98" t="s">
        <v>7</v>
      </c>
    </row>
    <row r="99" spans="1:21" x14ac:dyDescent="0.25">
      <c r="A99" t="s">
        <v>8</v>
      </c>
      <c r="B99" t="s">
        <v>86</v>
      </c>
      <c r="C99" t="s">
        <v>87</v>
      </c>
      <c r="D99" t="s">
        <v>249</v>
      </c>
      <c r="E99" t="s">
        <v>250</v>
      </c>
      <c r="F99" t="s">
        <v>251</v>
      </c>
      <c r="G99" t="s">
        <v>252</v>
      </c>
      <c r="H99" t="s">
        <v>47</v>
      </c>
      <c r="I99" t="s">
        <v>253</v>
      </c>
      <c r="J99" t="s">
        <v>74</v>
      </c>
      <c r="L99" t="s">
        <v>51</v>
      </c>
      <c r="M99">
        <v>1</v>
      </c>
      <c r="N99" t="s">
        <v>52</v>
      </c>
      <c r="O99">
        <v>6</v>
      </c>
      <c r="P99" t="s">
        <v>64</v>
      </c>
      <c r="Q99" t="s">
        <v>65</v>
      </c>
      <c r="R99">
        <v>0</v>
      </c>
      <c r="S99">
        <v>8.75</v>
      </c>
      <c r="T99">
        <v>8.75</v>
      </c>
      <c r="U99" t="s">
        <v>7</v>
      </c>
    </row>
    <row r="100" spans="1:21" x14ac:dyDescent="0.25">
      <c r="A100" t="s">
        <v>8</v>
      </c>
      <c r="B100" t="s">
        <v>86</v>
      </c>
      <c r="C100" t="s">
        <v>87</v>
      </c>
      <c r="D100" t="s">
        <v>249</v>
      </c>
      <c r="E100" t="s">
        <v>250</v>
      </c>
      <c r="F100" t="s">
        <v>251</v>
      </c>
      <c r="G100" t="s">
        <v>252</v>
      </c>
      <c r="H100" t="s">
        <v>47</v>
      </c>
      <c r="I100" t="s">
        <v>253</v>
      </c>
      <c r="J100" t="s">
        <v>74</v>
      </c>
      <c r="L100" t="s">
        <v>51</v>
      </c>
      <c r="M100">
        <v>1</v>
      </c>
      <c r="N100" t="s">
        <v>52</v>
      </c>
      <c r="O100">
        <v>6</v>
      </c>
      <c r="P100" t="s">
        <v>64</v>
      </c>
      <c r="Q100" t="s">
        <v>65</v>
      </c>
      <c r="R100">
        <v>28.91</v>
      </c>
      <c r="S100">
        <v>0</v>
      </c>
      <c r="T100">
        <v>28.91</v>
      </c>
      <c r="U100" t="s">
        <v>7</v>
      </c>
    </row>
    <row r="101" spans="1:21" x14ac:dyDescent="0.25">
      <c r="A101" t="s">
        <v>8</v>
      </c>
      <c r="B101" t="s">
        <v>161</v>
      </c>
      <c r="C101" t="s">
        <v>162</v>
      </c>
      <c r="D101" t="s">
        <v>254</v>
      </c>
      <c r="E101" t="s">
        <v>255</v>
      </c>
      <c r="F101" t="s">
        <v>256</v>
      </c>
      <c r="G101" t="s">
        <v>257</v>
      </c>
      <c r="H101" t="s">
        <v>47</v>
      </c>
      <c r="I101" t="s">
        <v>258</v>
      </c>
      <c r="J101" t="s">
        <v>259</v>
      </c>
      <c r="L101" t="s">
        <v>63</v>
      </c>
      <c r="M101">
        <v>3</v>
      </c>
      <c r="N101" t="s">
        <v>85</v>
      </c>
      <c r="O101">
        <v>2</v>
      </c>
      <c r="P101" t="s">
        <v>64</v>
      </c>
      <c r="Q101" t="s">
        <v>65</v>
      </c>
      <c r="R101">
        <v>0</v>
      </c>
      <c r="S101">
        <v>8.75</v>
      </c>
      <c r="T101">
        <v>8.75</v>
      </c>
      <c r="U101" t="s">
        <v>7</v>
      </c>
    </row>
    <row r="102" spans="1:21" x14ac:dyDescent="0.25">
      <c r="A102" t="s">
        <v>8</v>
      </c>
      <c r="B102" t="s">
        <v>161</v>
      </c>
      <c r="C102" t="s">
        <v>162</v>
      </c>
      <c r="D102" t="s">
        <v>254</v>
      </c>
      <c r="E102" t="s">
        <v>255</v>
      </c>
      <c r="F102" t="s">
        <v>256</v>
      </c>
      <c r="G102" t="s">
        <v>257</v>
      </c>
      <c r="H102" t="s">
        <v>47</v>
      </c>
      <c r="I102" t="s">
        <v>258</v>
      </c>
      <c r="J102" t="s">
        <v>259</v>
      </c>
      <c r="L102" t="s">
        <v>63</v>
      </c>
      <c r="M102">
        <v>3</v>
      </c>
      <c r="N102" t="s">
        <v>85</v>
      </c>
      <c r="O102">
        <v>2</v>
      </c>
      <c r="P102" t="s">
        <v>64</v>
      </c>
      <c r="Q102" t="s">
        <v>65</v>
      </c>
      <c r="R102">
        <v>0</v>
      </c>
      <c r="S102">
        <v>5.25</v>
      </c>
      <c r="T102">
        <v>5.25</v>
      </c>
      <c r="U102" t="s">
        <v>7</v>
      </c>
    </row>
    <row r="103" spans="1:21" x14ac:dyDescent="0.25">
      <c r="A103" t="s">
        <v>8</v>
      </c>
      <c r="B103" t="s">
        <v>161</v>
      </c>
      <c r="C103" t="s">
        <v>162</v>
      </c>
      <c r="D103" t="s">
        <v>254</v>
      </c>
      <c r="E103" t="s">
        <v>255</v>
      </c>
      <c r="F103" t="s">
        <v>256</v>
      </c>
      <c r="G103" t="s">
        <v>257</v>
      </c>
      <c r="H103" t="s">
        <v>47</v>
      </c>
      <c r="I103" t="s">
        <v>258</v>
      </c>
      <c r="J103" t="s">
        <v>259</v>
      </c>
      <c r="L103" t="s">
        <v>63</v>
      </c>
      <c r="M103">
        <v>3</v>
      </c>
      <c r="N103" t="s">
        <v>85</v>
      </c>
      <c r="O103">
        <v>2</v>
      </c>
      <c r="P103" t="s">
        <v>64</v>
      </c>
      <c r="Q103" t="s">
        <v>65</v>
      </c>
      <c r="R103">
        <v>28.91</v>
      </c>
      <c r="S103">
        <v>0</v>
      </c>
      <c r="T103">
        <v>28.91</v>
      </c>
      <c r="U103" t="s">
        <v>7</v>
      </c>
    </row>
    <row r="104" spans="1:21" x14ac:dyDescent="0.25">
      <c r="A104" t="s">
        <v>8</v>
      </c>
      <c r="B104" t="s">
        <v>55</v>
      </c>
      <c r="C104" t="s">
        <v>56</v>
      </c>
      <c r="D104" t="s">
        <v>260</v>
      </c>
      <c r="E104" t="s">
        <v>261</v>
      </c>
      <c r="F104" t="s">
        <v>262</v>
      </c>
      <c r="G104" t="s">
        <v>263</v>
      </c>
      <c r="H104" t="s">
        <v>47</v>
      </c>
      <c r="I104" t="s">
        <v>264</v>
      </c>
      <c r="J104" t="s">
        <v>74</v>
      </c>
      <c r="L104" t="s">
        <v>63</v>
      </c>
      <c r="M104">
        <v>1</v>
      </c>
      <c r="N104" t="s">
        <v>52</v>
      </c>
      <c r="O104">
        <v>4</v>
      </c>
      <c r="P104" t="s">
        <v>64</v>
      </c>
      <c r="Q104" t="s">
        <v>65</v>
      </c>
      <c r="R104">
        <v>0</v>
      </c>
      <c r="S104">
        <v>5.25</v>
      </c>
      <c r="T104">
        <v>5.25</v>
      </c>
      <c r="U104" t="s">
        <v>7</v>
      </c>
    </row>
    <row r="105" spans="1:21" x14ac:dyDescent="0.25">
      <c r="A105" t="s">
        <v>8</v>
      </c>
      <c r="B105" t="s">
        <v>55</v>
      </c>
      <c r="C105" t="s">
        <v>56</v>
      </c>
      <c r="D105" t="s">
        <v>260</v>
      </c>
      <c r="E105" t="s">
        <v>261</v>
      </c>
      <c r="F105" t="s">
        <v>262</v>
      </c>
      <c r="G105" t="s">
        <v>263</v>
      </c>
      <c r="H105" t="s">
        <v>47</v>
      </c>
      <c r="I105" t="s">
        <v>264</v>
      </c>
      <c r="J105" t="s">
        <v>74</v>
      </c>
      <c r="L105" t="s">
        <v>63</v>
      </c>
      <c r="M105">
        <v>1</v>
      </c>
      <c r="N105" t="s">
        <v>52</v>
      </c>
      <c r="O105">
        <v>4</v>
      </c>
      <c r="P105" t="s">
        <v>64</v>
      </c>
      <c r="Q105" t="s">
        <v>65</v>
      </c>
      <c r="R105">
        <v>0</v>
      </c>
      <c r="S105">
        <v>8.75</v>
      </c>
      <c r="T105">
        <v>8.75</v>
      </c>
      <c r="U105" t="s">
        <v>7</v>
      </c>
    </row>
    <row r="106" spans="1:21" x14ac:dyDescent="0.25">
      <c r="A106" t="s">
        <v>8</v>
      </c>
      <c r="B106" t="s">
        <v>55</v>
      </c>
      <c r="C106" t="s">
        <v>56</v>
      </c>
      <c r="D106" t="s">
        <v>260</v>
      </c>
      <c r="E106" t="s">
        <v>261</v>
      </c>
      <c r="F106" t="s">
        <v>262</v>
      </c>
      <c r="G106" t="s">
        <v>263</v>
      </c>
      <c r="H106" t="s">
        <v>47</v>
      </c>
      <c r="I106" t="s">
        <v>264</v>
      </c>
      <c r="J106" t="s">
        <v>74</v>
      </c>
      <c r="L106" t="s">
        <v>63</v>
      </c>
      <c r="M106">
        <v>1</v>
      </c>
      <c r="N106" t="s">
        <v>52</v>
      </c>
      <c r="O106">
        <v>4</v>
      </c>
      <c r="P106" t="s">
        <v>64</v>
      </c>
      <c r="Q106" t="s">
        <v>65</v>
      </c>
      <c r="R106">
        <v>28.91</v>
      </c>
      <c r="S106">
        <v>0</v>
      </c>
      <c r="T106">
        <v>28.91</v>
      </c>
      <c r="U106" t="s">
        <v>7</v>
      </c>
    </row>
    <row r="107" spans="1:21" x14ac:dyDescent="0.25">
      <c r="A107" t="s">
        <v>8</v>
      </c>
      <c r="B107" t="s">
        <v>265</v>
      </c>
      <c r="C107" t="s">
        <v>266</v>
      </c>
      <c r="D107" t="s">
        <v>267</v>
      </c>
      <c r="E107" t="s">
        <v>268</v>
      </c>
      <c r="F107" t="s">
        <v>269</v>
      </c>
      <c r="G107" t="s">
        <v>270</v>
      </c>
      <c r="H107" t="s">
        <v>47</v>
      </c>
      <c r="I107" t="s">
        <v>271</v>
      </c>
      <c r="J107" t="s">
        <v>74</v>
      </c>
      <c r="L107" t="s">
        <v>51</v>
      </c>
      <c r="M107">
        <v>1</v>
      </c>
      <c r="N107" t="s">
        <v>52</v>
      </c>
      <c r="O107">
        <v>5</v>
      </c>
      <c r="P107" t="s">
        <v>64</v>
      </c>
      <c r="Q107" t="s">
        <v>65</v>
      </c>
      <c r="R107">
        <v>0</v>
      </c>
      <c r="S107">
        <v>5.25</v>
      </c>
      <c r="T107">
        <v>5.25</v>
      </c>
      <c r="U107" t="s">
        <v>7</v>
      </c>
    </row>
    <row r="108" spans="1:21" x14ac:dyDescent="0.25">
      <c r="A108" t="s">
        <v>8</v>
      </c>
      <c r="B108" t="s">
        <v>265</v>
      </c>
      <c r="C108" t="s">
        <v>266</v>
      </c>
      <c r="D108" t="s">
        <v>267</v>
      </c>
      <c r="E108" t="s">
        <v>268</v>
      </c>
      <c r="F108" t="s">
        <v>269</v>
      </c>
      <c r="G108" t="s">
        <v>270</v>
      </c>
      <c r="H108" t="s">
        <v>47</v>
      </c>
      <c r="I108" t="s">
        <v>271</v>
      </c>
      <c r="J108" t="s">
        <v>74</v>
      </c>
      <c r="L108" t="s">
        <v>51</v>
      </c>
      <c r="M108">
        <v>1</v>
      </c>
      <c r="N108" t="s">
        <v>52</v>
      </c>
      <c r="O108">
        <v>5</v>
      </c>
      <c r="P108" t="s">
        <v>64</v>
      </c>
      <c r="Q108" t="s">
        <v>65</v>
      </c>
      <c r="R108">
        <v>0</v>
      </c>
      <c r="S108">
        <v>8.75</v>
      </c>
      <c r="T108">
        <v>8.75</v>
      </c>
      <c r="U108" t="s">
        <v>7</v>
      </c>
    </row>
    <row r="109" spans="1:21" x14ac:dyDescent="0.25">
      <c r="A109" t="s">
        <v>8</v>
      </c>
      <c r="B109" t="s">
        <v>265</v>
      </c>
      <c r="C109" t="s">
        <v>266</v>
      </c>
      <c r="D109" t="s">
        <v>267</v>
      </c>
      <c r="E109" t="s">
        <v>268</v>
      </c>
      <c r="F109" t="s">
        <v>269</v>
      </c>
      <c r="G109" t="s">
        <v>270</v>
      </c>
      <c r="H109" t="s">
        <v>47</v>
      </c>
      <c r="I109" t="s">
        <v>271</v>
      </c>
      <c r="J109" t="s">
        <v>74</v>
      </c>
      <c r="L109" t="s">
        <v>51</v>
      </c>
      <c r="M109">
        <v>1</v>
      </c>
      <c r="N109" t="s">
        <v>52</v>
      </c>
      <c r="O109">
        <v>5</v>
      </c>
      <c r="P109" t="s">
        <v>64</v>
      </c>
      <c r="Q109" t="s">
        <v>65</v>
      </c>
      <c r="R109">
        <v>28.91</v>
      </c>
      <c r="S109">
        <v>0</v>
      </c>
      <c r="T109">
        <v>28.91</v>
      </c>
      <c r="U109" t="s">
        <v>7</v>
      </c>
    </row>
    <row r="110" spans="1:21" x14ac:dyDescent="0.25">
      <c r="A110" t="s">
        <v>8</v>
      </c>
      <c r="B110" t="s">
        <v>106</v>
      </c>
      <c r="C110" t="s">
        <v>107</v>
      </c>
      <c r="D110" t="s">
        <v>272</v>
      </c>
      <c r="E110" t="s">
        <v>273</v>
      </c>
      <c r="F110" t="s">
        <v>274</v>
      </c>
      <c r="G110" t="s">
        <v>275</v>
      </c>
      <c r="H110" t="s">
        <v>47</v>
      </c>
      <c r="I110" t="s">
        <v>276</v>
      </c>
      <c r="J110" t="s">
        <v>74</v>
      </c>
      <c r="L110" t="s">
        <v>51</v>
      </c>
      <c r="M110">
        <v>1</v>
      </c>
      <c r="N110" t="s">
        <v>100</v>
      </c>
      <c r="O110">
        <v>2</v>
      </c>
      <c r="P110" t="s">
        <v>64</v>
      </c>
      <c r="Q110" t="s">
        <v>65</v>
      </c>
      <c r="R110">
        <v>0</v>
      </c>
      <c r="S110">
        <v>5.25</v>
      </c>
      <c r="T110">
        <v>5.25</v>
      </c>
      <c r="U110" t="s">
        <v>7</v>
      </c>
    </row>
    <row r="111" spans="1:21" x14ac:dyDescent="0.25">
      <c r="A111" t="s">
        <v>8</v>
      </c>
      <c r="B111" t="s">
        <v>106</v>
      </c>
      <c r="C111" t="s">
        <v>107</v>
      </c>
      <c r="D111" t="s">
        <v>272</v>
      </c>
      <c r="E111" t="s">
        <v>273</v>
      </c>
      <c r="F111" t="s">
        <v>274</v>
      </c>
      <c r="G111" t="s">
        <v>275</v>
      </c>
      <c r="H111" t="s">
        <v>47</v>
      </c>
      <c r="I111" t="s">
        <v>276</v>
      </c>
      <c r="J111" t="s">
        <v>74</v>
      </c>
      <c r="L111" t="s">
        <v>51</v>
      </c>
      <c r="M111">
        <v>1</v>
      </c>
      <c r="N111" t="s">
        <v>100</v>
      </c>
      <c r="O111">
        <v>2</v>
      </c>
      <c r="P111" t="s">
        <v>64</v>
      </c>
      <c r="Q111" t="s">
        <v>65</v>
      </c>
      <c r="R111">
        <v>28.91</v>
      </c>
      <c r="S111">
        <v>0</v>
      </c>
      <c r="T111">
        <v>28.91</v>
      </c>
      <c r="U111" t="s">
        <v>7</v>
      </c>
    </row>
    <row r="112" spans="1:21" x14ac:dyDescent="0.25">
      <c r="A112" t="s">
        <v>8</v>
      </c>
      <c r="B112" t="s">
        <v>106</v>
      </c>
      <c r="C112" t="s">
        <v>107</v>
      </c>
      <c r="D112" t="s">
        <v>272</v>
      </c>
      <c r="E112" t="s">
        <v>273</v>
      </c>
      <c r="F112" t="s">
        <v>274</v>
      </c>
      <c r="G112" t="s">
        <v>275</v>
      </c>
      <c r="H112" t="s">
        <v>47</v>
      </c>
      <c r="I112" t="s">
        <v>276</v>
      </c>
      <c r="J112" t="s">
        <v>74</v>
      </c>
      <c r="L112" t="s">
        <v>51</v>
      </c>
      <c r="M112">
        <v>1</v>
      </c>
      <c r="N112" t="s">
        <v>100</v>
      </c>
      <c r="O112">
        <v>2</v>
      </c>
      <c r="P112" t="s">
        <v>64</v>
      </c>
      <c r="Q112" t="s">
        <v>65</v>
      </c>
      <c r="R112">
        <v>0</v>
      </c>
      <c r="S112">
        <v>8.75</v>
      </c>
      <c r="T112">
        <v>8.75</v>
      </c>
      <c r="U112" t="s">
        <v>7</v>
      </c>
    </row>
    <row r="113" spans="1:21" x14ac:dyDescent="0.25">
      <c r="A113" t="s">
        <v>8</v>
      </c>
      <c r="B113" t="s">
        <v>154</v>
      </c>
      <c r="C113" t="s">
        <v>155</v>
      </c>
      <c r="D113" t="s">
        <v>277</v>
      </c>
      <c r="E113" t="s">
        <v>278</v>
      </c>
      <c r="F113" t="s">
        <v>279</v>
      </c>
      <c r="G113" t="s">
        <v>280</v>
      </c>
      <c r="H113" t="s">
        <v>47</v>
      </c>
      <c r="I113" t="s">
        <v>281</v>
      </c>
      <c r="J113" t="s">
        <v>222</v>
      </c>
      <c r="L113" t="s">
        <v>51</v>
      </c>
      <c r="M113">
        <v>10</v>
      </c>
      <c r="N113" t="s">
        <v>52</v>
      </c>
      <c r="O113">
        <v>5</v>
      </c>
      <c r="P113" t="s">
        <v>64</v>
      </c>
      <c r="Q113" t="s">
        <v>65</v>
      </c>
      <c r="R113">
        <v>0</v>
      </c>
      <c r="S113">
        <v>8.75</v>
      </c>
      <c r="T113">
        <v>8.75</v>
      </c>
      <c r="U113" t="s">
        <v>7</v>
      </c>
    </row>
    <row r="114" spans="1:21" x14ac:dyDescent="0.25">
      <c r="A114" t="s">
        <v>8</v>
      </c>
      <c r="B114" t="s">
        <v>154</v>
      </c>
      <c r="C114" t="s">
        <v>155</v>
      </c>
      <c r="D114" t="s">
        <v>277</v>
      </c>
      <c r="E114" t="s">
        <v>278</v>
      </c>
      <c r="F114" t="s">
        <v>279</v>
      </c>
      <c r="G114" t="s">
        <v>280</v>
      </c>
      <c r="H114" t="s">
        <v>47</v>
      </c>
      <c r="I114" t="s">
        <v>281</v>
      </c>
      <c r="J114" t="s">
        <v>222</v>
      </c>
      <c r="L114" t="s">
        <v>51</v>
      </c>
      <c r="M114">
        <v>10</v>
      </c>
      <c r="N114" t="s">
        <v>52</v>
      </c>
      <c r="O114">
        <v>5</v>
      </c>
      <c r="P114" t="s">
        <v>64</v>
      </c>
      <c r="Q114" t="s">
        <v>65</v>
      </c>
      <c r="R114">
        <v>0</v>
      </c>
      <c r="S114">
        <v>5.25</v>
      </c>
      <c r="T114">
        <v>5.25</v>
      </c>
      <c r="U114" t="s">
        <v>7</v>
      </c>
    </row>
    <row r="115" spans="1:21" x14ac:dyDescent="0.25">
      <c r="A115" t="s">
        <v>8</v>
      </c>
      <c r="B115" t="s">
        <v>154</v>
      </c>
      <c r="C115" t="s">
        <v>155</v>
      </c>
      <c r="D115" t="s">
        <v>277</v>
      </c>
      <c r="E115" t="s">
        <v>278</v>
      </c>
      <c r="F115" t="s">
        <v>279</v>
      </c>
      <c r="G115" t="s">
        <v>280</v>
      </c>
      <c r="H115" t="s">
        <v>47</v>
      </c>
      <c r="I115" t="s">
        <v>281</v>
      </c>
      <c r="J115" t="s">
        <v>222</v>
      </c>
      <c r="L115" t="s">
        <v>51</v>
      </c>
      <c r="M115">
        <v>10</v>
      </c>
      <c r="N115" t="s">
        <v>52</v>
      </c>
      <c r="O115">
        <v>5</v>
      </c>
      <c r="P115" t="s">
        <v>64</v>
      </c>
      <c r="Q115" t="s">
        <v>65</v>
      </c>
      <c r="R115">
        <v>28.91</v>
      </c>
      <c r="S115">
        <v>0</v>
      </c>
      <c r="T115">
        <v>28.91</v>
      </c>
      <c r="U115" t="s">
        <v>7</v>
      </c>
    </row>
    <row r="116" spans="1:21" x14ac:dyDescent="0.25">
      <c r="A116" t="s">
        <v>8</v>
      </c>
      <c r="B116" t="s">
        <v>41</v>
      </c>
      <c r="C116" t="s">
        <v>42</v>
      </c>
      <c r="D116" t="s">
        <v>282</v>
      </c>
      <c r="E116" t="s">
        <v>283</v>
      </c>
      <c r="F116" t="s">
        <v>284</v>
      </c>
      <c r="G116" t="s">
        <v>285</v>
      </c>
      <c r="H116" t="s">
        <v>47</v>
      </c>
      <c r="I116" t="s">
        <v>286</v>
      </c>
      <c r="J116" t="s">
        <v>74</v>
      </c>
      <c r="L116" t="s">
        <v>51</v>
      </c>
      <c r="M116">
        <v>1</v>
      </c>
      <c r="N116" t="s">
        <v>52</v>
      </c>
      <c r="O116">
        <v>8</v>
      </c>
      <c r="P116" t="s">
        <v>64</v>
      </c>
      <c r="Q116" t="s">
        <v>65</v>
      </c>
      <c r="R116">
        <v>28.91</v>
      </c>
      <c r="S116">
        <v>0</v>
      </c>
      <c r="T116">
        <v>28.91</v>
      </c>
      <c r="U116" t="s">
        <v>7</v>
      </c>
    </row>
    <row r="117" spans="1:21" x14ac:dyDescent="0.25">
      <c r="A117" t="s">
        <v>8</v>
      </c>
      <c r="B117" t="s">
        <v>41</v>
      </c>
      <c r="C117" t="s">
        <v>42</v>
      </c>
      <c r="D117" t="s">
        <v>282</v>
      </c>
      <c r="E117" t="s">
        <v>283</v>
      </c>
      <c r="F117" t="s">
        <v>284</v>
      </c>
      <c r="G117" t="s">
        <v>285</v>
      </c>
      <c r="H117" t="s">
        <v>47</v>
      </c>
      <c r="I117" t="s">
        <v>286</v>
      </c>
      <c r="J117" t="s">
        <v>74</v>
      </c>
      <c r="L117" t="s">
        <v>51</v>
      </c>
      <c r="M117">
        <v>1</v>
      </c>
      <c r="N117" t="s">
        <v>52</v>
      </c>
      <c r="O117">
        <v>8</v>
      </c>
      <c r="P117" t="s">
        <v>64</v>
      </c>
      <c r="Q117" t="s">
        <v>65</v>
      </c>
      <c r="R117">
        <v>0</v>
      </c>
      <c r="S117">
        <v>5.25</v>
      </c>
      <c r="T117">
        <v>5.25</v>
      </c>
      <c r="U117" t="s">
        <v>7</v>
      </c>
    </row>
    <row r="118" spans="1:21" x14ac:dyDescent="0.25">
      <c r="A118" t="s">
        <v>8</v>
      </c>
      <c r="B118" t="s">
        <v>41</v>
      </c>
      <c r="C118" t="s">
        <v>42</v>
      </c>
      <c r="D118" t="s">
        <v>282</v>
      </c>
      <c r="E118" t="s">
        <v>283</v>
      </c>
      <c r="F118" t="s">
        <v>284</v>
      </c>
      <c r="G118" t="s">
        <v>285</v>
      </c>
      <c r="H118" t="s">
        <v>47</v>
      </c>
      <c r="I118" t="s">
        <v>286</v>
      </c>
      <c r="J118" t="s">
        <v>74</v>
      </c>
      <c r="L118" t="s">
        <v>51</v>
      </c>
      <c r="M118">
        <v>1</v>
      </c>
      <c r="N118" t="s">
        <v>52</v>
      </c>
      <c r="O118">
        <v>8</v>
      </c>
      <c r="P118" t="s">
        <v>64</v>
      </c>
      <c r="Q118" t="s">
        <v>65</v>
      </c>
      <c r="R118">
        <v>0</v>
      </c>
      <c r="S118">
        <v>8.75</v>
      </c>
      <c r="T118">
        <v>8.75</v>
      </c>
      <c r="U118" t="s">
        <v>7</v>
      </c>
    </row>
    <row r="119" spans="1:21" x14ac:dyDescent="0.25">
      <c r="A119" t="s">
        <v>8</v>
      </c>
      <c r="B119" t="s">
        <v>86</v>
      </c>
      <c r="C119" t="s">
        <v>87</v>
      </c>
      <c r="D119" t="s">
        <v>287</v>
      </c>
      <c r="E119" t="s">
        <v>288</v>
      </c>
      <c r="F119" t="s">
        <v>289</v>
      </c>
      <c r="G119" t="s">
        <v>290</v>
      </c>
      <c r="H119" t="s">
        <v>47</v>
      </c>
      <c r="I119" t="s">
        <v>276</v>
      </c>
      <c r="J119" t="s">
        <v>74</v>
      </c>
      <c r="L119" t="s">
        <v>51</v>
      </c>
      <c r="M119">
        <v>1</v>
      </c>
      <c r="N119" t="s">
        <v>85</v>
      </c>
      <c r="O119">
        <v>2</v>
      </c>
      <c r="P119" t="s">
        <v>64</v>
      </c>
      <c r="Q119" t="s">
        <v>65</v>
      </c>
      <c r="R119">
        <v>28.91</v>
      </c>
      <c r="S119">
        <v>0</v>
      </c>
      <c r="T119">
        <v>28.91</v>
      </c>
      <c r="U119" t="s">
        <v>7</v>
      </c>
    </row>
    <row r="120" spans="1:21" x14ac:dyDescent="0.25">
      <c r="A120" t="s">
        <v>8</v>
      </c>
      <c r="B120" t="s">
        <v>86</v>
      </c>
      <c r="C120" t="s">
        <v>87</v>
      </c>
      <c r="D120" t="s">
        <v>287</v>
      </c>
      <c r="E120" t="s">
        <v>288</v>
      </c>
      <c r="F120" t="s">
        <v>289</v>
      </c>
      <c r="G120" t="s">
        <v>290</v>
      </c>
      <c r="H120" t="s">
        <v>47</v>
      </c>
      <c r="I120" t="s">
        <v>276</v>
      </c>
      <c r="J120" t="s">
        <v>74</v>
      </c>
      <c r="L120" t="s">
        <v>51</v>
      </c>
      <c r="M120">
        <v>1</v>
      </c>
      <c r="N120" t="s">
        <v>85</v>
      </c>
      <c r="O120">
        <v>2</v>
      </c>
      <c r="P120" t="s">
        <v>64</v>
      </c>
      <c r="Q120" t="s">
        <v>65</v>
      </c>
      <c r="R120">
        <v>0</v>
      </c>
      <c r="S120">
        <v>5.25</v>
      </c>
      <c r="T120">
        <v>5.25</v>
      </c>
      <c r="U120" t="s">
        <v>7</v>
      </c>
    </row>
    <row r="121" spans="1:21" x14ac:dyDescent="0.25">
      <c r="A121" t="s">
        <v>8</v>
      </c>
      <c r="B121" t="s">
        <v>86</v>
      </c>
      <c r="C121" t="s">
        <v>87</v>
      </c>
      <c r="D121" t="s">
        <v>287</v>
      </c>
      <c r="E121" t="s">
        <v>288</v>
      </c>
      <c r="F121" t="s">
        <v>289</v>
      </c>
      <c r="G121" t="s">
        <v>290</v>
      </c>
      <c r="H121" t="s">
        <v>47</v>
      </c>
      <c r="I121" t="s">
        <v>276</v>
      </c>
      <c r="J121" t="s">
        <v>74</v>
      </c>
      <c r="L121" t="s">
        <v>51</v>
      </c>
      <c r="M121">
        <v>1</v>
      </c>
      <c r="N121" t="s">
        <v>85</v>
      </c>
      <c r="O121">
        <v>2</v>
      </c>
      <c r="P121" t="s">
        <v>64</v>
      </c>
      <c r="Q121" t="s">
        <v>65</v>
      </c>
      <c r="R121">
        <v>0</v>
      </c>
      <c r="S121">
        <v>8.75</v>
      </c>
      <c r="T121">
        <v>8.75</v>
      </c>
      <c r="U121" t="s">
        <v>7</v>
      </c>
    </row>
    <row r="122" spans="1:21" x14ac:dyDescent="0.25">
      <c r="A122" t="s">
        <v>8</v>
      </c>
      <c r="B122" t="s">
        <v>207</v>
      </c>
      <c r="C122" t="s">
        <v>208</v>
      </c>
      <c r="D122" t="s">
        <v>291</v>
      </c>
      <c r="E122" t="s">
        <v>292</v>
      </c>
      <c r="F122" t="s">
        <v>293</v>
      </c>
      <c r="G122" t="s">
        <v>294</v>
      </c>
      <c r="H122" t="s">
        <v>295</v>
      </c>
      <c r="I122" t="s">
        <v>127</v>
      </c>
      <c r="J122" t="s">
        <v>128</v>
      </c>
      <c r="L122" t="s">
        <v>296</v>
      </c>
      <c r="M122">
        <v>2</v>
      </c>
      <c r="N122" t="s">
        <v>52</v>
      </c>
      <c r="O122">
        <v>3</v>
      </c>
      <c r="P122" t="s">
        <v>64</v>
      </c>
      <c r="Q122" t="s">
        <v>65</v>
      </c>
      <c r="R122">
        <v>0</v>
      </c>
      <c r="S122">
        <v>8.75</v>
      </c>
      <c r="T122">
        <v>8.75</v>
      </c>
      <c r="U122" t="s">
        <v>7</v>
      </c>
    </row>
    <row r="123" spans="1:21" x14ac:dyDescent="0.25">
      <c r="A123" t="s">
        <v>8</v>
      </c>
      <c r="B123" t="s">
        <v>207</v>
      </c>
      <c r="C123" t="s">
        <v>208</v>
      </c>
      <c r="D123" t="s">
        <v>291</v>
      </c>
      <c r="E123" t="s">
        <v>292</v>
      </c>
      <c r="F123" t="s">
        <v>293</v>
      </c>
      <c r="G123" t="s">
        <v>294</v>
      </c>
      <c r="H123" t="s">
        <v>295</v>
      </c>
      <c r="I123" t="s">
        <v>127</v>
      </c>
      <c r="J123" t="s">
        <v>128</v>
      </c>
      <c r="L123" t="s">
        <v>296</v>
      </c>
      <c r="M123">
        <v>2</v>
      </c>
      <c r="N123" t="s">
        <v>52</v>
      </c>
      <c r="O123">
        <v>3</v>
      </c>
      <c r="P123" t="s">
        <v>64</v>
      </c>
      <c r="Q123" t="s">
        <v>65</v>
      </c>
      <c r="R123">
        <v>28.91</v>
      </c>
      <c r="S123">
        <v>0</v>
      </c>
      <c r="T123">
        <v>28.91</v>
      </c>
      <c r="U123" t="s">
        <v>7</v>
      </c>
    </row>
    <row r="124" spans="1:21" x14ac:dyDescent="0.25">
      <c r="A124" t="s">
        <v>8</v>
      </c>
      <c r="B124" t="s">
        <v>207</v>
      </c>
      <c r="C124" t="s">
        <v>208</v>
      </c>
      <c r="D124" t="s">
        <v>291</v>
      </c>
      <c r="E124" t="s">
        <v>292</v>
      </c>
      <c r="F124" t="s">
        <v>293</v>
      </c>
      <c r="G124" t="s">
        <v>294</v>
      </c>
      <c r="H124" t="s">
        <v>295</v>
      </c>
      <c r="I124" t="s">
        <v>127</v>
      </c>
      <c r="J124" t="s">
        <v>128</v>
      </c>
      <c r="L124" t="s">
        <v>296</v>
      </c>
      <c r="M124">
        <v>2</v>
      </c>
      <c r="N124" t="s">
        <v>52</v>
      </c>
      <c r="O124">
        <v>3</v>
      </c>
      <c r="P124" t="s">
        <v>64</v>
      </c>
      <c r="Q124" t="s">
        <v>65</v>
      </c>
      <c r="R124">
        <v>0</v>
      </c>
      <c r="S124">
        <v>5.25</v>
      </c>
      <c r="T124">
        <v>5.25</v>
      </c>
      <c r="U124" t="s">
        <v>7</v>
      </c>
    </row>
    <row r="125" spans="1:21" x14ac:dyDescent="0.25">
      <c r="A125" t="s">
        <v>8</v>
      </c>
      <c r="B125" t="s">
        <v>207</v>
      </c>
      <c r="C125" t="s">
        <v>208</v>
      </c>
      <c r="D125" t="s">
        <v>297</v>
      </c>
      <c r="E125" t="s">
        <v>298</v>
      </c>
      <c r="F125" t="s">
        <v>299</v>
      </c>
      <c r="G125" t="s">
        <v>300</v>
      </c>
      <c r="H125" t="s">
        <v>47</v>
      </c>
      <c r="I125" t="s">
        <v>301</v>
      </c>
      <c r="J125" t="s">
        <v>74</v>
      </c>
      <c r="L125" t="s">
        <v>51</v>
      </c>
      <c r="M125">
        <v>1</v>
      </c>
      <c r="N125" t="s">
        <v>52</v>
      </c>
      <c r="O125">
        <v>9</v>
      </c>
      <c r="P125" t="s">
        <v>64</v>
      </c>
      <c r="Q125" t="s">
        <v>65</v>
      </c>
      <c r="R125">
        <v>28.91</v>
      </c>
      <c r="S125">
        <v>0</v>
      </c>
      <c r="T125">
        <v>28.91</v>
      </c>
      <c r="U125" t="s">
        <v>7</v>
      </c>
    </row>
    <row r="126" spans="1:21" x14ac:dyDescent="0.25">
      <c r="A126" t="s">
        <v>8</v>
      </c>
      <c r="B126" t="s">
        <v>207</v>
      </c>
      <c r="C126" t="s">
        <v>208</v>
      </c>
      <c r="D126" t="s">
        <v>297</v>
      </c>
      <c r="E126" t="s">
        <v>298</v>
      </c>
      <c r="F126" t="s">
        <v>299</v>
      </c>
      <c r="G126" t="s">
        <v>300</v>
      </c>
      <c r="H126" t="s">
        <v>47</v>
      </c>
      <c r="I126" t="s">
        <v>301</v>
      </c>
      <c r="J126" t="s">
        <v>74</v>
      </c>
      <c r="L126" t="s">
        <v>51</v>
      </c>
      <c r="M126">
        <v>1</v>
      </c>
      <c r="N126" t="s">
        <v>52</v>
      </c>
      <c r="O126">
        <v>9</v>
      </c>
      <c r="P126" t="s">
        <v>64</v>
      </c>
      <c r="Q126" t="s">
        <v>65</v>
      </c>
      <c r="R126">
        <v>0</v>
      </c>
      <c r="S126">
        <v>5.25</v>
      </c>
      <c r="T126">
        <v>5.25</v>
      </c>
      <c r="U126" t="s">
        <v>7</v>
      </c>
    </row>
    <row r="127" spans="1:21" x14ac:dyDescent="0.25">
      <c r="A127" t="s">
        <v>8</v>
      </c>
      <c r="B127" t="s">
        <v>207</v>
      </c>
      <c r="C127" t="s">
        <v>208</v>
      </c>
      <c r="D127" t="s">
        <v>297</v>
      </c>
      <c r="E127" t="s">
        <v>298</v>
      </c>
      <c r="F127" t="s">
        <v>299</v>
      </c>
      <c r="G127" t="s">
        <v>300</v>
      </c>
      <c r="H127" t="s">
        <v>47</v>
      </c>
      <c r="I127" t="s">
        <v>301</v>
      </c>
      <c r="J127" t="s">
        <v>74</v>
      </c>
      <c r="L127" t="s">
        <v>51</v>
      </c>
      <c r="M127">
        <v>1</v>
      </c>
      <c r="N127" t="s">
        <v>52</v>
      </c>
      <c r="O127">
        <v>9</v>
      </c>
      <c r="P127" t="s">
        <v>64</v>
      </c>
      <c r="Q127" t="s">
        <v>65</v>
      </c>
      <c r="R127">
        <v>0</v>
      </c>
      <c r="S127">
        <v>8.75</v>
      </c>
      <c r="T127">
        <v>8.75</v>
      </c>
      <c r="U127" t="s">
        <v>7</v>
      </c>
    </row>
    <row r="128" spans="1:21" x14ac:dyDescent="0.25">
      <c r="A128" t="s">
        <v>8</v>
      </c>
      <c r="B128" t="s">
        <v>236</v>
      </c>
      <c r="C128" t="s">
        <v>237</v>
      </c>
      <c r="D128" t="s">
        <v>302</v>
      </c>
      <c r="E128" t="s">
        <v>303</v>
      </c>
      <c r="F128" t="s">
        <v>304</v>
      </c>
      <c r="G128" t="s">
        <v>305</v>
      </c>
      <c r="H128" t="s">
        <v>81</v>
      </c>
      <c r="I128" t="s">
        <v>306</v>
      </c>
      <c r="J128" t="s">
        <v>74</v>
      </c>
      <c r="L128" t="s">
        <v>84</v>
      </c>
      <c r="M128">
        <v>6</v>
      </c>
      <c r="N128" t="s">
        <v>85</v>
      </c>
      <c r="O128">
        <v>2</v>
      </c>
      <c r="P128" t="s">
        <v>64</v>
      </c>
      <c r="Q128" t="s">
        <v>65</v>
      </c>
      <c r="R128">
        <v>28.91</v>
      </c>
      <c r="S128">
        <v>0</v>
      </c>
      <c r="T128">
        <v>28.91</v>
      </c>
      <c r="U128" t="s">
        <v>7</v>
      </c>
    </row>
    <row r="129" spans="1:21" x14ac:dyDescent="0.25">
      <c r="A129" t="s">
        <v>8</v>
      </c>
      <c r="B129" t="s">
        <v>236</v>
      </c>
      <c r="C129" t="s">
        <v>237</v>
      </c>
      <c r="D129" t="s">
        <v>302</v>
      </c>
      <c r="E129" t="s">
        <v>303</v>
      </c>
      <c r="F129" t="s">
        <v>304</v>
      </c>
      <c r="G129" t="s">
        <v>305</v>
      </c>
      <c r="H129" t="s">
        <v>81</v>
      </c>
      <c r="I129" t="s">
        <v>306</v>
      </c>
      <c r="J129" t="s">
        <v>74</v>
      </c>
      <c r="L129" t="s">
        <v>84</v>
      </c>
      <c r="M129">
        <v>6</v>
      </c>
      <c r="N129" t="s">
        <v>85</v>
      </c>
      <c r="O129">
        <v>2</v>
      </c>
      <c r="P129" t="s">
        <v>64</v>
      </c>
      <c r="Q129" t="s">
        <v>65</v>
      </c>
      <c r="R129">
        <v>0</v>
      </c>
      <c r="S129">
        <v>8.75</v>
      </c>
      <c r="T129">
        <v>8.75</v>
      </c>
      <c r="U129" t="s">
        <v>7</v>
      </c>
    </row>
    <row r="130" spans="1:21" x14ac:dyDescent="0.25">
      <c r="A130" t="s">
        <v>8</v>
      </c>
      <c r="B130" t="s">
        <v>236</v>
      </c>
      <c r="C130" t="s">
        <v>237</v>
      </c>
      <c r="D130" t="s">
        <v>302</v>
      </c>
      <c r="E130" t="s">
        <v>303</v>
      </c>
      <c r="F130" t="s">
        <v>304</v>
      </c>
      <c r="G130" t="s">
        <v>305</v>
      </c>
      <c r="H130" t="s">
        <v>81</v>
      </c>
      <c r="I130" t="s">
        <v>306</v>
      </c>
      <c r="J130" t="s">
        <v>74</v>
      </c>
      <c r="L130" t="s">
        <v>84</v>
      </c>
      <c r="M130">
        <v>6</v>
      </c>
      <c r="N130" t="s">
        <v>85</v>
      </c>
      <c r="O130">
        <v>2</v>
      </c>
      <c r="P130" t="s">
        <v>64</v>
      </c>
      <c r="Q130" t="s">
        <v>65</v>
      </c>
      <c r="R130">
        <v>0</v>
      </c>
      <c r="S130">
        <v>3.75</v>
      </c>
      <c r="T130">
        <v>3.75</v>
      </c>
      <c r="U130" t="s">
        <v>7</v>
      </c>
    </row>
    <row r="131" spans="1:21" x14ac:dyDescent="0.25">
      <c r="A131" t="s">
        <v>8</v>
      </c>
      <c r="B131" t="s">
        <v>137</v>
      </c>
      <c r="C131" t="s">
        <v>138</v>
      </c>
      <c r="D131" t="s">
        <v>307</v>
      </c>
      <c r="E131" t="s">
        <v>308</v>
      </c>
      <c r="F131" t="s">
        <v>309</v>
      </c>
      <c r="G131" t="s">
        <v>310</v>
      </c>
      <c r="H131" t="s">
        <v>47</v>
      </c>
      <c r="I131" t="s">
        <v>311</v>
      </c>
      <c r="J131" t="s">
        <v>193</v>
      </c>
      <c r="L131" t="s">
        <v>51</v>
      </c>
      <c r="M131">
        <v>1</v>
      </c>
      <c r="N131" t="s">
        <v>85</v>
      </c>
      <c r="O131">
        <v>3</v>
      </c>
      <c r="P131" t="s">
        <v>64</v>
      </c>
      <c r="Q131" t="s">
        <v>65</v>
      </c>
      <c r="R131">
        <v>0</v>
      </c>
      <c r="S131">
        <v>5.25</v>
      </c>
      <c r="T131">
        <v>5.25</v>
      </c>
      <c r="U131" t="s">
        <v>7</v>
      </c>
    </row>
    <row r="132" spans="1:21" x14ac:dyDescent="0.25">
      <c r="A132" t="s">
        <v>8</v>
      </c>
      <c r="B132" t="s">
        <v>137</v>
      </c>
      <c r="C132" t="s">
        <v>138</v>
      </c>
      <c r="D132" t="s">
        <v>307</v>
      </c>
      <c r="E132" t="s">
        <v>308</v>
      </c>
      <c r="F132" t="s">
        <v>309</v>
      </c>
      <c r="G132" t="s">
        <v>310</v>
      </c>
      <c r="H132" t="s">
        <v>47</v>
      </c>
      <c r="I132" t="s">
        <v>311</v>
      </c>
      <c r="J132" t="s">
        <v>193</v>
      </c>
      <c r="L132" t="s">
        <v>51</v>
      </c>
      <c r="M132">
        <v>1</v>
      </c>
      <c r="N132" t="s">
        <v>85</v>
      </c>
      <c r="O132">
        <v>3</v>
      </c>
      <c r="P132" t="s">
        <v>64</v>
      </c>
      <c r="Q132" t="s">
        <v>65</v>
      </c>
      <c r="R132">
        <v>28.91</v>
      </c>
      <c r="S132">
        <v>0</v>
      </c>
      <c r="T132">
        <v>28.91</v>
      </c>
      <c r="U132" t="s">
        <v>7</v>
      </c>
    </row>
    <row r="133" spans="1:21" x14ac:dyDescent="0.25">
      <c r="A133" t="s">
        <v>8</v>
      </c>
      <c r="B133" t="s">
        <v>137</v>
      </c>
      <c r="C133" t="s">
        <v>138</v>
      </c>
      <c r="D133" t="s">
        <v>307</v>
      </c>
      <c r="E133" t="s">
        <v>308</v>
      </c>
      <c r="F133" t="s">
        <v>309</v>
      </c>
      <c r="G133" t="s">
        <v>310</v>
      </c>
      <c r="H133" t="s">
        <v>47</v>
      </c>
      <c r="I133" t="s">
        <v>311</v>
      </c>
      <c r="J133" t="s">
        <v>193</v>
      </c>
      <c r="L133" t="s">
        <v>51</v>
      </c>
      <c r="M133">
        <v>1</v>
      </c>
      <c r="N133" t="s">
        <v>85</v>
      </c>
      <c r="O133">
        <v>3</v>
      </c>
      <c r="P133" t="s">
        <v>64</v>
      </c>
      <c r="Q133" t="s">
        <v>65</v>
      </c>
      <c r="R133">
        <v>0</v>
      </c>
      <c r="S133">
        <v>8.75</v>
      </c>
      <c r="T133">
        <v>8.75</v>
      </c>
      <c r="U133" t="s">
        <v>7</v>
      </c>
    </row>
    <row r="134" spans="1:21" x14ac:dyDescent="0.25">
      <c r="A134" t="s">
        <v>8</v>
      </c>
      <c r="B134" t="s">
        <v>41</v>
      </c>
      <c r="C134" t="s">
        <v>42</v>
      </c>
      <c r="D134" t="s">
        <v>312</v>
      </c>
      <c r="E134" t="s">
        <v>313</v>
      </c>
      <c r="F134" t="s">
        <v>115</v>
      </c>
      <c r="G134" t="s">
        <v>314</v>
      </c>
      <c r="H134" t="s">
        <v>47</v>
      </c>
      <c r="I134" t="s">
        <v>315</v>
      </c>
      <c r="J134" t="s">
        <v>83</v>
      </c>
      <c r="L134" t="s">
        <v>51</v>
      </c>
      <c r="M134">
        <v>1</v>
      </c>
      <c r="N134" t="s">
        <v>85</v>
      </c>
      <c r="O134">
        <v>2</v>
      </c>
      <c r="P134" t="s">
        <v>64</v>
      </c>
      <c r="Q134" t="s">
        <v>65</v>
      </c>
      <c r="R134">
        <v>0</v>
      </c>
      <c r="S134">
        <v>5.25</v>
      </c>
      <c r="T134">
        <v>5.25</v>
      </c>
      <c r="U134" t="s">
        <v>7</v>
      </c>
    </row>
    <row r="135" spans="1:21" x14ac:dyDescent="0.25">
      <c r="A135" t="s">
        <v>8</v>
      </c>
      <c r="B135" t="s">
        <v>41</v>
      </c>
      <c r="C135" t="s">
        <v>42</v>
      </c>
      <c r="D135" t="s">
        <v>312</v>
      </c>
      <c r="E135" t="s">
        <v>313</v>
      </c>
      <c r="F135" t="s">
        <v>115</v>
      </c>
      <c r="G135" t="s">
        <v>314</v>
      </c>
      <c r="H135" t="s">
        <v>47</v>
      </c>
      <c r="I135" t="s">
        <v>315</v>
      </c>
      <c r="J135" t="s">
        <v>83</v>
      </c>
      <c r="L135" t="s">
        <v>51</v>
      </c>
      <c r="M135">
        <v>1</v>
      </c>
      <c r="N135" t="s">
        <v>85</v>
      </c>
      <c r="O135">
        <v>2</v>
      </c>
      <c r="P135" t="s">
        <v>64</v>
      </c>
      <c r="Q135" t="s">
        <v>65</v>
      </c>
      <c r="R135">
        <v>0</v>
      </c>
      <c r="S135">
        <v>8.75</v>
      </c>
      <c r="T135">
        <v>8.75</v>
      </c>
      <c r="U135" t="s">
        <v>7</v>
      </c>
    </row>
    <row r="136" spans="1:21" x14ac:dyDescent="0.25">
      <c r="A136" t="s">
        <v>8</v>
      </c>
      <c r="B136" t="s">
        <v>41</v>
      </c>
      <c r="C136" t="s">
        <v>42</v>
      </c>
      <c r="D136" t="s">
        <v>312</v>
      </c>
      <c r="E136" t="s">
        <v>313</v>
      </c>
      <c r="F136" t="s">
        <v>115</v>
      </c>
      <c r="G136" t="s">
        <v>314</v>
      </c>
      <c r="H136" t="s">
        <v>47</v>
      </c>
      <c r="I136" t="s">
        <v>315</v>
      </c>
      <c r="J136" t="s">
        <v>83</v>
      </c>
      <c r="L136" t="s">
        <v>51</v>
      </c>
      <c r="M136">
        <v>1</v>
      </c>
      <c r="N136" t="s">
        <v>85</v>
      </c>
      <c r="O136">
        <v>2</v>
      </c>
      <c r="P136" t="s">
        <v>64</v>
      </c>
      <c r="Q136" t="s">
        <v>65</v>
      </c>
      <c r="R136">
        <v>28.91</v>
      </c>
      <c r="S136">
        <v>0</v>
      </c>
      <c r="T136">
        <v>28.91</v>
      </c>
      <c r="U136" t="s">
        <v>7</v>
      </c>
    </row>
    <row r="137" spans="1:21" x14ac:dyDescent="0.25">
      <c r="A137" t="s">
        <v>8</v>
      </c>
      <c r="B137" t="s">
        <v>316</v>
      </c>
      <c r="C137" t="s">
        <v>317</v>
      </c>
      <c r="D137" t="s">
        <v>318</v>
      </c>
      <c r="E137" t="s">
        <v>319</v>
      </c>
      <c r="F137" t="s">
        <v>320</v>
      </c>
      <c r="G137" t="s">
        <v>321</v>
      </c>
      <c r="H137" t="s">
        <v>126</v>
      </c>
      <c r="I137" t="s">
        <v>322</v>
      </c>
      <c r="J137" t="s">
        <v>152</v>
      </c>
      <c r="L137" t="s">
        <v>129</v>
      </c>
      <c r="M137">
        <v>12</v>
      </c>
      <c r="O137">
        <v>0</v>
      </c>
      <c r="P137" t="s">
        <v>53</v>
      </c>
      <c r="Q137" t="s">
        <v>65</v>
      </c>
      <c r="R137">
        <v>202.41</v>
      </c>
      <c r="S137">
        <v>0</v>
      </c>
      <c r="T137">
        <v>202.41</v>
      </c>
      <c r="U137" t="s">
        <v>7</v>
      </c>
    </row>
    <row r="138" spans="1:21" x14ac:dyDescent="0.25">
      <c r="A138" t="s">
        <v>8</v>
      </c>
      <c r="B138" t="s">
        <v>316</v>
      </c>
      <c r="C138" t="s">
        <v>317</v>
      </c>
      <c r="D138" t="s">
        <v>318</v>
      </c>
      <c r="E138" t="s">
        <v>319</v>
      </c>
      <c r="F138" t="s">
        <v>320</v>
      </c>
      <c r="G138" t="s">
        <v>321</v>
      </c>
      <c r="H138" t="s">
        <v>126</v>
      </c>
      <c r="I138" t="s">
        <v>322</v>
      </c>
      <c r="J138" t="s">
        <v>152</v>
      </c>
      <c r="L138" t="s">
        <v>129</v>
      </c>
      <c r="M138">
        <v>12</v>
      </c>
      <c r="O138">
        <v>0</v>
      </c>
      <c r="P138" t="s">
        <v>53</v>
      </c>
      <c r="Q138" t="s">
        <v>65</v>
      </c>
      <c r="R138">
        <v>0</v>
      </c>
      <c r="S138">
        <v>125</v>
      </c>
      <c r="T138">
        <v>125</v>
      </c>
      <c r="U138" t="s">
        <v>7</v>
      </c>
    </row>
    <row r="139" spans="1:21" x14ac:dyDescent="0.25">
      <c r="A139" t="s">
        <v>8</v>
      </c>
      <c r="B139" t="s">
        <v>316</v>
      </c>
      <c r="C139" t="s">
        <v>317</v>
      </c>
      <c r="D139" t="s">
        <v>318</v>
      </c>
      <c r="E139" t="s">
        <v>319</v>
      </c>
      <c r="F139" t="s">
        <v>320</v>
      </c>
      <c r="G139" t="s">
        <v>321</v>
      </c>
      <c r="H139" t="s">
        <v>126</v>
      </c>
      <c r="I139" t="s">
        <v>322</v>
      </c>
      <c r="J139" t="s">
        <v>152</v>
      </c>
      <c r="L139" t="s">
        <v>129</v>
      </c>
      <c r="M139">
        <v>12</v>
      </c>
      <c r="O139">
        <v>0</v>
      </c>
      <c r="P139" t="s">
        <v>53</v>
      </c>
      <c r="Q139" t="s">
        <v>65</v>
      </c>
      <c r="R139">
        <v>0</v>
      </c>
      <c r="S139">
        <v>75</v>
      </c>
      <c r="T139">
        <v>75</v>
      </c>
      <c r="U139" t="s">
        <v>7</v>
      </c>
    </row>
    <row r="140" spans="1:21" x14ac:dyDescent="0.25">
      <c r="A140" t="s">
        <v>8</v>
      </c>
      <c r="B140" t="s">
        <v>55</v>
      </c>
      <c r="C140" t="s">
        <v>56</v>
      </c>
      <c r="D140" t="s">
        <v>323</v>
      </c>
      <c r="E140" t="s">
        <v>324</v>
      </c>
      <c r="F140" t="s">
        <v>325</v>
      </c>
      <c r="G140" t="s">
        <v>326</v>
      </c>
      <c r="H140" t="s">
        <v>47</v>
      </c>
      <c r="I140" t="s">
        <v>327</v>
      </c>
      <c r="J140" t="s">
        <v>128</v>
      </c>
      <c r="L140" t="s">
        <v>63</v>
      </c>
      <c r="M140">
        <v>1</v>
      </c>
      <c r="N140" t="s">
        <v>85</v>
      </c>
      <c r="O140">
        <v>2</v>
      </c>
      <c r="P140" t="s">
        <v>64</v>
      </c>
      <c r="Q140" t="s">
        <v>65</v>
      </c>
      <c r="R140">
        <v>0</v>
      </c>
      <c r="S140">
        <v>5.25</v>
      </c>
      <c r="T140">
        <v>5.25</v>
      </c>
      <c r="U140" t="s">
        <v>7</v>
      </c>
    </row>
    <row r="141" spans="1:21" x14ac:dyDescent="0.25">
      <c r="A141" t="s">
        <v>8</v>
      </c>
      <c r="B141" t="s">
        <v>55</v>
      </c>
      <c r="C141" t="s">
        <v>56</v>
      </c>
      <c r="D141" t="s">
        <v>323</v>
      </c>
      <c r="E141" t="s">
        <v>324</v>
      </c>
      <c r="F141" t="s">
        <v>325</v>
      </c>
      <c r="G141" t="s">
        <v>326</v>
      </c>
      <c r="H141" t="s">
        <v>47</v>
      </c>
      <c r="I141" t="s">
        <v>327</v>
      </c>
      <c r="J141" t="s">
        <v>128</v>
      </c>
      <c r="L141" t="s">
        <v>63</v>
      </c>
      <c r="M141">
        <v>1</v>
      </c>
      <c r="N141" t="s">
        <v>85</v>
      </c>
      <c r="O141">
        <v>2</v>
      </c>
      <c r="P141" t="s">
        <v>64</v>
      </c>
      <c r="Q141" t="s">
        <v>65</v>
      </c>
      <c r="R141">
        <v>28.91</v>
      </c>
      <c r="S141">
        <v>0</v>
      </c>
      <c r="T141">
        <v>28.91</v>
      </c>
      <c r="U141" t="s">
        <v>7</v>
      </c>
    </row>
    <row r="142" spans="1:21" x14ac:dyDescent="0.25">
      <c r="A142" t="s">
        <v>8</v>
      </c>
      <c r="B142" t="s">
        <v>55</v>
      </c>
      <c r="C142" t="s">
        <v>56</v>
      </c>
      <c r="D142" t="s">
        <v>323</v>
      </c>
      <c r="E142" t="s">
        <v>324</v>
      </c>
      <c r="F142" t="s">
        <v>325</v>
      </c>
      <c r="G142" t="s">
        <v>326</v>
      </c>
      <c r="H142" t="s">
        <v>47</v>
      </c>
      <c r="I142" t="s">
        <v>327</v>
      </c>
      <c r="J142" t="s">
        <v>128</v>
      </c>
      <c r="L142" t="s">
        <v>63</v>
      </c>
      <c r="M142">
        <v>1</v>
      </c>
      <c r="N142" t="s">
        <v>85</v>
      </c>
      <c r="O142">
        <v>2</v>
      </c>
      <c r="P142" t="s">
        <v>64</v>
      </c>
      <c r="Q142" t="s">
        <v>65</v>
      </c>
      <c r="R142">
        <v>0</v>
      </c>
      <c r="S142">
        <v>8.75</v>
      </c>
      <c r="T142">
        <v>8.75</v>
      </c>
      <c r="U142" t="s">
        <v>7</v>
      </c>
    </row>
    <row r="143" spans="1:21" x14ac:dyDescent="0.25">
      <c r="A143" t="s">
        <v>8</v>
      </c>
      <c r="B143" t="s">
        <v>106</v>
      </c>
      <c r="C143" t="s">
        <v>107</v>
      </c>
      <c r="D143" t="s">
        <v>328</v>
      </c>
      <c r="E143" t="s">
        <v>329</v>
      </c>
      <c r="F143" t="s">
        <v>330</v>
      </c>
      <c r="G143" t="s">
        <v>331</v>
      </c>
      <c r="H143" t="s">
        <v>47</v>
      </c>
      <c r="I143" t="s">
        <v>332</v>
      </c>
      <c r="J143" t="s">
        <v>74</v>
      </c>
      <c r="L143" t="s">
        <v>51</v>
      </c>
      <c r="M143">
        <v>1</v>
      </c>
      <c r="N143" t="s">
        <v>52</v>
      </c>
      <c r="O143">
        <v>6</v>
      </c>
      <c r="P143" t="s">
        <v>64</v>
      </c>
      <c r="Q143" t="s">
        <v>65</v>
      </c>
      <c r="R143">
        <v>0</v>
      </c>
      <c r="S143">
        <v>8.75</v>
      </c>
      <c r="T143">
        <v>8.75</v>
      </c>
      <c r="U143" t="s">
        <v>7</v>
      </c>
    </row>
    <row r="144" spans="1:21" x14ac:dyDescent="0.25">
      <c r="A144" t="s">
        <v>8</v>
      </c>
      <c r="B144" t="s">
        <v>106</v>
      </c>
      <c r="C144" t="s">
        <v>107</v>
      </c>
      <c r="D144" t="s">
        <v>328</v>
      </c>
      <c r="E144" t="s">
        <v>329</v>
      </c>
      <c r="F144" t="s">
        <v>330</v>
      </c>
      <c r="G144" t="s">
        <v>331</v>
      </c>
      <c r="H144" t="s">
        <v>47</v>
      </c>
      <c r="I144" t="s">
        <v>332</v>
      </c>
      <c r="J144" t="s">
        <v>74</v>
      </c>
      <c r="L144" t="s">
        <v>51</v>
      </c>
      <c r="M144">
        <v>1</v>
      </c>
      <c r="N144" t="s">
        <v>52</v>
      </c>
      <c r="O144">
        <v>6</v>
      </c>
      <c r="P144" t="s">
        <v>64</v>
      </c>
      <c r="Q144" t="s">
        <v>65</v>
      </c>
      <c r="R144">
        <v>28.91</v>
      </c>
      <c r="S144">
        <v>0</v>
      </c>
      <c r="T144">
        <v>28.91</v>
      </c>
      <c r="U144" t="s">
        <v>7</v>
      </c>
    </row>
    <row r="145" spans="1:21" x14ac:dyDescent="0.25">
      <c r="A145" t="s">
        <v>8</v>
      </c>
      <c r="B145" t="s">
        <v>106</v>
      </c>
      <c r="C145" t="s">
        <v>107</v>
      </c>
      <c r="D145" t="s">
        <v>328</v>
      </c>
      <c r="E145" t="s">
        <v>329</v>
      </c>
      <c r="F145" t="s">
        <v>330</v>
      </c>
      <c r="G145" t="s">
        <v>331</v>
      </c>
      <c r="H145" t="s">
        <v>47</v>
      </c>
      <c r="I145" t="s">
        <v>332</v>
      </c>
      <c r="J145" t="s">
        <v>74</v>
      </c>
      <c r="L145" t="s">
        <v>51</v>
      </c>
      <c r="M145">
        <v>1</v>
      </c>
      <c r="N145" t="s">
        <v>52</v>
      </c>
      <c r="O145">
        <v>6</v>
      </c>
      <c r="P145" t="s">
        <v>64</v>
      </c>
      <c r="Q145" t="s">
        <v>65</v>
      </c>
      <c r="R145">
        <v>0</v>
      </c>
      <c r="S145">
        <v>5.25</v>
      </c>
      <c r="T145">
        <v>5.25</v>
      </c>
      <c r="U145" t="s">
        <v>7</v>
      </c>
    </row>
    <row r="146" spans="1:21" x14ac:dyDescent="0.25">
      <c r="A146" t="s">
        <v>8</v>
      </c>
      <c r="B146" t="s">
        <v>265</v>
      </c>
      <c r="C146" t="s">
        <v>266</v>
      </c>
      <c r="D146" t="s">
        <v>333</v>
      </c>
      <c r="E146" t="s">
        <v>334</v>
      </c>
      <c r="F146" t="s">
        <v>320</v>
      </c>
      <c r="G146" t="s">
        <v>335</v>
      </c>
      <c r="H146" t="s">
        <v>336</v>
      </c>
      <c r="I146" t="s">
        <v>337</v>
      </c>
      <c r="J146" t="s">
        <v>128</v>
      </c>
      <c r="L146" t="s">
        <v>338</v>
      </c>
      <c r="M146">
        <v>10</v>
      </c>
      <c r="N146" t="s">
        <v>85</v>
      </c>
      <c r="O146">
        <v>2</v>
      </c>
      <c r="P146" t="s">
        <v>64</v>
      </c>
      <c r="Q146" t="s">
        <v>65</v>
      </c>
      <c r="R146">
        <v>0</v>
      </c>
      <c r="S146">
        <v>5.25</v>
      </c>
      <c r="T146">
        <v>5.25</v>
      </c>
      <c r="U146" t="s">
        <v>7</v>
      </c>
    </row>
    <row r="147" spans="1:21" x14ac:dyDescent="0.25">
      <c r="A147" t="s">
        <v>8</v>
      </c>
      <c r="B147" t="s">
        <v>265</v>
      </c>
      <c r="C147" t="s">
        <v>266</v>
      </c>
      <c r="D147" t="s">
        <v>333</v>
      </c>
      <c r="E147" t="s">
        <v>334</v>
      </c>
      <c r="F147" t="s">
        <v>320</v>
      </c>
      <c r="G147" t="s">
        <v>335</v>
      </c>
      <c r="H147" t="s">
        <v>336</v>
      </c>
      <c r="I147" t="s">
        <v>337</v>
      </c>
      <c r="J147" t="s">
        <v>128</v>
      </c>
      <c r="L147" t="s">
        <v>338</v>
      </c>
      <c r="M147">
        <v>10</v>
      </c>
      <c r="N147" t="s">
        <v>85</v>
      </c>
      <c r="O147">
        <v>2</v>
      </c>
      <c r="P147" t="s">
        <v>64</v>
      </c>
      <c r="Q147" t="s">
        <v>65</v>
      </c>
      <c r="R147">
        <v>28.91</v>
      </c>
      <c r="S147">
        <v>0</v>
      </c>
      <c r="T147">
        <v>28.91</v>
      </c>
      <c r="U147" t="s">
        <v>7</v>
      </c>
    </row>
    <row r="148" spans="1:21" x14ac:dyDescent="0.25">
      <c r="A148" t="s">
        <v>8</v>
      </c>
      <c r="B148" t="s">
        <v>265</v>
      </c>
      <c r="C148" t="s">
        <v>266</v>
      </c>
      <c r="D148" t="s">
        <v>333</v>
      </c>
      <c r="E148" t="s">
        <v>334</v>
      </c>
      <c r="F148" t="s">
        <v>320</v>
      </c>
      <c r="G148" t="s">
        <v>335</v>
      </c>
      <c r="H148" t="s">
        <v>336</v>
      </c>
      <c r="I148" t="s">
        <v>337</v>
      </c>
      <c r="J148" t="s">
        <v>128</v>
      </c>
      <c r="L148" t="s">
        <v>338</v>
      </c>
      <c r="M148">
        <v>10</v>
      </c>
      <c r="N148" t="s">
        <v>85</v>
      </c>
      <c r="O148">
        <v>2</v>
      </c>
      <c r="P148" t="s">
        <v>64</v>
      </c>
      <c r="Q148" t="s">
        <v>65</v>
      </c>
      <c r="R148">
        <v>0</v>
      </c>
      <c r="S148">
        <v>8.75</v>
      </c>
      <c r="T148">
        <v>8.75</v>
      </c>
      <c r="U148" t="s">
        <v>7</v>
      </c>
    </row>
    <row r="149" spans="1:21" x14ac:dyDescent="0.25">
      <c r="A149" t="s">
        <v>8</v>
      </c>
      <c r="B149" t="s">
        <v>55</v>
      </c>
      <c r="C149" t="s">
        <v>56</v>
      </c>
      <c r="D149" t="s">
        <v>339</v>
      </c>
      <c r="E149" t="s">
        <v>340</v>
      </c>
      <c r="F149" t="s">
        <v>341</v>
      </c>
      <c r="G149" t="s">
        <v>342</v>
      </c>
      <c r="H149" t="s">
        <v>47</v>
      </c>
      <c r="I149" t="s">
        <v>343</v>
      </c>
      <c r="J149" t="s">
        <v>344</v>
      </c>
      <c r="L149" t="s">
        <v>63</v>
      </c>
      <c r="M149">
        <v>1</v>
      </c>
      <c r="N149" t="s">
        <v>85</v>
      </c>
      <c r="O149">
        <v>2</v>
      </c>
      <c r="P149" t="s">
        <v>64</v>
      </c>
      <c r="Q149" t="s">
        <v>65</v>
      </c>
      <c r="R149">
        <v>28.91</v>
      </c>
      <c r="S149">
        <v>0</v>
      </c>
      <c r="T149">
        <v>28.91</v>
      </c>
      <c r="U149" t="s">
        <v>7</v>
      </c>
    </row>
    <row r="150" spans="1:21" x14ac:dyDescent="0.25">
      <c r="A150" t="s">
        <v>8</v>
      </c>
      <c r="B150" t="s">
        <v>55</v>
      </c>
      <c r="C150" t="s">
        <v>56</v>
      </c>
      <c r="D150" t="s">
        <v>339</v>
      </c>
      <c r="E150" t="s">
        <v>340</v>
      </c>
      <c r="F150" t="s">
        <v>341</v>
      </c>
      <c r="G150" t="s">
        <v>342</v>
      </c>
      <c r="H150" t="s">
        <v>47</v>
      </c>
      <c r="I150" t="s">
        <v>343</v>
      </c>
      <c r="J150" t="s">
        <v>344</v>
      </c>
      <c r="L150" t="s">
        <v>63</v>
      </c>
      <c r="M150">
        <v>1</v>
      </c>
      <c r="N150" t="s">
        <v>85</v>
      </c>
      <c r="O150">
        <v>2</v>
      </c>
      <c r="P150" t="s">
        <v>64</v>
      </c>
      <c r="Q150" t="s">
        <v>65</v>
      </c>
      <c r="R150">
        <v>0</v>
      </c>
      <c r="S150">
        <v>8.75</v>
      </c>
      <c r="T150">
        <v>8.75</v>
      </c>
      <c r="U150" t="s">
        <v>7</v>
      </c>
    </row>
    <row r="151" spans="1:21" x14ac:dyDescent="0.25">
      <c r="A151" t="s">
        <v>8</v>
      </c>
      <c r="B151" t="s">
        <v>55</v>
      </c>
      <c r="C151" t="s">
        <v>56</v>
      </c>
      <c r="D151" t="s">
        <v>339</v>
      </c>
      <c r="E151" t="s">
        <v>340</v>
      </c>
      <c r="F151" t="s">
        <v>341</v>
      </c>
      <c r="G151" t="s">
        <v>342</v>
      </c>
      <c r="H151" t="s">
        <v>47</v>
      </c>
      <c r="I151" t="s">
        <v>343</v>
      </c>
      <c r="J151" t="s">
        <v>344</v>
      </c>
      <c r="L151" t="s">
        <v>63</v>
      </c>
      <c r="M151">
        <v>1</v>
      </c>
      <c r="N151" t="s">
        <v>85</v>
      </c>
      <c r="O151">
        <v>2</v>
      </c>
      <c r="P151" t="s">
        <v>64</v>
      </c>
      <c r="Q151" t="s">
        <v>65</v>
      </c>
      <c r="R151">
        <v>0</v>
      </c>
      <c r="S151">
        <v>5.25</v>
      </c>
      <c r="T151">
        <v>5.25</v>
      </c>
      <c r="U151" t="s">
        <v>7</v>
      </c>
    </row>
    <row r="152" spans="1:21" x14ac:dyDescent="0.25">
      <c r="A152" t="s">
        <v>8</v>
      </c>
      <c r="B152" t="s">
        <v>41</v>
      </c>
      <c r="C152" t="s">
        <v>42</v>
      </c>
      <c r="D152" t="s">
        <v>345</v>
      </c>
      <c r="E152" t="s">
        <v>346</v>
      </c>
      <c r="F152" t="s">
        <v>347</v>
      </c>
      <c r="G152" t="s">
        <v>348</v>
      </c>
      <c r="H152" t="s">
        <v>47</v>
      </c>
      <c r="I152" t="s">
        <v>349</v>
      </c>
      <c r="J152" t="s">
        <v>74</v>
      </c>
      <c r="L152" t="s">
        <v>51</v>
      </c>
      <c r="M152">
        <v>1</v>
      </c>
      <c r="N152" t="s">
        <v>100</v>
      </c>
      <c r="O152">
        <v>2</v>
      </c>
      <c r="P152" t="s">
        <v>64</v>
      </c>
      <c r="Q152" t="s">
        <v>65</v>
      </c>
      <c r="R152">
        <v>0</v>
      </c>
      <c r="S152">
        <v>8.75</v>
      </c>
      <c r="T152">
        <v>8.75</v>
      </c>
      <c r="U152" t="s">
        <v>7</v>
      </c>
    </row>
    <row r="153" spans="1:21" x14ac:dyDescent="0.25">
      <c r="A153" t="s">
        <v>8</v>
      </c>
      <c r="B153" t="s">
        <v>41</v>
      </c>
      <c r="C153" t="s">
        <v>42</v>
      </c>
      <c r="D153" t="s">
        <v>345</v>
      </c>
      <c r="E153" t="s">
        <v>346</v>
      </c>
      <c r="F153" t="s">
        <v>347</v>
      </c>
      <c r="G153" t="s">
        <v>348</v>
      </c>
      <c r="H153" t="s">
        <v>47</v>
      </c>
      <c r="I153" t="s">
        <v>349</v>
      </c>
      <c r="J153" t="s">
        <v>74</v>
      </c>
      <c r="L153" t="s">
        <v>51</v>
      </c>
      <c r="M153">
        <v>1</v>
      </c>
      <c r="N153" t="s">
        <v>100</v>
      </c>
      <c r="O153">
        <v>2</v>
      </c>
      <c r="P153" t="s">
        <v>64</v>
      </c>
      <c r="Q153" t="s">
        <v>65</v>
      </c>
      <c r="R153">
        <v>0</v>
      </c>
      <c r="S153">
        <v>5.25</v>
      </c>
      <c r="T153">
        <v>5.25</v>
      </c>
      <c r="U153" t="s">
        <v>7</v>
      </c>
    </row>
    <row r="154" spans="1:21" x14ac:dyDescent="0.25">
      <c r="A154" t="s">
        <v>8</v>
      </c>
      <c r="B154" t="s">
        <v>41</v>
      </c>
      <c r="C154" t="s">
        <v>42</v>
      </c>
      <c r="D154" t="s">
        <v>345</v>
      </c>
      <c r="E154" t="s">
        <v>346</v>
      </c>
      <c r="F154" t="s">
        <v>347</v>
      </c>
      <c r="G154" t="s">
        <v>348</v>
      </c>
      <c r="H154" t="s">
        <v>47</v>
      </c>
      <c r="I154" t="s">
        <v>349</v>
      </c>
      <c r="J154" t="s">
        <v>74</v>
      </c>
      <c r="L154" t="s">
        <v>51</v>
      </c>
      <c r="M154">
        <v>1</v>
      </c>
      <c r="N154" t="s">
        <v>100</v>
      </c>
      <c r="O154">
        <v>2</v>
      </c>
      <c r="P154" t="s">
        <v>64</v>
      </c>
      <c r="Q154" t="s">
        <v>65</v>
      </c>
      <c r="R154">
        <v>28.91</v>
      </c>
      <c r="S154">
        <v>0</v>
      </c>
      <c r="T154">
        <v>28.91</v>
      </c>
      <c r="U154" t="s">
        <v>7</v>
      </c>
    </row>
    <row r="155" spans="1:21" x14ac:dyDescent="0.25">
      <c r="A155" t="s">
        <v>8</v>
      </c>
      <c r="B155" t="s">
        <v>350</v>
      </c>
      <c r="C155" t="s">
        <v>351</v>
      </c>
      <c r="D155" t="s">
        <v>352</v>
      </c>
      <c r="E155" t="s">
        <v>353</v>
      </c>
      <c r="F155" t="s">
        <v>354</v>
      </c>
      <c r="G155" t="s">
        <v>355</v>
      </c>
      <c r="H155" t="s">
        <v>356</v>
      </c>
      <c r="I155" t="s">
        <v>357</v>
      </c>
      <c r="J155" t="s">
        <v>357</v>
      </c>
      <c r="L155" t="s">
        <v>358</v>
      </c>
      <c r="M155">
        <v>1</v>
      </c>
      <c r="N155" t="s">
        <v>52</v>
      </c>
      <c r="O155">
        <v>11</v>
      </c>
      <c r="P155" t="s">
        <v>64</v>
      </c>
      <c r="Q155" t="s">
        <v>65</v>
      </c>
      <c r="R155">
        <v>0</v>
      </c>
      <c r="S155">
        <v>5.25</v>
      </c>
      <c r="T155">
        <v>5.25</v>
      </c>
      <c r="U155" t="s">
        <v>7</v>
      </c>
    </row>
    <row r="156" spans="1:21" x14ac:dyDescent="0.25">
      <c r="A156" t="s">
        <v>8</v>
      </c>
      <c r="B156" t="s">
        <v>350</v>
      </c>
      <c r="C156" t="s">
        <v>351</v>
      </c>
      <c r="D156" t="s">
        <v>352</v>
      </c>
      <c r="E156" t="s">
        <v>353</v>
      </c>
      <c r="F156" t="s">
        <v>354</v>
      </c>
      <c r="G156" t="s">
        <v>355</v>
      </c>
      <c r="H156" t="s">
        <v>356</v>
      </c>
      <c r="I156" t="s">
        <v>357</v>
      </c>
      <c r="J156" t="s">
        <v>357</v>
      </c>
      <c r="L156" t="s">
        <v>358</v>
      </c>
      <c r="M156">
        <v>1</v>
      </c>
      <c r="N156" t="s">
        <v>52</v>
      </c>
      <c r="O156">
        <v>11</v>
      </c>
      <c r="P156" t="s">
        <v>64</v>
      </c>
      <c r="Q156" t="s">
        <v>65</v>
      </c>
      <c r="R156">
        <v>28.91</v>
      </c>
      <c r="S156">
        <v>0</v>
      </c>
      <c r="T156">
        <v>28.91</v>
      </c>
      <c r="U156" t="s">
        <v>7</v>
      </c>
    </row>
    <row r="157" spans="1:21" x14ac:dyDescent="0.25">
      <c r="A157" t="s">
        <v>8</v>
      </c>
      <c r="B157" t="s">
        <v>350</v>
      </c>
      <c r="C157" t="s">
        <v>351</v>
      </c>
      <c r="D157" t="s">
        <v>352</v>
      </c>
      <c r="E157" t="s">
        <v>353</v>
      </c>
      <c r="F157" t="s">
        <v>354</v>
      </c>
      <c r="G157" t="s">
        <v>355</v>
      </c>
      <c r="H157" t="s">
        <v>356</v>
      </c>
      <c r="I157" t="s">
        <v>357</v>
      </c>
      <c r="J157" t="s">
        <v>357</v>
      </c>
      <c r="L157" t="s">
        <v>358</v>
      </c>
      <c r="M157">
        <v>1</v>
      </c>
      <c r="N157" t="s">
        <v>52</v>
      </c>
      <c r="O157">
        <v>11</v>
      </c>
      <c r="P157" t="s">
        <v>64</v>
      </c>
      <c r="Q157" t="s">
        <v>65</v>
      </c>
      <c r="R157">
        <v>0</v>
      </c>
      <c r="S157">
        <v>8.75</v>
      </c>
      <c r="T157">
        <v>8.75</v>
      </c>
      <c r="U157" t="s">
        <v>7</v>
      </c>
    </row>
    <row r="158" spans="1:21" x14ac:dyDescent="0.25">
      <c r="A158" t="s">
        <v>8</v>
      </c>
      <c r="B158" t="s">
        <v>106</v>
      </c>
      <c r="C158" t="s">
        <v>107</v>
      </c>
      <c r="D158" t="s">
        <v>359</v>
      </c>
      <c r="E158" t="s">
        <v>360</v>
      </c>
      <c r="F158" t="s">
        <v>361</v>
      </c>
      <c r="G158" t="s">
        <v>362</v>
      </c>
      <c r="H158" t="s">
        <v>47</v>
      </c>
      <c r="I158" t="s">
        <v>363</v>
      </c>
      <c r="J158" t="s">
        <v>364</v>
      </c>
      <c r="L158" t="s">
        <v>63</v>
      </c>
      <c r="M158">
        <v>1</v>
      </c>
      <c r="N158" t="s">
        <v>85</v>
      </c>
      <c r="O158">
        <v>3</v>
      </c>
      <c r="P158" t="s">
        <v>64</v>
      </c>
      <c r="Q158" t="s">
        <v>65</v>
      </c>
      <c r="R158">
        <v>0</v>
      </c>
      <c r="S158">
        <v>8.75</v>
      </c>
      <c r="T158">
        <v>8.75</v>
      </c>
      <c r="U158" t="s">
        <v>7</v>
      </c>
    </row>
    <row r="159" spans="1:21" x14ac:dyDescent="0.25">
      <c r="A159" t="s">
        <v>8</v>
      </c>
      <c r="B159" t="s">
        <v>106</v>
      </c>
      <c r="C159" t="s">
        <v>107</v>
      </c>
      <c r="D159" t="s">
        <v>359</v>
      </c>
      <c r="E159" t="s">
        <v>360</v>
      </c>
      <c r="F159" t="s">
        <v>361</v>
      </c>
      <c r="G159" t="s">
        <v>362</v>
      </c>
      <c r="H159" t="s">
        <v>47</v>
      </c>
      <c r="I159" t="s">
        <v>363</v>
      </c>
      <c r="J159" t="s">
        <v>364</v>
      </c>
      <c r="L159" t="s">
        <v>63</v>
      </c>
      <c r="M159">
        <v>1</v>
      </c>
      <c r="N159" t="s">
        <v>85</v>
      </c>
      <c r="O159">
        <v>3</v>
      </c>
      <c r="P159" t="s">
        <v>64</v>
      </c>
      <c r="Q159" t="s">
        <v>65</v>
      </c>
      <c r="R159">
        <v>0</v>
      </c>
      <c r="S159">
        <v>5.25</v>
      </c>
      <c r="T159">
        <v>5.25</v>
      </c>
      <c r="U159" t="s">
        <v>7</v>
      </c>
    </row>
    <row r="160" spans="1:21" x14ac:dyDescent="0.25">
      <c r="A160" t="s">
        <v>8</v>
      </c>
      <c r="B160" t="s">
        <v>106</v>
      </c>
      <c r="C160" t="s">
        <v>107</v>
      </c>
      <c r="D160" t="s">
        <v>359</v>
      </c>
      <c r="E160" t="s">
        <v>360</v>
      </c>
      <c r="F160" t="s">
        <v>361</v>
      </c>
      <c r="G160" t="s">
        <v>362</v>
      </c>
      <c r="H160" t="s">
        <v>47</v>
      </c>
      <c r="I160" t="s">
        <v>363</v>
      </c>
      <c r="J160" t="s">
        <v>364</v>
      </c>
      <c r="L160" t="s">
        <v>63</v>
      </c>
      <c r="M160">
        <v>1</v>
      </c>
      <c r="N160" t="s">
        <v>85</v>
      </c>
      <c r="O160">
        <v>3</v>
      </c>
      <c r="P160" t="s">
        <v>64</v>
      </c>
      <c r="Q160" t="s">
        <v>65</v>
      </c>
      <c r="R160">
        <v>28.91</v>
      </c>
      <c r="S160">
        <v>0</v>
      </c>
      <c r="T160">
        <v>28.91</v>
      </c>
      <c r="U160" t="s">
        <v>7</v>
      </c>
    </row>
    <row r="161" spans="1:21" x14ac:dyDescent="0.25">
      <c r="A161" t="s">
        <v>8</v>
      </c>
      <c r="B161" t="s">
        <v>365</v>
      </c>
      <c r="C161" t="s">
        <v>366</v>
      </c>
      <c r="D161" t="s">
        <v>367</v>
      </c>
      <c r="E161" t="s">
        <v>368</v>
      </c>
      <c r="F161" t="s">
        <v>369</v>
      </c>
      <c r="G161" t="s">
        <v>370</v>
      </c>
      <c r="H161" t="s">
        <v>72</v>
      </c>
      <c r="I161" t="s">
        <v>371</v>
      </c>
      <c r="J161" t="s">
        <v>121</v>
      </c>
      <c r="L161" t="s">
        <v>75</v>
      </c>
      <c r="M161">
        <v>3</v>
      </c>
      <c r="N161" t="s">
        <v>85</v>
      </c>
      <c r="O161">
        <v>2</v>
      </c>
      <c r="P161" t="s">
        <v>64</v>
      </c>
      <c r="Q161" t="s">
        <v>65</v>
      </c>
      <c r="R161">
        <v>28.91</v>
      </c>
      <c r="S161">
        <v>0</v>
      </c>
      <c r="T161">
        <v>28.91</v>
      </c>
      <c r="U161" t="s">
        <v>7</v>
      </c>
    </row>
    <row r="162" spans="1:21" x14ac:dyDescent="0.25">
      <c r="A162" t="s">
        <v>8</v>
      </c>
      <c r="B162" t="s">
        <v>365</v>
      </c>
      <c r="C162" t="s">
        <v>366</v>
      </c>
      <c r="D162" t="s">
        <v>367</v>
      </c>
      <c r="E162" t="s">
        <v>368</v>
      </c>
      <c r="F162" t="s">
        <v>369</v>
      </c>
      <c r="G162" t="s">
        <v>370</v>
      </c>
      <c r="H162" t="s">
        <v>72</v>
      </c>
      <c r="I162" t="s">
        <v>371</v>
      </c>
      <c r="J162" t="s">
        <v>121</v>
      </c>
      <c r="L162" t="s">
        <v>75</v>
      </c>
      <c r="M162">
        <v>3</v>
      </c>
      <c r="N162" t="s">
        <v>85</v>
      </c>
      <c r="O162">
        <v>2</v>
      </c>
      <c r="P162" t="s">
        <v>64</v>
      </c>
      <c r="Q162" t="s">
        <v>65</v>
      </c>
      <c r="R162">
        <v>0</v>
      </c>
      <c r="S162">
        <v>8.75</v>
      </c>
      <c r="T162">
        <v>8.75</v>
      </c>
      <c r="U162" t="s">
        <v>7</v>
      </c>
    </row>
    <row r="163" spans="1:21" x14ac:dyDescent="0.25">
      <c r="A163" t="s">
        <v>8</v>
      </c>
      <c r="B163" t="s">
        <v>365</v>
      </c>
      <c r="C163" t="s">
        <v>366</v>
      </c>
      <c r="D163" t="s">
        <v>367</v>
      </c>
      <c r="E163" t="s">
        <v>368</v>
      </c>
      <c r="F163" t="s">
        <v>369</v>
      </c>
      <c r="G163" t="s">
        <v>370</v>
      </c>
      <c r="H163" t="s">
        <v>72</v>
      </c>
      <c r="I163" t="s">
        <v>371</v>
      </c>
      <c r="J163" t="s">
        <v>121</v>
      </c>
      <c r="L163" t="s">
        <v>75</v>
      </c>
      <c r="M163">
        <v>3</v>
      </c>
      <c r="N163" t="s">
        <v>85</v>
      </c>
      <c r="O163">
        <v>2</v>
      </c>
      <c r="P163" t="s">
        <v>64</v>
      </c>
      <c r="Q163" t="s">
        <v>65</v>
      </c>
      <c r="R163">
        <v>0</v>
      </c>
      <c r="S163">
        <v>5.25</v>
      </c>
      <c r="T163">
        <v>5.25</v>
      </c>
      <c r="U163" t="s">
        <v>7</v>
      </c>
    </row>
    <row r="164" spans="1:21" x14ac:dyDescent="0.25">
      <c r="A164" t="s">
        <v>8</v>
      </c>
      <c r="B164" t="s">
        <v>177</v>
      </c>
      <c r="C164" t="s">
        <v>178</v>
      </c>
      <c r="D164" t="s">
        <v>372</v>
      </c>
      <c r="E164" t="s">
        <v>373</v>
      </c>
      <c r="F164" t="s">
        <v>374</v>
      </c>
      <c r="G164" t="s">
        <v>375</v>
      </c>
      <c r="H164" t="s">
        <v>47</v>
      </c>
      <c r="I164" t="s">
        <v>205</v>
      </c>
      <c r="J164" t="s">
        <v>74</v>
      </c>
      <c r="L164" t="s">
        <v>51</v>
      </c>
      <c r="M164">
        <v>1</v>
      </c>
      <c r="N164" t="s">
        <v>85</v>
      </c>
      <c r="O164">
        <v>2</v>
      </c>
      <c r="P164" t="s">
        <v>64</v>
      </c>
      <c r="Q164" t="s">
        <v>65</v>
      </c>
      <c r="R164">
        <v>28.91</v>
      </c>
      <c r="S164">
        <v>0</v>
      </c>
      <c r="T164">
        <v>28.91</v>
      </c>
      <c r="U164" t="s">
        <v>7</v>
      </c>
    </row>
    <row r="165" spans="1:21" x14ac:dyDescent="0.25">
      <c r="A165" t="s">
        <v>8</v>
      </c>
      <c r="B165" t="s">
        <v>177</v>
      </c>
      <c r="C165" t="s">
        <v>178</v>
      </c>
      <c r="D165" t="s">
        <v>372</v>
      </c>
      <c r="E165" t="s">
        <v>373</v>
      </c>
      <c r="F165" t="s">
        <v>374</v>
      </c>
      <c r="G165" t="s">
        <v>375</v>
      </c>
      <c r="H165" t="s">
        <v>47</v>
      </c>
      <c r="I165" t="s">
        <v>205</v>
      </c>
      <c r="J165" t="s">
        <v>74</v>
      </c>
      <c r="L165" t="s">
        <v>51</v>
      </c>
      <c r="M165">
        <v>1</v>
      </c>
      <c r="N165" t="s">
        <v>85</v>
      </c>
      <c r="O165">
        <v>2</v>
      </c>
      <c r="P165" t="s">
        <v>64</v>
      </c>
      <c r="Q165" t="s">
        <v>65</v>
      </c>
      <c r="R165">
        <v>0</v>
      </c>
      <c r="S165">
        <v>8.75</v>
      </c>
      <c r="T165">
        <v>8.75</v>
      </c>
      <c r="U165" t="s">
        <v>7</v>
      </c>
    </row>
    <row r="166" spans="1:21" x14ac:dyDescent="0.25">
      <c r="A166" t="s">
        <v>8</v>
      </c>
      <c r="B166" t="s">
        <v>177</v>
      </c>
      <c r="C166" t="s">
        <v>178</v>
      </c>
      <c r="D166" t="s">
        <v>372</v>
      </c>
      <c r="E166" t="s">
        <v>373</v>
      </c>
      <c r="F166" t="s">
        <v>374</v>
      </c>
      <c r="G166" t="s">
        <v>375</v>
      </c>
      <c r="H166" t="s">
        <v>47</v>
      </c>
      <c r="I166" t="s">
        <v>205</v>
      </c>
      <c r="J166" t="s">
        <v>74</v>
      </c>
      <c r="L166" t="s">
        <v>51</v>
      </c>
      <c r="M166">
        <v>1</v>
      </c>
      <c r="N166" t="s">
        <v>85</v>
      </c>
      <c r="O166">
        <v>2</v>
      </c>
      <c r="P166" t="s">
        <v>64</v>
      </c>
      <c r="Q166" t="s">
        <v>65</v>
      </c>
      <c r="R166">
        <v>0</v>
      </c>
      <c r="S166">
        <v>5.25</v>
      </c>
      <c r="T166">
        <v>5.25</v>
      </c>
      <c r="U166" t="s">
        <v>7</v>
      </c>
    </row>
    <row r="167" spans="1:21" x14ac:dyDescent="0.25">
      <c r="A167" t="s">
        <v>8</v>
      </c>
      <c r="B167" t="s">
        <v>350</v>
      </c>
      <c r="C167" t="s">
        <v>351</v>
      </c>
      <c r="D167" t="s">
        <v>376</v>
      </c>
      <c r="E167" t="s">
        <v>377</v>
      </c>
      <c r="F167" t="s">
        <v>97</v>
      </c>
      <c r="G167" t="s">
        <v>378</v>
      </c>
      <c r="H167" t="s">
        <v>356</v>
      </c>
      <c r="I167" t="s">
        <v>379</v>
      </c>
      <c r="J167" t="s">
        <v>222</v>
      </c>
      <c r="L167" t="s">
        <v>358</v>
      </c>
      <c r="M167">
        <v>3</v>
      </c>
      <c r="N167" t="s">
        <v>52</v>
      </c>
      <c r="O167">
        <v>13</v>
      </c>
      <c r="P167" t="s">
        <v>64</v>
      </c>
      <c r="Q167" t="s">
        <v>65</v>
      </c>
      <c r="R167">
        <v>28.91</v>
      </c>
      <c r="S167">
        <v>0</v>
      </c>
      <c r="T167">
        <v>28.91</v>
      </c>
      <c r="U167" t="s">
        <v>7</v>
      </c>
    </row>
    <row r="168" spans="1:21" x14ac:dyDescent="0.25">
      <c r="A168" t="s">
        <v>8</v>
      </c>
      <c r="B168" t="s">
        <v>350</v>
      </c>
      <c r="C168" t="s">
        <v>351</v>
      </c>
      <c r="D168" t="s">
        <v>376</v>
      </c>
      <c r="E168" t="s">
        <v>377</v>
      </c>
      <c r="F168" t="s">
        <v>97</v>
      </c>
      <c r="G168" t="s">
        <v>378</v>
      </c>
      <c r="H168" t="s">
        <v>356</v>
      </c>
      <c r="I168" t="s">
        <v>379</v>
      </c>
      <c r="J168" t="s">
        <v>222</v>
      </c>
      <c r="L168" t="s">
        <v>358</v>
      </c>
      <c r="M168">
        <v>3</v>
      </c>
      <c r="N168" t="s">
        <v>52</v>
      </c>
      <c r="O168">
        <v>13</v>
      </c>
      <c r="P168" t="s">
        <v>64</v>
      </c>
      <c r="Q168" t="s">
        <v>65</v>
      </c>
      <c r="R168">
        <v>0</v>
      </c>
      <c r="S168">
        <v>8.75</v>
      </c>
      <c r="T168">
        <v>8.75</v>
      </c>
      <c r="U168" t="s">
        <v>7</v>
      </c>
    </row>
    <row r="169" spans="1:21" x14ac:dyDescent="0.25">
      <c r="A169" t="s">
        <v>8</v>
      </c>
      <c r="B169" t="s">
        <v>350</v>
      </c>
      <c r="C169" t="s">
        <v>351</v>
      </c>
      <c r="D169" t="s">
        <v>376</v>
      </c>
      <c r="E169" t="s">
        <v>377</v>
      </c>
      <c r="F169" t="s">
        <v>97</v>
      </c>
      <c r="G169" t="s">
        <v>378</v>
      </c>
      <c r="H169" t="s">
        <v>356</v>
      </c>
      <c r="I169" t="s">
        <v>379</v>
      </c>
      <c r="J169" t="s">
        <v>222</v>
      </c>
      <c r="L169" t="s">
        <v>358</v>
      </c>
      <c r="M169">
        <v>3</v>
      </c>
      <c r="N169" t="s">
        <v>52</v>
      </c>
      <c r="O169">
        <v>13</v>
      </c>
      <c r="P169" t="s">
        <v>64</v>
      </c>
      <c r="Q169" t="s">
        <v>65</v>
      </c>
      <c r="R169">
        <v>0</v>
      </c>
      <c r="S169">
        <v>5.25</v>
      </c>
      <c r="T169">
        <v>5.25</v>
      </c>
      <c r="U169" t="s">
        <v>7</v>
      </c>
    </row>
    <row r="170" spans="1:21" x14ac:dyDescent="0.25">
      <c r="A170" t="s">
        <v>8</v>
      </c>
      <c r="B170" t="s">
        <v>177</v>
      </c>
      <c r="C170" t="s">
        <v>178</v>
      </c>
      <c r="D170" t="s">
        <v>380</v>
      </c>
      <c r="E170" t="s">
        <v>381</v>
      </c>
      <c r="F170" t="s">
        <v>382</v>
      </c>
      <c r="G170" t="s">
        <v>383</v>
      </c>
      <c r="H170" t="s">
        <v>47</v>
      </c>
      <c r="I170" t="s">
        <v>151</v>
      </c>
      <c r="J170" t="s">
        <v>152</v>
      </c>
      <c r="L170" t="s">
        <v>51</v>
      </c>
      <c r="M170">
        <v>10</v>
      </c>
      <c r="O170">
        <v>0</v>
      </c>
      <c r="P170" t="s">
        <v>53</v>
      </c>
      <c r="Q170" t="s">
        <v>65</v>
      </c>
      <c r="R170">
        <v>0</v>
      </c>
      <c r="S170">
        <v>75</v>
      </c>
      <c r="T170">
        <v>75</v>
      </c>
      <c r="U170" t="s">
        <v>7</v>
      </c>
    </row>
    <row r="171" spans="1:21" x14ac:dyDescent="0.25">
      <c r="A171" t="s">
        <v>8</v>
      </c>
      <c r="B171" t="s">
        <v>177</v>
      </c>
      <c r="C171" t="s">
        <v>178</v>
      </c>
      <c r="D171" t="s">
        <v>380</v>
      </c>
      <c r="E171" t="s">
        <v>381</v>
      </c>
      <c r="F171" t="s">
        <v>382</v>
      </c>
      <c r="G171" t="s">
        <v>383</v>
      </c>
      <c r="H171" t="s">
        <v>47</v>
      </c>
      <c r="I171" t="s">
        <v>151</v>
      </c>
      <c r="J171" t="s">
        <v>152</v>
      </c>
      <c r="L171" t="s">
        <v>51</v>
      </c>
      <c r="M171">
        <v>10</v>
      </c>
      <c r="O171">
        <v>0</v>
      </c>
      <c r="P171" t="s">
        <v>53</v>
      </c>
      <c r="Q171" t="s">
        <v>65</v>
      </c>
      <c r="R171">
        <v>202.41</v>
      </c>
      <c r="S171">
        <v>0</v>
      </c>
      <c r="T171">
        <v>202.41</v>
      </c>
      <c r="U171" t="s">
        <v>7</v>
      </c>
    </row>
    <row r="172" spans="1:21" x14ac:dyDescent="0.25">
      <c r="A172" t="s">
        <v>8</v>
      </c>
      <c r="B172" t="s">
        <v>177</v>
      </c>
      <c r="C172" t="s">
        <v>178</v>
      </c>
      <c r="D172" t="s">
        <v>380</v>
      </c>
      <c r="E172" t="s">
        <v>381</v>
      </c>
      <c r="F172" t="s">
        <v>382</v>
      </c>
      <c r="G172" t="s">
        <v>383</v>
      </c>
      <c r="H172" t="s">
        <v>47</v>
      </c>
      <c r="I172" t="s">
        <v>151</v>
      </c>
      <c r="J172" t="s">
        <v>152</v>
      </c>
      <c r="L172" t="s">
        <v>51</v>
      </c>
      <c r="M172">
        <v>10</v>
      </c>
      <c r="O172">
        <v>0</v>
      </c>
      <c r="P172" t="s">
        <v>53</v>
      </c>
      <c r="Q172" t="s">
        <v>65</v>
      </c>
      <c r="R172">
        <v>0</v>
      </c>
      <c r="S172">
        <v>125</v>
      </c>
      <c r="T172">
        <v>125</v>
      </c>
      <c r="U172" t="s">
        <v>7</v>
      </c>
    </row>
    <row r="173" spans="1:21" x14ac:dyDescent="0.25">
      <c r="A173" t="s">
        <v>8</v>
      </c>
      <c r="B173" t="s">
        <v>350</v>
      </c>
      <c r="C173" t="s">
        <v>351</v>
      </c>
      <c r="D173" t="s">
        <v>384</v>
      </c>
      <c r="E173" t="s">
        <v>385</v>
      </c>
      <c r="F173" t="s">
        <v>386</v>
      </c>
      <c r="G173" t="s">
        <v>387</v>
      </c>
      <c r="H173" t="s">
        <v>356</v>
      </c>
      <c r="I173" t="s">
        <v>388</v>
      </c>
      <c r="J173" t="s">
        <v>62</v>
      </c>
      <c r="L173" t="s">
        <v>358</v>
      </c>
      <c r="M173">
        <v>1</v>
      </c>
      <c r="N173" t="s">
        <v>52</v>
      </c>
      <c r="O173">
        <v>10</v>
      </c>
      <c r="P173" t="s">
        <v>64</v>
      </c>
      <c r="Q173" t="s">
        <v>65</v>
      </c>
      <c r="R173">
        <v>0</v>
      </c>
      <c r="S173">
        <v>8.75</v>
      </c>
      <c r="T173">
        <v>8.75</v>
      </c>
      <c r="U173" t="s">
        <v>7</v>
      </c>
    </row>
    <row r="174" spans="1:21" x14ac:dyDescent="0.25">
      <c r="A174" t="s">
        <v>8</v>
      </c>
      <c r="B174" t="s">
        <v>350</v>
      </c>
      <c r="C174" t="s">
        <v>351</v>
      </c>
      <c r="D174" t="s">
        <v>384</v>
      </c>
      <c r="E174" t="s">
        <v>385</v>
      </c>
      <c r="F174" t="s">
        <v>386</v>
      </c>
      <c r="G174" t="s">
        <v>387</v>
      </c>
      <c r="H174" t="s">
        <v>356</v>
      </c>
      <c r="I174" t="s">
        <v>388</v>
      </c>
      <c r="J174" t="s">
        <v>62</v>
      </c>
      <c r="L174" t="s">
        <v>358</v>
      </c>
      <c r="M174">
        <v>1</v>
      </c>
      <c r="N174" t="s">
        <v>52</v>
      </c>
      <c r="O174">
        <v>10</v>
      </c>
      <c r="P174" t="s">
        <v>64</v>
      </c>
      <c r="Q174" t="s">
        <v>65</v>
      </c>
      <c r="R174">
        <v>0</v>
      </c>
      <c r="S174">
        <v>5.25</v>
      </c>
      <c r="T174">
        <v>5.25</v>
      </c>
      <c r="U174" t="s">
        <v>7</v>
      </c>
    </row>
    <row r="175" spans="1:21" x14ac:dyDescent="0.25">
      <c r="A175" t="s">
        <v>8</v>
      </c>
      <c r="B175" t="s">
        <v>350</v>
      </c>
      <c r="C175" t="s">
        <v>351</v>
      </c>
      <c r="D175" t="s">
        <v>384</v>
      </c>
      <c r="E175" t="s">
        <v>385</v>
      </c>
      <c r="F175" t="s">
        <v>386</v>
      </c>
      <c r="G175" t="s">
        <v>387</v>
      </c>
      <c r="H175" t="s">
        <v>356</v>
      </c>
      <c r="I175" t="s">
        <v>388</v>
      </c>
      <c r="J175" t="s">
        <v>62</v>
      </c>
      <c r="L175" t="s">
        <v>358</v>
      </c>
      <c r="M175">
        <v>1</v>
      </c>
      <c r="N175" t="s">
        <v>52</v>
      </c>
      <c r="O175">
        <v>10</v>
      </c>
      <c r="P175" t="s">
        <v>64</v>
      </c>
      <c r="Q175" t="s">
        <v>65</v>
      </c>
      <c r="R175">
        <v>28.91</v>
      </c>
      <c r="S175">
        <v>0</v>
      </c>
      <c r="T175">
        <v>28.91</v>
      </c>
      <c r="U175" t="s">
        <v>7</v>
      </c>
    </row>
    <row r="176" spans="1:21" x14ac:dyDescent="0.25">
      <c r="A176" t="s">
        <v>8</v>
      </c>
      <c r="B176" t="s">
        <v>389</v>
      </c>
      <c r="C176" t="s">
        <v>390</v>
      </c>
      <c r="D176" t="s">
        <v>391</v>
      </c>
      <c r="E176" t="s">
        <v>392</v>
      </c>
      <c r="F176" t="s">
        <v>393</v>
      </c>
      <c r="G176" t="s">
        <v>394</v>
      </c>
      <c r="H176" t="s">
        <v>47</v>
      </c>
      <c r="I176" t="s">
        <v>395</v>
      </c>
      <c r="J176" t="s">
        <v>364</v>
      </c>
      <c r="L176" t="s">
        <v>63</v>
      </c>
      <c r="M176">
        <v>1</v>
      </c>
      <c r="N176" t="s">
        <v>100</v>
      </c>
      <c r="O176">
        <v>3</v>
      </c>
      <c r="P176" t="s">
        <v>64</v>
      </c>
      <c r="Q176" t="s">
        <v>65</v>
      </c>
      <c r="R176">
        <v>28.91</v>
      </c>
      <c r="S176">
        <v>0</v>
      </c>
      <c r="T176">
        <v>28.91</v>
      </c>
      <c r="U176" t="s">
        <v>7</v>
      </c>
    </row>
    <row r="177" spans="1:21" x14ac:dyDescent="0.25">
      <c r="A177" t="s">
        <v>8</v>
      </c>
      <c r="B177" t="s">
        <v>389</v>
      </c>
      <c r="C177" t="s">
        <v>390</v>
      </c>
      <c r="D177" t="s">
        <v>391</v>
      </c>
      <c r="E177" t="s">
        <v>392</v>
      </c>
      <c r="F177" t="s">
        <v>393</v>
      </c>
      <c r="G177" t="s">
        <v>394</v>
      </c>
      <c r="H177" t="s">
        <v>47</v>
      </c>
      <c r="I177" t="s">
        <v>395</v>
      </c>
      <c r="J177" t="s">
        <v>364</v>
      </c>
      <c r="L177" t="s">
        <v>63</v>
      </c>
      <c r="M177">
        <v>1</v>
      </c>
      <c r="N177" t="s">
        <v>100</v>
      </c>
      <c r="O177">
        <v>3</v>
      </c>
      <c r="P177" t="s">
        <v>64</v>
      </c>
      <c r="Q177" t="s">
        <v>65</v>
      </c>
      <c r="R177">
        <v>0</v>
      </c>
      <c r="S177">
        <v>8.75</v>
      </c>
      <c r="T177">
        <v>8.75</v>
      </c>
      <c r="U177" t="s">
        <v>7</v>
      </c>
    </row>
    <row r="178" spans="1:21" x14ac:dyDescent="0.25">
      <c r="A178" t="s">
        <v>8</v>
      </c>
      <c r="B178" t="s">
        <v>389</v>
      </c>
      <c r="C178" t="s">
        <v>390</v>
      </c>
      <c r="D178" t="s">
        <v>391</v>
      </c>
      <c r="E178" t="s">
        <v>392</v>
      </c>
      <c r="F178" t="s">
        <v>393</v>
      </c>
      <c r="G178" t="s">
        <v>394</v>
      </c>
      <c r="H178" t="s">
        <v>47</v>
      </c>
      <c r="I178" t="s">
        <v>395</v>
      </c>
      <c r="J178" t="s">
        <v>364</v>
      </c>
      <c r="L178" t="s">
        <v>63</v>
      </c>
      <c r="M178">
        <v>1</v>
      </c>
      <c r="N178" t="s">
        <v>100</v>
      </c>
      <c r="O178">
        <v>3</v>
      </c>
      <c r="P178" t="s">
        <v>64</v>
      </c>
      <c r="Q178" t="s">
        <v>65</v>
      </c>
      <c r="R178">
        <v>0</v>
      </c>
      <c r="S178">
        <v>5.25</v>
      </c>
      <c r="T178">
        <v>5.25</v>
      </c>
      <c r="U178" t="s">
        <v>7</v>
      </c>
    </row>
    <row r="179" spans="1:21" x14ac:dyDescent="0.25">
      <c r="A179" t="s">
        <v>8</v>
      </c>
      <c r="B179" t="s">
        <v>396</v>
      </c>
      <c r="C179" t="s">
        <v>397</v>
      </c>
      <c r="D179" t="s">
        <v>398</v>
      </c>
      <c r="E179" t="s">
        <v>399</v>
      </c>
      <c r="F179" t="s">
        <v>382</v>
      </c>
      <c r="G179" t="s">
        <v>400</v>
      </c>
      <c r="H179" t="s">
        <v>401</v>
      </c>
      <c r="I179" t="s">
        <v>332</v>
      </c>
      <c r="J179" t="s">
        <v>74</v>
      </c>
      <c r="L179" t="s">
        <v>402</v>
      </c>
      <c r="M179">
        <v>7</v>
      </c>
      <c r="N179" t="s">
        <v>52</v>
      </c>
      <c r="O179">
        <v>17</v>
      </c>
      <c r="P179" t="s">
        <v>64</v>
      </c>
      <c r="Q179" t="s">
        <v>65</v>
      </c>
      <c r="R179">
        <v>28.91</v>
      </c>
      <c r="S179">
        <v>0</v>
      </c>
      <c r="T179">
        <v>28.91</v>
      </c>
      <c r="U179" t="s">
        <v>7</v>
      </c>
    </row>
    <row r="180" spans="1:21" x14ac:dyDescent="0.25">
      <c r="A180" t="s">
        <v>8</v>
      </c>
      <c r="B180" t="s">
        <v>396</v>
      </c>
      <c r="C180" t="s">
        <v>397</v>
      </c>
      <c r="D180" t="s">
        <v>398</v>
      </c>
      <c r="E180" t="s">
        <v>399</v>
      </c>
      <c r="F180" t="s">
        <v>382</v>
      </c>
      <c r="G180" t="s">
        <v>400</v>
      </c>
      <c r="H180" t="s">
        <v>401</v>
      </c>
      <c r="I180" t="s">
        <v>332</v>
      </c>
      <c r="J180" t="s">
        <v>74</v>
      </c>
      <c r="L180" t="s">
        <v>402</v>
      </c>
      <c r="M180">
        <v>7</v>
      </c>
      <c r="N180" t="s">
        <v>52</v>
      </c>
      <c r="O180">
        <v>17</v>
      </c>
      <c r="P180" t="s">
        <v>64</v>
      </c>
      <c r="Q180" t="s">
        <v>65</v>
      </c>
      <c r="R180">
        <v>0</v>
      </c>
      <c r="S180">
        <v>8.75</v>
      </c>
      <c r="T180">
        <v>8.75</v>
      </c>
      <c r="U180" t="s">
        <v>7</v>
      </c>
    </row>
    <row r="181" spans="1:21" x14ac:dyDescent="0.25">
      <c r="A181" t="s">
        <v>8</v>
      </c>
      <c r="B181" t="s">
        <v>396</v>
      </c>
      <c r="C181" t="s">
        <v>397</v>
      </c>
      <c r="D181" t="s">
        <v>398</v>
      </c>
      <c r="E181" t="s">
        <v>399</v>
      </c>
      <c r="F181" t="s">
        <v>382</v>
      </c>
      <c r="G181" t="s">
        <v>400</v>
      </c>
      <c r="H181" t="s">
        <v>401</v>
      </c>
      <c r="I181" t="s">
        <v>332</v>
      </c>
      <c r="J181" t="s">
        <v>74</v>
      </c>
      <c r="L181" t="s">
        <v>402</v>
      </c>
      <c r="M181">
        <v>7</v>
      </c>
      <c r="N181" t="s">
        <v>52</v>
      </c>
      <c r="O181">
        <v>17</v>
      </c>
      <c r="P181" t="s">
        <v>64</v>
      </c>
      <c r="Q181" t="s">
        <v>65</v>
      </c>
      <c r="R181">
        <v>0</v>
      </c>
      <c r="S181">
        <v>5.25</v>
      </c>
      <c r="T181">
        <v>5.25</v>
      </c>
      <c r="U181" t="s">
        <v>7</v>
      </c>
    </row>
    <row r="182" spans="1:21" x14ac:dyDescent="0.25">
      <c r="A182" t="s">
        <v>8</v>
      </c>
      <c r="B182" t="s">
        <v>350</v>
      </c>
      <c r="C182" t="s">
        <v>351</v>
      </c>
      <c r="D182" t="s">
        <v>403</v>
      </c>
      <c r="E182" t="s">
        <v>404</v>
      </c>
      <c r="F182" t="s">
        <v>405</v>
      </c>
      <c r="G182" t="s">
        <v>406</v>
      </c>
      <c r="H182" t="s">
        <v>47</v>
      </c>
      <c r="I182" t="s">
        <v>407</v>
      </c>
      <c r="J182" t="s">
        <v>222</v>
      </c>
      <c r="L182" t="s">
        <v>51</v>
      </c>
      <c r="M182">
        <v>10</v>
      </c>
      <c r="N182" t="s">
        <v>52</v>
      </c>
      <c r="O182">
        <v>9</v>
      </c>
      <c r="P182" t="s">
        <v>64</v>
      </c>
      <c r="Q182" t="s">
        <v>65</v>
      </c>
      <c r="R182">
        <v>0</v>
      </c>
      <c r="S182">
        <v>5.25</v>
      </c>
      <c r="T182">
        <v>5.25</v>
      </c>
      <c r="U182" t="s">
        <v>7</v>
      </c>
    </row>
    <row r="183" spans="1:21" x14ac:dyDescent="0.25">
      <c r="A183" t="s">
        <v>8</v>
      </c>
      <c r="B183" t="s">
        <v>350</v>
      </c>
      <c r="C183" t="s">
        <v>351</v>
      </c>
      <c r="D183" t="s">
        <v>403</v>
      </c>
      <c r="E183" t="s">
        <v>404</v>
      </c>
      <c r="F183" t="s">
        <v>405</v>
      </c>
      <c r="G183" t="s">
        <v>406</v>
      </c>
      <c r="H183" t="s">
        <v>47</v>
      </c>
      <c r="I183" t="s">
        <v>407</v>
      </c>
      <c r="J183" t="s">
        <v>222</v>
      </c>
      <c r="L183" t="s">
        <v>51</v>
      </c>
      <c r="M183">
        <v>10</v>
      </c>
      <c r="N183" t="s">
        <v>52</v>
      </c>
      <c r="O183">
        <v>9</v>
      </c>
      <c r="P183" t="s">
        <v>64</v>
      </c>
      <c r="Q183" t="s">
        <v>65</v>
      </c>
      <c r="R183">
        <v>0</v>
      </c>
      <c r="S183">
        <v>8.75</v>
      </c>
      <c r="T183">
        <v>8.75</v>
      </c>
      <c r="U183" t="s">
        <v>7</v>
      </c>
    </row>
    <row r="184" spans="1:21" x14ac:dyDescent="0.25">
      <c r="A184" t="s">
        <v>8</v>
      </c>
      <c r="B184" t="s">
        <v>350</v>
      </c>
      <c r="C184" t="s">
        <v>351</v>
      </c>
      <c r="D184" t="s">
        <v>403</v>
      </c>
      <c r="E184" t="s">
        <v>404</v>
      </c>
      <c r="F184" t="s">
        <v>405</v>
      </c>
      <c r="G184" t="s">
        <v>406</v>
      </c>
      <c r="H184" t="s">
        <v>47</v>
      </c>
      <c r="I184" t="s">
        <v>407</v>
      </c>
      <c r="J184" t="s">
        <v>222</v>
      </c>
      <c r="L184" t="s">
        <v>51</v>
      </c>
      <c r="M184">
        <v>10</v>
      </c>
      <c r="N184" t="s">
        <v>52</v>
      </c>
      <c r="O184">
        <v>9</v>
      </c>
      <c r="P184" t="s">
        <v>64</v>
      </c>
      <c r="Q184" t="s">
        <v>65</v>
      </c>
      <c r="R184">
        <v>28.91</v>
      </c>
      <c r="S184">
        <v>0</v>
      </c>
      <c r="T184">
        <v>28.91</v>
      </c>
      <c r="U184" t="s">
        <v>7</v>
      </c>
    </row>
    <row r="185" spans="1:21" x14ac:dyDescent="0.25">
      <c r="A185" t="s">
        <v>8</v>
      </c>
      <c r="B185" t="s">
        <v>408</v>
      </c>
      <c r="C185" t="s">
        <v>409</v>
      </c>
      <c r="D185" t="s">
        <v>410</v>
      </c>
      <c r="E185" t="s">
        <v>411</v>
      </c>
      <c r="F185" t="s">
        <v>412</v>
      </c>
      <c r="G185" t="s">
        <v>413</v>
      </c>
      <c r="H185" t="s">
        <v>47</v>
      </c>
      <c r="I185" t="s">
        <v>414</v>
      </c>
      <c r="J185" t="s">
        <v>74</v>
      </c>
      <c r="L185" t="s">
        <v>63</v>
      </c>
      <c r="M185">
        <v>1</v>
      </c>
      <c r="N185" t="s">
        <v>52</v>
      </c>
      <c r="O185">
        <v>4</v>
      </c>
      <c r="P185" t="s">
        <v>64</v>
      </c>
      <c r="Q185" t="s">
        <v>65</v>
      </c>
      <c r="R185">
        <v>0</v>
      </c>
      <c r="S185">
        <v>5.25</v>
      </c>
      <c r="T185">
        <v>5.25</v>
      </c>
      <c r="U185" t="s">
        <v>7</v>
      </c>
    </row>
    <row r="186" spans="1:21" x14ac:dyDescent="0.25">
      <c r="A186" t="s">
        <v>8</v>
      </c>
      <c r="B186" t="s">
        <v>408</v>
      </c>
      <c r="C186" t="s">
        <v>409</v>
      </c>
      <c r="D186" t="s">
        <v>410</v>
      </c>
      <c r="E186" t="s">
        <v>411</v>
      </c>
      <c r="F186" t="s">
        <v>412</v>
      </c>
      <c r="G186" t="s">
        <v>413</v>
      </c>
      <c r="H186" t="s">
        <v>47</v>
      </c>
      <c r="I186" t="s">
        <v>414</v>
      </c>
      <c r="J186" t="s">
        <v>74</v>
      </c>
      <c r="L186" t="s">
        <v>63</v>
      </c>
      <c r="M186">
        <v>1</v>
      </c>
      <c r="N186" t="s">
        <v>52</v>
      </c>
      <c r="O186">
        <v>4</v>
      </c>
      <c r="P186" t="s">
        <v>64</v>
      </c>
      <c r="Q186" t="s">
        <v>65</v>
      </c>
      <c r="R186">
        <v>0</v>
      </c>
      <c r="S186">
        <v>8.75</v>
      </c>
      <c r="T186">
        <v>8.75</v>
      </c>
      <c r="U186" t="s">
        <v>7</v>
      </c>
    </row>
    <row r="187" spans="1:21" x14ac:dyDescent="0.25">
      <c r="A187" t="s">
        <v>8</v>
      </c>
      <c r="B187" t="s">
        <v>408</v>
      </c>
      <c r="C187" t="s">
        <v>409</v>
      </c>
      <c r="D187" t="s">
        <v>410</v>
      </c>
      <c r="E187" t="s">
        <v>411</v>
      </c>
      <c r="F187" t="s">
        <v>412</v>
      </c>
      <c r="G187" t="s">
        <v>413</v>
      </c>
      <c r="H187" t="s">
        <v>47</v>
      </c>
      <c r="I187" t="s">
        <v>414</v>
      </c>
      <c r="J187" t="s">
        <v>74</v>
      </c>
      <c r="L187" t="s">
        <v>63</v>
      </c>
      <c r="M187">
        <v>1</v>
      </c>
      <c r="N187" t="s">
        <v>52</v>
      </c>
      <c r="O187">
        <v>4</v>
      </c>
      <c r="P187" t="s">
        <v>64</v>
      </c>
      <c r="Q187" t="s">
        <v>65</v>
      </c>
      <c r="R187">
        <v>28.91</v>
      </c>
      <c r="S187">
        <v>0</v>
      </c>
      <c r="T187">
        <v>28.91</v>
      </c>
      <c r="U187" t="s">
        <v>7</v>
      </c>
    </row>
    <row r="188" spans="1:21" x14ac:dyDescent="0.25">
      <c r="A188" t="s">
        <v>8</v>
      </c>
      <c r="B188" t="s">
        <v>154</v>
      </c>
      <c r="C188" t="s">
        <v>155</v>
      </c>
      <c r="D188" t="s">
        <v>415</v>
      </c>
      <c r="E188" t="s">
        <v>416</v>
      </c>
      <c r="F188" t="s">
        <v>417</v>
      </c>
      <c r="G188" t="s">
        <v>418</v>
      </c>
      <c r="H188" t="s">
        <v>126</v>
      </c>
      <c r="I188" t="s">
        <v>419</v>
      </c>
      <c r="J188" t="s">
        <v>74</v>
      </c>
      <c r="L188" t="s">
        <v>129</v>
      </c>
      <c r="M188">
        <v>5</v>
      </c>
      <c r="N188" t="s">
        <v>85</v>
      </c>
      <c r="O188">
        <v>2</v>
      </c>
      <c r="P188" t="s">
        <v>64</v>
      </c>
      <c r="Q188" t="s">
        <v>65</v>
      </c>
      <c r="R188">
        <v>28.91</v>
      </c>
      <c r="S188">
        <v>0</v>
      </c>
      <c r="T188">
        <v>28.91</v>
      </c>
      <c r="U188" t="s">
        <v>7</v>
      </c>
    </row>
    <row r="189" spans="1:21" x14ac:dyDescent="0.25">
      <c r="A189" t="s">
        <v>8</v>
      </c>
      <c r="B189" t="s">
        <v>154</v>
      </c>
      <c r="C189" t="s">
        <v>155</v>
      </c>
      <c r="D189" t="s">
        <v>415</v>
      </c>
      <c r="E189" t="s">
        <v>416</v>
      </c>
      <c r="F189" t="s">
        <v>417</v>
      </c>
      <c r="G189" t="s">
        <v>418</v>
      </c>
      <c r="H189" t="s">
        <v>126</v>
      </c>
      <c r="I189" t="s">
        <v>419</v>
      </c>
      <c r="J189" t="s">
        <v>74</v>
      </c>
      <c r="L189" t="s">
        <v>129</v>
      </c>
      <c r="M189">
        <v>5</v>
      </c>
      <c r="N189" t="s">
        <v>85</v>
      </c>
      <c r="O189">
        <v>2</v>
      </c>
      <c r="P189" t="s">
        <v>64</v>
      </c>
      <c r="Q189" t="s">
        <v>65</v>
      </c>
      <c r="R189">
        <v>0</v>
      </c>
      <c r="S189">
        <v>8.75</v>
      </c>
      <c r="T189">
        <v>8.75</v>
      </c>
      <c r="U189" t="s">
        <v>7</v>
      </c>
    </row>
    <row r="190" spans="1:21" x14ac:dyDescent="0.25">
      <c r="A190" t="s">
        <v>8</v>
      </c>
      <c r="B190" t="s">
        <v>154</v>
      </c>
      <c r="C190" t="s">
        <v>155</v>
      </c>
      <c r="D190" t="s">
        <v>415</v>
      </c>
      <c r="E190" t="s">
        <v>416</v>
      </c>
      <c r="F190" t="s">
        <v>417</v>
      </c>
      <c r="G190" t="s">
        <v>418</v>
      </c>
      <c r="H190" t="s">
        <v>126</v>
      </c>
      <c r="I190" t="s">
        <v>419</v>
      </c>
      <c r="J190" t="s">
        <v>74</v>
      </c>
      <c r="L190" t="s">
        <v>129</v>
      </c>
      <c r="M190">
        <v>5</v>
      </c>
      <c r="N190" t="s">
        <v>85</v>
      </c>
      <c r="O190">
        <v>2</v>
      </c>
      <c r="P190" t="s">
        <v>64</v>
      </c>
      <c r="Q190" t="s">
        <v>65</v>
      </c>
      <c r="R190">
        <v>0</v>
      </c>
      <c r="S190">
        <v>5.25</v>
      </c>
      <c r="T190">
        <v>5.25</v>
      </c>
      <c r="U190" t="s">
        <v>7</v>
      </c>
    </row>
    <row r="191" spans="1:21" x14ac:dyDescent="0.25">
      <c r="A191" t="s">
        <v>8</v>
      </c>
      <c r="B191" t="s">
        <v>41</v>
      </c>
      <c r="C191" t="s">
        <v>42</v>
      </c>
      <c r="D191" t="s">
        <v>420</v>
      </c>
      <c r="E191" t="s">
        <v>421</v>
      </c>
      <c r="F191" t="s">
        <v>422</v>
      </c>
      <c r="G191" t="s">
        <v>423</v>
      </c>
      <c r="H191" t="s">
        <v>47</v>
      </c>
      <c r="I191" t="s">
        <v>424</v>
      </c>
      <c r="J191" t="s">
        <v>121</v>
      </c>
      <c r="L191" t="s">
        <v>63</v>
      </c>
      <c r="M191">
        <v>1</v>
      </c>
      <c r="N191" t="s">
        <v>85</v>
      </c>
      <c r="O191">
        <v>2</v>
      </c>
      <c r="P191" t="s">
        <v>64</v>
      </c>
      <c r="Q191" t="s">
        <v>65</v>
      </c>
      <c r="R191">
        <v>0</v>
      </c>
      <c r="S191">
        <v>8.75</v>
      </c>
      <c r="T191">
        <v>8.75</v>
      </c>
      <c r="U191" t="s">
        <v>7</v>
      </c>
    </row>
    <row r="192" spans="1:21" x14ac:dyDescent="0.25">
      <c r="A192" t="s">
        <v>8</v>
      </c>
      <c r="B192" t="s">
        <v>41</v>
      </c>
      <c r="C192" t="s">
        <v>42</v>
      </c>
      <c r="D192" t="s">
        <v>420</v>
      </c>
      <c r="E192" t="s">
        <v>421</v>
      </c>
      <c r="F192" t="s">
        <v>422</v>
      </c>
      <c r="G192" t="s">
        <v>423</v>
      </c>
      <c r="H192" t="s">
        <v>47</v>
      </c>
      <c r="I192" t="s">
        <v>424</v>
      </c>
      <c r="J192" t="s">
        <v>121</v>
      </c>
      <c r="L192" t="s">
        <v>63</v>
      </c>
      <c r="M192">
        <v>1</v>
      </c>
      <c r="N192" t="s">
        <v>85</v>
      </c>
      <c r="O192">
        <v>2</v>
      </c>
      <c r="P192" t="s">
        <v>64</v>
      </c>
      <c r="Q192" t="s">
        <v>65</v>
      </c>
      <c r="R192">
        <v>0</v>
      </c>
      <c r="S192">
        <v>5.25</v>
      </c>
      <c r="T192">
        <v>5.25</v>
      </c>
      <c r="U192" t="s">
        <v>7</v>
      </c>
    </row>
    <row r="193" spans="1:21" x14ac:dyDescent="0.25">
      <c r="A193" t="s">
        <v>8</v>
      </c>
      <c r="B193" t="s">
        <v>41</v>
      </c>
      <c r="C193" t="s">
        <v>42</v>
      </c>
      <c r="D193" t="s">
        <v>420</v>
      </c>
      <c r="E193" t="s">
        <v>421</v>
      </c>
      <c r="F193" t="s">
        <v>422</v>
      </c>
      <c r="G193" t="s">
        <v>423</v>
      </c>
      <c r="H193" t="s">
        <v>47</v>
      </c>
      <c r="I193" t="s">
        <v>424</v>
      </c>
      <c r="J193" t="s">
        <v>121</v>
      </c>
      <c r="L193" t="s">
        <v>63</v>
      </c>
      <c r="M193">
        <v>1</v>
      </c>
      <c r="N193" t="s">
        <v>85</v>
      </c>
      <c r="O193">
        <v>2</v>
      </c>
      <c r="P193" t="s">
        <v>64</v>
      </c>
      <c r="Q193" t="s">
        <v>65</v>
      </c>
      <c r="R193">
        <v>28.91</v>
      </c>
      <c r="S193">
        <v>0</v>
      </c>
      <c r="T193">
        <v>28.91</v>
      </c>
      <c r="U193" t="s">
        <v>7</v>
      </c>
    </row>
    <row r="194" spans="1:21" x14ac:dyDescent="0.25">
      <c r="A194" t="s">
        <v>8</v>
      </c>
      <c r="B194" t="s">
        <v>154</v>
      </c>
      <c r="C194" t="s">
        <v>155</v>
      </c>
      <c r="D194" t="s">
        <v>425</v>
      </c>
      <c r="E194" t="s">
        <v>426</v>
      </c>
      <c r="F194" t="s">
        <v>427</v>
      </c>
      <c r="G194" t="s">
        <v>428</v>
      </c>
      <c r="H194" t="s">
        <v>47</v>
      </c>
      <c r="I194" t="s">
        <v>429</v>
      </c>
      <c r="J194" t="s">
        <v>199</v>
      </c>
      <c r="L194" t="s">
        <v>51</v>
      </c>
      <c r="M194">
        <v>1</v>
      </c>
      <c r="N194" t="s">
        <v>85</v>
      </c>
      <c r="O194">
        <v>3</v>
      </c>
      <c r="P194" t="s">
        <v>64</v>
      </c>
      <c r="Q194" t="s">
        <v>65</v>
      </c>
      <c r="R194">
        <v>0</v>
      </c>
      <c r="S194">
        <v>5.25</v>
      </c>
      <c r="T194">
        <v>5.25</v>
      </c>
      <c r="U194" t="s">
        <v>7</v>
      </c>
    </row>
    <row r="195" spans="1:21" x14ac:dyDescent="0.25">
      <c r="A195" t="s">
        <v>8</v>
      </c>
      <c r="B195" t="s">
        <v>154</v>
      </c>
      <c r="C195" t="s">
        <v>155</v>
      </c>
      <c r="D195" t="s">
        <v>425</v>
      </c>
      <c r="E195" t="s">
        <v>426</v>
      </c>
      <c r="F195" t="s">
        <v>427</v>
      </c>
      <c r="G195" t="s">
        <v>428</v>
      </c>
      <c r="H195" t="s">
        <v>47</v>
      </c>
      <c r="I195" t="s">
        <v>429</v>
      </c>
      <c r="J195" t="s">
        <v>199</v>
      </c>
      <c r="L195" t="s">
        <v>51</v>
      </c>
      <c r="M195">
        <v>1</v>
      </c>
      <c r="N195" t="s">
        <v>85</v>
      </c>
      <c r="O195">
        <v>3</v>
      </c>
      <c r="P195" t="s">
        <v>64</v>
      </c>
      <c r="Q195" t="s">
        <v>65</v>
      </c>
      <c r="R195">
        <v>28.91</v>
      </c>
      <c r="S195">
        <v>0</v>
      </c>
      <c r="T195">
        <v>28.91</v>
      </c>
      <c r="U195" t="s">
        <v>7</v>
      </c>
    </row>
    <row r="196" spans="1:21" x14ac:dyDescent="0.25">
      <c r="A196" t="s">
        <v>8</v>
      </c>
      <c r="B196" t="s">
        <v>154</v>
      </c>
      <c r="C196" t="s">
        <v>155</v>
      </c>
      <c r="D196" t="s">
        <v>425</v>
      </c>
      <c r="E196" t="s">
        <v>426</v>
      </c>
      <c r="F196" t="s">
        <v>427</v>
      </c>
      <c r="G196" t="s">
        <v>428</v>
      </c>
      <c r="H196" t="s">
        <v>47</v>
      </c>
      <c r="I196" t="s">
        <v>429</v>
      </c>
      <c r="J196" t="s">
        <v>199</v>
      </c>
      <c r="L196" t="s">
        <v>51</v>
      </c>
      <c r="M196">
        <v>1</v>
      </c>
      <c r="N196" t="s">
        <v>85</v>
      </c>
      <c r="O196">
        <v>3</v>
      </c>
      <c r="P196" t="s">
        <v>64</v>
      </c>
      <c r="Q196" t="s">
        <v>65</v>
      </c>
      <c r="R196">
        <v>0</v>
      </c>
      <c r="S196">
        <v>8.75</v>
      </c>
      <c r="T196">
        <v>8.75</v>
      </c>
      <c r="U196" t="s">
        <v>7</v>
      </c>
    </row>
    <row r="197" spans="1:21" x14ac:dyDescent="0.25">
      <c r="A197" t="s">
        <v>8</v>
      </c>
      <c r="B197" t="s">
        <v>41</v>
      </c>
      <c r="C197" t="s">
        <v>42</v>
      </c>
      <c r="D197" t="s">
        <v>430</v>
      </c>
      <c r="E197" t="s">
        <v>431</v>
      </c>
      <c r="F197" t="s">
        <v>432</v>
      </c>
      <c r="G197" t="s">
        <v>433</v>
      </c>
      <c r="H197" t="s">
        <v>47</v>
      </c>
      <c r="I197" t="s">
        <v>112</v>
      </c>
      <c r="J197" t="s">
        <v>74</v>
      </c>
      <c r="L197" t="s">
        <v>51</v>
      </c>
      <c r="M197">
        <v>1</v>
      </c>
      <c r="N197" t="s">
        <v>52</v>
      </c>
      <c r="O197">
        <v>17</v>
      </c>
      <c r="P197" t="s">
        <v>64</v>
      </c>
      <c r="Q197" t="s">
        <v>65</v>
      </c>
      <c r="R197">
        <v>0</v>
      </c>
      <c r="S197">
        <v>5.25</v>
      </c>
      <c r="T197">
        <v>5.25</v>
      </c>
      <c r="U197" t="s">
        <v>7</v>
      </c>
    </row>
    <row r="198" spans="1:21" x14ac:dyDescent="0.25">
      <c r="A198" t="s">
        <v>8</v>
      </c>
      <c r="B198" t="s">
        <v>41</v>
      </c>
      <c r="C198" t="s">
        <v>42</v>
      </c>
      <c r="D198" t="s">
        <v>430</v>
      </c>
      <c r="E198" t="s">
        <v>431</v>
      </c>
      <c r="F198" t="s">
        <v>432</v>
      </c>
      <c r="G198" t="s">
        <v>433</v>
      </c>
      <c r="H198" t="s">
        <v>47</v>
      </c>
      <c r="I198" t="s">
        <v>112</v>
      </c>
      <c r="J198" t="s">
        <v>74</v>
      </c>
      <c r="L198" t="s">
        <v>51</v>
      </c>
      <c r="M198">
        <v>1</v>
      </c>
      <c r="N198" t="s">
        <v>52</v>
      </c>
      <c r="O198">
        <v>17</v>
      </c>
      <c r="P198" t="s">
        <v>64</v>
      </c>
      <c r="Q198" t="s">
        <v>65</v>
      </c>
      <c r="R198">
        <v>28.91</v>
      </c>
      <c r="S198">
        <v>0</v>
      </c>
      <c r="T198">
        <v>28.91</v>
      </c>
      <c r="U198" t="s">
        <v>7</v>
      </c>
    </row>
    <row r="199" spans="1:21" x14ac:dyDescent="0.25">
      <c r="A199" t="s">
        <v>8</v>
      </c>
      <c r="B199" t="s">
        <v>41</v>
      </c>
      <c r="C199" t="s">
        <v>42</v>
      </c>
      <c r="D199" t="s">
        <v>430</v>
      </c>
      <c r="E199" t="s">
        <v>431</v>
      </c>
      <c r="F199" t="s">
        <v>432</v>
      </c>
      <c r="G199" t="s">
        <v>433</v>
      </c>
      <c r="H199" t="s">
        <v>47</v>
      </c>
      <c r="I199" t="s">
        <v>112</v>
      </c>
      <c r="J199" t="s">
        <v>74</v>
      </c>
      <c r="L199" t="s">
        <v>51</v>
      </c>
      <c r="M199">
        <v>1</v>
      </c>
      <c r="N199" t="s">
        <v>52</v>
      </c>
      <c r="O199">
        <v>17</v>
      </c>
      <c r="P199" t="s">
        <v>64</v>
      </c>
      <c r="Q199" t="s">
        <v>65</v>
      </c>
      <c r="R199">
        <v>0</v>
      </c>
      <c r="S199">
        <v>8.75</v>
      </c>
      <c r="T199">
        <v>8.75</v>
      </c>
      <c r="U199" t="s">
        <v>7</v>
      </c>
    </row>
    <row r="200" spans="1:21" x14ac:dyDescent="0.25">
      <c r="A200" t="s">
        <v>8</v>
      </c>
      <c r="B200" t="s">
        <v>396</v>
      </c>
      <c r="C200" t="s">
        <v>397</v>
      </c>
      <c r="D200" t="s">
        <v>434</v>
      </c>
      <c r="E200" t="s">
        <v>435</v>
      </c>
      <c r="F200" t="s">
        <v>110</v>
      </c>
      <c r="G200" t="s">
        <v>436</v>
      </c>
      <c r="H200" t="s">
        <v>437</v>
      </c>
      <c r="I200" t="s">
        <v>438</v>
      </c>
      <c r="J200" t="s">
        <v>357</v>
      </c>
      <c r="L200" t="s">
        <v>439</v>
      </c>
      <c r="M200">
        <v>52</v>
      </c>
      <c r="N200" t="s">
        <v>52</v>
      </c>
      <c r="O200">
        <v>12</v>
      </c>
      <c r="P200" t="s">
        <v>64</v>
      </c>
      <c r="Q200" t="s">
        <v>65</v>
      </c>
      <c r="R200">
        <v>0</v>
      </c>
      <c r="S200">
        <v>8.75</v>
      </c>
      <c r="T200">
        <v>8.75</v>
      </c>
      <c r="U200" t="s">
        <v>7</v>
      </c>
    </row>
    <row r="201" spans="1:21" x14ac:dyDescent="0.25">
      <c r="A201" t="s">
        <v>8</v>
      </c>
      <c r="B201" t="s">
        <v>396</v>
      </c>
      <c r="C201" t="s">
        <v>397</v>
      </c>
      <c r="D201" t="s">
        <v>434</v>
      </c>
      <c r="E201" t="s">
        <v>435</v>
      </c>
      <c r="F201" t="s">
        <v>110</v>
      </c>
      <c r="G201" t="s">
        <v>436</v>
      </c>
      <c r="H201" t="s">
        <v>437</v>
      </c>
      <c r="I201" t="s">
        <v>438</v>
      </c>
      <c r="J201" t="s">
        <v>357</v>
      </c>
      <c r="L201" t="s">
        <v>439</v>
      </c>
      <c r="M201">
        <v>52</v>
      </c>
      <c r="N201" t="s">
        <v>52</v>
      </c>
      <c r="O201">
        <v>12</v>
      </c>
      <c r="P201" t="s">
        <v>64</v>
      </c>
      <c r="Q201" t="s">
        <v>65</v>
      </c>
      <c r="R201">
        <v>28.91</v>
      </c>
      <c r="S201">
        <v>0</v>
      </c>
      <c r="T201">
        <v>28.91</v>
      </c>
      <c r="U201" t="s">
        <v>7</v>
      </c>
    </row>
    <row r="202" spans="1:21" x14ac:dyDescent="0.25">
      <c r="A202" t="s">
        <v>8</v>
      </c>
      <c r="B202" t="s">
        <v>396</v>
      </c>
      <c r="C202" t="s">
        <v>397</v>
      </c>
      <c r="D202" t="s">
        <v>434</v>
      </c>
      <c r="E202" t="s">
        <v>435</v>
      </c>
      <c r="F202" t="s">
        <v>110</v>
      </c>
      <c r="G202" t="s">
        <v>436</v>
      </c>
      <c r="H202" t="s">
        <v>437</v>
      </c>
      <c r="I202" t="s">
        <v>438</v>
      </c>
      <c r="J202" t="s">
        <v>357</v>
      </c>
      <c r="L202" t="s">
        <v>439</v>
      </c>
      <c r="M202">
        <v>52</v>
      </c>
      <c r="N202" t="s">
        <v>52</v>
      </c>
      <c r="O202">
        <v>12</v>
      </c>
      <c r="P202" t="s">
        <v>64</v>
      </c>
      <c r="Q202" t="s">
        <v>65</v>
      </c>
      <c r="R202">
        <v>0</v>
      </c>
      <c r="S202">
        <v>5.25</v>
      </c>
      <c r="T202">
        <v>5.25</v>
      </c>
      <c r="U202" t="s">
        <v>7</v>
      </c>
    </row>
    <row r="203" spans="1:21" x14ac:dyDescent="0.25">
      <c r="A203" t="s">
        <v>8</v>
      </c>
      <c r="B203" t="s">
        <v>154</v>
      </c>
      <c r="C203" t="s">
        <v>155</v>
      </c>
      <c r="D203" t="s">
        <v>440</v>
      </c>
      <c r="E203" t="s">
        <v>441</v>
      </c>
      <c r="F203" t="s">
        <v>442</v>
      </c>
      <c r="G203" t="s">
        <v>443</v>
      </c>
      <c r="H203" t="s">
        <v>126</v>
      </c>
      <c r="I203" t="s">
        <v>444</v>
      </c>
      <c r="J203" t="s">
        <v>222</v>
      </c>
      <c r="L203" t="s">
        <v>129</v>
      </c>
      <c r="M203">
        <v>13</v>
      </c>
      <c r="N203" t="s">
        <v>52</v>
      </c>
      <c r="O203">
        <v>6</v>
      </c>
      <c r="P203" t="s">
        <v>64</v>
      </c>
      <c r="Q203" t="s">
        <v>65</v>
      </c>
      <c r="R203">
        <v>28.91</v>
      </c>
      <c r="S203">
        <v>0</v>
      </c>
      <c r="T203">
        <v>28.91</v>
      </c>
      <c r="U203" t="s">
        <v>7</v>
      </c>
    </row>
    <row r="204" spans="1:21" x14ac:dyDescent="0.25">
      <c r="A204" t="s">
        <v>8</v>
      </c>
      <c r="B204" t="s">
        <v>154</v>
      </c>
      <c r="C204" t="s">
        <v>155</v>
      </c>
      <c r="D204" t="s">
        <v>440</v>
      </c>
      <c r="E204" t="s">
        <v>441</v>
      </c>
      <c r="F204" t="s">
        <v>442</v>
      </c>
      <c r="G204" t="s">
        <v>443</v>
      </c>
      <c r="H204" t="s">
        <v>126</v>
      </c>
      <c r="I204" t="s">
        <v>444</v>
      </c>
      <c r="J204" t="s">
        <v>222</v>
      </c>
      <c r="L204" t="s">
        <v>129</v>
      </c>
      <c r="M204">
        <v>13</v>
      </c>
      <c r="N204" t="s">
        <v>52</v>
      </c>
      <c r="O204">
        <v>6</v>
      </c>
      <c r="P204" t="s">
        <v>64</v>
      </c>
      <c r="Q204" t="s">
        <v>65</v>
      </c>
      <c r="R204">
        <v>0</v>
      </c>
      <c r="S204">
        <v>8.75</v>
      </c>
      <c r="T204">
        <v>8.75</v>
      </c>
      <c r="U204" t="s">
        <v>7</v>
      </c>
    </row>
    <row r="205" spans="1:21" x14ac:dyDescent="0.25">
      <c r="A205" t="s">
        <v>8</v>
      </c>
      <c r="B205" t="s">
        <v>154</v>
      </c>
      <c r="C205" t="s">
        <v>155</v>
      </c>
      <c r="D205" t="s">
        <v>440</v>
      </c>
      <c r="E205" t="s">
        <v>441</v>
      </c>
      <c r="F205" t="s">
        <v>442</v>
      </c>
      <c r="G205" t="s">
        <v>443</v>
      </c>
      <c r="H205" t="s">
        <v>126</v>
      </c>
      <c r="I205" t="s">
        <v>444</v>
      </c>
      <c r="J205" t="s">
        <v>222</v>
      </c>
      <c r="L205" t="s">
        <v>129</v>
      </c>
      <c r="M205">
        <v>13</v>
      </c>
      <c r="N205" t="s">
        <v>52</v>
      </c>
      <c r="O205">
        <v>6</v>
      </c>
      <c r="P205" t="s">
        <v>64</v>
      </c>
      <c r="Q205" t="s">
        <v>65</v>
      </c>
      <c r="R205">
        <v>0</v>
      </c>
      <c r="S205">
        <v>5.25</v>
      </c>
      <c r="T205">
        <v>5.25</v>
      </c>
      <c r="U205" t="s">
        <v>7</v>
      </c>
    </row>
    <row r="206" spans="1:21" x14ac:dyDescent="0.25">
      <c r="A206" t="s">
        <v>8</v>
      </c>
      <c r="B206" t="s">
        <v>55</v>
      </c>
      <c r="C206" t="s">
        <v>56</v>
      </c>
      <c r="D206" t="s">
        <v>445</v>
      </c>
      <c r="E206" t="s">
        <v>446</v>
      </c>
      <c r="F206" t="s">
        <v>447</v>
      </c>
      <c r="G206" t="s">
        <v>448</v>
      </c>
      <c r="H206" t="s">
        <v>47</v>
      </c>
      <c r="I206" t="s">
        <v>407</v>
      </c>
      <c r="J206" t="s">
        <v>222</v>
      </c>
      <c r="L206" t="s">
        <v>51</v>
      </c>
      <c r="M206">
        <v>10</v>
      </c>
      <c r="N206" t="s">
        <v>52</v>
      </c>
      <c r="O206">
        <v>3</v>
      </c>
      <c r="P206" t="s">
        <v>64</v>
      </c>
      <c r="Q206" t="s">
        <v>65</v>
      </c>
      <c r="R206">
        <v>0</v>
      </c>
      <c r="S206">
        <v>5.25</v>
      </c>
      <c r="T206">
        <v>5.25</v>
      </c>
      <c r="U206" t="s">
        <v>7</v>
      </c>
    </row>
    <row r="207" spans="1:21" x14ac:dyDescent="0.25">
      <c r="A207" t="s">
        <v>8</v>
      </c>
      <c r="B207" t="s">
        <v>55</v>
      </c>
      <c r="C207" t="s">
        <v>56</v>
      </c>
      <c r="D207" t="s">
        <v>445</v>
      </c>
      <c r="E207" t="s">
        <v>446</v>
      </c>
      <c r="F207" t="s">
        <v>447</v>
      </c>
      <c r="G207" t="s">
        <v>448</v>
      </c>
      <c r="H207" t="s">
        <v>47</v>
      </c>
      <c r="I207" t="s">
        <v>407</v>
      </c>
      <c r="J207" t="s">
        <v>222</v>
      </c>
      <c r="L207" t="s">
        <v>51</v>
      </c>
      <c r="M207">
        <v>10</v>
      </c>
      <c r="N207" t="s">
        <v>52</v>
      </c>
      <c r="O207">
        <v>3</v>
      </c>
      <c r="P207" t="s">
        <v>64</v>
      </c>
      <c r="Q207" t="s">
        <v>65</v>
      </c>
      <c r="R207">
        <v>28.91</v>
      </c>
      <c r="S207">
        <v>0</v>
      </c>
      <c r="T207">
        <v>28.91</v>
      </c>
      <c r="U207" t="s">
        <v>7</v>
      </c>
    </row>
    <row r="208" spans="1:21" x14ac:dyDescent="0.25">
      <c r="A208" t="s">
        <v>8</v>
      </c>
      <c r="B208" t="s">
        <v>55</v>
      </c>
      <c r="C208" t="s">
        <v>56</v>
      </c>
      <c r="D208" t="s">
        <v>445</v>
      </c>
      <c r="E208" t="s">
        <v>446</v>
      </c>
      <c r="F208" t="s">
        <v>447</v>
      </c>
      <c r="G208" t="s">
        <v>448</v>
      </c>
      <c r="H208" t="s">
        <v>47</v>
      </c>
      <c r="I208" t="s">
        <v>407</v>
      </c>
      <c r="J208" t="s">
        <v>222</v>
      </c>
      <c r="L208" t="s">
        <v>51</v>
      </c>
      <c r="M208">
        <v>10</v>
      </c>
      <c r="N208" t="s">
        <v>52</v>
      </c>
      <c r="O208">
        <v>3</v>
      </c>
      <c r="P208" t="s">
        <v>64</v>
      </c>
      <c r="Q208" t="s">
        <v>65</v>
      </c>
      <c r="R208">
        <v>0</v>
      </c>
      <c r="S208">
        <v>8.75</v>
      </c>
      <c r="T208">
        <v>8.75</v>
      </c>
      <c r="U208" t="s">
        <v>7</v>
      </c>
    </row>
    <row r="209" spans="1:21" x14ac:dyDescent="0.25">
      <c r="A209" t="s">
        <v>8</v>
      </c>
      <c r="B209" t="s">
        <v>449</v>
      </c>
      <c r="C209" t="s">
        <v>450</v>
      </c>
      <c r="D209" t="s">
        <v>451</v>
      </c>
      <c r="E209" t="s">
        <v>452</v>
      </c>
      <c r="F209" t="s">
        <v>453</v>
      </c>
      <c r="G209" t="s">
        <v>454</v>
      </c>
      <c r="H209" t="s">
        <v>455</v>
      </c>
      <c r="I209" t="s">
        <v>456</v>
      </c>
      <c r="J209" t="s">
        <v>457</v>
      </c>
      <c r="L209" t="s">
        <v>458</v>
      </c>
      <c r="M209">
        <v>3</v>
      </c>
      <c r="N209" t="s">
        <v>100</v>
      </c>
      <c r="O209">
        <v>2</v>
      </c>
      <c r="P209" t="s">
        <v>64</v>
      </c>
      <c r="Q209" t="s">
        <v>65</v>
      </c>
      <c r="R209">
        <v>0</v>
      </c>
      <c r="S209">
        <v>5.25</v>
      </c>
      <c r="T209">
        <v>5.25</v>
      </c>
      <c r="U209" t="s">
        <v>7</v>
      </c>
    </row>
    <row r="210" spans="1:21" x14ac:dyDescent="0.25">
      <c r="A210" t="s">
        <v>8</v>
      </c>
      <c r="B210" t="s">
        <v>449</v>
      </c>
      <c r="C210" t="s">
        <v>450</v>
      </c>
      <c r="D210" t="s">
        <v>451</v>
      </c>
      <c r="E210" t="s">
        <v>452</v>
      </c>
      <c r="F210" t="s">
        <v>453</v>
      </c>
      <c r="G210" t="s">
        <v>454</v>
      </c>
      <c r="H210" t="s">
        <v>455</v>
      </c>
      <c r="I210" t="s">
        <v>456</v>
      </c>
      <c r="J210" t="s">
        <v>457</v>
      </c>
      <c r="L210" t="s">
        <v>458</v>
      </c>
      <c r="M210">
        <v>3</v>
      </c>
      <c r="N210" t="s">
        <v>100</v>
      </c>
      <c r="O210">
        <v>2</v>
      </c>
      <c r="P210" t="s">
        <v>64</v>
      </c>
      <c r="Q210" t="s">
        <v>65</v>
      </c>
      <c r="R210">
        <v>28.91</v>
      </c>
      <c r="S210">
        <v>0</v>
      </c>
      <c r="T210">
        <v>28.91</v>
      </c>
      <c r="U210" t="s">
        <v>7</v>
      </c>
    </row>
    <row r="211" spans="1:21" x14ac:dyDescent="0.25">
      <c r="A211" t="s">
        <v>8</v>
      </c>
      <c r="B211" t="s">
        <v>449</v>
      </c>
      <c r="C211" t="s">
        <v>450</v>
      </c>
      <c r="D211" t="s">
        <v>451</v>
      </c>
      <c r="E211" t="s">
        <v>452</v>
      </c>
      <c r="F211" t="s">
        <v>453</v>
      </c>
      <c r="G211" t="s">
        <v>454</v>
      </c>
      <c r="H211" t="s">
        <v>455</v>
      </c>
      <c r="I211" t="s">
        <v>456</v>
      </c>
      <c r="J211" t="s">
        <v>457</v>
      </c>
      <c r="L211" t="s">
        <v>458</v>
      </c>
      <c r="M211">
        <v>3</v>
      </c>
      <c r="N211" t="s">
        <v>100</v>
      </c>
      <c r="O211">
        <v>2</v>
      </c>
      <c r="P211" t="s">
        <v>64</v>
      </c>
      <c r="Q211" t="s">
        <v>65</v>
      </c>
      <c r="R211">
        <v>0</v>
      </c>
      <c r="S211">
        <v>8.75</v>
      </c>
      <c r="T211">
        <v>8.75</v>
      </c>
      <c r="U211" t="s">
        <v>7</v>
      </c>
    </row>
    <row r="212" spans="1:21" x14ac:dyDescent="0.25">
      <c r="A212" t="s">
        <v>8</v>
      </c>
      <c r="B212" t="s">
        <v>41</v>
      </c>
      <c r="C212" t="s">
        <v>42</v>
      </c>
      <c r="D212" t="s">
        <v>459</v>
      </c>
      <c r="E212" t="s">
        <v>460</v>
      </c>
      <c r="F212" t="s">
        <v>461</v>
      </c>
      <c r="G212" t="s">
        <v>462</v>
      </c>
      <c r="H212" t="s">
        <v>47</v>
      </c>
      <c r="I212" t="s">
        <v>463</v>
      </c>
      <c r="J212" t="s">
        <v>74</v>
      </c>
      <c r="L212" t="s">
        <v>63</v>
      </c>
      <c r="M212">
        <v>1</v>
      </c>
      <c r="N212" t="s">
        <v>52</v>
      </c>
      <c r="O212">
        <v>8</v>
      </c>
      <c r="P212" t="s">
        <v>64</v>
      </c>
      <c r="Q212" t="s">
        <v>65</v>
      </c>
      <c r="R212">
        <v>0</v>
      </c>
      <c r="S212">
        <v>8.75</v>
      </c>
      <c r="T212">
        <v>8.75</v>
      </c>
      <c r="U212" t="s">
        <v>7</v>
      </c>
    </row>
    <row r="213" spans="1:21" x14ac:dyDescent="0.25">
      <c r="A213" t="s">
        <v>8</v>
      </c>
      <c r="B213" t="s">
        <v>41</v>
      </c>
      <c r="C213" t="s">
        <v>42</v>
      </c>
      <c r="D213" t="s">
        <v>459</v>
      </c>
      <c r="E213" t="s">
        <v>460</v>
      </c>
      <c r="F213" t="s">
        <v>461</v>
      </c>
      <c r="G213" t="s">
        <v>462</v>
      </c>
      <c r="H213" t="s">
        <v>47</v>
      </c>
      <c r="I213" t="s">
        <v>463</v>
      </c>
      <c r="J213" t="s">
        <v>74</v>
      </c>
      <c r="L213" t="s">
        <v>63</v>
      </c>
      <c r="M213">
        <v>1</v>
      </c>
      <c r="N213" t="s">
        <v>52</v>
      </c>
      <c r="O213">
        <v>8</v>
      </c>
      <c r="P213" t="s">
        <v>64</v>
      </c>
      <c r="Q213" t="s">
        <v>65</v>
      </c>
      <c r="R213">
        <v>0</v>
      </c>
      <c r="S213">
        <v>5.25</v>
      </c>
      <c r="T213">
        <v>5.25</v>
      </c>
      <c r="U213" t="s">
        <v>7</v>
      </c>
    </row>
    <row r="214" spans="1:21" x14ac:dyDescent="0.25">
      <c r="A214" t="s">
        <v>8</v>
      </c>
      <c r="B214" t="s">
        <v>41</v>
      </c>
      <c r="C214" t="s">
        <v>42</v>
      </c>
      <c r="D214" t="s">
        <v>459</v>
      </c>
      <c r="E214" t="s">
        <v>460</v>
      </c>
      <c r="F214" t="s">
        <v>461</v>
      </c>
      <c r="G214" t="s">
        <v>462</v>
      </c>
      <c r="H214" t="s">
        <v>47</v>
      </c>
      <c r="I214" t="s">
        <v>463</v>
      </c>
      <c r="J214" t="s">
        <v>74</v>
      </c>
      <c r="L214" t="s">
        <v>63</v>
      </c>
      <c r="M214">
        <v>1</v>
      </c>
      <c r="N214" t="s">
        <v>52</v>
      </c>
      <c r="O214">
        <v>8</v>
      </c>
      <c r="P214" t="s">
        <v>64</v>
      </c>
      <c r="Q214" t="s">
        <v>65</v>
      </c>
      <c r="R214">
        <v>28.91</v>
      </c>
      <c r="S214">
        <v>0</v>
      </c>
      <c r="T214">
        <v>28.91</v>
      </c>
      <c r="U214" t="s">
        <v>7</v>
      </c>
    </row>
    <row r="215" spans="1:21" x14ac:dyDescent="0.25">
      <c r="A215" t="s">
        <v>8</v>
      </c>
      <c r="B215" t="s">
        <v>265</v>
      </c>
      <c r="C215" t="s">
        <v>266</v>
      </c>
      <c r="D215" t="s">
        <v>464</v>
      </c>
      <c r="E215" t="s">
        <v>465</v>
      </c>
      <c r="F215" t="s">
        <v>466</v>
      </c>
      <c r="G215" t="s">
        <v>467</v>
      </c>
      <c r="H215" t="s">
        <v>47</v>
      </c>
      <c r="I215" t="s">
        <v>99</v>
      </c>
      <c r="J215" t="s">
        <v>74</v>
      </c>
      <c r="L215" t="s">
        <v>63</v>
      </c>
      <c r="M215">
        <v>1</v>
      </c>
      <c r="N215" t="s">
        <v>52</v>
      </c>
      <c r="O215">
        <v>3</v>
      </c>
      <c r="P215" t="s">
        <v>64</v>
      </c>
      <c r="Q215" t="s">
        <v>65</v>
      </c>
      <c r="R215">
        <v>28.91</v>
      </c>
      <c r="S215">
        <v>0</v>
      </c>
      <c r="T215">
        <v>28.91</v>
      </c>
      <c r="U215" t="s">
        <v>7</v>
      </c>
    </row>
    <row r="216" spans="1:21" x14ac:dyDescent="0.25">
      <c r="A216" t="s">
        <v>8</v>
      </c>
      <c r="B216" t="s">
        <v>265</v>
      </c>
      <c r="C216" t="s">
        <v>266</v>
      </c>
      <c r="D216" t="s">
        <v>464</v>
      </c>
      <c r="E216" t="s">
        <v>465</v>
      </c>
      <c r="F216" t="s">
        <v>466</v>
      </c>
      <c r="G216" t="s">
        <v>467</v>
      </c>
      <c r="H216" t="s">
        <v>47</v>
      </c>
      <c r="I216" t="s">
        <v>99</v>
      </c>
      <c r="J216" t="s">
        <v>74</v>
      </c>
      <c r="L216" t="s">
        <v>63</v>
      </c>
      <c r="M216">
        <v>1</v>
      </c>
      <c r="N216" t="s">
        <v>52</v>
      </c>
      <c r="O216">
        <v>3</v>
      </c>
      <c r="P216" t="s">
        <v>64</v>
      </c>
      <c r="Q216" t="s">
        <v>65</v>
      </c>
      <c r="R216">
        <v>0</v>
      </c>
      <c r="S216">
        <v>5.25</v>
      </c>
      <c r="T216">
        <v>5.25</v>
      </c>
      <c r="U216" t="s">
        <v>7</v>
      </c>
    </row>
    <row r="217" spans="1:21" x14ac:dyDescent="0.25">
      <c r="A217" t="s">
        <v>8</v>
      </c>
      <c r="B217" t="s">
        <v>265</v>
      </c>
      <c r="C217" t="s">
        <v>266</v>
      </c>
      <c r="D217" t="s">
        <v>464</v>
      </c>
      <c r="E217" t="s">
        <v>465</v>
      </c>
      <c r="F217" t="s">
        <v>466</v>
      </c>
      <c r="G217" t="s">
        <v>467</v>
      </c>
      <c r="H217" t="s">
        <v>47</v>
      </c>
      <c r="I217" t="s">
        <v>99</v>
      </c>
      <c r="J217" t="s">
        <v>74</v>
      </c>
      <c r="L217" t="s">
        <v>63</v>
      </c>
      <c r="M217">
        <v>1</v>
      </c>
      <c r="N217" t="s">
        <v>52</v>
      </c>
      <c r="O217">
        <v>3</v>
      </c>
      <c r="P217" t="s">
        <v>64</v>
      </c>
      <c r="Q217" t="s">
        <v>65</v>
      </c>
      <c r="R217">
        <v>0</v>
      </c>
      <c r="S217">
        <v>8.75</v>
      </c>
      <c r="T217">
        <v>8.75</v>
      </c>
      <c r="U217" t="s">
        <v>7</v>
      </c>
    </row>
    <row r="218" spans="1:21" x14ac:dyDescent="0.25">
      <c r="A218" t="s">
        <v>8</v>
      </c>
      <c r="B218" t="s">
        <v>154</v>
      </c>
      <c r="C218" t="s">
        <v>155</v>
      </c>
      <c r="D218" t="s">
        <v>468</v>
      </c>
      <c r="E218" t="s">
        <v>469</v>
      </c>
      <c r="F218" t="s">
        <v>470</v>
      </c>
      <c r="G218" t="s">
        <v>471</v>
      </c>
      <c r="H218" t="s">
        <v>47</v>
      </c>
      <c r="I218" t="s">
        <v>472</v>
      </c>
      <c r="J218" t="s">
        <v>222</v>
      </c>
      <c r="L218" t="s">
        <v>51</v>
      </c>
      <c r="M218">
        <v>10</v>
      </c>
      <c r="N218" t="s">
        <v>52</v>
      </c>
      <c r="O218">
        <v>9</v>
      </c>
      <c r="P218" t="s">
        <v>64</v>
      </c>
      <c r="Q218" t="s">
        <v>65</v>
      </c>
      <c r="R218">
        <v>0</v>
      </c>
      <c r="S218">
        <v>5.25</v>
      </c>
      <c r="T218">
        <v>5.25</v>
      </c>
      <c r="U218" t="s">
        <v>7</v>
      </c>
    </row>
    <row r="219" spans="1:21" x14ac:dyDescent="0.25">
      <c r="A219" t="s">
        <v>8</v>
      </c>
      <c r="B219" t="s">
        <v>154</v>
      </c>
      <c r="C219" t="s">
        <v>155</v>
      </c>
      <c r="D219" t="s">
        <v>468</v>
      </c>
      <c r="E219" t="s">
        <v>469</v>
      </c>
      <c r="F219" t="s">
        <v>470</v>
      </c>
      <c r="G219" t="s">
        <v>471</v>
      </c>
      <c r="H219" t="s">
        <v>47</v>
      </c>
      <c r="I219" t="s">
        <v>472</v>
      </c>
      <c r="J219" t="s">
        <v>222</v>
      </c>
      <c r="L219" t="s">
        <v>51</v>
      </c>
      <c r="M219">
        <v>10</v>
      </c>
      <c r="N219" t="s">
        <v>52</v>
      </c>
      <c r="O219">
        <v>9</v>
      </c>
      <c r="P219" t="s">
        <v>64</v>
      </c>
      <c r="Q219" t="s">
        <v>65</v>
      </c>
      <c r="R219">
        <v>0</v>
      </c>
      <c r="S219">
        <v>8.75</v>
      </c>
      <c r="T219">
        <v>8.75</v>
      </c>
      <c r="U219" t="s">
        <v>7</v>
      </c>
    </row>
    <row r="220" spans="1:21" x14ac:dyDescent="0.25">
      <c r="A220" t="s">
        <v>8</v>
      </c>
      <c r="B220" t="s">
        <v>154</v>
      </c>
      <c r="C220" t="s">
        <v>155</v>
      </c>
      <c r="D220" t="s">
        <v>468</v>
      </c>
      <c r="E220" t="s">
        <v>469</v>
      </c>
      <c r="F220" t="s">
        <v>470</v>
      </c>
      <c r="G220" t="s">
        <v>471</v>
      </c>
      <c r="H220" t="s">
        <v>47</v>
      </c>
      <c r="I220" t="s">
        <v>472</v>
      </c>
      <c r="J220" t="s">
        <v>222</v>
      </c>
      <c r="L220" t="s">
        <v>51</v>
      </c>
      <c r="M220">
        <v>10</v>
      </c>
      <c r="N220" t="s">
        <v>52</v>
      </c>
      <c r="O220">
        <v>9</v>
      </c>
      <c r="P220" t="s">
        <v>64</v>
      </c>
      <c r="Q220" t="s">
        <v>65</v>
      </c>
      <c r="R220">
        <v>28.91</v>
      </c>
      <c r="S220">
        <v>0</v>
      </c>
      <c r="T220">
        <v>28.91</v>
      </c>
      <c r="U220" t="s">
        <v>7</v>
      </c>
    </row>
    <row r="221" spans="1:21" x14ac:dyDescent="0.25">
      <c r="A221" t="s">
        <v>8</v>
      </c>
      <c r="B221" t="s">
        <v>137</v>
      </c>
      <c r="C221" t="s">
        <v>138</v>
      </c>
      <c r="D221" t="s">
        <v>473</v>
      </c>
      <c r="E221" t="s">
        <v>474</v>
      </c>
      <c r="F221" t="s">
        <v>103</v>
      </c>
      <c r="G221" t="s">
        <v>369</v>
      </c>
      <c r="H221" t="s">
        <v>47</v>
      </c>
      <c r="I221" t="s">
        <v>253</v>
      </c>
      <c r="J221" t="s">
        <v>364</v>
      </c>
      <c r="L221" t="s">
        <v>63</v>
      </c>
      <c r="M221">
        <v>1</v>
      </c>
      <c r="N221" t="s">
        <v>85</v>
      </c>
      <c r="O221">
        <v>3</v>
      </c>
      <c r="P221" t="s">
        <v>64</v>
      </c>
      <c r="Q221" t="s">
        <v>65</v>
      </c>
      <c r="R221">
        <v>0</v>
      </c>
      <c r="S221">
        <v>8.75</v>
      </c>
      <c r="T221">
        <v>8.75</v>
      </c>
      <c r="U221" t="s">
        <v>7</v>
      </c>
    </row>
    <row r="222" spans="1:21" x14ac:dyDescent="0.25">
      <c r="A222" t="s">
        <v>8</v>
      </c>
      <c r="B222" t="s">
        <v>137</v>
      </c>
      <c r="C222" t="s">
        <v>138</v>
      </c>
      <c r="D222" t="s">
        <v>473</v>
      </c>
      <c r="E222" t="s">
        <v>474</v>
      </c>
      <c r="F222" t="s">
        <v>103</v>
      </c>
      <c r="G222" t="s">
        <v>369</v>
      </c>
      <c r="H222" t="s">
        <v>47</v>
      </c>
      <c r="I222" t="s">
        <v>253</v>
      </c>
      <c r="J222" t="s">
        <v>364</v>
      </c>
      <c r="L222" t="s">
        <v>63</v>
      </c>
      <c r="M222">
        <v>1</v>
      </c>
      <c r="N222" t="s">
        <v>85</v>
      </c>
      <c r="O222">
        <v>3</v>
      </c>
      <c r="P222" t="s">
        <v>64</v>
      </c>
      <c r="Q222" t="s">
        <v>65</v>
      </c>
      <c r="R222">
        <v>0</v>
      </c>
      <c r="S222">
        <v>5.25</v>
      </c>
      <c r="T222">
        <v>5.25</v>
      </c>
      <c r="U222" t="s">
        <v>7</v>
      </c>
    </row>
    <row r="223" spans="1:21" x14ac:dyDescent="0.25">
      <c r="A223" t="s">
        <v>8</v>
      </c>
      <c r="B223" t="s">
        <v>137</v>
      </c>
      <c r="C223" t="s">
        <v>138</v>
      </c>
      <c r="D223" t="s">
        <v>473</v>
      </c>
      <c r="E223" t="s">
        <v>474</v>
      </c>
      <c r="F223" t="s">
        <v>103</v>
      </c>
      <c r="G223" t="s">
        <v>369</v>
      </c>
      <c r="H223" t="s">
        <v>47</v>
      </c>
      <c r="I223" t="s">
        <v>253</v>
      </c>
      <c r="J223" t="s">
        <v>364</v>
      </c>
      <c r="L223" t="s">
        <v>63</v>
      </c>
      <c r="M223">
        <v>1</v>
      </c>
      <c r="N223" t="s">
        <v>85</v>
      </c>
      <c r="O223">
        <v>3</v>
      </c>
      <c r="P223" t="s">
        <v>64</v>
      </c>
      <c r="Q223" t="s">
        <v>65</v>
      </c>
      <c r="R223">
        <v>28.91</v>
      </c>
      <c r="S223">
        <v>0</v>
      </c>
      <c r="T223">
        <v>28.91</v>
      </c>
      <c r="U223" t="s">
        <v>7</v>
      </c>
    </row>
    <row r="224" spans="1:21" x14ac:dyDescent="0.25">
      <c r="A224" t="s">
        <v>8</v>
      </c>
      <c r="B224" t="s">
        <v>265</v>
      </c>
      <c r="C224" t="s">
        <v>266</v>
      </c>
      <c r="D224" t="s">
        <v>475</v>
      </c>
      <c r="E224" t="s">
        <v>476</v>
      </c>
      <c r="F224" t="s">
        <v>477</v>
      </c>
      <c r="G224" t="s">
        <v>478</v>
      </c>
      <c r="H224" t="s">
        <v>47</v>
      </c>
      <c r="I224" t="s">
        <v>151</v>
      </c>
      <c r="J224" t="s">
        <v>152</v>
      </c>
      <c r="L224" t="s">
        <v>51</v>
      </c>
      <c r="M224">
        <v>10</v>
      </c>
      <c r="O224">
        <v>0</v>
      </c>
      <c r="P224" t="s">
        <v>53</v>
      </c>
      <c r="Q224" t="s">
        <v>65</v>
      </c>
      <c r="R224">
        <v>0</v>
      </c>
      <c r="S224">
        <v>75</v>
      </c>
      <c r="T224">
        <v>75</v>
      </c>
      <c r="U224" t="s">
        <v>7</v>
      </c>
    </row>
    <row r="225" spans="1:21" x14ac:dyDescent="0.25">
      <c r="A225" t="s">
        <v>8</v>
      </c>
      <c r="B225" t="s">
        <v>265</v>
      </c>
      <c r="C225" t="s">
        <v>266</v>
      </c>
      <c r="D225" t="s">
        <v>475</v>
      </c>
      <c r="E225" t="s">
        <v>476</v>
      </c>
      <c r="F225" t="s">
        <v>477</v>
      </c>
      <c r="G225" t="s">
        <v>478</v>
      </c>
      <c r="H225" t="s">
        <v>47</v>
      </c>
      <c r="I225" t="s">
        <v>151</v>
      </c>
      <c r="J225" t="s">
        <v>152</v>
      </c>
      <c r="L225" t="s">
        <v>51</v>
      </c>
      <c r="M225">
        <v>10</v>
      </c>
      <c r="O225">
        <v>0</v>
      </c>
      <c r="P225" t="s">
        <v>53</v>
      </c>
      <c r="Q225" t="s">
        <v>65</v>
      </c>
      <c r="R225">
        <v>202.41</v>
      </c>
      <c r="S225">
        <v>0</v>
      </c>
      <c r="T225">
        <v>202.41</v>
      </c>
      <c r="U225" t="s">
        <v>7</v>
      </c>
    </row>
    <row r="226" spans="1:21" x14ac:dyDescent="0.25">
      <c r="A226" t="s">
        <v>8</v>
      </c>
      <c r="B226" t="s">
        <v>265</v>
      </c>
      <c r="C226" t="s">
        <v>266</v>
      </c>
      <c r="D226" t="s">
        <v>475</v>
      </c>
      <c r="E226" t="s">
        <v>476</v>
      </c>
      <c r="F226" t="s">
        <v>477</v>
      </c>
      <c r="G226" t="s">
        <v>478</v>
      </c>
      <c r="H226" t="s">
        <v>47</v>
      </c>
      <c r="I226" t="s">
        <v>151</v>
      </c>
      <c r="J226" t="s">
        <v>152</v>
      </c>
      <c r="L226" t="s">
        <v>51</v>
      </c>
      <c r="M226">
        <v>10</v>
      </c>
      <c r="O226">
        <v>0</v>
      </c>
      <c r="P226" t="s">
        <v>53</v>
      </c>
      <c r="Q226" t="s">
        <v>65</v>
      </c>
      <c r="R226">
        <v>0</v>
      </c>
      <c r="S226">
        <v>125</v>
      </c>
      <c r="T226">
        <v>125</v>
      </c>
      <c r="U226" t="s">
        <v>7</v>
      </c>
    </row>
    <row r="227" spans="1:21" x14ac:dyDescent="0.25">
      <c r="A227" t="s">
        <v>8</v>
      </c>
      <c r="B227" t="s">
        <v>106</v>
      </c>
      <c r="C227" t="s">
        <v>107</v>
      </c>
      <c r="D227" t="s">
        <v>479</v>
      </c>
      <c r="E227" t="s">
        <v>480</v>
      </c>
      <c r="F227" t="s">
        <v>481</v>
      </c>
      <c r="G227" t="s">
        <v>482</v>
      </c>
      <c r="H227" t="s">
        <v>47</v>
      </c>
      <c r="I227" t="s">
        <v>332</v>
      </c>
      <c r="J227" t="s">
        <v>74</v>
      </c>
      <c r="L227" t="s">
        <v>63</v>
      </c>
      <c r="M227">
        <v>1</v>
      </c>
      <c r="N227" t="s">
        <v>85</v>
      </c>
      <c r="O227">
        <v>2</v>
      </c>
      <c r="P227" t="s">
        <v>64</v>
      </c>
      <c r="Q227" t="s">
        <v>65</v>
      </c>
      <c r="R227">
        <v>0</v>
      </c>
      <c r="S227">
        <v>8.75</v>
      </c>
      <c r="T227">
        <v>8.75</v>
      </c>
      <c r="U227" t="s">
        <v>7</v>
      </c>
    </row>
    <row r="228" spans="1:21" x14ac:dyDescent="0.25">
      <c r="A228" t="s">
        <v>8</v>
      </c>
      <c r="B228" t="s">
        <v>106</v>
      </c>
      <c r="C228" t="s">
        <v>107</v>
      </c>
      <c r="D228" t="s">
        <v>479</v>
      </c>
      <c r="E228" t="s">
        <v>480</v>
      </c>
      <c r="F228" t="s">
        <v>481</v>
      </c>
      <c r="G228" t="s">
        <v>482</v>
      </c>
      <c r="H228" t="s">
        <v>47</v>
      </c>
      <c r="I228" t="s">
        <v>332</v>
      </c>
      <c r="J228" t="s">
        <v>74</v>
      </c>
      <c r="L228" t="s">
        <v>63</v>
      </c>
      <c r="M228">
        <v>1</v>
      </c>
      <c r="N228" t="s">
        <v>85</v>
      </c>
      <c r="O228">
        <v>2</v>
      </c>
      <c r="P228" t="s">
        <v>64</v>
      </c>
      <c r="Q228" t="s">
        <v>65</v>
      </c>
      <c r="R228">
        <v>28.91</v>
      </c>
      <c r="S228">
        <v>0</v>
      </c>
      <c r="T228">
        <v>28.91</v>
      </c>
      <c r="U228" t="s">
        <v>7</v>
      </c>
    </row>
    <row r="229" spans="1:21" x14ac:dyDescent="0.25">
      <c r="A229" t="s">
        <v>8</v>
      </c>
      <c r="B229" t="s">
        <v>106</v>
      </c>
      <c r="C229" t="s">
        <v>107</v>
      </c>
      <c r="D229" t="s">
        <v>479</v>
      </c>
      <c r="E229" t="s">
        <v>480</v>
      </c>
      <c r="F229" t="s">
        <v>481</v>
      </c>
      <c r="G229" t="s">
        <v>482</v>
      </c>
      <c r="H229" t="s">
        <v>47</v>
      </c>
      <c r="I229" t="s">
        <v>332</v>
      </c>
      <c r="J229" t="s">
        <v>74</v>
      </c>
      <c r="L229" t="s">
        <v>63</v>
      </c>
      <c r="M229">
        <v>1</v>
      </c>
      <c r="N229" t="s">
        <v>85</v>
      </c>
      <c r="O229">
        <v>2</v>
      </c>
      <c r="P229" t="s">
        <v>64</v>
      </c>
      <c r="Q229" t="s">
        <v>65</v>
      </c>
      <c r="R229">
        <v>0</v>
      </c>
      <c r="S229">
        <v>5.25</v>
      </c>
      <c r="T229">
        <v>5.25</v>
      </c>
      <c r="U229" t="s">
        <v>7</v>
      </c>
    </row>
    <row r="230" spans="1:21" x14ac:dyDescent="0.25">
      <c r="A230" t="s">
        <v>8</v>
      </c>
      <c r="B230" t="s">
        <v>161</v>
      </c>
      <c r="C230" t="s">
        <v>162</v>
      </c>
      <c r="D230" t="s">
        <v>483</v>
      </c>
      <c r="E230" t="s">
        <v>484</v>
      </c>
      <c r="F230" t="s">
        <v>382</v>
      </c>
      <c r="G230" t="s">
        <v>485</v>
      </c>
      <c r="H230" t="s">
        <v>47</v>
      </c>
      <c r="I230" t="s">
        <v>486</v>
      </c>
      <c r="J230" t="s">
        <v>364</v>
      </c>
      <c r="L230" t="s">
        <v>51</v>
      </c>
      <c r="M230">
        <v>1</v>
      </c>
      <c r="N230" t="s">
        <v>85</v>
      </c>
      <c r="O230">
        <v>3</v>
      </c>
      <c r="P230" t="s">
        <v>64</v>
      </c>
      <c r="Q230" t="s">
        <v>65</v>
      </c>
      <c r="R230">
        <v>28.91</v>
      </c>
      <c r="S230">
        <v>0</v>
      </c>
      <c r="T230">
        <v>28.91</v>
      </c>
      <c r="U230" t="s">
        <v>7</v>
      </c>
    </row>
    <row r="231" spans="1:21" x14ac:dyDescent="0.25">
      <c r="A231" t="s">
        <v>8</v>
      </c>
      <c r="B231" t="s">
        <v>161</v>
      </c>
      <c r="C231" t="s">
        <v>162</v>
      </c>
      <c r="D231" t="s">
        <v>483</v>
      </c>
      <c r="E231" t="s">
        <v>484</v>
      </c>
      <c r="F231" t="s">
        <v>382</v>
      </c>
      <c r="G231" t="s">
        <v>485</v>
      </c>
      <c r="H231" t="s">
        <v>47</v>
      </c>
      <c r="I231" t="s">
        <v>486</v>
      </c>
      <c r="J231" t="s">
        <v>364</v>
      </c>
      <c r="L231" t="s">
        <v>51</v>
      </c>
      <c r="M231">
        <v>1</v>
      </c>
      <c r="N231" t="s">
        <v>85</v>
      </c>
      <c r="O231">
        <v>3</v>
      </c>
      <c r="P231" t="s">
        <v>64</v>
      </c>
      <c r="Q231" t="s">
        <v>65</v>
      </c>
      <c r="R231">
        <v>0</v>
      </c>
      <c r="S231">
        <v>8.75</v>
      </c>
      <c r="T231">
        <v>8.75</v>
      </c>
      <c r="U231" t="s">
        <v>7</v>
      </c>
    </row>
    <row r="232" spans="1:21" x14ac:dyDescent="0.25">
      <c r="A232" t="s">
        <v>8</v>
      </c>
      <c r="B232" t="s">
        <v>161</v>
      </c>
      <c r="C232" t="s">
        <v>162</v>
      </c>
      <c r="D232" t="s">
        <v>483</v>
      </c>
      <c r="E232" t="s">
        <v>484</v>
      </c>
      <c r="F232" t="s">
        <v>382</v>
      </c>
      <c r="G232" t="s">
        <v>485</v>
      </c>
      <c r="H232" t="s">
        <v>47</v>
      </c>
      <c r="I232" t="s">
        <v>486</v>
      </c>
      <c r="J232" t="s">
        <v>364</v>
      </c>
      <c r="L232" t="s">
        <v>51</v>
      </c>
      <c r="M232">
        <v>1</v>
      </c>
      <c r="N232" t="s">
        <v>85</v>
      </c>
      <c r="O232">
        <v>3</v>
      </c>
      <c r="P232" t="s">
        <v>64</v>
      </c>
      <c r="Q232" t="s">
        <v>65</v>
      </c>
      <c r="R232">
        <v>0</v>
      </c>
      <c r="S232">
        <v>5.25</v>
      </c>
      <c r="T232">
        <v>5.25</v>
      </c>
      <c r="U232" t="s">
        <v>7</v>
      </c>
    </row>
    <row r="233" spans="1:21" x14ac:dyDescent="0.25">
      <c r="A233" t="s">
        <v>8</v>
      </c>
      <c r="B233" t="s">
        <v>449</v>
      </c>
      <c r="C233" t="s">
        <v>450</v>
      </c>
      <c r="D233" t="s">
        <v>487</v>
      </c>
      <c r="E233" t="s">
        <v>488</v>
      </c>
      <c r="F233" t="s">
        <v>97</v>
      </c>
      <c r="G233" t="s">
        <v>489</v>
      </c>
      <c r="H233" t="s">
        <v>47</v>
      </c>
      <c r="I233" t="s">
        <v>490</v>
      </c>
      <c r="J233" t="s">
        <v>83</v>
      </c>
      <c r="L233" t="s">
        <v>51</v>
      </c>
      <c r="M233">
        <v>1</v>
      </c>
      <c r="N233" t="s">
        <v>85</v>
      </c>
      <c r="O233">
        <v>2</v>
      </c>
      <c r="P233" t="s">
        <v>64</v>
      </c>
      <c r="Q233" t="s">
        <v>65</v>
      </c>
      <c r="R233">
        <v>0</v>
      </c>
      <c r="S233">
        <v>8.75</v>
      </c>
      <c r="T233">
        <v>8.75</v>
      </c>
      <c r="U233" t="s">
        <v>7</v>
      </c>
    </row>
    <row r="234" spans="1:21" x14ac:dyDescent="0.25">
      <c r="A234" t="s">
        <v>8</v>
      </c>
      <c r="B234" t="s">
        <v>449</v>
      </c>
      <c r="C234" t="s">
        <v>450</v>
      </c>
      <c r="D234" t="s">
        <v>487</v>
      </c>
      <c r="E234" t="s">
        <v>488</v>
      </c>
      <c r="F234" t="s">
        <v>97</v>
      </c>
      <c r="G234" t="s">
        <v>489</v>
      </c>
      <c r="H234" t="s">
        <v>47</v>
      </c>
      <c r="I234" t="s">
        <v>490</v>
      </c>
      <c r="J234" t="s">
        <v>83</v>
      </c>
      <c r="L234" t="s">
        <v>51</v>
      </c>
      <c r="M234">
        <v>1</v>
      </c>
      <c r="N234" t="s">
        <v>85</v>
      </c>
      <c r="O234">
        <v>2</v>
      </c>
      <c r="P234" t="s">
        <v>64</v>
      </c>
      <c r="Q234" t="s">
        <v>65</v>
      </c>
      <c r="R234">
        <v>28.91</v>
      </c>
      <c r="S234">
        <v>0</v>
      </c>
      <c r="T234">
        <v>28.91</v>
      </c>
      <c r="U234" t="s">
        <v>7</v>
      </c>
    </row>
    <row r="235" spans="1:21" x14ac:dyDescent="0.25">
      <c r="A235" t="s">
        <v>8</v>
      </c>
      <c r="B235" t="s">
        <v>449</v>
      </c>
      <c r="C235" t="s">
        <v>450</v>
      </c>
      <c r="D235" t="s">
        <v>487</v>
      </c>
      <c r="E235" t="s">
        <v>488</v>
      </c>
      <c r="F235" t="s">
        <v>97</v>
      </c>
      <c r="G235" t="s">
        <v>489</v>
      </c>
      <c r="H235" t="s">
        <v>47</v>
      </c>
      <c r="I235" t="s">
        <v>490</v>
      </c>
      <c r="J235" t="s">
        <v>83</v>
      </c>
      <c r="L235" t="s">
        <v>51</v>
      </c>
      <c r="M235">
        <v>1</v>
      </c>
      <c r="N235" t="s">
        <v>85</v>
      </c>
      <c r="O235">
        <v>2</v>
      </c>
      <c r="P235" t="s">
        <v>64</v>
      </c>
      <c r="Q235" t="s">
        <v>65</v>
      </c>
      <c r="R235">
        <v>0</v>
      </c>
      <c r="S235">
        <v>5.25</v>
      </c>
      <c r="T235">
        <v>5.25</v>
      </c>
      <c r="U235" t="s">
        <v>7</v>
      </c>
    </row>
    <row r="236" spans="1:21" x14ac:dyDescent="0.25">
      <c r="A236" t="s">
        <v>8</v>
      </c>
      <c r="B236" t="s">
        <v>86</v>
      </c>
      <c r="C236" t="s">
        <v>87</v>
      </c>
      <c r="D236" t="s">
        <v>491</v>
      </c>
      <c r="E236" t="s">
        <v>492</v>
      </c>
      <c r="F236" t="s">
        <v>110</v>
      </c>
      <c r="G236" t="s">
        <v>493</v>
      </c>
      <c r="H236" t="s">
        <v>47</v>
      </c>
      <c r="I236" t="s">
        <v>301</v>
      </c>
      <c r="J236" t="s">
        <v>74</v>
      </c>
      <c r="L236" t="s">
        <v>63</v>
      </c>
      <c r="M236">
        <v>1</v>
      </c>
      <c r="N236" t="s">
        <v>85</v>
      </c>
      <c r="O236">
        <v>2</v>
      </c>
      <c r="P236" t="s">
        <v>64</v>
      </c>
      <c r="Q236" t="s">
        <v>65</v>
      </c>
      <c r="R236">
        <v>0</v>
      </c>
      <c r="S236">
        <v>8.75</v>
      </c>
      <c r="T236">
        <v>8.75</v>
      </c>
      <c r="U236" t="s">
        <v>7</v>
      </c>
    </row>
    <row r="237" spans="1:21" x14ac:dyDescent="0.25">
      <c r="A237" t="s">
        <v>8</v>
      </c>
      <c r="B237" t="s">
        <v>86</v>
      </c>
      <c r="C237" t="s">
        <v>87</v>
      </c>
      <c r="D237" t="s">
        <v>491</v>
      </c>
      <c r="E237" t="s">
        <v>492</v>
      </c>
      <c r="F237" t="s">
        <v>110</v>
      </c>
      <c r="G237" t="s">
        <v>493</v>
      </c>
      <c r="H237" t="s">
        <v>47</v>
      </c>
      <c r="I237" t="s">
        <v>301</v>
      </c>
      <c r="J237" t="s">
        <v>74</v>
      </c>
      <c r="L237" t="s">
        <v>63</v>
      </c>
      <c r="M237">
        <v>1</v>
      </c>
      <c r="N237" t="s">
        <v>85</v>
      </c>
      <c r="O237">
        <v>2</v>
      </c>
      <c r="P237" t="s">
        <v>64</v>
      </c>
      <c r="Q237" t="s">
        <v>65</v>
      </c>
      <c r="R237">
        <v>28.91</v>
      </c>
      <c r="S237">
        <v>0</v>
      </c>
      <c r="T237">
        <v>28.91</v>
      </c>
      <c r="U237" t="s">
        <v>7</v>
      </c>
    </row>
    <row r="238" spans="1:21" x14ac:dyDescent="0.25">
      <c r="A238" t="s">
        <v>8</v>
      </c>
      <c r="B238" t="s">
        <v>86</v>
      </c>
      <c r="C238" t="s">
        <v>87</v>
      </c>
      <c r="D238" t="s">
        <v>491</v>
      </c>
      <c r="E238" t="s">
        <v>492</v>
      </c>
      <c r="F238" t="s">
        <v>110</v>
      </c>
      <c r="G238" t="s">
        <v>493</v>
      </c>
      <c r="H238" t="s">
        <v>47</v>
      </c>
      <c r="I238" t="s">
        <v>301</v>
      </c>
      <c r="J238" t="s">
        <v>74</v>
      </c>
      <c r="L238" t="s">
        <v>63</v>
      </c>
      <c r="M238">
        <v>1</v>
      </c>
      <c r="N238" t="s">
        <v>85</v>
      </c>
      <c r="O238">
        <v>2</v>
      </c>
      <c r="P238" t="s">
        <v>64</v>
      </c>
      <c r="Q238" t="s">
        <v>65</v>
      </c>
      <c r="R238">
        <v>0</v>
      </c>
      <c r="S238">
        <v>5.25</v>
      </c>
      <c r="T238">
        <v>5.25</v>
      </c>
      <c r="U238" t="s">
        <v>7</v>
      </c>
    </row>
    <row r="239" spans="1:21" x14ac:dyDescent="0.25">
      <c r="A239" t="s">
        <v>8</v>
      </c>
      <c r="B239" t="s">
        <v>494</v>
      </c>
      <c r="C239" t="s">
        <v>495</v>
      </c>
      <c r="D239" t="s">
        <v>496</v>
      </c>
      <c r="E239" t="s">
        <v>497</v>
      </c>
      <c r="F239" t="s">
        <v>498</v>
      </c>
      <c r="G239" t="s">
        <v>499</v>
      </c>
      <c r="H239" t="s">
        <v>47</v>
      </c>
      <c r="I239" t="s">
        <v>500</v>
      </c>
      <c r="J239" t="s">
        <v>501</v>
      </c>
      <c r="L239" t="s">
        <v>51</v>
      </c>
      <c r="M239">
        <v>1</v>
      </c>
      <c r="N239" t="s">
        <v>100</v>
      </c>
      <c r="O239">
        <v>3</v>
      </c>
      <c r="P239" t="s">
        <v>64</v>
      </c>
      <c r="Q239" t="s">
        <v>65</v>
      </c>
      <c r="R239">
        <v>0</v>
      </c>
      <c r="S239">
        <v>5.25</v>
      </c>
      <c r="T239">
        <v>5.25</v>
      </c>
      <c r="U239" t="s">
        <v>7</v>
      </c>
    </row>
    <row r="240" spans="1:21" x14ac:dyDescent="0.25">
      <c r="A240" t="s">
        <v>8</v>
      </c>
      <c r="B240" t="s">
        <v>494</v>
      </c>
      <c r="C240" t="s">
        <v>495</v>
      </c>
      <c r="D240" t="s">
        <v>496</v>
      </c>
      <c r="E240" t="s">
        <v>497</v>
      </c>
      <c r="F240" t="s">
        <v>498</v>
      </c>
      <c r="G240" t="s">
        <v>499</v>
      </c>
      <c r="H240" t="s">
        <v>47</v>
      </c>
      <c r="I240" t="s">
        <v>500</v>
      </c>
      <c r="J240" t="s">
        <v>501</v>
      </c>
      <c r="L240" t="s">
        <v>51</v>
      </c>
      <c r="M240">
        <v>1</v>
      </c>
      <c r="N240" t="s">
        <v>100</v>
      </c>
      <c r="O240">
        <v>3</v>
      </c>
      <c r="P240" t="s">
        <v>64</v>
      </c>
      <c r="Q240" t="s">
        <v>65</v>
      </c>
      <c r="R240">
        <v>28.91</v>
      </c>
      <c r="S240">
        <v>0</v>
      </c>
      <c r="T240">
        <v>28.91</v>
      </c>
      <c r="U240" t="s">
        <v>7</v>
      </c>
    </row>
    <row r="241" spans="1:21" x14ac:dyDescent="0.25">
      <c r="A241" t="s">
        <v>8</v>
      </c>
      <c r="B241" t="s">
        <v>494</v>
      </c>
      <c r="C241" t="s">
        <v>495</v>
      </c>
      <c r="D241" t="s">
        <v>496</v>
      </c>
      <c r="E241" t="s">
        <v>497</v>
      </c>
      <c r="F241" t="s">
        <v>498</v>
      </c>
      <c r="G241" t="s">
        <v>499</v>
      </c>
      <c r="H241" t="s">
        <v>47</v>
      </c>
      <c r="I241" t="s">
        <v>500</v>
      </c>
      <c r="J241" t="s">
        <v>501</v>
      </c>
      <c r="L241" t="s">
        <v>51</v>
      </c>
      <c r="M241">
        <v>1</v>
      </c>
      <c r="N241" t="s">
        <v>100</v>
      </c>
      <c r="O241">
        <v>3</v>
      </c>
      <c r="P241" t="s">
        <v>64</v>
      </c>
      <c r="Q241" t="s">
        <v>65</v>
      </c>
      <c r="R241">
        <v>0</v>
      </c>
      <c r="S241">
        <v>8.75</v>
      </c>
      <c r="T241">
        <v>8.75</v>
      </c>
      <c r="U241" t="s">
        <v>7</v>
      </c>
    </row>
    <row r="242" spans="1:21" x14ac:dyDescent="0.25">
      <c r="A242" t="s">
        <v>8</v>
      </c>
      <c r="B242" t="s">
        <v>502</v>
      </c>
      <c r="C242" t="s">
        <v>503</v>
      </c>
      <c r="D242" t="s">
        <v>504</v>
      </c>
      <c r="E242" t="s">
        <v>505</v>
      </c>
      <c r="F242" t="s">
        <v>506</v>
      </c>
      <c r="G242" t="s">
        <v>507</v>
      </c>
      <c r="H242" t="s">
        <v>47</v>
      </c>
      <c r="I242" t="s">
        <v>508</v>
      </c>
      <c r="J242" t="s">
        <v>509</v>
      </c>
      <c r="L242" t="s">
        <v>51</v>
      </c>
      <c r="M242">
        <v>1</v>
      </c>
      <c r="N242" t="s">
        <v>85</v>
      </c>
      <c r="O242">
        <v>2</v>
      </c>
      <c r="P242" t="s">
        <v>64</v>
      </c>
      <c r="Q242" t="s">
        <v>65</v>
      </c>
      <c r="R242">
        <v>0</v>
      </c>
      <c r="S242">
        <v>8.75</v>
      </c>
      <c r="T242">
        <v>8.75</v>
      </c>
      <c r="U242" t="s">
        <v>7</v>
      </c>
    </row>
    <row r="243" spans="1:21" x14ac:dyDescent="0.25">
      <c r="A243" t="s">
        <v>8</v>
      </c>
      <c r="B243" t="s">
        <v>502</v>
      </c>
      <c r="C243" t="s">
        <v>503</v>
      </c>
      <c r="D243" t="s">
        <v>504</v>
      </c>
      <c r="E243" t="s">
        <v>505</v>
      </c>
      <c r="F243" t="s">
        <v>506</v>
      </c>
      <c r="G243" t="s">
        <v>507</v>
      </c>
      <c r="H243" t="s">
        <v>47</v>
      </c>
      <c r="I243" t="s">
        <v>508</v>
      </c>
      <c r="J243" t="s">
        <v>509</v>
      </c>
      <c r="L243" t="s">
        <v>51</v>
      </c>
      <c r="M243">
        <v>1</v>
      </c>
      <c r="N243" t="s">
        <v>85</v>
      </c>
      <c r="O243">
        <v>2</v>
      </c>
      <c r="P243" t="s">
        <v>64</v>
      </c>
      <c r="Q243" t="s">
        <v>65</v>
      </c>
      <c r="R243">
        <v>28.91</v>
      </c>
      <c r="S243">
        <v>0</v>
      </c>
      <c r="T243">
        <v>28.91</v>
      </c>
      <c r="U243" t="s">
        <v>7</v>
      </c>
    </row>
    <row r="244" spans="1:21" x14ac:dyDescent="0.25">
      <c r="A244" t="s">
        <v>8</v>
      </c>
      <c r="B244" t="s">
        <v>502</v>
      </c>
      <c r="C244" t="s">
        <v>503</v>
      </c>
      <c r="D244" t="s">
        <v>504</v>
      </c>
      <c r="E244" t="s">
        <v>505</v>
      </c>
      <c r="F244" t="s">
        <v>506</v>
      </c>
      <c r="G244" t="s">
        <v>507</v>
      </c>
      <c r="H244" t="s">
        <v>47</v>
      </c>
      <c r="I244" t="s">
        <v>508</v>
      </c>
      <c r="J244" t="s">
        <v>509</v>
      </c>
      <c r="L244" t="s">
        <v>51</v>
      </c>
      <c r="M244">
        <v>1</v>
      </c>
      <c r="N244" t="s">
        <v>85</v>
      </c>
      <c r="O244">
        <v>2</v>
      </c>
      <c r="P244" t="s">
        <v>64</v>
      </c>
      <c r="Q244" t="s">
        <v>65</v>
      </c>
      <c r="R244">
        <v>0</v>
      </c>
      <c r="S244">
        <v>5.25</v>
      </c>
      <c r="T244">
        <v>5.25</v>
      </c>
      <c r="U244" t="s">
        <v>7</v>
      </c>
    </row>
    <row r="245" spans="1:21" x14ac:dyDescent="0.25">
      <c r="A245" t="s">
        <v>8</v>
      </c>
      <c r="B245" t="s">
        <v>106</v>
      </c>
      <c r="C245" t="s">
        <v>107</v>
      </c>
      <c r="D245" t="s">
        <v>510</v>
      </c>
      <c r="E245" t="s">
        <v>511</v>
      </c>
      <c r="F245" t="s">
        <v>512</v>
      </c>
      <c r="G245" t="s">
        <v>513</v>
      </c>
      <c r="H245" t="s">
        <v>47</v>
      </c>
      <c r="I245" t="s">
        <v>514</v>
      </c>
      <c r="J245" t="s">
        <v>74</v>
      </c>
      <c r="L245" t="s">
        <v>515</v>
      </c>
      <c r="M245">
        <v>3</v>
      </c>
      <c r="N245" t="s">
        <v>52</v>
      </c>
      <c r="O245">
        <v>5</v>
      </c>
      <c r="P245" t="s">
        <v>64</v>
      </c>
      <c r="Q245" t="s">
        <v>65</v>
      </c>
      <c r="R245">
        <v>0</v>
      </c>
      <c r="S245">
        <v>5.25</v>
      </c>
      <c r="T245">
        <v>5.25</v>
      </c>
      <c r="U245" t="s">
        <v>7</v>
      </c>
    </row>
    <row r="246" spans="1:21" x14ac:dyDescent="0.25">
      <c r="A246" t="s">
        <v>8</v>
      </c>
      <c r="B246" t="s">
        <v>106</v>
      </c>
      <c r="C246" t="s">
        <v>107</v>
      </c>
      <c r="D246" t="s">
        <v>510</v>
      </c>
      <c r="E246" t="s">
        <v>511</v>
      </c>
      <c r="F246" t="s">
        <v>512</v>
      </c>
      <c r="G246" t="s">
        <v>513</v>
      </c>
      <c r="H246" t="s">
        <v>47</v>
      </c>
      <c r="I246" t="s">
        <v>514</v>
      </c>
      <c r="J246" t="s">
        <v>74</v>
      </c>
      <c r="L246" t="s">
        <v>515</v>
      </c>
      <c r="M246">
        <v>3</v>
      </c>
      <c r="N246" t="s">
        <v>52</v>
      </c>
      <c r="O246">
        <v>5</v>
      </c>
      <c r="P246" t="s">
        <v>64</v>
      </c>
      <c r="Q246" t="s">
        <v>65</v>
      </c>
      <c r="R246">
        <v>28.91</v>
      </c>
      <c r="S246">
        <v>0</v>
      </c>
      <c r="T246">
        <v>28.91</v>
      </c>
      <c r="U246" t="s">
        <v>7</v>
      </c>
    </row>
    <row r="247" spans="1:21" x14ac:dyDescent="0.25">
      <c r="A247" t="s">
        <v>8</v>
      </c>
      <c r="B247" t="s">
        <v>106</v>
      </c>
      <c r="C247" t="s">
        <v>107</v>
      </c>
      <c r="D247" t="s">
        <v>510</v>
      </c>
      <c r="E247" t="s">
        <v>511</v>
      </c>
      <c r="F247" t="s">
        <v>512</v>
      </c>
      <c r="G247" t="s">
        <v>513</v>
      </c>
      <c r="H247" t="s">
        <v>47</v>
      </c>
      <c r="I247" t="s">
        <v>514</v>
      </c>
      <c r="J247" t="s">
        <v>74</v>
      </c>
      <c r="L247" t="s">
        <v>515</v>
      </c>
      <c r="M247">
        <v>3</v>
      </c>
      <c r="N247" t="s">
        <v>52</v>
      </c>
      <c r="O247">
        <v>5</v>
      </c>
      <c r="P247" t="s">
        <v>64</v>
      </c>
      <c r="Q247" t="s">
        <v>65</v>
      </c>
      <c r="R247">
        <v>0</v>
      </c>
      <c r="S247">
        <v>8.75</v>
      </c>
      <c r="T247">
        <v>8.75</v>
      </c>
      <c r="U247" t="s">
        <v>7</v>
      </c>
    </row>
    <row r="248" spans="1:21" x14ac:dyDescent="0.25">
      <c r="A248" t="s">
        <v>8</v>
      </c>
      <c r="B248" t="s">
        <v>86</v>
      </c>
      <c r="C248" t="s">
        <v>87</v>
      </c>
      <c r="D248" t="s">
        <v>516</v>
      </c>
      <c r="E248" t="s">
        <v>517</v>
      </c>
      <c r="F248" t="s">
        <v>518</v>
      </c>
      <c r="G248" t="s">
        <v>519</v>
      </c>
      <c r="H248" t="s">
        <v>47</v>
      </c>
      <c r="I248" t="s">
        <v>520</v>
      </c>
      <c r="J248" t="s">
        <v>74</v>
      </c>
      <c r="L248" t="s">
        <v>51</v>
      </c>
      <c r="M248">
        <v>1</v>
      </c>
      <c r="N248" t="s">
        <v>52</v>
      </c>
      <c r="O248">
        <v>17</v>
      </c>
      <c r="P248" t="s">
        <v>64</v>
      </c>
      <c r="Q248" t="s">
        <v>65</v>
      </c>
      <c r="R248">
        <v>28.91</v>
      </c>
      <c r="S248">
        <v>0</v>
      </c>
      <c r="T248">
        <v>28.91</v>
      </c>
      <c r="U248" t="s">
        <v>7</v>
      </c>
    </row>
    <row r="249" spans="1:21" x14ac:dyDescent="0.25">
      <c r="A249" t="s">
        <v>8</v>
      </c>
      <c r="B249" t="s">
        <v>86</v>
      </c>
      <c r="C249" t="s">
        <v>87</v>
      </c>
      <c r="D249" t="s">
        <v>516</v>
      </c>
      <c r="E249" t="s">
        <v>517</v>
      </c>
      <c r="F249" t="s">
        <v>518</v>
      </c>
      <c r="G249" t="s">
        <v>519</v>
      </c>
      <c r="H249" t="s">
        <v>47</v>
      </c>
      <c r="I249" t="s">
        <v>520</v>
      </c>
      <c r="J249" t="s">
        <v>74</v>
      </c>
      <c r="L249" t="s">
        <v>51</v>
      </c>
      <c r="M249">
        <v>1</v>
      </c>
      <c r="N249" t="s">
        <v>52</v>
      </c>
      <c r="O249">
        <v>17</v>
      </c>
      <c r="P249" t="s">
        <v>64</v>
      </c>
      <c r="Q249" t="s">
        <v>65</v>
      </c>
      <c r="R249">
        <v>0</v>
      </c>
      <c r="S249">
        <v>5.25</v>
      </c>
      <c r="T249">
        <v>5.25</v>
      </c>
      <c r="U249" t="s">
        <v>7</v>
      </c>
    </row>
    <row r="250" spans="1:21" x14ac:dyDescent="0.25">
      <c r="A250" t="s">
        <v>8</v>
      </c>
      <c r="B250" t="s">
        <v>86</v>
      </c>
      <c r="C250" t="s">
        <v>87</v>
      </c>
      <c r="D250" t="s">
        <v>516</v>
      </c>
      <c r="E250" t="s">
        <v>517</v>
      </c>
      <c r="F250" t="s">
        <v>518</v>
      </c>
      <c r="G250" t="s">
        <v>519</v>
      </c>
      <c r="H250" t="s">
        <v>47</v>
      </c>
      <c r="I250" t="s">
        <v>520</v>
      </c>
      <c r="J250" t="s">
        <v>74</v>
      </c>
      <c r="L250" t="s">
        <v>51</v>
      </c>
      <c r="M250">
        <v>1</v>
      </c>
      <c r="N250" t="s">
        <v>52</v>
      </c>
      <c r="O250">
        <v>17</v>
      </c>
      <c r="P250" t="s">
        <v>64</v>
      </c>
      <c r="Q250" t="s">
        <v>65</v>
      </c>
      <c r="R250">
        <v>0</v>
      </c>
      <c r="S250">
        <v>8.75</v>
      </c>
      <c r="T250">
        <v>8.75</v>
      </c>
      <c r="U250" t="s">
        <v>7</v>
      </c>
    </row>
    <row r="251" spans="1:21" x14ac:dyDescent="0.25">
      <c r="A251" t="s">
        <v>8</v>
      </c>
      <c r="B251" t="s">
        <v>41</v>
      </c>
      <c r="C251" t="s">
        <v>42</v>
      </c>
      <c r="D251" t="s">
        <v>521</v>
      </c>
      <c r="E251" t="s">
        <v>522</v>
      </c>
      <c r="F251" t="s">
        <v>523</v>
      </c>
      <c r="G251" t="s">
        <v>524</v>
      </c>
      <c r="H251" t="s">
        <v>47</v>
      </c>
      <c r="I251" t="s">
        <v>525</v>
      </c>
      <c r="J251" t="s">
        <v>49</v>
      </c>
      <c r="L251" t="s">
        <v>51</v>
      </c>
      <c r="M251">
        <v>10</v>
      </c>
      <c r="N251" t="s">
        <v>52</v>
      </c>
      <c r="O251">
        <v>2</v>
      </c>
      <c r="P251" t="s">
        <v>64</v>
      </c>
      <c r="Q251" t="s">
        <v>65</v>
      </c>
      <c r="R251">
        <v>0</v>
      </c>
      <c r="S251">
        <v>8.75</v>
      </c>
      <c r="T251">
        <v>8.75</v>
      </c>
      <c r="U251" t="s">
        <v>7</v>
      </c>
    </row>
    <row r="252" spans="1:21" x14ac:dyDescent="0.25">
      <c r="A252" t="s">
        <v>8</v>
      </c>
      <c r="B252" t="s">
        <v>41</v>
      </c>
      <c r="C252" t="s">
        <v>42</v>
      </c>
      <c r="D252" t="s">
        <v>521</v>
      </c>
      <c r="E252" t="s">
        <v>522</v>
      </c>
      <c r="F252" t="s">
        <v>523</v>
      </c>
      <c r="G252" t="s">
        <v>524</v>
      </c>
      <c r="H252" t="s">
        <v>47</v>
      </c>
      <c r="I252" t="s">
        <v>525</v>
      </c>
      <c r="J252" t="s">
        <v>49</v>
      </c>
      <c r="L252" t="s">
        <v>51</v>
      </c>
      <c r="M252">
        <v>10</v>
      </c>
      <c r="N252" t="s">
        <v>52</v>
      </c>
      <c r="O252">
        <v>2</v>
      </c>
      <c r="P252" t="s">
        <v>64</v>
      </c>
      <c r="Q252" t="s">
        <v>65</v>
      </c>
      <c r="R252">
        <v>0</v>
      </c>
      <c r="S252">
        <v>5.25</v>
      </c>
      <c r="T252">
        <v>5.25</v>
      </c>
      <c r="U252" t="s">
        <v>7</v>
      </c>
    </row>
    <row r="253" spans="1:21" x14ac:dyDescent="0.25">
      <c r="A253" t="s">
        <v>8</v>
      </c>
      <c r="B253" t="s">
        <v>41</v>
      </c>
      <c r="C253" t="s">
        <v>42</v>
      </c>
      <c r="D253" t="s">
        <v>521</v>
      </c>
      <c r="E253" t="s">
        <v>522</v>
      </c>
      <c r="F253" t="s">
        <v>523</v>
      </c>
      <c r="G253" t="s">
        <v>524</v>
      </c>
      <c r="H253" t="s">
        <v>47</v>
      </c>
      <c r="I253" t="s">
        <v>525</v>
      </c>
      <c r="J253" t="s">
        <v>49</v>
      </c>
      <c r="L253" t="s">
        <v>51</v>
      </c>
      <c r="M253">
        <v>10</v>
      </c>
      <c r="N253" t="s">
        <v>52</v>
      </c>
      <c r="O253">
        <v>2</v>
      </c>
      <c r="P253" t="s">
        <v>64</v>
      </c>
      <c r="Q253" t="s">
        <v>65</v>
      </c>
      <c r="R253">
        <v>28.91</v>
      </c>
      <c r="S253">
        <v>0</v>
      </c>
      <c r="T253">
        <v>28.91</v>
      </c>
      <c r="U253" t="s">
        <v>7</v>
      </c>
    </row>
    <row r="254" spans="1:21" x14ac:dyDescent="0.25">
      <c r="A254" t="s">
        <v>8</v>
      </c>
      <c r="B254" t="s">
        <v>502</v>
      </c>
      <c r="C254" t="s">
        <v>503</v>
      </c>
      <c r="D254" t="s">
        <v>526</v>
      </c>
      <c r="E254" t="s">
        <v>527</v>
      </c>
      <c r="F254" t="s">
        <v>528</v>
      </c>
      <c r="G254" t="s">
        <v>529</v>
      </c>
      <c r="H254" t="s">
        <v>47</v>
      </c>
      <c r="I254" t="s">
        <v>530</v>
      </c>
      <c r="J254" t="s">
        <v>193</v>
      </c>
      <c r="L254" t="s">
        <v>51</v>
      </c>
      <c r="M254">
        <v>1</v>
      </c>
      <c r="N254" t="s">
        <v>85</v>
      </c>
      <c r="O254">
        <v>3</v>
      </c>
      <c r="P254" t="s">
        <v>64</v>
      </c>
      <c r="Q254" t="s">
        <v>65</v>
      </c>
      <c r="R254">
        <v>0</v>
      </c>
      <c r="S254">
        <v>8.75</v>
      </c>
      <c r="T254">
        <v>8.75</v>
      </c>
      <c r="U254" t="s">
        <v>7</v>
      </c>
    </row>
    <row r="255" spans="1:21" x14ac:dyDescent="0.25">
      <c r="A255" t="s">
        <v>8</v>
      </c>
      <c r="B255" t="s">
        <v>502</v>
      </c>
      <c r="C255" t="s">
        <v>503</v>
      </c>
      <c r="D255" t="s">
        <v>526</v>
      </c>
      <c r="E255" t="s">
        <v>527</v>
      </c>
      <c r="F255" t="s">
        <v>528</v>
      </c>
      <c r="G255" t="s">
        <v>529</v>
      </c>
      <c r="H255" t="s">
        <v>47</v>
      </c>
      <c r="I255" t="s">
        <v>530</v>
      </c>
      <c r="J255" t="s">
        <v>193</v>
      </c>
      <c r="L255" t="s">
        <v>51</v>
      </c>
      <c r="M255">
        <v>1</v>
      </c>
      <c r="N255" t="s">
        <v>85</v>
      </c>
      <c r="O255">
        <v>3</v>
      </c>
      <c r="P255" t="s">
        <v>64</v>
      </c>
      <c r="Q255" t="s">
        <v>65</v>
      </c>
      <c r="R255">
        <v>0</v>
      </c>
      <c r="S255">
        <v>5.25</v>
      </c>
      <c r="T255">
        <v>5.25</v>
      </c>
      <c r="U255" t="s">
        <v>7</v>
      </c>
    </row>
    <row r="256" spans="1:21" x14ac:dyDescent="0.25">
      <c r="A256" t="s">
        <v>8</v>
      </c>
      <c r="B256" t="s">
        <v>502</v>
      </c>
      <c r="C256" t="s">
        <v>503</v>
      </c>
      <c r="D256" t="s">
        <v>526</v>
      </c>
      <c r="E256" t="s">
        <v>527</v>
      </c>
      <c r="F256" t="s">
        <v>528</v>
      </c>
      <c r="G256" t="s">
        <v>529</v>
      </c>
      <c r="H256" t="s">
        <v>47</v>
      </c>
      <c r="I256" t="s">
        <v>530</v>
      </c>
      <c r="J256" t="s">
        <v>193</v>
      </c>
      <c r="L256" t="s">
        <v>51</v>
      </c>
      <c r="M256">
        <v>1</v>
      </c>
      <c r="N256" t="s">
        <v>85</v>
      </c>
      <c r="O256">
        <v>3</v>
      </c>
      <c r="P256" t="s">
        <v>64</v>
      </c>
      <c r="Q256" t="s">
        <v>65</v>
      </c>
      <c r="R256">
        <v>28.91</v>
      </c>
      <c r="S256">
        <v>0</v>
      </c>
      <c r="T256">
        <v>28.91</v>
      </c>
      <c r="U256" t="s">
        <v>7</v>
      </c>
    </row>
    <row r="257" spans="1:21" x14ac:dyDescent="0.25">
      <c r="A257" t="s">
        <v>8</v>
      </c>
      <c r="B257" t="s">
        <v>106</v>
      </c>
      <c r="C257" t="s">
        <v>107</v>
      </c>
      <c r="D257" t="s">
        <v>531</v>
      </c>
      <c r="E257" t="s">
        <v>532</v>
      </c>
      <c r="F257" t="s">
        <v>533</v>
      </c>
      <c r="G257" t="s">
        <v>534</v>
      </c>
      <c r="H257" t="s">
        <v>47</v>
      </c>
      <c r="I257" t="s">
        <v>535</v>
      </c>
      <c r="J257" t="s">
        <v>222</v>
      </c>
      <c r="L257" t="s">
        <v>51</v>
      </c>
      <c r="M257">
        <v>10</v>
      </c>
      <c r="N257" t="s">
        <v>52</v>
      </c>
      <c r="O257">
        <v>3</v>
      </c>
      <c r="P257" t="s">
        <v>64</v>
      </c>
      <c r="Q257" t="s">
        <v>65</v>
      </c>
      <c r="R257">
        <v>0</v>
      </c>
      <c r="S257">
        <v>8.75</v>
      </c>
      <c r="T257">
        <v>8.75</v>
      </c>
      <c r="U257" t="s">
        <v>7</v>
      </c>
    </row>
    <row r="258" spans="1:21" x14ac:dyDescent="0.25">
      <c r="A258" t="s">
        <v>8</v>
      </c>
      <c r="B258" t="s">
        <v>106</v>
      </c>
      <c r="C258" t="s">
        <v>107</v>
      </c>
      <c r="D258" t="s">
        <v>531</v>
      </c>
      <c r="E258" t="s">
        <v>532</v>
      </c>
      <c r="F258" t="s">
        <v>533</v>
      </c>
      <c r="G258" t="s">
        <v>534</v>
      </c>
      <c r="H258" t="s">
        <v>47</v>
      </c>
      <c r="I258" t="s">
        <v>535</v>
      </c>
      <c r="J258" t="s">
        <v>222</v>
      </c>
      <c r="L258" t="s">
        <v>51</v>
      </c>
      <c r="M258">
        <v>10</v>
      </c>
      <c r="N258" t="s">
        <v>52</v>
      </c>
      <c r="O258">
        <v>3</v>
      </c>
      <c r="P258" t="s">
        <v>64</v>
      </c>
      <c r="Q258" t="s">
        <v>65</v>
      </c>
      <c r="R258">
        <v>0</v>
      </c>
      <c r="S258">
        <v>5.25</v>
      </c>
      <c r="T258">
        <v>5.25</v>
      </c>
      <c r="U258" t="s">
        <v>7</v>
      </c>
    </row>
    <row r="259" spans="1:21" x14ac:dyDescent="0.25">
      <c r="A259" t="s">
        <v>8</v>
      </c>
      <c r="B259" t="s">
        <v>106</v>
      </c>
      <c r="C259" t="s">
        <v>107</v>
      </c>
      <c r="D259" t="s">
        <v>531</v>
      </c>
      <c r="E259" t="s">
        <v>532</v>
      </c>
      <c r="F259" t="s">
        <v>533</v>
      </c>
      <c r="G259" t="s">
        <v>534</v>
      </c>
      <c r="H259" t="s">
        <v>47</v>
      </c>
      <c r="I259" t="s">
        <v>535</v>
      </c>
      <c r="J259" t="s">
        <v>222</v>
      </c>
      <c r="L259" t="s">
        <v>51</v>
      </c>
      <c r="M259">
        <v>10</v>
      </c>
      <c r="N259" t="s">
        <v>52</v>
      </c>
      <c r="O259">
        <v>3</v>
      </c>
      <c r="P259" t="s">
        <v>64</v>
      </c>
      <c r="Q259" t="s">
        <v>65</v>
      </c>
      <c r="R259">
        <v>28.91</v>
      </c>
      <c r="S259">
        <v>0</v>
      </c>
      <c r="T259">
        <v>28.91</v>
      </c>
      <c r="U259" t="s">
        <v>7</v>
      </c>
    </row>
    <row r="260" spans="1:21" x14ac:dyDescent="0.25">
      <c r="A260" t="s">
        <v>8</v>
      </c>
      <c r="B260" t="s">
        <v>106</v>
      </c>
      <c r="C260" t="s">
        <v>107</v>
      </c>
      <c r="D260" t="s">
        <v>536</v>
      </c>
      <c r="E260" t="s">
        <v>537</v>
      </c>
      <c r="F260" t="s">
        <v>538</v>
      </c>
      <c r="G260" t="s">
        <v>534</v>
      </c>
      <c r="H260" t="s">
        <v>47</v>
      </c>
      <c r="I260" t="s">
        <v>535</v>
      </c>
      <c r="J260" t="s">
        <v>222</v>
      </c>
      <c r="L260" t="s">
        <v>51</v>
      </c>
      <c r="M260">
        <v>10</v>
      </c>
      <c r="N260" t="s">
        <v>52</v>
      </c>
      <c r="O260">
        <v>5</v>
      </c>
      <c r="P260" t="s">
        <v>64</v>
      </c>
      <c r="Q260" t="s">
        <v>65</v>
      </c>
      <c r="R260">
        <v>0</v>
      </c>
      <c r="S260">
        <v>8.75</v>
      </c>
      <c r="T260">
        <v>8.75</v>
      </c>
      <c r="U260" t="s">
        <v>7</v>
      </c>
    </row>
    <row r="261" spans="1:21" x14ac:dyDescent="0.25">
      <c r="A261" t="s">
        <v>8</v>
      </c>
      <c r="B261" t="s">
        <v>106</v>
      </c>
      <c r="C261" t="s">
        <v>107</v>
      </c>
      <c r="D261" t="s">
        <v>536</v>
      </c>
      <c r="E261" t="s">
        <v>537</v>
      </c>
      <c r="F261" t="s">
        <v>538</v>
      </c>
      <c r="G261" t="s">
        <v>534</v>
      </c>
      <c r="H261" t="s">
        <v>47</v>
      </c>
      <c r="I261" t="s">
        <v>535</v>
      </c>
      <c r="J261" t="s">
        <v>222</v>
      </c>
      <c r="L261" t="s">
        <v>51</v>
      </c>
      <c r="M261">
        <v>10</v>
      </c>
      <c r="N261" t="s">
        <v>52</v>
      </c>
      <c r="O261">
        <v>5</v>
      </c>
      <c r="P261" t="s">
        <v>64</v>
      </c>
      <c r="Q261" t="s">
        <v>65</v>
      </c>
      <c r="R261">
        <v>28.91</v>
      </c>
      <c r="S261">
        <v>0</v>
      </c>
      <c r="T261">
        <v>28.91</v>
      </c>
      <c r="U261" t="s">
        <v>7</v>
      </c>
    </row>
    <row r="262" spans="1:21" x14ac:dyDescent="0.25">
      <c r="A262" t="s">
        <v>8</v>
      </c>
      <c r="B262" t="s">
        <v>106</v>
      </c>
      <c r="C262" t="s">
        <v>107</v>
      </c>
      <c r="D262" t="s">
        <v>536</v>
      </c>
      <c r="E262" t="s">
        <v>537</v>
      </c>
      <c r="F262" t="s">
        <v>538</v>
      </c>
      <c r="G262" t="s">
        <v>534</v>
      </c>
      <c r="H262" t="s">
        <v>47</v>
      </c>
      <c r="I262" t="s">
        <v>535</v>
      </c>
      <c r="J262" t="s">
        <v>222</v>
      </c>
      <c r="L262" t="s">
        <v>51</v>
      </c>
      <c r="M262">
        <v>10</v>
      </c>
      <c r="N262" t="s">
        <v>52</v>
      </c>
      <c r="O262">
        <v>5</v>
      </c>
      <c r="P262" t="s">
        <v>64</v>
      </c>
      <c r="Q262" t="s">
        <v>65</v>
      </c>
      <c r="R262">
        <v>0</v>
      </c>
      <c r="S262">
        <v>5.25</v>
      </c>
      <c r="T262">
        <v>5.25</v>
      </c>
      <c r="U262" t="s">
        <v>7</v>
      </c>
    </row>
    <row r="263" spans="1:21" x14ac:dyDescent="0.25">
      <c r="A263" t="s">
        <v>8</v>
      </c>
      <c r="B263" t="s">
        <v>539</v>
      </c>
      <c r="C263" t="s">
        <v>540</v>
      </c>
      <c r="D263" t="s">
        <v>541</v>
      </c>
      <c r="E263" t="s">
        <v>542</v>
      </c>
      <c r="F263" t="s">
        <v>543</v>
      </c>
      <c r="G263" t="s">
        <v>544</v>
      </c>
      <c r="H263" t="s">
        <v>47</v>
      </c>
      <c r="I263" t="s">
        <v>127</v>
      </c>
      <c r="J263" t="s">
        <v>128</v>
      </c>
      <c r="L263" t="s">
        <v>63</v>
      </c>
      <c r="M263">
        <v>1</v>
      </c>
      <c r="N263" t="s">
        <v>52</v>
      </c>
      <c r="O263">
        <v>12</v>
      </c>
      <c r="P263" t="s">
        <v>64</v>
      </c>
      <c r="Q263" t="s">
        <v>65</v>
      </c>
      <c r="R263">
        <v>0</v>
      </c>
      <c r="S263">
        <v>5.25</v>
      </c>
      <c r="T263">
        <v>5.25</v>
      </c>
      <c r="U263" t="s">
        <v>7</v>
      </c>
    </row>
    <row r="264" spans="1:21" x14ac:dyDescent="0.25">
      <c r="A264" t="s">
        <v>8</v>
      </c>
      <c r="B264" t="s">
        <v>539</v>
      </c>
      <c r="C264" t="s">
        <v>540</v>
      </c>
      <c r="D264" t="s">
        <v>541</v>
      </c>
      <c r="E264" t="s">
        <v>542</v>
      </c>
      <c r="F264" t="s">
        <v>543</v>
      </c>
      <c r="G264" t="s">
        <v>544</v>
      </c>
      <c r="H264" t="s">
        <v>47</v>
      </c>
      <c r="I264" t="s">
        <v>127</v>
      </c>
      <c r="J264" t="s">
        <v>128</v>
      </c>
      <c r="L264" t="s">
        <v>63</v>
      </c>
      <c r="M264">
        <v>1</v>
      </c>
      <c r="N264" t="s">
        <v>52</v>
      </c>
      <c r="O264">
        <v>12</v>
      </c>
      <c r="P264" t="s">
        <v>64</v>
      </c>
      <c r="Q264" t="s">
        <v>65</v>
      </c>
      <c r="R264">
        <v>28.91</v>
      </c>
      <c r="S264">
        <v>0</v>
      </c>
      <c r="T264">
        <v>28.91</v>
      </c>
      <c r="U264" t="s">
        <v>7</v>
      </c>
    </row>
    <row r="265" spans="1:21" x14ac:dyDescent="0.25">
      <c r="A265" t="s">
        <v>8</v>
      </c>
      <c r="B265" t="s">
        <v>539</v>
      </c>
      <c r="C265" t="s">
        <v>540</v>
      </c>
      <c r="D265" t="s">
        <v>541</v>
      </c>
      <c r="E265" t="s">
        <v>542</v>
      </c>
      <c r="F265" t="s">
        <v>543</v>
      </c>
      <c r="G265" t="s">
        <v>544</v>
      </c>
      <c r="H265" t="s">
        <v>47</v>
      </c>
      <c r="I265" t="s">
        <v>127</v>
      </c>
      <c r="J265" t="s">
        <v>128</v>
      </c>
      <c r="L265" t="s">
        <v>63</v>
      </c>
      <c r="M265">
        <v>1</v>
      </c>
      <c r="N265" t="s">
        <v>52</v>
      </c>
      <c r="O265">
        <v>12</v>
      </c>
      <c r="P265" t="s">
        <v>64</v>
      </c>
      <c r="Q265" t="s">
        <v>65</v>
      </c>
      <c r="R265">
        <v>0</v>
      </c>
      <c r="S265">
        <v>8.75</v>
      </c>
      <c r="T265">
        <v>8.75</v>
      </c>
      <c r="U265" t="s">
        <v>7</v>
      </c>
    </row>
    <row r="266" spans="1:21" x14ac:dyDescent="0.25">
      <c r="A266" t="s">
        <v>8</v>
      </c>
      <c r="B266" t="s">
        <v>539</v>
      </c>
      <c r="C266" t="s">
        <v>540</v>
      </c>
      <c r="D266" t="s">
        <v>545</v>
      </c>
      <c r="E266" t="s">
        <v>546</v>
      </c>
      <c r="F266" t="s">
        <v>547</v>
      </c>
      <c r="G266" t="s">
        <v>544</v>
      </c>
      <c r="H266" t="s">
        <v>47</v>
      </c>
      <c r="I266" t="s">
        <v>548</v>
      </c>
      <c r="J266" t="s">
        <v>74</v>
      </c>
      <c r="L266" t="s">
        <v>63</v>
      </c>
      <c r="M266">
        <v>1</v>
      </c>
      <c r="N266" t="s">
        <v>85</v>
      </c>
      <c r="O266">
        <v>2</v>
      </c>
      <c r="P266" t="s">
        <v>64</v>
      </c>
      <c r="Q266" t="s">
        <v>65</v>
      </c>
      <c r="R266">
        <v>0</v>
      </c>
      <c r="S266">
        <v>8.75</v>
      </c>
      <c r="T266">
        <v>8.75</v>
      </c>
      <c r="U266" t="s">
        <v>7</v>
      </c>
    </row>
    <row r="267" spans="1:21" x14ac:dyDescent="0.25">
      <c r="A267" t="s">
        <v>8</v>
      </c>
      <c r="B267" t="s">
        <v>539</v>
      </c>
      <c r="C267" t="s">
        <v>540</v>
      </c>
      <c r="D267" t="s">
        <v>545</v>
      </c>
      <c r="E267" t="s">
        <v>546</v>
      </c>
      <c r="F267" t="s">
        <v>547</v>
      </c>
      <c r="G267" t="s">
        <v>544</v>
      </c>
      <c r="H267" t="s">
        <v>47</v>
      </c>
      <c r="I267" t="s">
        <v>548</v>
      </c>
      <c r="J267" t="s">
        <v>74</v>
      </c>
      <c r="L267" t="s">
        <v>63</v>
      </c>
      <c r="M267">
        <v>1</v>
      </c>
      <c r="N267" t="s">
        <v>85</v>
      </c>
      <c r="O267">
        <v>2</v>
      </c>
      <c r="P267" t="s">
        <v>64</v>
      </c>
      <c r="Q267" t="s">
        <v>65</v>
      </c>
      <c r="R267">
        <v>28.91</v>
      </c>
      <c r="S267">
        <v>0</v>
      </c>
      <c r="T267">
        <v>28.91</v>
      </c>
      <c r="U267" t="s">
        <v>7</v>
      </c>
    </row>
    <row r="268" spans="1:21" x14ac:dyDescent="0.25">
      <c r="A268" t="s">
        <v>8</v>
      </c>
      <c r="B268" t="s">
        <v>539</v>
      </c>
      <c r="C268" t="s">
        <v>540</v>
      </c>
      <c r="D268" t="s">
        <v>545</v>
      </c>
      <c r="E268" t="s">
        <v>546</v>
      </c>
      <c r="F268" t="s">
        <v>547</v>
      </c>
      <c r="G268" t="s">
        <v>544</v>
      </c>
      <c r="H268" t="s">
        <v>47</v>
      </c>
      <c r="I268" t="s">
        <v>548</v>
      </c>
      <c r="J268" t="s">
        <v>74</v>
      </c>
      <c r="L268" t="s">
        <v>63</v>
      </c>
      <c r="M268">
        <v>1</v>
      </c>
      <c r="N268" t="s">
        <v>85</v>
      </c>
      <c r="O268">
        <v>2</v>
      </c>
      <c r="P268" t="s">
        <v>64</v>
      </c>
      <c r="Q268" t="s">
        <v>65</v>
      </c>
      <c r="R268">
        <v>0</v>
      </c>
      <c r="S268">
        <v>5.25</v>
      </c>
      <c r="T268">
        <v>5.25</v>
      </c>
      <c r="U268" t="s">
        <v>7</v>
      </c>
    </row>
    <row r="269" spans="1:21" x14ac:dyDescent="0.25">
      <c r="A269" t="s">
        <v>8</v>
      </c>
      <c r="B269" t="s">
        <v>144</v>
      </c>
      <c r="C269" t="s">
        <v>145</v>
      </c>
      <c r="D269" t="s">
        <v>549</v>
      </c>
      <c r="E269" t="s">
        <v>550</v>
      </c>
      <c r="F269" t="s">
        <v>551</v>
      </c>
      <c r="G269" t="s">
        <v>552</v>
      </c>
      <c r="H269" t="s">
        <v>150</v>
      </c>
      <c r="I269" t="s">
        <v>151</v>
      </c>
      <c r="J269" t="s">
        <v>553</v>
      </c>
      <c r="L269" t="s">
        <v>153</v>
      </c>
      <c r="M269">
        <v>3</v>
      </c>
      <c r="O269">
        <v>0</v>
      </c>
      <c r="P269" t="s">
        <v>53</v>
      </c>
      <c r="Q269" t="s">
        <v>65</v>
      </c>
      <c r="R269">
        <v>162.91</v>
      </c>
      <c r="S269">
        <v>0</v>
      </c>
      <c r="T269">
        <v>162.91</v>
      </c>
      <c r="U269" t="s">
        <v>7</v>
      </c>
    </row>
    <row r="270" spans="1:21" x14ac:dyDescent="0.25">
      <c r="A270" t="s">
        <v>8</v>
      </c>
      <c r="B270" t="s">
        <v>144</v>
      </c>
      <c r="C270" t="s">
        <v>145</v>
      </c>
      <c r="D270" t="s">
        <v>549</v>
      </c>
      <c r="E270" t="s">
        <v>550</v>
      </c>
      <c r="F270" t="s">
        <v>551</v>
      </c>
      <c r="G270" t="s">
        <v>552</v>
      </c>
      <c r="H270" t="s">
        <v>150</v>
      </c>
      <c r="I270" t="s">
        <v>151</v>
      </c>
      <c r="J270" t="s">
        <v>553</v>
      </c>
      <c r="L270" t="s">
        <v>153</v>
      </c>
      <c r="M270">
        <v>3</v>
      </c>
      <c r="O270">
        <v>0</v>
      </c>
      <c r="P270" t="s">
        <v>53</v>
      </c>
      <c r="Q270" t="s">
        <v>65</v>
      </c>
      <c r="R270">
        <v>0</v>
      </c>
      <c r="S270">
        <v>125</v>
      </c>
      <c r="T270">
        <v>125</v>
      </c>
      <c r="U270" t="s">
        <v>7</v>
      </c>
    </row>
    <row r="271" spans="1:21" x14ac:dyDescent="0.25">
      <c r="A271" t="s">
        <v>8</v>
      </c>
      <c r="B271" t="s">
        <v>144</v>
      </c>
      <c r="C271" t="s">
        <v>145</v>
      </c>
      <c r="D271" t="s">
        <v>549</v>
      </c>
      <c r="E271" t="s">
        <v>550</v>
      </c>
      <c r="F271" t="s">
        <v>551</v>
      </c>
      <c r="G271" t="s">
        <v>552</v>
      </c>
      <c r="H271" t="s">
        <v>150</v>
      </c>
      <c r="I271" t="s">
        <v>151</v>
      </c>
      <c r="J271" t="s">
        <v>553</v>
      </c>
      <c r="L271" t="s">
        <v>153</v>
      </c>
      <c r="M271">
        <v>3</v>
      </c>
      <c r="O271">
        <v>0</v>
      </c>
      <c r="P271" t="s">
        <v>53</v>
      </c>
      <c r="Q271" t="s">
        <v>65</v>
      </c>
      <c r="R271">
        <v>0</v>
      </c>
      <c r="S271">
        <v>75</v>
      </c>
      <c r="T271">
        <v>75</v>
      </c>
      <c r="U271" t="s">
        <v>7</v>
      </c>
    </row>
    <row r="272" spans="1:21" x14ac:dyDescent="0.25">
      <c r="A272" t="s">
        <v>8</v>
      </c>
      <c r="B272" t="s">
        <v>265</v>
      </c>
      <c r="C272" t="s">
        <v>266</v>
      </c>
      <c r="D272" t="s">
        <v>554</v>
      </c>
      <c r="E272" t="s">
        <v>555</v>
      </c>
      <c r="F272" t="s">
        <v>556</v>
      </c>
      <c r="G272" t="s">
        <v>557</v>
      </c>
      <c r="H272" t="s">
        <v>47</v>
      </c>
      <c r="I272" t="s">
        <v>73</v>
      </c>
      <c r="J272" t="s">
        <v>74</v>
      </c>
      <c r="L272" t="s">
        <v>51</v>
      </c>
      <c r="M272">
        <v>1</v>
      </c>
      <c r="N272" t="s">
        <v>100</v>
      </c>
      <c r="O272">
        <v>2</v>
      </c>
      <c r="P272" t="s">
        <v>64</v>
      </c>
      <c r="Q272" t="s">
        <v>65</v>
      </c>
      <c r="R272">
        <v>0</v>
      </c>
      <c r="S272">
        <v>8.75</v>
      </c>
      <c r="T272">
        <v>8.75</v>
      </c>
      <c r="U272" t="s">
        <v>7</v>
      </c>
    </row>
    <row r="273" spans="1:21" x14ac:dyDescent="0.25">
      <c r="A273" t="s">
        <v>8</v>
      </c>
      <c r="B273" t="s">
        <v>265</v>
      </c>
      <c r="C273" t="s">
        <v>266</v>
      </c>
      <c r="D273" t="s">
        <v>554</v>
      </c>
      <c r="E273" t="s">
        <v>555</v>
      </c>
      <c r="F273" t="s">
        <v>556</v>
      </c>
      <c r="G273" t="s">
        <v>557</v>
      </c>
      <c r="H273" t="s">
        <v>47</v>
      </c>
      <c r="I273" t="s">
        <v>73</v>
      </c>
      <c r="J273" t="s">
        <v>74</v>
      </c>
      <c r="L273" t="s">
        <v>51</v>
      </c>
      <c r="M273">
        <v>1</v>
      </c>
      <c r="N273" t="s">
        <v>100</v>
      </c>
      <c r="O273">
        <v>2</v>
      </c>
      <c r="P273" t="s">
        <v>64</v>
      </c>
      <c r="Q273" t="s">
        <v>65</v>
      </c>
      <c r="R273">
        <v>28.91</v>
      </c>
      <c r="S273">
        <v>0</v>
      </c>
      <c r="T273">
        <v>28.91</v>
      </c>
      <c r="U273" t="s">
        <v>7</v>
      </c>
    </row>
    <row r="274" spans="1:21" x14ac:dyDescent="0.25">
      <c r="A274" t="s">
        <v>8</v>
      </c>
      <c r="B274" t="s">
        <v>265</v>
      </c>
      <c r="C274" t="s">
        <v>266</v>
      </c>
      <c r="D274" t="s">
        <v>554</v>
      </c>
      <c r="E274" t="s">
        <v>555</v>
      </c>
      <c r="F274" t="s">
        <v>556</v>
      </c>
      <c r="G274" t="s">
        <v>557</v>
      </c>
      <c r="H274" t="s">
        <v>47</v>
      </c>
      <c r="I274" t="s">
        <v>73</v>
      </c>
      <c r="J274" t="s">
        <v>74</v>
      </c>
      <c r="L274" t="s">
        <v>51</v>
      </c>
      <c r="M274">
        <v>1</v>
      </c>
      <c r="N274" t="s">
        <v>100</v>
      </c>
      <c r="O274">
        <v>2</v>
      </c>
      <c r="P274" t="s">
        <v>64</v>
      </c>
      <c r="Q274" t="s">
        <v>65</v>
      </c>
      <c r="R274">
        <v>0</v>
      </c>
      <c r="S274">
        <v>5.25</v>
      </c>
      <c r="T274">
        <v>5.25</v>
      </c>
      <c r="U274" t="s">
        <v>7</v>
      </c>
    </row>
    <row r="275" spans="1:21" x14ac:dyDescent="0.25">
      <c r="A275" t="s">
        <v>8</v>
      </c>
      <c r="B275" t="s">
        <v>161</v>
      </c>
      <c r="C275" t="s">
        <v>162</v>
      </c>
      <c r="D275" t="s">
        <v>558</v>
      </c>
      <c r="E275" t="s">
        <v>559</v>
      </c>
      <c r="F275" t="s">
        <v>560</v>
      </c>
      <c r="G275" t="s">
        <v>561</v>
      </c>
      <c r="H275" t="s">
        <v>81</v>
      </c>
      <c r="I275" t="s">
        <v>562</v>
      </c>
      <c r="J275" t="s">
        <v>49</v>
      </c>
      <c r="L275" t="s">
        <v>84</v>
      </c>
      <c r="M275">
        <v>1</v>
      </c>
      <c r="N275" t="s">
        <v>52</v>
      </c>
      <c r="O275">
        <v>6</v>
      </c>
      <c r="P275" t="s">
        <v>64</v>
      </c>
      <c r="Q275" t="s">
        <v>65</v>
      </c>
      <c r="R275">
        <v>0</v>
      </c>
      <c r="S275">
        <v>8.75</v>
      </c>
      <c r="T275">
        <v>8.75</v>
      </c>
      <c r="U275" t="s">
        <v>7</v>
      </c>
    </row>
    <row r="276" spans="1:21" x14ac:dyDescent="0.25">
      <c r="A276" t="s">
        <v>8</v>
      </c>
      <c r="B276" t="s">
        <v>161</v>
      </c>
      <c r="C276" t="s">
        <v>162</v>
      </c>
      <c r="D276" t="s">
        <v>558</v>
      </c>
      <c r="E276" t="s">
        <v>559</v>
      </c>
      <c r="F276" t="s">
        <v>560</v>
      </c>
      <c r="G276" t="s">
        <v>561</v>
      </c>
      <c r="H276" t="s">
        <v>81</v>
      </c>
      <c r="I276" t="s">
        <v>562</v>
      </c>
      <c r="J276" t="s">
        <v>49</v>
      </c>
      <c r="L276" t="s">
        <v>84</v>
      </c>
      <c r="M276">
        <v>1</v>
      </c>
      <c r="N276" t="s">
        <v>52</v>
      </c>
      <c r="O276">
        <v>6</v>
      </c>
      <c r="P276" t="s">
        <v>64</v>
      </c>
      <c r="Q276" t="s">
        <v>65</v>
      </c>
      <c r="R276">
        <v>28.91</v>
      </c>
      <c r="S276">
        <v>0</v>
      </c>
      <c r="T276">
        <v>28.91</v>
      </c>
      <c r="U276" t="s">
        <v>7</v>
      </c>
    </row>
    <row r="277" spans="1:21" x14ac:dyDescent="0.25">
      <c r="A277" t="s">
        <v>8</v>
      </c>
      <c r="B277" t="s">
        <v>161</v>
      </c>
      <c r="C277" t="s">
        <v>162</v>
      </c>
      <c r="D277" t="s">
        <v>558</v>
      </c>
      <c r="E277" t="s">
        <v>559</v>
      </c>
      <c r="F277" t="s">
        <v>560</v>
      </c>
      <c r="G277" t="s">
        <v>561</v>
      </c>
      <c r="H277" t="s">
        <v>81</v>
      </c>
      <c r="I277" t="s">
        <v>562</v>
      </c>
      <c r="J277" t="s">
        <v>49</v>
      </c>
      <c r="L277" t="s">
        <v>84</v>
      </c>
      <c r="M277">
        <v>1</v>
      </c>
      <c r="N277" t="s">
        <v>52</v>
      </c>
      <c r="O277">
        <v>6</v>
      </c>
      <c r="P277" t="s">
        <v>64</v>
      </c>
      <c r="Q277" t="s">
        <v>65</v>
      </c>
      <c r="R277">
        <v>0</v>
      </c>
      <c r="S277">
        <v>3.75</v>
      </c>
      <c r="T277">
        <v>3.75</v>
      </c>
      <c r="U277" t="s">
        <v>7</v>
      </c>
    </row>
    <row r="278" spans="1:21" x14ac:dyDescent="0.25">
      <c r="A278" t="s">
        <v>8</v>
      </c>
      <c r="B278" t="s">
        <v>161</v>
      </c>
      <c r="C278" t="s">
        <v>162</v>
      </c>
      <c r="D278" t="s">
        <v>563</v>
      </c>
      <c r="E278" t="s">
        <v>564</v>
      </c>
      <c r="F278" t="s">
        <v>565</v>
      </c>
      <c r="G278" t="s">
        <v>561</v>
      </c>
      <c r="H278" t="s">
        <v>81</v>
      </c>
      <c r="I278" t="s">
        <v>562</v>
      </c>
      <c r="J278" t="s">
        <v>49</v>
      </c>
      <c r="L278" t="s">
        <v>84</v>
      </c>
      <c r="M278">
        <v>1</v>
      </c>
      <c r="N278" t="s">
        <v>52</v>
      </c>
      <c r="O278">
        <v>6</v>
      </c>
      <c r="P278" t="s">
        <v>64</v>
      </c>
      <c r="Q278" t="s">
        <v>65</v>
      </c>
      <c r="R278">
        <v>0</v>
      </c>
      <c r="S278">
        <v>8.75</v>
      </c>
      <c r="T278">
        <v>8.75</v>
      </c>
      <c r="U278" t="s">
        <v>7</v>
      </c>
    </row>
    <row r="279" spans="1:21" x14ac:dyDescent="0.25">
      <c r="A279" t="s">
        <v>8</v>
      </c>
      <c r="B279" t="s">
        <v>161</v>
      </c>
      <c r="C279" t="s">
        <v>162</v>
      </c>
      <c r="D279" t="s">
        <v>563</v>
      </c>
      <c r="E279" t="s">
        <v>564</v>
      </c>
      <c r="F279" t="s">
        <v>565</v>
      </c>
      <c r="G279" t="s">
        <v>561</v>
      </c>
      <c r="H279" t="s">
        <v>81</v>
      </c>
      <c r="I279" t="s">
        <v>562</v>
      </c>
      <c r="J279" t="s">
        <v>49</v>
      </c>
      <c r="L279" t="s">
        <v>84</v>
      </c>
      <c r="M279">
        <v>1</v>
      </c>
      <c r="N279" t="s">
        <v>52</v>
      </c>
      <c r="O279">
        <v>6</v>
      </c>
      <c r="P279" t="s">
        <v>64</v>
      </c>
      <c r="Q279" t="s">
        <v>65</v>
      </c>
      <c r="R279">
        <v>28.91</v>
      </c>
      <c r="S279">
        <v>0</v>
      </c>
      <c r="T279">
        <v>28.91</v>
      </c>
      <c r="U279" t="s">
        <v>7</v>
      </c>
    </row>
    <row r="280" spans="1:21" x14ac:dyDescent="0.25">
      <c r="A280" t="s">
        <v>8</v>
      </c>
      <c r="B280" t="s">
        <v>161</v>
      </c>
      <c r="C280" t="s">
        <v>162</v>
      </c>
      <c r="D280" t="s">
        <v>563</v>
      </c>
      <c r="E280" t="s">
        <v>564</v>
      </c>
      <c r="F280" t="s">
        <v>565</v>
      </c>
      <c r="G280" t="s">
        <v>561</v>
      </c>
      <c r="H280" t="s">
        <v>81</v>
      </c>
      <c r="I280" t="s">
        <v>562</v>
      </c>
      <c r="J280" t="s">
        <v>49</v>
      </c>
      <c r="L280" t="s">
        <v>84</v>
      </c>
      <c r="M280">
        <v>1</v>
      </c>
      <c r="N280" t="s">
        <v>52</v>
      </c>
      <c r="O280">
        <v>6</v>
      </c>
      <c r="P280" t="s">
        <v>64</v>
      </c>
      <c r="Q280" t="s">
        <v>65</v>
      </c>
      <c r="R280">
        <v>0</v>
      </c>
      <c r="S280">
        <v>3.75</v>
      </c>
      <c r="T280">
        <v>3.75</v>
      </c>
      <c r="U280" t="s">
        <v>7</v>
      </c>
    </row>
    <row r="281" spans="1:21" x14ac:dyDescent="0.25">
      <c r="A281" t="s">
        <v>8</v>
      </c>
      <c r="B281" t="s">
        <v>161</v>
      </c>
      <c r="C281" t="s">
        <v>162</v>
      </c>
      <c r="D281" t="s">
        <v>566</v>
      </c>
      <c r="E281" t="s">
        <v>567</v>
      </c>
      <c r="F281" t="s">
        <v>560</v>
      </c>
      <c r="G281" t="s">
        <v>568</v>
      </c>
      <c r="H281" t="s">
        <v>47</v>
      </c>
      <c r="I281" t="s">
        <v>73</v>
      </c>
      <c r="J281" t="s">
        <v>74</v>
      </c>
      <c r="L281" t="s">
        <v>515</v>
      </c>
      <c r="M281">
        <v>2</v>
      </c>
      <c r="N281" t="s">
        <v>52</v>
      </c>
      <c r="O281">
        <v>5</v>
      </c>
      <c r="P281" t="s">
        <v>64</v>
      </c>
      <c r="Q281" t="s">
        <v>65</v>
      </c>
      <c r="R281">
        <v>28.91</v>
      </c>
      <c r="S281">
        <v>0</v>
      </c>
      <c r="T281">
        <v>28.91</v>
      </c>
      <c r="U281" t="s">
        <v>7</v>
      </c>
    </row>
    <row r="282" spans="1:21" x14ac:dyDescent="0.25">
      <c r="A282" t="s">
        <v>8</v>
      </c>
      <c r="B282" t="s">
        <v>161</v>
      </c>
      <c r="C282" t="s">
        <v>162</v>
      </c>
      <c r="D282" t="s">
        <v>566</v>
      </c>
      <c r="E282" t="s">
        <v>567</v>
      </c>
      <c r="F282" t="s">
        <v>560</v>
      </c>
      <c r="G282" t="s">
        <v>568</v>
      </c>
      <c r="H282" t="s">
        <v>47</v>
      </c>
      <c r="I282" t="s">
        <v>73</v>
      </c>
      <c r="J282" t="s">
        <v>74</v>
      </c>
      <c r="L282" t="s">
        <v>515</v>
      </c>
      <c r="M282">
        <v>2</v>
      </c>
      <c r="N282" t="s">
        <v>52</v>
      </c>
      <c r="O282">
        <v>5</v>
      </c>
      <c r="P282" t="s">
        <v>64</v>
      </c>
      <c r="Q282" t="s">
        <v>65</v>
      </c>
      <c r="R282">
        <v>0</v>
      </c>
      <c r="S282">
        <v>8.75</v>
      </c>
      <c r="T282">
        <v>8.75</v>
      </c>
      <c r="U282" t="s">
        <v>7</v>
      </c>
    </row>
    <row r="283" spans="1:21" x14ac:dyDescent="0.25">
      <c r="A283" t="s">
        <v>8</v>
      </c>
      <c r="B283" t="s">
        <v>161</v>
      </c>
      <c r="C283" t="s">
        <v>162</v>
      </c>
      <c r="D283" t="s">
        <v>566</v>
      </c>
      <c r="E283" t="s">
        <v>567</v>
      </c>
      <c r="F283" t="s">
        <v>560</v>
      </c>
      <c r="G283" t="s">
        <v>568</v>
      </c>
      <c r="H283" t="s">
        <v>47</v>
      </c>
      <c r="I283" t="s">
        <v>73</v>
      </c>
      <c r="J283" t="s">
        <v>74</v>
      </c>
      <c r="L283" t="s">
        <v>515</v>
      </c>
      <c r="M283">
        <v>2</v>
      </c>
      <c r="N283" t="s">
        <v>52</v>
      </c>
      <c r="O283">
        <v>5</v>
      </c>
      <c r="P283" t="s">
        <v>64</v>
      </c>
      <c r="Q283" t="s">
        <v>65</v>
      </c>
      <c r="R283">
        <v>0</v>
      </c>
      <c r="S283">
        <v>5.25</v>
      </c>
      <c r="T283">
        <v>5.25</v>
      </c>
      <c r="U283" t="s">
        <v>7</v>
      </c>
    </row>
    <row r="284" spans="1:21" x14ac:dyDescent="0.25">
      <c r="A284" t="s">
        <v>8</v>
      </c>
      <c r="B284" t="s">
        <v>41</v>
      </c>
      <c r="C284" t="s">
        <v>42</v>
      </c>
      <c r="D284" t="s">
        <v>569</v>
      </c>
      <c r="E284" t="s">
        <v>570</v>
      </c>
      <c r="F284" t="s">
        <v>571</v>
      </c>
      <c r="G284" t="s">
        <v>572</v>
      </c>
      <c r="H284" t="s">
        <v>437</v>
      </c>
      <c r="I284" t="s">
        <v>271</v>
      </c>
      <c r="J284" t="s">
        <v>74</v>
      </c>
      <c r="L284" t="s">
        <v>439</v>
      </c>
      <c r="M284">
        <v>66</v>
      </c>
      <c r="N284" t="s">
        <v>85</v>
      </c>
      <c r="O284">
        <v>2</v>
      </c>
      <c r="P284" t="s">
        <v>64</v>
      </c>
      <c r="Q284" t="s">
        <v>65</v>
      </c>
      <c r="R284">
        <v>0</v>
      </c>
      <c r="S284">
        <v>5.25</v>
      </c>
      <c r="T284">
        <v>5.25</v>
      </c>
      <c r="U284" t="s">
        <v>7</v>
      </c>
    </row>
    <row r="285" spans="1:21" x14ac:dyDescent="0.25">
      <c r="A285" t="s">
        <v>8</v>
      </c>
      <c r="B285" t="s">
        <v>41</v>
      </c>
      <c r="C285" t="s">
        <v>42</v>
      </c>
      <c r="D285" t="s">
        <v>569</v>
      </c>
      <c r="E285" t="s">
        <v>570</v>
      </c>
      <c r="F285" t="s">
        <v>571</v>
      </c>
      <c r="G285" t="s">
        <v>572</v>
      </c>
      <c r="H285" t="s">
        <v>437</v>
      </c>
      <c r="I285" t="s">
        <v>271</v>
      </c>
      <c r="J285" t="s">
        <v>74</v>
      </c>
      <c r="L285" t="s">
        <v>439</v>
      </c>
      <c r="M285">
        <v>66</v>
      </c>
      <c r="N285" t="s">
        <v>85</v>
      </c>
      <c r="O285">
        <v>2</v>
      </c>
      <c r="P285" t="s">
        <v>64</v>
      </c>
      <c r="Q285" t="s">
        <v>65</v>
      </c>
      <c r="R285">
        <v>0</v>
      </c>
      <c r="S285">
        <v>8.75</v>
      </c>
      <c r="T285">
        <v>8.75</v>
      </c>
      <c r="U285" t="s">
        <v>7</v>
      </c>
    </row>
    <row r="286" spans="1:21" x14ac:dyDescent="0.25">
      <c r="A286" t="s">
        <v>8</v>
      </c>
      <c r="B286" t="s">
        <v>41</v>
      </c>
      <c r="C286" t="s">
        <v>42</v>
      </c>
      <c r="D286" t="s">
        <v>569</v>
      </c>
      <c r="E286" t="s">
        <v>570</v>
      </c>
      <c r="F286" t="s">
        <v>571</v>
      </c>
      <c r="G286" t="s">
        <v>572</v>
      </c>
      <c r="H286" t="s">
        <v>437</v>
      </c>
      <c r="I286" t="s">
        <v>271</v>
      </c>
      <c r="J286" t="s">
        <v>74</v>
      </c>
      <c r="L286" t="s">
        <v>439</v>
      </c>
      <c r="M286">
        <v>66</v>
      </c>
      <c r="N286" t="s">
        <v>85</v>
      </c>
      <c r="O286">
        <v>2</v>
      </c>
      <c r="P286" t="s">
        <v>64</v>
      </c>
      <c r="Q286" t="s">
        <v>65</v>
      </c>
      <c r="R286">
        <v>28.91</v>
      </c>
      <c r="S286">
        <v>0</v>
      </c>
      <c r="T286">
        <v>28.91</v>
      </c>
      <c r="U286" t="s">
        <v>7</v>
      </c>
    </row>
    <row r="287" spans="1:21" x14ac:dyDescent="0.25">
      <c r="A287" t="s">
        <v>8</v>
      </c>
      <c r="B287" t="s">
        <v>539</v>
      </c>
      <c r="C287" t="s">
        <v>540</v>
      </c>
      <c r="D287" t="s">
        <v>573</v>
      </c>
      <c r="E287" t="s">
        <v>574</v>
      </c>
      <c r="F287" t="s">
        <v>538</v>
      </c>
      <c r="G287" t="s">
        <v>572</v>
      </c>
      <c r="H287" t="s">
        <v>47</v>
      </c>
      <c r="I287" t="s">
        <v>253</v>
      </c>
      <c r="J287" t="s">
        <v>74</v>
      </c>
      <c r="L287" t="s">
        <v>63</v>
      </c>
      <c r="M287">
        <v>1</v>
      </c>
      <c r="N287" t="s">
        <v>52</v>
      </c>
      <c r="O287">
        <v>6</v>
      </c>
      <c r="P287" t="s">
        <v>64</v>
      </c>
      <c r="Q287" t="s">
        <v>65</v>
      </c>
      <c r="R287">
        <v>28.91</v>
      </c>
      <c r="S287">
        <v>0</v>
      </c>
      <c r="T287">
        <v>28.91</v>
      </c>
      <c r="U287" t="s">
        <v>7</v>
      </c>
    </row>
    <row r="288" spans="1:21" x14ac:dyDescent="0.25">
      <c r="A288" t="s">
        <v>8</v>
      </c>
      <c r="B288" t="s">
        <v>539</v>
      </c>
      <c r="C288" t="s">
        <v>540</v>
      </c>
      <c r="D288" t="s">
        <v>573</v>
      </c>
      <c r="E288" t="s">
        <v>574</v>
      </c>
      <c r="F288" t="s">
        <v>538</v>
      </c>
      <c r="G288" t="s">
        <v>572</v>
      </c>
      <c r="H288" t="s">
        <v>47</v>
      </c>
      <c r="I288" t="s">
        <v>253</v>
      </c>
      <c r="J288" t="s">
        <v>74</v>
      </c>
      <c r="L288" t="s">
        <v>63</v>
      </c>
      <c r="M288">
        <v>1</v>
      </c>
      <c r="N288" t="s">
        <v>52</v>
      </c>
      <c r="O288">
        <v>6</v>
      </c>
      <c r="P288" t="s">
        <v>64</v>
      </c>
      <c r="Q288" t="s">
        <v>65</v>
      </c>
      <c r="R288">
        <v>0</v>
      </c>
      <c r="S288">
        <v>8.75</v>
      </c>
      <c r="T288">
        <v>8.75</v>
      </c>
      <c r="U288" t="s">
        <v>7</v>
      </c>
    </row>
    <row r="289" spans="1:21" x14ac:dyDescent="0.25">
      <c r="A289" t="s">
        <v>8</v>
      </c>
      <c r="B289" t="s">
        <v>539</v>
      </c>
      <c r="C289" t="s">
        <v>540</v>
      </c>
      <c r="D289" t="s">
        <v>573</v>
      </c>
      <c r="E289" t="s">
        <v>574</v>
      </c>
      <c r="F289" t="s">
        <v>538</v>
      </c>
      <c r="G289" t="s">
        <v>572</v>
      </c>
      <c r="H289" t="s">
        <v>47</v>
      </c>
      <c r="I289" t="s">
        <v>253</v>
      </c>
      <c r="J289" t="s">
        <v>74</v>
      </c>
      <c r="L289" t="s">
        <v>63</v>
      </c>
      <c r="M289">
        <v>1</v>
      </c>
      <c r="N289" t="s">
        <v>52</v>
      </c>
      <c r="O289">
        <v>6</v>
      </c>
      <c r="P289" t="s">
        <v>64</v>
      </c>
      <c r="Q289" t="s">
        <v>65</v>
      </c>
      <c r="R289">
        <v>0</v>
      </c>
      <c r="S289">
        <v>5.25</v>
      </c>
      <c r="T289">
        <v>5.25</v>
      </c>
      <c r="U289" t="s">
        <v>7</v>
      </c>
    </row>
    <row r="290" spans="1:21" x14ac:dyDescent="0.25">
      <c r="A290" t="s">
        <v>8</v>
      </c>
      <c r="B290" t="s">
        <v>575</v>
      </c>
      <c r="C290" t="s">
        <v>576</v>
      </c>
      <c r="D290" t="s">
        <v>577</v>
      </c>
      <c r="E290" t="s">
        <v>578</v>
      </c>
      <c r="F290" t="s">
        <v>579</v>
      </c>
      <c r="G290" t="s">
        <v>580</v>
      </c>
      <c r="H290" t="s">
        <v>47</v>
      </c>
      <c r="I290" t="s">
        <v>143</v>
      </c>
      <c r="J290" t="s">
        <v>74</v>
      </c>
      <c r="L290" t="s">
        <v>51</v>
      </c>
      <c r="M290">
        <v>1</v>
      </c>
      <c r="N290" t="s">
        <v>100</v>
      </c>
      <c r="O290">
        <v>2</v>
      </c>
      <c r="P290" t="s">
        <v>64</v>
      </c>
      <c r="Q290" t="s">
        <v>65</v>
      </c>
      <c r="R290">
        <v>0</v>
      </c>
      <c r="S290">
        <v>8.75</v>
      </c>
      <c r="T290">
        <v>8.75</v>
      </c>
      <c r="U290" t="s">
        <v>7</v>
      </c>
    </row>
    <row r="291" spans="1:21" x14ac:dyDescent="0.25">
      <c r="A291" t="s">
        <v>8</v>
      </c>
      <c r="B291" t="s">
        <v>575</v>
      </c>
      <c r="C291" t="s">
        <v>576</v>
      </c>
      <c r="D291" t="s">
        <v>577</v>
      </c>
      <c r="E291" t="s">
        <v>578</v>
      </c>
      <c r="F291" t="s">
        <v>579</v>
      </c>
      <c r="G291" t="s">
        <v>580</v>
      </c>
      <c r="H291" t="s">
        <v>47</v>
      </c>
      <c r="I291" t="s">
        <v>143</v>
      </c>
      <c r="J291" t="s">
        <v>74</v>
      </c>
      <c r="L291" t="s">
        <v>51</v>
      </c>
      <c r="M291">
        <v>1</v>
      </c>
      <c r="N291" t="s">
        <v>100</v>
      </c>
      <c r="O291">
        <v>2</v>
      </c>
      <c r="P291" t="s">
        <v>64</v>
      </c>
      <c r="Q291" t="s">
        <v>65</v>
      </c>
      <c r="R291">
        <v>28.91</v>
      </c>
      <c r="S291">
        <v>0</v>
      </c>
      <c r="T291">
        <v>28.91</v>
      </c>
      <c r="U291" t="s">
        <v>7</v>
      </c>
    </row>
    <row r="292" spans="1:21" x14ac:dyDescent="0.25">
      <c r="A292" t="s">
        <v>8</v>
      </c>
      <c r="B292" t="s">
        <v>575</v>
      </c>
      <c r="C292" t="s">
        <v>576</v>
      </c>
      <c r="D292" t="s">
        <v>577</v>
      </c>
      <c r="E292" t="s">
        <v>578</v>
      </c>
      <c r="F292" t="s">
        <v>579</v>
      </c>
      <c r="G292" t="s">
        <v>580</v>
      </c>
      <c r="H292" t="s">
        <v>47</v>
      </c>
      <c r="I292" t="s">
        <v>143</v>
      </c>
      <c r="J292" t="s">
        <v>74</v>
      </c>
      <c r="L292" t="s">
        <v>51</v>
      </c>
      <c r="M292">
        <v>1</v>
      </c>
      <c r="N292" t="s">
        <v>100</v>
      </c>
      <c r="O292">
        <v>2</v>
      </c>
      <c r="P292" t="s">
        <v>64</v>
      </c>
      <c r="Q292" t="s">
        <v>65</v>
      </c>
      <c r="R292">
        <v>0</v>
      </c>
      <c r="S292">
        <v>5.25</v>
      </c>
      <c r="T292">
        <v>5.25</v>
      </c>
      <c r="U292" t="s">
        <v>7</v>
      </c>
    </row>
    <row r="293" spans="1:21" x14ac:dyDescent="0.25">
      <c r="A293" t="s">
        <v>8</v>
      </c>
      <c r="B293" t="s">
        <v>106</v>
      </c>
      <c r="C293" t="s">
        <v>107</v>
      </c>
      <c r="D293" t="s">
        <v>581</v>
      </c>
      <c r="E293" t="s">
        <v>582</v>
      </c>
      <c r="F293" t="s">
        <v>247</v>
      </c>
      <c r="G293" t="s">
        <v>583</v>
      </c>
      <c r="H293" t="s">
        <v>47</v>
      </c>
      <c r="I293" t="s">
        <v>584</v>
      </c>
      <c r="J293" t="s">
        <v>222</v>
      </c>
      <c r="L293" t="s">
        <v>51</v>
      </c>
      <c r="M293">
        <v>10</v>
      </c>
      <c r="N293" t="s">
        <v>52</v>
      </c>
      <c r="O293">
        <v>2</v>
      </c>
      <c r="P293" t="s">
        <v>64</v>
      </c>
      <c r="Q293" t="s">
        <v>65</v>
      </c>
      <c r="R293">
        <v>28.91</v>
      </c>
      <c r="S293">
        <v>0</v>
      </c>
      <c r="T293">
        <v>28.91</v>
      </c>
      <c r="U293" t="s">
        <v>7</v>
      </c>
    </row>
    <row r="294" spans="1:21" x14ac:dyDescent="0.25">
      <c r="A294" t="s">
        <v>8</v>
      </c>
      <c r="B294" t="s">
        <v>106</v>
      </c>
      <c r="C294" t="s">
        <v>107</v>
      </c>
      <c r="D294" t="s">
        <v>581</v>
      </c>
      <c r="E294" t="s">
        <v>582</v>
      </c>
      <c r="F294" t="s">
        <v>247</v>
      </c>
      <c r="G294" t="s">
        <v>583</v>
      </c>
      <c r="H294" t="s">
        <v>47</v>
      </c>
      <c r="I294" t="s">
        <v>584</v>
      </c>
      <c r="J294" t="s">
        <v>222</v>
      </c>
      <c r="L294" t="s">
        <v>51</v>
      </c>
      <c r="M294">
        <v>10</v>
      </c>
      <c r="N294" t="s">
        <v>52</v>
      </c>
      <c r="O294">
        <v>2</v>
      </c>
      <c r="P294" t="s">
        <v>64</v>
      </c>
      <c r="Q294" t="s">
        <v>65</v>
      </c>
      <c r="R294">
        <v>0</v>
      </c>
      <c r="S294">
        <v>5.25</v>
      </c>
      <c r="T294">
        <v>5.25</v>
      </c>
      <c r="U294" t="s">
        <v>7</v>
      </c>
    </row>
    <row r="295" spans="1:21" x14ac:dyDescent="0.25">
      <c r="A295" t="s">
        <v>8</v>
      </c>
      <c r="B295" t="s">
        <v>106</v>
      </c>
      <c r="C295" t="s">
        <v>107</v>
      </c>
      <c r="D295" t="s">
        <v>581</v>
      </c>
      <c r="E295" t="s">
        <v>582</v>
      </c>
      <c r="F295" t="s">
        <v>247</v>
      </c>
      <c r="G295" t="s">
        <v>583</v>
      </c>
      <c r="H295" t="s">
        <v>47</v>
      </c>
      <c r="I295" t="s">
        <v>584</v>
      </c>
      <c r="J295" t="s">
        <v>222</v>
      </c>
      <c r="L295" t="s">
        <v>51</v>
      </c>
      <c r="M295">
        <v>10</v>
      </c>
      <c r="N295" t="s">
        <v>52</v>
      </c>
      <c r="O295">
        <v>2</v>
      </c>
      <c r="P295" t="s">
        <v>64</v>
      </c>
      <c r="Q295" t="s">
        <v>65</v>
      </c>
      <c r="R295">
        <v>0</v>
      </c>
      <c r="S295">
        <v>8.75</v>
      </c>
      <c r="T295">
        <v>8.75</v>
      </c>
      <c r="U295" t="s">
        <v>7</v>
      </c>
    </row>
    <row r="296" spans="1:21" x14ac:dyDescent="0.25">
      <c r="A296" t="s">
        <v>8</v>
      </c>
      <c r="B296" t="s">
        <v>389</v>
      </c>
      <c r="C296" t="s">
        <v>390</v>
      </c>
      <c r="D296" t="s">
        <v>585</v>
      </c>
      <c r="E296" t="s">
        <v>586</v>
      </c>
      <c r="F296" t="s">
        <v>587</v>
      </c>
      <c r="G296" t="s">
        <v>588</v>
      </c>
      <c r="H296" t="s">
        <v>47</v>
      </c>
      <c r="I296" t="s">
        <v>589</v>
      </c>
      <c r="J296" t="s">
        <v>199</v>
      </c>
      <c r="L296" t="s">
        <v>63</v>
      </c>
      <c r="M296">
        <v>1</v>
      </c>
      <c r="N296" t="s">
        <v>85</v>
      </c>
      <c r="O296">
        <v>3</v>
      </c>
      <c r="P296" t="s">
        <v>64</v>
      </c>
      <c r="Q296" t="s">
        <v>65</v>
      </c>
      <c r="R296">
        <v>0</v>
      </c>
      <c r="S296">
        <v>8.75</v>
      </c>
      <c r="T296">
        <v>8.75</v>
      </c>
      <c r="U296" t="s">
        <v>7</v>
      </c>
    </row>
    <row r="297" spans="1:21" x14ac:dyDescent="0.25">
      <c r="A297" t="s">
        <v>8</v>
      </c>
      <c r="B297" t="s">
        <v>389</v>
      </c>
      <c r="C297" t="s">
        <v>390</v>
      </c>
      <c r="D297" t="s">
        <v>585</v>
      </c>
      <c r="E297" t="s">
        <v>586</v>
      </c>
      <c r="F297" t="s">
        <v>587</v>
      </c>
      <c r="G297" t="s">
        <v>588</v>
      </c>
      <c r="H297" t="s">
        <v>47</v>
      </c>
      <c r="I297" t="s">
        <v>589</v>
      </c>
      <c r="J297" t="s">
        <v>199</v>
      </c>
      <c r="L297" t="s">
        <v>63</v>
      </c>
      <c r="M297">
        <v>1</v>
      </c>
      <c r="N297" t="s">
        <v>85</v>
      </c>
      <c r="O297">
        <v>3</v>
      </c>
      <c r="P297" t="s">
        <v>64</v>
      </c>
      <c r="Q297" t="s">
        <v>65</v>
      </c>
      <c r="R297">
        <v>0</v>
      </c>
      <c r="S297">
        <v>5.25</v>
      </c>
      <c r="T297">
        <v>5.25</v>
      </c>
      <c r="U297" t="s">
        <v>7</v>
      </c>
    </row>
    <row r="298" spans="1:21" x14ac:dyDescent="0.25">
      <c r="A298" t="s">
        <v>8</v>
      </c>
      <c r="B298" t="s">
        <v>389</v>
      </c>
      <c r="C298" t="s">
        <v>390</v>
      </c>
      <c r="D298" t="s">
        <v>585</v>
      </c>
      <c r="E298" t="s">
        <v>586</v>
      </c>
      <c r="F298" t="s">
        <v>587</v>
      </c>
      <c r="G298" t="s">
        <v>588</v>
      </c>
      <c r="H298" t="s">
        <v>47</v>
      </c>
      <c r="I298" t="s">
        <v>589</v>
      </c>
      <c r="J298" t="s">
        <v>199</v>
      </c>
      <c r="L298" t="s">
        <v>63</v>
      </c>
      <c r="M298">
        <v>1</v>
      </c>
      <c r="N298" t="s">
        <v>85</v>
      </c>
      <c r="O298">
        <v>3</v>
      </c>
      <c r="P298" t="s">
        <v>64</v>
      </c>
      <c r="Q298" t="s">
        <v>65</v>
      </c>
      <c r="R298">
        <v>28.91</v>
      </c>
      <c r="S298">
        <v>0</v>
      </c>
      <c r="T298">
        <v>28.91</v>
      </c>
      <c r="U298" t="s">
        <v>7</v>
      </c>
    </row>
    <row r="299" spans="1:21" x14ac:dyDescent="0.25">
      <c r="A299" t="s">
        <v>8</v>
      </c>
      <c r="B299" t="s">
        <v>86</v>
      </c>
      <c r="C299" t="s">
        <v>87</v>
      </c>
      <c r="D299" t="s">
        <v>590</v>
      </c>
      <c r="E299" t="s">
        <v>591</v>
      </c>
      <c r="F299" t="s">
        <v>592</v>
      </c>
      <c r="G299" t="s">
        <v>593</v>
      </c>
      <c r="H299" t="s">
        <v>47</v>
      </c>
      <c r="I299" t="s">
        <v>143</v>
      </c>
      <c r="J299" t="s">
        <v>74</v>
      </c>
      <c r="L299" t="s">
        <v>63</v>
      </c>
      <c r="M299">
        <v>1</v>
      </c>
      <c r="N299" t="s">
        <v>52</v>
      </c>
      <c r="O299">
        <v>3</v>
      </c>
      <c r="P299" t="s">
        <v>64</v>
      </c>
      <c r="Q299" t="s">
        <v>65</v>
      </c>
      <c r="R299">
        <v>0</v>
      </c>
      <c r="S299">
        <v>8.75</v>
      </c>
      <c r="T299">
        <v>8.75</v>
      </c>
      <c r="U299" t="s">
        <v>7</v>
      </c>
    </row>
    <row r="300" spans="1:21" x14ac:dyDescent="0.25">
      <c r="A300" t="s">
        <v>8</v>
      </c>
      <c r="B300" t="s">
        <v>86</v>
      </c>
      <c r="C300" t="s">
        <v>87</v>
      </c>
      <c r="D300" t="s">
        <v>590</v>
      </c>
      <c r="E300" t="s">
        <v>591</v>
      </c>
      <c r="F300" t="s">
        <v>592</v>
      </c>
      <c r="G300" t="s">
        <v>593</v>
      </c>
      <c r="H300" t="s">
        <v>47</v>
      </c>
      <c r="I300" t="s">
        <v>143</v>
      </c>
      <c r="J300" t="s">
        <v>74</v>
      </c>
      <c r="L300" t="s">
        <v>63</v>
      </c>
      <c r="M300">
        <v>1</v>
      </c>
      <c r="N300" t="s">
        <v>52</v>
      </c>
      <c r="O300">
        <v>3</v>
      </c>
      <c r="P300" t="s">
        <v>64</v>
      </c>
      <c r="Q300" t="s">
        <v>65</v>
      </c>
      <c r="R300">
        <v>28.91</v>
      </c>
      <c r="S300">
        <v>0</v>
      </c>
      <c r="T300">
        <v>28.91</v>
      </c>
      <c r="U300" t="s">
        <v>7</v>
      </c>
    </row>
    <row r="301" spans="1:21" x14ac:dyDescent="0.25">
      <c r="A301" t="s">
        <v>8</v>
      </c>
      <c r="B301" t="s">
        <v>86</v>
      </c>
      <c r="C301" t="s">
        <v>87</v>
      </c>
      <c r="D301" t="s">
        <v>590</v>
      </c>
      <c r="E301" t="s">
        <v>591</v>
      </c>
      <c r="F301" t="s">
        <v>592</v>
      </c>
      <c r="G301" t="s">
        <v>593</v>
      </c>
      <c r="H301" t="s">
        <v>47</v>
      </c>
      <c r="I301" t="s">
        <v>143</v>
      </c>
      <c r="J301" t="s">
        <v>74</v>
      </c>
      <c r="L301" t="s">
        <v>63</v>
      </c>
      <c r="M301">
        <v>1</v>
      </c>
      <c r="N301" t="s">
        <v>52</v>
      </c>
      <c r="O301">
        <v>3</v>
      </c>
      <c r="P301" t="s">
        <v>64</v>
      </c>
      <c r="Q301" t="s">
        <v>65</v>
      </c>
      <c r="R301">
        <v>0</v>
      </c>
      <c r="S301">
        <v>5.25</v>
      </c>
      <c r="T301">
        <v>5.25</v>
      </c>
      <c r="U301" t="s">
        <v>7</v>
      </c>
    </row>
    <row r="302" spans="1:21" x14ac:dyDescent="0.25">
      <c r="A302" t="s">
        <v>8</v>
      </c>
      <c r="B302" t="s">
        <v>594</v>
      </c>
      <c r="C302" t="s">
        <v>595</v>
      </c>
      <c r="D302" t="s">
        <v>596</v>
      </c>
      <c r="E302" t="s">
        <v>597</v>
      </c>
      <c r="F302" t="s">
        <v>103</v>
      </c>
      <c r="G302" t="s">
        <v>598</v>
      </c>
      <c r="H302" t="s">
        <v>72</v>
      </c>
      <c r="I302" t="s">
        <v>599</v>
      </c>
      <c r="J302" t="s">
        <v>600</v>
      </c>
      <c r="L302" t="s">
        <v>75</v>
      </c>
      <c r="M302">
        <v>3</v>
      </c>
      <c r="N302" t="s">
        <v>52</v>
      </c>
      <c r="O302">
        <v>8</v>
      </c>
      <c r="P302" t="s">
        <v>64</v>
      </c>
      <c r="Q302" t="s">
        <v>65</v>
      </c>
      <c r="R302">
        <v>0</v>
      </c>
      <c r="S302">
        <v>5.25</v>
      </c>
      <c r="T302">
        <v>5.25</v>
      </c>
      <c r="U302" t="s">
        <v>7</v>
      </c>
    </row>
    <row r="303" spans="1:21" x14ac:dyDescent="0.25">
      <c r="A303" t="s">
        <v>8</v>
      </c>
      <c r="B303" t="s">
        <v>594</v>
      </c>
      <c r="C303" t="s">
        <v>595</v>
      </c>
      <c r="D303" t="s">
        <v>596</v>
      </c>
      <c r="E303" t="s">
        <v>597</v>
      </c>
      <c r="F303" t="s">
        <v>103</v>
      </c>
      <c r="G303" t="s">
        <v>598</v>
      </c>
      <c r="H303" t="s">
        <v>72</v>
      </c>
      <c r="I303" t="s">
        <v>599</v>
      </c>
      <c r="J303" t="s">
        <v>600</v>
      </c>
      <c r="L303" t="s">
        <v>75</v>
      </c>
      <c r="M303">
        <v>3</v>
      </c>
      <c r="N303" t="s">
        <v>52</v>
      </c>
      <c r="O303">
        <v>8</v>
      </c>
      <c r="P303" t="s">
        <v>64</v>
      </c>
      <c r="Q303" t="s">
        <v>65</v>
      </c>
      <c r="R303">
        <v>28.91</v>
      </c>
      <c r="S303">
        <v>0</v>
      </c>
      <c r="T303">
        <v>28.91</v>
      </c>
      <c r="U303" t="s">
        <v>7</v>
      </c>
    </row>
    <row r="304" spans="1:21" x14ac:dyDescent="0.25">
      <c r="A304" t="s">
        <v>8</v>
      </c>
      <c r="B304" t="s">
        <v>594</v>
      </c>
      <c r="C304" t="s">
        <v>595</v>
      </c>
      <c r="D304" t="s">
        <v>596</v>
      </c>
      <c r="E304" t="s">
        <v>597</v>
      </c>
      <c r="F304" t="s">
        <v>103</v>
      </c>
      <c r="G304" t="s">
        <v>598</v>
      </c>
      <c r="H304" t="s">
        <v>72</v>
      </c>
      <c r="I304" t="s">
        <v>599</v>
      </c>
      <c r="J304" t="s">
        <v>600</v>
      </c>
      <c r="L304" t="s">
        <v>75</v>
      </c>
      <c r="M304">
        <v>3</v>
      </c>
      <c r="N304" t="s">
        <v>52</v>
      </c>
      <c r="O304">
        <v>8</v>
      </c>
      <c r="P304" t="s">
        <v>64</v>
      </c>
      <c r="Q304" t="s">
        <v>65</v>
      </c>
      <c r="R304">
        <v>0</v>
      </c>
      <c r="S304">
        <v>8.75</v>
      </c>
      <c r="T304">
        <v>8.75</v>
      </c>
      <c r="U304" t="s">
        <v>7</v>
      </c>
    </row>
    <row r="305" spans="1:21" x14ac:dyDescent="0.25">
      <c r="A305" t="s">
        <v>8</v>
      </c>
      <c r="B305" t="s">
        <v>601</v>
      </c>
      <c r="C305" t="s">
        <v>602</v>
      </c>
      <c r="D305" t="s">
        <v>603</v>
      </c>
      <c r="E305" t="s">
        <v>604</v>
      </c>
      <c r="F305" t="s">
        <v>45</v>
      </c>
      <c r="G305" t="s">
        <v>605</v>
      </c>
      <c r="H305" t="s">
        <v>47</v>
      </c>
      <c r="I305" t="s">
        <v>606</v>
      </c>
      <c r="J305" t="s">
        <v>152</v>
      </c>
      <c r="L305" t="s">
        <v>63</v>
      </c>
      <c r="M305">
        <v>1</v>
      </c>
      <c r="O305">
        <v>0</v>
      </c>
      <c r="P305" t="s">
        <v>53</v>
      </c>
      <c r="Q305" t="s">
        <v>65</v>
      </c>
      <c r="R305">
        <v>0</v>
      </c>
      <c r="S305">
        <v>75</v>
      </c>
      <c r="T305">
        <v>75</v>
      </c>
      <c r="U305" t="s">
        <v>7</v>
      </c>
    </row>
    <row r="306" spans="1:21" x14ac:dyDescent="0.25">
      <c r="A306" t="s">
        <v>8</v>
      </c>
      <c r="B306" t="s">
        <v>601</v>
      </c>
      <c r="C306" t="s">
        <v>602</v>
      </c>
      <c r="D306" t="s">
        <v>603</v>
      </c>
      <c r="E306" t="s">
        <v>604</v>
      </c>
      <c r="F306" t="s">
        <v>45</v>
      </c>
      <c r="G306" t="s">
        <v>605</v>
      </c>
      <c r="H306" t="s">
        <v>47</v>
      </c>
      <c r="I306" t="s">
        <v>606</v>
      </c>
      <c r="J306" t="s">
        <v>152</v>
      </c>
      <c r="L306" t="s">
        <v>63</v>
      </c>
      <c r="M306">
        <v>1</v>
      </c>
      <c r="O306">
        <v>0</v>
      </c>
      <c r="P306" t="s">
        <v>53</v>
      </c>
      <c r="Q306" t="s">
        <v>65</v>
      </c>
      <c r="R306">
        <v>0</v>
      </c>
      <c r="S306">
        <v>125</v>
      </c>
      <c r="T306">
        <v>125</v>
      </c>
      <c r="U306" t="s">
        <v>7</v>
      </c>
    </row>
    <row r="307" spans="1:21" x14ac:dyDescent="0.25">
      <c r="A307" t="s">
        <v>8</v>
      </c>
      <c r="B307" t="s">
        <v>601</v>
      </c>
      <c r="C307" t="s">
        <v>602</v>
      </c>
      <c r="D307" t="s">
        <v>603</v>
      </c>
      <c r="E307" t="s">
        <v>604</v>
      </c>
      <c r="F307" t="s">
        <v>45</v>
      </c>
      <c r="G307" t="s">
        <v>605</v>
      </c>
      <c r="H307" t="s">
        <v>47</v>
      </c>
      <c r="I307" t="s">
        <v>606</v>
      </c>
      <c r="J307" t="s">
        <v>152</v>
      </c>
      <c r="L307" t="s">
        <v>63</v>
      </c>
      <c r="M307">
        <v>1</v>
      </c>
      <c r="O307">
        <v>0</v>
      </c>
      <c r="P307" t="s">
        <v>53</v>
      </c>
      <c r="Q307" t="s">
        <v>65</v>
      </c>
      <c r="R307">
        <v>202.41</v>
      </c>
      <c r="S307">
        <v>0</v>
      </c>
      <c r="T307">
        <v>202.41</v>
      </c>
      <c r="U307" t="s">
        <v>7</v>
      </c>
    </row>
    <row r="308" spans="1:21" x14ac:dyDescent="0.25">
      <c r="A308" t="s">
        <v>8</v>
      </c>
      <c r="B308" t="s">
        <v>539</v>
      </c>
      <c r="C308" t="s">
        <v>540</v>
      </c>
      <c r="D308" t="s">
        <v>607</v>
      </c>
      <c r="E308" t="s">
        <v>608</v>
      </c>
      <c r="F308" t="s">
        <v>609</v>
      </c>
      <c r="G308" t="s">
        <v>610</v>
      </c>
      <c r="H308" t="s">
        <v>47</v>
      </c>
      <c r="I308" t="s">
        <v>611</v>
      </c>
      <c r="J308" t="s">
        <v>74</v>
      </c>
      <c r="L308" t="s">
        <v>51</v>
      </c>
      <c r="M308">
        <v>1</v>
      </c>
      <c r="N308" t="s">
        <v>52</v>
      </c>
      <c r="O308">
        <v>6</v>
      </c>
      <c r="P308" t="s">
        <v>64</v>
      </c>
      <c r="Q308" t="s">
        <v>65</v>
      </c>
      <c r="R308">
        <v>0</v>
      </c>
      <c r="S308">
        <v>5.25</v>
      </c>
      <c r="T308">
        <v>5.25</v>
      </c>
      <c r="U308" t="s">
        <v>7</v>
      </c>
    </row>
    <row r="309" spans="1:21" x14ac:dyDescent="0.25">
      <c r="A309" t="s">
        <v>8</v>
      </c>
      <c r="B309" t="s">
        <v>539</v>
      </c>
      <c r="C309" t="s">
        <v>540</v>
      </c>
      <c r="D309" t="s">
        <v>607</v>
      </c>
      <c r="E309" t="s">
        <v>608</v>
      </c>
      <c r="F309" t="s">
        <v>609</v>
      </c>
      <c r="G309" t="s">
        <v>610</v>
      </c>
      <c r="H309" t="s">
        <v>47</v>
      </c>
      <c r="I309" t="s">
        <v>611</v>
      </c>
      <c r="J309" t="s">
        <v>74</v>
      </c>
      <c r="L309" t="s">
        <v>51</v>
      </c>
      <c r="M309">
        <v>1</v>
      </c>
      <c r="N309" t="s">
        <v>52</v>
      </c>
      <c r="O309">
        <v>6</v>
      </c>
      <c r="P309" t="s">
        <v>64</v>
      </c>
      <c r="Q309" t="s">
        <v>65</v>
      </c>
      <c r="R309">
        <v>28.91</v>
      </c>
      <c r="S309">
        <v>0</v>
      </c>
      <c r="T309">
        <v>28.91</v>
      </c>
      <c r="U309" t="s">
        <v>7</v>
      </c>
    </row>
    <row r="310" spans="1:21" x14ac:dyDescent="0.25">
      <c r="A310" t="s">
        <v>8</v>
      </c>
      <c r="B310" t="s">
        <v>539</v>
      </c>
      <c r="C310" t="s">
        <v>540</v>
      </c>
      <c r="D310" t="s">
        <v>607</v>
      </c>
      <c r="E310" t="s">
        <v>608</v>
      </c>
      <c r="F310" t="s">
        <v>609</v>
      </c>
      <c r="G310" t="s">
        <v>610</v>
      </c>
      <c r="H310" t="s">
        <v>47</v>
      </c>
      <c r="I310" t="s">
        <v>611</v>
      </c>
      <c r="J310" t="s">
        <v>74</v>
      </c>
      <c r="L310" t="s">
        <v>51</v>
      </c>
      <c r="M310">
        <v>1</v>
      </c>
      <c r="N310" t="s">
        <v>52</v>
      </c>
      <c r="O310">
        <v>6</v>
      </c>
      <c r="P310" t="s">
        <v>64</v>
      </c>
      <c r="Q310" t="s">
        <v>65</v>
      </c>
      <c r="R310">
        <v>0</v>
      </c>
      <c r="S310">
        <v>8.75</v>
      </c>
      <c r="T310">
        <v>8.75</v>
      </c>
      <c r="U310" t="s">
        <v>7</v>
      </c>
    </row>
    <row r="311" spans="1:21" x14ac:dyDescent="0.25">
      <c r="A311" t="s">
        <v>8</v>
      </c>
      <c r="B311" t="s">
        <v>539</v>
      </c>
      <c r="C311" t="s">
        <v>540</v>
      </c>
      <c r="D311" t="s">
        <v>612</v>
      </c>
      <c r="E311" t="s">
        <v>613</v>
      </c>
      <c r="F311" t="s">
        <v>124</v>
      </c>
      <c r="G311" t="s">
        <v>610</v>
      </c>
      <c r="H311" t="s">
        <v>47</v>
      </c>
      <c r="I311" t="s">
        <v>611</v>
      </c>
      <c r="J311" t="s">
        <v>74</v>
      </c>
      <c r="L311" t="s">
        <v>51</v>
      </c>
      <c r="M311">
        <v>1</v>
      </c>
      <c r="N311" t="s">
        <v>52</v>
      </c>
      <c r="O311">
        <v>5</v>
      </c>
      <c r="P311" t="s">
        <v>64</v>
      </c>
      <c r="Q311" t="s">
        <v>65</v>
      </c>
      <c r="R311">
        <v>0</v>
      </c>
      <c r="S311">
        <v>5.25</v>
      </c>
      <c r="T311">
        <v>5.25</v>
      </c>
      <c r="U311" t="s">
        <v>7</v>
      </c>
    </row>
    <row r="312" spans="1:21" x14ac:dyDescent="0.25">
      <c r="A312" t="s">
        <v>8</v>
      </c>
      <c r="B312" t="s">
        <v>539</v>
      </c>
      <c r="C312" t="s">
        <v>540</v>
      </c>
      <c r="D312" t="s">
        <v>612</v>
      </c>
      <c r="E312" t="s">
        <v>613</v>
      </c>
      <c r="F312" t="s">
        <v>124</v>
      </c>
      <c r="G312" t="s">
        <v>610</v>
      </c>
      <c r="H312" t="s">
        <v>47</v>
      </c>
      <c r="I312" t="s">
        <v>611</v>
      </c>
      <c r="J312" t="s">
        <v>74</v>
      </c>
      <c r="L312" t="s">
        <v>51</v>
      </c>
      <c r="M312">
        <v>1</v>
      </c>
      <c r="N312" t="s">
        <v>52</v>
      </c>
      <c r="O312">
        <v>5</v>
      </c>
      <c r="P312" t="s">
        <v>64</v>
      </c>
      <c r="Q312" t="s">
        <v>65</v>
      </c>
      <c r="R312">
        <v>0</v>
      </c>
      <c r="S312">
        <v>8.75</v>
      </c>
      <c r="T312">
        <v>8.75</v>
      </c>
      <c r="U312" t="s">
        <v>7</v>
      </c>
    </row>
    <row r="313" spans="1:21" x14ac:dyDescent="0.25">
      <c r="A313" t="s">
        <v>8</v>
      </c>
      <c r="B313" t="s">
        <v>539</v>
      </c>
      <c r="C313" t="s">
        <v>540</v>
      </c>
      <c r="D313" t="s">
        <v>612</v>
      </c>
      <c r="E313" t="s">
        <v>613</v>
      </c>
      <c r="F313" t="s">
        <v>124</v>
      </c>
      <c r="G313" t="s">
        <v>610</v>
      </c>
      <c r="H313" t="s">
        <v>47</v>
      </c>
      <c r="I313" t="s">
        <v>611</v>
      </c>
      <c r="J313" t="s">
        <v>74</v>
      </c>
      <c r="L313" t="s">
        <v>51</v>
      </c>
      <c r="M313">
        <v>1</v>
      </c>
      <c r="N313" t="s">
        <v>52</v>
      </c>
      <c r="O313">
        <v>5</v>
      </c>
      <c r="P313" t="s">
        <v>64</v>
      </c>
      <c r="Q313" t="s">
        <v>65</v>
      </c>
      <c r="R313">
        <v>28.91</v>
      </c>
      <c r="S313">
        <v>0</v>
      </c>
      <c r="T313">
        <v>28.91</v>
      </c>
      <c r="U313" t="s">
        <v>7</v>
      </c>
    </row>
    <row r="314" spans="1:21" x14ac:dyDescent="0.25">
      <c r="A314" t="s">
        <v>8</v>
      </c>
      <c r="B314" t="s">
        <v>41</v>
      </c>
      <c r="C314" t="s">
        <v>42</v>
      </c>
      <c r="D314" t="s">
        <v>614</v>
      </c>
      <c r="E314" t="s">
        <v>615</v>
      </c>
      <c r="F314" t="s">
        <v>616</v>
      </c>
      <c r="G314" t="s">
        <v>617</v>
      </c>
      <c r="H314" t="s">
        <v>47</v>
      </c>
      <c r="I314" t="s">
        <v>618</v>
      </c>
      <c r="J314" t="s">
        <v>457</v>
      </c>
      <c r="L314" t="s">
        <v>63</v>
      </c>
      <c r="M314">
        <v>3</v>
      </c>
      <c r="N314" t="s">
        <v>85</v>
      </c>
      <c r="O314">
        <v>2</v>
      </c>
      <c r="P314" t="s">
        <v>64</v>
      </c>
      <c r="Q314" t="s">
        <v>65</v>
      </c>
      <c r="R314">
        <v>28.91</v>
      </c>
      <c r="S314">
        <v>0</v>
      </c>
      <c r="T314">
        <v>28.91</v>
      </c>
      <c r="U314" t="s">
        <v>7</v>
      </c>
    </row>
    <row r="315" spans="1:21" x14ac:dyDescent="0.25">
      <c r="A315" t="s">
        <v>8</v>
      </c>
      <c r="B315" t="s">
        <v>41</v>
      </c>
      <c r="C315" t="s">
        <v>42</v>
      </c>
      <c r="D315" t="s">
        <v>614</v>
      </c>
      <c r="E315" t="s">
        <v>615</v>
      </c>
      <c r="F315" t="s">
        <v>616</v>
      </c>
      <c r="G315" t="s">
        <v>617</v>
      </c>
      <c r="H315" t="s">
        <v>47</v>
      </c>
      <c r="I315" t="s">
        <v>618</v>
      </c>
      <c r="J315" t="s">
        <v>457</v>
      </c>
      <c r="L315" t="s">
        <v>63</v>
      </c>
      <c r="M315">
        <v>3</v>
      </c>
      <c r="N315" t="s">
        <v>85</v>
      </c>
      <c r="O315">
        <v>2</v>
      </c>
      <c r="P315" t="s">
        <v>64</v>
      </c>
      <c r="Q315" t="s">
        <v>65</v>
      </c>
      <c r="R315">
        <v>0</v>
      </c>
      <c r="S315">
        <v>8.75</v>
      </c>
      <c r="T315">
        <v>8.75</v>
      </c>
      <c r="U315" t="s">
        <v>7</v>
      </c>
    </row>
    <row r="316" spans="1:21" x14ac:dyDescent="0.25">
      <c r="A316" t="s">
        <v>8</v>
      </c>
      <c r="B316" t="s">
        <v>41</v>
      </c>
      <c r="C316" t="s">
        <v>42</v>
      </c>
      <c r="D316" t="s">
        <v>614</v>
      </c>
      <c r="E316" t="s">
        <v>615</v>
      </c>
      <c r="F316" t="s">
        <v>616</v>
      </c>
      <c r="G316" t="s">
        <v>617</v>
      </c>
      <c r="H316" t="s">
        <v>47</v>
      </c>
      <c r="I316" t="s">
        <v>618</v>
      </c>
      <c r="J316" t="s">
        <v>457</v>
      </c>
      <c r="L316" t="s">
        <v>63</v>
      </c>
      <c r="M316">
        <v>3</v>
      </c>
      <c r="N316" t="s">
        <v>85</v>
      </c>
      <c r="O316">
        <v>2</v>
      </c>
      <c r="P316" t="s">
        <v>64</v>
      </c>
      <c r="Q316" t="s">
        <v>65</v>
      </c>
      <c r="R316">
        <v>0</v>
      </c>
      <c r="S316">
        <v>5.25</v>
      </c>
      <c r="T316">
        <v>5.25</v>
      </c>
      <c r="U316" t="s">
        <v>7</v>
      </c>
    </row>
    <row r="317" spans="1:21" x14ac:dyDescent="0.25">
      <c r="A317" t="s">
        <v>8</v>
      </c>
      <c r="B317" t="s">
        <v>55</v>
      </c>
      <c r="C317" t="s">
        <v>56</v>
      </c>
      <c r="D317" t="s">
        <v>619</v>
      </c>
      <c r="E317" t="s">
        <v>620</v>
      </c>
      <c r="F317" t="s">
        <v>621</v>
      </c>
      <c r="G317" t="s">
        <v>622</v>
      </c>
      <c r="H317" t="s">
        <v>47</v>
      </c>
      <c r="I317" t="s">
        <v>623</v>
      </c>
      <c r="J317" t="s">
        <v>222</v>
      </c>
      <c r="L317" t="s">
        <v>51</v>
      </c>
      <c r="M317">
        <v>10</v>
      </c>
      <c r="N317" t="s">
        <v>52</v>
      </c>
      <c r="O317">
        <v>3</v>
      </c>
      <c r="P317" t="s">
        <v>64</v>
      </c>
      <c r="Q317" t="s">
        <v>65</v>
      </c>
      <c r="R317">
        <v>0</v>
      </c>
      <c r="S317">
        <v>8.75</v>
      </c>
      <c r="T317">
        <v>8.75</v>
      </c>
      <c r="U317" t="s">
        <v>7</v>
      </c>
    </row>
    <row r="318" spans="1:21" x14ac:dyDescent="0.25">
      <c r="A318" t="s">
        <v>8</v>
      </c>
      <c r="B318" t="s">
        <v>55</v>
      </c>
      <c r="C318" t="s">
        <v>56</v>
      </c>
      <c r="D318" t="s">
        <v>619</v>
      </c>
      <c r="E318" t="s">
        <v>620</v>
      </c>
      <c r="F318" t="s">
        <v>621</v>
      </c>
      <c r="G318" t="s">
        <v>622</v>
      </c>
      <c r="H318" t="s">
        <v>47</v>
      </c>
      <c r="I318" t="s">
        <v>623</v>
      </c>
      <c r="J318" t="s">
        <v>222</v>
      </c>
      <c r="L318" t="s">
        <v>51</v>
      </c>
      <c r="M318">
        <v>10</v>
      </c>
      <c r="N318" t="s">
        <v>52</v>
      </c>
      <c r="O318">
        <v>3</v>
      </c>
      <c r="P318" t="s">
        <v>64</v>
      </c>
      <c r="Q318" t="s">
        <v>65</v>
      </c>
      <c r="R318">
        <v>0</v>
      </c>
      <c r="S318">
        <v>5.25</v>
      </c>
      <c r="T318">
        <v>5.25</v>
      </c>
      <c r="U318" t="s">
        <v>7</v>
      </c>
    </row>
    <row r="319" spans="1:21" x14ac:dyDescent="0.25">
      <c r="A319" t="s">
        <v>8</v>
      </c>
      <c r="B319" t="s">
        <v>55</v>
      </c>
      <c r="C319" t="s">
        <v>56</v>
      </c>
      <c r="D319" t="s">
        <v>619</v>
      </c>
      <c r="E319" t="s">
        <v>620</v>
      </c>
      <c r="F319" t="s">
        <v>621</v>
      </c>
      <c r="G319" t="s">
        <v>622</v>
      </c>
      <c r="H319" t="s">
        <v>47</v>
      </c>
      <c r="I319" t="s">
        <v>623</v>
      </c>
      <c r="J319" t="s">
        <v>222</v>
      </c>
      <c r="L319" t="s">
        <v>51</v>
      </c>
      <c r="M319">
        <v>10</v>
      </c>
      <c r="N319" t="s">
        <v>52</v>
      </c>
      <c r="O319">
        <v>3</v>
      </c>
      <c r="P319" t="s">
        <v>64</v>
      </c>
      <c r="Q319" t="s">
        <v>65</v>
      </c>
      <c r="R319">
        <v>28.91</v>
      </c>
      <c r="S319">
        <v>0</v>
      </c>
      <c r="T319">
        <v>28.91</v>
      </c>
      <c r="U319" t="s">
        <v>7</v>
      </c>
    </row>
    <row r="320" spans="1:21" x14ac:dyDescent="0.25">
      <c r="A320" t="s">
        <v>8</v>
      </c>
      <c r="B320" t="s">
        <v>389</v>
      </c>
      <c r="C320" t="s">
        <v>390</v>
      </c>
      <c r="D320" t="s">
        <v>624</v>
      </c>
      <c r="E320" t="s">
        <v>625</v>
      </c>
      <c r="F320" t="s">
        <v>626</v>
      </c>
      <c r="G320" t="s">
        <v>627</v>
      </c>
      <c r="H320" t="s">
        <v>47</v>
      </c>
      <c r="I320" t="s">
        <v>628</v>
      </c>
      <c r="J320" t="s">
        <v>629</v>
      </c>
      <c r="L320" t="s">
        <v>51</v>
      </c>
      <c r="M320">
        <v>1</v>
      </c>
      <c r="N320" t="s">
        <v>52</v>
      </c>
      <c r="O320">
        <v>5</v>
      </c>
      <c r="P320" t="s">
        <v>64</v>
      </c>
      <c r="Q320" t="s">
        <v>65</v>
      </c>
      <c r="R320">
        <v>0</v>
      </c>
      <c r="S320">
        <v>5.25</v>
      </c>
      <c r="T320">
        <v>5.25</v>
      </c>
      <c r="U320" t="s">
        <v>7</v>
      </c>
    </row>
    <row r="321" spans="1:21" x14ac:dyDescent="0.25">
      <c r="A321" t="s">
        <v>8</v>
      </c>
      <c r="B321" t="s">
        <v>389</v>
      </c>
      <c r="C321" t="s">
        <v>390</v>
      </c>
      <c r="D321" t="s">
        <v>624</v>
      </c>
      <c r="E321" t="s">
        <v>625</v>
      </c>
      <c r="F321" t="s">
        <v>626</v>
      </c>
      <c r="G321" t="s">
        <v>627</v>
      </c>
      <c r="H321" t="s">
        <v>47</v>
      </c>
      <c r="I321" t="s">
        <v>628</v>
      </c>
      <c r="J321" t="s">
        <v>629</v>
      </c>
      <c r="L321" t="s">
        <v>51</v>
      </c>
      <c r="M321">
        <v>1</v>
      </c>
      <c r="N321" t="s">
        <v>52</v>
      </c>
      <c r="O321">
        <v>5</v>
      </c>
      <c r="P321" t="s">
        <v>64</v>
      </c>
      <c r="Q321" t="s">
        <v>65</v>
      </c>
      <c r="R321">
        <v>0</v>
      </c>
      <c r="S321">
        <v>8.75</v>
      </c>
      <c r="T321">
        <v>8.75</v>
      </c>
      <c r="U321" t="s">
        <v>7</v>
      </c>
    </row>
    <row r="322" spans="1:21" x14ac:dyDescent="0.25">
      <c r="A322" t="s">
        <v>8</v>
      </c>
      <c r="B322" t="s">
        <v>389</v>
      </c>
      <c r="C322" t="s">
        <v>390</v>
      </c>
      <c r="D322" t="s">
        <v>624</v>
      </c>
      <c r="E322" t="s">
        <v>625</v>
      </c>
      <c r="F322" t="s">
        <v>626</v>
      </c>
      <c r="G322" t="s">
        <v>627</v>
      </c>
      <c r="H322" t="s">
        <v>47</v>
      </c>
      <c r="I322" t="s">
        <v>628</v>
      </c>
      <c r="J322" t="s">
        <v>629</v>
      </c>
      <c r="L322" t="s">
        <v>51</v>
      </c>
      <c r="M322">
        <v>1</v>
      </c>
      <c r="N322" t="s">
        <v>52</v>
      </c>
      <c r="O322">
        <v>5</v>
      </c>
      <c r="P322" t="s">
        <v>64</v>
      </c>
      <c r="Q322" t="s">
        <v>65</v>
      </c>
      <c r="R322">
        <v>28.91</v>
      </c>
      <c r="S322">
        <v>0</v>
      </c>
      <c r="T322">
        <v>28.91</v>
      </c>
      <c r="U322" t="s">
        <v>7</v>
      </c>
    </row>
    <row r="323" spans="1:21" x14ac:dyDescent="0.25">
      <c r="A323" t="s">
        <v>8</v>
      </c>
      <c r="B323" t="s">
        <v>236</v>
      </c>
      <c r="C323" t="s">
        <v>237</v>
      </c>
      <c r="D323" t="s">
        <v>630</v>
      </c>
      <c r="E323" t="s">
        <v>631</v>
      </c>
      <c r="F323" t="s">
        <v>165</v>
      </c>
      <c r="G323" t="s">
        <v>632</v>
      </c>
      <c r="H323" t="s">
        <v>437</v>
      </c>
      <c r="I323" t="s">
        <v>414</v>
      </c>
      <c r="J323" t="s">
        <v>74</v>
      </c>
      <c r="L323" t="s">
        <v>439</v>
      </c>
      <c r="M323">
        <v>18</v>
      </c>
      <c r="N323" t="s">
        <v>52</v>
      </c>
      <c r="O323">
        <v>7</v>
      </c>
      <c r="P323" t="s">
        <v>64</v>
      </c>
      <c r="Q323" t="s">
        <v>65</v>
      </c>
      <c r="R323">
        <v>28.91</v>
      </c>
      <c r="S323">
        <v>0</v>
      </c>
      <c r="T323">
        <v>28.91</v>
      </c>
      <c r="U323" t="s">
        <v>7</v>
      </c>
    </row>
    <row r="324" spans="1:21" x14ac:dyDescent="0.25">
      <c r="A324" t="s">
        <v>8</v>
      </c>
      <c r="B324" t="s">
        <v>236</v>
      </c>
      <c r="C324" t="s">
        <v>237</v>
      </c>
      <c r="D324" t="s">
        <v>630</v>
      </c>
      <c r="E324" t="s">
        <v>631</v>
      </c>
      <c r="F324" t="s">
        <v>165</v>
      </c>
      <c r="G324" t="s">
        <v>632</v>
      </c>
      <c r="H324" t="s">
        <v>437</v>
      </c>
      <c r="I324" t="s">
        <v>414</v>
      </c>
      <c r="J324" t="s">
        <v>74</v>
      </c>
      <c r="L324" t="s">
        <v>439</v>
      </c>
      <c r="M324">
        <v>18</v>
      </c>
      <c r="N324" t="s">
        <v>52</v>
      </c>
      <c r="O324">
        <v>7</v>
      </c>
      <c r="P324" t="s">
        <v>64</v>
      </c>
      <c r="Q324" t="s">
        <v>65</v>
      </c>
      <c r="R324">
        <v>0</v>
      </c>
      <c r="S324">
        <v>5.25</v>
      </c>
      <c r="T324">
        <v>5.25</v>
      </c>
      <c r="U324" t="s">
        <v>7</v>
      </c>
    </row>
    <row r="325" spans="1:21" x14ac:dyDescent="0.25">
      <c r="A325" t="s">
        <v>8</v>
      </c>
      <c r="B325" t="s">
        <v>236</v>
      </c>
      <c r="C325" t="s">
        <v>237</v>
      </c>
      <c r="D325" t="s">
        <v>630</v>
      </c>
      <c r="E325" t="s">
        <v>631</v>
      </c>
      <c r="F325" t="s">
        <v>165</v>
      </c>
      <c r="G325" t="s">
        <v>632</v>
      </c>
      <c r="H325" t="s">
        <v>437</v>
      </c>
      <c r="I325" t="s">
        <v>414</v>
      </c>
      <c r="J325" t="s">
        <v>74</v>
      </c>
      <c r="L325" t="s">
        <v>439</v>
      </c>
      <c r="M325">
        <v>18</v>
      </c>
      <c r="N325" t="s">
        <v>52</v>
      </c>
      <c r="O325">
        <v>7</v>
      </c>
      <c r="P325" t="s">
        <v>64</v>
      </c>
      <c r="Q325" t="s">
        <v>65</v>
      </c>
      <c r="R325">
        <v>0</v>
      </c>
      <c r="S325">
        <v>8.75</v>
      </c>
      <c r="T325">
        <v>8.75</v>
      </c>
      <c r="U325" t="s">
        <v>7</v>
      </c>
    </row>
    <row r="326" spans="1:21" x14ac:dyDescent="0.25">
      <c r="A326" t="s">
        <v>8</v>
      </c>
      <c r="B326" t="s">
        <v>350</v>
      </c>
      <c r="C326" t="s">
        <v>351</v>
      </c>
      <c r="D326" t="s">
        <v>633</v>
      </c>
      <c r="E326" t="s">
        <v>634</v>
      </c>
      <c r="F326" t="s">
        <v>386</v>
      </c>
      <c r="G326" t="s">
        <v>635</v>
      </c>
      <c r="H326" t="s">
        <v>356</v>
      </c>
      <c r="I326" t="s">
        <v>636</v>
      </c>
      <c r="J326" t="s">
        <v>74</v>
      </c>
      <c r="L326" t="s">
        <v>358</v>
      </c>
      <c r="M326">
        <v>1</v>
      </c>
      <c r="N326" t="s">
        <v>52</v>
      </c>
      <c r="O326">
        <v>3</v>
      </c>
      <c r="P326" t="s">
        <v>64</v>
      </c>
      <c r="Q326" t="s">
        <v>65</v>
      </c>
      <c r="R326">
        <v>28.91</v>
      </c>
      <c r="S326">
        <v>0</v>
      </c>
      <c r="T326">
        <v>28.91</v>
      </c>
      <c r="U326" t="s">
        <v>7</v>
      </c>
    </row>
    <row r="327" spans="1:21" x14ac:dyDescent="0.25">
      <c r="A327" t="s">
        <v>8</v>
      </c>
      <c r="B327" t="s">
        <v>350</v>
      </c>
      <c r="C327" t="s">
        <v>351</v>
      </c>
      <c r="D327" t="s">
        <v>633</v>
      </c>
      <c r="E327" t="s">
        <v>634</v>
      </c>
      <c r="F327" t="s">
        <v>386</v>
      </c>
      <c r="G327" t="s">
        <v>635</v>
      </c>
      <c r="H327" t="s">
        <v>356</v>
      </c>
      <c r="I327" t="s">
        <v>636</v>
      </c>
      <c r="J327" t="s">
        <v>74</v>
      </c>
      <c r="L327" t="s">
        <v>358</v>
      </c>
      <c r="M327">
        <v>1</v>
      </c>
      <c r="N327" t="s">
        <v>52</v>
      </c>
      <c r="O327">
        <v>3</v>
      </c>
      <c r="P327" t="s">
        <v>64</v>
      </c>
      <c r="Q327" t="s">
        <v>65</v>
      </c>
      <c r="R327">
        <v>0</v>
      </c>
      <c r="S327">
        <v>8.75</v>
      </c>
      <c r="T327">
        <v>8.75</v>
      </c>
      <c r="U327" t="s">
        <v>7</v>
      </c>
    </row>
    <row r="328" spans="1:21" x14ac:dyDescent="0.25">
      <c r="A328" t="s">
        <v>8</v>
      </c>
      <c r="B328" t="s">
        <v>350</v>
      </c>
      <c r="C328" t="s">
        <v>351</v>
      </c>
      <c r="D328" t="s">
        <v>633</v>
      </c>
      <c r="E328" t="s">
        <v>634</v>
      </c>
      <c r="F328" t="s">
        <v>386</v>
      </c>
      <c r="G328" t="s">
        <v>635</v>
      </c>
      <c r="H328" t="s">
        <v>356</v>
      </c>
      <c r="I328" t="s">
        <v>636</v>
      </c>
      <c r="J328" t="s">
        <v>74</v>
      </c>
      <c r="L328" t="s">
        <v>358</v>
      </c>
      <c r="M328">
        <v>1</v>
      </c>
      <c r="N328" t="s">
        <v>52</v>
      </c>
      <c r="O328">
        <v>3</v>
      </c>
      <c r="P328" t="s">
        <v>64</v>
      </c>
      <c r="Q328" t="s">
        <v>65</v>
      </c>
      <c r="R328">
        <v>0</v>
      </c>
      <c r="S328">
        <v>5.25</v>
      </c>
      <c r="T328">
        <v>5.25</v>
      </c>
      <c r="U328" t="s">
        <v>7</v>
      </c>
    </row>
    <row r="329" spans="1:21" x14ac:dyDescent="0.25">
      <c r="A329" t="s">
        <v>8</v>
      </c>
      <c r="B329" t="s">
        <v>449</v>
      </c>
      <c r="C329" t="s">
        <v>450</v>
      </c>
      <c r="D329" t="s">
        <v>637</v>
      </c>
      <c r="E329" t="s">
        <v>638</v>
      </c>
      <c r="F329" t="s">
        <v>103</v>
      </c>
      <c r="G329" t="s">
        <v>639</v>
      </c>
      <c r="H329" t="s">
        <v>47</v>
      </c>
      <c r="I329" t="s">
        <v>640</v>
      </c>
      <c r="J329" t="s">
        <v>74</v>
      </c>
      <c r="L329" t="s">
        <v>515</v>
      </c>
      <c r="M329">
        <v>6</v>
      </c>
      <c r="N329" t="s">
        <v>52</v>
      </c>
      <c r="O329">
        <v>7</v>
      </c>
      <c r="P329" t="s">
        <v>64</v>
      </c>
      <c r="Q329" t="s">
        <v>65</v>
      </c>
      <c r="R329">
        <v>0</v>
      </c>
      <c r="S329">
        <v>8.75</v>
      </c>
      <c r="T329">
        <v>8.75</v>
      </c>
      <c r="U329" t="s">
        <v>7</v>
      </c>
    </row>
    <row r="330" spans="1:21" x14ac:dyDescent="0.25">
      <c r="A330" t="s">
        <v>8</v>
      </c>
      <c r="B330" t="s">
        <v>449</v>
      </c>
      <c r="C330" t="s">
        <v>450</v>
      </c>
      <c r="D330" t="s">
        <v>637</v>
      </c>
      <c r="E330" t="s">
        <v>638</v>
      </c>
      <c r="F330" t="s">
        <v>103</v>
      </c>
      <c r="G330" t="s">
        <v>639</v>
      </c>
      <c r="H330" t="s">
        <v>47</v>
      </c>
      <c r="I330" t="s">
        <v>640</v>
      </c>
      <c r="J330" t="s">
        <v>74</v>
      </c>
      <c r="L330" t="s">
        <v>515</v>
      </c>
      <c r="M330">
        <v>6</v>
      </c>
      <c r="N330" t="s">
        <v>52</v>
      </c>
      <c r="O330">
        <v>7</v>
      </c>
      <c r="P330" t="s">
        <v>64</v>
      </c>
      <c r="Q330" t="s">
        <v>65</v>
      </c>
      <c r="R330">
        <v>28.91</v>
      </c>
      <c r="S330">
        <v>0</v>
      </c>
      <c r="T330">
        <v>28.91</v>
      </c>
      <c r="U330" t="s">
        <v>7</v>
      </c>
    </row>
    <row r="331" spans="1:21" x14ac:dyDescent="0.25">
      <c r="A331" t="s">
        <v>8</v>
      </c>
      <c r="B331" t="s">
        <v>449</v>
      </c>
      <c r="C331" t="s">
        <v>450</v>
      </c>
      <c r="D331" t="s">
        <v>637</v>
      </c>
      <c r="E331" t="s">
        <v>638</v>
      </c>
      <c r="F331" t="s">
        <v>103</v>
      </c>
      <c r="G331" t="s">
        <v>639</v>
      </c>
      <c r="H331" t="s">
        <v>47</v>
      </c>
      <c r="I331" t="s">
        <v>640</v>
      </c>
      <c r="J331" t="s">
        <v>74</v>
      </c>
      <c r="L331" t="s">
        <v>515</v>
      </c>
      <c r="M331">
        <v>6</v>
      </c>
      <c r="N331" t="s">
        <v>52</v>
      </c>
      <c r="O331">
        <v>7</v>
      </c>
      <c r="P331" t="s">
        <v>64</v>
      </c>
      <c r="Q331" t="s">
        <v>65</v>
      </c>
      <c r="R331">
        <v>0</v>
      </c>
      <c r="S331">
        <v>5.25</v>
      </c>
      <c r="T331">
        <v>5.25</v>
      </c>
      <c r="U331" t="s">
        <v>7</v>
      </c>
    </row>
    <row r="332" spans="1:21" x14ac:dyDescent="0.25">
      <c r="A332" t="s">
        <v>8</v>
      </c>
      <c r="B332" t="s">
        <v>86</v>
      </c>
      <c r="C332" t="s">
        <v>87</v>
      </c>
      <c r="D332" t="s">
        <v>641</v>
      </c>
      <c r="E332" t="s">
        <v>642</v>
      </c>
      <c r="F332" t="s">
        <v>643</v>
      </c>
      <c r="G332" t="s">
        <v>644</v>
      </c>
      <c r="H332" t="s">
        <v>47</v>
      </c>
      <c r="I332" t="s">
        <v>514</v>
      </c>
      <c r="J332" t="s">
        <v>74</v>
      </c>
      <c r="L332" t="s">
        <v>51</v>
      </c>
      <c r="M332">
        <v>1</v>
      </c>
      <c r="N332" t="s">
        <v>52</v>
      </c>
      <c r="O332">
        <v>5</v>
      </c>
      <c r="P332" t="s">
        <v>64</v>
      </c>
      <c r="Q332" t="s">
        <v>65</v>
      </c>
      <c r="R332">
        <v>0</v>
      </c>
      <c r="S332">
        <v>8.75</v>
      </c>
      <c r="T332">
        <v>8.75</v>
      </c>
      <c r="U332" t="s">
        <v>7</v>
      </c>
    </row>
    <row r="333" spans="1:21" x14ac:dyDescent="0.25">
      <c r="A333" t="s">
        <v>8</v>
      </c>
      <c r="B333" t="s">
        <v>86</v>
      </c>
      <c r="C333" t="s">
        <v>87</v>
      </c>
      <c r="D333" t="s">
        <v>641</v>
      </c>
      <c r="E333" t="s">
        <v>642</v>
      </c>
      <c r="F333" t="s">
        <v>643</v>
      </c>
      <c r="G333" t="s">
        <v>644</v>
      </c>
      <c r="H333" t="s">
        <v>47</v>
      </c>
      <c r="I333" t="s">
        <v>514</v>
      </c>
      <c r="J333" t="s">
        <v>74</v>
      </c>
      <c r="L333" t="s">
        <v>51</v>
      </c>
      <c r="M333">
        <v>1</v>
      </c>
      <c r="N333" t="s">
        <v>52</v>
      </c>
      <c r="O333">
        <v>5</v>
      </c>
      <c r="P333" t="s">
        <v>64</v>
      </c>
      <c r="Q333" t="s">
        <v>65</v>
      </c>
      <c r="R333">
        <v>0</v>
      </c>
      <c r="S333">
        <v>5.25</v>
      </c>
      <c r="T333">
        <v>5.25</v>
      </c>
      <c r="U333" t="s">
        <v>7</v>
      </c>
    </row>
    <row r="334" spans="1:21" x14ac:dyDescent="0.25">
      <c r="A334" t="s">
        <v>8</v>
      </c>
      <c r="B334" t="s">
        <v>86</v>
      </c>
      <c r="C334" t="s">
        <v>87</v>
      </c>
      <c r="D334" t="s">
        <v>641</v>
      </c>
      <c r="E334" t="s">
        <v>642</v>
      </c>
      <c r="F334" t="s">
        <v>643</v>
      </c>
      <c r="G334" t="s">
        <v>644</v>
      </c>
      <c r="H334" t="s">
        <v>47</v>
      </c>
      <c r="I334" t="s">
        <v>514</v>
      </c>
      <c r="J334" t="s">
        <v>74</v>
      </c>
      <c r="L334" t="s">
        <v>51</v>
      </c>
      <c r="M334">
        <v>1</v>
      </c>
      <c r="N334" t="s">
        <v>52</v>
      </c>
      <c r="O334">
        <v>5</v>
      </c>
      <c r="P334" t="s">
        <v>64</v>
      </c>
      <c r="Q334" t="s">
        <v>65</v>
      </c>
      <c r="R334">
        <v>28.91</v>
      </c>
      <c r="S334">
        <v>0</v>
      </c>
      <c r="T334">
        <v>28.91</v>
      </c>
      <c r="U334" t="s">
        <v>7</v>
      </c>
    </row>
    <row r="335" spans="1:21" x14ac:dyDescent="0.25">
      <c r="A335" t="s">
        <v>8</v>
      </c>
      <c r="B335" t="s">
        <v>41</v>
      </c>
      <c r="C335" t="s">
        <v>42</v>
      </c>
      <c r="D335" t="s">
        <v>645</v>
      </c>
      <c r="E335" t="s">
        <v>646</v>
      </c>
      <c r="F335" t="s">
        <v>647</v>
      </c>
      <c r="G335" t="s">
        <v>648</v>
      </c>
      <c r="H335" t="s">
        <v>47</v>
      </c>
      <c r="I335" t="s">
        <v>407</v>
      </c>
      <c r="J335" t="s">
        <v>83</v>
      </c>
      <c r="L335" t="s">
        <v>63</v>
      </c>
      <c r="M335">
        <v>1</v>
      </c>
      <c r="N335" t="s">
        <v>85</v>
      </c>
      <c r="O335">
        <v>2</v>
      </c>
      <c r="P335" t="s">
        <v>64</v>
      </c>
      <c r="Q335" t="s">
        <v>65</v>
      </c>
      <c r="R335">
        <v>0</v>
      </c>
      <c r="S335">
        <v>8.75</v>
      </c>
      <c r="T335">
        <v>8.75</v>
      </c>
      <c r="U335" t="s">
        <v>7</v>
      </c>
    </row>
    <row r="336" spans="1:21" x14ac:dyDescent="0.25">
      <c r="A336" t="s">
        <v>8</v>
      </c>
      <c r="B336" t="s">
        <v>41</v>
      </c>
      <c r="C336" t="s">
        <v>42</v>
      </c>
      <c r="D336" t="s">
        <v>645</v>
      </c>
      <c r="E336" t="s">
        <v>646</v>
      </c>
      <c r="F336" t="s">
        <v>647</v>
      </c>
      <c r="G336" t="s">
        <v>648</v>
      </c>
      <c r="H336" t="s">
        <v>47</v>
      </c>
      <c r="I336" t="s">
        <v>407</v>
      </c>
      <c r="J336" t="s">
        <v>83</v>
      </c>
      <c r="L336" t="s">
        <v>63</v>
      </c>
      <c r="M336">
        <v>1</v>
      </c>
      <c r="N336" t="s">
        <v>85</v>
      </c>
      <c r="O336">
        <v>2</v>
      </c>
      <c r="P336" t="s">
        <v>64</v>
      </c>
      <c r="Q336" t="s">
        <v>65</v>
      </c>
      <c r="R336">
        <v>0</v>
      </c>
      <c r="S336">
        <v>5.25</v>
      </c>
      <c r="T336">
        <v>5.25</v>
      </c>
      <c r="U336" t="s">
        <v>7</v>
      </c>
    </row>
    <row r="337" spans="1:21" x14ac:dyDescent="0.25">
      <c r="A337" t="s">
        <v>8</v>
      </c>
      <c r="B337" t="s">
        <v>41</v>
      </c>
      <c r="C337" t="s">
        <v>42</v>
      </c>
      <c r="D337" t="s">
        <v>645</v>
      </c>
      <c r="E337" t="s">
        <v>646</v>
      </c>
      <c r="F337" t="s">
        <v>647</v>
      </c>
      <c r="G337" t="s">
        <v>648</v>
      </c>
      <c r="H337" t="s">
        <v>47</v>
      </c>
      <c r="I337" t="s">
        <v>407</v>
      </c>
      <c r="J337" t="s">
        <v>83</v>
      </c>
      <c r="L337" t="s">
        <v>63</v>
      </c>
      <c r="M337">
        <v>1</v>
      </c>
      <c r="N337" t="s">
        <v>85</v>
      </c>
      <c r="O337">
        <v>2</v>
      </c>
      <c r="P337" t="s">
        <v>64</v>
      </c>
      <c r="Q337" t="s">
        <v>65</v>
      </c>
      <c r="R337">
        <v>28.91</v>
      </c>
      <c r="S337">
        <v>0</v>
      </c>
      <c r="T337">
        <v>28.91</v>
      </c>
      <c r="U337" t="s">
        <v>7</v>
      </c>
    </row>
    <row r="338" spans="1:21" x14ac:dyDescent="0.25">
      <c r="A338" t="s">
        <v>8</v>
      </c>
      <c r="B338" t="s">
        <v>154</v>
      </c>
      <c r="C338" t="s">
        <v>155</v>
      </c>
      <c r="D338" t="s">
        <v>649</v>
      </c>
      <c r="E338" t="s">
        <v>650</v>
      </c>
      <c r="F338" t="s">
        <v>651</v>
      </c>
      <c r="G338" t="s">
        <v>652</v>
      </c>
      <c r="H338" t="s">
        <v>126</v>
      </c>
      <c r="I338" t="s">
        <v>99</v>
      </c>
      <c r="J338" t="s">
        <v>74</v>
      </c>
      <c r="L338" t="s">
        <v>129</v>
      </c>
      <c r="M338">
        <v>5</v>
      </c>
      <c r="N338" t="s">
        <v>52</v>
      </c>
      <c r="O338">
        <v>19</v>
      </c>
      <c r="P338" t="s">
        <v>64</v>
      </c>
      <c r="Q338" t="s">
        <v>65</v>
      </c>
      <c r="R338">
        <v>0</v>
      </c>
      <c r="S338">
        <v>5.25</v>
      </c>
      <c r="T338">
        <v>5.25</v>
      </c>
      <c r="U338" t="s">
        <v>7</v>
      </c>
    </row>
    <row r="339" spans="1:21" x14ac:dyDescent="0.25">
      <c r="A339" t="s">
        <v>8</v>
      </c>
      <c r="B339" t="s">
        <v>154</v>
      </c>
      <c r="C339" t="s">
        <v>155</v>
      </c>
      <c r="D339" t="s">
        <v>649</v>
      </c>
      <c r="E339" t="s">
        <v>650</v>
      </c>
      <c r="F339" t="s">
        <v>651</v>
      </c>
      <c r="G339" t="s">
        <v>652</v>
      </c>
      <c r="H339" t="s">
        <v>126</v>
      </c>
      <c r="I339" t="s">
        <v>99</v>
      </c>
      <c r="J339" t="s">
        <v>74</v>
      </c>
      <c r="L339" t="s">
        <v>129</v>
      </c>
      <c r="M339">
        <v>5</v>
      </c>
      <c r="N339" t="s">
        <v>52</v>
      </c>
      <c r="O339">
        <v>19</v>
      </c>
      <c r="P339" t="s">
        <v>64</v>
      </c>
      <c r="Q339" t="s">
        <v>65</v>
      </c>
      <c r="R339">
        <v>28.91</v>
      </c>
      <c r="S339">
        <v>0</v>
      </c>
      <c r="T339">
        <v>28.91</v>
      </c>
      <c r="U339" t="s">
        <v>7</v>
      </c>
    </row>
    <row r="340" spans="1:21" x14ac:dyDescent="0.25">
      <c r="A340" t="s">
        <v>8</v>
      </c>
      <c r="B340" t="s">
        <v>154</v>
      </c>
      <c r="C340" t="s">
        <v>155</v>
      </c>
      <c r="D340" t="s">
        <v>649</v>
      </c>
      <c r="E340" t="s">
        <v>650</v>
      </c>
      <c r="F340" t="s">
        <v>651</v>
      </c>
      <c r="G340" t="s">
        <v>652</v>
      </c>
      <c r="H340" t="s">
        <v>126</v>
      </c>
      <c r="I340" t="s">
        <v>99</v>
      </c>
      <c r="J340" t="s">
        <v>74</v>
      </c>
      <c r="L340" t="s">
        <v>129</v>
      </c>
      <c r="M340">
        <v>5</v>
      </c>
      <c r="N340" t="s">
        <v>52</v>
      </c>
      <c r="O340">
        <v>19</v>
      </c>
      <c r="P340" t="s">
        <v>64</v>
      </c>
      <c r="Q340" t="s">
        <v>65</v>
      </c>
      <c r="R340">
        <v>0</v>
      </c>
      <c r="S340">
        <v>8.75</v>
      </c>
      <c r="T340">
        <v>8.75</v>
      </c>
      <c r="U340" t="s">
        <v>7</v>
      </c>
    </row>
    <row r="341" spans="1:21" x14ac:dyDescent="0.25">
      <c r="A341" t="s">
        <v>8</v>
      </c>
      <c r="B341" t="s">
        <v>396</v>
      </c>
      <c r="C341" t="s">
        <v>397</v>
      </c>
      <c r="D341" t="s">
        <v>653</v>
      </c>
      <c r="E341" t="s">
        <v>654</v>
      </c>
      <c r="F341" t="s">
        <v>655</v>
      </c>
      <c r="G341" t="s">
        <v>656</v>
      </c>
      <c r="H341" t="s">
        <v>72</v>
      </c>
      <c r="I341" t="s">
        <v>657</v>
      </c>
      <c r="J341" t="s">
        <v>121</v>
      </c>
      <c r="L341" t="s">
        <v>75</v>
      </c>
      <c r="M341">
        <v>3</v>
      </c>
      <c r="N341" t="s">
        <v>85</v>
      </c>
      <c r="O341">
        <v>2</v>
      </c>
      <c r="P341" t="s">
        <v>64</v>
      </c>
      <c r="Q341" t="s">
        <v>65</v>
      </c>
      <c r="R341">
        <v>28.91</v>
      </c>
      <c r="S341">
        <v>0</v>
      </c>
      <c r="T341">
        <v>28.91</v>
      </c>
      <c r="U341" t="s">
        <v>7</v>
      </c>
    </row>
    <row r="342" spans="1:21" x14ac:dyDescent="0.25">
      <c r="A342" t="s">
        <v>8</v>
      </c>
      <c r="B342" t="s">
        <v>396</v>
      </c>
      <c r="C342" t="s">
        <v>397</v>
      </c>
      <c r="D342" t="s">
        <v>653</v>
      </c>
      <c r="E342" t="s">
        <v>654</v>
      </c>
      <c r="F342" t="s">
        <v>655</v>
      </c>
      <c r="G342" t="s">
        <v>656</v>
      </c>
      <c r="H342" t="s">
        <v>72</v>
      </c>
      <c r="I342" t="s">
        <v>657</v>
      </c>
      <c r="J342" t="s">
        <v>121</v>
      </c>
      <c r="L342" t="s">
        <v>75</v>
      </c>
      <c r="M342">
        <v>3</v>
      </c>
      <c r="N342" t="s">
        <v>85</v>
      </c>
      <c r="O342">
        <v>2</v>
      </c>
      <c r="P342" t="s">
        <v>64</v>
      </c>
      <c r="Q342" t="s">
        <v>65</v>
      </c>
      <c r="R342">
        <v>0</v>
      </c>
      <c r="S342">
        <v>8.75</v>
      </c>
      <c r="T342">
        <v>8.75</v>
      </c>
      <c r="U342" t="s">
        <v>7</v>
      </c>
    </row>
    <row r="343" spans="1:21" x14ac:dyDescent="0.25">
      <c r="A343" t="s">
        <v>8</v>
      </c>
      <c r="B343" t="s">
        <v>396</v>
      </c>
      <c r="C343" t="s">
        <v>397</v>
      </c>
      <c r="D343" t="s">
        <v>653</v>
      </c>
      <c r="E343" t="s">
        <v>654</v>
      </c>
      <c r="F343" t="s">
        <v>655</v>
      </c>
      <c r="G343" t="s">
        <v>656</v>
      </c>
      <c r="H343" t="s">
        <v>72</v>
      </c>
      <c r="I343" t="s">
        <v>657</v>
      </c>
      <c r="J343" t="s">
        <v>121</v>
      </c>
      <c r="L343" t="s">
        <v>75</v>
      </c>
      <c r="M343">
        <v>3</v>
      </c>
      <c r="N343" t="s">
        <v>85</v>
      </c>
      <c r="O343">
        <v>2</v>
      </c>
      <c r="P343" t="s">
        <v>64</v>
      </c>
      <c r="Q343" t="s">
        <v>65</v>
      </c>
      <c r="R343">
        <v>0</v>
      </c>
      <c r="S343">
        <v>5.25</v>
      </c>
      <c r="T343">
        <v>5.25</v>
      </c>
      <c r="U343" t="s">
        <v>7</v>
      </c>
    </row>
    <row r="344" spans="1:21" x14ac:dyDescent="0.25">
      <c r="A344" t="s">
        <v>8</v>
      </c>
      <c r="B344" t="s">
        <v>93</v>
      </c>
      <c r="C344" t="s">
        <v>94</v>
      </c>
      <c r="D344" t="s">
        <v>658</v>
      </c>
      <c r="E344" t="s">
        <v>659</v>
      </c>
      <c r="F344" t="s">
        <v>341</v>
      </c>
      <c r="G344" t="s">
        <v>660</v>
      </c>
      <c r="H344" t="s">
        <v>47</v>
      </c>
      <c r="I344" t="s">
        <v>661</v>
      </c>
      <c r="J344" t="s">
        <v>62</v>
      </c>
      <c r="L344" t="s">
        <v>63</v>
      </c>
      <c r="M344">
        <v>3</v>
      </c>
      <c r="N344" t="s">
        <v>52</v>
      </c>
      <c r="O344">
        <v>5</v>
      </c>
      <c r="P344" t="s">
        <v>64</v>
      </c>
      <c r="Q344" t="s">
        <v>65</v>
      </c>
      <c r="R344">
        <v>0</v>
      </c>
      <c r="S344">
        <v>8.75</v>
      </c>
      <c r="T344">
        <v>8.75</v>
      </c>
      <c r="U344" t="s">
        <v>7</v>
      </c>
    </row>
    <row r="345" spans="1:21" x14ac:dyDescent="0.25">
      <c r="A345" t="s">
        <v>8</v>
      </c>
      <c r="B345" t="s">
        <v>93</v>
      </c>
      <c r="C345" t="s">
        <v>94</v>
      </c>
      <c r="D345" t="s">
        <v>658</v>
      </c>
      <c r="E345" t="s">
        <v>659</v>
      </c>
      <c r="F345" t="s">
        <v>341</v>
      </c>
      <c r="G345" t="s">
        <v>660</v>
      </c>
      <c r="H345" t="s">
        <v>47</v>
      </c>
      <c r="I345" t="s">
        <v>661</v>
      </c>
      <c r="J345" t="s">
        <v>62</v>
      </c>
      <c r="L345" t="s">
        <v>63</v>
      </c>
      <c r="M345">
        <v>3</v>
      </c>
      <c r="N345" t="s">
        <v>52</v>
      </c>
      <c r="O345">
        <v>5</v>
      </c>
      <c r="P345" t="s">
        <v>64</v>
      </c>
      <c r="Q345" t="s">
        <v>65</v>
      </c>
      <c r="R345">
        <v>0</v>
      </c>
      <c r="S345">
        <v>5.25</v>
      </c>
      <c r="T345">
        <v>5.25</v>
      </c>
      <c r="U345" t="s">
        <v>7</v>
      </c>
    </row>
    <row r="346" spans="1:21" x14ac:dyDescent="0.25">
      <c r="A346" t="s">
        <v>8</v>
      </c>
      <c r="B346" t="s">
        <v>93</v>
      </c>
      <c r="C346" t="s">
        <v>94</v>
      </c>
      <c r="D346" t="s">
        <v>658</v>
      </c>
      <c r="E346" t="s">
        <v>659</v>
      </c>
      <c r="F346" t="s">
        <v>341</v>
      </c>
      <c r="G346" t="s">
        <v>660</v>
      </c>
      <c r="H346" t="s">
        <v>47</v>
      </c>
      <c r="I346" t="s">
        <v>661</v>
      </c>
      <c r="J346" t="s">
        <v>62</v>
      </c>
      <c r="L346" t="s">
        <v>63</v>
      </c>
      <c r="M346">
        <v>3</v>
      </c>
      <c r="N346" t="s">
        <v>52</v>
      </c>
      <c r="O346">
        <v>5</v>
      </c>
      <c r="P346" t="s">
        <v>64</v>
      </c>
      <c r="Q346" t="s">
        <v>65</v>
      </c>
      <c r="R346">
        <v>28.91</v>
      </c>
      <c r="S346">
        <v>0</v>
      </c>
      <c r="T346">
        <v>28.91</v>
      </c>
      <c r="U346" t="s">
        <v>7</v>
      </c>
    </row>
  </sheetData>
  <pageMargins left="0.78749999999999998" right="0.78749999999999998" top="1.05277777777778" bottom="1.05277777777778" header="0.78749999999999998" footer="0.78749999999999998"/>
  <pageSetup paperSize="0" scale="0" orientation="portrait" usePrinterDefaults="0" useFirstPageNumber="1" horizontalDpi="0" verticalDpi="0" copies="0"/>
  <headerFooter>
    <oddHeader>&amp;C&amp;"Times New Roman,Regular"&amp;12&amp;A</oddHeader>
    <oddFooter>&amp;C&amp;"Times New Roman,Regular"&amp;12Page &amp;P</oddFooter>
  </headerFooter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226495F9-EFF9-4B0F-B286-4E06AEA617DD}">
  <dimension ref="A1:Z346"/>
  <sheetViews>
    <sheetView topLeftCell="E80" workbookViewId="0">
      <selection activeCell="T2" sqref="T2:T116"/>
    </sheetView>
  </sheetViews>
  <sheetFormatPr defaultRowHeight="15" x14ac:dyDescent="0.25"/>
  <cols>
    <col min="1" max="1" width="10" customWidth="1"/>
    <col min="2" max="2" width="12.85546875" bestFit="1" customWidth="1"/>
    <col min="3" max="3" width="25" customWidth="1"/>
    <col min="4" max="5" width="15" customWidth="1"/>
    <col min="7" max="7" width="12.7109375" customWidth="1"/>
    <col min="8" max="8" width="25.7109375" bestFit="1" customWidth="1"/>
    <col min="9" max="9" width="13.7109375" customWidth="1"/>
    <col min="10" max="11" width="13.42578125" customWidth="1"/>
    <col min="12" max="12" width="14.28515625" customWidth="1"/>
    <col min="13" max="13" width="17.7109375" customWidth="1"/>
    <col min="14" max="14" width="6.85546875" bestFit="1" customWidth="1"/>
    <col min="15" max="15" width="12.85546875" customWidth="1"/>
    <col min="16" max="16" width="14.5703125" customWidth="1"/>
    <col min="17" max="17" width="14" customWidth="1"/>
    <col min="19" max="19" width="26.7109375" bestFit="1" customWidth="1"/>
    <col min="20" max="20" width="24.140625" bestFit="1" customWidth="1"/>
  </cols>
  <sheetData>
    <row r="1" spans="1:26" x14ac:dyDescent="0.25">
      <c r="A1" t="s">
        <v>20</v>
      </c>
      <c r="C1" t="s">
        <v>21</v>
      </c>
      <c r="D1" t="s">
        <v>22</v>
      </c>
      <c r="F1" t="s">
        <v>24</v>
      </c>
      <c r="G1" t="s">
        <v>25</v>
      </c>
      <c r="I1" t="s">
        <v>26</v>
      </c>
      <c r="J1" t="s">
        <v>28</v>
      </c>
      <c r="L1" t="s">
        <v>32</v>
      </c>
      <c r="M1" t="s">
        <v>34</v>
      </c>
      <c r="N1" t="s">
        <v>35</v>
      </c>
      <c r="O1" t="s">
        <v>36</v>
      </c>
      <c r="P1" t="s">
        <v>37</v>
      </c>
      <c r="Q1" t="s">
        <v>38</v>
      </c>
    </row>
    <row r="2" spans="1:26" x14ac:dyDescent="0.25">
      <c r="A2">
        <v>21618313</v>
      </c>
      <c r="B2">
        <v>21618313</v>
      </c>
      <c r="C2" t="s">
        <v>145</v>
      </c>
      <c r="D2" t="s">
        <v>549</v>
      </c>
      <c r="E2" t="str">
        <f>_xlfn.CONCAT(D2,7)</f>
        <v>DZ2UHR7</v>
      </c>
      <c r="F2" t="s">
        <v>551</v>
      </c>
      <c r="G2" t="s">
        <v>552</v>
      </c>
      <c r="H2" t="str">
        <f>CONCATENATE(F2," ",G2)</f>
        <v>CHRISTIAN SABATINO</v>
      </c>
      <c r="I2" t="s">
        <v>150</v>
      </c>
      <c r="J2" t="s">
        <v>553</v>
      </c>
      <c r="K2" s="3">
        <v>46387</v>
      </c>
      <c r="M2" t="s">
        <v>53</v>
      </c>
      <c r="N2" t="s">
        <v>65</v>
      </c>
      <c r="O2">
        <v>162.91</v>
      </c>
      <c r="P2">
        <v>0</v>
      </c>
      <c r="Q2">
        <v>162.91</v>
      </c>
      <c r="R2">
        <v>162.91</v>
      </c>
      <c r="S2" t="s">
        <v>688</v>
      </c>
      <c r="T2" t="s">
        <v>689</v>
      </c>
      <c r="U2">
        <f>391/12*5</f>
        <v>162.91666666666669</v>
      </c>
    </row>
    <row r="3" spans="1:26" x14ac:dyDescent="0.25">
      <c r="A3">
        <v>21618313</v>
      </c>
      <c r="B3">
        <v>21618313</v>
      </c>
      <c r="C3" t="s">
        <v>145</v>
      </c>
      <c r="D3" t="s">
        <v>146</v>
      </c>
      <c r="E3" t="str">
        <f t="shared" ref="E3:E66" si="0">_xlfn.CONCAT(D3,7)</f>
        <v>DRUUE77</v>
      </c>
      <c r="F3" t="s">
        <v>148</v>
      </c>
      <c r="G3" t="s">
        <v>149</v>
      </c>
      <c r="H3" t="str">
        <f t="shared" ref="H3:H66" si="1">CONCATENATE(F3," ",G3)</f>
        <v>JOANNE BRADLEY</v>
      </c>
      <c r="I3" t="s">
        <v>150</v>
      </c>
      <c r="J3" t="s">
        <v>152</v>
      </c>
      <c r="K3" s="3">
        <v>46387</v>
      </c>
      <c r="M3" t="s">
        <v>53</v>
      </c>
      <c r="N3" t="s">
        <v>65</v>
      </c>
      <c r="O3">
        <v>228.08</v>
      </c>
      <c r="P3">
        <v>0</v>
      </c>
      <c r="Q3">
        <v>228.08</v>
      </c>
      <c r="R3">
        <v>228.08</v>
      </c>
      <c r="S3" t="s">
        <v>688</v>
      </c>
      <c r="T3" t="s">
        <v>690</v>
      </c>
      <c r="U3">
        <f>391/12*7</f>
        <v>228.08333333333334</v>
      </c>
    </row>
    <row r="4" spans="1:26" x14ac:dyDescent="0.25">
      <c r="A4">
        <v>19586992</v>
      </c>
      <c r="B4">
        <v>19586992</v>
      </c>
      <c r="C4" t="s">
        <v>42</v>
      </c>
      <c r="D4" t="s">
        <v>43</v>
      </c>
      <c r="E4" t="str">
        <f t="shared" si="0"/>
        <v>DY77JY7</v>
      </c>
      <c r="F4" t="s">
        <v>45</v>
      </c>
      <c r="G4" t="s">
        <v>46</v>
      </c>
      <c r="H4" t="str">
        <f t="shared" si="1"/>
        <v>RONALD WATSON</v>
      </c>
      <c r="I4" t="s">
        <v>47</v>
      </c>
      <c r="J4" t="s">
        <v>49</v>
      </c>
      <c r="K4" s="3">
        <v>46082</v>
      </c>
      <c r="L4" t="s">
        <v>52</v>
      </c>
      <c r="M4" t="s">
        <v>53</v>
      </c>
      <c r="N4" t="s">
        <v>54</v>
      </c>
      <c r="O4">
        <v>-202.42</v>
      </c>
      <c r="P4">
        <v>0</v>
      </c>
      <c r="Q4">
        <v>-202.42</v>
      </c>
      <c r="R4">
        <v>-202.42</v>
      </c>
      <c r="S4" t="s">
        <v>683</v>
      </c>
      <c r="T4" t="s">
        <v>684</v>
      </c>
    </row>
    <row r="5" spans="1:26" s="1" customFormat="1" x14ac:dyDescent="0.25">
      <c r="A5">
        <v>8814784</v>
      </c>
      <c r="B5">
        <v>8814784</v>
      </c>
      <c r="C5" t="s">
        <v>178</v>
      </c>
      <c r="D5" t="s">
        <v>372</v>
      </c>
      <c r="E5" t="str">
        <f t="shared" si="0"/>
        <v>D25HA77</v>
      </c>
      <c r="F5" t="s">
        <v>374</v>
      </c>
      <c r="G5" t="s">
        <v>375</v>
      </c>
      <c r="H5" t="str">
        <f t="shared" si="1"/>
        <v>RICHARD KULIK</v>
      </c>
      <c r="I5" t="s">
        <v>47</v>
      </c>
      <c r="J5" t="s">
        <v>74</v>
      </c>
      <c r="K5" s="3">
        <v>46143</v>
      </c>
      <c r="L5" t="s">
        <v>85</v>
      </c>
      <c r="M5" t="s">
        <v>64</v>
      </c>
      <c r="N5" t="s">
        <v>65</v>
      </c>
      <c r="O5">
        <v>28.91</v>
      </c>
      <c r="P5">
        <v>0</v>
      </c>
      <c r="Q5">
        <v>28.91</v>
      </c>
      <c r="R5">
        <v>28.91</v>
      </c>
      <c r="S5" t="s">
        <v>683</v>
      </c>
      <c r="T5" t="s">
        <v>686</v>
      </c>
      <c r="U5"/>
      <c r="V5"/>
      <c r="W5"/>
      <c r="X5"/>
      <c r="Y5"/>
      <c r="Z5"/>
    </row>
    <row r="6" spans="1:26" s="1" customFormat="1" x14ac:dyDescent="0.25">
      <c r="A6">
        <v>19586992</v>
      </c>
      <c r="B6">
        <v>19586992</v>
      </c>
      <c r="C6" t="s">
        <v>42</v>
      </c>
      <c r="D6" t="s">
        <v>134</v>
      </c>
      <c r="E6" t="str">
        <f t="shared" si="0"/>
        <v>D2E9C87</v>
      </c>
      <c r="F6" t="s">
        <v>136</v>
      </c>
      <c r="G6" t="s">
        <v>133</v>
      </c>
      <c r="H6" t="str">
        <f t="shared" si="1"/>
        <v>WALTER BECKMAN</v>
      </c>
      <c r="I6" t="s">
        <v>47</v>
      </c>
      <c r="J6" t="s">
        <v>74</v>
      </c>
      <c r="K6" s="3">
        <v>46143</v>
      </c>
      <c r="L6" t="s">
        <v>100</v>
      </c>
      <c r="M6" t="s">
        <v>64</v>
      </c>
      <c r="N6" t="s">
        <v>65</v>
      </c>
      <c r="O6">
        <v>28.91</v>
      </c>
      <c r="P6">
        <v>0</v>
      </c>
      <c r="Q6">
        <v>28.91</v>
      </c>
      <c r="R6">
        <v>28.91</v>
      </c>
      <c r="S6" t="s">
        <v>683</v>
      </c>
      <c r="T6" t="s">
        <v>686</v>
      </c>
      <c r="U6"/>
      <c r="V6"/>
      <c r="W6"/>
      <c r="X6"/>
      <c r="Y6"/>
      <c r="Z6"/>
    </row>
    <row r="7" spans="1:26" s="1" customFormat="1" x14ac:dyDescent="0.25">
      <c r="A7">
        <v>2158366</v>
      </c>
      <c r="B7">
        <v>2158366</v>
      </c>
      <c r="C7" t="s">
        <v>107</v>
      </c>
      <c r="D7" t="s">
        <v>108</v>
      </c>
      <c r="E7" t="str">
        <f t="shared" si="0"/>
        <v>D2KZUR7</v>
      </c>
      <c r="F7" t="s">
        <v>110</v>
      </c>
      <c r="G7" t="s">
        <v>111</v>
      </c>
      <c r="H7" t="str">
        <f t="shared" si="1"/>
        <v>MARY BARR</v>
      </c>
      <c r="I7" t="s">
        <v>47</v>
      </c>
      <c r="J7" t="s">
        <v>74</v>
      </c>
      <c r="K7" s="3">
        <v>46143</v>
      </c>
      <c r="L7" t="s">
        <v>85</v>
      </c>
      <c r="M7" t="s">
        <v>64</v>
      </c>
      <c r="N7" t="s">
        <v>65</v>
      </c>
      <c r="O7">
        <v>28.91</v>
      </c>
      <c r="P7">
        <v>0</v>
      </c>
      <c r="Q7">
        <v>28.91</v>
      </c>
      <c r="R7">
        <v>28.91</v>
      </c>
      <c r="S7" t="s">
        <v>683</v>
      </c>
      <c r="T7" t="s">
        <v>686</v>
      </c>
      <c r="U7"/>
      <c r="V7"/>
      <c r="W7"/>
      <c r="X7"/>
      <c r="Y7"/>
      <c r="Z7"/>
    </row>
    <row r="8" spans="1:26" s="1" customFormat="1" x14ac:dyDescent="0.25">
      <c r="A8">
        <v>17301495</v>
      </c>
      <c r="B8">
        <v>17301495</v>
      </c>
      <c r="C8" t="s">
        <v>56</v>
      </c>
      <c r="D8" t="s">
        <v>445</v>
      </c>
      <c r="E8" t="str">
        <f t="shared" si="0"/>
        <v>D2UZFA7</v>
      </c>
      <c r="F8" t="s">
        <v>447</v>
      </c>
      <c r="G8" t="s">
        <v>448</v>
      </c>
      <c r="H8" t="str">
        <f t="shared" si="1"/>
        <v>ABELARDO MONARREZ</v>
      </c>
      <c r="I8" t="s">
        <v>47</v>
      </c>
      <c r="J8" t="s">
        <v>222</v>
      </c>
      <c r="K8" s="3">
        <v>46143</v>
      </c>
      <c r="L8" t="s">
        <v>52</v>
      </c>
      <c r="M8" t="s">
        <v>64</v>
      </c>
      <c r="N8" t="s">
        <v>65</v>
      </c>
      <c r="O8">
        <v>28.91</v>
      </c>
      <c r="P8">
        <v>0</v>
      </c>
      <c r="Q8">
        <v>28.91</v>
      </c>
      <c r="R8">
        <v>28.91</v>
      </c>
      <c r="S8" t="s">
        <v>683</v>
      </c>
      <c r="T8" t="s">
        <v>686</v>
      </c>
      <c r="U8"/>
      <c r="V8"/>
      <c r="W8"/>
      <c r="X8"/>
      <c r="Y8"/>
      <c r="Z8"/>
    </row>
    <row r="9" spans="1:26" s="1" customFormat="1" x14ac:dyDescent="0.25">
      <c r="A9">
        <v>2158366</v>
      </c>
      <c r="B9">
        <v>2158366</v>
      </c>
      <c r="C9" t="s">
        <v>107</v>
      </c>
      <c r="D9" t="s">
        <v>581</v>
      </c>
      <c r="E9" t="str">
        <f t="shared" si="0"/>
        <v>D33HEG7</v>
      </c>
      <c r="F9" t="s">
        <v>247</v>
      </c>
      <c r="G9" t="s">
        <v>583</v>
      </c>
      <c r="H9" t="str">
        <f t="shared" si="1"/>
        <v>SUSAN SORENSON</v>
      </c>
      <c r="I9" t="s">
        <v>47</v>
      </c>
      <c r="J9" t="s">
        <v>222</v>
      </c>
      <c r="K9" s="3">
        <v>46143</v>
      </c>
      <c r="L9" t="s">
        <v>52</v>
      </c>
      <c r="M9" t="s">
        <v>64</v>
      </c>
      <c r="N9" t="s">
        <v>65</v>
      </c>
      <c r="O9">
        <v>28.91</v>
      </c>
      <c r="P9">
        <v>0</v>
      </c>
      <c r="Q9">
        <v>28.91</v>
      </c>
      <c r="R9">
        <v>28.91</v>
      </c>
      <c r="S9" t="s">
        <v>683</v>
      </c>
      <c r="T9" t="s">
        <v>686</v>
      </c>
      <c r="U9"/>
      <c r="V9"/>
      <c r="W9"/>
      <c r="X9"/>
      <c r="Y9"/>
      <c r="Z9"/>
    </row>
    <row r="10" spans="1:26" s="1" customFormat="1" x14ac:dyDescent="0.25">
      <c r="A10">
        <v>7470776</v>
      </c>
      <c r="B10">
        <v>7470776</v>
      </c>
      <c r="C10" t="s">
        <v>208</v>
      </c>
      <c r="D10" t="s">
        <v>291</v>
      </c>
      <c r="E10" t="str">
        <f t="shared" si="0"/>
        <v>D3EH297</v>
      </c>
      <c r="F10" t="s">
        <v>293</v>
      </c>
      <c r="G10" t="s">
        <v>294</v>
      </c>
      <c r="H10" t="str">
        <f t="shared" si="1"/>
        <v>JEFFERY FORSBERG</v>
      </c>
      <c r="I10" t="s">
        <v>295</v>
      </c>
      <c r="J10" t="s">
        <v>128</v>
      </c>
      <c r="K10" s="3">
        <v>46143</v>
      </c>
      <c r="L10" t="s">
        <v>52</v>
      </c>
      <c r="M10" t="s">
        <v>64</v>
      </c>
      <c r="N10" t="s">
        <v>65</v>
      </c>
      <c r="O10">
        <v>28.91</v>
      </c>
      <c r="P10">
        <v>0</v>
      </c>
      <c r="Q10">
        <v>28.91</v>
      </c>
      <c r="R10">
        <v>28.91</v>
      </c>
      <c r="S10" t="s">
        <v>683</v>
      </c>
      <c r="T10" t="s">
        <v>686</v>
      </c>
      <c r="U10"/>
      <c r="V10"/>
      <c r="W10"/>
      <c r="X10"/>
      <c r="Y10"/>
      <c r="Z10"/>
    </row>
    <row r="11" spans="1:26" s="1" customFormat="1" x14ac:dyDescent="0.25">
      <c r="A11">
        <v>7470776</v>
      </c>
      <c r="B11">
        <v>7470776</v>
      </c>
      <c r="C11" t="s">
        <v>208</v>
      </c>
      <c r="D11" t="s">
        <v>209</v>
      </c>
      <c r="E11" t="str">
        <f t="shared" si="0"/>
        <v>D3FYF57</v>
      </c>
      <c r="F11" t="s">
        <v>211</v>
      </c>
      <c r="G11" t="s">
        <v>212</v>
      </c>
      <c r="H11" t="str">
        <f t="shared" si="1"/>
        <v>MARTA CULLEN</v>
      </c>
      <c r="I11" t="s">
        <v>47</v>
      </c>
      <c r="J11" t="s">
        <v>74</v>
      </c>
      <c r="K11" s="3">
        <v>46143</v>
      </c>
      <c r="L11" t="s">
        <v>52</v>
      </c>
      <c r="M11" t="s">
        <v>64</v>
      </c>
      <c r="N11" t="s">
        <v>65</v>
      </c>
      <c r="O11">
        <v>28.91</v>
      </c>
      <c r="P11">
        <v>0</v>
      </c>
      <c r="Q11">
        <v>28.91</v>
      </c>
      <c r="R11">
        <v>28.91</v>
      </c>
      <c r="S11" t="s">
        <v>683</v>
      </c>
      <c r="T11" t="s">
        <v>686</v>
      </c>
      <c r="U11"/>
      <c r="V11"/>
      <c r="W11"/>
      <c r="X11"/>
      <c r="Y11"/>
      <c r="Z11"/>
    </row>
    <row r="12" spans="1:26" s="1" customFormat="1" x14ac:dyDescent="0.25">
      <c r="A12">
        <v>19615078</v>
      </c>
      <c r="B12">
        <v>19615078</v>
      </c>
      <c r="C12" t="s">
        <v>503</v>
      </c>
      <c r="D12" t="s">
        <v>504</v>
      </c>
      <c r="E12" t="str">
        <f t="shared" si="0"/>
        <v>D3GA7Z7</v>
      </c>
      <c r="F12" t="s">
        <v>506</v>
      </c>
      <c r="G12" t="s">
        <v>507</v>
      </c>
      <c r="H12" t="str">
        <f t="shared" si="1"/>
        <v>ANN REISEL</v>
      </c>
      <c r="I12" t="s">
        <v>47</v>
      </c>
      <c r="J12" t="s">
        <v>509</v>
      </c>
      <c r="K12" s="3">
        <v>46143</v>
      </c>
      <c r="L12" t="s">
        <v>85</v>
      </c>
      <c r="M12" t="s">
        <v>64</v>
      </c>
      <c r="N12" t="s">
        <v>65</v>
      </c>
      <c r="O12">
        <v>28.91</v>
      </c>
      <c r="P12">
        <v>0</v>
      </c>
      <c r="Q12">
        <v>28.91</v>
      </c>
      <c r="R12">
        <v>28.91</v>
      </c>
      <c r="S12" t="s">
        <v>683</v>
      </c>
      <c r="T12" t="s">
        <v>686</v>
      </c>
      <c r="U12"/>
      <c r="V12"/>
      <c r="W12"/>
      <c r="X12"/>
      <c r="Y12"/>
      <c r="Z12"/>
    </row>
    <row r="13" spans="1:26" s="1" customFormat="1" x14ac:dyDescent="0.25">
      <c r="A13">
        <v>21435997</v>
      </c>
      <c r="B13">
        <v>21435997</v>
      </c>
      <c r="C13" t="s">
        <v>366</v>
      </c>
      <c r="D13" t="s">
        <v>367</v>
      </c>
      <c r="E13" t="str">
        <f t="shared" si="0"/>
        <v>D3KYC87</v>
      </c>
      <c r="F13" t="s">
        <v>369</v>
      </c>
      <c r="G13" t="s">
        <v>370</v>
      </c>
      <c r="H13" t="str">
        <f t="shared" si="1"/>
        <v>PAUL KINGMAN</v>
      </c>
      <c r="I13" t="s">
        <v>72</v>
      </c>
      <c r="J13" t="s">
        <v>121</v>
      </c>
      <c r="K13" s="3">
        <v>46143</v>
      </c>
      <c r="L13" t="s">
        <v>85</v>
      </c>
      <c r="M13" t="s">
        <v>64</v>
      </c>
      <c r="N13" t="s">
        <v>65</v>
      </c>
      <c r="O13">
        <v>28.91</v>
      </c>
      <c r="P13">
        <v>0</v>
      </c>
      <c r="Q13">
        <v>28.91</v>
      </c>
      <c r="R13">
        <v>28.91</v>
      </c>
      <c r="S13" t="s">
        <v>683</v>
      </c>
      <c r="T13" t="s">
        <v>686</v>
      </c>
      <c r="U13"/>
      <c r="V13"/>
      <c r="W13"/>
      <c r="X13"/>
      <c r="Y13"/>
      <c r="Z13"/>
    </row>
    <row r="14" spans="1:26" s="1" customFormat="1" x14ac:dyDescent="0.25">
      <c r="A14">
        <v>19586992</v>
      </c>
      <c r="B14">
        <v>19586992</v>
      </c>
      <c r="C14" t="s">
        <v>42</v>
      </c>
      <c r="D14" t="s">
        <v>282</v>
      </c>
      <c r="E14" t="str">
        <f t="shared" si="0"/>
        <v>D3W8UJ7</v>
      </c>
      <c r="F14" t="s">
        <v>284</v>
      </c>
      <c r="G14" t="s">
        <v>285</v>
      </c>
      <c r="H14" t="str">
        <f t="shared" si="1"/>
        <v>SALLY FERMAINT</v>
      </c>
      <c r="I14" t="s">
        <v>47</v>
      </c>
      <c r="J14" t="s">
        <v>74</v>
      </c>
      <c r="K14" s="3">
        <v>46143</v>
      </c>
      <c r="L14" t="s">
        <v>52</v>
      </c>
      <c r="M14" t="s">
        <v>64</v>
      </c>
      <c r="N14" t="s">
        <v>65</v>
      </c>
      <c r="O14">
        <v>28.91</v>
      </c>
      <c r="P14">
        <v>0</v>
      </c>
      <c r="Q14">
        <v>28.91</v>
      </c>
      <c r="R14">
        <v>28.91</v>
      </c>
      <c r="S14" t="s">
        <v>683</v>
      </c>
      <c r="T14" t="s">
        <v>686</v>
      </c>
      <c r="U14"/>
      <c r="V14"/>
      <c r="W14"/>
      <c r="X14"/>
      <c r="Y14"/>
      <c r="Z14"/>
    </row>
    <row r="15" spans="1:26" s="1" customFormat="1" x14ac:dyDescent="0.25">
      <c r="A15">
        <v>7146581</v>
      </c>
      <c r="B15">
        <v>7146581</v>
      </c>
      <c r="C15" t="s">
        <v>87</v>
      </c>
      <c r="D15" t="s">
        <v>641</v>
      </c>
      <c r="E15" t="str">
        <f t="shared" si="0"/>
        <v>D3YF2S7</v>
      </c>
      <c r="F15" t="s">
        <v>643</v>
      </c>
      <c r="G15" t="s">
        <v>644</v>
      </c>
      <c r="H15" t="str">
        <f t="shared" si="1"/>
        <v>PAMM WILCOX</v>
      </c>
      <c r="I15" t="s">
        <v>47</v>
      </c>
      <c r="J15" t="s">
        <v>74</v>
      </c>
      <c r="K15" s="3">
        <v>46143</v>
      </c>
      <c r="L15" t="s">
        <v>52</v>
      </c>
      <c r="M15" t="s">
        <v>64</v>
      </c>
      <c r="N15" t="s">
        <v>65</v>
      </c>
      <c r="O15">
        <v>28.91</v>
      </c>
      <c r="P15">
        <v>0</v>
      </c>
      <c r="Q15">
        <v>28.91</v>
      </c>
      <c r="R15">
        <v>28.91</v>
      </c>
      <c r="S15" t="s">
        <v>683</v>
      </c>
      <c r="T15" t="s">
        <v>686</v>
      </c>
      <c r="U15"/>
      <c r="V15"/>
      <c r="W15"/>
      <c r="X15"/>
      <c r="Y15"/>
      <c r="Z15"/>
    </row>
    <row r="16" spans="1:26" s="1" customFormat="1" x14ac:dyDescent="0.25">
      <c r="A16">
        <v>17301495</v>
      </c>
      <c r="B16">
        <v>17301495</v>
      </c>
      <c r="C16" t="s">
        <v>56</v>
      </c>
      <c r="D16" t="s">
        <v>57</v>
      </c>
      <c r="E16" t="str">
        <f t="shared" si="0"/>
        <v>D3ZZRK7</v>
      </c>
      <c r="F16" t="s">
        <v>59</v>
      </c>
      <c r="G16" t="s">
        <v>60</v>
      </c>
      <c r="H16" t="str">
        <f t="shared" si="1"/>
        <v>MARCO ALVAREZ PEREZ</v>
      </c>
      <c r="I16" t="s">
        <v>47</v>
      </c>
      <c r="J16" t="s">
        <v>62</v>
      </c>
      <c r="K16" s="3">
        <v>46143</v>
      </c>
      <c r="L16" t="s">
        <v>52</v>
      </c>
      <c r="M16" t="s">
        <v>64</v>
      </c>
      <c r="N16" t="s">
        <v>65</v>
      </c>
      <c r="O16">
        <v>28.91</v>
      </c>
      <c r="P16">
        <v>0</v>
      </c>
      <c r="Q16">
        <v>28.91</v>
      </c>
      <c r="R16">
        <v>28.91</v>
      </c>
      <c r="S16" t="s">
        <v>683</v>
      </c>
      <c r="T16" t="s">
        <v>686</v>
      </c>
      <c r="U16"/>
      <c r="V16"/>
      <c r="W16"/>
      <c r="X16"/>
      <c r="Y16"/>
      <c r="Z16"/>
    </row>
    <row r="17" spans="1:26" s="1" customFormat="1" x14ac:dyDescent="0.25">
      <c r="A17">
        <v>17126004</v>
      </c>
      <c r="B17">
        <v>17126004</v>
      </c>
      <c r="C17" t="s">
        <v>155</v>
      </c>
      <c r="D17" t="s">
        <v>649</v>
      </c>
      <c r="E17" t="str">
        <f t="shared" si="0"/>
        <v>D48HWR7</v>
      </c>
      <c r="F17" t="s">
        <v>651</v>
      </c>
      <c r="G17" t="s">
        <v>652</v>
      </c>
      <c r="H17" t="str">
        <f t="shared" si="1"/>
        <v>HAROLD WIRTZ</v>
      </c>
      <c r="I17" t="s">
        <v>126</v>
      </c>
      <c r="J17" t="s">
        <v>74</v>
      </c>
      <c r="K17" s="3">
        <v>46143</v>
      </c>
      <c r="L17" t="s">
        <v>52</v>
      </c>
      <c r="M17" t="s">
        <v>64</v>
      </c>
      <c r="N17" t="s">
        <v>65</v>
      </c>
      <c r="O17">
        <v>28.91</v>
      </c>
      <c r="P17">
        <v>0</v>
      </c>
      <c r="Q17">
        <v>28.91</v>
      </c>
      <c r="R17">
        <v>28.91</v>
      </c>
      <c r="S17" t="s">
        <v>683</v>
      </c>
      <c r="T17" t="s">
        <v>686</v>
      </c>
      <c r="U17"/>
      <c r="V17"/>
      <c r="W17"/>
      <c r="X17"/>
      <c r="Y17"/>
      <c r="Z17"/>
    </row>
    <row r="18" spans="1:26" s="1" customFormat="1" x14ac:dyDescent="0.25">
      <c r="A18">
        <v>18754354</v>
      </c>
      <c r="B18">
        <v>18754354</v>
      </c>
      <c r="C18" t="s">
        <v>390</v>
      </c>
      <c r="D18" t="s">
        <v>391</v>
      </c>
      <c r="E18" t="str">
        <f t="shared" si="0"/>
        <v>D4AC9K7</v>
      </c>
      <c r="F18" t="s">
        <v>393</v>
      </c>
      <c r="G18" t="s">
        <v>394</v>
      </c>
      <c r="H18" t="str">
        <f t="shared" si="1"/>
        <v>WILLIAM LUDWIG III</v>
      </c>
      <c r="I18" t="s">
        <v>47</v>
      </c>
      <c r="J18" t="s">
        <v>364</v>
      </c>
      <c r="K18" s="3">
        <v>46143</v>
      </c>
      <c r="L18" t="s">
        <v>100</v>
      </c>
      <c r="M18" t="s">
        <v>64</v>
      </c>
      <c r="N18" t="s">
        <v>65</v>
      </c>
      <c r="O18">
        <v>28.91</v>
      </c>
      <c r="P18">
        <v>0</v>
      </c>
      <c r="Q18">
        <v>28.91</v>
      </c>
      <c r="R18">
        <v>28.91</v>
      </c>
      <c r="S18" t="s">
        <v>683</v>
      </c>
      <c r="T18" t="s">
        <v>686</v>
      </c>
      <c r="U18"/>
      <c r="V18"/>
      <c r="W18"/>
      <c r="X18"/>
      <c r="Y18"/>
      <c r="Z18"/>
    </row>
    <row r="19" spans="1:26" s="1" customFormat="1" x14ac:dyDescent="0.25">
      <c r="A19">
        <v>19200754</v>
      </c>
      <c r="B19">
        <v>19200754</v>
      </c>
      <c r="C19" t="s">
        <v>138</v>
      </c>
      <c r="D19" t="s">
        <v>139</v>
      </c>
      <c r="E19" t="str">
        <f t="shared" si="0"/>
        <v>D4EE5H7</v>
      </c>
      <c r="F19" t="s">
        <v>141</v>
      </c>
      <c r="G19" t="s">
        <v>142</v>
      </c>
      <c r="H19" t="str">
        <f t="shared" si="1"/>
        <v>SAMUEL BOOK</v>
      </c>
      <c r="I19" t="s">
        <v>47</v>
      </c>
      <c r="J19" t="s">
        <v>74</v>
      </c>
      <c r="K19" s="3">
        <v>46143</v>
      </c>
      <c r="L19" t="s">
        <v>52</v>
      </c>
      <c r="M19" t="s">
        <v>64</v>
      </c>
      <c r="N19" t="s">
        <v>65</v>
      </c>
      <c r="O19">
        <v>28.91</v>
      </c>
      <c r="P19">
        <v>0</v>
      </c>
      <c r="Q19">
        <v>28.91</v>
      </c>
      <c r="R19">
        <v>28.91</v>
      </c>
      <c r="S19" t="s">
        <v>683</v>
      </c>
      <c r="T19" t="s">
        <v>686</v>
      </c>
      <c r="U19"/>
      <c r="V19"/>
      <c r="W19"/>
      <c r="X19"/>
      <c r="Y19"/>
      <c r="Z19"/>
    </row>
    <row r="20" spans="1:26" s="1" customFormat="1" x14ac:dyDescent="0.25">
      <c r="A20">
        <v>2158366</v>
      </c>
      <c r="B20">
        <v>2158366</v>
      </c>
      <c r="C20" t="s">
        <v>107</v>
      </c>
      <c r="D20" t="s">
        <v>328</v>
      </c>
      <c r="E20" t="str">
        <f t="shared" si="0"/>
        <v>D4HE9G7</v>
      </c>
      <c r="F20" t="s">
        <v>330</v>
      </c>
      <c r="G20" t="s">
        <v>331</v>
      </c>
      <c r="H20" t="str">
        <f t="shared" si="1"/>
        <v>STEVEN HEY</v>
      </c>
      <c r="I20" t="s">
        <v>47</v>
      </c>
      <c r="J20" t="s">
        <v>74</v>
      </c>
      <c r="K20" s="3">
        <v>46143</v>
      </c>
      <c r="L20" t="s">
        <v>52</v>
      </c>
      <c r="M20" t="s">
        <v>64</v>
      </c>
      <c r="N20" t="s">
        <v>65</v>
      </c>
      <c r="O20">
        <v>28.91</v>
      </c>
      <c r="P20">
        <v>0</v>
      </c>
      <c r="Q20">
        <v>28.91</v>
      </c>
      <c r="R20">
        <v>28.91</v>
      </c>
      <c r="S20" t="s">
        <v>683</v>
      </c>
      <c r="T20" t="s">
        <v>686</v>
      </c>
      <c r="U20"/>
      <c r="V20"/>
      <c r="W20"/>
      <c r="X20"/>
      <c r="Y20"/>
      <c r="Z20"/>
    </row>
    <row r="21" spans="1:26" s="1" customFormat="1" x14ac:dyDescent="0.25">
      <c r="A21">
        <v>8814784</v>
      </c>
      <c r="B21">
        <v>8814784</v>
      </c>
      <c r="C21" t="s">
        <v>178</v>
      </c>
      <c r="D21" t="s">
        <v>179</v>
      </c>
      <c r="E21" t="str">
        <f t="shared" si="0"/>
        <v>D4SJK47</v>
      </c>
      <c r="F21" t="s">
        <v>181</v>
      </c>
      <c r="G21" t="s">
        <v>182</v>
      </c>
      <c r="H21" t="str">
        <f t="shared" si="1"/>
        <v>KAREN CHAREWICZ</v>
      </c>
      <c r="I21" t="s">
        <v>47</v>
      </c>
      <c r="J21" t="s">
        <v>74</v>
      </c>
      <c r="K21" s="3">
        <v>46143</v>
      </c>
      <c r="L21" t="s">
        <v>100</v>
      </c>
      <c r="M21" t="s">
        <v>64</v>
      </c>
      <c r="N21" t="s">
        <v>65</v>
      </c>
      <c r="O21">
        <v>28.91</v>
      </c>
      <c r="P21">
        <v>0</v>
      </c>
      <c r="Q21">
        <v>28.91</v>
      </c>
      <c r="R21">
        <v>28.91</v>
      </c>
      <c r="S21" t="s">
        <v>683</v>
      </c>
      <c r="T21" t="s">
        <v>686</v>
      </c>
      <c r="U21"/>
      <c r="V21"/>
      <c r="W21"/>
      <c r="X21"/>
      <c r="Y21"/>
      <c r="Z21"/>
    </row>
    <row r="22" spans="1:26" s="1" customFormat="1" x14ac:dyDescent="0.25">
      <c r="A22">
        <v>9213293</v>
      </c>
      <c r="B22">
        <v>9213293</v>
      </c>
      <c r="C22" t="s">
        <v>162</v>
      </c>
      <c r="D22" t="s">
        <v>563</v>
      </c>
      <c r="E22" t="str">
        <f t="shared" si="0"/>
        <v>D4YY487</v>
      </c>
      <c r="F22" t="s">
        <v>565</v>
      </c>
      <c r="G22" t="s">
        <v>561</v>
      </c>
      <c r="H22" t="str">
        <f t="shared" si="1"/>
        <v>JILL SCHMIDT</v>
      </c>
      <c r="I22" t="s">
        <v>81</v>
      </c>
      <c r="J22" t="s">
        <v>49</v>
      </c>
      <c r="K22" s="3">
        <v>46143</v>
      </c>
      <c r="L22" t="s">
        <v>52</v>
      </c>
      <c r="M22" t="s">
        <v>64</v>
      </c>
      <c r="N22" t="s">
        <v>65</v>
      </c>
      <c r="O22">
        <v>28.91</v>
      </c>
      <c r="P22">
        <v>0</v>
      </c>
      <c r="Q22">
        <v>28.91</v>
      </c>
      <c r="R22">
        <v>28.91</v>
      </c>
      <c r="S22" t="s">
        <v>683</v>
      </c>
      <c r="T22" t="s">
        <v>686</v>
      </c>
      <c r="U22"/>
      <c r="V22"/>
      <c r="W22"/>
      <c r="X22"/>
      <c r="Y22"/>
      <c r="Z22"/>
    </row>
    <row r="23" spans="1:26" s="1" customFormat="1" x14ac:dyDescent="0.25">
      <c r="A23">
        <v>19200754</v>
      </c>
      <c r="B23">
        <v>19200754</v>
      </c>
      <c r="C23" t="s">
        <v>138</v>
      </c>
      <c r="D23" t="s">
        <v>473</v>
      </c>
      <c r="E23" t="str">
        <f t="shared" si="0"/>
        <v>D538HS7</v>
      </c>
      <c r="F23" t="s">
        <v>103</v>
      </c>
      <c r="G23" t="s">
        <v>369</v>
      </c>
      <c r="H23" t="str">
        <f t="shared" si="1"/>
        <v>JOHN PAUL</v>
      </c>
      <c r="I23" t="s">
        <v>47</v>
      </c>
      <c r="J23" t="s">
        <v>364</v>
      </c>
      <c r="K23" s="3">
        <v>46143</v>
      </c>
      <c r="L23" t="s">
        <v>85</v>
      </c>
      <c r="M23" t="s">
        <v>64</v>
      </c>
      <c r="N23" t="s">
        <v>65</v>
      </c>
      <c r="O23">
        <v>28.91</v>
      </c>
      <c r="P23">
        <v>0</v>
      </c>
      <c r="Q23">
        <v>28.91</v>
      </c>
      <c r="R23">
        <v>28.91</v>
      </c>
      <c r="S23" t="s">
        <v>683</v>
      </c>
      <c r="T23" t="s">
        <v>686</v>
      </c>
      <c r="U23"/>
      <c r="V23"/>
      <c r="W23"/>
      <c r="X23"/>
      <c r="Y23"/>
      <c r="Z23"/>
    </row>
    <row r="24" spans="1:26" s="1" customFormat="1" x14ac:dyDescent="0.25">
      <c r="A24">
        <v>19481808</v>
      </c>
      <c r="B24">
        <v>19481808</v>
      </c>
      <c r="C24" t="s">
        <v>409</v>
      </c>
      <c r="D24" t="s">
        <v>410</v>
      </c>
      <c r="E24" t="str">
        <f t="shared" si="0"/>
        <v>D56WZZ7</v>
      </c>
      <c r="F24" t="s">
        <v>412</v>
      </c>
      <c r="G24" t="s">
        <v>413</v>
      </c>
      <c r="H24" t="str">
        <f t="shared" si="1"/>
        <v>JOSEPHINE MANZELLA</v>
      </c>
      <c r="I24" t="s">
        <v>47</v>
      </c>
      <c r="J24" t="s">
        <v>74</v>
      </c>
      <c r="K24" s="3">
        <v>46143</v>
      </c>
      <c r="L24" t="s">
        <v>52</v>
      </c>
      <c r="M24" t="s">
        <v>64</v>
      </c>
      <c r="N24" t="s">
        <v>65</v>
      </c>
      <c r="O24">
        <v>28.91</v>
      </c>
      <c r="P24">
        <v>0</v>
      </c>
      <c r="Q24">
        <v>28.91</v>
      </c>
      <c r="R24">
        <v>28.91</v>
      </c>
      <c r="S24" t="s">
        <v>683</v>
      </c>
      <c r="T24" t="s">
        <v>686</v>
      </c>
      <c r="U24"/>
      <c r="V24"/>
      <c r="W24"/>
      <c r="X24"/>
      <c r="Y24"/>
      <c r="Z24"/>
    </row>
    <row r="25" spans="1:26" s="1" customFormat="1" x14ac:dyDescent="0.25">
      <c r="A25">
        <v>17126004</v>
      </c>
      <c r="B25">
        <v>17126004</v>
      </c>
      <c r="C25" t="s">
        <v>155</v>
      </c>
      <c r="D25" t="s">
        <v>468</v>
      </c>
      <c r="E25" t="str">
        <f t="shared" si="0"/>
        <v>D5E4KJ7</v>
      </c>
      <c r="F25" t="s">
        <v>470</v>
      </c>
      <c r="G25" t="s">
        <v>471</v>
      </c>
      <c r="H25" t="str">
        <f t="shared" si="1"/>
        <v>REBECCA NORTON</v>
      </c>
      <c r="I25" t="s">
        <v>47</v>
      </c>
      <c r="J25" t="s">
        <v>222</v>
      </c>
      <c r="K25" s="3">
        <v>46143</v>
      </c>
      <c r="L25" t="s">
        <v>52</v>
      </c>
      <c r="M25" t="s">
        <v>64</v>
      </c>
      <c r="N25" t="s">
        <v>65</v>
      </c>
      <c r="O25">
        <v>28.91</v>
      </c>
      <c r="P25">
        <v>0</v>
      </c>
      <c r="Q25">
        <v>28.91</v>
      </c>
      <c r="R25">
        <v>28.91</v>
      </c>
      <c r="S25" t="s">
        <v>683</v>
      </c>
      <c r="T25" t="s">
        <v>686</v>
      </c>
      <c r="U25"/>
      <c r="V25"/>
      <c r="W25"/>
      <c r="X25"/>
      <c r="Y25"/>
      <c r="Z25"/>
    </row>
    <row r="26" spans="1:26" s="1" customFormat="1" x14ac:dyDescent="0.25">
      <c r="A26">
        <v>19681796</v>
      </c>
      <c r="B26">
        <v>19681796</v>
      </c>
      <c r="C26" t="s">
        <v>576</v>
      </c>
      <c r="D26" t="s">
        <v>577</v>
      </c>
      <c r="E26" t="str">
        <f t="shared" si="0"/>
        <v>D5HG7U7</v>
      </c>
      <c r="F26" t="s">
        <v>579</v>
      </c>
      <c r="G26" t="s">
        <v>580</v>
      </c>
      <c r="H26" t="str">
        <f t="shared" si="1"/>
        <v>WENDY SOFYANOS</v>
      </c>
      <c r="I26" t="s">
        <v>47</v>
      </c>
      <c r="J26" t="s">
        <v>74</v>
      </c>
      <c r="K26" s="3">
        <v>46143</v>
      </c>
      <c r="L26" t="s">
        <v>100</v>
      </c>
      <c r="M26" t="s">
        <v>64</v>
      </c>
      <c r="N26" t="s">
        <v>65</v>
      </c>
      <c r="O26">
        <v>28.91</v>
      </c>
      <c r="P26">
        <v>0</v>
      </c>
      <c r="Q26">
        <v>28.91</v>
      </c>
      <c r="R26">
        <v>28.91</v>
      </c>
      <c r="S26" t="s">
        <v>683</v>
      </c>
      <c r="T26" t="s">
        <v>686</v>
      </c>
      <c r="U26"/>
      <c r="V26"/>
      <c r="W26"/>
      <c r="X26"/>
      <c r="Y26"/>
      <c r="Z26"/>
    </row>
    <row r="27" spans="1:26" s="1" customFormat="1" x14ac:dyDescent="0.25">
      <c r="A27">
        <v>16633294</v>
      </c>
      <c r="B27">
        <v>16633294</v>
      </c>
      <c r="C27" t="s">
        <v>540</v>
      </c>
      <c r="D27" t="s">
        <v>612</v>
      </c>
      <c r="E27" t="str">
        <f t="shared" si="0"/>
        <v>D5K25C7</v>
      </c>
      <c r="F27" t="s">
        <v>124</v>
      </c>
      <c r="G27" t="s">
        <v>610</v>
      </c>
      <c r="H27" t="str">
        <f t="shared" si="1"/>
        <v>ROBERT TONGE</v>
      </c>
      <c r="I27" t="s">
        <v>47</v>
      </c>
      <c r="J27" t="s">
        <v>74</v>
      </c>
      <c r="K27" s="3">
        <v>46143</v>
      </c>
      <c r="L27" t="s">
        <v>52</v>
      </c>
      <c r="M27" t="s">
        <v>64</v>
      </c>
      <c r="N27" t="s">
        <v>65</v>
      </c>
      <c r="O27">
        <v>28.91</v>
      </c>
      <c r="P27">
        <v>0</v>
      </c>
      <c r="Q27">
        <v>28.91</v>
      </c>
      <c r="R27">
        <v>28.91</v>
      </c>
      <c r="S27" t="s">
        <v>683</v>
      </c>
      <c r="T27" t="s">
        <v>686</v>
      </c>
      <c r="U27"/>
      <c r="V27"/>
      <c r="W27"/>
      <c r="X27"/>
      <c r="Y27"/>
      <c r="Z27"/>
    </row>
    <row r="28" spans="1:26" s="1" customFormat="1" x14ac:dyDescent="0.25">
      <c r="A28">
        <v>17301495</v>
      </c>
      <c r="B28">
        <v>17301495</v>
      </c>
      <c r="C28" t="s">
        <v>56</v>
      </c>
      <c r="D28" t="s">
        <v>101</v>
      </c>
      <c r="E28" t="str">
        <f t="shared" si="0"/>
        <v>D678GK7</v>
      </c>
      <c r="F28" t="s">
        <v>103</v>
      </c>
      <c r="G28" t="s">
        <v>104</v>
      </c>
      <c r="H28" t="str">
        <f t="shared" si="1"/>
        <v>JOHN BARONE JR</v>
      </c>
      <c r="I28" t="s">
        <v>47</v>
      </c>
      <c r="J28" t="s">
        <v>74</v>
      </c>
      <c r="K28" s="3">
        <v>46143</v>
      </c>
      <c r="L28" t="s">
        <v>85</v>
      </c>
      <c r="M28" t="s">
        <v>64</v>
      </c>
      <c r="N28" t="s">
        <v>65</v>
      </c>
      <c r="O28">
        <v>28.91</v>
      </c>
      <c r="P28">
        <v>0</v>
      </c>
      <c r="Q28">
        <v>28.91</v>
      </c>
      <c r="R28">
        <v>28.91</v>
      </c>
      <c r="S28" t="s">
        <v>683</v>
      </c>
      <c r="T28" t="s">
        <v>686</v>
      </c>
      <c r="U28"/>
      <c r="V28"/>
      <c r="W28"/>
      <c r="X28"/>
      <c r="Y28"/>
      <c r="Z28"/>
    </row>
    <row r="29" spans="1:26" s="1" customFormat="1" x14ac:dyDescent="0.25">
      <c r="A29">
        <v>8307933</v>
      </c>
      <c r="B29">
        <v>8307933</v>
      </c>
      <c r="C29" t="s">
        <v>450</v>
      </c>
      <c r="D29" t="s">
        <v>637</v>
      </c>
      <c r="E29" t="str">
        <f t="shared" si="0"/>
        <v>D6HHKW7</v>
      </c>
      <c r="F29" t="s">
        <v>103</v>
      </c>
      <c r="G29" t="s">
        <v>639</v>
      </c>
      <c r="H29" t="str">
        <f t="shared" si="1"/>
        <v>JOHN WEIS</v>
      </c>
      <c r="I29" t="s">
        <v>47</v>
      </c>
      <c r="J29" t="s">
        <v>74</v>
      </c>
      <c r="K29" s="3">
        <v>46143</v>
      </c>
      <c r="L29" t="s">
        <v>52</v>
      </c>
      <c r="M29" t="s">
        <v>64</v>
      </c>
      <c r="N29" t="s">
        <v>65</v>
      </c>
      <c r="O29">
        <v>28.91</v>
      </c>
      <c r="P29">
        <v>0</v>
      </c>
      <c r="Q29">
        <v>28.91</v>
      </c>
      <c r="R29">
        <v>28.91</v>
      </c>
      <c r="S29" t="s">
        <v>683</v>
      </c>
      <c r="T29" t="s">
        <v>686</v>
      </c>
      <c r="U29"/>
      <c r="V29"/>
      <c r="W29"/>
      <c r="X29"/>
      <c r="Y29"/>
      <c r="Z29"/>
    </row>
    <row r="30" spans="1:26" s="1" customFormat="1" x14ac:dyDescent="0.25">
      <c r="A30">
        <v>2158366</v>
      </c>
      <c r="B30">
        <v>2158366</v>
      </c>
      <c r="C30" t="s">
        <v>107</v>
      </c>
      <c r="D30" t="s">
        <v>245</v>
      </c>
      <c r="E30" t="str">
        <f t="shared" si="0"/>
        <v>D6K5SY7</v>
      </c>
      <c r="F30" t="s">
        <v>247</v>
      </c>
      <c r="G30" t="s">
        <v>248</v>
      </c>
      <c r="H30" t="str">
        <f t="shared" si="1"/>
        <v>SUSAN EICHMAN PARCELL</v>
      </c>
      <c r="I30" t="s">
        <v>47</v>
      </c>
      <c r="J30" t="s">
        <v>160</v>
      </c>
      <c r="K30" s="3">
        <v>46143</v>
      </c>
      <c r="L30" t="s">
        <v>85</v>
      </c>
      <c r="M30" t="s">
        <v>64</v>
      </c>
      <c r="N30" t="s">
        <v>65</v>
      </c>
      <c r="O30">
        <v>28.91</v>
      </c>
      <c r="P30">
        <v>0</v>
      </c>
      <c r="Q30">
        <v>28.91</v>
      </c>
      <c r="R30">
        <v>28.91</v>
      </c>
      <c r="S30" t="s">
        <v>683</v>
      </c>
      <c r="T30" t="s">
        <v>686</v>
      </c>
      <c r="U30"/>
      <c r="V30"/>
      <c r="W30"/>
      <c r="X30"/>
      <c r="Y30"/>
      <c r="Z30"/>
    </row>
    <row r="31" spans="1:26" s="1" customFormat="1" x14ac:dyDescent="0.25">
      <c r="A31">
        <v>17301495</v>
      </c>
      <c r="B31">
        <v>17301495</v>
      </c>
      <c r="C31" t="s">
        <v>56</v>
      </c>
      <c r="D31" t="s">
        <v>184</v>
      </c>
      <c r="E31" t="str">
        <f t="shared" si="0"/>
        <v>D6YZ5C7</v>
      </c>
      <c r="F31" t="s">
        <v>186</v>
      </c>
      <c r="G31" t="s">
        <v>187</v>
      </c>
      <c r="H31" t="str">
        <f t="shared" si="1"/>
        <v>CARLOS CHAVEZ</v>
      </c>
      <c r="I31" t="s">
        <v>47</v>
      </c>
      <c r="J31" t="s">
        <v>128</v>
      </c>
      <c r="K31" s="3">
        <v>46143</v>
      </c>
      <c r="L31" t="s">
        <v>52</v>
      </c>
      <c r="M31" t="s">
        <v>64</v>
      </c>
      <c r="N31" t="s">
        <v>65</v>
      </c>
      <c r="O31">
        <v>28.91</v>
      </c>
      <c r="P31">
        <v>0</v>
      </c>
      <c r="Q31">
        <v>28.91</v>
      </c>
      <c r="R31">
        <v>28.91</v>
      </c>
      <c r="S31" t="s">
        <v>683</v>
      </c>
      <c r="T31" t="s">
        <v>686</v>
      </c>
      <c r="U31"/>
      <c r="V31"/>
      <c r="W31"/>
      <c r="X31"/>
      <c r="Y31"/>
      <c r="Z31"/>
    </row>
    <row r="32" spans="1:26" s="1" customFormat="1" x14ac:dyDescent="0.25">
      <c r="A32">
        <v>19200754</v>
      </c>
      <c r="B32">
        <v>19200754</v>
      </c>
      <c r="C32" t="s">
        <v>138</v>
      </c>
      <c r="D32" t="s">
        <v>307</v>
      </c>
      <c r="E32" t="str">
        <f t="shared" si="0"/>
        <v>D77FJC7</v>
      </c>
      <c r="F32" t="s">
        <v>309</v>
      </c>
      <c r="G32" t="s">
        <v>310</v>
      </c>
      <c r="H32" t="str">
        <f t="shared" si="1"/>
        <v>BETH GONSIEWSKI</v>
      </c>
      <c r="I32" t="s">
        <v>47</v>
      </c>
      <c r="J32" t="s">
        <v>193</v>
      </c>
      <c r="K32" s="3">
        <v>46143</v>
      </c>
      <c r="L32" t="s">
        <v>85</v>
      </c>
      <c r="M32" t="s">
        <v>64</v>
      </c>
      <c r="N32" t="s">
        <v>65</v>
      </c>
      <c r="O32">
        <v>28.91</v>
      </c>
      <c r="P32">
        <v>0</v>
      </c>
      <c r="Q32">
        <v>28.91</v>
      </c>
      <c r="R32">
        <v>28.91</v>
      </c>
      <c r="S32" t="s">
        <v>683</v>
      </c>
      <c r="T32" t="s">
        <v>686</v>
      </c>
      <c r="U32"/>
      <c r="V32"/>
      <c r="W32"/>
      <c r="X32"/>
      <c r="Y32"/>
      <c r="Z32"/>
    </row>
    <row r="33" spans="1:26" s="1" customFormat="1" x14ac:dyDescent="0.25">
      <c r="A33">
        <v>7146581</v>
      </c>
      <c r="B33">
        <v>7146581</v>
      </c>
      <c r="C33" t="s">
        <v>87</v>
      </c>
      <c r="D33" t="s">
        <v>287</v>
      </c>
      <c r="E33" t="str">
        <f t="shared" si="0"/>
        <v>D77WRJ7</v>
      </c>
      <c r="F33" t="s">
        <v>289</v>
      </c>
      <c r="G33" t="s">
        <v>290</v>
      </c>
      <c r="H33" t="str">
        <f t="shared" si="1"/>
        <v>ANDREW FERNANDEZ</v>
      </c>
      <c r="I33" t="s">
        <v>47</v>
      </c>
      <c r="J33" t="s">
        <v>74</v>
      </c>
      <c r="K33" s="3">
        <v>46143</v>
      </c>
      <c r="L33" t="s">
        <v>85</v>
      </c>
      <c r="M33" t="s">
        <v>64</v>
      </c>
      <c r="N33" t="s">
        <v>65</v>
      </c>
      <c r="O33">
        <v>28.91</v>
      </c>
      <c r="P33">
        <v>0</v>
      </c>
      <c r="Q33">
        <v>28.91</v>
      </c>
      <c r="R33">
        <v>28.91</v>
      </c>
      <c r="S33" t="s">
        <v>683</v>
      </c>
      <c r="T33" t="s">
        <v>686</v>
      </c>
      <c r="U33"/>
      <c r="V33"/>
      <c r="W33"/>
      <c r="X33"/>
      <c r="Y33"/>
      <c r="Z33"/>
    </row>
    <row r="34" spans="1:26" s="1" customFormat="1" x14ac:dyDescent="0.25">
      <c r="A34">
        <v>19396223</v>
      </c>
      <c r="B34">
        <v>19396223</v>
      </c>
      <c r="C34" t="s">
        <v>266</v>
      </c>
      <c r="D34" t="s">
        <v>333</v>
      </c>
      <c r="E34" t="str">
        <f t="shared" si="0"/>
        <v>D79W827</v>
      </c>
      <c r="F34" t="s">
        <v>320</v>
      </c>
      <c r="G34" t="s">
        <v>335</v>
      </c>
      <c r="H34" t="str">
        <f t="shared" si="1"/>
        <v>LAURA HORN</v>
      </c>
      <c r="I34" t="s">
        <v>336</v>
      </c>
      <c r="J34" t="s">
        <v>128</v>
      </c>
      <c r="K34" s="3">
        <v>46143</v>
      </c>
      <c r="L34" t="s">
        <v>85</v>
      </c>
      <c r="M34" t="s">
        <v>64</v>
      </c>
      <c r="N34" t="s">
        <v>65</v>
      </c>
      <c r="O34">
        <v>28.91</v>
      </c>
      <c r="P34">
        <v>0</v>
      </c>
      <c r="Q34">
        <v>28.91</v>
      </c>
      <c r="R34">
        <v>28.91</v>
      </c>
      <c r="S34" t="s">
        <v>683</v>
      </c>
      <c r="T34" t="s">
        <v>686</v>
      </c>
      <c r="U34"/>
      <c r="V34"/>
      <c r="W34"/>
      <c r="X34"/>
      <c r="Y34"/>
      <c r="Z34"/>
    </row>
    <row r="35" spans="1:26" s="1" customFormat="1" x14ac:dyDescent="0.25">
      <c r="A35">
        <v>2158366</v>
      </c>
      <c r="B35">
        <v>2158366</v>
      </c>
      <c r="C35" t="s">
        <v>107</v>
      </c>
      <c r="D35" t="s">
        <v>359</v>
      </c>
      <c r="E35" t="str">
        <f t="shared" si="0"/>
        <v>D7ZW4G7</v>
      </c>
      <c r="F35" t="s">
        <v>361</v>
      </c>
      <c r="G35" t="s">
        <v>362</v>
      </c>
      <c r="H35" t="str">
        <f t="shared" si="1"/>
        <v>JEFFREY JOHNS</v>
      </c>
      <c r="I35" t="s">
        <v>47</v>
      </c>
      <c r="J35" t="s">
        <v>364</v>
      </c>
      <c r="K35" s="3">
        <v>46143</v>
      </c>
      <c r="L35" t="s">
        <v>85</v>
      </c>
      <c r="M35" t="s">
        <v>64</v>
      </c>
      <c r="N35" t="s">
        <v>65</v>
      </c>
      <c r="O35">
        <v>28.91</v>
      </c>
      <c r="P35">
        <v>0</v>
      </c>
      <c r="Q35">
        <v>28.91</v>
      </c>
      <c r="R35">
        <v>28.91</v>
      </c>
      <c r="S35" t="s">
        <v>683</v>
      </c>
      <c r="T35" t="s">
        <v>686</v>
      </c>
      <c r="U35"/>
      <c r="V35"/>
      <c r="W35"/>
      <c r="X35"/>
      <c r="Y35"/>
      <c r="Z35"/>
    </row>
    <row r="36" spans="1:26" s="1" customFormat="1" x14ac:dyDescent="0.25">
      <c r="A36">
        <v>19396223</v>
      </c>
      <c r="B36">
        <v>19396223</v>
      </c>
      <c r="C36" t="s">
        <v>266</v>
      </c>
      <c r="D36" t="s">
        <v>554</v>
      </c>
      <c r="E36" t="str">
        <f t="shared" si="0"/>
        <v>D83KH57</v>
      </c>
      <c r="F36" t="s">
        <v>556</v>
      </c>
      <c r="G36" t="s">
        <v>557</v>
      </c>
      <c r="H36" t="str">
        <f t="shared" si="1"/>
        <v>BHARGAV SAVANI</v>
      </c>
      <c r="I36" t="s">
        <v>47</v>
      </c>
      <c r="J36" t="s">
        <v>74</v>
      </c>
      <c r="K36" s="3">
        <v>46143</v>
      </c>
      <c r="L36" t="s">
        <v>100</v>
      </c>
      <c r="M36" t="s">
        <v>64</v>
      </c>
      <c r="N36" t="s">
        <v>65</v>
      </c>
      <c r="O36">
        <v>28.91</v>
      </c>
      <c r="P36">
        <v>0</v>
      </c>
      <c r="Q36">
        <v>28.91</v>
      </c>
      <c r="R36">
        <v>28.91</v>
      </c>
      <c r="S36" t="s">
        <v>683</v>
      </c>
      <c r="T36" t="s">
        <v>686</v>
      </c>
      <c r="U36"/>
      <c r="V36"/>
      <c r="W36"/>
      <c r="X36"/>
      <c r="Y36"/>
      <c r="Z36"/>
    </row>
    <row r="37" spans="1:26" s="1" customFormat="1" x14ac:dyDescent="0.25">
      <c r="A37">
        <v>17094718</v>
      </c>
      <c r="B37">
        <v>17094718</v>
      </c>
      <c r="C37" t="s">
        <v>397</v>
      </c>
      <c r="D37" t="s">
        <v>653</v>
      </c>
      <c r="E37" t="str">
        <f t="shared" si="0"/>
        <v>D86URU7</v>
      </c>
      <c r="F37" t="s">
        <v>655</v>
      </c>
      <c r="G37" t="s">
        <v>656</v>
      </c>
      <c r="H37" t="str">
        <f t="shared" si="1"/>
        <v>ROGER YOUNG</v>
      </c>
      <c r="I37" t="s">
        <v>72</v>
      </c>
      <c r="J37" t="s">
        <v>121</v>
      </c>
      <c r="K37" s="3">
        <v>46143</v>
      </c>
      <c r="L37" t="s">
        <v>85</v>
      </c>
      <c r="M37" t="s">
        <v>64</v>
      </c>
      <c r="N37" t="s">
        <v>65</v>
      </c>
      <c r="O37">
        <v>28.91</v>
      </c>
      <c r="P37">
        <v>0</v>
      </c>
      <c r="Q37">
        <v>28.91</v>
      </c>
      <c r="R37">
        <v>28.91</v>
      </c>
      <c r="S37" t="s">
        <v>683</v>
      </c>
      <c r="T37" t="s">
        <v>686</v>
      </c>
      <c r="U37"/>
      <c r="V37"/>
      <c r="W37"/>
      <c r="X37"/>
      <c r="Y37"/>
      <c r="Z37"/>
    </row>
    <row r="38" spans="1:26" s="1" customFormat="1" x14ac:dyDescent="0.25">
      <c r="A38">
        <v>2158366</v>
      </c>
      <c r="B38">
        <v>2158366</v>
      </c>
      <c r="C38" t="s">
        <v>107</v>
      </c>
      <c r="D38" t="s">
        <v>531</v>
      </c>
      <c r="E38" t="str">
        <f t="shared" si="0"/>
        <v>D87SKK7</v>
      </c>
      <c r="F38" t="s">
        <v>533</v>
      </c>
      <c r="G38" t="s">
        <v>534</v>
      </c>
      <c r="H38" t="str">
        <f t="shared" si="1"/>
        <v>CHERYL RUDD</v>
      </c>
      <c r="I38" t="s">
        <v>47</v>
      </c>
      <c r="J38" t="s">
        <v>222</v>
      </c>
      <c r="K38" s="3">
        <v>46143</v>
      </c>
      <c r="L38" t="s">
        <v>52</v>
      </c>
      <c r="M38" t="s">
        <v>64</v>
      </c>
      <c r="N38" t="s">
        <v>65</v>
      </c>
      <c r="O38">
        <v>28.91</v>
      </c>
      <c r="P38">
        <v>0</v>
      </c>
      <c r="Q38">
        <v>28.91</v>
      </c>
      <c r="R38">
        <v>28.91</v>
      </c>
      <c r="S38" t="s">
        <v>683</v>
      </c>
      <c r="T38" t="s">
        <v>686</v>
      </c>
      <c r="U38"/>
      <c r="V38"/>
      <c r="W38"/>
      <c r="X38"/>
      <c r="Y38"/>
      <c r="Z38"/>
    </row>
    <row r="39" spans="1:26" s="1" customFormat="1" x14ac:dyDescent="0.25">
      <c r="A39">
        <v>18754354</v>
      </c>
      <c r="B39">
        <v>18754354</v>
      </c>
      <c r="C39" t="s">
        <v>390</v>
      </c>
      <c r="D39" t="s">
        <v>585</v>
      </c>
      <c r="E39" t="str">
        <f t="shared" si="0"/>
        <v>D8C7797</v>
      </c>
      <c r="F39" t="s">
        <v>587</v>
      </c>
      <c r="G39" t="s">
        <v>588</v>
      </c>
      <c r="H39" t="str">
        <f t="shared" si="1"/>
        <v>CHRISTOPHER SPRINGER</v>
      </c>
      <c r="I39" t="s">
        <v>47</v>
      </c>
      <c r="J39" t="s">
        <v>199</v>
      </c>
      <c r="K39" s="3">
        <v>46143</v>
      </c>
      <c r="L39" t="s">
        <v>85</v>
      </c>
      <c r="M39" t="s">
        <v>64</v>
      </c>
      <c r="N39" t="s">
        <v>65</v>
      </c>
      <c r="O39">
        <v>28.91</v>
      </c>
      <c r="P39">
        <v>0</v>
      </c>
      <c r="Q39">
        <v>28.91</v>
      </c>
      <c r="R39">
        <v>28.91</v>
      </c>
      <c r="S39" t="s">
        <v>683</v>
      </c>
      <c r="T39" t="s">
        <v>686</v>
      </c>
      <c r="U39"/>
      <c r="V39"/>
      <c r="W39"/>
      <c r="X39"/>
      <c r="Y39"/>
      <c r="Z39"/>
    </row>
    <row r="40" spans="1:26" s="1" customFormat="1" x14ac:dyDescent="0.25">
      <c r="A40">
        <v>7146581</v>
      </c>
      <c r="B40">
        <v>7146581</v>
      </c>
      <c r="C40" t="s">
        <v>87</v>
      </c>
      <c r="D40" t="s">
        <v>516</v>
      </c>
      <c r="E40" t="str">
        <f t="shared" si="0"/>
        <v>D8KF977</v>
      </c>
      <c r="F40" t="s">
        <v>518</v>
      </c>
      <c r="G40" t="s">
        <v>519</v>
      </c>
      <c r="H40" t="str">
        <f t="shared" si="1"/>
        <v>BONNIE RIESER</v>
      </c>
      <c r="I40" t="s">
        <v>47</v>
      </c>
      <c r="J40" t="s">
        <v>74</v>
      </c>
      <c r="K40" s="3">
        <v>46143</v>
      </c>
      <c r="L40" t="s">
        <v>52</v>
      </c>
      <c r="M40" t="s">
        <v>64</v>
      </c>
      <c r="N40" t="s">
        <v>65</v>
      </c>
      <c r="O40">
        <v>28.91</v>
      </c>
      <c r="P40">
        <v>0</v>
      </c>
      <c r="Q40">
        <v>28.91</v>
      </c>
      <c r="R40">
        <v>28.91</v>
      </c>
      <c r="S40" t="s">
        <v>683</v>
      </c>
      <c r="T40" t="s">
        <v>686</v>
      </c>
      <c r="U40"/>
      <c r="V40"/>
      <c r="W40"/>
      <c r="X40"/>
      <c r="Y40"/>
      <c r="Z40"/>
    </row>
    <row r="41" spans="1:26" s="1" customFormat="1" x14ac:dyDescent="0.25">
      <c r="A41">
        <v>9213293</v>
      </c>
      <c r="B41">
        <v>9213293</v>
      </c>
      <c r="C41" t="s">
        <v>162</v>
      </c>
      <c r="D41" t="s">
        <v>254</v>
      </c>
      <c r="E41" t="str">
        <f t="shared" si="0"/>
        <v>D8RSSE7</v>
      </c>
      <c r="F41" t="s">
        <v>256</v>
      </c>
      <c r="G41" t="s">
        <v>257</v>
      </c>
      <c r="H41" t="str">
        <f t="shared" si="1"/>
        <v>FREDERICK EREMO</v>
      </c>
      <c r="I41" t="s">
        <v>47</v>
      </c>
      <c r="J41" t="s">
        <v>259</v>
      </c>
      <c r="K41" s="3">
        <v>46143</v>
      </c>
      <c r="L41" t="s">
        <v>85</v>
      </c>
      <c r="M41" t="s">
        <v>64</v>
      </c>
      <c r="N41" t="s">
        <v>65</v>
      </c>
      <c r="O41">
        <v>28.91</v>
      </c>
      <c r="P41">
        <v>0</v>
      </c>
      <c r="Q41">
        <v>28.91</v>
      </c>
      <c r="R41">
        <v>28.91</v>
      </c>
      <c r="S41" t="s">
        <v>683</v>
      </c>
      <c r="T41" t="s">
        <v>686</v>
      </c>
      <c r="U41"/>
      <c r="V41"/>
      <c r="W41"/>
      <c r="X41"/>
      <c r="Y41"/>
      <c r="Z41"/>
    </row>
    <row r="42" spans="1:26" s="1" customFormat="1" x14ac:dyDescent="0.25">
      <c r="A42">
        <v>19586992</v>
      </c>
      <c r="B42">
        <v>19586992</v>
      </c>
      <c r="C42" t="s">
        <v>42</v>
      </c>
      <c r="D42" t="s">
        <v>614</v>
      </c>
      <c r="E42" t="str">
        <f t="shared" si="0"/>
        <v>D8S2AK7</v>
      </c>
      <c r="F42" t="s">
        <v>616</v>
      </c>
      <c r="G42" t="s">
        <v>617</v>
      </c>
      <c r="H42" t="str">
        <f t="shared" si="1"/>
        <v>GAIL VALADEZ</v>
      </c>
      <c r="I42" t="s">
        <v>47</v>
      </c>
      <c r="J42" t="s">
        <v>457</v>
      </c>
      <c r="K42" s="3">
        <v>46143</v>
      </c>
      <c r="L42" t="s">
        <v>85</v>
      </c>
      <c r="M42" t="s">
        <v>64</v>
      </c>
      <c r="N42" t="s">
        <v>65</v>
      </c>
      <c r="O42">
        <v>28.91</v>
      </c>
      <c r="P42">
        <v>0</v>
      </c>
      <c r="Q42">
        <v>28.91</v>
      </c>
      <c r="R42">
        <v>28.91</v>
      </c>
      <c r="S42" t="s">
        <v>683</v>
      </c>
      <c r="T42" t="s">
        <v>686</v>
      </c>
      <c r="U42"/>
      <c r="V42"/>
      <c r="W42"/>
      <c r="X42"/>
      <c r="Y42"/>
      <c r="Z42"/>
    </row>
    <row r="43" spans="1:26" s="1" customFormat="1" x14ac:dyDescent="0.25">
      <c r="A43">
        <v>17126004</v>
      </c>
      <c r="B43">
        <v>17126004</v>
      </c>
      <c r="C43" t="s">
        <v>155</v>
      </c>
      <c r="D43" t="s">
        <v>188</v>
      </c>
      <c r="E43" t="str">
        <f t="shared" si="0"/>
        <v>D8YS8Y7</v>
      </c>
      <c r="F43" t="s">
        <v>190</v>
      </c>
      <c r="G43" t="s">
        <v>191</v>
      </c>
      <c r="H43" t="str">
        <f t="shared" si="1"/>
        <v>MARYANN CHINDERLE</v>
      </c>
      <c r="I43" t="s">
        <v>47</v>
      </c>
      <c r="J43" t="s">
        <v>193</v>
      </c>
      <c r="K43" s="3">
        <v>46143</v>
      </c>
      <c r="L43" t="s">
        <v>85</v>
      </c>
      <c r="M43" t="s">
        <v>64</v>
      </c>
      <c r="N43" t="s">
        <v>65</v>
      </c>
      <c r="O43">
        <v>28.91</v>
      </c>
      <c r="P43">
        <v>0</v>
      </c>
      <c r="Q43">
        <v>28.91</v>
      </c>
      <c r="R43">
        <v>28.91</v>
      </c>
      <c r="S43" t="s">
        <v>683</v>
      </c>
      <c r="T43" t="s">
        <v>686</v>
      </c>
      <c r="U43"/>
      <c r="V43"/>
      <c r="W43"/>
      <c r="X43"/>
      <c r="Y43"/>
      <c r="Z43"/>
    </row>
    <row r="44" spans="1:26" s="1" customFormat="1" x14ac:dyDescent="0.25">
      <c r="A44">
        <v>16683808</v>
      </c>
      <c r="B44">
        <v>16683808</v>
      </c>
      <c r="C44" t="s">
        <v>237</v>
      </c>
      <c r="D44" t="s">
        <v>302</v>
      </c>
      <c r="E44" t="str">
        <f t="shared" si="0"/>
        <v>D949GW7</v>
      </c>
      <c r="F44" t="s">
        <v>304</v>
      </c>
      <c r="G44" t="s">
        <v>305</v>
      </c>
      <c r="H44" t="str">
        <f t="shared" si="1"/>
        <v>EDDIE GILBERT III</v>
      </c>
      <c r="I44" t="s">
        <v>81</v>
      </c>
      <c r="J44" t="s">
        <v>74</v>
      </c>
      <c r="K44" s="3">
        <v>46143</v>
      </c>
      <c r="L44" t="s">
        <v>85</v>
      </c>
      <c r="M44" t="s">
        <v>64</v>
      </c>
      <c r="N44" t="s">
        <v>65</v>
      </c>
      <c r="O44">
        <v>28.91</v>
      </c>
      <c r="P44">
        <v>0</v>
      </c>
      <c r="Q44">
        <v>28.91</v>
      </c>
      <c r="R44">
        <v>28.91</v>
      </c>
      <c r="S44" t="s">
        <v>683</v>
      </c>
      <c r="T44" t="s">
        <v>686</v>
      </c>
      <c r="U44"/>
      <c r="V44"/>
      <c r="W44"/>
      <c r="X44"/>
      <c r="Y44"/>
      <c r="Z44"/>
    </row>
    <row r="45" spans="1:26" s="1" customFormat="1" x14ac:dyDescent="0.25">
      <c r="A45">
        <v>16170994</v>
      </c>
      <c r="B45">
        <v>16170994</v>
      </c>
      <c r="C45" t="s">
        <v>595</v>
      </c>
      <c r="D45" t="s">
        <v>596</v>
      </c>
      <c r="E45" t="str">
        <f t="shared" si="0"/>
        <v>D9A3G77</v>
      </c>
      <c r="F45" t="s">
        <v>103</v>
      </c>
      <c r="G45" t="s">
        <v>598</v>
      </c>
      <c r="H45" t="str">
        <f t="shared" si="1"/>
        <v>JOHN STEWART</v>
      </c>
      <c r="I45" t="s">
        <v>72</v>
      </c>
      <c r="J45" t="s">
        <v>600</v>
      </c>
      <c r="K45" s="3">
        <v>46143</v>
      </c>
      <c r="L45" t="s">
        <v>52</v>
      </c>
      <c r="M45" t="s">
        <v>64</v>
      </c>
      <c r="N45" t="s">
        <v>65</v>
      </c>
      <c r="O45">
        <v>28.91</v>
      </c>
      <c r="P45">
        <v>0</v>
      </c>
      <c r="Q45">
        <v>28.91</v>
      </c>
      <c r="R45">
        <v>28.91</v>
      </c>
      <c r="S45" t="s">
        <v>683</v>
      </c>
      <c r="T45" t="s">
        <v>686</v>
      </c>
      <c r="U45"/>
      <c r="V45"/>
      <c r="W45"/>
      <c r="X45"/>
      <c r="Y45"/>
      <c r="Z45"/>
    </row>
    <row r="46" spans="1:26" s="1" customFormat="1" x14ac:dyDescent="0.25">
      <c r="A46">
        <v>19615078</v>
      </c>
      <c r="B46">
        <v>19615078</v>
      </c>
      <c r="C46" t="s">
        <v>503</v>
      </c>
      <c r="D46" t="s">
        <v>526</v>
      </c>
      <c r="E46" t="str">
        <f t="shared" si="0"/>
        <v>DA25Z97</v>
      </c>
      <c r="F46" t="s">
        <v>528</v>
      </c>
      <c r="G46" t="s">
        <v>529</v>
      </c>
      <c r="H46" t="str">
        <f t="shared" si="1"/>
        <v>NADEZHDA ROMANOVA</v>
      </c>
      <c r="I46" t="s">
        <v>47</v>
      </c>
      <c r="J46" t="s">
        <v>193</v>
      </c>
      <c r="K46" s="3">
        <v>46143</v>
      </c>
      <c r="L46" t="s">
        <v>85</v>
      </c>
      <c r="M46" t="s">
        <v>64</v>
      </c>
      <c r="N46" t="s">
        <v>65</v>
      </c>
      <c r="O46">
        <v>28.91</v>
      </c>
      <c r="P46">
        <v>0</v>
      </c>
      <c r="Q46">
        <v>28.91</v>
      </c>
      <c r="R46">
        <v>28.91</v>
      </c>
      <c r="S46" t="s">
        <v>683</v>
      </c>
      <c r="T46" t="s">
        <v>686</v>
      </c>
      <c r="U46"/>
      <c r="V46"/>
      <c r="W46"/>
      <c r="X46"/>
      <c r="Y46"/>
      <c r="Z46"/>
    </row>
    <row r="47" spans="1:26" s="1" customFormat="1" x14ac:dyDescent="0.25">
      <c r="A47">
        <v>7146581</v>
      </c>
      <c r="B47">
        <v>7146581</v>
      </c>
      <c r="C47" t="s">
        <v>87</v>
      </c>
      <c r="D47" t="s">
        <v>88</v>
      </c>
      <c r="E47" t="str">
        <f t="shared" si="0"/>
        <v>DA4WEU7</v>
      </c>
      <c r="F47" t="s">
        <v>90</v>
      </c>
      <c r="G47" t="s">
        <v>91</v>
      </c>
      <c r="H47" t="str">
        <f t="shared" si="1"/>
        <v>LOIS BARNES</v>
      </c>
      <c r="I47" t="s">
        <v>47</v>
      </c>
      <c r="J47" t="s">
        <v>74</v>
      </c>
      <c r="K47" s="3">
        <v>46143</v>
      </c>
      <c r="L47" t="s">
        <v>52</v>
      </c>
      <c r="M47" t="s">
        <v>64</v>
      </c>
      <c r="N47" t="s">
        <v>65</v>
      </c>
      <c r="O47">
        <v>28.91</v>
      </c>
      <c r="P47">
        <v>0</v>
      </c>
      <c r="Q47">
        <v>28.91</v>
      </c>
      <c r="R47">
        <v>28.91</v>
      </c>
      <c r="S47" t="s">
        <v>683</v>
      </c>
      <c r="T47" t="s">
        <v>686</v>
      </c>
      <c r="U47"/>
      <c r="V47"/>
      <c r="W47"/>
      <c r="X47"/>
      <c r="Y47"/>
      <c r="Z47"/>
    </row>
    <row r="48" spans="1:26" s="1" customFormat="1" x14ac:dyDescent="0.25">
      <c r="A48">
        <v>19586992</v>
      </c>
      <c r="B48">
        <v>19586992</v>
      </c>
      <c r="C48" t="s">
        <v>42</v>
      </c>
      <c r="D48" t="s">
        <v>168</v>
      </c>
      <c r="E48" t="str">
        <f t="shared" si="0"/>
        <v>DA5EJF7</v>
      </c>
      <c r="F48" t="s">
        <v>110</v>
      </c>
      <c r="G48" t="s">
        <v>170</v>
      </c>
      <c r="H48" t="str">
        <f t="shared" si="1"/>
        <v>MARY CARFAGNINI</v>
      </c>
      <c r="I48" t="s">
        <v>47</v>
      </c>
      <c r="J48" t="s">
        <v>74</v>
      </c>
      <c r="K48" s="3">
        <v>46143</v>
      </c>
      <c r="L48" t="s">
        <v>52</v>
      </c>
      <c r="M48" t="s">
        <v>64</v>
      </c>
      <c r="N48" t="s">
        <v>65</v>
      </c>
      <c r="O48">
        <v>28.91</v>
      </c>
      <c r="P48">
        <v>0</v>
      </c>
      <c r="Q48">
        <v>28.91</v>
      </c>
      <c r="R48">
        <v>28.91</v>
      </c>
      <c r="S48" t="s">
        <v>683</v>
      </c>
      <c r="T48" t="s">
        <v>686</v>
      </c>
      <c r="U48"/>
      <c r="V48"/>
      <c r="W48"/>
      <c r="X48"/>
      <c r="Y48"/>
      <c r="Z48"/>
    </row>
    <row r="49" spans="1:26" s="1" customFormat="1" x14ac:dyDescent="0.25">
      <c r="A49">
        <v>19586992</v>
      </c>
      <c r="B49">
        <v>19586992</v>
      </c>
      <c r="C49" t="s">
        <v>42</v>
      </c>
      <c r="D49" t="s">
        <v>430</v>
      </c>
      <c r="E49" t="str">
        <f t="shared" si="0"/>
        <v>DAJ3ER7</v>
      </c>
      <c r="F49" t="s">
        <v>432</v>
      </c>
      <c r="G49" t="s">
        <v>433</v>
      </c>
      <c r="H49" t="str">
        <f t="shared" si="1"/>
        <v>BETTY MCKENNIE</v>
      </c>
      <c r="I49" t="s">
        <v>47</v>
      </c>
      <c r="J49" t="s">
        <v>74</v>
      </c>
      <c r="K49" s="3">
        <v>46143</v>
      </c>
      <c r="L49" t="s">
        <v>52</v>
      </c>
      <c r="M49" t="s">
        <v>64</v>
      </c>
      <c r="N49" t="s">
        <v>65</v>
      </c>
      <c r="O49">
        <v>28.91</v>
      </c>
      <c r="P49">
        <v>0</v>
      </c>
      <c r="Q49">
        <v>28.91</v>
      </c>
      <c r="R49">
        <v>28.91</v>
      </c>
      <c r="S49" t="s">
        <v>683</v>
      </c>
      <c r="T49" t="s">
        <v>686</v>
      </c>
      <c r="U49"/>
      <c r="V49"/>
      <c r="W49"/>
      <c r="X49"/>
      <c r="Y49"/>
      <c r="Z49"/>
    </row>
    <row r="50" spans="1:26" s="1" customFormat="1" x14ac:dyDescent="0.25">
      <c r="A50">
        <v>7146581</v>
      </c>
      <c r="B50">
        <v>7146581</v>
      </c>
      <c r="C50" t="s">
        <v>87</v>
      </c>
      <c r="D50" t="s">
        <v>491</v>
      </c>
      <c r="E50" t="str">
        <f t="shared" si="0"/>
        <v>DAR4727</v>
      </c>
      <c r="F50" t="s">
        <v>110</v>
      </c>
      <c r="G50" t="s">
        <v>493</v>
      </c>
      <c r="H50" t="str">
        <f t="shared" si="1"/>
        <v>MARY RACS</v>
      </c>
      <c r="I50" t="s">
        <v>47</v>
      </c>
      <c r="J50" t="s">
        <v>74</v>
      </c>
      <c r="K50" s="3">
        <v>46143</v>
      </c>
      <c r="L50" t="s">
        <v>85</v>
      </c>
      <c r="M50" t="s">
        <v>64</v>
      </c>
      <c r="N50" t="s">
        <v>65</v>
      </c>
      <c r="O50">
        <v>28.91</v>
      </c>
      <c r="P50">
        <v>0</v>
      </c>
      <c r="Q50">
        <v>28.91</v>
      </c>
      <c r="R50">
        <v>28.91</v>
      </c>
      <c r="S50" t="s">
        <v>683</v>
      </c>
      <c r="T50" t="s">
        <v>686</v>
      </c>
      <c r="U50"/>
      <c r="V50"/>
      <c r="W50"/>
      <c r="X50"/>
      <c r="Y50"/>
      <c r="Z50"/>
    </row>
    <row r="51" spans="1:26" s="1" customFormat="1" x14ac:dyDescent="0.25">
      <c r="A51">
        <v>2158366</v>
      </c>
      <c r="B51">
        <v>2158366</v>
      </c>
      <c r="C51" t="s">
        <v>107</v>
      </c>
      <c r="D51" t="s">
        <v>536</v>
      </c>
      <c r="E51" t="str">
        <f t="shared" si="0"/>
        <v>DARF7K7</v>
      </c>
      <c r="F51" t="s">
        <v>538</v>
      </c>
      <c r="G51" t="s">
        <v>534</v>
      </c>
      <c r="H51" t="str">
        <f t="shared" si="1"/>
        <v>SCOTT RUDD</v>
      </c>
      <c r="I51" t="s">
        <v>47</v>
      </c>
      <c r="J51" t="s">
        <v>222</v>
      </c>
      <c r="K51" s="3">
        <v>46143</v>
      </c>
      <c r="L51" t="s">
        <v>52</v>
      </c>
      <c r="M51" t="s">
        <v>64</v>
      </c>
      <c r="N51" t="s">
        <v>65</v>
      </c>
      <c r="O51">
        <v>28.91</v>
      </c>
      <c r="P51">
        <v>0</v>
      </c>
      <c r="Q51">
        <v>28.91</v>
      </c>
      <c r="R51">
        <v>28.91</v>
      </c>
      <c r="S51" t="s">
        <v>683</v>
      </c>
      <c r="T51" t="s">
        <v>686</v>
      </c>
      <c r="U51"/>
      <c r="V51"/>
      <c r="W51"/>
      <c r="X51"/>
      <c r="Y51"/>
      <c r="Z51"/>
    </row>
    <row r="52" spans="1:26" s="1" customFormat="1" x14ac:dyDescent="0.25">
      <c r="A52">
        <v>19586992</v>
      </c>
      <c r="B52">
        <v>19586992</v>
      </c>
      <c r="C52" t="s">
        <v>42</v>
      </c>
      <c r="D52" t="s">
        <v>459</v>
      </c>
      <c r="E52" t="str">
        <f t="shared" si="0"/>
        <v>DC3EKR7</v>
      </c>
      <c r="F52" t="s">
        <v>461</v>
      </c>
      <c r="G52" t="s">
        <v>462</v>
      </c>
      <c r="H52" t="str">
        <f t="shared" si="1"/>
        <v>DEBRA MURPHY</v>
      </c>
      <c r="I52" t="s">
        <v>47</v>
      </c>
      <c r="J52" t="s">
        <v>74</v>
      </c>
      <c r="K52" s="3">
        <v>46143</v>
      </c>
      <c r="L52" t="s">
        <v>52</v>
      </c>
      <c r="M52" t="s">
        <v>64</v>
      </c>
      <c r="N52" t="s">
        <v>65</v>
      </c>
      <c r="O52">
        <v>28.91</v>
      </c>
      <c r="P52">
        <v>0</v>
      </c>
      <c r="Q52">
        <v>28.91</v>
      </c>
      <c r="R52">
        <v>28.91</v>
      </c>
      <c r="S52" t="s">
        <v>683</v>
      </c>
      <c r="T52" t="s">
        <v>686</v>
      </c>
      <c r="U52"/>
      <c r="V52"/>
      <c r="W52"/>
      <c r="X52"/>
      <c r="Y52"/>
      <c r="Z52"/>
    </row>
    <row r="53" spans="1:26" s="1" customFormat="1" x14ac:dyDescent="0.25">
      <c r="A53">
        <v>16633294</v>
      </c>
      <c r="B53">
        <v>16633294</v>
      </c>
      <c r="C53" t="s">
        <v>540</v>
      </c>
      <c r="D53" t="s">
        <v>545</v>
      </c>
      <c r="E53" t="str">
        <f t="shared" si="0"/>
        <v>DC5E747</v>
      </c>
      <c r="F53" t="s">
        <v>547</v>
      </c>
      <c r="G53" t="s">
        <v>544</v>
      </c>
      <c r="H53" t="str">
        <f t="shared" si="1"/>
        <v>ROGELIO RUELOS</v>
      </c>
      <c r="I53" t="s">
        <v>47</v>
      </c>
      <c r="J53" t="s">
        <v>74</v>
      </c>
      <c r="K53" s="3">
        <v>46143</v>
      </c>
      <c r="L53" t="s">
        <v>85</v>
      </c>
      <c r="M53" t="s">
        <v>64</v>
      </c>
      <c r="N53" t="s">
        <v>65</v>
      </c>
      <c r="O53">
        <v>28.91</v>
      </c>
      <c r="P53">
        <v>0</v>
      </c>
      <c r="Q53">
        <v>28.91</v>
      </c>
      <c r="R53">
        <v>28.91</v>
      </c>
      <c r="S53" t="s">
        <v>683</v>
      </c>
      <c r="T53" t="s">
        <v>686</v>
      </c>
      <c r="U53"/>
      <c r="V53"/>
      <c r="W53"/>
      <c r="X53"/>
      <c r="Y53"/>
      <c r="Z53"/>
    </row>
    <row r="54" spans="1:26" s="1" customFormat="1" x14ac:dyDescent="0.25">
      <c r="A54">
        <v>16865615</v>
      </c>
      <c r="B54">
        <v>16865615</v>
      </c>
      <c r="C54" t="s">
        <v>351</v>
      </c>
      <c r="D54" t="s">
        <v>376</v>
      </c>
      <c r="E54" t="str">
        <f t="shared" si="0"/>
        <v>DCEG4Z7</v>
      </c>
      <c r="F54" t="s">
        <v>97</v>
      </c>
      <c r="G54" t="s">
        <v>378</v>
      </c>
      <c r="H54" t="str">
        <f t="shared" si="1"/>
        <v>MICHAEL LINGENFELTER</v>
      </c>
      <c r="I54" t="s">
        <v>356</v>
      </c>
      <c r="J54" t="s">
        <v>222</v>
      </c>
      <c r="K54" s="3">
        <v>46143</v>
      </c>
      <c r="L54" t="s">
        <v>52</v>
      </c>
      <c r="M54" t="s">
        <v>64</v>
      </c>
      <c r="N54" t="s">
        <v>65</v>
      </c>
      <c r="O54">
        <v>28.91</v>
      </c>
      <c r="P54">
        <v>0</v>
      </c>
      <c r="Q54">
        <v>28.91</v>
      </c>
      <c r="R54">
        <v>28.91</v>
      </c>
      <c r="S54" t="s">
        <v>683</v>
      </c>
      <c r="T54" t="s">
        <v>686</v>
      </c>
      <c r="U54"/>
      <c r="V54"/>
      <c r="W54"/>
      <c r="X54"/>
      <c r="Y54"/>
      <c r="Z54"/>
    </row>
    <row r="55" spans="1:26" s="1" customFormat="1" x14ac:dyDescent="0.25">
      <c r="A55">
        <v>8307933</v>
      </c>
      <c r="B55">
        <v>8307933</v>
      </c>
      <c r="C55" t="s">
        <v>450</v>
      </c>
      <c r="D55" t="s">
        <v>451</v>
      </c>
      <c r="E55" t="str">
        <f t="shared" si="0"/>
        <v>DCFRRU7</v>
      </c>
      <c r="F55" t="s">
        <v>453</v>
      </c>
      <c r="G55" t="s">
        <v>454</v>
      </c>
      <c r="H55" t="str">
        <f t="shared" si="1"/>
        <v>KYLE MOORE</v>
      </c>
      <c r="I55" t="s">
        <v>455</v>
      </c>
      <c r="J55" t="s">
        <v>457</v>
      </c>
      <c r="K55" s="3">
        <v>46143</v>
      </c>
      <c r="L55" t="s">
        <v>100</v>
      </c>
      <c r="M55" t="s">
        <v>64</v>
      </c>
      <c r="N55" t="s">
        <v>65</v>
      </c>
      <c r="O55">
        <v>28.91</v>
      </c>
      <c r="P55">
        <v>0</v>
      </c>
      <c r="Q55">
        <v>28.91</v>
      </c>
      <c r="R55">
        <v>28.91</v>
      </c>
      <c r="S55" t="s">
        <v>683</v>
      </c>
      <c r="T55" t="s">
        <v>686</v>
      </c>
      <c r="U55"/>
      <c r="V55"/>
      <c r="W55"/>
      <c r="X55"/>
      <c r="Y55"/>
      <c r="Z55"/>
    </row>
    <row r="56" spans="1:26" s="1" customFormat="1" x14ac:dyDescent="0.25">
      <c r="A56">
        <v>8307933</v>
      </c>
      <c r="B56">
        <v>8307933</v>
      </c>
      <c r="C56" t="s">
        <v>450</v>
      </c>
      <c r="D56" t="s">
        <v>487</v>
      </c>
      <c r="E56" t="str">
        <f t="shared" si="0"/>
        <v>DCJ3W47</v>
      </c>
      <c r="F56" t="s">
        <v>97</v>
      </c>
      <c r="G56" t="s">
        <v>489</v>
      </c>
      <c r="H56" t="str">
        <f t="shared" si="1"/>
        <v>MICHAEL QUEST</v>
      </c>
      <c r="I56" t="s">
        <v>47</v>
      </c>
      <c r="J56" t="s">
        <v>83</v>
      </c>
      <c r="K56" s="3">
        <v>46143</v>
      </c>
      <c r="L56" t="s">
        <v>85</v>
      </c>
      <c r="M56" t="s">
        <v>64</v>
      </c>
      <c r="N56" t="s">
        <v>65</v>
      </c>
      <c r="O56">
        <v>28.91</v>
      </c>
      <c r="P56">
        <v>0</v>
      </c>
      <c r="Q56">
        <v>28.91</v>
      </c>
      <c r="R56">
        <v>28.91</v>
      </c>
      <c r="S56" t="s">
        <v>683</v>
      </c>
      <c r="T56" t="s">
        <v>686</v>
      </c>
      <c r="U56"/>
      <c r="V56"/>
      <c r="W56"/>
      <c r="X56"/>
      <c r="Y56"/>
      <c r="Z56"/>
    </row>
    <row r="57" spans="1:26" s="1" customFormat="1" x14ac:dyDescent="0.25">
      <c r="A57">
        <v>19586992</v>
      </c>
      <c r="B57">
        <v>19586992</v>
      </c>
      <c r="C57" t="s">
        <v>42</v>
      </c>
      <c r="D57" t="s">
        <v>420</v>
      </c>
      <c r="E57" t="str">
        <f t="shared" si="0"/>
        <v>DCKKWK7</v>
      </c>
      <c r="F57" t="s">
        <v>422</v>
      </c>
      <c r="G57" t="s">
        <v>423</v>
      </c>
      <c r="H57" t="str">
        <f t="shared" si="1"/>
        <v>DANIEL MARTINEZ</v>
      </c>
      <c r="I57" t="s">
        <v>47</v>
      </c>
      <c r="J57" t="s">
        <v>121</v>
      </c>
      <c r="K57" s="3">
        <v>46143</v>
      </c>
      <c r="L57" t="s">
        <v>85</v>
      </c>
      <c r="M57" t="s">
        <v>64</v>
      </c>
      <c r="N57" t="s">
        <v>65</v>
      </c>
      <c r="O57">
        <v>28.91</v>
      </c>
      <c r="P57">
        <v>0</v>
      </c>
      <c r="Q57">
        <v>28.91</v>
      </c>
      <c r="R57">
        <v>28.91</v>
      </c>
      <c r="S57" t="s">
        <v>683</v>
      </c>
      <c r="T57" t="s">
        <v>686</v>
      </c>
      <c r="U57"/>
      <c r="V57"/>
      <c r="W57"/>
      <c r="X57"/>
      <c r="Y57"/>
      <c r="Z57"/>
    </row>
    <row r="58" spans="1:26" s="1" customFormat="1" x14ac:dyDescent="0.25">
      <c r="A58">
        <v>16633294</v>
      </c>
      <c r="B58">
        <v>16633294</v>
      </c>
      <c r="C58" t="s">
        <v>540</v>
      </c>
      <c r="D58" t="s">
        <v>541</v>
      </c>
      <c r="E58" t="str">
        <f t="shared" si="0"/>
        <v>DCR8CW7</v>
      </c>
      <c r="F58" t="s">
        <v>543</v>
      </c>
      <c r="G58" t="s">
        <v>544</v>
      </c>
      <c r="H58" t="str">
        <f t="shared" si="1"/>
        <v>HEIDI RUELOS</v>
      </c>
      <c r="I58" t="s">
        <v>47</v>
      </c>
      <c r="J58" t="s">
        <v>128</v>
      </c>
      <c r="K58" s="3">
        <v>46143</v>
      </c>
      <c r="L58" t="s">
        <v>52</v>
      </c>
      <c r="M58" t="s">
        <v>64</v>
      </c>
      <c r="N58" t="s">
        <v>65</v>
      </c>
      <c r="O58">
        <v>28.91</v>
      </c>
      <c r="P58">
        <v>0</v>
      </c>
      <c r="Q58">
        <v>28.91</v>
      </c>
      <c r="R58">
        <v>28.91</v>
      </c>
      <c r="S58" t="s">
        <v>683</v>
      </c>
      <c r="T58" t="s">
        <v>686</v>
      </c>
      <c r="U58"/>
      <c r="V58"/>
      <c r="W58"/>
      <c r="X58"/>
      <c r="Y58"/>
      <c r="Z58"/>
    </row>
    <row r="59" spans="1:26" s="1" customFormat="1" x14ac:dyDescent="0.25">
      <c r="A59">
        <v>17126004</v>
      </c>
      <c r="B59">
        <v>17126004</v>
      </c>
      <c r="C59" t="s">
        <v>155</v>
      </c>
      <c r="D59" t="s">
        <v>156</v>
      </c>
      <c r="E59" t="str">
        <f t="shared" si="0"/>
        <v>DCRHUF7</v>
      </c>
      <c r="F59" t="s">
        <v>158</v>
      </c>
      <c r="G59" t="s">
        <v>159</v>
      </c>
      <c r="H59" t="str">
        <f t="shared" si="1"/>
        <v>HELEN BREIDENBACH</v>
      </c>
      <c r="I59" t="s">
        <v>47</v>
      </c>
      <c r="J59" t="s">
        <v>74</v>
      </c>
      <c r="K59" s="3">
        <v>46143</v>
      </c>
      <c r="L59" t="s">
        <v>52</v>
      </c>
      <c r="M59" t="s">
        <v>64</v>
      </c>
      <c r="N59" t="s">
        <v>65</v>
      </c>
      <c r="O59">
        <v>28.91</v>
      </c>
      <c r="P59">
        <v>0</v>
      </c>
      <c r="Q59">
        <v>28.91</v>
      </c>
      <c r="R59">
        <v>28.91</v>
      </c>
      <c r="S59" t="s">
        <v>683</v>
      </c>
      <c r="T59" t="s">
        <v>686</v>
      </c>
      <c r="U59"/>
      <c r="V59"/>
      <c r="W59"/>
      <c r="X59"/>
      <c r="Y59"/>
      <c r="Z59"/>
    </row>
    <row r="60" spans="1:26" s="1" customFormat="1" x14ac:dyDescent="0.25">
      <c r="A60">
        <v>17094718</v>
      </c>
      <c r="B60">
        <v>17094718</v>
      </c>
      <c r="C60" t="s">
        <v>397</v>
      </c>
      <c r="D60" t="s">
        <v>434</v>
      </c>
      <c r="E60" t="str">
        <f t="shared" si="0"/>
        <v>DCU77J7</v>
      </c>
      <c r="F60" t="s">
        <v>110</v>
      </c>
      <c r="G60" t="s">
        <v>436</v>
      </c>
      <c r="H60" t="str">
        <f t="shared" si="1"/>
        <v>MARY MIELE</v>
      </c>
      <c r="I60" t="s">
        <v>437</v>
      </c>
      <c r="J60" t="s">
        <v>357</v>
      </c>
      <c r="K60" s="3">
        <v>46143</v>
      </c>
      <c r="L60" t="s">
        <v>52</v>
      </c>
      <c r="M60" t="s">
        <v>64</v>
      </c>
      <c r="N60" t="s">
        <v>65</v>
      </c>
      <c r="O60">
        <v>28.91</v>
      </c>
      <c r="P60">
        <v>0</v>
      </c>
      <c r="Q60">
        <v>28.91</v>
      </c>
      <c r="R60">
        <v>28.91</v>
      </c>
      <c r="S60" t="s">
        <v>683</v>
      </c>
      <c r="T60" t="s">
        <v>686</v>
      </c>
      <c r="U60"/>
      <c r="V60"/>
      <c r="W60"/>
      <c r="X60"/>
      <c r="Y60"/>
      <c r="Z60"/>
    </row>
    <row r="61" spans="1:26" s="1" customFormat="1" x14ac:dyDescent="0.25">
      <c r="A61">
        <v>20212926</v>
      </c>
      <c r="B61">
        <v>20212926</v>
      </c>
      <c r="C61" t="s">
        <v>94</v>
      </c>
      <c r="D61" t="s">
        <v>172</v>
      </c>
      <c r="E61" t="str">
        <f t="shared" si="0"/>
        <v>DCY63A7</v>
      </c>
      <c r="F61" t="s">
        <v>174</v>
      </c>
      <c r="G61" t="s">
        <v>175</v>
      </c>
      <c r="H61" t="str">
        <f t="shared" si="1"/>
        <v>BERTHA CARRILLO</v>
      </c>
      <c r="I61" t="s">
        <v>47</v>
      </c>
      <c r="J61" t="s">
        <v>74</v>
      </c>
      <c r="K61" s="3">
        <v>46143</v>
      </c>
      <c r="L61" t="s">
        <v>52</v>
      </c>
      <c r="M61" t="s">
        <v>64</v>
      </c>
      <c r="N61" t="s">
        <v>65</v>
      </c>
      <c r="O61">
        <v>28.91</v>
      </c>
      <c r="P61">
        <v>0</v>
      </c>
      <c r="Q61">
        <v>28.91</v>
      </c>
      <c r="R61">
        <v>28.91</v>
      </c>
      <c r="S61" t="s">
        <v>683</v>
      </c>
      <c r="T61" t="s">
        <v>686</v>
      </c>
      <c r="U61"/>
      <c r="V61"/>
      <c r="W61"/>
      <c r="X61"/>
      <c r="Y61"/>
      <c r="Z61"/>
    </row>
    <row r="62" spans="1:26" s="1" customFormat="1" x14ac:dyDescent="0.25">
      <c r="A62">
        <v>19586992</v>
      </c>
      <c r="B62">
        <v>19586992</v>
      </c>
      <c r="C62" t="s">
        <v>42</v>
      </c>
      <c r="D62" t="s">
        <v>312</v>
      </c>
      <c r="E62" t="str">
        <f t="shared" si="0"/>
        <v>DCZUZA7</v>
      </c>
      <c r="F62" t="s">
        <v>115</v>
      </c>
      <c r="G62" t="s">
        <v>314</v>
      </c>
      <c r="H62" t="str">
        <f t="shared" si="1"/>
        <v>PETER GOWOROWSKI</v>
      </c>
      <c r="I62" t="s">
        <v>47</v>
      </c>
      <c r="J62" t="s">
        <v>83</v>
      </c>
      <c r="K62" s="3">
        <v>46143</v>
      </c>
      <c r="L62" t="s">
        <v>85</v>
      </c>
      <c r="M62" t="s">
        <v>64</v>
      </c>
      <c r="N62" t="s">
        <v>65</v>
      </c>
      <c r="O62">
        <v>28.91</v>
      </c>
      <c r="P62">
        <v>0</v>
      </c>
      <c r="Q62">
        <v>28.91</v>
      </c>
      <c r="R62">
        <v>28.91</v>
      </c>
      <c r="S62" t="s">
        <v>683</v>
      </c>
      <c r="T62" t="s">
        <v>686</v>
      </c>
      <c r="U62"/>
      <c r="V62"/>
      <c r="W62"/>
      <c r="X62"/>
      <c r="Y62"/>
      <c r="Z62"/>
    </row>
    <row r="63" spans="1:26" s="1" customFormat="1" x14ac:dyDescent="0.25">
      <c r="A63">
        <v>7470776</v>
      </c>
      <c r="B63">
        <v>7470776</v>
      </c>
      <c r="C63" t="s">
        <v>208</v>
      </c>
      <c r="D63" t="s">
        <v>233</v>
      </c>
      <c r="E63" t="str">
        <f t="shared" si="0"/>
        <v>DE72ZC7</v>
      </c>
      <c r="F63" t="s">
        <v>235</v>
      </c>
      <c r="G63" t="s">
        <v>231</v>
      </c>
      <c r="H63" t="str">
        <f t="shared" si="1"/>
        <v>LAVERNE DONATO</v>
      </c>
      <c r="I63" t="s">
        <v>47</v>
      </c>
      <c r="J63" t="s">
        <v>74</v>
      </c>
      <c r="K63" s="3">
        <v>46143</v>
      </c>
      <c r="L63" t="s">
        <v>52</v>
      </c>
      <c r="M63" t="s">
        <v>64</v>
      </c>
      <c r="N63" t="s">
        <v>65</v>
      </c>
      <c r="O63">
        <v>28.91</v>
      </c>
      <c r="P63">
        <v>0</v>
      </c>
      <c r="Q63">
        <v>28.91</v>
      </c>
      <c r="R63">
        <v>28.91</v>
      </c>
      <c r="S63" t="s">
        <v>683</v>
      </c>
      <c r="T63" t="s">
        <v>686</v>
      </c>
      <c r="U63"/>
      <c r="V63"/>
      <c r="W63"/>
      <c r="X63"/>
      <c r="Y63"/>
      <c r="Z63"/>
    </row>
    <row r="64" spans="1:26" s="1" customFormat="1" x14ac:dyDescent="0.25">
      <c r="A64">
        <v>19396223</v>
      </c>
      <c r="B64">
        <v>19396223</v>
      </c>
      <c r="C64" t="s">
        <v>266</v>
      </c>
      <c r="D64" t="s">
        <v>464</v>
      </c>
      <c r="E64" t="str">
        <f t="shared" si="0"/>
        <v>DE9J4K7</v>
      </c>
      <c r="F64" t="s">
        <v>466</v>
      </c>
      <c r="G64" t="s">
        <v>467</v>
      </c>
      <c r="H64" t="str">
        <f t="shared" si="1"/>
        <v>LASHUN NELSON</v>
      </c>
      <c r="I64" t="s">
        <v>47</v>
      </c>
      <c r="J64" t="s">
        <v>74</v>
      </c>
      <c r="K64" s="3">
        <v>46143</v>
      </c>
      <c r="L64" t="s">
        <v>52</v>
      </c>
      <c r="M64" t="s">
        <v>64</v>
      </c>
      <c r="N64" t="s">
        <v>65</v>
      </c>
      <c r="O64">
        <v>28.91</v>
      </c>
      <c r="P64">
        <v>0</v>
      </c>
      <c r="Q64">
        <v>28.91</v>
      </c>
      <c r="R64">
        <v>28.91</v>
      </c>
      <c r="S64" t="s">
        <v>683</v>
      </c>
      <c r="T64" t="s">
        <v>686</v>
      </c>
      <c r="U64"/>
      <c r="V64"/>
      <c r="W64"/>
      <c r="X64"/>
      <c r="Y64"/>
      <c r="Z64"/>
    </row>
    <row r="65" spans="1:26" s="1" customFormat="1" x14ac:dyDescent="0.25">
      <c r="A65">
        <v>2158366</v>
      </c>
      <c r="B65">
        <v>2158366</v>
      </c>
      <c r="C65" t="s">
        <v>107</v>
      </c>
      <c r="D65" t="s">
        <v>122</v>
      </c>
      <c r="E65" t="str">
        <f t="shared" si="0"/>
        <v>DEAGYA7</v>
      </c>
      <c r="F65" t="s">
        <v>124</v>
      </c>
      <c r="G65" t="s">
        <v>125</v>
      </c>
      <c r="H65" t="str">
        <f t="shared" si="1"/>
        <v>ROBERT BAUER JR</v>
      </c>
      <c r="I65" t="s">
        <v>126</v>
      </c>
      <c r="J65" t="s">
        <v>128</v>
      </c>
      <c r="K65" s="3">
        <v>46143</v>
      </c>
      <c r="L65" t="s">
        <v>85</v>
      </c>
      <c r="M65" t="s">
        <v>64</v>
      </c>
      <c r="N65" t="s">
        <v>65</v>
      </c>
      <c r="O65">
        <v>28.91</v>
      </c>
      <c r="P65">
        <v>0</v>
      </c>
      <c r="Q65">
        <v>28.91</v>
      </c>
      <c r="R65">
        <v>28.91</v>
      </c>
      <c r="S65" t="s">
        <v>683</v>
      </c>
      <c r="T65" t="s">
        <v>686</v>
      </c>
      <c r="U65"/>
      <c r="V65"/>
      <c r="W65"/>
      <c r="X65"/>
      <c r="Y65"/>
      <c r="Z65"/>
    </row>
    <row r="66" spans="1:26" s="1" customFormat="1" x14ac:dyDescent="0.25">
      <c r="A66">
        <v>9213293</v>
      </c>
      <c r="B66">
        <v>9213293</v>
      </c>
      <c r="C66" t="s">
        <v>162</v>
      </c>
      <c r="D66" t="s">
        <v>200</v>
      </c>
      <c r="E66" t="str">
        <f t="shared" si="0"/>
        <v>DEU7R57</v>
      </c>
      <c r="F66" t="s">
        <v>202</v>
      </c>
      <c r="G66" t="s">
        <v>203</v>
      </c>
      <c r="H66" t="str">
        <f t="shared" si="1"/>
        <v>RUSSELL CORP</v>
      </c>
      <c r="I66" t="s">
        <v>204</v>
      </c>
      <c r="J66" t="s">
        <v>74</v>
      </c>
      <c r="K66" s="3">
        <v>46143</v>
      </c>
      <c r="L66" t="s">
        <v>85</v>
      </c>
      <c r="M66" t="s">
        <v>64</v>
      </c>
      <c r="N66" t="s">
        <v>65</v>
      </c>
      <c r="O66">
        <v>28.91</v>
      </c>
      <c r="P66">
        <v>0</v>
      </c>
      <c r="Q66">
        <v>28.91</v>
      </c>
      <c r="R66">
        <v>28.91</v>
      </c>
      <c r="S66" t="s">
        <v>683</v>
      </c>
      <c r="T66" t="s">
        <v>686</v>
      </c>
      <c r="U66"/>
      <c r="V66"/>
      <c r="W66"/>
      <c r="X66"/>
      <c r="Y66"/>
      <c r="Z66"/>
    </row>
    <row r="67" spans="1:26" s="1" customFormat="1" x14ac:dyDescent="0.25">
      <c r="A67">
        <v>9213293</v>
      </c>
      <c r="B67">
        <v>9213293</v>
      </c>
      <c r="C67" t="s">
        <v>162</v>
      </c>
      <c r="D67" t="s">
        <v>483</v>
      </c>
      <c r="E67" t="str">
        <f t="shared" ref="E67:E116" si="2">_xlfn.CONCAT(D67,7)</f>
        <v>DEW7CR7</v>
      </c>
      <c r="F67" t="s">
        <v>382</v>
      </c>
      <c r="G67" t="s">
        <v>485</v>
      </c>
      <c r="H67" t="str">
        <f t="shared" ref="H67:H130" si="3">CONCATENATE(F67," ",G67)</f>
        <v>PATRICIA PROCHASKA</v>
      </c>
      <c r="I67" t="s">
        <v>47</v>
      </c>
      <c r="J67" t="s">
        <v>364</v>
      </c>
      <c r="K67" s="3">
        <v>46143</v>
      </c>
      <c r="L67" t="s">
        <v>85</v>
      </c>
      <c r="M67" t="s">
        <v>64</v>
      </c>
      <c r="N67" t="s">
        <v>65</v>
      </c>
      <c r="O67">
        <v>28.91</v>
      </c>
      <c r="P67">
        <v>0</v>
      </c>
      <c r="Q67">
        <v>28.91</v>
      </c>
      <c r="R67">
        <v>28.91</v>
      </c>
      <c r="S67" t="s">
        <v>683</v>
      </c>
      <c r="T67" t="s">
        <v>686</v>
      </c>
      <c r="U67"/>
      <c r="V67"/>
      <c r="W67"/>
      <c r="X67"/>
      <c r="Y67"/>
      <c r="Z67"/>
    </row>
    <row r="68" spans="1:26" s="1" customFormat="1" x14ac:dyDescent="0.25">
      <c r="A68">
        <v>2158366</v>
      </c>
      <c r="B68">
        <v>2158366</v>
      </c>
      <c r="C68" t="s">
        <v>107</v>
      </c>
      <c r="D68" t="s">
        <v>113</v>
      </c>
      <c r="E68" t="str">
        <f t="shared" si="2"/>
        <v>DFE2327</v>
      </c>
      <c r="F68" t="s">
        <v>115</v>
      </c>
      <c r="G68" t="s">
        <v>111</v>
      </c>
      <c r="H68" t="str">
        <f t="shared" si="3"/>
        <v>PETER BARR</v>
      </c>
      <c r="I68" t="s">
        <v>47</v>
      </c>
      <c r="J68" t="s">
        <v>74</v>
      </c>
      <c r="K68" s="3">
        <v>46143</v>
      </c>
      <c r="L68" t="s">
        <v>85</v>
      </c>
      <c r="M68" t="s">
        <v>64</v>
      </c>
      <c r="N68" t="s">
        <v>65</v>
      </c>
      <c r="O68">
        <v>28.91</v>
      </c>
      <c r="P68">
        <v>0</v>
      </c>
      <c r="Q68">
        <v>28.91</v>
      </c>
      <c r="R68">
        <v>28.91</v>
      </c>
      <c r="S68" t="s">
        <v>683</v>
      </c>
      <c r="T68" t="s">
        <v>686</v>
      </c>
      <c r="U68"/>
      <c r="V68"/>
      <c r="W68"/>
      <c r="X68"/>
      <c r="Y68"/>
      <c r="Z68"/>
    </row>
    <row r="69" spans="1:26" s="1" customFormat="1" x14ac:dyDescent="0.25">
      <c r="A69">
        <v>17301495</v>
      </c>
      <c r="B69">
        <v>17301495</v>
      </c>
      <c r="C69" t="s">
        <v>56</v>
      </c>
      <c r="D69" t="s">
        <v>323</v>
      </c>
      <c r="E69" t="str">
        <f t="shared" si="2"/>
        <v>DG4GHG7</v>
      </c>
      <c r="F69" t="s">
        <v>325</v>
      </c>
      <c r="G69" t="s">
        <v>326</v>
      </c>
      <c r="H69" t="str">
        <f t="shared" si="3"/>
        <v>HECTOR HERNANDEZ</v>
      </c>
      <c r="I69" t="s">
        <v>47</v>
      </c>
      <c r="J69" t="s">
        <v>128</v>
      </c>
      <c r="K69" s="3">
        <v>46143</v>
      </c>
      <c r="L69" t="s">
        <v>85</v>
      </c>
      <c r="M69" t="s">
        <v>64</v>
      </c>
      <c r="N69" t="s">
        <v>65</v>
      </c>
      <c r="O69">
        <v>28.91</v>
      </c>
      <c r="P69">
        <v>0</v>
      </c>
      <c r="Q69">
        <v>28.91</v>
      </c>
      <c r="R69">
        <v>28.91</v>
      </c>
      <c r="S69" t="s">
        <v>683</v>
      </c>
      <c r="T69" t="s">
        <v>686</v>
      </c>
      <c r="U69"/>
      <c r="V69"/>
      <c r="W69"/>
      <c r="X69"/>
      <c r="Y69"/>
      <c r="Z69"/>
    </row>
    <row r="70" spans="1:26" s="1" customFormat="1" x14ac:dyDescent="0.25">
      <c r="A70">
        <v>16633294</v>
      </c>
      <c r="B70">
        <v>16633294</v>
      </c>
      <c r="C70" t="s">
        <v>540</v>
      </c>
      <c r="D70" t="s">
        <v>573</v>
      </c>
      <c r="E70" t="str">
        <f t="shared" si="2"/>
        <v>DG6YEF7</v>
      </c>
      <c r="F70" t="s">
        <v>538</v>
      </c>
      <c r="G70" t="s">
        <v>572</v>
      </c>
      <c r="H70" t="str">
        <f t="shared" si="3"/>
        <v>SCOTT SMITH</v>
      </c>
      <c r="I70" t="s">
        <v>47</v>
      </c>
      <c r="J70" t="s">
        <v>74</v>
      </c>
      <c r="K70" s="3">
        <v>46143</v>
      </c>
      <c r="L70" t="s">
        <v>52</v>
      </c>
      <c r="M70" t="s">
        <v>64</v>
      </c>
      <c r="N70" t="s">
        <v>65</v>
      </c>
      <c r="O70">
        <v>28.91</v>
      </c>
      <c r="P70">
        <v>0</v>
      </c>
      <c r="Q70">
        <v>28.91</v>
      </c>
      <c r="R70">
        <v>28.91</v>
      </c>
      <c r="S70" t="s">
        <v>683</v>
      </c>
      <c r="T70" t="s">
        <v>686</v>
      </c>
      <c r="U70"/>
      <c r="V70"/>
      <c r="W70"/>
      <c r="X70"/>
      <c r="Y70"/>
      <c r="Z70"/>
    </row>
    <row r="71" spans="1:26" s="1" customFormat="1" x14ac:dyDescent="0.25">
      <c r="A71">
        <v>18142208</v>
      </c>
      <c r="B71">
        <v>18142208</v>
      </c>
      <c r="C71" t="s">
        <v>67</v>
      </c>
      <c r="D71" t="s">
        <v>68</v>
      </c>
      <c r="E71" t="str">
        <f t="shared" si="2"/>
        <v>DG99227</v>
      </c>
      <c r="F71" t="s">
        <v>70</v>
      </c>
      <c r="G71" t="s">
        <v>71</v>
      </c>
      <c r="H71" t="str">
        <f t="shared" si="3"/>
        <v>MARILYN ANDERSON</v>
      </c>
      <c r="I71" t="s">
        <v>72</v>
      </c>
      <c r="J71" t="s">
        <v>74</v>
      </c>
      <c r="K71" s="3">
        <v>46143</v>
      </c>
      <c r="L71" t="s">
        <v>52</v>
      </c>
      <c r="M71" t="s">
        <v>64</v>
      </c>
      <c r="N71" t="s">
        <v>65</v>
      </c>
      <c r="O71">
        <v>28.91</v>
      </c>
      <c r="P71">
        <v>0</v>
      </c>
      <c r="Q71">
        <v>28.91</v>
      </c>
      <c r="R71">
        <v>28.91</v>
      </c>
      <c r="S71" t="s">
        <v>683</v>
      </c>
      <c r="T71" t="s">
        <v>686</v>
      </c>
      <c r="U71"/>
      <c r="V71"/>
      <c r="W71"/>
      <c r="X71"/>
      <c r="Y71"/>
      <c r="Z71"/>
    </row>
    <row r="72" spans="1:26" s="1" customFormat="1" x14ac:dyDescent="0.25">
      <c r="A72">
        <v>16683808</v>
      </c>
      <c r="B72">
        <v>16683808</v>
      </c>
      <c r="C72" t="s">
        <v>237</v>
      </c>
      <c r="D72" t="s">
        <v>238</v>
      </c>
      <c r="E72" t="str">
        <f t="shared" si="2"/>
        <v>DH28HS7</v>
      </c>
      <c r="F72" t="s">
        <v>240</v>
      </c>
      <c r="G72" t="s">
        <v>241</v>
      </c>
      <c r="H72" t="str">
        <f t="shared" si="3"/>
        <v>MELQUEA EDWARDS</v>
      </c>
      <c r="I72" t="s">
        <v>81</v>
      </c>
      <c r="J72" t="s">
        <v>243</v>
      </c>
      <c r="K72" s="3">
        <v>46143</v>
      </c>
      <c r="L72" t="s">
        <v>52</v>
      </c>
      <c r="M72" t="s">
        <v>64</v>
      </c>
      <c r="N72" t="s">
        <v>65</v>
      </c>
      <c r="O72">
        <v>28.91</v>
      </c>
      <c r="P72">
        <v>0</v>
      </c>
      <c r="Q72">
        <v>28.91</v>
      </c>
      <c r="R72">
        <v>28.91</v>
      </c>
      <c r="S72" t="s">
        <v>683</v>
      </c>
      <c r="T72" t="s">
        <v>686</v>
      </c>
      <c r="U72"/>
      <c r="V72"/>
      <c r="W72"/>
      <c r="X72"/>
      <c r="Y72"/>
      <c r="Z72"/>
    </row>
    <row r="73" spans="1:26" s="1" customFormat="1" x14ac:dyDescent="0.25">
      <c r="A73">
        <v>17126004</v>
      </c>
      <c r="B73">
        <v>17126004</v>
      </c>
      <c r="C73" t="s">
        <v>155</v>
      </c>
      <c r="D73" t="s">
        <v>217</v>
      </c>
      <c r="E73" t="str">
        <f t="shared" si="2"/>
        <v>DHF6GK7</v>
      </c>
      <c r="F73" t="s">
        <v>219</v>
      </c>
      <c r="G73" t="s">
        <v>220</v>
      </c>
      <c r="H73" t="str">
        <f t="shared" si="3"/>
        <v>RALPH DE LA FUENTE</v>
      </c>
      <c r="I73" t="s">
        <v>126</v>
      </c>
      <c r="J73" t="s">
        <v>222</v>
      </c>
      <c r="K73" s="3">
        <v>46143</v>
      </c>
      <c r="L73" t="s">
        <v>52</v>
      </c>
      <c r="M73" t="s">
        <v>64</v>
      </c>
      <c r="N73" t="s">
        <v>65</v>
      </c>
      <c r="O73">
        <v>28.91</v>
      </c>
      <c r="P73">
        <v>0</v>
      </c>
      <c r="Q73">
        <v>28.91</v>
      </c>
      <c r="R73">
        <v>28.91</v>
      </c>
      <c r="S73" t="s">
        <v>683</v>
      </c>
      <c r="T73" t="s">
        <v>686</v>
      </c>
      <c r="U73"/>
      <c r="V73"/>
      <c r="W73"/>
      <c r="X73"/>
      <c r="Y73"/>
      <c r="Z73"/>
    </row>
    <row r="74" spans="1:26" s="1" customFormat="1" x14ac:dyDescent="0.25">
      <c r="A74">
        <v>19586992</v>
      </c>
      <c r="B74">
        <v>19586992</v>
      </c>
      <c r="C74" t="s">
        <v>42</v>
      </c>
      <c r="D74" t="s">
        <v>345</v>
      </c>
      <c r="E74" t="str">
        <f t="shared" si="2"/>
        <v>DHRYRA7</v>
      </c>
      <c r="F74" t="s">
        <v>347</v>
      </c>
      <c r="G74" t="s">
        <v>348</v>
      </c>
      <c r="H74" t="str">
        <f t="shared" si="3"/>
        <v>CATHERINE JAMES</v>
      </c>
      <c r="I74" t="s">
        <v>47</v>
      </c>
      <c r="J74" t="s">
        <v>74</v>
      </c>
      <c r="K74" s="3">
        <v>46143</v>
      </c>
      <c r="L74" t="s">
        <v>100</v>
      </c>
      <c r="M74" t="s">
        <v>64</v>
      </c>
      <c r="N74" t="s">
        <v>65</v>
      </c>
      <c r="O74">
        <v>28.91</v>
      </c>
      <c r="P74">
        <v>0</v>
      </c>
      <c r="Q74">
        <v>28.91</v>
      </c>
      <c r="R74">
        <v>28.91</v>
      </c>
      <c r="S74" t="s">
        <v>683</v>
      </c>
      <c r="T74" t="s">
        <v>686</v>
      </c>
      <c r="U74"/>
      <c r="V74"/>
      <c r="W74"/>
      <c r="X74"/>
      <c r="Y74"/>
      <c r="Z74"/>
    </row>
    <row r="75" spans="1:26" s="1" customFormat="1" x14ac:dyDescent="0.25">
      <c r="A75">
        <v>7470776</v>
      </c>
      <c r="B75">
        <v>7470776</v>
      </c>
      <c r="C75" t="s">
        <v>208</v>
      </c>
      <c r="D75" t="s">
        <v>228</v>
      </c>
      <c r="E75" t="str">
        <f t="shared" si="2"/>
        <v>DHSKKF7</v>
      </c>
      <c r="F75" t="s">
        <v>230</v>
      </c>
      <c r="G75" t="s">
        <v>231</v>
      </c>
      <c r="H75" t="str">
        <f t="shared" si="3"/>
        <v>CASIMER DONATO</v>
      </c>
      <c r="I75" t="s">
        <v>47</v>
      </c>
      <c r="J75" t="s">
        <v>74</v>
      </c>
      <c r="K75" s="3">
        <v>46143</v>
      </c>
      <c r="L75" t="s">
        <v>52</v>
      </c>
      <c r="M75" t="s">
        <v>64</v>
      </c>
      <c r="N75" t="s">
        <v>65</v>
      </c>
      <c r="O75">
        <v>28.91</v>
      </c>
      <c r="P75">
        <v>0</v>
      </c>
      <c r="Q75">
        <v>28.91</v>
      </c>
      <c r="R75">
        <v>28.91</v>
      </c>
      <c r="S75" t="s">
        <v>683</v>
      </c>
      <c r="T75" t="s">
        <v>686</v>
      </c>
      <c r="U75"/>
      <c r="V75"/>
      <c r="W75"/>
      <c r="X75"/>
      <c r="Y75"/>
      <c r="Z75"/>
    </row>
    <row r="76" spans="1:26" s="1" customFormat="1" x14ac:dyDescent="0.25">
      <c r="A76">
        <v>17301495</v>
      </c>
      <c r="B76">
        <v>17301495</v>
      </c>
      <c r="C76" t="s">
        <v>56</v>
      </c>
      <c r="D76" t="s">
        <v>116</v>
      </c>
      <c r="E76" t="str">
        <f t="shared" si="2"/>
        <v>DJ4K767</v>
      </c>
      <c r="F76" t="s">
        <v>118</v>
      </c>
      <c r="G76" t="s">
        <v>119</v>
      </c>
      <c r="H76" t="str">
        <f t="shared" si="3"/>
        <v>MARYLINE BARRAUD</v>
      </c>
      <c r="I76" t="s">
        <v>47</v>
      </c>
      <c r="J76" t="s">
        <v>121</v>
      </c>
      <c r="K76" s="3">
        <v>46143</v>
      </c>
      <c r="L76" t="s">
        <v>85</v>
      </c>
      <c r="M76" t="s">
        <v>64</v>
      </c>
      <c r="N76" t="s">
        <v>65</v>
      </c>
      <c r="O76">
        <v>28.91</v>
      </c>
      <c r="P76">
        <v>0</v>
      </c>
      <c r="Q76">
        <v>28.91</v>
      </c>
      <c r="R76">
        <v>28.91</v>
      </c>
      <c r="S76" t="s">
        <v>683</v>
      </c>
      <c r="T76" t="s">
        <v>686</v>
      </c>
      <c r="U76"/>
      <c r="V76"/>
      <c r="W76"/>
      <c r="X76"/>
      <c r="Y76"/>
      <c r="Z76"/>
    </row>
    <row r="77" spans="1:26" s="1" customFormat="1" x14ac:dyDescent="0.25">
      <c r="A77">
        <v>19586992</v>
      </c>
      <c r="B77">
        <v>19586992</v>
      </c>
      <c r="C77" t="s">
        <v>42</v>
      </c>
      <c r="D77" t="s">
        <v>569</v>
      </c>
      <c r="E77" t="str">
        <f t="shared" si="2"/>
        <v>DJGRC47</v>
      </c>
      <c r="F77" t="s">
        <v>571</v>
      </c>
      <c r="G77" t="s">
        <v>572</v>
      </c>
      <c r="H77" t="str">
        <f t="shared" si="3"/>
        <v>KIM SMITH</v>
      </c>
      <c r="I77" t="s">
        <v>437</v>
      </c>
      <c r="J77" t="s">
        <v>74</v>
      </c>
      <c r="K77" s="3">
        <v>46143</v>
      </c>
      <c r="L77" t="s">
        <v>85</v>
      </c>
      <c r="M77" t="s">
        <v>64</v>
      </c>
      <c r="N77" t="s">
        <v>65</v>
      </c>
      <c r="O77">
        <v>28.91</v>
      </c>
      <c r="P77">
        <v>0</v>
      </c>
      <c r="Q77">
        <v>28.91</v>
      </c>
      <c r="R77">
        <v>28.91</v>
      </c>
      <c r="S77" t="s">
        <v>683</v>
      </c>
      <c r="T77" t="s">
        <v>686</v>
      </c>
      <c r="U77"/>
      <c r="V77"/>
      <c r="W77"/>
      <c r="X77"/>
      <c r="Y77"/>
      <c r="Z77"/>
    </row>
    <row r="78" spans="1:26" s="1" customFormat="1" x14ac:dyDescent="0.25">
      <c r="A78">
        <v>17126004</v>
      </c>
      <c r="B78">
        <v>17126004</v>
      </c>
      <c r="C78" t="s">
        <v>155</v>
      </c>
      <c r="D78" t="s">
        <v>277</v>
      </c>
      <c r="E78" t="str">
        <f t="shared" si="2"/>
        <v>DJHS477</v>
      </c>
      <c r="F78" t="s">
        <v>279</v>
      </c>
      <c r="G78" t="s">
        <v>280</v>
      </c>
      <c r="H78" t="str">
        <f t="shared" si="3"/>
        <v>ELIZABETH FALCONER</v>
      </c>
      <c r="I78" t="s">
        <v>47</v>
      </c>
      <c r="J78" t="s">
        <v>222</v>
      </c>
      <c r="K78" s="3">
        <v>46143</v>
      </c>
      <c r="L78" t="s">
        <v>52</v>
      </c>
      <c r="M78" t="s">
        <v>64</v>
      </c>
      <c r="N78" t="s">
        <v>65</v>
      </c>
      <c r="O78">
        <v>28.91</v>
      </c>
      <c r="P78">
        <v>0</v>
      </c>
      <c r="Q78">
        <v>28.91</v>
      </c>
      <c r="R78">
        <v>28.91</v>
      </c>
      <c r="S78" t="s">
        <v>683</v>
      </c>
      <c r="T78" t="s">
        <v>686</v>
      </c>
      <c r="U78"/>
      <c r="V78"/>
      <c r="W78"/>
      <c r="X78"/>
      <c r="Y78"/>
      <c r="Z78"/>
    </row>
    <row r="79" spans="1:26" s="1" customFormat="1" x14ac:dyDescent="0.25">
      <c r="A79">
        <v>7146581</v>
      </c>
      <c r="B79">
        <v>7146581</v>
      </c>
      <c r="C79" t="s">
        <v>87</v>
      </c>
      <c r="D79" t="s">
        <v>590</v>
      </c>
      <c r="E79" t="str">
        <f t="shared" si="2"/>
        <v>DJJ9HY7</v>
      </c>
      <c r="F79" t="s">
        <v>592</v>
      </c>
      <c r="G79" t="s">
        <v>593</v>
      </c>
      <c r="H79" t="str">
        <f t="shared" si="3"/>
        <v>MARK STEPHANO</v>
      </c>
      <c r="I79" t="s">
        <v>47</v>
      </c>
      <c r="J79" t="s">
        <v>74</v>
      </c>
      <c r="K79" s="3">
        <v>46143</v>
      </c>
      <c r="L79" t="s">
        <v>52</v>
      </c>
      <c r="M79" t="s">
        <v>64</v>
      </c>
      <c r="N79" t="s">
        <v>65</v>
      </c>
      <c r="O79">
        <v>28.91</v>
      </c>
      <c r="P79">
        <v>0</v>
      </c>
      <c r="Q79">
        <v>28.91</v>
      </c>
      <c r="R79">
        <v>28.91</v>
      </c>
      <c r="S79" t="s">
        <v>683</v>
      </c>
      <c r="T79" t="s">
        <v>686</v>
      </c>
      <c r="U79"/>
      <c r="V79"/>
      <c r="W79"/>
      <c r="X79"/>
      <c r="Y79"/>
      <c r="Z79"/>
    </row>
    <row r="80" spans="1:26" s="1" customFormat="1" x14ac:dyDescent="0.25">
      <c r="A80">
        <v>17126004</v>
      </c>
      <c r="B80">
        <v>17126004</v>
      </c>
      <c r="C80" t="s">
        <v>155</v>
      </c>
      <c r="D80" t="s">
        <v>415</v>
      </c>
      <c r="E80" t="str">
        <f t="shared" si="2"/>
        <v>DK5Y9F7</v>
      </c>
      <c r="F80" t="s">
        <v>417</v>
      </c>
      <c r="G80" t="s">
        <v>418</v>
      </c>
      <c r="H80" t="str">
        <f t="shared" si="3"/>
        <v>PETROS MARKOPOULOS</v>
      </c>
      <c r="I80" t="s">
        <v>126</v>
      </c>
      <c r="J80" t="s">
        <v>74</v>
      </c>
      <c r="K80" s="3">
        <v>46143</v>
      </c>
      <c r="L80" t="s">
        <v>85</v>
      </c>
      <c r="M80" t="s">
        <v>64</v>
      </c>
      <c r="N80" t="s">
        <v>65</v>
      </c>
      <c r="O80">
        <v>28.91</v>
      </c>
      <c r="P80">
        <v>0</v>
      </c>
      <c r="Q80">
        <v>28.91</v>
      </c>
      <c r="R80">
        <v>28.91</v>
      </c>
      <c r="S80" t="s">
        <v>683</v>
      </c>
      <c r="T80" t="s">
        <v>686</v>
      </c>
      <c r="U80"/>
      <c r="V80"/>
      <c r="W80"/>
      <c r="X80"/>
      <c r="Y80"/>
      <c r="Z80"/>
    </row>
    <row r="81" spans="1:26" s="1" customFormat="1" x14ac:dyDescent="0.25">
      <c r="A81">
        <v>16865615</v>
      </c>
      <c r="B81">
        <v>16865615</v>
      </c>
      <c r="C81" t="s">
        <v>351</v>
      </c>
      <c r="D81" t="s">
        <v>633</v>
      </c>
      <c r="E81" t="str">
        <f t="shared" si="2"/>
        <v>DK8GWE7</v>
      </c>
      <c r="F81" t="s">
        <v>386</v>
      </c>
      <c r="G81" t="s">
        <v>635</v>
      </c>
      <c r="H81" t="str">
        <f t="shared" si="3"/>
        <v>SANDRA WATERS</v>
      </c>
      <c r="I81" t="s">
        <v>356</v>
      </c>
      <c r="J81" t="s">
        <v>74</v>
      </c>
      <c r="K81" s="3">
        <v>46143</v>
      </c>
      <c r="L81" t="s">
        <v>52</v>
      </c>
      <c r="M81" t="s">
        <v>64</v>
      </c>
      <c r="N81" t="s">
        <v>65</v>
      </c>
      <c r="O81">
        <v>28.91</v>
      </c>
      <c r="P81">
        <v>0</v>
      </c>
      <c r="Q81">
        <v>28.91</v>
      </c>
      <c r="R81">
        <v>28.91</v>
      </c>
      <c r="S81" t="s">
        <v>683</v>
      </c>
      <c r="T81" t="s">
        <v>686</v>
      </c>
      <c r="U81"/>
      <c r="V81"/>
      <c r="W81"/>
      <c r="X81"/>
      <c r="Y81"/>
      <c r="Z81"/>
    </row>
    <row r="82" spans="1:26" s="1" customFormat="1" x14ac:dyDescent="0.25">
      <c r="A82">
        <v>9213293</v>
      </c>
      <c r="B82">
        <v>9213293</v>
      </c>
      <c r="C82" t="s">
        <v>162</v>
      </c>
      <c r="D82" t="s">
        <v>558</v>
      </c>
      <c r="E82" t="str">
        <f t="shared" si="2"/>
        <v>DR48267</v>
      </c>
      <c r="F82" t="s">
        <v>560</v>
      </c>
      <c r="G82" t="s">
        <v>561</v>
      </c>
      <c r="H82" t="str">
        <f t="shared" si="3"/>
        <v>DONALD SCHMIDT</v>
      </c>
      <c r="I82" t="s">
        <v>81</v>
      </c>
      <c r="J82" t="s">
        <v>49</v>
      </c>
      <c r="K82" s="3">
        <v>46143</v>
      </c>
      <c r="L82" t="s">
        <v>52</v>
      </c>
      <c r="M82" t="s">
        <v>64</v>
      </c>
      <c r="N82" t="s">
        <v>65</v>
      </c>
      <c r="O82">
        <v>28.91</v>
      </c>
      <c r="P82">
        <v>0</v>
      </c>
      <c r="Q82">
        <v>28.91</v>
      </c>
      <c r="R82">
        <v>28.91</v>
      </c>
      <c r="S82" t="s">
        <v>683</v>
      </c>
      <c r="T82" t="s">
        <v>686</v>
      </c>
      <c r="U82"/>
      <c r="V82"/>
      <c r="W82"/>
      <c r="X82"/>
      <c r="Y82"/>
      <c r="Z82"/>
    </row>
    <row r="83" spans="1:26" s="1" customFormat="1" x14ac:dyDescent="0.25">
      <c r="A83">
        <v>20212926</v>
      </c>
      <c r="B83">
        <v>20212926</v>
      </c>
      <c r="C83" t="s">
        <v>94</v>
      </c>
      <c r="D83" t="s">
        <v>658</v>
      </c>
      <c r="E83" t="str">
        <f t="shared" si="2"/>
        <v>DR59AA7</v>
      </c>
      <c r="F83" t="s">
        <v>341</v>
      </c>
      <c r="G83" t="s">
        <v>660</v>
      </c>
      <c r="H83" t="str">
        <f t="shared" si="3"/>
        <v>MARIA YUQUILIMA</v>
      </c>
      <c r="I83" t="s">
        <v>47</v>
      </c>
      <c r="J83" t="s">
        <v>62</v>
      </c>
      <c r="K83" s="3">
        <v>46143</v>
      </c>
      <c r="L83" t="s">
        <v>52</v>
      </c>
      <c r="M83" t="s">
        <v>64</v>
      </c>
      <c r="N83" t="s">
        <v>65</v>
      </c>
      <c r="O83">
        <v>28.91</v>
      </c>
      <c r="P83">
        <v>0</v>
      </c>
      <c r="Q83">
        <v>28.91</v>
      </c>
      <c r="R83">
        <v>28.91</v>
      </c>
      <c r="S83" t="s">
        <v>683</v>
      </c>
      <c r="T83" t="s">
        <v>686</v>
      </c>
      <c r="U83"/>
      <c r="V83"/>
      <c r="W83"/>
      <c r="X83"/>
      <c r="Y83"/>
      <c r="Z83"/>
    </row>
    <row r="84" spans="1:26" s="1" customFormat="1" x14ac:dyDescent="0.25">
      <c r="A84">
        <v>17126004</v>
      </c>
      <c r="B84">
        <v>17126004</v>
      </c>
      <c r="C84" t="s">
        <v>155</v>
      </c>
      <c r="D84" t="s">
        <v>425</v>
      </c>
      <c r="E84" t="str">
        <f t="shared" si="2"/>
        <v>DR8EJR7</v>
      </c>
      <c r="F84" t="s">
        <v>427</v>
      </c>
      <c r="G84" t="s">
        <v>428</v>
      </c>
      <c r="H84" t="str">
        <f t="shared" si="3"/>
        <v>THERESA MCAULEY</v>
      </c>
      <c r="I84" t="s">
        <v>47</v>
      </c>
      <c r="J84" t="s">
        <v>199</v>
      </c>
      <c r="K84" s="3">
        <v>46143</v>
      </c>
      <c r="L84" t="s">
        <v>85</v>
      </c>
      <c r="M84" t="s">
        <v>64</v>
      </c>
      <c r="N84" t="s">
        <v>65</v>
      </c>
      <c r="O84">
        <v>28.91</v>
      </c>
      <c r="P84">
        <v>0</v>
      </c>
      <c r="Q84">
        <v>28.91</v>
      </c>
      <c r="R84">
        <v>28.91</v>
      </c>
      <c r="S84" t="s">
        <v>683</v>
      </c>
      <c r="T84" t="s">
        <v>686</v>
      </c>
      <c r="U84"/>
      <c r="V84"/>
      <c r="W84"/>
      <c r="X84"/>
      <c r="Y84"/>
      <c r="Z84"/>
    </row>
    <row r="85" spans="1:26" s="1" customFormat="1" x14ac:dyDescent="0.25">
      <c r="A85">
        <v>7146581</v>
      </c>
      <c r="B85">
        <v>7146581</v>
      </c>
      <c r="C85" t="s">
        <v>87</v>
      </c>
      <c r="D85" t="s">
        <v>249</v>
      </c>
      <c r="E85" t="str">
        <f t="shared" si="2"/>
        <v>DR9GSJ7</v>
      </c>
      <c r="F85" t="s">
        <v>251</v>
      </c>
      <c r="G85" t="s">
        <v>252</v>
      </c>
      <c r="H85" t="str">
        <f t="shared" si="3"/>
        <v>SHEILA ENGLISH</v>
      </c>
      <c r="I85" t="s">
        <v>47</v>
      </c>
      <c r="J85" t="s">
        <v>74</v>
      </c>
      <c r="K85" s="3">
        <v>46143</v>
      </c>
      <c r="L85" t="s">
        <v>52</v>
      </c>
      <c r="M85" t="s">
        <v>64</v>
      </c>
      <c r="N85" t="s">
        <v>65</v>
      </c>
      <c r="O85">
        <v>28.91</v>
      </c>
      <c r="P85">
        <v>0</v>
      </c>
      <c r="Q85">
        <v>28.91</v>
      </c>
      <c r="R85">
        <v>28.91</v>
      </c>
      <c r="S85" t="s">
        <v>683</v>
      </c>
      <c r="T85" t="s">
        <v>686</v>
      </c>
      <c r="U85"/>
      <c r="V85"/>
      <c r="W85"/>
      <c r="X85"/>
      <c r="Y85"/>
      <c r="Z85"/>
    </row>
    <row r="86" spans="1:26" s="1" customFormat="1" x14ac:dyDescent="0.25">
      <c r="A86">
        <v>16865615</v>
      </c>
      <c r="B86">
        <v>16865615</v>
      </c>
      <c r="C86" t="s">
        <v>351</v>
      </c>
      <c r="D86" t="s">
        <v>403</v>
      </c>
      <c r="E86" t="str">
        <f t="shared" si="2"/>
        <v>DRS3267</v>
      </c>
      <c r="F86" t="s">
        <v>405</v>
      </c>
      <c r="G86" t="s">
        <v>406</v>
      </c>
      <c r="H86" t="str">
        <f t="shared" si="3"/>
        <v>EUGENE LYZUN</v>
      </c>
      <c r="I86" t="s">
        <v>47</v>
      </c>
      <c r="J86" t="s">
        <v>222</v>
      </c>
      <c r="K86" s="3">
        <v>46143</v>
      </c>
      <c r="L86" t="s">
        <v>52</v>
      </c>
      <c r="M86" t="s">
        <v>64</v>
      </c>
      <c r="N86" t="s">
        <v>65</v>
      </c>
      <c r="O86">
        <v>28.91</v>
      </c>
      <c r="P86">
        <v>0</v>
      </c>
      <c r="Q86">
        <v>28.91</v>
      </c>
      <c r="R86">
        <v>28.91</v>
      </c>
      <c r="S86" t="s">
        <v>683</v>
      </c>
      <c r="T86" t="s">
        <v>686</v>
      </c>
      <c r="U86"/>
      <c r="V86"/>
      <c r="W86"/>
      <c r="X86"/>
      <c r="Y86"/>
      <c r="Z86"/>
    </row>
    <row r="87" spans="1:26" s="1" customFormat="1" x14ac:dyDescent="0.25">
      <c r="A87">
        <v>2158366</v>
      </c>
      <c r="B87">
        <v>2158366</v>
      </c>
      <c r="C87" t="s">
        <v>107</v>
      </c>
      <c r="D87" t="s">
        <v>479</v>
      </c>
      <c r="E87" t="str">
        <f t="shared" si="2"/>
        <v>DRUSCG7</v>
      </c>
      <c r="F87" t="s">
        <v>481</v>
      </c>
      <c r="G87" t="s">
        <v>482</v>
      </c>
      <c r="H87" t="str">
        <f t="shared" si="3"/>
        <v>BARBARA POWELL</v>
      </c>
      <c r="I87" t="s">
        <v>47</v>
      </c>
      <c r="J87" t="s">
        <v>74</v>
      </c>
      <c r="K87" s="3">
        <v>46143</v>
      </c>
      <c r="L87" t="s">
        <v>85</v>
      </c>
      <c r="M87" t="s">
        <v>64</v>
      </c>
      <c r="N87" t="s">
        <v>65</v>
      </c>
      <c r="O87">
        <v>28.91</v>
      </c>
      <c r="P87">
        <v>0</v>
      </c>
      <c r="Q87">
        <v>28.91</v>
      </c>
      <c r="R87">
        <v>28.91</v>
      </c>
      <c r="S87" t="s">
        <v>683</v>
      </c>
      <c r="T87" t="s">
        <v>686</v>
      </c>
      <c r="U87"/>
      <c r="V87"/>
      <c r="W87"/>
      <c r="X87"/>
      <c r="Y87"/>
      <c r="Z87"/>
    </row>
    <row r="88" spans="1:26" s="1" customFormat="1" x14ac:dyDescent="0.25">
      <c r="A88">
        <v>19586992</v>
      </c>
      <c r="B88">
        <v>19586992</v>
      </c>
      <c r="C88" t="s">
        <v>42</v>
      </c>
      <c r="D88" t="s">
        <v>645</v>
      </c>
      <c r="E88" t="str">
        <f t="shared" si="2"/>
        <v>DRUW3J7</v>
      </c>
      <c r="F88" t="s">
        <v>647</v>
      </c>
      <c r="G88" t="s">
        <v>648</v>
      </c>
      <c r="H88" t="str">
        <f t="shared" si="3"/>
        <v>NICOLASA WILSON</v>
      </c>
      <c r="I88" t="s">
        <v>47</v>
      </c>
      <c r="J88" t="s">
        <v>83</v>
      </c>
      <c r="K88" s="3">
        <v>46143</v>
      </c>
      <c r="L88" t="s">
        <v>85</v>
      </c>
      <c r="M88" t="s">
        <v>64</v>
      </c>
      <c r="N88" t="s">
        <v>65</v>
      </c>
      <c r="O88">
        <v>28.91</v>
      </c>
      <c r="P88">
        <v>0</v>
      </c>
      <c r="Q88">
        <v>28.91</v>
      </c>
      <c r="R88">
        <v>28.91</v>
      </c>
      <c r="S88" t="s">
        <v>683</v>
      </c>
      <c r="T88" t="s">
        <v>686</v>
      </c>
      <c r="U88"/>
      <c r="V88"/>
      <c r="W88"/>
      <c r="X88"/>
      <c r="Y88"/>
      <c r="Z88"/>
    </row>
    <row r="89" spans="1:26" s="1" customFormat="1" x14ac:dyDescent="0.25">
      <c r="A89">
        <v>17094718</v>
      </c>
      <c r="B89">
        <v>17094718</v>
      </c>
      <c r="C89" t="s">
        <v>397</v>
      </c>
      <c r="D89" t="s">
        <v>398</v>
      </c>
      <c r="E89" t="str">
        <f t="shared" si="2"/>
        <v>DRZF487</v>
      </c>
      <c r="F89" t="s">
        <v>382</v>
      </c>
      <c r="G89" t="s">
        <v>400</v>
      </c>
      <c r="H89" t="str">
        <f t="shared" si="3"/>
        <v>PATRICIA LYDON</v>
      </c>
      <c r="I89" t="s">
        <v>401</v>
      </c>
      <c r="J89" t="s">
        <v>74</v>
      </c>
      <c r="K89" s="3">
        <v>46143</v>
      </c>
      <c r="L89" t="s">
        <v>52</v>
      </c>
      <c r="M89" t="s">
        <v>64</v>
      </c>
      <c r="N89" t="s">
        <v>65</v>
      </c>
      <c r="O89">
        <v>28.91</v>
      </c>
      <c r="P89">
        <v>0</v>
      </c>
      <c r="Q89">
        <v>28.91</v>
      </c>
      <c r="R89">
        <v>28.91</v>
      </c>
      <c r="S89" t="s">
        <v>683</v>
      </c>
      <c r="T89" t="s">
        <v>686</v>
      </c>
      <c r="U89"/>
      <c r="V89"/>
      <c r="W89"/>
      <c r="X89"/>
      <c r="Y89"/>
      <c r="Z89"/>
    </row>
    <row r="90" spans="1:26" s="1" customFormat="1" x14ac:dyDescent="0.25">
      <c r="A90">
        <v>9213293</v>
      </c>
      <c r="B90">
        <v>9213293</v>
      </c>
      <c r="C90" t="s">
        <v>162</v>
      </c>
      <c r="D90" t="s">
        <v>566</v>
      </c>
      <c r="E90" t="str">
        <f t="shared" si="2"/>
        <v>DS2K8C7</v>
      </c>
      <c r="F90" t="s">
        <v>560</v>
      </c>
      <c r="G90" t="s">
        <v>568</v>
      </c>
      <c r="H90" t="str">
        <f t="shared" si="3"/>
        <v>DONALD SCHRADER</v>
      </c>
      <c r="I90" t="s">
        <v>47</v>
      </c>
      <c r="J90" t="s">
        <v>74</v>
      </c>
      <c r="K90" s="3">
        <v>46143</v>
      </c>
      <c r="L90" t="s">
        <v>52</v>
      </c>
      <c r="M90" t="s">
        <v>64</v>
      </c>
      <c r="N90" t="s">
        <v>65</v>
      </c>
      <c r="O90">
        <v>28.91</v>
      </c>
      <c r="P90">
        <v>0</v>
      </c>
      <c r="Q90">
        <v>28.91</v>
      </c>
      <c r="R90">
        <v>28.91</v>
      </c>
      <c r="S90" t="s">
        <v>683</v>
      </c>
      <c r="T90" t="s">
        <v>686</v>
      </c>
      <c r="U90"/>
      <c r="V90"/>
      <c r="W90"/>
      <c r="X90"/>
      <c r="Y90"/>
      <c r="Z90"/>
    </row>
    <row r="91" spans="1:26" s="1" customFormat="1" x14ac:dyDescent="0.25">
      <c r="A91">
        <v>16683808</v>
      </c>
      <c r="B91">
        <v>16683808</v>
      </c>
      <c r="C91" t="s">
        <v>237</v>
      </c>
      <c r="D91" t="s">
        <v>630</v>
      </c>
      <c r="E91" t="str">
        <f t="shared" si="2"/>
        <v>DS3JW97</v>
      </c>
      <c r="F91" t="s">
        <v>165</v>
      </c>
      <c r="G91" t="s">
        <v>632</v>
      </c>
      <c r="H91" t="str">
        <f t="shared" si="3"/>
        <v>JOYCE WARD</v>
      </c>
      <c r="I91" t="s">
        <v>437</v>
      </c>
      <c r="J91" t="s">
        <v>74</v>
      </c>
      <c r="K91" s="3">
        <v>46143</v>
      </c>
      <c r="L91" t="s">
        <v>52</v>
      </c>
      <c r="M91" t="s">
        <v>64</v>
      </c>
      <c r="N91" t="s">
        <v>65</v>
      </c>
      <c r="O91">
        <v>28.91</v>
      </c>
      <c r="P91">
        <v>0</v>
      </c>
      <c r="Q91">
        <v>28.91</v>
      </c>
      <c r="R91">
        <v>28.91</v>
      </c>
      <c r="S91" t="s">
        <v>683</v>
      </c>
      <c r="T91" t="s">
        <v>686</v>
      </c>
      <c r="U91"/>
      <c r="V91"/>
      <c r="W91"/>
      <c r="X91"/>
      <c r="Y91"/>
      <c r="Z91"/>
    </row>
    <row r="92" spans="1:26" s="1" customFormat="1" x14ac:dyDescent="0.25">
      <c r="A92">
        <v>16865615</v>
      </c>
      <c r="B92">
        <v>16865615</v>
      </c>
      <c r="C92" t="s">
        <v>351</v>
      </c>
      <c r="D92" t="s">
        <v>352</v>
      </c>
      <c r="E92" t="str">
        <f t="shared" si="2"/>
        <v>DS5GHY7</v>
      </c>
      <c r="F92" t="s">
        <v>354</v>
      </c>
      <c r="G92" t="s">
        <v>355</v>
      </c>
      <c r="H92" t="str">
        <f t="shared" si="3"/>
        <v>DINO JENERRO</v>
      </c>
      <c r="I92" t="s">
        <v>356</v>
      </c>
      <c r="J92" t="s">
        <v>357</v>
      </c>
      <c r="K92" s="3">
        <v>46143</v>
      </c>
      <c r="L92" t="s">
        <v>52</v>
      </c>
      <c r="M92" t="s">
        <v>64</v>
      </c>
      <c r="N92" t="s">
        <v>65</v>
      </c>
      <c r="O92">
        <v>28.91</v>
      </c>
      <c r="P92">
        <v>0</v>
      </c>
      <c r="Q92">
        <v>28.91</v>
      </c>
      <c r="R92">
        <v>28.91</v>
      </c>
      <c r="S92" t="s">
        <v>683</v>
      </c>
      <c r="T92" t="s">
        <v>686</v>
      </c>
      <c r="U92"/>
      <c r="V92"/>
      <c r="W92"/>
      <c r="X92"/>
      <c r="Y92"/>
      <c r="Z92"/>
    </row>
    <row r="93" spans="1:26" s="1" customFormat="1" x14ac:dyDescent="0.25">
      <c r="A93">
        <v>19586992</v>
      </c>
      <c r="B93">
        <v>19586992</v>
      </c>
      <c r="C93" t="s">
        <v>42</v>
      </c>
      <c r="D93" t="s">
        <v>223</v>
      </c>
      <c r="E93" t="str">
        <f t="shared" si="2"/>
        <v>DSF4K77</v>
      </c>
      <c r="F93" t="s">
        <v>225</v>
      </c>
      <c r="G93" t="s">
        <v>226</v>
      </c>
      <c r="H93" t="str">
        <f t="shared" si="3"/>
        <v>CANDACE DOBRINO</v>
      </c>
      <c r="I93" t="s">
        <v>47</v>
      </c>
      <c r="J93" t="s">
        <v>222</v>
      </c>
      <c r="K93" s="3">
        <v>46143</v>
      </c>
      <c r="L93" t="s">
        <v>52</v>
      </c>
      <c r="M93" t="s">
        <v>64</v>
      </c>
      <c r="N93" t="s">
        <v>65</v>
      </c>
      <c r="O93">
        <v>28.91</v>
      </c>
      <c r="P93">
        <v>0</v>
      </c>
      <c r="Q93">
        <v>28.91</v>
      </c>
      <c r="R93">
        <v>28.91</v>
      </c>
      <c r="S93" t="s">
        <v>683</v>
      </c>
      <c r="T93" t="s">
        <v>686</v>
      </c>
      <c r="U93"/>
      <c r="V93"/>
      <c r="W93"/>
      <c r="X93"/>
      <c r="Y93"/>
      <c r="Z93"/>
    </row>
    <row r="94" spans="1:26" s="1" customFormat="1" x14ac:dyDescent="0.25">
      <c r="A94">
        <v>17301495</v>
      </c>
      <c r="B94">
        <v>17301495</v>
      </c>
      <c r="C94" t="s">
        <v>56</v>
      </c>
      <c r="D94" t="s">
        <v>260</v>
      </c>
      <c r="E94" t="str">
        <f t="shared" si="2"/>
        <v>DSJR7R7</v>
      </c>
      <c r="F94" t="s">
        <v>262</v>
      </c>
      <c r="G94" t="s">
        <v>263</v>
      </c>
      <c r="H94" t="str">
        <f t="shared" si="3"/>
        <v>GERARDO ESPINOSA</v>
      </c>
      <c r="I94" t="s">
        <v>47</v>
      </c>
      <c r="J94" t="s">
        <v>74</v>
      </c>
      <c r="K94" s="3">
        <v>46143</v>
      </c>
      <c r="L94" t="s">
        <v>52</v>
      </c>
      <c r="M94" t="s">
        <v>64</v>
      </c>
      <c r="N94" t="s">
        <v>65</v>
      </c>
      <c r="O94">
        <v>28.91</v>
      </c>
      <c r="P94">
        <v>0</v>
      </c>
      <c r="Q94">
        <v>28.91</v>
      </c>
      <c r="R94">
        <v>28.91</v>
      </c>
      <c r="S94" t="s">
        <v>683</v>
      </c>
      <c r="T94" t="s">
        <v>686</v>
      </c>
      <c r="U94"/>
      <c r="V94"/>
      <c r="W94"/>
      <c r="X94"/>
      <c r="Y94"/>
      <c r="Z94"/>
    </row>
    <row r="95" spans="1:26" s="1" customFormat="1" x14ac:dyDescent="0.25">
      <c r="A95">
        <v>16378851</v>
      </c>
      <c r="B95">
        <v>16378851</v>
      </c>
      <c r="C95" t="s">
        <v>77</v>
      </c>
      <c r="D95" t="s">
        <v>78</v>
      </c>
      <c r="E95" t="str">
        <f t="shared" si="2"/>
        <v>DSW76K7</v>
      </c>
      <c r="F95" t="s">
        <v>80</v>
      </c>
      <c r="G95" t="s">
        <v>71</v>
      </c>
      <c r="H95" t="str">
        <f t="shared" si="3"/>
        <v>ROSA ANDERSON</v>
      </c>
      <c r="I95" t="s">
        <v>81</v>
      </c>
      <c r="J95" t="s">
        <v>83</v>
      </c>
      <c r="K95" s="3">
        <v>46143</v>
      </c>
      <c r="L95" t="s">
        <v>85</v>
      </c>
      <c r="M95" t="s">
        <v>64</v>
      </c>
      <c r="N95" t="s">
        <v>65</v>
      </c>
      <c r="O95">
        <v>28.91</v>
      </c>
      <c r="P95">
        <v>0</v>
      </c>
      <c r="Q95">
        <v>28.91</v>
      </c>
      <c r="R95">
        <v>28.91</v>
      </c>
      <c r="S95" t="s">
        <v>683</v>
      </c>
      <c r="T95" t="s">
        <v>686</v>
      </c>
      <c r="U95"/>
      <c r="V95"/>
      <c r="W95"/>
      <c r="X95"/>
      <c r="Y95"/>
      <c r="Z95"/>
    </row>
    <row r="96" spans="1:26" s="1" customFormat="1" x14ac:dyDescent="0.25">
      <c r="A96">
        <v>16865615</v>
      </c>
      <c r="B96">
        <v>16865615</v>
      </c>
      <c r="C96" t="s">
        <v>351</v>
      </c>
      <c r="D96" t="s">
        <v>384</v>
      </c>
      <c r="E96" t="str">
        <f t="shared" si="2"/>
        <v>DU7JU77</v>
      </c>
      <c r="F96" t="s">
        <v>386</v>
      </c>
      <c r="G96" t="s">
        <v>387</v>
      </c>
      <c r="H96" t="str">
        <f t="shared" si="3"/>
        <v>SANDRA LOWELL</v>
      </c>
      <c r="I96" t="s">
        <v>356</v>
      </c>
      <c r="J96" t="s">
        <v>62</v>
      </c>
      <c r="K96" s="3">
        <v>46143</v>
      </c>
      <c r="L96" t="s">
        <v>52</v>
      </c>
      <c r="M96" t="s">
        <v>64</v>
      </c>
      <c r="N96" t="s">
        <v>65</v>
      </c>
      <c r="O96">
        <v>28.91</v>
      </c>
      <c r="P96">
        <v>0</v>
      </c>
      <c r="Q96">
        <v>28.91</v>
      </c>
      <c r="R96">
        <v>28.91</v>
      </c>
      <c r="S96" t="s">
        <v>683</v>
      </c>
      <c r="T96" t="s">
        <v>686</v>
      </c>
      <c r="U96"/>
      <c r="V96"/>
      <c r="W96"/>
      <c r="X96"/>
      <c r="Y96"/>
      <c r="Z96"/>
    </row>
    <row r="97" spans="1:26" s="1" customFormat="1" x14ac:dyDescent="0.25">
      <c r="A97">
        <v>17126004</v>
      </c>
      <c r="B97">
        <v>17126004</v>
      </c>
      <c r="C97" t="s">
        <v>155</v>
      </c>
      <c r="D97" t="s">
        <v>194</v>
      </c>
      <c r="E97" t="str">
        <f t="shared" si="2"/>
        <v>DU896U7</v>
      </c>
      <c r="F97" t="s">
        <v>196</v>
      </c>
      <c r="G97" t="s">
        <v>197</v>
      </c>
      <c r="H97" t="str">
        <f t="shared" si="3"/>
        <v>LINDA CIANCIO</v>
      </c>
      <c r="I97" t="s">
        <v>47</v>
      </c>
      <c r="J97" t="s">
        <v>199</v>
      </c>
      <c r="K97" s="3">
        <v>46143</v>
      </c>
      <c r="L97" t="s">
        <v>85</v>
      </c>
      <c r="M97" t="s">
        <v>64</v>
      </c>
      <c r="N97" t="s">
        <v>65</v>
      </c>
      <c r="O97">
        <v>28.91</v>
      </c>
      <c r="P97">
        <v>0</v>
      </c>
      <c r="Q97">
        <v>28.91</v>
      </c>
      <c r="R97">
        <v>28.91</v>
      </c>
      <c r="S97" t="s">
        <v>683</v>
      </c>
      <c r="T97" t="s">
        <v>686</v>
      </c>
      <c r="U97"/>
      <c r="V97"/>
      <c r="W97"/>
      <c r="X97"/>
      <c r="Y97"/>
      <c r="Z97"/>
    </row>
    <row r="98" spans="1:26" s="1" customFormat="1" x14ac:dyDescent="0.25">
      <c r="A98">
        <v>17301495</v>
      </c>
      <c r="B98">
        <v>17301495</v>
      </c>
      <c r="C98" t="s">
        <v>56</v>
      </c>
      <c r="D98" t="s">
        <v>619</v>
      </c>
      <c r="E98" t="str">
        <f t="shared" si="2"/>
        <v>DUW2FG7</v>
      </c>
      <c r="F98" t="s">
        <v>621</v>
      </c>
      <c r="G98" t="s">
        <v>622</v>
      </c>
      <c r="H98" t="str">
        <f t="shared" si="3"/>
        <v>EMMA VALE</v>
      </c>
      <c r="I98" t="s">
        <v>47</v>
      </c>
      <c r="J98" t="s">
        <v>222</v>
      </c>
      <c r="K98" s="3">
        <v>46143</v>
      </c>
      <c r="L98" t="s">
        <v>52</v>
      </c>
      <c r="M98" t="s">
        <v>64</v>
      </c>
      <c r="N98" t="s">
        <v>65</v>
      </c>
      <c r="O98">
        <v>28.91</v>
      </c>
      <c r="P98">
        <v>0</v>
      </c>
      <c r="Q98">
        <v>28.91</v>
      </c>
      <c r="R98">
        <v>28.91</v>
      </c>
      <c r="S98" t="s">
        <v>683</v>
      </c>
      <c r="T98" t="s">
        <v>686</v>
      </c>
      <c r="U98"/>
      <c r="V98"/>
      <c r="W98"/>
      <c r="X98"/>
      <c r="Y98"/>
      <c r="Z98"/>
    </row>
    <row r="99" spans="1:26" s="1" customFormat="1" x14ac:dyDescent="0.25">
      <c r="A99">
        <v>19586992</v>
      </c>
      <c r="B99">
        <v>19586992</v>
      </c>
      <c r="C99" t="s">
        <v>42</v>
      </c>
      <c r="D99" t="s">
        <v>130</v>
      </c>
      <c r="E99" t="str">
        <f t="shared" si="2"/>
        <v>DUWJJS7</v>
      </c>
      <c r="F99" t="s">
        <v>132</v>
      </c>
      <c r="G99" t="s">
        <v>133</v>
      </c>
      <c r="H99" t="str">
        <f t="shared" si="3"/>
        <v>ROBERTA BECKMAN</v>
      </c>
      <c r="I99" t="s">
        <v>47</v>
      </c>
      <c r="J99" t="s">
        <v>74</v>
      </c>
      <c r="K99" s="3">
        <v>46143</v>
      </c>
      <c r="L99" t="s">
        <v>100</v>
      </c>
      <c r="M99" t="s">
        <v>64</v>
      </c>
      <c r="N99" t="s">
        <v>65</v>
      </c>
      <c r="O99">
        <v>28.91</v>
      </c>
      <c r="P99">
        <v>0</v>
      </c>
      <c r="Q99">
        <v>28.91</v>
      </c>
      <c r="R99">
        <v>28.91</v>
      </c>
      <c r="S99" t="s">
        <v>683</v>
      </c>
      <c r="T99" t="s">
        <v>686</v>
      </c>
      <c r="U99"/>
      <c r="V99"/>
      <c r="W99"/>
      <c r="X99"/>
      <c r="Y99"/>
      <c r="Z99"/>
    </row>
    <row r="100" spans="1:26" s="1" customFormat="1" x14ac:dyDescent="0.25">
      <c r="A100">
        <v>16633294</v>
      </c>
      <c r="B100">
        <v>16633294</v>
      </c>
      <c r="C100" t="s">
        <v>540</v>
      </c>
      <c r="D100" t="s">
        <v>607</v>
      </c>
      <c r="E100" t="str">
        <f t="shared" si="2"/>
        <v>DWR9FJ7</v>
      </c>
      <c r="F100" t="s">
        <v>609</v>
      </c>
      <c r="G100" t="s">
        <v>610</v>
      </c>
      <c r="H100" t="str">
        <f t="shared" si="3"/>
        <v>KERRY TONGE</v>
      </c>
      <c r="I100" t="s">
        <v>47</v>
      </c>
      <c r="J100" t="s">
        <v>74</v>
      </c>
      <c r="K100" s="3">
        <v>46143</v>
      </c>
      <c r="L100" t="s">
        <v>52</v>
      </c>
      <c r="M100" t="s">
        <v>64</v>
      </c>
      <c r="N100" t="s">
        <v>65</v>
      </c>
      <c r="O100">
        <v>28.91</v>
      </c>
      <c r="P100">
        <v>0</v>
      </c>
      <c r="Q100">
        <v>28.91</v>
      </c>
      <c r="R100">
        <v>28.91</v>
      </c>
      <c r="S100" t="s">
        <v>683</v>
      </c>
      <c r="T100" t="s">
        <v>686</v>
      </c>
      <c r="U100"/>
      <c r="V100"/>
      <c r="W100"/>
      <c r="X100"/>
      <c r="Y100"/>
      <c r="Z100"/>
    </row>
    <row r="101" spans="1:26" s="1" customFormat="1" x14ac:dyDescent="0.25">
      <c r="A101">
        <v>18754354</v>
      </c>
      <c r="B101">
        <v>18754354</v>
      </c>
      <c r="C101" t="s">
        <v>390</v>
      </c>
      <c r="D101" t="s">
        <v>624</v>
      </c>
      <c r="E101" t="str">
        <f t="shared" si="2"/>
        <v>DWWCE97</v>
      </c>
      <c r="F101" t="s">
        <v>626</v>
      </c>
      <c r="G101" t="s">
        <v>627</v>
      </c>
      <c r="H101" t="str">
        <f t="shared" si="3"/>
        <v>JAN VAN STRAATEN</v>
      </c>
      <c r="I101" t="s">
        <v>47</v>
      </c>
      <c r="J101" t="s">
        <v>629</v>
      </c>
      <c r="K101" s="3">
        <v>46143</v>
      </c>
      <c r="L101" t="s">
        <v>52</v>
      </c>
      <c r="M101" t="s">
        <v>64</v>
      </c>
      <c r="N101" t="s">
        <v>65</v>
      </c>
      <c r="O101">
        <v>28.91</v>
      </c>
      <c r="P101">
        <v>0</v>
      </c>
      <c r="Q101">
        <v>28.91</v>
      </c>
      <c r="R101">
        <v>28.91</v>
      </c>
      <c r="S101" t="s">
        <v>683</v>
      </c>
      <c r="T101" t="s">
        <v>686</v>
      </c>
      <c r="U101"/>
      <c r="V101"/>
      <c r="W101"/>
      <c r="X101"/>
      <c r="Y101"/>
      <c r="Z101"/>
    </row>
    <row r="102" spans="1:26" s="1" customFormat="1" x14ac:dyDescent="0.25">
      <c r="A102">
        <v>7470776</v>
      </c>
      <c r="B102">
        <v>7470776</v>
      </c>
      <c r="C102" t="s">
        <v>208</v>
      </c>
      <c r="D102" t="s">
        <v>214</v>
      </c>
      <c r="E102" t="str">
        <f t="shared" si="2"/>
        <v>DWZ7RJ7</v>
      </c>
      <c r="F102" t="s">
        <v>216</v>
      </c>
      <c r="G102" t="s">
        <v>212</v>
      </c>
      <c r="H102" t="str">
        <f t="shared" si="3"/>
        <v>PHILLIP CULLEN</v>
      </c>
      <c r="I102" t="s">
        <v>47</v>
      </c>
      <c r="J102" t="s">
        <v>74</v>
      </c>
      <c r="K102" s="3">
        <v>46143</v>
      </c>
      <c r="L102" t="s">
        <v>52</v>
      </c>
      <c r="M102" t="s">
        <v>64</v>
      </c>
      <c r="N102" t="s">
        <v>65</v>
      </c>
      <c r="O102">
        <v>28.91</v>
      </c>
      <c r="P102">
        <v>0</v>
      </c>
      <c r="Q102">
        <v>28.91</v>
      </c>
      <c r="R102">
        <v>28.91</v>
      </c>
      <c r="S102" t="s">
        <v>683</v>
      </c>
      <c r="T102" t="s">
        <v>686</v>
      </c>
      <c r="U102"/>
      <c r="V102"/>
      <c r="W102"/>
      <c r="X102"/>
      <c r="Y102"/>
      <c r="Z102"/>
    </row>
    <row r="103" spans="1:26" s="1" customFormat="1" x14ac:dyDescent="0.25">
      <c r="A103">
        <v>8405446</v>
      </c>
      <c r="B103">
        <v>8405446</v>
      </c>
      <c r="C103" t="s">
        <v>495</v>
      </c>
      <c r="D103" t="s">
        <v>496</v>
      </c>
      <c r="E103" t="str">
        <f t="shared" si="2"/>
        <v>DY48JR7</v>
      </c>
      <c r="F103" t="s">
        <v>498</v>
      </c>
      <c r="G103" t="s">
        <v>499</v>
      </c>
      <c r="H103" t="str">
        <f t="shared" si="3"/>
        <v>BINH RATSAVONGSY</v>
      </c>
      <c r="I103" t="s">
        <v>47</v>
      </c>
      <c r="J103" t="s">
        <v>501</v>
      </c>
      <c r="K103" s="3">
        <v>46143</v>
      </c>
      <c r="L103" t="s">
        <v>100</v>
      </c>
      <c r="M103" t="s">
        <v>64</v>
      </c>
      <c r="N103" t="s">
        <v>65</v>
      </c>
      <c r="O103">
        <v>28.91</v>
      </c>
      <c r="P103">
        <v>0</v>
      </c>
      <c r="Q103">
        <v>28.91</v>
      </c>
      <c r="R103">
        <v>28.91</v>
      </c>
      <c r="S103" t="s">
        <v>683</v>
      </c>
      <c r="T103" t="s">
        <v>686</v>
      </c>
      <c r="U103"/>
      <c r="V103"/>
      <c r="W103"/>
      <c r="X103"/>
      <c r="Y103"/>
      <c r="Z103"/>
    </row>
    <row r="104" spans="1:26" s="1" customFormat="1" x14ac:dyDescent="0.25">
      <c r="A104">
        <v>17301495</v>
      </c>
      <c r="B104">
        <v>17301495</v>
      </c>
      <c r="C104" t="s">
        <v>56</v>
      </c>
      <c r="D104" t="s">
        <v>339</v>
      </c>
      <c r="E104" t="str">
        <f t="shared" si="2"/>
        <v>DYG5UY7</v>
      </c>
      <c r="F104" t="s">
        <v>341</v>
      </c>
      <c r="G104" t="s">
        <v>342</v>
      </c>
      <c r="H104" t="str">
        <f t="shared" si="3"/>
        <v>MARIA JACOBO DE CADENA</v>
      </c>
      <c r="I104" t="s">
        <v>47</v>
      </c>
      <c r="J104" t="s">
        <v>344</v>
      </c>
      <c r="K104" s="3">
        <v>46143</v>
      </c>
      <c r="L104" t="s">
        <v>85</v>
      </c>
      <c r="M104" t="s">
        <v>64</v>
      </c>
      <c r="N104" t="s">
        <v>65</v>
      </c>
      <c r="O104">
        <v>28.91</v>
      </c>
      <c r="P104">
        <v>0</v>
      </c>
      <c r="Q104">
        <v>28.91</v>
      </c>
      <c r="R104">
        <v>28.91</v>
      </c>
      <c r="S104" t="s">
        <v>683</v>
      </c>
      <c r="T104" t="s">
        <v>686</v>
      </c>
      <c r="U104"/>
      <c r="V104"/>
      <c r="W104"/>
      <c r="X104"/>
      <c r="Y104"/>
      <c r="Z104"/>
    </row>
    <row r="105" spans="1:26" s="1" customFormat="1" x14ac:dyDescent="0.25">
      <c r="A105">
        <v>7470776</v>
      </c>
      <c r="B105">
        <v>7470776</v>
      </c>
      <c r="C105" t="s">
        <v>208</v>
      </c>
      <c r="D105" t="s">
        <v>297</v>
      </c>
      <c r="E105" t="str">
        <f t="shared" si="2"/>
        <v>DYJG9W7</v>
      </c>
      <c r="F105" t="s">
        <v>299</v>
      </c>
      <c r="G105" t="s">
        <v>300</v>
      </c>
      <c r="H105" t="str">
        <f t="shared" si="3"/>
        <v>KRISTINE GIBAS</v>
      </c>
      <c r="I105" t="s">
        <v>47</v>
      </c>
      <c r="J105" t="s">
        <v>74</v>
      </c>
      <c r="K105" s="3">
        <v>46143</v>
      </c>
      <c r="L105" t="s">
        <v>52</v>
      </c>
      <c r="M105" t="s">
        <v>64</v>
      </c>
      <c r="N105" t="s">
        <v>65</v>
      </c>
      <c r="O105">
        <v>28.91</v>
      </c>
      <c r="P105">
        <v>0</v>
      </c>
      <c r="Q105">
        <v>28.91</v>
      </c>
      <c r="R105">
        <v>28.91</v>
      </c>
      <c r="S105" t="s">
        <v>683</v>
      </c>
      <c r="T105" t="s">
        <v>686</v>
      </c>
      <c r="U105"/>
      <c r="V105"/>
      <c r="W105"/>
      <c r="X105"/>
      <c r="Y105"/>
      <c r="Z105"/>
    </row>
    <row r="106" spans="1:26" s="1" customFormat="1" x14ac:dyDescent="0.25">
      <c r="A106">
        <v>19586992</v>
      </c>
      <c r="B106">
        <v>19586992</v>
      </c>
      <c r="C106" t="s">
        <v>42</v>
      </c>
      <c r="D106" t="s">
        <v>521</v>
      </c>
      <c r="E106" t="str">
        <f t="shared" si="2"/>
        <v>DYZU3S7</v>
      </c>
      <c r="F106" t="s">
        <v>523</v>
      </c>
      <c r="G106" t="s">
        <v>524</v>
      </c>
      <c r="H106" t="str">
        <f t="shared" si="3"/>
        <v>LIZETTE RIVERA</v>
      </c>
      <c r="I106" t="s">
        <v>47</v>
      </c>
      <c r="J106" t="s">
        <v>49</v>
      </c>
      <c r="K106" s="3">
        <v>46143</v>
      </c>
      <c r="L106" t="s">
        <v>52</v>
      </c>
      <c r="M106" t="s">
        <v>64</v>
      </c>
      <c r="N106" t="s">
        <v>65</v>
      </c>
      <c r="O106">
        <v>28.91</v>
      </c>
      <c r="P106">
        <v>0</v>
      </c>
      <c r="Q106">
        <v>28.91</v>
      </c>
      <c r="R106">
        <v>28.91</v>
      </c>
      <c r="S106" t="s">
        <v>683</v>
      </c>
      <c r="T106" t="s">
        <v>686</v>
      </c>
      <c r="U106"/>
      <c r="V106"/>
      <c r="W106"/>
      <c r="X106"/>
      <c r="Y106"/>
      <c r="Z106"/>
    </row>
    <row r="107" spans="1:26" s="1" customFormat="1" x14ac:dyDescent="0.25">
      <c r="A107">
        <v>2158366</v>
      </c>
      <c r="B107">
        <v>2158366</v>
      </c>
      <c r="C107" t="s">
        <v>107</v>
      </c>
      <c r="D107" t="s">
        <v>272</v>
      </c>
      <c r="E107" t="str">
        <f t="shared" si="2"/>
        <v>DZ34AR7</v>
      </c>
      <c r="F107" t="s">
        <v>274</v>
      </c>
      <c r="G107" t="s">
        <v>275</v>
      </c>
      <c r="H107" t="str">
        <f t="shared" si="3"/>
        <v>GRAZYNA EWERT</v>
      </c>
      <c r="I107" t="s">
        <v>47</v>
      </c>
      <c r="J107" t="s">
        <v>74</v>
      </c>
      <c r="K107" s="3">
        <v>46143</v>
      </c>
      <c r="L107" t="s">
        <v>100</v>
      </c>
      <c r="M107" t="s">
        <v>64</v>
      </c>
      <c r="N107" t="s">
        <v>65</v>
      </c>
      <c r="O107">
        <v>28.91</v>
      </c>
      <c r="P107">
        <v>0</v>
      </c>
      <c r="Q107">
        <v>28.91</v>
      </c>
      <c r="R107">
        <v>28.91</v>
      </c>
      <c r="S107" t="s">
        <v>683</v>
      </c>
      <c r="T107" t="s">
        <v>686</v>
      </c>
      <c r="U107"/>
      <c r="V107"/>
      <c r="W107"/>
      <c r="X107"/>
      <c r="Y107"/>
      <c r="Z107"/>
    </row>
    <row r="108" spans="1:26" s="1" customFormat="1" x14ac:dyDescent="0.25">
      <c r="A108">
        <v>19396223</v>
      </c>
      <c r="B108">
        <v>19396223</v>
      </c>
      <c r="C108" t="s">
        <v>266</v>
      </c>
      <c r="D108" t="s">
        <v>267</v>
      </c>
      <c r="E108" t="str">
        <f t="shared" si="2"/>
        <v>DZ4FFJ7</v>
      </c>
      <c r="F108" t="s">
        <v>269</v>
      </c>
      <c r="G108" t="s">
        <v>270</v>
      </c>
      <c r="H108" t="str">
        <f t="shared" si="3"/>
        <v>SALVATORE ESPOSITO</v>
      </c>
      <c r="I108" t="s">
        <v>47</v>
      </c>
      <c r="J108" t="s">
        <v>74</v>
      </c>
      <c r="K108" s="3">
        <v>46143</v>
      </c>
      <c r="L108" t="s">
        <v>52</v>
      </c>
      <c r="M108" t="s">
        <v>64</v>
      </c>
      <c r="N108" t="s">
        <v>65</v>
      </c>
      <c r="O108">
        <v>28.91</v>
      </c>
      <c r="P108">
        <v>0</v>
      </c>
      <c r="Q108">
        <v>28.91</v>
      </c>
      <c r="R108">
        <v>28.91</v>
      </c>
      <c r="S108" t="s">
        <v>683</v>
      </c>
      <c r="T108" t="s">
        <v>686</v>
      </c>
      <c r="U108"/>
      <c r="V108"/>
      <c r="W108"/>
      <c r="X108"/>
      <c r="Y108"/>
      <c r="Z108"/>
    </row>
    <row r="109" spans="1:26" s="1" customFormat="1" x14ac:dyDescent="0.25">
      <c r="A109">
        <v>20212926</v>
      </c>
      <c r="B109">
        <v>20212926</v>
      </c>
      <c r="C109" t="s">
        <v>94</v>
      </c>
      <c r="D109" t="s">
        <v>95</v>
      </c>
      <c r="E109" t="str">
        <f t="shared" si="2"/>
        <v>DZ6GWY7</v>
      </c>
      <c r="F109" t="s">
        <v>97</v>
      </c>
      <c r="G109" t="s">
        <v>98</v>
      </c>
      <c r="H109" t="str">
        <f t="shared" si="3"/>
        <v>MICHAEL BARNISH</v>
      </c>
      <c r="I109" t="s">
        <v>47</v>
      </c>
      <c r="J109" t="s">
        <v>74</v>
      </c>
      <c r="K109" s="3">
        <v>46143</v>
      </c>
      <c r="L109" t="s">
        <v>100</v>
      </c>
      <c r="M109" t="s">
        <v>64</v>
      </c>
      <c r="N109" t="s">
        <v>65</v>
      </c>
      <c r="O109">
        <v>28.91</v>
      </c>
      <c r="P109">
        <v>0</v>
      </c>
      <c r="Q109">
        <v>28.91</v>
      </c>
      <c r="R109">
        <v>28.91</v>
      </c>
      <c r="S109" t="s">
        <v>683</v>
      </c>
      <c r="T109" t="s">
        <v>686</v>
      </c>
      <c r="U109"/>
      <c r="V109"/>
      <c r="W109"/>
      <c r="X109"/>
      <c r="Y109"/>
      <c r="Z109"/>
    </row>
    <row r="110" spans="1:26" s="1" customFormat="1" x14ac:dyDescent="0.25">
      <c r="A110">
        <v>2158366</v>
      </c>
      <c r="B110">
        <v>2158366</v>
      </c>
      <c r="C110" t="s">
        <v>107</v>
      </c>
      <c r="D110" t="s">
        <v>510</v>
      </c>
      <c r="E110" t="str">
        <f t="shared" si="2"/>
        <v>DZG38J7</v>
      </c>
      <c r="F110" t="s">
        <v>512</v>
      </c>
      <c r="G110" t="s">
        <v>513</v>
      </c>
      <c r="H110" t="str">
        <f t="shared" si="3"/>
        <v>GARY RICHTER</v>
      </c>
      <c r="I110" t="s">
        <v>47</v>
      </c>
      <c r="J110" t="s">
        <v>74</v>
      </c>
      <c r="K110" s="3">
        <v>46143</v>
      </c>
      <c r="L110" t="s">
        <v>52</v>
      </c>
      <c r="M110" t="s">
        <v>64</v>
      </c>
      <c r="N110" t="s">
        <v>65</v>
      </c>
      <c r="O110">
        <v>28.91</v>
      </c>
      <c r="P110">
        <v>0</v>
      </c>
      <c r="Q110">
        <v>28.91</v>
      </c>
      <c r="R110">
        <v>28.91</v>
      </c>
      <c r="S110" t="s">
        <v>683</v>
      </c>
      <c r="T110" t="s">
        <v>686</v>
      </c>
      <c r="U110"/>
      <c r="V110"/>
      <c r="W110"/>
      <c r="X110"/>
      <c r="Y110"/>
      <c r="Z110"/>
    </row>
    <row r="111" spans="1:26" s="1" customFormat="1" x14ac:dyDescent="0.25">
      <c r="A111">
        <v>17126004</v>
      </c>
      <c r="B111">
        <v>17126004</v>
      </c>
      <c r="C111" t="s">
        <v>155</v>
      </c>
      <c r="D111" t="s">
        <v>440</v>
      </c>
      <c r="E111" t="str">
        <f t="shared" si="2"/>
        <v>DZZH467</v>
      </c>
      <c r="F111" t="s">
        <v>442</v>
      </c>
      <c r="G111" t="s">
        <v>443</v>
      </c>
      <c r="H111" t="str">
        <f t="shared" si="3"/>
        <v>SHERRY MIKOLICS</v>
      </c>
      <c r="I111" t="s">
        <v>126</v>
      </c>
      <c r="J111" t="s">
        <v>222</v>
      </c>
      <c r="K111" s="3">
        <v>46143</v>
      </c>
      <c r="L111" t="s">
        <v>52</v>
      </c>
      <c r="M111" t="s">
        <v>64</v>
      </c>
      <c r="N111" t="s">
        <v>65</v>
      </c>
      <c r="O111">
        <v>28.91</v>
      </c>
      <c r="P111">
        <v>0</v>
      </c>
      <c r="Q111">
        <v>28.91</v>
      </c>
      <c r="R111">
        <v>28.91</v>
      </c>
      <c r="S111" t="s">
        <v>683</v>
      </c>
      <c r="T111" t="s">
        <v>686</v>
      </c>
      <c r="U111"/>
      <c r="V111"/>
      <c r="W111"/>
      <c r="X111"/>
      <c r="Y111"/>
      <c r="Z111"/>
    </row>
    <row r="112" spans="1:26" s="1" customFormat="1" x14ac:dyDescent="0.25">
      <c r="A112">
        <v>8814784</v>
      </c>
      <c r="B112">
        <v>8814784</v>
      </c>
      <c r="C112" t="s">
        <v>178</v>
      </c>
      <c r="D112" t="s">
        <v>380</v>
      </c>
      <c r="E112" t="str">
        <f t="shared" si="2"/>
        <v>D36CA87</v>
      </c>
      <c r="F112" t="s">
        <v>382</v>
      </c>
      <c r="G112" t="s">
        <v>383</v>
      </c>
      <c r="H112" t="str">
        <f t="shared" si="3"/>
        <v>PATRICIA LISKOVEC</v>
      </c>
      <c r="I112" t="s">
        <v>47</v>
      </c>
      <c r="J112" t="s">
        <v>152</v>
      </c>
      <c r="K112" s="3">
        <v>46387</v>
      </c>
      <c r="L112"/>
      <c r="M112" t="s">
        <v>53</v>
      </c>
      <c r="N112" t="s">
        <v>65</v>
      </c>
      <c r="O112">
        <v>202.41</v>
      </c>
      <c r="P112">
        <v>0</v>
      </c>
      <c r="Q112">
        <v>202.41</v>
      </c>
      <c r="R112">
        <v>202.41</v>
      </c>
      <c r="S112" t="s">
        <v>683</v>
      </c>
      <c r="T112" t="s">
        <v>687</v>
      </c>
      <c r="U112"/>
      <c r="V112"/>
      <c r="W112"/>
      <c r="X112"/>
      <c r="Y112"/>
      <c r="Z112"/>
    </row>
    <row r="113" spans="1:26" s="1" customFormat="1" x14ac:dyDescent="0.25">
      <c r="A113">
        <v>9213293</v>
      </c>
      <c r="B113">
        <v>9213293</v>
      </c>
      <c r="C113" t="s">
        <v>162</v>
      </c>
      <c r="D113" t="s">
        <v>163</v>
      </c>
      <c r="E113" t="str">
        <f t="shared" si="2"/>
        <v>D754857</v>
      </c>
      <c r="F113" t="s">
        <v>165</v>
      </c>
      <c r="G113" t="s">
        <v>166</v>
      </c>
      <c r="H113" t="str">
        <f t="shared" si="3"/>
        <v>JOYCE BROWN</v>
      </c>
      <c r="I113" t="s">
        <v>47</v>
      </c>
      <c r="J113" t="s">
        <v>152</v>
      </c>
      <c r="K113" s="3">
        <v>46387</v>
      </c>
      <c r="L113"/>
      <c r="M113" t="s">
        <v>53</v>
      </c>
      <c r="N113" t="s">
        <v>65</v>
      </c>
      <c r="O113">
        <v>202.41</v>
      </c>
      <c r="P113">
        <v>0</v>
      </c>
      <c r="Q113">
        <v>202.41</v>
      </c>
      <c r="R113">
        <v>202.41</v>
      </c>
      <c r="S113" t="s">
        <v>683</v>
      </c>
      <c r="T113" t="s">
        <v>687</v>
      </c>
      <c r="U113">
        <f>347/12*7</f>
        <v>202.41666666666669</v>
      </c>
      <c r="V113"/>
      <c r="W113"/>
      <c r="X113"/>
      <c r="Y113"/>
      <c r="Z113"/>
    </row>
    <row r="114" spans="1:26" s="1" customFormat="1" x14ac:dyDescent="0.25">
      <c r="A114">
        <v>16849453</v>
      </c>
      <c r="B114">
        <v>16849453</v>
      </c>
      <c r="C114" t="s">
        <v>317</v>
      </c>
      <c r="D114" t="s">
        <v>318</v>
      </c>
      <c r="E114" t="str">
        <f t="shared" si="2"/>
        <v>DACWU97</v>
      </c>
      <c r="F114" t="s">
        <v>320</v>
      </c>
      <c r="G114" t="s">
        <v>321</v>
      </c>
      <c r="H114" t="str">
        <f t="shared" si="3"/>
        <v>LAURA HAMBY</v>
      </c>
      <c r="I114" t="s">
        <v>126</v>
      </c>
      <c r="J114" t="s">
        <v>152</v>
      </c>
      <c r="K114" s="3">
        <v>46387</v>
      </c>
      <c r="L114"/>
      <c r="M114" t="s">
        <v>53</v>
      </c>
      <c r="N114" t="s">
        <v>65</v>
      </c>
      <c r="O114">
        <v>202.41</v>
      </c>
      <c r="P114">
        <v>0</v>
      </c>
      <c r="Q114">
        <v>202.41</v>
      </c>
      <c r="R114">
        <v>202.41</v>
      </c>
      <c r="S114" t="s">
        <v>683</v>
      </c>
      <c r="T114" t="s">
        <v>687</v>
      </c>
      <c r="U114"/>
      <c r="V114"/>
      <c r="W114"/>
      <c r="X114"/>
      <c r="Y114"/>
      <c r="Z114"/>
    </row>
    <row r="115" spans="1:26" s="1" customFormat="1" x14ac:dyDescent="0.25">
      <c r="A115">
        <v>21283956</v>
      </c>
      <c r="B115">
        <v>21283956</v>
      </c>
      <c r="C115" t="s">
        <v>602</v>
      </c>
      <c r="D115" t="s">
        <v>603</v>
      </c>
      <c r="E115" t="str">
        <f t="shared" si="2"/>
        <v>DF5URG7</v>
      </c>
      <c r="F115" t="s">
        <v>45</v>
      </c>
      <c r="G115" t="s">
        <v>605</v>
      </c>
      <c r="H115" t="str">
        <f t="shared" si="3"/>
        <v>RONALD SUMPTER</v>
      </c>
      <c r="I115" t="s">
        <v>47</v>
      </c>
      <c r="J115" t="s">
        <v>152</v>
      </c>
      <c r="K115" s="3">
        <v>46387</v>
      </c>
      <c r="L115"/>
      <c r="M115" t="s">
        <v>53</v>
      </c>
      <c r="N115" t="s">
        <v>65</v>
      </c>
      <c r="O115">
        <v>202.41</v>
      </c>
      <c r="P115">
        <v>0</v>
      </c>
      <c r="Q115">
        <v>202.41</v>
      </c>
      <c r="R115">
        <v>202.41</v>
      </c>
      <c r="S115" t="s">
        <v>683</v>
      </c>
      <c r="T115" t="s">
        <v>687</v>
      </c>
      <c r="U115"/>
      <c r="V115"/>
      <c r="W115"/>
      <c r="X115"/>
      <c r="Y115"/>
      <c r="Z115"/>
    </row>
    <row r="116" spans="1:26" s="1" customFormat="1" x14ac:dyDescent="0.25">
      <c r="A116">
        <v>19396223</v>
      </c>
      <c r="B116">
        <v>19396223</v>
      </c>
      <c r="C116" t="s">
        <v>266</v>
      </c>
      <c r="D116" t="s">
        <v>475</v>
      </c>
      <c r="E116" t="str">
        <f t="shared" si="2"/>
        <v>DF7J4A7</v>
      </c>
      <c r="F116" t="s">
        <v>477</v>
      </c>
      <c r="G116" t="s">
        <v>478</v>
      </c>
      <c r="H116" t="str">
        <f t="shared" si="3"/>
        <v>MOLY POMACKAL</v>
      </c>
      <c r="I116" t="s">
        <v>47</v>
      </c>
      <c r="J116" t="s">
        <v>152</v>
      </c>
      <c r="K116" s="3">
        <v>46387</v>
      </c>
      <c r="L116"/>
      <c r="M116" t="s">
        <v>53</v>
      </c>
      <c r="N116" t="s">
        <v>65</v>
      </c>
      <c r="O116">
        <v>202.41</v>
      </c>
      <c r="P116">
        <v>0</v>
      </c>
      <c r="Q116">
        <v>202.41</v>
      </c>
      <c r="R116">
        <v>202.41</v>
      </c>
      <c r="S116" t="s">
        <v>683</v>
      </c>
      <c r="T116" t="s">
        <v>687</v>
      </c>
      <c r="U116"/>
      <c r="V116"/>
      <c r="W116"/>
      <c r="X116"/>
      <c r="Y116"/>
      <c r="Z116"/>
    </row>
    <row r="117" spans="1:26" s="1" customFormat="1" x14ac:dyDescent="0.25">
      <c r="A117" s="1">
        <v>19586992</v>
      </c>
      <c r="B117" s="1" t="str">
        <f>_xlfn.CONCAT(A117,"OVR")</f>
        <v>19586992OVR</v>
      </c>
      <c r="C117" s="1" t="s">
        <v>42</v>
      </c>
      <c r="D117" s="1" t="s">
        <v>43</v>
      </c>
      <c r="E117" s="1" t="str">
        <f>CONCATENATE(D117,"OVR")</f>
        <v>DY77JYOVR</v>
      </c>
      <c r="F117" s="1" t="s">
        <v>45</v>
      </c>
      <c r="G117" s="1" t="s">
        <v>46</v>
      </c>
      <c r="H117" t="str">
        <f t="shared" si="3"/>
        <v>RONALD WATSON</v>
      </c>
      <c r="I117" s="1" t="s">
        <v>47</v>
      </c>
      <c r="J117" s="1" t="s">
        <v>49</v>
      </c>
      <c r="K117" s="2">
        <v>46082</v>
      </c>
      <c r="L117" s="1" t="s">
        <v>52</v>
      </c>
      <c r="M117" s="1" t="s">
        <v>53</v>
      </c>
      <c r="N117" s="1" t="s">
        <v>54</v>
      </c>
      <c r="O117" s="1">
        <v>0</v>
      </c>
      <c r="P117" s="1">
        <v>-83.34</v>
      </c>
      <c r="Q117" s="1">
        <v>-83.34</v>
      </c>
      <c r="R117" s="1">
        <v>-83.34</v>
      </c>
      <c r="S117" s="1" t="s">
        <v>685</v>
      </c>
    </row>
    <row r="118" spans="1:26" s="1" customFormat="1" x14ac:dyDescent="0.25">
      <c r="A118" s="1">
        <v>19586992</v>
      </c>
      <c r="B118" s="1" t="str">
        <f t="shared" ref="B118:B181" si="4">_xlfn.CONCAT(A118,"OVR")</f>
        <v>19586992OVR</v>
      </c>
      <c r="C118" s="1" t="s">
        <v>42</v>
      </c>
      <c r="D118" s="1" t="s">
        <v>43</v>
      </c>
      <c r="E118" s="1" t="str">
        <f t="shared" ref="E118:E181" si="5">CONCATENATE(D118,"OVR")</f>
        <v>DY77JYOVR</v>
      </c>
      <c r="F118" s="1" t="s">
        <v>45</v>
      </c>
      <c r="G118" s="1" t="s">
        <v>46</v>
      </c>
      <c r="H118" t="str">
        <f t="shared" si="3"/>
        <v>RONALD WATSON</v>
      </c>
      <c r="I118" s="1" t="s">
        <v>47</v>
      </c>
      <c r="J118" s="1" t="s">
        <v>49</v>
      </c>
      <c r="K118" s="2">
        <v>46143</v>
      </c>
      <c r="L118" s="1" t="s">
        <v>52</v>
      </c>
      <c r="M118" s="1" t="s">
        <v>53</v>
      </c>
      <c r="N118" s="1" t="s">
        <v>54</v>
      </c>
      <c r="O118" s="1">
        <v>0</v>
      </c>
      <c r="P118" s="1">
        <v>-50</v>
      </c>
      <c r="Q118" s="1">
        <v>-50</v>
      </c>
      <c r="R118" s="1">
        <v>-50</v>
      </c>
      <c r="S118" s="1" t="s">
        <v>685</v>
      </c>
    </row>
    <row r="119" spans="1:26" s="1" customFormat="1" x14ac:dyDescent="0.25">
      <c r="A119" s="1">
        <v>9213293</v>
      </c>
      <c r="B119" s="1" t="str">
        <f t="shared" si="4"/>
        <v>9213293OVR</v>
      </c>
      <c r="C119" s="1" t="s">
        <v>162</v>
      </c>
      <c r="D119" s="1" t="s">
        <v>563</v>
      </c>
      <c r="E119" s="1" t="str">
        <f t="shared" si="5"/>
        <v>D4YY48OVR</v>
      </c>
      <c r="F119" s="1" t="s">
        <v>565</v>
      </c>
      <c r="G119" s="1" t="s">
        <v>561</v>
      </c>
      <c r="H119" t="str">
        <f t="shared" si="3"/>
        <v>JILL SCHMIDT</v>
      </c>
      <c r="I119" s="1" t="s">
        <v>81</v>
      </c>
      <c r="J119" s="1" t="s">
        <v>49</v>
      </c>
      <c r="K119" s="2">
        <v>46143</v>
      </c>
      <c r="L119" s="1" t="s">
        <v>52</v>
      </c>
      <c r="M119" s="1" t="s">
        <v>64</v>
      </c>
      <c r="N119" s="1" t="s">
        <v>65</v>
      </c>
      <c r="O119" s="1">
        <v>0</v>
      </c>
      <c r="P119" s="1">
        <v>3.75</v>
      </c>
      <c r="Q119" s="1">
        <v>3.75</v>
      </c>
      <c r="R119" s="1">
        <v>3.75</v>
      </c>
      <c r="S119" s="1" t="s">
        <v>685</v>
      </c>
    </row>
    <row r="120" spans="1:26" s="1" customFormat="1" x14ac:dyDescent="0.25">
      <c r="A120" s="1">
        <v>16683808</v>
      </c>
      <c r="B120" s="1" t="str">
        <f t="shared" si="4"/>
        <v>16683808OVR</v>
      </c>
      <c r="C120" s="1" t="s">
        <v>237</v>
      </c>
      <c r="D120" s="1" t="s">
        <v>302</v>
      </c>
      <c r="E120" s="1" t="str">
        <f t="shared" si="5"/>
        <v>D949GWOVR</v>
      </c>
      <c r="F120" s="1" t="s">
        <v>304</v>
      </c>
      <c r="G120" s="1" t="s">
        <v>305</v>
      </c>
      <c r="H120" t="str">
        <f t="shared" si="3"/>
        <v>EDDIE GILBERT III</v>
      </c>
      <c r="I120" s="1" t="s">
        <v>81</v>
      </c>
      <c r="J120" s="1" t="s">
        <v>74</v>
      </c>
      <c r="K120" s="2">
        <v>46143</v>
      </c>
      <c r="L120" s="1" t="s">
        <v>85</v>
      </c>
      <c r="M120" s="1" t="s">
        <v>64</v>
      </c>
      <c r="N120" s="1" t="s">
        <v>65</v>
      </c>
      <c r="O120" s="1">
        <v>0</v>
      </c>
      <c r="P120" s="1">
        <v>3.75</v>
      </c>
      <c r="Q120" s="1">
        <v>3.75</v>
      </c>
      <c r="R120" s="1">
        <v>3.75</v>
      </c>
      <c r="S120" s="1" t="s">
        <v>685</v>
      </c>
    </row>
    <row r="121" spans="1:26" s="1" customFormat="1" x14ac:dyDescent="0.25">
      <c r="A121" s="1">
        <v>16683808</v>
      </c>
      <c r="B121" s="1" t="str">
        <f t="shared" si="4"/>
        <v>16683808OVR</v>
      </c>
      <c r="C121" s="1" t="s">
        <v>237</v>
      </c>
      <c r="D121" s="1" t="s">
        <v>238</v>
      </c>
      <c r="E121" s="1" t="str">
        <f t="shared" si="5"/>
        <v>DH28HSOVR</v>
      </c>
      <c r="F121" s="1" t="s">
        <v>240</v>
      </c>
      <c r="G121" s="1" t="s">
        <v>241</v>
      </c>
      <c r="H121" t="str">
        <f t="shared" si="3"/>
        <v>MELQUEA EDWARDS</v>
      </c>
      <c r="I121" s="1" t="s">
        <v>81</v>
      </c>
      <c r="J121" s="1" t="s">
        <v>243</v>
      </c>
      <c r="K121" s="2">
        <v>46143</v>
      </c>
      <c r="L121" s="1" t="s">
        <v>52</v>
      </c>
      <c r="M121" s="1" t="s">
        <v>64</v>
      </c>
      <c r="N121" s="1" t="s">
        <v>65</v>
      </c>
      <c r="O121" s="1">
        <v>0</v>
      </c>
      <c r="P121" s="1">
        <v>3.75</v>
      </c>
      <c r="Q121" s="1">
        <v>3.75</v>
      </c>
      <c r="R121" s="1">
        <v>3.75</v>
      </c>
      <c r="S121" s="1" t="s">
        <v>685</v>
      </c>
    </row>
    <row r="122" spans="1:26" s="1" customFormat="1" x14ac:dyDescent="0.25">
      <c r="A122" s="1">
        <v>9213293</v>
      </c>
      <c r="B122" s="1" t="str">
        <f t="shared" si="4"/>
        <v>9213293OVR</v>
      </c>
      <c r="C122" s="1" t="s">
        <v>162</v>
      </c>
      <c r="D122" s="1" t="s">
        <v>558</v>
      </c>
      <c r="E122" s="1" t="str">
        <f t="shared" si="5"/>
        <v>DR4826OVR</v>
      </c>
      <c r="F122" s="1" t="s">
        <v>560</v>
      </c>
      <c r="G122" s="1" t="s">
        <v>561</v>
      </c>
      <c r="H122" t="str">
        <f t="shared" si="3"/>
        <v>DONALD SCHMIDT</v>
      </c>
      <c r="I122" s="1" t="s">
        <v>81</v>
      </c>
      <c r="J122" s="1" t="s">
        <v>49</v>
      </c>
      <c r="K122" s="2">
        <v>46143</v>
      </c>
      <c r="L122" s="1" t="s">
        <v>52</v>
      </c>
      <c r="M122" s="1" t="s">
        <v>64</v>
      </c>
      <c r="N122" s="1" t="s">
        <v>65</v>
      </c>
      <c r="O122" s="1">
        <v>0</v>
      </c>
      <c r="P122" s="1">
        <v>3.75</v>
      </c>
      <c r="Q122" s="1">
        <v>3.75</v>
      </c>
      <c r="R122" s="1">
        <v>3.75</v>
      </c>
      <c r="S122" s="1" t="s">
        <v>685</v>
      </c>
    </row>
    <row r="123" spans="1:26" s="1" customFormat="1" x14ac:dyDescent="0.25">
      <c r="A123" s="1">
        <v>16378851</v>
      </c>
      <c r="B123" s="1" t="str">
        <f t="shared" si="4"/>
        <v>16378851OVR</v>
      </c>
      <c r="C123" s="1" t="s">
        <v>77</v>
      </c>
      <c r="D123" s="1" t="s">
        <v>78</v>
      </c>
      <c r="E123" s="1" t="str">
        <f t="shared" si="5"/>
        <v>DSW76KOVR</v>
      </c>
      <c r="F123" s="1" t="s">
        <v>80</v>
      </c>
      <c r="G123" s="1" t="s">
        <v>71</v>
      </c>
      <c r="H123" t="str">
        <f t="shared" si="3"/>
        <v>ROSA ANDERSON</v>
      </c>
      <c r="I123" s="1" t="s">
        <v>81</v>
      </c>
      <c r="J123" s="1" t="s">
        <v>83</v>
      </c>
      <c r="K123" s="2">
        <v>46143</v>
      </c>
      <c r="L123" s="1" t="s">
        <v>85</v>
      </c>
      <c r="M123" s="1" t="s">
        <v>64</v>
      </c>
      <c r="N123" s="1" t="s">
        <v>65</v>
      </c>
      <c r="O123" s="1">
        <v>0</v>
      </c>
      <c r="P123" s="1">
        <v>3.75</v>
      </c>
      <c r="Q123" s="1">
        <v>3.75</v>
      </c>
      <c r="R123" s="1">
        <v>3.75</v>
      </c>
      <c r="S123" s="1" t="s">
        <v>685</v>
      </c>
    </row>
    <row r="124" spans="1:26" s="1" customFormat="1" x14ac:dyDescent="0.25">
      <c r="A124" s="1">
        <v>8814784</v>
      </c>
      <c r="B124" s="1" t="str">
        <f t="shared" si="4"/>
        <v>8814784OVR</v>
      </c>
      <c r="C124" s="1" t="s">
        <v>178</v>
      </c>
      <c r="D124" s="1" t="s">
        <v>372</v>
      </c>
      <c r="E124" s="1" t="str">
        <f t="shared" si="5"/>
        <v>D25HA7OVR</v>
      </c>
      <c r="F124" s="1" t="s">
        <v>374</v>
      </c>
      <c r="G124" s="1" t="s">
        <v>375</v>
      </c>
      <c r="H124" t="str">
        <f t="shared" si="3"/>
        <v>RICHARD KULIK</v>
      </c>
      <c r="I124" s="1" t="s">
        <v>47</v>
      </c>
      <c r="J124" s="1" t="s">
        <v>74</v>
      </c>
      <c r="K124" s="2">
        <v>46143</v>
      </c>
      <c r="L124" s="1" t="s">
        <v>85</v>
      </c>
      <c r="M124" s="1" t="s">
        <v>64</v>
      </c>
      <c r="N124" s="1" t="s">
        <v>65</v>
      </c>
      <c r="O124" s="1">
        <v>0</v>
      </c>
      <c r="P124" s="1">
        <v>5.25</v>
      </c>
      <c r="Q124" s="1">
        <v>5.25</v>
      </c>
      <c r="R124" s="1">
        <v>5.25</v>
      </c>
      <c r="S124" s="1" t="s">
        <v>685</v>
      </c>
    </row>
    <row r="125" spans="1:26" s="1" customFormat="1" x14ac:dyDescent="0.25">
      <c r="A125" s="1">
        <v>19586992</v>
      </c>
      <c r="B125" s="1" t="str">
        <f t="shared" si="4"/>
        <v>19586992OVR</v>
      </c>
      <c r="C125" s="1" t="s">
        <v>42</v>
      </c>
      <c r="D125" s="1" t="s">
        <v>134</v>
      </c>
      <c r="E125" s="1" t="str">
        <f t="shared" si="5"/>
        <v>D2E9C8OVR</v>
      </c>
      <c r="F125" s="1" t="s">
        <v>136</v>
      </c>
      <c r="G125" s="1" t="s">
        <v>133</v>
      </c>
      <c r="H125" t="str">
        <f t="shared" si="3"/>
        <v>WALTER BECKMAN</v>
      </c>
      <c r="I125" s="1" t="s">
        <v>47</v>
      </c>
      <c r="J125" s="1" t="s">
        <v>74</v>
      </c>
      <c r="K125" s="2">
        <v>46143</v>
      </c>
      <c r="L125" s="1" t="s">
        <v>100</v>
      </c>
      <c r="M125" s="1" t="s">
        <v>64</v>
      </c>
      <c r="N125" s="1" t="s">
        <v>65</v>
      </c>
      <c r="O125" s="1">
        <v>0</v>
      </c>
      <c r="P125" s="1">
        <v>5.25</v>
      </c>
      <c r="Q125" s="1">
        <v>5.25</v>
      </c>
      <c r="R125" s="1">
        <v>5.25</v>
      </c>
      <c r="S125" s="1" t="s">
        <v>685</v>
      </c>
    </row>
    <row r="126" spans="1:26" s="1" customFormat="1" x14ac:dyDescent="0.25">
      <c r="A126" s="1">
        <v>2158366</v>
      </c>
      <c r="B126" s="1" t="str">
        <f t="shared" si="4"/>
        <v>2158366OVR</v>
      </c>
      <c r="C126" s="1" t="s">
        <v>107</v>
      </c>
      <c r="D126" s="1" t="s">
        <v>108</v>
      </c>
      <c r="E126" s="1" t="str">
        <f t="shared" si="5"/>
        <v>D2KZUROVR</v>
      </c>
      <c r="F126" s="1" t="s">
        <v>110</v>
      </c>
      <c r="G126" s="1" t="s">
        <v>111</v>
      </c>
      <c r="H126" t="str">
        <f t="shared" si="3"/>
        <v>MARY BARR</v>
      </c>
      <c r="I126" s="1" t="s">
        <v>47</v>
      </c>
      <c r="J126" s="1" t="s">
        <v>74</v>
      </c>
      <c r="K126" s="2">
        <v>46143</v>
      </c>
      <c r="L126" s="1" t="s">
        <v>85</v>
      </c>
      <c r="M126" s="1" t="s">
        <v>64</v>
      </c>
      <c r="N126" s="1" t="s">
        <v>65</v>
      </c>
      <c r="O126" s="1">
        <v>0</v>
      </c>
      <c r="P126" s="1">
        <v>5.25</v>
      </c>
      <c r="Q126" s="1">
        <v>5.25</v>
      </c>
      <c r="R126" s="1">
        <v>5.25</v>
      </c>
      <c r="S126" s="1" t="s">
        <v>685</v>
      </c>
    </row>
    <row r="127" spans="1:26" s="1" customFormat="1" x14ac:dyDescent="0.25">
      <c r="A127" s="1">
        <v>17301495</v>
      </c>
      <c r="B127" s="1" t="str">
        <f t="shared" si="4"/>
        <v>17301495OVR</v>
      </c>
      <c r="C127" s="1" t="s">
        <v>56</v>
      </c>
      <c r="D127" s="1" t="s">
        <v>445</v>
      </c>
      <c r="E127" s="1" t="str">
        <f t="shared" si="5"/>
        <v>D2UZFAOVR</v>
      </c>
      <c r="F127" s="1" t="s">
        <v>447</v>
      </c>
      <c r="G127" s="1" t="s">
        <v>448</v>
      </c>
      <c r="H127" t="str">
        <f t="shared" si="3"/>
        <v>ABELARDO MONARREZ</v>
      </c>
      <c r="I127" s="1" t="s">
        <v>47</v>
      </c>
      <c r="J127" s="1" t="s">
        <v>222</v>
      </c>
      <c r="K127" s="2">
        <v>46143</v>
      </c>
      <c r="L127" s="1" t="s">
        <v>52</v>
      </c>
      <c r="M127" s="1" t="s">
        <v>64</v>
      </c>
      <c r="N127" s="1" t="s">
        <v>65</v>
      </c>
      <c r="O127" s="1">
        <v>0</v>
      </c>
      <c r="P127" s="1">
        <v>5.25</v>
      </c>
      <c r="Q127" s="1">
        <v>5.25</v>
      </c>
      <c r="R127" s="1">
        <v>5.25</v>
      </c>
      <c r="S127" s="1" t="s">
        <v>685</v>
      </c>
    </row>
    <row r="128" spans="1:26" s="1" customFormat="1" x14ac:dyDescent="0.25">
      <c r="A128" s="1">
        <v>2158366</v>
      </c>
      <c r="B128" s="1" t="str">
        <f t="shared" si="4"/>
        <v>2158366OVR</v>
      </c>
      <c r="C128" s="1" t="s">
        <v>107</v>
      </c>
      <c r="D128" s="1" t="s">
        <v>581</v>
      </c>
      <c r="E128" s="1" t="str">
        <f t="shared" si="5"/>
        <v>D33HEGOVR</v>
      </c>
      <c r="F128" s="1" t="s">
        <v>247</v>
      </c>
      <c r="G128" s="1" t="s">
        <v>583</v>
      </c>
      <c r="H128" t="str">
        <f t="shared" si="3"/>
        <v>SUSAN SORENSON</v>
      </c>
      <c r="I128" s="1" t="s">
        <v>47</v>
      </c>
      <c r="J128" s="1" t="s">
        <v>222</v>
      </c>
      <c r="K128" s="2">
        <v>46143</v>
      </c>
      <c r="L128" s="1" t="s">
        <v>52</v>
      </c>
      <c r="M128" s="1" t="s">
        <v>64</v>
      </c>
      <c r="N128" s="1" t="s">
        <v>65</v>
      </c>
      <c r="O128" s="1">
        <v>0</v>
      </c>
      <c r="P128" s="1">
        <v>5.25</v>
      </c>
      <c r="Q128" s="1">
        <v>5.25</v>
      </c>
      <c r="R128" s="1">
        <v>5.25</v>
      </c>
      <c r="S128" s="1" t="s">
        <v>685</v>
      </c>
    </row>
    <row r="129" spans="1:19" s="1" customFormat="1" x14ac:dyDescent="0.25">
      <c r="A129" s="1">
        <v>7470776</v>
      </c>
      <c r="B129" s="1" t="str">
        <f t="shared" si="4"/>
        <v>7470776OVR</v>
      </c>
      <c r="C129" s="1" t="s">
        <v>208</v>
      </c>
      <c r="D129" s="1" t="s">
        <v>291</v>
      </c>
      <c r="E129" s="1" t="str">
        <f t="shared" si="5"/>
        <v>D3EH29OVR</v>
      </c>
      <c r="F129" s="1" t="s">
        <v>293</v>
      </c>
      <c r="G129" s="1" t="s">
        <v>294</v>
      </c>
      <c r="H129" t="str">
        <f t="shared" si="3"/>
        <v>JEFFERY FORSBERG</v>
      </c>
      <c r="I129" s="1" t="s">
        <v>295</v>
      </c>
      <c r="J129" s="1" t="s">
        <v>128</v>
      </c>
      <c r="K129" s="2">
        <v>46143</v>
      </c>
      <c r="L129" s="1" t="s">
        <v>52</v>
      </c>
      <c r="M129" s="1" t="s">
        <v>64</v>
      </c>
      <c r="N129" s="1" t="s">
        <v>65</v>
      </c>
      <c r="O129" s="1">
        <v>0</v>
      </c>
      <c r="P129" s="1">
        <v>5.25</v>
      </c>
      <c r="Q129" s="1">
        <v>5.25</v>
      </c>
      <c r="R129" s="1">
        <v>5.25</v>
      </c>
      <c r="S129" s="1" t="s">
        <v>685</v>
      </c>
    </row>
    <row r="130" spans="1:19" s="1" customFormat="1" x14ac:dyDescent="0.25">
      <c r="A130" s="1">
        <v>7470776</v>
      </c>
      <c r="B130" s="1" t="str">
        <f t="shared" si="4"/>
        <v>7470776OVR</v>
      </c>
      <c r="C130" s="1" t="s">
        <v>208</v>
      </c>
      <c r="D130" s="1" t="s">
        <v>209</v>
      </c>
      <c r="E130" s="1" t="str">
        <f t="shared" si="5"/>
        <v>D3FYF5OVR</v>
      </c>
      <c r="F130" s="1" t="s">
        <v>211</v>
      </c>
      <c r="G130" s="1" t="s">
        <v>212</v>
      </c>
      <c r="H130" t="str">
        <f t="shared" si="3"/>
        <v>MARTA CULLEN</v>
      </c>
      <c r="I130" s="1" t="s">
        <v>47</v>
      </c>
      <c r="J130" s="1" t="s">
        <v>74</v>
      </c>
      <c r="K130" s="2">
        <v>46143</v>
      </c>
      <c r="L130" s="1" t="s">
        <v>52</v>
      </c>
      <c r="M130" s="1" t="s">
        <v>64</v>
      </c>
      <c r="N130" s="1" t="s">
        <v>65</v>
      </c>
      <c r="O130" s="1">
        <v>0</v>
      </c>
      <c r="P130" s="1">
        <v>5.25</v>
      </c>
      <c r="Q130" s="1">
        <v>5.25</v>
      </c>
      <c r="R130" s="1">
        <v>5.25</v>
      </c>
      <c r="S130" s="1" t="s">
        <v>685</v>
      </c>
    </row>
    <row r="131" spans="1:19" s="1" customFormat="1" x14ac:dyDescent="0.25">
      <c r="A131" s="1">
        <v>19615078</v>
      </c>
      <c r="B131" s="1" t="str">
        <f t="shared" si="4"/>
        <v>19615078OVR</v>
      </c>
      <c r="C131" s="1" t="s">
        <v>503</v>
      </c>
      <c r="D131" s="1" t="s">
        <v>504</v>
      </c>
      <c r="E131" s="1" t="str">
        <f t="shared" si="5"/>
        <v>D3GA7ZOVR</v>
      </c>
      <c r="F131" s="1" t="s">
        <v>506</v>
      </c>
      <c r="G131" s="1" t="s">
        <v>507</v>
      </c>
      <c r="H131" t="str">
        <f t="shared" ref="H131:H194" si="6">CONCATENATE(F131," ",G131)</f>
        <v>ANN REISEL</v>
      </c>
      <c r="I131" s="1" t="s">
        <v>47</v>
      </c>
      <c r="J131" s="1" t="s">
        <v>509</v>
      </c>
      <c r="K131" s="2">
        <v>46143</v>
      </c>
      <c r="L131" s="1" t="s">
        <v>85</v>
      </c>
      <c r="M131" s="1" t="s">
        <v>64</v>
      </c>
      <c r="N131" s="1" t="s">
        <v>65</v>
      </c>
      <c r="O131" s="1">
        <v>0</v>
      </c>
      <c r="P131" s="1">
        <v>5.25</v>
      </c>
      <c r="Q131" s="1">
        <v>5.25</v>
      </c>
      <c r="R131" s="1">
        <v>5.25</v>
      </c>
      <c r="S131" s="1" t="s">
        <v>685</v>
      </c>
    </row>
    <row r="132" spans="1:19" s="1" customFormat="1" x14ac:dyDescent="0.25">
      <c r="A132" s="1">
        <v>21435997</v>
      </c>
      <c r="B132" s="1" t="str">
        <f t="shared" si="4"/>
        <v>21435997OVR</v>
      </c>
      <c r="C132" s="1" t="s">
        <v>366</v>
      </c>
      <c r="D132" s="1" t="s">
        <v>367</v>
      </c>
      <c r="E132" s="1" t="str">
        <f t="shared" si="5"/>
        <v>D3KYC8OVR</v>
      </c>
      <c r="F132" s="1" t="s">
        <v>369</v>
      </c>
      <c r="G132" s="1" t="s">
        <v>370</v>
      </c>
      <c r="H132" t="str">
        <f t="shared" si="6"/>
        <v>PAUL KINGMAN</v>
      </c>
      <c r="I132" s="1" t="s">
        <v>72</v>
      </c>
      <c r="J132" s="1" t="s">
        <v>121</v>
      </c>
      <c r="K132" s="2">
        <v>46143</v>
      </c>
      <c r="L132" s="1" t="s">
        <v>85</v>
      </c>
      <c r="M132" s="1" t="s">
        <v>64</v>
      </c>
      <c r="N132" s="1" t="s">
        <v>65</v>
      </c>
      <c r="O132" s="1">
        <v>0</v>
      </c>
      <c r="P132" s="1">
        <v>5.25</v>
      </c>
      <c r="Q132" s="1">
        <v>5.25</v>
      </c>
      <c r="R132" s="1">
        <v>5.25</v>
      </c>
      <c r="S132" s="1" t="s">
        <v>685</v>
      </c>
    </row>
    <row r="133" spans="1:19" s="1" customFormat="1" x14ac:dyDescent="0.25">
      <c r="A133" s="1">
        <v>19586992</v>
      </c>
      <c r="B133" s="1" t="str">
        <f t="shared" si="4"/>
        <v>19586992OVR</v>
      </c>
      <c r="C133" s="1" t="s">
        <v>42</v>
      </c>
      <c r="D133" s="1" t="s">
        <v>282</v>
      </c>
      <c r="E133" s="1" t="str">
        <f t="shared" si="5"/>
        <v>D3W8UJOVR</v>
      </c>
      <c r="F133" s="1" t="s">
        <v>284</v>
      </c>
      <c r="G133" s="1" t="s">
        <v>285</v>
      </c>
      <c r="H133" t="str">
        <f t="shared" si="6"/>
        <v>SALLY FERMAINT</v>
      </c>
      <c r="I133" s="1" t="s">
        <v>47</v>
      </c>
      <c r="J133" s="1" t="s">
        <v>74</v>
      </c>
      <c r="K133" s="2">
        <v>46143</v>
      </c>
      <c r="L133" s="1" t="s">
        <v>52</v>
      </c>
      <c r="M133" s="1" t="s">
        <v>64</v>
      </c>
      <c r="N133" s="1" t="s">
        <v>65</v>
      </c>
      <c r="O133" s="1">
        <v>0</v>
      </c>
      <c r="P133" s="1">
        <v>5.25</v>
      </c>
      <c r="Q133" s="1">
        <v>5.25</v>
      </c>
      <c r="R133" s="1">
        <v>5.25</v>
      </c>
      <c r="S133" s="1" t="s">
        <v>685</v>
      </c>
    </row>
    <row r="134" spans="1:19" s="1" customFormat="1" x14ac:dyDescent="0.25">
      <c r="A134" s="1">
        <v>7146581</v>
      </c>
      <c r="B134" s="1" t="str">
        <f t="shared" si="4"/>
        <v>7146581OVR</v>
      </c>
      <c r="C134" s="1" t="s">
        <v>87</v>
      </c>
      <c r="D134" s="1" t="s">
        <v>641</v>
      </c>
      <c r="E134" s="1" t="str">
        <f t="shared" si="5"/>
        <v>D3YF2SOVR</v>
      </c>
      <c r="F134" s="1" t="s">
        <v>643</v>
      </c>
      <c r="G134" s="1" t="s">
        <v>644</v>
      </c>
      <c r="H134" t="str">
        <f t="shared" si="6"/>
        <v>PAMM WILCOX</v>
      </c>
      <c r="I134" s="1" t="s">
        <v>47</v>
      </c>
      <c r="J134" s="1" t="s">
        <v>74</v>
      </c>
      <c r="K134" s="2">
        <v>46143</v>
      </c>
      <c r="L134" s="1" t="s">
        <v>52</v>
      </c>
      <c r="M134" s="1" t="s">
        <v>64</v>
      </c>
      <c r="N134" s="1" t="s">
        <v>65</v>
      </c>
      <c r="O134" s="1">
        <v>0</v>
      </c>
      <c r="P134" s="1">
        <v>5.25</v>
      </c>
      <c r="Q134" s="1">
        <v>5.25</v>
      </c>
      <c r="R134" s="1">
        <v>5.25</v>
      </c>
      <c r="S134" s="1" t="s">
        <v>685</v>
      </c>
    </row>
    <row r="135" spans="1:19" s="1" customFormat="1" x14ac:dyDescent="0.25">
      <c r="A135" s="1">
        <v>17301495</v>
      </c>
      <c r="B135" s="1" t="str">
        <f t="shared" si="4"/>
        <v>17301495OVR</v>
      </c>
      <c r="C135" s="1" t="s">
        <v>56</v>
      </c>
      <c r="D135" s="1" t="s">
        <v>57</v>
      </c>
      <c r="E135" s="1" t="str">
        <f t="shared" si="5"/>
        <v>D3ZZRKOVR</v>
      </c>
      <c r="F135" s="1" t="s">
        <v>59</v>
      </c>
      <c r="G135" s="1" t="s">
        <v>60</v>
      </c>
      <c r="H135" t="str">
        <f t="shared" si="6"/>
        <v>MARCO ALVAREZ PEREZ</v>
      </c>
      <c r="I135" s="1" t="s">
        <v>47</v>
      </c>
      <c r="J135" s="1" t="s">
        <v>62</v>
      </c>
      <c r="K135" s="2">
        <v>46143</v>
      </c>
      <c r="L135" s="1" t="s">
        <v>52</v>
      </c>
      <c r="M135" s="1" t="s">
        <v>64</v>
      </c>
      <c r="N135" s="1" t="s">
        <v>65</v>
      </c>
      <c r="O135" s="1">
        <v>0</v>
      </c>
      <c r="P135" s="1">
        <v>5.25</v>
      </c>
      <c r="Q135" s="1">
        <v>5.25</v>
      </c>
      <c r="R135" s="1">
        <v>5.25</v>
      </c>
      <c r="S135" s="1" t="s">
        <v>685</v>
      </c>
    </row>
    <row r="136" spans="1:19" s="1" customFormat="1" x14ac:dyDescent="0.25">
      <c r="A136" s="1">
        <v>17126004</v>
      </c>
      <c r="B136" s="1" t="str">
        <f t="shared" si="4"/>
        <v>17126004OVR</v>
      </c>
      <c r="C136" s="1" t="s">
        <v>155</v>
      </c>
      <c r="D136" s="1" t="s">
        <v>649</v>
      </c>
      <c r="E136" s="1" t="str">
        <f t="shared" si="5"/>
        <v>D48HWROVR</v>
      </c>
      <c r="F136" s="1" t="s">
        <v>651</v>
      </c>
      <c r="G136" s="1" t="s">
        <v>652</v>
      </c>
      <c r="H136" t="str">
        <f t="shared" si="6"/>
        <v>HAROLD WIRTZ</v>
      </c>
      <c r="I136" s="1" t="s">
        <v>126</v>
      </c>
      <c r="J136" s="1" t="s">
        <v>74</v>
      </c>
      <c r="K136" s="2">
        <v>46143</v>
      </c>
      <c r="L136" s="1" t="s">
        <v>52</v>
      </c>
      <c r="M136" s="1" t="s">
        <v>64</v>
      </c>
      <c r="N136" s="1" t="s">
        <v>65</v>
      </c>
      <c r="O136" s="1">
        <v>0</v>
      </c>
      <c r="P136" s="1">
        <v>5.25</v>
      </c>
      <c r="Q136" s="1">
        <v>5.25</v>
      </c>
      <c r="R136" s="1">
        <v>5.25</v>
      </c>
      <c r="S136" s="1" t="s">
        <v>685</v>
      </c>
    </row>
    <row r="137" spans="1:19" s="1" customFormat="1" x14ac:dyDescent="0.25">
      <c r="A137" s="1">
        <v>18754354</v>
      </c>
      <c r="B137" s="1" t="str">
        <f t="shared" si="4"/>
        <v>18754354OVR</v>
      </c>
      <c r="C137" s="1" t="s">
        <v>390</v>
      </c>
      <c r="D137" s="1" t="s">
        <v>391</v>
      </c>
      <c r="E137" s="1" t="str">
        <f t="shared" si="5"/>
        <v>D4AC9KOVR</v>
      </c>
      <c r="F137" s="1" t="s">
        <v>393</v>
      </c>
      <c r="G137" s="1" t="s">
        <v>394</v>
      </c>
      <c r="H137" t="str">
        <f t="shared" si="6"/>
        <v>WILLIAM LUDWIG III</v>
      </c>
      <c r="I137" s="1" t="s">
        <v>47</v>
      </c>
      <c r="J137" s="1" t="s">
        <v>364</v>
      </c>
      <c r="K137" s="2">
        <v>46143</v>
      </c>
      <c r="L137" s="1" t="s">
        <v>100</v>
      </c>
      <c r="M137" s="1" t="s">
        <v>64</v>
      </c>
      <c r="N137" s="1" t="s">
        <v>65</v>
      </c>
      <c r="O137" s="1">
        <v>0</v>
      </c>
      <c r="P137" s="1">
        <v>5.25</v>
      </c>
      <c r="Q137" s="1">
        <v>5.25</v>
      </c>
      <c r="R137" s="1">
        <v>5.25</v>
      </c>
      <c r="S137" s="1" t="s">
        <v>685</v>
      </c>
    </row>
    <row r="138" spans="1:19" s="1" customFormat="1" x14ac:dyDescent="0.25">
      <c r="A138" s="1">
        <v>19200754</v>
      </c>
      <c r="B138" s="1" t="str">
        <f t="shared" si="4"/>
        <v>19200754OVR</v>
      </c>
      <c r="C138" s="1" t="s">
        <v>138</v>
      </c>
      <c r="D138" s="1" t="s">
        <v>139</v>
      </c>
      <c r="E138" s="1" t="str">
        <f t="shared" si="5"/>
        <v>D4EE5HOVR</v>
      </c>
      <c r="F138" s="1" t="s">
        <v>141</v>
      </c>
      <c r="G138" s="1" t="s">
        <v>142</v>
      </c>
      <c r="H138" t="str">
        <f t="shared" si="6"/>
        <v>SAMUEL BOOK</v>
      </c>
      <c r="I138" s="1" t="s">
        <v>47</v>
      </c>
      <c r="J138" s="1" t="s">
        <v>74</v>
      </c>
      <c r="K138" s="2">
        <v>46143</v>
      </c>
      <c r="L138" s="1" t="s">
        <v>52</v>
      </c>
      <c r="M138" s="1" t="s">
        <v>64</v>
      </c>
      <c r="N138" s="1" t="s">
        <v>65</v>
      </c>
      <c r="O138" s="1">
        <v>0</v>
      </c>
      <c r="P138" s="1">
        <v>5.25</v>
      </c>
      <c r="Q138" s="1">
        <v>5.25</v>
      </c>
      <c r="R138" s="1">
        <v>5.25</v>
      </c>
      <c r="S138" s="1" t="s">
        <v>685</v>
      </c>
    </row>
    <row r="139" spans="1:19" s="1" customFormat="1" x14ac:dyDescent="0.25">
      <c r="A139" s="1">
        <v>2158366</v>
      </c>
      <c r="B139" s="1" t="str">
        <f t="shared" si="4"/>
        <v>2158366OVR</v>
      </c>
      <c r="C139" s="1" t="s">
        <v>107</v>
      </c>
      <c r="D139" s="1" t="s">
        <v>328</v>
      </c>
      <c r="E139" s="1" t="str">
        <f t="shared" si="5"/>
        <v>D4HE9GOVR</v>
      </c>
      <c r="F139" s="1" t="s">
        <v>330</v>
      </c>
      <c r="G139" s="1" t="s">
        <v>331</v>
      </c>
      <c r="H139" t="str">
        <f t="shared" si="6"/>
        <v>STEVEN HEY</v>
      </c>
      <c r="I139" s="1" t="s">
        <v>47</v>
      </c>
      <c r="J139" s="1" t="s">
        <v>74</v>
      </c>
      <c r="K139" s="2">
        <v>46143</v>
      </c>
      <c r="L139" s="1" t="s">
        <v>52</v>
      </c>
      <c r="M139" s="1" t="s">
        <v>64</v>
      </c>
      <c r="N139" s="1" t="s">
        <v>65</v>
      </c>
      <c r="O139" s="1">
        <v>0</v>
      </c>
      <c r="P139" s="1">
        <v>5.25</v>
      </c>
      <c r="Q139" s="1">
        <v>5.25</v>
      </c>
      <c r="R139" s="1">
        <v>5.25</v>
      </c>
      <c r="S139" s="1" t="s">
        <v>685</v>
      </c>
    </row>
    <row r="140" spans="1:19" s="1" customFormat="1" x14ac:dyDescent="0.25">
      <c r="A140" s="1">
        <v>8814784</v>
      </c>
      <c r="B140" s="1" t="str">
        <f t="shared" si="4"/>
        <v>8814784OVR</v>
      </c>
      <c r="C140" s="1" t="s">
        <v>178</v>
      </c>
      <c r="D140" s="1" t="s">
        <v>179</v>
      </c>
      <c r="E140" s="1" t="str">
        <f t="shared" si="5"/>
        <v>D4SJK4OVR</v>
      </c>
      <c r="F140" s="1" t="s">
        <v>181</v>
      </c>
      <c r="G140" s="1" t="s">
        <v>182</v>
      </c>
      <c r="H140" t="str">
        <f t="shared" si="6"/>
        <v>KAREN CHAREWICZ</v>
      </c>
      <c r="I140" s="1" t="s">
        <v>47</v>
      </c>
      <c r="J140" s="1" t="s">
        <v>74</v>
      </c>
      <c r="K140" s="2">
        <v>46143</v>
      </c>
      <c r="L140" s="1" t="s">
        <v>100</v>
      </c>
      <c r="M140" s="1" t="s">
        <v>64</v>
      </c>
      <c r="N140" s="1" t="s">
        <v>65</v>
      </c>
      <c r="O140" s="1">
        <v>0</v>
      </c>
      <c r="P140" s="1">
        <v>5.25</v>
      </c>
      <c r="Q140" s="1">
        <v>5.25</v>
      </c>
      <c r="R140" s="1">
        <v>5.25</v>
      </c>
      <c r="S140" s="1" t="s">
        <v>685</v>
      </c>
    </row>
    <row r="141" spans="1:19" s="1" customFormat="1" x14ac:dyDescent="0.25">
      <c r="A141" s="1">
        <v>19200754</v>
      </c>
      <c r="B141" s="1" t="str">
        <f t="shared" si="4"/>
        <v>19200754OVR</v>
      </c>
      <c r="C141" s="1" t="s">
        <v>138</v>
      </c>
      <c r="D141" s="1" t="s">
        <v>473</v>
      </c>
      <c r="E141" s="1" t="str">
        <f t="shared" si="5"/>
        <v>D538HSOVR</v>
      </c>
      <c r="F141" s="1" t="s">
        <v>103</v>
      </c>
      <c r="G141" s="1" t="s">
        <v>369</v>
      </c>
      <c r="H141" t="str">
        <f t="shared" si="6"/>
        <v>JOHN PAUL</v>
      </c>
      <c r="I141" s="1" t="s">
        <v>47</v>
      </c>
      <c r="J141" s="1" t="s">
        <v>364</v>
      </c>
      <c r="K141" s="2">
        <v>46143</v>
      </c>
      <c r="L141" s="1" t="s">
        <v>85</v>
      </c>
      <c r="M141" s="1" t="s">
        <v>64</v>
      </c>
      <c r="N141" s="1" t="s">
        <v>65</v>
      </c>
      <c r="O141" s="1">
        <v>0</v>
      </c>
      <c r="P141" s="1">
        <v>5.25</v>
      </c>
      <c r="Q141" s="1">
        <v>5.25</v>
      </c>
      <c r="R141" s="1">
        <v>5.25</v>
      </c>
      <c r="S141" s="1" t="s">
        <v>685</v>
      </c>
    </row>
    <row r="142" spans="1:19" s="1" customFormat="1" x14ac:dyDescent="0.25">
      <c r="A142" s="1">
        <v>19481808</v>
      </c>
      <c r="B142" s="1" t="str">
        <f t="shared" si="4"/>
        <v>19481808OVR</v>
      </c>
      <c r="C142" s="1" t="s">
        <v>409</v>
      </c>
      <c r="D142" s="1" t="s">
        <v>410</v>
      </c>
      <c r="E142" s="1" t="str">
        <f t="shared" si="5"/>
        <v>D56WZZOVR</v>
      </c>
      <c r="F142" s="1" t="s">
        <v>412</v>
      </c>
      <c r="G142" s="1" t="s">
        <v>413</v>
      </c>
      <c r="H142" t="str">
        <f t="shared" si="6"/>
        <v>JOSEPHINE MANZELLA</v>
      </c>
      <c r="I142" s="1" t="s">
        <v>47</v>
      </c>
      <c r="J142" s="1" t="s">
        <v>74</v>
      </c>
      <c r="K142" s="2">
        <v>46143</v>
      </c>
      <c r="L142" s="1" t="s">
        <v>52</v>
      </c>
      <c r="M142" s="1" t="s">
        <v>64</v>
      </c>
      <c r="N142" s="1" t="s">
        <v>65</v>
      </c>
      <c r="O142" s="1">
        <v>0</v>
      </c>
      <c r="P142" s="1">
        <v>5.25</v>
      </c>
      <c r="Q142" s="1">
        <v>5.25</v>
      </c>
      <c r="R142" s="1">
        <v>5.25</v>
      </c>
      <c r="S142" s="1" t="s">
        <v>685</v>
      </c>
    </row>
    <row r="143" spans="1:19" s="1" customFormat="1" x14ac:dyDescent="0.25">
      <c r="A143" s="1">
        <v>17126004</v>
      </c>
      <c r="B143" s="1" t="str">
        <f t="shared" si="4"/>
        <v>17126004OVR</v>
      </c>
      <c r="C143" s="1" t="s">
        <v>155</v>
      </c>
      <c r="D143" s="1" t="s">
        <v>468</v>
      </c>
      <c r="E143" s="1" t="str">
        <f t="shared" si="5"/>
        <v>D5E4KJOVR</v>
      </c>
      <c r="F143" s="1" t="s">
        <v>470</v>
      </c>
      <c r="G143" s="1" t="s">
        <v>471</v>
      </c>
      <c r="H143" t="str">
        <f t="shared" si="6"/>
        <v>REBECCA NORTON</v>
      </c>
      <c r="I143" s="1" t="s">
        <v>47</v>
      </c>
      <c r="J143" s="1" t="s">
        <v>222</v>
      </c>
      <c r="K143" s="2">
        <v>46143</v>
      </c>
      <c r="L143" s="1" t="s">
        <v>52</v>
      </c>
      <c r="M143" s="1" t="s">
        <v>64</v>
      </c>
      <c r="N143" s="1" t="s">
        <v>65</v>
      </c>
      <c r="O143" s="1">
        <v>0</v>
      </c>
      <c r="P143" s="1">
        <v>5.25</v>
      </c>
      <c r="Q143" s="1">
        <v>5.25</v>
      </c>
      <c r="R143" s="1">
        <v>5.25</v>
      </c>
      <c r="S143" s="1" t="s">
        <v>685</v>
      </c>
    </row>
    <row r="144" spans="1:19" s="1" customFormat="1" x14ac:dyDescent="0.25">
      <c r="A144" s="1">
        <v>19681796</v>
      </c>
      <c r="B144" s="1" t="str">
        <f t="shared" si="4"/>
        <v>19681796OVR</v>
      </c>
      <c r="C144" s="1" t="s">
        <v>576</v>
      </c>
      <c r="D144" s="1" t="s">
        <v>577</v>
      </c>
      <c r="E144" s="1" t="str">
        <f t="shared" si="5"/>
        <v>D5HG7UOVR</v>
      </c>
      <c r="F144" s="1" t="s">
        <v>579</v>
      </c>
      <c r="G144" s="1" t="s">
        <v>580</v>
      </c>
      <c r="H144" t="str">
        <f t="shared" si="6"/>
        <v>WENDY SOFYANOS</v>
      </c>
      <c r="I144" s="1" t="s">
        <v>47</v>
      </c>
      <c r="J144" s="1" t="s">
        <v>74</v>
      </c>
      <c r="K144" s="2">
        <v>46143</v>
      </c>
      <c r="L144" s="1" t="s">
        <v>100</v>
      </c>
      <c r="M144" s="1" t="s">
        <v>64</v>
      </c>
      <c r="N144" s="1" t="s">
        <v>65</v>
      </c>
      <c r="O144" s="1">
        <v>0</v>
      </c>
      <c r="P144" s="1">
        <v>5.25</v>
      </c>
      <c r="Q144" s="1">
        <v>5.25</v>
      </c>
      <c r="R144" s="1">
        <v>5.25</v>
      </c>
      <c r="S144" s="1" t="s">
        <v>685</v>
      </c>
    </row>
    <row r="145" spans="1:19" s="1" customFormat="1" x14ac:dyDescent="0.25">
      <c r="A145" s="1">
        <v>16633294</v>
      </c>
      <c r="B145" s="1" t="str">
        <f t="shared" si="4"/>
        <v>16633294OVR</v>
      </c>
      <c r="C145" s="1" t="s">
        <v>540</v>
      </c>
      <c r="D145" s="1" t="s">
        <v>612</v>
      </c>
      <c r="E145" s="1" t="str">
        <f t="shared" si="5"/>
        <v>D5K25COVR</v>
      </c>
      <c r="F145" s="1" t="s">
        <v>124</v>
      </c>
      <c r="G145" s="1" t="s">
        <v>610</v>
      </c>
      <c r="H145" t="str">
        <f t="shared" si="6"/>
        <v>ROBERT TONGE</v>
      </c>
      <c r="I145" s="1" t="s">
        <v>47</v>
      </c>
      <c r="J145" s="1" t="s">
        <v>74</v>
      </c>
      <c r="K145" s="2">
        <v>46143</v>
      </c>
      <c r="L145" s="1" t="s">
        <v>52</v>
      </c>
      <c r="M145" s="1" t="s">
        <v>64</v>
      </c>
      <c r="N145" s="1" t="s">
        <v>65</v>
      </c>
      <c r="O145" s="1">
        <v>0</v>
      </c>
      <c r="P145" s="1">
        <v>5.25</v>
      </c>
      <c r="Q145" s="1">
        <v>5.25</v>
      </c>
      <c r="R145" s="1">
        <v>5.25</v>
      </c>
      <c r="S145" s="1" t="s">
        <v>685</v>
      </c>
    </row>
    <row r="146" spans="1:19" s="1" customFormat="1" x14ac:dyDescent="0.25">
      <c r="A146" s="1">
        <v>17301495</v>
      </c>
      <c r="B146" s="1" t="str">
        <f t="shared" si="4"/>
        <v>17301495OVR</v>
      </c>
      <c r="C146" s="1" t="s">
        <v>56</v>
      </c>
      <c r="D146" s="1" t="s">
        <v>101</v>
      </c>
      <c r="E146" s="1" t="str">
        <f t="shared" si="5"/>
        <v>D678GKOVR</v>
      </c>
      <c r="F146" s="1" t="s">
        <v>103</v>
      </c>
      <c r="G146" s="1" t="s">
        <v>104</v>
      </c>
      <c r="H146" t="str">
        <f t="shared" si="6"/>
        <v>JOHN BARONE JR</v>
      </c>
      <c r="I146" s="1" t="s">
        <v>47</v>
      </c>
      <c r="J146" s="1" t="s">
        <v>74</v>
      </c>
      <c r="K146" s="2">
        <v>46143</v>
      </c>
      <c r="L146" s="1" t="s">
        <v>85</v>
      </c>
      <c r="M146" s="1" t="s">
        <v>64</v>
      </c>
      <c r="N146" s="1" t="s">
        <v>65</v>
      </c>
      <c r="O146" s="1">
        <v>0</v>
      </c>
      <c r="P146" s="1">
        <v>5.25</v>
      </c>
      <c r="Q146" s="1">
        <v>5.25</v>
      </c>
      <c r="R146" s="1">
        <v>5.25</v>
      </c>
      <c r="S146" s="1" t="s">
        <v>685</v>
      </c>
    </row>
    <row r="147" spans="1:19" s="1" customFormat="1" x14ac:dyDescent="0.25">
      <c r="A147" s="1">
        <v>8307933</v>
      </c>
      <c r="B147" s="1" t="str">
        <f t="shared" si="4"/>
        <v>8307933OVR</v>
      </c>
      <c r="C147" s="1" t="s">
        <v>450</v>
      </c>
      <c r="D147" s="1" t="s">
        <v>637</v>
      </c>
      <c r="E147" s="1" t="str">
        <f t="shared" si="5"/>
        <v>D6HHKWOVR</v>
      </c>
      <c r="F147" s="1" t="s">
        <v>103</v>
      </c>
      <c r="G147" s="1" t="s">
        <v>639</v>
      </c>
      <c r="H147" t="str">
        <f t="shared" si="6"/>
        <v>JOHN WEIS</v>
      </c>
      <c r="I147" s="1" t="s">
        <v>47</v>
      </c>
      <c r="J147" s="1" t="s">
        <v>74</v>
      </c>
      <c r="K147" s="2">
        <v>46143</v>
      </c>
      <c r="L147" s="1" t="s">
        <v>52</v>
      </c>
      <c r="M147" s="1" t="s">
        <v>64</v>
      </c>
      <c r="N147" s="1" t="s">
        <v>65</v>
      </c>
      <c r="O147" s="1">
        <v>0</v>
      </c>
      <c r="P147" s="1">
        <v>5.25</v>
      </c>
      <c r="Q147" s="1">
        <v>5.25</v>
      </c>
      <c r="R147" s="1">
        <v>5.25</v>
      </c>
      <c r="S147" s="1" t="s">
        <v>685</v>
      </c>
    </row>
    <row r="148" spans="1:19" s="1" customFormat="1" x14ac:dyDescent="0.25">
      <c r="A148" s="1">
        <v>2158366</v>
      </c>
      <c r="B148" s="1" t="str">
        <f t="shared" si="4"/>
        <v>2158366OVR</v>
      </c>
      <c r="C148" s="1" t="s">
        <v>107</v>
      </c>
      <c r="D148" s="1" t="s">
        <v>245</v>
      </c>
      <c r="E148" s="1" t="str">
        <f t="shared" si="5"/>
        <v>D6K5SYOVR</v>
      </c>
      <c r="F148" s="1" t="s">
        <v>247</v>
      </c>
      <c r="G148" s="1" t="s">
        <v>248</v>
      </c>
      <c r="H148" t="str">
        <f t="shared" si="6"/>
        <v>SUSAN EICHMAN PARCELL</v>
      </c>
      <c r="I148" s="1" t="s">
        <v>47</v>
      </c>
      <c r="J148" s="1" t="s">
        <v>160</v>
      </c>
      <c r="K148" s="2">
        <v>46143</v>
      </c>
      <c r="L148" s="1" t="s">
        <v>85</v>
      </c>
      <c r="M148" s="1" t="s">
        <v>64</v>
      </c>
      <c r="N148" s="1" t="s">
        <v>65</v>
      </c>
      <c r="O148" s="1">
        <v>0</v>
      </c>
      <c r="P148" s="1">
        <v>5.25</v>
      </c>
      <c r="Q148" s="1">
        <v>5.25</v>
      </c>
      <c r="R148" s="1">
        <v>5.25</v>
      </c>
      <c r="S148" s="1" t="s">
        <v>685</v>
      </c>
    </row>
    <row r="149" spans="1:19" s="1" customFormat="1" x14ac:dyDescent="0.25">
      <c r="A149" s="1">
        <v>17301495</v>
      </c>
      <c r="B149" s="1" t="str">
        <f t="shared" si="4"/>
        <v>17301495OVR</v>
      </c>
      <c r="C149" s="1" t="s">
        <v>56</v>
      </c>
      <c r="D149" s="1" t="s">
        <v>184</v>
      </c>
      <c r="E149" s="1" t="str">
        <f t="shared" si="5"/>
        <v>D6YZ5COVR</v>
      </c>
      <c r="F149" s="1" t="s">
        <v>186</v>
      </c>
      <c r="G149" s="1" t="s">
        <v>187</v>
      </c>
      <c r="H149" t="str">
        <f t="shared" si="6"/>
        <v>CARLOS CHAVEZ</v>
      </c>
      <c r="I149" s="1" t="s">
        <v>47</v>
      </c>
      <c r="J149" s="1" t="s">
        <v>128</v>
      </c>
      <c r="K149" s="2">
        <v>46143</v>
      </c>
      <c r="L149" s="1" t="s">
        <v>52</v>
      </c>
      <c r="M149" s="1" t="s">
        <v>64</v>
      </c>
      <c r="N149" s="1" t="s">
        <v>65</v>
      </c>
      <c r="O149" s="1">
        <v>0</v>
      </c>
      <c r="P149" s="1">
        <v>5.25</v>
      </c>
      <c r="Q149" s="1">
        <v>5.25</v>
      </c>
      <c r="R149" s="1">
        <v>5.25</v>
      </c>
      <c r="S149" s="1" t="s">
        <v>685</v>
      </c>
    </row>
    <row r="150" spans="1:19" s="1" customFormat="1" x14ac:dyDescent="0.25">
      <c r="A150" s="1">
        <v>19200754</v>
      </c>
      <c r="B150" s="1" t="str">
        <f t="shared" si="4"/>
        <v>19200754OVR</v>
      </c>
      <c r="C150" s="1" t="s">
        <v>138</v>
      </c>
      <c r="D150" s="1" t="s">
        <v>307</v>
      </c>
      <c r="E150" s="1" t="str">
        <f t="shared" si="5"/>
        <v>D77FJCOVR</v>
      </c>
      <c r="F150" s="1" t="s">
        <v>309</v>
      </c>
      <c r="G150" s="1" t="s">
        <v>310</v>
      </c>
      <c r="H150" t="str">
        <f t="shared" si="6"/>
        <v>BETH GONSIEWSKI</v>
      </c>
      <c r="I150" s="1" t="s">
        <v>47</v>
      </c>
      <c r="J150" s="1" t="s">
        <v>193</v>
      </c>
      <c r="K150" s="2">
        <v>46143</v>
      </c>
      <c r="L150" s="1" t="s">
        <v>85</v>
      </c>
      <c r="M150" s="1" t="s">
        <v>64</v>
      </c>
      <c r="N150" s="1" t="s">
        <v>65</v>
      </c>
      <c r="O150" s="1">
        <v>0</v>
      </c>
      <c r="P150" s="1">
        <v>5.25</v>
      </c>
      <c r="Q150" s="1">
        <v>5.25</v>
      </c>
      <c r="R150" s="1">
        <v>5.25</v>
      </c>
      <c r="S150" s="1" t="s">
        <v>685</v>
      </c>
    </row>
    <row r="151" spans="1:19" s="1" customFormat="1" x14ac:dyDescent="0.25">
      <c r="A151" s="1">
        <v>7146581</v>
      </c>
      <c r="B151" s="1" t="str">
        <f t="shared" si="4"/>
        <v>7146581OVR</v>
      </c>
      <c r="C151" s="1" t="s">
        <v>87</v>
      </c>
      <c r="D151" s="1" t="s">
        <v>287</v>
      </c>
      <c r="E151" s="1" t="str">
        <f t="shared" si="5"/>
        <v>D77WRJOVR</v>
      </c>
      <c r="F151" s="1" t="s">
        <v>289</v>
      </c>
      <c r="G151" s="1" t="s">
        <v>290</v>
      </c>
      <c r="H151" t="str">
        <f t="shared" si="6"/>
        <v>ANDREW FERNANDEZ</v>
      </c>
      <c r="I151" s="1" t="s">
        <v>47</v>
      </c>
      <c r="J151" s="1" t="s">
        <v>74</v>
      </c>
      <c r="K151" s="2">
        <v>46143</v>
      </c>
      <c r="L151" s="1" t="s">
        <v>85</v>
      </c>
      <c r="M151" s="1" t="s">
        <v>64</v>
      </c>
      <c r="N151" s="1" t="s">
        <v>65</v>
      </c>
      <c r="O151" s="1">
        <v>0</v>
      </c>
      <c r="P151" s="1">
        <v>5.25</v>
      </c>
      <c r="Q151" s="1">
        <v>5.25</v>
      </c>
      <c r="R151" s="1">
        <v>5.25</v>
      </c>
      <c r="S151" s="1" t="s">
        <v>685</v>
      </c>
    </row>
    <row r="152" spans="1:19" s="1" customFormat="1" x14ac:dyDescent="0.25">
      <c r="A152" s="1">
        <v>19396223</v>
      </c>
      <c r="B152" s="1" t="str">
        <f t="shared" si="4"/>
        <v>19396223OVR</v>
      </c>
      <c r="C152" s="1" t="s">
        <v>266</v>
      </c>
      <c r="D152" s="1" t="s">
        <v>333</v>
      </c>
      <c r="E152" s="1" t="str">
        <f t="shared" si="5"/>
        <v>D79W82OVR</v>
      </c>
      <c r="F152" s="1" t="s">
        <v>320</v>
      </c>
      <c r="G152" s="1" t="s">
        <v>335</v>
      </c>
      <c r="H152" t="str">
        <f t="shared" si="6"/>
        <v>LAURA HORN</v>
      </c>
      <c r="I152" s="1" t="s">
        <v>336</v>
      </c>
      <c r="J152" s="1" t="s">
        <v>128</v>
      </c>
      <c r="K152" s="2">
        <v>46143</v>
      </c>
      <c r="L152" s="1" t="s">
        <v>85</v>
      </c>
      <c r="M152" s="1" t="s">
        <v>64</v>
      </c>
      <c r="N152" s="1" t="s">
        <v>65</v>
      </c>
      <c r="O152" s="1">
        <v>0</v>
      </c>
      <c r="P152" s="1">
        <v>5.25</v>
      </c>
      <c r="Q152" s="1">
        <v>5.25</v>
      </c>
      <c r="R152" s="1">
        <v>5.25</v>
      </c>
      <c r="S152" s="1" t="s">
        <v>685</v>
      </c>
    </row>
    <row r="153" spans="1:19" s="1" customFormat="1" x14ac:dyDescent="0.25">
      <c r="A153" s="1">
        <v>2158366</v>
      </c>
      <c r="B153" s="1" t="str">
        <f t="shared" si="4"/>
        <v>2158366OVR</v>
      </c>
      <c r="C153" s="1" t="s">
        <v>107</v>
      </c>
      <c r="D153" s="1" t="s">
        <v>359</v>
      </c>
      <c r="E153" s="1" t="str">
        <f t="shared" si="5"/>
        <v>D7ZW4GOVR</v>
      </c>
      <c r="F153" s="1" t="s">
        <v>361</v>
      </c>
      <c r="G153" s="1" t="s">
        <v>362</v>
      </c>
      <c r="H153" t="str">
        <f t="shared" si="6"/>
        <v>JEFFREY JOHNS</v>
      </c>
      <c r="I153" s="1" t="s">
        <v>47</v>
      </c>
      <c r="J153" s="1" t="s">
        <v>364</v>
      </c>
      <c r="K153" s="2">
        <v>46143</v>
      </c>
      <c r="L153" s="1" t="s">
        <v>85</v>
      </c>
      <c r="M153" s="1" t="s">
        <v>64</v>
      </c>
      <c r="N153" s="1" t="s">
        <v>65</v>
      </c>
      <c r="O153" s="1">
        <v>0</v>
      </c>
      <c r="P153" s="1">
        <v>5.25</v>
      </c>
      <c r="Q153" s="1">
        <v>5.25</v>
      </c>
      <c r="R153" s="1">
        <v>5.25</v>
      </c>
      <c r="S153" s="1" t="s">
        <v>685</v>
      </c>
    </row>
    <row r="154" spans="1:19" s="1" customFormat="1" x14ac:dyDescent="0.25">
      <c r="A154" s="1">
        <v>19396223</v>
      </c>
      <c r="B154" s="1" t="str">
        <f t="shared" si="4"/>
        <v>19396223OVR</v>
      </c>
      <c r="C154" s="1" t="s">
        <v>266</v>
      </c>
      <c r="D154" s="1" t="s">
        <v>554</v>
      </c>
      <c r="E154" s="1" t="str">
        <f t="shared" si="5"/>
        <v>D83KH5OVR</v>
      </c>
      <c r="F154" s="1" t="s">
        <v>556</v>
      </c>
      <c r="G154" s="1" t="s">
        <v>557</v>
      </c>
      <c r="H154" t="str">
        <f t="shared" si="6"/>
        <v>BHARGAV SAVANI</v>
      </c>
      <c r="I154" s="1" t="s">
        <v>47</v>
      </c>
      <c r="J154" s="1" t="s">
        <v>74</v>
      </c>
      <c r="K154" s="2">
        <v>46143</v>
      </c>
      <c r="L154" s="1" t="s">
        <v>100</v>
      </c>
      <c r="M154" s="1" t="s">
        <v>64</v>
      </c>
      <c r="N154" s="1" t="s">
        <v>65</v>
      </c>
      <c r="O154" s="1">
        <v>0</v>
      </c>
      <c r="P154" s="1">
        <v>5.25</v>
      </c>
      <c r="Q154" s="1">
        <v>5.25</v>
      </c>
      <c r="R154" s="1">
        <v>5.25</v>
      </c>
      <c r="S154" s="1" t="s">
        <v>685</v>
      </c>
    </row>
    <row r="155" spans="1:19" s="1" customFormat="1" x14ac:dyDescent="0.25">
      <c r="A155" s="1">
        <v>17094718</v>
      </c>
      <c r="B155" s="1" t="str">
        <f t="shared" si="4"/>
        <v>17094718OVR</v>
      </c>
      <c r="C155" s="1" t="s">
        <v>397</v>
      </c>
      <c r="D155" s="1" t="s">
        <v>653</v>
      </c>
      <c r="E155" s="1" t="str">
        <f t="shared" si="5"/>
        <v>D86URUOVR</v>
      </c>
      <c r="F155" s="1" t="s">
        <v>655</v>
      </c>
      <c r="G155" s="1" t="s">
        <v>656</v>
      </c>
      <c r="H155" t="str">
        <f t="shared" si="6"/>
        <v>ROGER YOUNG</v>
      </c>
      <c r="I155" s="1" t="s">
        <v>72</v>
      </c>
      <c r="J155" s="1" t="s">
        <v>121</v>
      </c>
      <c r="K155" s="2">
        <v>46143</v>
      </c>
      <c r="L155" s="1" t="s">
        <v>85</v>
      </c>
      <c r="M155" s="1" t="s">
        <v>64</v>
      </c>
      <c r="N155" s="1" t="s">
        <v>65</v>
      </c>
      <c r="O155" s="1">
        <v>0</v>
      </c>
      <c r="P155" s="1">
        <v>5.25</v>
      </c>
      <c r="Q155" s="1">
        <v>5.25</v>
      </c>
      <c r="R155" s="1">
        <v>5.25</v>
      </c>
      <c r="S155" s="1" t="s">
        <v>685</v>
      </c>
    </row>
    <row r="156" spans="1:19" s="1" customFormat="1" x14ac:dyDescent="0.25">
      <c r="A156" s="1">
        <v>2158366</v>
      </c>
      <c r="B156" s="1" t="str">
        <f t="shared" si="4"/>
        <v>2158366OVR</v>
      </c>
      <c r="C156" s="1" t="s">
        <v>107</v>
      </c>
      <c r="D156" s="1" t="s">
        <v>531</v>
      </c>
      <c r="E156" s="1" t="str">
        <f t="shared" si="5"/>
        <v>D87SKKOVR</v>
      </c>
      <c r="F156" s="1" t="s">
        <v>533</v>
      </c>
      <c r="G156" s="1" t="s">
        <v>534</v>
      </c>
      <c r="H156" t="str">
        <f t="shared" si="6"/>
        <v>CHERYL RUDD</v>
      </c>
      <c r="I156" s="1" t="s">
        <v>47</v>
      </c>
      <c r="J156" s="1" t="s">
        <v>222</v>
      </c>
      <c r="K156" s="2">
        <v>46143</v>
      </c>
      <c r="L156" s="1" t="s">
        <v>52</v>
      </c>
      <c r="M156" s="1" t="s">
        <v>64</v>
      </c>
      <c r="N156" s="1" t="s">
        <v>65</v>
      </c>
      <c r="O156" s="1">
        <v>0</v>
      </c>
      <c r="P156" s="1">
        <v>5.25</v>
      </c>
      <c r="Q156" s="1">
        <v>5.25</v>
      </c>
      <c r="R156" s="1">
        <v>5.25</v>
      </c>
      <c r="S156" s="1" t="s">
        <v>685</v>
      </c>
    </row>
    <row r="157" spans="1:19" s="1" customFormat="1" x14ac:dyDescent="0.25">
      <c r="A157" s="1">
        <v>18754354</v>
      </c>
      <c r="B157" s="1" t="str">
        <f t="shared" si="4"/>
        <v>18754354OVR</v>
      </c>
      <c r="C157" s="1" t="s">
        <v>390</v>
      </c>
      <c r="D157" s="1" t="s">
        <v>585</v>
      </c>
      <c r="E157" s="1" t="str">
        <f t="shared" si="5"/>
        <v>D8C779OVR</v>
      </c>
      <c r="F157" s="1" t="s">
        <v>587</v>
      </c>
      <c r="G157" s="1" t="s">
        <v>588</v>
      </c>
      <c r="H157" t="str">
        <f t="shared" si="6"/>
        <v>CHRISTOPHER SPRINGER</v>
      </c>
      <c r="I157" s="1" t="s">
        <v>47</v>
      </c>
      <c r="J157" s="1" t="s">
        <v>199</v>
      </c>
      <c r="K157" s="2">
        <v>46143</v>
      </c>
      <c r="L157" s="1" t="s">
        <v>85</v>
      </c>
      <c r="M157" s="1" t="s">
        <v>64</v>
      </c>
      <c r="N157" s="1" t="s">
        <v>65</v>
      </c>
      <c r="O157" s="1">
        <v>0</v>
      </c>
      <c r="P157" s="1">
        <v>5.25</v>
      </c>
      <c r="Q157" s="1">
        <v>5.25</v>
      </c>
      <c r="R157" s="1">
        <v>5.25</v>
      </c>
      <c r="S157" s="1" t="s">
        <v>685</v>
      </c>
    </row>
    <row r="158" spans="1:19" s="1" customFormat="1" x14ac:dyDescent="0.25">
      <c r="A158" s="1">
        <v>7146581</v>
      </c>
      <c r="B158" s="1" t="str">
        <f t="shared" si="4"/>
        <v>7146581OVR</v>
      </c>
      <c r="C158" s="1" t="s">
        <v>87</v>
      </c>
      <c r="D158" s="1" t="s">
        <v>516</v>
      </c>
      <c r="E158" s="1" t="str">
        <f t="shared" si="5"/>
        <v>D8KF97OVR</v>
      </c>
      <c r="F158" s="1" t="s">
        <v>518</v>
      </c>
      <c r="G158" s="1" t="s">
        <v>519</v>
      </c>
      <c r="H158" t="str">
        <f t="shared" si="6"/>
        <v>BONNIE RIESER</v>
      </c>
      <c r="I158" s="1" t="s">
        <v>47</v>
      </c>
      <c r="J158" s="1" t="s">
        <v>74</v>
      </c>
      <c r="K158" s="2">
        <v>46143</v>
      </c>
      <c r="L158" s="1" t="s">
        <v>52</v>
      </c>
      <c r="M158" s="1" t="s">
        <v>64</v>
      </c>
      <c r="N158" s="1" t="s">
        <v>65</v>
      </c>
      <c r="O158" s="1">
        <v>0</v>
      </c>
      <c r="P158" s="1">
        <v>5.25</v>
      </c>
      <c r="Q158" s="1">
        <v>5.25</v>
      </c>
      <c r="R158" s="1">
        <v>5.25</v>
      </c>
      <c r="S158" s="1" t="s">
        <v>685</v>
      </c>
    </row>
    <row r="159" spans="1:19" s="1" customFormat="1" x14ac:dyDescent="0.25">
      <c r="A159" s="1">
        <v>9213293</v>
      </c>
      <c r="B159" s="1" t="str">
        <f t="shared" si="4"/>
        <v>9213293OVR</v>
      </c>
      <c r="C159" s="1" t="s">
        <v>162</v>
      </c>
      <c r="D159" s="1" t="s">
        <v>254</v>
      </c>
      <c r="E159" s="1" t="str">
        <f t="shared" si="5"/>
        <v>D8RSSEOVR</v>
      </c>
      <c r="F159" s="1" t="s">
        <v>256</v>
      </c>
      <c r="G159" s="1" t="s">
        <v>257</v>
      </c>
      <c r="H159" t="str">
        <f t="shared" si="6"/>
        <v>FREDERICK EREMO</v>
      </c>
      <c r="I159" s="1" t="s">
        <v>47</v>
      </c>
      <c r="J159" s="1" t="s">
        <v>259</v>
      </c>
      <c r="K159" s="2">
        <v>46143</v>
      </c>
      <c r="L159" s="1" t="s">
        <v>85</v>
      </c>
      <c r="M159" s="1" t="s">
        <v>64</v>
      </c>
      <c r="N159" s="1" t="s">
        <v>65</v>
      </c>
      <c r="O159" s="1">
        <v>0</v>
      </c>
      <c r="P159" s="1">
        <v>5.25</v>
      </c>
      <c r="Q159" s="1">
        <v>5.25</v>
      </c>
      <c r="R159" s="1">
        <v>5.25</v>
      </c>
      <c r="S159" s="1" t="s">
        <v>685</v>
      </c>
    </row>
    <row r="160" spans="1:19" s="1" customFormat="1" x14ac:dyDescent="0.25">
      <c r="A160" s="1">
        <v>19586992</v>
      </c>
      <c r="B160" s="1" t="str">
        <f t="shared" si="4"/>
        <v>19586992OVR</v>
      </c>
      <c r="C160" s="1" t="s">
        <v>42</v>
      </c>
      <c r="D160" s="1" t="s">
        <v>614</v>
      </c>
      <c r="E160" s="1" t="str">
        <f t="shared" si="5"/>
        <v>D8S2AKOVR</v>
      </c>
      <c r="F160" s="1" t="s">
        <v>616</v>
      </c>
      <c r="G160" s="1" t="s">
        <v>617</v>
      </c>
      <c r="H160" t="str">
        <f t="shared" si="6"/>
        <v>GAIL VALADEZ</v>
      </c>
      <c r="I160" s="1" t="s">
        <v>47</v>
      </c>
      <c r="J160" s="1" t="s">
        <v>457</v>
      </c>
      <c r="K160" s="2">
        <v>46143</v>
      </c>
      <c r="L160" s="1" t="s">
        <v>85</v>
      </c>
      <c r="M160" s="1" t="s">
        <v>64</v>
      </c>
      <c r="N160" s="1" t="s">
        <v>65</v>
      </c>
      <c r="O160" s="1">
        <v>0</v>
      </c>
      <c r="P160" s="1">
        <v>5.25</v>
      </c>
      <c r="Q160" s="1">
        <v>5.25</v>
      </c>
      <c r="R160" s="1">
        <v>5.25</v>
      </c>
      <c r="S160" s="1" t="s">
        <v>685</v>
      </c>
    </row>
    <row r="161" spans="1:19" s="1" customFormat="1" x14ac:dyDescent="0.25">
      <c r="A161" s="1">
        <v>17126004</v>
      </c>
      <c r="B161" s="1" t="str">
        <f t="shared" si="4"/>
        <v>17126004OVR</v>
      </c>
      <c r="C161" s="1" t="s">
        <v>155</v>
      </c>
      <c r="D161" s="1" t="s">
        <v>188</v>
      </c>
      <c r="E161" s="1" t="str">
        <f t="shared" si="5"/>
        <v>D8YS8YOVR</v>
      </c>
      <c r="F161" s="1" t="s">
        <v>190</v>
      </c>
      <c r="G161" s="1" t="s">
        <v>191</v>
      </c>
      <c r="H161" t="str">
        <f t="shared" si="6"/>
        <v>MARYANN CHINDERLE</v>
      </c>
      <c r="I161" s="1" t="s">
        <v>47</v>
      </c>
      <c r="J161" s="1" t="s">
        <v>193</v>
      </c>
      <c r="K161" s="2">
        <v>46143</v>
      </c>
      <c r="L161" s="1" t="s">
        <v>85</v>
      </c>
      <c r="M161" s="1" t="s">
        <v>64</v>
      </c>
      <c r="N161" s="1" t="s">
        <v>65</v>
      </c>
      <c r="O161" s="1">
        <v>0</v>
      </c>
      <c r="P161" s="1">
        <v>5.25</v>
      </c>
      <c r="Q161" s="1">
        <v>5.25</v>
      </c>
      <c r="R161" s="1">
        <v>5.25</v>
      </c>
      <c r="S161" s="1" t="s">
        <v>685</v>
      </c>
    </row>
    <row r="162" spans="1:19" s="1" customFormat="1" x14ac:dyDescent="0.25">
      <c r="A162" s="1">
        <v>16170994</v>
      </c>
      <c r="B162" s="1" t="str">
        <f t="shared" si="4"/>
        <v>16170994OVR</v>
      </c>
      <c r="C162" s="1" t="s">
        <v>595</v>
      </c>
      <c r="D162" s="1" t="s">
        <v>596</v>
      </c>
      <c r="E162" s="1" t="str">
        <f t="shared" si="5"/>
        <v>D9A3G7OVR</v>
      </c>
      <c r="F162" s="1" t="s">
        <v>103</v>
      </c>
      <c r="G162" s="1" t="s">
        <v>598</v>
      </c>
      <c r="H162" t="str">
        <f t="shared" si="6"/>
        <v>JOHN STEWART</v>
      </c>
      <c r="I162" s="1" t="s">
        <v>72</v>
      </c>
      <c r="J162" s="1" t="s">
        <v>600</v>
      </c>
      <c r="K162" s="2">
        <v>46143</v>
      </c>
      <c r="L162" s="1" t="s">
        <v>52</v>
      </c>
      <c r="M162" s="1" t="s">
        <v>64</v>
      </c>
      <c r="N162" s="1" t="s">
        <v>65</v>
      </c>
      <c r="O162" s="1">
        <v>0</v>
      </c>
      <c r="P162" s="1">
        <v>5.25</v>
      </c>
      <c r="Q162" s="1">
        <v>5.25</v>
      </c>
      <c r="R162" s="1">
        <v>5.25</v>
      </c>
      <c r="S162" s="1" t="s">
        <v>685</v>
      </c>
    </row>
    <row r="163" spans="1:19" s="1" customFormat="1" x14ac:dyDescent="0.25">
      <c r="A163" s="1">
        <v>19615078</v>
      </c>
      <c r="B163" s="1" t="str">
        <f t="shared" si="4"/>
        <v>19615078OVR</v>
      </c>
      <c r="C163" s="1" t="s">
        <v>503</v>
      </c>
      <c r="D163" s="1" t="s">
        <v>526</v>
      </c>
      <c r="E163" s="1" t="str">
        <f t="shared" si="5"/>
        <v>DA25Z9OVR</v>
      </c>
      <c r="F163" s="1" t="s">
        <v>528</v>
      </c>
      <c r="G163" s="1" t="s">
        <v>529</v>
      </c>
      <c r="H163" t="str">
        <f t="shared" si="6"/>
        <v>NADEZHDA ROMANOVA</v>
      </c>
      <c r="I163" s="1" t="s">
        <v>47</v>
      </c>
      <c r="J163" s="1" t="s">
        <v>193</v>
      </c>
      <c r="K163" s="2">
        <v>46143</v>
      </c>
      <c r="L163" s="1" t="s">
        <v>85</v>
      </c>
      <c r="M163" s="1" t="s">
        <v>64</v>
      </c>
      <c r="N163" s="1" t="s">
        <v>65</v>
      </c>
      <c r="O163" s="1">
        <v>0</v>
      </c>
      <c r="P163" s="1">
        <v>5.25</v>
      </c>
      <c r="Q163" s="1">
        <v>5.25</v>
      </c>
      <c r="R163" s="1">
        <v>5.25</v>
      </c>
      <c r="S163" s="1" t="s">
        <v>685</v>
      </c>
    </row>
    <row r="164" spans="1:19" s="1" customFormat="1" x14ac:dyDescent="0.25">
      <c r="A164" s="1">
        <v>7146581</v>
      </c>
      <c r="B164" s="1" t="str">
        <f t="shared" si="4"/>
        <v>7146581OVR</v>
      </c>
      <c r="C164" s="1" t="s">
        <v>87</v>
      </c>
      <c r="D164" s="1" t="s">
        <v>88</v>
      </c>
      <c r="E164" s="1" t="str">
        <f t="shared" si="5"/>
        <v>DA4WEUOVR</v>
      </c>
      <c r="F164" s="1" t="s">
        <v>90</v>
      </c>
      <c r="G164" s="1" t="s">
        <v>91</v>
      </c>
      <c r="H164" t="str">
        <f t="shared" si="6"/>
        <v>LOIS BARNES</v>
      </c>
      <c r="I164" s="1" t="s">
        <v>47</v>
      </c>
      <c r="J164" s="1" t="s">
        <v>74</v>
      </c>
      <c r="K164" s="2">
        <v>46143</v>
      </c>
      <c r="L164" s="1" t="s">
        <v>52</v>
      </c>
      <c r="M164" s="1" t="s">
        <v>64</v>
      </c>
      <c r="N164" s="1" t="s">
        <v>65</v>
      </c>
      <c r="O164" s="1">
        <v>0</v>
      </c>
      <c r="P164" s="1">
        <v>5.25</v>
      </c>
      <c r="Q164" s="1">
        <v>5.25</v>
      </c>
      <c r="R164" s="1">
        <v>5.25</v>
      </c>
      <c r="S164" s="1" t="s">
        <v>685</v>
      </c>
    </row>
    <row r="165" spans="1:19" s="1" customFormat="1" x14ac:dyDescent="0.25">
      <c r="A165" s="1">
        <v>19586992</v>
      </c>
      <c r="B165" s="1" t="str">
        <f t="shared" si="4"/>
        <v>19586992OVR</v>
      </c>
      <c r="C165" s="1" t="s">
        <v>42</v>
      </c>
      <c r="D165" s="1" t="s">
        <v>168</v>
      </c>
      <c r="E165" s="1" t="str">
        <f t="shared" si="5"/>
        <v>DA5EJFOVR</v>
      </c>
      <c r="F165" s="1" t="s">
        <v>110</v>
      </c>
      <c r="G165" s="1" t="s">
        <v>170</v>
      </c>
      <c r="H165" t="str">
        <f t="shared" si="6"/>
        <v>MARY CARFAGNINI</v>
      </c>
      <c r="I165" s="1" t="s">
        <v>47</v>
      </c>
      <c r="J165" s="1" t="s">
        <v>74</v>
      </c>
      <c r="K165" s="2">
        <v>46143</v>
      </c>
      <c r="L165" s="1" t="s">
        <v>52</v>
      </c>
      <c r="M165" s="1" t="s">
        <v>64</v>
      </c>
      <c r="N165" s="1" t="s">
        <v>65</v>
      </c>
      <c r="O165" s="1">
        <v>0</v>
      </c>
      <c r="P165" s="1">
        <v>5.25</v>
      </c>
      <c r="Q165" s="1">
        <v>5.25</v>
      </c>
      <c r="R165" s="1">
        <v>5.25</v>
      </c>
      <c r="S165" s="1" t="s">
        <v>685</v>
      </c>
    </row>
    <row r="166" spans="1:19" s="1" customFormat="1" x14ac:dyDescent="0.25">
      <c r="A166" s="1">
        <v>19586992</v>
      </c>
      <c r="B166" s="1" t="str">
        <f t="shared" si="4"/>
        <v>19586992OVR</v>
      </c>
      <c r="C166" s="1" t="s">
        <v>42</v>
      </c>
      <c r="D166" s="1" t="s">
        <v>430</v>
      </c>
      <c r="E166" s="1" t="str">
        <f t="shared" si="5"/>
        <v>DAJ3EROVR</v>
      </c>
      <c r="F166" s="1" t="s">
        <v>432</v>
      </c>
      <c r="G166" s="1" t="s">
        <v>433</v>
      </c>
      <c r="H166" t="str">
        <f t="shared" si="6"/>
        <v>BETTY MCKENNIE</v>
      </c>
      <c r="I166" s="1" t="s">
        <v>47</v>
      </c>
      <c r="J166" s="1" t="s">
        <v>74</v>
      </c>
      <c r="K166" s="2">
        <v>46143</v>
      </c>
      <c r="L166" s="1" t="s">
        <v>52</v>
      </c>
      <c r="M166" s="1" t="s">
        <v>64</v>
      </c>
      <c r="N166" s="1" t="s">
        <v>65</v>
      </c>
      <c r="O166" s="1">
        <v>0</v>
      </c>
      <c r="P166" s="1">
        <v>5.25</v>
      </c>
      <c r="Q166" s="1">
        <v>5.25</v>
      </c>
      <c r="R166" s="1">
        <v>5.25</v>
      </c>
      <c r="S166" s="1" t="s">
        <v>685</v>
      </c>
    </row>
    <row r="167" spans="1:19" s="1" customFormat="1" x14ac:dyDescent="0.25">
      <c r="A167" s="1">
        <v>7146581</v>
      </c>
      <c r="B167" s="1" t="str">
        <f t="shared" si="4"/>
        <v>7146581OVR</v>
      </c>
      <c r="C167" s="1" t="s">
        <v>87</v>
      </c>
      <c r="D167" s="1" t="s">
        <v>491</v>
      </c>
      <c r="E167" s="1" t="str">
        <f t="shared" si="5"/>
        <v>DAR472OVR</v>
      </c>
      <c r="F167" s="1" t="s">
        <v>110</v>
      </c>
      <c r="G167" s="1" t="s">
        <v>493</v>
      </c>
      <c r="H167" t="str">
        <f t="shared" si="6"/>
        <v>MARY RACS</v>
      </c>
      <c r="I167" s="1" t="s">
        <v>47</v>
      </c>
      <c r="J167" s="1" t="s">
        <v>74</v>
      </c>
      <c r="K167" s="2">
        <v>46143</v>
      </c>
      <c r="L167" s="1" t="s">
        <v>85</v>
      </c>
      <c r="M167" s="1" t="s">
        <v>64</v>
      </c>
      <c r="N167" s="1" t="s">
        <v>65</v>
      </c>
      <c r="O167" s="1">
        <v>0</v>
      </c>
      <c r="P167" s="1">
        <v>5.25</v>
      </c>
      <c r="Q167" s="1">
        <v>5.25</v>
      </c>
      <c r="R167" s="1">
        <v>5.25</v>
      </c>
      <c r="S167" s="1" t="s">
        <v>685</v>
      </c>
    </row>
    <row r="168" spans="1:19" s="1" customFormat="1" x14ac:dyDescent="0.25">
      <c r="A168" s="1">
        <v>2158366</v>
      </c>
      <c r="B168" s="1" t="str">
        <f t="shared" si="4"/>
        <v>2158366OVR</v>
      </c>
      <c r="C168" s="1" t="s">
        <v>107</v>
      </c>
      <c r="D168" s="1" t="s">
        <v>536</v>
      </c>
      <c r="E168" s="1" t="str">
        <f t="shared" si="5"/>
        <v>DARF7KOVR</v>
      </c>
      <c r="F168" s="1" t="s">
        <v>538</v>
      </c>
      <c r="G168" s="1" t="s">
        <v>534</v>
      </c>
      <c r="H168" t="str">
        <f t="shared" si="6"/>
        <v>SCOTT RUDD</v>
      </c>
      <c r="I168" s="1" t="s">
        <v>47</v>
      </c>
      <c r="J168" s="1" t="s">
        <v>222</v>
      </c>
      <c r="K168" s="2">
        <v>46143</v>
      </c>
      <c r="L168" s="1" t="s">
        <v>52</v>
      </c>
      <c r="M168" s="1" t="s">
        <v>64</v>
      </c>
      <c r="N168" s="1" t="s">
        <v>65</v>
      </c>
      <c r="O168" s="1">
        <v>0</v>
      </c>
      <c r="P168" s="1">
        <v>5.25</v>
      </c>
      <c r="Q168" s="1">
        <v>5.25</v>
      </c>
      <c r="R168" s="1">
        <v>5.25</v>
      </c>
      <c r="S168" s="1" t="s">
        <v>685</v>
      </c>
    </row>
    <row r="169" spans="1:19" s="1" customFormat="1" x14ac:dyDescent="0.25">
      <c r="A169" s="1">
        <v>19586992</v>
      </c>
      <c r="B169" s="1" t="str">
        <f t="shared" si="4"/>
        <v>19586992OVR</v>
      </c>
      <c r="C169" s="1" t="s">
        <v>42</v>
      </c>
      <c r="D169" s="1" t="s">
        <v>459</v>
      </c>
      <c r="E169" s="1" t="str">
        <f t="shared" si="5"/>
        <v>DC3EKROVR</v>
      </c>
      <c r="F169" s="1" t="s">
        <v>461</v>
      </c>
      <c r="G169" s="1" t="s">
        <v>462</v>
      </c>
      <c r="H169" t="str">
        <f t="shared" si="6"/>
        <v>DEBRA MURPHY</v>
      </c>
      <c r="I169" s="1" t="s">
        <v>47</v>
      </c>
      <c r="J169" s="1" t="s">
        <v>74</v>
      </c>
      <c r="K169" s="2">
        <v>46143</v>
      </c>
      <c r="L169" s="1" t="s">
        <v>52</v>
      </c>
      <c r="M169" s="1" t="s">
        <v>64</v>
      </c>
      <c r="N169" s="1" t="s">
        <v>65</v>
      </c>
      <c r="O169" s="1">
        <v>0</v>
      </c>
      <c r="P169" s="1">
        <v>5.25</v>
      </c>
      <c r="Q169" s="1">
        <v>5.25</v>
      </c>
      <c r="R169" s="1">
        <v>5.25</v>
      </c>
      <c r="S169" s="1" t="s">
        <v>685</v>
      </c>
    </row>
    <row r="170" spans="1:19" s="1" customFormat="1" x14ac:dyDescent="0.25">
      <c r="A170" s="1">
        <v>16633294</v>
      </c>
      <c r="B170" s="1" t="str">
        <f t="shared" si="4"/>
        <v>16633294OVR</v>
      </c>
      <c r="C170" s="1" t="s">
        <v>540</v>
      </c>
      <c r="D170" s="1" t="s">
        <v>545</v>
      </c>
      <c r="E170" s="1" t="str">
        <f t="shared" si="5"/>
        <v>DC5E74OVR</v>
      </c>
      <c r="F170" s="1" t="s">
        <v>547</v>
      </c>
      <c r="G170" s="1" t="s">
        <v>544</v>
      </c>
      <c r="H170" t="str">
        <f t="shared" si="6"/>
        <v>ROGELIO RUELOS</v>
      </c>
      <c r="I170" s="1" t="s">
        <v>47</v>
      </c>
      <c r="J170" s="1" t="s">
        <v>74</v>
      </c>
      <c r="K170" s="2">
        <v>46143</v>
      </c>
      <c r="L170" s="1" t="s">
        <v>85</v>
      </c>
      <c r="M170" s="1" t="s">
        <v>64</v>
      </c>
      <c r="N170" s="1" t="s">
        <v>65</v>
      </c>
      <c r="O170" s="1">
        <v>0</v>
      </c>
      <c r="P170" s="1">
        <v>5.25</v>
      </c>
      <c r="Q170" s="1">
        <v>5.25</v>
      </c>
      <c r="R170" s="1">
        <v>5.25</v>
      </c>
      <c r="S170" s="1" t="s">
        <v>685</v>
      </c>
    </row>
    <row r="171" spans="1:19" s="1" customFormat="1" x14ac:dyDescent="0.25">
      <c r="A171" s="1">
        <v>16865615</v>
      </c>
      <c r="B171" s="1" t="str">
        <f t="shared" si="4"/>
        <v>16865615OVR</v>
      </c>
      <c r="C171" s="1" t="s">
        <v>351</v>
      </c>
      <c r="D171" s="1" t="s">
        <v>376</v>
      </c>
      <c r="E171" s="1" t="str">
        <f t="shared" si="5"/>
        <v>DCEG4ZOVR</v>
      </c>
      <c r="F171" s="1" t="s">
        <v>97</v>
      </c>
      <c r="G171" s="1" t="s">
        <v>378</v>
      </c>
      <c r="H171" t="str">
        <f t="shared" si="6"/>
        <v>MICHAEL LINGENFELTER</v>
      </c>
      <c r="I171" s="1" t="s">
        <v>356</v>
      </c>
      <c r="J171" s="1" t="s">
        <v>222</v>
      </c>
      <c r="K171" s="2">
        <v>46143</v>
      </c>
      <c r="L171" s="1" t="s">
        <v>52</v>
      </c>
      <c r="M171" s="1" t="s">
        <v>64</v>
      </c>
      <c r="N171" s="1" t="s">
        <v>65</v>
      </c>
      <c r="O171" s="1">
        <v>0</v>
      </c>
      <c r="P171" s="1">
        <v>5.25</v>
      </c>
      <c r="Q171" s="1">
        <v>5.25</v>
      </c>
      <c r="R171" s="1">
        <v>5.25</v>
      </c>
      <c r="S171" s="1" t="s">
        <v>685</v>
      </c>
    </row>
    <row r="172" spans="1:19" s="1" customFormat="1" x14ac:dyDescent="0.25">
      <c r="A172" s="1">
        <v>8307933</v>
      </c>
      <c r="B172" s="1" t="str">
        <f t="shared" si="4"/>
        <v>8307933OVR</v>
      </c>
      <c r="C172" s="1" t="s">
        <v>450</v>
      </c>
      <c r="D172" s="1" t="s">
        <v>451</v>
      </c>
      <c r="E172" s="1" t="str">
        <f t="shared" si="5"/>
        <v>DCFRRUOVR</v>
      </c>
      <c r="F172" s="1" t="s">
        <v>453</v>
      </c>
      <c r="G172" s="1" t="s">
        <v>454</v>
      </c>
      <c r="H172" t="str">
        <f t="shared" si="6"/>
        <v>KYLE MOORE</v>
      </c>
      <c r="I172" s="1" t="s">
        <v>455</v>
      </c>
      <c r="J172" s="1" t="s">
        <v>457</v>
      </c>
      <c r="K172" s="2">
        <v>46143</v>
      </c>
      <c r="L172" s="1" t="s">
        <v>100</v>
      </c>
      <c r="M172" s="1" t="s">
        <v>64</v>
      </c>
      <c r="N172" s="1" t="s">
        <v>65</v>
      </c>
      <c r="O172" s="1">
        <v>0</v>
      </c>
      <c r="P172" s="1">
        <v>5.25</v>
      </c>
      <c r="Q172" s="1">
        <v>5.25</v>
      </c>
      <c r="R172" s="1">
        <v>5.25</v>
      </c>
      <c r="S172" s="1" t="s">
        <v>685</v>
      </c>
    </row>
    <row r="173" spans="1:19" s="1" customFormat="1" x14ac:dyDescent="0.25">
      <c r="A173" s="1">
        <v>8307933</v>
      </c>
      <c r="B173" s="1" t="str">
        <f t="shared" si="4"/>
        <v>8307933OVR</v>
      </c>
      <c r="C173" s="1" t="s">
        <v>450</v>
      </c>
      <c r="D173" s="1" t="s">
        <v>487</v>
      </c>
      <c r="E173" s="1" t="str">
        <f t="shared" si="5"/>
        <v>DCJ3W4OVR</v>
      </c>
      <c r="F173" s="1" t="s">
        <v>97</v>
      </c>
      <c r="G173" s="1" t="s">
        <v>489</v>
      </c>
      <c r="H173" t="str">
        <f t="shared" si="6"/>
        <v>MICHAEL QUEST</v>
      </c>
      <c r="I173" s="1" t="s">
        <v>47</v>
      </c>
      <c r="J173" s="1" t="s">
        <v>83</v>
      </c>
      <c r="K173" s="2">
        <v>46143</v>
      </c>
      <c r="L173" s="1" t="s">
        <v>85</v>
      </c>
      <c r="M173" s="1" t="s">
        <v>64</v>
      </c>
      <c r="N173" s="1" t="s">
        <v>65</v>
      </c>
      <c r="O173" s="1">
        <v>0</v>
      </c>
      <c r="P173" s="1">
        <v>5.25</v>
      </c>
      <c r="Q173" s="1">
        <v>5.25</v>
      </c>
      <c r="R173" s="1">
        <v>5.25</v>
      </c>
      <c r="S173" s="1" t="s">
        <v>685</v>
      </c>
    </row>
    <row r="174" spans="1:19" s="1" customFormat="1" x14ac:dyDescent="0.25">
      <c r="A174" s="1">
        <v>19586992</v>
      </c>
      <c r="B174" s="1" t="str">
        <f t="shared" si="4"/>
        <v>19586992OVR</v>
      </c>
      <c r="C174" s="1" t="s">
        <v>42</v>
      </c>
      <c r="D174" s="1" t="s">
        <v>420</v>
      </c>
      <c r="E174" s="1" t="str">
        <f t="shared" si="5"/>
        <v>DCKKWKOVR</v>
      </c>
      <c r="F174" s="1" t="s">
        <v>422</v>
      </c>
      <c r="G174" s="1" t="s">
        <v>423</v>
      </c>
      <c r="H174" t="str">
        <f t="shared" si="6"/>
        <v>DANIEL MARTINEZ</v>
      </c>
      <c r="I174" s="1" t="s">
        <v>47</v>
      </c>
      <c r="J174" s="1" t="s">
        <v>121</v>
      </c>
      <c r="K174" s="2">
        <v>46143</v>
      </c>
      <c r="L174" s="1" t="s">
        <v>85</v>
      </c>
      <c r="M174" s="1" t="s">
        <v>64</v>
      </c>
      <c r="N174" s="1" t="s">
        <v>65</v>
      </c>
      <c r="O174" s="1">
        <v>0</v>
      </c>
      <c r="P174" s="1">
        <v>5.25</v>
      </c>
      <c r="Q174" s="1">
        <v>5.25</v>
      </c>
      <c r="R174" s="1">
        <v>5.25</v>
      </c>
      <c r="S174" s="1" t="s">
        <v>685</v>
      </c>
    </row>
    <row r="175" spans="1:19" s="1" customFormat="1" x14ac:dyDescent="0.25">
      <c r="A175" s="1">
        <v>16633294</v>
      </c>
      <c r="B175" s="1" t="str">
        <f t="shared" si="4"/>
        <v>16633294OVR</v>
      </c>
      <c r="C175" s="1" t="s">
        <v>540</v>
      </c>
      <c r="D175" s="1" t="s">
        <v>541</v>
      </c>
      <c r="E175" s="1" t="str">
        <f t="shared" si="5"/>
        <v>DCR8CWOVR</v>
      </c>
      <c r="F175" s="1" t="s">
        <v>543</v>
      </c>
      <c r="G175" s="1" t="s">
        <v>544</v>
      </c>
      <c r="H175" t="str">
        <f t="shared" si="6"/>
        <v>HEIDI RUELOS</v>
      </c>
      <c r="I175" s="1" t="s">
        <v>47</v>
      </c>
      <c r="J175" s="1" t="s">
        <v>128</v>
      </c>
      <c r="K175" s="2">
        <v>46143</v>
      </c>
      <c r="L175" s="1" t="s">
        <v>52</v>
      </c>
      <c r="M175" s="1" t="s">
        <v>64</v>
      </c>
      <c r="N175" s="1" t="s">
        <v>65</v>
      </c>
      <c r="O175" s="1">
        <v>0</v>
      </c>
      <c r="P175" s="1">
        <v>5.25</v>
      </c>
      <c r="Q175" s="1">
        <v>5.25</v>
      </c>
      <c r="R175" s="1">
        <v>5.25</v>
      </c>
      <c r="S175" s="1" t="s">
        <v>685</v>
      </c>
    </row>
    <row r="176" spans="1:19" s="1" customFormat="1" x14ac:dyDescent="0.25">
      <c r="A176" s="1">
        <v>17126004</v>
      </c>
      <c r="B176" s="1" t="str">
        <f t="shared" si="4"/>
        <v>17126004OVR</v>
      </c>
      <c r="C176" s="1" t="s">
        <v>155</v>
      </c>
      <c r="D176" s="1" t="s">
        <v>156</v>
      </c>
      <c r="E176" s="1" t="str">
        <f t="shared" si="5"/>
        <v>DCRHUFOVR</v>
      </c>
      <c r="F176" s="1" t="s">
        <v>158</v>
      </c>
      <c r="G176" s="1" t="s">
        <v>159</v>
      </c>
      <c r="H176" t="str">
        <f t="shared" si="6"/>
        <v>HELEN BREIDENBACH</v>
      </c>
      <c r="I176" s="1" t="s">
        <v>47</v>
      </c>
      <c r="J176" s="1" t="s">
        <v>74</v>
      </c>
      <c r="K176" s="2">
        <v>46143</v>
      </c>
      <c r="L176" s="1" t="s">
        <v>52</v>
      </c>
      <c r="M176" s="1" t="s">
        <v>64</v>
      </c>
      <c r="N176" s="1" t="s">
        <v>65</v>
      </c>
      <c r="O176" s="1">
        <v>0</v>
      </c>
      <c r="P176" s="1">
        <v>5.25</v>
      </c>
      <c r="Q176" s="1">
        <v>5.25</v>
      </c>
      <c r="R176" s="1">
        <v>5.25</v>
      </c>
      <c r="S176" s="1" t="s">
        <v>685</v>
      </c>
    </row>
    <row r="177" spans="1:19" s="1" customFormat="1" x14ac:dyDescent="0.25">
      <c r="A177" s="1">
        <v>17094718</v>
      </c>
      <c r="B177" s="1" t="str">
        <f t="shared" si="4"/>
        <v>17094718OVR</v>
      </c>
      <c r="C177" s="1" t="s">
        <v>397</v>
      </c>
      <c r="D177" s="1" t="s">
        <v>434</v>
      </c>
      <c r="E177" s="1" t="str">
        <f t="shared" si="5"/>
        <v>DCU77JOVR</v>
      </c>
      <c r="F177" s="1" t="s">
        <v>110</v>
      </c>
      <c r="G177" s="1" t="s">
        <v>436</v>
      </c>
      <c r="H177" t="str">
        <f t="shared" si="6"/>
        <v>MARY MIELE</v>
      </c>
      <c r="I177" s="1" t="s">
        <v>437</v>
      </c>
      <c r="J177" s="1" t="s">
        <v>357</v>
      </c>
      <c r="K177" s="2">
        <v>46143</v>
      </c>
      <c r="L177" s="1" t="s">
        <v>52</v>
      </c>
      <c r="M177" s="1" t="s">
        <v>64</v>
      </c>
      <c r="N177" s="1" t="s">
        <v>65</v>
      </c>
      <c r="O177" s="1">
        <v>0</v>
      </c>
      <c r="P177" s="1">
        <v>5.25</v>
      </c>
      <c r="Q177" s="1">
        <v>5.25</v>
      </c>
      <c r="R177" s="1">
        <v>5.25</v>
      </c>
      <c r="S177" s="1" t="s">
        <v>685</v>
      </c>
    </row>
    <row r="178" spans="1:19" s="1" customFormat="1" x14ac:dyDescent="0.25">
      <c r="A178" s="1">
        <v>20212926</v>
      </c>
      <c r="B178" s="1" t="str">
        <f t="shared" si="4"/>
        <v>20212926OVR</v>
      </c>
      <c r="C178" s="1" t="s">
        <v>94</v>
      </c>
      <c r="D178" s="1" t="s">
        <v>172</v>
      </c>
      <c r="E178" s="1" t="str">
        <f t="shared" si="5"/>
        <v>DCY63AOVR</v>
      </c>
      <c r="F178" s="1" t="s">
        <v>174</v>
      </c>
      <c r="G178" s="1" t="s">
        <v>175</v>
      </c>
      <c r="H178" t="str">
        <f t="shared" si="6"/>
        <v>BERTHA CARRILLO</v>
      </c>
      <c r="I178" s="1" t="s">
        <v>47</v>
      </c>
      <c r="J178" s="1" t="s">
        <v>74</v>
      </c>
      <c r="K178" s="2">
        <v>46143</v>
      </c>
      <c r="L178" s="1" t="s">
        <v>52</v>
      </c>
      <c r="M178" s="1" t="s">
        <v>64</v>
      </c>
      <c r="N178" s="1" t="s">
        <v>65</v>
      </c>
      <c r="O178" s="1">
        <v>0</v>
      </c>
      <c r="P178" s="1">
        <v>5.25</v>
      </c>
      <c r="Q178" s="1">
        <v>5.25</v>
      </c>
      <c r="R178" s="1">
        <v>5.25</v>
      </c>
      <c r="S178" s="1" t="s">
        <v>685</v>
      </c>
    </row>
    <row r="179" spans="1:19" s="1" customFormat="1" x14ac:dyDescent="0.25">
      <c r="A179" s="1">
        <v>19586992</v>
      </c>
      <c r="B179" s="1" t="str">
        <f t="shared" si="4"/>
        <v>19586992OVR</v>
      </c>
      <c r="C179" s="1" t="s">
        <v>42</v>
      </c>
      <c r="D179" s="1" t="s">
        <v>312</v>
      </c>
      <c r="E179" s="1" t="str">
        <f t="shared" si="5"/>
        <v>DCZUZAOVR</v>
      </c>
      <c r="F179" s="1" t="s">
        <v>115</v>
      </c>
      <c r="G179" s="1" t="s">
        <v>314</v>
      </c>
      <c r="H179" t="str">
        <f t="shared" si="6"/>
        <v>PETER GOWOROWSKI</v>
      </c>
      <c r="I179" s="1" t="s">
        <v>47</v>
      </c>
      <c r="J179" s="1" t="s">
        <v>83</v>
      </c>
      <c r="K179" s="2">
        <v>46143</v>
      </c>
      <c r="L179" s="1" t="s">
        <v>85</v>
      </c>
      <c r="M179" s="1" t="s">
        <v>64</v>
      </c>
      <c r="N179" s="1" t="s">
        <v>65</v>
      </c>
      <c r="O179" s="1">
        <v>0</v>
      </c>
      <c r="P179" s="1">
        <v>5.25</v>
      </c>
      <c r="Q179" s="1">
        <v>5.25</v>
      </c>
      <c r="R179" s="1">
        <v>5.25</v>
      </c>
      <c r="S179" s="1" t="s">
        <v>685</v>
      </c>
    </row>
    <row r="180" spans="1:19" s="1" customFormat="1" x14ac:dyDescent="0.25">
      <c r="A180" s="1">
        <v>7470776</v>
      </c>
      <c r="B180" s="1" t="str">
        <f t="shared" si="4"/>
        <v>7470776OVR</v>
      </c>
      <c r="C180" s="1" t="s">
        <v>208</v>
      </c>
      <c r="D180" s="1" t="s">
        <v>233</v>
      </c>
      <c r="E180" s="1" t="str">
        <f t="shared" si="5"/>
        <v>DE72ZCOVR</v>
      </c>
      <c r="F180" s="1" t="s">
        <v>235</v>
      </c>
      <c r="G180" s="1" t="s">
        <v>231</v>
      </c>
      <c r="H180" t="str">
        <f t="shared" si="6"/>
        <v>LAVERNE DONATO</v>
      </c>
      <c r="I180" s="1" t="s">
        <v>47</v>
      </c>
      <c r="J180" s="1" t="s">
        <v>74</v>
      </c>
      <c r="K180" s="2">
        <v>46143</v>
      </c>
      <c r="L180" s="1" t="s">
        <v>52</v>
      </c>
      <c r="M180" s="1" t="s">
        <v>64</v>
      </c>
      <c r="N180" s="1" t="s">
        <v>65</v>
      </c>
      <c r="O180" s="1">
        <v>0</v>
      </c>
      <c r="P180" s="1">
        <v>5.25</v>
      </c>
      <c r="Q180" s="1">
        <v>5.25</v>
      </c>
      <c r="R180" s="1">
        <v>5.25</v>
      </c>
      <c r="S180" s="1" t="s">
        <v>685</v>
      </c>
    </row>
    <row r="181" spans="1:19" s="1" customFormat="1" x14ac:dyDescent="0.25">
      <c r="A181" s="1">
        <v>19396223</v>
      </c>
      <c r="B181" s="1" t="str">
        <f t="shared" si="4"/>
        <v>19396223OVR</v>
      </c>
      <c r="C181" s="1" t="s">
        <v>266</v>
      </c>
      <c r="D181" s="1" t="s">
        <v>464</v>
      </c>
      <c r="E181" s="1" t="str">
        <f t="shared" si="5"/>
        <v>DE9J4KOVR</v>
      </c>
      <c r="F181" s="1" t="s">
        <v>466</v>
      </c>
      <c r="G181" s="1" t="s">
        <v>467</v>
      </c>
      <c r="H181" t="str">
        <f t="shared" si="6"/>
        <v>LASHUN NELSON</v>
      </c>
      <c r="I181" s="1" t="s">
        <v>47</v>
      </c>
      <c r="J181" s="1" t="s">
        <v>74</v>
      </c>
      <c r="K181" s="2">
        <v>46143</v>
      </c>
      <c r="L181" s="1" t="s">
        <v>52</v>
      </c>
      <c r="M181" s="1" t="s">
        <v>64</v>
      </c>
      <c r="N181" s="1" t="s">
        <v>65</v>
      </c>
      <c r="O181" s="1">
        <v>0</v>
      </c>
      <c r="P181" s="1">
        <v>5.25</v>
      </c>
      <c r="Q181" s="1">
        <v>5.25</v>
      </c>
      <c r="R181" s="1">
        <v>5.25</v>
      </c>
      <c r="S181" s="1" t="s">
        <v>685</v>
      </c>
    </row>
    <row r="182" spans="1:19" s="1" customFormat="1" x14ac:dyDescent="0.25">
      <c r="A182" s="1">
        <v>2158366</v>
      </c>
      <c r="B182" s="1" t="str">
        <f t="shared" ref="B182:B245" si="7">_xlfn.CONCAT(A182,"OVR")</f>
        <v>2158366OVR</v>
      </c>
      <c r="C182" s="1" t="s">
        <v>107</v>
      </c>
      <c r="D182" s="1" t="s">
        <v>122</v>
      </c>
      <c r="E182" s="1" t="str">
        <f t="shared" ref="E182:E245" si="8">CONCATENATE(D182,"OVR")</f>
        <v>DEAGYAOVR</v>
      </c>
      <c r="F182" s="1" t="s">
        <v>124</v>
      </c>
      <c r="G182" s="1" t="s">
        <v>125</v>
      </c>
      <c r="H182" t="str">
        <f t="shared" si="6"/>
        <v>ROBERT BAUER JR</v>
      </c>
      <c r="I182" s="1" t="s">
        <v>126</v>
      </c>
      <c r="J182" s="1" t="s">
        <v>128</v>
      </c>
      <c r="K182" s="2">
        <v>46143</v>
      </c>
      <c r="L182" s="1" t="s">
        <v>85</v>
      </c>
      <c r="M182" s="1" t="s">
        <v>64</v>
      </c>
      <c r="N182" s="1" t="s">
        <v>65</v>
      </c>
      <c r="O182" s="1">
        <v>0</v>
      </c>
      <c r="P182" s="1">
        <v>5.25</v>
      </c>
      <c r="Q182" s="1">
        <v>5.25</v>
      </c>
      <c r="R182" s="1">
        <v>5.25</v>
      </c>
      <c r="S182" s="1" t="s">
        <v>685</v>
      </c>
    </row>
    <row r="183" spans="1:19" s="1" customFormat="1" x14ac:dyDescent="0.25">
      <c r="A183" s="1">
        <v>9213293</v>
      </c>
      <c r="B183" s="1" t="str">
        <f t="shared" si="7"/>
        <v>9213293OVR</v>
      </c>
      <c r="C183" s="1" t="s">
        <v>162</v>
      </c>
      <c r="D183" s="1" t="s">
        <v>200</v>
      </c>
      <c r="E183" s="1" t="str">
        <f t="shared" si="8"/>
        <v>DEU7R5OVR</v>
      </c>
      <c r="F183" s="1" t="s">
        <v>202</v>
      </c>
      <c r="G183" s="1" t="s">
        <v>203</v>
      </c>
      <c r="H183" t="str">
        <f t="shared" si="6"/>
        <v>RUSSELL CORP</v>
      </c>
      <c r="I183" s="1" t="s">
        <v>204</v>
      </c>
      <c r="J183" s="1" t="s">
        <v>74</v>
      </c>
      <c r="K183" s="2">
        <v>46143</v>
      </c>
      <c r="L183" s="1" t="s">
        <v>85</v>
      </c>
      <c r="M183" s="1" t="s">
        <v>64</v>
      </c>
      <c r="N183" s="1" t="s">
        <v>65</v>
      </c>
      <c r="O183" s="1">
        <v>0</v>
      </c>
      <c r="P183" s="1">
        <v>5.25</v>
      </c>
      <c r="Q183" s="1">
        <v>5.25</v>
      </c>
      <c r="R183" s="1">
        <v>5.25</v>
      </c>
      <c r="S183" s="1" t="s">
        <v>685</v>
      </c>
    </row>
    <row r="184" spans="1:19" s="1" customFormat="1" x14ac:dyDescent="0.25">
      <c r="A184" s="1">
        <v>9213293</v>
      </c>
      <c r="B184" s="1" t="str">
        <f t="shared" si="7"/>
        <v>9213293OVR</v>
      </c>
      <c r="C184" s="1" t="s">
        <v>162</v>
      </c>
      <c r="D184" s="1" t="s">
        <v>483</v>
      </c>
      <c r="E184" s="1" t="str">
        <f t="shared" si="8"/>
        <v>DEW7CROVR</v>
      </c>
      <c r="F184" s="1" t="s">
        <v>382</v>
      </c>
      <c r="G184" s="1" t="s">
        <v>485</v>
      </c>
      <c r="H184" t="str">
        <f t="shared" si="6"/>
        <v>PATRICIA PROCHASKA</v>
      </c>
      <c r="I184" s="1" t="s">
        <v>47</v>
      </c>
      <c r="J184" s="1" t="s">
        <v>364</v>
      </c>
      <c r="K184" s="2">
        <v>46143</v>
      </c>
      <c r="L184" s="1" t="s">
        <v>85</v>
      </c>
      <c r="M184" s="1" t="s">
        <v>64</v>
      </c>
      <c r="N184" s="1" t="s">
        <v>65</v>
      </c>
      <c r="O184" s="1">
        <v>0</v>
      </c>
      <c r="P184" s="1">
        <v>5.25</v>
      </c>
      <c r="Q184" s="1">
        <v>5.25</v>
      </c>
      <c r="R184" s="1">
        <v>5.25</v>
      </c>
      <c r="S184" s="1" t="s">
        <v>685</v>
      </c>
    </row>
    <row r="185" spans="1:19" s="1" customFormat="1" x14ac:dyDescent="0.25">
      <c r="A185" s="1">
        <v>2158366</v>
      </c>
      <c r="B185" s="1" t="str">
        <f t="shared" si="7"/>
        <v>2158366OVR</v>
      </c>
      <c r="C185" s="1" t="s">
        <v>107</v>
      </c>
      <c r="D185" s="1" t="s">
        <v>113</v>
      </c>
      <c r="E185" s="1" t="str">
        <f t="shared" si="8"/>
        <v>DFE232OVR</v>
      </c>
      <c r="F185" s="1" t="s">
        <v>115</v>
      </c>
      <c r="G185" s="1" t="s">
        <v>111</v>
      </c>
      <c r="H185" t="str">
        <f t="shared" si="6"/>
        <v>PETER BARR</v>
      </c>
      <c r="I185" s="1" t="s">
        <v>47</v>
      </c>
      <c r="J185" s="1" t="s">
        <v>74</v>
      </c>
      <c r="K185" s="2">
        <v>46143</v>
      </c>
      <c r="L185" s="1" t="s">
        <v>85</v>
      </c>
      <c r="M185" s="1" t="s">
        <v>64</v>
      </c>
      <c r="N185" s="1" t="s">
        <v>65</v>
      </c>
      <c r="O185" s="1">
        <v>0</v>
      </c>
      <c r="P185" s="1">
        <v>5.25</v>
      </c>
      <c r="Q185" s="1">
        <v>5.25</v>
      </c>
      <c r="R185" s="1">
        <v>5.25</v>
      </c>
      <c r="S185" s="1" t="s">
        <v>685</v>
      </c>
    </row>
    <row r="186" spans="1:19" s="1" customFormat="1" x14ac:dyDescent="0.25">
      <c r="A186" s="1">
        <v>17301495</v>
      </c>
      <c r="B186" s="1" t="str">
        <f t="shared" si="7"/>
        <v>17301495OVR</v>
      </c>
      <c r="C186" s="1" t="s">
        <v>56</v>
      </c>
      <c r="D186" s="1" t="s">
        <v>323</v>
      </c>
      <c r="E186" s="1" t="str">
        <f t="shared" si="8"/>
        <v>DG4GHGOVR</v>
      </c>
      <c r="F186" s="1" t="s">
        <v>325</v>
      </c>
      <c r="G186" s="1" t="s">
        <v>326</v>
      </c>
      <c r="H186" t="str">
        <f t="shared" si="6"/>
        <v>HECTOR HERNANDEZ</v>
      </c>
      <c r="I186" s="1" t="s">
        <v>47</v>
      </c>
      <c r="J186" s="1" t="s">
        <v>128</v>
      </c>
      <c r="K186" s="2">
        <v>46143</v>
      </c>
      <c r="L186" s="1" t="s">
        <v>85</v>
      </c>
      <c r="M186" s="1" t="s">
        <v>64</v>
      </c>
      <c r="N186" s="1" t="s">
        <v>65</v>
      </c>
      <c r="O186" s="1">
        <v>0</v>
      </c>
      <c r="P186" s="1">
        <v>5.25</v>
      </c>
      <c r="Q186" s="1">
        <v>5.25</v>
      </c>
      <c r="R186" s="1">
        <v>5.25</v>
      </c>
      <c r="S186" s="1" t="s">
        <v>685</v>
      </c>
    </row>
    <row r="187" spans="1:19" s="1" customFormat="1" x14ac:dyDescent="0.25">
      <c r="A187" s="1">
        <v>16633294</v>
      </c>
      <c r="B187" s="1" t="str">
        <f t="shared" si="7"/>
        <v>16633294OVR</v>
      </c>
      <c r="C187" s="1" t="s">
        <v>540</v>
      </c>
      <c r="D187" s="1" t="s">
        <v>573</v>
      </c>
      <c r="E187" s="1" t="str">
        <f t="shared" si="8"/>
        <v>DG6YEFOVR</v>
      </c>
      <c r="F187" s="1" t="s">
        <v>538</v>
      </c>
      <c r="G187" s="1" t="s">
        <v>572</v>
      </c>
      <c r="H187" t="str">
        <f t="shared" si="6"/>
        <v>SCOTT SMITH</v>
      </c>
      <c r="I187" s="1" t="s">
        <v>47</v>
      </c>
      <c r="J187" s="1" t="s">
        <v>74</v>
      </c>
      <c r="K187" s="2">
        <v>46143</v>
      </c>
      <c r="L187" s="1" t="s">
        <v>52</v>
      </c>
      <c r="M187" s="1" t="s">
        <v>64</v>
      </c>
      <c r="N187" s="1" t="s">
        <v>65</v>
      </c>
      <c r="O187" s="1">
        <v>0</v>
      </c>
      <c r="P187" s="1">
        <v>5.25</v>
      </c>
      <c r="Q187" s="1">
        <v>5.25</v>
      </c>
      <c r="R187" s="1">
        <v>5.25</v>
      </c>
      <c r="S187" s="1" t="s">
        <v>685</v>
      </c>
    </row>
    <row r="188" spans="1:19" s="1" customFormat="1" x14ac:dyDescent="0.25">
      <c r="A188" s="1">
        <v>18142208</v>
      </c>
      <c r="B188" s="1" t="str">
        <f t="shared" si="7"/>
        <v>18142208OVR</v>
      </c>
      <c r="C188" s="1" t="s">
        <v>67</v>
      </c>
      <c r="D188" s="1" t="s">
        <v>68</v>
      </c>
      <c r="E188" s="1" t="str">
        <f t="shared" si="8"/>
        <v>DG9922OVR</v>
      </c>
      <c r="F188" s="1" t="s">
        <v>70</v>
      </c>
      <c r="G188" s="1" t="s">
        <v>71</v>
      </c>
      <c r="H188" t="str">
        <f t="shared" si="6"/>
        <v>MARILYN ANDERSON</v>
      </c>
      <c r="I188" s="1" t="s">
        <v>72</v>
      </c>
      <c r="J188" s="1" t="s">
        <v>74</v>
      </c>
      <c r="K188" s="2">
        <v>46143</v>
      </c>
      <c r="L188" s="1" t="s">
        <v>52</v>
      </c>
      <c r="M188" s="1" t="s">
        <v>64</v>
      </c>
      <c r="N188" s="1" t="s">
        <v>65</v>
      </c>
      <c r="O188" s="1">
        <v>0</v>
      </c>
      <c r="P188" s="1">
        <v>5.25</v>
      </c>
      <c r="Q188" s="1">
        <v>5.25</v>
      </c>
      <c r="R188" s="1">
        <v>5.25</v>
      </c>
      <c r="S188" s="1" t="s">
        <v>685</v>
      </c>
    </row>
    <row r="189" spans="1:19" s="1" customFormat="1" x14ac:dyDescent="0.25">
      <c r="A189" s="1">
        <v>17126004</v>
      </c>
      <c r="B189" s="1" t="str">
        <f t="shared" si="7"/>
        <v>17126004OVR</v>
      </c>
      <c r="C189" s="1" t="s">
        <v>155</v>
      </c>
      <c r="D189" s="1" t="s">
        <v>217</v>
      </c>
      <c r="E189" s="1" t="str">
        <f t="shared" si="8"/>
        <v>DHF6GKOVR</v>
      </c>
      <c r="F189" s="1" t="s">
        <v>219</v>
      </c>
      <c r="G189" s="1" t="s">
        <v>220</v>
      </c>
      <c r="H189" t="str">
        <f t="shared" si="6"/>
        <v>RALPH DE LA FUENTE</v>
      </c>
      <c r="I189" s="1" t="s">
        <v>126</v>
      </c>
      <c r="J189" s="1" t="s">
        <v>222</v>
      </c>
      <c r="K189" s="2">
        <v>46143</v>
      </c>
      <c r="L189" s="1" t="s">
        <v>52</v>
      </c>
      <c r="M189" s="1" t="s">
        <v>64</v>
      </c>
      <c r="N189" s="1" t="s">
        <v>65</v>
      </c>
      <c r="O189" s="1">
        <v>0</v>
      </c>
      <c r="P189" s="1">
        <v>5.25</v>
      </c>
      <c r="Q189" s="1">
        <v>5.25</v>
      </c>
      <c r="R189" s="1">
        <v>5.25</v>
      </c>
      <c r="S189" s="1" t="s">
        <v>685</v>
      </c>
    </row>
    <row r="190" spans="1:19" s="1" customFormat="1" x14ac:dyDescent="0.25">
      <c r="A190" s="1">
        <v>19586992</v>
      </c>
      <c r="B190" s="1" t="str">
        <f t="shared" si="7"/>
        <v>19586992OVR</v>
      </c>
      <c r="C190" s="1" t="s">
        <v>42</v>
      </c>
      <c r="D190" s="1" t="s">
        <v>345</v>
      </c>
      <c r="E190" s="1" t="str">
        <f t="shared" si="8"/>
        <v>DHRYRAOVR</v>
      </c>
      <c r="F190" s="1" t="s">
        <v>347</v>
      </c>
      <c r="G190" s="1" t="s">
        <v>348</v>
      </c>
      <c r="H190" t="str">
        <f t="shared" si="6"/>
        <v>CATHERINE JAMES</v>
      </c>
      <c r="I190" s="1" t="s">
        <v>47</v>
      </c>
      <c r="J190" s="1" t="s">
        <v>74</v>
      </c>
      <c r="K190" s="2">
        <v>46143</v>
      </c>
      <c r="L190" s="1" t="s">
        <v>100</v>
      </c>
      <c r="M190" s="1" t="s">
        <v>64</v>
      </c>
      <c r="N190" s="1" t="s">
        <v>65</v>
      </c>
      <c r="O190" s="1">
        <v>0</v>
      </c>
      <c r="P190" s="1">
        <v>5.25</v>
      </c>
      <c r="Q190" s="1">
        <v>5.25</v>
      </c>
      <c r="R190" s="1">
        <v>5.25</v>
      </c>
      <c r="S190" s="1" t="s">
        <v>685</v>
      </c>
    </row>
    <row r="191" spans="1:19" s="1" customFormat="1" x14ac:dyDescent="0.25">
      <c r="A191" s="1">
        <v>7470776</v>
      </c>
      <c r="B191" s="1" t="str">
        <f t="shared" si="7"/>
        <v>7470776OVR</v>
      </c>
      <c r="C191" s="1" t="s">
        <v>208</v>
      </c>
      <c r="D191" s="1" t="s">
        <v>228</v>
      </c>
      <c r="E191" s="1" t="str">
        <f t="shared" si="8"/>
        <v>DHSKKFOVR</v>
      </c>
      <c r="F191" s="1" t="s">
        <v>230</v>
      </c>
      <c r="G191" s="1" t="s">
        <v>231</v>
      </c>
      <c r="H191" t="str">
        <f t="shared" si="6"/>
        <v>CASIMER DONATO</v>
      </c>
      <c r="I191" s="1" t="s">
        <v>47</v>
      </c>
      <c r="J191" s="1" t="s">
        <v>74</v>
      </c>
      <c r="K191" s="2">
        <v>46143</v>
      </c>
      <c r="L191" s="1" t="s">
        <v>52</v>
      </c>
      <c r="M191" s="1" t="s">
        <v>64</v>
      </c>
      <c r="N191" s="1" t="s">
        <v>65</v>
      </c>
      <c r="O191" s="1">
        <v>0</v>
      </c>
      <c r="P191" s="1">
        <v>5.25</v>
      </c>
      <c r="Q191" s="1">
        <v>5.25</v>
      </c>
      <c r="R191" s="1">
        <v>5.25</v>
      </c>
      <c r="S191" s="1" t="s">
        <v>685</v>
      </c>
    </row>
    <row r="192" spans="1:19" s="1" customFormat="1" x14ac:dyDescent="0.25">
      <c r="A192" s="1">
        <v>17301495</v>
      </c>
      <c r="B192" s="1" t="str">
        <f t="shared" si="7"/>
        <v>17301495OVR</v>
      </c>
      <c r="C192" s="1" t="s">
        <v>56</v>
      </c>
      <c r="D192" s="1" t="s">
        <v>116</v>
      </c>
      <c r="E192" s="1" t="str">
        <f t="shared" si="8"/>
        <v>DJ4K76OVR</v>
      </c>
      <c r="F192" s="1" t="s">
        <v>118</v>
      </c>
      <c r="G192" s="1" t="s">
        <v>119</v>
      </c>
      <c r="H192" t="str">
        <f t="shared" si="6"/>
        <v>MARYLINE BARRAUD</v>
      </c>
      <c r="I192" s="1" t="s">
        <v>47</v>
      </c>
      <c r="J192" s="1" t="s">
        <v>121</v>
      </c>
      <c r="K192" s="2">
        <v>46143</v>
      </c>
      <c r="L192" s="1" t="s">
        <v>85</v>
      </c>
      <c r="M192" s="1" t="s">
        <v>64</v>
      </c>
      <c r="N192" s="1" t="s">
        <v>65</v>
      </c>
      <c r="O192" s="1">
        <v>0</v>
      </c>
      <c r="P192" s="1">
        <v>5.25</v>
      </c>
      <c r="Q192" s="1">
        <v>5.25</v>
      </c>
      <c r="R192" s="1">
        <v>5.25</v>
      </c>
      <c r="S192" s="1" t="s">
        <v>685</v>
      </c>
    </row>
    <row r="193" spans="1:19" s="1" customFormat="1" x14ac:dyDescent="0.25">
      <c r="A193" s="1">
        <v>19586992</v>
      </c>
      <c r="B193" s="1" t="str">
        <f t="shared" si="7"/>
        <v>19586992OVR</v>
      </c>
      <c r="C193" s="1" t="s">
        <v>42</v>
      </c>
      <c r="D193" s="1" t="s">
        <v>569</v>
      </c>
      <c r="E193" s="1" t="str">
        <f t="shared" si="8"/>
        <v>DJGRC4OVR</v>
      </c>
      <c r="F193" s="1" t="s">
        <v>571</v>
      </c>
      <c r="G193" s="1" t="s">
        <v>572</v>
      </c>
      <c r="H193" t="str">
        <f t="shared" si="6"/>
        <v>KIM SMITH</v>
      </c>
      <c r="I193" s="1" t="s">
        <v>437</v>
      </c>
      <c r="J193" s="1" t="s">
        <v>74</v>
      </c>
      <c r="K193" s="2">
        <v>46143</v>
      </c>
      <c r="L193" s="1" t="s">
        <v>85</v>
      </c>
      <c r="M193" s="1" t="s">
        <v>64</v>
      </c>
      <c r="N193" s="1" t="s">
        <v>65</v>
      </c>
      <c r="O193" s="1">
        <v>0</v>
      </c>
      <c r="P193" s="1">
        <v>5.25</v>
      </c>
      <c r="Q193" s="1">
        <v>5.25</v>
      </c>
      <c r="R193" s="1">
        <v>5.25</v>
      </c>
      <c r="S193" s="1" t="s">
        <v>685</v>
      </c>
    </row>
    <row r="194" spans="1:19" s="1" customFormat="1" x14ac:dyDescent="0.25">
      <c r="A194" s="1">
        <v>17126004</v>
      </c>
      <c r="B194" s="1" t="str">
        <f t="shared" si="7"/>
        <v>17126004OVR</v>
      </c>
      <c r="C194" s="1" t="s">
        <v>155</v>
      </c>
      <c r="D194" s="1" t="s">
        <v>277</v>
      </c>
      <c r="E194" s="1" t="str">
        <f t="shared" si="8"/>
        <v>DJHS47OVR</v>
      </c>
      <c r="F194" s="1" t="s">
        <v>279</v>
      </c>
      <c r="G194" s="1" t="s">
        <v>280</v>
      </c>
      <c r="H194" t="str">
        <f t="shared" si="6"/>
        <v>ELIZABETH FALCONER</v>
      </c>
      <c r="I194" s="1" t="s">
        <v>47</v>
      </c>
      <c r="J194" s="1" t="s">
        <v>222</v>
      </c>
      <c r="K194" s="2">
        <v>46143</v>
      </c>
      <c r="L194" s="1" t="s">
        <v>52</v>
      </c>
      <c r="M194" s="1" t="s">
        <v>64</v>
      </c>
      <c r="N194" s="1" t="s">
        <v>65</v>
      </c>
      <c r="O194" s="1">
        <v>0</v>
      </c>
      <c r="P194" s="1">
        <v>5.25</v>
      </c>
      <c r="Q194" s="1">
        <v>5.25</v>
      </c>
      <c r="R194" s="1">
        <v>5.25</v>
      </c>
      <c r="S194" s="1" t="s">
        <v>685</v>
      </c>
    </row>
    <row r="195" spans="1:19" s="1" customFormat="1" x14ac:dyDescent="0.25">
      <c r="A195" s="1">
        <v>7146581</v>
      </c>
      <c r="B195" s="1" t="str">
        <f t="shared" si="7"/>
        <v>7146581OVR</v>
      </c>
      <c r="C195" s="1" t="s">
        <v>87</v>
      </c>
      <c r="D195" s="1" t="s">
        <v>590</v>
      </c>
      <c r="E195" s="1" t="str">
        <f t="shared" si="8"/>
        <v>DJJ9HYOVR</v>
      </c>
      <c r="F195" s="1" t="s">
        <v>592</v>
      </c>
      <c r="G195" s="1" t="s">
        <v>593</v>
      </c>
      <c r="H195" t="str">
        <f t="shared" ref="H195:H258" si="9">CONCATENATE(F195," ",G195)</f>
        <v>MARK STEPHANO</v>
      </c>
      <c r="I195" s="1" t="s">
        <v>47</v>
      </c>
      <c r="J195" s="1" t="s">
        <v>74</v>
      </c>
      <c r="K195" s="2">
        <v>46143</v>
      </c>
      <c r="L195" s="1" t="s">
        <v>52</v>
      </c>
      <c r="M195" s="1" t="s">
        <v>64</v>
      </c>
      <c r="N195" s="1" t="s">
        <v>65</v>
      </c>
      <c r="O195" s="1">
        <v>0</v>
      </c>
      <c r="P195" s="1">
        <v>5.25</v>
      </c>
      <c r="Q195" s="1">
        <v>5.25</v>
      </c>
      <c r="R195" s="1">
        <v>5.25</v>
      </c>
      <c r="S195" s="1" t="s">
        <v>685</v>
      </c>
    </row>
    <row r="196" spans="1:19" s="1" customFormat="1" x14ac:dyDescent="0.25">
      <c r="A196" s="1">
        <v>17126004</v>
      </c>
      <c r="B196" s="1" t="str">
        <f t="shared" si="7"/>
        <v>17126004OVR</v>
      </c>
      <c r="C196" s="1" t="s">
        <v>155</v>
      </c>
      <c r="D196" s="1" t="s">
        <v>415</v>
      </c>
      <c r="E196" s="1" t="str">
        <f t="shared" si="8"/>
        <v>DK5Y9FOVR</v>
      </c>
      <c r="F196" s="1" t="s">
        <v>417</v>
      </c>
      <c r="G196" s="1" t="s">
        <v>418</v>
      </c>
      <c r="H196" t="str">
        <f t="shared" si="9"/>
        <v>PETROS MARKOPOULOS</v>
      </c>
      <c r="I196" s="1" t="s">
        <v>126</v>
      </c>
      <c r="J196" s="1" t="s">
        <v>74</v>
      </c>
      <c r="K196" s="2">
        <v>46143</v>
      </c>
      <c r="L196" s="1" t="s">
        <v>85</v>
      </c>
      <c r="M196" s="1" t="s">
        <v>64</v>
      </c>
      <c r="N196" s="1" t="s">
        <v>65</v>
      </c>
      <c r="O196" s="1">
        <v>0</v>
      </c>
      <c r="P196" s="1">
        <v>5.25</v>
      </c>
      <c r="Q196" s="1">
        <v>5.25</v>
      </c>
      <c r="R196" s="1">
        <v>5.25</v>
      </c>
      <c r="S196" s="1" t="s">
        <v>685</v>
      </c>
    </row>
    <row r="197" spans="1:19" s="1" customFormat="1" x14ac:dyDescent="0.25">
      <c r="A197" s="1">
        <v>16865615</v>
      </c>
      <c r="B197" s="1" t="str">
        <f t="shared" si="7"/>
        <v>16865615OVR</v>
      </c>
      <c r="C197" s="1" t="s">
        <v>351</v>
      </c>
      <c r="D197" s="1" t="s">
        <v>633</v>
      </c>
      <c r="E197" s="1" t="str">
        <f t="shared" si="8"/>
        <v>DK8GWEOVR</v>
      </c>
      <c r="F197" s="1" t="s">
        <v>386</v>
      </c>
      <c r="G197" s="1" t="s">
        <v>635</v>
      </c>
      <c r="H197" t="str">
        <f t="shared" si="9"/>
        <v>SANDRA WATERS</v>
      </c>
      <c r="I197" s="1" t="s">
        <v>356</v>
      </c>
      <c r="J197" s="1" t="s">
        <v>74</v>
      </c>
      <c r="K197" s="2">
        <v>46143</v>
      </c>
      <c r="L197" s="1" t="s">
        <v>52</v>
      </c>
      <c r="M197" s="1" t="s">
        <v>64</v>
      </c>
      <c r="N197" s="1" t="s">
        <v>65</v>
      </c>
      <c r="O197" s="1">
        <v>0</v>
      </c>
      <c r="P197" s="1">
        <v>5.25</v>
      </c>
      <c r="Q197" s="1">
        <v>5.25</v>
      </c>
      <c r="R197" s="1">
        <v>5.25</v>
      </c>
      <c r="S197" s="1" t="s">
        <v>685</v>
      </c>
    </row>
    <row r="198" spans="1:19" s="1" customFormat="1" x14ac:dyDescent="0.25">
      <c r="A198" s="1">
        <v>20212926</v>
      </c>
      <c r="B198" s="1" t="str">
        <f t="shared" si="7"/>
        <v>20212926OVR</v>
      </c>
      <c r="C198" s="1" t="s">
        <v>94</v>
      </c>
      <c r="D198" s="1" t="s">
        <v>658</v>
      </c>
      <c r="E198" s="1" t="str">
        <f t="shared" si="8"/>
        <v>DR59AAOVR</v>
      </c>
      <c r="F198" s="1" t="s">
        <v>341</v>
      </c>
      <c r="G198" s="1" t="s">
        <v>660</v>
      </c>
      <c r="H198" t="str">
        <f t="shared" si="9"/>
        <v>MARIA YUQUILIMA</v>
      </c>
      <c r="I198" s="1" t="s">
        <v>47</v>
      </c>
      <c r="J198" s="1" t="s">
        <v>62</v>
      </c>
      <c r="K198" s="2">
        <v>46143</v>
      </c>
      <c r="L198" s="1" t="s">
        <v>52</v>
      </c>
      <c r="M198" s="1" t="s">
        <v>64</v>
      </c>
      <c r="N198" s="1" t="s">
        <v>65</v>
      </c>
      <c r="O198" s="1">
        <v>0</v>
      </c>
      <c r="P198" s="1">
        <v>5.25</v>
      </c>
      <c r="Q198" s="1">
        <v>5.25</v>
      </c>
      <c r="R198" s="1">
        <v>5.25</v>
      </c>
      <c r="S198" s="1" t="s">
        <v>685</v>
      </c>
    </row>
    <row r="199" spans="1:19" s="1" customFormat="1" x14ac:dyDescent="0.25">
      <c r="A199" s="1">
        <v>17126004</v>
      </c>
      <c r="B199" s="1" t="str">
        <f t="shared" si="7"/>
        <v>17126004OVR</v>
      </c>
      <c r="C199" s="1" t="s">
        <v>155</v>
      </c>
      <c r="D199" s="1" t="s">
        <v>425</v>
      </c>
      <c r="E199" s="1" t="str">
        <f t="shared" si="8"/>
        <v>DR8EJROVR</v>
      </c>
      <c r="F199" s="1" t="s">
        <v>427</v>
      </c>
      <c r="G199" s="1" t="s">
        <v>428</v>
      </c>
      <c r="H199" t="str">
        <f t="shared" si="9"/>
        <v>THERESA MCAULEY</v>
      </c>
      <c r="I199" s="1" t="s">
        <v>47</v>
      </c>
      <c r="J199" s="1" t="s">
        <v>199</v>
      </c>
      <c r="K199" s="2">
        <v>46143</v>
      </c>
      <c r="L199" s="1" t="s">
        <v>85</v>
      </c>
      <c r="M199" s="1" t="s">
        <v>64</v>
      </c>
      <c r="N199" s="1" t="s">
        <v>65</v>
      </c>
      <c r="O199" s="1">
        <v>0</v>
      </c>
      <c r="P199" s="1">
        <v>5.25</v>
      </c>
      <c r="Q199" s="1">
        <v>5.25</v>
      </c>
      <c r="R199" s="1">
        <v>5.25</v>
      </c>
      <c r="S199" s="1" t="s">
        <v>685</v>
      </c>
    </row>
    <row r="200" spans="1:19" s="1" customFormat="1" x14ac:dyDescent="0.25">
      <c r="A200" s="1">
        <v>7146581</v>
      </c>
      <c r="B200" s="1" t="str">
        <f t="shared" si="7"/>
        <v>7146581OVR</v>
      </c>
      <c r="C200" s="1" t="s">
        <v>87</v>
      </c>
      <c r="D200" s="1" t="s">
        <v>249</v>
      </c>
      <c r="E200" s="1" t="str">
        <f t="shared" si="8"/>
        <v>DR9GSJOVR</v>
      </c>
      <c r="F200" s="1" t="s">
        <v>251</v>
      </c>
      <c r="G200" s="1" t="s">
        <v>252</v>
      </c>
      <c r="H200" t="str">
        <f t="shared" si="9"/>
        <v>SHEILA ENGLISH</v>
      </c>
      <c r="I200" s="1" t="s">
        <v>47</v>
      </c>
      <c r="J200" s="1" t="s">
        <v>74</v>
      </c>
      <c r="K200" s="2">
        <v>46143</v>
      </c>
      <c r="L200" s="1" t="s">
        <v>52</v>
      </c>
      <c r="M200" s="1" t="s">
        <v>64</v>
      </c>
      <c r="N200" s="1" t="s">
        <v>65</v>
      </c>
      <c r="O200" s="1">
        <v>0</v>
      </c>
      <c r="P200" s="1">
        <v>5.25</v>
      </c>
      <c r="Q200" s="1">
        <v>5.25</v>
      </c>
      <c r="R200" s="1">
        <v>5.25</v>
      </c>
      <c r="S200" s="1" t="s">
        <v>685</v>
      </c>
    </row>
    <row r="201" spans="1:19" s="1" customFormat="1" x14ac:dyDescent="0.25">
      <c r="A201" s="1">
        <v>16865615</v>
      </c>
      <c r="B201" s="1" t="str">
        <f t="shared" si="7"/>
        <v>16865615OVR</v>
      </c>
      <c r="C201" s="1" t="s">
        <v>351</v>
      </c>
      <c r="D201" s="1" t="s">
        <v>403</v>
      </c>
      <c r="E201" s="1" t="str">
        <f t="shared" si="8"/>
        <v>DRS326OVR</v>
      </c>
      <c r="F201" s="1" t="s">
        <v>405</v>
      </c>
      <c r="G201" s="1" t="s">
        <v>406</v>
      </c>
      <c r="H201" t="str">
        <f t="shared" si="9"/>
        <v>EUGENE LYZUN</v>
      </c>
      <c r="I201" s="1" t="s">
        <v>47</v>
      </c>
      <c r="J201" s="1" t="s">
        <v>222</v>
      </c>
      <c r="K201" s="2">
        <v>46143</v>
      </c>
      <c r="L201" s="1" t="s">
        <v>52</v>
      </c>
      <c r="M201" s="1" t="s">
        <v>64</v>
      </c>
      <c r="N201" s="1" t="s">
        <v>65</v>
      </c>
      <c r="O201" s="1">
        <v>0</v>
      </c>
      <c r="P201" s="1">
        <v>5.25</v>
      </c>
      <c r="Q201" s="1">
        <v>5.25</v>
      </c>
      <c r="R201" s="1">
        <v>5.25</v>
      </c>
      <c r="S201" s="1" t="s">
        <v>685</v>
      </c>
    </row>
    <row r="202" spans="1:19" s="1" customFormat="1" x14ac:dyDescent="0.25">
      <c r="A202" s="1">
        <v>2158366</v>
      </c>
      <c r="B202" s="1" t="str">
        <f t="shared" si="7"/>
        <v>2158366OVR</v>
      </c>
      <c r="C202" s="1" t="s">
        <v>107</v>
      </c>
      <c r="D202" s="1" t="s">
        <v>479</v>
      </c>
      <c r="E202" s="1" t="str">
        <f t="shared" si="8"/>
        <v>DRUSCGOVR</v>
      </c>
      <c r="F202" s="1" t="s">
        <v>481</v>
      </c>
      <c r="G202" s="1" t="s">
        <v>482</v>
      </c>
      <c r="H202" t="str">
        <f t="shared" si="9"/>
        <v>BARBARA POWELL</v>
      </c>
      <c r="I202" s="1" t="s">
        <v>47</v>
      </c>
      <c r="J202" s="1" t="s">
        <v>74</v>
      </c>
      <c r="K202" s="2">
        <v>46143</v>
      </c>
      <c r="L202" s="1" t="s">
        <v>85</v>
      </c>
      <c r="M202" s="1" t="s">
        <v>64</v>
      </c>
      <c r="N202" s="1" t="s">
        <v>65</v>
      </c>
      <c r="O202" s="1">
        <v>0</v>
      </c>
      <c r="P202" s="1">
        <v>5.25</v>
      </c>
      <c r="Q202" s="1">
        <v>5.25</v>
      </c>
      <c r="R202" s="1">
        <v>5.25</v>
      </c>
      <c r="S202" s="1" t="s">
        <v>685</v>
      </c>
    </row>
    <row r="203" spans="1:19" s="1" customFormat="1" x14ac:dyDescent="0.25">
      <c r="A203" s="1">
        <v>19586992</v>
      </c>
      <c r="B203" s="1" t="str">
        <f t="shared" si="7"/>
        <v>19586992OVR</v>
      </c>
      <c r="C203" s="1" t="s">
        <v>42</v>
      </c>
      <c r="D203" s="1" t="s">
        <v>645</v>
      </c>
      <c r="E203" s="1" t="str">
        <f t="shared" si="8"/>
        <v>DRUW3JOVR</v>
      </c>
      <c r="F203" s="1" t="s">
        <v>647</v>
      </c>
      <c r="G203" s="1" t="s">
        <v>648</v>
      </c>
      <c r="H203" t="str">
        <f t="shared" si="9"/>
        <v>NICOLASA WILSON</v>
      </c>
      <c r="I203" s="1" t="s">
        <v>47</v>
      </c>
      <c r="J203" s="1" t="s">
        <v>83</v>
      </c>
      <c r="K203" s="2">
        <v>46143</v>
      </c>
      <c r="L203" s="1" t="s">
        <v>85</v>
      </c>
      <c r="M203" s="1" t="s">
        <v>64</v>
      </c>
      <c r="N203" s="1" t="s">
        <v>65</v>
      </c>
      <c r="O203" s="1">
        <v>0</v>
      </c>
      <c r="P203" s="1">
        <v>5.25</v>
      </c>
      <c r="Q203" s="1">
        <v>5.25</v>
      </c>
      <c r="R203" s="1">
        <v>5.25</v>
      </c>
      <c r="S203" s="1" t="s">
        <v>685</v>
      </c>
    </row>
    <row r="204" spans="1:19" s="1" customFormat="1" x14ac:dyDescent="0.25">
      <c r="A204" s="1">
        <v>17094718</v>
      </c>
      <c r="B204" s="1" t="str">
        <f t="shared" si="7"/>
        <v>17094718OVR</v>
      </c>
      <c r="C204" s="1" t="s">
        <v>397</v>
      </c>
      <c r="D204" s="1" t="s">
        <v>398</v>
      </c>
      <c r="E204" s="1" t="str">
        <f t="shared" si="8"/>
        <v>DRZF48OVR</v>
      </c>
      <c r="F204" s="1" t="s">
        <v>382</v>
      </c>
      <c r="G204" s="1" t="s">
        <v>400</v>
      </c>
      <c r="H204" t="str">
        <f t="shared" si="9"/>
        <v>PATRICIA LYDON</v>
      </c>
      <c r="I204" s="1" t="s">
        <v>401</v>
      </c>
      <c r="J204" s="1" t="s">
        <v>74</v>
      </c>
      <c r="K204" s="2">
        <v>46143</v>
      </c>
      <c r="L204" s="1" t="s">
        <v>52</v>
      </c>
      <c r="M204" s="1" t="s">
        <v>64</v>
      </c>
      <c r="N204" s="1" t="s">
        <v>65</v>
      </c>
      <c r="O204" s="1">
        <v>0</v>
      </c>
      <c r="P204" s="1">
        <v>5.25</v>
      </c>
      <c r="Q204" s="1">
        <v>5.25</v>
      </c>
      <c r="R204" s="1">
        <v>5.25</v>
      </c>
      <c r="S204" s="1" t="s">
        <v>685</v>
      </c>
    </row>
    <row r="205" spans="1:19" s="1" customFormat="1" x14ac:dyDescent="0.25">
      <c r="A205" s="1">
        <v>9213293</v>
      </c>
      <c r="B205" s="1" t="str">
        <f t="shared" si="7"/>
        <v>9213293OVR</v>
      </c>
      <c r="C205" s="1" t="s">
        <v>162</v>
      </c>
      <c r="D205" s="1" t="s">
        <v>566</v>
      </c>
      <c r="E205" s="1" t="str">
        <f t="shared" si="8"/>
        <v>DS2K8COVR</v>
      </c>
      <c r="F205" s="1" t="s">
        <v>560</v>
      </c>
      <c r="G205" s="1" t="s">
        <v>568</v>
      </c>
      <c r="H205" t="str">
        <f t="shared" si="9"/>
        <v>DONALD SCHRADER</v>
      </c>
      <c r="I205" s="1" t="s">
        <v>47</v>
      </c>
      <c r="J205" s="1" t="s">
        <v>74</v>
      </c>
      <c r="K205" s="2">
        <v>46143</v>
      </c>
      <c r="L205" s="1" t="s">
        <v>52</v>
      </c>
      <c r="M205" s="1" t="s">
        <v>64</v>
      </c>
      <c r="N205" s="1" t="s">
        <v>65</v>
      </c>
      <c r="O205" s="1">
        <v>0</v>
      </c>
      <c r="P205" s="1">
        <v>5.25</v>
      </c>
      <c r="Q205" s="1">
        <v>5.25</v>
      </c>
      <c r="R205" s="1">
        <v>5.25</v>
      </c>
      <c r="S205" s="1" t="s">
        <v>685</v>
      </c>
    </row>
    <row r="206" spans="1:19" s="1" customFormat="1" x14ac:dyDescent="0.25">
      <c r="A206" s="1">
        <v>16683808</v>
      </c>
      <c r="B206" s="1" t="str">
        <f t="shared" si="7"/>
        <v>16683808OVR</v>
      </c>
      <c r="C206" s="1" t="s">
        <v>237</v>
      </c>
      <c r="D206" s="1" t="s">
        <v>630</v>
      </c>
      <c r="E206" s="1" t="str">
        <f t="shared" si="8"/>
        <v>DS3JW9OVR</v>
      </c>
      <c r="F206" s="1" t="s">
        <v>165</v>
      </c>
      <c r="G206" s="1" t="s">
        <v>632</v>
      </c>
      <c r="H206" t="str">
        <f t="shared" si="9"/>
        <v>JOYCE WARD</v>
      </c>
      <c r="I206" s="1" t="s">
        <v>437</v>
      </c>
      <c r="J206" s="1" t="s">
        <v>74</v>
      </c>
      <c r="K206" s="2">
        <v>46143</v>
      </c>
      <c r="L206" s="1" t="s">
        <v>52</v>
      </c>
      <c r="M206" s="1" t="s">
        <v>64</v>
      </c>
      <c r="N206" s="1" t="s">
        <v>65</v>
      </c>
      <c r="O206" s="1">
        <v>0</v>
      </c>
      <c r="P206" s="1">
        <v>5.25</v>
      </c>
      <c r="Q206" s="1">
        <v>5.25</v>
      </c>
      <c r="R206" s="1">
        <v>5.25</v>
      </c>
      <c r="S206" s="1" t="s">
        <v>685</v>
      </c>
    </row>
    <row r="207" spans="1:19" s="1" customFormat="1" x14ac:dyDescent="0.25">
      <c r="A207" s="1">
        <v>16865615</v>
      </c>
      <c r="B207" s="1" t="str">
        <f t="shared" si="7"/>
        <v>16865615OVR</v>
      </c>
      <c r="C207" s="1" t="s">
        <v>351</v>
      </c>
      <c r="D207" s="1" t="s">
        <v>352</v>
      </c>
      <c r="E207" s="1" t="str">
        <f t="shared" si="8"/>
        <v>DS5GHYOVR</v>
      </c>
      <c r="F207" s="1" t="s">
        <v>354</v>
      </c>
      <c r="G207" s="1" t="s">
        <v>355</v>
      </c>
      <c r="H207" t="str">
        <f t="shared" si="9"/>
        <v>DINO JENERRO</v>
      </c>
      <c r="I207" s="1" t="s">
        <v>356</v>
      </c>
      <c r="J207" s="1" t="s">
        <v>357</v>
      </c>
      <c r="K207" s="2">
        <v>46143</v>
      </c>
      <c r="L207" s="1" t="s">
        <v>52</v>
      </c>
      <c r="M207" s="1" t="s">
        <v>64</v>
      </c>
      <c r="N207" s="1" t="s">
        <v>65</v>
      </c>
      <c r="O207" s="1">
        <v>0</v>
      </c>
      <c r="P207" s="1">
        <v>5.25</v>
      </c>
      <c r="Q207" s="1">
        <v>5.25</v>
      </c>
      <c r="R207" s="1">
        <v>5.25</v>
      </c>
      <c r="S207" s="1" t="s">
        <v>685</v>
      </c>
    </row>
    <row r="208" spans="1:19" s="1" customFormat="1" x14ac:dyDescent="0.25">
      <c r="A208" s="1">
        <v>19586992</v>
      </c>
      <c r="B208" s="1" t="str">
        <f t="shared" si="7"/>
        <v>19586992OVR</v>
      </c>
      <c r="C208" s="1" t="s">
        <v>42</v>
      </c>
      <c r="D208" s="1" t="s">
        <v>223</v>
      </c>
      <c r="E208" s="1" t="str">
        <f t="shared" si="8"/>
        <v>DSF4K7OVR</v>
      </c>
      <c r="F208" s="1" t="s">
        <v>225</v>
      </c>
      <c r="G208" s="1" t="s">
        <v>226</v>
      </c>
      <c r="H208" t="str">
        <f t="shared" si="9"/>
        <v>CANDACE DOBRINO</v>
      </c>
      <c r="I208" s="1" t="s">
        <v>47</v>
      </c>
      <c r="J208" s="1" t="s">
        <v>222</v>
      </c>
      <c r="K208" s="2">
        <v>46143</v>
      </c>
      <c r="L208" s="1" t="s">
        <v>52</v>
      </c>
      <c r="M208" s="1" t="s">
        <v>64</v>
      </c>
      <c r="N208" s="1" t="s">
        <v>65</v>
      </c>
      <c r="O208" s="1">
        <v>0</v>
      </c>
      <c r="P208" s="1">
        <v>5.25</v>
      </c>
      <c r="Q208" s="1">
        <v>5.25</v>
      </c>
      <c r="R208" s="1">
        <v>5.25</v>
      </c>
      <c r="S208" s="1" t="s">
        <v>685</v>
      </c>
    </row>
    <row r="209" spans="1:19" s="1" customFormat="1" x14ac:dyDescent="0.25">
      <c r="A209" s="1">
        <v>17301495</v>
      </c>
      <c r="B209" s="1" t="str">
        <f t="shared" si="7"/>
        <v>17301495OVR</v>
      </c>
      <c r="C209" s="1" t="s">
        <v>56</v>
      </c>
      <c r="D209" s="1" t="s">
        <v>260</v>
      </c>
      <c r="E209" s="1" t="str">
        <f t="shared" si="8"/>
        <v>DSJR7ROVR</v>
      </c>
      <c r="F209" s="1" t="s">
        <v>262</v>
      </c>
      <c r="G209" s="1" t="s">
        <v>263</v>
      </c>
      <c r="H209" t="str">
        <f t="shared" si="9"/>
        <v>GERARDO ESPINOSA</v>
      </c>
      <c r="I209" s="1" t="s">
        <v>47</v>
      </c>
      <c r="J209" s="1" t="s">
        <v>74</v>
      </c>
      <c r="K209" s="2">
        <v>46143</v>
      </c>
      <c r="L209" s="1" t="s">
        <v>52</v>
      </c>
      <c r="M209" s="1" t="s">
        <v>64</v>
      </c>
      <c r="N209" s="1" t="s">
        <v>65</v>
      </c>
      <c r="O209" s="1">
        <v>0</v>
      </c>
      <c r="P209" s="1">
        <v>5.25</v>
      </c>
      <c r="Q209" s="1">
        <v>5.25</v>
      </c>
      <c r="R209" s="1">
        <v>5.25</v>
      </c>
      <c r="S209" s="1" t="s">
        <v>685</v>
      </c>
    </row>
    <row r="210" spans="1:19" s="1" customFormat="1" x14ac:dyDescent="0.25">
      <c r="A210" s="1">
        <v>16865615</v>
      </c>
      <c r="B210" s="1" t="str">
        <f t="shared" si="7"/>
        <v>16865615OVR</v>
      </c>
      <c r="C210" s="1" t="s">
        <v>351</v>
      </c>
      <c r="D210" s="1" t="s">
        <v>384</v>
      </c>
      <c r="E210" s="1" t="str">
        <f t="shared" si="8"/>
        <v>DU7JU7OVR</v>
      </c>
      <c r="F210" s="1" t="s">
        <v>386</v>
      </c>
      <c r="G210" s="1" t="s">
        <v>387</v>
      </c>
      <c r="H210" t="str">
        <f t="shared" si="9"/>
        <v>SANDRA LOWELL</v>
      </c>
      <c r="I210" s="1" t="s">
        <v>356</v>
      </c>
      <c r="J210" s="1" t="s">
        <v>62</v>
      </c>
      <c r="K210" s="2">
        <v>46143</v>
      </c>
      <c r="L210" s="1" t="s">
        <v>52</v>
      </c>
      <c r="M210" s="1" t="s">
        <v>64</v>
      </c>
      <c r="N210" s="1" t="s">
        <v>65</v>
      </c>
      <c r="O210" s="1">
        <v>0</v>
      </c>
      <c r="P210" s="1">
        <v>5.25</v>
      </c>
      <c r="Q210" s="1">
        <v>5.25</v>
      </c>
      <c r="R210" s="1">
        <v>5.25</v>
      </c>
      <c r="S210" s="1" t="s">
        <v>685</v>
      </c>
    </row>
    <row r="211" spans="1:19" s="1" customFormat="1" x14ac:dyDescent="0.25">
      <c r="A211" s="1">
        <v>17126004</v>
      </c>
      <c r="B211" s="1" t="str">
        <f t="shared" si="7"/>
        <v>17126004OVR</v>
      </c>
      <c r="C211" s="1" t="s">
        <v>155</v>
      </c>
      <c r="D211" s="1" t="s">
        <v>194</v>
      </c>
      <c r="E211" s="1" t="str">
        <f t="shared" si="8"/>
        <v>DU896UOVR</v>
      </c>
      <c r="F211" s="1" t="s">
        <v>196</v>
      </c>
      <c r="G211" s="1" t="s">
        <v>197</v>
      </c>
      <c r="H211" t="str">
        <f t="shared" si="9"/>
        <v>LINDA CIANCIO</v>
      </c>
      <c r="I211" s="1" t="s">
        <v>47</v>
      </c>
      <c r="J211" s="1" t="s">
        <v>199</v>
      </c>
      <c r="K211" s="2">
        <v>46143</v>
      </c>
      <c r="L211" s="1" t="s">
        <v>85</v>
      </c>
      <c r="M211" s="1" t="s">
        <v>64</v>
      </c>
      <c r="N211" s="1" t="s">
        <v>65</v>
      </c>
      <c r="O211" s="1">
        <v>0</v>
      </c>
      <c r="P211" s="1">
        <v>5.25</v>
      </c>
      <c r="Q211" s="1">
        <v>5.25</v>
      </c>
      <c r="R211" s="1">
        <v>5.25</v>
      </c>
      <c r="S211" s="1" t="s">
        <v>685</v>
      </c>
    </row>
    <row r="212" spans="1:19" s="1" customFormat="1" x14ac:dyDescent="0.25">
      <c r="A212" s="1">
        <v>17301495</v>
      </c>
      <c r="B212" s="1" t="str">
        <f t="shared" si="7"/>
        <v>17301495OVR</v>
      </c>
      <c r="C212" s="1" t="s">
        <v>56</v>
      </c>
      <c r="D212" s="1" t="s">
        <v>619</v>
      </c>
      <c r="E212" s="1" t="str">
        <f t="shared" si="8"/>
        <v>DUW2FGOVR</v>
      </c>
      <c r="F212" s="1" t="s">
        <v>621</v>
      </c>
      <c r="G212" s="1" t="s">
        <v>622</v>
      </c>
      <c r="H212" t="str">
        <f t="shared" si="9"/>
        <v>EMMA VALE</v>
      </c>
      <c r="I212" s="1" t="s">
        <v>47</v>
      </c>
      <c r="J212" s="1" t="s">
        <v>222</v>
      </c>
      <c r="K212" s="2">
        <v>46143</v>
      </c>
      <c r="L212" s="1" t="s">
        <v>52</v>
      </c>
      <c r="M212" s="1" t="s">
        <v>64</v>
      </c>
      <c r="N212" s="1" t="s">
        <v>65</v>
      </c>
      <c r="O212" s="1">
        <v>0</v>
      </c>
      <c r="P212" s="1">
        <v>5.25</v>
      </c>
      <c r="Q212" s="1">
        <v>5.25</v>
      </c>
      <c r="R212" s="1">
        <v>5.25</v>
      </c>
      <c r="S212" s="1" t="s">
        <v>685</v>
      </c>
    </row>
    <row r="213" spans="1:19" s="1" customFormat="1" x14ac:dyDescent="0.25">
      <c r="A213" s="1">
        <v>19586992</v>
      </c>
      <c r="B213" s="1" t="str">
        <f t="shared" si="7"/>
        <v>19586992OVR</v>
      </c>
      <c r="C213" s="1" t="s">
        <v>42</v>
      </c>
      <c r="D213" s="1" t="s">
        <v>130</v>
      </c>
      <c r="E213" s="1" t="str">
        <f t="shared" si="8"/>
        <v>DUWJJSOVR</v>
      </c>
      <c r="F213" s="1" t="s">
        <v>132</v>
      </c>
      <c r="G213" s="1" t="s">
        <v>133</v>
      </c>
      <c r="H213" t="str">
        <f t="shared" si="9"/>
        <v>ROBERTA BECKMAN</v>
      </c>
      <c r="I213" s="1" t="s">
        <v>47</v>
      </c>
      <c r="J213" s="1" t="s">
        <v>74</v>
      </c>
      <c r="K213" s="2">
        <v>46143</v>
      </c>
      <c r="L213" s="1" t="s">
        <v>100</v>
      </c>
      <c r="M213" s="1" t="s">
        <v>64</v>
      </c>
      <c r="N213" s="1" t="s">
        <v>65</v>
      </c>
      <c r="O213" s="1">
        <v>0</v>
      </c>
      <c r="P213" s="1">
        <v>5.25</v>
      </c>
      <c r="Q213" s="1">
        <v>5.25</v>
      </c>
      <c r="R213" s="1">
        <v>5.25</v>
      </c>
      <c r="S213" s="1" t="s">
        <v>685</v>
      </c>
    </row>
    <row r="214" spans="1:19" s="1" customFormat="1" x14ac:dyDescent="0.25">
      <c r="A214" s="1">
        <v>16633294</v>
      </c>
      <c r="B214" s="1" t="str">
        <f t="shared" si="7"/>
        <v>16633294OVR</v>
      </c>
      <c r="C214" s="1" t="s">
        <v>540</v>
      </c>
      <c r="D214" s="1" t="s">
        <v>607</v>
      </c>
      <c r="E214" s="1" t="str">
        <f t="shared" si="8"/>
        <v>DWR9FJOVR</v>
      </c>
      <c r="F214" s="1" t="s">
        <v>609</v>
      </c>
      <c r="G214" s="1" t="s">
        <v>610</v>
      </c>
      <c r="H214" t="str">
        <f t="shared" si="9"/>
        <v>KERRY TONGE</v>
      </c>
      <c r="I214" s="1" t="s">
        <v>47</v>
      </c>
      <c r="J214" s="1" t="s">
        <v>74</v>
      </c>
      <c r="K214" s="2">
        <v>46143</v>
      </c>
      <c r="L214" s="1" t="s">
        <v>52</v>
      </c>
      <c r="M214" s="1" t="s">
        <v>64</v>
      </c>
      <c r="N214" s="1" t="s">
        <v>65</v>
      </c>
      <c r="O214" s="1">
        <v>0</v>
      </c>
      <c r="P214" s="1">
        <v>5.25</v>
      </c>
      <c r="Q214" s="1">
        <v>5.25</v>
      </c>
      <c r="R214" s="1">
        <v>5.25</v>
      </c>
      <c r="S214" s="1" t="s">
        <v>685</v>
      </c>
    </row>
    <row r="215" spans="1:19" s="1" customFormat="1" x14ac:dyDescent="0.25">
      <c r="A215" s="1">
        <v>18754354</v>
      </c>
      <c r="B215" s="1" t="str">
        <f t="shared" si="7"/>
        <v>18754354OVR</v>
      </c>
      <c r="C215" s="1" t="s">
        <v>390</v>
      </c>
      <c r="D215" s="1" t="s">
        <v>624</v>
      </c>
      <c r="E215" s="1" t="str">
        <f t="shared" si="8"/>
        <v>DWWCE9OVR</v>
      </c>
      <c r="F215" s="1" t="s">
        <v>626</v>
      </c>
      <c r="G215" s="1" t="s">
        <v>627</v>
      </c>
      <c r="H215" t="str">
        <f t="shared" si="9"/>
        <v>JAN VAN STRAATEN</v>
      </c>
      <c r="I215" s="1" t="s">
        <v>47</v>
      </c>
      <c r="J215" s="1" t="s">
        <v>629</v>
      </c>
      <c r="K215" s="2">
        <v>46143</v>
      </c>
      <c r="L215" s="1" t="s">
        <v>52</v>
      </c>
      <c r="M215" s="1" t="s">
        <v>64</v>
      </c>
      <c r="N215" s="1" t="s">
        <v>65</v>
      </c>
      <c r="O215" s="1">
        <v>0</v>
      </c>
      <c r="P215" s="1">
        <v>5.25</v>
      </c>
      <c r="Q215" s="1">
        <v>5.25</v>
      </c>
      <c r="R215" s="1">
        <v>5.25</v>
      </c>
      <c r="S215" s="1" t="s">
        <v>685</v>
      </c>
    </row>
    <row r="216" spans="1:19" s="1" customFormat="1" x14ac:dyDescent="0.25">
      <c r="A216" s="1">
        <v>7470776</v>
      </c>
      <c r="B216" s="1" t="str">
        <f t="shared" si="7"/>
        <v>7470776OVR</v>
      </c>
      <c r="C216" s="1" t="s">
        <v>208</v>
      </c>
      <c r="D216" s="1" t="s">
        <v>214</v>
      </c>
      <c r="E216" s="1" t="str">
        <f t="shared" si="8"/>
        <v>DWZ7RJOVR</v>
      </c>
      <c r="F216" s="1" t="s">
        <v>216</v>
      </c>
      <c r="G216" s="1" t="s">
        <v>212</v>
      </c>
      <c r="H216" t="str">
        <f t="shared" si="9"/>
        <v>PHILLIP CULLEN</v>
      </c>
      <c r="I216" s="1" t="s">
        <v>47</v>
      </c>
      <c r="J216" s="1" t="s">
        <v>74</v>
      </c>
      <c r="K216" s="2">
        <v>46143</v>
      </c>
      <c r="L216" s="1" t="s">
        <v>52</v>
      </c>
      <c r="M216" s="1" t="s">
        <v>64</v>
      </c>
      <c r="N216" s="1" t="s">
        <v>65</v>
      </c>
      <c r="O216" s="1">
        <v>0</v>
      </c>
      <c r="P216" s="1">
        <v>5.25</v>
      </c>
      <c r="Q216" s="1">
        <v>5.25</v>
      </c>
      <c r="R216" s="1">
        <v>5.25</v>
      </c>
      <c r="S216" s="1" t="s">
        <v>685</v>
      </c>
    </row>
    <row r="217" spans="1:19" s="1" customFormat="1" x14ac:dyDescent="0.25">
      <c r="A217" s="1">
        <v>8405446</v>
      </c>
      <c r="B217" s="1" t="str">
        <f t="shared" si="7"/>
        <v>8405446OVR</v>
      </c>
      <c r="C217" s="1" t="s">
        <v>495</v>
      </c>
      <c r="D217" s="1" t="s">
        <v>496</v>
      </c>
      <c r="E217" s="1" t="str">
        <f t="shared" si="8"/>
        <v>DY48JROVR</v>
      </c>
      <c r="F217" s="1" t="s">
        <v>498</v>
      </c>
      <c r="G217" s="1" t="s">
        <v>499</v>
      </c>
      <c r="H217" t="str">
        <f t="shared" si="9"/>
        <v>BINH RATSAVONGSY</v>
      </c>
      <c r="I217" s="1" t="s">
        <v>47</v>
      </c>
      <c r="J217" s="1" t="s">
        <v>501</v>
      </c>
      <c r="K217" s="2">
        <v>46143</v>
      </c>
      <c r="L217" s="1" t="s">
        <v>100</v>
      </c>
      <c r="M217" s="1" t="s">
        <v>64</v>
      </c>
      <c r="N217" s="1" t="s">
        <v>65</v>
      </c>
      <c r="O217" s="1">
        <v>0</v>
      </c>
      <c r="P217" s="1">
        <v>5.25</v>
      </c>
      <c r="Q217" s="1">
        <v>5.25</v>
      </c>
      <c r="R217" s="1">
        <v>5.25</v>
      </c>
      <c r="S217" s="1" t="s">
        <v>685</v>
      </c>
    </row>
    <row r="218" spans="1:19" s="1" customFormat="1" x14ac:dyDescent="0.25">
      <c r="A218" s="1">
        <v>17301495</v>
      </c>
      <c r="B218" s="1" t="str">
        <f t="shared" si="7"/>
        <v>17301495OVR</v>
      </c>
      <c r="C218" s="1" t="s">
        <v>56</v>
      </c>
      <c r="D218" s="1" t="s">
        <v>339</v>
      </c>
      <c r="E218" s="1" t="str">
        <f t="shared" si="8"/>
        <v>DYG5UYOVR</v>
      </c>
      <c r="F218" s="1" t="s">
        <v>341</v>
      </c>
      <c r="G218" s="1" t="s">
        <v>342</v>
      </c>
      <c r="H218" t="str">
        <f t="shared" si="9"/>
        <v>MARIA JACOBO DE CADENA</v>
      </c>
      <c r="I218" s="1" t="s">
        <v>47</v>
      </c>
      <c r="J218" s="1" t="s">
        <v>344</v>
      </c>
      <c r="K218" s="2">
        <v>46143</v>
      </c>
      <c r="L218" s="1" t="s">
        <v>85</v>
      </c>
      <c r="M218" s="1" t="s">
        <v>64</v>
      </c>
      <c r="N218" s="1" t="s">
        <v>65</v>
      </c>
      <c r="O218" s="1">
        <v>0</v>
      </c>
      <c r="P218" s="1">
        <v>5.25</v>
      </c>
      <c r="Q218" s="1">
        <v>5.25</v>
      </c>
      <c r="R218" s="1">
        <v>5.25</v>
      </c>
      <c r="S218" s="1" t="s">
        <v>685</v>
      </c>
    </row>
    <row r="219" spans="1:19" s="1" customFormat="1" x14ac:dyDescent="0.25">
      <c r="A219" s="1">
        <v>7470776</v>
      </c>
      <c r="B219" s="1" t="str">
        <f t="shared" si="7"/>
        <v>7470776OVR</v>
      </c>
      <c r="C219" s="1" t="s">
        <v>208</v>
      </c>
      <c r="D219" s="1" t="s">
        <v>297</v>
      </c>
      <c r="E219" s="1" t="str">
        <f t="shared" si="8"/>
        <v>DYJG9WOVR</v>
      </c>
      <c r="F219" s="1" t="s">
        <v>299</v>
      </c>
      <c r="G219" s="1" t="s">
        <v>300</v>
      </c>
      <c r="H219" t="str">
        <f t="shared" si="9"/>
        <v>KRISTINE GIBAS</v>
      </c>
      <c r="I219" s="1" t="s">
        <v>47</v>
      </c>
      <c r="J219" s="1" t="s">
        <v>74</v>
      </c>
      <c r="K219" s="2">
        <v>46143</v>
      </c>
      <c r="L219" s="1" t="s">
        <v>52</v>
      </c>
      <c r="M219" s="1" t="s">
        <v>64</v>
      </c>
      <c r="N219" s="1" t="s">
        <v>65</v>
      </c>
      <c r="O219" s="1">
        <v>0</v>
      </c>
      <c r="P219" s="1">
        <v>5.25</v>
      </c>
      <c r="Q219" s="1">
        <v>5.25</v>
      </c>
      <c r="R219" s="1">
        <v>5.25</v>
      </c>
      <c r="S219" s="1" t="s">
        <v>685</v>
      </c>
    </row>
    <row r="220" spans="1:19" s="1" customFormat="1" x14ac:dyDescent="0.25">
      <c r="A220" s="1">
        <v>19586992</v>
      </c>
      <c r="B220" s="1" t="str">
        <f t="shared" si="7"/>
        <v>19586992OVR</v>
      </c>
      <c r="C220" s="1" t="s">
        <v>42</v>
      </c>
      <c r="D220" s="1" t="s">
        <v>521</v>
      </c>
      <c r="E220" s="1" t="str">
        <f t="shared" si="8"/>
        <v>DYZU3SOVR</v>
      </c>
      <c r="F220" s="1" t="s">
        <v>523</v>
      </c>
      <c r="G220" s="1" t="s">
        <v>524</v>
      </c>
      <c r="H220" t="str">
        <f t="shared" si="9"/>
        <v>LIZETTE RIVERA</v>
      </c>
      <c r="I220" s="1" t="s">
        <v>47</v>
      </c>
      <c r="J220" s="1" t="s">
        <v>49</v>
      </c>
      <c r="K220" s="2">
        <v>46143</v>
      </c>
      <c r="L220" s="1" t="s">
        <v>52</v>
      </c>
      <c r="M220" s="1" t="s">
        <v>64</v>
      </c>
      <c r="N220" s="1" t="s">
        <v>65</v>
      </c>
      <c r="O220" s="1">
        <v>0</v>
      </c>
      <c r="P220" s="1">
        <v>5.25</v>
      </c>
      <c r="Q220" s="1">
        <v>5.25</v>
      </c>
      <c r="R220" s="1">
        <v>5.25</v>
      </c>
      <c r="S220" s="1" t="s">
        <v>685</v>
      </c>
    </row>
    <row r="221" spans="1:19" s="1" customFormat="1" x14ac:dyDescent="0.25">
      <c r="A221" s="1">
        <v>2158366</v>
      </c>
      <c r="B221" s="1" t="str">
        <f t="shared" si="7"/>
        <v>2158366OVR</v>
      </c>
      <c r="C221" s="1" t="s">
        <v>107</v>
      </c>
      <c r="D221" s="1" t="s">
        <v>272</v>
      </c>
      <c r="E221" s="1" t="str">
        <f t="shared" si="8"/>
        <v>DZ34AROVR</v>
      </c>
      <c r="F221" s="1" t="s">
        <v>274</v>
      </c>
      <c r="G221" s="1" t="s">
        <v>275</v>
      </c>
      <c r="H221" t="str">
        <f t="shared" si="9"/>
        <v>GRAZYNA EWERT</v>
      </c>
      <c r="I221" s="1" t="s">
        <v>47</v>
      </c>
      <c r="J221" s="1" t="s">
        <v>74</v>
      </c>
      <c r="K221" s="2">
        <v>46143</v>
      </c>
      <c r="L221" s="1" t="s">
        <v>100</v>
      </c>
      <c r="M221" s="1" t="s">
        <v>64</v>
      </c>
      <c r="N221" s="1" t="s">
        <v>65</v>
      </c>
      <c r="O221" s="1">
        <v>0</v>
      </c>
      <c r="P221" s="1">
        <v>5.25</v>
      </c>
      <c r="Q221" s="1">
        <v>5.25</v>
      </c>
      <c r="R221" s="1">
        <v>5.25</v>
      </c>
      <c r="S221" s="1" t="s">
        <v>685</v>
      </c>
    </row>
    <row r="222" spans="1:19" s="1" customFormat="1" x14ac:dyDescent="0.25">
      <c r="A222" s="1">
        <v>19396223</v>
      </c>
      <c r="B222" s="1" t="str">
        <f t="shared" si="7"/>
        <v>19396223OVR</v>
      </c>
      <c r="C222" s="1" t="s">
        <v>266</v>
      </c>
      <c r="D222" s="1" t="s">
        <v>267</v>
      </c>
      <c r="E222" s="1" t="str">
        <f t="shared" si="8"/>
        <v>DZ4FFJOVR</v>
      </c>
      <c r="F222" s="1" t="s">
        <v>269</v>
      </c>
      <c r="G222" s="1" t="s">
        <v>270</v>
      </c>
      <c r="H222" t="str">
        <f t="shared" si="9"/>
        <v>SALVATORE ESPOSITO</v>
      </c>
      <c r="I222" s="1" t="s">
        <v>47</v>
      </c>
      <c r="J222" s="1" t="s">
        <v>74</v>
      </c>
      <c r="K222" s="2">
        <v>46143</v>
      </c>
      <c r="L222" s="1" t="s">
        <v>52</v>
      </c>
      <c r="M222" s="1" t="s">
        <v>64</v>
      </c>
      <c r="N222" s="1" t="s">
        <v>65</v>
      </c>
      <c r="O222" s="1">
        <v>0</v>
      </c>
      <c r="P222" s="1">
        <v>5.25</v>
      </c>
      <c r="Q222" s="1">
        <v>5.25</v>
      </c>
      <c r="R222" s="1">
        <v>5.25</v>
      </c>
      <c r="S222" s="1" t="s">
        <v>685</v>
      </c>
    </row>
    <row r="223" spans="1:19" s="1" customFormat="1" x14ac:dyDescent="0.25">
      <c r="A223" s="1">
        <v>20212926</v>
      </c>
      <c r="B223" s="1" t="str">
        <f t="shared" si="7"/>
        <v>20212926OVR</v>
      </c>
      <c r="C223" s="1" t="s">
        <v>94</v>
      </c>
      <c r="D223" s="1" t="s">
        <v>95</v>
      </c>
      <c r="E223" s="1" t="str">
        <f t="shared" si="8"/>
        <v>DZ6GWYOVR</v>
      </c>
      <c r="F223" s="1" t="s">
        <v>97</v>
      </c>
      <c r="G223" s="1" t="s">
        <v>98</v>
      </c>
      <c r="H223" t="str">
        <f t="shared" si="9"/>
        <v>MICHAEL BARNISH</v>
      </c>
      <c r="I223" s="1" t="s">
        <v>47</v>
      </c>
      <c r="J223" s="1" t="s">
        <v>74</v>
      </c>
      <c r="K223" s="2">
        <v>46143</v>
      </c>
      <c r="L223" s="1" t="s">
        <v>100</v>
      </c>
      <c r="M223" s="1" t="s">
        <v>64</v>
      </c>
      <c r="N223" s="1" t="s">
        <v>65</v>
      </c>
      <c r="O223" s="1">
        <v>0</v>
      </c>
      <c r="P223" s="1">
        <v>5.25</v>
      </c>
      <c r="Q223" s="1">
        <v>5.25</v>
      </c>
      <c r="R223" s="1">
        <v>5.25</v>
      </c>
      <c r="S223" s="1" t="s">
        <v>685</v>
      </c>
    </row>
    <row r="224" spans="1:19" s="1" customFormat="1" x14ac:dyDescent="0.25">
      <c r="A224" s="1">
        <v>2158366</v>
      </c>
      <c r="B224" s="1" t="str">
        <f t="shared" si="7"/>
        <v>2158366OVR</v>
      </c>
      <c r="C224" s="1" t="s">
        <v>107</v>
      </c>
      <c r="D224" s="1" t="s">
        <v>510</v>
      </c>
      <c r="E224" s="1" t="str">
        <f t="shared" si="8"/>
        <v>DZG38JOVR</v>
      </c>
      <c r="F224" s="1" t="s">
        <v>512</v>
      </c>
      <c r="G224" s="1" t="s">
        <v>513</v>
      </c>
      <c r="H224" t="str">
        <f t="shared" si="9"/>
        <v>GARY RICHTER</v>
      </c>
      <c r="I224" s="1" t="s">
        <v>47</v>
      </c>
      <c r="J224" s="1" t="s">
        <v>74</v>
      </c>
      <c r="K224" s="2">
        <v>46143</v>
      </c>
      <c r="L224" s="1" t="s">
        <v>52</v>
      </c>
      <c r="M224" s="1" t="s">
        <v>64</v>
      </c>
      <c r="N224" s="1" t="s">
        <v>65</v>
      </c>
      <c r="O224" s="1">
        <v>0</v>
      </c>
      <c r="P224" s="1">
        <v>5.25</v>
      </c>
      <c r="Q224" s="1">
        <v>5.25</v>
      </c>
      <c r="R224" s="1">
        <v>5.25</v>
      </c>
      <c r="S224" s="1" t="s">
        <v>685</v>
      </c>
    </row>
    <row r="225" spans="1:19" s="1" customFormat="1" x14ac:dyDescent="0.25">
      <c r="A225" s="1">
        <v>17126004</v>
      </c>
      <c r="B225" s="1" t="str">
        <f t="shared" si="7"/>
        <v>17126004OVR</v>
      </c>
      <c r="C225" s="1" t="s">
        <v>155</v>
      </c>
      <c r="D225" s="1" t="s">
        <v>440</v>
      </c>
      <c r="E225" s="1" t="str">
        <f t="shared" si="8"/>
        <v>DZZH46OVR</v>
      </c>
      <c r="F225" s="1" t="s">
        <v>442</v>
      </c>
      <c r="G225" s="1" t="s">
        <v>443</v>
      </c>
      <c r="H225" t="str">
        <f t="shared" si="9"/>
        <v>SHERRY MIKOLICS</v>
      </c>
      <c r="I225" s="1" t="s">
        <v>126</v>
      </c>
      <c r="J225" s="1" t="s">
        <v>222</v>
      </c>
      <c r="K225" s="2">
        <v>46143</v>
      </c>
      <c r="L225" s="1" t="s">
        <v>52</v>
      </c>
      <c r="M225" s="1" t="s">
        <v>64</v>
      </c>
      <c r="N225" s="1" t="s">
        <v>65</v>
      </c>
      <c r="O225" s="1">
        <v>0</v>
      </c>
      <c r="P225" s="1">
        <v>5.25</v>
      </c>
      <c r="Q225" s="1">
        <v>5.25</v>
      </c>
      <c r="R225" s="1">
        <v>5.25</v>
      </c>
      <c r="S225" s="1" t="s">
        <v>685</v>
      </c>
    </row>
    <row r="226" spans="1:19" s="1" customFormat="1" x14ac:dyDescent="0.25">
      <c r="A226" s="1">
        <v>8814784</v>
      </c>
      <c r="B226" s="1" t="str">
        <f t="shared" si="7"/>
        <v>8814784OVR</v>
      </c>
      <c r="C226" s="1" t="s">
        <v>178</v>
      </c>
      <c r="D226" s="1" t="s">
        <v>372</v>
      </c>
      <c r="E226" s="1" t="str">
        <f t="shared" si="8"/>
        <v>D25HA7OVR</v>
      </c>
      <c r="F226" s="1" t="s">
        <v>374</v>
      </c>
      <c r="G226" s="1" t="s">
        <v>375</v>
      </c>
      <c r="H226" t="str">
        <f t="shared" si="9"/>
        <v>RICHARD KULIK</v>
      </c>
      <c r="I226" s="1" t="s">
        <v>47</v>
      </c>
      <c r="J226" s="1" t="s">
        <v>74</v>
      </c>
      <c r="K226" s="2">
        <v>46143</v>
      </c>
      <c r="L226" s="1" t="s">
        <v>85</v>
      </c>
      <c r="M226" s="1" t="s">
        <v>64</v>
      </c>
      <c r="N226" s="1" t="s">
        <v>65</v>
      </c>
      <c r="O226" s="1">
        <v>0</v>
      </c>
      <c r="P226" s="1">
        <v>8.75</v>
      </c>
      <c r="Q226" s="1">
        <v>8.75</v>
      </c>
      <c r="R226" s="1">
        <v>8.75</v>
      </c>
      <c r="S226" s="1" t="s">
        <v>685</v>
      </c>
    </row>
    <row r="227" spans="1:19" s="1" customFormat="1" x14ac:dyDescent="0.25">
      <c r="A227" s="1">
        <v>19586992</v>
      </c>
      <c r="B227" s="1" t="str">
        <f t="shared" si="7"/>
        <v>19586992OVR</v>
      </c>
      <c r="C227" s="1" t="s">
        <v>42</v>
      </c>
      <c r="D227" s="1" t="s">
        <v>134</v>
      </c>
      <c r="E227" s="1" t="str">
        <f t="shared" si="8"/>
        <v>D2E9C8OVR</v>
      </c>
      <c r="F227" s="1" t="s">
        <v>136</v>
      </c>
      <c r="G227" s="1" t="s">
        <v>133</v>
      </c>
      <c r="H227" t="str">
        <f t="shared" si="9"/>
        <v>WALTER BECKMAN</v>
      </c>
      <c r="I227" s="1" t="s">
        <v>47</v>
      </c>
      <c r="J227" s="1" t="s">
        <v>74</v>
      </c>
      <c r="K227" s="2">
        <v>46143</v>
      </c>
      <c r="L227" s="1" t="s">
        <v>100</v>
      </c>
      <c r="M227" s="1" t="s">
        <v>64</v>
      </c>
      <c r="N227" s="1" t="s">
        <v>65</v>
      </c>
      <c r="O227" s="1">
        <v>0</v>
      </c>
      <c r="P227" s="1">
        <v>8.75</v>
      </c>
      <c r="Q227" s="1">
        <v>8.75</v>
      </c>
      <c r="R227" s="1">
        <v>8.75</v>
      </c>
      <c r="S227" s="1" t="s">
        <v>685</v>
      </c>
    </row>
    <row r="228" spans="1:19" s="1" customFormat="1" x14ac:dyDescent="0.25">
      <c r="A228" s="1">
        <v>2158366</v>
      </c>
      <c r="B228" s="1" t="str">
        <f t="shared" si="7"/>
        <v>2158366OVR</v>
      </c>
      <c r="C228" s="1" t="s">
        <v>107</v>
      </c>
      <c r="D228" s="1" t="s">
        <v>108</v>
      </c>
      <c r="E228" s="1" t="str">
        <f t="shared" si="8"/>
        <v>D2KZUROVR</v>
      </c>
      <c r="F228" s="1" t="s">
        <v>110</v>
      </c>
      <c r="G228" s="1" t="s">
        <v>111</v>
      </c>
      <c r="H228" t="str">
        <f t="shared" si="9"/>
        <v>MARY BARR</v>
      </c>
      <c r="I228" s="1" t="s">
        <v>47</v>
      </c>
      <c r="J228" s="1" t="s">
        <v>74</v>
      </c>
      <c r="K228" s="2">
        <v>46143</v>
      </c>
      <c r="L228" s="1" t="s">
        <v>85</v>
      </c>
      <c r="M228" s="1" t="s">
        <v>64</v>
      </c>
      <c r="N228" s="1" t="s">
        <v>65</v>
      </c>
      <c r="O228" s="1">
        <v>0</v>
      </c>
      <c r="P228" s="1">
        <v>8.75</v>
      </c>
      <c r="Q228" s="1">
        <v>8.75</v>
      </c>
      <c r="R228" s="1">
        <v>8.75</v>
      </c>
      <c r="S228" s="1" t="s">
        <v>685</v>
      </c>
    </row>
    <row r="229" spans="1:19" s="1" customFormat="1" x14ac:dyDescent="0.25">
      <c r="A229" s="1">
        <v>17301495</v>
      </c>
      <c r="B229" s="1" t="str">
        <f t="shared" si="7"/>
        <v>17301495OVR</v>
      </c>
      <c r="C229" s="1" t="s">
        <v>56</v>
      </c>
      <c r="D229" s="1" t="s">
        <v>445</v>
      </c>
      <c r="E229" s="1" t="str">
        <f t="shared" si="8"/>
        <v>D2UZFAOVR</v>
      </c>
      <c r="F229" s="1" t="s">
        <v>447</v>
      </c>
      <c r="G229" s="1" t="s">
        <v>448</v>
      </c>
      <c r="H229" t="str">
        <f t="shared" si="9"/>
        <v>ABELARDO MONARREZ</v>
      </c>
      <c r="I229" s="1" t="s">
        <v>47</v>
      </c>
      <c r="J229" s="1" t="s">
        <v>222</v>
      </c>
      <c r="K229" s="2">
        <v>46143</v>
      </c>
      <c r="L229" s="1" t="s">
        <v>52</v>
      </c>
      <c r="M229" s="1" t="s">
        <v>64</v>
      </c>
      <c r="N229" s="1" t="s">
        <v>65</v>
      </c>
      <c r="O229" s="1">
        <v>0</v>
      </c>
      <c r="P229" s="1">
        <v>8.75</v>
      </c>
      <c r="Q229" s="1">
        <v>8.75</v>
      </c>
      <c r="R229" s="1">
        <v>8.75</v>
      </c>
      <c r="S229" s="1" t="s">
        <v>685</v>
      </c>
    </row>
    <row r="230" spans="1:19" s="1" customFormat="1" x14ac:dyDescent="0.25">
      <c r="A230" s="1">
        <v>2158366</v>
      </c>
      <c r="B230" s="1" t="str">
        <f t="shared" si="7"/>
        <v>2158366OVR</v>
      </c>
      <c r="C230" s="1" t="s">
        <v>107</v>
      </c>
      <c r="D230" s="1" t="s">
        <v>581</v>
      </c>
      <c r="E230" s="1" t="str">
        <f t="shared" si="8"/>
        <v>D33HEGOVR</v>
      </c>
      <c r="F230" s="1" t="s">
        <v>247</v>
      </c>
      <c r="G230" s="1" t="s">
        <v>583</v>
      </c>
      <c r="H230" t="str">
        <f t="shared" si="9"/>
        <v>SUSAN SORENSON</v>
      </c>
      <c r="I230" s="1" t="s">
        <v>47</v>
      </c>
      <c r="J230" s="1" t="s">
        <v>222</v>
      </c>
      <c r="K230" s="2">
        <v>46143</v>
      </c>
      <c r="L230" s="1" t="s">
        <v>52</v>
      </c>
      <c r="M230" s="1" t="s">
        <v>64</v>
      </c>
      <c r="N230" s="1" t="s">
        <v>65</v>
      </c>
      <c r="O230" s="1">
        <v>0</v>
      </c>
      <c r="P230" s="1">
        <v>8.75</v>
      </c>
      <c r="Q230" s="1">
        <v>8.75</v>
      </c>
      <c r="R230" s="1">
        <v>8.75</v>
      </c>
      <c r="S230" s="1" t="s">
        <v>685</v>
      </c>
    </row>
    <row r="231" spans="1:19" s="1" customFormat="1" x14ac:dyDescent="0.25">
      <c r="A231" s="1">
        <v>7470776</v>
      </c>
      <c r="B231" s="1" t="str">
        <f t="shared" si="7"/>
        <v>7470776OVR</v>
      </c>
      <c r="C231" s="1" t="s">
        <v>208</v>
      </c>
      <c r="D231" s="1" t="s">
        <v>291</v>
      </c>
      <c r="E231" s="1" t="str">
        <f t="shared" si="8"/>
        <v>D3EH29OVR</v>
      </c>
      <c r="F231" s="1" t="s">
        <v>293</v>
      </c>
      <c r="G231" s="1" t="s">
        <v>294</v>
      </c>
      <c r="H231" t="str">
        <f t="shared" si="9"/>
        <v>JEFFERY FORSBERG</v>
      </c>
      <c r="I231" s="1" t="s">
        <v>295</v>
      </c>
      <c r="J231" s="1" t="s">
        <v>128</v>
      </c>
      <c r="K231" s="2">
        <v>46143</v>
      </c>
      <c r="L231" s="1" t="s">
        <v>52</v>
      </c>
      <c r="M231" s="1" t="s">
        <v>64</v>
      </c>
      <c r="N231" s="1" t="s">
        <v>65</v>
      </c>
      <c r="O231" s="1">
        <v>0</v>
      </c>
      <c r="P231" s="1">
        <v>8.75</v>
      </c>
      <c r="Q231" s="1">
        <v>8.75</v>
      </c>
      <c r="R231" s="1">
        <v>8.75</v>
      </c>
      <c r="S231" s="1" t="s">
        <v>685</v>
      </c>
    </row>
    <row r="232" spans="1:19" s="1" customFormat="1" x14ac:dyDescent="0.25">
      <c r="A232" s="1">
        <v>7470776</v>
      </c>
      <c r="B232" s="1" t="str">
        <f t="shared" si="7"/>
        <v>7470776OVR</v>
      </c>
      <c r="C232" s="1" t="s">
        <v>208</v>
      </c>
      <c r="D232" s="1" t="s">
        <v>209</v>
      </c>
      <c r="E232" s="1" t="str">
        <f t="shared" si="8"/>
        <v>D3FYF5OVR</v>
      </c>
      <c r="F232" s="1" t="s">
        <v>211</v>
      </c>
      <c r="G232" s="1" t="s">
        <v>212</v>
      </c>
      <c r="H232" t="str">
        <f t="shared" si="9"/>
        <v>MARTA CULLEN</v>
      </c>
      <c r="I232" s="1" t="s">
        <v>47</v>
      </c>
      <c r="J232" s="1" t="s">
        <v>74</v>
      </c>
      <c r="K232" s="2">
        <v>46143</v>
      </c>
      <c r="L232" s="1" t="s">
        <v>52</v>
      </c>
      <c r="M232" s="1" t="s">
        <v>64</v>
      </c>
      <c r="N232" s="1" t="s">
        <v>65</v>
      </c>
      <c r="O232" s="1">
        <v>0</v>
      </c>
      <c r="P232" s="1">
        <v>8.75</v>
      </c>
      <c r="Q232" s="1">
        <v>8.75</v>
      </c>
      <c r="R232" s="1">
        <v>8.75</v>
      </c>
      <c r="S232" s="1" t="s">
        <v>685</v>
      </c>
    </row>
    <row r="233" spans="1:19" s="1" customFormat="1" x14ac:dyDescent="0.25">
      <c r="A233" s="1">
        <v>19615078</v>
      </c>
      <c r="B233" s="1" t="str">
        <f t="shared" si="7"/>
        <v>19615078OVR</v>
      </c>
      <c r="C233" s="1" t="s">
        <v>503</v>
      </c>
      <c r="D233" s="1" t="s">
        <v>504</v>
      </c>
      <c r="E233" s="1" t="str">
        <f t="shared" si="8"/>
        <v>D3GA7ZOVR</v>
      </c>
      <c r="F233" s="1" t="s">
        <v>506</v>
      </c>
      <c r="G233" s="1" t="s">
        <v>507</v>
      </c>
      <c r="H233" t="str">
        <f t="shared" si="9"/>
        <v>ANN REISEL</v>
      </c>
      <c r="I233" s="1" t="s">
        <v>47</v>
      </c>
      <c r="J233" s="1" t="s">
        <v>509</v>
      </c>
      <c r="K233" s="2">
        <v>46143</v>
      </c>
      <c r="L233" s="1" t="s">
        <v>85</v>
      </c>
      <c r="M233" s="1" t="s">
        <v>64</v>
      </c>
      <c r="N233" s="1" t="s">
        <v>65</v>
      </c>
      <c r="O233" s="1">
        <v>0</v>
      </c>
      <c r="P233" s="1">
        <v>8.75</v>
      </c>
      <c r="Q233" s="1">
        <v>8.75</v>
      </c>
      <c r="R233" s="1">
        <v>8.75</v>
      </c>
      <c r="S233" s="1" t="s">
        <v>685</v>
      </c>
    </row>
    <row r="234" spans="1:19" s="1" customFormat="1" x14ac:dyDescent="0.25">
      <c r="A234" s="1">
        <v>21435997</v>
      </c>
      <c r="B234" s="1" t="str">
        <f t="shared" si="7"/>
        <v>21435997OVR</v>
      </c>
      <c r="C234" s="1" t="s">
        <v>366</v>
      </c>
      <c r="D234" s="1" t="s">
        <v>367</v>
      </c>
      <c r="E234" s="1" t="str">
        <f t="shared" si="8"/>
        <v>D3KYC8OVR</v>
      </c>
      <c r="F234" s="1" t="s">
        <v>369</v>
      </c>
      <c r="G234" s="1" t="s">
        <v>370</v>
      </c>
      <c r="H234" t="str">
        <f t="shared" si="9"/>
        <v>PAUL KINGMAN</v>
      </c>
      <c r="I234" s="1" t="s">
        <v>72</v>
      </c>
      <c r="J234" s="1" t="s">
        <v>121</v>
      </c>
      <c r="K234" s="2">
        <v>46143</v>
      </c>
      <c r="L234" s="1" t="s">
        <v>85</v>
      </c>
      <c r="M234" s="1" t="s">
        <v>64</v>
      </c>
      <c r="N234" s="1" t="s">
        <v>65</v>
      </c>
      <c r="O234" s="1">
        <v>0</v>
      </c>
      <c r="P234" s="1">
        <v>8.75</v>
      </c>
      <c r="Q234" s="1">
        <v>8.75</v>
      </c>
      <c r="R234" s="1">
        <v>8.75</v>
      </c>
      <c r="S234" s="1" t="s">
        <v>685</v>
      </c>
    </row>
    <row r="235" spans="1:19" s="1" customFormat="1" x14ac:dyDescent="0.25">
      <c r="A235" s="1">
        <v>19586992</v>
      </c>
      <c r="B235" s="1" t="str">
        <f t="shared" si="7"/>
        <v>19586992OVR</v>
      </c>
      <c r="C235" s="1" t="s">
        <v>42</v>
      </c>
      <c r="D235" s="1" t="s">
        <v>282</v>
      </c>
      <c r="E235" s="1" t="str">
        <f t="shared" si="8"/>
        <v>D3W8UJOVR</v>
      </c>
      <c r="F235" s="1" t="s">
        <v>284</v>
      </c>
      <c r="G235" s="1" t="s">
        <v>285</v>
      </c>
      <c r="H235" t="str">
        <f t="shared" si="9"/>
        <v>SALLY FERMAINT</v>
      </c>
      <c r="I235" s="1" t="s">
        <v>47</v>
      </c>
      <c r="J235" s="1" t="s">
        <v>74</v>
      </c>
      <c r="K235" s="2">
        <v>46143</v>
      </c>
      <c r="L235" s="1" t="s">
        <v>52</v>
      </c>
      <c r="M235" s="1" t="s">
        <v>64</v>
      </c>
      <c r="N235" s="1" t="s">
        <v>65</v>
      </c>
      <c r="O235" s="1">
        <v>0</v>
      </c>
      <c r="P235" s="1">
        <v>8.75</v>
      </c>
      <c r="Q235" s="1">
        <v>8.75</v>
      </c>
      <c r="R235" s="1">
        <v>8.75</v>
      </c>
      <c r="S235" s="1" t="s">
        <v>685</v>
      </c>
    </row>
    <row r="236" spans="1:19" s="1" customFormat="1" x14ac:dyDescent="0.25">
      <c r="A236" s="1">
        <v>7146581</v>
      </c>
      <c r="B236" s="1" t="str">
        <f t="shared" si="7"/>
        <v>7146581OVR</v>
      </c>
      <c r="C236" s="1" t="s">
        <v>87</v>
      </c>
      <c r="D236" s="1" t="s">
        <v>641</v>
      </c>
      <c r="E236" s="1" t="str">
        <f t="shared" si="8"/>
        <v>D3YF2SOVR</v>
      </c>
      <c r="F236" s="1" t="s">
        <v>643</v>
      </c>
      <c r="G236" s="1" t="s">
        <v>644</v>
      </c>
      <c r="H236" t="str">
        <f t="shared" si="9"/>
        <v>PAMM WILCOX</v>
      </c>
      <c r="I236" s="1" t="s">
        <v>47</v>
      </c>
      <c r="J236" s="1" t="s">
        <v>74</v>
      </c>
      <c r="K236" s="2">
        <v>46143</v>
      </c>
      <c r="L236" s="1" t="s">
        <v>52</v>
      </c>
      <c r="M236" s="1" t="s">
        <v>64</v>
      </c>
      <c r="N236" s="1" t="s">
        <v>65</v>
      </c>
      <c r="O236" s="1">
        <v>0</v>
      </c>
      <c r="P236" s="1">
        <v>8.75</v>
      </c>
      <c r="Q236" s="1">
        <v>8.75</v>
      </c>
      <c r="R236" s="1">
        <v>8.75</v>
      </c>
      <c r="S236" s="1" t="s">
        <v>685</v>
      </c>
    </row>
    <row r="237" spans="1:19" s="1" customFormat="1" x14ac:dyDescent="0.25">
      <c r="A237" s="1">
        <v>17301495</v>
      </c>
      <c r="B237" s="1" t="str">
        <f t="shared" si="7"/>
        <v>17301495OVR</v>
      </c>
      <c r="C237" s="1" t="s">
        <v>56</v>
      </c>
      <c r="D237" s="1" t="s">
        <v>57</v>
      </c>
      <c r="E237" s="1" t="str">
        <f t="shared" si="8"/>
        <v>D3ZZRKOVR</v>
      </c>
      <c r="F237" s="1" t="s">
        <v>59</v>
      </c>
      <c r="G237" s="1" t="s">
        <v>60</v>
      </c>
      <c r="H237" t="str">
        <f t="shared" si="9"/>
        <v>MARCO ALVAREZ PEREZ</v>
      </c>
      <c r="I237" s="1" t="s">
        <v>47</v>
      </c>
      <c r="J237" s="1" t="s">
        <v>62</v>
      </c>
      <c r="K237" s="2">
        <v>46143</v>
      </c>
      <c r="L237" s="1" t="s">
        <v>52</v>
      </c>
      <c r="M237" s="1" t="s">
        <v>64</v>
      </c>
      <c r="N237" s="1" t="s">
        <v>65</v>
      </c>
      <c r="O237" s="1">
        <v>0</v>
      </c>
      <c r="P237" s="1">
        <v>8.75</v>
      </c>
      <c r="Q237" s="1">
        <v>8.75</v>
      </c>
      <c r="R237" s="1">
        <v>8.75</v>
      </c>
      <c r="S237" s="1" t="s">
        <v>685</v>
      </c>
    </row>
    <row r="238" spans="1:19" s="1" customFormat="1" x14ac:dyDescent="0.25">
      <c r="A238" s="1">
        <v>17126004</v>
      </c>
      <c r="B238" s="1" t="str">
        <f t="shared" si="7"/>
        <v>17126004OVR</v>
      </c>
      <c r="C238" s="1" t="s">
        <v>155</v>
      </c>
      <c r="D238" s="1" t="s">
        <v>649</v>
      </c>
      <c r="E238" s="1" t="str">
        <f t="shared" si="8"/>
        <v>D48HWROVR</v>
      </c>
      <c r="F238" s="1" t="s">
        <v>651</v>
      </c>
      <c r="G238" s="1" t="s">
        <v>652</v>
      </c>
      <c r="H238" t="str">
        <f t="shared" si="9"/>
        <v>HAROLD WIRTZ</v>
      </c>
      <c r="I238" s="1" t="s">
        <v>126</v>
      </c>
      <c r="J238" s="1" t="s">
        <v>74</v>
      </c>
      <c r="K238" s="2">
        <v>46143</v>
      </c>
      <c r="L238" s="1" t="s">
        <v>52</v>
      </c>
      <c r="M238" s="1" t="s">
        <v>64</v>
      </c>
      <c r="N238" s="1" t="s">
        <v>65</v>
      </c>
      <c r="O238" s="1">
        <v>0</v>
      </c>
      <c r="P238" s="1">
        <v>8.75</v>
      </c>
      <c r="Q238" s="1">
        <v>8.75</v>
      </c>
      <c r="R238" s="1">
        <v>8.75</v>
      </c>
      <c r="S238" s="1" t="s">
        <v>685</v>
      </c>
    </row>
    <row r="239" spans="1:19" s="1" customFormat="1" x14ac:dyDescent="0.25">
      <c r="A239" s="1">
        <v>18754354</v>
      </c>
      <c r="B239" s="1" t="str">
        <f t="shared" si="7"/>
        <v>18754354OVR</v>
      </c>
      <c r="C239" s="1" t="s">
        <v>390</v>
      </c>
      <c r="D239" s="1" t="s">
        <v>391</v>
      </c>
      <c r="E239" s="1" t="str">
        <f t="shared" si="8"/>
        <v>D4AC9KOVR</v>
      </c>
      <c r="F239" s="1" t="s">
        <v>393</v>
      </c>
      <c r="G239" s="1" t="s">
        <v>394</v>
      </c>
      <c r="H239" t="str">
        <f t="shared" si="9"/>
        <v>WILLIAM LUDWIG III</v>
      </c>
      <c r="I239" s="1" t="s">
        <v>47</v>
      </c>
      <c r="J239" s="1" t="s">
        <v>364</v>
      </c>
      <c r="K239" s="2">
        <v>46143</v>
      </c>
      <c r="L239" s="1" t="s">
        <v>100</v>
      </c>
      <c r="M239" s="1" t="s">
        <v>64</v>
      </c>
      <c r="N239" s="1" t="s">
        <v>65</v>
      </c>
      <c r="O239" s="1">
        <v>0</v>
      </c>
      <c r="P239" s="1">
        <v>8.75</v>
      </c>
      <c r="Q239" s="1">
        <v>8.75</v>
      </c>
      <c r="R239" s="1">
        <v>8.75</v>
      </c>
      <c r="S239" s="1" t="s">
        <v>685</v>
      </c>
    </row>
    <row r="240" spans="1:19" s="1" customFormat="1" x14ac:dyDescent="0.25">
      <c r="A240" s="1">
        <v>19200754</v>
      </c>
      <c r="B240" s="1" t="str">
        <f t="shared" si="7"/>
        <v>19200754OVR</v>
      </c>
      <c r="C240" s="1" t="s">
        <v>138</v>
      </c>
      <c r="D240" s="1" t="s">
        <v>139</v>
      </c>
      <c r="E240" s="1" t="str">
        <f t="shared" si="8"/>
        <v>D4EE5HOVR</v>
      </c>
      <c r="F240" s="1" t="s">
        <v>141</v>
      </c>
      <c r="G240" s="1" t="s">
        <v>142</v>
      </c>
      <c r="H240" t="str">
        <f t="shared" si="9"/>
        <v>SAMUEL BOOK</v>
      </c>
      <c r="I240" s="1" t="s">
        <v>47</v>
      </c>
      <c r="J240" s="1" t="s">
        <v>74</v>
      </c>
      <c r="K240" s="2">
        <v>46143</v>
      </c>
      <c r="L240" s="1" t="s">
        <v>52</v>
      </c>
      <c r="M240" s="1" t="s">
        <v>64</v>
      </c>
      <c r="N240" s="1" t="s">
        <v>65</v>
      </c>
      <c r="O240" s="1">
        <v>0</v>
      </c>
      <c r="P240" s="1">
        <v>8.75</v>
      </c>
      <c r="Q240" s="1">
        <v>8.75</v>
      </c>
      <c r="R240" s="1">
        <v>8.75</v>
      </c>
      <c r="S240" s="1" t="s">
        <v>685</v>
      </c>
    </row>
    <row r="241" spans="1:19" s="1" customFormat="1" x14ac:dyDescent="0.25">
      <c r="A241" s="1">
        <v>2158366</v>
      </c>
      <c r="B241" s="1" t="str">
        <f t="shared" si="7"/>
        <v>2158366OVR</v>
      </c>
      <c r="C241" s="1" t="s">
        <v>107</v>
      </c>
      <c r="D241" s="1" t="s">
        <v>328</v>
      </c>
      <c r="E241" s="1" t="str">
        <f t="shared" si="8"/>
        <v>D4HE9GOVR</v>
      </c>
      <c r="F241" s="1" t="s">
        <v>330</v>
      </c>
      <c r="G241" s="1" t="s">
        <v>331</v>
      </c>
      <c r="H241" t="str">
        <f t="shared" si="9"/>
        <v>STEVEN HEY</v>
      </c>
      <c r="I241" s="1" t="s">
        <v>47</v>
      </c>
      <c r="J241" s="1" t="s">
        <v>74</v>
      </c>
      <c r="K241" s="2">
        <v>46143</v>
      </c>
      <c r="L241" s="1" t="s">
        <v>52</v>
      </c>
      <c r="M241" s="1" t="s">
        <v>64</v>
      </c>
      <c r="N241" s="1" t="s">
        <v>65</v>
      </c>
      <c r="O241" s="1">
        <v>0</v>
      </c>
      <c r="P241" s="1">
        <v>8.75</v>
      </c>
      <c r="Q241" s="1">
        <v>8.75</v>
      </c>
      <c r="R241" s="1">
        <v>8.75</v>
      </c>
      <c r="S241" s="1" t="s">
        <v>685</v>
      </c>
    </row>
    <row r="242" spans="1:19" s="1" customFormat="1" x14ac:dyDescent="0.25">
      <c r="A242" s="1">
        <v>8814784</v>
      </c>
      <c r="B242" s="1" t="str">
        <f t="shared" si="7"/>
        <v>8814784OVR</v>
      </c>
      <c r="C242" s="1" t="s">
        <v>178</v>
      </c>
      <c r="D242" s="1" t="s">
        <v>179</v>
      </c>
      <c r="E242" s="1" t="str">
        <f t="shared" si="8"/>
        <v>D4SJK4OVR</v>
      </c>
      <c r="F242" s="1" t="s">
        <v>181</v>
      </c>
      <c r="G242" s="1" t="s">
        <v>182</v>
      </c>
      <c r="H242" t="str">
        <f t="shared" si="9"/>
        <v>KAREN CHAREWICZ</v>
      </c>
      <c r="I242" s="1" t="s">
        <v>47</v>
      </c>
      <c r="J242" s="1" t="s">
        <v>74</v>
      </c>
      <c r="K242" s="2">
        <v>46143</v>
      </c>
      <c r="L242" s="1" t="s">
        <v>100</v>
      </c>
      <c r="M242" s="1" t="s">
        <v>64</v>
      </c>
      <c r="N242" s="1" t="s">
        <v>65</v>
      </c>
      <c r="O242" s="1">
        <v>0</v>
      </c>
      <c r="P242" s="1">
        <v>8.75</v>
      </c>
      <c r="Q242" s="1">
        <v>8.75</v>
      </c>
      <c r="R242" s="1">
        <v>8.75</v>
      </c>
      <c r="S242" s="1" t="s">
        <v>685</v>
      </c>
    </row>
    <row r="243" spans="1:19" s="1" customFormat="1" x14ac:dyDescent="0.25">
      <c r="A243" s="1">
        <v>9213293</v>
      </c>
      <c r="B243" s="1" t="str">
        <f t="shared" si="7"/>
        <v>9213293OVR</v>
      </c>
      <c r="C243" s="1" t="s">
        <v>162</v>
      </c>
      <c r="D243" s="1" t="s">
        <v>563</v>
      </c>
      <c r="E243" s="1" t="str">
        <f t="shared" si="8"/>
        <v>D4YY48OVR</v>
      </c>
      <c r="F243" s="1" t="s">
        <v>565</v>
      </c>
      <c r="G243" s="1" t="s">
        <v>561</v>
      </c>
      <c r="H243" t="str">
        <f t="shared" si="9"/>
        <v>JILL SCHMIDT</v>
      </c>
      <c r="I243" s="1" t="s">
        <v>81</v>
      </c>
      <c r="J243" s="1" t="s">
        <v>49</v>
      </c>
      <c r="K243" s="2">
        <v>46143</v>
      </c>
      <c r="L243" s="1" t="s">
        <v>52</v>
      </c>
      <c r="M243" s="1" t="s">
        <v>64</v>
      </c>
      <c r="N243" s="1" t="s">
        <v>65</v>
      </c>
      <c r="O243" s="1">
        <v>0</v>
      </c>
      <c r="P243" s="1">
        <v>8.75</v>
      </c>
      <c r="Q243" s="1">
        <v>8.75</v>
      </c>
      <c r="R243" s="1">
        <v>8.75</v>
      </c>
      <c r="S243" s="1" t="s">
        <v>685</v>
      </c>
    </row>
    <row r="244" spans="1:19" s="1" customFormat="1" x14ac:dyDescent="0.25">
      <c r="A244" s="1">
        <v>19200754</v>
      </c>
      <c r="B244" s="1" t="str">
        <f t="shared" si="7"/>
        <v>19200754OVR</v>
      </c>
      <c r="C244" s="1" t="s">
        <v>138</v>
      </c>
      <c r="D244" s="1" t="s">
        <v>473</v>
      </c>
      <c r="E244" s="1" t="str">
        <f t="shared" si="8"/>
        <v>D538HSOVR</v>
      </c>
      <c r="F244" s="1" t="s">
        <v>103</v>
      </c>
      <c r="G244" s="1" t="s">
        <v>369</v>
      </c>
      <c r="H244" t="str">
        <f t="shared" si="9"/>
        <v>JOHN PAUL</v>
      </c>
      <c r="I244" s="1" t="s">
        <v>47</v>
      </c>
      <c r="J244" s="1" t="s">
        <v>364</v>
      </c>
      <c r="K244" s="2">
        <v>46143</v>
      </c>
      <c r="L244" s="1" t="s">
        <v>85</v>
      </c>
      <c r="M244" s="1" t="s">
        <v>64</v>
      </c>
      <c r="N244" s="1" t="s">
        <v>65</v>
      </c>
      <c r="O244" s="1">
        <v>0</v>
      </c>
      <c r="P244" s="1">
        <v>8.75</v>
      </c>
      <c r="Q244" s="1">
        <v>8.75</v>
      </c>
      <c r="R244" s="1">
        <v>8.75</v>
      </c>
      <c r="S244" s="1" t="s">
        <v>685</v>
      </c>
    </row>
    <row r="245" spans="1:19" s="1" customFormat="1" x14ac:dyDescent="0.25">
      <c r="A245" s="1">
        <v>19481808</v>
      </c>
      <c r="B245" s="1" t="str">
        <f t="shared" si="7"/>
        <v>19481808OVR</v>
      </c>
      <c r="C245" s="1" t="s">
        <v>409</v>
      </c>
      <c r="D245" s="1" t="s">
        <v>410</v>
      </c>
      <c r="E245" s="1" t="str">
        <f t="shared" si="8"/>
        <v>D56WZZOVR</v>
      </c>
      <c r="F245" s="1" t="s">
        <v>412</v>
      </c>
      <c r="G245" s="1" t="s">
        <v>413</v>
      </c>
      <c r="H245" t="str">
        <f t="shared" si="9"/>
        <v>JOSEPHINE MANZELLA</v>
      </c>
      <c r="I245" s="1" t="s">
        <v>47</v>
      </c>
      <c r="J245" s="1" t="s">
        <v>74</v>
      </c>
      <c r="K245" s="2">
        <v>46143</v>
      </c>
      <c r="L245" s="1" t="s">
        <v>52</v>
      </c>
      <c r="M245" s="1" t="s">
        <v>64</v>
      </c>
      <c r="N245" s="1" t="s">
        <v>65</v>
      </c>
      <c r="O245" s="1">
        <v>0</v>
      </c>
      <c r="P245" s="1">
        <v>8.75</v>
      </c>
      <c r="Q245" s="1">
        <v>8.75</v>
      </c>
      <c r="R245" s="1">
        <v>8.75</v>
      </c>
      <c r="S245" s="1" t="s">
        <v>685</v>
      </c>
    </row>
    <row r="246" spans="1:19" s="1" customFormat="1" x14ac:dyDescent="0.25">
      <c r="A246" s="1">
        <v>17126004</v>
      </c>
      <c r="B246" s="1" t="str">
        <f t="shared" ref="B246:B309" si="10">_xlfn.CONCAT(A246,"OVR")</f>
        <v>17126004OVR</v>
      </c>
      <c r="C246" s="1" t="s">
        <v>155</v>
      </c>
      <c r="D246" s="1" t="s">
        <v>468</v>
      </c>
      <c r="E246" s="1" t="str">
        <f t="shared" ref="E246:E309" si="11">CONCATENATE(D246,"OVR")</f>
        <v>D5E4KJOVR</v>
      </c>
      <c r="F246" s="1" t="s">
        <v>470</v>
      </c>
      <c r="G246" s="1" t="s">
        <v>471</v>
      </c>
      <c r="H246" t="str">
        <f t="shared" si="9"/>
        <v>REBECCA NORTON</v>
      </c>
      <c r="I246" s="1" t="s">
        <v>47</v>
      </c>
      <c r="J246" s="1" t="s">
        <v>222</v>
      </c>
      <c r="K246" s="2">
        <v>46143</v>
      </c>
      <c r="L246" s="1" t="s">
        <v>52</v>
      </c>
      <c r="M246" s="1" t="s">
        <v>64</v>
      </c>
      <c r="N246" s="1" t="s">
        <v>65</v>
      </c>
      <c r="O246" s="1">
        <v>0</v>
      </c>
      <c r="P246" s="1">
        <v>8.75</v>
      </c>
      <c r="Q246" s="1">
        <v>8.75</v>
      </c>
      <c r="R246" s="1">
        <v>8.75</v>
      </c>
      <c r="S246" s="1" t="s">
        <v>685</v>
      </c>
    </row>
    <row r="247" spans="1:19" s="1" customFormat="1" x14ac:dyDescent="0.25">
      <c r="A247" s="1">
        <v>19681796</v>
      </c>
      <c r="B247" s="1" t="str">
        <f t="shared" si="10"/>
        <v>19681796OVR</v>
      </c>
      <c r="C247" s="1" t="s">
        <v>576</v>
      </c>
      <c r="D247" s="1" t="s">
        <v>577</v>
      </c>
      <c r="E247" s="1" t="str">
        <f t="shared" si="11"/>
        <v>D5HG7UOVR</v>
      </c>
      <c r="F247" s="1" t="s">
        <v>579</v>
      </c>
      <c r="G247" s="1" t="s">
        <v>580</v>
      </c>
      <c r="H247" t="str">
        <f t="shared" si="9"/>
        <v>WENDY SOFYANOS</v>
      </c>
      <c r="I247" s="1" t="s">
        <v>47</v>
      </c>
      <c r="J247" s="1" t="s">
        <v>74</v>
      </c>
      <c r="K247" s="2">
        <v>46143</v>
      </c>
      <c r="L247" s="1" t="s">
        <v>100</v>
      </c>
      <c r="M247" s="1" t="s">
        <v>64</v>
      </c>
      <c r="N247" s="1" t="s">
        <v>65</v>
      </c>
      <c r="O247" s="1">
        <v>0</v>
      </c>
      <c r="P247" s="1">
        <v>8.75</v>
      </c>
      <c r="Q247" s="1">
        <v>8.75</v>
      </c>
      <c r="R247" s="1">
        <v>8.75</v>
      </c>
      <c r="S247" s="1" t="s">
        <v>685</v>
      </c>
    </row>
    <row r="248" spans="1:19" s="1" customFormat="1" x14ac:dyDescent="0.25">
      <c r="A248" s="1">
        <v>16633294</v>
      </c>
      <c r="B248" s="1" t="str">
        <f t="shared" si="10"/>
        <v>16633294OVR</v>
      </c>
      <c r="C248" s="1" t="s">
        <v>540</v>
      </c>
      <c r="D248" s="1" t="s">
        <v>612</v>
      </c>
      <c r="E248" s="1" t="str">
        <f t="shared" si="11"/>
        <v>D5K25COVR</v>
      </c>
      <c r="F248" s="1" t="s">
        <v>124</v>
      </c>
      <c r="G248" s="1" t="s">
        <v>610</v>
      </c>
      <c r="H248" t="str">
        <f t="shared" si="9"/>
        <v>ROBERT TONGE</v>
      </c>
      <c r="I248" s="1" t="s">
        <v>47</v>
      </c>
      <c r="J248" s="1" t="s">
        <v>74</v>
      </c>
      <c r="K248" s="2">
        <v>46143</v>
      </c>
      <c r="L248" s="1" t="s">
        <v>52</v>
      </c>
      <c r="M248" s="1" t="s">
        <v>64</v>
      </c>
      <c r="N248" s="1" t="s">
        <v>65</v>
      </c>
      <c r="O248" s="1">
        <v>0</v>
      </c>
      <c r="P248" s="1">
        <v>8.75</v>
      </c>
      <c r="Q248" s="1">
        <v>8.75</v>
      </c>
      <c r="R248" s="1">
        <v>8.75</v>
      </c>
      <c r="S248" s="1" t="s">
        <v>685</v>
      </c>
    </row>
    <row r="249" spans="1:19" s="1" customFormat="1" x14ac:dyDescent="0.25">
      <c r="A249" s="1">
        <v>17301495</v>
      </c>
      <c r="B249" s="1" t="str">
        <f t="shared" si="10"/>
        <v>17301495OVR</v>
      </c>
      <c r="C249" s="1" t="s">
        <v>56</v>
      </c>
      <c r="D249" s="1" t="s">
        <v>101</v>
      </c>
      <c r="E249" s="1" t="str">
        <f t="shared" si="11"/>
        <v>D678GKOVR</v>
      </c>
      <c r="F249" s="1" t="s">
        <v>103</v>
      </c>
      <c r="G249" s="1" t="s">
        <v>104</v>
      </c>
      <c r="H249" t="str">
        <f t="shared" si="9"/>
        <v>JOHN BARONE JR</v>
      </c>
      <c r="I249" s="1" t="s">
        <v>47</v>
      </c>
      <c r="J249" s="1" t="s">
        <v>74</v>
      </c>
      <c r="K249" s="2">
        <v>46143</v>
      </c>
      <c r="L249" s="1" t="s">
        <v>85</v>
      </c>
      <c r="M249" s="1" t="s">
        <v>64</v>
      </c>
      <c r="N249" s="1" t="s">
        <v>65</v>
      </c>
      <c r="O249" s="1">
        <v>0</v>
      </c>
      <c r="P249" s="1">
        <v>8.75</v>
      </c>
      <c r="Q249" s="1">
        <v>8.75</v>
      </c>
      <c r="R249" s="1">
        <v>8.75</v>
      </c>
      <c r="S249" s="1" t="s">
        <v>685</v>
      </c>
    </row>
    <row r="250" spans="1:19" s="1" customFormat="1" x14ac:dyDescent="0.25">
      <c r="A250" s="1">
        <v>8307933</v>
      </c>
      <c r="B250" s="1" t="str">
        <f t="shared" si="10"/>
        <v>8307933OVR</v>
      </c>
      <c r="C250" s="1" t="s">
        <v>450</v>
      </c>
      <c r="D250" s="1" t="s">
        <v>637</v>
      </c>
      <c r="E250" s="1" t="str">
        <f t="shared" si="11"/>
        <v>D6HHKWOVR</v>
      </c>
      <c r="F250" s="1" t="s">
        <v>103</v>
      </c>
      <c r="G250" s="1" t="s">
        <v>639</v>
      </c>
      <c r="H250" t="str">
        <f t="shared" si="9"/>
        <v>JOHN WEIS</v>
      </c>
      <c r="I250" s="1" t="s">
        <v>47</v>
      </c>
      <c r="J250" s="1" t="s">
        <v>74</v>
      </c>
      <c r="K250" s="2">
        <v>46143</v>
      </c>
      <c r="L250" s="1" t="s">
        <v>52</v>
      </c>
      <c r="M250" s="1" t="s">
        <v>64</v>
      </c>
      <c r="N250" s="1" t="s">
        <v>65</v>
      </c>
      <c r="O250" s="1">
        <v>0</v>
      </c>
      <c r="P250" s="1">
        <v>8.75</v>
      </c>
      <c r="Q250" s="1">
        <v>8.75</v>
      </c>
      <c r="R250" s="1">
        <v>8.75</v>
      </c>
      <c r="S250" s="1" t="s">
        <v>685</v>
      </c>
    </row>
    <row r="251" spans="1:19" s="1" customFormat="1" x14ac:dyDescent="0.25">
      <c r="A251" s="1">
        <v>2158366</v>
      </c>
      <c r="B251" s="1" t="str">
        <f t="shared" si="10"/>
        <v>2158366OVR</v>
      </c>
      <c r="C251" s="1" t="s">
        <v>107</v>
      </c>
      <c r="D251" s="1" t="s">
        <v>245</v>
      </c>
      <c r="E251" s="1" t="str">
        <f t="shared" si="11"/>
        <v>D6K5SYOVR</v>
      </c>
      <c r="F251" s="1" t="s">
        <v>247</v>
      </c>
      <c r="G251" s="1" t="s">
        <v>248</v>
      </c>
      <c r="H251" t="str">
        <f t="shared" si="9"/>
        <v>SUSAN EICHMAN PARCELL</v>
      </c>
      <c r="I251" s="1" t="s">
        <v>47</v>
      </c>
      <c r="J251" s="1" t="s">
        <v>160</v>
      </c>
      <c r="K251" s="2">
        <v>46143</v>
      </c>
      <c r="L251" s="1" t="s">
        <v>85</v>
      </c>
      <c r="M251" s="1" t="s">
        <v>64</v>
      </c>
      <c r="N251" s="1" t="s">
        <v>65</v>
      </c>
      <c r="O251" s="1">
        <v>0</v>
      </c>
      <c r="P251" s="1">
        <v>8.75</v>
      </c>
      <c r="Q251" s="1">
        <v>8.75</v>
      </c>
      <c r="R251" s="1">
        <v>8.75</v>
      </c>
      <c r="S251" s="1" t="s">
        <v>685</v>
      </c>
    </row>
    <row r="252" spans="1:19" s="1" customFormat="1" x14ac:dyDescent="0.25">
      <c r="A252" s="1">
        <v>17301495</v>
      </c>
      <c r="B252" s="1" t="str">
        <f t="shared" si="10"/>
        <v>17301495OVR</v>
      </c>
      <c r="C252" s="1" t="s">
        <v>56</v>
      </c>
      <c r="D252" s="1" t="s">
        <v>184</v>
      </c>
      <c r="E252" s="1" t="str">
        <f t="shared" si="11"/>
        <v>D6YZ5COVR</v>
      </c>
      <c r="F252" s="1" t="s">
        <v>186</v>
      </c>
      <c r="G252" s="1" t="s">
        <v>187</v>
      </c>
      <c r="H252" t="str">
        <f t="shared" si="9"/>
        <v>CARLOS CHAVEZ</v>
      </c>
      <c r="I252" s="1" t="s">
        <v>47</v>
      </c>
      <c r="J252" s="1" t="s">
        <v>128</v>
      </c>
      <c r="K252" s="2">
        <v>46143</v>
      </c>
      <c r="L252" s="1" t="s">
        <v>52</v>
      </c>
      <c r="M252" s="1" t="s">
        <v>64</v>
      </c>
      <c r="N252" s="1" t="s">
        <v>65</v>
      </c>
      <c r="O252" s="1">
        <v>0</v>
      </c>
      <c r="P252" s="1">
        <v>8.75</v>
      </c>
      <c r="Q252" s="1">
        <v>8.75</v>
      </c>
      <c r="R252" s="1">
        <v>8.75</v>
      </c>
      <c r="S252" s="1" t="s">
        <v>685</v>
      </c>
    </row>
    <row r="253" spans="1:19" s="1" customFormat="1" x14ac:dyDescent="0.25">
      <c r="A253" s="1">
        <v>19200754</v>
      </c>
      <c r="B253" s="1" t="str">
        <f t="shared" si="10"/>
        <v>19200754OVR</v>
      </c>
      <c r="C253" s="1" t="s">
        <v>138</v>
      </c>
      <c r="D253" s="1" t="s">
        <v>307</v>
      </c>
      <c r="E253" s="1" t="str">
        <f t="shared" si="11"/>
        <v>D77FJCOVR</v>
      </c>
      <c r="F253" s="1" t="s">
        <v>309</v>
      </c>
      <c r="G253" s="1" t="s">
        <v>310</v>
      </c>
      <c r="H253" t="str">
        <f t="shared" si="9"/>
        <v>BETH GONSIEWSKI</v>
      </c>
      <c r="I253" s="1" t="s">
        <v>47</v>
      </c>
      <c r="J253" s="1" t="s">
        <v>193</v>
      </c>
      <c r="K253" s="2">
        <v>46143</v>
      </c>
      <c r="L253" s="1" t="s">
        <v>85</v>
      </c>
      <c r="M253" s="1" t="s">
        <v>64</v>
      </c>
      <c r="N253" s="1" t="s">
        <v>65</v>
      </c>
      <c r="O253" s="1">
        <v>0</v>
      </c>
      <c r="P253" s="1">
        <v>8.75</v>
      </c>
      <c r="Q253" s="1">
        <v>8.75</v>
      </c>
      <c r="R253" s="1">
        <v>8.75</v>
      </c>
      <c r="S253" s="1" t="s">
        <v>685</v>
      </c>
    </row>
    <row r="254" spans="1:19" s="1" customFormat="1" x14ac:dyDescent="0.25">
      <c r="A254" s="1">
        <v>7146581</v>
      </c>
      <c r="B254" s="1" t="str">
        <f t="shared" si="10"/>
        <v>7146581OVR</v>
      </c>
      <c r="C254" s="1" t="s">
        <v>87</v>
      </c>
      <c r="D254" s="1" t="s">
        <v>287</v>
      </c>
      <c r="E254" s="1" t="str">
        <f t="shared" si="11"/>
        <v>D77WRJOVR</v>
      </c>
      <c r="F254" s="1" t="s">
        <v>289</v>
      </c>
      <c r="G254" s="1" t="s">
        <v>290</v>
      </c>
      <c r="H254" t="str">
        <f t="shared" si="9"/>
        <v>ANDREW FERNANDEZ</v>
      </c>
      <c r="I254" s="1" t="s">
        <v>47</v>
      </c>
      <c r="J254" s="1" t="s">
        <v>74</v>
      </c>
      <c r="K254" s="2">
        <v>46143</v>
      </c>
      <c r="L254" s="1" t="s">
        <v>85</v>
      </c>
      <c r="M254" s="1" t="s">
        <v>64</v>
      </c>
      <c r="N254" s="1" t="s">
        <v>65</v>
      </c>
      <c r="O254" s="1">
        <v>0</v>
      </c>
      <c r="P254" s="1">
        <v>8.75</v>
      </c>
      <c r="Q254" s="1">
        <v>8.75</v>
      </c>
      <c r="R254" s="1">
        <v>8.75</v>
      </c>
      <c r="S254" s="1" t="s">
        <v>685</v>
      </c>
    </row>
    <row r="255" spans="1:19" s="1" customFormat="1" x14ac:dyDescent="0.25">
      <c r="A255" s="1">
        <v>19396223</v>
      </c>
      <c r="B255" s="1" t="str">
        <f t="shared" si="10"/>
        <v>19396223OVR</v>
      </c>
      <c r="C255" s="1" t="s">
        <v>266</v>
      </c>
      <c r="D255" s="1" t="s">
        <v>333</v>
      </c>
      <c r="E255" s="1" t="str">
        <f t="shared" si="11"/>
        <v>D79W82OVR</v>
      </c>
      <c r="F255" s="1" t="s">
        <v>320</v>
      </c>
      <c r="G255" s="1" t="s">
        <v>335</v>
      </c>
      <c r="H255" t="str">
        <f t="shared" si="9"/>
        <v>LAURA HORN</v>
      </c>
      <c r="I255" s="1" t="s">
        <v>336</v>
      </c>
      <c r="J255" s="1" t="s">
        <v>128</v>
      </c>
      <c r="K255" s="2">
        <v>46143</v>
      </c>
      <c r="L255" s="1" t="s">
        <v>85</v>
      </c>
      <c r="M255" s="1" t="s">
        <v>64</v>
      </c>
      <c r="N255" s="1" t="s">
        <v>65</v>
      </c>
      <c r="O255" s="1">
        <v>0</v>
      </c>
      <c r="P255" s="1">
        <v>8.75</v>
      </c>
      <c r="Q255" s="1">
        <v>8.75</v>
      </c>
      <c r="R255" s="1">
        <v>8.75</v>
      </c>
      <c r="S255" s="1" t="s">
        <v>685</v>
      </c>
    </row>
    <row r="256" spans="1:19" s="1" customFormat="1" x14ac:dyDescent="0.25">
      <c r="A256" s="1">
        <v>2158366</v>
      </c>
      <c r="B256" s="1" t="str">
        <f t="shared" si="10"/>
        <v>2158366OVR</v>
      </c>
      <c r="C256" s="1" t="s">
        <v>107</v>
      </c>
      <c r="D256" s="1" t="s">
        <v>359</v>
      </c>
      <c r="E256" s="1" t="str">
        <f t="shared" si="11"/>
        <v>D7ZW4GOVR</v>
      </c>
      <c r="F256" s="1" t="s">
        <v>361</v>
      </c>
      <c r="G256" s="1" t="s">
        <v>362</v>
      </c>
      <c r="H256" t="str">
        <f t="shared" si="9"/>
        <v>JEFFREY JOHNS</v>
      </c>
      <c r="I256" s="1" t="s">
        <v>47</v>
      </c>
      <c r="J256" s="1" t="s">
        <v>364</v>
      </c>
      <c r="K256" s="2">
        <v>46143</v>
      </c>
      <c r="L256" s="1" t="s">
        <v>85</v>
      </c>
      <c r="M256" s="1" t="s">
        <v>64</v>
      </c>
      <c r="N256" s="1" t="s">
        <v>65</v>
      </c>
      <c r="O256" s="1">
        <v>0</v>
      </c>
      <c r="P256" s="1">
        <v>8.75</v>
      </c>
      <c r="Q256" s="1">
        <v>8.75</v>
      </c>
      <c r="R256" s="1">
        <v>8.75</v>
      </c>
      <c r="S256" s="1" t="s">
        <v>685</v>
      </c>
    </row>
    <row r="257" spans="1:19" s="1" customFormat="1" x14ac:dyDescent="0.25">
      <c r="A257" s="1">
        <v>19396223</v>
      </c>
      <c r="B257" s="1" t="str">
        <f t="shared" si="10"/>
        <v>19396223OVR</v>
      </c>
      <c r="C257" s="1" t="s">
        <v>266</v>
      </c>
      <c r="D257" s="1" t="s">
        <v>554</v>
      </c>
      <c r="E257" s="1" t="str">
        <f t="shared" si="11"/>
        <v>D83KH5OVR</v>
      </c>
      <c r="F257" s="1" t="s">
        <v>556</v>
      </c>
      <c r="G257" s="1" t="s">
        <v>557</v>
      </c>
      <c r="H257" t="str">
        <f t="shared" si="9"/>
        <v>BHARGAV SAVANI</v>
      </c>
      <c r="I257" s="1" t="s">
        <v>47</v>
      </c>
      <c r="J257" s="1" t="s">
        <v>74</v>
      </c>
      <c r="K257" s="2">
        <v>46143</v>
      </c>
      <c r="L257" s="1" t="s">
        <v>100</v>
      </c>
      <c r="M257" s="1" t="s">
        <v>64</v>
      </c>
      <c r="N257" s="1" t="s">
        <v>65</v>
      </c>
      <c r="O257" s="1">
        <v>0</v>
      </c>
      <c r="P257" s="1">
        <v>8.75</v>
      </c>
      <c r="Q257" s="1">
        <v>8.75</v>
      </c>
      <c r="R257" s="1">
        <v>8.75</v>
      </c>
      <c r="S257" s="1" t="s">
        <v>685</v>
      </c>
    </row>
    <row r="258" spans="1:19" s="1" customFormat="1" x14ac:dyDescent="0.25">
      <c r="A258" s="1">
        <v>17094718</v>
      </c>
      <c r="B258" s="1" t="str">
        <f t="shared" si="10"/>
        <v>17094718OVR</v>
      </c>
      <c r="C258" s="1" t="s">
        <v>397</v>
      </c>
      <c r="D258" s="1" t="s">
        <v>653</v>
      </c>
      <c r="E258" s="1" t="str">
        <f t="shared" si="11"/>
        <v>D86URUOVR</v>
      </c>
      <c r="F258" s="1" t="s">
        <v>655</v>
      </c>
      <c r="G258" s="1" t="s">
        <v>656</v>
      </c>
      <c r="H258" t="str">
        <f t="shared" si="9"/>
        <v>ROGER YOUNG</v>
      </c>
      <c r="I258" s="1" t="s">
        <v>72</v>
      </c>
      <c r="J258" s="1" t="s">
        <v>121</v>
      </c>
      <c r="K258" s="2">
        <v>46143</v>
      </c>
      <c r="L258" s="1" t="s">
        <v>85</v>
      </c>
      <c r="M258" s="1" t="s">
        <v>64</v>
      </c>
      <c r="N258" s="1" t="s">
        <v>65</v>
      </c>
      <c r="O258" s="1">
        <v>0</v>
      </c>
      <c r="P258" s="1">
        <v>8.75</v>
      </c>
      <c r="Q258" s="1">
        <v>8.75</v>
      </c>
      <c r="R258" s="1">
        <v>8.75</v>
      </c>
      <c r="S258" s="1" t="s">
        <v>685</v>
      </c>
    </row>
    <row r="259" spans="1:19" s="1" customFormat="1" x14ac:dyDescent="0.25">
      <c r="A259" s="1">
        <v>2158366</v>
      </c>
      <c r="B259" s="1" t="str">
        <f t="shared" si="10"/>
        <v>2158366OVR</v>
      </c>
      <c r="C259" s="1" t="s">
        <v>107</v>
      </c>
      <c r="D259" s="1" t="s">
        <v>531</v>
      </c>
      <c r="E259" s="1" t="str">
        <f t="shared" si="11"/>
        <v>D87SKKOVR</v>
      </c>
      <c r="F259" s="1" t="s">
        <v>533</v>
      </c>
      <c r="G259" s="1" t="s">
        <v>534</v>
      </c>
      <c r="H259" t="str">
        <f t="shared" ref="H259:H322" si="12">CONCATENATE(F259," ",G259)</f>
        <v>CHERYL RUDD</v>
      </c>
      <c r="I259" s="1" t="s">
        <v>47</v>
      </c>
      <c r="J259" s="1" t="s">
        <v>222</v>
      </c>
      <c r="K259" s="2">
        <v>46143</v>
      </c>
      <c r="L259" s="1" t="s">
        <v>52</v>
      </c>
      <c r="M259" s="1" t="s">
        <v>64</v>
      </c>
      <c r="N259" s="1" t="s">
        <v>65</v>
      </c>
      <c r="O259" s="1">
        <v>0</v>
      </c>
      <c r="P259" s="1">
        <v>8.75</v>
      </c>
      <c r="Q259" s="1">
        <v>8.75</v>
      </c>
      <c r="R259" s="1">
        <v>8.75</v>
      </c>
      <c r="S259" s="1" t="s">
        <v>685</v>
      </c>
    </row>
    <row r="260" spans="1:19" s="1" customFormat="1" x14ac:dyDescent="0.25">
      <c r="A260" s="1">
        <v>18754354</v>
      </c>
      <c r="B260" s="1" t="str">
        <f t="shared" si="10"/>
        <v>18754354OVR</v>
      </c>
      <c r="C260" s="1" t="s">
        <v>390</v>
      </c>
      <c r="D260" s="1" t="s">
        <v>585</v>
      </c>
      <c r="E260" s="1" t="str">
        <f t="shared" si="11"/>
        <v>D8C779OVR</v>
      </c>
      <c r="F260" s="1" t="s">
        <v>587</v>
      </c>
      <c r="G260" s="1" t="s">
        <v>588</v>
      </c>
      <c r="H260" t="str">
        <f t="shared" si="12"/>
        <v>CHRISTOPHER SPRINGER</v>
      </c>
      <c r="I260" s="1" t="s">
        <v>47</v>
      </c>
      <c r="J260" s="1" t="s">
        <v>199</v>
      </c>
      <c r="K260" s="2">
        <v>46143</v>
      </c>
      <c r="L260" s="1" t="s">
        <v>85</v>
      </c>
      <c r="M260" s="1" t="s">
        <v>64</v>
      </c>
      <c r="N260" s="1" t="s">
        <v>65</v>
      </c>
      <c r="O260" s="1">
        <v>0</v>
      </c>
      <c r="P260" s="1">
        <v>8.75</v>
      </c>
      <c r="Q260" s="1">
        <v>8.75</v>
      </c>
      <c r="R260" s="1">
        <v>8.75</v>
      </c>
      <c r="S260" s="1" t="s">
        <v>685</v>
      </c>
    </row>
    <row r="261" spans="1:19" s="1" customFormat="1" x14ac:dyDescent="0.25">
      <c r="A261" s="1">
        <v>7146581</v>
      </c>
      <c r="B261" s="1" t="str">
        <f t="shared" si="10"/>
        <v>7146581OVR</v>
      </c>
      <c r="C261" s="1" t="s">
        <v>87</v>
      </c>
      <c r="D261" s="1" t="s">
        <v>516</v>
      </c>
      <c r="E261" s="1" t="str">
        <f t="shared" si="11"/>
        <v>D8KF97OVR</v>
      </c>
      <c r="F261" s="1" t="s">
        <v>518</v>
      </c>
      <c r="G261" s="1" t="s">
        <v>519</v>
      </c>
      <c r="H261" t="str">
        <f t="shared" si="12"/>
        <v>BONNIE RIESER</v>
      </c>
      <c r="I261" s="1" t="s">
        <v>47</v>
      </c>
      <c r="J261" s="1" t="s">
        <v>74</v>
      </c>
      <c r="K261" s="2">
        <v>46143</v>
      </c>
      <c r="L261" s="1" t="s">
        <v>52</v>
      </c>
      <c r="M261" s="1" t="s">
        <v>64</v>
      </c>
      <c r="N261" s="1" t="s">
        <v>65</v>
      </c>
      <c r="O261" s="1">
        <v>0</v>
      </c>
      <c r="P261" s="1">
        <v>8.75</v>
      </c>
      <c r="Q261" s="1">
        <v>8.75</v>
      </c>
      <c r="R261" s="1">
        <v>8.75</v>
      </c>
      <c r="S261" s="1" t="s">
        <v>685</v>
      </c>
    </row>
    <row r="262" spans="1:19" s="1" customFormat="1" x14ac:dyDescent="0.25">
      <c r="A262" s="1">
        <v>9213293</v>
      </c>
      <c r="B262" s="1" t="str">
        <f t="shared" si="10"/>
        <v>9213293OVR</v>
      </c>
      <c r="C262" s="1" t="s">
        <v>162</v>
      </c>
      <c r="D262" s="1" t="s">
        <v>254</v>
      </c>
      <c r="E262" s="1" t="str">
        <f t="shared" si="11"/>
        <v>D8RSSEOVR</v>
      </c>
      <c r="F262" s="1" t="s">
        <v>256</v>
      </c>
      <c r="G262" s="1" t="s">
        <v>257</v>
      </c>
      <c r="H262" t="str">
        <f t="shared" si="12"/>
        <v>FREDERICK EREMO</v>
      </c>
      <c r="I262" s="1" t="s">
        <v>47</v>
      </c>
      <c r="J262" s="1" t="s">
        <v>259</v>
      </c>
      <c r="K262" s="2">
        <v>46143</v>
      </c>
      <c r="L262" s="1" t="s">
        <v>85</v>
      </c>
      <c r="M262" s="1" t="s">
        <v>64</v>
      </c>
      <c r="N262" s="1" t="s">
        <v>65</v>
      </c>
      <c r="O262" s="1">
        <v>0</v>
      </c>
      <c r="P262" s="1">
        <v>8.75</v>
      </c>
      <c r="Q262" s="1">
        <v>8.75</v>
      </c>
      <c r="R262" s="1">
        <v>8.75</v>
      </c>
      <c r="S262" s="1" t="s">
        <v>685</v>
      </c>
    </row>
    <row r="263" spans="1:19" s="1" customFormat="1" x14ac:dyDescent="0.25">
      <c r="A263" s="1">
        <v>19586992</v>
      </c>
      <c r="B263" s="1" t="str">
        <f t="shared" si="10"/>
        <v>19586992OVR</v>
      </c>
      <c r="C263" s="1" t="s">
        <v>42</v>
      </c>
      <c r="D263" s="1" t="s">
        <v>614</v>
      </c>
      <c r="E263" s="1" t="str">
        <f t="shared" si="11"/>
        <v>D8S2AKOVR</v>
      </c>
      <c r="F263" s="1" t="s">
        <v>616</v>
      </c>
      <c r="G263" s="1" t="s">
        <v>617</v>
      </c>
      <c r="H263" t="str">
        <f t="shared" si="12"/>
        <v>GAIL VALADEZ</v>
      </c>
      <c r="I263" s="1" t="s">
        <v>47</v>
      </c>
      <c r="J263" s="1" t="s">
        <v>457</v>
      </c>
      <c r="K263" s="2">
        <v>46143</v>
      </c>
      <c r="L263" s="1" t="s">
        <v>85</v>
      </c>
      <c r="M263" s="1" t="s">
        <v>64</v>
      </c>
      <c r="N263" s="1" t="s">
        <v>65</v>
      </c>
      <c r="O263" s="1">
        <v>0</v>
      </c>
      <c r="P263" s="1">
        <v>8.75</v>
      </c>
      <c r="Q263" s="1">
        <v>8.75</v>
      </c>
      <c r="R263" s="1">
        <v>8.75</v>
      </c>
      <c r="S263" s="1" t="s">
        <v>685</v>
      </c>
    </row>
    <row r="264" spans="1:19" s="1" customFormat="1" x14ac:dyDescent="0.25">
      <c r="A264" s="1">
        <v>17126004</v>
      </c>
      <c r="B264" s="1" t="str">
        <f t="shared" si="10"/>
        <v>17126004OVR</v>
      </c>
      <c r="C264" s="1" t="s">
        <v>155</v>
      </c>
      <c r="D264" s="1" t="s">
        <v>188</v>
      </c>
      <c r="E264" s="1" t="str">
        <f t="shared" si="11"/>
        <v>D8YS8YOVR</v>
      </c>
      <c r="F264" s="1" t="s">
        <v>190</v>
      </c>
      <c r="G264" s="1" t="s">
        <v>191</v>
      </c>
      <c r="H264" t="str">
        <f t="shared" si="12"/>
        <v>MARYANN CHINDERLE</v>
      </c>
      <c r="I264" s="1" t="s">
        <v>47</v>
      </c>
      <c r="J264" s="1" t="s">
        <v>193</v>
      </c>
      <c r="K264" s="2">
        <v>46143</v>
      </c>
      <c r="L264" s="1" t="s">
        <v>85</v>
      </c>
      <c r="M264" s="1" t="s">
        <v>64</v>
      </c>
      <c r="N264" s="1" t="s">
        <v>65</v>
      </c>
      <c r="O264" s="1">
        <v>0</v>
      </c>
      <c r="P264" s="1">
        <v>8.75</v>
      </c>
      <c r="Q264" s="1">
        <v>8.75</v>
      </c>
      <c r="R264" s="1">
        <v>8.75</v>
      </c>
      <c r="S264" s="1" t="s">
        <v>685</v>
      </c>
    </row>
    <row r="265" spans="1:19" s="1" customFormat="1" x14ac:dyDescent="0.25">
      <c r="A265" s="1">
        <v>16683808</v>
      </c>
      <c r="B265" s="1" t="str">
        <f t="shared" si="10"/>
        <v>16683808OVR</v>
      </c>
      <c r="C265" s="1" t="s">
        <v>237</v>
      </c>
      <c r="D265" s="1" t="s">
        <v>302</v>
      </c>
      <c r="E265" s="1" t="str">
        <f t="shared" si="11"/>
        <v>D949GWOVR</v>
      </c>
      <c r="F265" s="1" t="s">
        <v>304</v>
      </c>
      <c r="G265" s="1" t="s">
        <v>305</v>
      </c>
      <c r="H265" t="str">
        <f t="shared" si="12"/>
        <v>EDDIE GILBERT III</v>
      </c>
      <c r="I265" s="1" t="s">
        <v>81</v>
      </c>
      <c r="J265" s="1" t="s">
        <v>74</v>
      </c>
      <c r="K265" s="2">
        <v>46143</v>
      </c>
      <c r="L265" s="1" t="s">
        <v>85</v>
      </c>
      <c r="M265" s="1" t="s">
        <v>64</v>
      </c>
      <c r="N265" s="1" t="s">
        <v>65</v>
      </c>
      <c r="O265" s="1">
        <v>0</v>
      </c>
      <c r="P265" s="1">
        <v>8.75</v>
      </c>
      <c r="Q265" s="1">
        <v>8.75</v>
      </c>
      <c r="R265" s="1">
        <v>8.75</v>
      </c>
      <c r="S265" s="1" t="s">
        <v>685</v>
      </c>
    </row>
    <row r="266" spans="1:19" s="1" customFormat="1" x14ac:dyDescent="0.25">
      <c r="A266" s="1">
        <v>16170994</v>
      </c>
      <c r="B266" s="1" t="str">
        <f t="shared" si="10"/>
        <v>16170994OVR</v>
      </c>
      <c r="C266" s="1" t="s">
        <v>595</v>
      </c>
      <c r="D266" s="1" t="s">
        <v>596</v>
      </c>
      <c r="E266" s="1" t="str">
        <f t="shared" si="11"/>
        <v>D9A3G7OVR</v>
      </c>
      <c r="F266" s="1" t="s">
        <v>103</v>
      </c>
      <c r="G266" s="1" t="s">
        <v>598</v>
      </c>
      <c r="H266" t="str">
        <f t="shared" si="12"/>
        <v>JOHN STEWART</v>
      </c>
      <c r="I266" s="1" t="s">
        <v>72</v>
      </c>
      <c r="J266" s="1" t="s">
        <v>600</v>
      </c>
      <c r="K266" s="2">
        <v>46143</v>
      </c>
      <c r="L266" s="1" t="s">
        <v>52</v>
      </c>
      <c r="M266" s="1" t="s">
        <v>64</v>
      </c>
      <c r="N266" s="1" t="s">
        <v>65</v>
      </c>
      <c r="O266" s="1">
        <v>0</v>
      </c>
      <c r="P266" s="1">
        <v>8.75</v>
      </c>
      <c r="Q266" s="1">
        <v>8.75</v>
      </c>
      <c r="R266" s="1">
        <v>8.75</v>
      </c>
      <c r="S266" s="1" t="s">
        <v>685</v>
      </c>
    </row>
    <row r="267" spans="1:19" s="1" customFormat="1" x14ac:dyDescent="0.25">
      <c r="A267" s="1">
        <v>19615078</v>
      </c>
      <c r="B267" s="1" t="str">
        <f t="shared" si="10"/>
        <v>19615078OVR</v>
      </c>
      <c r="C267" s="1" t="s">
        <v>503</v>
      </c>
      <c r="D267" s="1" t="s">
        <v>526</v>
      </c>
      <c r="E267" s="1" t="str">
        <f t="shared" si="11"/>
        <v>DA25Z9OVR</v>
      </c>
      <c r="F267" s="1" t="s">
        <v>528</v>
      </c>
      <c r="G267" s="1" t="s">
        <v>529</v>
      </c>
      <c r="H267" t="str">
        <f t="shared" si="12"/>
        <v>NADEZHDA ROMANOVA</v>
      </c>
      <c r="I267" s="1" t="s">
        <v>47</v>
      </c>
      <c r="J267" s="1" t="s">
        <v>193</v>
      </c>
      <c r="K267" s="2">
        <v>46143</v>
      </c>
      <c r="L267" s="1" t="s">
        <v>85</v>
      </c>
      <c r="M267" s="1" t="s">
        <v>64</v>
      </c>
      <c r="N267" s="1" t="s">
        <v>65</v>
      </c>
      <c r="O267" s="1">
        <v>0</v>
      </c>
      <c r="P267" s="1">
        <v>8.75</v>
      </c>
      <c r="Q267" s="1">
        <v>8.75</v>
      </c>
      <c r="R267" s="1">
        <v>8.75</v>
      </c>
      <c r="S267" s="1" t="s">
        <v>685</v>
      </c>
    </row>
    <row r="268" spans="1:19" s="1" customFormat="1" x14ac:dyDescent="0.25">
      <c r="A268" s="1">
        <v>7146581</v>
      </c>
      <c r="B268" s="1" t="str">
        <f t="shared" si="10"/>
        <v>7146581OVR</v>
      </c>
      <c r="C268" s="1" t="s">
        <v>87</v>
      </c>
      <c r="D268" s="1" t="s">
        <v>88</v>
      </c>
      <c r="E268" s="1" t="str">
        <f t="shared" si="11"/>
        <v>DA4WEUOVR</v>
      </c>
      <c r="F268" s="1" t="s">
        <v>90</v>
      </c>
      <c r="G268" s="1" t="s">
        <v>91</v>
      </c>
      <c r="H268" t="str">
        <f t="shared" si="12"/>
        <v>LOIS BARNES</v>
      </c>
      <c r="I268" s="1" t="s">
        <v>47</v>
      </c>
      <c r="J268" s="1" t="s">
        <v>74</v>
      </c>
      <c r="K268" s="2">
        <v>46143</v>
      </c>
      <c r="L268" s="1" t="s">
        <v>52</v>
      </c>
      <c r="M268" s="1" t="s">
        <v>64</v>
      </c>
      <c r="N268" s="1" t="s">
        <v>65</v>
      </c>
      <c r="O268" s="1">
        <v>0</v>
      </c>
      <c r="P268" s="1">
        <v>8.75</v>
      </c>
      <c r="Q268" s="1">
        <v>8.75</v>
      </c>
      <c r="R268" s="1">
        <v>8.75</v>
      </c>
      <c r="S268" s="1" t="s">
        <v>685</v>
      </c>
    </row>
    <row r="269" spans="1:19" s="1" customFormat="1" x14ac:dyDescent="0.25">
      <c r="A269" s="1">
        <v>19586992</v>
      </c>
      <c r="B269" s="1" t="str">
        <f t="shared" si="10"/>
        <v>19586992OVR</v>
      </c>
      <c r="C269" s="1" t="s">
        <v>42</v>
      </c>
      <c r="D269" s="1" t="s">
        <v>168</v>
      </c>
      <c r="E269" s="1" t="str">
        <f t="shared" si="11"/>
        <v>DA5EJFOVR</v>
      </c>
      <c r="F269" s="1" t="s">
        <v>110</v>
      </c>
      <c r="G269" s="1" t="s">
        <v>170</v>
      </c>
      <c r="H269" t="str">
        <f t="shared" si="12"/>
        <v>MARY CARFAGNINI</v>
      </c>
      <c r="I269" s="1" t="s">
        <v>47</v>
      </c>
      <c r="J269" s="1" t="s">
        <v>74</v>
      </c>
      <c r="K269" s="2">
        <v>46143</v>
      </c>
      <c r="L269" s="1" t="s">
        <v>52</v>
      </c>
      <c r="M269" s="1" t="s">
        <v>64</v>
      </c>
      <c r="N269" s="1" t="s">
        <v>65</v>
      </c>
      <c r="O269" s="1">
        <v>0</v>
      </c>
      <c r="P269" s="1">
        <v>8.75</v>
      </c>
      <c r="Q269" s="1">
        <v>8.75</v>
      </c>
      <c r="R269" s="1">
        <v>8.75</v>
      </c>
      <c r="S269" s="1" t="s">
        <v>685</v>
      </c>
    </row>
    <row r="270" spans="1:19" s="1" customFormat="1" x14ac:dyDescent="0.25">
      <c r="A270" s="1">
        <v>19586992</v>
      </c>
      <c r="B270" s="1" t="str">
        <f t="shared" si="10"/>
        <v>19586992OVR</v>
      </c>
      <c r="C270" s="1" t="s">
        <v>42</v>
      </c>
      <c r="D270" s="1" t="s">
        <v>430</v>
      </c>
      <c r="E270" s="1" t="str">
        <f t="shared" si="11"/>
        <v>DAJ3EROVR</v>
      </c>
      <c r="F270" s="1" t="s">
        <v>432</v>
      </c>
      <c r="G270" s="1" t="s">
        <v>433</v>
      </c>
      <c r="H270" t="str">
        <f t="shared" si="12"/>
        <v>BETTY MCKENNIE</v>
      </c>
      <c r="I270" s="1" t="s">
        <v>47</v>
      </c>
      <c r="J270" s="1" t="s">
        <v>74</v>
      </c>
      <c r="K270" s="2">
        <v>46143</v>
      </c>
      <c r="L270" s="1" t="s">
        <v>52</v>
      </c>
      <c r="M270" s="1" t="s">
        <v>64</v>
      </c>
      <c r="N270" s="1" t="s">
        <v>65</v>
      </c>
      <c r="O270" s="1">
        <v>0</v>
      </c>
      <c r="P270" s="1">
        <v>8.75</v>
      </c>
      <c r="Q270" s="1">
        <v>8.75</v>
      </c>
      <c r="R270" s="1">
        <v>8.75</v>
      </c>
      <c r="S270" s="1" t="s">
        <v>685</v>
      </c>
    </row>
    <row r="271" spans="1:19" s="1" customFormat="1" x14ac:dyDescent="0.25">
      <c r="A271" s="1">
        <v>7146581</v>
      </c>
      <c r="B271" s="1" t="str">
        <f t="shared" si="10"/>
        <v>7146581OVR</v>
      </c>
      <c r="C271" s="1" t="s">
        <v>87</v>
      </c>
      <c r="D271" s="1" t="s">
        <v>491</v>
      </c>
      <c r="E271" s="1" t="str">
        <f t="shared" si="11"/>
        <v>DAR472OVR</v>
      </c>
      <c r="F271" s="1" t="s">
        <v>110</v>
      </c>
      <c r="G271" s="1" t="s">
        <v>493</v>
      </c>
      <c r="H271" t="str">
        <f t="shared" si="12"/>
        <v>MARY RACS</v>
      </c>
      <c r="I271" s="1" t="s">
        <v>47</v>
      </c>
      <c r="J271" s="1" t="s">
        <v>74</v>
      </c>
      <c r="K271" s="2">
        <v>46143</v>
      </c>
      <c r="L271" s="1" t="s">
        <v>85</v>
      </c>
      <c r="M271" s="1" t="s">
        <v>64</v>
      </c>
      <c r="N271" s="1" t="s">
        <v>65</v>
      </c>
      <c r="O271" s="1">
        <v>0</v>
      </c>
      <c r="P271" s="1">
        <v>8.75</v>
      </c>
      <c r="Q271" s="1">
        <v>8.75</v>
      </c>
      <c r="R271" s="1">
        <v>8.75</v>
      </c>
      <c r="S271" s="1" t="s">
        <v>685</v>
      </c>
    </row>
    <row r="272" spans="1:19" s="1" customFormat="1" x14ac:dyDescent="0.25">
      <c r="A272" s="1">
        <v>2158366</v>
      </c>
      <c r="B272" s="1" t="str">
        <f t="shared" si="10"/>
        <v>2158366OVR</v>
      </c>
      <c r="C272" s="1" t="s">
        <v>107</v>
      </c>
      <c r="D272" s="1" t="s">
        <v>536</v>
      </c>
      <c r="E272" s="1" t="str">
        <f t="shared" si="11"/>
        <v>DARF7KOVR</v>
      </c>
      <c r="F272" s="1" t="s">
        <v>538</v>
      </c>
      <c r="G272" s="1" t="s">
        <v>534</v>
      </c>
      <c r="H272" t="str">
        <f t="shared" si="12"/>
        <v>SCOTT RUDD</v>
      </c>
      <c r="I272" s="1" t="s">
        <v>47</v>
      </c>
      <c r="J272" s="1" t="s">
        <v>222</v>
      </c>
      <c r="K272" s="2">
        <v>46143</v>
      </c>
      <c r="L272" s="1" t="s">
        <v>52</v>
      </c>
      <c r="M272" s="1" t="s">
        <v>64</v>
      </c>
      <c r="N272" s="1" t="s">
        <v>65</v>
      </c>
      <c r="O272" s="1">
        <v>0</v>
      </c>
      <c r="P272" s="1">
        <v>8.75</v>
      </c>
      <c r="Q272" s="1">
        <v>8.75</v>
      </c>
      <c r="R272" s="1">
        <v>8.75</v>
      </c>
      <c r="S272" s="1" t="s">
        <v>685</v>
      </c>
    </row>
    <row r="273" spans="1:19" s="1" customFormat="1" x14ac:dyDescent="0.25">
      <c r="A273" s="1">
        <v>19586992</v>
      </c>
      <c r="B273" s="1" t="str">
        <f t="shared" si="10"/>
        <v>19586992OVR</v>
      </c>
      <c r="C273" s="1" t="s">
        <v>42</v>
      </c>
      <c r="D273" s="1" t="s">
        <v>459</v>
      </c>
      <c r="E273" s="1" t="str">
        <f t="shared" si="11"/>
        <v>DC3EKROVR</v>
      </c>
      <c r="F273" s="1" t="s">
        <v>461</v>
      </c>
      <c r="G273" s="1" t="s">
        <v>462</v>
      </c>
      <c r="H273" t="str">
        <f t="shared" si="12"/>
        <v>DEBRA MURPHY</v>
      </c>
      <c r="I273" s="1" t="s">
        <v>47</v>
      </c>
      <c r="J273" s="1" t="s">
        <v>74</v>
      </c>
      <c r="K273" s="2">
        <v>46143</v>
      </c>
      <c r="L273" s="1" t="s">
        <v>52</v>
      </c>
      <c r="M273" s="1" t="s">
        <v>64</v>
      </c>
      <c r="N273" s="1" t="s">
        <v>65</v>
      </c>
      <c r="O273" s="1">
        <v>0</v>
      </c>
      <c r="P273" s="1">
        <v>8.75</v>
      </c>
      <c r="Q273" s="1">
        <v>8.75</v>
      </c>
      <c r="R273" s="1">
        <v>8.75</v>
      </c>
      <c r="S273" s="1" t="s">
        <v>685</v>
      </c>
    </row>
    <row r="274" spans="1:19" s="1" customFormat="1" x14ac:dyDescent="0.25">
      <c r="A274" s="1">
        <v>16633294</v>
      </c>
      <c r="B274" s="1" t="str">
        <f t="shared" si="10"/>
        <v>16633294OVR</v>
      </c>
      <c r="C274" s="1" t="s">
        <v>540</v>
      </c>
      <c r="D274" s="1" t="s">
        <v>545</v>
      </c>
      <c r="E274" s="1" t="str">
        <f t="shared" si="11"/>
        <v>DC5E74OVR</v>
      </c>
      <c r="F274" s="1" t="s">
        <v>547</v>
      </c>
      <c r="G274" s="1" t="s">
        <v>544</v>
      </c>
      <c r="H274" t="str">
        <f t="shared" si="12"/>
        <v>ROGELIO RUELOS</v>
      </c>
      <c r="I274" s="1" t="s">
        <v>47</v>
      </c>
      <c r="J274" s="1" t="s">
        <v>74</v>
      </c>
      <c r="K274" s="2">
        <v>46143</v>
      </c>
      <c r="L274" s="1" t="s">
        <v>85</v>
      </c>
      <c r="M274" s="1" t="s">
        <v>64</v>
      </c>
      <c r="N274" s="1" t="s">
        <v>65</v>
      </c>
      <c r="O274" s="1">
        <v>0</v>
      </c>
      <c r="P274" s="1">
        <v>8.75</v>
      </c>
      <c r="Q274" s="1">
        <v>8.75</v>
      </c>
      <c r="R274" s="1">
        <v>8.75</v>
      </c>
      <c r="S274" s="1" t="s">
        <v>685</v>
      </c>
    </row>
    <row r="275" spans="1:19" s="1" customFormat="1" x14ac:dyDescent="0.25">
      <c r="A275" s="1">
        <v>16865615</v>
      </c>
      <c r="B275" s="1" t="str">
        <f t="shared" si="10"/>
        <v>16865615OVR</v>
      </c>
      <c r="C275" s="1" t="s">
        <v>351</v>
      </c>
      <c r="D275" s="1" t="s">
        <v>376</v>
      </c>
      <c r="E275" s="1" t="str">
        <f t="shared" si="11"/>
        <v>DCEG4ZOVR</v>
      </c>
      <c r="F275" s="1" t="s">
        <v>97</v>
      </c>
      <c r="G275" s="1" t="s">
        <v>378</v>
      </c>
      <c r="H275" t="str">
        <f t="shared" si="12"/>
        <v>MICHAEL LINGENFELTER</v>
      </c>
      <c r="I275" s="1" t="s">
        <v>356</v>
      </c>
      <c r="J275" s="1" t="s">
        <v>222</v>
      </c>
      <c r="K275" s="2">
        <v>46143</v>
      </c>
      <c r="L275" s="1" t="s">
        <v>52</v>
      </c>
      <c r="M275" s="1" t="s">
        <v>64</v>
      </c>
      <c r="N275" s="1" t="s">
        <v>65</v>
      </c>
      <c r="O275" s="1">
        <v>0</v>
      </c>
      <c r="P275" s="1">
        <v>8.75</v>
      </c>
      <c r="Q275" s="1">
        <v>8.75</v>
      </c>
      <c r="R275" s="1">
        <v>8.75</v>
      </c>
      <c r="S275" s="1" t="s">
        <v>685</v>
      </c>
    </row>
    <row r="276" spans="1:19" s="1" customFormat="1" x14ac:dyDescent="0.25">
      <c r="A276" s="1">
        <v>8307933</v>
      </c>
      <c r="B276" s="1" t="str">
        <f t="shared" si="10"/>
        <v>8307933OVR</v>
      </c>
      <c r="C276" s="1" t="s">
        <v>450</v>
      </c>
      <c r="D276" s="1" t="s">
        <v>451</v>
      </c>
      <c r="E276" s="1" t="str">
        <f t="shared" si="11"/>
        <v>DCFRRUOVR</v>
      </c>
      <c r="F276" s="1" t="s">
        <v>453</v>
      </c>
      <c r="G276" s="1" t="s">
        <v>454</v>
      </c>
      <c r="H276" t="str">
        <f t="shared" si="12"/>
        <v>KYLE MOORE</v>
      </c>
      <c r="I276" s="1" t="s">
        <v>455</v>
      </c>
      <c r="J276" s="1" t="s">
        <v>457</v>
      </c>
      <c r="K276" s="2">
        <v>46143</v>
      </c>
      <c r="L276" s="1" t="s">
        <v>100</v>
      </c>
      <c r="M276" s="1" t="s">
        <v>64</v>
      </c>
      <c r="N276" s="1" t="s">
        <v>65</v>
      </c>
      <c r="O276" s="1">
        <v>0</v>
      </c>
      <c r="P276" s="1">
        <v>8.75</v>
      </c>
      <c r="Q276" s="1">
        <v>8.75</v>
      </c>
      <c r="R276" s="1">
        <v>8.75</v>
      </c>
      <c r="S276" s="1" t="s">
        <v>685</v>
      </c>
    </row>
    <row r="277" spans="1:19" s="1" customFormat="1" x14ac:dyDescent="0.25">
      <c r="A277" s="1">
        <v>8307933</v>
      </c>
      <c r="B277" s="1" t="str">
        <f t="shared" si="10"/>
        <v>8307933OVR</v>
      </c>
      <c r="C277" s="1" t="s">
        <v>450</v>
      </c>
      <c r="D277" s="1" t="s">
        <v>487</v>
      </c>
      <c r="E277" s="1" t="str">
        <f t="shared" si="11"/>
        <v>DCJ3W4OVR</v>
      </c>
      <c r="F277" s="1" t="s">
        <v>97</v>
      </c>
      <c r="G277" s="1" t="s">
        <v>489</v>
      </c>
      <c r="H277" t="str">
        <f t="shared" si="12"/>
        <v>MICHAEL QUEST</v>
      </c>
      <c r="I277" s="1" t="s">
        <v>47</v>
      </c>
      <c r="J277" s="1" t="s">
        <v>83</v>
      </c>
      <c r="K277" s="2">
        <v>46143</v>
      </c>
      <c r="L277" s="1" t="s">
        <v>85</v>
      </c>
      <c r="M277" s="1" t="s">
        <v>64</v>
      </c>
      <c r="N277" s="1" t="s">
        <v>65</v>
      </c>
      <c r="O277" s="1">
        <v>0</v>
      </c>
      <c r="P277" s="1">
        <v>8.75</v>
      </c>
      <c r="Q277" s="1">
        <v>8.75</v>
      </c>
      <c r="R277" s="1">
        <v>8.75</v>
      </c>
      <c r="S277" s="1" t="s">
        <v>685</v>
      </c>
    </row>
    <row r="278" spans="1:19" s="1" customFormat="1" x14ac:dyDescent="0.25">
      <c r="A278" s="1">
        <v>19586992</v>
      </c>
      <c r="B278" s="1" t="str">
        <f t="shared" si="10"/>
        <v>19586992OVR</v>
      </c>
      <c r="C278" s="1" t="s">
        <v>42</v>
      </c>
      <c r="D278" s="1" t="s">
        <v>420</v>
      </c>
      <c r="E278" s="1" t="str">
        <f t="shared" si="11"/>
        <v>DCKKWKOVR</v>
      </c>
      <c r="F278" s="1" t="s">
        <v>422</v>
      </c>
      <c r="G278" s="1" t="s">
        <v>423</v>
      </c>
      <c r="H278" t="str">
        <f t="shared" si="12"/>
        <v>DANIEL MARTINEZ</v>
      </c>
      <c r="I278" s="1" t="s">
        <v>47</v>
      </c>
      <c r="J278" s="1" t="s">
        <v>121</v>
      </c>
      <c r="K278" s="2">
        <v>46143</v>
      </c>
      <c r="L278" s="1" t="s">
        <v>85</v>
      </c>
      <c r="M278" s="1" t="s">
        <v>64</v>
      </c>
      <c r="N278" s="1" t="s">
        <v>65</v>
      </c>
      <c r="O278" s="1">
        <v>0</v>
      </c>
      <c r="P278" s="1">
        <v>8.75</v>
      </c>
      <c r="Q278" s="1">
        <v>8.75</v>
      </c>
      <c r="R278" s="1">
        <v>8.75</v>
      </c>
      <c r="S278" s="1" t="s">
        <v>685</v>
      </c>
    </row>
    <row r="279" spans="1:19" s="1" customFormat="1" x14ac:dyDescent="0.25">
      <c r="A279" s="1">
        <v>16633294</v>
      </c>
      <c r="B279" s="1" t="str">
        <f t="shared" si="10"/>
        <v>16633294OVR</v>
      </c>
      <c r="C279" s="1" t="s">
        <v>540</v>
      </c>
      <c r="D279" s="1" t="s">
        <v>541</v>
      </c>
      <c r="E279" s="1" t="str">
        <f t="shared" si="11"/>
        <v>DCR8CWOVR</v>
      </c>
      <c r="F279" s="1" t="s">
        <v>543</v>
      </c>
      <c r="G279" s="1" t="s">
        <v>544</v>
      </c>
      <c r="H279" t="str">
        <f t="shared" si="12"/>
        <v>HEIDI RUELOS</v>
      </c>
      <c r="I279" s="1" t="s">
        <v>47</v>
      </c>
      <c r="J279" s="1" t="s">
        <v>128</v>
      </c>
      <c r="K279" s="2">
        <v>46143</v>
      </c>
      <c r="L279" s="1" t="s">
        <v>52</v>
      </c>
      <c r="M279" s="1" t="s">
        <v>64</v>
      </c>
      <c r="N279" s="1" t="s">
        <v>65</v>
      </c>
      <c r="O279" s="1">
        <v>0</v>
      </c>
      <c r="P279" s="1">
        <v>8.75</v>
      </c>
      <c r="Q279" s="1">
        <v>8.75</v>
      </c>
      <c r="R279" s="1">
        <v>8.75</v>
      </c>
      <c r="S279" s="1" t="s">
        <v>685</v>
      </c>
    </row>
    <row r="280" spans="1:19" s="1" customFormat="1" x14ac:dyDescent="0.25">
      <c r="A280" s="1">
        <v>17126004</v>
      </c>
      <c r="B280" s="1" t="str">
        <f t="shared" si="10"/>
        <v>17126004OVR</v>
      </c>
      <c r="C280" s="1" t="s">
        <v>155</v>
      </c>
      <c r="D280" s="1" t="s">
        <v>156</v>
      </c>
      <c r="E280" s="1" t="str">
        <f t="shared" si="11"/>
        <v>DCRHUFOVR</v>
      </c>
      <c r="F280" s="1" t="s">
        <v>158</v>
      </c>
      <c r="G280" s="1" t="s">
        <v>159</v>
      </c>
      <c r="H280" t="str">
        <f t="shared" si="12"/>
        <v>HELEN BREIDENBACH</v>
      </c>
      <c r="I280" s="1" t="s">
        <v>47</v>
      </c>
      <c r="J280" s="1" t="s">
        <v>74</v>
      </c>
      <c r="K280" s="2">
        <v>46143</v>
      </c>
      <c r="L280" s="1" t="s">
        <v>52</v>
      </c>
      <c r="M280" s="1" t="s">
        <v>64</v>
      </c>
      <c r="N280" s="1" t="s">
        <v>65</v>
      </c>
      <c r="O280" s="1">
        <v>0</v>
      </c>
      <c r="P280" s="1">
        <v>8.75</v>
      </c>
      <c r="Q280" s="1">
        <v>8.75</v>
      </c>
      <c r="R280" s="1">
        <v>8.75</v>
      </c>
      <c r="S280" s="1" t="s">
        <v>685</v>
      </c>
    </row>
    <row r="281" spans="1:19" s="1" customFormat="1" x14ac:dyDescent="0.25">
      <c r="A281" s="1">
        <v>17094718</v>
      </c>
      <c r="B281" s="1" t="str">
        <f t="shared" si="10"/>
        <v>17094718OVR</v>
      </c>
      <c r="C281" s="1" t="s">
        <v>397</v>
      </c>
      <c r="D281" s="1" t="s">
        <v>434</v>
      </c>
      <c r="E281" s="1" t="str">
        <f t="shared" si="11"/>
        <v>DCU77JOVR</v>
      </c>
      <c r="F281" s="1" t="s">
        <v>110</v>
      </c>
      <c r="G281" s="1" t="s">
        <v>436</v>
      </c>
      <c r="H281" t="str">
        <f t="shared" si="12"/>
        <v>MARY MIELE</v>
      </c>
      <c r="I281" s="1" t="s">
        <v>437</v>
      </c>
      <c r="J281" s="1" t="s">
        <v>357</v>
      </c>
      <c r="K281" s="2">
        <v>46143</v>
      </c>
      <c r="L281" s="1" t="s">
        <v>52</v>
      </c>
      <c r="M281" s="1" t="s">
        <v>64</v>
      </c>
      <c r="N281" s="1" t="s">
        <v>65</v>
      </c>
      <c r="O281" s="1">
        <v>0</v>
      </c>
      <c r="P281" s="1">
        <v>8.75</v>
      </c>
      <c r="Q281" s="1">
        <v>8.75</v>
      </c>
      <c r="R281" s="1">
        <v>8.75</v>
      </c>
      <c r="S281" s="1" t="s">
        <v>685</v>
      </c>
    </row>
    <row r="282" spans="1:19" s="1" customFormat="1" x14ac:dyDescent="0.25">
      <c r="A282" s="1">
        <v>20212926</v>
      </c>
      <c r="B282" s="1" t="str">
        <f t="shared" si="10"/>
        <v>20212926OVR</v>
      </c>
      <c r="C282" s="1" t="s">
        <v>94</v>
      </c>
      <c r="D282" s="1" t="s">
        <v>172</v>
      </c>
      <c r="E282" s="1" t="str">
        <f t="shared" si="11"/>
        <v>DCY63AOVR</v>
      </c>
      <c r="F282" s="1" t="s">
        <v>174</v>
      </c>
      <c r="G282" s="1" t="s">
        <v>175</v>
      </c>
      <c r="H282" t="str">
        <f t="shared" si="12"/>
        <v>BERTHA CARRILLO</v>
      </c>
      <c r="I282" s="1" t="s">
        <v>47</v>
      </c>
      <c r="J282" s="1" t="s">
        <v>74</v>
      </c>
      <c r="K282" s="2">
        <v>46143</v>
      </c>
      <c r="L282" s="1" t="s">
        <v>52</v>
      </c>
      <c r="M282" s="1" t="s">
        <v>64</v>
      </c>
      <c r="N282" s="1" t="s">
        <v>65</v>
      </c>
      <c r="O282" s="1">
        <v>0</v>
      </c>
      <c r="P282" s="1">
        <v>8.75</v>
      </c>
      <c r="Q282" s="1">
        <v>8.75</v>
      </c>
      <c r="R282" s="1">
        <v>8.75</v>
      </c>
      <c r="S282" s="1" t="s">
        <v>685</v>
      </c>
    </row>
    <row r="283" spans="1:19" s="1" customFormat="1" x14ac:dyDescent="0.25">
      <c r="A283" s="1">
        <v>19586992</v>
      </c>
      <c r="B283" s="1" t="str">
        <f t="shared" si="10"/>
        <v>19586992OVR</v>
      </c>
      <c r="C283" s="1" t="s">
        <v>42</v>
      </c>
      <c r="D283" s="1" t="s">
        <v>312</v>
      </c>
      <c r="E283" s="1" t="str">
        <f t="shared" si="11"/>
        <v>DCZUZAOVR</v>
      </c>
      <c r="F283" s="1" t="s">
        <v>115</v>
      </c>
      <c r="G283" s="1" t="s">
        <v>314</v>
      </c>
      <c r="H283" t="str">
        <f t="shared" si="12"/>
        <v>PETER GOWOROWSKI</v>
      </c>
      <c r="I283" s="1" t="s">
        <v>47</v>
      </c>
      <c r="J283" s="1" t="s">
        <v>83</v>
      </c>
      <c r="K283" s="2">
        <v>46143</v>
      </c>
      <c r="L283" s="1" t="s">
        <v>85</v>
      </c>
      <c r="M283" s="1" t="s">
        <v>64</v>
      </c>
      <c r="N283" s="1" t="s">
        <v>65</v>
      </c>
      <c r="O283" s="1">
        <v>0</v>
      </c>
      <c r="P283" s="1">
        <v>8.75</v>
      </c>
      <c r="Q283" s="1">
        <v>8.75</v>
      </c>
      <c r="R283" s="1">
        <v>8.75</v>
      </c>
      <c r="S283" s="1" t="s">
        <v>685</v>
      </c>
    </row>
    <row r="284" spans="1:19" s="1" customFormat="1" x14ac:dyDescent="0.25">
      <c r="A284" s="1">
        <v>7470776</v>
      </c>
      <c r="B284" s="1" t="str">
        <f t="shared" si="10"/>
        <v>7470776OVR</v>
      </c>
      <c r="C284" s="1" t="s">
        <v>208</v>
      </c>
      <c r="D284" s="1" t="s">
        <v>233</v>
      </c>
      <c r="E284" s="1" t="str">
        <f t="shared" si="11"/>
        <v>DE72ZCOVR</v>
      </c>
      <c r="F284" s="1" t="s">
        <v>235</v>
      </c>
      <c r="G284" s="1" t="s">
        <v>231</v>
      </c>
      <c r="H284" t="str">
        <f t="shared" si="12"/>
        <v>LAVERNE DONATO</v>
      </c>
      <c r="I284" s="1" t="s">
        <v>47</v>
      </c>
      <c r="J284" s="1" t="s">
        <v>74</v>
      </c>
      <c r="K284" s="2">
        <v>46143</v>
      </c>
      <c r="L284" s="1" t="s">
        <v>52</v>
      </c>
      <c r="M284" s="1" t="s">
        <v>64</v>
      </c>
      <c r="N284" s="1" t="s">
        <v>65</v>
      </c>
      <c r="O284" s="1">
        <v>0</v>
      </c>
      <c r="P284" s="1">
        <v>8.75</v>
      </c>
      <c r="Q284" s="1">
        <v>8.75</v>
      </c>
      <c r="R284" s="1">
        <v>8.75</v>
      </c>
      <c r="S284" s="1" t="s">
        <v>685</v>
      </c>
    </row>
    <row r="285" spans="1:19" s="1" customFormat="1" x14ac:dyDescent="0.25">
      <c r="A285" s="1">
        <v>19396223</v>
      </c>
      <c r="B285" s="1" t="str">
        <f t="shared" si="10"/>
        <v>19396223OVR</v>
      </c>
      <c r="C285" s="1" t="s">
        <v>266</v>
      </c>
      <c r="D285" s="1" t="s">
        <v>464</v>
      </c>
      <c r="E285" s="1" t="str">
        <f t="shared" si="11"/>
        <v>DE9J4KOVR</v>
      </c>
      <c r="F285" s="1" t="s">
        <v>466</v>
      </c>
      <c r="G285" s="1" t="s">
        <v>467</v>
      </c>
      <c r="H285" t="str">
        <f t="shared" si="12"/>
        <v>LASHUN NELSON</v>
      </c>
      <c r="I285" s="1" t="s">
        <v>47</v>
      </c>
      <c r="J285" s="1" t="s">
        <v>74</v>
      </c>
      <c r="K285" s="2">
        <v>46143</v>
      </c>
      <c r="L285" s="1" t="s">
        <v>52</v>
      </c>
      <c r="M285" s="1" t="s">
        <v>64</v>
      </c>
      <c r="N285" s="1" t="s">
        <v>65</v>
      </c>
      <c r="O285" s="1">
        <v>0</v>
      </c>
      <c r="P285" s="1">
        <v>8.75</v>
      </c>
      <c r="Q285" s="1">
        <v>8.75</v>
      </c>
      <c r="R285" s="1">
        <v>8.75</v>
      </c>
      <c r="S285" s="1" t="s">
        <v>685</v>
      </c>
    </row>
    <row r="286" spans="1:19" s="1" customFormat="1" x14ac:dyDescent="0.25">
      <c r="A286" s="1">
        <v>2158366</v>
      </c>
      <c r="B286" s="1" t="str">
        <f t="shared" si="10"/>
        <v>2158366OVR</v>
      </c>
      <c r="C286" s="1" t="s">
        <v>107</v>
      </c>
      <c r="D286" s="1" t="s">
        <v>122</v>
      </c>
      <c r="E286" s="1" t="str">
        <f t="shared" si="11"/>
        <v>DEAGYAOVR</v>
      </c>
      <c r="F286" s="1" t="s">
        <v>124</v>
      </c>
      <c r="G286" s="1" t="s">
        <v>125</v>
      </c>
      <c r="H286" t="str">
        <f t="shared" si="12"/>
        <v>ROBERT BAUER JR</v>
      </c>
      <c r="I286" s="1" t="s">
        <v>126</v>
      </c>
      <c r="J286" s="1" t="s">
        <v>128</v>
      </c>
      <c r="K286" s="2">
        <v>46143</v>
      </c>
      <c r="L286" s="1" t="s">
        <v>85</v>
      </c>
      <c r="M286" s="1" t="s">
        <v>64</v>
      </c>
      <c r="N286" s="1" t="s">
        <v>65</v>
      </c>
      <c r="O286" s="1">
        <v>0</v>
      </c>
      <c r="P286" s="1">
        <v>8.75</v>
      </c>
      <c r="Q286" s="1">
        <v>8.75</v>
      </c>
      <c r="R286" s="1">
        <v>8.75</v>
      </c>
      <c r="S286" s="1" t="s">
        <v>685</v>
      </c>
    </row>
    <row r="287" spans="1:19" s="1" customFormat="1" x14ac:dyDescent="0.25">
      <c r="A287" s="1">
        <v>9213293</v>
      </c>
      <c r="B287" s="1" t="str">
        <f t="shared" si="10"/>
        <v>9213293OVR</v>
      </c>
      <c r="C287" s="1" t="s">
        <v>162</v>
      </c>
      <c r="D287" s="1" t="s">
        <v>200</v>
      </c>
      <c r="E287" s="1" t="str">
        <f t="shared" si="11"/>
        <v>DEU7R5OVR</v>
      </c>
      <c r="F287" s="1" t="s">
        <v>202</v>
      </c>
      <c r="G287" s="1" t="s">
        <v>203</v>
      </c>
      <c r="H287" t="str">
        <f t="shared" si="12"/>
        <v>RUSSELL CORP</v>
      </c>
      <c r="I287" s="1" t="s">
        <v>204</v>
      </c>
      <c r="J287" s="1" t="s">
        <v>74</v>
      </c>
      <c r="K287" s="2">
        <v>46143</v>
      </c>
      <c r="L287" s="1" t="s">
        <v>85</v>
      </c>
      <c r="M287" s="1" t="s">
        <v>64</v>
      </c>
      <c r="N287" s="1" t="s">
        <v>65</v>
      </c>
      <c r="O287" s="1">
        <v>0</v>
      </c>
      <c r="P287" s="1">
        <v>8.75</v>
      </c>
      <c r="Q287" s="1">
        <v>8.75</v>
      </c>
      <c r="R287" s="1">
        <v>8.75</v>
      </c>
      <c r="S287" s="1" t="s">
        <v>685</v>
      </c>
    </row>
    <row r="288" spans="1:19" s="1" customFormat="1" x14ac:dyDescent="0.25">
      <c r="A288" s="1">
        <v>9213293</v>
      </c>
      <c r="B288" s="1" t="str">
        <f t="shared" si="10"/>
        <v>9213293OVR</v>
      </c>
      <c r="C288" s="1" t="s">
        <v>162</v>
      </c>
      <c r="D288" s="1" t="s">
        <v>483</v>
      </c>
      <c r="E288" s="1" t="str">
        <f t="shared" si="11"/>
        <v>DEW7CROVR</v>
      </c>
      <c r="F288" s="1" t="s">
        <v>382</v>
      </c>
      <c r="G288" s="1" t="s">
        <v>485</v>
      </c>
      <c r="H288" t="str">
        <f t="shared" si="12"/>
        <v>PATRICIA PROCHASKA</v>
      </c>
      <c r="I288" s="1" t="s">
        <v>47</v>
      </c>
      <c r="J288" s="1" t="s">
        <v>364</v>
      </c>
      <c r="K288" s="2">
        <v>46143</v>
      </c>
      <c r="L288" s="1" t="s">
        <v>85</v>
      </c>
      <c r="M288" s="1" t="s">
        <v>64</v>
      </c>
      <c r="N288" s="1" t="s">
        <v>65</v>
      </c>
      <c r="O288" s="1">
        <v>0</v>
      </c>
      <c r="P288" s="1">
        <v>8.75</v>
      </c>
      <c r="Q288" s="1">
        <v>8.75</v>
      </c>
      <c r="R288" s="1">
        <v>8.75</v>
      </c>
      <c r="S288" s="1" t="s">
        <v>685</v>
      </c>
    </row>
    <row r="289" spans="1:19" s="1" customFormat="1" x14ac:dyDescent="0.25">
      <c r="A289" s="1">
        <v>2158366</v>
      </c>
      <c r="B289" s="1" t="str">
        <f t="shared" si="10"/>
        <v>2158366OVR</v>
      </c>
      <c r="C289" s="1" t="s">
        <v>107</v>
      </c>
      <c r="D289" s="1" t="s">
        <v>113</v>
      </c>
      <c r="E289" s="1" t="str">
        <f t="shared" si="11"/>
        <v>DFE232OVR</v>
      </c>
      <c r="F289" s="1" t="s">
        <v>115</v>
      </c>
      <c r="G289" s="1" t="s">
        <v>111</v>
      </c>
      <c r="H289" t="str">
        <f t="shared" si="12"/>
        <v>PETER BARR</v>
      </c>
      <c r="I289" s="1" t="s">
        <v>47</v>
      </c>
      <c r="J289" s="1" t="s">
        <v>74</v>
      </c>
      <c r="K289" s="2">
        <v>46143</v>
      </c>
      <c r="L289" s="1" t="s">
        <v>85</v>
      </c>
      <c r="M289" s="1" t="s">
        <v>64</v>
      </c>
      <c r="N289" s="1" t="s">
        <v>65</v>
      </c>
      <c r="O289" s="1">
        <v>0</v>
      </c>
      <c r="P289" s="1">
        <v>8.75</v>
      </c>
      <c r="Q289" s="1">
        <v>8.75</v>
      </c>
      <c r="R289" s="1">
        <v>8.75</v>
      </c>
      <c r="S289" s="1" t="s">
        <v>685</v>
      </c>
    </row>
    <row r="290" spans="1:19" s="1" customFormat="1" x14ac:dyDescent="0.25">
      <c r="A290" s="1">
        <v>17301495</v>
      </c>
      <c r="B290" s="1" t="str">
        <f t="shared" si="10"/>
        <v>17301495OVR</v>
      </c>
      <c r="C290" s="1" t="s">
        <v>56</v>
      </c>
      <c r="D290" s="1" t="s">
        <v>323</v>
      </c>
      <c r="E290" s="1" t="str">
        <f t="shared" si="11"/>
        <v>DG4GHGOVR</v>
      </c>
      <c r="F290" s="1" t="s">
        <v>325</v>
      </c>
      <c r="G290" s="1" t="s">
        <v>326</v>
      </c>
      <c r="H290" t="str">
        <f t="shared" si="12"/>
        <v>HECTOR HERNANDEZ</v>
      </c>
      <c r="I290" s="1" t="s">
        <v>47</v>
      </c>
      <c r="J290" s="1" t="s">
        <v>128</v>
      </c>
      <c r="K290" s="2">
        <v>46143</v>
      </c>
      <c r="L290" s="1" t="s">
        <v>85</v>
      </c>
      <c r="M290" s="1" t="s">
        <v>64</v>
      </c>
      <c r="N290" s="1" t="s">
        <v>65</v>
      </c>
      <c r="O290" s="1">
        <v>0</v>
      </c>
      <c r="P290" s="1">
        <v>8.75</v>
      </c>
      <c r="Q290" s="1">
        <v>8.75</v>
      </c>
      <c r="R290" s="1">
        <v>8.75</v>
      </c>
      <c r="S290" s="1" t="s">
        <v>685</v>
      </c>
    </row>
    <row r="291" spans="1:19" s="1" customFormat="1" x14ac:dyDescent="0.25">
      <c r="A291" s="1">
        <v>16633294</v>
      </c>
      <c r="B291" s="1" t="str">
        <f t="shared" si="10"/>
        <v>16633294OVR</v>
      </c>
      <c r="C291" s="1" t="s">
        <v>540</v>
      </c>
      <c r="D291" s="1" t="s">
        <v>573</v>
      </c>
      <c r="E291" s="1" t="str">
        <f t="shared" si="11"/>
        <v>DG6YEFOVR</v>
      </c>
      <c r="F291" s="1" t="s">
        <v>538</v>
      </c>
      <c r="G291" s="1" t="s">
        <v>572</v>
      </c>
      <c r="H291" t="str">
        <f t="shared" si="12"/>
        <v>SCOTT SMITH</v>
      </c>
      <c r="I291" s="1" t="s">
        <v>47</v>
      </c>
      <c r="J291" s="1" t="s">
        <v>74</v>
      </c>
      <c r="K291" s="2">
        <v>46143</v>
      </c>
      <c r="L291" s="1" t="s">
        <v>52</v>
      </c>
      <c r="M291" s="1" t="s">
        <v>64</v>
      </c>
      <c r="N291" s="1" t="s">
        <v>65</v>
      </c>
      <c r="O291" s="1">
        <v>0</v>
      </c>
      <c r="P291" s="1">
        <v>8.75</v>
      </c>
      <c r="Q291" s="1">
        <v>8.75</v>
      </c>
      <c r="R291" s="1">
        <v>8.75</v>
      </c>
      <c r="S291" s="1" t="s">
        <v>685</v>
      </c>
    </row>
    <row r="292" spans="1:19" s="1" customFormat="1" x14ac:dyDescent="0.25">
      <c r="A292" s="1">
        <v>18142208</v>
      </c>
      <c r="B292" s="1" t="str">
        <f t="shared" si="10"/>
        <v>18142208OVR</v>
      </c>
      <c r="C292" s="1" t="s">
        <v>67</v>
      </c>
      <c r="D292" s="1" t="s">
        <v>68</v>
      </c>
      <c r="E292" s="1" t="str">
        <f t="shared" si="11"/>
        <v>DG9922OVR</v>
      </c>
      <c r="F292" s="1" t="s">
        <v>70</v>
      </c>
      <c r="G292" s="1" t="s">
        <v>71</v>
      </c>
      <c r="H292" t="str">
        <f t="shared" si="12"/>
        <v>MARILYN ANDERSON</v>
      </c>
      <c r="I292" s="1" t="s">
        <v>72</v>
      </c>
      <c r="J292" s="1" t="s">
        <v>74</v>
      </c>
      <c r="K292" s="2">
        <v>46143</v>
      </c>
      <c r="L292" s="1" t="s">
        <v>52</v>
      </c>
      <c r="M292" s="1" t="s">
        <v>64</v>
      </c>
      <c r="N292" s="1" t="s">
        <v>65</v>
      </c>
      <c r="O292" s="1">
        <v>0</v>
      </c>
      <c r="P292" s="1">
        <v>8.75</v>
      </c>
      <c r="Q292" s="1">
        <v>8.75</v>
      </c>
      <c r="R292" s="1">
        <v>8.75</v>
      </c>
      <c r="S292" s="1" t="s">
        <v>685</v>
      </c>
    </row>
    <row r="293" spans="1:19" s="1" customFormat="1" x14ac:dyDescent="0.25">
      <c r="A293" s="1">
        <v>16683808</v>
      </c>
      <c r="B293" s="1" t="str">
        <f t="shared" si="10"/>
        <v>16683808OVR</v>
      </c>
      <c r="C293" s="1" t="s">
        <v>237</v>
      </c>
      <c r="D293" s="1" t="s">
        <v>238</v>
      </c>
      <c r="E293" s="1" t="str">
        <f t="shared" si="11"/>
        <v>DH28HSOVR</v>
      </c>
      <c r="F293" s="1" t="s">
        <v>240</v>
      </c>
      <c r="G293" s="1" t="s">
        <v>241</v>
      </c>
      <c r="H293" t="str">
        <f t="shared" si="12"/>
        <v>MELQUEA EDWARDS</v>
      </c>
      <c r="I293" s="1" t="s">
        <v>81</v>
      </c>
      <c r="J293" s="1" t="s">
        <v>243</v>
      </c>
      <c r="K293" s="2">
        <v>46143</v>
      </c>
      <c r="L293" s="1" t="s">
        <v>52</v>
      </c>
      <c r="M293" s="1" t="s">
        <v>64</v>
      </c>
      <c r="N293" s="1" t="s">
        <v>65</v>
      </c>
      <c r="O293" s="1">
        <v>0</v>
      </c>
      <c r="P293" s="1">
        <v>8.75</v>
      </c>
      <c r="Q293" s="1">
        <v>8.75</v>
      </c>
      <c r="R293" s="1">
        <v>8.75</v>
      </c>
      <c r="S293" s="1" t="s">
        <v>685</v>
      </c>
    </row>
    <row r="294" spans="1:19" s="1" customFormat="1" x14ac:dyDescent="0.25">
      <c r="A294" s="1">
        <v>17126004</v>
      </c>
      <c r="B294" s="1" t="str">
        <f t="shared" si="10"/>
        <v>17126004OVR</v>
      </c>
      <c r="C294" s="1" t="s">
        <v>155</v>
      </c>
      <c r="D294" s="1" t="s">
        <v>217</v>
      </c>
      <c r="E294" s="1" t="str">
        <f t="shared" si="11"/>
        <v>DHF6GKOVR</v>
      </c>
      <c r="F294" s="1" t="s">
        <v>219</v>
      </c>
      <c r="G294" s="1" t="s">
        <v>220</v>
      </c>
      <c r="H294" t="str">
        <f t="shared" si="12"/>
        <v>RALPH DE LA FUENTE</v>
      </c>
      <c r="I294" s="1" t="s">
        <v>126</v>
      </c>
      <c r="J294" s="1" t="s">
        <v>222</v>
      </c>
      <c r="K294" s="2">
        <v>46143</v>
      </c>
      <c r="L294" s="1" t="s">
        <v>52</v>
      </c>
      <c r="M294" s="1" t="s">
        <v>64</v>
      </c>
      <c r="N294" s="1" t="s">
        <v>65</v>
      </c>
      <c r="O294" s="1">
        <v>0</v>
      </c>
      <c r="P294" s="1">
        <v>8.75</v>
      </c>
      <c r="Q294" s="1">
        <v>8.75</v>
      </c>
      <c r="R294" s="1">
        <v>8.75</v>
      </c>
      <c r="S294" s="1" t="s">
        <v>685</v>
      </c>
    </row>
    <row r="295" spans="1:19" s="1" customFormat="1" x14ac:dyDescent="0.25">
      <c r="A295" s="1">
        <v>19586992</v>
      </c>
      <c r="B295" s="1" t="str">
        <f t="shared" si="10"/>
        <v>19586992OVR</v>
      </c>
      <c r="C295" s="1" t="s">
        <v>42</v>
      </c>
      <c r="D295" s="1" t="s">
        <v>345</v>
      </c>
      <c r="E295" s="1" t="str">
        <f t="shared" si="11"/>
        <v>DHRYRAOVR</v>
      </c>
      <c r="F295" s="1" t="s">
        <v>347</v>
      </c>
      <c r="G295" s="1" t="s">
        <v>348</v>
      </c>
      <c r="H295" t="str">
        <f t="shared" si="12"/>
        <v>CATHERINE JAMES</v>
      </c>
      <c r="I295" s="1" t="s">
        <v>47</v>
      </c>
      <c r="J295" s="1" t="s">
        <v>74</v>
      </c>
      <c r="K295" s="2">
        <v>46143</v>
      </c>
      <c r="L295" s="1" t="s">
        <v>100</v>
      </c>
      <c r="M295" s="1" t="s">
        <v>64</v>
      </c>
      <c r="N295" s="1" t="s">
        <v>65</v>
      </c>
      <c r="O295" s="1">
        <v>0</v>
      </c>
      <c r="P295" s="1">
        <v>8.75</v>
      </c>
      <c r="Q295" s="1">
        <v>8.75</v>
      </c>
      <c r="R295" s="1">
        <v>8.75</v>
      </c>
      <c r="S295" s="1" t="s">
        <v>685</v>
      </c>
    </row>
    <row r="296" spans="1:19" s="1" customFormat="1" x14ac:dyDescent="0.25">
      <c r="A296" s="1">
        <v>7470776</v>
      </c>
      <c r="B296" s="1" t="str">
        <f t="shared" si="10"/>
        <v>7470776OVR</v>
      </c>
      <c r="C296" s="1" t="s">
        <v>208</v>
      </c>
      <c r="D296" s="1" t="s">
        <v>228</v>
      </c>
      <c r="E296" s="1" t="str">
        <f t="shared" si="11"/>
        <v>DHSKKFOVR</v>
      </c>
      <c r="F296" s="1" t="s">
        <v>230</v>
      </c>
      <c r="G296" s="1" t="s">
        <v>231</v>
      </c>
      <c r="H296" t="str">
        <f t="shared" si="12"/>
        <v>CASIMER DONATO</v>
      </c>
      <c r="I296" s="1" t="s">
        <v>47</v>
      </c>
      <c r="J296" s="1" t="s">
        <v>74</v>
      </c>
      <c r="K296" s="2">
        <v>46143</v>
      </c>
      <c r="L296" s="1" t="s">
        <v>52</v>
      </c>
      <c r="M296" s="1" t="s">
        <v>64</v>
      </c>
      <c r="N296" s="1" t="s">
        <v>65</v>
      </c>
      <c r="O296" s="1">
        <v>0</v>
      </c>
      <c r="P296" s="1">
        <v>8.75</v>
      </c>
      <c r="Q296" s="1">
        <v>8.75</v>
      </c>
      <c r="R296" s="1">
        <v>8.75</v>
      </c>
      <c r="S296" s="1" t="s">
        <v>685</v>
      </c>
    </row>
    <row r="297" spans="1:19" s="1" customFormat="1" x14ac:dyDescent="0.25">
      <c r="A297" s="1">
        <v>17301495</v>
      </c>
      <c r="B297" s="1" t="str">
        <f t="shared" si="10"/>
        <v>17301495OVR</v>
      </c>
      <c r="C297" s="1" t="s">
        <v>56</v>
      </c>
      <c r="D297" s="1" t="s">
        <v>116</v>
      </c>
      <c r="E297" s="1" t="str">
        <f t="shared" si="11"/>
        <v>DJ4K76OVR</v>
      </c>
      <c r="F297" s="1" t="s">
        <v>118</v>
      </c>
      <c r="G297" s="1" t="s">
        <v>119</v>
      </c>
      <c r="H297" t="str">
        <f t="shared" si="12"/>
        <v>MARYLINE BARRAUD</v>
      </c>
      <c r="I297" s="1" t="s">
        <v>47</v>
      </c>
      <c r="J297" s="1" t="s">
        <v>121</v>
      </c>
      <c r="K297" s="2">
        <v>46143</v>
      </c>
      <c r="L297" s="1" t="s">
        <v>85</v>
      </c>
      <c r="M297" s="1" t="s">
        <v>64</v>
      </c>
      <c r="N297" s="1" t="s">
        <v>65</v>
      </c>
      <c r="O297" s="1">
        <v>0</v>
      </c>
      <c r="P297" s="1">
        <v>8.75</v>
      </c>
      <c r="Q297" s="1">
        <v>8.75</v>
      </c>
      <c r="R297" s="1">
        <v>8.75</v>
      </c>
      <c r="S297" s="1" t="s">
        <v>685</v>
      </c>
    </row>
    <row r="298" spans="1:19" s="1" customFormat="1" x14ac:dyDescent="0.25">
      <c r="A298" s="1">
        <v>19586992</v>
      </c>
      <c r="B298" s="1" t="str">
        <f t="shared" si="10"/>
        <v>19586992OVR</v>
      </c>
      <c r="C298" s="1" t="s">
        <v>42</v>
      </c>
      <c r="D298" s="1" t="s">
        <v>569</v>
      </c>
      <c r="E298" s="1" t="str">
        <f t="shared" si="11"/>
        <v>DJGRC4OVR</v>
      </c>
      <c r="F298" s="1" t="s">
        <v>571</v>
      </c>
      <c r="G298" s="1" t="s">
        <v>572</v>
      </c>
      <c r="H298" t="str">
        <f t="shared" si="12"/>
        <v>KIM SMITH</v>
      </c>
      <c r="I298" s="1" t="s">
        <v>437</v>
      </c>
      <c r="J298" s="1" t="s">
        <v>74</v>
      </c>
      <c r="K298" s="2">
        <v>46143</v>
      </c>
      <c r="L298" s="1" t="s">
        <v>85</v>
      </c>
      <c r="M298" s="1" t="s">
        <v>64</v>
      </c>
      <c r="N298" s="1" t="s">
        <v>65</v>
      </c>
      <c r="O298" s="1">
        <v>0</v>
      </c>
      <c r="P298" s="1">
        <v>8.75</v>
      </c>
      <c r="Q298" s="1">
        <v>8.75</v>
      </c>
      <c r="R298" s="1">
        <v>8.75</v>
      </c>
      <c r="S298" s="1" t="s">
        <v>685</v>
      </c>
    </row>
    <row r="299" spans="1:19" s="1" customFormat="1" x14ac:dyDescent="0.25">
      <c r="A299" s="1">
        <v>17126004</v>
      </c>
      <c r="B299" s="1" t="str">
        <f t="shared" si="10"/>
        <v>17126004OVR</v>
      </c>
      <c r="C299" s="1" t="s">
        <v>155</v>
      </c>
      <c r="D299" s="1" t="s">
        <v>277</v>
      </c>
      <c r="E299" s="1" t="str">
        <f t="shared" si="11"/>
        <v>DJHS47OVR</v>
      </c>
      <c r="F299" s="1" t="s">
        <v>279</v>
      </c>
      <c r="G299" s="1" t="s">
        <v>280</v>
      </c>
      <c r="H299" t="str">
        <f t="shared" si="12"/>
        <v>ELIZABETH FALCONER</v>
      </c>
      <c r="I299" s="1" t="s">
        <v>47</v>
      </c>
      <c r="J299" s="1" t="s">
        <v>222</v>
      </c>
      <c r="K299" s="2">
        <v>46143</v>
      </c>
      <c r="L299" s="1" t="s">
        <v>52</v>
      </c>
      <c r="M299" s="1" t="s">
        <v>64</v>
      </c>
      <c r="N299" s="1" t="s">
        <v>65</v>
      </c>
      <c r="O299" s="1">
        <v>0</v>
      </c>
      <c r="P299" s="1">
        <v>8.75</v>
      </c>
      <c r="Q299" s="1">
        <v>8.75</v>
      </c>
      <c r="R299" s="1">
        <v>8.75</v>
      </c>
      <c r="S299" s="1" t="s">
        <v>685</v>
      </c>
    </row>
    <row r="300" spans="1:19" s="1" customFormat="1" x14ac:dyDescent="0.25">
      <c r="A300" s="1">
        <v>7146581</v>
      </c>
      <c r="B300" s="1" t="str">
        <f t="shared" si="10"/>
        <v>7146581OVR</v>
      </c>
      <c r="C300" s="1" t="s">
        <v>87</v>
      </c>
      <c r="D300" s="1" t="s">
        <v>590</v>
      </c>
      <c r="E300" s="1" t="str">
        <f t="shared" si="11"/>
        <v>DJJ9HYOVR</v>
      </c>
      <c r="F300" s="1" t="s">
        <v>592</v>
      </c>
      <c r="G300" s="1" t="s">
        <v>593</v>
      </c>
      <c r="H300" t="str">
        <f t="shared" si="12"/>
        <v>MARK STEPHANO</v>
      </c>
      <c r="I300" s="1" t="s">
        <v>47</v>
      </c>
      <c r="J300" s="1" t="s">
        <v>74</v>
      </c>
      <c r="K300" s="2">
        <v>46143</v>
      </c>
      <c r="L300" s="1" t="s">
        <v>52</v>
      </c>
      <c r="M300" s="1" t="s">
        <v>64</v>
      </c>
      <c r="N300" s="1" t="s">
        <v>65</v>
      </c>
      <c r="O300" s="1">
        <v>0</v>
      </c>
      <c r="P300" s="1">
        <v>8.75</v>
      </c>
      <c r="Q300" s="1">
        <v>8.75</v>
      </c>
      <c r="R300" s="1">
        <v>8.75</v>
      </c>
      <c r="S300" s="1" t="s">
        <v>685</v>
      </c>
    </row>
    <row r="301" spans="1:19" s="1" customFormat="1" x14ac:dyDescent="0.25">
      <c r="A301" s="1">
        <v>17126004</v>
      </c>
      <c r="B301" s="1" t="str">
        <f t="shared" si="10"/>
        <v>17126004OVR</v>
      </c>
      <c r="C301" s="1" t="s">
        <v>155</v>
      </c>
      <c r="D301" s="1" t="s">
        <v>415</v>
      </c>
      <c r="E301" s="1" t="str">
        <f t="shared" si="11"/>
        <v>DK5Y9FOVR</v>
      </c>
      <c r="F301" s="1" t="s">
        <v>417</v>
      </c>
      <c r="G301" s="1" t="s">
        <v>418</v>
      </c>
      <c r="H301" t="str">
        <f t="shared" si="12"/>
        <v>PETROS MARKOPOULOS</v>
      </c>
      <c r="I301" s="1" t="s">
        <v>126</v>
      </c>
      <c r="J301" s="1" t="s">
        <v>74</v>
      </c>
      <c r="K301" s="2">
        <v>46143</v>
      </c>
      <c r="L301" s="1" t="s">
        <v>85</v>
      </c>
      <c r="M301" s="1" t="s">
        <v>64</v>
      </c>
      <c r="N301" s="1" t="s">
        <v>65</v>
      </c>
      <c r="O301" s="1">
        <v>0</v>
      </c>
      <c r="P301" s="1">
        <v>8.75</v>
      </c>
      <c r="Q301" s="1">
        <v>8.75</v>
      </c>
      <c r="R301" s="1">
        <v>8.75</v>
      </c>
      <c r="S301" s="1" t="s">
        <v>685</v>
      </c>
    </row>
    <row r="302" spans="1:19" s="1" customFormat="1" x14ac:dyDescent="0.25">
      <c r="A302" s="1">
        <v>16865615</v>
      </c>
      <c r="B302" s="1" t="str">
        <f t="shared" si="10"/>
        <v>16865615OVR</v>
      </c>
      <c r="C302" s="1" t="s">
        <v>351</v>
      </c>
      <c r="D302" s="1" t="s">
        <v>633</v>
      </c>
      <c r="E302" s="1" t="str">
        <f t="shared" si="11"/>
        <v>DK8GWEOVR</v>
      </c>
      <c r="F302" s="1" t="s">
        <v>386</v>
      </c>
      <c r="G302" s="1" t="s">
        <v>635</v>
      </c>
      <c r="H302" t="str">
        <f t="shared" si="12"/>
        <v>SANDRA WATERS</v>
      </c>
      <c r="I302" s="1" t="s">
        <v>356</v>
      </c>
      <c r="J302" s="1" t="s">
        <v>74</v>
      </c>
      <c r="K302" s="2">
        <v>46143</v>
      </c>
      <c r="L302" s="1" t="s">
        <v>52</v>
      </c>
      <c r="M302" s="1" t="s">
        <v>64</v>
      </c>
      <c r="N302" s="1" t="s">
        <v>65</v>
      </c>
      <c r="O302" s="1">
        <v>0</v>
      </c>
      <c r="P302" s="1">
        <v>8.75</v>
      </c>
      <c r="Q302" s="1">
        <v>8.75</v>
      </c>
      <c r="R302" s="1">
        <v>8.75</v>
      </c>
      <c r="S302" s="1" t="s">
        <v>685</v>
      </c>
    </row>
    <row r="303" spans="1:19" s="1" customFormat="1" x14ac:dyDescent="0.25">
      <c r="A303" s="1">
        <v>9213293</v>
      </c>
      <c r="B303" s="1" t="str">
        <f t="shared" si="10"/>
        <v>9213293OVR</v>
      </c>
      <c r="C303" s="1" t="s">
        <v>162</v>
      </c>
      <c r="D303" s="1" t="s">
        <v>558</v>
      </c>
      <c r="E303" s="1" t="str">
        <f t="shared" si="11"/>
        <v>DR4826OVR</v>
      </c>
      <c r="F303" s="1" t="s">
        <v>560</v>
      </c>
      <c r="G303" s="1" t="s">
        <v>561</v>
      </c>
      <c r="H303" t="str">
        <f t="shared" si="12"/>
        <v>DONALD SCHMIDT</v>
      </c>
      <c r="I303" s="1" t="s">
        <v>81</v>
      </c>
      <c r="J303" s="1" t="s">
        <v>49</v>
      </c>
      <c r="K303" s="2">
        <v>46143</v>
      </c>
      <c r="L303" s="1" t="s">
        <v>52</v>
      </c>
      <c r="M303" s="1" t="s">
        <v>64</v>
      </c>
      <c r="N303" s="1" t="s">
        <v>65</v>
      </c>
      <c r="O303" s="1">
        <v>0</v>
      </c>
      <c r="P303" s="1">
        <v>8.75</v>
      </c>
      <c r="Q303" s="1">
        <v>8.75</v>
      </c>
      <c r="R303" s="1">
        <v>8.75</v>
      </c>
      <c r="S303" s="1" t="s">
        <v>685</v>
      </c>
    </row>
    <row r="304" spans="1:19" s="1" customFormat="1" x14ac:dyDescent="0.25">
      <c r="A304" s="1">
        <v>20212926</v>
      </c>
      <c r="B304" s="1" t="str">
        <f t="shared" si="10"/>
        <v>20212926OVR</v>
      </c>
      <c r="C304" s="1" t="s">
        <v>94</v>
      </c>
      <c r="D304" s="1" t="s">
        <v>658</v>
      </c>
      <c r="E304" s="1" t="str">
        <f t="shared" si="11"/>
        <v>DR59AAOVR</v>
      </c>
      <c r="F304" s="1" t="s">
        <v>341</v>
      </c>
      <c r="G304" s="1" t="s">
        <v>660</v>
      </c>
      <c r="H304" t="str">
        <f t="shared" si="12"/>
        <v>MARIA YUQUILIMA</v>
      </c>
      <c r="I304" s="1" t="s">
        <v>47</v>
      </c>
      <c r="J304" s="1" t="s">
        <v>62</v>
      </c>
      <c r="K304" s="2">
        <v>46143</v>
      </c>
      <c r="L304" s="1" t="s">
        <v>52</v>
      </c>
      <c r="M304" s="1" t="s">
        <v>64</v>
      </c>
      <c r="N304" s="1" t="s">
        <v>65</v>
      </c>
      <c r="O304" s="1">
        <v>0</v>
      </c>
      <c r="P304" s="1">
        <v>8.75</v>
      </c>
      <c r="Q304" s="1">
        <v>8.75</v>
      </c>
      <c r="R304" s="1">
        <v>8.75</v>
      </c>
      <c r="S304" s="1" t="s">
        <v>685</v>
      </c>
    </row>
    <row r="305" spans="1:19" s="1" customFormat="1" x14ac:dyDescent="0.25">
      <c r="A305" s="1">
        <v>17126004</v>
      </c>
      <c r="B305" s="1" t="str">
        <f t="shared" si="10"/>
        <v>17126004OVR</v>
      </c>
      <c r="C305" s="1" t="s">
        <v>155</v>
      </c>
      <c r="D305" s="1" t="s">
        <v>425</v>
      </c>
      <c r="E305" s="1" t="str">
        <f t="shared" si="11"/>
        <v>DR8EJROVR</v>
      </c>
      <c r="F305" s="1" t="s">
        <v>427</v>
      </c>
      <c r="G305" s="1" t="s">
        <v>428</v>
      </c>
      <c r="H305" t="str">
        <f t="shared" si="12"/>
        <v>THERESA MCAULEY</v>
      </c>
      <c r="I305" s="1" t="s">
        <v>47</v>
      </c>
      <c r="J305" s="1" t="s">
        <v>199</v>
      </c>
      <c r="K305" s="2">
        <v>46143</v>
      </c>
      <c r="L305" s="1" t="s">
        <v>85</v>
      </c>
      <c r="M305" s="1" t="s">
        <v>64</v>
      </c>
      <c r="N305" s="1" t="s">
        <v>65</v>
      </c>
      <c r="O305" s="1">
        <v>0</v>
      </c>
      <c r="P305" s="1">
        <v>8.75</v>
      </c>
      <c r="Q305" s="1">
        <v>8.75</v>
      </c>
      <c r="R305" s="1">
        <v>8.75</v>
      </c>
      <c r="S305" s="1" t="s">
        <v>685</v>
      </c>
    </row>
    <row r="306" spans="1:19" s="1" customFormat="1" x14ac:dyDescent="0.25">
      <c r="A306" s="1">
        <v>7146581</v>
      </c>
      <c r="B306" s="1" t="str">
        <f t="shared" si="10"/>
        <v>7146581OVR</v>
      </c>
      <c r="C306" s="1" t="s">
        <v>87</v>
      </c>
      <c r="D306" s="1" t="s">
        <v>249</v>
      </c>
      <c r="E306" s="1" t="str">
        <f t="shared" si="11"/>
        <v>DR9GSJOVR</v>
      </c>
      <c r="F306" s="1" t="s">
        <v>251</v>
      </c>
      <c r="G306" s="1" t="s">
        <v>252</v>
      </c>
      <c r="H306" t="str">
        <f t="shared" si="12"/>
        <v>SHEILA ENGLISH</v>
      </c>
      <c r="I306" s="1" t="s">
        <v>47</v>
      </c>
      <c r="J306" s="1" t="s">
        <v>74</v>
      </c>
      <c r="K306" s="2">
        <v>46143</v>
      </c>
      <c r="L306" s="1" t="s">
        <v>52</v>
      </c>
      <c r="M306" s="1" t="s">
        <v>64</v>
      </c>
      <c r="N306" s="1" t="s">
        <v>65</v>
      </c>
      <c r="O306" s="1">
        <v>0</v>
      </c>
      <c r="P306" s="1">
        <v>8.75</v>
      </c>
      <c r="Q306" s="1">
        <v>8.75</v>
      </c>
      <c r="R306" s="1">
        <v>8.75</v>
      </c>
      <c r="S306" s="1" t="s">
        <v>685</v>
      </c>
    </row>
    <row r="307" spans="1:19" s="1" customFormat="1" x14ac:dyDescent="0.25">
      <c r="A307" s="1">
        <v>16865615</v>
      </c>
      <c r="B307" s="1" t="str">
        <f t="shared" si="10"/>
        <v>16865615OVR</v>
      </c>
      <c r="C307" s="1" t="s">
        <v>351</v>
      </c>
      <c r="D307" s="1" t="s">
        <v>403</v>
      </c>
      <c r="E307" s="1" t="str">
        <f t="shared" si="11"/>
        <v>DRS326OVR</v>
      </c>
      <c r="F307" s="1" t="s">
        <v>405</v>
      </c>
      <c r="G307" s="1" t="s">
        <v>406</v>
      </c>
      <c r="H307" t="str">
        <f t="shared" si="12"/>
        <v>EUGENE LYZUN</v>
      </c>
      <c r="I307" s="1" t="s">
        <v>47</v>
      </c>
      <c r="J307" s="1" t="s">
        <v>222</v>
      </c>
      <c r="K307" s="2">
        <v>46143</v>
      </c>
      <c r="L307" s="1" t="s">
        <v>52</v>
      </c>
      <c r="M307" s="1" t="s">
        <v>64</v>
      </c>
      <c r="N307" s="1" t="s">
        <v>65</v>
      </c>
      <c r="O307" s="1">
        <v>0</v>
      </c>
      <c r="P307" s="1">
        <v>8.75</v>
      </c>
      <c r="Q307" s="1">
        <v>8.75</v>
      </c>
      <c r="R307" s="1">
        <v>8.75</v>
      </c>
      <c r="S307" s="1" t="s">
        <v>685</v>
      </c>
    </row>
    <row r="308" spans="1:19" s="1" customFormat="1" x14ac:dyDescent="0.25">
      <c r="A308" s="1">
        <v>2158366</v>
      </c>
      <c r="B308" s="1" t="str">
        <f t="shared" si="10"/>
        <v>2158366OVR</v>
      </c>
      <c r="C308" s="1" t="s">
        <v>107</v>
      </c>
      <c r="D308" s="1" t="s">
        <v>479</v>
      </c>
      <c r="E308" s="1" t="str">
        <f t="shared" si="11"/>
        <v>DRUSCGOVR</v>
      </c>
      <c r="F308" s="1" t="s">
        <v>481</v>
      </c>
      <c r="G308" s="1" t="s">
        <v>482</v>
      </c>
      <c r="H308" t="str">
        <f t="shared" si="12"/>
        <v>BARBARA POWELL</v>
      </c>
      <c r="I308" s="1" t="s">
        <v>47</v>
      </c>
      <c r="J308" s="1" t="s">
        <v>74</v>
      </c>
      <c r="K308" s="2">
        <v>46143</v>
      </c>
      <c r="L308" s="1" t="s">
        <v>85</v>
      </c>
      <c r="M308" s="1" t="s">
        <v>64</v>
      </c>
      <c r="N308" s="1" t="s">
        <v>65</v>
      </c>
      <c r="O308" s="1">
        <v>0</v>
      </c>
      <c r="P308" s="1">
        <v>8.75</v>
      </c>
      <c r="Q308" s="1">
        <v>8.75</v>
      </c>
      <c r="R308" s="1">
        <v>8.75</v>
      </c>
      <c r="S308" s="1" t="s">
        <v>685</v>
      </c>
    </row>
    <row r="309" spans="1:19" s="1" customFormat="1" x14ac:dyDescent="0.25">
      <c r="A309" s="1">
        <v>19586992</v>
      </c>
      <c r="B309" s="1" t="str">
        <f t="shared" si="10"/>
        <v>19586992OVR</v>
      </c>
      <c r="C309" s="1" t="s">
        <v>42</v>
      </c>
      <c r="D309" s="1" t="s">
        <v>645</v>
      </c>
      <c r="E309" s="1" t="str">
        <f t="shared" si="11"/>
        <v>DRUW3JOVR</v>
      </c>
      <c r="F309" s="1" t="s">
        <v>647</v>
      </c>
      <c r="G309" s="1" t="s">
        <v>648</v>
      </c>
      <c r="H309" t="str">
        <f t="shared" si="12"/>
        <v>NICOLASA WILSON</v>
      </c>
      <c r="I309" s="1" t="s">
        <v>47</v>
      </c>
      <c r="J309" s="1" t="s">
        <v>83</v>
      </c>
      <c r="K309" s="2">
        <v>46143</v>
      </c>
      <c r="L309" s="1" t="s">
        <v>85</v>
      </c>
      <c r="M309" s="1" t="s">
        <v>64</v>
      </c>
      <c r="N309" s="1" t="s">
        <v>65</v>
      </c>
      <c r="O309" s="1">
        <v>0</v>
      </c>
      <c r="P309" s="1">
        <v>8.75</v>
      </c>
      <c r="Q309" s="1">
        <v>8.75</v>
      </c>
      <c r="R309" s="1">
        <v>8.75</v>
      </c>
      <c r="S309" s="1" t="s">
        <v>685</v>
      </c>
    </row>
    <row r="310" spans="1:19" s="1" customFormat="1" x14ac:dyDescent="0.25">
      <c r="A310" s="1">
        <v>17094718</v>
      </c>
      <c r="B310" s="1" t="str">
        <f t="shared" ref="B310:B346" si="13">_xlfn.CONCAT(A310,"OVR")</f>
        <v>17094718OVR</v>
      </c>
      <c r="C310" s="1" t="s">
        <v>397</v>
      </c>
      <c r="D310" s="1" t="s">
        <v>398</v>
      </c>
      <c r="E310" s="1" t="str">
        <f t="shared" ref="E310:E346" si="14">CONCATENATE(D310,"OVR")</f>
        <v>DRZF48OVR</v>
      </c>
      <c r="F310" s="1" t="s">
        <v>382</v>
      </c>
      <c r="G310" s="1" t="s">
        <v>400</v>
      </c>
      <c r="H310" t="str">
        <f t="shared" si="12"/>
        <v>PATRICIA LYDON</v>
      </c>
      <c r="I310" s="1" t="s">
        <v>401</v>
      </c>
      <c r="J310" s="1" t="s">
        <v>74</v>
      </c>
      <c r="K310" s="2">
        <v>46143</v>
      </c>
      <c r="L310" s="1" t="s">
        <v>52</v>
      </c>
      <c r="M310" s="1" t="s">
        <v>64</v>
      </c>
      <c r="N310" s="1" t="s">
        <v>65</v>
      </c>
      <c r="O310" s="1">
        <v>0</v>
      </c>
      <c r="P310" s="1">
        <v>8.75</v>
      </c>
      <c r="Q310" s="1">
        <v>8.75</v>
      </c>
      <c r="R310" s="1">
        <v>8.75</v>
      </c>
      <c r="S310" s="1" t="s">
        <v>685</v>
      </c>
    </row>
    <row r="311" spans="1:19" s="1" customFormat="1" x14ac:dyDescent="0.25">
      <c r="A311" s="1">
        <v>9213293</v>
      </c>
      <c r="B311" s="1" t="str">
        <f t="shared" si="13"/>
        <v>9213293OVR</v>
      </c>
      <c r="C311" s="1" t="s">
        <v>162</v>
      </c>
      <c r="D311" s="1" t="s">
        <v>566</v>
      </c>
      <c r="E311" s="1" t="str">
        <f t="shared" si="14"/>
        <v>DS2K8COVR</v>
      </c>
      <c r="F311" s="1" t="s">
        <v>560</v>
      </c>
      <c r="G311" s="1" t="s">
        <v>568</v>
      </c>
      <c r="H311" t="str">
        <f t="shared" si="12"/>
        <v>DONALD SCHRADER</v>
      </c>
      <c r="I311" s="1" t="s">
        <v>47</v>
      </c>
      <c r="J311" s="1" t="s">
        <v>74</v>
      </c>
      <c r="K311" s="2">
        <v>46143</v>
      </c>
      <c r="L311" s="1" t="s">
        <v>52</v>
      </c>
      <c r="M311" s="1" t="s">
        <v>64</v>
      </c>
      <c r="N311" s="1" t="s">
        <v>65</v>
      </c>
      <c r="O311" s="1">
        <v>0</v>
      </c>
      <c r="P311" s="1">
        <v>8.75</v>
      </c>
      <c r="Q311" s="1">
        <v>8.75</v>
      </c>
      <c r="R311" s="1">
        <v>8.75</v>
      </c>
      <c r="S311" s="1" t="s">
        <v>685</v>
      </c>
    </row>
    <row r="312" spans="1:19" s="1" customFormat="1" x14ac:dyDescent="0.25">
      <c r="A312" s="1">
        <v>16683808</v>
      </c>
      <c r="B312" s="1" t="str">
        <f t="shared" si="13"/>
        <v>16683808OVR</v>
      </c>
      <c r="C312" s="1" t="s">
        <v>237</v>
      </c>
      <c r="D312" s="1" t="s">
        <v>630</v>
      </c>
      <c r="E312" s="1" t="str">
        <f t="shared" si="14"/>
        <v>DS3JW9OVR</v>
      </c>
      <c r="F312" s="1" t="s">
        <v>165</v>
      </c>
      <c r="G312" s="1" t="s">
        <v>632</v>
      </c>
      <c r="H312" t="str">
        <f t="shared" si="12"/>
        <v>JOYCE WARD</v>
      </c>
      <c r="I312" s="1" t="s">
        <v>437</v>
      </c>
      <c r="J312" s="1" t="s">
        <v>74</v>
      </c>
      <c r="K312" s="2">
        <v>46143</v>
      </c>
      <c r="L312" s="1" t="s">
        <v>52</v>
      </c>
      <c r="M312" s="1" t="s">
        <v>64</v>
      </c>
      <c r="N312" s="1" t="s">
        <v>65</v>
      </c>
      <c r="O312" s="1">
        <v>0</v>
      </c>
      <c r="P312" s="1">
        <v>8.75</v>
      </c>
      <c r="Q312" s="1">
        <v>8.75</v>
      </c>
      <c r="R312" s="1">
        <v>8.75</v>
      </c>
      <c r="S312" s="1" t="s">
        <v>685</v>
      </c>
    </row>
    <row r="313" spans="1:19" s="1" customFormat="1" x14ac:dyDescent="0.25">
      <c r="A313" s="1">
        <v>16865615</v>
      </c>
      <c r="B313" s="1" t="str">
        <f t="shared" si="13"/>
        <v>16865615OVR</v>
      </c>
      <c r="C313" s="1" t="s">
        <v>351</v>
      </c>
      <c r="D313" s="1" t="s">
        <v>352</v>
      </c>
      <c r="E313" s="1" t="str">
        <f t="shared" si="14"/>
        <v>DS5GHYOVR</v>
      </c>
      <c r="F313" s="1" t="s">
        <v>354</v>
      </c>
      <c r="G313" s="1" t="s">
        <v>355</v>
      </c>
      <c r="H313" t="str">
        <f t="shared" si="12"/>
        <v>DINO JENERRO</v>
      </c>
      <c r="I313" s="1" t="s">
        <v>356</v>
      </c>
      <c r="J313" s="1" t="s">
        <v>357</v>
      </c>
      <c r="K313" s="2">
        <v>46143</v>
      </c>
      <c r="L313" s="1" t="s">
        <v>52</v>
      </c>
      <c r="M313" s="1" t="s">
        <v>64</v>
      </c>
      <c r="N313" s="1" t="s">
        <v>65</v>
      </c>
      <c r="O313" s="1">
        <v>0</v>
      </c>
      <c r="P313" s="1">
        <v>8.75</v>
      </c>
      <c r="Q313" s="1">
        <v>8.75</v>
      </c>
      <c r="R313" s="1">
        <v>8.75</v>
      </c>
      <c r="S313" s="1" t="s">
        <v>685</v>
      </c>
    </row>
    <row r="314" spans="1:19" s="1" customFormat="1" x14ac:dyDescent="0.25">
      <c r="A314" s="1">
        <v>19586992</v>
      </c>
      <c r="B314" s="1" t="str">
        <f t="shared" si="13"/>
        <v>19586992OVR</v>
      </c>
      <c r="C314" s="1" t="s">
        <v>42</v>
      </c>
      <c r="D314" s="1" t="s">
        <v>223</v>
      </c>
      <c r="E314" s="1" t="str">
        <f t="shared" si="14"/>
        <v>DSF4K7OVR</v>
      </c>
      <c r="F314" s="1" t="s">
        <v>225</v>
      </c>
      <c r="G314" s="1" t="s">
        <v>226</v>
      </c>
      <c r="H314" t="str">
        <f t="shared" si="12"/>
        <v>CANDACE DOBRINO</v>
      </c>
      <c r="I314" s="1" t="s">
        <v>47</v>
      </c>
      <c r="J314" s="1" t="s">
        <v>222</v>
      </c>
      <c r="K314" s="2">
        <v>46143</v>
      </c>
      <c r="L314" s="1" t="s">
        <v>52</v>
      </c>
      <c r="M314" s="1" t="s">
        <v>64</v>
      </c>
      <c r="N314" s="1" t="s">
        <v>65</v>
      </c>
      <c r="O314" s="1">
        <v>0</v>
      </c>
      <c r="P314" s="1">
        <v>8.75</v>
      </c>
      <c r="Q314" s="1">
        <v>8.75</v>
      </c>
      <c r="R314" s="1">
        <v>8.75</v>
      </c>
      <c r="S314" s="1" t="s">
        <v>685</v>
      </c>
    </row>
    <row r="315" spans="1:19" s="1" customFormat="1" x14ac:dyDescent="0.25">
      <c r="A315" s="1">
        <v>17301495</v>
      </c>
      <c r="B315" s="1" t="str">
        <f t="shared" si="13"/>
        <v>17301495OVR</v>
      </c>
      <c r="C315" s="1" t="s">
        <v>56</v>
      </c>
      <c r="D315" s="1" t="s">
        <v>260</v>
      </c>
      <c r="E315" s="1" t="str">
        <f t="shared" si="14"/>
        <v>DSJR7ROVR</v>
      </c>
      <c r="F315" s="1" t="s">
        <v>262</v>
      </c>
      <c r="G315" s="1" t="s">
        <v>263</v>
      </c>
      <c r="H315" t="str">
        <f t="shared" si="12"/>
        <v>GERARDO ESPINOSA</v>
      </c>
      <c r="I315" s="1" t="s">
        <v>47</v>
      </c>
      <c r="J315" s="1" t="s">
        <v>74</v>
      </c>
      <c r="K315" s="2">
        <v>46143</v>
      </c>
      <c r="L315" s="1" t="s">
        <v>52</v>
      </c>
      <c r="M315" s="1" t="s">
        <v>64</v>
      </c>
      <c r="N315" s="1" t="s">
        <v>65</v>
      </c>
      <c r="O315" s="1">
        <v>0</v>
      </c>
      <c r="P315" s="1">
        <v>8.75</v>
      </c>
      <c r="Q315" s="1">
        <v>8.75</v>
      </c>
      <c r="R315" s="1">
        <v>8.75</v>
      </c>
      <c r="S315" s="1" t="s">
        <v>685</v>
      </c>
    </row>
    <row r="316" spans="1:19" s="1" customFormat="1" x14ac:dyDescent="0.25">
      <c r="A316" s="1">
        <v>16378851</v>
      </c>
      <c r="B316" s="1" t="str">
        <f t="shared" si="13"/>
        <v>16378851OVR</v>
      </c>
      <c r="C316" s="1" t="s">
        <v>77</v>
      </c>
      <c r="D316" s="1" t="s">
        <v>78</v>
      </c>
      <c r="E316" s="1" t="str">
        <f t="shared" si="14"/>
        <v>DSW76KOVR</v>
      </c>
      <c r="F316" s="1" t="s">
        <v>80</v>
      </c>
      <c r="G316" s="1" t="s">
        <v>71</v>
      </c>
      <c r="H316" t="str">
        <f t="shared" si="12"/>
        <v>ROSA ANDERSON</v>
      </c>
      <c r="I316" s="1" t="s">
        <v>81</v>
      </c>
      <c r="J316" s="1" t="s">
        <v>83</v>
      </c>
      <c r="K316" s="2">
        <v>46143</v>
      </c>
      <c r="L316" s="1" t="s">
        <v>85</v>
      </c>
      <c r="M316" s="1" t="s">
        <v>64</v>
      </c>
      <c r="N316" s="1" t="s">
        <v>65</v>
      </c>
      <c r="O316" s="1">
        <v>0</v>
      </c>
      <c r="P316" s="1">
        <v>8.75</v>
      </c>
      <c r="Q316" s="1">
        <v>8.75</v>
      </c>
      <c r="R316" s="1">
        <v>8.75</v>
      </c>
      <c r="S316" s="1" t="s">
        <v>685</v>
      </c>
    </row>
    <row r="317" spans="1:19" s="1" customFormat="1" x14ac:dyDescent="0.25">
      <c r="A317" s="1">
        <v>16865615</v>
      </c>
      <c r="B317" s="1" t="str">
        <f t="shared" si="13"/>
        <v>16865615OVR</v>
      </c>
      <c r="C317" s="1" t="s">
        <v>351</v>
      </c>
      <c r="D317" s="1" t="s">
        <v>384</v>
      </c>
      <c r="E317" s="1" t="str">
        <f t="shared" si="14"/>
        <v>DU7JU7OVR</v>
      </c>
      <c r="F317" s="1" t="s">
        <v>386</v>
      </c>
      <c r="G317" s="1" t="s">
        <v>387</v>
      </c>
      <c r="H317" t="str">
        <f t="shared" si="12"/>
        <v>SANDRA LOWELL</v>
      </c>
      <c r="I317" s="1" t="s">
        <v>356</v>
      </c>
      <c r="J317" s="1" t="s">
        <v>62</v>
      </c>
      <c r="K317" s="2">
        <v>46143</v>
      </c>
      <c r="L317" s="1" t="s">
        <v>52</v>
      </c>
      <c r="M317" s="1" t="s">
        <v>64</v>
      </c>
      <c r="N317" s="1" t="s">
        <v>65</v>
      </c>
      <c r="O317" s="1">
        <v>0</v>
      </c>
      <c r="P317" s="1">
        <v>8.75</v>
      </c>
      <c r="Q317" s="1">
        <v>8.75</v>
      </c>
      <c r="R317" s="1">
        <v>8.75</v>
      </c>
      <c r="S317" s="1" t="s">
        <v>685</v>
      </c>
    </row>
    <row r="318" spans="1:19" s="1" customFormat="1" x14ac:dyDescent="0.25">
      <c r="A318" s="1">
        <v>17126004</v>
      </c>
      <c r="B318" s="1" t="str">
        <f t="shared" si="13"/>
        <v>17126004OVR</v>
      </c>
      <c r="C318" s="1" t="s">
        <v>155</v>
      </c>
      <c r="D318" s="1" t="s">
        <v>194</v>
      </c>
      <c r="E318" s="1" t="str">
        <f t="shared" si="14"/>
        <v>DU896UOVR</v>
      </c>
      <c r="F318" s="1" t="s">
        <v>196</v>
      </c>
      <c r="G318" s="1" t="s">
        <v>197</v>
      </c>
      <c r="H318" t="str">
        <f t="shared" si="12"/>
        <v>LINDA CIANCIO</v>
      </c>
      <c r="I318" s="1" t="s">
        <v>47</v>
      </c>
      <c r="J318" s="1" t="s">
        <v>199</v>
      </c>
      <c r="K318" s="2">
        <v>46143</v>
      </c>
      <c r="L318" s="1" t="s">
        <v>85</v>
      </c>
      <c r="M318" s="1" t="s">
        <v>64</v>
      </c>
      <c r="N318" s="1" t="s">
        <v>65</v>
      </c>
      <c r="O318" s="1">
        <v>0</v>
      </c>
      <c r="P318" s="1">
        <v>8.75</v>
      </c>
      <c r="Q318" s="1">
        <v>8.75</v>
      </c>
      <c r="R318" s="1">
        <v>8.75</v>
      </c>
      <c r="S318" s="1" t="s">
        <v>685</v>
      </c>
    </row>
    <row r="319" spans="1:19" s="1" customFormat="1" x14ac:dyDescent="0.25">
      <c r="A319" s="1">
        <v>17301495</v>
      </c>
      <c r="B319" s="1" t="str">
        <f t="shared" si="13"/>
        <v>17301495OVR</v>
      </c>
      <c r="C319" s="1" t="s">
        <v>56</v>
      </c>
      <c r="D319" s="1" t="s">
        <v>619</v>
      </c>
      <c r="E319" s="1" t="str">
        <f t="shared" si="14"/>
        <v>DUW2FGOVR</v>
      </c>
      <c r="F319" s="1" t="s">
        <v>621</v>
      </c>
      <c r="G319" s="1" t="s">
        <v>622</v>
      </c>
      <c r="H319" t="str">
        <f t="shared" si="12"/>
        <v>EMMA VALE</v>
      </c>
      <c r="I319" s="1" t="s">
        <v>47</v>
      </c>
      <c r="J319" s="1" t="s">
        <v>222</v>
      </c>
      <c r="K319" s="2">
        <v>46143</v>
      </c>
      <c r="L319" s="1" t="s">
        <v>52</v>
      </c>
      <c r="M319" s="1" t="s">
        <v>64</v>
      </c>
      <c r="N319" s="1" t="s">
        <v>65</v>
      </c>
      <c r="O319" s="1">
        <v>0</v>
      </c>
      <c r="P319" s="1">
        <v>8.75</v>
      </c>
      <c r="Q319" s="1">
        <v>8.75</v>
      </c>
      <c r="R319" s="1">
        <v>8.75</v>
      </c>
      <c r="S319" s="1" t="s">
        <v>685</v>
      </c>
    </row>
    <row r="320" spans="1:19" s="1" customFormat="1" x14ac:dyDescent="0.25">
      <c r="A320" s="1">
        <v>19586992</v>
      </c>
      <c r="B320" s="1" t="str">
        <f t="shared" si="13"/>
        <v>19586992OVR</v>
      </c>
      <c r="C320" s="1" t="s">
        <v>42</v>
      </c>
      <c r="D320" s="1" t="s">
        <v>130</v>
      </c>
      <c r="E320" s="1" t="str">
        <f t="shared" si="14"/>
        <v>DUWJJSOVR</v>
      </c>
      <c r="F320" s="1" t="s">
        <v>132</v>
      </c>
      <c r="G320" s="1" t="s">
        <v>133</v>
      </c>
      <c r="H320" t="str">
        <f t="shared" si="12"/>
        <v>ROBERTA BECKMAN</v>
      </c>
      <c r="I320" s="1" t="s">
        <v>47</v>
      </c>
      <c r="J320" s="1" t="s">
        <v>74</v>
      </c>
      <c r="K320" s="2">
        <v>46143</v>
      </c>
      <c r="L320" s="1" t="s">
        <v>100</v>
      </c>
      <c r="M320" s="1" t="s">
        <v>64</v>
      </c>
      <c r="N320" s="1" t="s">
        <v>65</v>
      </c>
      <c r="O320" s="1">
        <v>0</v>
      </c>
      <c r="P320" s="1">
        <v>8.75</v>
      </c>
      <c r="Q320" s="1">
        <v>8.75</v>
      </c>
      <c r="R320" s="1">
        <v>8.75</v>
      </c>
      <c r="S320" s="1" t="s">
        <v>685</v>
      </c>
    </row>
    <row r="321" spans="1:19" s="1" customFormat="1" x14ac:dyDescent="0.25">
      <c r="A321" s="1">
        <v>16633294</v>
      </c>
      <c r="B321" s="1" t="str">
        <f t="shared" si="13"/>
        <v>16633294OVR</v>
      </c>
      <c r="C321" s="1" t="s">
        <v>540</v>
      </c>
      <c r="D321" s="1" t="s">
        <v>607</v>
      </c>
      <c r="E321" s="1" t="str">
        <f t="shared" si="14"/>
        <v>DWR9FJOVR</v>
      </c>
      <c r="F321" s="1" t="s">
        <v>609</v>
      </c>
      <c r="G321" s="1" t="s">
        <v>610</v>
      </c>
      <c r="H321" t="str">
        <f t="shared" si="12"/>
        <v>KERRY TONGE</v>
      </c>
      <c r="I321" s="1" t="s">
        <v>47</v>
      </c>
      <c r="J321" s="1" t="s">
        <v>74</v>
      </c>
      <c r="K321" s="2">
        <v>46143</v>
      </c>
      <c r="L321" s="1" t="s">
        <v>52</v>
      </c>
      <c r="M321" s="1" t="s">
        <v>64</v>
      </c>
      <c r="N321" s="1" t="s">
        <v>65</v>
      </c>
      <c r="O321" s="1">
        <v>0</v>
      </c>
      <c r="P321" s="1">
        <v>8.75</v>
      </c>
      <c r="Q321" s="1">
        <v>8.75</v>
      </c>
      <c r="R321" s="1">
        <v>8.75</v>
      </c>
      <c r="S321" s="1" t="s">
        <v>685</v>
      </c>
    </row>
    <row r="322" spans="1:19" s="1" customFormat="1" x14ac:dyDescent="0.25">
      <c r="A322" s="1">
        <v>18754354</v>
      </c>
      <c r="B322" s="1" t="str">
        <f t="shared" si="13"/>
        <v>18754354OVR</v>
      </c>
      <c r="C322" s="1" t="s">
        <v>390</v>
      </c>
      <c r="D322" s="1" t="s">
        <v>624</v>
      </c>
      <c r="E322" s="1" t="str">
        <f t="shared" si="14"/>
        <v>DWWCE9OVR</v>
      </c>
      <c r="F322" s="1" t="s">
        <v>626</v>
      </c>
      <c r="G322" s="1" t="s">
        <v>627</v>
      </c>
      <c r="H322" t="str">
        <f t="shared" si="12"/>
        <v>JAN VAN STRAATEN</v>
      </c>
      <c r="I322" s="1" t="s">
        <v>47</v>
      </c>
      <c r="J322" s="1" t="s">
        <v>629</v>
      </c>
      <c r="K322" s="2">
        <v>46143</v>
      </c>
      <c r="L322" s="1" t="s">
        <v>52</v>
      </c>
      <c r="M322" s="1" t="s">
        <v>64</v>
      </c>
      <c r="N322" s="1" t="s">
        <v>65</v>
      </c>
      <c r="O322" s="1">
        <v>0</v>
      </c>
      <c r="P322" s="1">
        <v>8.75</v>
      </c>
      <c r="Q322" s="1">
        <v>8.75</v>
      </c>
      <c r="R322" s="1">
        <v>8.75</v>
      </c>
      <c r="S322" s="1" t="s">
        <v>685</v>
      </c>
    </row>
    <row r="323" spans="1:19" s="1" customFormat="1" x14ac:dyDescent="0.25">
      <c r="A323" s="1">
        <v>7470776</v>
      </c>
      <c r="B323" s="1" t="str">
        <f t="shared" si="13"/>
        <v>7470776OVR</v>
      </c>
      <c r="C323" s="1" t="s">
        <v>208</v>
      </c>
      <c r="D323" s="1" t="s">
        <v>214</v>
      </c>
      <c r="E323" s="1" t="str">
        <f t="shared" si="14"/>
        <v>DWZ7RJOVR</v>
      </c>
      <c r="F323" s="1" t="s">
        <v>216</v>
      </c>
      <c r="G323" s="1" t="s">
        <v>212</v>
      </c>
      <c r="H323" t="str">
        <f t="shared" ref="H323:H346" si="15">CONCATENATE(F323," ",G323)</f>
        <v>PHILLIP CULLEN</v>
      </c>
      <c r="I323" s="1" t="s">
        <v>47</v>
      </c>
      <c r="J323" s="1" t="s">
        <v>74</v>
      </c>
      <c r="K323" s="2">
        <v>46143</v>
      </c>
      <c r="L323" s="1" t="s">
        <v>52</v>
      </c>
      <c r="M323" s="1" t="s">
        <v>64</v>
      </c>
      <c r="N323" s="1" t="s">
        <v>65</v>
      </c>
      <c r="O323" s="1">
        <v>0</v>
      </c>
      <c r="P323" s="1">
        <v>8.75</v>
      </c>
      <c r="Q323" s="1">
        <v>8.75</v>
      </c>
      <c r="R323" s="1">
        <v>8.75</v>
      </c>
      <c r="S323" s="1" t="s">
        <v>685</v>
      </c>
    </row>
    <row r="324" spans="1:19" s="1" customFormat="1" x14ac:dyDescent="0.25">
      <c r="A324" s="1">
        <v>8405446</v>
      </c>
      <c r="B324" s="1" t="str">
        <f t="shared" si="13"/>
        <v>8405446OVR</v>
      </c>
      <c r="C324" s="1" t="s">
        <v>495</v>
      </c>
      <c r="D324" s="1" t="s">
        <v>496</v>
      </c>
      <c r="E324" s="1" t="str">
        <f t="shared" si="14"/>
        <v>DY48JROVR</v>
      </c>
      <c r="F324" s="1" t="s">
        <v>498</v>
      </c>
      <c r="G324" s="1" t="s">
        <v>499</v>
      </c>
      <c r="H324" t="str">
        <f t="shared" si="15"/>
        <v>BINH RATSAVONGSY</v>
      </c>
      <c r="I324" s="1" t="s">
        <v>47</v>
      </c>
      <c r="J324" s="1" t="s">
        <v>501</v>
      </c>
      <c r="K324" s="2">
        <v>46143</v>
      </c>
      <c r="L324" s="1" t="s">
        <v>100</v>
      </c>
      <c r="M324" s="1" t="s">
        <v>64</v>
      </c>
      <c r="N324" s="1" t="s">
        <v>65</v>
      </c>
      <c r="O324" s="1">
        <v>0</v>
      </c>
      <c r="P324" s="1">
        <v>8.75</v>
      </c>
      <c r="Q324" s="1">
        <v>8.75</v>
      </c>
      <c r="R324" s="1">
        <v>8.75</v>
      </c>
      <c r="S324" s="1" t="s">
        <v>685</v>
      </c>
    </row>
    <row r="325" spans="1:19" s="1" customFormat="1" x14ac:dyDescent="0.25">
      <c r="A325" s="1">
        <v>17301495</v>
      </c>
      <c r="B325" s="1" t="str">
        <f t="shared" si="13"/>
        <v>17301495OVR</v>
      </c>
      <c r="C325" s="1" t="s">
        <v>56</v>
      </c>
      <c r="D325" s="1" t="s">
        <v>339</v>
      </c>
      <c r="E325" s="1" t="str">
        <f t="shared" si="14"/>
        <v>DYG5UYOVR</v>
      </c>
      <c r="F325" s="1" t="s">
        <v>341</v>
      </c>
      <c r="G325" s="1" t="s">
        <v>342</v>
      </c>
      <c r="H325" t="str">
        <f t="shared" si="15"/>
        <v>MARIA JACOBO DE CADENA</v>
      </c>
      <c r="I325" s="1" t="s">
        <v>47</v>
      </c>
      <c r="J325" s="1" t="s">
        <v>344</v>
      </c>
      <c r="K325" s="2">
        <v>46143</v>
      </c>
      <c r="L325" s="1" t="s">
        <v>85</v>
      </c>
      <c r="M325" s="1" t="s">
        <v>64</v>
      </c>
      <c r="N325" s="1" t="s">
        <v>65</v>
      </c>
      <c r="O325" s="1">
        <v>0</v>
      </c>
      <c r="P325" s="1">
        <v>8.75</v>
      </c>
      <c r="Q325" s="1">
        <v>8.75</v>
      </c>
      <c r="R325" s="1">
        <v>8.75</v>
      </c>
      <c r="S325" s="1" t="s">
        <v>685</v>
      </c>
    </row>
    <row r="326" spans="1:19" s="1" customFormat="1" x14ac:dyDescent="0.25">
      <c r="A326" s="1">
        <v>7470776</v>
      </c>
      <c r="B326" s="1" t="str">
        <f t="shared" si="13"/>
        <v>7470776OVR</v>
      </c>
      <c r="C326" s="1" t="s">
        <v>208</v>
      </c>
      <c r="D326" s="1" t="s">
        <v>297</v>
      </c>
      <c r="E326" s="1" t="str">
        <f t="shared" si="14"/>
        <v>DYJG9WOVR</v>
      </c>
      <c r="F326" s="1" t="s">
        <v>299</v>
      </c>
      <c r="G326" s="1" t="s">
        <v>300</v>
      </c>
      <c r="H326" t="str">
        <f t="shared" si="15"/>
        <v>KRISTINE GIBAS</v>
      </c>
      <c r="I326" s="1" t="s">
        <v>47</v>
      </c>
      <c r="J326" s="1" t="s">
        <v>74</v>
      </c>
      <c r="K326" s="2">
        <v>46143</v>
      </c>
      <c r="L326" s="1" t="s">
        <v>52</v>
      </c>
      <c r="M326" s="1" t="s">
        <v>64</v>
      </c>
      <c r="N326" s="1" t="s">
        <v>65</v>
      </c>
      <c r="O326" s="1">
        <v>0</v>
      </c>
      <c r="P326" s="1">
        <v>8.75</v>
      </c>
      <c r="Q326" s="1">
        <v>8.75</v>
      </c>
      <c r="R326" s="1">
        <v>8.75</v>
      </c>
      <c r="S326" s="1" t="s">
        <v>685</v>
      </c>
    </row>
    <row r="327" spans="1:19" s="1" customFormat="1" x14ac:dyDescent="0.25">
      <c r="A327" s="1">
        <v>19586992</v>
      </c>
      <c r="B327" s="1" t="str">
        <f t="shared" si="13"/>
        <v>19586992OVR</v>
      </c>
      <c r="C327" s="1" t="s">
        <v>42</v>
      </c>
      <c r="D327" s="1" t="s">
        <v>521</v>
      </c>
      <c r="E327" s="1" t="str">
        <f t="shared" si="14"/>
        <v>DYZU3SOVR</v>
      </c>
      <c r="F327" s="1" t="s">
        <v>523</v>
      </c>
      <c r="G327" s="1" t="s">
        <v>524</v>
      </c>
      <c r="H327" t="str">
        <f t="shared" si="15"/>
        <v>LIZETTE RIVERA</v>
      </c>
      <c r="I327" s="1" t="s">
        <v>47</v>
      </c>
      <c r="J327" s="1" t="s">
        <v>49</v>
      </c>
      <c r="K327" s="2">
        <v>46143</v>
      </c>
      <c r="L327" s="1" t="s">
        <v>52</v>
      </c>
      <c r="M327" s="1" t="s">
        <v>64</v>
      </c>
      <c r="N327" s="1" t="s">
        <v>65</v>
      </c>
      <c r="O327" s="1">
        <v>0</v>
      </c>
      <c r="P327" s="1">
        <v>8.75</v>
      </c>
      <c r="Q327" s="1">
        <v>8.75</v>
      </c>
      <c r="R327" s="1">
        <v>8.75</v>
      </c>
      <c r="S327" s="1" t="s">
        <v>685</v>
      </c>
    </row>
    <row r="328" spans="1:19" s="1" customFormat="1" x14ac:dyDescent="0.25">
      <c r="A328" s="1">
        <v>2158366</v>
      </c>
      <c r="B328" s="1" t="str">
        <f t="shared" si="13"/>
        <v>2158366OVR</v>
      </c>
      <c r="C328" s="1" t="s">
        <v>107</v>
      </c>
      <c r="D328" s="1" t="s">
        <v>272</v>
      </c>
      <c r="E328" s="1" t="str">
        <f t="shared" si="14"/>
        <v>DZ34AROVR</v>
      </c>
      <c r="F328" s="1" t="s">
        <v>274</v>
      </c>
      <c r="G328" s="1" t="s">
        <v>275</v>
      </c>
      <c r="H328" t="str">
        <f t="shared" si="15"/>
        <v>GRAZYNA EWERT</v>
      </c>
      <c r="I328" s="1" t="s">
        <v>47</v>
      </c>
      <c r="J328" s="1" t="s">
        <v>74</v>
      </c>
      <c r="K328" s="2">
        <v>46143</v>
      </c>
      <c r="L328" s="1" t="s">
        <v>100</v>
      </c>
      <c r="M328" s="1" t="s">
        <v>64</v>
      </c>
      <c r="N328" s="1" t="s">
        <v>65</v>
      </c>
      <c r="O328" s="1">
        <v>0</v>
      </c>
      <c r="P328" s="1">
        <v>8.75</v>
      </c>
      <c r="Q328" s="1">
        <v>8.75</v>
      </c>
      <c r="R328" s="1">
        <v>8.75</v>
      </c>
      <c r="S328" s="1" t="s">
        <v>685</v>
      </c>
    </row>
    <row r="329" spans="1:19" s="1" customFormat="1" x14ac:dyDescent="0.25">
      <c r="A329" s="1">
        <v>19396223</v>
      </c>
      <c r="B329" s="1" t="str">
        <f t="shared" si="13"/>
        <v>19396223OVR</v>
      </c>
      <c r="C329" s="1" t="s">
        <v>266</v>
      </c>
      <c r="D329" s="1" t="s">
        <v>267</v>
      </c>
      <c r="E329" s="1" t="str">
        <f t="shared" si="14"/>
        <v>DZ4FFJOVR</v>
      </c>
      <c r="F329" s="1" t="s">
        <v>269</v>
      </c>
      <c r="G329" s="1" t="s">
        <v>270</v>
      </c>
      <c r="H329" t="str">
        <f t="shared" si="15"/>
        <v>SALVATORE ESPOSITO</v>
      </c>
      <c r="I329" s="1" t="s">
        <v>47</v>
      </c>
      <c r="J329" s="1" t="s">
        <v>74</v>
      </c>
      <c r="K329" s="2">
        <v>46143</v>
      </c>
      <c r="L329" s="1" t="s">
        <v>52</v>
      </c>
      <c r="M329" s="1" t="s">
        <v>64</v>
      </c>
      <c r="N329" s="1" t="s">
        <v>65</v>
      </c>
      <c r="O329" s="1">
        <v>0</v>
      </c>
      <c r="P329" s="1">
        <v>8.75</v>
      </c>
      <c r="Q329" s="1">
        <v>8.75</v>
      </c>
      <c r="R329" s="1">
        <v>8.75</v>
      </c>
      <c r="S329" s="1" t="s">
        <v>685</v>
      </c>
    </row>
    <row r="330" spans="1:19" s="1" customFormat="1" x14ac:dyDescent="0.25">
      <c r="A330" s="1">
        <v>20212926</v>
      </c>
      <c r="B330" s="1" t="str">
        <f t="shared" si="13"/>
        <v>20212926OVR</v>
      </c>
      <c r="C330" s="1" t="s">
        <v>94</v>
      </c>
      <c r="D330" s="1" t="s">
        <v>95</v>
      </c>
      <c r="E330" s="1" t="str">
        <f t="shared" si="14"/>
        <v>DZ6GWYOVR</v>
      </c>
      <c r="F330" s="1" t="s">
        <v>97</v>
      </c>
      <c r="G330" s="1" t="s">
        <v>98</v>
      </c>
      <c r="H330" t="str">
        <f t="shared" si="15"/>
        <v>MICHAEL BARNISH</v>
      </c>
      <c r="I330" s="1" t="s">
        <v>47</v>
      </c>
      <c r="J330" s="1" t="s">
        <v>74</v>
      </c>
      <c r="K330" s="2">
        <v>46143</v>
      </c>
      <c r="L330" s="1" t="s">
        <v>100</v>
      </c>
      <c r="M330" s="1" t="s">
        <v>64</v>
      </c>
      <c r="N330" s="1" t="s">
        <v>65</v>
      </c>
      <c r="O330" s="1">
        <v>0</v>
      </c>
      <c r="P330" s="1">
        <v>8.75</v>
      </c>
      <c r="Q330" s="1">
        <v>8.75</v>
      </c>
      <c r="R330" s="1">
        <v>8.75</v>
      </c>
      <c r="S330" s="1" t="s">
        <v>685</v>
      </c>
    </row>
    <row r="331" spans="1:19" s="1" customFormat="1" x14ac:dyDescent="0.25">
      <c r="A331" s="1">
        <v>2158366</v>
      </c>
      <c r="B331" s="1" t="str">
        <f t="shared" si="13"/>
        <v>2158366OVR</v>
      </c>
      <c r="C331" s="1" t="s">
        <v>107</v>
      </c>
      <c r="D331" s="1" t="s">
        <v>510</v>
      </c>
      <c r="E331" s="1" t="str">
        <f t="shared" si="14"/>
        <v>DZG38JOVR</v>
      </c>
      <c r="F331" s="1" t="s">
        <v>512</v>
      </c>
      <c r="G331" s="1" t="s">
        <v>513</v>
      </c>
      <c r="H331" t="str">
        <f t="shared" si="15"/>
        <v>GARY RICHTER</v>
      </c>
      <c r="I331" s="1" t="s">
        <v>47</v>
      </c>
      <c r="J331" s="1" t="s">
        <v>74</v>
      </c>
      <c r="K331" s="2">
        <v>46143</v>
      </c>
      <c r="L331" s="1" t="s">
        <v>52</v>
      </c>
      <c r="M331" s="1" t="s">
        <v>64</v>
      </c>
      <c r="N331" s="1" t="s">
        <v>65</v>
      </c>
      <c r="O331" s="1">
        <v>0</v>
      </c>
      <c r="P331" s="1">
        <v>8.75</v>
      </c>
      <c r="Q331" s="1">
        <v>8.75</v>
      </c>
      <c r="R331" s="1">
        <v>8.75</v>
      </c>
      <c r="S331" s="1" t="s">
        <v>685</v>
      </c>
    </row>
    <row r="332" spans="1:19" s="1" customFormat="1" x14ac:dyDescent="0.25">
      <c r="A332" s="1">
        <v>17126004</v>
      </c>
      <c r="B332" s="1" t="str">
        <f t="shared" si="13"/>
        <v>17126004OVR</v>
      </c>
      <c r="C332" s="1" t="s">
        <v>155</v>
      </c>
      <c r="D332" s="1" t="s">
        <v>440</v>
      </c>
      <c r="E332" s="1" t="str">
        <f t="shared" si="14"/>
        <v>DZZH46OVR</v>
      </c>
      <c r="F332" s="1" t="s">
        <v>442</v>
      </c>
      <c r="G332" s="1" t="s">
        <v>443</v>
      </c>
      <c r="H332" t="str">
        <f t="shared" si="15"/>
        <v>SHERRY MIKOLICS</v>
      </c>
      <c r="I332" s="1" t="s">
        <v>126</v>
      </c>
      <c r="J332" s="1" t="s">
        <v>222</v>
      </c>
      <c r="K332" s="2">
        <v>46143</v>
      </c>
      <c r="L332" s="1" t="s">
        <v>52</v>
      </c>
      <c r="M332" s="1" t="s">
        <v>64</v>
      </c>
      <c r="N332" s="1" t="s">
        <v>65</v>
      </c>
      <c r="O332" s="1">
        <v>0</v>
      </c>
      <c r="P332" s="1">
        <v>8.75</v>
      </c>
      <c r="Q332" s="1">
        <v>8.75</v>
      </c>
      <c r="R332" s="1">
        <v>8.75</v>
      </c>
      <c r="S332" s="1" t="s">
        <v>685</v>
      </c>
    </row>
    <row r="333" spans="1:19" s="1" customFormat="1" x14ac:dyDescent="0.25">
      <c r="A333" s="1">
        <v>8814784</v>
      </c>
      <c r="B333" s="1" t="str">
        <f t="shared" si="13"/>
        <v>8814784OVR</v>
      </c>
      <c r="C333" s="1" t="s">
        <v>178</v>
      </c>
      <c r="D333" s="1" t="s">
        <v>380</v>
      </c>
      <c r="E333" s="1" t="str">
        <f t="shared" si="14"/>
        <v>D36CA8OVR</v>
      </c>
      <c r="F333" s="1" t="s">
        <v>382</v>
      </c>
      <c r="G333" s="1" t="s">
        <v>383</v>
      </c>
      <c r="H333" t="str">
        <f t="shared" si="15"/>
        <v>PATRICIA LISKOVEC</v>
      </c>
      <c r="I333" s="1" t="s">
        <v>47</v>
      </c>
      <c r="J333" s="1" t="s">
        <v>152</v>
      </c>
      <c r="K333" s="2">
        <v>46387</v>
      </c>
      <c r="M333" s="1" t="s">
        <v>53</v>
      </c>
      <c r="N333" s="1" t="s">
        <v>65</v>
      </c>
      <c r="O333" s="1">
        <v>0</v>
      </c>
      <c r="P333" s="1">
        <v>75</v>
      </c>
      <c r="Q333" s="1">
        <v>75</v>
      </c>
      <c r="R333" s="1">
        <v>75</v>
      </c>
      <c r="S333" s="1" t="s">
        <v>685</v>
      </c>
    </row>
    <row r="334" spans="1:19" s="1" customFormat="1" x14ac:dyDescent="0.25">
      <c r="A334" s="1">
        <v>9213293</v>
      </c>
      <c r="B334" s="1" t="str">
        <f t="shared" si="13"/>
        <v>9213293OVR</v>
      </c>
      <c r="C334" s="1" t="s">
        <v>162</v>
      </c>
      <c r="D334" s="1" t="s">
        <v>163</v>
      </c>
      <c r="E334" s="1" t="str">
        <f t="shared" si="14"/>
        <v>D75485OVR</v>
      </c>
      <c r="F334" s="1" t="s">
        <v>165</v>
      </c>
      <c r="G334" s="1" t="s">
        <v>166</v>
      </c>
      <c r="H334" t="str">
        <f t="shared" si="15"/>
        <v>JOYCE BROWN</v>
      </c>
      <c r="I334" s="1" t="s">
        <v>47</v>
      </c>
      <c r="J334" s="1" t="s">
        <v>152</v>
      </c>
      <c r="K334" s="2">
        <v>46387</v>
      </c>
      <c r="M334" s="1" t="s">
        <v>53</v>
      </c>
      <c r="N334" s="1" t="s">
        <v>65</v>
      </c>
      <c r="O334" s="1">
        <v>0</v>
      </c>
      <c r="P334" s="1">
        <v>75</v>
      </c>
      <c r="Q334" s="1">
        <v>75</v>
      </c>
      <c r="R334" s="1">
        <v>75</v>
      </c>
      <c r="S334" s="1" t="s">
        <v>685</v>
      </c>
    </row>
    <row r="335" spans="1:19" s="1" customFormat="1" x14ac:dyDescent="0.25">
      <c r="A335" s="1">
        <v>16849453</v>
      </c>
      <c r="B335" s="1" t="str">
        <f t="shared" si="13"/>
        <v>16849453OVR</v>
      </c>
      <c r="C335" s="1" t="s">
        <v>317</v>
      </c>
      <c r="D335" s="1" t="s">
        <v>318</v>
      </c>
      <c r="E335" s="1" t="str">
        <f t="shared" si="14"/>
        <v>DACWU9OVR</v>
      </c>
      <c r="F335" s="1" t="s">
        <v>320</v>
      </c>
      <c r="G335" s="1" t="s">
        <v>321</v>
      </c>
      <c r="H335" t="str">
        <f t="shared" si="15"/>
        <v>LAURA HAMBY</v>
      </c>
      <c r="I335" s="1" t="s">
        <v>126</v>
      </c>
      <c r="J335" s="1" t="s">
        <v>152</v>
      </c>
      <c r="K335" s="2">
        <v>46387</v>
      </c>
      <c r="M335" s="1" t="s">
        <v>53</v>
      </c>
      <c r="N335" s="1" t="s">
        <v>65</v>
      </c>
      <c r="O335" s="1">
        <v>0</v>
      </c>
      <c r="P335" s="1">
        <v>75</v>
      </c>
      <c r="Q335" s="1">
        <v>75</v>
      </c>
      <c r="R335" s="1">
        <v>75</v>
      </c>
      <c r="S335" s="1" t="s">
        <v>685</v>
      </c>
    </row>
    <row r="336" spans="1:19" s="1" customFormat="1" x14ac:dyDescent="0.25">
      <c r="A336" s="1">
        <v>21283956</v>
      </c>
      <c r="B336" s="1" t="str">
        <f t="shared" si="13"/>
        <v>21283956OVR</v>
      </c>
      <c r="C336" s="1" t="s">
        <v>602</v>
      </c>
      <c r="D336" s="1" t="s">
        <v>603</v>
      </c>
      <c r="E336" s="1" t="str">
        <f t="shared" si="14"/>
        <v>DF5URGOVR</v>
      </c>
      <c r="F336" s="1" t="s">
        <v>45</v>
      </c>
      <c r="G336" s="1" t="s">
        <v>605</v>
      </c>
      <c r="H336" t="str">
        <f t="shared" si="15"/>
        <v>RONALD SUMPTER</v>
      </c>
      <c r="I336" s="1" t="s">
        <v>47</v>
      </c>
      <c r="J336" s="1" t="s">
        <v>152</v>
      </c>
      <c r="K336" s="2">
        <v>46387</v>
      </c>
      <c r="M336" s="1" t="s">
        <v>53</v>
      </c>
      <c r="N336" s="1" t="s">
        <v>65</v>
      </c>
      <c r="O336" s="1">
        <v>0</v>
      </c>
      <c r="P336" s="1">
        <v>75</v>
      </c>
      <c r="Q336" s="1">
        <v>75</v>
      </c>
      <c r="R336" s="1">
        <v>75</v>
      </c>
      <c r="S336" s="1" t="s">
        <v>685</v>
      </c>
    </row>
    <row r="337" spans="1:19" s="1" customFormat="1" x14ac:dyDescent="0.25">
      <c r="A337" s="1">
        <v>19396223</v>
      </c>
      <c r="B337" s="1" t="str">
        <f t="shared" si="13"/>
        <v>19396223OVR</v>
      </c>
      <c r="C337" s="1" t="s">
        <v>266</v>
      </c>
      <c r="D337" s="1" t="s">
        <v>475</v>
      </c>
      <c r="E337" s="1" t="str">
        <f t="shared" si="14"/>
        <v>DF7J4AOVR</v>
      </c>
      <c r="F337" s="1" t="s">
        <v>477</v>
      </c>
      <c r="G337" s="1" t="s">
        <v>478</v>
      </c>
      <c r="H337" t="str">
        <f t="shared" si="15"/>
        <v>MOLY POMACKAL</v>
      </c>
      <c r="I337" s="1" t="s">
        <v>47</v>
      </c>
      <c r="J337" s="1" t="s">
        <v>152</v>
      </c>
      <c r="K337" s="2">
        <v>46387</v>
      </c>
      <c r="M337" s="1" t="s">
        <v>53</v>
      </c>
      <c r="N337" s="1" t="s">
        <v>65</v>
      </c>
      <c r="O337" s="1">
        <v>0</v>
      </c>
      <c r="P337" s="1">
        <v>75</v>
      </c>
      <c r="Q337" s="1">
        <v>75</v>
      </c>
      <c r="R337" s="1">
        <v>75</v>
      </c>
      <c r="S337" s="1" t="s">
        <v>685</v>
      </c>
    </row>
    <row r="338" spans="1:19" s="1" customFormat="1" x14ac:dyDescent="0.25">
      <c r="A338" s="1">
        <v>21618313</v>
      </c>
      <c r="B338" s="1" t="str">
        <f t="shared" si="13"/>
        <v>21618313OVR</v>
      </c>
      <c r="C338" s="1" t="s">
        <v>145</v>
      </c>
      <c r="D338" s="1" t="s">
        <v>146</v>
      </c>
      <c r="E338" s="1" t="str">
        <f t="shared" si="14"/>
        <v>DRUUE7OVR</v>
      </c>
      <c r="F338" s="1" t="s">
        <v>148</v>
      </c>
      <c r="G338" s="1" t="s">
        <v>149</v>
      </c>
      <c r="H338" t="str">
        <f t="shared" si="15"/>
        <v>JOANNE BRADLEY</v>
      </c>
      <c r="I338" s="1" t="s">
        <v>150</v>
      </c>
      <c r="J338" s="1" t="s">
        <v>152</v>
      </c>
      <c r="K338" s="2">
        <v>46387</v>
      </c>
      <c r="M338" s="1" t="s">
        <v>53</v>
      </c>
      <c r="N338" s="1" t="s">
        <v>65</v>
      </c>
      <c r="O338" s="1">
        <v>0</v>
      </c>
      <c r="P338" s="1">
        <v>75</v>
      </c>
      <c r="Q338" s="1">
        <v>75</v>
      </c>
      <c r="R338" s="1">
        <v>75</v>
      </c>
      <c r="S338" s="1" t="s">
        <v>685</v>
      </c>
    </row>
    <row r="339" spans="1:19" s="1" customFormat="1" x14ac:dyDescent="0.25">
      <c r="A339" s="1">
        <v>21618313</v>
      </c>
      <c r="B339" s="1" t="str">
        <f t="shared" si="13"/>
        <v>21618313OVR</v>
      </c>
      <c r="C339" s="1" t="s">
        <v>145</v>
      </c>
      <c r="D339" s="1" t="s">
        <v>549</v>
      </c>
      <c r="E339" s="1" t="str">
        <f t="shared" si="14"/>
        <v>DZ2UHROVR</v>
      </c>
      <c r="F339" s="1" t="s">
        <v>551</v>
      </c>
      <c r="G339" s="1" t="s">
        <v>552</v>
      </c>
      <c r="H339" t="str">
        <f t="shared" si="15"/>
        <v>CHRISTIAN SABATINO</v>
      </c>
      <c r="I339" s="1" t="s">
        <v>150</v>
      </c>
      <c r="J339" s="1" t="s">
        <v>553</v>
      </c>
      <c r="K339" s="2">
        <v>46387</v>
      </c>
      <c r="M339" s="1" t="s">
        <v>53</v>
      </c>
      <c r="N339" s="1" t="s">
        <v>65</v>
      </c>
      <c r="O339" s="1">
        <v>0</v>
      </c>
      <c r="P339" s="1">
        <v>75</v>
      </c>
      <c r="Q339" s="1">
        <v>75</v>
      </c>
      <c r="R339" s="1">
        <v>75</v>
      </c>
      <c r="S339" s="1" t="s">
        <v>685</v>
      </c>
    </row>
    <row r="340" spans="1:19" s="1" customFormat="1" x14ac:dyDescent="0.25">
      <c r="A340" s="1">
        <v>8814784</v>
      </c>
      <c r="B340" s="1" t="str">
        <f t="shared" si="13"/>
        <v>8814784OVR</v>
      </c>
      <c r="C340" s="1" t="s">
        <v>178</v>
      </c>
      <c r="D340" s="1" t="s">
        <v>380</v>
      </c>
      <c r="E340" s="1" t="str">
        <f t="shared" si="14"/>
        <v>D36CA8OVR</v>
      </c>
      <c r="F340" s="1" t="s">
        <v>382</v>
      </c>
      <c r="G340" s="1" t="s">
        <v>383</v>
      </c>
      <c r="H340" t="str">
        <f t="shared" si="15"/>
        <v>PATRICIA LISKOVEC</v>
      </c>
      <c r="I340" s="1" t="s">
        <v>47</v>
      </c>
      <c r="J340" s="1" t="s">
        <v>152</v>
      </c>
      <c r="K340" s="2">
        <v>46387</v>
      </c>
      <c r="M340" s="1" t="s">
        <v>53</v>
      </c>
      <c r="N340" s="1" t="s">
        <v>65</v>
      </c>
      <c r="O340" s="1">
        <v>0</v>
      </c>
      <c r="P340" s="1">
        <v>125</v>
      </c>
      <c r="Q340" s="1">
        <v>125</v>
      </c>
      <c r="R340" s="1">
        <v>125</v>
      </c>
      <c r="S340" s="1" t="s">
        <v>685</v>
      </c>
    </row>
    <row r="341" spans="1:19" s="1" customFormat="1" x14ac:dyDescent="0.25">
      <c r="A341" s="1">
        <v>9213293</v>
      </c>
      <c r="B341" s="1" t="str">
        <f t="shared" si="13"/>
        <v>9213293OVR</v>
      </c>
      <c r="C341" s="1" t="s">
        <v>162</v>
      </c>
      <c r="D341" s="1" t="s">
        <v>163</v>
      </c>
      <c r="E341" s="1" t="str">
        <f t="shared" si="14"/>
        <v>D75485OVR</v>
      </c>
      <c r="F341" s="1" t="s">
        <v>165</v>
      </c>
      <c r="G341" s="1" t="s">
        <v>166</v>
      </c>
      <c r="H341" t="str">
        <f t="shared" si="15"/>
        <v>JOYCE BROWN</v>
      </c>
      <c r="I341" s="1" t="s">
        <v>47</v>
      </c>
      <c r="J341" s="1" t="s">
        <v>152</v>
      </c>
      <c r="K341" s="2">
        <v>46387</v>
      </c>
      <c r="M341" s="1" t="s">
        <v>53</v>
      </c>
      <c r="N341" s="1" t="s">
        <v>65</v>
      </c>
      <c r="O341" s="1">
        <v>0</v>
      </c>
      <c r="P341" s="1">
        <v>125</v>
      </c>
      <c r="Q341" s="1">
        <v>125</v>
      </c>
      <c r="R341" s="1">
        <v>125</v>
      </c>
      <c r="S341" s="1" t="s">
        <v>685</v>
      </c>
    </row>
    <row r="342" spans="1:19" s="1" customFormat="1" x14ac:dyDescent="0.25">
      <c r="A342" s="1">
        <v>16849453</v>
      </c>
      <c r="B342" s="1" t="str">
        <f t="shared" si="13"/>
        <v>16849453OVR</v>
      </c>
      <c r="C342" s="1" t="s">
        <v>317</v>
      </c>
      <c r="D342" s="1" t="s">
        <v>318</v>
      </c>
      <c r="E342" s="1" t="str">
        <f t="shared" si="14"/>
        <v>DACWU9OVR</v>
      </c>
      <c r="F342" s="1" t="s">
        <v>320</v>
      </c>
      <c r="G342" s="1" t="s">
        <v>321</v>
      </c>
      <c r="H342" t="str">
        <f t="shared" si="15"/>
        <v>LAURA HAMBY</v>
      </c>
      <c r="I342" s="1" t="s">
        <v>126</v>
      </c>
      <c r="J342" s="1" t="s">
        <v>152</v>
      </c>
      <c r="K342" s="2">
        <v>46387</v>
      </c>
      <c r="M342" s="1" t="s">
        <v>53</v>
      </c>
      <c r="N342" s="1" t="s">
        <v>65</v>
      </c>
      <c r="O342" s="1">
        <v>0</v>
      </c>
      <c r="P342" s="1">
        <v>125</v>
      </c>
      <c r="Q342" s="1">
        <v>125</v>
      </c>
      <c r="R342" s="1">
        <v>125</v>
      </c>
      <c r="S342" s="1" t="s">
        <v>685</v>
      </c>
    </row>
    <row r="343" spans="1:19" s="1" customFormat="1" x14ac:dyDescent="0.25">
      <c r="A343" s="1">
        <v>21283956</v>
      </c>
      <c r="B343" s="1" t="str">
        <f t="shared" si="13"/>
        <v>21283956OVR</v>
      </c>
      <c r="C343" s="1" t="s">
        <v>602</v>
      </c>
      <c r="D343" s="1" t="s">
        <v>603</v>
      </c>
      <c r="E343" s="1" t="str">
        <f t="shared" si="14"/>
        <v>DF5URGOVR</v>
      </c>
      <c r="F343" s="1" t="s">
        <v>45</v>
      </c>
      <c r="G343" s="1" t="s">
        <v>605</v>
      </c>
      <c r="H343" t="str">
        <f t="shared" si="15"/>
        <v>RONALD SUMPTER</v>
      </c>
      <c r="I343" s="1" t="s">
        <v>47</v>
      </c>
      <c r="J343" s="1" t="s">
        <v>152</v>
      </c>
      <c r="K343" s="2">
        <v>46387</v>
      </c>
      <c r="M343" s="1" t="s">
        <v>53</v>
      </c>
      <c r="N343" s="1" t="s">
        <v>65</v>
      </c>
      <c r="O343" s="1">
        <v>0</v>
      </c>
      <c r="P343" s="1">
        <v>125</v>
      </c>
      <c r="Q343" s="1">
        <v>125</v>
      </c>
      <c r="R343" s="1">
        <v>125</v>
      </c>
      <c r="S343" s="1" t="s">
        <v>685</v>
      </c>
    </row>
    <row r="344" spans="1:19" s="1" customFormat="1" x14ac:dyDescent="0.25">
      <c r="A344" s="1">
        <v>19396223</v>
      </c>
      <c r="B344" s="1" t="str">
        <f t="shared" si="13"/>
        <v>19396223OVR</v>
      </c>
      <c r="C344" s="1" t="s">
        <v>266</v>
      </c>
      <c r="D344" s="1" t="s">
        <v>475</v>
      </c>
      <c r="E344" s="1" t="str">
        <f t="shared" si="14"/>
        <v>DF7J4AOVR</v>
      </c>
      <c r="F344" s="1" t="s">
        <v>477</v>
      </c>
      <c r="G344" s="1" t="s">
        <v>478</v>
      </c>
      <c r="H344" t="str">
        <f t="shared" si="15"/>
        <v>MOLY POMACKAL</v>
      </c>
      <c r="I344" s="1" t="s">
        <v>47</v>
      </c>
      <c r="J344" s="1" t="s">
        <v>152</v>
      </c>
      <c r="K344" s="2">
        <v>46387</v>
      </c>
      <c r="M344" s="1" t="s">
        <v>53</v>
      </c>
      <c r="N344" s="1" t="s">
        <v>65</v>
      </c>
      <c r="O344" s="1">
        <v>0</v>
      </c>
      <c r="P344" s="1">
        <v>125</v>
      </c>
      <c r="Q344" s="1">
        <v>125</v>
      </c>
      <c r="R344" s="1">
        <v>125</v>
      </c>
      <c r="S344" s="1" t="s">
        <v>685</v>
      </c>
    </row>
    <row r="345" spans="1:19" s="1" customFormat="1" x14ac:dyDescent="0.25">
      <c r="A345" s="1">
        <v>21618313</v>
      </c>
      <c r="B345" s="1" t="str">
        <f t="shared" si="13"/>
        <v>21618313OVR</v>
      </c>
      <c r="C345" s="1" t="s">
        <v>145</v>
      </c>
      <c r="D345" s="1" t="s">
        <v>146</v>
      </c>
      <c r="E345" s="1" t="str">
        <f t="shared" si="14"/>
        <v>DRUUE7OVR</v>
      </c>
      <c r="F345" s="1" t="s">
        <v>148</v>
      </c>
      <c r="G345" s="1" t="s">
        <v>149</v>
      </c>
      <c r="H345" t="str">
        <f t="shared" si="15"/>
        <v>JOANNE BRADLEY</v>
      </c>
      <c r="I345" s="1" t="s">
        <v>150</v>
      </c>
      <c r="J345" s="1" t="s">
        <v>152</v>
      </c>
      <c r="K345" s="2">
        <v>46387</v>
      </c>
      <c r="M345" s="1" t="s">
        <v>53</v>
      </c>
      <c r="N345" s="1" t="s">
        <v>65</v>
      </c>
      <c r="O345" s="1">
        <v>0</v>
      </c>
      <c r="P345" s="1">
        <v>125</v>
      </c>
      <c r="Q345" s="1">
        <v>125</v>
      </c>
      <c r="R345" s="1">
        <v>125</v>
      </c>
      <c r="S345" s="1" t="s">
        <v>685</v>
      </c>
    </row>
    <row r="346" spans="1:19" s="1" customFormat="1" x14ac:dyDescent="0.25">
      <c r="A346" s="1">
        <v>21618313</v>
      </c>
      <c r="B346" s="1" t="str">
        <f t="shared" si="13"/>
        <v>21618313OVR</v>
      </c>
      <c r="C346" s="1" t="s">
        <v>145</v>
      </c>
      <c r="D346" s="1" t="s">
        <v>549</v>
      </c>
      <c r="E346" s="1" t="str">
        <f t="shared" si="14"/>
        <v>DZ2UHROVR</v>
      </c>
      <c r="F346" s="1" t="s">
        <v>551</v>
      </c>
      <c r="G346" s="1" t="s">
        <v>552</v>
      </c>
      <c r="H346" t="str">
        <f t="shared" si="15"/>
        <v>CHRISTIAN SABATINO</v>
      </c>
      <c r="I346" s="1" t="s">
        <v>150</v>
      </c>
      <c r="J346" s="1" t="s">
        <v>553</v>
      </c>
      <c r="K346" s="2">
        <v>46387</v>
      </c>
      <c r="M346" s="1" t="s">
        <v>53</v>
      </c>
      <c r="N346" s="1" t="s">
        <v>65</v>
      </c>
      <c r="O346" s="1">
        <v>0</v>
      </c>
      <c r="P346" s="1">
        <v>125</v>
      </c>
      <c r="Q346" s="1">
        <v>125</v>
      </c>
      <c r="R346" s="1">
        <v>125</v>
      </c>
      <c r="S346" s="1" t="s">
        <v>685</v>
      </c>
    </row>
  </sheetData>
  <sortState xmlns:xlrd2="http://schemas.microsoft.com/office/spreadsheetml/2017/richdata2" ref="A2:Z346">
    <sortCondition ref="S2:S346"/>
  </sortState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200-000000000000}">
  <dimension ref="A1:F13"/>
  <sheetViews>
    <sheetView tabSelected="1" zoomScaleNormal="100" workbookViewId="0">
      <selection activeCell="F2" sqref="F2:F13"/>
    </sheetView>
  </sheetViews>
  <sheetFormatPr defaultRowHeight="15" x14ac:dyDescent="0.25"/>
  <cols>
    <col min="1" max="1" width="25" customWidth="1"/>
    <col min="2" max="3" width="10" customWidth="1"/>
    <col min="4" max="4" width="50" customWidth="1"/>
  </cols>
  <sheetData>
    <row r="1" spans="1:6" x14ac:dyDescent="0.25">
      <c r="A1" t="s">
        <v>662</v>
      </c>
      <c r="B1" t="s">
        <v>663</v>
      </c>
      <c r="C1" t="s">
        <v>664</v>
      </c>
      <c r="D1" t="s">
        <v>665</v>
      </c>
    </row>
    <row r="2" spans="1:6" x14ac:dyDescent="0.25">
      <c r="A2" t="s">
        <v>666</v>
      </c>
      <c r="B2" s="4">
        <v>19491313</v>
      </c>
      <c r="C2" s="5">
        <v>-50</v>
      </c>
      <c r="D2" t="s">
        <v>667</v>
      </c>
      <c r="E2" t="s">
        <v>691</v>
      </c>
      <c r="F2" t="str">
        <f>CONCATENATE(E2," ",D2)</f>
        <v>Devoted Health HRA for member Farag Elgeroushi DW6HEW (OH)</v>
      </c>
    </row>
    <row r="3" spans="1:6" x14ac:dyDescent="0.25">
      <c r="A3" t="s">
        <v>668</v>
      </c>
      <c r="B3" s="4">
        <v>21104854</v>
      </c>
      <c r="C3" s="5">
        <v>50</v>
      </c>
      <c r="D3" t="s">
        <v>669</v>
      </c>
      <c r="E3" t="s">
        <v>691</v>
      </c>
      <c r="F3" t="str">
        <f t="shared" ref="F3:F13" si="0">CONCATENATE(E3," ",D3)</f>
        <v>Devoted Health HRA for member Angela Godfrey DR9U89 (OH)</v>
      </c>
    </row>
    <row r="4" spans="1:6" x14ac:dyDescent="0.25">
      <c r="A4" t="s">
        <v>397</v>
      </c>
      <c r="B4" s="4">
        <v>17094718</v>
      </c>
      <c r="C4" s="5">
        <v>-50</v>
      </c>
      <c r="D4" t="s">
        <v>670</v>
      </c>
      <c r="E4" t="s">
        <v>691</v>
      </c>
      <c r="F4" t="str">
        <f t="shared" si="0"/>
        <v>Devoted Health HRA for member LUPE GOMEZ DCHCZ8 (AZ)</v>
      </c>
    </row>
    <row r="5" spans="1:6" x14ac:dyDescent="0.25">
      <c r="A5" t="s">
        <v>390</v>
      </c>
      <c r="B5" s="4">
        <v>18754354</v>
      </c>
      <c r="C5" s="5">
        <v>-50</v>
      </c>
      <c r="D5" t="s">
        <v>671</v>
      </c>
      <c r="E5" t="s">
        <v>691</v>
      </c>
      <c r="F5" t="str">
        <f t="shared" si="0"/>
        <v>Devoted Health HRA for member Pamela Griffey DF38E4 (IL)</v>
      </c>
    </row>
    <row r="6" spans="1:6" x14ac:dyDescent="0.25">
      <c r="A6" t="s">
        <v>266</v>
      </c>
      <c r="B6" s="4">
        <v>19396223</v>
      </c>
      <c r="C6" s="5">
        <v>-50</v>
      </c>
      <c r="D6" t="s">
        <v>672</v>
      </c>
      <c r="E6" t="s">
        <v>691</v>
      </c>
      <c r="F6" t="str">
        <f t="shared" si="0"/>
        <v>Devoted Health HRA for member Syed Hussaini D4JAW9 (IL)</v>
      </c>
    </row>
    <row r="7" spans="1:6" x14ac:dyDescent="0.25">
      <c r="A7" t="s">
        <v>266</v>
      </c>
      <c r="B7" s="4">
        <v>19396223</v>
      </c>
      <c r="C7" s="5">
        <v>-50</v>
      </c>
      <c r="D7" t="s">
        <v>673</v>
      </c>
      <c r="E7" t="s">
        <v>691</v>
      </c>
      <c r="F7" t="str">
        <f t="shared" si="0"/>
        <v>Devoted Health HRA for member Zareefunnisa Hussaini DZK3G7 (IL)</v>
      </c>
    </row>
    <row r="8" spans="1:6" x14ac:dyDescent="0.25">
      <c r="A8" t="s">
        <v>56</v>
      </c>
      <c r="B8" s="4">
        <v>17301495</v>
      </c>
      <c r="C8" s="5">
        <v>-50</v>
      </c>
      <c r="D8" t="s">
        <v>674</v>
      </c>
      <c r="E8" t="s">
        <v>691</v>
      </c>
      <c r="F8" t="str">
        <f t="shared" si="0"/>
        <v>Devoted Health HRA for member Randolph LYNCH JR DCU6JR (IL)</v>
      </c>
    </row>
    <row r="9" spans="1:6" x14ac:dyDescent="0.25">
      <c r="A9" t="s">
        <v>675</v>
      </c>
      <c r="B9" s="4">
        <v>20490188</v>
      </c>
      <c r="C9" s="5">
        <v>-50</v>
      </c>
      <c r="D9" t="s">
        <v>676</v>
      </c>
      <c r="E9" t="s">
        <v>691</v>
      </c>
      <c r="F9" t="str">
        <f t="shared" si="0"/>
        <v>Devoted Health HRA for member Louise May D8RRJ6 (IL)</v>
      </c>
    </row>
    <row r="10" spans="1:6" x14ac:dyDescent="0.25">
      <c r="A10" t="s">
        <v>677</v>
      </c>
      <c r="B10" s="4">
        <v>8325282</v>
      </c>
      <c r="C10" s="5">
        <v>-50</v>
      </c>
      <c r="D10" t="s">
        <v>678</v>
      </c>
      <c r="E10" t="s">
        <v>691</v>
      </c>
      <c r="F10" t="str">
        <f t="shared" si="0"/>
        <v>Devoted Health HRA for member Nick Miroballi D99E5R (IL)</v>
      </c>
    </row>
    <row r="11" spans="1:6" x14ac:dyDescent="0.25">
      <c r="A11" t="s">
        <v>679</v>
      </c>
      <c r="B11" s="4">
        <v>7152559</v>
      </c>
      <c r="C11" s="5">
        <v>-50</v>
      </c>
      <c r="D11" t="s">
        <v>680</v>
      </c>
      <c r="E11" t="s">
        <v>691</v>
      </c>
      <c r="F11" t="str">
        <f t="shared" si="0"/>
        <v>Devoted Health HRA for member Nancy Monfiston DF2UKS (IL)</v>
      </c>
    </row>
    <row r="12" spans="1:6" x14ac:dyDescent="0.25">
      <c r="A12" t="s">
        <v>390</v>
      </c>
      <c r="B12" s="4">
        <v>18754354</v>
      </c>
      <c r="C12" s="5">
        <v>50</v>
      </c>
      <c r="D12" t="s">
        <v>681</v>
      </c>
      <c r="E12" t="s">
        <v>691</v>
      </c>
      <c r="F12" t="str">
        <f t="shared" si="0"/>
        <v>Devoted Health HRA for member Scott Wallace DE5AJY (IL)</v>
      </c>
    </row>
    <row r="13" spans="1:6" x14ac:dyDescent="0.25">
      <c r="A13" t="s">
        <v>397</v>
      </c>
      <c r="B13" s="4">
        <v>17094718</v>
      </c>
      <c r="C13" s="5">
        <v>-50</v>
      </c>
      <c r="D13" t="s">
        <v>682</v>
      </c>
      <c r="E13" t="s">
        <v>691</v>
      </c>
      <c r="F13" t="str">
        <f t="shared" si="0"/>
        <v>Devoted Health HRA for member CONNIE WILLIAMS DFJEZZ (GA)</v>
      </c>
    </row>
  </sheetData>
  <pageMargins left="0.78749999999999998" right="0.78749999999999998" top="1.05277777777778" bottom="1.05277777777778" header="0.78749999999999998" footer="0.78749999999999998"/>
  <pageSetup paperSize="0" scale="0" orientation="portrait" usePrinterDefaults="0" useFirstPageNumber="1" horizontalDpi="0" verticalDpi="0" copies="0"/>
  <headerFooter>
    <oddHeader>&amp;C&amp;"Times New Roman,Regular"&amp;12&amp;A</oddHeader>
    <oddFooter>&amp;C&amp;"Times New Roman,Regular"&amp;12Page &amp;P</oddFooter>
  </headerFooter>
</worksheet>
</file>

<file path=docProps/app.xml><?xml version="1.0" encoding="utf-8"?>
<Properties xmlns="http://schemas.openxmlformats.org/officeDocument/2006/extended-properties" xmlns:vt="http://schemas.openxmlformats.org/officeDocument/2006/docPropsVTypes">
  <TotalTime>0</TotalTime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4</vt:i4>
      </vt:variant>
    </vt:vector>
  </HeadingPairs>
  <TitlesOfParts>
    <vt:vector size="4" baseType="lpstr">
      <vt:lpstr>Summary</vt:lpstr>
      <vt:lpstr>Detail</vt:lpstr>
      <vt:lpstr>Sheet1</vt:lpstr>
      <vt:lpstr>Misc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Admin</dc:creator>
  <cp:lastModifiedBy>Loula Irene Cabel</cp:lastModifiedBy>
  <dcterms:created xsi:type="dcterms:W3CDTF">2026-06-01T07:45:27Z</dcterms:created>
  <dcterms:modified xsi:type="dcterms:W3CDTF">2026-06-05T19:05:41Z</dcterms:modified>
</cp:coreProperties>
</file>