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8-23-24\"/>
    </mc:Choice>
  </mc:AlternateContent>
  <xr:revisionPtr revIDLastSave="0" documentId="13_ncr:1_{21B445CA-E777-4E8B-8E2B-E01B709AA92C}" xr6:coauthVersionLast="47" xr6:coauthVersionMax="47" xr10:uidLastSave="{00000000-0000-0000-0000-000000000000}"/>
  <bookViews>
    <workbookView xWindow="-28920" yWindow="-1620" windowWidth="29040" windowHeight="1572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7" i="2"/>
  <c r="H6" i="1"/>
  <c r="H6" i="2"/>
  <c r="H4" i="1"/>
  <c r="H4" i="2"/>
  <c r="H3" i="1"/>
  <c r="H3" i="2"/>
  <c r="H2" i="1"/>
  <c r="H2" i="2"/>
  <c r="U9" i="1"/>
  <c r="U9" i="2"/>
</calcChain>
</file>

<file path=xl/sharedStrings.xml><?xml version="1.0" encoding="utf-8"?>
<sst xmlns="http://schemas.openxmlformats.org/spreadsheetml/2006/main" count="218" uniqueCount="82">
  <si>
    <t/>
  </si>
  <si>
    <t>Description</t>
  </si>
  <si>
    <t>Member Count</t>
  </si>
  <si>
    <t>Total</t>
  </si>
  <si>
    <t>Payee</t>
  </si>
  <si>
    <t>Payment Date</t>
  </si>
  <si>
    <t>Main Line Benefits LLC</t>
  </si>
  <si>
    <t>08/23/2024</t>
  </si>
  <si>
    <t>Credits</t>
  </si>
  <si>
    <t>$527.50</t>
  </si>
  <si>
    <t>Debits</t>
  </si>
  <si>
    <t>$0.00</t>
  </si>
  <si>
    <t>Miscellaneous</t>
  </si>
  <si>
    <t>Bonus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</si>
  <si>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</si>
  <si>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</si>
  <si>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</si>
  <si>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</si>
  <si>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</si>
  <si>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</si>
  <si>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</si>
  <si>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</si>
  <si>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</si>
  <si>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</si>
  <si>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</si>
  <si>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</si>
  <si>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</si>
  <si>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</si>
  <si>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</si>
  <si>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</si>
  <si>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</si>
  <si>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</si>
  <si>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</si>
  <si>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</si>
  <si>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</si>
  <si>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</si>
  <si>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</si>
  <si>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Stephanie Drapac</t>
  </si>
  <si>
    <t>D8YS8Y</t>
  </si>
  <si>
    <t>9QE9Q25VU37</t>
  </si>
  <si>
    <t>MARYANN</t>
  </si>
  <si>
    <t>CHINDERLE</t>
  </si>
  <si>
    <t>IL</t>
  </si>
  <si>
    <t>H6545</t>
  </si>
  <si>
    <t>Initial - Not New</t>
  </si>
  <si>
    <t>Aug</t>
  </si>
  <si>
    <t>Esther Herrera-Larsen</t>
  </si>
  <si>
    <t>DUW2FG</t>
  </si>
  <si>
    <t>1PD5GW2MJ88</t>
  </si>
  <si>
    <t>EMMA</t>
  </si>
  <si>
    <t>VALE</t>
  </si>
  <si>
    <t>H7151</t>
  </si>
  <si>
    <t>D5F2FS</t>
  </si>
  <si>
    <t>1A33Y32RF86</t>
  </si>
  <si>
    <t>MARIA</t>
  </si>
  <si>
    <t>AYALA</t>
  </si>
  <si>
    <t>PDP</t>
  </si>
  <si>
    <t>Initial - New</t>
  </si>
  <si>
    <t>DKZK5Y</t>
  </si>
  <si>
    <t>8XC1JD8AQ21</t>
  </si>
  <si>
    <t>CARLOS</t>
  </si>
  <si>
    <t>AYALA MARTINEZ</t>
  </si>
  <si>
    <t>Jacob Yale</t>
  </si>
  <si>
    <t>D8C779</t>
  </si>
  <si>
    <t>2XN3YK0ET73</t>
  </si>
  <si>
    <t>CHRISTOPHER</t>
  </si>
  <si>
    <t>SPRINGER</t>
  </si>
  <si>
    <t>NONE</t>
  </si>
  <si>
    <t>DR8EJR</t>
  </si>
  <si>
    <t>4RV9DP2GR28</t>
  </si>
  <si>
    <t>THERESA</t>
  </si>
  <si>
    <t>MCAULEY</t>
  </si>
  <si>
    <t>$1,622.00</t>
  </si>
  <si>
    <t>08/16/2024</t>
  </si>
  <si>
    <t>($1,622.00)</t>
  </si>
  <si>
    <t>name</t>
  </si>
  <si>
    <t>CARLOS AYALA MARTINEZ</t>
  </si>
  <si>
    <t>MARYANN CHINDERLE</t>
  </si>
  <si>
    <t>EMMA VALE</t>
  </si>
  <si>
    <t>MARIA AYALA</t>
  </si>
  <si>
    <t>CHRISTOPHER SPRINGER</t>
  </si>
  <si>
    <t>THERESA MCAULEY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</si>
</sst>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"/>
    <numFmt numFmtId="165" formatCode="dd/mm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>
      <selection activeCell="H2" sqref="A1:W7"/>
    </sheetView>
  </sheetViews>
  <sheetFormatPr defaultRowHeight="15" x14ac:dyDescent="0.25"/>
  <cols>
    <col min="1" max="1" width="14" bestFit="1" customWidth="1"/>
    <col min="2" max="2" width="13.85546875" bestFit="1" customWidth="1"/>
    <col min="3" max="3" width="10.5703125" bestFit="1" customWidth="1"/>
    <col min="5" max="5" width="20.42578125" bestFit="1" customWidth="1"/>
    <col min="6" max="6" width="13.140625" bestFit="1" customWidth="1"/>
    <col min="8" max="8" width="21.28515625" customWidth="1"/>
  </cols>
  <sheetData>
    <row r="1" spans="1:21" x14ac:dyDescent="0.25">
      <c r="A1" t="s">
        <v>1</v>
      </c>
      <c r="B1" t="s">
        <v>2</v>
      </c>
      <c r="C1" t="s">
        <v>3</v>
      </c>
      <c r="E1" t="s">
        <v>4</v>
      </c>
      <c r="F1" t="s">
        <v>5</v>
      </c>
      <c r="H1" t="s">
        <v>75</v>
      </c>
    </row>
    <row r="2" spans="1:21" x14ac:dyDescent="0.25">
      <c r="A2" t="s">
        <v>8</v>
      </c>
      <c r="B2">
        <v>17126004</v>
      </c>
      <c r="C2" t="s">
        <v>9</v>
      </c>
      <c r="E2" t="s">
        <v>6</v>
      </c>
      <c r="F2" t="s">
        <v>7</v>
      </c>
      <c r="H2" t="str">
        <f>CONCATENATE(F2, " ",G2)</f>
        <v xml:space="preserve">08/23/2024 </v>
      </c>
    </row>
    <row r="3" spans="1:21" x14ac:dyDescent="0.25">
      <c r="A3" t="s">
        <v>10</v>
      </c>
      <c r="B3">
        <v>17301495</v>
      </c>
      <c r="C3" t="s">
        <v>11</v>
      </c>
      <c r="H3" t="str">
        <f>CONCATENATE(F3, " ",G3)</f>
        <v xml:space="preserve"> </v>
      </c>
    </row>
    <row r="4" spans="1:21" x14ac:dyDescent="0.25">
      <c r="A4" t="s">
        <v>8</v>
      </c>
      <c r="B4">
        <v>17126004</v>
      </c>
      <c r="C4" t="s">
        <v>72</v>
      </c>
      <c r="E4" t="s">
        <v>6</v>
      </c>
      <c r="F4" t="s">
        <v>73</v>
      </c>
      <c r="H4" t="str">
        <f>CONCATENATE(F4, " ",G4)</f>
        <v xml:space="preserve">08/16/2024 </v>
      </c>
    </row>
    <row r="5" spans="1:21" x14ac:dyDescent="0.25">
      <c r="A5" t="s">
        <v>10</v>
      </c>
      <c r="B5">
        <v>17126004</v>
      </c>
      <c r="C5" t="s">
        <v>74</v>
      </c>
      <c r="H5" t="s">
        <v>76</v>
      </c>
    </row>
    <row r="6" spans="1:21" x14ac:dyDescent="0.25">
      <c r="A6" t="s">
        <v>12</v>
      </c>
      <c r="B6">
        <v>18754354</v>
      </c>
      <c r="C6" t="s">
        <v>11</v>
      </c>
      <c r="H6" t="str">
        <f>CONCATENATE(F6, " ",G6)</f>
        <v xml:space="preserve"> </v>
      </c>
    </row>
    <row r="7" spans="1:21" x14ac:dyDescent="0.25">
      <c r="A7" t="s">
        <v>13</v>
      </c>
      <c r="B7">
        <v>17126004</v>
      </c>
      <c r="C7" t="s">
        <v>11</v>
      </c>
      <c r="H7" t="str">
        <f>CONCATENATE(F7, " ",G7)</f>
        <v xml:space="preserve"> </v>
      </c>
    </row>
    <row r="8" spans="1:21" x14ac:dyDescent="0.25">
      <c r="A8" t="s">
        <v>14</v>
      </c>
      <c r="C8" t="s">
        <v>9</v>
      </c>
    </row>
    <row r="9" spans="1:21" x14ac:dyDescent="0.25">
      <c r="U9">
        <f>SUM(U2:U7)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"/>
  <sheetViews>
    <sheetView workbookViewId="0">
      <selection sqref="A1:W7"/>
    </sheetView>
  </sheetViews>
  <sheetFormatPr defaultRowHeight="15" x14ac:dyDescent="0.25"/>
  <cols>
    <col min="1" max="1" width="14.28515625" bestFit="1" customWidth="1"/>
    <col min="2" max="2" width="10.28515625" bestFit="1" customWidth="1"/>
    <col min="3" max="3" width="20.28515625" bestFit="1" customWidth="1"/>
    <col min="4" max="4" width="10.42578125" bestFit="1" customWidth="1"/>
    <col min="5" max="5" width="13.85546875" bestFit="1" customWidth="1"/>
    <col min="6" max="6" width="13.28515625" bestFit="1" customWidth="1"/>
    <col min="7" max="7" width="15.7109375" bestFit="1" customWidth="1"/>
    <col min="8" max="8" width="21.28515625" customWidth="1"/>
    <col min="9" max="9" width="12.85546875" bestFit="1" customWidth="1"/>
    <col min="10" max="10" width="13.85546875" bestFit="1" customWidth="1"/>
    <col min="11" max="11" width="12.5703125" bestFit="1" customWidth="1"/>
    <col min="12" max="12" width="13.5703125" bestFit="1" customWidth="1"/>
    <col min="13" max="13" width="8.42578125" bestFit="1" customWidth="1"/>
    <col min="14" max="14" width="4.42578125" bestFit="1" customWidth="1"/>
    <col min="15" max="15" width="14.28515625" bestFit="1" customWidth="1"/>
    <col min="16" max="16" width="14.140625" bestFit="1" customWidth="1"/>
    <col min="17" max="17" width="16.7109375" bestFit="1" customWidth="1"/>
    <col min="18" max="18" width="6.7109375" bestFit="1" customWidth="1"/>
    <col min="19" max="19" width="12.5703125" bestFit="1" customWidth="1"/>
    <col min="20" max="20" width="14.140625" bestFit="1" customWidth="1"/>
    <col min="21" max="21" width="13.5703125" bestFit="1" customWidth="1"/>
    <col min="22" max="22" width="20.42578125" bestFit="1" customWidth="1"/>
    <col min="23" max="23" width="18" bestFit="1" customWidth="1"/>
  </cols>
  <sheetData>
    <row r="1" spans="1:23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75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</row>
    <row r="2" spans="1:23" x14ac:dyDescent="0.25">
      <c r="A2" s="1">
        <v>45527</v>
      </c>
      <c r="B2">
        <v>17126004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tr">
        <f>CONCATENATE(F2, " ",G2)</f>
        <v>MARYANN CHINDERLE</v>
      </c>
      <c r="I2" t="s">
        <v>42</v>
      </c>
      <c r="J2" s="1">
        <v>45510</v>
      </c>
      <c r="K2" s="1">
        <v>45566</v>
      </c>
      <c r="L2" t="s">
        <v>0</v>
      </c>
      <c r="M2" t="s">
        <v>43</v>
      </c>
      <c r="N2">
        <v>1</v>
      </c>
      <c r="O2" t="s">
        <v>0</v>
      </c>
      <c r="P2">
        <v>2</v>
      </c>
      <c r="Q2" t="s">
        <v>44</v>
      </c>
      <c r="R2" t="s">
        <v>45</v>
      </c>
      <c r="S2">
        <v>76.5</v>
      </c>
      <c r="T2">
        <v>199.99999199999999</v>
      </c>
      <c r="U2">
        <v>276.5</v>
      </c>
      <c r="V2" t="s">
        <v>6</v>
      </c>
    </row>
    <row r="3" spans="1:23" x14ac:dyDescent="0.25">
      <c r="A3" s="1">
        <v>45527</v>
      </c>
      <c r="B3">
        <v>17301495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tr">
        <f>CONCATENATE(F3, " ",G3)</f>
        <v>EMMA VALE</v>
      </c>
      <c r="I3" t="s">
        <v>42</v>
      </c>
      <c r="J3" s="2">
        <v>45512</v>
      </c>
      <c r="K3" s="1">
        <v>45597</v>
      </c>
      <c r="L3" t="s">
        <v>0</v>
      </c>
      <c r="M3" t="s">
        <v>51</v>
      </c>
      <c r="N3">
        <v>1</v>
      </c>
      <c r="O3" t="s">
        <v>0</v>
      </c>
      <c r="P3">
        <v>2</v>
      </c>
      <c r="Q3" t="s">
        <v>44</v>
      </c>
      <c r="R3" t="s">
        <v>45</v>
      </c>
      <c r="S3">
        <v>51</v>
      </c>
      <c r="T3">
        <v>199.99999199999999</v>
      </c>
      <c r="U3">
        <v>251</v>
      </c>
      <c r="V3" t="s">
        <v>6</v>
      </c>
    </row>
    <row r="4" spans="1:23" x14ac:dyDescent="0.25">
      <c r="A4" s="1">
        <v>45520</v>
      </c>
      <c r="B4">
        <v>17126004</v>
      </c>
      <c r="C4" t="s">
        <v>37</v>
      </c>
      <c r="D4" t="s">
        <v>52</v>
      </c>
      <c r="E4" t="s">
        <v>53</v>
      </c>
      <c r="F4" t="s">
        <v>54</v>
      </c>
      <c r="G4" t="s">
        <v>55</v>
      </c>
      <c r="H4" t="str">
        <f>CONCATENATE(F4, " ",G4)</f>
        <v>MARIA AYALA</v>
      </c>
      <c r="I4" t="s">
        <v>42</v>
      </c>
      <c r="J4" s="1">
        <v>45497</v>
      </c>
      <c r="K4" s="1">
        <v>45505</v>
      </c>
      <c r="L4" s="1">
        <v>45505</v>
      </c>
      <c r="M4" t="s">
        <v>51</v>
      </c>
      <c r="N4">
        <v>1</v>
      </c>
      <c r="O4" t="s">
        <v>56</v>
      </c>
      <c r="P4">
        <v>1</v>
      </c>
      <c r="Q4" t="s">
        <v>57</v>
      </c>
      <c r="R4" t="s">
        <v>45</v>
      </c>
      <c r="S4">
        <v>-610.99999200000002</v>
      </c>
      <c r="T4">
        <v>-199.99999199999999</v>
      </c>
      <c r="U4">
        <v>-811</v>
      </c>
      <c r="V4" t="s">
        <v>6</v>
      </c>
    </row>
    <row r="5" spans="1:23" x14ac:dyDescent="0.25">
      <c r="A5" s="1">
        <v>45520</v>
      </c>
      <c r="B5">
        <v>17126004</v>
      </c>
      <c r="C5" t="s">
        <v>37</v>
      </c>
      <c r="D5" t="s">
        <v>58</v>
      </c>
      <c r="E5" t="s">
        <v>59</v>
      </c>
      <c r="F5" t="s">
        <v>60</v>
      </c>
      <c r="G5" t="s">
        <v>61</v>
      </c>
      <c r="H5" t="s">
        <v>76</v>
      </c>
      <c r="I5" t="s">
        <v>42</v>
      </c>
      <c r="J5" s="1">
        <v>45497</v>
      </c>
      <c r="K5" s="1">
        <v>45505</v>
      </c>
      <c r="L5" s="1">
        <v>45505</v>
      </c>
      <c r="M5" t="s">
        <v>51</v>
      </c>
      <c r="N5">
        <v>1</v>
      </c>
      <c r="O5" t="s">
        <v>56</v>
      </c>
      <c r="P5">
        <v>1</v>
      </c>
      <c r="Q5" t="s">
        <v>57</v>
      </c>
      <c r="R5" t="s">
        <v>45</v>
      </c>
      <c r="S5">
        <v>-610.99999200000002</v>
      </c>
      <c r="T5">
        <v>-199.99999199999999</v>
      </c>
      <c r="U5">
        <v>-811</v>
      </c>
      <c r="V5" t="s">
        <v>6</v>
      </c>
    </row>
    <row r="6" spans="1:23" x14ac:dyDescent="0.25">
      <c r="A6" s="1">
        <v>45520</v>
      </c>
      <c r="B6">
        <v>18754354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tr">
        <f>CONCATENATE(F6, " ",G6)</f>
        <v>CHRISTOPHER SPRINGER</v>
      </c>
      <c r="I6" t="s">
        <v>42</v>
      </c>
      <c r="J6" s="1">
        <v>45502</v>
      </c>
      <c r="K6" s="1">
        <v>45505</v>
      </c>
      <c r="L6" t="s">
        <v>0</v>
      </c>
      <c r="M6" t="s">
        <v>51</v>
      </c>
      <c r="N6">
        <v>1</v>
      </c>
      <c r="O6" t="s">
        <v>67</v>
      </c>
      <c r="P6">
        <v>1</v>
      </c>
      <c r="Q6" t="s">
        <v>57</v>
      </c>
      <c r="R6" t="s">
        <v>45</v>
      </c>
      <c r="S6">
        <v>610.99999200000002</v>
      </c>
      <c r="T6">
        <v>199.99999199999999</v>
      </c>
      <c r="U6">
        <v>811</v>
      </c>
      <c r="V6" t="s">
        <v>6</v>
      </c>
    </row>
    <row r="7" spans="1:23" x14ac:dyDescent="0.25">
      <c r="A7" s="1">
        <v>45520</v>
      </c>
      <c r="B7">
        <v>17126004</v>
      </c>
      <c r="C7" t="s">
        <v>37</v>
      </c>
      <c r="D7" t="s">
        <v>68</v>
      </c>
      <c r="E7" t="s">
        <v>69</v>
      </c>
      <c r="F7" t="s">
        <v>70</v>
      </c>
      <c r="G7" t="s">
        <v>71</v>
      </c>
      <c r="H7" t="str">
        <f>CONCATENATE(F7, " ",G7)</f>
        <v>THERESA MCAULEY</v>
      </c>
      <c r="I7" t="s">
        <v>42</v>
      </c>
      <c r="J7" s="1">
        <v>45503</v>
      </c>
      <c r="K7" s="1">
        <v>45505</v>
      </c>
      <c r="L7" t="s">
        <v>0</v>
      </c>
      <c r="M7" t="s">
        <v>43</v>
      </c>
      <c r="N7">
        <v>1</v>
      </c>
      <c r="O7" t="s">
        <v>67</v>
      </c>
      <c r="P7">
        <v>1</v>
      </c>
      <c r="Q7" t="s">
        <v>57</v>
      </c>
      <c r="R7" t="s">
        <v>45</v>
      </c>
      <c r="S7">
        <v>610.99999200000002</v>
      </c>
      <c r="T7">
        <v>199.99999199999999</v>
      </c>
      <c r="U7">
        <v>811</v>
      </c>
      <c r="V7" t="s">
        <v>6</v>
      </c>
    </row>
    <row r="9" spans="1:23" x14ac:dyDescent="0.25">
      <c r="U9">
        <f>SUM(U2:U7)</f>
        <v>527.5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68E3-313B-4C10-9246-3651192A03AC}">
  <dimension ref="A1:W7"/>
  <sheetViews>
    <sheetView tabSelected="1" topLeftCell="E1" workbookViewId="0">
      <selection activeCell="S3" sqref="S3"/>
    </sheetView>
  </sheetViews>
  <sheetFormatPr defaultRowHeight="15" x14ac:dyDescent="0.25"/>
  <cols>
    <col min="1" max="1" width="14.28515625" bestFit="1" customWidth="1"/>
    <col min="2" max="2" width="10.28515625" bestFit="1" customWidth="1"/>
    <col min="3" max="3" width="20.28515625" bestFit="1" customWidth="1"/>
    <col min="4" max="4" width="10.42578125" bestFit="1" customWidth="1"/>
    <col min="5" max="5" width="13.85546875" bestFit="1" customWidth="1"/>
    <col min="6" max="6" width="13.28515625" bestFit="1" customWidth="1"/>
    <col min="7" max="7" width="15.7109375" bestFit="1" customWidth="1"/>
    <col min="8" max="8" width="23.140625" bestFit="1" customWidth="1"/>
    <col min="9" max="9" width="12.85546875" bestFit="1" customWidth="1"/>
    <col min="10" max="10" width="13.85546875" style="3" bestFit="1" customWidth="1"/>
    <col min="11" max="11" width="12.5703125" style="3" bestFit="1" customWidth="1"/>
    <col min="12" max="12" width="13.5703125" bestFit="1" customWidth="1"/>
    <col min="13" max="13" width="8.42578125" bestFit="1" customWidth="1"/>
    <col min="14" max="14" width="4.42578125" bestFit="1" customWidth="1"/>
    <col min="15" max="15" width="14.28515625" bestFit="1" customWidth="1"/>
    <col min="16" max="16" width="14.140625" bestFit="1" customWidth="1"/>
    <col min="17" max="17" width="16.7109375" bestFit="1" customWidth="1"/>
    <col min="18" max="18" width="6.7109375" bestFit="1" customWidth="1"/>
    <col min="19" max="19" width="12.5703125" bestFit="1" customWidth="1"/>
    <col min="20" max="20" width="14.140625" bestFit="1" customWidth="1"/>
    <col min="21" max="21" width="13.5703125" bestFit="1" customWidth="1"/>
    <col min="22" max="22" width="20.42578125" bestFit="1" customWidth="1"/>
    <col min="23" max="23" width="18" bestFit="1" customWidth="1"/>
  </cols>
  <sheetData>
    <row r="1" spans="1:23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75</v>
      </c>
      <c r="I1" t="s">
        <v>22</v>
      </c>
      <c r="J1" s="3" t="s">
        <v>23</v>
      </c>
      <c r="K1" s="3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</row>
    <row r="2" spans="1:23" x14ac:dyDescent="0.25">
      <c r="A2">
        <v>45527</v>
      </c>
      <c r="B2">
        <v>17126004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77</v>
      </c>
      <c r="I2" t="s">
        <v>42</v>
      </c>
      <c r="J2" s="3">
        <v>45510</v>
      </c>
      <c r="K2" s="3">
        <v>45566</v>
      </c>
      <c r="L2" t="s">
        <v>0</v>
      </c>
      <c r="M2" t="s">
        <v>43</v>
      </c>
      <c r="N2">
        <v>1</v>
      </c>
      <c r="O2" t="s">
        <v>0</v>
      </c>
      <c r="P2">
        <v>2</v>
      </c>
      <c r="Q2" t="s">
        <v>44</v>
      </c>
      <c r="R2" t="s">
        <v>45</v>
      </c>
      <c r="S2">
        <v>76.5</v>
      </c>
      <c r="T2">
        <v>199.99999199999999</v>
      </c>
      <c r="U2">
        <v>276.5</v>
      </c>
      <c r="V2" t="s">
        <v>6</v>
      </c>
    </row>
    <row r="3" spans="1:23" x14ac:dyDescent="0.25">
      <c r="A3">
        <v>45527</v>
      </c>
      <c r="B3">
        <v>17301495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78</v>
      </c>
      <c r="I3" t="s">
        <v>42</v>
      </c>
      <c r="J3" s="3">
        <v>45512</v>
      </c>
      <c r="K3" s="3">
        <v>45597</v>
      </c>
      <c r="L3" t="s">
        <v>0</v>
      </c>
      <c r="M3" t="s">
        <v>51</v>
      </c>
      <c r="N3">
        <v>1</v>
      </c>
      <c r="O3" t="s">
        <v>0</v>
      </c>
      <c r="P3">
        <v>2</v>
      </c>
      <c r="Q3" t="s">
        <v>44</v>
      </c>
      <c r="R3" t="s">
        <v>45</v>
      </c>
      <c r="S3">
        <v>51</v>
      </c>
      <c r="T3">
        <v>199.99999199999999</v>
      </c>
      <c r="U3">
        <v>251</v>
      </c>
      <c r="V3" t="s">
        <v>6</v>
      </c>
    </row>
    <row r="4" spans="1:23" x14ac:dyDescent="0.25">
      <c r="A4">
        <v>45520</v>
      </c>
      <c r="B4">
        <v>17126004</v>
      </c>
      <c r="C4" t="s">
        <v>37</v>
      </c>
      <c r="D4" t="s">
        <v>52</v>
      </c>
      <c r="E4" t="s">
        <v>53</v>
      </c>
      <c r="F4" t="s">
        <v>54</v>
      </c>
      <c r="G4" t="s">
        <v>55</v>
      </c>
      <c r="H4" t="s">
        <v>79</v>
      </c>
      <c r="I4" t="s">
        <v>42</v>
      </c>
      <c r="J4" s="3">
        <v>45497</v>
      </c>
      <c r="K4" s="3">
        <v>45505</v>
      </c>
      <c r="L4">
        <v>45505</v>
      </c>
      <c r="M4" t="s">
        <v>51</v>
      </c>
      <c r="N4">
        <v>1</v>
      </c>
      <c r="O4" t="s">
        <v>56</v>
      </c>
      <c r="P4">
        <v>1</v>
      </c>
      <c r="Q4" t="s">
        <v>57</v>
      </c>
      <c r="R4" t="s">
        <v>45</v>
      </c>
      <c r="S4">
        <v>-610.99999200000002</v>
      </c>
      <c r="T4">
        <v>-199.99999199999999</v>
      </c>
      <c r="U4">
        <v>-811</v>
      </c>
      <c r="V4" t="s">
        <v>6</v>
      </c>
    </row>
    <row r="5" spans="1:23" x14ac:dyDescent="0.25">
      <c r="A5">
        <v>45520</v>
      </c>
      <c r="B5">
        <v>17126004</v>
      </c>
      <c r="C5" t="s">
        <v>37</v>
      </c>
      <c r="D5" t="s">
        <v>58</v>
      </c>
      <c r="E5" t="s">
        <v>59</v>
      </c>
      <c r="F5" t="s">
        <v>60</v>
      </c>
      <c r="G5" t="s">
        <v>61</v>
      </c>
      <c r="H5" t="s">
        <v>76</v>
      </c>
      <c r="I5" t="s">
        <v>42</v>
      </c>
      <c r="J5" s="3">
        <v>45497</v>
      </c>
      <c r="K5" s="3">
        <v>45505</v>
      </c>
      <c r="L5">
        <v>45505</v>
      </c>
      <c r="M5" t="s">
        <v>51</v>
      </c>
      <c r="N5">
        <v>1</v>
      </c>
      <c r="O5" t="s">
        <v>56</v>
      </c>
      <c r="P5">
        <v>1</v>
      </c>
      <c r="Q5" t="s">
        <v>57</v>
      </c>
      <c r="R5" t="s">
        <v>45</v>
      </c>
      <c r="S5">
        <v>-610.99999200000002</v>
      </c>
      <c r="T5">
        <v>-199.99999199999999</v>
      </c>
      <c r="U5">
        <v>-811</v>
      </c>
      <c r="V5" t="s">
        <v>6</v>
      </c>
    </row>
    <row r="6" spans="1:23" x14ac:dyDescent="0.25">
      <c r="A6">
        <v>45520</v>
      </c>
      <c r="B6">
        <v>18754354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80</v>
      </c>
      <c r="I6" t="s">
        <v>42</v>
      </c>
      <c r="J6" s="3">
        <v>45502</v>
      </c>
      <c r="K6" s="3">
        <v>45505</v>
      </c>
      <c r="L6" t="s">
        <v>0</v>
      </c>
      <c r="M6" t="s">
        <v>51</v>
      </c>
      <c r="N6">
        <v>1</v>
      </c>
      <c r="O6" t="s">
        <v>67</v>
      </c>
      <c r="P6">
        <v>1</v>
      </c>
      <c r="Q6" t="s">
        <v>57</v>
      </c>
      <c r="R6" t="s">
        <v>45</v>
      </c>
      <c r="S6">
        <v>610.99999200000002</v>
      </c>
      <c r="T6">
        <v>199.99999199999999</v>
      </c>
      <c r="U6">
        <v>811</v>
      </c>
      <c r="V6" t="s">
        <v>6</v>
      </c>
    </row>
    <row r="7" spans="1:23" x14ac:dyDescent="0.25">
      <c r="A7">
        <v>45520</v>
      </c>
      <c r="B7">
        <v>17126004</v>
      </c>
      <c r="C7" t="s">
        <v>37</v>
      </c>
      <c r="D7" t="s">
        <v>68</v>
      </c>
      <c r="E7" t="s">
        <v>69</v>
      </c>
      <c r="F7" t="s">
        <v>70</v>
      </c>
      <c r="G7" t="s">
        <v>71</v>
      </c>
      <c r="H7" t="s">
        <v>81</v>
      </c>
      <c r="I7" t="s">
        <v>42</v>
      </c>
      <c r="J7" s="3">
        <v>45503</v>
      </c>
      <c r="K7" s="3">
        <v>45505</v>
      </c>
      <c r="L7" t="s">
        <v>0</v>
      </c>
      <c r="M7" t="s">
        <v>43</v>
      </c>
      <c r="N7">
        <v>1</v>
      </c>
      <c r="O7" t="s">
        <v>67</v>
      </c>
      <c r="P7">
        <v>1</v>
      </c>
      <c r="Q7" t="s">
        <v>57</v>
      </c>
      <c r="R7" t="s">
        <v>45</v>
      </c>
      <c r="S7">
        <v>610.99999200000002</v>
      </c>
      <c r="T7">
        <v>199.99999199999999</v>
      </c>
      <c r="U7">
        <v>811</v>
      </c>
      <c r="V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2024-08-21T15:38:40Z</dcterms:created>
  <dcterms:modified xsi:type="dcterms:W3CDTF">2024-09-12T15:24:40Z</dcterms:modified>
</cp:coreProperties>
</file>