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Devoted health/11-08-24/"/>
    </mc:Choice>
  </mc:AlternateContent>
  <xr:revisionPtr revIDLastSave="0" documentId="13_ncr:1_{B69FC773-34D9-0343-86FC-9544CF36F190}" xr6:coauthVersionLast="47" xr6:coauthVersionMax="47" xr10:uidLastSave="{00000000-0000-0000-0000-000000000000}"/>
  <bookViews>
    <workbookView xWindow="0" yWindow="500" windowWidth="19200" windowHeight="19360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2" i="3"/>
</calcChain>
</file>

<file path=xl/sharedStrings.xml><?xml version="1.0" encoding="utf-8"?>
<sst xmlns="http://schemas.openxmlformats.org/spreadsheetml/2006/main" count="196" uniqueCount="75">
  <si>
    <t/>
  </si>
  <si>
    <t>Description</t>
  </si>
  <si>
    <t>Member Count</t>
  </si>
  <si>
    <t>Total</t>
  </si>
  <si>
    <t>Payee</t>
  </si>
  <si>
    <t>Payment Date</t>
  </si>
  <si>
    <t>Main Line Benefits LLC</t>
  </si>
  <si>
    <t>11/08/2024</t>
  </si>
  <si>
    <t>Credits</t>
  </si>
  <si>
    <t>$2,007.33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</si>
  <si>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</si>
  <si>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</si>
  <si>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</si>
  <si>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</si>
  <si>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</si>
  <si>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</si>
  <si>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</si>
  <si>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</si>
  <si>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</si>
  <si>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</si>
  <si>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</si>
  <si>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</si>
  <si>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</si>
  <si>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</si>
  <si>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</si>
  <si>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</si>
  <si>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</si>
  <si>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</si>
  <si>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</si>
  <si>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</si>
  <si>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</si>
  <si>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</si>
  <si>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</si>
  <si>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</si>
  <si>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</si>
  <si>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</si>
  <si>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</si>
  <si>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</si>
  <si>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</si>
  <si>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2158366</t>
  </si>
  <si>
    <t>Jeffrey Horn</t>
  </si>
  <si>
    <t>D6K5SY</t>
  </si>
  <si>
    <t>8EC0EW1WG35</t>
  </si>
  <si>
    <t>SUSAN</t>
  </si>
  <si>
    <t>EICHMAN PARCELL</t>
  </si>
  <si>
    <t>IL</t>
  </si>
  <si>
    <t>H7151</t>
  </si>
  <si>
    <t>NONE</t>
  </si>
  <si>
    <t>Initial - New</t>
  </si>
  <si>
    <t>Oct</t>
  </si>
  <si>
    <t>18754354</t>
  </si>
  <si>
    <t>Jacob Yale</t>
  </si>
  <si>
    <t>D4AC9K</t>
  </si>
  <si>
    <t>6GA0R99WK27</t>
  </si>
  <si>
    <t>WILLIAM</t>
  </si>
  <si>
    <t>LUDWIG III</t>
  </si>
  <si>
    <t>PDP</t>
  </si>
  <si>
    <t>16865615</t>
  </si>
  <si>
    <t>Heather Geske</t>
  </si>
  <si>
    <t>D8S8F8</t>
  </si>
  <si>
    <t>9C26N01NT84</t>
  </si>
  <si>
    <t>JOHN</t>
  </si>
  <si>
    <t>HIGHAM</t>
  </si>
  <si>
    <t>CO</t>
  </si>
  <si>
    <t>H7147</t>
  </si>
  <si>
    <t>D7ZW4G</t>
  </si>
  <si>
    <t>3X37JK1GE45</t>
  </si>
  <si>
    <t>JEFFREY</t>
  </si>
  <si>
    <t>JOHNS</t>
  </si>
  <si>
    <t>Initial - Not New</t>
  </si>
  <si>
    <t>19200754</t>
  </si>
  <si>
    <t>Ricardo Santos</t>
  </si>
  <si>
    <t>D538HS</t>
  </si>
  <si>
    <t>8FR8K36WG37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</si>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</sst>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C27" sqref="C27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3" width="15" customWidth="1"/>
    <col min="5" max="5" width="25" customWidth="1"/>
    <col min="6" max="6" width="20" customWidth="1"/>
  </cols>
  <sheetData>
    <row r="1" spans="1:6" x14ac:dyDescent="0.2">
      <c r="A1" t="s">
        <v>1</v>
      </c>
      <c r="B1" t="s">
        <v>2</v>
      </c>
      <c r="C1" t="s">
        <v>3</v>
      </c>
      <c r="E1" t="s">
        <v>4</v>
      </c>
      <c r="F1" t="s">
        <v>5</v>
      </c>
    </row>
    <row r="2" spans="1:6" x14ac:dyDescent="0.2">
      <c r="A2" t="s">
        <v>8</v>
      </c>
      <c r="B2">
        <v>5</v>
      </c>
      <c r="C2" t="s">
        <v>9</v>
      </c>
      <c r="E2" t="s">
        <v>6</v>
      </c>
      <c r="F2" t="s">
        <v>7</v>
      </c>
    </row>
    <row r="3" spans="1:6" x14ac:dyDescent="0.2">
      <c r="A3" t="s">
        <v>10</v>
      </c>
      <c r="B3" t="s">
        <v>0</v>
      </c>
      <c r="C3" t="s">
        <v>11</v>
      </c>
    </row>
    <row r="4" spans="1:6" x14ac:dyDescent="0.2">
      <c r="A4" t="s">
        <v>12</v>
      </c>
      <c r="B4">
        <v>0</v>
      </c>
      <c r="C4" t="s">
        <v>11</v>
      </c>
    </row>
    <row r="5" spans="1:6" x14ac:dyDescent="0.2">
      <c r="A5" t="s">
        <v>13</v>
      </c>
      <c r="C5" t="s">
        <v>11</v>
      </c>
    </row>
    <row r="6" spans="1:6" x14ac:dyDescent="0.2">
      <c r="A6" t="s">
        <v>14</v>
      </c>
      <c r="B6">
        <v>5</v>
      </c>
      <c r="C6" t="s">
        <v>9</v>
      </c>
    </row>
    <row r="7" spans="1:6" x14ac:dyDescent="0.2">
      <c r="A7" t="s">
        <v>15</v>
      </c>
      <c r="C7" t="s">
        <v>11</v>
      </c>
    </row>
    <row r="8" spans="1:6" x14ac:dyDescent="0.2">
      <c r="A8" t="s">
        <v>16</v>
      </c>
      <c r="C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5" customWidth="1"/>
    <col min="2" max="2" width="10" customWidth="1"/>
    <col min="3" max="3" width="25" customWidth="1"/>
    <col min="4" max="4" width="15" customWidth="1"/>
    <col min="5" max="5" width="13.5" bestFit="1" customWidth="1"/>
    <col min="6" max="6" width="10.5" bestFit="1" customWidth="1"/>
    <col min="7" max="7" width="17.83203125" bestFit="1" customWidth="1"/>
    <col min="8" max="8" width="13.6640625" bestFit="1" customWidth="1"/>
    <col min="9" max="9" width="14.1640625" bestFit="1" customWidth="1"/>
    <col min="10" max="10" width="13.33203125" bestFit="1" customWidth="1"/>
    <col min="11" max="11" width="13.5" bestFit="1" customWidth="1"/>
    <col min="12" max="12" width="8.6640625" bestFit="1" customWidth="1"/>
    <col min="13" max="13" width="4.33203125" bestFit="1" customWidth="1"/>
    <col min="14" max="14" width="14.33203125" bestFit="1" customWidth="1"/>
    <col min="15" max="15" width="14.6640625" bestFit="1" customWidth="1"/>
    <col min="16" max="16" width="16.6640625" bestFit="1" customWidth="1"/>
    <col min="17" max="17" width="6.6640625" bestFit="1" customWidth="1"/>
    <col min="18" max="18" width="12.83203125" bestFit="1" customWidth="1"/>
    <col min="19" max="19" width="14.5" bestFit="1" customWidth="1"/>
    <col min="20" max="20" width="14" bestFit="1" customWidth="1"/>
    <col min="21" max="21" width="21" bestFit="1" customWidth="1"/>
    <col min="22" max="22" width="18" bestFit="1" customWidth="1"/>
  </cols>
  <sheetData>
    <row r="1" spans="1:22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</row>
    <row r="2" spans="1:22" x14ac:dyDescent="0.2">
      <c r="A2" s="1">
        <v>45604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s="1">
        <v>45566</v>
      </c>
      <c r="J2" s="1">
        <v>45627</v>
      </c>
      <c r="K2" t="s">
        <v>0</v>
      </c>
      <c r="L2" t="s">
        <v>46</v>
      </c>
      <c r="M2">
        <v>1</v>
      </c>
      <c r="N2" t="s">
        <v>47</v>
      </c>
      <c r="O2">
        <v>1</v>
      </c>
      <c r="P2" t="s">
        <v>48</v>
      </c>
      <c r="Q2" t="s">
        <v>49</v>
      </c>
      <c r="R2">
        <v>585.49999200000002</v>
      </c>
      <c r="S2">
        <v>0</v>
      </c>
      <c r="T2">
        <v>585.5</v>
      </c>
      <c r="U2" t="s">
        <v>6</v>
      </c>
    </row>
    <row r="3" spans="1:22" x14ac:dyDescent="0.2">
      <c r="A3" s="1">
        <v>45604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45</v>
      </c>
      <c r="I3" s="1">
        <v>45569</v>
      </c>
      <c r="J3" s="1">
        <v>45597</v>
      </c>
      <c r="K3" t="s">
        <v>0</v>
      </c>
      <c r="L3" t="s">
        <v>46</v>
      </c>
      <c r="M3">
        <v>1</v>
      </c>
      <c r="N3" t="s">
        <v>56</v>
      </c>
      <c r="O3">
        <v>1</v>
      </c>
      <c r="P3" t="s">
        <v>48</v>
      </c>
      <c r="Q3" t="s">
        <v>49</v>
      </c>
      <c r="R3">
        <v>559.99999200000002</v>
      </c>
      <c r="S3">
        <v>0</v>
      </c>
      <c r="T3">
        <v>560</v>
      </c>
      <c r="U3" t="s">
        <v>6</v>
      </c>
    </row>
    <row r="4" spans="1:22" x14ac:dyDescent="0.2">
      <c r="A4" s="1">
        <v>45604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s="1">
        <v>45576</v>
      </c>
      <c r="J4" s="1">
        <v>45597</v>
      </c>
      <c r="K4" t="s">
        <v>0</v>
      </c>
      <c r="L4" t="s">
        <v>64</v>
      </c>
      <c r="M4">
        <v>1</v>
      </c>
      <c r="N4" t="s">
        <v>0</v>
      </c>
      <c r="O4">
        <v>1</v>
      </c>
      <c r="P4" t="s">
        <v>48</v>
      </c>
      <c r="Q4" t="s">
        <v>49</v>
      </c>
      <c r="R4">
        <v>50.833331999999999</v>
      </c>
      <c r="S4">
        <v>0</v>
      </c>
      <c r="T4">
        <v>50.83</v>
      </c>
      <c r="U4" t="s">
        <v>6</v>
      </c>
    </row>
    <row r="5" spans="1:22" x14ac:dyDescent="0.2">
      <c r="A5" s="1">
        <v>45604</v>
      </c>
      <c r="B5" t="s">
        <v>39</v>
      </c>
      <c r="C5" t="s">
        <v>40</v>
      </c>
      <c r="D5" t="s">
        <v>65</v>
      </c>
      <c r="E5" t="s">
        <v>66</v>
      </c>
      <c r="F5" t="s">
        <v>67</v>
      </c>
      <c r="G5" t="s">
        <v>68</v>
      </c>
      <c r="H5" t="s">
        <v>45</v>
      </c>
      <c r="I5" s="1">
        <v>45579</v>
      </c>
      <c r="J5" s="1">
        <v>45597</v>
      </c>
      <c r="K5" t="s">
        <v>0</v>
      </c>
      <c r="L5" t="s">
        <v>46</v>
      </c>
      <c r="M5">
        <v>1</v>
      </c>
      <c r="N5" t="s">
        <v>0</v>
      </c>
      <c r="O5">
        <v>2</v>
      </c>
      <c r="P5" t="s">
        <v>69</v>
      </c>
      <c r="Q5" t="s">
        <v>49</v>
      </c>
      <c r="R5">
        <v>51</v>
      </c>
      <c r="S5">
        <v>199.99999199999999</v>
      </c>
      <c r="T5">
        <v>251</v>
      </c>
      <c r="U5" t="s">
        <v>6</v>
      </c>
    </row>
    <row r="6" spans="1:22" x14ac:dyDescent="0.2">
      <c r="A6" s="1">
        <v>45604</v>
      </c>
      <c r="B6" t="s">
        <v>70</v>
      </c>
      <c r="C6" t="s">
        <v>71</v>
      </c>
      <c r="D6" t="s">
        <v>72</v>
      </c>
      <c r="E6" t="s">
        <v>73</v>
      </c>
      <c r="F6" t="s">
        <v>61</v>
      </c>
      <c r="G6" t="s">
        <v>74</v>
      </c>
      <c r="H6" t="s">
        <v>45</v>
      </c>
      <c r="I6" s="1">
        <v>45583</v>
      </c>
      <c r="J6" s="1">
        <v>45597</v>
      </c>
      <c r="K6" t="s">
        <v>0</v>
      </c>
      <c r="L6" t="s">
        <v>46</v>
      </c>
      <c r="M6">
        <v>1</v>
      </c>
      <c r="N6" t="s">
        <v>47</v>
      </c>
      <c r="O6">
        <v>1</v>
      </c>
      <c r="P6" t="s">
        <v>48</v>
      </c>
      <c r="Q6" t="s">
        <v>49</v>
      </c>
      <c r="R6">
        <v>559.99999200000002</v>
      </c>
      <c r="S6">
        <v>0</v>
      </c>
      <c r="T6">
        <v>560</v>
      </c>
      <c r="U6" t="s">
        <v>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DF11-6BF8-DF4D-A7A9-6F2B1553B79C}">
  <dimension ref="A1:W6"/>
  <sheetViews>
    <sheetView tabSelected="1" topLeftCell="M1" workbookViewId="0">
      <selection activeCell="U4" sqref="U4"/>
    </sheetView>
  </sheetViews>
  <sheetFormatPr baseColWidth="10" defaultColWidth="8.83203125" defaultRowHeight="15" x14ac:dyDescent="0.2"/>
  <cols>
    <col min="1" max="1" width="15" customWidth="1"/>
    <col min="2" max="2" width="10" customWidth="1"/>
    <col min="3" max="3" width="25" customWidth="1"/>
    <col min="4" max="4" width="15" customWidth="1"/>
    <col min="5" max="5" width="13.5" bestFit="1" customWidth="1"/>
    <col min="6" max="6" width="10.5" bestFit="1" customWidth="1"/>
    <col min="7" max="7" width="17.83203125" bestFit="1" customWidth="1"/>
    <col min="8" max="8" width="17.83203125" customWidth="1"/>
    <col min="9" max="9" width="13.6640625" bestFit="1" customWidth="1"/>
    <col min="10" max="10" width="14.1640625" bestFit="1" customWidth="1"/>
    <col min="11" max="11" width="13.33203125" bestFit="1" customWidth="1"/>
    <col min="12" max="12" width="13.5" bestFit="1" customWidth="1"/>
    <col min="13" max="13" width="8.6640625" bestFit="1" customWidth="1"/>
    <col min="14" max="14" width="4.33203125" bestFit="1" customWidth="1"/>
    <col min="15" max="15" width="14.33203125" bestFit="1" customWidth="1"/>
    <col min="16" max="16" width="14.6640625" bestFit="1" customWidth="1"/>
    <col min="17" max="17" width="16.6640625" bestFit="1" customWidth="1"/>
    <col min="18" max="18" width="6.6640625" bestFit="1" customWidth="1"/>
    <col min="19" max="19" width="12.83203125" bestFit="1" customWidth="1"/>
    <col min="20" max="20" width="14.5" bestFit="1" customWidth="1"/>
    <col min="21" max="21" width="14" bestFit="1" customWidth="1"/>
    <col min="22" max="22" width="21" bestFit="1" customWidth="1"/>
    <col min="23" max="23" width="18" bestFit="1" customWidth="1"/>
  </cols>
  <sheetData>
    <row r="1" spans="1:23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</row>
    <row r="2" spans="1:23" x14ac:dyDescent="0.2">
      <c r="A2" s="1">
        <v>45604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tr">
        <f>CONCATENATE(F2," ",G2)</f>
        <v>SUSAN EICHMAN PARCELL</v>
      </c>
      <c r="I2" t="s">
        <v>45</v>
      </c>
      <c r="J2" s="1">
        <v>45566</v>
      </c>
      <c r="K2" s="1">
        <v>45627</v>
      </c>
      <c r="L2" t="s">
        <v>0</v>
      </c>
      <c r="M2" t="s">
        <v>46</v>
      </c>
      <c r="N2">
        <v>1</v>
      </c>
      <c r="O2" t="s">
        <v>47</v>
      </c>
      <c r="P2">
        <v>1</v>
      </c>
      <c r="Q2" t="s">
        <v>48</v>
      </c>
      <c r="R2" t="s">
        <v>49</v>
      </c>
      <c r="S2">
        <v>585.49999200000002</v>
      </c>
      <c r="T2">
        <v>0</v>
      </c>
      <c r="U2">
        <v>585.5</v>
      </c>
      <c r="V2" t="s">
        <v>6</v>
      </c>
    </row>
    <row r="3" spans="1:23" x14ac:dyDescent="0.2">
      <c r="A3" s="1">
        <v>45604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tr">
        <f t="shared" ref="H3:H6" si="0">CONCATENATE(F3," ",G3)</f>
        <v>WILLIAM LUDWIG III</v>
      </c>
      <c r="I3" t="s">
        <v>45</v>
      </c>
      <c r="J3" s="1">
        <v>45569</v>
      </c>
      <c r="K3" s="1">
        <v>45597</v>
      </c>
      <c r="L3" t="s">
        <v>0</v>
      </c>
      <c r="M3" t="s">
        <v>46</v>
      </c>
      <c r="N3">
        <v>1</v>
      </c>
      <c r="O3" t="s">
        <v>56</v>
      </c>
      <c r="P3">
        <v>1</v>
      </c>
      <c r="Q3" t="s">
        <v>48</v>
      </c>
      <c r="R3" t="s">
        <v>49</v>
      </c>
      <c r="S3">
        <v>559.99999200000002</v>
      </c>
      <c r="T3">
        <v>0</v>
      </c>
      <c r="U3">
        <v>560</v>
      </c>
      <c r="V3" t="s">
        <v>6</v>
      </c>
    </row>
    <row r="4" spans="1:23" x14ac:dyDescent="0.2">
      <c r="A4" s="1">
        <v>45604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tr">
        <f t="shared" si="0"/>
        <v>JOHN HIGHAM</v>
      </c>
      <c r="I4" t="s">
        <v>63</v>
      </c>
      <c r="J4" s="1">
        <v>45576</v>
      </c>
      <c r="K4" s="1">
        <v>45597</v>
      </c>
      <c r="L4" t="s">
        <v>0</v>
      </c>
      <c r="M4" t="s">
        <v>64</v>
      </c>
      <c r="N4">
        <v>1</v>
      </c>
      <c r="O4" t="s">
        <v>0</v>
      </c>
      <c r="P4">
        <v>1</v>
      </c>
      <c r="Q4" t="s">
        <v>48</v>
      </c>
      <c r="R4" t="s">
        <v>49</v>
      </c>
      <c r="S4">
        <v>50.833331999999999</v>
      </c>
      <c r="T4">
        <v>0</v>
      </c>
      <c r="U4">
        <v>50.83</v>
      </c>
      <c r="V4" t="s">
        <v>6</v>
      </c>
    </row>
    <row r="5" spans="1:23" x14ac:dyDescent="0.2">
      <c r="A5" s="1">
        <v>45604</v>
      </c>
      <c r="B5" t="s">
        <v>39</v>
      </c>
      <c r="C5" t="s">
        <v>40</v>
      </c>
      <c r="D5" t="s">
        <v>65</v>
      </c>
      <c r="E5" t="s">
        <v>66</v>
      </c>
      <c r="F5" t="s">
        <v>67</v>
      </c>
      <c r="G5" t="s">
        <v>68</v>
      </c>
      <c r="H5" t="str">
        <f t="shared" si="0"/>
        <v>JEFFREY JOHNS</v>
      </c>
      <c r="I5" t="s">
        <v>45</v>
      </c>
      <c r="J5" s="1">
        <v>45579</v>
      </c>
      <c r="K5" s="1">
        <v>45597</v>
      </c>
      <c r="L5" t="s">
        <v>0</v>
      </c>
      <c r="M5" t="s">
        <v>46</v>
      </c>
      <c r="N5">
        <v>1</v>
      </c>
      <c r="O5" t="s">
        <v>0</v>
      </c>
      <c r="P5">
        <v>2</v>
      </c>
      <c r="Q5" t="s">
        <v>69</v>
      </c>
      <c r="R5" t="s">
        <v>49</v>
      </c>
      <c r="S5">
        <v>51</v>
      </c>
      <c r="T5">
        <v>199.99999199999999</v>
      </c>
      <c r="U5">
        <v>251</v>
      </c>
      <c r="V5" t="s">
        <v>6</v>
      </c>
    </row>
    <row r="6" spans="1:23" x14ac:dyDescent="0.2">
      <c r="A6" s="1">
        <v>45604</v>
      </c>
      <c r="B6" t="s">
        <v>70</v>
      </c>
      <c r="C6" t="s">
        <v>71</v>
      </c>
      <c r="D6" t="s">
        <v>72</v>
      </c>
      <c r="E6" t="s">
        <v>73</v>
      </c>
      <c r="F6" t="s">
        <v>61</v>
      </c>
      <c r="G6" t="s">
        <v>74</v>
      </c>
      <c r="H6" t="str">
        <f t="shared" si="0"/>
        <v>JOHN PAUL</v>
      </c>
      <c r="I6" t="s">
        <v>45</v>
      </c>
      <c r="J6" s="1">
        <v>45583</v>
      </c>
      <c r="K6" s="1">
        <v>45597</v>
      </c>
      <c r="L6" t="s">
        <v>0</v>
      </c>
      <c r="M6" t="s">
        <v>46</v>
      </c>
      <c r="N6">
        <v>1</v>
      </c>
      <c r="O6" t="s">
        <v>47</v>
      </c>
      <c r="P6">
        <v>1</v>
      </c>
      <c r="Q6" t="s">
        <v>48</v>
      </c>
      <c r="R6" t="s">
        <v>49</v>
      </c>
      <c r="S6">
        <v>559.99999200000002</v>
      </c>
      <c r="T6">
        <v>0</v>
      </c>
      <c r="U6">
        <v>560</v>
      </c>
      <c r="V6" t="s">
        <v>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2024-11-06T17:00:16Z</dcterms:created>
  <dcterms:modified xsi:type="dcterms:W3CDTF">2024-11-18T13:44:06Z</dcterms:modified>
</cp:coreProperties>
</file>