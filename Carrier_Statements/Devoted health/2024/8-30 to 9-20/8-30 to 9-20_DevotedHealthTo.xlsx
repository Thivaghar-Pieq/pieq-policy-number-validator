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8-30 to 9-20\"/>
    </mc:Choice>
  </mc:AlternateContent>
  <xr:revisionPtr revIDLastSave="0" documentId="13_ncr:1_{598A31B6-53A5-45D5-ADF5-6CEF5CF06BE9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2" i="2"/>
</calcChain>
</file>

<file path=xl/sharedStrings.xml><?xml version="1.0" encoding="utf-8"?>
<sst xmlns="http://schemas.openxmlformats.org/spreadsheetml/2006/main" count="340" uniqueCount="86">
  <si>
    <t/>
  </si>
  <si>
    <t>Description</t>
  </si>
  <si>
    <t>Member Count</t>
  </si>
  <si>
    <t>Total</t>
  </si>
  <si>
    <t>Payee</t>
  </si>
  <si>
    <t>Payment Date</t>
  </si>
  <si>
    <t>Main Line Benefits LLC</t>
  </si>
  <si>
    <t>09/20/2024</t>
  </si>
  <si>
    <t>Credits</t>
  </si>
  <si>
    <t>$578.50</t>
  </si>
  <si>
    <t>Debits</t>
  </si>
  <si>
    <t>$0.00</t>
  </si>
  <si>
    <t>Miscellaneous</t>
  </si>
  <si>
    <t>Bonus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</si>
  <si>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</si>
  <si>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</si>
  <si>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</si>
  <si>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</si>
  <si>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</si>
  <si>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</si>
  <si>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</si>
  <si>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</si>
  <si>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</si>
  <si>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</si>
  <si>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</si>
  <si>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</si>
  <si>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</si>
  <si>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</si>
  <si>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</si>
  <si>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</si>
  <si>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</si>
  <si>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</si>
  <si>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</si>
  <si>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</si>
  <si>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</si>
  <si>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</si>
  <si>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Frank Liskovec</t>
  </si>
  <si>
    <t>DHU3YZ</t>
  </si>
  <si>
    <t>4D30UE4GW20</t>
  </si>
  <si>
    <t>ANTHONY</t>
  </si>
  <si>
    <t>HOFELD</t>
  </si>
  <si>
    <t>IL</t>
  </si>
  <si>
    <t>H6545</t>
  </si>
  <si>
    <t>Initial - Not New</t>
  </si>
  <si>
    <t>Sep</t>
  </si>
  <si>
    <t>Jacob Yale</t>
  </si>
  <si>
    <t>D9H8YE</t>
  </si>
  <si>
    <t>1UX3AG1PY96</t>
  </si>
  <si>
    <t>ANNETTE</t>
  </si>
  <si>
    <t>EDWARDSON</t>
  </si>
  <si>
    <t>Ricardo Santos</t>
  </si>
  <si>
    <t>D77FJC</t>
  </si>
  <si>
    <t>1H75YU5EY55</t>
  </si>
  <si>
    <t>BETH</t>
  </si>
  <si>
    <t>GONSIEWSKI</t>
  </si>
  <si>
    <t>NONE</t>
  </si>
  <si>
    <t>Initial - New</t>
  </si>
  <si>
    <t>Aug</t>
  </si>
  <si>
    <t>randy tapper</t>
  </si>
  <si>
    <t>DH96Z3</t>
  </si>
  <si>
    <t>6RY5D53RX85</t>
  </si>
  <si>
    <t>JOANN</t>
  </si>
  <si>
    <t>LEE</t>
  </si>
  <si>
    <t>H7151</t>
  </si>
  <si>
    <t>LOPEZ</t>
  </si>
  <si>
    <t>EUDOXIO</t>
  </si>
  <si>
    <t>1V09CP8GE12</t>
  </si>
  <si>
    <t>DRH8SG</t>
  </si>
  <si>
    <t>Esther Herrera-Larsen</t>
  </si>
  <si>
    <t>MONARREZ</t>
  </si>
  <si>
    <t>ABELARDO</t>
  </si>
  <si>
    <t>5KH0A34HV31</t>
  </si>
  <si>
    <t>D2UZFA</t>
  </si>
  <si>
    <t>VALE</t>
  </si>
  <si>
    <t>EMMA</t>
  </si>
  <si>
    <t>1PD5GW2MJ88</t>
  </si>
  <si>
    <t>DUW2FG</t>
  </si>
  <si>
    <t>CHINDERLE</t>
  </si>
  <si>
    <t>MARYANN</t>
  </si>
  <si>
    <t>9QE9Q25VU37</t>
  </si>
  <si>
    <t>D8YS8Y</t>
  </si>
  <si>
    <t>Stephanie Drapac</t>
  </si>
  <si>
    <t>09/06/2024</t>
  </si>
  <si>
    <t>$2,163.50</t>
  </si>
  <si>
    <t>Jose Torres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</si>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</sst>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>
      <selection sqref="A1:XFD1048576"/>
    </sheetView>
  </sheetViews>
  <sheetFormatPr defaultRowHeight="15" x14ac:dyDescent="0.25"/>
  <cols>
    <col min="1" max="1" width="14" style="2" bestFit="1" customWidth="1"/>
    <col min="2" max="2" width="13.85546875" style="2" bestFit="1" customWidth="1"/>
    <col min="3" max="3" width="20.28515625" style="2" bestFit="1" customWidth="1"/>
    <col min="4" max="4" width="8" style="2" bestFit="1" customWidth="1"/>
    <col min="5" max="5" width="20.42578125" style="2" bestFit="1" customWidth="1"/>
    <col min="6" max="6" width="13.140625" style="2" bestFit="1" customWidth="1"/>
    <col min="7" max="7" width="12.140625" style="2" bestFit="1" customWidth="1"/>
    <col min="8" max="8" width="2.42578125" style="2" bestFit="1" customWidth="1"/>
    <col min="9" max="10" width="10.85546875" style="2" bestFit="1" customWidth="1"/>
    <col min="11" max="11" width="9.140625" style="2"/>
    <col min="12" max="12" width="6.28515625" style="2" bestFit="1" customWidth="1"/>
    <col min="13" max="13" width="2" style="2" bestFit="1" customWidth="1"/>
    <col min="14" max="14" width="6.28515625" style="2" bestFit="1" customWidth="1"/>
    <col min="15" max="15" width="2" style="2" bestFit="1" customWidth="1"/>
    <col min="16" max="16" width="15.28515625" style="2" bestFit="1" customWidth="1"/>
    <col min="17" max="17" width="4.28515625" style="2" bestFit="1" customWidth="1"/>
    <col min="18" max="19" width="11" style="2" bestFit="1" customWidth="1"/>
    <col min="20" max="20" width="4" style="2" bestFit="1" customWidth="1"/>
    <col min="21" max="21" width="20.42578125" style="2" bestFit="1" customWidth="1"/>
    <col min="22" max="16384" width="9.140625" style="2"/>
  </cols>
  <sheetData>
    <row r="1" spans="1:21" x14ac:dyDescent="0.25">
      <c r="A1" s="2" t="s">
        <v>1</v>
      </c>
      <c r="B1" s="2" t="s">
        <v>2</v>
      </c>
      <c r="C1" s="2" t="s">
        <v>3</v>
      </c>
      <c r="E1" s="2" t="s">
        <v>4</v>
      </c>
      <c r="F1" s="2" t="s">
        <v>5</v>
      </c>
    </row>
    <row r="2" spans="1:21" x14ac:dyDescent="0.25">
      <c r="A2" s="2" t="s">
        <v>8</v>
      </c>
      <c r="B2" s="2">
        <v>8814784</v>
      </c>
      <c r="C2" s="2" t="s">
        <v>9</v>
      </c>
      <c r="E2" s="2" t="s">
        <v>6</v>
      </c>
      <c r="F2" s="2" t="s">
        <v>7</v>
      </c>
    </row>
    <row r="3" spans="1:21" x14ac:dyDescent="0.25">
      <c r="A3" s="2" t="s">
        <v>10</v>
      </c>
      <c r="B3" s="2">
        <v>18754354</v>
      </c>
      <c r="C3" s="2" t="s">
        <v>11</v>
      </c>
    </row>
    <row r="4" spans="1:21" x14ac:dyDescent="0.25">
      <c r="A4" s="3">
        <v>45548</v>
      </c>
      <c r="B4" s="2">
        <v>19200754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41</v>
      </c>
      <c r="I4" s="3">
        <v>45530</v>
      </c>
      <c r="J4" s="3">
        <v>45566</v>
      </c>
      <c r="K4" s="2" t="s">
        <v>0</v>
      </c>
      <c r="L4" s="2" t="s">
        <v>42</v>
      </c>
      <c r="M4" s="2">
        <v>1</v>
      </c>
      <c r="N4" s="2" t="s">
        <v>55</v>
      </c>
      <c r="O4" s="2">
        <v>1</v>
      </c>
      <c r="P4" s="2" t="s">
        <v>56</v>
      </c>
      <c r="Q4" s="2" t="s">
        <v>57</v>
      </c>
      <c r="R4" s="2">
        <v>610.99999200000002</v>
      </c>
      <c r="S4" s="2">
        <v>199.99999199999999</v>
      </c>
      <c r="T4" s="2">
        <v>811</v>
      </c>
      <c r="U4" s="2" t="s">
        <v>6</v>
      </c>
    </row>
    <row r="5" spans="1:21" x14ac:dyDescent="0.25">
      <c r="A5" s="3">
        <v>45548</v>
      </c>
      <c r="B5" s="2">
        <v>18935660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41</v>
      </c>
      <c r="I5" s="3">
        <v>45533</v>
      </c>
      <c r="J5" s="3">
        <v>45536</v>
      </c>
      <c r="K5" s="2" t="s">
        <v>0</v>
      </c>
      <c r="L5" s="2" t="s">
        <v>42</v>
      </c>
      <c r="M5" s="2">
        <v>1</v>
      </c>
      <c r="N5" s="2" t="s">
        <v>55</v>
      </c>
      <c r="O5" s="2">
        <v>1</v>
      </c>
      <c r="P5" s="2" t="s">
        <v>56</v>
      </c>
      <c r="Q5" s="2" t="s">
        <v>57</v>
      </c>
      <c r="R5" s="2">
        <v>610.99999200000002</v>
      </c>
      <c r="S5" s="2">
        <v>199.99999199999999</v>
      </c>
      <c r="T5" s="2">
        <v>811</v>
      </c>
      <c r="U5" s="2" t="s">
        <v>6</v>
      </c>
    </row>
    <row r="6" spans="1:21" x14ac:dyDescent="0.25">
      <c r="A6" s="2" t="s">
        <v>8</v>
      </c>
      <c r="B6" s="2">
        <v>17126004</v>
      </c>
      <c r="C6" s="2" t="s">
        <v>83</v>
      </c>
      <c r="E6" s="2" t="s">
        <v>6</v>
      </c>
      <c r="F6" s="2" t="s">
        <v>82</v>
      </c>
    </row>
    <row r="7" spans="1:21" x14ac:dyDescent="0.25">
      <c r="A7" s="2" t="s">
        <v>10</v>
      </c>
      <c r="B7" s="2">
        <v>17301495</v>
      </c>
      <c r="C7" s="2" t="s">
        <v>11</v>
      </c>
    </row>
    <row r="8" spans="1:21" x14ac:dyDescent="0.25">
      <c r="A8" s="2" t="s">
        <v>12</v>
      </c>
      <c r="B8" s="2">
        <v>17301495</v>
      </c>
      <c r="C8" s="2" t="s">
        <v>11</v>
      </c>
    </row>
    <row r="9" spans="1:21" x14ac:dyDescent="0.25">
      <c r="A9" s="2" t="s">
        <v>13</v>
      </c>
      <c r="B9" s="2">
        <v>17301495</v>
      </c>
      <c r="C9" s="2" t="s">
        <v>11</v>
      </c>
    </row>
    <row r="10" spans="1:21" x14ac:dyDescent="0.25">
      <c r="A10" s="3">
        <v>45534</v>
      </c>
      <c r="B10" s="2">
        <v>17301495</v>
      </c>
      <c r="C10" s="2" t="s">
        <v>68</v>
      </c>
      <c r="D10" s="2" t="s">
        <v>72</v>
      </c>
      <c r="E10" s="2" t="s">
        <v>71</v>
      </c>
      <c r="F10" s="2" t="s">
        <v>70</v>
      </c>
      <c r="G10" s="2" t="s">
        <v>69</v>
      </c>
      <c r="H10" s="2" t="s">
        <v>41</v>
      </c>
      <c r="I10" s="3">
        <v>45519</v>
      </c>
      <c r="J10" s="3">
        <v>45536</v>
      </c>
      <c r="K10" s="2" t="s">
        <v>0</v>
      </c>
      <c r="L10" s="2" t="s">
        <v>42</v>
      </c>
      <c r="M10" s="2">
        <v>1</v>
      </c>
      <c r="N10" s="2" t="s">
        <v>0</v>
      </c>
      <c r="O10" s="2">
        <v>2</v>
      </c>
      <c r="P10" s="2" t="s">
        <v>43</v>
      </c>
      <c r="Q10" s="2" t="s">
        <v>57</v>
      </c>
      <c r="R10" s="2">
        <v>102</v>
      </c>
      <c r="S10" s="2">
        <v>199.99999199999999</v>
      </c>
      <c r="T10" s="2">
        <v>302</v>
      </c>
      <c r="U10" s="2" t="s">
        <v>6</v>
      </c>
    </row>
    <row r="11" spans="1:21" x14ac:dyDescent="0.25">
      <c r="A11" s="3">
        <v>45534</v>
      </c>
      <c r="B11" s="2">
        <v>17301495</v>
      </c>
      <c r="C11" s="2" t="s">
        <v>68</v>
      </c>
      <c r="D11" s="2" t="s">
        <v>67</v>
      </c>
      <c r="E11" s="2" t="s">
        <v>66</v>
      </c>
      <c r="F11" s="2" t="s">
        <v>65</v>
      </c>
      <c r="G11" s="2" t="s">
        <v>64</v>
      </c>
      <c r="H11" s="2" t="s">
        <v>41</v>
      </c>
      <c r="I11" s="3">
        <v>45520</v>
      </c>
      <c r="J11" s="3">
        <v>45597</v>
      </c>
      <c r="K11" s="2" t="s">
        <v>0</v>
      </c>
      <c r="L11" s="2" t="s">
        <v>63</v>
      </c>
      <c r="M11" s="2">
        <v>1</v>
      </c>
      <c r="N11" s="2" t="s">
        <v>0</v>
      </c>
      <c r="O11" s="2">
        <v>2</v>
      </c>
      <c r="P11" s="2" t="s">
        <v>43</v>
      </c>
      <c r="Q11" s="2" t="s">
        <v>57</v>
      </c>
      <c r="R11" s="2">
        <v>51</v>
      </c>
      <c r="S11" s="2">
        <v>199.99999199999999</v>
      </c>
      <c r="T11" s="2">
        <v>251</v>
      </c>
      <c r="U11" s="2" t="s">
        <v>6</v>
      </c>
    </row>
    <row r="12" spans="1:21" x14ac:dyDescent="0.25">
      <c r="A12" s="3">
        <v>45534</v>
      </c>
      <c r="B12" s="2">
        <v>17126004</v>
      </c>
      <c r="C12" s="2" t="s">
        <v>81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57</v>
      </c>
      <c r="R12" s="2">
        <v>0</v>
      </c>
      <c r="S12" s="2">
        <v>0</v>
      </c>
      <c r="T12" s="2">
        <v>50</v>
      </c>
      <c r="U12" s="2" t="s">
        <v>0</v>
      </c>
    </row>
    <row r="13" spans="1:21" x14ac:dyDescent="0.25">
      <c r="A13" s="3">
        <v>45534</v>
      </c>
      <c r="B13" s="2">
        <v>17126004</v>
      </c>
      <c r="C13" s="2" t="s">
        <v>81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57</v>
      </c>
      <c r="R13" s="2">
        <v>0</v>
      </c>
      <c r="S13" s="2">
        <v>0</v>
      </c>
      <c r="T13" s="2">
        <v>50</v>
      </c>
      <c r="U13" s="2" t="s">
        <v>0</v>
      </c>
    </row>
    <row r="14" spans="1:21" x14ac:dyDescent="0.25">
      <c r="A14" s="3">
        <v>45534</v>
      </c>
      <c r="B14" s="2">
        <v>18754354</v>
      </c>
      <c r="C14" s="2" t="s">
        <v>45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57</v>
      </c>
      <c r="R14" s="2">
        <v>0</v>
      </c>
      <c r="S14" s="2">
        <v>0</v>
      </c>
      <c r="T14" s="2">
        <v>50</v>
      </c>
      <c r="U14" s="2" t="s">
        <v>0</v>
      </c>
    </row>
    <row r="15" spans="1:21" x14ac:dyDescent="0.25">
      <c r="A15" s="3">
        <v>45534</v>
      </c>
      <c r="B15" s="2">
        <v>20212926</v>
      </c>
      <c r="C15" s="2" t="s">
        <v>84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57</v>
      </c>
      <c r="R15" s="2">
        <v>0</v>
      </c>
      <c r="S15" s="2">
        <v>0</v>
      </c>
      <c r="T15" s="2">
        <v>50</v>
      </c>
      <c r="U15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tabSelected="1" topLeftCell="C1" workbookViewId="0">
      <selection activeCell="H9" sqref="H9"/>
    </sheetView>
  </sheetViews>
  <sheetFormatPr defaultRowHeight="15" x14ac:dyDescent="0.25"/>
  <cols>
    <col min="1" max="1" width="14.28515625" style="2" bestFit="1" customWidth="1"/>
    <col min="2" max="2" width="10.28515625" style="2" bestFit="1" customWidth="1"/>
    <col min="3" max="3" width="20.28515625" style="2" bestFit="1" customWidth="1"/>
    <col min="4" max="4" width="10.42578125" style="2" bestFit="1" customWidth="1"/>
    <col min="5" max="5" width="13.85546875" style="2" bestFit="1" customWidth="1"/>
    <col min="6" max="7" width="12.42578125" style="2" bestFit="1" customWidth="1"/>
    <col min="8" max="8" width="15.5703125" style="2" customWidth="1"/>
    <col min="9" max="9" width="12.85546875" style="2" bestFit="1" customWidth="1"/>
    <col min="10" max="10" width="13.85546875" style="2" bestFit="1" customWidth="1"/>
    <col min="11" max="11" width="12.5703125" style="2" bestFit="1" customWidth="1"/>
    <col min="12" max="12" width="13.5703125" style="2" bestFit="1" customWidth="1"/>
    <col min="13" max="13" width="8.42578125" style="2" bestFit="1" customWidth="1"/>
    <col min="14" max="14" width="4.42578125" style="2" bestFit="1" customWidth="1"/>
    <col min="15" max="15" width="14.28515625" style="2" bestFit="1" customWidth="1"/>
    <col min="16" max="16" width="14.140625" style="2" bestFit="1" customWidth="1"/>
    <col min="17" max="17" width="16.7109375" style="2" bestFit="1" customWidth="1"/>
    <col min="18" max="18" width="6.7109375" style="2" bestFit="1" customWidth="1"/>
    <col min="19" max="19" width="12.5703125" style="2" bestFit="1" customWidth="1"/>
    <col min="20" max="20" width="14.140625" style="2" bestFit="1" customWidth="1"/>
    <col min="21" max="21" width="13.5703125" style="2" bestFit="1" customWidth="1"/>
    <col min="22" max="22" width="20.42578125" style="2" bestFit="1" customWidth="1"/>
    <col min="23" max="23" width="18" style="2" bestFit="1" customWidth="1"/>
    <col min="24" max="16384" width="9.140625" style="2"/>
  </cols>
  <sheetData>
    <row r="1" spans="1:23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85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25">
      <c r="A2" s="3">
        <v>45555</v>
      </c>
      <c r="B2" s="2">
        <v>8814784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tr">
        <f>CONCATENATE(F2, " ", G2)</f>
        <v>ANTHONY HOFELD</v>
      </c>
      <c r="I2" s="2" t="s">
        <v>41</v>
      </c>
      <c r="J2" s="3">
        <v>45540</v>
      </c>
      <c r="K2" s="3">
        <v>45566</v>
      </c>
      <c r="L2" s="2" t="s">
        <v>0</v>
      </c>
      <c r="M2" s="2" t="s">
        <v>42</v>
      </c>
      <c r="N2" s="2">
        <v>1</v>
      </c>
      <c r="O2" s="2" t="s">
        <v>0</v>
      </c>
      <c r="P2" s="2">
        <v>2</v>
      </c>
      <c r="Q2" s="2" t="s">
        <v>43</v>
      </c>
      <c r="R2" s="2" t="s">
        <v>44</v>
      </c>
      <c r="S2" s="2">
        <v>76.5</v>
      </c>
      <c r="T2" s="2">
        <v>199.99999199999999</v>
      </c>
      <c r="U2" s="2">
        <v>276.5</v>
      </c>
      <c r="V2" s="2" t="s">
        <v>6</v>
      </c>
    </row>
    <row r="3" spans="1:23" x14ac:dyDescent="0.25">
      <c r="A3" s="3">
        <v>45555</v>
      </c>
      <c r="B3" s="2">
        <v>18754354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tr">
        <f t="shared" ref="H3:H15" si="0">CONCATENATE(F3, " ", G3)</f>
        <v>ANNETTE EDWARDSON</v>
      </c>
      <c r="I3" s="2" t="s">
        <v>41</v>
      </c>
      <c r="J3" s="3">
        <v>45535</v>
      </c>
      <c r="K3" s="3">
        <v>45536</v>
      </c>
      <c r="L3" s="2" t="s">
        <v>0</v>
      </c>
      <c r="M3" s="2" t="s">
        <v>42</v>
      </c>
      <c r="N3" s="2">
        <v>1</v>
      </c>
      <c r="O3" s="2" t="s">
        <v>0</v>
      </c>
      <c r="P3" s="2">
        <v>2</v>
      </c>
      <c r="Q3" s="2" t="s">
        <v>43</v>
      </c>
      <c r="R3" s="2" t="s">
        <v>44</v>
      </c>
      <c r="S3" s="2">
        <v>102</v>
      </c>
      <c r="T3" s="2">
        <v>199.99999199999999</v>
      </c>
      <c r="U3" s="2">
        <v>302</v>
      </c>
      <c r="V3" s="2" t="s">
        <v>6</v>
      </c>
    </row>
    <row r="4" spans="1:23" x14ac:dyDescent="0.25">
      <c r="A4" s="3">
        <v>45548</v>
      </c>
      <c r="B4" s="2">
        <v>19200754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tr">
        <f t="shared" si="0"/>
        <v>BETH GONSIEWSKI</v>
      </c>
      <c r="I4" s="2" t="s">
        <v>41</v>
      </c>
      <c r="J4" s="3">
        <v>45530</v>
      </c>
      <c r="K4" s="3">
        <v>45566</v>
      </c>
      <c r="L4" s="2" t="s">
        <v>0</v>
      </c>
      <c r="M4" s="2" t="s">
        <v>42</v>
      </c>
      <c r="N4" s="2">
        <v>1</v>
      </c>
      <c r="O4" s="2" t="s">
        <v>55</v>
      </c>
      <c r="P4" s="2">
        <v>1</v>
      </c>
      <c r="Q4" s="2" t="s">
        <v>56</v>
      </c>
      <c r="R4" s="2" t="s">
        <v>57</v>
      </c>
      <c r="S4" s="2">
        <v>610.99999200000002</v>
      </c>
      <c r="T4" s="2">
        <v>199.99999199999999</v>
      </c>
      <c r="U4" s="2">
        <v>811</v>
      </c>
      <c r="V4" s="2" t="s">
        <v>6</v>
      </c>
    </row>
    <row r="5" spans="1:23" x14ac:dyDescent="0.25">
      <c r="A5" s="3">
        <v>45548</v>
      </c>
      <c r="B5" s="2">
        <v>18935660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tr">
        <f t="shared" si="0"/>
        <v>JOANN LEE</v>
      </c>
      <c r="I5" s="2" t="s">
        <v>41</v>
      </c>
      <c r="J5" s="3">
        <v>45533</v>
      </c>
      <c r="K5" s="3">
        <v>45536</v>
      </c>
      <c r="L5" s="2" t="s">
        <v>0</v>
      </c>
      <c r="M5" s="2" t="s">
        <v>42</v>
      </c>
      <c r="N5" s="2">
        <v>1</v>
      </c>
      <c r="O5" s="2" t="s">
        <v>55</v>
      </c>
      <c r="P5" s="2">
        <v>1</v>
      </c>
      <c r="Q5" s="2" t="s">
        <v>56</v>
      </c>
      <c r="R5" s="2" t="s">
        <v>57</v>
      </c>
      <c r="S5" s="2">
        <v>610.99999200000002</v>
      </c>
      <c r="T5" s="2">
        <v>199.99999199999999</v>
      </c>
      <c r="U5" s="2">
        <v>811</v>
      </c>
      <c r="V5" s="2" t="s">
        <v>6</v>
      </c>
    </row>
    <row r="6" spans="1:23" x14ac:dyDescent="0.25">
      <c r="A6" s="3">
        <v>45541</v>
      </c>
      <c r="B6" s="2">
        <v>17126004</v>
      </c>
      <c r="C6" s="2" t="s">
        <v>81</v>
      </c>
      <c r="D6" s="2" t="s">
        <v>80</v>
      </c>
      <c r="E6" s="2" t="s">
        <v>79</v>
      </c>
      <c r="F6" s="2" t="s">
        <v>78</v>
      </c>
      <c r="G6" s="2" t="s">
        <v>77</v>
      </c>
      <c r="H6" s="2" t="str">
        <f t="shared" si="0"/>
        <v>MARYANN CHINDERLE</v>
      </c>
      <c r="I6" s="2" t="s">
        <v>41</v>
      </c>
      <c r="J6" s="3">
        <v>45510</v>
      </c>
      <c r="K6" s="3">
        <v>45566</v>
      </c>
      <c r="L6" s="2" t="s">
        <v>0</v>
      </c>
      <c r="M6" s="2" t="s">
        <v>42</v>
      </c>
      <c r="N6" s="2">
        <v>1</v>
      </c>
      <c r="O6" s="2" t="s">
        <v>55</v>
      </c>
      <c r="P6" s="2">
        <v>1</v>
      </c>
      <c r="Q6" s="2" t="s">
        <v>56</v>
      </c>
      <c r="R6" s="2" t="s">
        <v>57</v>
      </c>
      <c r="S6" s="2">
        <v>534.49999200000002</v>
      </c>
      <c r="T6" s="2">
        <v>0</v>
      </c>
      <c r="U6" s="2">
        <v>534.5</v>
      </c>
      <c r="V6" s="2" t="s">
        <v>6</v>
      </c>
    </row>
    <row r="7" spans="1:23" x14ac:dyDescent="0.25">
      <c r="A7" s="3">
        <v>45541</v>
      </c>
      <c r="B7" s="2">
        <v>17301495</v>
      </c>
      <c r="C7" s="2" t="s">
        <v>68</v>
      </c>
      <c r="D7" s="2" t="s">
        <v>76</v>
      </c>
      <c r="E7" s="2" t="s">
        <v>75</v>
      </c>
      <c r="F7" s="2" t="s">
        <v>74</v>
      </c>
      <c r="G7" s="2" t="s">
        <v>73</v>
      </c>
      <c r="H7" s="2" t="str">
        <f t="shared" si="0"/>
        <v>EMMA VALE</v>
      </c>
      <c r="I7" s="2" t="s">
        <v>41</v>
      </c>
      <c r="J7" s="1">
        <v>45512</v>
      </c>
      <c r="K7" s="3">
        <v>45597</v>
      </c>
      <c r="L7" s="2" t="s">
        <v>0</v>
      </c>
      <c r="M7" s="2" t="s">
        <v>63</v>
      </c>
      <c r="N7" s="2">
        <v>1</v>
      </c>
      <c r="O7" s="2" t="s">
        <v>55</v>
      </c>
      <c r="P7" s="2">
        <v>1</v>
      </c>
      <c r="Q7" s="2" t="s">
        <v>56</v>
      </c>
      <c r="R7" s="2" t="s">
        <v>57</v>
      </c>
      <c r="S7" s="2">
        <v>559.99999200000002</v>
      </c>
      <c r="T7" s="2">
        <v>0</v>
      </c>
      <c r="U7" s="2">
        <v>560</v>
      </c>
      <c r="V7" s="2" t="s">
        <v>6</v>
      </c>
    </row>
    <row r="8" spans="1:23" x14ac:dyDescent="0.25">
      <c r="A8" s="3">
        <v>45541</v>
      </c>
      <c r="B8" s="2">
        <v>17301495</v>
      </c>
      <c r="C8" s="2" t="s">
        <v>68</v>
      </c>
      <c r="D8" s="2" t="s">
        <v>72</v>
      </c>
      <c r="E8" s="2" t="s">
        <v>71</v>
      </c>
      <c r="F8" s="2" t="s">
        <v>70</v>
      </c>
      <c r="G8" s="2" t="s">
        <v>69</v>
      </c>
      <c r="H8" s="2" t="str">
        <f t="shared" si="0"/>
        <v>ABELARDO MONARREZ</v>
      </c>
      <c r="I8" s="2" t="s">
        <v>41</v>
      </c>
      <c r="J8" s="3">
        <v>45519</v>
      </c>
      <c r="K8" s="3">
        <v>45536</v>
      </c>
      <c r="L8" s="2" t="s">
        <v>0</v>
      </c>
      <c r="M8" s="2" t="s">
        <v>42</v>
      </c>
      <c r="N8" s="2">
        <v>1</v>
      </c>
      <c r="O8" s="2" t="s">
        <v>55</v>
      </c>
      <c r="P8" s="2">
        <v>1</v>
      </c>
      <c r="Q8" s="2" t="s">
        <v>56</v>
      </c>
      <c r="R8" s="2" t="s">
        <v>57</v>
      </c>
      <c r="S8" s="2">
        <v>508.99999200000002</v>
      </c>
      <c r="T8" s="2">
        <v>0</v>
      </c>
      <c r="U8" s="2">
        <v>509</v>
      </c>
      <c r="V8" s="2" t="s">
        <v>6</v>
      </c>
    </row>
    <row r="9" spans="1:23" x14ac:dyDescent="0.25">
      <c r="A9" s="3">
        <v>45541</v>
      </c>
      <c r="B9" s="2">
        <v>17301495</v>
      </c>
      <c r="C9" s="2" t="s">
        <v>68</v>
      </c>
      <c r="D9" s="2" t="s">
        <v>67</v>
      </c>
      <c r="E9" s="2" t="s">
        <v>66</v>
      </c>
      <c r="F9" s="2" t="s">
        <v>65</v>
      </c>
      <c r="G9" s="2" t="s">
        <v>64</v>
      </c>
      <c r="H9" s="2" t="str">
        <f t="shared" si="0"/>
        <v>EUDOXIO LOPEZ</v>
      </c>
      <c r="I9" s="2" t="s">
        <v>41</v>
      </c>
      <c r="J9" s="3">
        <v>45520</v>
      </c>
      <c r="K9" s="3">
        <v>45597</v>
      </c>
      <c r="L9" s="2" t="s">
        <v>0</v>
      </c>
      <c r="M9" s="2" t="s">
        <v>63</v>
      </c>
      <c r="N9" s="2">
        <v>1</v>
      </c>
      <c r="O9" s="2" t="s">
        <v>55</v>
      </c>
      <c r="P9" s="2">
        <v>1</v>
      </c>
      <c r="Q9" s="2" t="s">
        <v>56</v>
      </c>
      <c r="R9" s="2" t="s">
        <v>57</v>
      </c>
      <c r="S9" s="2">
        <v>559.99999200000002</v>
      </c>
      <c r="T9" s="2">
        <v>0</v>
      </c>
      <c r="U9" s="2">
        <v>560</v>
      </c>
      <c r="V9" s="2" t="s">
        <v>6</v>
      </c>
    </row>
    <row r="10" spans="1:23" x14ac:dyDescent="0.25">
      <c r="A10" s="3">
        <v>45534</v>
      </c>
      <c r="B10" s="2">
        <v>17301495</v>
      </c>
      <c r="C10" s="2" t="s">
        <v>68</v>
      </c>
      <c r="D10" s="2" t="s">
        <v>72</v>
      </c>
      <c r="E10" s="2" t="s">
        <v>71</v>
      </c>
      <c r="F10" s="2" t="s">
        <v>70</v>
      </c>
      <c r="G10" s="2" t="s">
        <v>69</v>
      </c>
      <c r="H10" s="2" t="str">
        <f t="shared" si="0"/>
        <v>ABELARDO MONARREZ</v>
      </c>
      <c r="I10" s="2" t="s">
        <v>41</v>
      </c>
      <c r="J10" s="3">
        <v>45519</v>
      </c>
      <c r="K10" s="3">
        <v>45536</v>
      </c>
      <c r="L10" s="2" t="s">
        <v>0</v>
      </c>
      <c r="M10" s="2" t="s">
        <v>42</v>
      </c>
      <c r="N10" s="2">
        <v>1</v>
      </c>
      <c r="O10" s="2" t="s">
        <v>0</v>
      </c>
      <c r="P10" s="2">
        <v>2</v>
      </c>
      <c r="Q10" s="2" t="s">
        <v>43</v>
      </c>
      <c r="R10" s="2" t="s">
        <v>57</v>
      </c>
      <c r="S10" s="2">
        <v>102</v>
      </c>
      <c r="T10" s="2">
        <v>199.99999199999999</v>
      </c>
      <c r="U10" s="2">
        <v>302</v>
      </c>
      <c r="V10" s="2" t="s">
        <v>6</v>
      </c>
    </row>
    <row r="11" spans="1:23" x14ac:dyDescent="0.25">
      <c r="A11" s="3">
        <v>45534</v>
      </c>
      <c r="B11" s="2">
        <v>17301495</v>
      </c>
      <c r="C11" s="2" t="s">
        <v>68</v>
      </c>
      <c r="D11" s="2" t="s">
        <v>67</v>
      </c>
      <c r="E11" s="2" t="s">
        <v>66</v>
      </c>
      <c r="F11" s="2" t="s">
        <v>65</v>
      </c>
      <c r="G11" s="2" t="s">
        <v>64</v>
      </c>
      <c r="H11" s="2" t="str">
        <f t="shared" si="0"/>
        <v>EUDOXIO LOPEZ</v>
      </c>
      <c r="I11" s="2" t="s">
        <v>41</v>
      </c>
      <c r="J11" s="3">
        <v>45520</v>
      </c>
      <c r="K11" s="3">
        <v>45597</v>
      </c>
      <c r="L11" s="2" t="s">
        <v>0</v>
      </c>
      <c r="M11" s="2" t="s">
        <v>63</v>
      </c>
      <c r="N11" s="2">
        <v>1</v>
      </c>
      <c r="O11" s="2" t="s">
        <v>0</v>
      </c>
      <c r="P11" s="2">
        <v>2</v>
      </c>
      <c r="Q11" s="2" t="s">
        <v>43</v>
      </c>
      <c r="R11" s="2" t="s">
        <v>57</v>
      </c>
      <c r="S11" s="2">
        <v>51</v>
      </c>
      <c r="T11" s="2">
        <v>199.99999199999999</v>
      </c>
      <c r="U11" s="2">
        <v>251</v>
      </c>
      <c r="V11" s="2" t="s">
        <v>6</v>
      </c>
    </row>
    <row r="12" spans="1:23" x14ac:dyDescent="0.25">
      <c r="A12" s="3">
        <v>45534</v>
      </c>
      <c r="B12" s="2">
        <v>17126004</v>
      </c>
      <c r="C12" s="2" t="s">
        <v>81</v>
      </c>
      <c r="D12" s="2" t="s">
        <v>0</v>
      </c>
      <c r="E12" s="2" t="s">
        <v>0</v>
      </c>
      <c r="F12" s="2" t="s">
        <v>0</v>
      </c>
      <c r="G12" s="2" t="s">
        <v>0</v>
      </c>
      <c r="H12" s="2" t="str">
        <f t="shared" si="0"/>
        <v xml:space="preserve"> 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57</v>
      </c>
      <c r="S12" s="2">
        <v>0</v>
      </c>
      <c r="T12" s="2">
        <v>0</v>
      </c>
      <c r="U12" s="2">
        <v>50</v>
      </c>
      <c r="V12" s="2" t="s">
        <v>0</v>
      </c>
    </row>
    <row r="13" spans="1:23" x14ac:dyDescent="0.25">
      <c r="A13" s="3">
        <v>45534</v>
      </c>
      <c r="B13" s="2">
        <v>17126004</v>
      </c>
      <c r="C13" s="2" t="s">
        <v>81</v>
      </c>
      <c r="D13" s="2" t="s">
        <v>0</v>
      </c>
      <c r="E13" s="2" t="s">
        <v>0</v>
      </c>
      <c r="F13" s="2" t="s">
        <v>0</v>
      </c>
      <c r="G13" s="2" t="s">
        <v>0</v>
      </c>
      <c r="H13" s="2" t="str">
        <f t="shared" si="0"/>
        <v xml:space="preserve"> 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57</v>
      </c>
      <c r="S13" s="2">
        <v>0</v>
      </c>
      <c r="T13" s="2">
        <v>0</v>
      </c>
      <c r="U13" s="2">
        <v>50</v>
      </c>
      <c r="V13" s="2" t="s">
        <v>0</v>
      </c>
    </row>
    <row r="14" spans="1:23" x14ac:dyDescent="0.25">
      <c r="A14" s="3">
        <v>45534</v>
      </c>
      <c r="B14" s="2">
        <v>18754354</v>
      </c>
      <c r="C14" s="2" t="s">
        <v>45</v>
      </c>
      <c r="D14" s="2" t="s">
        <v>0</v>
      </c>
      <c r="E14" s="2" t="s">
        <v>0</v>
      </c>
      <c r="F14" s="2" t="s">
        <v>0</v>
      </c>
      <c r="G14" s="2" t="s">
        <v>0</v>
      </c>
      <c r="H14" s="2" t="str">
        <f t="shared" si="0"/>
        <v xml:space="preserve"> 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57</v>
      </c>
      <c r="S14" s="2">
        <v>0</v>
      </c>
      <c r="T14" s="2">
        <v>0</v>
      </c>
      <c r="U14" s="2">
        <v>50</v>
      </c>
      <c r="V14" s="2" t="s">
        <v>0</v>
      </c>
    </row>
    <row r="15" spans="1:23" x14ac:dyDescent="0.25">
      <c r="A15" s="3">
        <v>45534</v>
      </c>
      <c r="B15" s="2">
        <v>20212926</v>
      </c>
      <c r="C15" s="2" t="s">
        <v>84</v>
      </c>
      <c r="D15" s="2" t="s">
        <v>0</v>
      </c>
      <c r="E15" s="2" t="s">
        <v>0</v>
      </c>
      <c r="F15" s="2" t="s">
        <v>0</v>
      </c>
      <c r="G15" s="2" t="s">
        <v>0</v>
      </c>
      <c r="H15" s="2" t="str">
        <f t="shared" si="0"/>
        <v xml:space="preserve"> 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57</v>
      </c>
      <c r="S15" s="2">
        <v>0</v>
      </c>
      <c r="T15" s="2">
        <v>0</v>
      </c>
      <c r="U15" s="2">
        <v>50</v>
      </c>
      <c r="V15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6EE8-5ACE-47B7-BEFB-3D2E829A7981}">
  <dimension ref="A1:B10"/>
  <sheetViews>
    <sheetView workbookViewId="0">
      <selection activeCell="B1" sqref="B1:B10"/>
    </sheetView>
  </sheetViews>
  <sheetFormatPr defaultRowHeight="15" x14ac:dyDescent="0.25"/>
  <sheetData>
    <row r="1" spans="1:2" x14ac:dyDescent="0.25">
      <c r="A1" s="4">
        <v>45566</v>
      </c>
      <c r="B1" s="4">
        <f>DATE(YEAR(A1), MONTH(A1) +1, DAY(A1))</f>
        <v>45597</v>
      </c>
    </row>
    <row r="2" spans="1:2" x14ac:dyDescent="0.25">
      <c r="A2" s="4">
        <v>45536</v>
      </c>
      <c r="B2" s="4">
        <f t="shared" ref="B2:B10" si="0">DATE(YEAR(A2), MONTH(A2) +1, DAY(A2))</f>
        <v>45566</v>
      </c>
    </row>
    <row r="3" spans="1:2" x14ac:dyDescent="0.25">
      <c r="A3" s="4">
        <v>45566</v>
      </c>
      <c r="B3" s="4">
        <f t="shared" si="0"/>
        <v>45597</v>
      </c>
    </row>
    <row r="4" spans="1:2" x14ac:dyDescent="0.25">
      <c r="A4" s="4">
        <v>45536</v>
      </c>
      <c r="B4" s="4">
        <f t="shared" si="0"/>
        <v>45566</v>
      </c>
    </row>
    <row r="5" spans="1:2" x14ac:dyDescent="0.25">
      <c r="A5" s="4">
        <v>45566</v>
      </c>
      <c r="B5" s="4">
        <f t="shared" si="0"/>
        <v>45597</v>
      </c>
    </row>
    <row r="6" spans="1:2" x14ac:dyDescent="0.25">
      <c r="A6" s="4">
        <v>45597</v>
      </c>
      <c r="B6" s="4">
        <f t="shared" si="0"/>
        <v>45627</v>
      </c>
    </row>
    <row r="7" spans="1:2" x14ac:dyDescent="0.25">
      <c r="A7" s="4">
        <v>45536</v>
      </c>
      <c r="B7" s="4">
        <f t="shared" si="0"/>
        <v>45566</v>
      </c>
    </row>
    <row r="8" spans="1:2" x14ac:dyDescent="0.25">
      <c r="A8" s="4">
        <v>45597</v>
      </c>
      <c r="B8" s="4">
        <f t="shared" si="0"/>
        <v>45627</v>
      </c>
    </row>
    <row r="9" spans="1:2" x14ac:dyDescent="0.25">
      <c r="A9" s="4">
        <v>45536</v>
      </c>
      <c r="B9" s="4">
        <f t="shared" si="0"/>
        <v>45566</v>
      </c>
    </row>
    <row r="10" spans="1:2" x14ac:dyDescent="0.25">
      <c r="A10" s="4">
        <v>45597</v>
      </c>
      <c r="B10" s="4">
        <f t="shared" si="0"/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2024-09-18T16:12:26Z</dcterms:created>
  <dcterms:modified xsi:type="dcterms:W3CDTF">2024-09-24T16:43:07Z</dcterms:modified>
</cp:coreProperties>
</file>