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10-11-2024\"/>
    </mc:Choice>
  </mc:AlternateContent>
  <xr:revisionPtr revIDLastSave="0" documentId="13_ncr:1_{180DC01B-FD22-44FA-A625-08FD2E4067DD}" xr6:coauthVersionLast="47" xr6:coauthVersionMax="47" xr10:uidLastSave="{00000000-0000-0000-0000-000000000000}"/>
  <bookViews>
    <workbookView xWindow="-57720" yWindow="-120" windowWidth="29040" windowHeight="15720" firstSheet="1" activeTab="1" xr2:uid="{00000000-000D-0000-FFFF-FFFF00000000}"/>
  </bookViews>
  <sheets>
    <sheet name="Summary" sheetId="1" r:id="rId1"/>
    <sheet name="Detai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2" l="1"/>
  <c r="H3" i="2"/>
  <c r="H4" i="2"/>
  <c r="H5" i="2"/>
  <c r="H6" i="2"/>
  <c r="H7" i="2"/>
  <c r="H8" i="2"/>
  <c r="H9" i="2"/>
  <c r="H2" i="2"/>
</calcChain>
</file>

<file path=xl/sharedStrings.xml><?xml version="1.0" encoding="utf-8"?>
<sst xmlns="http://schemas.openxmlformats.org/spreadsheetml/2006/main" count="149" uniqueCount="90">
  <si>
    <t>Description</t>
  </si>
  <si>
    <t>Member Count</t>
  </si>
  <si>
    <t>Total</t>
  </si>
  <si>
    <t>Payee</t>
  </si>
  <si>
    <t>Payment Date</t>
  </si>
  <si>
    <t>Credits</t>
  </si>
  <si>
    <t>$4,185.50</t>
  </si>
  <si>
    <t>Main Line Benefits LLC</t>
  </si>
  <si>
    <t>10/11/2024</t>
  </si>
  <si>
    <t>Debits</t>
  </si>
  <si>
    <t/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</si>
  <si>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</si>
  <si>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</si>
  <si>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</si>
  <si>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</si>
  <si>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</si>
  <si>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</si>
  <si>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</si>
  <si>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</si>
  <si>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</si>
  <si>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</si>
  <si>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</si>
  <si>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</si>
  <si>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</si>
  <si>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</si>
  <si>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</si>
  <si>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</si>
  <si>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</si>
  <si>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</si>
  <si>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</si>
  <si>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</si>
  <si>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</si>
  <si>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</si>
  <si>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</si>
  <si>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</si>
  <si>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</si>
  <si>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</si>
  <si>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</si>
  <si>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</si>
  <si>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18754354</t>
  </si>
  <si>
    <t>Jacob Yale</t>
  </si>
  <si>
    <t>D9H8YE</t>
  </si>
  <si>
    <t>1UX3AG1PY96</t>
  </si>
  <si>
    <t>ANNETTE</t>
  </si>
  <si>
    <t>EDWARDSON</t>
  </si>
  <si>
    <t>IL</t>
  </si>
  <si>
    <t>H6545</t>
  </si>
  <si>
    <t>NONE</t>
  </si>
  <si>
    <t>Initial - New</t>
  </si>
  <si>
    <t>Sep</t>
  </si>
  <si>
    <t>8814784</t>
  </si>
  <si>
    <t>Frank Liskovec</t>
  </si>
  <si>
    <t>DHU3YZ</t>
  </si>
  <si>
    <t>4D30UE4GW20</t>
  </si>
  <si>
    <t>ANTHONY</t>
  </si>
  <si>
    <t>HOFELD</t>
  </si>
  <si>
    <t>8325282</t>
  </si>
  <si>
    <t>Dale Walenga</t>
  </si>
  <si>
    <t>DU29JK</t>
  </si>
  <si>
    <t>7KD4KY4QV77</t>
  </si>
  <si>
    <t>RICHARD</t>
  </si>
  <si>
    <t>DEHN</t>
  </si>
  <si>
    <t>PDP</t>
  </si>
  <si>
    <t>2158366</t>
  </si>
  <si>
    <t>Jeffrey Horn</t>
  </si>
  <si>
    <t>DW43YG</t>
  </si>
  <si>
    <t>5AW1HF8DA96</t>
  </si>
  <si>
    <t>DAWSON</t>
  </si>
  <si>
    <t>DAVIS</t>
  </si>
  <si>
    <t>9213293</t>
  </si>
  <si>
    <t>Gary Portugal</t>
  </si>
  <si>
    <t>DEW7CR</t>
  </si>
  <si>
    <t>9GX4VW5TX84</t>
  </si>
  <si>
    <t>PATRICIA</t>
  </si>
  <si>
    <t>PROCHASKA</t>
  </si>
  <si>
    <t>DJYFYF</t>
  </si>
  <si>
    <t>4U10YJ7NU15</t>
  </si>
  <si>
    <t>LINDA</t>
  </si>
  <si>
    <t>NAPOLITANO</t>
  </si>
  <si>
    <t>19615078</t>
  </si>
  <si>
    <t>Richard Wuensch</t>
  </si>
  <si>
    <t>D36ZF9</t>
  </si>
  <si>
    <t>7FJ9A67QU11</t>
  </si>
  <si>
    <t>LEONID</t>
  </si>
  <si>
    <t>ROMANOV</t>
  </si>
  <si>
    <t>DA25Z9</t>
  </si>
  <si>
    <t>9GT8GY8NX41</t>
  </si>
  <si>
    <t>NADEZHDA</t>
  </si>
  <si>
    <t>ROMANOVA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</si>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</sst>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8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</row>
    <row r="4" spans="1:6" x14ac:dyDescent="0.25">
      <c r="A4" t="s">
        <v>12</v>
      </c>
      <c r="B4">
        <v>0</v>
      </c>
      <c r="C4" t="s">
        <v>11</v>
      </c>
    </row>
    <row r="5" spans="1:6" x14ac:dyDescent="0.25">
      <c r="A5" t="s">
        <v>13</v>
      </c>
      <c r="C5" t="s">
        <v>11</v>
      </c>
    </row>
    <row r="6" spans="1:6" x14ac:dyDescent="0.25">
      <c r="A6" t="s">
        <v>14</v>
      </c>
      <c r="B6">
        <v>8</v>
      </c>
      <c r="C6" t="s">
        <v>6</v>
      </c>
    </row>
    <row r="7" spans="1:6" x14ac:dyDescent="0.25">
      <c r="A7" t="s">
        <v>15</v>
      </c>
      <c r="C7" t="s">
        <v>11</v>
      </c>
    </row>
    <row r="8" spans="1:6" x14ac:dyDescent="0.25">
      <c r="A8" t="s">
        <v>16</v>
      </c>
      <c r="C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"/>
  <sheetViews>
    <sheetView tabSelected="1" topLeftCell="E1" workbookViewId="0">
      <selection activeCell="U10" sqref="U10"/>
    </sheetView>
  </sheetViews>
  <sheetFormatPr defaultRowHeight="15" x14ac:dyDescent="0.25"/>
  <cols>
    <col min="1" max="1" width="15" customWidth="1"/>
    <col min="2" max="2" width="10.7109375" bestFit="1" customWidth="1"/>
    <col min="3" max="3" width="16.28515625" bestFit="1" customWidth="1"/>
    <col min="4" max="4" width="10.85546875" bestFit="1" customWidth="1"/>
    <col min="5" max="5" width="14.140625" bestFit="1" customWidth="1"/>
    <col min="6" max="7" width="12.85546875" bestFit="1" customWidth="1"/>
    <col min="8" max="8" width="22.7109375" bestFit="1" customWidth="1"/>
    <col min="9" max="9" width="13.7109375" bestFit="1" customWidth="1"/>
    <col min="10" max="10" width="14.140625" bestFit="1" customWidth="1"/>
    <col min="11" max="11" width="13.5703125" bestFit="1" customWidth="1"/>
    <col min="12" max="12" width="13.7109375" bestFit="1" customWidth="1"/>
    <col min="13" max="13" width="8.42578125" bestFit="1" customWidth="1"/>
    <col min="14" max="14" width="4.42578125" bestFit="1" customWidth="1"/>
    <col min="15" max="16" width="14.42578125" bestFit="1" customWidth="1"/>
    <col min="17" max="17" width="16.7109375" bestFit="1" customWidth="1"/>
    <col min="18" max="18" width="6.85546875" bestFit="1" customWidth="1"/>
    <col min="19" max="19" width="12.7109375" bestFit="1" customWidth="1"/>
    <col min="20" max="20" width="14.5703125" bestFit="1" customWidth="1"/>
    <col min="21" max="21" width="13.85546875" bestFit="1" customWidth="1"/>
    <col min="22" max="22" width="21" bestFit="1" customWidth="1"/>
    <col min="23" max="23" width="18.28515625" bestFit="1" customWidth="1"/>
  </cols>
  <sheetData>
    <row r="1" spans="1:23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89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 spans="1:23" x14ac:dyDescent="0.25">
      <c r="A2" s="1">
        <v>45576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tr">
        <f>CONCATENATE(F2, " ",G2)</f>
        <v>ANNETTE EDWARDSON</v>
      </c>
      <c r="I2" t="s">
        <v>45</v>
      </c>
      <c r="J2" s="1">
        <v>45535</v>
      </c>
      <c r="K2" s="1">
        <v>45536</v>
      </c>
      <c r="L2" t="s">
        <v>10</v>
      </c>
      <c r="M2" t="s">
        <v>46</v>
      </c>
      <c r="N2">
        <v>1</v>
      </c>
      <c r="O2" t="s">
        <v>47</v>
      </c>
      <c r="P2">
        <v>1</v>
      </c>
      <c r="Q2" t="s">
        <v>48</v>
      </c>
      <c r="R2" t="s">
        <v>49</v>
      </c>
      <c r="S2">
        <v>508.99999200000002</v>
      </c>
      <c r="T2">
        <v>0</v>
      </c>
      <c r="U2">
        <v>509</v>
      </c>
      <c r="V2" t="s">
        <v>7</v>
      </c>
    </row>
    <row r="3" spans="1:23" x14ac:dyDescent="0.25">
      <c r="A3" s="1">
        <v>45576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tr">
        <f t="shared" ref="H3:H9" si="0">CONCATENATE(F3, " ",G3)</f>
        <v>ANTHONY HOFELD</v>
      </c>
      <c r="I3" t="s">
        <v>45</v>
      </c>
      <c r="J3" s="1">
        <v>45540</v>
      </c>
      <c r="K3" s="1">
        <v>45566</v>
      </c>
      <c r="L3" t="s">
        <v>10</v>
      </c>
      <c r="M3" t="s">
        <v>46</v>
      </c>
      <c r="N3">
        <v>1</v>
      </c>
      <c r="O3" t="s">
        <v>47</v>
      </c>
      <c r="P3">
        <v>1</v>
      </c>
      <c r="Q3" t="s">
        <v>48</v>
      </c>
      <c r="R3" t="s">
        <v>49</v>
      </c>
      <c r="S3">
        <v>534.49999200000002</v>
      </c>
      <c r="T3">
        <v>0</v>
      </c>
      <c r="U3">
        <v>534.5</v>
      </c>
      <c r="V3" t="s">
        <v>7</v>
      </c>
    </row>
    <row r="4" spans="1:23" x14ac:dyDescent="0.25">
      <c r="A4" s="1">
        <v>45576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tr">
        <f t="shared" si="0"/>
        <v>RICHARD DEHN</v>
      </c>
      <c r="I4" t="s">
        <v>45</v>
      </c>
      <c r="J4" s="1">
        <v>45553</v>
      </c>
      <c r="K4" s="1">
        <v>45566</v>
      </c>
      <c r="L4" t="s">
        <v>10</v>
      </c>
      <c r="M4" t="s">
        <v>46</v>
      </c>
      <c r="N4">
        <v>1</v>
      </c>
      <c r="O4" t="s">
        <v>62</v>
      </c>
      <c r="P4">
        <v>1</v>
      </c>
      <c r="Q4" t="s">
        <v>48</v>
      </c>
      <c r="R4" t="s">
        <v>49</v>
      </c>
      <c r="S4">
        <v>534.49999200000002</v>
      </c>
      <c r="T4">
        <v>0</v>
      </c>
      <c r="U4">
        <v>534.5</v>
      </c>
      <c r="V4" t="s">
        <v>7</v>
      </c>
    </row>
    <row r="5" spans="1:23" x14ac:dyDescent="0.25">
      <c r="A5" s="1">
        <v>45576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tr">
        <f t="shared" si="0"/>
        <v>DAWSON DAVIS</v>
      </c>
      <c r="I5" t="s">
        <v>45</v>
      </c>
      <c r="J5" s="1">
        <v>45554</v>
      </c>
      <c r="K5" s="1">
        <v>45627</v>
      </c>
      <c r="L5" t="s">
        <v>10</v>
      </c>
      <c r="M5" t="s">
        <v>46</v>
      </c>
      <c r="N5">
        <v>1</v>
      </c>
      <c r="O5" t="s">
        <v>47</v>
      </c>
      <c r="P5">
        <v>1</v>
      </c>
      <c r="Q5" t="s">
        <v>48</v>
      </c>
      <c r="R5" t="s">
        <v>49</v>
      </c>
      <c r="S5">
        <v>585.49999200000002</v>
      </c>
      <c r="T5">
        <v>0</v>
      </c>
      <c r="U5">
        <v>585.5</v>
      </c>
      <c r="V5" t="s">
        <v>7</v>
      </c>
    </row>
    <row r="6" spans="1:23" x14ac:dyDescent="0.25">
      <c r="A6" s="1">
        <v>45576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tr">
        <f t="shared" si="0"/>
        <v>PATRICIA PROCHASKA</v>
      </c>
      <c r="I6" t="s">
        <v>45</v>
      </c>
      <c r="J6" s="1">
        <v>45560</v>
      </c>
      <c r="K6" s="1">
        <v>45597</v>
      </c>
      <c r="L6" t="s">
        <v>10</v>
      </c>
      <c r="M6" t="s">
        <v>46</v>
      </c>
      <c r="N6">
        <v>1</v>
      </c>
      <c r="O6" t="s">
        <v>47</v>
      </c>
      <c r="P6">
        <v>1</v>
      </c>
      <c r="Q6" t="s">
        <v>48</v>
      </c>
      <c r="R6" t="s">
        <v>49</v>
      </c>
      <c r="S6">
        <v>610.99999200000002</v>
      </c>
      <c r="T6">
        <v>199.99999199999999</v>
      </c>
      <c r="U6">
        <v>811</v>
      </c>
      <c r="V6" t="s">
        <v>7</v>
      </c>
    </row>
    <row r="7" spans="1:23" x14ac:dyDescent="0.25">
      <c r="A7" s="1">
        <v>45576</v>
      </c>
      <c r="B7" t="s">
        <v>63</v>
      </c>
      <c r="C7" t="s">
        <v>64</v>
      </c>
      <c r="D7" t="s">
        <v>75</v>
      </c>
      <c r="E7" t="s">
        <v>76</v>
      </c>
      <c r="F7" t="s">
        <v>77</v>
      </c>
      <c r="G7" t="s">
        <v>78</v>
      </c>
      <c r="H7" t="str">
        <f t="shared" si="0"/>
        <v>LINDA NAPOLITANO</v>
      </c>
      <c r="I7" t="s">
        <v>45</v>
      </c>
      <c r="J7" s="1">
        <v>45560</v>
      </c>
      <c r="K7" s="1">
        <v>45597</v>
      </c>
      <c r="L7" t="s">
        <v>10</v>
      </c>
      <c r="M7" t="s">
        <v>46</v>
      </c>
      <c r="N7">
        <v>1</v>
      </c>
      <c r="O7" t="s">
        <v>47</v>
      </c>
      <c r="P7">
        <v>1</v>
      </c>
      <c r="Q7" t="s">
        <v>48</v>
      </c>
      <c r="R7" t="s">
        <v>49</v>
      </c>
      <c r="S7">
        <v>610.99999200000002</v>
      </c>
      <c r="T7">
        <v>199.99999199999999</v>
      </c>
      <c r="U7">
        <v>811</v>
      </c>
      <c r="V7" t="s">
        <v>7</v>
      </c>
    </row>
    <row r="8" spans="1:23" x14ac:dyDescent="0.25">
      <c r="A8" s="1">
        <v>45576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tr">
        <f t="shared" si="0"/>
        <v>LEONID ROMANOV</v>
      </c>
      <c r="I8" t="s">
        <v>45</v>
      </c>
      <c r="J8" s="1">
        <v>45561</v>
      </c>
      <c r="K8" s="1">
        <v>45566</v>
      </c>
      <c r="L8" t="s">
        <v>10</v>
      </c>
      <c r="M8" t="s">
        <v>46</v>
      </c>
      <c r="N8">
        <v>1</v>
      </c>
      <c r="O8" t="s">
        <v>47</v>
      </c>
      <c r="P8">
        <v>1</v>
      </c>
      <c r="Q8" t="s">
        <v>48</v>
      </c>
      <c r="R8" t="s">
        <v>49</v>
      </c>
      <c r="S8">
        <v>0</v>
      </c>
      <c r="T8">
        <v>199.99999199999999</v>
      </c>
      <c r="U8">
        <v>200</v>
      </c>
      <c r="V8" t="s">
        <v>7</v>
      </c>
    </row>
    <row r="9" spans="1:23" x14ac:dyDescent="0.25">
      <c r="A9" s="1">
        <v>45576</v>
      </c>
      <c r="B9" t="s">
        <v>79</v>
      </c>
      <c r="C9" t="s">
        <v>80</v>
      </c>
      <c r="D9" t="s">
        <v>85</v>
      </c>
      <c r="E9" t="s">
        <v>86</v>
      </c>
      <c r="F9" t="s">
        <v>87</v>
      </c>
      <c r="G9" t="s">
        <v>88</v>
      </c>
      <c r="H9" t="str">
        <f t="shared" si="0"/>
        <v>NADEZHDA ROMANOVA</v>
      </c>
      <c r="I9" t="s">
        <v>45</v>
      </c>
      <c r="J9" s="1">
        <v>45561</v>
      </c>
      <c r="K9" s="1">
        <v>45566</v>
      </c>
      <c r="L9" t="s">
        <v>10</v>
      </c>
      <c r="M9" t="s">
        <v>46</v>
      </c>
      <c r="N9">
        <v>1</v>
      </c>
      <c r="O9" t="s">
        <v>47</v>
      </c>
      <c r="P9">
        <v>1</v>
      </c>
      <c r="Q9" t="s">
        <v>48</v>
      </c>
      <c r="R9" t="s">
        <v>49</v>
      </c>
      <c r="S9">
        <v>0</v>
      </c>
      <c r="T9">
        <v>199.99999199999999</v>
      </c>
      <c r="U9">
        <v>200</v>
      </c>
      <c r="V9" t="s">
        <v>7</v>
      </c>
    </row>
    <row r="10" spans="1:23" x14ac:dyDescent="0.25">
      <c r="U10">
        <f>SUM(U2:U9)</f>
        <v>4185.5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Janki Patel</cp:lastModifiedBy>
  <cp:revision/>
  <dcterms:created xsi:type="dcterms:W3CDTF">2024-10-09T15:42:49Z</dcterms:created>
  <dcterms:modified xsi:type="dcterms:W3CDTF">2024-10-23T19:45:15Z</dcterms:modified>
  <cp:category/>
  <cp:contentStatus/>
</cp:coreProperties>
</file>