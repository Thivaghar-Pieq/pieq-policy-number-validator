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levance MAPD\2025\11-06-25 to 11-26-25\"/>
    </mc:Choice>
  </mc:AlternateContent>
  <xr:revisionPtr revIDLastSave="0" documentId="13_ncr:1_{AE284F97-25D6-44E6-9179-5D30B636930F}" xr6:coauthVersionLast="47" xr6:coauthVersionMax="47" xr10:uidLastSave="{00000000-0000-0000-0000-000000000000}"/>
  <bookViews>
    <workbookView xWindow="-57720" yWindow="-45" windowWidth="29040" windowHeight="15720" xr2:uid="{EF2093CC-4F44-445E-9B5E-05B1A971D0D1}"/>
  </bookViews>
  <sheets>
    <sheet name="Producer ToolBox_11062025_COIN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  <c r="F6" i="2"/>
  <c r="F3" i="2"/>
  <c r="F5" i="2"/>
  <c r="F9" i="2"/>
  <c r="F2" i="2"/>
  <c r="F8" i="2"/>
  <c r="F7" i="2"/>
</calcChain>
</file>

<file path=xl/sharedStrings.xml><?xml version="1.0" encoding="utf-8"?>
<sst xmlns="http://schemas.openxmlformats.org/spreadsheetml/2006/main" count="714" uniqueCount="185">
  <si>
    <t>MAIN LINE BENEFITS LLC</t>
  </si>
  <si>
    <t>AGENT / BROKER NO :DJNQQJMNVY</t>
  </si>
  <si>
    <t>TOTAL PREMIUM RECEIVED</t>
  </si>
  <si>
    <t>462 E KING ST</t>
  </si>
  <si>
    <t>STATEMENT OF ACCOUNT</t>
  </si>
  <si>
    <t>TOTAL PAID TO DATE</t>
  </si>
  <si>
    <t>MALVERN PA 19355</t>
  </si>
  <si>
    <t>PERIOD :10/31/2025 TO 11/06/2025</t>
  </si>
  <si>
    <t>GRAND TOTAL COMMISSION AMOUNT</t>
  </si>
  <si>
    <t>LEVY/GARNISHMENT</t>
  </si>
  <si>
    <t>IRS WITHHELD</t>
  </si>
  <si>
    <t>STATE WITHHELD</t>
  </si>
  <si>
    <t>PAID AMOUNT</t>
  </si>
  <si>
    <t>PRIOR BALANCE</t>
  </si>
  <si>
    <t>PRIOR HELD</t>
  </si>
  <si>
    <t>CURRENT BALANCE</t>
  </si>
  <si>
    <t>CURRENT HELD</t>
  </si>
  <si>
    <t>TRACKING CODE</t>
  </si>
  <si>
    <t>PRODUCER NUMBER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</si>
  <si>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</si>
  <si>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</si>
  <si>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</si>
  <si>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</si>
  <si>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</si>
  <si>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</si>
  <si>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</si>
  <si>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MEDICARE ID</t>
  </si>
  <si>
    <t>RATE EFFECTIVE DATE</t>
  </si>
  <si>
    <t>TIER LEVEL</t>
  </si>
  <si>
    <t>AOR CHANGE</t>
  </si>
  <si>
    <t>RATE</t>
  </si>
  <si>
    <t>RATE TYPE</t>
  </si>
  <si>
    <t>SPLIT % AMT</t>
  </si>
  <si>
    <t>DUE DATE</t>
  </si>
  <si>
    <t>MO</t>
  </si>
  <si>
    <t>DAYS</t>
  </si>
  <si>
    <t>ADV BAL</t>
  </si>
  <si>
    <t>PREMIUM</t>
  </si>
  <si>
    <t>PREMIUM TYPE</t>
  </si>
  <si>
    <t>STL-TO-DT PREMIUM</t>
  </si>
  <si>
    <t>STL-TO-DT-COMMISSION</t>
  </si>
  <si>
    <t>PAYMENT</t>
  </si>
  <si>
    <t>COMMENTS</t>
  </si>
  <si>
    <t>TOTAL COMMISSION BY TYPE</t>
  </si>
  <si>
    <t>TOTAL COMMISSION BY PRODUCER</t>
  </si>
  <si>
    <t>PORTUGAL, STACEY A</t>
  </si>
  <si>
    <t>FL</t>
  </si>
  <si>
    <t>MEDICARE</t>
  </si>
  <si>
    <t>488W24198</t>
  </si>
  <si>
    <t>MED</t>
  </si>
  <si>
    <t>161C</t>
  </si>
  <si>
    <t>COUCH, JOYCE</t>
  </si>
  <si>
    <t>9F86P64WA86</t>
  </si>
  <si>
    <t>NO</t>
  </si>
  <si>
    <t>Base</t>
  </si>
  <si>
    <t>498W24972</t>
  </si>
  <si>
    <t>WOMBLES, JAMES</t>
  </si>
  <si>
    <t>4WD5Q31FJ50</t>
  </si>
  <si>
    <t>ADVREN  NEW</t>
  </si>
  <si>
    <t>ADVREN</t>
  </si>
  <si>
    <t>211W24349</t>
  </si>
  <si>
    <t>EMANUEL, TROY</t>
  </si>
  <si>
    <t>6AV3CM0RD77</t>
  </si>
  <si>
    <t>PORTUGAL, GARY</t>
  </si>
  <si>
    <t>021W23166</t>
  </si>
  <si>
    <t>DOWDY, ROBERTA</t>
  </si>
  <si>
    <t>5G99PU2PF12</t>
  </si>
  <si>
    <t>SANTOS, RICARDO D</t>
  </si>
  <si>
    <t>IN</t>
  </si>
  <si>
    <t>023W16402</t>
  </si>
  <si>
    <t>608C</t>
  </si>
  <si>
    <t>GRAZIANI, MARGARE</t>
  </si>
  <si>
    <t>8TJ8WH5TR38</t>
  </si>
  <si>
    <t>172W22587</t>
  </si>
  <si>
    <t>PIERSON, MICHAEL</t>
  </si>
  <si>
    <t>6M46XU4QU48</t>
  </si>
  <si>
    <t>407W22392</t>
  </si>
  <si>
    <t>BLASKO, EDWARD</t>
  </si>
  <si>
    <t>4JK6FM6YV43</t>
  </si>
  <si>
    <t>139W24765</t>
  </si>
  <si>
    <t>BOLYARD, JAMES</t>
  </si>
  <si>
    <t>4AX8K83MG32</t>
  </si>
  <si>
    <t>ADVINT</t>
  </si>
  <si>
    <t>ADVINT  NEW</t>
  </si>
  <si>
    <t>948W21216</t>
  </si>
  <si>
    <t>LOWRY, RICHARD</t>
  </si>
  <si>
    <t>8XJ2EE2YR19</t>
  </si>
  <si>
    <t>SANDEROCK, MARSHA</t>
  </si>
  <si>
    <t>852W24516</t>
  </si>
  <si>
    <t>MSUP</t>
  </si>
  <si>
    <t>201C</t>
  </si>
  <si>
    <t>BIDGOOD, BETH</t>
  </si>
  <si>
    <t>6J85MQ7UP58</t>
  </si>
  <si>
    <t>INFO ONLY</t>
  </si>
  <si>
    <t>331W24188</t>
  </si>
  <si>
    <t>WILLIAMSON, JOHN</t>
  </si>
  <si>
    <t>9E38YY0MT36</t>
  </si>
  <si>
    <t>574W24286</t>
  </si>
  <si>
    <t>LAIN, TERESA</t>
  </si>
  <si>
    <t>6GH0DE0HD17</t>
  </si>
  <si>
    <t>461W24123</t>
  </si>
  <si>
    <t>RYSTED, DAVID</t>
  </si>
  <si>
    <t>6X23YP8DC82</t>
  </si>
  <si>
    <t>641W24303</t>
  </si>
  <si>
    <t>GANGNON, CONNIE</t>
  </si>
  <si>
    <t>6H05MM8QG54</t>
  </si>
  <si>
    <t>205M00134</t>
  </si>
  <si>
    <t>WOLBRINK, BART</t>
  </si>
  <si>
    <t>1HC1XX7VX98</t>
  </si>
  <si>
    <t>029W24748</t>
  </si>
  <si>
    <t>MAGNA, CARL</t>
  </si>
  <si>
    <t>3VT5QU9DH99</t>
  </si>
  <si>
    <t>810W24548</t>
  </si>
  <si>
    <t>RYSTED, KATHLEE</t>
  </si>
  <si>
    <t>2HM6C22QJ45</t>
  </si>
  <si>
    <t>910W24439</t>
  </si>
  <si>
    <t>MANGANO, JULIA</t>
  </si>
  <si>
    <t>1R92UN9YA80</t>
  </si>
  <si>
    <t>000W24385</t>
  </si>
  <si>
    <t>VORIS, DANNY</t>
  </si>
  <si>
    <t>4DA4GH6KV04</t>
  </si>
  <si>
    <t>INITIAL</t>
  </si>
  <si>
    <t>ADV  NEW</t>
  </si>
  <si>
    <t>ADV</t>
  </si>
  <si>
    <t>640W24767</t>
  </si>
  <si>
    <t>MONTGOMERY, LISA</t>
  </si>
  <si>
    <t>7UU2Y68YA24</t>
  </si>
  <si>
    <t>HANSFORD, GREGORY</t>
  </si>
  <si>
    <t>022W14511</t>
  </si>
  <si>
    <t>PUETZER, JANICE</t>
  </si>
  <si>
    <t>5T45H98AC54</t>
  </si>
  <si>
    <t>140W10931</t>
  </si>
  <si>
    <t>WHITT, SANDRA</t>
  </si>
  <si>
    <t>5NP1UV6GF34</t>
  </si>
  <si>
    <t>YES</t>
  </si>
  <si>
    <t>OH</t>
  </si>
  <si>
    <t>896M54994</t>
  </si>
  <si>
    <t>728C</t>
  </si>
  <si>
    <t>DAVENPORT, DIANNA</t>
  </si>
  <si>
    <t>1W40AP4AU18</t>
  </si>
  <si>
    <t>TX</t>
  </si>
  <si>
    <t>972W22875</t>
  </si>
  <si>
    <t>628C</t>
  </si>
  <si>
    <t>SKIPWORTH, DEBORAH</t>
  </si>
  <si>
    <t>9M88C01JJ24</t>
  </si>
  <si>
    <t>STROHMAN, BRIAN</t>
  </si>
  <si>
    <t>WI</t>
  </si>
  <si>
    <t>545W22479</t>
  </si>
  <si>
    <t>423C</t>
  </si>
  <si>
    <t>JENNINGS, MICHAEL</t>
  </si>
  <si>
    <t>9EV9RP8HX33</t>
  </si>
  <si>
    <t>714W22634</t>
  </si>
  <si>
    <t>COHEN, MICHAEL</t>
  </si>
  <si>
    <t>5W68DH5QH51</t>
  </si>
  <si>
    <t>516W22333</t>
  </si>
  <si>
    <t>PARENT, DANIEL</t>
  </si>
  <si>
    <t>7F59EW0TY53</t>
  </si>
  <si>
    <t>829W21544</t>
  </si>
  <si>
    <t>SOLL, MICHAEL</t>
  </si>
  <si>
    <t>6EA8VE6PN68</t>
  </si>
  <si>
    <t>788W24089</t>
  </si>
  <si>
    <t>METCALF, JAY</t>
  </si>
  <si>
    <t>9MU5GX9QU79</t>
  </si>
  <si>
    <t>324W22449</t>
  </si>
  <si>
    <t>TEMPLE, DIANE</t>
  </si>
  <si>
    <t>1NY1N03FF02</t>
  </si>
  <si>
    <t>321W21931</t>
  </si>
  <si>
    <t>ALBRIGHT, TAMMY</t>
  </si>
  <si>
    <t>3UH0AV5XY14</t>
  </si>
  <si>
    <t>283W17578</t>
  </si>
  <si>
    <t>PERRENOUD JR, STEPHEN</t>
  </si>
  <si>
    <t>8FE9K50NX49</t>
  </si>
  <si>
    <t>944W21931</t>
  </si>
  <si>
    <t>ALBRIGHT, DAVID</t>
  </si>
  <si>
    <t>9UP5UA0HX70</t>
  </si>
  <si>
    <t>HODGMAN, TIMOTHY D</t>
  </si>
  <si>
    <t>352W10665</t>
  </si>
  <si>
    <t>EKLOF, WILLIAM</t>
  </si>
  <si>
    <t>2AP0KR1PG15</t>
  </si>
  <si>
    <t>Anthem MAPD 2025</t>
  </si>
  <si>
    <t>Anthem MAPD 2025*</t>
  </si>
  <si>
    <t>Elevance Plan A, F, G, and N 65+ - IN</t>
  </si>
  <si>
    <t>[%/$=313][prorate=1/12]</t>
  </si>
  <si>
    <t>[%/$=626]</t>
  </si>
  <si>
    <t>20724564AV9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</si>
</sst>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8" fontId="0" fillId="0" borderId="0" xfId="0" applyNumberFormat="1"/>
    <xf numFmtId="0" fontId="14" fillId="0" borderId="0" xfId="0" applyFont="1"/>
    <xf numFmtId="14" fontId="14" fillId="0" borderId="0" xfId="0" applyNumberFormat="1" applyFont="1"/>
    <xf numFmtId="8" fontId="14" fillId="0" borderId="0" xfId="0" applyNumberFormat="1" applyFont="1"/>
    <xf numFmtId="0" fontId="0" fillId="33" borderId="0" xfId="0" applyFill="1"/>
    <xf numFmtId="14" fontId="0" fillId="33" borderId="0" xfId="0" applyNumberFormat="1" applyFill="1"/>
    <xf numFmtId="10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2AD71-A729-4E75-A451-1028CB9E21EC}">
  <dimension ref="A1:AB67"/>
  <sheetViews>
    <sheetView tabSelected="1" topLeftCell="A22" workbookViewId="0">
      <selection activeCell="U26" sqref="U26"/>
    </sheetView>
  </sheetViews>
  <sheetFormatPr defaultRowHeight="15" x14ac:dyDescent="0.25"/>
  <cols>
    <col min="11" max="11" width="20.140625" bestFit="1" customWidth="1"/>
    <col min="17" max="17" width="9.7109375" bestFit="1" customWidth="1"/>
  </cols>
  <sheetData>
    <row r="1" spans="1:28" x14ac:dyDescent="0.25">
      <c r="A1" t="s">
        <v>0</v>
      </c>
      <c r="E1" t="s">
        <v>1</v>
      </c>
      <c r="I1" t="s">
        <v>2</v>
      </c>
      <c r="K1">
        <v>1470.69</v>
      </c>
    </row>
    <row r="2" spans="1:28" x14ac:dyDescent="0.25">
      <c r="A2" t="s">
        <v>3</v>
      </c>
      <c r="E2" t="s">
        <v>4</v>
      </c>
      <c r="I2" t="s">
        <v>5</v>
      </c>
      <c r="K2">
        <v>4399.66</v>
      </c>
    </row>
    <row r="3" spans="1:28" x14ac:dyDescent="0.25">
      <c r="A3" t="s">
        <v>6</v>
      </c>
      <c r="E3" t="s">
        <v>7</v>
      </c>
      <c r="I3" t="s">
        <v>8</v>
      </c>
      <c r="K3">
        <v>1117.46</v>
      </c>
    </row>
    <row r="4" spans="1:28" x14ac:dyDescent="0.25">
      <c r="I4" t="s">
        <v>9</v>
      </c>
      <c r="K4">
        <v>0</v>
      </c>
    </row>
    <row r="5" spans="1:28" x14ac:dyDescent="0.25">
      <c r="I5" t="s">
        <v>10</v>
      </c>
      <c r="K5">
        <v>0</v>
      </c>
    </row>
    <row r="6" spans="1:28" x14ac:dyDescent="0.25">
      <c r="I6" t="s">
        <v>11</v>
      </c>
      <c r="K6">
        <v>0</v>
      </c>
    </row>
    <row r="7" spans="1:28" x14ac:dyDescent="0.25">
      <c r="I7" t="s">
        <v>12</v>
      </c>
      <c r="K7">
        <v>1117.46</v>
      </c>
    </row>
    <row r="8" spans="1:28" x14ac:dyDescent="0.25">
      <c r="I8" t="s">
        <v>13</v>
      </c>
      <c r="K8">
        <v>0</v>
      </c>
    </row>
    <row r="9" spans="1:28" x14ac:dyDescent="0.25">
      <c r="I9" t="s">
        <v>14</v>
      </c>
      <c r="K9">
        <v>0</v>
      </c>
    </row>
    <row r="10" spans="1:28" x14ac:dyDescent="0.25">
      <c r="I10" t="s">
        <v>15</v>
      </c>
      <c r="K10">
        <v>0</v>
      </c>
    </row>
    <row r="11" spans="1:28" x14ac:dyDescent="0.25">
      <c r="I11" t="s">
        <v>16</v>
      </c>
      <c r="K11">
        <v>0</v>
      </c>
    </row>
    <row r="13" spans="1:28" x14ac:dyDescent="0.25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26</v>
      </c>
      <c r="K13" t="s">
        <v>27</v>
      </c>
      <c r="L13" t="s">
        <v>28</v>
      </c>
      <c r="M13" t="s">
        <v>29</v>
      </c>
      <c r="N13" t="s">
        <v>30</v>
      </c>
      <c r="O13" t="s">
        <v>31</v>
      </c>
      <c r="P13" t="s">
        <v>32</v>
      </c>
      <c r="Q13" t="s">
        <v>33</v>
      </c>
      <c r="R13" t="s">
        <v>34</v>
      </c>
      <c r="S13" t="s">
        <v>35</v>
      </c>
      <c r="T13" t="s">
        <v>36</v>
      </c>
      <c r="U13" t="s">
        <v>37</v>
      </c>
      <c r="V13" t="s">
        <v>38</v>
      </c>
      <c r="W13" t="s">
        <v>39</v>
      </c>
      <c r="X13" t="s">
        <v>40</v>
      </c>
      <c r="Y13" t="s">
        <v>41</v>
      </c>
      <c r="Z13" t="s">
        <v>42</v>
      </c>
      <c r="AA13" t="s">
        <v>43</v>
      </c>
      <c r="AB13" t="s">
        <v>44</v>
      </c>
    </row>
    <row r="14" spans="1:28" x14ac:dyDescent="0.25">
      <c r="B14">
        <v>19645587</v>
      </c>
      <c r="C14" t="s">
        <v>45</v>
      </c>
      <c r="D14" t="s">
        <v>46</v>
      </c>
      <c r="E14" t="s">
        <v>47</v>
      </c>
      <c r="F14" t="s">
        <v>48</v>
      </c>
      <c r="G14" t="s">
        <v>49</v>
      </c>
      <c r="H14" t="s">
        <v>50</v>
      </c>
      <c r="I14" t="s">
        <v>51</v>
      </c>
      <c r="J14" t="s">
        <v>52</v>
      </c>
      <c r="K14" s="1">
        <v>45931</v>
      </c>
      <c r="M14" t="s">
        <v>53</v>
      </c>
      <c r="N14" s="2">
        <v>52.17</v>
      </c>
      <c r="O14" t="s">
        <v>54</v>
      </c>
      <c r="P14">
        <v>100</v>
      </c>
      <c r="Q14" s="1">
        <v>45962</v>
      </c>
      <c r="R14">
        <v>1</v>
      </c>
      <c r="S14">
        <v>0</v>
      </c>
      <c r="T14">
        <v>573.87</v>
      </c>
      <c r="U14">
        <v>0</v>
      </c>
      <c r="W14">
        <v>0</v>
      </c>
      <c r="X14">
        <v>0</v>
      </c>
      <c r="Y14">
        <v>0</v>
      </c>
      <c r="AA14">
        <v>704.31</v>
      </c>
      <c r="AB14">
        <v>704.31</v>
      </c>
    </row>
    <row r="15" spans="1:28" x14ac:dyDescent="0.25">
      <c r="B15">
        <v>19645587</v>
      </c>
      <c r="C15" t="s">
        <v>45</v>
      </c>
      <c r="D15" t="s">
        <v>46</v>
      </c>
      <c r="E15" t="s">
        <v>47</v>
      </c>
      <c r="F15" t="s">
        <v>55</v>
      </c>
      <c r="G15" t="s">
        <v>49</v>
      </c>
      <c r="H15" t="s">
        <v>50</v>
      </c>
      <c r="I15" t="s">
        <v>56</v>
      </c>
      <c r="J15" t="s">
        <v>57</v>
      </c>
      <c r="K15" s="1">
        <v>45962</v>
      </c>
      <c r="M15" t="s">
        <v>53</v>
      </c>
      <c r="N15" s="2">
        <v>26.09</v>
      </c>
      <c r="O15" t="s">
        <v>54</v>
      </c>
      <c r="P15">
        <v>100</v>
      </c>
      <c r="Q15" s="1">
        <v>45962</v>
      </c>
      <c r="R15">
        <v>1</v>
      </c>
      <c r="S15">
        <v>0</v>
      </c>
      <c r="T15">
        <v>0</v>
      </c>
      <c r="U15">
        <v>0</v>
      </c>
      <c r="W15">
        <v>0</v>
      </c>
      <c r="X15">
        <v>0</v>
      </c>
      <c r="Y15">
        <v>26.09</v>
      </c>
      <c r="Z15" t="s">
        <v>58</v>
      </c>
    </row>
    <row r="16" spans="1:28" x14ac:dyDescent="0.25">
      <c r="B16">
        <v>19645587</v>
      </c>
      <c r="C16" t="s">
        <v>45</v>
      </c>
      <c r="D16" t="s">
        <v>46</v>
      </c>
      <c r="E16" t="s">
        <v>47</v>
      </c>
      <c r="F16" t="s">
        <v>55</v>
      </c>
      <c r="G16" t="s">
        <v>49</v>
      </c>
      <c r="H16" t="s">
        <v>50</v>
      </c>
      <c r="I16" t="s">
        <v>56</v>
      </c>
      <c r="J16" t="s">
        <v>57</v>
      </c>
      <c r="K16" s="1">
        <v>45962</v>
      </c>
      <c r="M16" t="s">
        <v>53</v>
      </c>
      <c r="N16" s="2">
        <v>26.09</v>
      </c>
      <c r="O16" t="s">
        <v>54</v>
      </c>
      <c r="P16">
        <v>100</v>
      </c>
      <c r="Q16" s="1">
        <v>45992</v>
      </c>
      <c r="R16">
        <v>1</v>
      </c>
      <c r="S16">
        <v>0</v>
      </c>
      <c r="T16">
        <v>0</v>
      </c>
      <c r="U16">
        <v>0</v>
      </c>
      <c r="W16">
        <v>0</v>
      </c>
      <c r="X16">
        <v>0</v>
      </c>
      <c r="Y16">
        <v>26.09</v>
      </c>
      <c r="Z16" t="s">
        <v>59</v>
      </c>
    </row>
    <row r="17" spans="2:28" x14ac:dyDescent="0.25">
      <c r="B17">
        <v>19645587</v>
      </c>
      <c r="C17" t="s">
        <v>45</v>
      </c>
      <c r="D17" t="s">
        <v>46</v>
      </c>
      <c r="E17" t="s">
        <v>47</v>
      </c>
      <c r="F17" t="s">
        <v>60</v>
      </c>
      <c r="G17" t="s">
        <v>49</v>
      </c>
      <c r="H17" t="s">
        <v>50</v>
      </c>
      <c r="I17" t="s">
        <v>61</v>
      </c>
      <c r="J17" t="s">
        <v>62</v>
      </c>
      <c r="K17" s="1">
        <v>45931</v>
      </c>
      <c r="M17" t="s">
        <v>53</v>
      </c>
      <c r="N17" s="2">
        <v>52.17</v>
      </c>
      <c r="O17" t="s">
        <v>54</v>
      </c>
      <c r="P17">
        <v>100</v>
      </c>
      <c r="Q17" s="1">
        <v>45962</v>
      </c>
      <c r="R17">
        <v>1</v>
      </c>
      <c r="S17">
        <v>0</v>
      </c>
      <c r="T17">
        <v>573.87</v>
      </c>
      <c r="U17">
        <v>0</v>
      </c>
      <c r="W17">
        <v>0</v>
      </c>
      <c r="X17">
        <v>0</v>
      </c>
      <c r="Y17">
        <v>0</v>
      </c>
    </row>
    <row r="18" spans="2:28" x14ac:dyDescent="0.25">
      <c r="B18">
        <v>9213293</v>
      </c>
      <c r="C18" t="s">
        <v>63</v>
      </c>
      <c r="D18" t="s">
        <v>46</v>
      </c>
      <c r="E18" t="s">
        <v>47</v>
      </c>
      <c r="F18" t="s">
        <v>64</v>
      </c>
      <c r="G18" t="s">
        <v>49</v>
      </c>
      <c r="H18" t="s">
        <v>50</v>
      </c>
      <c r="I18" t="s">
        <v>65</v>
      </c>
      <c r="J18" t="s">
        <v>66</v>
      </c>
      <c r="K18" s="1">
        <v>45778</v>
      </c>
      <c r="M18" t="s">
        <v>53</v>
      </c>
      <c r="N18" s="2">
        <v>52.17</v>
      </c>
      <c r="O18" t="s">
        <v>54</v>
      </c>
      <c r="P18">
        <v>100</v>
      </c>
      <c r="Q18" s="1">
        <v>45962</v>
      </c>
      <c r="R18">
        <v>1</v>
      </c>
      <c r="S18">
        <v>0</v>
      </c>
      <c r="T18">
        <v>313.02</v>
      </c>
      <c r="U18">
        <v>0</v>
      </c>
      <c r="W18">
        <v>0</v>
      </c>
      <c r="X18">
        <v>0</v>
      </c>
      <c r="Y18">
        <v>0</v>
      </c>
      <c r="AA18">
        <v>52.18</v>
      </c>
      <c r="AB18">
        <v>52.18</v>
      </c>
    </row>
    <row r="19" spans="2:28" x14ac:dyDescent="0.25">
      <c r="B19">
        <v>19200754</v>
      </c>
      <c r="C19" t="s">
        <v>67</v>
      </c>
      <c r="D19" t="s">
        <v>68</v>
      </c>
      <c r="E19" t="s">
        <v>47</v>
      </c>
      <c r="F19" t="s">
        <v>69</v>
      </c>
      <c r="G19" t="s">
        <v>49</v>
      </c>
      <c r="H19" t="s">
        <v>70</v>
      </c>
      <c r="I19" t="s">
        <v>71</v>
      </c>
      <c r="J19" t="s">
        <v>72</v>
      </c>
      <c r="K19" s="1">
        <v>45658</v>
      </c>
      <c r="M19" t="s">
        <v>53</v>
      </c>
      <c r="N19" s="2">
        <v>26.09</v>
      </c>
      <c r="O19" t="s">
        <v>54</v>
      </c>
      <c r="P19">
        <v>100</v>
      </c>
      <c r="Q19" s="1">
        <v>45962</v>
      </c>
      <c r="R19">
        <v>1</v>
      </c>
      <c r="S19">
        <v>0</v>
      </c>
      <c r="T19">
        <v>52.18</v>
      </c>
      <c r="U19">
        <v>0</v>
      </c>
      <c r="W19">
        <v>0</v>
      </c>
      <c r="X19">
        <v>0</v>
      </c>
      <c r="Y19">
        <v>0</v>
      </c>
      <c r="AA19">
        <v>0</v>
      </c>
      <c r="AB19">
        <v>0</v>
      </c>
    </row>
    <row r="20" spans="2:28" x14ac:dyDescent="0.25">
      <c r="B20">
        <v>19645587</v>
      </c>
      <c r="C20" t="s">
        <v>45</v>
      </c>
      <c r="D20" t="s">
        <v>68</v>
      </c>
      <c r="E20" t="s">
        <v>47</v>
      </c>
      <c r="F20" t="s">
        <v>73</v>
      </c>
      <c r="G20" t="s">
        <v>49</v>
      </c>
      <c r="H20" t="s">
        <v>70</v>
      </c>
      <c r="I20" t="s">
        <v>74</v>
      </c>
      <c r="J20" t="s">
        <v>75</v>
      </c>
      <c r="K20" s="1">
        <v>45689</v>
      </c>
      <c r="M20" t="s">
        <v>53</v>
      </c>
      <c r="N20" s="2">
        <v>52.17</v>
      </c>
      <c r="O20" t="s">
        <v>54</v>
      </c>
      <c r="P20">
        <v>100</v>
      </c>
      <c r="Q20" s="1">
        <v>45962</v>
      </c>
      <c r="R20">
        <v>1</v>
      </c>
      <c r="S20">
        <v>0</v>
      </c>
      <c r="T20">
        <v>156.51</v>
      </c>
      <c r="U20">
        <v>0</v>
      </c>
      <c r="W20">
        <v>0</v>
      </c>
      <c r="X20">
        <v>0</v>
      </c>
      <c r="Y20">
        <v>0</v>
      </c>
      <c r="AA20">
        <v>704.31</v>
      </c>
      <c r="AB20">
        <v>704.31</v>
      </c>
    </row>
    <row r="21" spans="2:28" x14ac:dyDescent="0.25">
      <c r="B21">
        <v>19645587</v>
      </c>
      <c r="C21" t="s">
        <v>45</v>
      </c>
      <c r="D21" t="s">
        <v>68</v>
      </c>
      <c r="E21" t="s">
        <v>47</v>
      </c>
      <c r="F21" t="s">
        <v>76</v>
      </c>
      <c r="G21" t="s">
        <v>49</v>
      </c>
      <c r="H21" t="s">
        <v>70</v>
      </c>
      <c r="I21" t="s">
        <v>77</v>
      </c>
      <c r="J21" t="s">
        <v>78</v>
      </c>
      <c r="K21" s="1">
        <v>45658</v>
      </c>
      <c r="M21" t="s">
        <v>53</v>
      </c>
      <c r="N21" s="2">
        <v>26.09</v>
      </c>
      <c r="O21" t="s">
        <v>54</v>
      </c>
      <c r="P21">
        <v>100</v>
      </c>
      <c r="Q21" s="1">
        <v>45962</v>
      </c>
      <c r="R21">
        <v>1</v>
      </c>
      <c r="S21">
        <v>0</v>
      </c>
      <c r="T21">
        <v>52.18</v>
      </c>
      <c r="U21">
        <v>0</v>
      </c>
      <c r="W21">
        <v>0</v>
      </c>
      <c r="X21">
        <v>0</v>
      </c>
      <c r="Y21">
        <v>0</v>
      </c>
    </row>
    <row r="22" spans="2:28" x14ac:dyDescent="0.25">
      <c r="B22">
        <v>19645587</v>
      </c>
      <c r="C22" t="s">
        <v>45</v>
      </c>
      <c r="D22" t="s">
        <v>68</v>
      </c>
      <c r="E22" t="s">
        <v>47</v>
      </c>
      <c r="F22" t="s">
        <v>79</v>
      </c>
      <c r="G22" t="s">
        <v>49</v>
      </c>
      <c r="H22" t="s">
        <v>70</v>
      </c>
      <c r="I22" t="s">
        <v>80</v>
      </c>
      <c r="J22" t="s">
        <v>81</v>
      </c>
      <c r="K22" s="1">
        <v>45962</v>
      </c>
      <c r="M22" t="s">
        <v>53</v>
      </c>
      <c r="N22" s="2">
        <v>52.17</v>
      </c>
      <c r="O22" t="s">
        <v>54</v>
      </c>
      <c r="P22">
        <v>100</v>
      </c>
      <c r="Q22" s="1">
        <v>45658</v>
      </c>
      <c r="R22">
        <v>1</v>
      </c>
      <c r="S22">
        <v>0</v>
      </c>
      <c r="T22">
        <v>0</v>
      </c>
      <c r="U22">
        <v>0</v>
      </c>
      <c r="W22">
        <v>0</v>
      </c>
      <c r="X22">
        <v>0</v>
      </c>
      <c r="Y22">
        <v>52.17</v>
      </c>
      <c r="Z22" t="s">
        <v>82</v>
      </c>
    </row>
    <row r="23" spans="2:28" x14ac:dyDescent="0.25">
      <c r="B23">
        <v>19645587</v>
      </c>
      <c r="C23" t="s">
        <v>45</v>
      </c>
      <c r="D23" t="s">
        <v>68</v>
      </c>
      <c r="E23" t="s">
        <v>47</v>
      </c>
      <c r="F23" t="s">
        <v>79</v>
      </c>
      <c r="G23" t="s">
        <v>49</v>
      </c>
      <c r="H23" t="s">
        <v>70</v>
      </c>
      <c r="I23" t="s">
        <v>80</v>
      </c>
      <c r="J23" t="s">
        <v>81</v>
      </c>
      <c r="K23" s="1">
        <v>45962</v>
      </c>
      <c r="M23" t="s">
        <v>53</v>
      </c>
      <c r="N23" s="2">
        <v>52.17</v>
      </c>
      <c r="O23" t="s">
        <v>54</v>
      </c>
      <c r="P23">
        <v>100</v>
      </c>
      <c r="Q23" s="1">
        <v>45689</v>
      </c>
      <c r="R23">
        <v>1</v>
      </c>
      <c r="S23">
        <v>0</v>
      </c>
      <c r="T23">
        <v>0</v>
      </c>
      <c r="U23">
        <v>0</v>
      </c>
      <c r="W23">
        <v>0</v>
      </c>
      <c r="X23">
        <v>0</v>
      </c>
      <c r="Y23">
        <v>52.17</v>
      </c>
      <c r="Z23" t="s">
        <v>82</v>
      </c>
    </row>
    <row r="24" spans="2:28" x14ac:dyDescent="0.25">
      <c r="B24">
        <v>19645587</v>
      </c>
      <c r="C24" t="s">
        <v>45</v>
      </c>
      <c r="D24" t="s">
        <v>68</v>
      </c>
      <c r="E24" t="s">
        <v>47</v>
      </c>
      <c r="F24" t="s">
        <v>79</v>
      </c>
      <c r="G24" t="s">
        <v>49</v>
      </c>
      <c r="H24" t="s">
        <v>70</v>
      </c>
      <c r="I24" t="s">
        <v>80</v>
      </c>
      <c r="J24" t="s">
        <v>81</v>
      </c>
      <c r="K24" s="1">
        <v>45962</v>
      </c>
      <c r="M24" t="s">
        <v>53</v>
      </c>
      <c r="N24" s="2">
        <v>52.17</v>
      </c>
      <c r="O24" t="s">
        <v>54</v>
      </c>
      <c r="P24">
        <v>100</v>
      </c>
      <c r="Q24" s="1">
        <v>45717</v>
      </c>
      <c r="R24">
        <v>1</v>
      </c>
      <c r="S24">
        <v>0</v>
      </c>
      <c r="T24">
        <v>0</v>
      </c>
      <c r="U24">
        <v>0</v>
      </c>
      <c r="W24">
        <v>0</v>
      </c>
      <c r="X24">
        <v>0</v>
      </c>
      <c r="Y24">
        <v>52.17</v>
      </c>
      <c r="Z24" t="s">
        <v>82</v>
      </c>
    </row>
    <row r="25" spans="2:28" x14ac:dyDescent="0.25">
      <c r="B25">
        <v>19645587</v>
      </c>
      <c r="C25" t="s">
        <v>45</v>
      </c>
      <c r="D25" t="s">
        <v>68</v>
      </c>
      <c r="E25" t="s">
        <v>47</v>
      </c>
      <c r="F25" t="s">
        <v>79</v>
      </c>
      <c r="G25" t="s">
        <v>49</v>
      </c>
      <c r="H25" t="s">
        <v>70</v>
      </c>
      <c r="I25" t="s">
        <v>80</v>
      </c>
      <c r="J25" t="s">
        <v>81</v>
      </c>
      <c r="K25" s="1">
        <v>45962</v>
      </c>
      <c r="M25" t="s">
        <v>53</v>
      </c>
      <c r="N25" s="2">
        <v>52.17</v>
      </c>
      <c r="O25" t="s">
        <v>54</v>
      </c>
      <c r="P25">
        <v>100</v>
      </c>
      <c r="Q25" s="1">
        <v>45748</v>
      </c>
      <c r="R25">
        <v>1</v>
      </c>
      <c r="S25">
        <v>0</v>
      </c>
      <c r="T25">
        <v>0</v>
      </c>
      <c r="U25">
        <v>0</v>
      </c>
      <c r="W25">
        <v>0</v>
      </c>
      <c r="X25">
        <v>0</v>
      </c>
      <c r="Y25">
        <v>52.17</v>
      </c>
      <c r="Z25" t="s">
        <v>82</v>
      </c>
    </row>
    <row r="26" spans="2:28" x14ac:dyDescent="0.25">
      <c r="B26">
        <v>19645587</v>
      </c>
      <c r="C26" t="s">
        <v>45</v>
      </c>
      <c r="D26" t="s">
        <v>68</v>
      </c>
      <c r="E26" t="s">
        <v>47</v>
      </c>
      <c r="F26" t="s">
        <v>79</v>
      </c>
      <c r="G26" t="s">
        <v>49</v>
      </c>
      <c r="H26" t="s">
        <v>70</v>
      </c>
      <c r="I26" t="s">
        <v>80</v>
      </c>
      <c r="J26" t="s">
        <v>81</v>
      </c>
      <c r="K26" s="1">
        <v>45962</v>
      </c>
      <c r="M26" t="s">
        <v>53</v>
      </c>
      <c r="N26" s="2">
        <v>52.17</v>
      </c>
      <c r="O26" t="s">
        <v>54</v>
      </c>
      <c r="P26">
        <v>100</v>
      </c>
      <c r="Q26" s="1">
        <v>45778</v>
      </c>
      <c r="R26">
        <v>1</v>
      </c>
      <c r="S26">
        <v>0</v>
      </c>
      <c r="T26">
        <v>0</v>
      </c>
      <c r="U26">
        <v>0</v>
      </c>
      <c r="W26">
        <v>0</v>
      </c>
      <c r="X26">
        <v>0</v>
      </c>
      <c r="Y26">
        <v>52.17</v>
      </c>
      <c r="Z26" t="s">
        <v>82</v>
      </c>
    </row>
    <row r="27" spans="2:28" x14ac:dyDescent="0.25">
      <c r="B27">
        <v>19645587</v>
      </c>
      <c r="C27" t="s">
        <v>45</v>
      </c>
      <c r="D27" t="s">
        <v>68</v>
      </c>
      <c r="E27" t="s">
        <v>47</v>
      </c>
      <c r="F27" t="s">
        <v>79</v>
      </c>
      <c r="G27" t="s">
        <v>49</v>
      </c>
      <c r="H27" t="s">
        <v>70</v>
      </c>
      <c r="I27" t="s">
        <v>80</v>
      </c>
      <c r="J27" t="s">
        <v>81</v>
      </c>
      <c r="K27" s="1">
        <v>45962</v>
      </c>
      <c r="M27" t="s">
        <v>53</v>
      </c>
      <c r="N27" s="2">
        <v>52.17</v>
      </c>
      <c r="O27" t="s">
        <v>54</v>
      </c>
      <c r="P27">
        <v>100</v>
      </c>
      <c r="Q27" s="1">
        <v>45809</v>
      </c>
      <c r="R27">
        <v>1</v>
      </c>
      <c r="S27">
        <v>0</v>
      </c>
      <c r="T27">
        <v>0</v>
      </c>
      <c r="U27">
        <v>0</v>
      </c>
      <c r="W27">
        <v>0</v>
      </c>
      <c r="X27">
        <v>0</v>
      </c>
      <c r="Y27">
        <v>52.17</v>
      </c>
      <c r="Z27" t="s">
        <v>82</v>
      </c>
    </row>
    <row r="28" spans="2:28" x14ac:dyDescent="0.25">
      <c r="B28">
        <v>19645587</v>
      </c>
      <c r="C28" t="s">
        <v>45</v>
      </c>
      <c r="D28" t="s">
        <v>68</v>
      </c>
      <c r="E28" t="s">
        <v>47</v>
      </c>
      <c r="F28" t="s">
        <v>79</v>
      </c>
      <c r="G28" t="s">
        <v>49</v>
      </c>
      <c r="H28" t="s">
        <v>70</v>
      </c>
      <c r="I28" t="s">
        <v>80</v>
      </c>
      <c r="J28" t="s">
        <v>81</v>
      </c>
      <c r="K28" s="1">
        <v>45962</v>
      </c>
      <c r="M28" t="s">
        <v>53</v>
      </c>
      <c r="N28" s="2">
        <v>52.17</v>
      </c>
      <c r="O28" t="s">
        <v>54</v>
      </c>
      <c r="P28">
        <v>100</v>
      </c>
      <c r="Q28" s="1">
        <v>45839</v>
      </c>
      <c r="R28">
        <v>1</v>
      </c>
      <c r="S28">
        <v>0</v>
      </c>
      <c r="T28">
        <v>0</v>
      </c>
      <c r="U28">
        <v>0</v>
      </c>
      <c r="W28">
        <v>0</v>
      </c>
      <c r="X28">
        <v>0</v>
      </c>
      <c r="Y28">
        <v>52.17</v>
      </c>
      <c r="Z28" t="s">
        <v>82</v>
      </c>
    </row>
    <row r="29" spans="2:28" x14ac:dyDescent="0.25">
      <c r="B29">
        <v>19645587</v>
      </c>
      <c r="C29" t="s">
        <v>45</v>
      </c>
      <c r="D29" t="s">
        <v>68</v>
      </c>
      <c r="E29" t="s">
        <v>47</v>
      </c>
      <c r="F29" t="s">
        <v>79</v>
      </c>
      <c r="G29" t="s">
        <v>49</v>
      </c>
      <c r="H29" t="s">
        <v>70</v>
      </c>
      <c r="I29" t="s">
        <v>80</v>
      </c>
      <c r="J29" t="s">
        <v>81</v>
      </c>
      <c r="K29" s="1">
        <v>45962</v>
      </c>
      <c r="M29" t="s">
        <v>53</v>
      </c>
      <c r="N29" s="2">
        <v>52.17</v>
      </c>
      <c r="O29" t="s">
        <v>54</v>
      </c>
      <c r="P29">
        <v>100</v>
      </c>
      <c r="Q29" s="1">
        <v>45870</v>
      </c>
      <c r="R29">
        <v>1</v>
      </c>
      <c r="S29">
        <v>0</v>
      </c>
      <c r="T29">
        <v>0</v>
      </c>
      <c r="U29">
        <v>0</v>
      </c>
      <c r="W29">
        <v>0</v>
      </c>
      <c r="X29">
        <v>0</v>
      </c>
      <c r="Y29">
        <v>52.17</v>
      </c>
      <c r="Z29" t="s">
        <v>82</v>
      </c>
    </row>
    <row r="30" spans="2:28" x14ac:dyDescent="0.25">
      <c r="B30">
        <v>19645587</v>
      </c>
      <c r="C30" t="s">
        <v>45</v>
      </c>
      <c r="D30" t="s">
        <v>68</v>
      </c>
      <c r="E30" t="s">
        <v>47</v>
      </c>
      <c r="F30" t="s">
        <v>79</v>
      </c>
      <c r="G30" t="s">
        <v>49</v>
      </c>
      <c r="H30" t="s">
        <v>70</v>
      </c>
      <c r="I30" t="s">
        <v>80</v>
      </c>
      <c r="J30" t="s">
        <v>81</v>
      </c>
      <c r="K30" s="1">
        <v>45962</v>
      </c>
      <c r="M30" t="s">
        <v>53</v>
      </c>
      <c r="N30" s="2">
        <v>52.17</v>
      </c>
      <c r="O30" t="s">
        <v>54</v>
      </c>
      <c r="P30">
        <v>100</v>
      </c>
      <c r="Q30" s="1">
        <v>45901</v>
      </c>
      <c r="R30">
        <v>1</v>
      </c>
      <c r="S30">
        <v>0</v>
      </c>
      <c r="T30">
        <v>0</v>
      </c>
      <c r="U30">
        <v>0</v>
      </c>
      <c r="W30">
        <v>0</v>
      </c>
      <c r="X30">
        <v>0</v>
      </c>
      <c r="Y30">
        <v>52.17</v>
      </c>
      <c r="Z30" t="s">
        <v>82</v>
      </c>
    </row>
    <row r="31" spans="2:28" x14ac:dyDescent="0.25">
      <c r="B31">
        <v>19645587</v>
      </c>
      <c r="C31" t="s">
        <v>45</v>
      </c>
      <c r="D31" t="s">
        <v>68</v>
      </c>
      <c r="E31" t="s">
        <v>47</v>
      </c>
      <c r="F31" t="s">
        <v>79</v>
      </c>
      <c r="G31" t="s">
        <v>49</v>
      </c>
      <c r="H31" t="s">
        <v>70</v>
      </c>
      <c r="I31" t="s">
        <v>80</v>
      </c>
      <c r="J31" t="s">
        <v>81</v>
      </c>
      <c r="K31" s="1">
        <v>45962</v>
      </c>
      <c r="M31" t="s">
        <v>53</v>
      </c>
      <c r="N31" s="2">
        <v>52.17</v>
      </c>
      <c r="O31" t="s">
        <v>54</v>
      </c>
      <c r="P31">
        <v>100</v>
      </c>
      <c r="Q31" s="1">
        <v>45931</v>
      </c>
      <c r="R31">
        <v>1</v>
      </c>
      <c r="S31">
        <v>0</v>
      </c>
      <c r="T31">
        <v>0</v>
      </c>
      <c r="U31">
        <v>0</v>
      </c>
      <c r="W31">
        <v>0</v>
      </c>
      <c r="X31">
        <v>0</v>
      </c>
      <c r="Y31">
        <v>52.17</v>
      </c>
      <c r="Z31" t="s">
        <v>82</v>
      </c>
    </row>
    <row r="32" spans="2:28" x14ac:dyDescent="0.25">
      <c r="B32">
        <v>19645587</v>
      </c>
      <c r="C32" t="s">
        <v>45</v>
      </c>
      <c r="D32" t="s">
        <v>68</v>
      </c>
      <c r="E32" t="s">
        <v>47</v>
      </c>
      <c r="F32" t="s">
        <v>79</v>
      </c>
      <c r="G32" t="s">
        <v>49</v>
      </c>
      <c r="H32" t="s">
        <v>70</v>
      </c>
      <c r="I32" t="s">
        <v>80</v>
      </c>
      <c r="J32" t="s">
        <v>81</v>
      </c>
      <c r="K32" s="1">
        <v>45962</v>
      </c>
      <c r="M32" t="s">
        <v>53</v>
      </c>
      <c r="N32" s="2">
        <v>52.17</v>
      </c>
      <c r="O32" t="s">
        <v>54</v>
      </c>
      <c r="P32">
        <v>100</v>
      </c>
      <c r="Q32" s="1">
        <v>45962</v>
      </c>
      <c r="R32">
        <v>1</v>
      </c>
      <c r="S32">
        <v>0</v>
      </c>
      <c r="T32">
        <v>0</v>
      </c>
      <c r="U32">
        <v>0</v>
      </c>
      <c r="W32">
        <v>0</v>
      </c>
      <c r="X32">
        <v>0</v>
      </c>
      <c r="Y32">
        <v>52.17</v>
      </c>
      <c r="Z32" t="s">
        <v>83</v>
      </c>
    </row>
    <row r="33" spans="2:28" x14ac:dyDescent="0.25">
      <c r="B33">
        <v>19645587</v>
      </c>
      <c r="C33" t="s">
        <v>45</v>
      </c>
      <c r="D33" t="s">
        <v>68</v>
      </c>
      <c r="E33" t="s">
        <v>47</v>
      </c>
      <c r="F33" t="s">
        <v>79</v>
      </c>
      <c r="G33" t="s">
        <v>49</v>
      </c>
      <c r="H33" t="s">
        <v>70</v>
      </c>
      <c r="I33" t="s">
        <v>80</v>
      </c>
      <c r="J33" t="s">
        <v>81</v>
      </c>
      <c r="K33" s="1">
        <v>45962</v>
      </c>
      <c r="M33" t="s">
        <v>53</v>
      </c>
      <c r="N33" s="2">
        <v>52.17</v>
      </c>
      <c r="O33" t="s">
        <v>54</v>
      </c>
      <c r="P33">
        <v>100</v>
      </c>
      <c r="Q33" s="1">
        <v>45992</v>
      </c>
      <c r="R33">
        <v>1</v>
      </c>
      <c r="S33">
        <v>0</v>
      </c>
      <c r="T33">
        <v>0</v>
      </c>
      <c r="U33">
        <v>0</v>
      </c>
      <c r="W33">
        <v>0</v>
      </c>
      <c r="X33">
        <v>0</v>
      </c>
      <c r="Y33">
        <v>52.17</v>
      </c>
      <c r="Z33" t="s">
        <v>82</v>
      </c>
    </row>
    <row r="34" spans="2:28" x14ac:dyDescent="0.25">
      <c r="B34">
        <v>9213293</v>
      </c>
      <c r="C34" t="s">
        <v>63</v>
      </c>
      <c r="D34" t="s">
        <v>68</v>
      </c>
      <c r="E34" t="s">
        <v>47</v>
      </c>
      <c r="F34" t="s">
        <v>84</v>
      </c>
      <c r="G34" t="s">
        <v>49</v>
      </c>
      <c r="H34" t="s">
        <v>70</v>
      </c>
      <c r="I34" t="s">
        <v>85</v>
      </c>
      <c r="J34" t="s">
        <v>86</v>
      </c>
      <c r="K34" s="1">
        <v>45536</v>
      </c>
      <c r="M34" t="s">
        <v>53</v>
      </c>
      <c r="N34" s="2">
        <v>26.09</v>
      </c>
      <c r="O34" t="s">
        <v>54</v>
      </c>
      <c r="P34">
        <v>100</v>
      </c>
      <c r="Q34" s="1">
        <v>45962</v>
      </c>
      <c r="R34">
        <v>1</v>
      </c>
      <c r="S34">
        <v>0</v>
      </c>
      <c r="T34">
        <v>0</v>
      </c>
      <c r="U34">
        <v>0</v>
      </c>
      <c r="W34">
        <v>0</v>
      </c>
      <c r="X34">
        <v>0</v>
      </c>
      <c r="Y34">
        <v>26.09</v>
      </c>
      <c r="AA34">
        <v>52.18</v>
      </c>
      <c r="AB34">
        <v>52.18</v>
      </c>
    </row>
    <row r="35" spans="2:28" x14ac:dyDescent="0.25">
      <c r="B35">
        <v>20724564</v>
      </c>
      <c r="C35" t="s">
        <v>87</v>
      </c>
      <c r="D35" t="s">
        <v>68</v>
      </c>
      <c r="E35" t="s">
        <v>47</v>
      </c>
      <c r="F35" t="s">
        <v>88</v>
      </c>
      <c r="G35" t="s">
        <v>89</v>
      </c>
      <c r="H35" t="s">
        <v>90</v>
      </c>
      <c r="I35" t="s">
        <v>91</v>
      </c>
      <c r="J35" t="s">
        <v>92</v>
      </c>
      <c r="K35" s="1">
        <v>45901</v>
      </c>
      <c r="O35" t="s">
        <v>54</v>
      </c>
      <c r="P35">
        <v>100</v>
      </c>
      <c r="S35">
        <v>0</v>
      </c>
      <c r="T35">
        <v>0</v>
      </c>
      <c r="U35">
        <v>0</v>
      </c>
      <c r="W35">
        <v>0</v>
      </c>
      <c r="X35">
        <v>0</v>
      </c>
      <c r="Y35">
        <v>0</v>
      </c>
      <c r="Z35" t="s">
        <v>93</v>
      </c>
      <c r="AA35">
        <v>308.79000000000002</v>
      </c>
      <c r="AB35">
        <v>308.79000000000002</v>
      </c>
    </row>
    <row r="36" spans="2:28" x14ac:dyDescent="0.25">
      <c r="B36">
        <v>20724564</v>
      </c>
      <c r="C36" t="s">
        <v>87</v>
      </c>
      <c r="D36" t="s">
        <v>68</v>
      </c>
      <c r="E36" t="s">
        <v>47</v>
      </c>
      <c r="F36" t="s">
        <v>94</v>
      </c>
      <c r="G36" t="s">
        <v>89</v>
      </c>
      <c r="H36" t="s">
        <v>90</v>
      </c>
      <c r="I36" t="s">
        <v>95</v>
      </c>
      <c r="J36" t="s">
        <v>96</v>
      </c>
      <c r="K36" s="1">
        <v>45901</v>
      </c>
      <c r="O36" t="s">
        <v>54</v>
      </c>
      <c r="P36">
        <v>100</v>
      </c>
      <c r="S36">
        <v>0</v>
      </c>
      <c r="T36">
        <v>0</v>
      </c>
      <c r="U36">
        <v>0</v>
      </c>
      <c r="W36">
        <v>0</v>
      </c>
      <c r="X36">
        <v>0</v>
      </c>
      <c r="Y36">
        <v>0</v>
      </c>
      <c r="Z36" t="s">
        <v>93</v>
      </c>
    </row>
    <row r="37" spans="2:28" x14ac:dyDescent="0.25">
      <c r="B37">
        <v>20724564</v>
      </c>
      <c r="C37" t="s">
        <v>87</v>
      </c>
      <c r="D37" t="s">
        <v>68</v>
      </c>
      <c r="E37" t="s">
        <v>47</v>
      </c>
      <c r="F37" t="s">
        <v>97</v>
      </c>
      <c r="G37" t="s">
        <v>89</v>
      </c>
      <c r="H37" t="s">
        <v>90</v>
      </c>
      <c r="I37" t="s">
        <v>98</v>
      </c>
      <c r="J37" t="s">
        <v>99</v>
      </c>
      <c r="K37" s="1">
        <v>45931</v>
      </c>
      <c r="O37" t="s">
        <v>54</v>
      </c>
      <c r="P37">
        <v>100</v>
      </c>
      <c r="S37">
        <v>0</v>
      </c>
      <c r="T37">
        <v>0</v>
      </c>
      <c r="U37">
        <v>0</v>
      </c>
      <c r="W37">
        <v>0</v>
      </c>
      <c r="X37">
        <v>0</v>
      </c>
      <c r="Y37">
        <v>0</v>
      </c>
      <c r="Z37" t="s">
        <v>93</v>
      </c>
    </row>
    <row r="38" spans="2:28" x14ac:dyDescent="0.25">
      <c r="B38">
        <v>20724564</v>
      </c>
      <c r="C38" t="s">
        <v>87</v>
      </c>
      <c r="D38" t="s">
        <v>68</v>
      </c>
      <c r="E38" t="s">
        <v>47</v>
      </c>
      <c r="F38" t="s">
        <v>100</v>
      </c>
      <c r="G38" t="s">
        <v>89</v>
      </c>
      <c r="H38" t="s">
        <v>90</v>
      </c>
      <c r="I38" t="s">
        <v>101</v>
      </c>
      <c r="J38" t="s">
        <v>102</v>
      </c>
      <c r="K38" s="1">
        <v>45839</v>
      </c>
      <c r="O38" t="s">
        <v>54</v>
      </c>
      <c r="P38">
        <v>100</v>
      </c>
      <c r="S38">
        <v>0</v>
      </c>
      <c r="T38">
        <v>0</v>
      </c>
      <c r="U38">
        <v>0</v>
      </c>
      <c r="W38">
        <v>0</v>
      </c>
      <c r="X38">
        <v>0</v>
      </c>
      <c r="Y38">
        <v>0</v>
      </c>
      <c r="Z38" t="s">
        <v>93</v>
      </c>
    </row>
    <row r="39" spans="2:28" x14ac:dyDescent="0.25">
      <c r="B39">
        <v>20724564</v>
      </c>
      <c r="C39" t="s">
        <v>87</v>
      </c>
      <c r="D39" t="s">
        <v>68</v>
      </c>
      <c r="E39" t="s">
        <v>47</v>
      </c>
      <c r="F39" t="s">
        <v>103</v>
      </c>
      <c r="G39" t="s">
        <v>89</v>
      </c>
      <c r="H39" t="s">
        <v>90</v>
      </c>
      <c r="I39" t="s">
        <v>104</v>
      </c>
      <c r="J39" t="s">
        <v>105</v>
      </c>
      <c r="K39" s="1">
        <v>45931</v>
      </c>
      <c r="O39" t="s">
        <v>54</v>
      </c>
      <c r="P39">
        <v>100</v>
      </c>
      <c r="S39">
        <v>0</v>
      </c>
      <c r="T39">
        <v>0</v>
      </c>
      <c r="U39">
        <v>0</v>
      </c>
      <c r="W39">
        <v>0</v>
      </c>
      <c r="X39">
        <v>0</v>
      </c>
      <c r="Y39">
        <v>0</v>
      </c>
      <c r="Z39" t="s">
        <v>93</v>
      </c>
    </row>
    <row r="40" spans="2:28" x14ac:dyDescent="0.25">
      <c r="B40">
        <v>20724564</v>
      </c>
      <c r="C40" t="s">
        <v>87</v>
      </c>
      <c r="D40" t="s">
        <v>68</v>
      </c>
      <c r="E40" t="s">
        <v>47</v>
      </c>
      <c r="F40" t="s">
        <v>106</v>
      </c>
      <c r="G40" t="s">
        <v>89</v>
      </c>
      <c r="H40" t="s">
        <v>90</v>
      </c>
      <c r="I40" t="s">
        <v>107</v>
      </c>
      <c r="J40" t="s">
        <v>108</v>
      </c>
      <c r="K40" s="1">
        <v>45901</v>
      </c>
      <c r="O40" t="s">
        <v>54</v>
      </c>
      <c r="P40">
        <v>100</v>
      </c>
      <c r="S40">
        <v>0</v>
      </c>
      <c r="T40">
        <v>0</v>
      </c>
      <c r="U40">
        <v>0</v>
      </c>
      <c r="W40">
        <v>0</v>
      </c>
      <c r="X40">
        <v>0</v>
      </c>
      <c r="Y40">
        <v>0</v>
      </c>
      <c r="Z40" t="s">
        <v>93</v>
      </c>
    </row>
    <row r="41" spans="2:28" x14ac:dyDescent="0.25">
      <c r="B41">
        <v>20724564</v>
      </c>
      <c r="C41" t="s">
        <v>87</v>
      </c>
      <c r="D41" t="s">
        <v>68</v>
      </c>
      <c r="E41" t="s">
        <v>47</v>
      </c>
      <c r="F41" t="s">
        <v>109</v>
      </c>
      <c r="G41" t="s">
        <v>89</v>
      </c>
      <c r="H41" t="s">
        <v>90</v>
      </c>
      <c r="I41" t="s">
        <v>110</v>
      </c>
      <c r="J41" t="s">
        <v>111</v>
      </c>
      <c r="K41" s="1">
        <v>45931</v>
      </c>
      <c r="O41" t="s">
        <v>54</v>
      </c>
      <c r="P41">
        <v>100</v>
      </c>
      <c r="S41">
        <v>0</v>
      </c>
      <c r="T41">
        <v>0</v>
      </c>
      <c r="U41">
        <v>0</v>
      </c>
      <c r="W41">
        <v>0</v>
      </c>
      <c r="X41">
        <v>0</v>
      </c>
      <c r="Y41">
        <v>0</v>
      </c>
      <c r="Z41" t="s">
        <v>93</v>
      </c>
    </row>
    <row r="42" spans="2:28" x14ac:dyDescent="0.25">
      <c r="B42">
        <v>20724564</v>
      </c>
      <c r="C42" t="s">
        <v>87</v>
      </c>
      <c r="D42" t="s">
        <v>68</v>
      </c>
      <c r="E42" t="s">
        <v>47</v>
      </c>
      <c r="F42" t="s">
        <v>112</v>
      </c>
      <c r="G42" t="s">
        <v>89</v>
      </c>
      <c r="H42" t="s">
        <v>90</v>
      </c>
      <c r="I42" t="s">
        <v>113</v>
      </c>
      <c r="J42" t="s">
        <v>114</v>
      </c>
      <c r="K42" s="1">
        <v>45931</v>
      </c>
      <c r="O42" t="s">
        <v>54</v>
      </c>
      <c r="P42">
        <v>100</v>
      </c>
      <c r="S42">
        <v>0</v>
      </c>
      <c r="T42">
        <v>0</v>
      </c>
      <c r="U42">
        <v>0</v>
      </c>
      <c r="W42">
        <v>0</v>
      </c>
      <c r="X42">
        <v>0</v>
      </c>
      <c r="Y42">
        <v>0</v>
      </c>
      <c r="Z42" t="s">
        <v>93</v>
      </c>
    </row>
    <row r="43" spans="2:28" x14ac:dyDescent="0.25">
      <c r="B43">
        <v>20724564</v>
      </c>
      <c r="C43" t="s">
        <v>87</v>
      </c>
      <c r="D43" t="s">
        <v>68</v>
      </c>
      <c r="E43" t="s">
        <v>47</v>
      </c>
      <c r="F43" t="s">
        <v>115</v>
      </c>
      <c r="G43" t="s">
        <v>89</v>
      </c>
      <c r="H43" t="s">
        <v>90</v>
      </c>
      <c r="I43" t="s">
        <v>116</v>
      </c>
      <c r="J43" t="s">
        <v>117</v>
      </c>
      <c r="K43" s="1">
        <v>45901</v>
      </c>
      <c r="O43" t="s">
        <v>54</v>
      </c>
      <c r="P43">
        <v>100</v>
      </c>
      <c r="S43">
        <v>0</v>
      </c>
      <c r="T43">
        <v>0</v>
      </c>
      <c r="U43">
        <v>0</v>
      </c>
      <c r="W43">
        <v>0</v>
      </c>
      <c r="X43">
        <v>0</v>
      </c>
      <c r="Y43">
        <v>0</v>
      </c>
      <c r="Z43" t="s">
        <v>93</v>
      </c>
    </row>
    <row r="44" spans="2:28" s="6" customFormat="1" x14ac:dyDescent="0.25">
      <c r="B44" s="6">
        <v>20724564</v>
      </c>
      <c r="C44" s="6" t="s">
        <v>87</v>
      </c>
      <c r="D44" s="6" t="s">
        <v>68</v>
      </c>
      <c r="E44" s="6" t="s">
        <v>47</v>
      </c>
      <c r="F44" s="6" t="s">
        <v>118</v>
      </c>
      <c r="G44" s="6" t="s">
        <v>89</v>
      </c>
      <c r="H44" s="6" t="s">
        <v>90</v>
      </c>
      <c r="I44" s="6" t="s">
        <v>119</v>
      </c>
      <c r="J44" s="6" t="s">
        <v>120</v>
      </c>
      <c r="K44" s="7">
        <v>45962</v>
      </c>
      <c r="M44" s="6" t="s">
        <v>53</v>
      </c>
      <c r="N44" s="8">
        <v>0.21</v>
      </c>
      <c r="O44" s="6" t="s">
        <v>54</v>
      </c>
      <c r="P44" s="6">
        <v>100</v>
      </c>
      <c r="Q44" s="7">
        <v>45962</v>
      </c>
      <c r="R44" s="6">
        <v>1</v>
      </c>
      <c r="S44" s="6">
        <v>0</v>
      </c>
      <c r="T44" s="6">
        <v>0</v>
      </c>
      <c r="U44" s="6">
        <v>163.41</v>
      </c>
      <c r="V44" s="6" t="s">
        <v>121</v>
      </c>
      <c r="W44" s="6">
        <v>0</v>
      </c>
      <c r="X44" s="6">
        <v>0</v>
      </c>
      <c r="Y44" s="6">
        <v>34.31</v>
      </c>
      <c r="Z44" s="6" t="s">
        <v>122</v>
      </c>
    </row>
    <row r="45" spans="2:28" s="6" customFormat="1" x14ac:dyDescent="0.25">
      <c r="B45" s="6">
        <v>20724564</v>
      </c>
      <c r="C45" s="6" t="s">
        <v>87</v>
      </c>
      <c r="D45" s="6" t="s">
        <v>68</v>
      </c>
      <c r="E45" s="6" t="s">
        <v>47</v>
      </c>
      <c r="F45" s="6" t="s">
        <v>118</v>
      </c>
      <c r="G45" s="6" t="s">
        <v>89</v>
      </c>
      <c r="H45" s="6" t="s">
        <v>90</v>
      </c>
      <c r="I45" s="6" t="s">
        <v>119</v>
      </c>
      <c r="J45" s="6" t="s">
        <v>120</v>
      </c>
      <c r="K45" s="7">
        <v>45962</v>
      </c>
      <c r="M45" s="6" t="s">
        <v>53</v>
      </c>
      <c r="N45" s="8">
        <v>0.21</v>
      </c>
      <c r="O45" s="6" t="s">
        <v>54</v>
      </c>
      <c r="P45" s="6">
        <v>100</v>
      </c>
      <c r="Q45" s="7">
        <v>45992</v>
      </c>
      <c r="R45" s="6">
        <v>1</v>
      </c>
      <c r="S45" s="6">
        <v>0</v>
      </c>
      <c r="T45" s="6">
        <v>0</v>
      </c>
      <c r="U45" s="6">
        <v>163.41</v>
      </c>
      <c r="V45" s="6" t="s">
        <v>121</v>
      </c>
      <c r="W45" s="6">
        <v>0</v>
      </c>
      <c r="X45" s="6">
        <v>0</v>
      </c>
      <c r="Y45" s="6">
        <v>34.31</v>
      </c>
      <c r="Z45" s="6" t="s">
        <v>123</v>
      </c>
    </row>
    <row r="46" spans="2:28" s="6" customFormat="1" x14ac:dyDescent="0.25">
      <c r="B46" s="6">
        <v>20724564</v>
      </c>
      <c r="C46" s="6" t="s">
        <v>87</v>
      </c>
      <c r="D46" s="6" t="s">
        <v>68</v>
      </c>
      <c r="E46" s="6" t="s">
        <v>47</v>
      </c>
      <c r="F46" s="6" t="s">
        <v>118</v>
      </c>
      <c r="G46" s="6" t="s">
        <v>89</v>
      </c>
      <c r="H46" s="6" t="s">
        <v>90</v>
      </c>
      <c r="I46" s="6" t="s">
        <v>119</v>
      </c>
      <c r="J46" s="6" t="s">
        <v>120</v>
      </c>
      <c r="K46" s="7">
        <v>45962</v>
      </c>
      <c r="M46" s="6" t="s">
        <v>53</v>
      </c>
      <c r="N46" s="8">
        <v>0.21</v>
      </c>
      <c r="O46" s="6" t="s">
        <v>54</v>
      </c>
      <c r="P46" s="6">
        <v>100</v>
      </c>
      <c r="Q46" s="7">
        <v>46023</v>
      </c>
      <c r="R46" s="6">
        <v>1</v>
      </c>
      <c r="S46" s="6">
        <v>0</v>
      </c>
      <c r="T46" s="6">
        <v>0</v>
      </c>
      <c r="U46" s="6">
        <v>163.41</v>
      </c>
      <c r="V46" s="6" t="s">
        <v>121</v>
      </c>
      <c r="W46" s="6">
        <v>0</v>
      </c>
      <c r="X46" s="6">
        <v>0</v>
      </c>
      <c r="Y46" s="6">
        <v>34.31</v>
      </c>
      <c r="Z46" s="6" t="s">
        <v>123</v>
      </c>
    </row>
    <row r="47" spans="2:28" s="6" customFormat="1" x14ac:dyDescent="0.25">
      <c r="B47" s="6">
        <v>20724564</v>
      </c>
      <c r="C47" s="6" t="s">
        <v>87</v>
      </c>
      <c r="D47" s="6" t="s">
        <v>68</v>
      </c>
      <c r="E47" s="6" t="s">
        <v>47</v>
      </c>
      <c r="F47" s="6" t="s">
        <v>118</v>
      </c>
      <c r="G47" s="6" t="s">
        <v>89</v>
      </c>
      <c r="H47" s="6" t="s">
        <v>90</v>
      </c>
      <c r="I47" s="6" t="s">
        <v>119</v>
      </c>
      <c r="J47" s="6" t="s">
        <v>120</v>
      </c>
      <c r="K47" s="7">
        <v>45962</v>
      </c>
      <c r="M47" s="6" t="s">
        <v>53</v>
      </c>
      <c r="N47" s="8">
        <v>0.21</v>
      </c>
      <c r="O47" s="6" t="s">
        <v>54</v>
      </c>
      <c r="P47" s="6">
        <v>100</v>
      </c>
      <c r="Q47" s="7">
        <v>46054</v>
      </c>
      <c r="R47" s="6">
        <v>1</v>
      </c>
      <c r="S47" s="6">
        <v>0</v>
      </c>
      <c r="T47" s="6">
        <v>0</v>
      </c>
      <c r="U47" s="6">
        <v>163.41</v>
      </c>
      <c r="V47" s="6" t="s">
        <v>121</v>
      </c>
      <c r="W47" s="6">
        <v>0</v>
      </c>
      <c r="X47" s="6">
        <v>0</v>
      </c>
      <c r="Y47" s="6">
        <v>34.31</v>
      </c>
      <c r="Z47" s="6" t="s">
        <v>123</v>
      </c>
    </row>
    <row r="48" spans="2:28" s="6" customFormat="1" x14ac:dyDescent="0.25">
      <c r="B48" s="6">
        <v>20724564</v>
      </c>
      <c r="C48" s="6" t="s">
        <v>87</v>
      </c>
      <c r="D48" s="6" t="s">
        <v>68</v>
      </c>
      <c r="E48" s="6" t="s">
        <v>47</v>
      </c>
      <c r="F48" s="6" t="s">
        <v>118</v>
      </c>
      <c r="G48" s="6" t="s">
        <v>89</v>
      </c>
      <c r="H48" s="6" t="s">
        <v>90</v>
      </c>
      <c r="I48" s="6" t="s">
        <v>119</v>
      </c>
      <c r="J48" s="6" t="s">
        <v>120</v>
      </c>
      <c r="K48" s="7">
        <v>45962</v>
      </c>
      <c r="M48" s="6" t="s">
        <v>53</v>
      </c>
      <c r="N48" s="8">
        <v>0.21</v>
      </c>
      <c r="O48" s="6" t="s">
        <v>54</v>
      </c>
      <c r="P48" s="6">
        <v>100</v>
      </c>
      <c r="Q48" s="7">
        <v>46082</v>
      </c>
      <c r="R48" s="6">
        <v>1</v>
      </c>
      <c r="S48" s="6">
        <v>0</v>
      </c>
      <c r="T48" s="6">
        <v>0</v>
      </c>
      <c r="U48" s="6">
        <v>163.41</v>
      </c>
      <c r="V48" s="6" t="s">
        <v>121</v>
      </c>
      <c r="W48" s="6">
        <v>0</v>
      </c>
      <c r="X48" s="6">
        <v>0</v>
      </c>
      <c r="Y48" s="6">
        <v>34.31</v>
      </c>
      <c r="Z48" s="6" t="s">
        <v>123</v>
      </c>
    </row>
    <row r="49" spans="2:28" s="6" customFormat="1" x14ac:dyDescent="0.25">
      <c r="B49" s="6">
        <v>20724564</v>
      </c>
      <c r="C49" s="6" t="s">
        <v>87</v>
      </c>
      <c r="D49" s="6" t="s">
        <v>68</v>
      </c>
      <c r="E49" s="6" t="s">
        <v>47</v>
      </c>
      <c r="F49" s="6" t="s">
        <v>118</v>
      </c>
      <c r="G49" s="6" t="s">
        <v>89</v>
      </c>
      <c r="H49" s="6" t="s">
        <v>90</v>
      </c>
      <c r="I49" s="6" t="s">
        <v>119</v>
      </c>
      <c r="J49" s="6" t="s">
        <v>120</v>
      </c>
      <c r="K49" s="7">
        <v>45962</v>
      </c>
      <c r="M49" s="6" t="s">
        <v>53</v>
      </c>
      <c r="N49" s="8">
        <v>0.21</v>
      </c>
      <c r="O49" s="6" t="s">
        <v>54</v>
      </c>
      <c r="P49" s="6">
        <v>100</v>
      </c>
      <c r="Q49" s="7">
        <v>46113</v>
      </c>
      <c r="R49" s="6">
        <v>1</v>
      </c>
      <c r="S49" s="6">
        <v>0</v>
      </c>
      <c r="T49" s="6">
        <v>0</v>
      </c>
      <c r="U49" s="6">
        <v>163.41</v>
      </c>
      <c r="V49" s="6" t="s">
        <v>121</v>
      </c>
      <c r="W49" s="6">
        <v>0</v>
      </c>
      <c r="X49" s="6">
        <v>0</v>
      </c>
      <c r="Y49" s="6">
        <v>34.31</v>
      </c>
      <c r="Z49" s="6" t="s">
        <v>123</v>
      </c>
    </row>
    <row r="50" spans="2:28" s="6" customFormat="1" x14ac:dyDescent="0.25">
      <c r="B50" s="6">
        <v>20724564</v>
      </c>
      <c r="C50" s="6" t="s">
        <v>87</v>
      </c>
      <c r="D50" s="6" t="s">
        <v>68</v>
      </c>
      <c r="E50" s="6" t="s">
        <v>47</v>
      </c>
      <c r="F50" s="6" t="s">
        <v>118</v>
      </c>
      <c r="G50" s="6" t="s">
        <v>89</v>
      </c>
      <c r="H50" s="6" t="s">
        <v>90</v>
      </c>
      <c r="I50" s="6" t="s">
        <v>119</v>
      </c>
      <c r="J50" s="6" t="s">
        <v>120</v>
      </c>
      <c r="K50" s="7">
        <v>45962</v>
      </c>
      <c r="M50" s="6" t="s">
        <v>53</v>
      </c>
      <c r="N50" s="8">
        <v>0.21</v>
      </c>
      <c r="O50" s="6" t="s">
        <v>54</v>
      </c>
      <c r="P50" s="6">
        <v>100</v>
      </c>
      <c r="Q50" s="7">
        <v>46143</v>
      </c>
      <c r="R50" s="6">
        <v>1</v>
      </c>
      <c r="S50" s="6">
        <v>0</v>
      </c>
      <c r="T50" s="6">
        <v>0</v>
      </c>
      <c r="U50" s="6">
        <v>163.41</v>
      </c>
      <c r="V50" s="6" t="s">
        <v>121</v>
      </c>
      <c r="W50" s="6">
        <v>0</v>
      </c>
      <c r="X50" s="6">
        <v>0</v>
      </c>
      <c r="Y50" s="6">
        <v>34.31</v>
      </c>
      <c r="Z50" s="6" t="s">
        <v>123</v>
      </c>
    </row>
    <row r="51" spans="2:28" s="6" customFormat="1" x14ac:dyDescent="0.25">
      <c r="B51" s="6">
        <v>20724564</v>
      </c>
      <c r="C51" s="6" t="s">
        <v>87</v>
      </c>
      <c r="D51" s="6" t="s">
        <v>68</v>
      </c>
      <c r="E51" s="6" t="s">
        <v>47</v>
      </c>
      <c r="F51" s="6" t="s">
        <v>118</v>
      </c>
      <c r="G51" s="6" t="s">
        <v>89</v>
      </c>
      <c r="H51" s="6" t="s">
        <v>90</v>
      </c>
      <c r="I51" s="6" t="s">
        <v>119</v>
      </c>
      <c r="J51" s="6" t="s">
        <v>120</v>
      </c>
      <c r="K51" s="7">
        <v>45962</v>
      </c>
      <c r="M51" s="6" t="s">
        <v>53</v>
      </c>
      <c r="N51" s="8">
        <v>0.21</v>
      </c>
      <c r="O51" s="6" t="s">
        <v>54</v>
      </c>
      <c r="P51" s="6">
        <v>100</v>
      </c>
      <c r="Q51" s="7">
        <v>46174</v>
      </c>
      <c r="R51" s="6">
        <v>1</v>
      </c>
      <c r="S51" s="6">
        <v>0</v>
      </c>
      <c r="T51" s="6">
        <v>0</v>
      </c>
      <c r="U51" s="6">
        <v>163.41</v>
      </c>
      <c r="V51" s="6" t="s">
        <v>121</v>
      </c>
      <c r="W51" s="6">
        <v>0</v>
      </c>
      <c r="X51" s="6">
        <v>0</v>
      </c>
      <c r="Y51" s="6">
        <v>34.31</v>
      </c>
      <c r="Z51" s="6" t="s">
        <v>123</v>
      </c>
    </row>
    <row r="52" spans="2:28" s="6" customFormat="1" x14ac:dyDescent="0.25">
      <c r="B52" s="6">
        <v>20724564</v>
      </c>
      <c r="C52" s="6" t="s">
        <v>87</v>
      </c>
      <c r="D52" s="6" t="s">
        <v>68</v>
      </c>
      <c r="E52" s="6" t="s">
        <v>47</v>
      </c>
      <c r="F52" s="6" t="s">
        <v>118</v>
      </c>
      <c r="G52" s="6" t="s">
        <v>89</v>
      </c>
      <c r="H52" s="6" t="s">
        <v>90</v>
      </c>
      <c r="I52" s="6" t="s">
        <v>119</v>
      </c>
      <c r="J52" s="6" t="s">
        <v>120</v>
      </c>
      <c r="K52" s="7">
        <v>45962</v>
      </c>
      <c r="M52" s="6" t="s">
        <v>53</v>
      </c>
      <c r="N52" s="8">
        <v>0.21</v>
      </c>
      <c r="O52" s="6" t="s">
        <v>54</v>
      </c>
      <c r="P52" s="6">
        <v>100</v>
      </c>
      <c r="Q52" s="7">
        <v>46204</v>
      </c>
      <c r="R52" s="6">
        <v>1</v>
      </c>
      <c r="S52" s="6">
        <v>0</v>
      </c>
      <c r="T52" s="6">
        <v>0</v>
      </c>
      <c r="U52" s="6">
        <v>163.41</v>
      </c>
      <c r="V52" s="6" t="s">
        <v>121</v>
      </c>
      <c r="W52" s="6">
        <v>0</v>
      </c>
      <c r="X52" s="6">
        <v>0</v>
      </c>
      <c r="Y52" s="6">
        <v>34.31</v>
      </c>
      <c r="Z52" s="6" t="s">
        <v>123</v>
      </c>
    </row>
    <row r="53" spans="2:28" x14ac:dyDescent="0.25">
      <c r="B53">
        <v>20724564</v>
      </c>
      <c r="C53" t="s">
        <v>87</v>
      </c>
      <c r="D53" t="s">
        <v>68</v>
      </c>
      <c r="E53" t="s">
        <v>47</v>
      </c>
      <c r="F53" t="s">
        <v>124</v>
      </c>
      <c r="G53" t="s">
        <v>89</v>
      </c>
      <c r="H53" t="s">
        <v>90</v>
      </c>
      <c r="I53" t="s">
        <v>125</v>
      </c>
      <c r="J53" t="s">
        <v>126</v>
      </c>
      <c r="K53" s="1">
        <v>45931</v>
      </c>
      <c r="O53" t="s">
        <v>54</v>
      </c>
      <c r="P53">
        <v>100</v>
      </c>
      <c r="S53">
        <v>0</v>
      </c>
      <c r="T53">
        <v>0</v>
      </c>
      <c r="U53">
        <v>0</v>
      </c>
      <c r="W53">
        <v>0</v>
      </c>
      <c r="X53">
        <v>0</v>
      </c>
      <c r="Y53">
        <v>0</v>
      </c>
      <c r="Z53" t="s">
        <v>93</v>
      </c>
    </row>
    <row r="54" spans="2:28" x14ac:dyDescent="0.25">
      <c r="B54">
        <v>17094718</v>
      </c>
      <c r="C54" t="s">
        <v>127</v>
      </c>
      <c r="D54" t="s">
        <v>68</v>
      </c>
      <c r="E54" t="s">
        <v>47</v>
      </c>
      <c r="F54" t="s">
        <v>128</v>
      </c>
      <c r="G54" t="s">
        <v>49</v>
      </c>
      <c r="H54" t="s">
        <v>70</v>
      </c>
      <c r="I54" t="s">
        <v>129</v>
      </c>
      <c r="J54" t="s">
        <v>130</v>
      </c>
      <c r="K54" s="1">
        <v>45658</v>
      </c>
      <c r="M54" t="s">
        <v>53</v>
      </c>
      <c r="N54" s="2">
        <v>26.09</v>
      </c>
      <c r="O54" t="s">
        <v>54</v>
      </c>
      <c r="P54">
        <v>100</v>
      </c>
      <c r="Q54" s="1">
        <v>45962</v>
      </c>
      <c r="R54">
        <v>1</v>
      </c>
      <c r="S54">
        <v>0</v>
      </c>
      <c r="T54">
        <v>52.18</v>
      </c>
      <c r="U54">
        <v>0</v>
      </c>
      <c r="W54">
        <v>0</v>
      </c>
      <c r="X54">
        <v>0</v>
      </c>
      <c r="Y54">
        <v>0</v>
      </c>
      <c r="AA54">
        <v>26.09</v>
      </c>
      <c r="AB54">
        <v>26.09</v>
      </c>
    </row>
    <row r="55" spans="2:28" x14ac:dyDescent="0.25">
      <c r="B55">
        <v>17094718</v>
      </c>
      <c r="C55" t="s">
        <v>127</v>
      </c>
      <c r="D55" t="s">
        <v>34</v>
      </c>
      <c r="E55" t="s">
        <v>47</v>
      </c>
      <c r="F55" t="s">
        <v>131</v>
      </c>
      <c r="G55" t="s">
        <v>49</v>
      </c>
      <c r="H55" t="s">
        <v>70</v>
      </c>
      <c r="I55" t="s">
        <v>132</v>
      </c>
      <c r="J55" t="s">
        <v>133</v>
      </c>
      <c r="K55" s="1">
        <v>45931</v>
      </c>
      <c r="M55" t="s">
        <v>134</v>
      </c>
      <c r="N55" s="2">
        <v>26.09</v>
      </c>
      <c r="O55" t="s">
        <v>54</v>
      </c>
      <c r="P55">
        <v>100</v>
      </c>
      <c r="Q55" s="1">
        <v>45962</v>
      </c>
      <c r="R55">
        <v>1</v>
      </c>
      <c r="S55">
        <v>0</v>
      </c>
      <c r="T55">
        <v>0</v>
      </c>
      <c r="U55">
        <v>0</v>
      </c>
      <c r="W55">
        <v>0</v>
      </c>
      <c r="X55">
        <v>0</v>
      </c>
      <c r="Y55">
        <v>26.09</v>
      </c>
    </row>
    <row r="56" spans="2:28" x14ac:dyDescent="0.25">
      <c r="B56">
        <v>17094718</v>
      </c>
      <c r="C56" t="s">
        <v>127</v>
      </c>
      <c r="D56" t="s">
        <v>135</v>
      </c>
      <c r="E56" t="s">
        <v>47</v>
      </c>
      <c r="F56" t="s">
        <v>136</v>
      </c>
      <c r="G56" t="s">
        <v>49</v>
      </c>
      <c r="H56" t="s">
        <v>137</v>
      </c>
      <c r="I56" t="s">
        <v>138</v>
      </c>
      <c r="J56" t="s">
        <v>139</v>
      </c>
      <c r="K56" s="1">
        <v>45717</v>
      </c>
      <c r="M56" t="s">
        <v>53</v>
      </c>
      <c r="N56" s="2">
        <v>26.09</v>
      </c>
      <c r="O56" t="s">
        <v>54</v>
      </c>
      <c r="P56">
        <v>100</v>
      </c>
      <c r="Q56" s="1">
        <v>45962</v>
      </c>
      <c r="R56">
        <v>1</v>
      </c>
      <c r="S56">
        <v>0</v>
      </c>
      <c r="T56">
        <v>0</v>
      </c>
      <c r="U56">
        <v>0</v>
      </c>
      <c r="W56">
        <v>0</v>
      </c>
      <c r="X56">
        <v>0</v>
      </c>
      <c r="Y56">
        <v>0</v>
      </c>
    </row>
    <row r="57" spans="2:28" x14ac:dyDescent="0.25">
      <c r="B57">
        <v>17094718</v>
      </c>
      <c r="C57" t="s">
        <v>127</v>
      </c>
      <c r="D57" t="s">
        <v>140</v>
      </c>
      <c r="E57" t="s">
        <v>47</v>
      </c>
      <c r="F57" t="s">
        <v>141</v>
      </c>
      <c r="G57" t="s">
        <v>49</v>
      </c>
      <c r="H57" t="s">
        <v>142</v>
      </c>
      <c r="I57" t="s">
        <v>143</v>
      </c>
      <c r="J57" t="s">
        <v>144</v>
      </c>
      <c r="K57" s="1">
        <v>45689</v>
      </c>
      <c r="M57" t="s">
        <v>53</v>
      </c>
      <c r="N57" s="2">
        <v>26.09</v>
      </c>
      <c r="O57" t="s">
        <v>54</v>
      </c>
      <c r="P57">
        <v>100</v>
      </c>
      <c r="Q57" s="1">
        <v>45962</v>
      </c>
      <c r="R57">
        <v>1</v>
      </c>
      <c r="S57">
        <v>0</v>
      </c>
      <c r="T57">
        <v>52.18</v>
      </c>
      <c r="U57">
        <v>0</v>
      </c>
      <c r="W57">
        <v>0</v>
      </c>
      <c r="X57">
        <v>0</v>
      </c>
      <c r="Y57">
        <v>0</v>
      </c>
    </row>
    <row r="58" spans="2:28" x14ac:dyDescent="0.25">
      <c r="B58">
        <v>21104854</v>
      </c>
      <c r="C58" t="s">
        <v>145</v>
      </c>
      <c r="D58" t="s">
        <v>146</v>
      </c>
      <c r="E58" t="s">
        <v>47</v>
      </c>
      <c r="F58" t="s">
        <v>147</v>
      </c>
      <c r="G58" t="s">
        <v>49</v>
      </c>
      <c r="H58" t="s">
        <v>148</v>
      </c>
      <c r="I58" t="s">
        <v>149</v>
      </c>
      <c r="J58" t="s">
        <v>150</v>
      </c>
      <c r="K58" s="1">
        <v>45658</v>
      </c>
      <c r="M58" t="s">
        <v>53</v>
      </c>
      <c r="N58" s="2">
        <v>26.09</v>
      </c>
      <c r="O58" t="s">
        <v>54</v>
      </c>
      <c r="P58">
        <v>100</v>
      </c>
      <c r="Q58" s="1">
        <v>45962</v>
      </c>
      <c r="R58">
        <v>1</v>
      </c>
      <c r="S58">
        <v>0</v>
      </c>
      <c r="T58">
        <v>52.18</v>
      </c>
      <c r="U58">
        <v>0</v>
      </c>
      <c r="W58">
        <v>0</v>
      </c>
      <c r="X58">
        <v>0</v>
      </c>
      <c r="Y58">
        <v>0</v>
      </c>
      <c r="AA58">
        <v>0</v>
      </c>
      <c r="AB58">
        <v>0</v>
      </c>
    </row>
    <row r="59" spans="2:28" x14ac:dyDescent="0.25">
      <c r="B59">
        <v>19200754</v>
      </c>
      <c r="C59" t="s">
        <v>67</v>
      </c>
      <c r="D59" t="s">
        <v>146</v>
      </c>
      <c r="E59" t="s">
        <v>47</v>
      </c>
      <c r="F59" t="s">
        <v>151</v>
      </c>
      <c r="G59" t="s">
        <v>49</v>
      </c>
      <c r="H59" t="s">
        <v>148</v>
      </c>
      <c r="I59" t="s">
        <v>152</v>
      </c>
      <c r="J59" t="s">
        <v>153</v>
      </c>
      <c r="K59" s="1">
        <v>45658</v>
      </c>
      <c r="M59" t="s">
        <v>53</v>
      </c>
      <c r="N59" s="2">
        <v>52.17</v>
      </c>
      <c r="O59" t="s">
        <v>54</v>
      </c>
      <c r="P59">
        <v>100</v>
      </c>
      <c r="Q59" s="1">
        <v>45962</v>
      </c>
      <c r="R59">
        <v>1</v>
      </c>
      <c r="S59">
        <v>0</v>
      </c>
      <c r="T59">
        <v>104.34</v>
      </c>
      <c r="U59">
        <v>0</v>
      </c>
      <c r="W59">
        <v>0</v>
      </c>
      <c r="X59">
        <v>0</v>
      </c>
      <c r="Y59">
        <v>0</v>
      </c>
      <c r="AA59">
        <v>0</v>
      </c>
      <c r="AB59">
        <v>0</v>
      </c>
    </row>
    <row r="60" spans="2:28" x14ac:dyDescent="0.25">
      <c r="B60">
        <v>19645587</v>
      </c>
      <c r="C60" t="s">
        <v>45</v>
      </c>
      <c r="D60" t="s">
        <v>146</v>
      </c>
      <c r="E60" t="s">
        <v>47</v>
      </c>
      <c r="F60" t="s">
        <v>154</v>
      </c>
      <c r="G60" t="s">
        <v>49</v>
      </c>
      <c r="H60" t="s">
        <v>148</v>
      </c>
      <c r="I60" t="s">
        <v>155</v>
      </c>
      <c r="J60" t="s">
        <v>156</v>
      </c>
      <c r="K60" s="1">
        <v>45658</v>
      </c>
      <c r="M60" t="s">
        <v>53</v>
      </c>
      <c r="N60" s="2">
        <v>26.09</v>
      </c>
      <c r="O60" t="s">
        <v>54</v>
      </c>
      <c r="P60">
        <v>100</v>
      </c>
      <c r="Q60" s="1">
        <v>45962</v>
      </c>
      <c r="R60">
        <v>1</v>
      </c>
      <c r="S60">
        <v>0</v>
      </c>
      <c r="T60">
        <v>52.18</v>
      </c>
      <c r="U60">
        <v>0</v>
      </c>
      <c r="W60">
        <v>0</v>
      </c>
      <c r="X60">
        <v>0</v>
      </c>
      <c r="Y60">
        <v>0</v>
      </c>
      <c r="AA60">
        <v>704.31</v>
      </c>
      <c r="AB60">
        <v>704.31</v>
      </c>
    </row>
    <row r="61" spans="2:28" x14ac:dyDescent="0.25">
      <c r="B61">
        <v>19645587</v>
      </c>
      <c r="C61" t="s">
        <v>45</v>
      </c>
      <c r="D61" t="s">
        <v>146</v>
      </c>
      <c r="E61" t="s">
        <v>47</v>
      </c>
      <c r="F61" t="s">
        <v>157</v>
      </c>
      <c r="G61" t="s">
        <v>49</v>
      </c>
      <c r="H61" t="s">
        <v>148</v>
      </c>
      <c r="I61" t="s">
        <v>158</v>
      </c>
      <c r="J61" t="s">
        <v>159</v>
      </c>
      <c r="K61" s="1">
        <v>45658</v>
      </c>
      <c r="M61" t="s">
        <v>53</v>
      </c>
      <c r="N61" s="2">
        <v>26.09</v>
      </c>
      <c r="O61" t="s">
        <v>54</v>
      </c>
      <c r="P61">
        <v>100</v>
      </c>
      <c r="Q61" s="1">
        <v>45962</v>
      </c>
      <c r="R61">
        <v>1</v>
      </c>
      <c r="S61">
        <v>0</v>
      </c>
      <c r="T61">
        <v>0</v>
      </c>
      <c r="U61">
        <v>0</v>
      </c>
      <c r="W61">
        <v>0</v>
      </c>
      <c r="X61">
        <v>0</v>
      </c>
      <c r="Y61">
        <v>26.09</v>
      </c>
    </row>
    <row r="62" spans="2:28" x14ac:dyDescent="0.25">
      <c r="B62">
        <v>19645587</v>
      </c>
      <c r="C62" t="s">
        <v>45</v>
      </c>
      <c r="D62" t="s">
        <v>146</v>
      </c>
      <c r="E62" t="s">
        <v>47</v>
      </c>
      <c r="F62" t="s">
        <v>160</v>
      </c>
      <c r="G62" t="s">
        <v>49</v>
      </c>
      <c r="H62" t="s">
        <v>148</v>
      </c>
      <c r="I62" t="s">
        <v>161</v>
      </c>
      <c r="J62" t="s">
        <v>162</v>
      </c>
      <c r="K62" s="1">
        <v>45839</v>
      </c>
      <c r="M62" t="s">
        <v>53</v>
      </c>
      <c r="N62" s="2">
        <v>52.17</v>
      </c>
      <c r="O62" t="s">
        <v>54</v>
      </c>
      <c r="P62">
        <v>100</v>
      </c>
      <c r="Q62" s="1">
        <v>45962</v>
      </c>
      <c r="R62">
        <v>1</v>
      </c>
      <c r="S62">
        <v>0</v>
      </c>
      <c r="T62">
        <v>104.34</v>
      </c>
      <c r="U62">
        <v>0</v>
      </c>
      <c r="W62">
        <v>0</v>
      </c>
      <c r="X62">
        <v>0</v>
      </c>
      <c r="Y62">
        <v>0</v>
      </c>
    </row>
    <row r="63" spans="2:28" x14ac:dyDescent="0.25">
      <c r="B63">
        <v>19645587</v>
      </c>
      <c r="C63" t="s">
        <v>45</v>
      </c>
      <c r="D63" t="s">
        <v>146</v>
      </c>
      <c r="E63" t="s">
        <v>47</v>
      </c>
      <c r="F63" t="s">
        <v>163</v>
      </c>
      <c r="G63" t="s">
        <v>49</v>
      </c>
      <c r="H63" t="s">
        <v>148</v>
      </c>
      <c r="I63" t="s">
        <v>164</v>
      </c>
      <c r="J63" t="s">
        <v>165</v>
      </c>
      <c r="K63" s="1">
        <v>45658</v>
      </c>
      <c r="M63" t="s">
        <v>53</v>
      </c>
      <c r="N63" s="2">
        <v>26.09</v>
      </c>
      <c r="O63" t="s">
        <v>54</v>
      </c>
      <c r="P63">
        <v>100</v>
      </c>
      <c r="Q63" s="1">
        <v>45962</v>
      </c>
      <c r="R63">
        <v>1</v>
      </c>
      <c r="S63">
        <v>0</v>
      </c>
      <c r="T63">
        <v>52.18</v>
      </c>
      <c r="U63">
        <v>0</v>
      </c>
      <c r="W63">
        <v>0</v>
      </c>
      <c r="X63">
        <v>0</v>
      </c>
      <c r="Y63">
        <v>0</v>
      </c>
    </row>
    <row r="64" spans="2:28" x14ac:dyDescent="0.25">
      <c r="B64">
        <v>9213293</v>
      </c>
      <c r="C64" t="s">
        <v>63</v>
      </c>
      <c r="D64" t="s">
        <v>146</v>
      </c>
      <c r="E64" t="s">
        <v>47</v>
      </c>
      <c r="F64" t="s">
        <v>166</v>
      </c>
      <c r="G64" t="s">
        <v>49</v>
      </c>
      <c r="H64" t="s">
        <v>148</v>
      </c>
      <c r="I64" t="s">
        <v>167</v>
      </c>
      <c r="J64" t="s">
        <v>168</v>
      </c>
      <c r="K64" s="1">
        <v>45658</v>
      </c>
      <c r="M64" t="s">
        <v>53</v>
      </c>
      <c r="N64" s="2">
        <v>26.09</v>
      </c>
      <c r="O64" t="s">
        <v>54</v>
      </c>
      <c r="P64">
        <v>100</v>
      </c>
      <c r="Q64" s="1">
        <v>45962</v>
      </c>
      <c r="R64">
        <v>1</v>
      </c>
      <c r="S64">
        <v>0</v>
      </c>
      <c r="T64">
        <v>52.18</v>
      </c>
      <c r="U64">
        <v>0</v>
      </c>
      <c r="W64">
        <v>0</v>
      </c>
      <c r="X64">
        <v>0</v>
      </c>
      <c r="Y64">
        <v>0</v>
      </c>
      <c r="AA64">
        <v>52.18</v>
      </c>
      <c r="AB64">
        <v>52.18</v>
      </c>
    </row>
    <row r="65" spans="2:28" x14ac:dyDescent="0.25">
      <c r="B65">
        <v>9213293</v>
      </c>
      <c r="C65" t="s">
        <v>63</v>
      </c>
      <c r="D65" t="s">
        <v>146</v>
      </c>
      <c r="E65" t="s">
        <v>47</v>
      </c>
      <c r="F65" t="s">
        <v>169</v>
      </c>
      <c r="G65" t="s">
        <v>49</v>
      </c>
      <c r="H65" t="s">
        <v>148</v>
      </c>
      <c r="I65" t="s">
        <v>170</v>
      </c>
      <c r="J65" t="s">
        <v>171</v>
      </c>
      <c r="K65" s="1">
        <v>45658</v>
      </c>
      <c r="M65" t="s">
        <v>134</v>
      </c>
      <c r="N65" s="2">
        <v>26.09</v>
      </c>
      <c r="O65" t="s">
        <v>54</v>
      </c>
      <c r="P65">
        <v>100</v>
      </c>
      <c r="Q65" s="1">
        <v>45962</v>
      </c>
      <c r="R65">
        <v>1</v>
      </c>
      <c r="S65">
        <v>0</v>
      </c>
      <c r="T65">
        <v>0</v>
      </c>
      <c r="U65">
        <v>0</v>
      </c>
      <c r="W65">
        <v>0</v>
      </c>
      <c r="X65">
        <v>0</v>
      </c>
      <c r="Y65">
        <v>26.09</v>
      </c>
    </row>
    <row r="66" spans="2:28" x14ac:dyDescent="0.25">
      <c r="B66">
        <v>9213293</v>
      </c>
      <c r="C66" t="s">
        <v>63</v>
      </c>
      <c r="D66" t="s">
        <v>146</v>
      </c>
      <c r="E66" t="s">
        <v>47</v>
      </c>
      <c r="F66" t="s">
        <v>172</v>
      </c>
      <c r="G66" t="s">
        <v>49</v>
      </c>
      <c r="H66" t="s">
        <v>148</v>
      </c>
      <c r="I66" t="s">
        <v>173</v>
      </c>
      <c r="J66" t="s">
        <v>174</v>
      </c>
      <c r="K66" s="1">
        <v>45658</v>
      </c>
      <c r="M66" t="s">
        <v>53</v>
      </c>
      <c r="N66" s="2">
        <v>26.09</v>
      </c>
      <c r="O66" t="s">
        <v>54</v>
      </c>
      <c r="P66">
        <v>100</v>
      </c>
      <c r="Q66" s="1">
        <v>45962</v>
      </c>
      <c r="R66">
        <v>1</v>
      </c>
      <c r="S66">
        <v>0</v>
      </c>
      <c r="T66">
        <v>52.18</v>
      </c>
      <c r="U66">
        <v>0</v>
      </c>
      <c r="W66">
        <v>0</v>
      </c>
      <c r="X66">
        <v>0</v>
      </c>
      <c r="Y66">
        <v>0</v>
      </c>
    </row>
    <row r="67" spans="2:28" x14ac:dyDescent="0.25">
      <c r="B67">
        <v>18581063</v>
      </c>
      <c r="C67" t="s">
        <v>175</v>
      </c>
      <c r="D67" t="s">
        <v>146</v>
      </c>
      <c r="E67" t="s">
        <v>47</v>
      </c>
      <c r="F67" t="s">
        <v>176</v>
      </c>
      <c r="G67" t="s">
        <v>49</v>
      </c>
      <c r="H67" t="s">
        <v>90</v>
      </c>
      <c r="I67" t="s">
        <v>177</v>
      </c>
      <c r="J67" t="s">
        <v>178</v>
      </c>
      <c r="K67" s="1">
        <v>45809</v>
      </c>
      <c r="M67" t="s">
        <v>134</v>
      </c>
      <c r="N67" s="2">
        <v>26.09</v>
      </c>
      <c r="O67" t="s">
        <v>54</v>
      </c>
      <c r="P67">
        <v>100</v>
      </c>
      <c r="Q67" s="1">
        <v>45962</v>
      </c>
      <c r="R67">
        <v>1</v>
      </c>
      <c r="S67">
        <v>0</v>
      </c>
      <c r="T67">
        <v>0</v>
      </c>
      <c r="U67">
        <v>0</v>
      </c>
      <c r="W67">
        <v>0</v>
      </c>
      <c r="X67">
        <v>0</v>
      </c>
      <c r="Y67">
        <v>26.09</v>
      </c>
      <c r="AA67">
        <v>26.09</v>
      </c>
      <c r="AB67">
        <v>26.09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27EFB-23E0-4439-8629-71B8C020DFCA}">
  <dimension ref="A1:AC10"/>
  <sheetViews>
    <sheetView workbookViewId="0">
      <selection activeCell="Q19" sqref="Q19"/>
    </sheetView>
  </sheetViews>
  <sheetFormatPr defaultRowHeight="15" x14ac:dyDescent="0.25"/>
  <cols>
    <col min="1" max="1" width="19" bestFit="1" customWidth="1"/>
    <col min="2" max="2" width="21.85546875" bestFit="1" customWidth="1"/>
    <col min="5" max="5" width="15.42578125" bestFit="1" customWidth="1"/>
    <col min="6" max="6" width="15.42578125" customWidth="1"/>
    <col min="8" max="8" width="23.42578125" bestFit="1" customWidth="1"/>
    <col min="9" max="9" width="20.140625" bestFit="1" customWidth="1"/>
    <col min="12" max="12" width="9.7109375" bestFit="1" customWidth="1"/>
    <col min="16" max="16" width="33" bestFit="1" customWidth="1"/>
    <col min="17" max="17" width="23.140625" bestFit="1" customWidth="1"/>
  </cols>
  <sheetData>
    <row r="1" spans="1:29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G1" t="s">
        <v>23</v>
      </c>
      <c r="H1" t="s">
        <v>25</v>
      </c>
      <c r="I1" t="s">
        <v>27</v>
      </c>
      <c r="J1" t="s">
        <v>30</v>
      </c>
      <c r="K1" t="s">
        <v>31</v>
      </c>
      <c r="L1" t="s">
        <v>33</v>
      </c>
      <c r="M1" t="s">
        <v>37</v>
      </c>
      <c r="N1" t="s">
        <v>38</v>
      </c>
      <c r="O1" t="s">
        <v>41</v>
      </c>
    </row>
    <row r="2" spans="1:29" x14ac:dyDescent="0.25">
      <c r="A2">
        <v>17094718</v>
      </c>
      <c r="B2" t="s">
        <v>127</v>
      </c>
      <c r="C2" t="s">
        <v>34</v>
      </c>
      <c r="D2" t="s">
        <v>47</v>
      </c>
      <c r="E2" t="s">
        <v>131</v>
      </c>
      <c r="F2" t="str">
        <f>CONCATENATE(E2,6)</f>
        <v>140W109316</v>
      </c>
      <c r="G2" t="s">
        <v>49</v>
      </c>
      <c r="H2" t="s">
        <v>132</v>
      </c>
      <c r="I2" s="1">
        <v>45931</v>
      </c>
      <c r="J2" s="2">
        <v>26.09</v>
      </c>
      <c r="K2" t="s">
        <v>54</v>
      </c>
      <c r="L2" s="1">
        <v>45962</v>
      </c>
      <c r="M2">
        <v>1</v>
      </c>
      <c r="O2">
        <v>26.09</v>
      </c>
      <c r="P2" t="s">
        <v>180</v>
      </c>
      <c r="Q2" t="s">
        <v>182</v>
      </c>
    </row>
    <row r="3" spans="1:29" x14ac:dyDescent="0.25">
      <c r="A3">
        <v>18581063</v>
      </c>
      <c r="B3" t="s">
        <v>175</v>
      </c>
      <c r="C3" t="s">
        <v>146</v>
      </c>
      <c r="D3" t="s">
        <v>47</v>
      </c>
      <c r="E3" t="s">
        <v>176</v>
      </c>
      <c r="F3" t="str">
        <f>CONCATENATE(E3,6)</f>
        <v>352W106656</v>
      </c>
      <c r="G3" t="s">
        <v>49</v>
      </c>
      <c r="H3" t="s">
        <v>177</v>
      </c>
      <c r="I3" s="1">
        <v>45809</v>
      </c>
      <c r="J3" s="2">
        <v>26.09</v>
      </c>
      <c r="K3" t="s">
        <v>54</v>
      </c>
      <c r="L3" s="1">
        <v>45962</v>
      </c>
      <c r="M3">
        <v>1</v>
      </c>
      <c r="O3">
        <v>26.09</v>
      </c>
      <c r="P3" t="s">
        <v>180</v>
      </c>
      <c r="Q3" t="s">
        <v>182</v>
      </c>
    </row>
    <row r="4" spans="1:29" s="3" customFormat="1" x14ac:dyDescent="0.25">
      <c r="A4">
        <v>9213293</v>
      </c>
      <c r="B4" t="s">
        <v>63</v>
      </c>
      <c r="C4" t="s">
        <v>68</v>
      </c>
      <c r="D4" t="s">
        <v>47</v>
      </c>
      <c r="E4" t="s">
        <v>84</v>
      </c>
      <c r="F4" t="str">
        <f>CONCATENATE(E4,6)</f>
        <v>948W212166</v>
      </c>
      <c r="G4" t="s">
        <v>49</v>
      </c>
      <c r="H4" t="s">
        <v>85</v>
      </c>
      <c r="I4" s="1">
        <v>45536</v>
      </c>
      <c r="J4" s="2">
        <v>26.09</v>
      </c>
      <c r="K4" t="s">
        <v>54</v>
      </c>
      <c r="L4" s="1">
        <v>45962</v>
      </c>
      <c r="M4">
        <v>1</v>
      </c>
      <c r="N4"/>
      <c r="O4">
        <v>26.09</v>
      </c>
      <c r="P4" t="s">
        <v>180</v>
      </c>
      <c r="Q4" t="s">
        <v>182</v>
      </c>
      <c r="R4"/>
      <c r="S4"/>
      <c r="T4"/>
      <c r="U4"/>
      <c r="V4"/>
      <c r="W4"/>
      <c r="X4"/>
      <c r="Y4"/>
      <c r="Z4"/>
      <c r="AA4"/>
      <c r="AB4"/>
      <c r="AC4"/>
    </row>
    <row r="5" spans="1:29" x14ac:dyDescent="0.25">
      <c r="A5">
        <v>9213293</v>
      </c>
      <c r="B5" t="s">
        <v>63</v>
      </c>
      <c r="C5" t="s">
        <v>146</v>
      </c>
      <c r="D5" t="s">
        <v>47</v>
      </c>
      <c r="E5" t="s">
        <v>169</v>
      </c>
      <c r="F5" t="str">
        <f>CONCATENATE(E5,6)</f>
        <v>283W175786</v>
      </c>
      <c r="G5" t="s">
        <v>49</v>
      </c>
      <c r="H5" t="s">
        <v>170</v>
      </c>
      <c r="I5" s="1">
        <v>45658</v>
      </c>
      <c r="J5" s="2">
        <v>26.09</v>
      </c>
      <c r="K5" t="s">
        <v>54</v>
      </c>
      <c r="L5" s="1">
        <v>45962</v>
      </c>
      <c r="M5">
        <v>1</v>
      </c>
      <c r="O5">
        <v>26.09</v>
      </c>
      <c r="P5" t="s">
        <v>180</v>
      </c>
      <c r="Q5" t="s">
        <v>182</v>
      </c>
    </row>
    <row r="6" spans="1:29" x14ac:dyDescent="0.25">
      <c r="A6" s="3">
        <v>19645587</v>
      </c>
      <c r="B6" s="3" t="s">
        <v>45</v>
      </c>
      <c r="C6" s="3" t="s">
        <v>68</v>
      </c>
      <c r="D6" s="3" t="s">
        <v>47</v>
      </c>
      <c r="E6" s="3" t="s">
        <v>79</v>
      </c>
      <c r="F6" t="str">
        <f>CONCATENATE(E6,7)</f>
        <v>139W247657</v>
      </c>
      <c r="G6" s="3" t="s">
        <v>49</v>
      </c>
      <c r="H6" s="3" t="s">
        <v>80</v>
      </c>
      <c r="I6" s="4">
        <v>45962</v>
      </c>
      <c r="J6" s="5">
        <v>52.17</v>
      </c>
      <c r="K6" s="3" t="s">
        <v>54</v>
      </c>
      <c r="L6" s="4">
        <v>45992</v>
      </c>
      <c r="M6" s="3">
        <v>1</v>
      </c>
      <c r="N6" s="3"/>
      <c r="O6" s="3">
        <v>626.04</v>
      </c>
      <c r="P6" s="3" t="s">
        <v>179</v>
      </c>
      <c r="Q6" t="s">
        <v>183</v>
      </c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x14ac:dyDescent="0.25">
      <c r="A7">
        <v>19645587</v>
      </c>
      <c r="B7" t="s">
        <v>45</v>
      </c>
      <c r="C7" t="s">
        <v>46</v>
      </c>
      <c r="D7" t="s">
        <v>47</v>
      </c>
      <c r="E7" t="s">
        <v>55</v>
      </c>
      <c r="F7" t="str">
        <f>CONCATENATE(E7,6)</f>
        <v>498W249726</v>
      </c>
      <c r="G7" t="s">
        <v>49</v>
      </c>
      <c r="H7" t="s">
        <v>56</v>
      </c>
      <c r="I7" s="1">
        <v>45962</v>
      </c>
      <c r="J7" s="2">
        <v>26.09</v>
      </c>
      <c r="K7" t="s">
        <v>54</v>
      </c>
      <c r="L7" s="1">
        <v>45962</v>
      </c>
      <c r="M7">
        <v>1</v>
      </c>
      <c r="O7">
        <v>26.09</v>
      </c>
      <c r="P7" t="s">
        <v>180</v>
      </c>
      <c r="Q7" t="s">
        <v>182</v>
      </c>
    </row>
    <row r="8" spans="1:29" x14ac:dyDescent="0.25">
      <c r="A8">
        <v>19645587</v>
      </c>
      <c r="B8" t="s">
        <v>45</v>
      </c>
      <c r="C8" t="s">
        <v>46</v>
      </c>
      <c r="D8" t="s">
        <v>47</v>
      </c>
      <c r="E8" t="s">
        <v>55</v>
      </c>
      <c r="F8" t="str">
        <f>CONCATENATE(E8,6)</f>
        <v>498W249726</v>
      </c>
      <c r="G8" t="s">
        <v>49</v>
      </c>
      <c r="H8" t="s">
        <v>56</v>
      </c>
      <c r="I8" s="1">
        <v>45962</v>
      </c>
      <c r="J8" s="2">
        <v>26.09</v>
      </c>
      <c r="K8" t="s">
        <v>54</v>
      </c>
      <c r="L8" s="1">
        <v>45992</v>
      </c>
      <c r="M8">
        <v>1</v>
      </c>
      <c r="O8">
        <v>26.09</v>
      </c>
      <c r="P8" t="s">
        <v>180</v>
      </c>
      <c r="Q8" t="s">
        <v>182</v>
      </c>
    </row>
    <row r="9" spans="1:29" x14ac:dyDescent="0.25">
      <c r="A9">
        <v>19645587</v>
      </c>
      <c r="B9" t="s">
        <v>45</v>
      </c>
      <c r="C9" t="s">
        <v>146</v>
      </c>
      <c r="D9" t="s">
        <v>47</v>
      </c>
      <c r="E9" t="s">
        <v>157</v>
      </c>
      <c r="F9" t="str">
        <f>CONCATENATE(E9,6)</f>
        <v>829W215446</v>
      </c>
      <c r="G9" t="s">
        <v>49</v>
      </c>
      <c r="H9" t="s">
        <v>158</v>
      </c>
      <c r="I9" s="1">
        <v>45658</v>
      </c>
      <c r="J9" s="2">
        <v>26.09</v>
      </c>
      <c r="K9" t="s">
        <v>54</v>
      </c>
      <c r="L9" s="1">
        <v>45962</v>
      </c>
      <c r="M9">
        <v>1</v>
      </c>
      <c r="O9">
        <v>26.09</v>
      </c>
      <c r="P9" t="s">
        <v>180</v>
      </c>
      <c r="Q9" t="s">
        <v>182</v>
      </c>
    </row>
    <row r="10" spans="1:29" s="6" customFormat="1" x14ac:dyDescent="0.25">
      <c r="A10" s="6" t="s">
        <v>184</v>
      </c>
      <c r="B10" s="6" t="s">
        <v>87</v>
      </c>
      <c r="C10" s="6" t="s">
        <v>68</v>
      </c>
      <c r="D10" s="6" t="s">
        <v>47</v>
      </c>
      <c r="E10" s="6" t="s">
        <v>118</v>
      </c>
      <c r="F10" s="6" t="s">
        <v>118</v>
      </c>
      <c r="G10" s="6" t="s">
        <v>89</v>
      </c>
      <c r="H10" s="6" t="s">
        <v>119</v>
      </c>
      <c r="I10" s="7">
        <v>45962</v>
      </c>
      <c r="J10" s="8">
        <v>0.21</v>
      </c>
      <c r="K10" s="6" t="s">
        <v>54</v>
      </c>
      <c r="L10" s="7">
        <v>46204</v>
      </c>
      <c r="M10" s="6">
        <v>1470.69</v>
      </c>
      <c r="N10" s="6" t="s">
        <v>121</v>
      </c>
      <c r="O10" s="6">
        <v>308.79000000000002</v>
      </c>
      <c r="P10" s="6" t="s">
        <v>181</v>
      </c>
    </row>
  </sheetData>
  <sortState xmlns:xlrd2="http://schemas.microsoft.com/office/spreadsheetml/2017/richdata2" ref="A2:AC10">
    <sortCondition ref="B2:B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Producer ToolBox_11062025_COINS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Janki Patel</cp:lastModifiedBy>
  <dcterms:created xsi:type="dcterms:W3CDTF">2025-12-08T14:09:50Z</dcterms:created>
  <dcterms:modified xsi:type="dcterms:W3CDTF">2025-12-10T16:59:58Z</dcterms:modified>
</cp:coreProperties>
</file>