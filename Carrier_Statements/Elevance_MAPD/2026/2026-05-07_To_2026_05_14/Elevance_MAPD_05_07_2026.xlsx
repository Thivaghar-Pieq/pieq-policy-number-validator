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Elevance MAPD\2026\2026-05-07 to 2026-05-14\"/>
    </mc:Choice>
  </mc:AlternateContent>
  <xr:revisionPtr revIDLastSave="0" documentId="13_ncr:1_{19F2F7E5-9E0E-4C5C-AB86-A1DE8A9C7114}" xr6:coauthVersionLast="47" xr6:coauthVersionMax="47" xr10:uidLastSave="{00000000-0000-0000-0000-000000000000}"/>
  <bookViews>
    <workbookView xWindow="-96" yWindow="-96" windowWidth="23232" windowHeight="13152" firstSheet="1" activeTab="1" xr2:uid="{F42C02E8-7E90-48B1-AB91-95678963E598}"/>
  </bookViews>
  <sheets>
    <sheet name="Producer ToolBox_05072026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12" i="2"/>
</calcChain>
</file>

<file path=xl/sharedStrings.xml><?xml version="1.0" encoding="utf-8"?>
<sst xmlns="http://schemas.openxmlformats.org/spreadsheetml/2006/main" count="1345" uniqueCount="260">
  <si>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</si>
  <si>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</si>
  <si>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</si>
  <si>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</si>
  <si>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</si>
  <si>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</si>
  <si>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</si>
  <si>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:05/01/2026 TO 05/07/2026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</si>
  <si>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</si>
  <si>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</si>
  <si>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</si>
  <si>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</si>
  <si>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</si>
  <si>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</si>
  <si>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</si>
  <si>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</si>
  <si>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</si>
  <si>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</si>
  <si>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</si>
  <si>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</si>
  <si>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</si>
  <si>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</si>
  <si>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</si>
  <si>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</si>
  <si>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</si>
  <si>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</si>
  <si>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</si>
  <si>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</si>
  <si>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</si>
  <si>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</si>
  <si>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</si>
  <si>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</si>
  <si>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</si>
  <si>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</si>
  <si>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</si>
  <si>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</si>
  <si>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</si>
  <si>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</si>
  <si>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</si>
  <si>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</si>
  <si>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</si>
  <si>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</si>
  <si>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</si>
  <si>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</si>
  <si>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</si>
  <si>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</si>
  <si>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</si>
  <si>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</si>
  <si>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</si>
  <si>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</si>
  <si>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</si>
  <si>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</si>
  <si>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</si>
  <si>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</si>
  <si>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</si>
  <si>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</si>
  <si>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</si>
  <si>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</si>
  <si>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</si>
  <si>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</si>
  <si>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</si>
  <si>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</si>
  <si>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GONZALEZ, LENSIE</t>
  </si>
  <si>
    <t>206W26504</t>
  </si>
  <si>
    <t>GOTTS, IAN</t>
  </si>
  <si>
    <t>1AF3GU8KY01</t>
  </si>
  <si>
    <t>LEE, JOEL N</t>
  </si>
  <si>
    <t>307W26711</t>
  </si>
  <si>
    <t>525C</t>
  </si>
  <si>
    <t>PALMER, THERESA</t>
  </si>
  <si>
    <t>2D84TV9PA07</t>
  </si>
  <si>
    <t>FL</t>
  </si>
  <si>
    <t>488W24198</t>
  </si>
  <si>
    <t>161C</t>
  </si>
  <si>
    <t>COUCH, JOYCE</t>
  </si>
  <si>
    <t>9F86P64WA86</t>
  </si>
  <si>
    <t>GREEN, DANNA</t>
  </si>
  <si>
    <t>IN</t>
  </si>
  <si>
    <t>641W26577</t>
  </si>
  <si>
    <t>201C</t>
  </si>
  <si>
    <t>GORDON, DALE</t>
  </si>
  <si>
    <t>8PW1YE8JP27</t>
  </si>
  <si>
    <t>INITIAL</t>
  </si>
  <si>
    <t>406W26407</t>
  </si>
  <si>
    <t>HACKETT, KRISTI</t>
  </si>
  <si>
    <t>1FX4U45RC80</t>
  </si>
  <si>
    <t>461W26478</t>
  </si>
  <si>
    <t>DAVEY, MARIA</t>
  </si>
  <si>
    <t>2A91TH6UA98</t>
  </si>
  <si>
    <t>772W26990</t>
  </si>
  <si>
    <t>608C</t>
  </si>
  <si>
    <t>GIBBS, JEFFERS</t>
  </si>
  <si>
    <t>2XU5X37DF50</t>
  </si>
  <si>
    <t>ADVREN  NEW</t>
  </si>
  <si>
    <t>ADVREN</t>
  </si>
  <si>
    <t>283W21805</t>
  </si>
  <si>
    <t>BROWN, TERRY</t>
  </si>
  <si>
    <t>2XP5CJ1TH85</t>
  </si>
  <si>
    <t>925W10518</t>
  </si>
  <si>
    <t>LEVI, TIMOTHY</t>
  </si>
  <si>
    <t>6KH2UQ1XX12</t>
  </si>
  <si>
    <t>335W26438</t>
  </si>
  <si>
    <t>BRATTON, JENNIFE</t>
  </si>
  <si>
    <t>7DT8VJ3EH49</t>
  </si>
  <si>
    <t>407W22392</t>
  </si>
  <si>
    <t>BLASKO, EDWARD</t>
  </si>
  <si>
    <t>4JK6FM6YV43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</si>
  <si>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</si>
  <si>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</si>
  <si>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</si>
  <si>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</si>
  <si>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</si>
  <si>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</si>
  <si>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</si>
  <si>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</si>
  <si>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</si>
  <si>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</si>
  <si>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</si>
  <si>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</si>
  <si>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</si>
  <si>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</si>
  <si>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</si>
  <si>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</si>
  <si>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</si>
  <si>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</si>
  <si>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</si>
  <si>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</si>
  <si>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</si>
  <si>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</si>
  <si>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</si>
  <si>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</si>
  <si>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</si>
  <si>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</si>
  <si>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</si>
  <si>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</si>
  <si>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</si>
  <si>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</si>
  <si>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</si>
  <si>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</si>
  <si>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</si>
  <si>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</si>
  <si>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</si>
  <si>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</si>
  <si>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</si>
  <si>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</si>
  <si>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</si>
  <si>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</si>
  <si>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672W24975</t>
  </si>
  <si>
    <t>SURFACE, DOROTHY</t>
  </si>
  <si>
    <t>5TP7MN8QJ37</t>
  </si>
  <si>
    <t>530M71263</t>
  </si>
  <si>
    <t>LYELL, JOHN</t>
  </si>
  <si>
    <t>3TH8PG4GT49</t>
  </si>
  <si>
    <t>940W23397</t>
  </si>
  <si>
    <t>LATTA, ELIZABE</t>
  </si>
  <si>
    <t>9PH0XP3JD07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</si>
  <si>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</si>
  <si>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</si>
  <si>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</si>
  <si>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</si>
  <si>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</si>
  <si>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</si>
  <si>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</si>
  <si>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</si>
  <si>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</si>
  <si>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</si>
  <si>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</si>
  <si>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</si>
  <si>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</si>
  <si>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</si>
  <si>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</si>
  <si>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</si>
  <si>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</si>
  <si>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</si>
  <si>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</si>
  <si>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</si>
  <si>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</si>
  <si>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</si>
  <si>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BRANDT, STEVEN K</t>
  </si>
  <si>
    <t>OH</t>
  </si>
  <si>
    <t>310W18437</t>
  </si>
  <si>
    <t>728C</t>
  </si>
  <si>
    <t>HARVEY, KAREN</t>
  </si>
  <si>
    <t>1GJ9RG6QW13</t>
  </si>
  <si>
    <t>517W26544</t>
  </si>
  <si>
    <t>JETER, ANTHONY</t>
  </si>
  <si>
    <t>7EY1HW9WV34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</si>
  <si>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</si>
  <si>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</si>
  <si>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</si>
  <si>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</si>
  <si>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</si>
  <si>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</si>
  <si>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</si>
  <si>
    <t>BROUSSEAU, CHRISTOPHER</t>
  </si>
  <si>
    <t>733W26414</t>
  </si>
  <si>
    <t>LIVINGSTON, FRANCES</t>
  </si>
  <si>
    <t>4F09DF2YA19</t>
  </si>
  <si>
    <t>TN</t>
  </si>
  <si>
    <t>835W27120</t>
  </si>
  <si>
    <t>622C</t>
  </si>
  <si>
    <t>MILLER, ERIK</t>
  </si>
  <si>
    <t>6EX3VM0TV92</t>
  </si>
  <si>
    <t>TX</t>
  </si>
  <si>
    <t>828W26414</t>
  </si>
  <si>
    <t>628C</t>
  </si>
  <si>
    <t>WISE, LINDA</t>
  </si>
  <si>
    <t>9EC6HU0DM59</t>
  </si>
  <si>
    <t>972W22875</t>
  </si>
  <si>
    <t>SKIPWORTH, DEBORAH</t>
  </si>
  <si>
    <t>9M88C01JJ24</t>
  </si>
  <si>
    <t>YALE, JACOB D</t>
  </si>
  <si>
    <t>WI</t>
  </si>
  <si>
    <t>121W24900</t>
  </si>
  <si>
    <t>423C</t>
  </si>
  <si>
    <t>MASAMITSU, ELIZABE</t>
  </si>
  <si>
    <t>1E48MX8EK51</t>
  </si>
  <si>
    <t>845W26780</t>
  </si>
  <si>
    <t>LAMBERT, LORI</t>
  </si>
  <si>
    <t>3HY7T51NA40</t>
  </si>
  <si>
    <t>788W24089</t>
  </si>
  <si>
    <t>METCALF, JAY</t>
  </si>
  <si>
    <t>9MU5GX9QU79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</si>
  <si>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</si>
  <si>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</si>
  <si>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</si>
  <si>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</si>
  <si>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</si>
  <si>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</si>
  <si>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</si>
  <si>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</si>
  <si>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</si>
  <si>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</si>
  <si>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</si>
  <si>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</si>
  <si>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</si>
  <si>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</si>
  <si>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</si>
  <si>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</si>
  <si>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</si>
  <si>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</si>
  <si>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</si>
  <si>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</si>
  <si>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</si>
  <si>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</si>
  <si>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</si>
  <si>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</si>
  <si>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</si>
  <si>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YES</t>
  </si>
  <si>
    <t>761W17740</t>
  </si>
  <si>
    <t>PODGORSKI, STANLEY</t>
  </si>
  <si>
    <t>8EA8WV4KJ46</t>
  </si>
  <si>
    <t>526W17632</t>
  </si>
  <si>
    <t>DEMICH, JAMIE</t>
  </si>
  <si>
    <t>6YW9YW0MU11</t>
  </si>
  <si>
    <t>Elevance Plan A, F, G, and N 65+ - IN</t>
  </si>
  <si>
    <t>Elevance GA, KY, OH All Plans</t>
  </si>
  <si>
    <t>Elevance MAPD 2026*</t>
  </si>
  <si>
    <t>[%/$=347][prorate=1/12]</t>
  </si>
  <si>
    <t>[%/$=347][prorate=8/12]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</si>
</sst>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00C3-17EC-4C65-9F02-A95678BE05E6}">
  <dimension ref="A1:AB84"/>
  <sheetViews>
    <sheetView topLeftCell="G55" workbookViewId="0">
      <selection activeCell="Y1" sqref="Y1:Y1048576"/>
    </sheetView>
  </sheetViews>
  <sheetFormatPr defaultRowHeight="14.4" x14ac:dyDescent="0.3"/>
  <cols>
    <col min="1" max="1" width="22.5546875" bestFit="1" customWidth="1"/>
    <col min="2" max="2" width="19" bestFit="1" customWidth="1"/>
    <col min="3" max="3" width="25.109375" bestFit="1" customWidth="1"/>
    <col min="4" max="4" width="6.33203125" bestFit="1" customWidth="1"/>
    <col min="5" max="5" width="33.109375" bestFit="1" customWidth="1"/>
    <col min="6" max="6" width="15.44140625" bestFit="1" customWidth="1"/>
    <col min="7" max="7" width="14.109375" bestFit="1" customWidth="1"/>
    <col min="8" max="8" width="5.109375" bestFit="1" customWidth="1"/>
    <col min="9" max="9" width="35.33203125" bestFit="1" customWidth="1"/>
    <col min="10" max="10" width="15" bestFit="1" customWidth="1"/>
    <col min="11" max="11" width="20.109375" bestFit="1" customWidth="1"/>
    <col min="12" max="12" width="10.109375" bestFit="1" customWidth="1"/>
    <col min="13" max="13" width="12.6640625" bestFit="1" customWidth="1"/>
    <col min="14" max="14" width="7.33203125" bestFit="1" customWidth="1"/>
    <col min="15" max="15" width="10" bestFit="1" customWidth="1"/>
    <col min="16" max="16" width="12" bestFit="1" customWidth="1"/>
    <col min="17" max="17" width="9.6640625" bestFit="1" customWidth="1"/>
    <col min="18" max="18" width="4.109375" bestFit="1" customWidth="1"/>
    <col min="19" max="19" width="5.5546875" bestFit="1" customWidth="1"/>
    <col min="20" max="20" width="8.5546875" bestFit="1" customWidth="1"/>
    <col min="21" max="21" width="9.5546875" bestFit="1" customWidth="1"/>
    <col min="22" max="22" width="14.33203125" bestFit="1" customWidth="1"/>
    <col min="23" max="23" width="19.33203125" bestFit="1" customWidth="1"/>
    <col min="24" max="24" width="23.109375" bestFit="1" customWidth="1"/>
    <col min="25" max="25" width="9.5546875" bestFit="1" customWidth="1"/>
    <col min="26" max="26" width="13.6640625" bestFit="1" customWidth="1"/>
    <col min="27" max="27" width="26.6640625" bestFit="1" customWidth="1"/>
    <col min="28" max="28" width="32.33203125" bestFit="1" customWidth="1"/>
  </cols>
  <sheetData>
    <row r="1" spans="1:28" x14ac:dyDescent="0.3">
      <c r="A1" t="s">
        <v>0</v>
      </c>
      <c r="E1" t="s">
        <v>1</v>
      </c>
      <c r="I1" t="s">
        <v>2</v>
      </c>
      <c r="K1">
        <v>3760.04</v>
      </c>
    </row>
    <row r="2" spans="1:28" x14ac:dyDescent="0.3">
      <c r="A2" t="s">
        <v>3</v>
      </c>
      <c r="E2" t="s">
        <v>4</v>
      </c>
      <c r="I2" t="s">
        <v>5</v>
      </c>
      <c r="K2">
        <v>15332.65</v>
      </c>
    </row>
    <row r="3" spans="1:28" x14ac:dyDescent="0.3">
      <c r="A3" t="s">
        <v>6</v>
      </c>
      <c r="E3" t="s">
        <v>7</v>
      </c>
      <c r="I3" t="s">
        <v>8</v>
      </c>
      <c r="K3">
        <v>736.89</v>
      </c>
    </row>
    <row r="4" spans="1:28" x14ac:dyDescent="0.3">
      <c r="I4" t="s">
        <v>9</v>
      </c>
      <c r="K4">
        <v>0</v>
      </c>
    </row>
    <row r="5" spans="1:28" x14ac:dyDescent="0.3">
      <c r="I5" t="s">
        <v>10</v>
      </c>
      <c r="K5">
        <v>0</v>
      </c>
    </row>
    <row r="6" spans="1:28" x14ac:dyDescent="0.3">
      <c r="I6" t="s">
        <v>11</v>
      </c>
      <c r="K6">
        <v>0</v>
      </c>
    </row>
    <row r="7" spans="1:28" x14ac:dyDescent="0.3">
      <c r="I7" t="s">
        <v>12</v>
      </c>
      <c r="K7">
        <v>736.89</v>
      </c>
    </row>
    <row r="8" spans="1:28" x14ac:dyDescent="0.3">
      <c r="I8" t="s">
        <v>13</v>
      </c>
      <c r="K8">
        <v>0</v>
      </c>
    </row>
    <row r="9" spans="1:28" x14ac:dyDescent="0.3">
      <c r="I9" t="s">
        <v>14</v>
      </c>
      <c r="K9">
        <v>0</v>
      </c>
    </row>
    <row r="10" spans="1:28" x14ac:dyDescent="0.3">
      <c r="I10" t="s">
        <v>15</v>
      </c>
      <c r="K10">
        <v>0</v>
      </c>
    </row>
    <row r="11" spans="1:28" x14ac:dyDescent="0.3">
      <c r="I11" t="s">
        <v>16</v>
      </c>
      <c r="K11">
        <v>0</v>
      </c>
    </row>
    <row r="13" spans="1:28" x14ac:dyDescent="0.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3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65</v>
      </c>
      <c r="O14" t="s">
        <v>54</v>
      </c>
      <c r="P14">
        <v>100</v>
      </c>
      <c r="Q14" s="1">
        <v>46143</v>
      </c>
      <c r="R14">
        <v>1</v>
      </c>
      <c r="S14">
        <v>0</v>
      </c>
      <c r="T14">
        <v>520</v>
      </c>
      <c r="U14">
        <v>0</v>
      </c>
      <c r="W14">
        <v>0</v>
      </c>
      <c r="X14">
        <v>0</v>
      </c>
      <c r="Y14">
        <v>0</v>
      </c>
      <c r="AA14">
        <v>86.76</v>
      </c>
      <c r="AB14">
        <v>86.76</v>
      </c>
    </row>
    <row r="15" spans="1:28" x14ac:dyDescent="0.3">
      <c r="B15">
        <v>21348299</v>
      </c>
      <c r="C15" t="s">
        <v>55</v>
      </c>
      <c r="D15" t="s">
        <v>46</v>
      </c>
      <c r="E15" t="s">
        <v>47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s="1">
        <v>46023</v>
      </c>
      <c r="O15" t="s">
        <v>54</v>
      </c>
      <c r="P15">
        <v>100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 t="s">
        <v>61</v>
      </c>
      <c r="AA15">
        <v>0</v>
      </c>
      <c r="AB15">
        <v>0</v>
      </c>
    </row>
    <row r="16" spans="1:28" x14ac:dyDescent="0.3">
      <c r="B16">
        <v>17859093</v>
      </c>
      <c r="C16" t="s">
        <v>62</v>
      </c>
      <c r="D16" t="s">
        <v>46</v>
      </c>
      <c r="E16" t="s">
        <v>47</v>
      </c>
      <c r="F16" t="s">
        <v>63</v>
      </c>
      <c r="G16" t="s">
        <v>49</v>
      </c>
      <c r="H16" t="s">
        <v>50</v>
      </c>
      <c r="I16" t="s">
        <v>64</v>
      </c>
      <c r="J16" t="s">
        <v>65</v>
      </c>
      <c r="K16" s="1">
        <v>46054</v>
      </c>
      <c r="M16" t="s">
        <v>53</v>
      </c>
      <c r="N16" s="2">
        <v>65</v>
      </c>
      <c r="O16" t="s">
        <v>54</v>
      </c>
      <c r="P16">
        <v>100</v>
      </c>
      <c r="Q16" s="1">
        <v>46143</v>
      </c>
      <c r="R16">
        <v>1</v>
      </c>
      <c r="S16">
        <v>0</v>
      </c>
      <c r="T16">
        <v>585</v>
      </c>
      <c r="U16">
        <v>0</v>
      </c>
      <c r="W16">
        <v>0</v>
      </c>
      <c r="X16">
        <v>0</v>
      </c>
      <c r="Y16">
        <v>0</v>
      </c>
      <c r="AA16">
        <v>0</v>
      </c>
      <c r="AB16">
        <v>0</v>
      </c>
    </row>
    <row r="17" spans="2:28" x14ac:dyDescent="0.3">
      <c r="B17">
        <v>6634327</v>
      </c>
      <c r="C17" t="s">
        <v>66</v>
      </c>
      <c r="D17" t="s">
        <v>24</v>
      </c>
      <c r="E17" t="s">
        <v>47</v>
      </c>
      <c r="F17" t="s">
        <v>67</v>
      </c>
      <c r="G17" t="s">
        <v>57</v>
      </c>
      <c r="H17" t="s">
        <v>68</v>
      </c>
      <c r="I17" t="s">
        <v>69</v>
      </c>
      <c r="J17" t="s">
        <v>70</v>
      </c>
      <c r="K17" s="1">
        <v>46082</v>
      </c>
      <c r="O17" t="s">
        <v>54</v>
      </c>
      <c r="P17">
        <v>100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 t="s">
        <v>61</v>
      </c>
      <c r="AA17">
        <v>0</v>
      </c>
      <c r="AB17">
        <v>0</v>
      </c>
    </row>
    <row r="18" spans="2:28" x14ac:dyDescent="0.3">
      <c r="B18">
        <v>19645587</v>
      </c>
      <c r="C18" t="s">
        <v>45</v>
      </c>
      <c r="D18" t="s">
        <v>71</v>
      </c>
      <c r="E18" t="s">
        <v>47</v>
      </c>
      <c r="F18" t="s">
        <v>72</v>
      </c>
      <c r="G18" t="s">
        <v>49</v>
      </c>
      <c r="H18" t="s">
        <v>73</v>
      </c>
      <c r="I18" t="s">
        <v>74</v>
      </c>
      <c r="J18" t="s">
        <v>75</v>
      </c>
      <c r="K18" s="1">
        <v>45931</v>
      </c>
      <c r="M18" t="s">
        <v>53</v>
      </c>
      <c r="N18" s="2">
        <v>28.92</v>
      </c>
      <c r="O18" t="s">
        <v>54</v>
      </c>
      <c r="P18">
        <v>100</v>
      </c>
      <c r="Q18" s="1">
        <v>46143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28.92</v>
      </c>
      <c r="AA18">
        <v>86.76</v>
      </c>
      <c r="AB18">
        <v>86.76</v>
      </c>
    </row>
    <row r="19" spans="2:28" x14ac:dyDescent="0.3">
      <c r="B19">
        <v>16849453</v>
      </c>
      <c r="C19" t="s">
        <v>76</v>
      </c>
      <c r="D19" t="s">
        <v>77</v>
      </c>
      <c r="E19" t="s">
        <v>47</v>
      </c>
      <c r="F19" t="s">
        <v>78</v>
      </c>
      <c r="G19" t="s">
        <v>57</v>
      </c>
      <c r="H19" t="s">
        <v>79</v>
      </c>
      <c r="I19" t="s">
        <v>80</v>
      </c>
      <c r="J19" t="s">
        <v>81</v>
      </c>
      <c r="K19" s="1">
        <v>46082</v>
      </c>
      <c r="M19" t="s">
        <v>53</v>
      </c>
      <c r="N19" s="3">
        <v>0.21</v>
      </c>
      <c r="O19" t="s">
        <v>54</v>
      </c>
      <c r="P19">
        <v>100</v>
      </c>
      <c r="Q19" s="1">
        <v>46143</v>
      </c>
      <c r="R19">
        <v>1</v>
      </c>
      <c r="S19">
        <v>0</v>
      </c>
      <c r="T19">
        <v>270.2</v>
      </c>
      <c r="U19">
        <v>183.84</v>
      </c>
      <c r="V19" t="s">
        <v>82</v>
      </c>
      <c r="W19">
        <v>0</v>
      </c>
      <c r="X19">
        <v>0</v>
      </c>
      <c r="Y19">
        <v>0</v>
      </c>
      <c r="AA19">
        <v>231.36</v>
      </c>
      <c r="AB19">
        <v>231.36</v>
      </c>
    </row>
    <row r="20" spans="2:28" x14ac:dyDescent="0.3">
      <c r="B20">
        <v>16849453</v>
      </c>
      <c r="C20" t="s">
        <v>76</v>
      </c>
      <c r="D20" t="s">
        <v>77</v>
      </c>
      <c r="E20" t="s">
        <v>47</v>
      </c>
      <c r="F20" t="s">
        <v>83</v>
      </c>
      <c r="G20" t="s">
        <v>57</v>
      </c>
      <c r="H20" t="s">
        <v>79</v>
      </c>
      <c r="I20" t="s">
        <v>84</v>
      </c>
      <c r="J20" t="s">
        <v>85</v>
      </c>
      <c r="K20" s="1">
        <v>46082</v>
      </c>
      <c r="M20" t="s">
        <v>53</v>
      </c>
      <c r="N20" s="3">
        <v>0.21</v>
      </c>
      <c r="O20" t="s">
        <v>54</v>
      </c>
      <c r="P20">
        <v>100</v>
      </c>
      <c r="Q20" s="1">
        <v>46143</v>
      </c>
      <c r="R20">
        <v>1</v>
      </c>
      <c r="S20">
        <v>0</v>
      </c>
      <c r="T20">
        <v>261.24</v>
      </c>
      <c r="U20">
        <v>177.73</v>
      </c>
      <c r="V20" t="s">
        <v>82</v>
      </c>
      <c r="W20">
        <v>0</v>
      </c>
      <c r="X20">
        <v>0</v>
      </c>
      <c r="Y20">
        <v>0</v>
      </c>
    </row>
    <row r="21" spans="2:28" x14ac:dyDescent="0.3">
      <c r="B21">
        <v>16849453</v>
      </c>
      <c r="C21" t="s">
        <v>76</v>
      </c>
      <c r="D21" t="s">
        <v>77</v>
      </c>
      <c r="E21" t="s">
        <v>47</v>
      </c>
      <c r="F21" t="s">
        <v>86</v>
      </c>
      <c r="G21" t="s">
        <v>57</v>
      </c>
      <c r="H21" t="s">
        <v>79</v>
      </c>
      <c r="I21" t="s">
        <v>87</v>
      </c>
      <c r="J21" t="s">
        <v>88</v>
      </c>
      <c r="K21" s="1">
        <v>46054</v>
      </c>
      <c r="M21" t="s">
        <v>53</v>
      </c>
      <c r="N21" s="3">
        <v>0.21</v>
      </c>
      <c r="O21" t="s">
        <v>54</v>
      </c>
      <c r="P21">
        <v>100</v>
      </c>
      <c r="Q21" s="1">
        <v>46143</v>
      </c>
      <c r="R21">
        <v>1</v>
      </c>
      <c r="S21">
        <v>0</v>
      </c>
      <c r="T21">
        <v>223.92</v>
      </c>
      <c r="U21">
        <v>177.73</v>
      </c>
      <c r="V21" t="s">
        <v>82</v>
      </c>
      <c r="W21">
        <v>0</v>
      </c>
      <c r="X21">
        <v>0</v>
      </c>
      <c r="Y21">
        <v>0</v>
      </c>
    </row>
    <row r="22" spans="2:28" x14ac:dyDescent="0.3">
      <c r="B22">
        <v>16849453</v>
      </c>
      <c r="C22" t="s">
        <v>76</v>
      </c>
      <c r="D22" t="s">
        <v>77</v>
      </c>
      <c r="E22" t="s">
        <v>47</v>
      </c>
      <c r="F22" t="s">
        <v>89</v>
      </c>
      <c r="G22" t="s">
        <v>49</v>
      </c>
      <c r="H22" t="s">
        <v>90</v>
      </c>
      <c r="I22" t="s">
        <v>91</v>
      </c>
      <c r="J22" t="s">
        <v>92</v>
      </c>
      <c r="K22" s="1">
        <v>46143</v>
      </c>
      <c r="M22" t="s">
        <v>53</v>
      </c>
      <c r="N22" s="2">
        <v>28.92</v>
      </c>
      <c r="O22" t="s">
        <v>54</v>
      </c>
      <c r="P22">
        <v>100</v>
      </c>
      <c r="Q22" s="1">
        <v>46143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28.92</v>
      </c>
      <c r="Z22" t="s">
        <v>93</v>
      </c>
    </row>
    <row r="23" spans="2:28" x14ac:dyDescent="0.3">
      <c r="B23">
        <v>16849453</v>
      </c>
      <c r="C23" t="s">
        <v>76</v>
      </c>
      <c r="D23" t="s">
        <v>77</v>
      </c>
      <c r="E23" t="s">
        <v>47</v>
      </c>
      <c r="F23" t="s">
        <v>89</v>
      </c>
      <c r="G23" t="s">
        <v>49</v>
      </c>
      <c r="H23" t="s">
        <v>90</v>
      </c>
      <c r="I23" t="s">
        <v>91</v>
      </c>
      <c r="J23" t="s">
        <v>92</v>
      </c>
      <c r="K23" s="1">
        <v>46143</v>
      </c>
      <c r="M23" t="s">
        <v>53</v>
      </c>
      <c r="N23" s="2">
        <v>28.92</v>
      </c>
      <c r="O23" t="s">
        <v>54</v>
      </c>
      <c r="P23">
        <v>100</v>
      </c>
      <c r="Q23" s="1">
        <v>46174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28.92</v>
      </c>
      <c r="Z23" t="s">
        <v>94</v>
      </c>
    </row>
    <row r="24" spans="2:28" x14ac:dyDescent="0.3">
      <c r="B24">
        <v>16849453</v>
      </c>
      <c r="C24" t="s">
        <v>76</v>
      </c>
      <c r="D24" t="s">
        <v>77</v>
      </c>
      <c r="E24" t="s">
        <v>47</v>
      </c>
      <c r="F24" t="s">
        <v>89</v>
      </c>
      <c r="G24" t="s">
        <v>49</v>
      </c>
      <c r="H24" t="s">
        <v>90</v>
      </c>
      <c r="I24" t="s">
        <v>91</v>
      </c>
      <c r="J24" t="s">
        <v>92</v>
      </c>
      <c r="K24" s="1">
        <v>46143</v>
      </c>
      <c r="M24" t="s">
        <v>53</v>
      </c>
      <c r="N24" s="2">
        <v>28.92</v>
      </c>
      <c r="O24" t="s">
        <v>54</v>
      </c>
      <c r="P24">
        <v>100</v>
      </c>
      <c r="Q24" s="1">
        <v>46204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28.92</v>
      </c>
      <c r="Z24" t="s">
        <v>94</v>
      </c>
    </row>
    <row r="25" spans="2:28" x14ac:dyDescent="0.3">
      <c r="B25">
        <v>16849453</v>
      </c>
      <c r="C25" t="s">
        <v>76</v>
      </c>
      <c r="D25" t="s">
        <v>77</v>
      </c>
      <c r="E25" t="s">
        <v>47</v>
      </c>
      <c r="F25" t="s">
        <v>89</v>
      </c>
      <c r="G25" t="s">
        <v>49</v>
      </c>
      <c r="H25" t="s">
        <v>90</v>
      </c>
      <c r="I25" t="s">
        <v>91</v>
      </c>
      <c r="J25" t="s">
        <v>92</v>
      </c>
      <c r="K25" s="1">
        <v>46143</v>
      </c>
      <c r="M25" t="s">
        <v>53</v>
      </c>
      <c r="N25" s="2">
        <v>28.92</v>
      </c>
      <c r="O25" t="s">
        <v>54</v>
      </c>
      <c r="P25">
        <v>100</v>
      </c>
      <c r="Q25" s="1">
        <v>46235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28.92</v>
      </c>
      <c r="Z25" t="s">
        <v>94</v>
      </c>
    </row>
    <row r="26" spans="2:28" x14ac:dyDescent="0.3">
      <c r="B26">
        <v>16849453</v>
      </c>
      <c r="C26" t="s">
        <v>76</v>
      </c>
      <c r="D26" t="s">
        <v>77</v>
      </c>
      <c r="E26" t="s">
        <v>47</v>
      </c>
      <c r="F26" t="s">
        <v>89</v>
      </c>
      <c r="G26" t="s">
        <v>49</v>
      </c>
      <c r="H26" t="s">
        <v>90</v>
      </c>
      <c r="I26" t="s">
        <v>91</v>
      </c>
      <c r="J26" t="s">
        <v>92</v>
      </c>
      <c r="K26" s="1">
        <v>46143</v>
      </c>
      <c r="M26" t="s">
        <v>53</v>
      </c>
      <c r="N26" s="2">
        <v>28.92</v>
      </c>
      <c r="O26" t="s">
        <v>54</v>
      </c>
      <c r="P26">
        <v>100</v>
      </c>
      <c r="Q26" s="1">
        <v>46266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28.92</v>
      </c>
      <c r="Z26" t="s">
        <v>94</v>
      </c>
    </row>
    <row r="27" spans="2:28" x14ac:dyDescent="0.3">
      <c r="B27">
        <v>16849453</v>
      </c>
      <c r="C27" t="s">
        <v>76</v>
      </c>
      <c r="D27" t="s">
        <v>77</v>
      </c>
      <c r="E27" t="s">
        <v>47</v>
      </c>
      <c r="F27" t="s">
        <v>89</v>
      </c>
      <c r="G27" t="s">
        <v>49</v>
      </c>
      <c r="H27" t="s">
        <v>90</v>
      </c>
      <c r="I27" t="s">
        <v>91</v>
      </c>
      <c r="J27" t="s">
        <v>92</v>
      </c>
      <c r="K27" s="1">
        <v>46143</v>
      </c>
      <c r="M27" t="s">
        <v>53</v>
      </c>
      <c r="N27" s="2">
        <v>28.92</v>
      </c>
      <c r="O27" t="s">
        <v>54</v>
      </c>
      <c r="P27">
        <v>100</v>
      </c>
      <c r="Q27" s="1">
        <v>46296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28.92</v>
      </c>
      <c r="Z27" t="s">
        <v>94</v>
      </c>
    </row>
    <row r="28" spans="2:28" x14ac:dyDescent="0.3">
      <c r="B28">
        <v>16849453</v>
      </c>
      <c r="C28" t="s">
        <v>76</v>
      </c>
      <c r="D28" t="s">
        <v>77</v>
      </c>
      <c r="E28" t="s">
        <v>47</v>
      </c>
      <c r="F28" t="s">
        <v>89</v>
      </c>
      <c r="G28" t="s">
        <v>49</v>
      </c>
      <c r="H28" t="s">
        <v>90</v>
      </c>
      <c r="I28" t="s">
        <v>91</v>
      </c>
      <c r="J28" t="s">
        <v>92</v>
      </c>
      <c r="K28" s="1">
        <v>46143</v>
      </c>
      <c r="M28" t="s">
        <v>53</v>
      </c>
      <c r="N28" s="2">
        <v>28.92</v>
      </c>
      <c r="O28" t="s">
        <v>54</v>
      </c>
      <c r="P28">
        <v>100</v>
      </c>
      <c r="Q28" s="1">
        <v>46327</v>
      </c>
      <c r="R28">
        <v>1</v>
      </c>
      <c r="S28">
        <v>0</v>
      </c>
      <c r="T28">
        <v>0</v>
      </c>
      <c r="U28">
        <v>0</v>
      </c>
      <c r="W28">
        <v>0</v>
      </c>
      <c r="X28">
        <v>0</v>
      </c>
      <c r="Y28">
        <v>28.92</v>
      </c>
      <c r="Z28" t="s">
        <v>94</v>
      </c>
    </row>
    <row r="29" spans="2:28" x14ac:dyDescent="0.3">
      <c r="B29">
        <v>16849453</v>
      </c>
      <c r="C29" t="s">
        <v>76</v>
      </c>
      <c r="D29" t="s">
        <v>77</v>
      </c>
      <c r="E29" t="s">
        <v>47</v>
      </c>
      <c r="F29" t="s">
        <v>89</v>
      </c>
      <c r="G29" t="s">
        <v>49</v>
      </c>
      <c r="H29" t="s">
        <v>90</v>
      </c>
      <c r="I29" t="s">
        <v>91</v>
      </c>
      <c r="J29" t="s">
        <v>92</v>
      </c>
      <c r="K29" s="1">
        <v>46143</v>
      </c>
      <c r="M29" t="s">
        <v>53</v>
      </c>
      <c r="N29" s="2">
        <v>28.92</v>
      </c>
      <c r="O29" t="s">
        <v>54</v>
      </c>
      <c r="P29">
        <v>100</v>
      </c>
      <c r="Q29" s="1">
        <v>46357</v>
      </c>
      <c r="R29">
        <v>1</v>
      </c>
      <c r="S29">
        <v>0</v>
      </c>
      <c r="T29">
        <v>0</v>
      </c>
      <c r="U29">
        <v>0</v>
      </c>
      <c r="W29">
        <v>0</v>
      </c>
      <c r="X29">
        <v>0</v>
      </c>
      <c r="Y29">
        <v>28.92</v>
      </c>
      <c r="Z29" t="s">
        <v>94</v>
      </c>
    </row>
    <row r="30" spans="2:28" x14ac:dyDescent="0.3">
      <c r="B30">
        <v>16849453</v>
      </c>
      <c r="C30" t="s">
        <v>76</v>
      </c>
      <c r="D30" t="s">
        <v>77</v>
      </c>
      <c r="E30" t="s">
        <v>47</v>
      </c>
      <c r="F30" t="s">
        <v>95</v>
      </c>
      <c r="G30" t="s">
        <v>49</v>
      </c>
      <c r="H30" t="s">
        <v>90</v>
      </c>
      <c r="I30" t="s">
        <v>96</v>
      </c>
      <c r="J30" t="s">
        <v>97</v>
      </c>
      <c r="K30" s="1">
        <v>46054</v>
      </c>
      <c r="M30" t="s">
        <v>53</v>
      </c>
      <c r="N30" s="2">
        <v>28.92</v>
      </c>
      <c r="O30" t="s">
        <v>54</v>
      </c>
      <c r="P30">
        <v>100</v>
      </c>
      <c r="Q30" s="1">
        <v>46143</v>
      </c>
      <c r="R30">
        <v>1</v>
      </c>
      <c r="S30">
        <v>0</v>
      </c>
      <c r="T30">
        <v>231.36</v>
      </c>
      <c r="U30">
        <v>0</v>
      </c>
      <c r="W30">
        <v>0</v>
      </c>
      <c r="X30">
        <v>0</v>
      </c>
      <c r="Y30">
        <v>0</v>
      </c>
    </row>
    <row r="31" spans="2:28" x14ac:dyDescent="0.3">
      <c r="B31">
        <v>16849453</v>
      </c>
      <c r="C31" t="s">
        <v>76</v>
      </c>
      <c r="D31" t="s">
        <v>77</v>
      </c>
      <c r="E31" t="s">
        <v>47</v>
      </c>
      <c r="F31" t="s">
        <v>98</v>
      </c>
      <c r="G31" t="s">
        <v>49</v>
      </c>
      <c r="H31" t="s">
        <v>79</v>
      </c>
      <c r="I31" t="s">
        <v>99</v>
      </c>
      <c r="J31" t="s">
        <v>100</v>
      </c>
      <c r="K31" s="1">
        <v>46082</v>
      </c>
      <c r="M31" t="s">
        <v>53</v>
      </c>
      <c r="N31" s="3">
        <v>0</v>
      </c>
      <c r="O31" t="s">
        <v>54</v>
      </c>
      <c r="P31">
        <v>100</v>
      </c>
      <c r="Q31" s="1">
        <v>46143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</row>
    <row r="32" spans="2:28" x14ac:dyDescent="0.3">
      <c r="B32">
        <v>16849453</v>
      </c>
      <c r="C32" t="s">
        <v>76</v>
      </c>
      <c r="D32" t="s">
        <v>77</v>
      </c>
      <c r="E32" t="s">
        <v>47</v>
      </c>
      <c r="F32" t="s">
        <v>101</v>
      </c>
      <c r="G32" t="s">
        <v>57</v>
      </c>
      <c r="H32" t="s">
        <v>79</v>
      </c>
      <c r="I32" t="s">
        <v>102</v>
      </c>
      <c r="J32" t="s">
        <v>103</v>
      </c>
      <c r="K32" s="1">
        <v>46054</v>
      </c>
      <c r="M32" t="s">
        <v>53</v>
      </c>
      <c r="N32" s="3">
        <v>0.21</v>
      </c>
      <c r="O32" t="s">
        <v>54</v>
      </c>
      <c r="P32">
        <v>100</v>
      </c>
      <c r="Q32" s="1">
        <v>46143</v>
      </c>
      <c r="R32">
        <v>1</v>
      </c>
      <c r="S32">
        <v>0</v>
      </c>
      <c r="T32">
        <v>223.92</v>
      </c>
      <c r="U32">
        <v>177.73</v>
      </c>
      <c r="V32" t="s">
        <v>82</v>
      </c>
      <c r="W32">
        <v>0</v>
      </c>
      <c r="X32">
        <v>0</v>
      </c>
      <c r="Y32">
        <v>0</v>
      </c>
    </row>
    <row r="33" spans="2:28" x14ac:dyDescent="0.3">
      <c r="B33">
        <v>19645587</v>
      </c>
      <c r="C33" t="s">
        <v>45</v>
      </c>
      <c r="D33" t="s">
        <v>77</v>
      </c>
      <c r="E33" t="s">
        <v>47</v>
      </c>
      <c r="F33" t="s">
        <v>104</v>
      </c>
      <c r="G33" t="s">
        <v>49</v>
      </c>
      <c r="H33" t="s">
        <v>90</v>
      </c>
      <c r="I33" t="s">
        <v>105</v>
      </c>
      <c r="J33" t="s">
        <v>106</v>
      </c>
      <c r="K33" s="1">
        <v>45658</v>
      </c>
      <c r="M33" t="s">
        <v>53</v>
      </c>
      <c r="N33" s="2">
        <v>28.92</v>
      </c>
      <c r="O33" t="s">
        <v>54</v>
      </c>
      <c r="P33">
        <v>100</v>
      </c>
      <c r="Q33" s="1">
        <v>46143</v>
      </c>
      <c r="R33">
        <v>1</v>
      </c>
      <c r="S33">
        <v>0</v>
      </c>
      <c r="T33">
        <v>0</v>
      </c>
      <c r="U33">
        <v>0</v>
      </c>
      <c r="W33">
        <v>0</v>
      </c>
      <c r="X33">
        <v>0</v>
      </c>
      <c r="Y33">
        <v>28.92</v>
      </c>
      <c r="AA33">
        <v>86.76</v>
      </c>
      <c r="AB33">
        <v>86.76</v>
      </c>
    </row>
    <row r="34" spans="2:28" x14ac:dyDescent="0.3">
      <c r="B34">
        <v>20724564</v>
      </c>
      <c r="C34" t="s">
        <v>107</v>
      </c>
      <c r="D34" t="s">
        <v>77</v>
      </c>
      <c r="E34" t="s">
        <v>47</v>
      </c>
      <c r="F34" t="s">
        <v>108</v>
      </c>
      <c r="G34" t="s">
        <v>57</v>
      </c>
      <c r="H34" t="s">
        <v>79</v>
      </c>
      <c r="I34" t="s">
        <v>109</v>
      </c>
      <c r="J34" t="s">
        <v>110</v>
      </c>
      <c r="K34" s="1">
        <v>45901</v>
      </c>
      <c r="M34" t="s">
        <v>53</v>
      </c>
      <c r="N34" s="3">
        <v>0.21</v>
      </c>
      <c r="O34" t="s">
        <v>54</v>
      </c>
      <c r="P34">
        <v>100</v>
      </c>
      <c r="Q34" s="1">
        <v>46143</v>
      </c>
      <c r="R34">
        <v>1</v>
      </c>
      <c r="S34">
        <v>0</v>
      </c>
      <c r="T34">
        <v>31</v>
      </c>
      <c r="U34">
        <v>147.65</v>
      </c>
      <c r="V34" t="s">
        <v>82</v>
      </c>
      <c r="W34">
        <v>0</v>
      </c>
      <c r="X34">
        <v>0</v>
      </c>
      <c r="Y34">
        <v>0</v>
      </c>
      <c r="AA34">
        <v>42.81</v>
      </c>
      <c r="AB34">
        <v>42.81</v>
      </c>
    </row>
    <row r="35" spans="2:28" x14ac:dyDescent="0.3">
      <c r="B35">
        <v>20724564</v>
      </c>
      <c r="C35" t="s">
        <v>107</v>
      </c>
      <c r="D35" t="s">
        <v>77</v>
      </c>
      <c r="E35" t="s">
        <v>47</v>
      </c>
      <c r="F35" t="s">
        <v>111</v>
      </c>
      <c r="G35" t="s">
        <v>49</v>
      </c>
      <c r="H35" t="s">
        <v>90</v>
      </c>
      <c r="I35" t="s">
        <v>112</v>
      </c>
      <c r="J35" t="s">
        <v>113</v>
      </c>
      <c r="K35" s="1">
        <v>46023</v>
      </c>
      <c r="M35" t="s">
        <v>53</v>
      </c>
      <c r="N35" s="2">
        <v>28.92</v>
      </c>
      <c r="O35" t="s">
        <v>54</v>
      </c>
      <c r="P35">
        <v>100</v>
      </c>
      <c r="Q35" s="1">
        <v>46143</v>
      </c>
      <c r="R35">
        <v>1</v>
      </c>
      <c r="S35">
        <v>0</v>
      </c>
      <c r="T35">
        <v>231.36</v>
      </c>
      <c r="U35">
        <v>0</v>
      </c>
      <c r="W35">
        <v>0</v>
      </c>
      <c r="X35">
        <v>0</v>
      </c>
      <c r="Y35">
        <v>0</v>
      </c>
    </row>
    <row r="36" spans="2:28" x14ac:dyDescent="0.3">
      <c r="B36">
        <v>20724564</v>
      </c>
      <c r="C36" t="s">
        <v>107</v>
      </c>
      <c r="D36" t="s">
        <v>77</v>
      </c>
      <c r="E36" t="s">
        <v>47</v>
      </c>
      <c r="F36" t="s">
        <v>114</v>
      </c>
      <c r="G36" t="s">
        <v>57</v>
      </c>
      <c r="H36" t="s">
        <v>79</v>
      </c>
      <c r="I36" t="s">
        <v>115</v>
      </c>
      <c r="J36" t="s">
        <v>116</v>
      </c>
      <c r="K36" s="1">
        <v>45901</v>
      </c>
      <c r="M36" t="s">
        <v>53</v>
      </c>
      <c r="N36" s="3">
        <v>0.21</v>
      </c>
      <c r="O36" t="s">
        <v>54</v>
      </c>
      <c r="P36">
        <v>100</v>
      </c>
      <c r="Q36" s="1">
        <v>46143</v>
      </c>
      <c r="R36">
        <v>1</v>
      </c>
      <c r="S36">
        <v>0</v>
      </c>
      <c r="T36">
        <v>34.31</v>
      </c>
      <c r="U36">
        <v>163.41</v>
      </c>
      <c r="V36" t="s">
        <v>82</v>
      </c>
      <c r="W36">
        <v>0</v>
      </c>
      <c r="X36">
        <v>0</v>
      </c>
      <c r="Y36">
        <v>0</v>
      </c>
    </row>
    <row r="37" spans="2:28" x14ac:dyDescent="0.3">
      <c r="B37">
        <v>20724564</v>
      </c>
      <c r="C37" t="s">
        <v>107</v>
      </c>
      <c r="D37" t="s">
        <v>77</v>
      </c>
      <c r="E37" t="s">
        <v>47</v>
      </c>
      <c r="F37" t="s">
        <v>117</v>
      </c>
      <c r="G37" t="s">
        <v>57</v>
      </c>
      <c r="H37" t="s">
        <v>79</v>
      </c>
      <c r="I37" t="s">
        <v>118</v>
      </c>
      <c r="J37" t="s">
        <v>119</v>
      </c>
      <c r="K37" s="1">
        <v>45931</v>
      </c>
      <c r="M37" t="s">
        <v>53</v>
      </c>
      <c r="N37" s="3">
        <v>0.21</v>
      </c>
      <c r="O37" t="s">
        <v>54</v>
      </c>
      <c r="P37">
        <v>100</v>
      </c>
      <c r="Q37" s="1">
        <v>46143</v>
      </c>
      <c r="R37">
        <v>1</v>
      </c>
      <c r="S37">
        <v>0</v>
      </c>
      <c r="T37">
        <v>62</v>
      </c>
      <c r="U37">
        <v>147.65</v>
      </c>
      <c r="V37" t="s">
        <v>82</v>
      </c>
      <c r="W37">
        <v>0</v>
      </c>
      <c r="X37">
        <v>0</v>
      </c>
      <c r="Y37">
        <v>0</v>
      </c>
    </row>
    <row r="38" spans="2:28" x14ac:dyDescent="0.3">
      <c r="B38">
        <v>20724564</v>
      </c>
      <c r="C38" t="s">
        <v>107</v>
      </c>
      <c r="D38" t="s">
        <v>77</v>
      </c>
      <c r="E38" t="s">
        <v>47</v>
      </c>
      <c r="F38" t="s">
        <v>120</v>
      </c>
      <c r="G38" t="s">
        <v>57</v>
      </c>
      <c r="H38" t="s">
        <v>79</v>
      </c>
      <c r="I38" t="s">
        <v>121</v>
      </c>
      <c r="J38" t="s">
        <v>122</v>
      </c>
      <c r="K38" s="1">
        <v>45839</v>
      </c>
      <c r="M38" t="s">
        <v>53</v>
      </c>
      <c r="N38" s="3">
        <v>0.21</v>
      </c>
      <c r="O38" t="s">
        <v>54</v>
      </c>
      <c r="P38">
        <v>100</v>
      </c>
      <c r="Q38" s="1">
        <v>46143</v>
      </c>
      <c r="R38">
        <v>1</v>
      </c>
      <c r="S38">
        <v>0</v>
      </c>
      <c r="T38">
        <v>0</v>
      </c>
      <c r="U38">
        <v>203.9</v>
      </c>
      <c r="V38" t="s">
        <v>82</v>
      </c>
      <c r="W38">
        <v>0</v>
      </c>
      <c r="X38">
        <v>0</v>
      </c>
      <c r="Y38">
        <v>42.81</v>
      </c>
    </row>
    <row r="39" spans="2:28" x14ac:dyDescent="0.3">
      <c r="B39">
        <v>20724564</v>
      </c>
      <c r="C39" t="s">
        <v>107</v>
      </c>
      <c r="D39" t="s">
        <v>77</v>
      </c>
      <c r="E39" t="s">
        <v>47</v>
      </c>
      <c r="F39" t="s">
        <v>123</v>
      </c>
      <c r="G39" t="s">
        <v>57</v>
      </c>
      <c r="H39" t="s">
        <v>79</v>
      </c>
      <c r="I39" t="s">
        <v>124</v>
      </c>
      <c r="J39" t="s">
        <v>125</v>
      </c>
      <c r="K39" s="1">
        <v>45931</v>
      </c>
      <c r="M39" t="s">
        <v>53</v>
      </c>
      <c r="N39" s="3">
        <v>0.21</v>
      </c>
      <c r="O39" t="s">
        <v>54</v>
      </c>
      <c r="P39">
        <v>100</v>
      </c>
      <c r="Q39" s="1">
        <v>46143</v>
      </c>
      <c r="R39">
        <v>1</v>
      </c>
      <c r="S39">
        <v>0</v>
      </c>
      <c r="T39">
        <v>62</v>
      </c>
      <c r="U39">
        <v>147.65</v>
      </c>
      <c r="V39" t="s">
        <v>82</v>
      </c>
      <c r="W39">
        <v>0</v>
      </c>
      <c r="X39">
        <v>0</v>
      </c>
      <c r="Y39">
        <v>0</v>
      </c>
    </row>
    <row r="40" spans="2:28" x14ac:dyDescent="0.3">
      <c r="B40">
        <v>20724564</v>
      </c>
      <c r="C40" t="s">
        <v>107</v>
      </c>
      <c r="D40" t="s">
        <v>77</v>
      </c>
      <c r="E40" t="s">
        <v>47</v>
      </c>
      <c r="F40" t="s">
        <v>126</v>
      </c>
      <c r="G40" t="s">
        <v>57</v>
      </c>
      <c r="H40" t="s">
        <v>79</v>
      </c>
      <c r="I40" t="s">
        <v>127</v>
      </c>
      <c r="J40" t="s">
        <v>128</v>
      </c>
      <c r="K40" s="1">
        <v>46023</v>
      </c>
      <c r="M40" t="s">
        <v>53</v>
      </c>
      <c r="N40" s="3">
        <v>0.21</v>
      </c>
      <c r="O40" t="s">
        <v>54</v>
      </c>
      <c r="P40">
        <v>100</v>
      </c>
      <c r="Q40" s="1">
        <v>46143</v>
      </c>
      <c r="R40">
        <v>1</v>
      </c>
      <c r="S40">
        <v>0</v>
      </c>
      <c r="T40">
        <v>174.4</v>
      </c>
      <c r="U40">
        <v>166.11</v>
      </c>
      <c r="V40" t="s">
        <v>82</v>
      </c>
      <c r="W40">
        <v>0</v>
      </c>
      <c r="X40">
        <v>0</v>
      </c>
      <c r="Y40">
        <v>0</v>
      </c>
    </row>
    <row r="41" spans="2:28" x14ac:dyDescent="0.3">
      <c r="B41">
        <v>20724564</v>
      </c>
      <c r="C41" t="s">
        <v>107</v>
      </c>
      <c r="D41" t="s">
        <v>77</v>
      </c>
      <c r="E41" t="s">
        <v>47</v>
      </c>
      <c r="F41" t="s">
        <v>129</v>
      </c>
      <c r="G41" t="s">
        <v>57</v>
      </c>
      <c r="H41" t="s">
        <v>79</v>
      </c>
      <c r="I41" t="s">
        <v>130</v>
      </c>
      <c r="J41" t="s">
        <v>131</v>
      </c>
      <c r="K41" s="1">
        <v>45901</v>
      </c>
      <c r="M41" t="s">
        <v>53</v>
      </c>
      <c r="N41" s="3">
        <v>0.21</v>
      </c>
      <c r="O41" t="s">
        <v>54</v>
      </c>
      <c r="P41">
        <v>100</v>
      </c>
      <c r="Q41" s="1">
        <v>46143</v>
      </c>
      <c r="R41">
        <v>1</v>
      </c>
      <c r="S41">
        <v>0</v>
      </c>
      <c r="T41">
        <v>34.31</v>
      </c>
      <c r="U41">
        <v>163.41</v>
      </c>
      <c r="V41" t="s">
        <v>82</v>
      </c>
      <c r="W41">
        <v>0</v>
      </c>
      <c r="X41">
        <v>0</v>
      </c>
      <c r="Y41">
        <v>0</v>
      </c>
    </row>
    <row r="42" spans="2:28" x14ac:dyDescent="0.3">
      <c r="B42">
        <v>20724564</v>
      </c>
      <c r="C42" t="s">
        <v>107</v>
      </c>
      <c r="D42" t="s">
        <v>77</v>
      </c>
      <c r="E42" t="s">
        <v>47</v>
      </c>
      <c r="F42" t="s">
        <v>132</v>
      </c>
      <c r="G42" t="s">
        <v>57</v>
      </c>
      <c r="H42" t="s">
        <v>79</v>
      </c>
      <c r="I42" t="s">
        <v>133</v>
      </c>
      <c r="J42" t="s">
        <v>134</v>
      </c>
      <c r="K42" s="1">
        <v>45931</v>
      </c>
      <c r="M42" t="s">
        <v>53</v>
      </c>
      <c r="N42" s="3">
        <v>0.21</v>
      </c>
      <c r="O42" t="s">
        <v>54</v>
      </c>
      <c r="P42">
        <v>100</v>
      </c>
      <c r="Q42" s="1">
        <v>46143</v>
      </c>
      <c r="R42">
        <v>1</v>
      </c>
      <c r="S42">
        <v>0</v>
      </c>
      <c r="T42">
        <v>68.62</v>
      </c>
      <c r="U42">
        <v>163.41</v>
      </c>
      <c r="V42" t="s">
        <v>82</v>
      </c>
      <c r="W42">
        <v>0</v>
      </c>
      <c r="X42">
        <v>0</v>
      </c>
      <c r="Y42">
        <v>0</v>
      </c>
    </row>
    <row r="43" spans="2:28" x14ac:dyDescent="0.3">
      <c r="B43">
        <v>20724564</v>
      </c>
      <c r="C43" t="s">
        <v>107</v>
      </c>
      <c r="D43" t="s">
        <v>77</v>
      </c>
      <c r="E43" t="s">
        <v>47</v>
      </c>
      <c r="F43" t="s">
        <v>135</v>
      </c>
      <c r="G43" t="s">
        <v>57</v>
      </c>
      <c r="H43" t="s">
        <v>79</v>
      </c>
      <c r="I43" t="s">
        <v>136</v>
      </c>
      <c r="J43" t="s">
        <v>137</v>
      </c>
      <c r="K43" s="1">
        <v>45931</v>
      </c>
      <c r="M43" t="s">
        <v>53</v>
      </c>
      <c r="N43" s="3">
        <v>0.21</v>
      </c>
      <c r="O43" t="s">
        <v>54</v>
      </c>
      <c r="P43">
        <v>100</v>
      </c>
      <c r="Q43" s="1">
        <v>46143</v>
      </c>
      <c r="R43">
        <v>1</v>
      </c>
      <c r="S43">
        <v>0</v>
      </c>
      <c r="T43">
        <v>66.34</v>
      </c>
      <c r="U43">
        <v>157.97999999999999</v>
      </c>
      <c r="V43" t="s">
        <v>82</v>
      </c>
      <c r="W43">
        <v>0</v>
      </c>
      <c r="X43">
        <v>0</v>
      </c>
      <c r="Y43">
        <v>0</v>
      </c>
    </row>
    <row r="44" spans="2:28" x14ac:dyDescent="0.3">
      <c r="B44">
        <v>20724564</v>
      </c>
      <c r="C44" t="s">
        <v>107</v>
      </c>
      <c r="D44" t="s">
        <v>77</v>
      </c>
      <c r="E44" t="s">
        <v>47</v>
      </c>
      <c r="F44" t="s">
        <v>138</v>
      </c>
      <c r="G44" t="s">
        <v>57</v>
      </c>
      <c r="H44" t="s">
        <v>79</v>
      </c>
      <c r="I44" t="s">
        <v>139</v>
      </c>
      <c r="J44" t="s">
        <v>140</v>
      </c>
      <c r="K44" s="1">
        <v>45901</v>
      </c>
      <c r="M44" t="s">
        <v>53</v>
      </c>
      <c r="N44" s="3">
        <v>0.21</v>
      </c>
      <c r="O44" t="s">
        <v>54</v>
      </c>
      <c r="P44">
        <v>100</v>
      </c>
      <c r="Q44" s="1">
        <v>46143</v>
      </c>
      <c r="R44">
        <v>1</v>
      </c>
      <c r="S44">
        <v>0</v>
      </c>
      <c r="T44">
        <v>31</v>
      </c>
      <c r="U44">
        <v>147.65</v>
      </c>
      <c r="V44" t="s">
        <v>82</v>
      </c>
      <c r="W44">
        <v>0</v>
      </c>
      <c r="X44">
        <v>0</v>
      </c>
      <c r="Y44">
        <v>0</v>
      </c>
    </row>
    <row r="45" spans="2:28" x14ac:dyDescent="0.3">
      <c r="B45">
        <v>20724564</v>
      </c>
      <c r="C45" t="s">
        <v>107</v>
      </c>
      <c r="D45" t="s">
        <v>77</v>
      </c>
      <c r="E45" t="s">
        <v>47</v>
      </c>
      <c r="F45" t="s">
        <v>141</v>
      </c>
      <c r="G45" t="s">
        <v>57</v>
      </c>
      <c r="H45" t="s">
        <v>79</v>
      </c>
      <c r="I45" t="s">
        <v>142</v>
      </c>
      <c r="J45" t="s">
        <v>143</v>
      </c>
      <c r="K45" s="1">
        <v>45992</v>
      </c>
      <c r="M45" t="s">
        <v>53</v>
      </c>
      <c r="N45" s="3">
        <v>0.21</v>
      </c>
      <c r="O45" t="s">
        <v>54</v>
      </c>
      <c r="P45">
        <v>100</v>
      </c>
      <c r="Q45" s="1">
        <v>46143</v>
      </c>
      <c r="R45">
        <v>1</v>
      </c>
      <c r="S45">
        <v>0</v>
      </c>
      <c r="T45">
        <v>137.24</v>
      </c>
      <c r="U45">
        <v>163.41</v>
      </c>
      <c r="V45" t="s">
        <v>82</v>
      </c>
      <c r="W45">
        <v>0</v>
      </c>
      <c r="X45">
        <v>0</v>
      </c>
      <c r="Y45">
        <v>0</v>
      </c>
    </row>
    <row r="46" spans="2:28" x14ac:dyDescent="0.3">
      <c r="B46">
        <v>20724564</v>
      </c>
      <c r="C46" t="s">
        <v>107</v>
      </c>
      <c r="D46" t="s">
        <v>77</v>
      </c>
      <c r="E46" t="s">
        <v>47</v>
      </c>
      <c r="F46" t="s">
        <v>144</v>
      </c>
      <c r="G46" t="s">
        <v>57</v>
      </c>
      <c r="H46" t="s">
        <v>79</v>
      </c>
      <c r="I46" t="s">
        <v>145</v>
      </c>
      <c r="J46" t="s">
        <v>146</v>
      </c>
      <c r="K46" s="1">
        <v>45962</v>
      </c>
      <c r="M46" t="s">
        <v>53</v>
      </c>
      <c r="N46" s="3">
        <v>0.21</v>
      </c>
      <c r="O46" t="s">
        <v>54</v>
      </c>
      <c r="P46">
        <v>100</v>
      </c>
      <c r="Q46" s="1">
        <v>46143</v>
      </c>
      <c r="R46">
        <v>1</v>
      </c>
      <c r="S46">
        <v>0</v>
      </c>
      <c r="T46">
        <v>102.93</v>
      </c>
      <c r="U46">
        <v>163.41</v>
      </c>
      <c r="V46" t="s">
        <v>82</v>
      </c>
      <c r="W46">
        <v>0</v>
      </c>
      <c r="X46">
        <v>0</v>
      </c>
      <c r="Y46">
        <v>0</v>
      </c>
    </row>
    <row r="47" spans="2:28" x14ac:dyDescent="0.3">
      <c r="B47">
        <v>20724564</v>
      </c>
      <c r="C47" t="s">
        <v>107</v>
      </c>
      <c r="D47" t="s">
        <v>77</v>
      </c>
      <c r="E47" t="s">
        <v>47</v>
      </c>
      <c r="F47" t="s">
        <v>147</v>
      </c>
      <c r="G47" t="s">
        <v>49</v>
      </c>
      <c r="H47" t="s">
        <v>90</v>
      </c>
      <c r="I47" t="s">
        <v>148</v>
      </c>
      <c r="J47" t="s">
        <v>149</v>
      </c>
      <c r="K47" s="1">
        <v>46023</v>
      </c>
      <c r="M47" t="s">
        <v>53</v>
      </c>
      <c r="N47" s="2">
        <v>28.92</v>
      </c>
      <c r="O47" t="s">
        <v>54</v>
      </c>
      <c r="P47">
        <v>100</v>
      </c>
      <c r="Q47" s="1">
        <v>46143</v>
      </c>
      <c r="R47">
        <v>1</v>
      </c>
      <c r="S47">
        <v>0</v>
      </c>
      <c r="T47">
        <v>231.36</v>
      </c>
      <c r="U47">
        <v>0</v>
      </c>
      <c r="W47">
        <v>0</v>
      </c>
      <c r="X47">
        <v>0</v>
      </c>
      <c r="Y47">
        <v>0</v>
      </c>
    </row>
    <row r="48" spans="2:28" x14ac:dyDescent="0.3">
      <c r="B48">
        <v>20724564</v>
      </c>
      <c r="C48" t="s">
        <v>107</v>
      </c>
      <c r="D48" t="s">
        <v>77</v>
      </c>
      <c r="E48" t="s">
        <v>47</v>
      </c>
      <c r="F48" t="s">
        <v>150</v>
      </c>
      <c r="G48" t="s">
        <v>49</v>
      </c>
      <c r="H48" t="s">
        <v>90</v>
      </c>
      <c r="I48" t="s">
        <v>151</v>
      </c>
      <c r="J48" t="s">
        <v>152</v>
      </c>
      <c r="K48" s="1">
        <v>46023</v>
      </c>
      <c r="M48" t="s">
        <v>53</v>
      </c>
      <c r="N48" s="2">
        <v>52.17</v>
      </c>
      <c r="O48" t="s">
        <v>54</v>
      </c>
      <c r="P48">
        <v>100</v>
      </c>
      <c r="Q48" s="1">
        <v>46143</v>
      </c>
      <c r="R48">
        <v>1</v>
      </c>
      <c r="S48">
        <v>0</v>
      </c>
      <c r="T48">
        <v>417.36</v>
      </c>
      <c r="U48">
        <v>0</v>
      </c>
      <c r="W48">
        <v>0</v>
      </c>
      <c r="X48">
        <v>0</v>
      </c>
      <c r="Y48">
        <v>0</v>
      </c>
    </row>
    <row r="49" spans="2:28" x14ac:dyDescent="0.3">
      <c r="B49">
        <v>20724564</v>
      </c>
      <c r="C49" t="s">
        <v>107</v>
      </c>
      <c r="D49" t="s">
        <v>77</v>
      </c>
      <c r="E49" t="s">
        <v>47</v>
      </c>
      <c r="F49" t="s">
        <v>153</v>
      </c>
      <c r="G49" t="s">
        <v>49</v>
      </c>
      <c r="H49" t="s">
        <v>90</v>
      </c>
      <c r="I49" t="s">
        <v>154</v>
      </c>
      <c r="J49" t="s">
        <v>155</v>
      </c>
      <c r="K49" s="1">
        <v>46023</v>
      </c>
      <c r="O49" t="s">
        <v>54</v>
      </c>
      <c r="P49">
        <v>100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 t="s">
        <v>61</v>
      </c>
    </row>
    <row r="50" spans="2:28" x14ac:dyDescent="0.3">
      <c r="B50">
        <v>20724564</v>
      </c>
      <c r="C50" t="s">
        <v>107</v>
      </c>
      <c r="D50" t="s">
        <v>77</v>
      </c>
      <c r="E50" t="s">
        <v>47</v>
      </c>
      <c r="F50" t="s">
        <v>156</v>
      </c>
      <c r="G50" t="s">
        <v>57</v>
      </c>
      <c r="H50" t="s">
        <v>79</v>
      </c>
      <c r="I50" t="s">
        <v>157</v>
      </c>
      <c r="J50" t="s">
        <v>158</v>
      </c>
      <c r="K50" s="1">
        <v>46023</v>
      </c>
      <c r="M50" t="s">
        <v>53</v>
      </c>
      <c r="N50" s="3">
        <v>0.21</v>
      </c>
      <c r="O50" t="s">
        <v>54</v>
      </c>
      <c r="P50">
        <v>100</v>
      </c>
      <c r="Q50" s="1">
        <v>46143</v>
      </c>
      <c r="R50">
        <v>1</v>
      </c>
      <c r="S50">
        <v>0</v>
      </c>
      <c r="T50">
        <v>232.4</v>
      </c>
      <c r="U50">
        <v>221.34</v>
      </c>
      <c r="V50" t="s">
        <v>82</v>
      </c>
      <c r="W50">
        <v>0</v>
      </c>
      <c r="X50">
        <v>0</v>
      </c>
      <c r="Y50">
        <v>0</v>
      </c>
    </row>
    <row r="51" spans="2:28" x14ac:dyDescent="0.3">
      <c r="B51">
        <v>20724564</v>
      </c>
      <c r="C51" t="s">
        <v>107</v>
      </c>
      <c r="D51" t="s">
        <v>77</v>
      </c>
      <c r="E51" t="s">
        <v>47</v>
      </c>
      <c r="F51" t="s">
        <v>159</v>
      </c>
      <c r="G51" t="s">
        <v>49</v>
      </c>
      <c r="H51" t="s">
        <v>90</v>
      </c>
      <c r="I51" t="s">
        <v>160</v>
      </c>
      <c r="J51" t="s">
        <v>161</v>
      </c>
      <c r="K51" s="1">
        <v>46023</v>
      </c>
      <c r="M51" t="s">
        <v>53</v>
      </c>
      <c r="N51" s="2">
        <v>28.92</v>
      </c>
      <c r="O51" t="s">
        <v>54</v>
      </c>
      <c r="P51">
        <v>100</v>
      </c>
      <c r="Q51" s="1">
        <v>46143</v>
      </c>
      <c r="R51">
        <v>1</v>
      </c>
      <c r="S51">
        <v>0</v>
      </c>
      <c r="T51">
        <v>231.36</v>
      </c>
      <c r="U51">
        <v>0</v>
      </c>
      <c r="W51">
        <v>0</v>
      </c>
      <c r="X51">
        <v>0</v>
      </c>
      <c r="Y51">
        <v>0</v>
      </c>
    </row>
    <row r="52" spans="2:28" x14ac:dyDescent="0.3">
      <c r="B52">
        <v>20724564</v>
      </c>
      <c r="C52" t="s">
        <v>107</v>
      </c>
      <c r="D52" t="s">
        <v>77</v>
      </c>
      <c r="E52" t="s">
        <v>47</v>
      </c>
      <c r="F52" t="s">
        <v>162</v>
      </c>
      <c r="G52" t="s">
        <v>57</v>
      </c>
      <c r="H52" t="s">
        <v>79</v>
      </c>
      <c r="I52" t="s">
        <v>163</v>
      </c>
      <c r="J52" t="s">
        <v>164</v>
      </c>
      <c r="K52" s="1">
        <v>46023</v>
      </c>
      <c r="M52" t="s">
        <v>53</v>
      </c>
      <c r="N52" s="3">
        <v>0.21</v>
      </c>
      <c r="O52" t="s">
        <v>54</v>
      </c>
      <c r="P52">
        <v>100</v>
      </c>
      <c r="Q52" s="1">
        <v>46143</v>
      </c>
      <c r="R52">
        <v>1</v>
      </c>
      <c r="S52">
        <v>0</v>
      </c>
      <c r="T52">
        <v>235.8</v>
      </c>
      <c r="U52">
        <v>224.58</v>
      </c>
      <c r="V52" t="s">
        <v>82</v>
      </c>
      <c r="W52">
        <v>0</v>
      </c>
      <c r="X52">
        <v>0</v>
      </c>
      <c r="Y52">
        <v>0</v>
      </c>
    </row>
    <row r="53" spans="2:28" x14ac:dyDescent="0.3">
      <c r="B53">
        <v>20724564</v>
      </c>
      <c r="C53" t="s">
        <v>107</v>
      </c>
      <c r="D53" t="s">
        <v>77</v>
      </c>
      <c r="E53" t="s">
        <v>47</v>
      </c>
      <c r="F53" t="s">
        <v>165</v>
      </c>
      <c r="G53" t="s">
        <v>57</v>
      </c>
      <c r="H53" t="s">
        <v>79</v>
      </c>
      <c r="I53" t="s">
        <v>166</v>
      </c>
      <c r="J53" t="s">
        <v>167</v>
      </c>
      <c r="K53" s="1">
        <v>45931</v>
      </c>
      <c r="M53" t="s">
        <v>53</v>
      </c>
      <c r="N53" s="3">
        <v>0.21</v>
      </c>
      <c r="O53" t="s">
        <v>54</v>
      </c>
      <c r="P53">
        <v>100</v>
      </c>
      <c r="Q53" s="1">
        <v>46143</v>
      </c>
      <c r="R53">
        <v>1</v>
      </c>
      <c r="S53">
        <v>0</v>
      </c>
      <c r="T53">
        <v>74.3</v>
      </c>
      <c r="U53">
        <v>176.94</v>
      </c>
      <c r="V53" t="s">
        <v>82</v>
      </c>
      <c r="W53">
        <v>0</v>
      </c>
      <c r="X53">
        <v>0</v>
      </c>
      <c r="Y53">
        <v>0</v>
      </c>
    </row>
    <row r="54" spans="2:28" x14ac:dyDescent="0.3">
      <c r="B54">
        <v>20724564</v>
      </c>
      <c r="C54" t="s">
        <v>107</v>
      </c>
      <c r="D54" t="s">
        <v>77</v>
      </c>
      <c r="E54" t="s">
        <v>47</v>
      </c>
      <c r="F54" t="s">
        <v>168</v>
      </c>
      <c r="G54" t="s">
        <v>49</v>
      </c>
      <c r="H54" t="s">
        <v>90</v>
      </c>
      <c r="I54" t="s">
        <v>169</v>
      </c>
      <c r="J54" t="s">
        <v>170</v>
      </c>
      <c r="K54" s="1">
        <v>46023</v>
      </c>
      <c r="M54" t="s">
        <v>53</v>
      </c>
      <c r="N54" s="2">
        <v>52.17</v>
      </c>
      <c r="O54" t="s">
        <v>54</v>
      </c>
      <c r="P54">
        <v>100</v>
      </c>
      <c r="Q54" s="1">
        <v>46143</v>
      </c>
      <c r="R54">
        <v>1</v>
      </c>
      <c r="S54">
        <v>0</v>
      </c>
      <c r="T54">
        <v>417.36</v>
      </c>
      <c r="U54">
        <v>0</v>
      </c>
      <c r="W54">
        <v>0</v>
      </c>
      <c r="X54">
        <v>0</v>
      </c>
      <c r="Y54">
        <v>0</v>
      </c>
    </row>
    <row r="55" spans="2:28" x14ac:dyDescent="0.3">
      <c r="B55">
        <v>20724564</v>
      </c>
      <c r="C55" t="s">
        <v>107</v>
      </c>
      <c r="D55" t="s">
        <v>77</v>
      </c>
      <c r="E55" t="s">
        <v>47</v>
      </c>
      <c r="F55" t="s">
        <v>171</v>
      </c>
      <c r="G55" t="s">
        <v>57</v>
      </c>
      <c r="H55" t="s">
        <v>79</v>
      </c>
      <c r="I55" t="s">
        <v>172</v>
      </c>
      <c r="J55" t="s">
        <v>173</v>
      </c>
      <c r="K55" s="1">
        <v>46023</v>
      </c>
      <c r="M55" t="s">
        <v>53</v>
      </c>
      <c r="N55" s="3">
        <v>0.21</v>
      </c>
      <c r="O55" t="s">
        <v>54</v>
      </c>
      <c r="P55">
        <v>100</v>
      </c>
      <c r="Q55" s="1">
        <v>46143</v>
      </c>
      <c r="R55">
        <v>1</v>
      </c>
      <c r="S55">
        <v>0</v>
      </c>
      <c r="T55">
        <v>183.55</v>
      </c>
      <c r="U55">
        <v>174.83</v>
      </c>
      <c r="V55" t="s">
        <v>82</v>
      </c>
      <c r="W55">
        <v>0</v>
      </c>
      <c r="X55">
        <v>0</v>
      </c>
      <c r="Y55">
        <v>0</v>
      </c>
    </row>
    <row r="56" spans="2:28" x14ac:dyDescent="0.3">
      <c r="B56">
        <v>17094718</v>
      </c>
      <c r="C56" t="s">
        <v>174</v>
      </c>
      <c r="D56" t="s">
        <v>77</v>
      </c>
      <c r="E56" t="s">
        <v>47</v>
      </c>
      <c r="F56" t="s">
        <v>175</v>
      </c>
      <c r="G56" t="s">
        <v>49</v>
      </c>
      <c r="H56" t="s">
        <v>90</v>
      </c>
      <c r="I56" t="s">
        <v>176</v>
      </c>
      <c r="J56" t="s">
        <v>177</v>
      </c>
      <c r="K56" s="1">
        <v>45658</v>
      </c>
      <c r="M56" t="s">
        <v>53</v>
      </c>
      <c r="N56" s="2">
        <v>28.92</v>
      </c>
      <c r="O56" t="s">
        <v>54</v>
      </c>
      <c r="P56">
        <v>100</v>
      </c>
      <c r="Q56" s="1">
        <v>46143</v>
      </c>
      <c r="R56">
        <v>1</v>
      </c>
      <c r="S56">
        <v>0</v>
      </c>
      <c r="T56">
        <v>0</v>
      </c>
      <c r="U56">
        <v>0</v>
      </c>
      <c r="W56">
        <v>0</v>
      </c>
      <c r="X56">
        <v>0</v>
      </c>
      <c r="Y56">
        <v>28.92</v>
      </c>
      <c r="AA56">
        <v>289.2</v>
      </c>
      <c r="AB56">
        <v>289.2</v>
      </c>
    </row>
    <row r="57" spans="2:28" x14ac:dyDescent="0.3">
      <c r="B57">
        <v>19491313</v>
      </c>
      <c r="C57" t="s">
        <v>178</v>
      </c>
      <c r="D57" t="s">
        <v>179</v>
      </c>
      <c r="E57" t="s">
        <v>47</v>
      </c>
      <c r="F57" t="s">
        <v>180</v>
      </c>
      <c r="G57" t="s">
        <v>49</v>
      </c>
      <c r="H57" t="s">
        <v>181</v>
      </c>
      <c r="I57" t="s">
        <v>182</v>
      </c>
      <c r="J57" t="s">
        <v>183</v>
      </c>
      <c r="K57" s="1">
        <v>46054</v>
      </c>
      <c r="M57" t="s">
        <v>53</v>
      </c>
      <c r="N57" s="2">
        <v>28.92</v>
      </c>
      <c r="O57" t="s">
        <v>54</v>
      </c>
      <c r="P57">
        <v>100</v>
      </c>
      <c r="Q57" s="1">
        <v>46143</v>
      </c>
      <c r="R57">
        <v>1</v>
      </c>
      <c r="S57">
        <v>0</v>
      </c>
      <c r="T57">
        <v>231.36</v>
      </c>
      <c r="U57">
        <v>0</v>
      </c>
      <c r="W57">
        <v>0</v>
      </c>
      <c r="X57">
        <v>0</v>
      </c>
      <c r="Y57">
        <v>0</v>
      </c>
      <c r="AA57">
        <v>0</v>
      </c>
      <c r="AB57">
        <v>0</v>
      </c>
    </row>
    <row r="58" spans="2:28" x14ac:dyDescent="0.3">
      <c r="B58">
        <v>19491313</v>
      </c>
      <c r="C58" t="s">
        <v>178</v>
      </c>
      <c r="D58" t="s">
        <v>179</v>
      </c>
      <c r="E58" t="s">
        <v>47</v>
      </c>
      <c r="F58" t="s">
        <v>184</v>
      </c>
      <c r="G58" t="s">
        <v>49</v>
      </c>
      <c r="H58" t="s">
        <v>181</v>
      </c>
      <c r="I58" t="s">
        <v>185</v>
      </c>
      <c r="J58" t="s">
        <v>186</v>
      </c>
      <c r="K58" s="1">
        <v>46054</v>
      </c>
      <c r="M58" t="s">
        <v>53</v>
      </c>
      <c r="N58" s="2">
        <v>57.84</v>
      </c>
      <c r="O58" t="s">
        <v>54</v>
      </c>
      <c r="P58">
        <v>100</v>
      </c>
      <c r="Q58" s="1">
        <v>46143</v>
      </c>
      <c r="R58">
        <v>1</v>
      </c>
      <c r="S58">
        <v>0</v>
      </c>
      <c r="T58">
        <v>462.72</v>
      </c>
      <c r="U58">
        <v>0</v>
      </c>
      <c r="W58">
        <v>0</v>
      </c>
      <c r="X58">
        <v>0</v>
      </c>
      <c r="Y58">
        <v>0</v>
      </c>
    </row>
    <row r="59" spans="2:28" x14ac:dyDescent="0.3">
      <c r="B59">
        <v>21564088</v>
      </c>
      <c r="C59" t="s">
        <v>187</v>
      </c>
      <c r="D59" t="s">
        <v>179</v>
      </c>
      <c r="E59" t="s">
        <v>47</v>
      </c>
      <c r="F59" t="s">
        <v>188</v>
      </c>
      <c r="G59" t="s">
        <v>57</v>
      </c>
      <c r="H59" t="s">
        <v>181</v>
      </c>
      <c r="I59" t="s">
        <v>189</v>
      </c>
      <c r="J59" t="s">
        <v>190</v>
      </c>
      <c r="K59" s="1">
        <v>45992</v>
      </c>
      <c r="M59" t="s">
        <v>53</v>
      </c>
      <c r="N59" s="3">
        <v>0.23</v>
      </c>
      <c r="O59" t="s">
        <v>54</v>
      </c>
      <c r="P59">
        <v>100</v>
      </c>
      <c r="Q59" s="1">
        <v>46143</v>
      </c>
      <c r="R59">
        <v>1</v>
      </c>
      <c r="S59">
        <v>0</v>
      </c>
      <c r="T59">
        <v>135.84</v>
      </c>
      <c r="U59">
        <v>147.66999999999999</v>
      </c>
      <c r="V59" t="s">
        <v>82</v>
      </c>
      <c r="W59">
        <v>0</v>
      </c>
      <c r="X59">
        <v>0</v>
      </c>
      <c r="Y59">
        <v>0</v>
      </c>
      <c r="AA59">
        <v>0</v>
      </c>
      <c r="AB59">
        <v>0</v>
      </c>
    </row>
    <row r="60" spans="2:28" x14ac:dyDescent="0.3">
      <c r="B60">
        <v>21564088</v>
      </c>
      <c r="C60" t="s">
        <v>187</v>
      </c>
      <c r="D60" t="s">
        <v>179</v>
      </c>
      <c r="E60" t="s">
        <v>47</v>
      </c>
      <c r="F60" t="s">
        <v>191</v>
      </c>
      <c r="G60" t="s">
        <v>57</v>
      </c>
      <c r="H60" t="s">
        <v>181</v>
      </c>
      <c r="I60" t="s">
        <v>192</v>
      </c>
      <c r="J60" t="s">
        <v>193</v>
      </c>
      <c r="K60" s="1">
        <v>45992</v>
      </c>
      <c r="M60" t="s">
        <v>53</v>
      </c>
      <c r="N60" s="3">
        <v>0.23</v>
      </c>
      <c r="O60" t="s">
        <v>54</v>
      </c>
      <c r="P60">
        <v>100</v>
      </c>
      <c r="Q60" s="1">
        <v>46143</v>
      </c>
      <c r="R60">
        <v>1</v>
      </c>
      <c r="S60">
        <v>0</v>
      </c>
      <c r="T60">
        <v>149.04</v>
      </c>
      <c r="U60">
        <v>162.01</v>
      </c>
      <c r="V60" t="s">
        <v>82</v>
      </c>
      <c r="W60">
        <v>0</v>
      </c>
      <c r="X60">
        <v>0</v>
      </c>
      <c r="Y60">
        <v>0</v>
      </c>
    </row>
    <row r="61" spans="2:28" x14ac:dyDescent="0.3">
      <c r="B61">
        <v>21435997</v>
      </c>
      <c r="C61" t="s">
        <v>194</v>
      </c>
      <c r="D61" t="s">
        <v>179</v>
      </c>
      <c r="E61" t="s">
        <v>47</v>
      </c>
      <c r="F61" t="s">
        <v>195</v>
      </c>
      <c r="G61" t="s">
        <v>49</v>
      </c>
      <c r="H61" t="s">
        <v>181</v>
      </c>
      <c r="I61" t="s">
        <v>196</v>
      </c>
      <c r="J61" t="s">
        <v>197</v>
      </c>
      <c r="K61" s="1">
        <v>46054</v>
      </c>
      <c r="M61" t="s">
        <v>53</v>
      </c>
      <c r="N61" s="2">
        <v>28.92</v>
      </c>
      <c r="O61" t="s">
        <v>54</v>
      </c>
      <c r="P61">
        <v>100</v>
      </c>
      <c r="Q61" s="1">
        <v>46143</v>
      </c>
      <c r="R61">
        <v>1</v>
      </c>
      <c r="S61">
        <v>0</v>
      </c>
      <c r="T61">
        <v>231.36</v>
      </c>
      <c r="U61">
        <v>0</v>
      </c>
      <c r="W61">
        <v>0</v>
      </c>
      <c r="X61">
        <v>0</v>
      </c>
      <c r="Y61">
        <v>0</v>
      </c>
      <c r="AA61">
        <v>0</v>
      </c>
      <c r="AB61">
        <v>0</v>
      </c>
    </row>
    <row r="62" spans="2:28" x14ac:dyDescent="0.3">
      <c r="B62">
        <v>17094718</v>
      </c>
      <c r="C62" t="s">
        <v>174</v>
      </c>
      <c r="D62" t="s">
        <v>198</v>
      </c>
      <c r="E62" t="s">
        <v>47</v>
      </c>
      <c r="F62" t="s">
        <v>199</v>
      </c>
      <c r="G62" t="s">
        <v>49</v>
      </c>
      <c r="H62" t="s">
        <v>200</v>
      </c>
      <c r="I62" t="s">
        <v>201</v>
      </c>
      <c r="J62" t="s">
        <v>202</v>
      </c>
      <c r="K62" s="1">
        <v>46143</v>
      </c>
      <c r="M62" t="s">
        <v>53</v>
      </c>
      <c r="N62" s="2">
        <v>28.92</v>
      </c>
      <c r="O62" t="s">
        <v>54</v>
      </c>
      <c r="P62">
        <v>100</v>
      </c>
      <c r="Q62" s="1">
        <v>46143</v>
      </c>
      <c r="R62">
        <v>1</v>
      </c>
      <c r="S62">
        <v>0</v>
      </c>
      <c r="T62">
        <v>0</v>
      </c>
      <c r="U62">
        <v>0</v>
      </c>
      <c r="W62">
        <v>0</v>
      </c>
      <c r="X62">
        <v>0</v>
      </c>
      <c r="Y62">
        <v>28.92</v>
      </c>
      <c r="Z62" t="s">
        <v>93</v>
      </c>
      <c r="AA62">
        <v>289.2</v>
      </c>
      <c r="AB62">
        <v>289.2</v>
      </c>
    </row>
    <row r="63" spans="2:28" x14ac:dyDescent="0.3">
      <c r="B63">
        <v>17094718</v>
      </c>
      <c r="C63" t="s">
        <v>174</v>
      </c>
      <c r="D63" t="s">
        <v>198</v>
      </c>
      <c r="E63" t="s">
        <v>47</v>
      </c>
      <c r="F63" t="s">
        <v>199</v>
      </c>
      <c r="G63" t="s">
        <v>49</v>
      </c>
      <c r="H63" t="s">
        <v>200</v>
      </c>
      <c r="I63" t="s">
        <v>201</v>
      </c>
      <c r="J63" t="s">
        <v>202</v>
      </c>
      <c r="K63" s="1">
        <v>46143</v>
      </c>
      <c r="M63" t="s">
        <v>53</v>
      </c>
      <c r="N63" s="2">
        <v>28.92</v>
      </c>
      <c r="O63" t="s">
        <v>54</v>
      </c>
      <c r="P63">
        <v>100</v>
      </c>
      <c r="Q63" s="1">
        <v>46174</v>
      </c>
      <c r="R63">
        <v>1</v>
      </c>
      <c r="S63">
        <v>0</v>
      </c>
      <c r="T63">
        <v>0</v>
      </c>
      <c r="U63">
        <v>0</v>
      </c>
      <c r="W63">
        <v>0</v>
      </c>
      <c r="X63">
        <v>0</v>
      </c>
      <c r="Y63">
        <v>28.92</v>
      </c>
      <c r="Z63" t="s">
        <v>94</v>
      </c>
    </row>
    <row r="64" spans="2:28" x14ac:dyDescent="0.3">
      <c r="B64">
        <v>17094718</v>
      </c>
      <c r="C64" t="s">
        <v>174</v>
      </c>
      <c r="D64" t="s">
        <v>198</v>
      </c>
      <c r="E64" t="s">
        <v>47</v>
      </c>
      <c r="F64" t="s">
        <v>199</v>
      </c>
      <c r="G64" t="s">
        <v>49</v>
      </c>
      <c r="H64" t="s">
        <v>200</v>
      </c>
      <c r="I64" t="s">
        <v>201</v>
      </c>
      <c r="J64" t="s">
        <v>202</v>
      </c>
      <c r="K64" s="1">
        <v>46143</v>
      </c>
      <c r="M64" t="s">
        <v>53</v>
      </c>
      <c r="N64" s="2">
        <v>28.92</v>
      </c>
      <c r="O64" t="s">
        <v>54</v>
      </c>
      <c r="P64">
        <v>100</v>
      </c>
      <c r="Q64" s="1">
        <v>46204</v>
      </c>
      <c r="R64">
        <v>1</v>
      </c>
      <c r="S64">
        <v>0</v>
      </c>
      <c r="T64">
        <v>0</v>
      </c>
      <c r="U64">
        <v>0</v>
      </c>
      <c r="W64">
        <v>0</v>
      </c>
      <c r="X64">
        <v>0</v>
      </c>
      <c r="Y64">
        <v>28.92</v>
      </c>
      <c r="Z64" t="s">
        <v>94</v>
      </c>
    </row>
    <row r="65" spans="2:28" x14ac:dyDescent="0.3">
      <c r="B65">
        <v>17094718</v>
      </c>
      <c r="C65" t="s">
        <v>174</v>
      </c>
      <c r="D65" t="s">
        <v>198</v>
      </c>
      <c r="E65" t="s">
        <v>47</v>
      </c>
      <c r="F65" t="s">
        <v>199</v>
      </c>
      <c r="G65" t="s">
        <v>49</v>
      </c>
      <c r="H65" t="s">
        <v>200</v>
      </c>
      <c r="I65" t="s">
        <v>201</v>
      </c>
      <c r="J65" t="s">
        <v>202</v>
      </c>
      <c r="K65" s="1">
        <v>46143</v>
      </c>
      <c r="M65" t="s">
        <v>53</v>
      </c>
      <c r="N65" s="2">
        <v>28.92</v>
      </c>
      <c r="O65" t="s">
        <v>54</v>
      </c>
      <c r="P65">
        <v>100</v>
      </c>
      <c r="Q65" s="1">
        <v>46235</v>
      </c>
      <c r="R65">
        <v>1</v>
      </c>
      <c r="S65">
        <v>0</v>
      </c>
      <c r="T65">
        <v>0</v>
      </c>
      <c r="U65">
        <v>0</v>
      </c>
      <c r="W65">
        <v>0</v>
      </c>
      <c r="X65">
        <v>0</v>
      </c>
      <c r="Y65">
        <v>28.92</v>
      </c>
      <c r="Z65" t="s">
        <v>94</v>
      </c>
    </row>
    <row r="66" spans="2:28" x14ac:dyDescent="0.3">
      <c r="B66">
        <v>17094718</v>
      </c>
      <c r="C66" t="s">
        <v>174</v>
      </c>
      <c r="D66" t="s">
        <v>198</v>
      </c>
      <c r="E66" t="s">
        <v>47</v>
      </c>
      <c r="F66" t="s">
        <v>199</v>
      </c>
      <c r="G66" t="s">
        <v>49</v>
      </c>
      <c r="H66" t="s">
        <v>200</v>
      </c>
      <c r="I66" t="s">
        <v>201</v>
      </c>
      <c r="J66" t="s">
        <v>202</v>
      </c>
      <c r="K66" s="1">
        <v>46143</v>
      </c>
      <c r="M66" t="s">
        <v>53</v>
      </c>
      <c r="N66" s="2">
        <v>28.92</v>
      </c>
      <c r="O66" t="s">
        <v>54</v>
      </c>
      <c r="P66">
        <v>100</v>
      </c>
      <c r="Q66" s="1">
        <v>46266</v>
      </c>
      <c r="R66">
        <v>1</v>
      </c>
      <c r="S66">
        <v>0</v>
      </c>
      <c r="T66">
        <v>0</v>
      </c>
      <c r="U66">
        <v>0</v>
      </c>
      <c r="W66">
        <v>0</v>
      </c>
      <c r="X66">
        <v>0</v>
      </c>
      <c r="Y66">
        <v>28.92</v>
      </c>
      <c r="Z66" t="s">
        <v>94</v>
      </c>
    </row>
    <row r="67" spans="2:28" x14ac:dyDescent="0.3">
      <c r="B67">
        <v>17094718</v>
      </c>
      <c r="C67" t="s">
        <v>174</v>
      </c>
      <c r="D67" t="s">
        <v>198</v>
      </c>
      <c r="E67" t="s">
        <v>47</v>
      </c>
      <c r="F67" t="s">
        <v>199</v>
      </c>
      <c r="G67" t="s">
        <v>49</v>
      </c>
      <c r="H67" t="s">
        <v>200</v>
      </c>
      <c r="I67" t="s">
        <v>201</v>
      </c>
      <c r="J67" t="s">
        <v>202</v>
      </c>
      <c r="K67" s="1">
        <v>46143</v>
      </c>
      <c r="M67" t="s">
        <v>53</v>
      </c>
      <c r="N67" s="2">
        <v>28.92</v>
      </c>
      <c r="O67" t="s">
        <v>54</v>
      </c>
      <c r="P67">
        <v>100</v>
      </c>
      <c r="Q67" s="1">
        <v>46296</v>
      </c>
      <c r="R67">
        <v>1</v>
      </c>
      <c r="S67">
        <v>0</v>
      </c>
      <c r="T67">
        <v>0</v>
      </c>
      <c r="U67">
        <v>0</v>
      </c>
      <c r="W67">
        <v>0</v>
      </c>
      <c r="X67">
        <v>0</v>
      </c>
      <c r="Y67">
        <v>28.92</v>
      </c>
      <c r="Z67" t="s">
        <v>94</v>
      </c>
    </row>
    <row r="68" spans="2:28" x14ac:dyDescent="0.3">
      <c r="B68">
        <v>17094718</v>
      </c>
      <c r="C68" t="s">
        <v>174</v>
      </c>
      <c r="D68" t="s">
        <v>198</v>
      </c>
      <c r="E68" t="s">
        <v>47</v>
      </c>
      <c r="F68" t="s">
        <v>199</v>
      </c>
      <c r="G68" t="s">
        <v>49</v>
      </c>
      <c r="H68" t="s">
        <v>200</v>
      </c>
      <c r="I68" t="s">
        <v>201</v>
      </c>
      <c r="J68" t="s">
        <v>202</v>
      </c>
      <c r="K68" s="1">
        <v>46143</v>
      </c>
      <c r="M68" t="s">
        <v>53</v>
      </c>
      <c r="N68" s="2">
        <v>28.92</v>
      </c>
      <c r="O68" t="s">
        <v>54</v>
      </c>
      <c r="P68">
        <v>100</v>
      </c>
      <c r="Q68" s="1">
        <v>46327</v>
      </c>
      <c r="R68">
        <v>1</v>
      </c>
      <c r="S68">
        <v>0</v>
      </c>
      <c r="T68">
        <v>0</v>
      </c>
      <c r="U68">
        <v>0</v>
      </c>
      <c r="W68">
        <v>0</v>
      </c>
      <c r="X68">
        <v>0</v>
      </c>
      <c r="Y68">
        <v>28.92</v>
      </c>
      <c r="Z68" t="s">
        <v>94</v>
      </c>
    </row>
    <row r="69" spans="2:28" x14ac:dyDescent="0.3">
      <c r="B69">
        <v>17094718</v>
      </c>
      <c r="C69" t="s">
        <v>174</v>
      </c>
      <c r="D69" t="s">
        <v>198</v>
      </c>
      <c r="E69" t="s">
        <v>47</v>
      </c>
      <c r="F69" t="s">
        <v>199</v>
      </c>
      <c r="G69" t="s">
        <v>49</v>
      </c>
      <c r="H69" t="s">
        <v>200</v>
      </c>
      <c r="I69" t="s">
        <v>201</v>
      </c>
      <c r="J69" t="s">
        <v>202</v>
      </c>
      <c r="K69" s="1">
        <v>46143</v>
      </c>
      <c r="M69" t="s">
        <v>53</v>
      </c>
      <c r="N69" s="2">
        <v>28.92</v>
      </c>
      <c r="O69" t="s">
        <v>54</v>
      </c>
      <c r="P69">
        <v>100</v>
      </c>
      <c r="Q69" s="1">
        <v>46357</v>
      </c>
      <c r="R69">
        <v>1</v>
      </c>
      <c r="S69">
        <v>0</v>
      </c>
      <c r="T69">
        <v>0</v>
      </c>
      <c r="U69">
        <v>0</v>
      </c>
      <c r="W69">
        <v>0</v>
      </c>
      <c r="X69">
        <v>0</v>
      </c>
      <c r="Y69">
        <v>28.92</v>
      </c>
      <c r="Z69" t="s">
        <v>94</v>
      </c>
    </row>
    <row r="70" spans="2:28" x14ac:dyDescent="0.3">
      <c r="B70">
        <v>17094718</v>
      </c>
      <c r="C70" t="s">
        <v>174</v>
      </c>
      <c r="D70" t="s">
        <v>203</v>
      </c>
      <c r="E70" t="s">
        <v>47</v>
      </c>
      <c r="F70" t="s">
        <v>204</v>
      </c>
      <c r="G70" t="s">
        <v>49</v>
      </c>
      <c r="H70" t="s">
        <v>205</v>
      </c>
      <c r="I70" t="s">
        <v>206</v>
      </c>
      <c r="J70" t="s">
        <v>207</v>
      </c>
      <c r="K70" s="1">
        <v>46054</v>
      </c>
      <c r="O70" t="s">
        <v>54</v>
      </c>
      <c r="P70">
        <v>100</v>
      </c>
      <c r="S70">
        <v>0</v>
      </c>
      <c r="T70">
        <v>0</v>
      </c>
      <c r="U70">
        <v>0</v>
      </c>
      <c r="W70">
        <v>0</v>
      </c>
      <c r="X70">
        <v>0</v>
      </c>
      <c r="Y70">
        <v>0</v>
      </c>
      <c r="Z70" t="s">
        <v>61</v>
      </c>
    </row>
    <row r="71" spans="2:28" x14ac:dyDescent="0.3">
      <c r="B71">
        <v>17094718</v>
      </c>
      <c r="C71" t="s">
        <v>174</v>
      </c>
      <c r="D71" t="s">
        <v>203</v>
      </c>
      <c r="E71" t="s">
        <v>47</v>
      </c>
      <c r="F71" t="s">
        <v>208</v>
      </c>
      <c r="G71" t="s">
        <v>49</v>
      </c>
      <c r="H71" t="s">
        <v>205</v>
      </c>
      <c r="I71" t="s">
        <v>209</v>
      </c>
      <c r="J71" t="s">
        <v>210</v>
      </c>
      <c r="K71" s="1">
        <v>45689</v>
      </c>
      <c r="M71" t="s">
        <v>53</v>
      </c>
      <c r="N71" s="2">
        <v>28.92</v>
      </c>
      <c r="O71" t="s">
        <v>54</v>
      </c>
      <c r="P71">
        <v>100</v>
      </c>
      <c r="Q71" s="1">
        <v>46143</v>
      </c>
      <c r="R71">
        <v>1</v>
      </c>
      <c r="S71">
        <v>0</v>
      </c>
      <c r="T71">
        <v>0</v>
      </c>
      <c r="U71">
        <v>0</v>
      </c>
      <c r="W71">
        <v>0</v>
      </c>
      <c r="X71">
        <v>0</v>
      </c>
      <c r="Y71">
        <v>28.92</v>
      </c>
    </row>
    <row r="72" spans="2:28" x14ac:dyDescent="0.3">
      <c r="B72">
        <v>18754354</v>
      </c>
      <c r="C72" t="s">
        <v>211</v>
      </c>
      <c r="D72" t="s">
        <v>212</v>
      </c>
      <c r="E72" t="s">
        <v>47</v>
      </c>
      <c r="F72" t="s">
        <v>213</v>
      </c>
      <c r="G72" t="s">
        <v>49</v>
      </c>
      <c r="H72" t="s">
        <v>214</v>
      </c>
      <c r="I72" t="s">
        <v>215</v>
      </c>
      <c r="J72" t="s">
        <v>216</v>
      </c>
      <c r="K72" s="1">
        <v>46023</v>
      </c>
      <c r="M72" t="s">
        <v>53</v>
      </c>
      <c r="N72" s="2">
        <v>28.92</v>
      </c>
      <c r="O72" t="s">
        <v>54</v>
      </c>
      <c r="P72">
        <v>100</v>
      </c>
      <c r="Q72" s="1">
        <v>46143</v>
      </c>
      <c r="R72">
        <v>1</v>
      </c>
      <c r="S72">
        <v>0</v>
      </c>
      <c r="T72">
        <v>231.36</v>
      </c>
      <c r="U72">
        <v>0</v>
      </c>
      <c r="W72">
        <v>0</v>
      </c>
      <c r="X72">
        <v>0</v>
      </c>
      <c r="Y72">
        <v>0</v>
      </c>
      <c r="AA72">
        <v>0</v>
      </c>
      <c r="AB72">
        <v>0</v>
      </c>
    </row>
    <row r="73" spans="2:28" x14ac:dyDescent="0.3">
      <c r="B73">
        <v>19645587</v>
      </c>
      <c r="C73" t="s">
        <v>45</v>
      </c>
      <c r="D73" t="s">
        <v>212</v>
      </c>
      <c r="E73" t="s">
        <v>47</v>
      </c>
      <c r="F73" t="s">
        <v>217</v>
      </c>
      <c r="G73" t="s">
        <v>49</v>
      </c>
      <c r="H73" t="s">
        <v>214</v>
      </c>
      <c r="I73" t="s">
        <v>218</v>
      </c>
      <c r="J73" t="s">
        <v>219</v>
      </c>
      <c r="K73" s="1">
        <v>46113</v>
      </c>
      <c r="M73" t="s">
        <v>53</v>
      </c>
      <c r="N73" s="2">
        <v>57.84</v>
      </c>
      <c r="O73" t="s">
        <v>54</v>
      </c>
      <c r="P73">
        <v>100</v>
      </c>
      <c r="Q73" s="1">
        <v>46143</v>
      </c>
      <c r="R73">
        <v>1</v>
      </c>
      <c r="S73">
        <v>0</v>
      </c>
      <c r="T73">
        <v>636.24</v>
      </c>
      <c r="U73">
        <v>0</v>
      </c>
      <c r="W73">
        <v>0</v>
      </c>
      <c r="X73">
        <v>0</v>
      </c>
      <c r="Y73">
        <v>0</v>
      </c>
      <c r="AA73">
        <v>86.76</v>
      </c>
      <c r="AB73">
        <v>86.76</v>
      </c>
    </row>
    <row r="74" spans="2:28" x14ac:dyDescent="0.3">
      <c r="B74">
        <v>19645587</v>
      </c>
      <c r="C74" t="s">
        <v>45</v>
      </c>
      <c r="D74" t="s">
        <v>212</v>
      </c>
      <c r="E74" t="s">
        <v>47</v>
      </c>
      <c r="F74" t="s">
        <v>220</v>
      </c>
      <c r="G74" t="s">
        <v>49</v>
      </c>
      <c r="H74" t="s">
        <v>214</v>
      </c>
      <c r="I74" t="s">
        <v>221</v>
      </c>
      <c r="J74" t="s">
        <v>222</v>
      </c>
      <c r="K74" s="1">
        <v>45839</v>
      </c>
      <c r="M74" t="s">
        <v>53</v>
      </c>
      <c r="N74" s="2">
        <v>28.92</v>
      </c>
      <c r="O74" t="s">
        <v>54</v>
      </c>
      <c r="P74">
        <v>100</v>
      </c>
      <c r="Q74" s="1">
        <v>46143</v>
      </c>
      <c r="R74">
        <v>1</v>
      </c>
      <c r="S74">
        <v>0</v>
      </c>
      <c r="T74">
        <v>0</v>
      </c>
      <c r="U74">
        <v>0</v>
      </c>
      <c r="W74">
        <v>0</v>
      </c>
      <c r="X74">
        <v>0</v>
      </c>
      <c r="Y74">
        <v>28.92</v>
      </c>
    </row>
    <row r="75" spans="2:28" x14ac:dyDescent="0.3">
      <c r="B75">
        <v>18581063</v>
      </c>
      <c r="C75" t="s">
        <v>223</v>
      </c>
      <c r="D75" t="s">
        <v>212</v>
      </c>
      <c r="E75" t="s">
        <v>47</v>
      </c>
      <c r="F75" t="s">
        <v>224</v>
      </c>
      <c r="G75" t="s">
        <v>49</v>
      </c>
      <c r="H75" t="s">
        <v>214</v>
      </c>
      <c r="I75" t="s">
        <v>225</v>
      </c>
      <c r="J75" t="s">
        <v>226</v>
      </c>
      <c r="K75" s="1">
        <v>46023</v>
      </c>
      <c r="M75" t="s">
        <v>53</v>
      </c>
      <c r="N75" s="2">
        <v>28.92</v>
      </c>
      <c r="O75" t="s">
        <v>54</v>
      </c>
      <c r="P75">
        <v>100</v>
      </c>
      <c r="Q75" s="1">
        <v>46143</v>
      </c>
      <c r="R75">
        <v>1</v>
      </c>
      <c r="S75">
        <v>0</v>
      </c>
      <c r="T75">
        <v>231.36</v>
      </c>
      <c r="U75">
        <v>0</v>
      </c>
      <c r="W75">
        <v>0</v>
      </c>
      <c r="X75">
        <v>0</v>
      </c>
      <c r="Y75">
        <v>0</v>
      </c>
      <c r="AA75">
        <v>86.76</v>
      </c>
      <c r="AB75">
        <v>86.76</v>
      </c>
    </row>
    <row r="76" spans="2:28" x14ac:dyDescent="0.3">
      <c r="B76">
        <v>18581063</v>
      </c>
      <c r="C76" t="s">
        <v>223</v>
      </c>
      <c r="D76" t="s">
        <v>212</v>
      </c>
      <c r="E76" t="s">
        <v>47</v>
      </c>
      <c r="F76" t="s">
        <v>227</v>
      </c>
      <c r="G76" t="s">
        <v>49</v>
      </c>
      <c r="H76" t="s">
        <v>214</v>
      </c>
      <c r="I76" t="s">
        <v>228</v>
      </c>
      <c r="J76" t="s">
        <v>229</v>
      </c>
      <c r="K76" s="1">
        <v>46023</v>
      </c>
      <c r="M76" t="s">
        <v>53</v>
      </c>
      <c r="N76" s="2">
        <v>28.92</v>
      </c>
      <c r="O76" t="s">
        <v>54</v>
      </c>
      <c r="P76">
        <v>100</v>
      </c>
      <c r="Q76" s="1">
        <v>46143</v>
      </c>
      <c r="R76">
        <v>1</v>
      </c>
      <c r="S76">
        <v>0</v>
      </c>
      <c r="T76">
        <v>231.36</v>
      </c>
      <c r="U76">
        <v>0</v>
      </c>
      <c r="W76">
        <v>0</v>
      </c>
      <c r="X76">
        <v>0</v>
      </c>
      <c r="Y76">
        <v>0</v>
      </c>
    </row>
    <row r="77" spans="2:28" x14ac:dyDescent="0.3">
      <c r="B77">
        <v>18581063</v>
      </c>
      <c r="C77" t="s">
        <v>223</v>
      </c>
      <c r="D77" t="s">
        <v>212</v>
      </c>
      <c r="E77" t="s">
        <v>47</v>
      </c>
      <c r="F77" t="s">
        <v>230</v>
      </c>
      <c r="G77" t="s">
        <v>49</v>
      </c>
      <c r="H77" t="s">
        <v>214</v>
      </c>
      <c r="I77" t="s">
        <v>231</v>
      </c>
      <c r="J77" t="s">
        <v>232</v>
      </c>
      <c r="K77" s="1">
        <v>46023</v>
      </c>
      <c r="M77" t="s">
        <v>53</v>
      </c>
      <c r="N77" s="2">
        <v>28.92</v>
      </c>
      <c r="O77" t="s">
        <v>54</v>
      </c>
      <c r="P77">
        <v>100</v>
      </c>
      <c r="Q77" s="1">
        <v>46143</v>
      </c>
      <c r="R77">
        <v>1</v>
      </c>
      <c r="S77">
        <v>0</v>
      </c>
      <c r="T77">
        <v>231.36</v>
      </c>
      <c r="U77">
        <v>0</v>
      </c>
      <c r="W77">
        <v>0</v>
      </c>
      <c r="X77">
        <v>0</v>
      </c>
      <c r="Y77">
        <v>0</v>
      </c>
    </row>
    <row r="78" spans="2:28" x14ac:dyDescent="0.3">
      <c r="B78">
        <v>18581063</v>
      </c>
      <c r="C78" t="s">
        <v>223</v>
      </c>
      <c r="D78" t="s">
        <v>212</v>
      </c>
      <c r="E78" t="s">
        <v>47</v>
      </c>
      <c r="F78" t="s">
        <v>233</v>
      </c>
      <c r="G78" t="s">
        <v>49</v>
      </c>
      <c r="H78" t="s">
        <v>214</v>
      </c>
      <c r="I78" t="s">
        <v>234</v>
      </c>
      <c r="J78" t="s">
        <v>235</v>
      </c>
      <c r="K78" s="1">
        <v>46023</v>
      </c>
      <c r="M78" t="s">
        <v>53</v>
      </c>
      <c r="N78" s="2">
        <v>28.92</v>
      </c>
      <c r="O78" t="s">
        <v>54</v>
      </c>
      <c r="P78">
        <v>100</v>
      </c>
      <c r="Q78" s="1">
        <v>46143</v>
      </c>
      <c r="R78">
        <v>1</v>
      </c>
      <c r="S78">
        <v>0</v>
      </c>
      <c r="T78">
        <v>231.36</v>
      </c>
      <c r="U78">
        <v>0</v>
      </c>
      <c r="W78">
        <v>0</v>
      </c>
      <c r="X78">
        <v>0</v>
      </c>
      <c r="Y78">
        <v>0</v>
      </c>
    </row>
    <row r="79" spans="2:28" x14ac:dyDescent="0.3">
      <c r="B79">
        <v>18581063</v>
      </c>
      <c r="C79" t="s">
        <v>223</v>
      </c>
      <c r="D79" t="s">
        <v>212</v>
      </c>
      <c r="E79" t="s">
        <v>47</v>
      </c>
      <c r="F79" t="s">
        <v>236</v>
      </c>
      <c r="G79" t="s">
        <v>49</v>
      </c>
      <c r="H79" t="s">
        <v>214</v>
      </c>
      <c r="I79" t="s">
        <v>237</v>
      </c>
      <c r="J79" t="s">
        <v>238</v>
      </c>
      <c r="K79" s="1">
        <v>46023</v>
      </c>
      <c r="M79" t="s">
        <v>53</v>
      </c>
      <c r="N79" s="2">
        <v>28.92</v>
      </c>
      <c r="O79" t="s">
        <v>54</v>
      </c>
      <c r="P79">
        <v>100</v>
      </c>
      <c r="Q79" s="1">
        <v>46143</v>
      </c>
      <c r="R79">
        <v>1</v>
      </c>
      <c r="S79">
        <v>0</v>
      </c>
      <c r="T79">
        <v>231.36</v>
      </c>
      <c r="U79">
        <v>0</v>
      </c>
      <c r="W79">
        <v>0</v>
      </c>
      <c r="X79">
        <v>0</v>
      </c>
      <c r="Y79">
        <v>0</v>
      </c>
    </row>
    <row r="80" spans="2:28" x14ac:dyDescent="0.3">
      <c r="B80">
        <v>18581063</v>
      </c>
      <c r="C80" t="s">
        <v>223</v>
      </c>
      <c r="D80" t="s">
        <v>212</v>
      </c>
      <c r="E80" t="s">
        <v>47</v>
      </c>
      <c r="F80" t="s">
        <v>239</v>
      </c>
      <c r="G80" t="s">
        <v>49</v>
      </c>
      <c r="H80" t="s">
        <v>214</v>
      </c>
      <c r="I80" t="s">
        <v>240</v>
      </c>
      <c r="J80" t="s">
        <v>241</v>
      </c>
      <c r="K80" s="1">
        <v>46023</v>
      </c>
      <c r="M80" t="s">
        <v>53</v>
      </c>
      <c r="N80" s="2">
        <v>28.92</v>
      </c>
      <c r="O80" t="s">
        <v>54</v>
      </c>
      <c r="P80">
        <v>100</v>
      </c>
      <c r="Q80" s="1">
        <v>46143</v>
      </c>
      <c r="R80">
        <v>1</v>
      </c>
      <c r="S80">
        <v>0</v>
      </c>
      <c r="T80">
        <v>231.36</v>
      </c>
      <c r="U80">
        <v>0</v>
      </c>
      <c r="W80">
        <v>0</v>
      </c>
      <c r="X80">
        <v>0</v>
      </c>
      <c r="Y80">
        <v>0</v>
      </c>
    </row>
    <row r="81" spans="2:25" x14ac:dyDescent="0.3">
      <c r="B81">
        <v>18581063</v>
      </c>
      <c r="C81" t="s">
        <v>223</v>
      </c>
      <c r="D81" t="s">
        <v>212</v>
      </c>
      <c r="E81" t="s">
        <v>47</v>
      </c>
      <c r="F81" t="s">
        <v>242</v>
      </c>
      <c r="G81" t="s">
        <v>49</v>
      </c>
      <c r="H81" t="s">
        <v>214</v>
      </c>
      <c r="I81" t="s">
        <v>243</v>
      </c>
      <c r="J81" t="s">
        <v>244</v>
      </c>
      <c r="K81" s="1">
        <v>46023</v>
      </c>
      <c r="M81" t="s">
        <v>53</v>
      </c>
      <c r="N81" s="2">
        <v>28.92</v>
      </c>
      <c r="O81" t="s">
        <v>54</v>
      </c>
      <c r="P81">
        <v>100</v>
      </c>
      <c r="Q81" s="1">
        <v>46143</v>
      </c>
      <c r="R81">
        <v>1</v>
      </c>
      <c r="S81">
        <v>0</v>
      </c>
      <c r="T81">
        <v>231.36</v>
      </c>
      <c r="U81">
        <v>0</v>
      </c>
      <c r="W81">
        <v>0</v>
      </c>
      <c r="X81">
        <v>0</v>
      </c>
      <c r="Y81">
        <v>0</v>
      </c>
    </row>
    <row r="82" spans="2:25" x14ac:dyDescent="0.3">
      <c r="B82">
        <v>18581063</v>
      </c>
      <c r="C82" t="s">
        <v>223</v>
      </c>
      <c r="D82" t="s">
        <v>212</v>
      </c>
      <c r="E82" t="s">
        <v>47</v>
      </c>
      <c r="F82" t="s">
        <v>245</v>
      </c>
      <c r="G82" t="s">
        <v>49</v>
      </c>
      <c r="H82" t="s">
        <v>214</v>
      </c>
      <c r="I82" t="s">
        <v>246</v>
      </c>
      <c r="J82" t="s">
        <v>247</v>
      </c>
      <c r="K82" s="1">
        <v>46023</v>
      </c>
      <c r="M82" t="s">
        <v>248</v>
      </c>
      <c r="N82" s="2">
        <v>28.92</v>
      </c>
      <c r="O82" t="s">
        <v>54</v>
      </c>
      <c r="P82">
        <v>100</v>
      </c>
      <c r="Q82" s="1">
        <v>46143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28.92</v>
      </c>
    </row>
    <row r="83" spans="2:25" x14ac:dyDescent="0.3">
      <c r="B83">
        <v>18581063</v>
      </c>
      <c r="C83" t="s">
        <v>223</v>
      </c>
      <c r="D83" t="s">
        <v>212</v>
      </c>
      <c r="E83" t="s">
        <v>47</v>
      </c>
      <c r="F83" t="s">
        <v>249</v>
      </c>
      <c r="G83" t="s">
        <v>49</v>
      </c>
      <c r="H83" t="s">
        <v>214</v>
      </c>
      <c r="I83" t="s">
        <v>250</v>
      </c>
      <c r="J83" t="s">
        <v>251</v>
      </c>
      <c r="K83" s="1">
        <v>46023</v>
      </c>
      <c r="M83" t="s">
        <v>248</v>
      </c>
      <c r="N83" s="2">
        <v>28.92</v>
      </c>
      <c r="O83" t="s">
        <v>54</v>
      </c>
      <c r="P83">
        <v>100</v>
      </c>
      <c r="Q83" s="1">
        <v>46143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28.92</v>
      </c>
    </row>
    <row r="84" spans="2:25" x14ac:dyDescent="0.3">
      <c r="B84">
        <v>18581063</v>
      </c>
      <c r="C84" t="s">
        <v>223</v>
      </c>
      <c r="D84" t="s">
        <v>212</v>
      </c>
      <c r="E84" t="s">
        <v>47</v>
      </c>
      <c r="F84" t="s">
        <v>252</v>
      </c>
      <c r="G84" t="s">
        <v>49</v>
      </c>
      <c r="H84" t="s">
        <v>214</v>
      </c>
      <c r="I84" t="s">
        <v>253</v>
      </c>
      <c r="J84" t="s">
        <v>254</v>
      </c>
      <c r="K84" s="1">
        <v>46023</v>
      </c>
      <c r="M84" t="s">
        <v>248</v>
      </c>
      <c r="N84" s="2">
        <v>28.92</v>
      </c>
      <c r="O84" t="s">
        <v>54</v>
      </c>
      <c r="P84">
        <v>100</v>
      </c>
      <c r="Q84" s="1">
        <v>46143</v>
      </c>
      <c r="R84">
        <v>1</v>
      </c>
      <c r="S84">
        <v>0</v>
      </c>
      <c r="T84">
        <v>0</v>
      </c>
      <c r="U84">
        <v>0</v>
      </c>
      <c r="W84">
        <v>0</v>
      </c>
      <c r="X84">
        <v>0</v>
      </c>
      <c r="Y84">
        <v>28.92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C616-27AE-4276-83B7-8CB24AC8E505}">
  <dimension ref="A1:X76"/>
  <sheetViews>
    <sheetView tabSelected="1" topLeftCell="F1" workbookViewId="0">
      <selection activeCell="X6" sqref="X6"/>
    </sheetView>
  </sheetViews>
  <sheetFormatPr defaultRowHeight="14.4" x14ac:dyDescent="0.3"/>
  <cols>
    <col min="1" max="1" width="19" bestFit="1" customWidth="1"/>
    <col min="2" max="2" width="25.109375" bestFit="1" customWidth="1"/>
    <col min="3" max="3" width="6.33203125" bestFit="1" customWidth="1"/>
    <col min="4" max="4" width="15.44140625" bestFit="1" customWidth="1"/>
    <col min="5" max="5" width="15.44140625" customWidth="1"/>
    <col min="6" max="6" width="14.109375" bestFit="1" customWidth="1"/>
    <col min="7" max="7" width="21.5546875" customWidth="1"/>
    <col min="8" max="8" width="11.33203125" customWidth="1"/>
    <col min="9" max="9" width="7.33203125" bestFit="1" customWidth="1"/>
    <col min="10" max="10" width="10" bestFit="1" customWidth="1"/>
    <col min="11" max="11" width="12" bestFit="1" customWidth="1"/>
    <col min="12" max="12" width="9.6640625" bestFit="1" customWidth="1"/>
    <col min="13" max="13" width="4.109375" bestFit="1" customWidth="1"/>
    <col min="14" max="14" width="5.5546875" bestFit="1" customWidth="1"/>
    <col min="15" max="15" width="8.5546875" bestFit="1" customWidth="1"/>
    <col min="16" max="16" width="9.5546875" bestFit="1" customWidth="1"/>
    <col min="17" max="17" width="7.88671875" customWidth="1"/>
    <col min="18" max="18" width="6.77734375" customWidth="1"/>
    <col min="19" max="19" width="8.33203125" customWidth="1"/>
    <col min="20" max="20" width="9.5546875" bestFit="1" customWidth="1"/>
    <col min="21" max="21" width="13.6640625" bestFit="1" customWidth="1"/>
    <col min="23" max="23" width="32.109375" bestFit="1" customWidth="1"/>
    <col min="24" max="24" width="22.44140625" bestFit="1" customWidth="1"/>
  </cols>
  <sheetData>
    <row r="1" spans="1:24" x14ac:dyDescent="0.3">
      <c r="A1" t="s">
        <v>18</v>
      </c>
      <c r="B1" t="s">
        <v>19</v>
      </c>
      <c r="C1" t="s">
        <v>20</v>
      </c>
      <c r="D1" t="s">
        <v>22</v>
      </c>
      <c r="F1" t="s">
        <v>23</v>
      </c>
      <c r="G1" t="s">
        <v>25</v>
      </c>
      <c r="H1" t="s">
        <v>27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</row>
    <row r="2" spans="1:24" x14ac:dyDescent="0.3">
      <c r="A2">
        <v>19645587</v>
      </c>
      <c r="B2" t="s">
        <v>45</v>
      </c>
      <c r="C2" t="s">
        <v>77</v>
      </c>
      <c r="D2" t="s">
        <v>104</v>
      </c>
      <c r="E2" t="str">
        <f>CONCATENATE(D2,66)</f>
        <v>407W2239266</v>
      </c>
      <c r="F2" t="s">
        <v>49</v>
      </c>
      <c r="G2" t="s">
        <v>105</v>
      </c>
      <c r="H2" s="1">
        <v>45658</v>
      </c>
      <c r="I2" s="2">
        <v>28.92</v>
      </c>
      <c r="J2" t="s">
        <v>54</v>
      </c>
      <c r="K2">
        <v>100</v>
      </c>
      <c r="L2" s="1">
        <v>46143</v>
      </c>
      <c r="M2">
        <v>1</v>
      </c>
      <c r="N2">
        <v>0</v>
      </c>
      <c r="O2">
        <v>0</v>
      </c>
      <c r="P2">
        <v>1</v>
      </c>
      <c r="R2">
        <v>0</v>
      </c>
      <c r="S2">
        <v>0</v>
      </c>
      <c r="T2">
        <v>28.92</v>
      </c>
      <c r="V2">
        <v>28.92</v>
      </c>
      <c r="W2" t="s">
        <v>257</v>
      </c>
      <c r="X2" t="s">
        <v>258</v>
      </c>
    </row>
    <row r="3" spans="1:24" x14ac:dyDescent="0.3">
      <c r="A3">
        <v>19645587</v>
      </c>
      <c r="B3" t="s">
        <v>45</v>
      </c>
      <c r="C3" t="s">
        <v>71</v>
      </c>
      <c r="D3" t="s">
        <v>72</v>
      </c>
      <c r="E3" t="str">
        <f t="shared" ref="E3:E11" si="0">CONCATENATE(D3,66)</f>
        <v>488W2419866</v>
      </c>
      <c r="F3" t="s">
        <v>49</v>
      </c>
      <c r="G3" t="s">
        <v>74</v>
      </c>
      <c r="H3" s="1">
        <v>45931</v>
      </c>
      <c r="I3" s="2">
        <v>28.92</v>
      </c>
      <c r="J3" t="s">
        <v>54</v>
      </c>
      <c r="K3">
        <v>100</v>
      </c>
      <c r="L3" s="1">
        <v>46143</v>
      </c>
      <c r="M3">
        <v>1</v>
      </c>
      <c r="N3">
        <v>0</v>
      </c>
      <c r="O3">
        <v>0</v>
      </c>
      <c r="P3">
        <v>1</v>
      </c>
      <c r="R3">
        <v>0</v>
      </c>
      <c r="S3">
        <v>0</v>
      </c>
      <c r="T3">
        <v>28.92</v>
      </c>
      <c r="V3">
        <v>28.92</v>
      </c>
      <c r="W3" t="s">
        <v>257</v>
      </c>
      <c r="X3" t="s">
        <v>258</v>
      </c>
    </row>
    <row r="4" spans="1:24" x14ac:dyDescent="0.3">
      <c r="A4">
        <v>18581063</v>
      </c>
      <c r="B4" t="s">
        <v>223</v>
      </c>
      <c r="C4" t="s">
        <v>212</v>
      </c>
      <c r="D4" t="s">
        <v>245</v>
      </c>
      <c r="E4" t="str">
        <f t="shared" si="0"/>
        <v>752M0011666</v>
      </c>
      <c r="F4" t="s">
        <v>49</v>
      </c>
      <c r="G4" t="s">
        <v>246</v>
      </c>
      <c r="H4" s="1">
        <v>46023</v>
      </c>
      <c r="I4" s="2">
        <v>28.92</v>
      </c>
      <c r="J4" t="s">
        <v>54</v>
      </c>
      <c r="K4">
        <v>100</v>
      </c>
      <c r="L4" s="1">
        <v>46143</v>
      </c>
      <c r="M4">
        <v>1</v>
      </c>
      <c r="N4">
        <v>0</v>
      </c>
      <c r="O4">
        <v>0</v>
      </c>
      <c r="P4">
        <v>1</v>
      </c>
      <c r="R4">
        <v>0</v>
      </c>
      <c r="S4">
        <v>0</v>
      </c>
      <c r="T4">
        <v>28.92</v>
      </c>
      <c r="V4">
        <v>28.92</v>
      </c>
      <c r="W4" t="s">
        <v>257</v>
      </c>
      <c r="X4" t="s">
        <v>258</v>
      </c>
    </row>
    <row r="5" spans="1:24" x14ac:dyDescent="0.3">
      <c r="A5">
        <v>18581063</v>
      </c>
      <c r="B5" t="s">
        <v>223</v>
      </c>
      <c r="C5" t="s">
        <v>212</v>
      </c>
      <c r="D5" t="s">
        <v>252</v>
      </c>
      <c r="E5" t="str">
        <f t="shared" si="0"/>
        <v>526W1763266</v>
      </c>
      <c r="F5" t="s">
        <v>49</v>
      </c>
      <c r="G5" t="s">
        <v>253</v>
      </c>
      <c r="H5" s="1">
        <v>46023</v>
      </c>
      <c r="I5" s="2">
        <v>28.92</v>
      </c>
      <c r="J5" t="s">
        <v>54</v>
      </c>
      <c r="K5">
        <v>100</v>
      </c>
      <c r="L5" s="1">
        <v>46143</v>
      </c>
      <c r="M5">
        <v>1</v>
      </c>
      <c r="N5">
        <v>0</v>
      </c>
      <c r="O5">
        <v>0</v>
      </c>
      <c r="P5">
        <v>1</v>
      </c>
      <c r="R5">
        <v>0</v>
      </c>
      <c r="S5">
        <v>0</v>
      </c>
      <c r="T5">
        <v>28.92</v>
      </c>
      <c r="V5">
        <v>28.92</v>
      </c>
      <c r="W5" t="s">
        <v>257</v>
      </c>
      <c r="X5" t="s">
        <v>258</v>
      </c>
    </row>
    <row r="6" spans="1:24" s="4" customFormat="1" x14ac:dyDescent="0.3">
      <c r="A6" s="4">
        <v>16849453</v>
      </c>
      <c r="B6" s="4" t="s">
        <v>76</v>
      </c>
      <c r="C6" s="4" t="s">
        <v>77</v>
      </c>
      <c r="D6" s="4" t="s">
        <v>89</v>
      </c>
      <c r="E6" s="4" t="str">
        <f t="shared" si="0"/>
        <v>772W2699066</v>
      </c>
      <c r="F6" s="4" t="s">
        <v>49</v>
      </c>
      <c r="G6" s="4" t="s">
        <v>91</v>
      </c>
      <c r="H6" s="5">
        <v>46143</v>
      </c>
      <c r="I6" s="6">
        <v>28.92</v>
      </c>
      <c r="J6" s="4" t="s">
        <v>54</v>
      </c>
      <c r="K6" s="4">
        <v>100</v>
      </c>
      <c r="L6" s="5">
        <v>46174</v>
      </c>
      <c r="M6" s="4">
        <v>1</v>
      </c>
      <c r="N6" s="4">
        <v>0</v>
      </c>
      <c r="O6" s="4">
        <v>0</v>
      </c>
      <c r="P6" s="4">
        <v>1</v>
      </c>
      <c r="R6" s="4">
        <v>0</v>
      </c>
      <c r="S6" s="4">
        <v>0</v>
      </c>
      <c r="T6" s="4">
        <v>28.92</v>
      </c>
      <c r="U6" s="4" t="s">
        <v>93</v>
      </c>
      <c r="V6" s="4">
        <v>231.36</v>
      </c>
      <c r="W6" s="4" t="s">
        <v>257</v>
      </c>
      <c r="X6" s="4" t="s">
        <v>259</v>
      </c>
    </row>
    <row r="7" spans="1:24" x14ac:dyDescent="0.3">
      <c r="A7">
        <v>19645587</v>
      </c>
      <c r="B7" t="s">
        <v>45</v>
      </c>
      <c r="C7" t="s">
        <v>212</v>
      </c>
      <c r="D7" t="s">
        <v>220</v>
      </c>
      <c r="E7" t="str">
        <f t="shared" si="0"/>
        <v>788W2408966</v>
      </c>
      <c r="F7" t="s">
        <v>49</v>
      </c>
      <c r="G7" t="s">
        <v>221</v>
      </c>
      <c r="H7" s="1">
        <v>45839</v>
      </c>
      <c r="I7" s="2">
        <v>28.92</v>
      </c>
      <c r="J7" t="s">
        <v>54</v>
      </c>
      <c r="K7">
        <v>100</v>
      </c>
      <c r="L7" s="1">
        <v>46143</v>
      </c>
      <c r="M7">
        <v>1</v>
      </c>
      <c r="N7">
        <v>0</v>
      </c>
      <c r="O7">
        <v>0</v>
      </c>
      <c r="P7">
        <v>1</v>
      </c>
      <c r="R7">
        <v>0</v>
      </c>
      <c r="S7">
        <v>0</v>
      </c>
      <c r="T7">
        <v>28.92</v>
      </c>
      <c r="V7">
        <v>28.92</v>
      </c>
      <c r="W7" t="s">
        <v>257</v>
      </c>
      <c r="X7" t="s">
        <v>258</v>
      </c>
    </row>
    <row r="8" spans="1:24" s="4" customFormat="1" x14ac:dyDescent="0.3">
      <c r="A8" s="4">
        <v>17094718</v>
      </c>
      <c r="B8" s="4" t="s">
        <v>174</v>
      </c>
      <c r="C8" s="4" t="s">
        <v>198</v>
      </c>
      <c r="D8" s="4" t="s">
        <v>199</v>
      </c>
      <c r="E8" s="4" t="str">
        <f t="shared" si="0"/>
        <v>835W2712066</v>
      </c>
      <c r="F8" s="4" t="s">
        <v>49</v>
      </c>
      <c r="G8" s="4" t="s">
        <v>201</v>
      </c>
      <c r="H8" s="5">
        <v>46143</v>
      </c>
      <c r="I8" s="6">
        <v>28.92</v>
      </c>
      <c r="J8" s="4" t="s">
        <v>54</v>
      </c>
      <c r="K8" s="4">
        <v>100</v>
      </c>
      <c r="L8" s="5">
        <v>46174</v>
      </c>
      <c r="M8" s="4">
        <v>1</v>
      </c>
      <c r="N8" s="4">
        <v>0</v>
      </c>
      <c r="O8" s="4">
        <v>0</v>
      </c>
      <c r="P8" s="4">
        <v>1</v>
      </c>
      <c r="R8" s="4">
        <v>0</v>
      </c>
      <c r="S8" s="4">
        <v>0</v>
      </c>
      <c r="T8" s="4">
        <v>28.92</v>
      </c>
      <c r="U8" s="4" t="s">
        <v>93</v>
      </c>
      <c r="V8" s="4">
        <v>231.36</v>
      </c>
      <c r="W8" s="4" t="s">
        <v>257</v>
      </c>
      <c r="X8" s="4" t="s">
        <v>259</v>
      </c>
    </row>
    <row r="9" spans="1:24" x14ac:dyDescent="0.3">
      <c r="A9">
        <v>18581063</v>
      </c>
      <c r="B9" t="s">
        <v>223</v>
      </c>
      <c r="C9" t="s">
        <v>212</v>
      </c>
      <c r="D9" t="s">
        <v>249</v>
      </c>
      <c r="E9" t="str">
        <f t="shared" si="0"/>
        <v>761W1774066</v>
      </c>
      <c r="F9" t="s">
        <v>49</v>
      </c>
      <c r="G9" t="s">
        <v>250</v>
      </c>
      <c r="H9" s="1">
        <v>46023</v>
      </c>
      <c r="I9" s="2">
        <v>28.92</v>
      </c>
      <c r="J9" t="s">
        <v>54</v>
      </c>
      <c r="K9">
        <v>100</v>
      </c>
      <c r="L9" s="1">
        <v>46143</v>
      </c>
      <c r="M9">
        <v>1</v>
      </c>
      <c r="N9">
        <v>0</v>
      </c>
      <c r="O9">
        <v>0</v>
      </c>
      <c r="P9">
        <v>1</v>
      </c>
      <c r="R9">
        <v>0</v>
      </c>
      <c r="S9">
        <v>0</v>
      </c>
      <c r="T9">
        <v>28.92</v>
      </c>
      <c r="V9">
        <v>28.92</v>
      </c>
      <c r="W9" t="s">
        <v>257</v>
      </c>
      <c r="X9" t="s">
        <v>258</v>
      </c>
    </row>
    <row r="10" spans="1:24" x14ac:dyDescent="0.3">
      <c r="A10">
        <v>17094718</v>
      </c>
      <c r="B10" t="s">
        <v>174</v>
      </c>
      <c r="C10" t="s">
        <v>77</v>
      </c>
      <c r="D10" t="s">
        <v>175</v>
      </c>
      <c r="E10" t="str">
        <f t="shared" si="0"/>
        <v>022W1451166</v>
      </c>
      <c r="F10" t="s">
        <v>49</v>
      </c>
      <c r="G10" t="s">
        <v>176</v>
      </c>
      <c r="H10" s="1">
        <v>45658</v>
      </c>
      <c r="I10" s="2">
        <v>28.92</v>
      </c>
      <c r="J10" t="s">
        <v>54</v>
      </c>
      <c r="K10">
        <v>100</v>
      </c>
      <c r="L10" s="1">
        <v>46143</v>
      </c>
      <c r="M10">
        <v>1</v>
      </c>
      <c r="N10">
        <v>0</v>
      </c>
      <c r="O10">
        <v>0</v>
      </c>
      <c r="P10">
        <v>1</v>
      </c>
      <c r="R10">
        <v>0</v>
      </c>
      <c r="S10">
        <v>0</v>
      </c>
      <c r="T10">
        <v>28.92</v>
      </c>
      <c r="V10">
        <v>28.92</v>
      </c>
      <c r="W10" t="s">
        <v>257</v>
      </c>
      <c r="X10" t="s">
        <v>258</v>
      </c>
    </row>
    <row r="11" spans="1:24" x14ac:dyDescent="0.3">
      <c r="A11">
        <v>17094718</v>
      </c>
      <c r="B11" t="s">
        <v>174</v>
      </c>
      <c r="C11" t="s">
        <v>203</v>
      </c>
      <c r="D11" t="s">
        <v>208</v>
      </c>
      <c r="E11" t="str">
        <f t="shared" si="0"/>
        <v>972W2287566</v>
      </c>
      <c r="F11" t="s">
        <v>49</v>
      </c>
      <c r="G11" t="s">
        <v>209</v>
      </c>
      <c r="H11" s="1">
        <v>45689</v>
      </c>
      <c r="I11" s="2">
        <v>28.92</v>
      </c>
      <c r="J11" t="s">
        <v>54</v>
      </c>
      <c r="K11">
        <v>100</v>
      </c>
      <c r="L11" s="1">
        <v>46143</v>
      </c>
      <c r="M11">
        <v>1</v>
      </c>
      <c r="N11">
        <v>0</v>
      </c>
      <c r="O11">
        <v>0</v>
      </c>
      <c r="P11">
        <v>1</v>
      </c>
      <c r="R11">
        <v>0</v>
      </c>
      <c r="S11">
        <v>0</v>
      </c>
      <c r="T11">
        <v>28.92</v>
      </c>
      <c r="V11">
        <v>28.92</v>
      </c>
      <c r="W11" t="s">
        <v>257</v>
      </c>
      <c r="X11" t="s">
        <v>258</v>
      </c>
    </row>
    <row r="12" spans="1:24" x14ac:dyDescent="0.3">
      <c r="A12">
        <v>20724564</v>
      </c>
      <c r="B12" t="s">
        <v>107</v>
      </c>
      <c r="C12" t="s">
        <v>77</v>
      </c>
      <c r="D12" t="s">
        <v>108</v>
      </c>
      <c r="E12" t="s">
        <v>108</v>
      </c>
      <c r="F12" t="s">
        <v>57</v>
      </c>
      <c r="G12" t="s">
        <v>109</v>
      </c>
      <c r="H12" s="1">
        <v>45901</v>
      </c>
      <c r="I12" s="3">
        <v>0.21</v>
      </c>
      <c r="J12" t="s">
        <v>54</v>
      </c>
      <c r="K12">
        <v>100</v>
      </c>
      <c r="L12" s="1">
        <v>46143</v>
      </c>
      <c r="M12">
        <v>1</v>
      </c>
      <c r="N12">
        <v>0</v>
      </c>
      <c r="O12">
        <v>31</v>
      </c>
      <c r="P12">
        <v>147.65</v>
      </c>
      <c r="Q12" t="s">
        <v>82</v>
      </c>
      <c r="R12">
        <v>0</v>
      </c>
      <c r="S12">
        <v>0</v>
      </c>
      <c r="T12">
        <v>0</v>
      </c>
      <c r="V12" s="7">
        <f>P12*I12</f>
        <v>31.006499999999999</v>
      </c>
      <c r="W12" t="s">
        <v>255</v>
      </c>
    </row>
    <row r="13" spans="1:24" x14ac:dyDescent="0.3">
      <c r="A13">
        <v>16849453</v>
      </c>
      <c r="B13" t="s">
        <v>76</v>
      </c>
      <c r="C13" t="s">
        <v>77</v>
      </c>
      <c r="D13" t="s">
        <v>101</v>
      </c>
      <c r="E13" t="s">
        <v>101</v>
      </c>
      <c r="F13" t="s">
        <v>57</v>
      </c>
      <c r="G13" t="s">
        <v>102</v>
      </c>
      <c r="H13" s="1">
        <v>46054</v>
      </c>
      <c r="I13" s="3">
        <v>0.21</v>
      </c>
      <c r="J13" t="s">
        <v>54</v>
      </c>
      <c r="K13">
        <v>100</v>
      </c>
      <c r="L13" s="1">
        <v>46143</v>
      </c>
      <c r="M13">
        <v>1</v>
      </c>
      <c r="N13">
        <v>0</v>
      </c>
      <c r="O13">
        <v>223.92</v>
      </c>
      <c r="P13">
        <v>177.73</v>
      </c>
      <c r="Q13" t="s">
        <v>82</v>
      </c>
      <c r="R13">
        <v>0</v>
      </c>
      <c r="S13">
        <v>0</v>
      </c>
      <c r="T13">
        <v>0</v>
      </c>
      <c r="V13" s="7">
        <f t="shared" ref="V13:V33" si="1">P13*I13</f>
        <v>37.323299999999996</v>
      </c>
      <c r="W13" t="s">
        <v>255</v>
      </c>
    </row>
    <row r="14" spans="1:24" x14ac:dyDescent="0.3">
      <c r="A14">
        <v>20724564</v>
      </c>
      <c r="B14" t="s">
        <v>107</v>
      </c>
      <c r="C14" t="s">
        <v>77</v>
      </c>
      <c r="D14" t="s">
        <v>141</v>
      </c>
      <c r="E14" t="s">
        <v>141</v>
      </c>
      <c r="F14" t="s">
        <v>57</v>
      </c>
      <c r="G14" t="s">
        <v>142</v>
      </c>
      <c r="H14" s="1">
        <v>45992</v>
      </c>
      <c r="I14" s="3">
        <v>0.21</v>
      </c>
      <c r="J14" t="s">
        <v>54</v>
      </c>
      <c r="K14">
        <v>100</v>
      </c>
      <c r="L14" s="1">
        <v>46143</v>
      </c>
      <c r="M14">
        <v>1</v>
      </c>
      <c r="N14">
        <v>0</v>
      </c>
      <c r="O14">
        <v>137.24</v>
      </c>
      <c r="P14">
        <v>163.41</v>
      </c>
      <c r="Q14" t="s">
        <v>82</v>
      </c>
      <c r="R14">
        <v>0</v>
      </c>
      <c r="S14">
        <v>0</v>
      </c>
      <c r="T14">
        <v>0</v>
      </c>
      <c r="V14" s="7">
        <f t="shared" si="1"/>
        <v>34.316099999999999</v>
      </c>
      <c r="W14" t="s">
        <v>255</v>
      </c>
    </row>
    <row r="15" spans="1:24" x14ac:dyDescent="0.3">
      <c r="A15">
        <v>16849453</v>
      </c>
      <c r="B15" t="s">
        <v>76</v>
      </c>
      <c r="C15" t="s">
        <v>77</v>
      </c>
      <c r="D15" t="s">
        <v>86</v>
      </c>
      <c r="E15" t="s">
        <v>86</v>
      </c>
      <c r="F15" t="s">
        <v>57</v>
      </c>
      <c r="G15" t="s">
        <v>87</v>
      </c>
      <c r="H15" s="1">
        <v>46054</v>
      </c>
      <c r="I15" s="3">
        <v>0.21</v>
      </c>
      <c r="J15" t="s">
        <v>54</v>
      </c>
      <c r="K15">
        <v>100</v>
      </c>
      <c r="L15" s="1">
        <v>46143</v>
      </c>
      <c r="M15">
        <v>1</v>
      </c>
      <c r="N15">
        <v>0</v>
      </c>
      <c r="O15">
        <v>223.92</v>
      </c>
      <c r="P15">
        <v>177.73</v>
      </c>
      <c r="Q15" t="s">
        <v>82</v>
      </c>
      <c r="R15">
        <v>0</v>
      </c>
      <c r="S15">
        <v>0</v>
      </c>
      <c r="T15">
        <v>0</v>
      </c>
      <c r="V15" s="7">
        <f t="shared" si="1"/>
        <v>37.323299999999996</v>
      </c>
      <c r="W15" t="s">
        <v>255</v>
      </c>
    </row>
    <row r="16" spans="1:24" x14ac:dyDescent="0.3">
      <c r="A16">
        <v>20724564</v>
      </c>
      <c r="B16" t="s">
        <v>107</v>
      </c>
      <c r="C16" t="s">
        <v>77</v>
      </c>
      <c r="D16" t="s">
        <v>123</v>
      </c>
      <c r="E16" t="s">
        <v>123</v>
      </c>
      <c r="F16" t="s">
        <v>57</v>
      </c>
      <c r="G16" t="s">
        <v>124</v>
      </c>
      <c r="H16" s="1">
        <v>45931</v>
      </c>
      <c r="I16" s="3">
        <v>0.21</v>
      </c>
      <c r="J16" t="s">
        <v>54</v>
      </c>
      <c r="K16">
        <v>100</v>
      </c>
      <c r="L16" s="1">
        <v>46143</v>
      </c>
      <c r="M16">
        <v>1</v>
      </c>
      <c r="N16">
        <v>0</v>
      </c>
      <c r="O16">
        <v>62</v>
      </c>
      <c r="P16">
        <v>147.65</v>
      </c>
      <c r="Q16" t="s">
        <v>82</v>
      </c>
      <c r="R16">
        <v>0</v>
      </c>
      <c r="S16">
        <v>0</v>
      </c>
      <c r="T16">
        <v>0</v>
      </c>
      <c r="V16" s="7">
        <f t="shared" si="1"/>
        <v>31.006499999999999</v>
      </c>
      <c r="W16" t="s">
        <v>255</v>
      </c>
    </row>
    <row r="17" spans="1:23" x14ac:dyDescent="0.3">
      <c r="A17">
        <v>16849453</v>
      </c>
      <c r="B17" t="s">
        <v>76</v>
      </c>
      <c r="C17" t="s">
        <v>77</v>
      </c>
      <c r="D17" t="s">
        <v>78</v>
      </c>
      <c r="E17" t="s">
        <v>78</v>
      </c>
      <c r="F17" t="s">
        <v>57</v>
      </c>
      <c r="G17" t="s">
        <v>80</v>
      </c>
      <c r="H17" s="1">
        <v>46082</v>
      </c>
      <c r="I17" s="3">
        <v>0.21</v>
      </c>
      <c r="J17" t="s">
        <v>54</v>
      </c>
      <c r="K17">
        <v>100</v>
      </c>
      <c r="L17" s="1">
        <v>46143</v>
      </c>
      <c r="M17">
        <v>1</v>
      </c>
      <c r="N17">
        <v>0</v>
      </c>
      <c r="O17">
        <v>270.2</v>
      </c>
      <c r="P17">
        <v>183.84</v>
      </c>
      <c r="Q17" t="s">
        <v>82</v>
      </c>
      <c r="R17">
        <v>0</v>
      </c>
      <c r="S17">
        <v>0</v>
      </c>
      <c r="T17">
        <v>0</v>
      </c>
      <c r="V17" s="7">
        <f t="shared" si="1"/>
        <v>38.606400000000001</v>
      </c>
      <c r="W17" t="s">
        <v>255</v>
      </c>
    </row>
    <row r="18" spans="1:23" x14ac:dyDescent="0.3">
      <c r="A18">
        <v>16849453</v>
      </c>
      <c r="B18" t="s">
        <v>76</v>
      </c>
      <c r="C18" t="s">
        <v>77</v>
      </c>
      <c r="D18" t="s">
        <v>83</v>
      </c>
      <c r="E18" t="s">
        <v>83</v>
      </c>
      <c r="F18" t="s">
        <v>57</v>
      </c>
      <c r="G18" t="s">
        <v>84</v>
      </c>
      <c r="H18" s="1">
        <v>46082</v>
      </c>
      <c r="I18" s="3">
        <v>0.21</v>
      </c>
      <c r="J18" t="s">
        <v>54</v>
      </c>
      <c r="K18">
        <v>100</v>
      </c>
      <c r="L18" s="1">
        <v>46143</v>
      </c>
      <c r="M18">
        <v>1</v>
      </c>
      <c r="N18">
        <v>0</v>
      </c>
      <c r="O18">
        <v>261.24</v>
      </c>
      <c r="P18">
        <v>177.73</v>
      </c>
      <c r="Q18" t="s">
        <v>82</v>
      </c>
      <c r="R18">
        <v>0</v>
      </c>
      <c r="S18">
        <v>0</v>
      </c>
      <c r="T18">
        <v>0</v>
      </c>
      <c r="V18" s="7">
        <f t="shared" si="1"/>
        <v>37.323299999999996</v>
      </c>
      <c r="W18" t="s">
        <v>255</v>
      </c>
    </row>
    <row r="19" spans="1:23" x14ac:dyDescent="0.3">
      <c r="A19">
        <v>20724564</v>
      </c>
      <c r="B19" t="s">
        <v>107</v>
      </c>
      <c r="C19" t="s">
        <v>77</v>
      </c>
      <c r="D19" t="s">
        <v>171</v>
      </c>
      <c r="E19" t="s">
        <v>171</v>
      </c>
      <c r="F19" t="s">
        <v>57</v>
      </c>
      <c r="G19" t="s">
        <v>172</v>
      </c>
      <c r="H19" s="1">
        <v>46023</v>
      </c>
      <c r="I19" s="3">
        <v>0.21</v>
      </c>
      <c r="J19" t="s">
        <v>54</v>
      </c>
      <c r="K19">
        <v>100</v>
      </c>
      <c r="L19" s="1">
        <v>46143</v>
      </c>
      <c r="M19">
        <v>1</v>
      </c>
      <c r="N19">
        <v>0</v>
      </c>
      <c r="O19">
        <v>183.55</v>
      </c>
      <c r="P19">
        <v>174.83</v>
      </c>
      <c r="Q19" t="s">
        <v>82</v>
      </c>
      <c r="R19">
        <v>0</v>
      </c>
      <c r="S19">
        <v>0</v>
      </c>
      <c r="T19">
        <v>0</v>
      </c>
      <c r="V19" s="7">
        <f t="shared" si="1"/>
        <v>36.714300000000001</v>
      </c>
      <c r="W19" t="s">
        <v>255</v>
      </c>
    </row>
    <row r="20" spans="1:23" x14ac:dyDescent="0.3">
      <c r="A20">
        <v>20724564</v>
      </c>
      <c r="B20" t="s">
        <v>107</v>
      </c>
      <c r="C20" t="s">
        <v>77</v>
      </c>
      <c r="D20" t="s">
        <v>117</v>
      </c>
      <c r="E20" t="s">
        <v>117</v>
      </c>
      <c r="F20" t="s">
        <v>57</v>
      </c>
      <c r="G20" t="s">
        <v>118</v>
      </c>
      <c r="H20" s="1">
        <v>45931</v>
      </c>
      <c r="I20" s="3">
        <v>0.21</v>
      </c>
      <c r="J20" t="s">
        <v>54</v>
      </c>
      <c r="K20">
        <v>100</v>
      </c>
      <c r="L20" s="1">
        <v>46143</v>
      </c>
      <c r="M20">
        <v>1</v>
      </c>
      <c r="N20">
        <v>0</v>
      </c>
      <c r="O20">
        <v>62</v>
      </c>
      <c r="P20">
        <v>147.65</v>
      </c>
      <c r="Q20" t="s">
        <v>82</v>
      </c>
      <c r="R20">
        <v>0</v>
      </c>
      <c r="S20">
        <v>0</v>
      </c>
      <c r="T20">
        <v>0</v>
      </c>
      <c r="V20" s="7">
        <f t="shared" si="1"/>
        <v>31.006499999999999</v>
      </c>
      <c r="W20" t="s">
        <v>255</v>
      </c>
    </row>
    <row r="21" spans="1:23" x14ac:dyDescent="0.3">
      <c r="A21">
        <v>20724564</v>
      </c>
      <c r="B21" t="s">
        <v>107</v>
      </c>
      <c r="C21" t="s">
        <v>77</v>
      </c>
      <c r="D21" t="s">
        <v>132</v>
      </c>
      <c r="E21" t="s">
        <v>132</v>
      </c>
      <c r="F21" t="s">
        <v>57</v>
      </c>
      <c r="G21" t="s">
        <v>133</v>
      </c>
      <c r="H21" s="1">
        <v>45931</v>
      </c>
      <c r="I21" s="3">
        <v>0.21</v>
      </c>
      <c r="J21" t="s">
        <v>54</v>
      </c>
      <c r="K21">
        <v>100</v>
      </c>
      <c r="L21" s="1">
        <v>46143</v>
      </c>
      <c r="M21">
        <v>1</v>
      </c>
      <c r="N21">
        <v>0</v>
      </c>
      <c r="O21">
        <v>68.62</v>
      </c>
      <c r="P21">
        <v>163.41</v>
      </c>
      <c r="Q21" t="s">
        <v>82</v>
      </c>
      <c r="R21">
        <v>0</v>
      </c>
      <c r="S21">
        <v>0</v>
      </c>
      <c r="T21">
        <v>0</v>
      </c>
      <c r="V21" s="7">
        <f t="shared" si="1"/>
        <v>34.316099999999999</v>
      </c>
      <c r="W21" t="s">
        <v>255</v>
      </c>
    </row>
    <row r="22" spans="1:23" x14ac:dyDescent="0.3">
      <c r="A22">
        <v>20724564</v>
      </c>
      <c r="B22" t="s">
        <v>107</v>
      </c>
      <c r="C22" t="s">
        <v>77</v>
      </c>
      <c r="D22" t="s">
        <v>138</v>
      </c>
      <c r="E22" t="s">
        <v>138</v>
      </c>
      <c r="F22" t="s">
        <v>57</v>
      </c>
      <c r="G22" t="s">
        <v>139</v>
      </c>
      <c r="H22" s="1">
        <v>45901</v>
      </c>
      <c r="I22" s="3">
        <v>0.21</v>
      </c>
      <c r="J22" t="s">
        <v>54</v>
      </c>
      <c r="K22">
        <v>100</v>
      </c>
      <c r="L22" s="1">
        <v>46143</v>
      </c>
      <c r="M22">
        <v>1</v>
      </c>
      <c r="N22">
        <v>0</v>
      </c>
      <c r="O22">
        <v>31</v>
      </c>
      <c r="P22">
        <v>147.65</v>
      </c>
      <c r="Q22" t="s">
        <v>82</v>
      </c>
      <c r="R22">
        <v>0</v>
      </c>
      <c r="S22">
        <v>0</v>
      </c>
      <c r="T22">
        <v>0</v>
      </c>
      <c r="V22" s="7">
        <f t="shared" si="1"/>
        <v>31.006499999999999</v>
      </c>
      <c r="W22" t="s">
        <v>255</v>
      </c>
    </row>
    <row r="23" spans="1:23" x14ac:dyDescent="0.3">
      <c r="A23">
        <v>20724564</v>
      </c>
      <c r="B23" t="s">
        <v>107</v>
      </c>
      <c r="C23" t="s">
        <v>77</v>
      </c>
      <c r="D23" t="s">
        <v>165</v>
      </c>
      <c r="E23" t="s">
        <v>165</v>
      </c>
      <c r="F23" t="s">
        <v>57</v>
      </c>
      <c r="G23" t="s">
        <v>166</v>
      </c>
      <c r="H23" s="1">
        <v>45931</v>
      </c>
      <c r="I23" s="3">
        <v>0.21</v>
      </c>
      <c r="J23" t="s">
        <v>54</v>
      </c>
      <c r="K23">
        <v>100</v>
      </c>
      <c r="L23" s="1">
        <v>46143</v>
      </c>
      <c r="M23">
        <v>1</v>
      </c>
      <c r="N23">
        <v>0</v>
      </c>
      <c r="O23">
        <v>74.3</v>
      </c>
      <c r="P23">
        <v>176.94</v>
      </c>
      <c r="Q23" t="s">
        <v>82</v>
      </c>
      <c r="R23">
        <v>0</v>
      </c>
      <c r="S23">
        <v>0</v>
      </c>
      <c r="T23">
        <v>0</v>
      </c>
      <c r="V23" s="7">
        <f t="shared" si="1"/>
        <v>37.157399999999996</v>
      </c>
      <c r="W23" t="s">
        <v>255</v>
      </c>
    </row>
    <row r="24" spans="1:23" x14ac:dyDescent="0.3">
      <c r="A24">
        <v>20724564</v>
      </c>
      <c r="B24" t="s">
        <v>107</v>
      </c>
      <c r="C24" t="s">
        <v>77</v>
      </c>
      <c r="D24" t="s">
        <v>162</v>
      </c>
      <c r="E24" t="s">
        <v>162</v>
      </c>
      <c r="F24" t="s">
        <v>57</v>
      </c>
      <c r="G24" t="s">
        <v>163</v>
      </c>
      <c r="H24" s="1">
        <v>46023</v>
      </c>
      <c r="I24" s="3">
        <v>0.21</v>
      </c>
      <c r="J24" t="s">
        <v>54</v>
      </c>
      <c r="K24">
        <v>100</v>
      </c>
      <c r="L24" s="1">
        <v>46143</v>
      </c>
      <c r="M24">
        <v>1</v>
      </c>
      <c r="N24">
        <v>0</v>
      </c>
      <c r="O24">
        <v>235.8</v>
      </c>
      <c r="P24">
        <v>224.58</v>
      </c>
      <c r="Q24" t="s">
        <v>82</v>
      </c>
      <c r="R24">
        <v>0</v>
      </c>
      <c r="S24">
        <v>0</v>
      </c>
      <c r="T24">
        <v>0</v>
      </c>
      <c r="V24" s="7">
        <f t="shared" si="1"/>
        <v>47.161799999999999</v>
      </c>
      <c r="W24" t="s">
        <v>255</v>
      </c>
    </row>
    <row r="25" spans="1:23" x14ac:dyDescent="0.3">
      <c r="A25">
        <v>20724564</v>
      </c>
      <c r="B25" t="s">
        <v>107</v>
      </c>
      <c r="C25" t="s">
        <v>77</v>
      </c>
      <c r="D25" t="s">
        <v>156</v>
      </c>
      <c r="E25" t="s">
        <v>156</v>
      </c>
      <c r="F25" t="s">
        <v>57</v>
      </c>
      <c r="G25" t="s">
        <v>157</v>
      </c>
      <c r="H25" s="1">
        <v>46023</v>
      </c>
      <c r="I25" s="3">
        <v>0.21</v>
      </c>
      <c r="J25" t="s">
        <v>54</v>
      </c>
      <c r="K25">
        <v>100</v>
      </c>
      <c r="L25" s="1">
        <v>46143</v>
      </c>
      <c r="M25">
        <v>1</v>
      </c>
      <c r="N25">
        <v>0</v>
      </c>
      <c r="O25">
        <v>232.4</v>
      </c>
      <c r="P25">
        <v>221.34</v>
      </c>
      <c r="Q25" t="s">
        <v>82</v>
      </c>
      <c r="R25">
        <v>0</v>
      </c>
      <c r="S25">
        <v>0</v>
      </c>
      <c r="T25">
        <v>0</v>
      </c>
      <c r="V25" s="7">
        <f t="shared" si="1"/>
        <v>46.481400000000001</v>
      </c>
      <c r="W25" t="s">
        <v>255</v>
      </c>
    </row>
    <row r="26" spans="1:23" x14ac:dyDescent="0.3">
      <c r="A26">
        <v>20724564</v>
      </c>
      <c r="B26" t="s">
        <v>107</v>
      </c>
      <c r="C26" t="s">
        <v>77</v>
      </c>
      <c r="D26" t="s">
        <v>120</v>
      </c>
      <c r="E26" t="s">
        <v>120</v>
      </c>
      <c r="F26" t="s">
        <v>57</v>
      </c>
      <c r="G26" t="s">
        <v>121</v>
      </c>
      <c r="H26" s="1">
        <v>45839</v>
      </c>
      <c r="I26" s="3">
        <v>0.21</v>
      </c>
      <c r="J26" t="s">
        <v>54</v>
      </c>
      <c r="K26">
        <v>100</v>
      </c>
      <c r="L26" s="1">
        <v>46143</v>
      </c>
      <c r="M26">
        <v>1</v>
      </c>
      <c r="N26">
        <v>0</v>
      </c>
      <c r="O26">
        <v>0</v>
      </c>
      <c r="P26">
        <v>203.9</v>
      </c>
      <c r="Q26" t="s">
        <v>82</v>
      </c>
      <c r="R26">
        <v>0</v>
      </c>
      <c r="S26">
        <v>0</v>
      </c>
      <c r="T26">
        <v>42.81</v>
      </c>
      <c r="V26" s="7">
        <f t="shared" si="1"/>
        <v>42.819000000000003</v>
      </c>
      <c r="W26" t="s">
        <v>255</v>
      </c>
    </row>
    <row r="27" spans="1:23" x14ac:dyDescent="0.3">
      <c r="A27">
        <v>20724564</v>
      </c>
      <c r="B27" t="s">
        <v>107</v>
      </c>
      <c r="C27" t="s">
        <v>77</v>
      </c>
      <c r="D27" t="s">
        <v>135</v>
      </c>
      <c r="E27" t="s">
        <v>135</v>
      </c>
      <c r="F27" t="s">
        <v>57</v>
      </c>
      <c r="G27" t="s">
        <v>136</v>
      </c>
      <c r="H27" s="1">
        <v>45931</v>
      </c>
      <c r="I27" s="3">
        <v>0.21</v>
      </c>
      <c r="J27" t="s">
        <v>54</v>
      </c>
      <c r="K27">
        <v>100</v>
      </c>
      <c r="L27" s="1">
        <v>46143</v>
      </c>
      <c r="M27">
        <v>1</v>
      </c>
      <c r="N27">
        <v>0</v>
      </c>
      <c r="O27">
        <v>66.34</v>
      </c>
      <c r="P27">
        <v>157.97999999999999</v>
      </c>
      <c r="Q27" t="s">
        <v>82</v>
      </c>
      <c r="R27">
        <v>0</v>
      </c>
      <c r="S27">
        <v>0</v>
      </c>
      <c r="T27">
        <v>0</v>
      </c>
      <c r="V27" s="7">
        <f t="shared" si="1"/>
        <v>33.175799999999995</v>
      </c>
      <c r="W27" t="s">
        <v>255</v>
      </c>
    </row>
    <row r="28" spans="1:23" x14ac:dyDescent="0.3">
      <c r="A28">
        <v>20724564</v>
      </c>
      <c r="B28" t="s">
        <v>107</v>
      </c>
      <c r="C28" t="s">
        <v>77</v>
      </c>
      <c r="D28" t="s">
        <v>126</v>
      </c>
      <c r="E28" t="s">
        <v>126</v>
      </c>
      <c r="F28" t="s">
        <v>57</v>
      </c>
      <c r="G28" t="s">
        <v>127</v>
      </c>
      <c r="H28" s="1">
        <v>46023</v>
      </c>
      <c r="I28" s="3">
        <v>0.21</v>
      </c>
      <c r="J28" t="s">
        <v>54</v>
      </c>
      <c r="K28">
        <v>100</v>
      </c>
      <c r="L28" s="1">
        <v>46143</v>
      </c>
      <c r="M28">
        <v>1</v>
      </c>
      <c r="N28">
        <v>0</v>
      </c>
      <c r="O28">
        <v>174.4</v>
      </c>
      <c r="P28">
        <v>166.11</v>
      </c>
      <c r="Q28" t="s">
        <v>82</v>
      </c>
      <c r="R28">
        <v>0</v>
      </c>
      <c r="S28">
        <v>0</v>
      </c>
      <c r="T28">
        <v>0</v>
      </c>
      <c r="V28" s="7">
        <f t="shared" si="1"/>
        <v>34.883099999999999</v>
      </c>
      <c r="W28" t="s">
        <v>255</v>
      </c>
    </row>
    <row r="29" spans="1:23" x14ac:dyDescent="0.3">
      <c r="A29">
        <v>20724564</v>
      </c>
      <c r="B29" t="s">
        <v>107</v>
      </c>
      <c r="C29" t="s">
        <v>77</v>
      </c>
      <c r="D29" t="s">
        <v>144</v>
      </c>
      <c r="E29" t="s">
        <v>144</v>
      </c>
      <c r="F29" t="s">
        <v>57</v>
      </c>
      <c r="G29" t="s">
        <v>145</v>
      </c>
      <c r="H29" s="1">
        <v>45962</v>
      </c>
      <c r="I29" s="3">
        <v>0.21</v>
      </c>
      <c r="J29" t="s">
        <v>54</v>
      </c>
      <c r="K29">
        <v>100</v>
      </c>
      <c r="L29" s="1">
        <v>46143</v>
      </c>
      <c r="M29">
        <v>1</v>
      </c>
      <c r="N29">
        <v>0</v>
      </c>
      <c r="O29">
        <v>102.93</v>
      </c>
      <c r="P29">
        <v>163.41</v>
      </c>
      <c r="Q29" t="s">
        <v>82</v>
      </c>
      <c r="R29">
        <v>0</v>
      </c>
      <c r="S29">
        <v>0</v>
      </c>
      <c r="T29">
        <v>0</v>
      </c>
      <c r="V29" s="7">
        <f t="shared" si="1"/>
        <v>34.316099999999999</v>
      </c>
      <c r="W29" t="s">
        <v>255</v>
      </c>
    </row>
    <row r="30" spans="1:23" x14ac:dyDescent="0.3">
      <c r="A30">
        <v>20724564</v>
      </c>
      <c r="B30" t="s">
        <v>107</v>
      </c>
      <c r="C30" t="s">
        <v>77</v>
      </c>
      <c r="D30" t="s">
        <v>114</v>
      </c>
      <c r="E30" t="s">
        <v>114</v>
      </c>
      <c r="F30" t="s">
        <v>57</v>
      </c>
      <c r="G30" t="s">
        <v>115</v>
      </c>
      <c r="H30" s="1">
        <v>45901</v>
      </c>
      <c r="I30" s="3">
        <v>0.21</v>
      </c>
      <c r="J30" t="s">
        <v>54</v>
      </c>
      <c r="K30">
        <v>100</v>
      </c>
      <c r="L30" s="1">
        <v>46143</v>
      </c>
      <c r="M30">
        <v>1</v>
      </c>
      <c r="N30">
        <v>0</v>
      </c>
      <c r="O30">
        <v>34.31</v>
      </c>
      <c r="P30">
        <v>163.41</v>
      </c>
      <c r="Q30" t="s">
        <v>82</v>
      </c>
      <c r="R30">
        <v>0</v>
      </c>
      <c r="S30">
        <v>0</v>
      </c>
      <c r="T30">
        <v>0</v>
      </c>
      <c r="V30" s="7">
        <f t="shared" si="1"/>
        <v>34.316099999999999</v>
      </c>
      <c r="W30" t="s">
        <v>255</v>
      </c>
    </row>
    <row r="31" spans="1:23" x14ac:dyDescent="0.3">
      <c r="A31">
        <v>20724564</v>
      </c>
      <c r="B31" t="s">
        <v>107</v>
      </c>
      <c r="C31" t="s">
        <v>77</v>
      </c>
      <c r="D31" t="s">
        <v>129</v>
      </c>
      <c r="E31" t="s">
        <v>129</v>
      </c>
      <c r="F31" t="s">
        <v>57</v>
      </c>
      <c r="G31" t="s">
        <v>130</v>
      </c>
      <c r="H31" s="1">
        <v>45901</v>
      </c>
      <c r="I31" s="3">
        <v>0.21</v>
      </c>
      <c r="J31" t="s">
        <v>54</v>
      </c>
      <c r="K31">
        <v>100</v>
      </c>
      <c r="L31" s="1">
        <v>46143</v>
      </c>
      <c r="M31">
        <v>1</v>
      </c>
      <c r="N31">
        <v>0</v>
      </c>
      <c r="O31">
        <v>34.31</v>
      </c>
      <c r="P31">
        <v>163.41</v>
      </c>
      <c r="Q31" t="s">
        <v>82</v>
      </c>
      <c r="R31">
        <v>0</v>
      </c>
      <c r="S31">
        <v>0</v>
      </c>
      <c r="T31">
        <v>0</v>
      </c>
      <c r="V31" s="7">
        <f t="shared" si="1"/>
        <v>34.316099999999999</v>
      </c>
      <c r="W31" t="s">
        <v>255</v>
      </c>
    </row>
    <row r="32" spans="1:23" x14ac:dyDescent="0.3">
      <c r="A32">
        <v>21564088</v>
      </c>
      <c r="B32" t="s">
        <v>187</v>
      </c>
      <c r="C32" t="s">
        <v>179</v>
      </c>
      <c r="D32" t="s">
        <v>188</v>
      </c>
      <c r="E32" t="s">
        <v>188</v>
      </c>
      <c r="F32" t="s">
        <v>57</v>
      </c>
      <c r="G32" t="s">
        <v>189</v>
      </c>
      <c r="H32" s="1">
        <v>45992</v>
      </c>
      <c r="I32" s="3">
        <v>0.23</v>
      </c>
      <c r="J32" t="s">
        <v>54</v>
      </c>
      <c r="K32">
        <v>100</v>
      </c>
      <c r="L32" s="1">
        <v>46143</v>
      </c>
      <c r="M32">
        <v>1</v>
      </c>
      <c r="N32">
        <v>0</v>
      </c>
      <c r="O32">
        <v>135.84</v>
      </c>
      <c r="P32">
        <v>147.66999999999999</v>
      </c>
      <c r="Q32" t="s">
        <v>82</v>
      </c>
      <c r="R32">
        <v>0</v>
      </c>
      <c r="S32">
        <v>0</v>
      </c>
      <c r="T32">
        <v>0</v>
      </c>
      <c r="V32" s="7">
        <f t="shared" si="1"/>
        <v>33.964100000000002</v>
      </c>
      <c r="W32" t="s">
        <v>256</v>
      </c>
    </row>
    <row r="33" spans="1:23" x14ac:dyDescent="0.3">
      <c r="A33">
        <v>21564088</v>
      </c>
      <c r="B33" t="s">
        <v>187</v>
      </c>
      <c r="C33" t="s">
        <v>179</v>
      </c>
      <c r="D33" t="s">
        <v>191</v>
      </c>
      <c r="E33" t="s">
        <v>191</v>
      </c>
      <c r="F33" t="s">
        <v>57</v>
      </c>
      <c r="G33" t="s">
        <v>192</v>
      </c>
      <c r="H33" s="1">
        <v>45992</v>
      </c>
      <c r="I33" s="3">
        <v>0.23</v>
      </c>
      <c r="J33" t="s">
        <v>54</v>
      </c>
      <c r="K33">
        <v>100</v>
      </c>
      <c r="L33" s="1">
        <v>46143</v>
      </c>
      <c r="M33">
        <v>1</v>
      </c>
      <c r="N33">
        <v>0</v>
      </c>
      <c r="O33">
        <v>149.04</v>
      </c>
      <c r="P33">
        <v>162.01</v>
      </c>
      <c r="Q33" t="s">
        <v>82</v>
      </c>
      <c r="R33">
        <v>0</v>
      </c>
      <c r="S33">
        <v>0</v>
      </c>
      <c r="T33">
        <v>0</v>
      </c>
      <c r="V33" s="7">
        <f t="shared" si="1"/>
        <v>37.262299999999996</v>
      </c>
      <c r="W33" t="s">
        <v>256</v>
      </c>
    </row>
    <row r="38" spans="1:23" x14ac:dyDescent="0.3">
      <c r="A38">
        <v>20724564</v>
      </c>
      <c r="B38" t="s">
        <v>107</v>
      </c>
      <c r="C38" t="s">
        <v>77</v>
      </c>
      <c r="D38" t="s">
        <v>159</v>
      </c>
      <c r="F38" t="s">
        <v>49</v>
      </c>
      <c r="G38" t="s">
        <v>160</v>
      </c>
      <c r="H38" s="1">
        <v>46023</v>
      </c>
      <c r="I38" s="2">
        <v>28.92</v>
      </c>
      <c r="J38" t="s">
        <v>54</v>
      </c>
      <c r="K38">
        <v>100</v>
      </c>
      <c r="L38" s="1">
        <v>46143</v>
      </c>
      <c r="M38">
        <v>1</v>
      </c>
      <c r="N38">
        <v>0</v>
      </c>
      <c r="O38">
        <v>231.36</v>
      </c>
      <c r="P38">
        <v>0</v>
      </c>
      <c r="R38">
        <v>0</v>
      </c>
      <c r="S38">
        <v>0</v>
      </c>
      <c r="T38">
        <v>0</v>
      </c>
    </row>
    <row r="39" spans="1:23" x14ac:dyDescent="0.3">
      <c r="A39">
        <v>20724564</v>
      </c>
      <c r="B39" t="s">
        <v>107</v>
      </c>
      <c r="C39" t="s">
        <v>77</v>
      </c>
      <c r="D39" t="s">
        <v>111</v>
      </c>
      <c r="F39" t="s">
        <v>49</v>
      </c>
      <c r="G39" t="s">
        <v>112</v>
      </c>
      <c r="H39" s="1">
        <v>46023</v>
      </c>
      <c r="I39" s="2">
        <v>28.92</v>
      </c>
      <c r="J39" t="s">
        <v>54</v>
      </c>
      <c r="K39">
        <v>100</v>
      </c>
      <c r="L39" s="1">
        <v>46143</v>
      </c>
      <c r="M39">
        <v>1</v>
      </c>
      <c r="N39">
        <v>0</v>
      </c>
      <c r="O39">
        <v>231.36</v>
      </c>
      <c r="P39">
        <v>0</v>
      </c>
      <c r="R39">
        <v>0</v>
      </c>
      <c r="S39">
        <v>0</v>
      </c>
      <c r="T39">
        <v>0</v>
      </c>
    </row>
    <row r="40" spans="1:23" x14ac:dyDescent="0.3">
      <c r="A40">
        <v>18581063</v>
      </c>
      <c r="B40" t="s">
        <v>223</v>
      </c>
      <c r="C40" t="s">
        <v>212</v>
      </c>
      <c r="D40" t="s">
        <v>224</v>
      </c>
      <c r="F40" t="s">
        <v>49</v>
      </c>
      <c r="G40" t="s">
        <v>225</v>
      </c>
      <c r="H40" s="1">
        <v>46023</v>
      </c>
      <c r="I40" s="2">
        <v>28.92</v>
      </c>
      <c r="J40" t="s">
        <v>54</v>
      </c>
      <c r="K40">
        <v>100</v>
      </c>
      <c r="L40" s="1">
        <v>46143</v>
      </c>
      <c r="M40">
        <v>1</v>
      </c>
      <c r="N40">
        <v>0</v>
      </c>
      <c r="O40">
        <v>231.36</v>
      </c>
      <c r="P40">
        <v>0</v>
      </c>
      <c r="R40">
        <v>0</v>
      </c>
      <c r="S40">
        <v>0</v>
      </c>
      <c r="T40">
        <v>0</v>
      </c>
    </row>
    <row r="41" spans="1:23" x14ac:dyDescent="0.3">
      <c r="A41">
        <v>16849453</v>
      </c>
      <c r="B41" t="s">
        <v>76</v>
      </c>
      <c r="C41" t="s">
        <v>77</v>
      </c>
      <c r="D41" t="s">
        <v>95</v>
      </c>
      <c r="F41" t="s">
        <v>49</v>
      </c>
      <c r="G41" t="s">
        <v>96</v>
      </c>
      <c r="H41" s="1">
        <v>46054</v>
      </c>
      <c r="I41" s="2">
        <v>28.92</v>
      </c>
      <c r="J41" t="s">
        <v>54</v>
      </c>
      <c r="K41">
        <v>100</v>
      </c>
      <c r="L41" s="1">
        <v>46143</v>
      </c>
      <c r="M41">
        <v>1</v>
      </c>
      <c r="N41">
        <v>0</v>
      </c>
      <c r="O41">
        <v>231.36</v>
      </c>
      <c r="P41">
        <v>0</v>
      </c>
      <c r="R41">
        <v>0</v>
      </c>
      <c r="S41">
        <v>0</v>
      </c>
      <c r="T41">
        <v>0</v>
      </c>
    </row>
    <row r="42" spans="1:23" x14ac:dyDescent="0.3">
      <c r="A42">
        <v>18581063</v>
      </c>
      <c r="B42" t="s">
        <v>223</v>
      </c>
      <c r="C42" t="s">
        <v>212</v>
      </c>
      <c r="D42" t="s">
        <v>239</v>
      </c>
      <c r="F42" t="s">
        <v>49</v>
      </c>
      <c r="G42" t="s">
        <v>240</v>
      </c>
      <c r="H42" s="1">
        <v>46023</v>
      </c>
      <c r="I42" s="2">
        <v>28.92</v>
      </c>
      <c r="J42" t="s">
        <v>54</v>
      </c>
      <c r="K42">
        <v>100</v>
      </c>
      <c r="L42" s="1">
        <v>46143</v>
      </c>
      <c r="M42">
        <v>1</v>
      </c>
      <c r="N42">
        <v>0</v>
      </c>
      <c r="O42">
        <v>231.36</v>
      </c>
      <c r="P42">
        <v>0</v>
      </c>
      <c r="R42">
        <v>0</v>
      </c>
      <c r="S42">
        <v>0</v>
      </c>
      <c r="T42">
        <v>0</v>
      </c>
    </row>
    <row r="43" spans="1:23" x14ac:dyDescent="0.3">
      <c r="A43">
        <v>17859093</v>
      </c>
      <c r="B43" t="s">
        <v>62</v>
      </c>
      <c r="C43" t="s">
        <v>46</v>
      </c>
      <c r="D43" t="s">
        <v>63</v>
      </c>
      <c r="F43" t="s">
        <v>49</v>
      </c>
      <c r="G43" t="s">
        <v>64</v>
      </c>
      <c r="H43" s="1">
        <v>46054</v>
      </c>
      <c r="I43" s="2">
        <v>65</v>
      </c>
      <c r="J43" t="s">
        <v>54</v>
      </c>
      <c r="K43">
        <v>100</v>
      </c>
      <c r="L43" s="1">
        <v>46143</v>
      </c>
      <c r="M43">
        <v>1</v>
      </c>
      <c r="N43">
        <v>0</v>
      </c>
      <c r="O43">
        <v>585</v>
      </c>
      <c r="P43">
        <v>0</v>
      </c>
      <c r="R43">
        <v>0</v>
      </c>
      <c r="S43">
        <v>0</v>
      </c>
      <c r="T43">
        <v>0</v>
      </c>
    </row>
    <row r="44" spans="1:23" x14ac:dyDescent="0.3">
      <c r="A44">
        <v>19491313</v>
      </c>
      <c r="B44" t="s">
        <v>178</v>
      </c>
      <c r="C44" t="s">
        <v>179</v>
      </c>
      <c r="D44" t="s">
        <v>180</v>
      </c>
      <c r="F44" t="s">
        <v>49</v>
      </c>
      <c r="G44" t="s">
        <v>182</v>
      </c>
      <c r="H44" s="1">
        <v>46054</v>
      </c>
      <c r="I44" s="2">
        <v>28.92</v>
      </c>
      <c r="J44" t="s">
        <v>54</v>
      </c>
      <c r="K44">
        <v>100</v>
      </c>
      <c r="L44" s="1">
        <v>46143</v>
      </c>
      <c r="M44">
        <v>1</v>
      </c>
      <c r="N44">
        <v>0</v>
      </c>
      <c r="O44">
        <v>231.36</v>
      </c>
      <c r="P44">
        <v>0</v>
      </c>
      <c r="R44">
        <v>0</v>
      </c>
      <c r="S44">
        <v>0</v>
      </c>
      <c r="T44">
        <v>0</v>
      </c>
    </row>
    <row r="45" spans="1:23" x14ac:dyDescent="0.3">
      <c r="A45">
        <v>19491313</v>
      </c>
      <c r="B45" t="s">
        <v>178</v>
      </c>
      <c r="C45" t="s">
        <v>179</v>
      </c>
      <c r="D45" t="s">
        <v>184</v>
      </c>
      <c r="F45" t="s">
        <v>49</v>
      </c>
      <c r="G45" t="s">
        <v>185</v>
      </c>
      <c r="H45" s="1">
        <v>46054</v>
      </c>
      <c r="I45" s="2">
        <v>57.84</v>
      </c>
      <c r="J45" t="s">
        <v>54</v>
      </c>
      <c r="K45">
        <v>100</v>
      </c>
      <c r="L45" s="1">
        <v>46143</v>
      </c>
      <c r="M45">
        <v>1</v>
      </c>
      <c r="N45">
        <v>0</v>
      </c>
      <c r="O45">
        <v>462.72</v>
      </c>
      <c r="P45">
        <v>0</v>
      </c>
      <c r="R45">
        <v>0</v>
      </c>
      <c r="S45">
        <v>0</v>
      </c>
      <c r="T45">
        <v>0</v>
      </c>
    </row>
    <row r="46" spans="1:23" x14ac:dyDescent="0.3">
      <c r="A46">
        <v>18581063</v>
      </c>
      <c r="B46" t="s">
        <v>223</v>
      </c>
      <c r="C46" t="s">
        <v>212</v>
      </c>
      <c r="D46" t="s">
        <v>227</v>
      </c>
      <c r="F46" t="s">
        <v>49</v>
      </c>
      <c r="G46" t="s">
        <v>228</v>
      </c>
      <c r="H46" s="1">
        <v>46023</v>
      </c>
      <c r="I46" s="2">
        <v>28.92</v>
      </c>
      <c r="J46" t="s">
        <v>54</v>
      </c>
      <c r="K46">
        <v>100</v>
      </c>
      <c r="L46" s="1">
        <v>46143</v>
      </c>
      <c r="M46">
        <v>1</v>
      </c>
      <c r="N46">
        <v>0</v>
      </c>
      <c r="O46">
        <v>231.36</v>
      </c>
      <c r="P46">
        <v>0</v>
      </c>
      <c r="R46">
        <v>0</v>
      </c>
      <c r="S46">
        <v>0</v>
      </c>
      <c r="T46">
        <v>0</v>
      </c>
    </row>
    <row r="47" spans="1:23" x14ac:dyDescent="0.3">
      <c r="A47">
        <v>19645587</v>
      </c>
      <c r="B47" t="s">
        <v>45</v>
      </c>
      <c r="C47" t="s">
        <v>212</v>
      </c>
      <c r="D47" t="s">
        <v>217</v>
      </c>
      <c r="F47" t="s">
        <v>49</v>
      </c>
      <c r="G47" t="s">
        <v>218</v>
      </c>
      <c r="H47" s="1">
        <v>46113</v>
      </c>
      <c r="I47" s="2">
        <v>57.84</v>
      </c>
      <c r="J47" t="s">
        <v>54</v>
      </c>
      <c r="K47">
        <v>100</v>
      </c>
      <c r="L47" s="1">
        <v>46143</v>
      </c>
      <c r="M47">
        <v>1</v>
      </c>
      <c r="N47">
        <v>0</v>
      </c>
      <c r="O47">
        <v>636.24</v>
      </c>
      <c r="P47">
        <v>0</v>
      </c>
      <c r="R47">
        <v>0</v>
      </c>
      <c r="S47">
        <v>0</v>
      </c>
      <c r="T47">
        <v>0</v>
      </c>
    </row>
    <row r="48" spans="1:23" x14ac:dyDescent="0.3">
      <c r="A48">
        <v>20724564</v>
      </c>
      <c r="B48" t="s">
        <v>107</v>
      </c>
      <c r="C48" t="s">
        <v>77</v>
      </c>
      <c r="D48" t="s">
        <v>153</v>
      </c>
      <c r="F48" t="s">
        <v>49</v>
      </c>
      <c r="G48" t="s">
        <v>154</v>
      </c>
      <c r="H48" s="1">
        <v>46023</v>
      </c>
      <c r="J48" t="s">
        <v>54</v>
      </c>
      <c r="K48">
        <v>100</v>
      </c>
      <c r="N48">
        <v>0</v>
      </c>
      <c r="O48">
        <v>0</v>
      </c>
      <c r="P48">
        <v>0</v>
      </c>
      <c r="R48">
        <v>0</v>
      </c>
      <c r="S48">
        <v>0</v>
      </c>
      <c r="T48">
        <v>0</v>
      </c>
      <c r="U48" t="s">
        <v>61</v>
      </c>
    </row>
    <row r="49" spans="1:21" x14ac:dyDescent="0.3">
      <c r="A49">
        <v>16849453</v>
      </c>
      <c r="B49" t="s">
        <v>76</v>
      </c>
      <c r="C49" t="s">
        <v>77</v>
      </c>
      <c r="D49" t="s">
        <v>98</v>
      </c>
      <c r="F49" t="s">
        <v>49</v>
      </c>
      <c r="G49" t="s">
        <v>99</v>
      </c>
      <c r="H49" s="1">
        <v>46082</v>
      </c>
      <c r="I49" s="3">
        <v>0</v>
      </c>
      <c r="J49" t="s">
        <v>54</v>
      </c>
      <c r="K49">
        <v>100</v>
      </c>
      <c r="L49" s="1">
        <v>46143</v>
      </c>
      <c r="M49">
        <v>1</v>
      </c>
      <c r="N49">
        <v>0</v>
      </c>
      <c r="O49">
        <v>0</v>
      </c>
      <c r="P49">
        <v>0</v>
      </c>
      <c r="R49">
        <v>0</v>
      </c>
      <c r="S49">
        <v>0</v>
      </c>
      <c r="T49">
        <v>0</v>
      </c>
    </row>
    <row r="50" spans="1:21" x14ac:dyDescent="0.3">
      <c r="A50">
        <v>18581063</v>
      </c>
      <c r="B50" t="s">
        <v>223</v>
      </c>
      <c r="C50" t="s">
        <v>212</v>
      </c>
      <c r="D50" t="s">
        <v>230</v>
      </c>
      <c r="F50" t="s">
        <v>49</v>
      </c>
      <c r="G50" t="s">
        <v>231</v>
      </c>
      <c r="H50" s="1">
        <v>46023</v>
      </c>
      <c r="I50" s="2">
        <v>28.92</v>
      </c>
      <c r="J50" t="s">
        <v>54</v>
      </c>
      <c r="K50">
        <v>100</v>
      </c>
      <c r="L50" s="1">
        <v>46143</v>
      </c>
      <c r="M50">
        <v>1</v>
      </c>
      <c r="N50">
        <v>0</v>
      </c>
      <c r="O50">
        <v>231.36</v>
      </c>
      <c r="P50">
        <v>0</v>
      </c>
      <c r="R50">
        <v>0</v>
      </c>
      <c r="S50">
        <v>0</v>
      </c>
      <c r="T50">
        <v>0</v>
      </c>
    </row>
    <row r="51" spans="1:21" x14ac:dyDescent="0.3">
      <c r="A51">
        <v>21435997</v>
      </c>
      <c r="B51" t="s">
        <v>194</v>
      </c>
      <c r="C51" t="s">
        <v>179</v>
      </c>
      <c r="D51" t="s">
        <v>195</v>
      </c>
      <c r="F51" t="s">
        <v>49</v>
      </c>
      <c r="G51" t="s">
        <v>196</v>
      </c>
      <c r="H51" s="1">
        <v>46054</v>
      </c>
      <c r="I51" s="2">
        <v>28.92</v>
      </c>
      <c r="J51" t="s">
        <v>54</v>
      </c>
      <c r="K51">
        <v>100</v>
      </c>
      <c r="L51" s="1">
        <v>46143</v>
      </c>
      <c r="M51">
        <v>1</v>
      </c>
      <c r="N51">
        <v>0</v>
      </c>
      <c r="O51">
        <v>231.36</v>
      </c>
      <c r="P51">
        <v>0</v>
      </c>
      <c r="R51">
        <v>0</v>
      </c>
      <c r="S51">
        <v>0</v>
      </c>
      <c r="T51">
        <v>0</v>
      </c>
    </row>
    <row r="52" spans="1:21" x14ac:dyDescent="0.3">
      <c r="A52">
        <v>20724564</v>
      </c>
      <c r="B52" t="s">
        <v>107</v>
      </c>
      <c r="C52" t="s">
        <v>77</v>
      </c>
      <c r="D52" t="s">
        <v>150</v>
      </c>
      <c r="F52" t="s">
        <v>49</v>
      </c>
      <c r="G52" t="s">
        <v>151</v>
      </c>
      <c r="H52" s="1">
        <v>46023</v>
      </c>
      <c r="I52" s="2">
        <v>52.17</v>
      </c>
      <c r="J52" t="s">
        <v>54</v>
      </c>
      <c r="K52">
        <v>100</v>
      </c>
      <c r="L52" s="1">
        <v>46143</v>
      </c>
      <c r="M52">
        <v>1</v>
      </c>
      <c r="N52">
        <v>0</v>
      </c>
      <c r="O52">
        <v>417.36</v>
      </c>
      <c r="P52">
        <v>0</v>
      </c>
      <c r="R52">
        <v>0</v>
      </c>
      <c r="S52">
        <v>0</v>
      </c>
      <c r="T52">
        <v>0</v>
      </c>
    </row>
    <row r="53" spans="1:21" x14ac:dyDescent="0.3">
      <c r="A53">
        <v>20724564</v>
      </c>
      <c r="B53" t="s">
        <v>107</v>
      </c>
      <c r="C53" t="s">
        <v>77</v>
      </c>
      <c r="D53" t="s">
        <v>168</v>
      </c>
      <c r="F53" t="s">
        <v>49</v>
      </c>
      <c r="G53" t="s">
        <v>169</v>
      </c>
      <c r="H53" s="1">
        <v>46023</v>
      </c>
      <c r="I53" s="2">
        <v>52.17</v>
      </c>
      <c r="J53" t="s">
        <v>54</v>
      </c>
      <c r="K53">
        <v>100</v>
      </c>
      <c r="L53" s="1">
        <v>46143</v>
      </c>
      <c r="M53">
        <v>1</v>
      </c>
      <c r="N53">
        <v>0</v>
      </c>
      <c r="O53">
        <v>417.36</v>
      </c>
      <c r="P53">
        <v>0</v>
      </c>
      <c r="R53">
        <v>0</v>
      </c>
      <c r="S53">
        <v>0</v>
      </c>
      <c r="T53">
        <v>0</v>
      </c>
    </row>
    <row r="54" spans="1:21" x14ac:dyDescent="0.3">
      <c r="A54">
        <v>18754354</v>
      </c>
      <c r="B54" t="s">
        <v>211</v>
      </c>
      <c r="C54" t="s">
        <v>212</v>
      </c>
      <c r="D54" t="s">
        <v>213</v>
      </c>
      <c r="F54" t="s">
        <v>49</v>
      </c>
      <c r="G54" t="s">
        <v>215</v>
      </c>
      <c r="H54" s="1">
        <v>46023</v>
      </c>
      <c r="I54" s="2">
        <v>28.92</v>
      </c>
      <c r="J54" t="s">
        <v>54</v>
      </c>
      <c r="K54">
        <v>100</v>
      </c>
      <c r="L54" s="1">
        <v>46143</v>
      </c>
      <c r="M54">
        <v>1</v>
      </c>
      <c r="N54">
        <v>0</v>
      </c>
      <c r="O54">
        <v>231.36</v>
      </c>
      <c r="P54">
        <v>0</v>
      </c>
      <c r="R54">
        <v>0</v>
      </c>
      <c r="S54">
        <v>0</v>
      </c>
      <c r="T54">
        <v>0</v>
      </c>
    </row>
    <row r="55" spans="1:21" x14ac:dyDescent="0.3">
      <c r="A55">
        <v>18581063</v>
      </c>
      <c r="B55" t="s">
        <v>223</v>
      </c>
      <c r="C55" t="s">
        <v>212</v>
      </c>
      <c r="D55" t="s">
        <v>242</v>
      </c>
      <c r="F55" t="s">
        <v>49</v>
      </c>
      <c r="G55" t="s">
        <v>243</v>
      </c>
      <c r="H55" s="1">
        <v>46023</v>
      </c>
      <c r="I55" s="2">
        <v>28.92</v>
      </c>
      <c r="J55" t="s">
        <v>54</v>
      </c>
      <c r="K55">
        <v>100</v>
      </c>
      <c r="L55" s="1">
        <v>46143</v>
      </c>
      <c r="M55">
        <v>1</v>
      </c>
      <c r="N55">
        <v>0</v>
      </c>
      <c r="O55">
        <v>231.36</v>
      </c>
      <c r="P55">
        <v>0</v>
      </c>
      <c r="R55">
        <v>0</v>
      </c>
      <c r="S55">
        <v>0</v>
      </c>
      <c r="T55">
        <v>0</v>
      </c>
    </row>
    <row r="56" spans="1:21" x14ac:dyDescent="0.3">
      <c r="A56">
        <v>18581063</v>
      </c>
      <c r="B56" t="s">
        <v>223</v>
      </c>
      <c r="C56" t="s">
        <v>212</v>
      </c>
      <c r="D56" t="s">
        <v>233</v>
      </c>
      <c r="F56" t="s">
        <v>49</v>
      </c>
      <c r="G56" t="s">
        <v>234</v>
      </c>
      <c r="H56" s="1">
        <v>46023</v>
      </c>
      <c r="I56" s="2">
        <v>28.92</v>
      </c>
      <c r="J56" t="s">
        <v>54</v>
      </c>
      <c r="K56">
        <v>100</v>
      </c>
      <c r="L56" s="1">
        <v>46143</v>
      </c>
      <c r="M56">
        <v>1</v>
      </c>
      <c r="N56">
        <v>0</v>
      </c>
      <c r="O56">
        <v>231.36</v>
      </c>
      <c r="P56">
        <v>0</v>
      </c>
      <c r="R56">
        <v>0</v>
      </c>
      <c r="S56">
        <v>0</v>
      </c>
      <c r="T56">
        <v>0</v>
      </c>
    </row>
    <row r="57" spans="1:21" x14ac:dyDescent="0.3">
      <c r="A57">
        <v>18581063</v>
      </c>
      <c r="B57" t="s">
        <v>223</v>
      </c>
      <c r="C57" t="s">
        <v>212</v>
      </c>
      <c r="D57" t="s">
        <v>236</v>
      </c>
      <c r="F57" t="s">
        <v>49</v>
      </c>
      <c r="G57" t="s">
        <v>237</v>
      </c>
      <c r="H57" s="1">
        <v>46023</v>
      </c>
      <c r="I57" s="2">
        <v>28.92</v>
      </c>
      <c r="J57" t="s">
        <v>54</v>
      </c>
      <c r="K57">
        <v>100</v>
      </c>
      <c r="L57" s="1">
        <v>46143</v>
      </c>
      <c r="M57">
        <v>1</v>
      </c>
      <c r="N57">
        <v>0</v>
      </c>
      <c r="O57">
        <v>231.36</v>
      </c>
      <c r="P57">
        <v>0</v>
      </c>
      <c r="R57">
        <v>0</v>
      </c>
      <c r="S57">
        <v>0</v>
      </c>
      <c r="T57">
        <v>0</v>
      </c>
    </row>
    <row r="58" spans="1:21" x14ac:dyDescent="0.3">
      <c r="A58">
        <v>19645587</v>
      </c>
      <c r="B58" t="s">
        <v>45</v>
      </c>
      <c r="C58" t="s">
        <v>46</v>
      </c>
      <c r="D58" t="s">
        <v>48</v>
      </c>
      <c r="F58" t="s">
        <v>49</v>
      </c>
      <c r="G58" t="s">
        <v>51</v>
      </c>
      <c r="H58" s="1">
        <v>46023</v>
      </c>
      <c r="I58" s="2">
        <v>65</v>
      </c>
      <c r="J58" t="s">
        <v>54</v>
      </c>
      <c r="K58">
        <v>100</v>
      </c>
      <c r="L58" s="1">
        <v>46143</v>
      </c>
      <c r="M58">
        <v>1</v>
      </c>
      <c r="N58">
        <v>0</v>
      </c>
      <c r="O58">
        <v>520</v>
      </c>
      <c r="P58">
        <v>0</v>
      </c>
      <c r="R58">
        <v>0</v>
      </c>
      <c r="S58">
        <v>0</v>
      </c>
      <c r="T58">
        <v>0</v>
      </c>
    </row>
    <row r="59" spans="1:21" x14ac:dyDescent="0.3">
      <c r="A59">
        <v>17094718</v>
      </c>
      <c r="B59" t="s">
        <v>174</v>
      </c>
      <c r="C59" t="s">
        <v>203</v>
      </c>
      <c r="D59" t="s">
        <v>204</v>
      </c>
      <c r="F59" t="s">
        <v>49</v>
      </c>
      <c r="G59" t="s">
        <v>206</v>
      </c>
      <c r="H59" s="1">
        <v>46054</v>
      </c>
      <c r="J59" t="s">
        <v>54</v>
      </c>
      <c r="K59">
        <v>100</v>
      </c>
      <c r="N59">
        <v>0</v>
      </c>
      <c r="O59">
        <v>0</v>
      </c>
      <c r="P59">
        <v>0</v>
      </c>
      <c r="R59">
        <v>0</v>
      </c>
      <c r="S59">
        <v>0</v>
      </c>
      <c r="T59">
        <v>0</v>
      </c>
      <c r="U59" t="s">
        <v>61</v>
      </c>
    </row>
    <row r="60" spans="1:21" x14ac:dyDescent="0.3">
      <c r="A60">
        <v>20724564</v>
      </c>
      <c r="B60" t="s">
        <v>107</v>
      </c>
      <c r="C60" t="s">
        <v>77</v>
      </c>
      <c r="D60" t="s">
        <v>147</v>
      </c>
      <c r="F60" t="s">
        <v>49</v>
      </c>
      <c r="G60" t="s">
        <v>148</v>
      </c>
      <c r="H60" s="1">
        <v>46023</v>
      </c>
      <c r="I60" s="2">
        <v>28.92</v>
      </c>
      <c r="J60" t="s">
        <v>54</v>
      </c>
      <c r="K60">
        <v>100</v>
      </c>
      <c r="L60" s="1">
        <v>46143</v>
      </c>
      <c r="M60">
        <v>1</v>
      </c>
      <c r="N60">
        <v>0</v>
      </c>
      <c r="O60">
        <v>231.36</v>
      </c>
      <c r="P60">
        <v>0</v>
      </c>
      <c r="R60">
        <v>0</v>
      </c>
      <c r="S60">
        <v>0</v>
      </c>
      <c r="T60">
        <v>0</v>
      </c>
    </row>
    <row r="61" spans="1:21" x14ac:dyDescent="0.3">
      <c r="A61">
        <v>21348299</v>
      </c>
      <c r="B61" t="s">
        <v>55</v>
      </c>
      <c r="C61" t="s">
        <v>46</v>
      </c>
      <c r="D61" t="s">
        <v>56</v>
      </c>
      <c r="F61" t="s">
        <v>57</v>
      </c>
      <c r="G61" t="s">
        <v>59</v>
      </c>
      <c r="H61" s="1">
        <v>46023</v>
      </c>
      <c r="J61" t="s">
        <v>54</v>
      </c>
      <c r="K61">
        <v>100</v>
      </c>
      <c r="N61">
        <v>0</v>
      </c>
      <c r="O61">
        <v>0</v>
      </c>
      <c r="P61">
        <v>0</v>
      </c>
      <c r="R61">
        <v>0</v>
      </c>
      <c r="S61">
        <v>0</v>
      </c>
      <c r="T61">
        <v>0</v>
      </c>
      <c r="U61" t="s">
        <v>61</v>
      </c>
    </row>
    <row r="62" spans="1:21" x14ac:dyDescent="0.3">
      <c r="A62">
        <v>6634327</v>
      </c>
      <c r="B62" t="s">
        <v>66</v>
      </c>
      <c r="C62" t="s">
        <v>24</v>
      </c>
      <c r="D62" t="s">
        <v>67</v>
      </c>
      <c r="F62" t="s">
        <v>57</v>
      </c>
      <c r="G62" t="s">
        <v>69</v>
      </c>
      <c r="H62" s="1">
        <v>46082</v>
      </c>
      <c r="J62" t="s">
        <v>54</v>
      </c>
      <c r="K62">
        <v>100</v>
      </c>
      <c r="N62">
        <v>0</v>
      </c>
      <c r="O62">
        <v>0</v>
      </c>
      <c r="P62">
        <v>0</v>
      </c>
      <c r="R62">
        <v>0</v>
      </c>
      <c r="S62">
        <v>0</v>
      </c>
      <c r="T62">
        <v>0</v>
      </c>
      <c r="U62" t="s">
        <v>61</v>
      </c>
    </row>
    <row r="63" spans="1:21" s="4" customFormat="1" x14ac:dyDescent="0.3">
      <c r="A63" s="4">
        <v>16849453</v>
      </c>
      <c r="B63" s="4" t="s">
        <v>76</v>
      </c>
      <c r="C63" s="4" t="s">
        <v>77</v>
      </c>
      <c r="D63" s="4" t="s">
        <v>89</v>
      </c>
      <c r="F63" s="4" t="s">
        <v>49</v>
      </c>
      <c r="G63" s="4" t="s">
        <v>91</v>
      </c>
      <c r="H63" s="5">
        <v>46143</v>
      </c>
      <c r="I63" s="6">
        <v>28.92</v>
      </c>
      <c r="J63" s="4" t="s">
        <v>54</v>
      </c>
      <c r="K63" s="4">
        <v>100</v>
      </c>
      <c r="L63" s="5">
        <v>46174</v>
      </c>
      <c r="M63" s="4">
        <v>1</v>
      </c>
      <c r="N63" s="4">
        <v>0</v>
      </c>
      <c r="O63" s="4">
        <v>0</v>
      </c>
      <c r="P63" s="4">
        <v>0</v>
      </c>
      <c r="R63" s="4">
        <v>0</v>
      </c>
      <c r="S63" s="4">
        <v>0</v>
      </c>
      <c r="T63" s="4">
        <v>28.92</v>
      </c>
      <c r="U63" s="4" t="s">
        <v>94</v>
      </c>
    </row>
    <row r="64" spans="1:21" s="4" customFormat="1" x14ac:dyDescent="0.3">
      <c r="A64" s="4">
        <v>16849453</v>
      </c>
      <c r="B64" s="4" t="s">
        <v>76</v>
      </c>
      <c r="C64" s="4" t="s">
        <v>77</v>
      </c>
      <c r="D64" s="4" t="s">
        <v>89</v>
      </c>
      <c r="F64" s="4" t="s">
        <v>49</v>
      </c>
      <c r="G64" s="4" t="s">
        <v>91</v>
      </c>
      <c r="H64" s="5">
        <v>46143</v>
      </c>
      <c r="I64" s="6">
        <v>28.92</v>
      </c>
      <c r="J64" s="4" t="s">
        <v>54</v>
      </c>
      <c r="K64" s="4">
        <v>100</v>
      </c>
      <c r="L64" s="5">
        <v>46204</v>
      </c>
      <c r="M64" s="4">
        <v>1</v>
      </c>
      <c r="N64" s="4">
        <v>0</v>
      </c>
      <c r="O64" s="4">
        <v>0</v>
      </c>
      <c r="P64" s="4">
        <v>0</v>
      </c>
      <c r="R64" s="4">
        <v>0</v>
      </c>
      <c r="S64" s="4">
        <v>0</v>
      </c>
      <c r="T64" s="4">
        <v>28.92</v>
      </c>
      <c r="U64" s="4" t="s">
        <v>94</v>
      </c>
    </row>
    <row r="65" spans="1:21" s="4" customFormat="1" x14ac:dyDescent="0.3">
      <c r="A65" s="4">
        <v>16849453</v>
      </c>
      <c r="B65" s="4" t="s">
        <v>76</v>
      </c>
      <c r="C65" s="4" t="s">
        <v>77</v>
      </c>
      <c r="D65" s="4" t="s">
        <v>89</v>
      </c>
      <c r="F65" s="4" t="s">
        <v>49</v>
      </c>
      <c r="G65" s="4" t="s">
        <v>91</v>
      </c>
      <c r="H65" s="5">
        <v>46143</v>
      </c>
      <c r="I65" s="6">
        <v>28.92</v>
      </c>
      <c r="J65" s="4" t="s">
        <v>54</v>
      </c>
      <c r="K65" s="4">
        <v>100</v>
      </c>
      <c r="L65" s="5">
        <v>46235</v>
      </c>
      <c r="M65" s="4">
        <v>1</v>
      </c>
      <c r="N65" s="4">
        <v>0</v>
      </c>
      <c r="O65" s="4">
        <v>0</v>
      </c>
      <c r="P65" s="4">
        <v>0</v>
      </c>
      <c r="R65" s="4">
        <v>0</v>
      </c>
      <c r="S65" s="4">
        <v>0</v>
      </c>
      <c r="T65" s="4">
        <v>28.92</v>
      </c>
      <c r="U65" s="4" t="s">
        <v>94</v>
      </c>
    </row>
    <row r="66" spans="1:21" s="4" customFormat="1" x14ac:dyDescent="0.3">
      <c r="A66" s="4">
        <v>16849453</v>
      </c>
      <c r="B66" s="4" t="s">
        <v>76</v>
      </c>
      <c r="C66" s="4" t="s">
        <v>77</v>
      </c>
      <c r="D66" s="4" t="s">
        <v>89</v>
      </c>
      <c r="F66" s="4" t="s">
        <v>49</v>
      </c>
      <c r="G66" s="4" t="s">
        <v>91</v>
      </c>
      <c r="H66" s="5">
        <v>46143</v>
      </c>
      <c r="I66" s="6">
        <v>28.92</v>
      </c>
      <c r="J66" s="4" t="s">
        <v>54</v>
      </c>
      <c r="K66" s="4">
        <v>100</v>
      </c>
      <c r="L66" s="5">
        <v>46266</v>
      </c>
      <c r="M66" s="4">
        <v>1</v>
      </c>
      <c r="N66" s="4">
        <v>0</v>
      </c>
      <c r="O66" s="4">
        <v>0</v>
      </c>
      <c r="P66" s="4">
        <v>0</v>
      </c>
      <c r="R66" s="4">
        <v>0</v>
      </c>
      <c r="S66" s="4">
        <v>0</v>
      </c>
      <c r="T66" s="4">
        <v>28.92</v>
      </c>
      <c r="U66" s="4" t="s">
        <v>94</v>
      </c>
    </row>
    <row r="67" spans="1:21" s="4" customFormat="1" x14ac:dyDescent="0.3">
      <c r="A67" s="4">
        <v>16849453</v>
      </c>
      <c r="B67" s="4" t="s">
        <v>76</v>
      </c>
      <c r="C67" s="4" t="s">
        <v>77</v>
      </c>
      <c r="D67" s="4" t="s">
        <v>89</v>
      </c>
      <c r="F67" s="4" t="s">
        <v>49</v>
      </c>
      <c r="G67" s="4" t="s">
        <v>91</v>
      </c>
      <c r="H67" s="5">
        <v>46143</v>
      </c>
      <c r="I67" s="6">
        <v>28.92</v>
      </c>
      <c r="J67" s="4" t="s">
        <v>54</v>
      </c>
      <c r="K67" s="4">
        <v>100</v>
      </c>
      <c r="L67" s="5">
        <v>46296</v>
      </c>
      <c r="M67" s="4">
        <v>1</v>
      </c>
      <c r="N67" s="4">
        <v>0</v>
      </c>
      <c r="O67" s="4">
        <v>0</v>
      </c>
      <c r="P67" s="4">
        <v>0</v>
      </c>
      <c r="R67" s="4">
        <v>0</v>
      </c>
      <c r="S67" s="4">
        <v>0</v>
      </c>
      <c r="T67" s="4">
        <v>28.92</v>
      </c>
      <c r="U67" s="4" t="s">
        <v>94</v>
      </c>
    </row>
    <row r="68" spans="1:21" s="4" customFormat="1" x14ac:dyDescent="0.3">
      <c r="A68" s="4">
        <v>16849453</v>
      </c>
      <c r="B68" s="4" t="s">
        <v>76</v>
      </c>
      <c r="C68" s="4" t="s">
        <v>77</v>
      </c>
      <c r="D68" s="4" t="s">
        <v>89</v>
      </c>
      <c r="F68" s="4" t="s">
        <v>49</v>
      </c>
      <c r="G68" s="4" t="s">
        <v>91</v>
      </c>
      <c r="H68" s="5">
        <v>46143</v>
      </c>
      <c r="I68" s="6">
        <v>28.92</v>
      </c>
      <c r="J68" s="4" t="s">
        <v>54</v>
      </c>
      <c r="K68" s="4">
        <v>100</v>
      </c>
      <c r="L68" s="5">
        <v>46327</v>
      </c>
      <c r="M68" s="4">
        <v>1</v>
      </c>
      <c r="N68" s="4">
        <v>0</v>
      </c>
      <c r="O68" s="4">
        <v>0</v>
      </c>
      <c r="P68" s="4">
        <v>0</v>
      </c>
      <c r="R68" s="4">
        <v>0</v>
      </c>
      <c r="S68" s="4">
        <v>0</v>
      </c>
      <c r="T68" s="4">
        <v>28.92</v>
      </c>
      <c r="U68" s="4" t="s">
        <v>94</v>
      </c>
    </row>
    <row r="69" spans="1:21" s="4" customFormat="1" x14ac:dyDescent="0.3">
      <c r="A69" s="4">
        <v>16849453</v>
      </c>
      <c r="B69" s="4" t="s">
        <v>76</v>
      </c>
      <c r="C69" s="4" t="s">
        <v>77</v>
      </c>
      <c r="D69" s="4" t="s">
        <v>89</v>
      </c>
      <c r="F69" s="4" t="s">
        <v>49</v>
      </c>
      <c r="G69" s="4" t="s">
        <v>91</v>
      </c>
      <c r="H69" s="5">
        <v>46143</v>
      </c>
      <c r="I69" s="6">
        <v>28.92</v>
      </c>
      <c r="J69" s="4" t="s">
        <v>54</v>
      </c>
      <c r="K69" s="4">
        <v>100</v>
      </c>
      <c r="L69" s="5">
        <v>46357</v>
      </c>
      <c r="M69" s="4">
        <v>1</v>
      </c>
      <c r="N69" s="4">
        <v>0</v>
      </c>
      <c r="O69" s="4">
        <v>0</v>
      </c>
      <c r="P69" s="4">
        <v>0</v>
      </c>
      <c r="R69" s="4">
        <v>0</v>
      </c>
      <c r="S69" s="4">
        <v>0</v>
      </c>
      <c r="T69" s="4">
        <v>28.92</v>
      </c>
      <c r="U69" s="4" t="s">
        <v>94</v>
      </c>
    </row>
    <row r="70" spans="1:21" s="4" customFormat="1" x14ac:dyDescent="0.3">
      <c r="A70" s="4">
        <v>17094718</v>
      </c>
      <c r="B70" s="4" t="s">
        <v>174</v>
      </c>
      <c r="C70" s="4" t="s">
        <v>198</v>
      </c>
      <c r="D70" s="4" t="s">
        <v>199</v>
      </c>
      <c r="F70" s="4" t="s">
        <v>49</v>
      </c>
      <c r="G70" s="4" t="s">
        <v>201</v>
      </c>
      <c r="H70" s="5">
        <v>46143</v>
      </c>
      <c r="I70" s="6">
        <v>28.92</v>
      </c>
      <c r="J70" s="4" t="s">
        <v>54</v>
      </c>
      <c r="K70" s="4">
        <v>100</v>
      </c>
      <c r="L70" s="5">
        <v>46174</v>
      </c>
      <c r="M70" s="4">
        <v>1</v>
      </c>
      <c r="N70" s="4">
        <v>0</v>
      </c>
      <c r="O70" s="4">
        <v>0</v>
      </c>
      <c r="P70" s="4">
        <v>0</v>
      </c>
      <c r="R70" s="4">
        <v>0</v>
      </c>
      <c r="S70" s="4">
        <v>0</v>
      </c>
      <c r="T70" s="4">
        <v>28.92</v>
      </c>
      <c r="U70" s="4" t="s">
        <v>94</v>
      </c>
    </row>
    <row r="71" spans="1:21" s="4" customFormat="1" x14ac:dyDescent="0.3">
      <c r="A71" s="4">
        <v>17094718</v>
      </c>
      <c r="B71" s="4" t="s">
        <v>174</v>
      </c>
      <c r="C71" s="4" t="s">
        <v>198</v>
      </c>
      <c r="D71" s="4" t="s">
        <v>199</v>
      </c>
      <c r="F71" s="4" t="s">
        <v>49</v>
      </c>
      <c r="G71" s="4" t="s">
        <v>201</v>
      </c>
      <c r="H71" s="5">
        <v>46143</v>
      </c>
      <c r="I71" s="6">
        <v>28.92</v>
      </c>
      <c r="J71" s="4" t="s">
        <v>54</v>
      </c>
      <c r="K71" s="4">
        <v>100</v>
      </c>
      <c r="L71" s="5">
        <v>46204</v>
      </c>
      <c r="M71" s="4">
        <v>1</v>
      </c>
      <c r="N71" s="4">
        <v>0</v>
      </c>
      <c r="O71" s="4">
        <v>0</v>
      </c>
      <c r="P71" s="4">
        <v>0</v>
      </c>
      <c r="R71" s="4">
        <v>0</v>
      </c>
      <c r="S71" s="4">
        <v>0</v>
      </c>
      <c r="T71" s="4">
        <v>28.92</v>
      </c>
      <c r="U71" s="4" t="s">
        <v>94</v>
      </c>
    </row>
    <row r="72" spans="1:21" s="4" customFormat="1" x14ac:dyDescent="0.3">
      <c r="A72" s="4">
        <v>17094718</v>
      </c>
      <c r="B72" s="4" t="s">
        <v>174</v>
      </c>
      <c r="C72" s="4" t="s">
        <v>198</v>
      </c>
      <c r="D72" s="4" t="s">
        <v>199</v>
      </c>
      <c r="F72" s="4" t="s">
        <v>49</v>
      </c>
      <c r="G72" s="4" t="s">
        <v>201</v>
      </c>
      <c r="H72" s="5">
        <v>46143</v>
      </c>
      <c r="I72" s="6">
        <v>28.92</v>
      </c>
      <c r="J72" s="4" t="s">
        <v>54</v>
      </c>
      <c r="K72" s="4">
        <v>100</v>
      </c>
      <c r="L72" s="5">
        <v>46235</v>
      </c>
      <c r="M72" s="4">
        <v>1</v>
      </c>
      <c r="N72" s="4">
        <v>0</v>
      </c>
      <c r="O72" s="4">
        <v>0</v>
      </c>
      <c r="P72" s="4">
        <v>0</v>
      </c>
      <c r="R72" s="4">
        <v>0</v>
      </c>
      <c r="S72" s="4">
        <v>0</v>
      </c>
      <c r="T72" s="4">
        <v>28.92</v>
      </c>
      <c r="U72" s="4" t="s">
        <v>94</v>
      </c>
    </row>
    <row r="73" spans="1:21" s="4" customFormat="1" x14ac:dyDescent="0.3">
      <c r="A73" s="4">
        <v>17094718</v>
      </c>
      <c r="B73" s="4" t="s">
        <v>174</v>
      </c>
      <c r="C73" s="4" t="s">
        <v>198</v>
      </c>
      <c r="D73" s="4" t="s">
        <v>199</v>
      </c>
      <c r="F73" s="4" t="s">
        <v>49</v>
      </c>
      <c r="G73" s="4" t="s">
        <v>201</v>
      </c>
      <c r="H73" s="5">
        <v>46143</v>
      </c>
      <c r="I73" s="6">
        <v>28.92</v>
      </c>
      <c r="J73" s="4" t="s">
        <v>54</v>
      </c>
      <c r="K73" s="4">
        <v>100</v>
      </c>
      <c r="L73" s="5">
        <v>46266</v>
      </c>
      <c r="M73" s="4">
        <v>1</v>
      </c>
      <c r="N73" s="4">
        <v>0</v>
      </c>
      <c r="O73" s="4">
        <v>0</v>
      </c>
      <c r="P73" s="4">
        <v>0</v>
      </c>
      <c r="R73" s="4">
        <v>0</v>
      </c>
      <c r="S73" s="4">
        <v>0</v>
      </c>
      <c r="T73" s="4">
        <v>28.92</v>
      </c>
      <c r="U73" s="4" t="s">
        <v>94</v>
      </c>
    </row>
    <row r="74" spans="1:21" s="4" customFormat="1" x14ac:dyDescent="0.3">
      <c r="A74" s="4">
        <v>17094718</v>
      </c>
      <c r="B74" s="4" t="s">
        <v>174</v>
      </c>
      <c r="C74" s="4" t="s">
        <v>198</v>
      </c>
      <c r="D74" s="4" t="s">
        <v>199</v>
      </c>
      <c r="F74" s="4" t="s">
        <v>49</v>
      </c>
      <c r="G74" s="4" t="s">
        <v>201</v>
      </c>
      <c r="H74" s="5">
        <v>46143</v>
      </c>
      <c r="I74" s="6">
        <v>28.92</v>
      </c>
      <c r="J74" s="4" t="s">
        <v>54</v>
      </c>
      <c r="K74" s="4">
        <v>100</v>
      </c>
      <c r="L74" s="5">
        <v>46296</v>
      </c>
      <c r="M74" s="4">
        <v>1</v>
      </c>
      <c r="N74" s="4">
        <v>0</v>
      </c>
      <c r="O74" s="4">
        <v>0</v>
      </c>
      <c r="P74" s="4">
        <v>0</v>
      </c>
      <c r="R74" s="4">
        <v>0</v>
      </c>
      <c r="S74" s="4">
        <v>0</v>
      </c>
      <c r="T74" s="4">
        <v>28.92</v>
      </c>
      <c r="U74" s="4" t="s">
        <v>94</v>
      </c>
    </row>
    <row r="75" spans="1:21" s="4" customFormat="1" x14ac:dyDescent="0.3">
      <c r="A75" s="4">
        <v>17094718</v>
      </c>
      <c r="B75" s="4" t="s">
        <v>174</v>
      </c>
      <c r="C75" s="4" t="s">
        <v>198</v>
      </c>
      <c r="D75" s="4" t="s">
        <v>199</v>
      </c>
      <c r="F75" s="4" t="s">
        <v>49</v>
      </c>
      <c r="G75" s="4" t="s">
        <v>201</v>
      </c>
      <c r="H75" s="5">
        <v>46143</v>
      </c>
      <c r="I75" s="6">
        <v>28.92</v>
      </c>
      <c r="J75" s="4" t="s">
        <v>54</v>
      </c>
      <c r="K75" s="4">
        <v>100</v>
      </c>
      <c r="L75" s="5">
        <v>46327</v>
      </c>
      <c r="M75" s="4">
        <v>1</v>
      </c>
      <c r="N75" s="4">
        <v>0</v>
      </c>
      <c r="O75" s="4">
        <v>0</v>
      </c>
      <c r="P75" s="4">
        <v>0</v>
      </c>
      <c r="R75" s="4">
        <v>0</v>
      </c>
      <c r="S75" s="4">
        <v>0</v>
      </c>
      <c r="T75" s="4">
        <v>28.92</v>
      </c>
      <c r="U75" s="4" t="s">
        <v>94</v>
      </c>
    </row>
    <row r="76" spans="1:21" s="4" customFormat="1" x14ac:dyDescent="0.3">
      <c r="A76" s="4">
        <v>17094718</v>
      </c>
      <c r="B76" s="4" t="s">
        <v>174</v>
      </c>
      <c r="C76" s="4" t="s">
        <v>198</v>
      </c>
      <c r="D76" s="4" t="s">
        <v>199</v>
      </c>
      <c r="F76" s="4" t="s">
        <v>49</v>
      </c>
      <c r="G76" s="4" t="s">
        <v>201</v>
      </c>
      <c r="H76" s="5">
        <v>46143</v>
      </c>
      <c r="I76" s="6">
        <v>28.92</v>
      </c>
      <c r="J76" s="4" t="s">
        <v>54</v>
      </c>
      <c r="K76" s="4">
        <v>100</v>
      </c>
      <c r="L76" s="5">
        <v>46357</v>
      </c>
      <c r="M76" s="4">
        <v>1</v>
      </c>
      <c r="N76" s="4">
        <v>0</v>
      </c>
      <c r="O76" s="4">
        <v>0</v>
      </c>
      <c r="P76" s="4">
        <v>0</v>
      </c>
      <c r="R76" s="4">
        <v>0</v>
      </c>
      <c r="S76" s="4">
        <v>0</v>
      </c>
      <c r="T76" s="4">
        <v>28.92</v>
      </c>
      <c r="U76" s="4" t="s">
        <v>94</v>
      </c>
    </row>
  </sheetData>
  <sortState xmlns:xlrd2="http://schemas.microsoft.com/office/spreadsheetml/2017/richdata2" ref="A12:X33">
    <sortCondition ref="I12:I3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ToolBox_05072026_COINS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2026-05-27T09:16:49Z</dcterms:created>
  <dcterms:modified xsi:type="dcterms:W3CDTF">2026-05-28T16:13:31Z</dcterms:modified>
</cp:coreProperties>
</file>