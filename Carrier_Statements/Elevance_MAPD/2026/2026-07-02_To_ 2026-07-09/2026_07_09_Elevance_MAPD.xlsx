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Elevance_MAPD\2026\2026-07-02_To_ 2026-07-09\"/>
    </mc:Choice>
  </mc:AlternateContent>
  <xr:revisionPtr revIDLastSave="0" documentId="13_ncr:1_{5B7AAB3A-3324-4482-B808-045F5A6BF336}" xr6:coauthVersionLast="47" xr6:coauthVersionMax="47" xr10:uidLastSave="{00000000-0000-0000-0000-000000000000}"/>
  <bookViews>
    <workbookView xWindow="-120" yWindow="-120" windowWidth="29040" windowHeight="15720" activeTab="1" xr2:uid="{153A894C-A75E-4748-9395-E8F34D56C9E5}"/>
  </bookViews>
  <sheets>
    <sheet name="Producer ToolBox_07092026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2" l="1"/>
  <c r="H8" i="2"/>
  <c r="H10" i="2"/>
  <c r="H7" i="2"/>
  <c r="H6" i="2"/>
  <c r="H5" i="2"/>
  <c r="H4" i="2"/>
  <c r="H2" i="2"/>
  <c r="H3" i="2"/>
  <c r="V11" i="2"/>
  <c r="V14" i="2"/>
  <c r="V12" i="2"/>
  <c r="V13" i="2"/>
  <c r="V31" i="2"/>
  <c r="V20" i="2"/>
  <c r="V29" i="2"/>
  <c r="V19" i="2"/>
  <c r="V26" i="2"/>
  <c r="V18" i="2"/>
  <c r="V25" i="2"/>
  <c r="V17" i="2"/>
</calcChain>
</file>

<file path=xl/sharedStrings.xml><?xml version="1.0" encoding="utf-8"?>
<sst xmlns="http://schemas.openxmlformats.org/spreadsheetml/2006/main" count="2249" uniqueCount="187">
  <si>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</si>
  <si>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</si>
  <si>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</si>
  <si>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</si>
  <si>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</si>
  <si>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</si>
  <si>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</si>
  <si>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:07/03/2026 TO 07/09/2026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</si>
  <si>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</si>
  <si>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</si>
  <si>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</si>
  <si>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</si>
  <si>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</si>
  <si>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</si>
  <si>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</si>
  <si>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</si>
  <si>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</si>
  <si>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</si>
  <si>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</si>
  <si>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</si>
  <si>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</si>
  <si>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</si>
  <si>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</si>
  <si>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</si>
  <si>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</si>
  <si>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</si>
  <si>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</si>
  <si>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</si>
  <si>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</si>
  <si>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</si>
  <si>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</si>
  <si>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</si>
  <si>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</si>
  <si>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</si>
  <si>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</si>
  <si>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</si>
  <si>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</si>
  <si>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</si>
  <si>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</si>
  <si>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</si>
  <si>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</si>
  <si>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</si>
  <si>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</si>
  <si>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</si>
  <si>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</si>
  <si>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YALE, JACOB D</t>
  </si>
  <si>
    <t>CA</t>
  </si>
  <si>
    <t>MEDICARE</t>
  </si>
  <si>
    <t>946W27555</t>
  </si>
  <si>
    <t>MED</t>
  </si>
  <si>
    <t>210C</t>
  </si>
  <si>
    <t>DIMOPOULOS, CHRISTO</t>
  </si>
  <si>
    <t>6XX7V76DC60</t>
  </si>
  <si>
    <t>NO</t>
  </si>
  <si>
    <t>Base</t>
  </si>
  <si>
    <t>ADVINT</t>
  </si>
  <si>
    <t>ADVINT  NEW</t>
  </si>
  <si>
    <t>1-</t>
  </si>
  <si>
    <t>BRENNER, BARRY G</t>
  </si>
  <si>
    <t>985W25187</t>
  </si>
  <si>
    <t>MSUP</t>
  </si>
  <si>
    <t>200C</t>
  </si>
  <si>
    <t>GOODMAN, STACEY</t>
  </si>
  <si>
    <t>8X85NE2NT61</t>
  </si>
  <si>
    <t>PAID</t>
  </si>
  <si>
    <t>LEE, JOEL N</t>
  </si>
  <si>
    <t>307W26711</t>
  </si>
  <si>
    <t>525C</t>
  </si>
  <si>
    <t>PALMER, THERESA</t>
  </si>
  <si>
    <t>2D84TV9PA07</t>
  </si>
  <si>
    <t>INITIAL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</si>
  <si>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</si>
  <si>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</si>
  <si>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</si>
  <si>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</si>
  <si>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</si>
  <si>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</si>
  <si>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</si>
  <si>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</si>
  <si>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</si>
  <si>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461W26478</t>
  </si>
  <si>
    <t>DAVEY, MARIA</t>
  </si>
  <si>
    <t>2A91TH6UA98</t>
  </si>
  <si>
    <t>940W23397</t>
  </si>
  <si>
    <t>608C</t>
  </si>
  <si>
    <t>LATTA, ELIZABE</t>
  </si>
  <si>
    <t>9PH0XP3JD07</t>
  </si>
  <si>
    <t>235W27021</t>
  </si>
  <si>
    <t>SANDERS, JEFFREY</t>
  </si>
  <si>
    <t>7TK8RR0JT31</t>
  </si>
  <si>
    <t>ADV  NEW</t>
  </si>
  <si>
    <t>ADV</t>
  </si>
  <si>
    <t>335W26438</t>
  </si>
  <si>
    <t>BRATTON, JENNIFE</t>
  </si>
  <si>
    <t>7DT8VJ3EH49</t>
  </si>
  <si>
    <t>SANDEROCK, MARSHA</t>
  </si>
  <si>
    <t>852W24516</t>
  </si>
  <si>
    <t>BIDGOOD, BETH</t>
  </si>
  <si>
    <t>6J85MQ7UP58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</si>
  <si>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</si>
  <si>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</si>
  <si>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</si>
  <si>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</si>
  <si>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</si>
  <si>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</si>
  <si>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</si>
  <si>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</si>
  <si>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</si>
  <si>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</si>
  <si>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</si>
  <si>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</si>
  <si>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</si>
  <si>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</si>
  <si>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</si>
  <si>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</si>
  <si>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</si>
  <si>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</si>
  <si>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</si>
  <si>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</si>
  <si>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</si>
  <si>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</si>
  <si>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</si>
  <si>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</si>
  <si>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</si>
  <si>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</si>
  <si>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</si>
  <si>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</si>
  <si>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</si>
  <si>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</si>
  <si>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</si>
  <si>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</si>
  <si>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</si>
  <si>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</si>
  <si>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</si>
  <si>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</si>
  <si>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030W24880</t>
  </si>
  <si>
    <t>KENT, CLIFTON</t>
  </si>
  <si>
    <t>9G26Y94VV66</t>
  </si>
  <si>
    <t>BRANDT, STEVEN K</t>
  </si>
  <si>
    <t>OH</t>
  </si>
  <si>
    <t>145W27335</t>
  </si>
  <si>
    <t>728C</t>
  </si>
  <si>
    <t>ELLIOTT, C</t>
  </si>
  <si>
    <t>8GH7AQ4WE38</t>
  </si>
  <si>
    <t>206W27296</t>
  </si>
  <si>
    <t>SHUMAKER, STEPHEN</t>
  </si>
  <si>
    <t>8JC1M49WD31</t>
  </si>
  <si>
    <t>HALSAVER, JENNIFER L</t>
  </si>
  <si>
    <t>018W25251</t>
  </si>
  <si>
    <t>HOGAN, MICHAL</t>
  </si>
  <si>
    <t>7X00K09CD21</t>
  </si>
  <si>
    <t>502W24995</t>
  </si>
  <si>
    <t>REFAI, BASSAM</t>
  </si>
  <si>
    <t>9A22T17GX89</t>
  </si>
  <si>
    <t>HANSFORD, GREGORY</t>
  </si>
  <si>
    <t>TX</t>
  </si>
  <si>
    <t>972W22875</t>
  </si>
  <si>
    <t>628C</t>
  </si>
  <si>
    <t>SKIPWORTH, DEBORAH</t>
  </si>
  <si>
    <t>9M88C01JJ24</t>
  </si>
  <si>
    <t>CHGBCK-CX  CX-07-26</t>
  </si>
  <si>
    <t>RICHTER, ADAM J</t>
  </si>
  <si>
    <t>VA</t>
  </si>
  <si>
    <t>502W27335</t>
  </si>
  <si>
    <t>DIXON, SHIRLEY</t>
  </si>
  <si>
    <t>1TF4AN5GV09</t>
  </si>
  <si>
    <t>Elevance Open Enrollment/ UW</t>
  </si>
  <si>
    <t>Elevance Plan A, F, G, and N 65+ - IN</t>
  </si>
  <si>
    <t>Elevance GA, KY, OH All Plans</t>
  </si>
  <si>
    <t>Elevance CO All Plans</t>
  </si>
  <si>
    <t>16849453AV9</t>
  </si>
  <si>
    <t>Elevance MAPD 2026*</t>
  </si>
  <si>
    <t>[%/$=347][prorate=7/12]</t>
  </si>
  <si>
    <t>[%/$=347][prorate=1/12]</t>
  </si>
  <si>
    <t>[%/$=347][prorate=6/12]</t>
  </si>
  <si>
    <t>Elevance 2026 CA, NJ*</t>
  </si>
  <si>
    <t>[%/$=432][prorate=6/12]</t>
  </si>
  <si>
    <t>Elevance 2025 CA, NJ</t>
  </si>
  <si>
    <t>[%/$=780]</t>
  </si>
  <si>
    <t>Elevance 2026</t>
  </si>
  <si>
    <t>[%/$=694]</t>
  </si>
  <si>
    <t>[%/$=626]</t>
  </si>
  <si>
    <t>Anthem MAPD 2025</t>
  </si>
  <si>
    <t>NB</t>
  </si>
  <si>
    <t>AV</t>
  </si>
  <si>
    <t>RN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</si>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</sst>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2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C147-A15D-41CE-968C-192E92C5E530}">
  <dimension ref="A1:AB120"/>
  <sheetViews>
    <sheetView topLeftCell="K1" workbookViewId="0">
      <selection activeCell="Y1" sqref="Y1:Y1048576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1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4.285156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28515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20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5605.79</v>
      </c>
    </row>
    <row r="2" spans="1:28" x14ac:dyDescent="0.25">
      <c r="A2" t="s">
        <v>3</v>
      </c>
      <c r="E2" t="s">
        <v>4</v>
      </c>
      <c r="I2" t="s">
        <v>5</v>
      </c>
      <c r="K2">
        <v>22635.84</v>
      </c>
    </row>
    <row r="3" spans="1:28" x14ac:dyDescent="0.25">
      <c r="A3" t="s">
        <v>6</v>
      </c>
      <c r="E3" t="s">
        <v>7</v>
      </c>
      <c r="I3" t="s">
        <v>8</v>
      </c>
      <c r="K3">
        <v>2559.3000000000002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2559.3000000000002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18754354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46204</v>
      </c>
      <c r="M14" t="s">
        <v>53</v>
      </c>
      <c r="N14" s="2">
        <v>65</v>
      </c>
      <c r="O14" t="s">
        <v>54</v>
      </c>
      <c r="P14">
        <v>100</v>
      </c>
      <c r="Q14" s="1">
        <v>46023</v>
      </c>
      <c r="R14">
        <v>1</v>
      </c>
      <c r="S14">
        <v>0</v>
      </c>
      <c r="T14">
        <v>180</v>
      </c>
      <c r="U14">
        <v>0</v>
      </c>
      <c r="W14">
        <v>0</v>
      </c>
      <c r="X14">
        <v>0</v>
      </c>
      <c r="Y14">
        <v>65</v>
      </c>
      <c r="Z14" t="s">
        <v>55</v>
      </c>
      <c r="AA14">
        <v>564</v>
      </c>
      <c r="AB14">
        <v>564</v>
      </c>
    </row>
    <row r="15" spans="1:28" x14ac:dyDescent="0.25">
      <c r="B15">
        <v>18754354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s="1">
        <v>46204</v>
      </c>
      <c r="M15" t="s">
        <v>53</v>
      </c>
      <c r="N15" s="2">
        <v>65</v>
      </c>
      <c r="O15" t="s">
        <v>54</v>
      </c>
      <c r="P15">
        <v>100</v>
      </c>
      <c r="Q15" s="1">
        <v>46054</v>
      </c>
      <c r="R15">
        <v>1</v>
      </c>
      <c r="S15">
        <v>0</v>
      </c>
      <c r="T15">
        <v>180</v>
      </c>
      <c r="U15">
        <v>0</v>
      </c>
      <c r="W15">
        <v>0</v>
      </c>
      <c r="X15">
        <v>0</v>
      </c>
      <c r="Y15">
        <v>65</v>
      </c>
      <c r="Z15" t="s">
        <v>55</v>
      </c>
    </row>
    <row r="16" spans="1:28" x14ac:dyDescent="0.25">
      <c r="B16">
        <v>18754354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s="1">
        <v>46204</v>
      </c>
      <c r="M16" t="s">
        <v>53</v>
      </c>
      <c r="N16" s="2">
        <v>65</v>
      </c>
      <c r="O16" t="s">
        <v>54</v>
      </c>
      <c r="P16">
        <v>100</v>
      </c>
      <c r="Q16" s="1">
        <v>46082</v>
      </c>
      <c r="R16">
        <v>1</v>
      </c>
      <c r="S16">
        <v>0</v>
      </c>
      <c r="T16">
        <v>180</v>
      </c>
      <c r="U16">
        <v>0</v>
      </c>
      <c r="W16">
        <v>0</v>
      </c>
      <c r="X16">
        <v>0</v>
      </c>
      <c r="Y16">
        <v>65</v>
      </c>
      <c r="Z16" t="s">
        <v>55</v>
      </c>
    </row>
    <row r="17" spans="2:28" x14ac:dyDescent="0.25">
      <c r="B17">
        <v>18754354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s="1">
        <v>46204</v>
      </c>
      <c r="M17" t="s">
        <v>53</v>
      </c>
      <c r="N17" s="2">
        <v>65</v>
      </c>
      <c r="O17" t="s">
        <v>54</v>
      </c>
      <c r="P17">
        <v>100</v>
      </c>
      <c r="Q17" s="1">
        <v>46113</v>
      </c>
      <c r="R17">
        <v>1</v>
      </c>
      <c r="S17">
        <v>0</v>
      </c>
      <c r="T17">
        <v>180</v>
      </c>
      <c r="U17">
        <v>0</v>
      </c>
      <c r="W17">
        <v>0</v>
      </c>
      <c r="X17">
        <v>0</v>
      </c>
      <c r="Y17">
        <v>65</v>
      </c>
      <c r="Z17" t="s">
        <v>55</v>
      </c>
    </row>
    <row r="18" spans="2:28" x14ac:dyDescent="0.25">
      <c r="B18">
        <v>18754354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52</v>
      </c>
      <c r="K18" s="1">
        <v>46204</v>
      </c>
      <c r="M18" t="s">
        <v>53</v>
      </c>
      <c r="N18" s="2">
        <v>65</v>
      </c>
      <c r="O18" t="s">
        <v>54</v>
      </c>
      <c r="P18">
        <v>100</v>
      </c>
      <c r="Q18" s="1">
        <v>46143</v>
      </c>
      <c r="R18">
        <v>1</v>
      </c>
      <c r="S18">
        <v>0</v>
      </c>
      <c r="T18">
        <v>180</v>
      </c>
      <c r="U18">
        <v>0</v>
      </c>
      <c r="W18">
        <v>0</v>
      </c>
      <c r="X18">
        <v>0</v>
      </c>
      <c r="Y18">
        <v>65</v>
      </c>
      <c r="Z18" t="s">
        <v>55</v>
      </c>
    </row>
    <row r="19" spans="2:28" x14ac:dyDescent="0.25">
      <c r="B19">
        <v>18754354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s="1">
        <v>46204</v>
      </c>
      <c r="M19" t="s">
        <v>53</v>
      </c>
      <c r="N19" s="2">
        <v>65</v>
      </c>
      <c r="O19" t="s">
        <v>54</v>
      </c>
      <c r="P19">
        <v>100</v>
      </c>
      <c r="Q19" s="1">
        <v>46174</v>
      </c>
      <c r="R19">
        <v>1</v>
      </c>
      <c r="S19">
        <v>0</v>
      </c>
      <c r="T19">
        <v>180</v>
      </c>
      <c r="U19">
        <v>0</v>
      </c>
      <c r="W19">
        <v>0</v>
      </c>
      <c r="X19">
        <v>0</v>
      </c>
      <c r="Y19">
        <v>65</v>
      </c>
      <c r="Z19" t="s">
        <v>55</v>
      </c>
    </row>
    <row r="20" spans="2:28" x14ac:dyDescent="0.25">
      <c r="B20">
        <v>18754354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s="1">
        <v>46204</v>
      </c>
      <c r="M20" t="s">
        <v>53</v>
      </c>
      <c r="N20" s="2">
        <v>65</v>
      </c>
      <c r="O20" t="s">
        <v>54</v>
      </c>
      <c r="P20">
        <v>100</v>
      </c>
      <c r="Q20" s="1">
        <v>46204</v>
      </c>
      <c r="R20">
        <v>1</v>
      </c>
      <c r="S20">
        <v>0</v>
      </c>
      <c r="T20">
        <v>180</v>
      </c>
      <c r="U20">
        <v>0</v>
      </c>
      <c r="W20">
        <v>0</v>
      </c>
      <c r="X20">
        <v>0</v>
      </c>
      <c r="Y20">
        <v>65</v>
      </c>
      <c r="Z20" t="s">
        <v>56</v>
      </c>
    </row>
    <row r="21" spans="2:28" x14ac:dyDescent="0.25">
      <c r="B21">
        <v>18754354</v>
      </c>
      <c r="C21" t="s">
        <v>45</v>
      </c>
      <c r="D21" t="s">
        <v>46</v>
      </c>
      <c r="E21" t="s">
        <v>47</v>
      </c>
      <c r="F21" t="s">
        <v>48</v>
      </c>
      <c r="G21" t="s">
        <v>49</v>
      </c>
      <c r="H21" t="s">
        <v>50</v>
      </c>
      <c r="I21" t="s">
        <v>51</v>
      </c>
      <c r="J21" t="s">
        <v>52</v>
      </c>
      <c r="K21" s="1">
        <v>46204</v>
      </c>
      <c r="M21" t="s">
        <v>53</v>
      </c>
      <c r="N21" s="2">
        <v>36</v>
      </c>
      <c r="O21" t="s">
        <v>54</v>
      </c>
      <c r="P21">
        <v>100</v>
      </c>
      <c r="Q21" s="1">
        <v>46204</v>
      </c>
      <c r="R21" t="s">
        <v>57</v>
      </c>
      <c r="S21">
        <v>0</v>
      </c>
      <c r="T21">
        <v>180</v>
      </c>
      <c r="U21">
        <v>0</v>
      </c>
      <c r="W21">
        <v>0</v>
      </c>
      <c r="X21">
        <v>0</v>
      </c>
      <c r="Y21">
        <v>-36</v>
      </c>
    </row>
    <row r="22" spans="2:28" x14ac:dyDescent="0.25">
      <c r="B22">
        <v>18754354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52</v>
      </c>
      <c r="K22" s="1">
        <v>46204</v>
      </c>
      <c r="M22" t="s">
        <v>53</v>
      </c>
      <c r="N22" s="2">
        <v>65</v>
      </c>
      <c r="O22" t="s">
        <v>54</v>
      </c>
      <c r="P22">
        <v>100</v>
      </c>
      <c r="Q22" s="1">
        <v>46235</v>
      </c>
      <c r="R22">
        <v>1</v>
      </c>
      <c r="S22">
        <v>0</v>
      </c>
      <c r="T22">
        <v>180</v>
      </c>
      <c r="U22">
        <v>0</v>
      </c>
      <c r="W22">
        <v>0</v>
      </c>
      <c r="X22">
        <v>0</v>
      </c>
      <c r="Y22">
        <v>65</v>
      </c>
      <c r="Z22" t="s">
        <v>55</v>
      </c>
    </row>
    <row r="23" spans="2:28" x14ac:dyDescent="0.25">
      <c r="B23">
        <v>18754354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 s="1">
        <v>46204</v>
      </c>
      <c r="M23" t="s">
        <v>53</v>
      </c>
      <c r="N23" s="2">
        <v>36</v>
      </c>
      <c r="O23" t="s">
        <v>54</v>
      </c>
      <c r="P23">
        <v>100</v>
      </c>
      <c r="Q23" s="1">
        <v>46235</v>
      </c>
      <c r="R23" t="s">
        <v>57</v>
      </c>
      <c r="S23">
        <v>0</v>
      </c>
      <c r="T23">
        <v>180</v>
      </c>
      <c r="U23">
        <v>0</v>
      </c>
      <c r="W23">
        <v>0</v>
      </c>
      <c r="X23">
        <v>0</v>
      </c>
      <c r="Y23">
        <v>-36</v>
      </c>
    </row>
    <row r="24" spans="2:28" x14ac:dyDescent="0.25">
      <c r="B24">
        <v>18754354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s="1">
        <v>46204</v>
      </c>
      <c r="M24" t="s">
        <v>53</v>
      </c>
      <c r="N24" s="2">
        <v>65</v>
      </c>
      <c r="O24" t="s">
        <v>54</v>
      </c>
      <c r="P24">
        <v>100</v>
      </c>
      <c r="Q24" s="1">
        <v>46266</v>
      </c>
      <c r="R24">
        <v>1</v>
      </c>
      <c r="S24">
        <v>0</v>
      </c>
      <c r="T24">
        <v>180</v>
      </c>
      <c r="U24">
        <v>0</v>
      </c>
      <c r="W24">
        <v>0</v>
      </c>
      <c r="X24">
        <v>0</v>
      </c>
      <c r="Y24">
        <v>65</v>
      </c>
      <c r="Z24" t="s">
        <v>55</v>
      </c>
    </row>
    <row r="25" spans="2:28" x14ac:dyDescent="0.25">
      <c r="B25">
        <v>18754354</v>
      </c>
      <c r="C25" t="s">
        <v>45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s="1">
        <v>46204</v>
      </c>
      <c r="M25" t="s">
        <v>53</v>
      </c>
      <c r="N25" s="2">
        <v>36</v>
      </c>
      <c r="O25" t="s">
        <v>54</v>
      </c>
      <c r="P25">
        <v>100</v>
      </c>
      <c r="Q25" s="1">
        <v>46266</v>
      </c>
      <c r="R25" t="s">
        <v>57</v>
      </c>
      <c r="S25">
        <v>0</v>
      </c>
      <c r="T25">
        <v>180</v>
      </c>
      <c r="U25">
        <v>0</v>
      </c>
      <c r="W25">
        <v>0</v>
      </c>
      <c r="X25">
        <v>0</v>
      </c>
      <c r="Y25">
        <v>-36</v>
      </c>
    </row>
    <row r="26" spans="2:28" x14ac:dyDescent="0.25">
      <c r="B26">
        <v>18754354</v>
      </c>
      <c r="C26" t="s">
        <v>45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52</v>
      </c>
      <c r="K26" s="1">
        <v>46204</v>
      </c>
      <c r="M26" t="s">
        <v>53</v>
      </c>
      <c r="N26" s="2">
        <v>65</v>
      </c>
      <c r="O26" t="s">
        <v>54</v>
      </c>
      <c r="P26">
        <v>100</v>
      </c>
      <c r="Q26" s="1">
        <v>46296</v>
      </c>
      <c r="R26">
        <v>1</v>
      </c>
      <c r="S26">
        <v>0</v>
      </c>
      <c r="T26">
        <v>180</v>
      </c>
      <c r="U26">
        <v>0</v>
      </c>
      <c r="W26">
        <v>0</v>
      </c>
      <c r="X26">
        <v>0</v>
      </c>
      <c r="Y26">
        <v>65</v>
      </c>
      <c r="Z26" t="s">
        <v>55</v>
      </c>
    </row>
    <row r="27" spans="2:28" x14ac:dyDescent="0.25">
      <c r="B27">
        <v>18754354</v>
      </c>
      <c r="C27" t="s">
        <v>45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52</v>
      </c>
      <c r="K27" s="1">
        <v>46204</v>
      </c>
      <c r="M27" t="s">
        <v>53</v>
      </c>
      <c r="N27" s="2">
        <v>36</v>
      </c>
      <c r="O27" t="s">
        <v>54</v>
      </c>
      <c r="P27">
        <v>100</v>
      </c>
      <c r="Q27" s="1">
        <v>46296</v>
      </c>
      <c r="R27" t="s">
        <v>57</v>
      </c>
      <c r="S27">
        <v>0</v>
      </c>
      <c r="T27">
        <v>180</v>
      </c>
      <c r="U27">
        <v>0</v>
      </c>
      <c r="W27">
        <v>0</v>
      </c>
      <c r="X27">
        <v>0</v>
      </c>
      <c r="Y27">
        <v>-36</v>
      </c>
    </row>
    <row r="28" spans="2:28" x14ac:dyDescent="0.25">
      <c r="B28">
        <v>18754354</v>
      </c>
      <c r="C28" t="s">
        <v>45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52</v>
      </c>
      <c r="K28" s="1">
        <v>46204</v>
      </c>
      <c r="M28" t="s">
        <v>53</v>
      </c>
      <c r="N28" s="2">
        <v>36</v>
      </c>
      <c r="O28" t="s">
        <v>54</v>
      </c>
      <c r="P28">
        <v>100</v>
      </c>
      <c r="Q28" s="1">
        <v>46327</v>
      </c>
      <c r="R28" t="s">
        <v>57</v>
      </c>
      <c r="S28">
        <v>0</v>
      </c>
      <c r="T28">
        <v>180</v>
      </c>
      <c r="U28">
        <v>0</v>
      </c>
      <c r="W28">
        <v>0</v>
      </c>
      <c r="X28">
        <v>0</v>
      </c>
      <c r="Y28">
        <v>-36</v>
      </c>
    </row>
    <row r="29" spans="2:28" x14ac:dyDescent="0.25">
      <c r="B29">
        <v>18754354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s="1">
        <v>46204</v>
      </c>
      <c r="M29" t="s">
        <v>53</v>
      </c>
      <c r="N29" s="2">
        <v>65</v>
      </c>
      <c r="O29" t="s">
        <v>54</v>
      </c>
      <c r="P29">
        <v>100</v>
      </c>
      <c r="Q29" s="1">
        <v>46327</v>
      </c>
      <c r="R29">
        <v>1</v>
      </c>
      <c r="S29">
        <v>0</v>
      </c>
      <c r="T29">
        <v>180</v>
      </c>
      <c r="U29">
        <v>0</v>
      </c>
      <c r="W29">
        <v>0</v>
      </c>
      <c r="X29">
        <v>0</v>
      </c>
      <c r="Y29">
        <v>65</v>
      </c>
      <c r="Z29" t="s">
        <v>55</v>
      </c>
    </row>
    <row r="30" spans="2:28" x14ac:dyDescent="0.25">
      <c r="B30">
        <v>18754354</v>
      </c>
      <c r="C30" t="s">
        <v>45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52</v>
      </c>
      <c r="K30" s="1">
        <v>46204</v>
      </c>
      <c r="M30" t="s">
        <v>53</v>
      </c>
      <c r="N30" s="2">
        <v>65</v>
      </c>
      <c r="O30" t="s">
        <v>54</v>
      </c>
      <c r="P30">
        <v>100</v>
      </c>
      <c r="Q30" s="1">
        <v>46357</v>
      </c>
      <c r="R30">
        <v>1</v>
      </c>
      <c r="S30">
        <v>0</v>
      </c>
      <c r="T30">
        <v>180</v>
      </c>
      <c r="U30">
        <v>0</v>
      </c>
      <c r="W30">
        <v>0</v>
      </c>
      <c r="X30">
        <v>0</v>
      </c>
      <c r="Y30">
        <v>65</v>
      </c>
      <c r="Z30" t="s">
        <v>55</v>
      </c>
    </row>
    <row r="31" spans="2:28" x14ac:dyDescent="0.25">
      <c r="B31">
        <v>18754354</v>
      </c>
      <c r="C31" t="s">
        <v>45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52</v>
      </c>
      <c r="K31" s="1">
        <v>46204</v>
      </c>
      <c r="M31" t="s">
        <v>53</v>
      </c>
      <c r="N31" s="2">
        <v>36</v>
      </c>
      <c r="O31" t="s">
        <v>54</v>
      </c>
      <c r="P31">
        <v>100</v>
      </c>
      <c r="Q31" s="1">
        <v>46357</v>
      </c>
      <c r="R31" t="s">
        <v>57</v>
      </c>
      <c r="S31">
        <v>0</v>
      </c>
      <c r="T31">
        <v>180</v>
      </c>
      <c r="U31">
        <v>0</v>
      </c>
      <c r="W31">
        <v>0</v>
      </c>
      <c r="X31">
        <v>0</v>
      </c>
      <c r="Y31">
        <v>-36</v>
      </c>
    </row>
    <row r="32" spans="2:28" x14ac:dyDescent="0.25">
      <c r="B32">
        <v>21348299</v>
      </c>
      <c r="C32" t="s">
        <v>58</v>
      </c>
      <c r="D32" t="s">
        <v>46</v>
      </c>
      <c r="E32" t="s">
        <v>47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s="1">
        <v>46023</v>
      </c>
      <c r="M32" t="s">
        <v>53</v>
      </c>
      <c r="N32" s="3">
        <v>0.2</v>
      </c>
      <c r="O32" t="s">
        <v>54</v>
      </c>
      <c r="P32">
        <v>100</v>
      </c>
      <c r="Q32" s="1">
        <v>46204</v>
      </c>
      <c r="R32">
        <v>1</v>
      </c>
      <c r="S32">
        <v>0</v>
      </c>
      <c r="T32">
        <v>92.04</v>
      </c>
      <c r="U32">
        <v>179.58</v>
      </c>
      <c r="V32" t="s">
        <v>64</v>
      </c>
      <c r="W32">
        <v>0</v>
      </c>
      <c r="X32">
        <v>0</v>
      </c>
      <c r="Y32">
        <v>0</v>
      </c>
      <c r="AA32">
        <v>0</v>
      </c>
      <c r="AB32">
        <v>0</v>
      </c>
    </row>
    <row r="33" spans="2:28" x14ac:dyDescent="0.25">
      <c r="B33">
        <v>6634327</v>
      </c>
      <c r="C33" t="s">
        <v>65</v>
      </c>
      <c r="D33" t="s">
        <v>24</v>
      </c>
      <c r="E33" t="s">
        <v>47</v>
      </c>
      <c r="F33" t="s">
        <v>66</v>
      </c>
      <c r="G33" t="s">
        <v>60</v>
      </c>
      <c r="H33" t="s">
        <v>67</v>
      </c>
      <c r="I33" t="s">
        <v>68</v>
      </c>
      <c r="J33" t="s">
        <v>69</v>
      </c>
      <c r="K33" s="1">
        <v>46082</v>
      </c>
      <c r="M33" t="s">
        <v>53</v>
      </c>
      <c r="N33" s="3">
        <v>0.26</v>
      </c>
      <c r="O33" t="s">
        <v>54</v>
      </c>
      <c r="P33">
        <v>100</v>
      </c>
      <c r="Q33" s="1">
        <v>46204</v>
      </c>
      <c r="R33">
        <v>1</v>
      </c>
      <c r="S33">
        <v>0</v>
      </c>
      <c r="T33">
        <v>223.7</v>
      </c>
      <c r="U33">
        <v>172.11</v>
      </c>
      <c r="V33" t="s">
        <v>70</v>
      </c>
      <c r="W33">
        <v>0</v>
      </c>
      <c r="X33">
        <v>0</v>
      </c>
      <c r="Y33">
        <v>0</v>
      </c>
      <c r="AA33">
        <v>0</v>
      </c>
      <c r="AB33">
        <v>0</v>
      </c>
    </row>
    <row r="34" spans="2:28" x14ac:dyDescent="0.25">
      <c r="B34">
        <v>16849453</v>
      </c>
      <c r="C34" t="s">
        <v>71</v>
      </c>
      <c r="D34" t="s">
        <v>72</v>
      </c>
      <c r="E34" t="s">
        <v>47</v>
      </c>
      <c r="F34" t="s">
        <v>73</v>
      </c>
      <c r="G34" t="s">
        <v>60</v>
      </c>
      <c r="H34" t="s">
        <v>74</v>
      </c>
      <c r="I34" t="s">
        <v>75</v>
      </c>
      <c r="J34" t="s">
        <v>76</v>
      </c>
      <c r="K34" s="1">
        <v>46082</v>
      </c>
      <c r="M34" t="s">
        <v>53</v>
      </c>
      <c r="N34" s="3">
        <v>0.21</v>
      </c>
      <c r="O34" t="s">
        <v>54</v>
      </c>
      <c r="P34">
        <v>100</v>
      </c>
      <c r="Q34" s="1">
        <v>46204</v>
      </c>
      <c r="R34">
        <v>1</v>
      </c>
      <c r="S34">
        <v>0</v>
      </c>
      <c r="T34">
        <v>193</v>
      </c>
      <c r="U34">
        <v>183.84</v>
      </c>
      <c r="V34" t="s">
        <v>70</v>
      </c>
      <c r="W34">
        <v>0</v>
      </c>
      <c r="X34">
        <v>0</v>
      </c>
      <c r="Y34">
        <v>0</v>
      </c>
      <c r="AA34">
        <v>799.92</v>
      </c>
      <c r="AB34">
        <v>799.92</v>
      </c>
    </row>
    <row r="35" spans="2:28" x14ac:dyDescent="0.25">
      <c r="B35">
        <v>16849453</v>
      </c>
      <c r="C35" t="s">
        <v>71</v>
      </c>
      <c r="D35" t="s">
        <v>72</v>
      </c>
      <c r="E35" t="s">
        <v>47</v>
      </c>
      <c r="F35" t="s">
        <v>77</v>
      </c>
      <c r="G35" t="s">
        <v>60</v>
      </c>
      <c r="H35" t="s">
        <v>74</v>
      </c>
      <c r="I35" t="s">
        <v>78</v>
      </c>
      <c r="J35" t="s">
        <v>79</v>
      </c>
      <c r="K35" s="1">
        <v>46082</v>
      </c>
      <c r="M35" t="s">
        <v>53</v>
      </c>
      <c r="N35" s="3">
        <v>0.21</v>
      </c>
      <c r="O35" t="s">
        <v>54</v>
      </c>
      <c r="P35">
        <v>100</v>
      </c>
      <c r="Q35" s="1">
        <v>46204</v>
      </c>
      <c r="R35">
        <v>1</v>
      </c>
      <c r="S35">
        <v>0</v>
      </c>
      <c r="T35">
        <v>186.6</v>
      </c>
      <c r="U35">
        <v>177.73</v>
      </c>
      <c r="V35" t="s">
        <v>70</v>
      </c>
      <c r="W35">
        <v>0</v>
      </c>
      <c r="X35">
        <v>0</v>
      </c>
      <c r="Y35">
        <v>0</v>
      </c>
    </row>
    <row r="36" spans="2:28" x14ac:dyDescent="0.25">
      <c r="B36">
        <v>16849453</v>
      </c>
      <c r="C36" t="s">
        <v>71</v>
      </c>
      <c r="D36" t="s">
        <v>72</v>
      </c>
      <c r="E36" t="s">
        <v>47</v>
      </c>
      <c r="F36" t="s">
        <v>80</v>
      </c>
      <c r="G36" t="s">
        <v>60</v>
      </c>
      <c r="H36" t="s">
        <v>74</v>
      </c>
      <c r="I36" t="s">
        <v>81</v>
      </c>
      <c r="J36" t="s">
        <v>82</v>
      </c>
      <c r="K36" s="1">
        <v>46054</v>
      </c>
      <c r="M36" t="s">
        <v>53</v>
      </c>
      <c r="N36" s="3">
        <v>0.21</v>
      </c>
      <c r="O36" t="s">
        <v>54</v>
      </c>
      <c r="P36">
        <v>100</v>
      </c>
      <c r="Q36" s="1">
        <v>46204</v>
      </c>
      <c r="R36">
        <v>1</v>
      </c>
      <c r="S36">
        <v>0</v>
      </c>
      <c r="T36">
        <v>149.28</v>
      </c>
      <c r="U36">
        <v>177.73</v>
      </c>
      <c r="V36" t="s">
        <v>70</v>
      </c>
      <c r="W36">
        <v>0</v>
      </c>
      <c r="X36">
        <v>0</v>
      </c>
      <c r="Y36">
        <v>0</v>
      </c>
    </row>
    <row r="37" spans="2:28" x14ac:dyDescent="0.25">
      <c r="B37">
        <v>16849453</v>
      </c>
      <c r="C37" t="s">
        <v>71</v>
      </c>
      <c r="D37" t="s">
        <v>72</v>
      </c>
      <c r="E37" t="s">
        <v>47</v>
      </c>
      <c r="F37" t="s">
        <v>83</v>
      </c>
      <c r="G37" t="s">
        <v>49</v>
      </c>
      <c r="H37" t="s">
        <v>84</v>
      </c>
      <c r="I37" t="s">
        <v>85</v>
      </c>
      <c r="J37" t="s">
        <v>86</v>
      </c>
      <c r="K37" s="1">
        <v>46204</v>
      </c>
      <c r="M37" t="s">
        <v>53</v>
      </c>
      <c r="N37" s="2">
        <v>52.17</v>
      </c>
      <c r="O37" t="s">
        <v>54</v>
      </c>
      <c r="P37">
        <v>100</v>
      </c>
      <c r="Q37" s="1">
        <v>46023</v>
      </c>
      <c r="R37">
        <v>1</v>
      </c>
      <c r="S37">
        <v>0</v>
      </c>
      <c r="T37">
        <v>144.6</v>
      </c>
      <c r="U37">
        <v>0</v>
      </c>
      <c r="W37">
        <v>0</v>
      </c>
      <c r="X37">
        <v>0</v>
      </c>
      <c r="Y37">
        <v>52.17</v>
      </c>
      <c r="Z37" t="s">
        <v>55</v>
      </c>
    </row>
    <row r="38" spans="2:28" x14ac:dyDescent="0.25">
      <c r="B38">
        <v>16849453</v>
      </c>
      <c r="C38" t="s">
        <v>71</v>
      </c>
      <c r="D38" t="s">
        <v>72</v>
      </c>
      <c r="E38" t="s">
        <v>47</v>
      </c>
      <c r="F38" t="s">
        <v>83</v>
      </c>
      <c r="G38" t="s">
        <v>49</v>
      </c>
      <c r="H38" t="s">
        <v>84</v>
      </c>
      <c r="I38" t="s">
        <v>85</v>
      </c>
      <c r="J38" t="s">
        <v>86</v>
      </c>
      <c r="K38" s="1">
        <v>46204</v>
      </c>
      <c r="M38" t="s">
        <v>53</v>
      </c>
      <c r="N38" s="2">
        <v>52.17</v>
      </c>
      <c r="O38" t="s">
        <v>54</v>
      </c>
      <c r="P38">
        <v>100</v>
      </c>
      <c r="Q38" s="1">
        <v>46054</v>
      </c>
      <c r="R38">
        <v>1</v>
      </c>
      <c r="S38">
        <v>0</v>
      </c>
      <c r="T38">
        <v>144.6</v>
      </c>
      <c r="U38">
        <v>0</v>
      </c>
      <c r="W38">
        <v>0</v>
      </c>
      <c r="X38">
        <v>0</v>
      </c>
      <c r="Y38">
        <v>52.17</v>
      </c>
      <c r="Z38" t="s">
        <v>55</v>
      </c>
    </row>
    <row r="39" spans="2:28" x14ac:dyDescent="0.25">
      <c r="B39">
        <v>16849453</v>
      </c>
      <c r="C39" t="s">
        <v>71</v>
      </c>
      <c r="D39" t="s">
        <v>72</v>
      </c>
      <c r="E39" t="s">
        <v>47</v>
      </c>
      <c r="F39" t="s">
        <v>83</v>
      </c>
      <c r="G39" t="s">
        <v>49</v>
      </c>
      <c r="H39" t="s">
        <v>84</v>
      </c>
      <c r="I39" t="s">
        <v>85</v>
      </c>
      <c r="J39" t="s">
        <v>86</v>
      </c>
      <c r="K39" s="1">
        <v>46204</v>
      </c>
      <c r="M39" t="s">
        <v>53</v>
      </c>
      <c r="N39" s="2">
        <v>52.17</v>
      </c>
      <c r="O39" t="s">
        <v>54</v>
      </c>
      <c r="P39">
        <v>100</v>
      </c>
      <c r="Q39" s="1">
        <v>46082</v>
      </c>
      <c r="R39">
        <v>1</v>
      </c>
      <c r="S39">
        <v>0</v>
      </c>
      <c r="T39">
        <v>144.6</v>
      </c>
      <c r="U39">
        <v>0</v>
      </c>
      <c r="W39">
        <v>0</v>
      </c>
      <c r="X39">
        <v>0</v>
      </c>
      <c r="Y39">
        <v>52.17</v>
      </c>
      <c r="Z39" t="s">
        <v>55</v>
      </c>
    </row>
    <row r="40" spans="2:28" x14ac:dyDescent="0.25">
      <c r="B40">
        <v>16849453</v>
      </c>
      <c r="C40" t="s">
        <v>71</v>
      </c>
      <c r="D40" t="s">
        <v>72</v>
      </c>
      <c r="E40" t="s">
        <v>47</v>
      </c>
      <c r="F40" t="s">
        <v>83</v>
      </c>
      <c r="G40" t="s">
        <v>49</v>
      </c>
      <c r="H40" t="s">
        <v>84</v>
      </c>
      <c r="I40" t="s">
        <v>85</v>
      </c>
      <c r="J40" t="s">
        <v>86</v>
      </c>
      <c r="K40" s="1">
        <v>46204</v>
      </c>
      <c r="M40" t="s">
        <v>53</v>
      </c>
      <c r="N40" s="2">
        <v>52.17</v>
      </c>
      <c r="O40" t="s">
        <v>54</v>
      </c>
      <c r="P40">
        <v>100</v>
      </c>
      <c r="Q40" s="1">
        <v>46113</v>
      </c>
      <c r="R40">
        <v>1</v>
      </c>
      <c r="S40">
        <v>0</v>
      </c>
      <c r="T40">
        <v>144.6</v>
      </c>
      <c r="U40">
        <v>0</v>
      </c>
      <c r="W40">
        <v>0</v>
      </c>
      <c r="X40">
        <v>0</v>
      </c>
      <c r="Y40">
        <v>52.17</v>
      </c>
      <c r="Z40" t="s">
        <v>55</v>
      </c>
    </row>
    <row r="41" spans="2:28" x14ac:dyDescent="0.25">
      <c r="B41">
        <v>16849453</v>
      </c>
      <c r="C41" t="s">
        <v>71</v>
      </c>
      <c r="D41" t="s">
        <v>72</v>
      </c>
      <c r="E41" t="s">
        <v>47</v>
      </c>
      <c r="F41" t="s">
        <v>83</v>
      </c>
      <c r="G41" t="s">
        <v>49</v>
      </c>
      <c r="H41" t="s">
        <v>84</v>
      </c>
      <c r="I41" t="s">
        <v>85</v>
      </c>
      <c r="J41" t="s">
        <v>86</v>
      </c>
      <c r="K41" s="1">
        <v>46204</v>
      </c>
      <c r="M41" t="s">
        <v>53</v>
      </c>
      <c r="N41" s="2">
        <v>52.17</v>
      </c>
      <c r="O41" t="s">
        <v>54</v>
      </c>
      <c r="P41">
        <v>100</v>
      </c>
      <c r="Q41" s="1">
        <v>46143</v>
      </c>
      <c r="R41">
        <v>1</v>
      </c>
      <c r="S41">
        <v>0</v>
      </c>
      <c r="T41">
        <v>144.6</v>
      </c>
      <c r="U41">
        <v>0</v>
      </c>
      <c r="W41">
        <v>0</v>
      </c>
      <c r="X41">
        <v>0</v>
      </c>
      <c r="Y41">
        <v>52.17</v>
      </c>
      <c r="Z41" t="s">
        <v>55</v>
      </c>
    </row>
    <row r="42" spans="2:28" x14ac:dyDescent="0.25">
      <c r="B42">
        <v>16849453</v>
      </c>
      <c r="C42" t="s">
        <v>71</v>
      </c>
      <c r="D42" t="s">
        <v>72</v>
      </c>
      <c r="E42" t="s">
        <v>47</v>
      </c>
      <c r="F42" t="s">
        <v>83</v>
      </c>
      <c r="G42" t="s">
        <v>49</v>
      </c>
      <c r="H42" t="s">
        <v>84</v>
      </c>
      <c r="I42" t="s">
        <v>85</v>
      </c>
      <c r="J42" t="s">
        <v>86</v>
      </c>
      <c r="K42" s="1">
        <v>46204</v>
      </c>
      <c r="M42" t="s">
        <v>53</v>
      </c>
      <c r="N42" s="2">
        <v>52.17</v>
      </c>
      <c r="O42" t="s">
        <v>54</v>
      </c>
      <c r="P42">
        <v>100</v>
      </c>
      <c r="Q42" s="1">
        <v>46174</v>
      </c>
      <c r="R42">
        <v>1</v>
      </c>
      <c r="S42">
        <v>0</v>
      </c>
      <c r="T42">
        <v>144.6</v>
      </c>
      <c r="U42">
        <v>0</v>
      </c>
      <c r="W42">
        <v>0</v>
      </c>
      <c r="X42">
        <v>0</v>
      </c>
      <c r="Y42">
        <v>52.17</v>
      </c>
      <c r="Z42" t="s">
        <v>55</v>
      </c>
    </row>
    <row r="43" spans="2:28" x14ac:dyDescent="0.25">
      <c r="B43">
        <v>16849453</v>
      </c>
      <c r="C43" t="s">
        <v>71</v>
      </c>
      <c r="D43" t="s">
        <v>72</v>
      </c>
      <c r="E43" t="s">
        <v>47</v>
      </c>
      <c r="F43" t="s">
        <v>83</v>
      </c>
      <c r="G43" t="s">
        <v>49</v>
      </c>
      <c r="H43" t="s">
        <v>84</v>
      </c>
      <c r="I43" t="s">
        <v>85</v>
      </c>
      <c r="J43" t="s">
        <v>86</v>
      </c>
      <c r="K43" s="1">
        <v>46204</v>
      </c>
      <c r="M43" t="s">
        <v>53</v>
      </c>
      <c r="N43" s="2">
        <v>28.92</v>
      </c>
      <c r="O43" t="s">
        <v>54</v>
      </c>
      <c r="P43">
        <v>100</v>
      </c>
      <c r="Q43" s="1">
        <v>46204</v>
      </c>
      <c r="R43" t="s">
        <v>57</v>
      </c>
      <c r="S43">
        <v>0</v>
      </c>
      <c r="T43">
        <v>144.6</v>
      </c>
      <c r="U43">
        <v>0</v>
      </c>
      <c r="W43">
        <v>0</v>
      </c>
      <c r="X43">
        <v>0</v>
      </c>
      <c r="Y43">
        <v>-28.92</v>
      </c>
    </row>
    <row r="44" spans="2:28" x14ac:dyDescent="0.25">
      <c r="B44">
        <v>16849453</v>
      </c>
      <c r="C44" t="s">
        <v>71</v>
      </c>
      <c r="D44" t="s">
        <v>72</v>
      </c>
      <c r="E44" t="s">
        <v>47</v>
      </c>
      <c r="F44" t="s">
        <v>83</v>
      </c>
      <c r="G44" t="s">
        <v>49</v>
      </c>
      <c r="H44" t="s">
        <v>84</v>
      </c>
      <c r="I44" t="s">
        <v>85</v>
      </c>
      <c r="J44" t="s">
        <v>86</v>
      </c>
      <c r="K44" s="1">
        <v>46204</v>
      </c>
      <c r="M44" t="s">
        <v>53</v>
      </c>
      <c r="N44" s="2">
        <v>52.17</v>
      </c>
      <c r="O44" t="s">
        <v>54</v>
      </c>
      <c r="P44">
        <v>100</v>
      </c>
      <c r="Q44" s="1">
        <v>46204</v>
      </c>
      <c r="R44">
        <v>1</v>
      </c>
      <c r="S44">
        <v>0</v>
      </c>
      <c r="T44">
        <v>144.6</v>
      </c>
      <c r="U44">
        <v>0</v>
      </c>
      <c r="W44">
        <v>0</v>
      </c>
      <c r="X44">
        <v>0</v>
      </c>
      <c r="Y44">
        <v>52.17</v>
      </c>
      <c r="Z44" t="s">
        <v>56</v>
      </c>
    </row>
    <row r="45" spans="2:28" x14ac:dyDescent="0.25">
      <c r="B45">
        <v>16849453</v>
      </c>
      <c r="C45" t="s">
        <v>71</v>
      </c>
      <c r="D45" t="s">
        <v>72</v>
      </c>
      <c r="E45" t="s">
        <v>47</v>
      </c>
      <c r="F45" t="s">
        <v>83</v>
      </c>
      <c r="G45" t="s">
        <v>49</v>
      </c>
      <c r="H45" t="s">
        <v>84</v>
      </c>
      <c r="I45" t="s">
        <v>85</v>
      </c>
      <c r="J45" t="s">
        <v>86</v>
      </c>
      <c r="K45" s="1">
        <v>46204</v>
      </c>
      <c r="M45" t="s">
        <v>53</v>
      </c>
      <c r="N45" s="2">
        <v>28.92</v>
      </c>
      <c r="O45" t="s">
        <v>54</v>
      </c>
      <c r="P45">
        <v>100</v>
      </c>
      <c r="Q45" s="1">
        <v>46235</v>
      </c>
      <c r="R45" t="s">
        <v>57</v>
      </c>
      <c r="S45">
        <v>0</v>
      </c>
      <c r="T45">
        <v>144.6</v>
      </c>
      <c r="U45">
        <v>0</v>
      </c>
      <c r="W45">
        <v>0</v>
      </c>
      <c r="X45">
        <v>0</v>
      </c>
      <c r="Y45">
        <v>-28.92</v>
      </c>
    </row>
    <row r="46" spans="2:28" x14ac:dyDescent="0.25">
      <c r="B46">
        <v>16849453</v>
      </c>
      <c r="C46" t="s">
        <v>71</v>
      </c>
      <c r="D46" t="s">
        <v>72</v>
      </c>
      <c r="E46" t="s">
        <v>47</v>
      </c>
      <c r="F46" t="s">
        <v>83</v>
      </c>
      <c r="G46" t="s">
        <v>49</v>
      </c>
      <c r="H46" t="s">
        <v>84</v>
      </c>
      <c r="I46" t="s">
        <v>85</v>
      </c>
      <c r="J46" t="s">
        <v>86</v>
      </c>
      <c r="K46" s="1">
        <v>46204</v>
      </c>
      <c r="M46" t="s">
        <v>53</v>
      </c>
      <c r="N46" s="2">
        <v>52.17</v>
      </c>
      <c r="O46" t="s">
        <v>54</v>
      </c>
      <c r="P46">
        <v>100</v>
      </c>
      <c r="Q46" s="1">
        <v>46235</v>
      </c>
      <c r="R46">
        <v>1</v>
      </c>
      <c r="S46">
        <v>0</v>
      </c>
      <c r="T46">
        <v>144.6</v>
      </c>
      <c r="U46">
        <v>0</v>
      </c>
      <c r="W46">
        <v>0</v>
      </c>
      <c r="X46">
        <v>0</v>
      </c>
      <c r="Y46">
        <v>52.17</v>
      </c>
      <c r="Z46" t="s">
        <v>55</v>
      </c>
    </row>
    <row r="47" spans="2:28" x14ac:dyDescent="0.25">
      <c r="B47">
        <v>16849453</v>
      </c>
      <c r="C47" t="s">
        <v>71</v>
      </c>
      <c r="D47" t="s">
        <v>72</v>
      </c>
      <c r="E47" t="s">
        <v>47</v>
      </c>
      <c r="F47" t="s">
        <v>83</v>
      </c>
      <c r="G47" t="s">
        <v>49</v>
      </c>
      <c r="H47" t="s">
        <v>84</v>
      </c>
      <c r="I47" t="s">
        <v>85</v>
      </c>
      <c r="J47" t="s">
        <v>86</v>
      </c>
      <c r="K47" s="1">
        <v>46204</v>
      </c>
      <c r="M47" t="s">
        <v>53</v>
      </c>
      <c r="N47" s="2">
        <v>28.92</v>
      </c>
      <c r="O47" t="s">
        <v>54</v>
      </c>
      <c r="P47">
        <v>100</v>
      </c>
      <c r="Q47" s="1">
        <v>46266</v>
      </c>
      <c r="R47" t="s">
        <v>57</v>
      </c>
      <c r="S47">
        <v>0</v>
      </c>
      <c r="T47">
        <v>144.6</v>
      </c>
      <c r="U47">
        <v>0</v>
      </c>
      <c r="W47">
        <v>0</v>
      </c>
      <c r="X47">
        <v>0</v>
      </c>
      <c r="Y47">
        <v>-28.92</v>
      </c>
    </row>
    <row r="48" spans="2:28" x14ac:dyDescent="0.25">
      <c r="B48">
        <v>16849453</v>
      </c>
      <c r="C48" t="s">
        <v>71</v>
      </c>
      <c r="D48" t="s">
        <v>72</v>
      </c>
      <c r="E48" t="s">
        <v>47</v>
      </c>
      <c r="F48" t="s">
        <v>83</v>
      </c>
      <c r="G48" t="s">
        <v>49</v>
      </c>
      <c r="H48" t="s">
        <v>84</v>
      </c>
      <c r="I48" t="s">
        <v>85</v>
      </c>
      <c r="J48" t="s">
        <v>86</v>
      </c>
      <c r="K48" s="1">
        <v>46204</v>
      </c>
      <c r="M48" t="s">
        <v>53</v>
      </c>
      <c r="N48" s="2">
        <v>52.17</v>
      </c>
      <c r="O48" t="s">
        <v>54</v>
      </c>
      <c r="P48">
        <v>100</v>
      </c>
      <c r="Q48" s="1">
        <v>46266</v>
      </c>
      <c r="R48">
        <v>1</v>
      </c>
      <c r="S48">
        <v>0</v>
      </c>
      <c r="T48">
        <v>144.6</v>
      </c>
      <c r="U48">
        <v>0</v>
      </c>
      <c r="W48">
        <v>0</v>
      </c>
      <c r="X48">
        <v>0</v>
      </c>
      <c r="Y48">
        <v>52.17</v>
      </c>
      <c r="Z48" t="s">
        <v>55</v>
      </c>
    </row>
    <row r="49" spans="2:26" x14ac:dyDescent="0.25">
      <c r="B49">
        <v>16849453</v>
      </c>
      <c r="C49" t="s">
        <v>71</v>
      </c>
      <c r="D49" t="s">
        <v>72</v>
      </c>
      <c r="E49" t="s">
        <v>47</v>
      </c>
      <c r="F49" t="s">
        <v>83</v>
      </c>
      <c r="G49" t="s">
        <v>49</v>
      </c>
      <c r="H49" t="s">
        <v>84</v>
      </c>
      <c r="I49" t="s">
        <v>85</v>
      </c>
      <c r="J49" t="s">
        <v>86</v>
      </c>
      <c r="K49" s="1">
        <v>46204</v>
      </c>
      <c r="M49" t="s">
        <v>53</v>
      </c>
      <c r="N49" s="2">
        <v>52.17</v>
      </c>
      <c r="O49" t="s">
        <v>54</v>
      </c>
      <c r="P49">
        <v>100</v>
      </c>
      <c r="Q49" s="1">
        <v>46296</v>
      </c>
      <c r="R49">
        <v>1</v>
      </c>
      <c r="S49">
        <v>0</v>
      </c>
      <c r="T49">
        <v>144.6</v>
      </c>
      <c r="U49">
        <v>0</v>
      </c>
      <c r="W49">
        <v>0</v>
      </c>
      <c r="X49">
        <v>0</v>
      </c>
      <c r="Y49">
        <v>52.17</v>
      </c>
      <c r="Z49" t="s">
        <v>55</v>
      </c>
    </row>
    <row r="50" spans="2:26" x14ac:dyDescent="0.25">
      <c r="B50">
        <v>16849453</v>
      </c>
      <c r="C50" t="s">
        <v>71</v>
      </c>
      <c r="D50" t="s">
        <v>72</v>
      </c>
      <c r="E50" t="s">
        <v>47</v>
      </c>
      <c r="F50" t="s">
        <v>83</v>
      </c>
      <c r="G50" t="s">
        <v>49</v>
      </c>
      <c r="H50" t="s">
        <v>84</v>
      </c>
      <c r="I50" t="s">
        <v>85</v>
      </c>
      <c r="J50" t="s">
        <v>86</v>
      </c>
      <c r="K50" s="1">
        <v>46204</v>
      </c>
      <c r="M50" t="s">
        <v>53</v>
      </c>
      <c r="N50" s="2">
        <v>28.92</v>
      </c>
      <c r="O50" t="s">
        <v>54</v>
      </c>
      <c r="P50">
        <v>100</v>
      </c>
      <c r="Q50" s="1">
        <v>46296</v>
      </c>
      <c r="R50" t="s">
        <v>57</v>
      </c>
      <c r="S50">
        <v>0</v>
      </c>
      <c r="T50">
        <v>144.6</v>
      </c>
      <c r="U50">
        <v>0</v>
      </c>
      <c r="W50">
        <v>0</v>
      </c>
      <c r="X50">
        <v>0</v>
      </c>
      <c r="Y50">
        <v>-28.92</v>
      </c>
    </row>
    <row r="51" spans="2:26" x14ac:dyDescent="0.25">
      <c r="B51">
        <v>16849453</v>
      </c>
      <c r="C51" t="s">
        <v>71</v>
      </c>
      <c r="D51" t="s">
        <v>72</v>
      </c>
      <c r="E51" t="s">
        <v>47</v>
      </c>
      <c r="F51" t="s">
        <v>83</v>
      </c>
      <c r="G51" t="s">
        <v>49</v>
      </c>
      <c r="H51" t="s">
        <v>84</v>
      </c>
      <c r="I51" t="s">
        <v>85</v>
      </c>
      <c r="J51" t="s">
        <v>86</v>
      </c>
      <c r="K51" s="1">
        <v>46204</v>
      </c>
      <c r="M51" t="s">
        <v>53</v>
      </c>
      <c r="N51" s="2">
        <v>52.17</v>
      </c>
      <c r="O51" t="s">
        <v>54</v>
      </c>
      <c r="P51">
        <v>100</v>
      </c>
      <c r="Q51" s="1">
        <v>46327</v>
      </c>
      <c r="R51">
        <v>1</v>
      </c>
      <c r="S51">
        <v>0</v>
      </c>
      <c r="T51">
        <v>144.6</v>
      </c>
      <c r="U51">
        <v>0</v>
      </c>
      <c r="W51">
        <v>0</v>
      </c>
      <c r="X51">
        <v>0</v>
      </c>
      <c r="Y51">
        <v>52.17</v>
      </c>
      <c r="Z51" t="s">
        <v>55</v>
      </c>
    </row>
    <row r="52" spans="2:26" x14ac:dyDescent="0.25">
      <c r="B52">
        <v>16849453</v>
      </c>
      <c r="C52" t="s">
        <v>71</v>
      </c>
      <c r="D52" t="s">
        <v>72</v>
      </c>
      <c r="E52" t="s">
        <v>47</v>
      </c>
      <c r="F52" t="s">
        <v>83</v>
      </c>
      <c r="G52" t="s">
        <v>49</v>
      </c>
      <c r="H52" t="s">
        <v>84</v>
      </c>
      <c r="I52" t="s">
        <v>85</v>
      </c>
      <c r="J52" t="s">
        <v>86</v>
      </c>
      <c r="K52" s="1">
        <v>46204</v>
      </c>
      <c r="M52" t="s">
        <v>53</v>
      </c>
      <c r="N52" s="2">
        <v>28.92</v>
      </c>
      <c r="O52" t="s">
        <v>54</v>
      </c>
      <c r="P52">
        <v>100</v>
      </c>
      <c r="Q52" s="1">
        <v>46327</v>
      </c>
      <c r="R52" t="s">
        <v>57</v>
      </c>
      <c r="S52">
        <v>0</v>
      </c>
      <c r="T52">
        <v>144.6</v>
      </c>
      <c r="U52">
        <v>0</v>
      </c>
      <c r="W52">
        <v>0</v>
      </c>
      <c r="X52">
        <v>0</v>
      </c>
      <c r="Y52">
        <v>-28.92</v>
      </c>
    </row>
    <row r="53" spans="2:26" x14ac:dyDescent="0.25">
      <c r="B53">
        <v>16849453</v>
      </c>
      <c r="C53" t="s">
        <v>71</v>
      </c>
      <c r="D53" t="s">
        <v>72</v>
      </c>
      <c r="E53" t="s">
        <v>47</v>
      </c>
      <c r="F53" t="s">
        <v>83</v>
      </c>
      <c r="G53" t="s">
        <v>49</v>
      </c>
      <c r="H53" t="s">
        <v>84</v>
      </c>
      <c r="I53" t="s">
        <v>85</v>
      </c>
      <c r="J53" t="s">
        <v>86</v>
      </c>
      <c r="K53" s="1">
        <v>46204</v>
      </c>
      <c r="M53" t="s">
        <v>53</v>
      </c>
      <c r="N53" s="2">
        <v>28.92</v>
      </c>
      <c r="O53" t="s">
        <v>54</v>
      </c>
      <c r="P53">
        <v>100</v>
      </c>
      <c r="Q53" s="1">
        <v>46357</v>
      </c>
      <c r="R53" t="s">
        <v>57</v>
      </c>
      <c r="S53">
        <v>0</v>
      </c>
      <c r="T53">
        <v>144.6</v>
      </c>
      <c r="U53">
        <v>0</v>
      </c>
      <c r="W53">
        <v>0</v>
      </c>
      <c r="X53">
        <v>0</v>
      </c>
      <c r="Y53">
        <v>-28.92</v>
      </c>
    </row>
    <row r="54" spans="2:26" x14ac:dyDescent="0.25">
      <c r="B54">
        <v>16849453</v>
      </c>
      <c r="C54" t="s">
        <v>71</v>
      </c>
      <c r="D54" t="s">
        <v>72</v>
      </c>
      <c r="E54" t="s">
        <v>47</v>
      </c>
      <c r="F54" t="s">
        <v>83</v>
      </c>
      <c r="G54" t="s">
        <v>49</v>
      </c>
      <c r="H54" t="s">
        <v>84</v>
      </c>
      <c r="I54" t="s">
        <v>85</v>
      </c>
      <c r="J54" t="s">
        <v>86</v>
      </c>
      <c r="K54" s="1">
        <v>46204</v>
      </c>
      <c r="M54" t="s">
        <v>53</v>
      </c>
      <c r="N54" s="2">
        <v>52.17</v>
      </c>
      <c r="O54" t="s">
        <v>54</v>
      </c>
      <c r="P54">
        <v>100</v>
      </c>
      <c r="Q54" s="1">
        <v>46357</v>
      </c>
      <c r="R54">
        <v>1</v>
      </c>
      <c r="S54">
        <v>0</v>
      </c>
      <c r="T54">
        <v>144.6</v>
      </c>
      <c r="U54">
        <v>0</v>
      </c>
      <c r="W54">
        <v>0</v>
      </c>
      <c r="X54">
        <v>0</v>
      </c>
      <c r="Y54">
        <v>52.17</v>
      </c>
      <c r="Z54" t="s">
        <v>55</v>
      </c>
    </row>
    <row r="55" spans="2:26" x14ac:dyDescent="0.25">
      <c r="B55">
        <v>16849453</v>
      </c>
      <c r="C55" t="s">
        <v>71</v>
      </c>
      <c r="D55" t="s">
        <v>72</v>
      </c>
      <c r="E55" t="s">
        <v>47</v>
      </c>
      <c r="F55" t="s">
        <v>87</v>
      </c>
      <c r="G55" t="s">
        <v>60</v>
      </c>
      <c r="H55" t="s">
        <v>74</v>
      </c>
      <c r="I55" t="s">
        <v>88</v>
      </c>
      <c r="J55" t="s">
        <v>89</v>
      </c>
      <c r="K55" s="1">
        <v>46204</v>
      </c>
      <c r="M55" t="s">
        <v>53</v>
      </c>
      <c r="N55" s="3">
        <v>0.21</v>
      </c>
      <c r="O55" t="s">
        <v>54</v>
      </c>
      <c r="P55">
        <v>100</v>
      </c>
      <c r="Q55" s="1">
        <v>46204</v>
      </c>
      <c r="R55">
        <v>1</v>
      </c>
      <c r="S55">
        <v>0</v>
      </c>
      <c r="T55">
        <v>0</v>
      </c>
      <c r="U55">
        <v>183.84</v>
      </c>
      <c r="V55" t="s">
        <v>70</v>
      </c>
      <c r="W55">
        <v>0</v>
      </c>
      <c r="X55">
        <v>0</v>
      </c>
      <c r="Y55">
        <v>38.6</v>
      </c>
      <c r="Z55" t="s">
        <v>90</v>
      </c>
    </row>
    <row r="56" spans="2:26" x14ac:dyDescent="0.25">
      <c r="B56">
        <v>16849453</v>
      </c>
      <c r="C56" t="s">
        <v>71</v>
      </c>
      <c r="D56" t="s">
        <v>72</v>
      </c>
      <c r="E56" t="s">
        <v>47</v>
      </c>
      <c r="F56" t="s">
        <v>87</v>
      </c>
      <c r="G56" t="s">
        <v>60</v>
      </c>
      <c r="H56" t="s">
        <v>74</v>
      </c>
      <c r="I56" t="s">
        <v>88</v>
      </c>
      <c r="J56" t="s">
        <v>89</v>
      </c>
      <c r="K56" s="1">
        <v>46204</v>
      </c>
      <c r="M56" t="s">
        <v>53</v>
      </c>
      <c r="N56" s="3">
        <v>0.21</v>
      </c>
      <c r="O56" t="s">
        <v>54</v>
      </c>
      <c r="P56">
        <v>100</v>
      </c>
      <c r="Q56" s="1">
        <v>46235</v>
      </c>
      <c r="R56">
        <v>1</v>
      </c>
      <c r="S56">
        <v>0</v>
      </c>
      <c r="T56">
        <v>0</v>
      </c>
      <c r="U56">
        <v>183.84</v>
      </c>
      <c r="V56" t="s">
        <v>70</v>
      </c>
      <c r="W56">
        <v>0</v>
      </c>
      <c r="X56">
        <v>0</v>
      </c>
      <c r="Y56">
        <v>38.6</v>
      </c>
      <c r="Z56" t="s">
        <v>91</v>
      </c>
    </row>
    <row r="57" spans="2:26" x14ac:dyDescent="0.25">
      <c r="B57">
        <v>16849453</v>
      </c>
      <c r="C57" t="s">
        <v>71</v>
      </c>
      <c r="D57" t="s">
        <v>72</v>
      </c>
      <c r="E57" t="s">
        <v>47</v>
      </c>
      <c r="F57" t="s">
        <v>87</v>
      </c>
      <c r="G57" t="s">
        <v>60</v>
      </c>
      <c r="H57" t="s">
        <v>74</v>
      </c>
      <c r="I57" t="s">
        <v>88</v>
      </c>
      <c r="J57" t="s">
        <v>89</v>
      </c>
      <c r="K57" s="1">
        <v>46204</v>
      </c>
      <c r="M57" t="s">
        <v>53</v>
      </c>
      <c r="N57" s="3">
        <v>0.21</v>
      </c>
      <c r="O57" t="s">
        <v>54</v>
      </c>
      <c r="P57">
        <v>100</v>
      </c>
      <c r="Q57" s="1">
        <v>46266</v>
      </c>
      <c r="R57">
        <v>1</v>
      </c>
      <c r="S57">
        <v>0</v>
      </c>
      <c r="T57">
        <v>0</v>
      </c>
      <c r="U57">
        <v>183.84</v>
      </c>
      <c r="V57" t="s">
        <v>70</v>
      </c>
      <c r="W57">
        <v>0</v>
      </c>
      <c r="X57">
        <v>0</v>
      </c>
      <c r="Y57">
        <v>38.6</v>
      </c>
      <c r="Z57" t="s">
        <v>91</v>
      </c>
    </row>
    <row r="58" spans="2:26" x14ac:dyDescent="0.25">
      <c r="B58">
        <v>16849453</v>
      </c>
      <c r="C58" t="s">
        <v>71</v>
      </c>
      <c r="D58" t="s">
        <v>72</v>
      </c>
      <c r="E58" t="s">
        <v>47</v>
      </c>
      <c r="F58" t="s">
        <v>87</v>
      </c>
      <c r="G58" t="s">
        <v>60</v>
      </c>
      <c r="H58" t="s">
        <v>74</v>
      </c>
      <c r="I58" t="s">
        <v>88</v>
      </c>
      <c r="J58" t="s">
        <v>89</v>
      </c>
      <c r="K58" s="1">
        <v>46204</v>
      </c>
      <c r="M58" t="s">
        <v>53</v>
      </c>
      <c r="N58" s="3">
        <v>0.21</v>
      </c>
      <c r="O58" t="s">
        <v>54</v>
      </c>
      <c r="P58">
        <v>100</v>
      </c>
      <c r="Q58" s="1">
        <v>46296</v>
      </c>
      <c r="R58">
        <v>1</v>
      </c>
      <c r="S58">
        <v>0</v>
      </c>
      <c r="T58">
        <v>0</v>
      </c>
      <c r="U58">
        <v>183.84</v>
      </c>
      <c r="V58" t="s">
        <v>70</v>
      </c>
      <c r="W58">
        <v>0</v>
      </c>
      <c r="X58">
        <v>0</v>
      </c>
      <c r="Y58">
        <v>38.6</v>
      </c>
      <c r="Z58" t="s">
        <v>91</v>
      </c>
    </row>
    <row r="59" spans="2:26" x14ac:dyDescent="0.25">
      <c r="B59">
        <v>16849453</v>
      </c>
      <c r="C59" t="s">
        <v>71</v>
      </c>
      <c r="D59" t="s">
        <v>72</v>
      </c>
      <c r="E59" t="s">
        <v>47</v>
      </c>
      <c r="F59" t="s">
        <v>87</v>
      </c>
      <c r="G59" t="s">
        <v>60</v>
      </c>
      <c r="H59" t="s">
        <v>74</v>
      </c>
      <c r="I59" t="s">
        <v>88</v>
      </c>
      <c r="J59" t="s">
        <v>89</v>
      </c>
      <c r="K59" s="1">
        <v>46204</v>
      </c>
      <c r="M59" t="s">
        <v>53</v>
      </c>
      <c r="N59" s="3">
        <v>0.21</v>
      </c>
      <c r="O59" t="s">
        <v>54</v>
      </c>
      <c r="P59">
        <v>100</v>
      </c>
      <c r="Q59" s="1">
        <v>46327</v>
      </c>
      <c r="R59">
        <v>1</v>
      </c>
      <c r="S59">
        <v>0</v>
      </c>
      <c r="T59">
        <v>0</v>
      </c>
      <c r="U59">
        <v>183.84</v>
      </c>
      <c r="V59" t="s">
        <v>70</v>
      </c>
      <c r="W59">
        <v>0</v>
      </c>
      <c r="X59">
        <v>0</v>
      </c>
      <c r="Y59">
        <v>38.6</v>
      </c>
      <c r="Z59" t="s">
        <v>91</v>
      </c>
    </row>
    <row r="60" spans="2:26" x14ac:dyDescent="0.25">
      <c r="B60">
        <v>16849453</v>
      </c>
      <c r="C60" t="s">
        <v>71</v>
      </c>
      <c r="D60" t="s">
        <v>72</v>
      </c>
      <c r="E60" t="s">
        <v>47</v>
      </c>
      <c r="F60" t="s">
        <v>87</v>
      </c>
      <c r="G60" t="s">
        <v>60</v>
      </c>
      <c r="H60" t="s">
        <v>74</v>
      </c>
      <c r="I60" t="s">
        <v>88</v>
      </c>
      <c r="J60" t="s">
        <v>89</v>
      </c>
      <c r="K60" s="1">
        <v>46204</v>
      </c>
      <c r="M60" t="s">
        <v>53</v>
      </c>
      <c r="N60" s="3">
        <v>0.21</v>
      </c>
      <c r="O60" t="s">
        <v>54</v>
      </c>
      <c r="P60">
        <v>100</v>
      </c>
      <c r="Q60" s="1">
        <v>46357</v>
      </c>
      <c r="R60">
        <v>1</v>
      </c>
      <c r="S60">
        <v>0</v>
      </c>
      <c r="T60">
        <v>0</v>
      </c>
      <c r="U60">
        <v>183.84</v>
      </c>
      <c r="V60" t="s">
        <v>70</v>
      </c>
      <c r="W60">
        <v>0</v>
      </c>
      <c r="X60">
        <v>0</v>
      </c>
      <c r="Y60">
        <v>38.6</v>
      </c>
      <c r="Z60" t="s">
        <v>91</v>
      </c>
    </row>
    <row r="61" spans="2:26" x14ac:dyDescent="0.25">
      <c r="B61">
        <v>16849453</v>
      </c>
      <c r="C61" t="s">
        <v>71</v>
      </c>
      <c r="D61" t="s">
        <v>72</v>
      </c>
      <c r="E61" t="s">
        <v>47</v>
      </c>
      <c r="F61" t="s">
        <v>87</v>
      </c>
      <c r="G61" t="s">
        <v>60</v>
      </c>
      <c r="H61" t="s">
        <v>74</v>
      </c>
      <c r="I61" t="s">
        <v>88</v>
      </c>
      <c r="J61" t="s">
        <v>89</v>
      </c>
      <c r="K61" s="1">
        <v>46204</v>
      </c>
      <c r="M61" t="s">
        <v>53</v>
      </c>
      <c r="N61" s="3">
        <v>0.21</v>
      </c>
      <c r="O61" t="s">
        <v>54</v>
      </c>
      <c r="P61">
        <v>100</v>
      </c>
      <c r="Q61" s="1">
        <v>46388</v>
      </c>
      <c r="R61">
        <v>1</v>
      </c>
      <c r="S61">
        <v>0</v>
      </c>
      <c r="T61">
        <v>0</v>
      </c>
      <c r="U61">
        <v>183.84</v>
      </c>
      <c r="V61" t="s">
        <v>70</v>
      </c>
      <c r="W61">
        <v>0</v>
      </c>
      <c r="X61">
        <v>0</v>
      </c>
      <c r="Y61">
        <v>38.6</v>
      </c>
      <c r="Z61" t="s">
        <v>91</v>
      </c>
    </row>
    <row r="62" spans="2:26" x14ac:dyDescent="0.25">
      <c r="B62">
        <v>16849453</v>
      </c>
      <c r="C62" t="s">
        <v>71</v>
      </c>
      <c r="D62" t="s">
        <v>72</v>
      </c>
      <c r="E62" t="s">
        <v>47</v>
      </c>
      <c r="F62" t="s">
        <v>87</v>
      </c>
      <c r="G62" t="s">
        <v>60</v>
      </c>
      <c r="H62" t="s">
        <v>74</v>
      </c>
      <c r="I62" t="s">
        <v>88</v>
      </c>
      <c r="J62" t="s">
        <v>89</v>
      </c>
      <c r="K62" s="1">
        <v>46204</v>
      </c>
      <c r="M62" t="s">
        <v>53</v>
      </c>
      <c r="N62" s="3">
        <v>0.21</v>
      </c>
      <c r="O62" t="s">
        <v>54</v>
      </c>
      <c r="P62">
        <v>100</v>
      </c>
      <c r="Q62" s="1">
        <v>46419</v>
      </c>
      <c r="R62">
        <v>1</v>
      </c>
      <c r="S62">
        <v>0</v>
      </c>
      <c r="T62">
        <v>0</v>
      </c>
      <c r="U62">
        <v>183.84</v>
      </c>
      <c r="V62" t="s">
        <v>70</v>
      </c>
      <c r="W62">
        <v>0</v>
      </c>
      <c r="X62">
        <v>0</v>
      </c>
      <c r="Y62">
        <v>38.6</v>
      </c>
      <c r="Z62" t="s">
        <v>91</v>
      </c>
    </row>
    <row r="63" spans="2:26" x14ac:dyDescent="0.25">
      <c r="B63">
        <v>16849453</v>
      </c>
      <c r="C63" t="s">
        <v>71</v>
      </c>
      <c r="D63" t="s">
        <v>72</v>
      </c>
      <c r="E63" t="s">
        <v>47</v>
      </c>
      <c r="F63" t="s">
        <v>87</v>
      </c>
      <c r="G63" t="s">
        <v>60</v>
      </c>
      <c r="H63" t="s">
        <v>74</v>
      </c>
      <c r="I63" t="s">
        <v>88</v>
      </c>
      <c r="J63" t="s">
        <v>89</v>
      </c>
      <c r="K63" s="1">
        <v>46204</v>
      </c>
      <c r="M63" t="s">
        <v>53</v>
      </c>
      <c r="N63" s="3">
        <v>0.21</v>
      </c>
      <c r="O63" t="s">
        <v>54</v>
      </c>
      <c r="P63">
        <v>100</v>
      </c>
      <c r="Q63" s="1">
        <v>46447</v>
      </c>
      <c r="R63">
        <v>1</v>
      </c>
      <c r="S63">
        <v>0</v>
      </c>
      <c r="T63">
        <v>0</v>
      </c>
      <c r="U63">
        <v>183.84</v>
      </c>
      <c r="V63" t="s">
        <v>70</v>
      </c>
      <c r="W63">
        <v>0</v>
      </c>
      <c r="X63">
        <v>0</v>
      </c>
      <c r="Y63">
        <v>38.6</v>
      </c>
      <c r="Z63" t="s">
        <v>91</v>
      </c>
    </row>
    <row r="64" spans="2:26" x14ac:dyDescent="0.25">
      <c r="B64">
        <v>16849453</v>
      </c>
      <c r="C64" t="s">
        <v>71</v>
      </c>
      <c r="D64" t="s">
        <v>72</v>
      </c>
      <c r="E64" t="s">
        <v>47</v>
      </c>
      <c r="F64" t="s">
        <v>92</v>
      </c>
      <c r="G64" t="s">
        <v>60</v>
      </c>
      <c r="H64" t="s">
        <v>74</v>
      </c>
      <c r="I64" t="s">
        <v>93</v>
      </c>
      <c r="J64" t="s">
        <v>94</v>
      </c>
      <c r="K64" s="1">
        <v>46054</v>
      </c>
      <c r="M64" t="s">
        <v>53</v>
      </c>
      <c r="N64" s="3">
        <v>0.21</v>
      </c>
      <c r="O64" t="s">
        <v>54</v>
      </c>
      <c r="P64">
        <v>100</v>
      </c>
      <c r="Q64" s="1">
        <v>46204</v>
      </c>
      <c r="R64">
        <v>1</v>
      </c>
      <c r="S64">
        <v>0</v>
      </c>
      <c r="T64">
        <v>149.28</v>
      </c>
      <c r="U64">
        <v>177.73</v>
      </c>
      <c r="V64" t="s">
        <v>70</v>
      </c>
      <c r="W64">
        <v>0</v>
      </c>
      <c r="X64">
        <v>0</v>
      </c>
      <c r="Y64">
        <v>0</v>
      </c>
    </row>
    <row r="65" spans="2:28" x14ac:dyDescent="0.25">
      <c r="B65">
        <v>20724564</v>
      </c>
      <c r="C65" t="s">
        <v>95</v>
      </c>
      <c r="D65" t="s">
        <v>72</v>
      </c>
      <c r="E65" t="s">
        <v>47</v>
      </c>
      <c r="F65" t="s">
        <v>96</v>
      </c>
      <c r="G65" t="s">
        <v>60</v>
      </c>
      <c r="H65" t="s">
        <v>74</v>
      </c>
      <c r="I65" t="s">
        <v>97</v>
      </c>
      <c r="J65" t="s">
        <v>98</v>
      </c>
      <c r="K65" s="1">
        <v>45901</v>
      </c>
      <c r="M65" t="s">
        <v>53</v>
      </c>
      <c r="N65" s="3">
        <v>0.21</v>
      </c>
      <c r="O65" t="s">
        <v>54</v>
      </c>
      <c r="P65">
        <v>100</v>
      </c>
      <c r="Q65" s="1">
        <v>46204</v>
      </c>
      <c r="R65">
        <v>1</v>
      </c>
      <c r="S65">
        <v>0</v>
      </c>
      <c r="T65">
        <v>0</v>
      </c>
      <c r="U65">
        <v>147.65</v>
      </c>
      <c r="V65" t="s">
        <v>70</v>
      </c>
      <c r="W65">
        <v>0</v>
      </c>
      <c r="X65">
        <v>0</v>
      </c>
      <c r="Y65">
        <v>31</v>
      </c>
      <c r="AA65">
        <v>309.06</v>
      </c>
      <c r="AB65">
        <v>309.06</v>
      </c>
    </row>
    <row r="66" spans="2:28" x14ac:dyDescent="0.25">
      <c r="B66">
        <v>20724564</v>
      </c>
      <c r="C66" t="s">
        <v>95</v>
      </c>
      <c r="D66" t="s">
        <v>72</v>
      </c>
      <c r="E66" t="s">
        <v>47</v>
      </c>
      <c r="F66" t="s">
        <v>99</v>
      </c>
      <c r="G66" t="s">
        <v>60</v>
      </c>
      <c r="H66" t="s">
        <v>74</v>
      </c>
      <c r="I66" t="s">
        <v>100</v>
      </c>
      <c r="J66" t="s">
        <v>101</v>
      </c>
      <c r="K66" s="1">
        <v>45901</v>
      </c>
      <c r="M66" t="s">
        <v>53</v>
      </c>
      <c r="N66" s="3">
        <v>0.21</v>
      </c>
      <c r="O66" t="s">
        <v>54</v>
      </c>
      <c r="P66">
        <v>100</v>
      </c>
      <c r="Q66" s="1">
        <v>46204</v>
      </c>
      <c r="R66">
        <v>1</v>
      </c>
      <c r="S66">
        <v>0</v>
      </c>
      <c r="T66">
        <v>0</v>
      </c>
      <c r="U66">
        <v>163.41</v>
      </c>
      <c r="V66" t="s">
        <v>70</v>
      </c>
      <c r="W66">
        <v>0</v>
      </c>
      <c r="X66">
        <v>0</v>
      </c>
      <c r="Y66">
        <v>34.31</v>
      </c>
    </row>
    <row r="67" spans="2:28" x14ac:dyDescent="0.25">
      <c r="B67">
        <v>20724564</v>
      </c>
      <c r="C67" t="s">
        <v>95</v>
      </c>
      <c r="D67" t="s">
        <v>72</v>
      </c>
      <c r="E67" t="s">
        <v>47</v>
      </c>
      <c r="F67" t="s">
        <v>102</v>
      </c>
      <c r="G67" t="s">
        <v>60</v>
      </c>
      <c r="H67" t="s">
        <v>74</v>
      </c>
      <c r="I67" t="s">
        <v>103</v>
      </c>
      <c r="J67" t="s">
        <v>104</v>
      </c>
      <c r="K67" s="1">
        <v>45931</v>
      </c>
      <c r="M67" t="s">
        <v>53</v>
      </c>
      <c r="N67" s="3">
        <v>0.21</v>
      </c>
      <c r="O67" t="s">
        <v>54</v>
      </c>
      <c r="P67">
        <v>100</v>
      </c>
      <c r="Q67" s="1">
        <v>46204</v>
      </c>
      <c r="R67">
        <v>1</v>
      </c>
      <c r="S67">
        <v>0</v>
      </c>
      <c r="T67">
        <v>0</v>
      </c>
      <c r="U67">
        <v>147.65</v>
      </c>
      <c r="V67" t="s">
        <v>70</v>
      </c>
      <c r="W67">
        <v>0</v>
      </c>
      <c r="X67">
        <v>0</v>
      </c>
      <c r="Y67">
        <v>31</v>
      </c>
    </row>
    <row r="68" spans="2:28" x14ac:dyDescent="0.25">
      <c r="B68">
        <v>20724564</v>
      </c>
      <c r="C68" t="s">
        <v>95</v>
      </c>
      <c r="D68" t="s">
        <v>72</v>
      </c>
      <c r="E68" t="s">
        <v>47</v>
      </c>
      <c r="F68" t="s">
        <v>105</v>
      </c>
      <c r="G68" t="s">
        <v>60</v>
      </c>
      <c r="H68" t="s">
        <v>74</v>
      </c>
      <c r="I68" t="s">
        <v>106</v>
      </c>
      <c r="J68" t="s">
        <v>107</v>
      </c>
      <c r="K68" s="1">
        <v>45839</v>
      </c>
      <c r="M68" t="s">
        <v>53</v>
      </c>
      <c r="N68" s="3">
        <v>0.21</v>
      </c>
      <c r="O68" t="s">
        <v>54</v>
      </c>
      <c r="P68">
        <v>100</v>
      </c>
      <c r="Q68" s="1">
        <v>46204</v>
      </c>
      <c r="R68">
        <v>1</v>
      </c>
      <c r="S68">
        <v>0</v>
      </c>
      <c r="T68">
        <v>0</v>
      </c>
      <c r="U68">
        <v>203.9</v>
      </c>
      <c r="V68" t="s">
        <v>70</v>
      </c>
      <c r="W68">
        <v>0</v>
      </c>
      <c r="X68">
        <v>0</v>
      </c>
      <c r="Y68">
        <v>42.81</v>
      </c>
    </row>
    <row r="69" spans="2:28" x14ac:dyDescent="0.25">
      <c r="B69">
        <v>20724564</v>
      </c>
      <c r="C69" t="s">
        <v>95</v>
      </c>
      <c r="D69" t="s">
        <v>72</v>
      </c>
      <c r="E69" t="s">
        <v>47</v>
      </c>
      <c r="F69" t="s">
        <v>108</v>
      </c>
      <c r="G69" t="s">
        <v>60</v>
      </c>
      <c r="H69" t="s">
        <v>74</v>
      </c>
      <c r="I69" t="s">
        <v>109</v>
      </c>
      <c r="J69" t="s">
        <v>110</v>
      </c>
      <c r="K69" s="1">
        <v>46023</v>
      </c>
      <c r="M69" t="s">
        <v>53</v>
      </c>
      <c r="N69" s="3">
        <v>0.21</v>
      </c>
      <c r="O69" t="s">
        <v>54</v>
      </c>
      <c r="P69">
        <v>100</v>
      </c>
      <c r="Q69" s="1">
        <v>46204</v>
      </c>
      <c r="R69">
        <v>1</v>
      </c>
      <c r="S69">
        <v>0</v>
      </c>
      <c r="T69">
        <v>104.64</v>
      </c>
      <c r="U69">
        <v>166.11</v>
      </c>
      <c r="V69" t="s">
        <v>70</v>
      </c>
      <c r="W69">
        <v>0</v>
      </c>
      <c r="X69">
        <v>0</v>
      </c>
      <c r="Y69">
        <v>0</v>
      </c>
    </row>
    <row r="70" spans="2:28" x14ac:dyDescent="0.25">
      <c r="B70">
        <v>20724564</v>
      </c>
      <c r="C70" t="s">
        <v>95</v>
      </c>
      <c r="D70" t="s">
        <v>72</v>
      </c>
      <c r="E70" t="s">
        <v>47</v>
      </c>
      <c r="F70" t="s">
        <v>111</v>
      </c>
      <c r="G70" t="s">
        <v>60</v>
      </c>
      <c r="H70" t="s">
        <v>74</v>
      </c>
      <c r="I70" t="s">
        <v>112</v>
      </c>
      <c r="J70" t="s">
        <v>113</v>
      </c>
      <c r="K70" s="1">
        <v>45901</v>
      </c>
      <c r="M70" t="s">
        <v>53</v>
      </c>
      <c r="N70" s="3">
        <v>0.21</v>
      </c>
      <c r="O70" t="s">
        <v>54</v>
      </c>
      <c r="P70">
        <v>100</v>
      </c>
      <c r="Q70" s="1">
        <v>46204</v>
      </c>
      <c r="R70">
        <v>1</v>
      </c>
      <c r="S70">
        <v>0</v>
      </c>
      <c r="T70">
        <v>0</v>
      </c>
      <c r="U70">
        <v>163.41</v>
      </c>
      <c r="V70" t="s">
        <v>70</v>
      </c>
      <c r="W70">
        <v>0</v>
      </c>
      <c r="X70">
        <v>0</v>
      </c>
      <c r="Y70">
        <v>34.31</v>
      </c>
    </row>
    <row r="71" spans="2:28" x14ac:dyDescent="0.25">
      <c r="B71">
        <v>20724564</v>
      </c>
      <c r="C71" t="s">
        <v>95</v>
      </c>
      <c r="D71" t="s">
        <v>72</v>
      </c>
      <c r="E71" t="s">
        <v>47</v>
      </c>
      <c r="F71" t="s">
        <v>114</v>
      </c>
      <c r="G71" t="s">
        <v>60</v>
      </c>
      <c r="H71" t="s">
        <v>74</v>
      </c>
      <c r="I71" t="s">
        <v>115</v>
      </c>
      <c r="J71" t="s">
        <v>116</v>
      </c>
      <c r="K71" s="1">
        <v>45931</v>
      </c>
      <c r="M71" t="s">
        <v>53</v>
      </c>
      <c r="N71" s="3">
        <v>0.21</v>
      </c>
      <c r="O71" t="s">
        <v>54</v>
      </c>
      <c r="P71">
        <v>100</v>
      </c>
      <c r="Q71" s="1">
        <v>46204</v>
      </c>
      <c r="R71">
        <v>1</v>
      </c>
      <c r="S71">
        <v>0</v>
      </c>
      <c r="T71">
        <v>0</v>
      </c>
      <c r="U71">
        <v>163.41</v>
      </c>
      <c r="V71" t="s">
        <v>70</v>
      </c>
      <c r="W71">
        <v>0</v>
      </c>
      <c r="X71">
        <v>0</v>
      </c>
      <c r="Y71">
        <v>34.31</v>
      </c>
    </row>
    <row r="72" spans="2:28" x14ac:dyDescent="0.25">
      <c r="B72">
        <v>20724564</v>
      </c>
      <c r="C72" t="s">
        <v>95</v>
      </c>
      <c r="D72" t="s">
        <v>72</v>
      </c>
      <c r="E72" t="s">
        <v>47</v>
      </c>
      <c r="F72" t="s">
        <v>117</v>
      </c>
      <c r="G72" t="s">
        <v>60</v>
      </c>
      <c r="H72" t="s">
        <v>74</v>
      </c>
      <c r="I72" t="s">
        <v>118</v>
      </c>
      <c r="J72" t="s">
        <v>119</v>
      </c>
      <c r="K72" s="1">
        <v>45931</v>
      </c>
      <c r="M72" t="s">
        <v>53</v>
      </c>
      <c r="N72" s="3">
        <v>0.21</v>
      </c>
      <c r="O72" t="s">
        <v>54</v>
      </c>
      <c r="P72">
        <v>100</v>
      </c>
      <c r="Q72" s="1">
        <v>46204</v>
      </c>
      <c r="R72">
        <v>1</v>
      </c>
      <c r="S72">
        <v>0</v>
      </c>
      <c r="T72">
        <v>0</v>
      </c>
      <c r="U72">
        <v>157.97999999999999</v>
      </c>
      <c r="V72" t="s">
        <v>70</v>
      </c>
      <c r="W72">
        <v>0</v>
      </c>
      <c r="X72">
        <v>0</v>
      </c>
      <c r="Y72">
        <v>33.17</v>
      </c>
    </row>
    <row r="73" spans="2:28" x14ac:dyDescent="0.25">
      <c r="B73">
        <v>20724564</v>
      </c>
      <c r="C73" t="s">
        <v>95</v>
      </c>
      <c r="D73" t="s">
        <v>72</v>
      </c>
      <c r="E73" t="s">
        <v>47</v>
      </c>
      <c r="F73" t="s">
        <v>120</v>
      </c>
      <c r="G73" t="s">
        <v>60</v>
      </c>
      <c r="H73" t="s">
        <v>74</v>
      </c>
      <c r="I73" t="s">
        <v>121</v>
      </c>
      <c r="J73" t="s">
        <v>122</v>
      </c>
      <c r="K73" s="1">
        <v>45901</v>
      </c>
      <c r="M73" t="s">
        <v>53</v>
      </c>
      <c r="N73" s="3">
        <v>0.21</v>
      </c>
      <c r="O73" t="s">
        <v>54</v>
      </c>
      <c r="P73">
        <v>100</v>
      </c>
      <c r="Q73" s="1">
        <v>46204</v>
      </c>
      <c r="R73">
        <v>1</v>
      </c>
      <c r="S73">
        <v>0</v>
      </c>
      <c r="T73">
        <v>0</v>
      </c>
      <c r="U73">
        <v>147.65</v>
      </c>
      <c r="V73" t="s">
        <v>70</v>
      </c>
      <c r="W73">
        <v>0</v>
      </c>
      <c r="X73">
        <v>0</v>
      </c>
      <c r="Y73">
        <v>31</v>
      </c>
    </row>
    <row r="74" spans="2:28" x14ac:dyDescent="0.25">
      <c r="B74">
        <v>20724564</v>
      </c>
      <c r="C74" t="s">
        <v>95</v>
      </c>
      <c r="D74" t="s">
        <v>72</v>
      </c>
      <c r="E74" t="s">
        <v>47</v>
      </c>
      <c r="F74" t="s">
        <v>123</v>
      </c>
      <c r="G74" t="s">
        <v>60</v>
      </c>
      <c r="H74" t="s">
        <v>74</v>
      </c>
      <c r="I74" t="s">
        <v>124</v>
      </c>
      <c r="J74" t="s">
        <v>125</v>
      </c>
      <c r="K74" s="1">
        <v>45992</v>
      </c>
      <c r="M74" t="s">
        <v>53</v>
      </c>
      <c r="N74" s="3">
        <v>0.21</v>
      </c>
      <c r="O74" t="s">
        <v>54</v>
      </c>
      <c r="P74">
        <v>100</v>
      </c>
      <c r="Q74" s="1">
        <v>46204</v>
      </c>
      <c r="R74">
        <v>1</v>
      </c>
      <c r="S74">
        <v>0</v>
      </c>
      <c r="T74">
        <v>68.62</v>
      </c>
      <c r="U74">
        <v>163.41</v>
      </c>
      <c r="V74" t="s">
        <v>70</v>
      </c>
      <c r="W74">
        <v>0</v>
      </c>
      <c r="X74">
        <v>0</v>
      </c>
      <c r="Y74">
        <v>0</v>
      </c>
    </row>
    <row r="75" spans="2:28" x14ac:dyDescent="0.25">
      <c r="B75">
        <v>20724564</v>
      </c>
      <c r="C75" t="s">
        <v>95</v>
      </c>
      <c r="D75" t="s">
        <v>72</v>
      </c>
      <c r="E75" t="s">
        <v>47</v>
      </c>
      <c r="F75" t="s">
        <v>126</v>
      </c>
      <c r="G75" t="s">
        <v>60</v>
      </c>
      <c r="H75" t="s">
        <v>74</v>
      </c>
      <c r="I75" t="s">
        <v>127</v>
      </c>
      <c r="J75" t="s">
        <v>128</v>
      </c>
      <c r="K75" s="1">
        <v>46023</v>
      </c>
      <c r="M75" t="s">
        <v>53</v>
      </c>
      <c r="N75" s="3">
        <v>0.21</v>
      </c>
      <c r="O75" t="s">
        <v>54</v>
      </c>
      <c r="P75">
        <v>100</v>
      </c>
      <c r="Q75" s="1">
        <v>46204</v>
      </c>
      <c r="R75">
        <v>1</v>
      </c>
      <c r="S75">
        <v>0</v>
      </c>
      <c r="T75">
        <v>139.44</v>
      </c>
      <c r="U75">
        <v>221.34</v>
      </c>
      <c r="V75" t="s">
        <v>70</v>
      </c>
      <c r="W75">
        <v>0</v>
      </c>
      <c r="X75">
        <v>0</v>
      </c>
      <c r="Y75">
        <v>0</v>
      </c>
    </row>
    <row r="76" spans="2:28" x14ac:dyDescent="0.25">
      <c r="B76">
        <v>20724564</v>
      </c>
      <c r="C76" t="s">
        <v>95</v>
      </c>
      <c r="D76" t="s">
        <v>72</v>
      </c>
      <c r="E76" t="s">
        <v>47</v>
      </c>
      <c r="F76" t="s">
        <v>129</v>
      </c>
      <c r="G76" t="s">
        <v>60</v>
      </c>
      <c r="H76" t="s">
        <v>74</v>
      </c>
      <c r="I76" t="s">
        <v>130</v>
      </c>
      <c r="J76" t="s">
        <v>131</v>
      </c>
      <c r="K76" s="1">
        <v>46023</v>
      </c>
      <c r="M76" t="s">
        <v>53</v>
      </c>
      <c r="N76" s="3">
        <v>0.21</v>
      </c>
      <c r="O76" t="s">
        <v>54</v>
      </c>
      <c r="P76">
        <v>100</v>
      </c>
      <c r="Q76" s="1">
        <v>46204</v>
      </c>
      <c r="R76">
        <v>1</v>
      </c>
      <c r="S76">
        <v>0</v>
      </c>
      <c r="T76">
        <v>141.47999999999999</v>
      </c>
      <c r="U76">
        <v>224.58</v>
      </c>
      <c r="V76" t="s">
        <v>70</v>
      </c>
      <c r="W76">
        <v>0</v>
      </c>
      <c r="X76">
        <v>0</v>
      </c>
      <c r="Y76">
        <v>0</v>
      </c>
    </row>
    <row r="77" spans="2:28" x14ac:dyDescent="0.25">
      <c r="B77">
        <v>20724564</v>
      </c>
      <c r="C77" t="s">
        <v>95</v>
      </c>
      <c r="D77" t="s">
        <v>72</v>
      </c>
      <c r="E77" t="s">
        <v>47</v>
      </c>
      <c r="F77" t="s">
        <v>132</v>
      </c>
      <c r="G77" t="s">
        <v>60</v>
      </c>
      <c r="H77" t="s">
        <v>74</v>
      </c>
      <c r="I77" t="s">
        <v>133</v>
      </c>
      <c r="J77" t="s">
        <v>134</v>
      </c>
      <c r="K77" s="1">
        <v>45931</v>
      </c>
      <c r="M77" t="s">
        <v>53</v>
      </c>
      <c r="N77" s="3">
        <v>0.21</v>
      </c>
      <c r="O77" t="s">
        <v>54</v>
      </c>
      <c r="P77">
        <v>100</v>
      </c>
      <c r="Q77" s="1">
        <v>46204</v>
      </c>
      <c r="R77">
        <v>1</v>
      </c>
      <c r="S77">
        <v>0</v>
      </c>
      <c r="T77">
        <v>0</v>
      </c>
      <c r="U77">
        <v>176.94</v>
      </c>
      <c r="V77" t="s">
        <v>70</v>
      </c>
      <c r="W77">
        <v>0</v>
      </c>
      <c r="X77">
        <v>0</v>
      </c>
      <c r="Y77">
        <v>37.15</v>
      </c>
    </row>
    <row r="78" spans="2:28" x14ac:dyDescent="0.25">
      <c r="B78">
        <v>20724564</v>
      </c>
      <c r="C78" t="s">
        <v>95</v>
      </c>
      <c r="D78" t="s">
        <v>72</v>
      </c>
      <c r="E78" t="s">
        <v>47</v>
      </c>
      <c r="F78" t="s">
        <v>135</v>
      </c>
      <c r="G78" t="s">
        <v>60</v>
      </c>
      <c r="H78" t="s">
        <v>74</v>
      </c>
      <c r="I78" t="s">
        <v>136</v>
      </c>
      <c r="J78" t="s">
        <v>137</v>
      </c>
      <c r="K78" s="1">
        <v>46023</v>
      </c>
      <c r="M78" t="s">
        <v>53</v>
      </c>
      <c r="N78" s="3">
        <v>0.21</v>
      </c>
      <c r="O78" t="s">
        <v>54</v>
      </c>
      <c r="P78">
        <v>100</v>
      </c>
      <c r="Q78" s="1">
        <v>46204</v>
      </c>
      <c r="R78">
        <v>1</v>
      </c>
      <c r="S78">
        <v>0</v>
      </c>
      <c r="T78">
        <v>110.13</v>
      </c>
      <c r="U78">
        <v>174.83</v>
      </c>
      <c r="V78" t="s">
        <v>70</v>
      </c>
      <c r="W78">
        <v>0</v>
      </c>
      <c r="X78">
        <v>0</v>
      </c>
      <c r="Y78">
        <v>0</v>
      </c>
    </row>
    <row r="79" spans="2:28" x14ac:dyDescent="0.25">
      <c r="B79">
        <v>19491313</v>
      </c>
      <c r="C79" t="s">
        <v>138</v>
      </c>
      <c r="D79" t="s">
        <v>139</v>
      </c>
      <c r="E79" t="s">
        <v>47</v>
      </c>
      <c r="F79" t="s">
        <v>140</v>
      </c>
      <c r="G79" t="s">
        <v>49</v>
      </c>
      <c r="H79" t="s">
        <v>141</v>
      </c>
      <c r="I79" t="s">
        <v>142</v>
      </c>
      <c r="J79" t="s">
        <v>143</v>
      </c>
      <c r="K79" s="1">
        <v>46174</v>
      </c>
      <c r="M79" t="s">
        <v>53</v>
      </c>
      <c r="N79" s="2">
        <v>57.84</v>
      </c>
      <c r="O79" t="s">
        <v>54</v>
      </c>
      <c r="P79">
        <v>100</v>
      </c>
      <c r="Q79" s="1">
        <v>46023</v>
      </c>
      <c r="R79">
        <v>1</v>
      </c>
      <c r="S79">
        <v>0</v>
      </c>
      <c r="T79">
        <v>144.6</v>
      </c>
      <c r="U79">
        <v>0</v>
      </c>
      <c r="W79">
        <v>0</v>
      </c>
      <c r="X79">
        <v>0</v>
      </c>
      <c r="Y79">
        <v>57.84</v>
      </c>
      <c r="Z79" t="s">
        <v>55</v>
      </c>
      <c r="AA79">
        <v>491.64</v>
      </c>
      <c r="AB79">
        <v>491.64</v>
      </c>
    </row>
    <row r="80" spans="2:28" x14ac:dyDescent="0.25">
      <c r="B80">
        <v>19491313</v>
      </c>
      <c r="C80" t="s">
        <v>138</v>
      </c>
      <c r="D80" t="s">
        <v>139</v>
      </c>
      <c r="E80" t="s">
        <v>47</v>
      </c>
      <c r="F80" t="s">
        <v>140</v>
      </c>
      <c r="G80" t="s">
        <v>49</v>
      </c>
      <c r="H80" t="s">
        <v>141</v>
      </c>
      <c r="I80" t="s">
        <v>142</v>
      </c>
      <c r="J80" t="s">
        <v>143</v>
      </c>
      <c r="K80" s="1">
        <v>46174</v>
      </c>
      <c r="M80" t="s">
        <v>53</v>
      </c>
      <c r="N80" s="2">
        <v>57.84</v>
      </c>
      <c r="O80" t="s">
        <v>54</v>
      </c>
      <c r="P80">
        <v>100</v>
      </c>
      <c r="Q80" s="1">
        <v>46054</v>
      </c>
      <c r="R80">
        <v>1</v>
      </c>
      <c r="S80">
        <v>0</v>
      </c>
      <c r="T80">
        <v>144.6</v>
      </c>
      <c r="U80">
        <v>0</v>
      </c>
      <c r="W80">
        <v>0</v>
      </c>
      <c r="X80">
        <v>0</v>
      </c>
      <c r="Y80">
        <v>57.84</v>
      </c>
      <c r="Z80" t="s">
        <v>55</v>
      </c>
    </row>
    <row r="81" spans="2:26" x14ac:dyDescent="0.25">
      <c r="B81">
        <v>19491313</v>
      </c>
      <c r="C81" t="s">
        <v>138</v>
      </c>
      <c r="D81" t="s">
        <v>139</v>
      </c>
      <c r="E81" t="s">
        <v>47</v>
      </c>
      <c r="F81" t="s">
        <v>140</v>
      </c>
      <c r="G81" t="s">
        <v>49</v>
      </c>
      <c r="H81" t="s">
        <v>141</v>
      </c>
      <c r="I81" t="s">
        <v>142</v>
      </c>
      <c r="J81" t="s">
        <v>143</v>
      </c>
      <c r="K81" s="1">
        <v>46174</v>
      </c>
      <c r="M81" t="s">
        <v>53</v>
      </c>
      <c r="N81" s="2">
        <v>57.84</v>
      </c>
      <c r="O81" t="s">
        <v>54</v>
      </c>
      <c r="P81">
        <v>100</v>
      </c>
      <c r="Q81" s="1">
        <v>46082</v>
      </c>
      <c r="R81">
        <v>1</v>
      </c>
      <c r="S81">
        <v>0</v>
      </c>
      <c r="T81">
        <v>144.6</v>
      </c>
      <c r="U81">
        <v>0</v>
      </c>
      <c r="W81">
        <v>0</v>
      </c>
      <c r="X81">
        <v>0</v>
      </c>
      <c r="Y81">
        <v>57.84</v>
      </c>
      <c r="Z81" t="s">
        <v>55</v>
      </c>
    </row>
    <row r="82" spans="2:26" x14ac:dyDescent="0.25">
      <c r="B82">
        <v>19491313</v>
      </c>
      <c r="C82" t="s">
        <v>138</v>
      </c>
      <c r="D82" t="s">
        <v>139</v>
      </c>
      <c r="E82" t="s">
        <v>47</v>
      </c>
      <c r="F82" t="s">
        <v>140</v>
      </c>
      <c r="G82" t="s">
        <v>49</v>
      </c>
      <c r="H82" t="s">
        <v>141</v>
      </c>
      <c r="I82" t="s">
        <v>142</v>
      </c>
      <c r="J82" t="s">
        <v>143</v>
      </c>
      <c r="K82" s="1">
        <v>46174</v>
      </c>
      <c r="M82" t="s">
        <v>53</v>
      </c>
      <c r="N82" s="2">
        <v>57.84</v>
      </c>
      <c r="O82" t="s">
        <v>54</v>
      </c>
      <c r="P82">
        <v>100</v>
      </c>
      <c r="Q82" s="1">
        <v>46113</v>
      </c>
      <c r="R82">
        <v>1</v>
      </c>
      <c r="S82">
        <v>0</v>
      </c>
      <c r="T82">
        <v>144.6</v>
      </c>
      <c r="U82">
        <v>0</v>
      </c>
      <c r="W82">
        <v>0</v>
      </c>
      <c r="X82">
        <v>0</v>
      </c>
      <c r="Y82">
        <v>57.84</v>
      </c>
      <c r="Z82" t="s">
        <v>55</v>
      </c>
    </row>
    <row r="83" spans="2:26" x14ac:dyDescent="0.25">
      <c r="B83">
        <v>19491313</v>
      </c>
      <c r="C83" t="s">
        <v>138</v>
      </c>
      <c r="D83" t="s">
        <v>139</v>
      </c>
      <c r="E83" t="s">
        <v>47</v>
      </c>
      <c r="F83" t="s">
        <v>140</v>
      </c>
      <c r="G83" t="s">
        <v>49</v>
      </c>
      <c r="H83" t="s">
        <v>141</v>
      </c>
      <c r="I83" t="s">
        <v>142</v>
      </c>
      <c r="J83" t="s">
        <v>143</v>
      </c>
      <c r="K83" s="1">
        <v>46174</v>
      </c>
      <c r="M83" t="s">
        <v>53</v>
      </c>
      <c r="N83" s="2">
        <v>57.84</v>
      </c>
      <c r="O83" t="s">
        <v>54</v>
      </c>
      <c r="P83">
        <v>100</v>
      </c>
      <c r="Q83" s="1">
        <v>46143</v>
      </c>
      <c r="R83">
        <v>1</v>
      </c>
      <c r="S83">
        <v>0</v>
      </c>
      <c r="T83">
        <v>144.6</v>
      </c>
      <c r="U83">
        <v>0</v>
      </c>
      <c r="W83">
        <v>0</v>
      </c>
      <c r="X83">
        <v>0</v>
      </c>
      <c r="Y83">
        <v>57.84</v>
      </c>
      <c r="Z83" t="s">
        <v>55</v>
      </c>
    </row>
    <row r="84" spans="2:26" x14ac:dyDescent="0.25">
      <c r="B84">
        <v>19491313</v>
      </c>
      <c r="C84" t="s">
        <v>138</v>
      </c>
      <c r="D84" t="s">
        <v>139</v>
      </c>
      <c r="E84" t="s">
        <v>47</v>
      </c>
      <c r="F84" t="s">
        <v>140</v>
      </c>
      <c r="G84" t="s">
        <v>49</v>
      </c>
      <c r="H84" t="s">
        <v>141</v>
      </c>
      <c r="I84" t="s">
        <v>142</v>
      </c>
      <c r="J84" t="s">
        <v>143</v>
      </c>
      <c r="K84" s="1">
        <v>46174</v>
      </c>
      <c r="M84" t="s">
        <v>53</v>
      </c>
      <c r="N84" s="2">
        <v>57.84</v>
      </c>
      <c r="O84" t="s">
        <v>54</v>
      </c>
      <c r="P84">
        <v>100</v>
      </c>
      <c r="Q84" s="1">
        <v>46174</v>
      </c>
      <c r="R84">
        <v>1</v>
      </c>
      <c r="S84">
        <v>0</v>
      </c>
      <c r="T84">
        <v>144.6</v>
      </c>
      <c r="U84">
        <v>0</v>
      </c>
      <c r="W84">
        <v>0</v>
      </c>
      <c r="X84">
        <v>0</v>
      </c>
      <c r="Y84">
        <v>57.84</v>
      </c>
      <c r="Z84" t="s">
        <v>56</v>
      </c>
    </row>
    <row r="85" spans="2:26" x14ac:dyDescent="0.25">
      <c r="B85">
        <v>19491313</v>
      </c>
      <c r="C85" t="s">
        <v>138</v>
      </c>
      <c r="D85" t="s">
        <v>139</v>
      </c>
      <c r="E85" t="s">
        <v>47</v>
      </c>
      <c r="F85" t="s">
        <v>140</v>
      </c>
      <c r="G85" t="s">
        <v>49</v>
      </c>
      <c r="H85" t="s">
        <v>141</v>
      </c>
      <c r="I85" t="s">
        <v>142</v>
      </c>
      <c r="J85" t="s">
        <v>143</v>
      </c>
      <c r="K85" s="1">
        <v>46174</v>
      </c>
      <c r="M85" t="s">
        <v>53</v>
      </c>
      <c r="N85" s="2">
        <v>28.92</v>
      </c>
      <c r="O85" t="s">
        <v>54</v>
      </c>
      <c r="P85">
        <v>100</v>
      </c>
      <c r="Q85" s="1">
        <v>46174</v>
      </c>
      <c r="R85" t="s">
        <v>57</v>
      </c>
      <c r="S85">
        <v>0</v>
      </c>
      <c r="T85">
        <v>144.6</v>
      </c>
      <c r="U85">
        <v>0</v>
      </c>
      <c r="W85">
        <v>0</v>
      </c>
      <c r="X85">
        <v>0</v>
      </c>
      <c r="Y85">
        <v>-28.92</v>
      </c>
    </row>
    <row r="86" spans="2:26" x14ac:dyDescent="0.25">
      <c r="B86">
        <v>19491313</v>
      </c>
      <c r="C86" t="s">
        <v>138</v>
      </c>
      <c r="D86" t="s">
        <v>139</v>
      </c>
      <c r="E86" t="s">
        <v>47</v>
      </c>
      <c r="F86" t="s">
        <v>140</v>
      </c>
      <c r="G86" t="s">
        <v>49</v>
      </c>
      <c r="H86" t="s">
        <v>141</v>
      </c>
      <c r="I86" t="s">
        <v>142</v>
      </c>
      <c r="J86" t="s">
        <v>143</v>
      </c>
      <c r="K86" s="1">
        <v>46174</v>
      </c>
      <c r="M86" t="s">
        <v>53</v>
      </c>
      <c r="N86" s="2">
        <v>57.84</v>
      </c>
      <c r="O86" t="s">
        <v>54</v>
      </c>
      <c r="P86">
        <v>100</v>
      </c>
      <c r="Q86" s="1">
        <v>46204</v>
      </c>
      <c r="R86">
        <v>1</v>
      </c>
      <c r="S86">
        <v>0</v>
      </c>
      <c r="T86">
        <v>144.6</v>
      </c>
      <c r="U86">
        <v>0</v>
      </c>
      <c r="W86">
        <v>0</v>
      </c>
      <c r="X86">
        <v>0</v>
      </c>
      <c r="Y86">
        <v>57.84</v>
      </c>
      <c r="Z86" t="s">
        <v>55</v>
      </c>
    </row>
    <row r="87" spans="2:26" x14ac:dyDescent="0.25">
      <c r="B87">
        <v>19491313</v>
      </c>
      <c r="C87" t="s">
        <v>138</v>
      </c>
      <c r="D87" t="s">
        <v>139</v>
      </c>
      <c r="E87" t="s">
        <v>47</v>
      </c>
      <c r="F87" t="s">
        <v>140</v>
      </c>
      <c r="G87" t="s">
        <v>49</v>
      </c>
      <c r="H87" t="s">
        <v>141</v>
      </c>
      <c r="I87" t="s">
        <v>142</v>
      </c>
      <c r="J87" t="s">
        <v>143</v>
      </c>
      <c r="K87" s="1">
        <v>46174</v>
      </c>
      <c r="M87" t="s">
        <v>53</v>
      </c>
      <c r="N87" s="2">
        <v>28.92</v>
      </c>
      <c r="O87" t="s">
        <v>54</v>
      </c>
      <c r="P87">
        <v>100</v>
      </c>
      <c r="Q87" s="1">
        <v>46204</v>
      </c>
      <c r="R87" t="s">
        <v>57</v>
      </c>
      <c r="S87">
        <v>0</v>
      </c>
      <c r="T87">
        <v>144.6</v>
      </c>
      <c r="U87">
        <v>0</v>
      </c>
      <c r="W87">
        <v>0</v>
      </c>
      <c r="X87">
        <v>0</v>
      </c>
      <c r="Y87">
        <v>-28.92</v>
      </c>
    </row>
    <row r="88" spans="2:26" x14ac:dyDescent="0.25">
      <c r="B88">
        <v>19491313</v>
      </c>
      <c r="C88" t="s">
        <v>138</v>
      </c>
      <c r="D88" t="s">
        <v>139</v>
      </c>
      <c r="E88" t="s">
        <v>47</v>
      </c>
      <c r="F88" t="s">
        <v>140</v>
      </c>
      <c r="G88" t="s">
        <v>49</v>
      </c>
      <c r="H88" t="s">
        <v>141</v>
      </c>
      <c r="I88" t="s">
        <v>142</v>
      </c>
      <c r="J88" t="s">
        <v>143</v>
      </c>
      <c r="K88" s="1">
        <v>46174</v>
      </c>
      <c r="M88" t="s">
        <v>53</v>
      </c>
      <c r="N88" s="2">
        <v>57.84</v>
      </c>
      <c r="O88" t="s">
        <v>54</v>
      </c>
      <c r="P88">
        <v>100</v>
      </c>
      <c r="Q88" s="1">
        <v>46235</v>
      </c>
      <c r="R88">
        <v>1</v>
      </c>
      <c r="S88">
        <v>0</v>
      </c>
      <c r="T88">
        <v>144.6</v>
      </c>
      <c r="U88">
        <v>0</v>
      </c>
      <c r="W88">
        <v>0</v>
      </c>
      <c r="X88">
        <v>0</v>
      </c>
      <c r="Y88">
        <v>57.84</v>
      </c>
      <c r="Z88" t="s">
        <v>55</v>
      </c>
    </row>
    <row r="89" spans="2:26" x14ac:dyDescent="0.25">
      <c r="B89">
        <v>19491313</v>
      </c>
      <c r="C89" t="s">
        <v>138</v>
      </c>
      <c r="D89" t="s">
        <v>139</v>
      </c>
      <c r="E89" t="s">
        <v>47</v>
      </c>
      <c r="F89" t="s">
        <v>140</v>
      </c>
      <c r="G89" t="s">
        <v>49</v>
      </c>
      <c r="H89" t="s">
        <v>141</v>
      </c>
      <c r="I89" t="s">
        <v>142</v>
      </c>
      <c r="J89" t="s">
        <v>143</v>
      </c>
      <c r="K89" s="1">
        <v>46174</v>
      </c>
      <c r="M89" t="s">
        <v>53</v>
      </c>
      <c r="N89" s="2">
        <v>28.92</v>
      </c>
      <c r="O89" t="s">
        <v>54</v>
      </c>
      <c r="P89">
        <v>100</v>
      </c>
      <c r="Q89" s="1">
        <v>46235</v>
      </c>
      <c r="R89" t="s">
        <v>57</v>
      </c>
      <c r="S89">
        <v>0</v>
      </c>
      <c r="T89">
        <v>144.6</v>
      </c>
      <c r="U89">
        <v>0</v>
      </c>
      <c r="W89">
        <v>0</v>
      </c>
      <c r="X89">
        <v>0</v>
      </c>
      <c r="Y89">
        <v>-28.92</v>
      </c>
    </row>
    <row r="90" spans="2:26" x14ac:dyDescent="0.25">
      <c r="B90">
        <v>19491313</v>
      </c>
      <c r="C90" t="s">
        <v>138</v>
      </c>
      <c r="D90" t="s">
        <v>139</v>
      </c>
      <c r="E90" t="s">
        <v>47</v>
      </c>
      <c r="F90" t="s">
        <v>140</v>
      </c>
      <c r="G90" t="s">
        <v>49</v>
      </c>
      <c r="H90" t="s">
        <v>141</v>
      </c>
      <c r="I90" t="s">
        <v>142</v>
      </c>
      <c r="J90" t="s">
        <v>143</v>
      </c>
      <c r="K90" s="1">
        <v>46174</v>
      </c>
      <c r="M90" t="s">
        <v>53</v>
      </c>
      <c r="N90" s="2">
        <v>28.92</v>
      </c>
      <c r="O90" t="s">
        <v>54</v>
      </c>
      <c r="P90">
        <v>100</v>
      </c>
      <c r="Q90" s="1">
        <v>46266</v>
      </c>
      <c r="R90" t="s">
        <v>57</v>
      </c>
      <c r="S90">
        <v>0</v>
      </c>
      <c r="T90">
        <v>144.6</v>
      </c>
      <c r="U90">
        <v>0</v>
      </c>
      <c r="W90">
        <v>0</v>
      </c>
      <c r="X90">
        <v>0</v>
      </c>
      <c r="Y90">
        <v>-28.92</v>
      </c>
    </row>
    <row r="91" spans="2:26" x14ac:dyDescent="0.25">
      <c r="B91">
        <v>19491313</v>
      </c>
      <c r="C91" t="s">
        <v>138</v>
      </c>
      <c r="D91" t="s">
        <v>139</v>
      </c>
      <c r="E91" t="s">
        <v>47</v>
      </c>
      <c r="F91" t="s">
        <v>140</v>
      </c>
      <c r="G91" t="s">
        <v>49</v>
      </c>
      <c r="H91" t="s">
        <v>141</v>
      </c>
      <c r="I91" t="s">
        <v>142</v>
      </c>
      <c r="J91" t="s">
        <v>143</v>
      </c>
      <c r="K91" s="1">
        <v>46174</v>
      </c>
      <c r="M91" t="s">
        <v>53</v>
      </c>
      <c r="N91" s="2">
        <v>57.84</v>
      </c>
      <c r="O91" t="s">
        <v>54</v>
      </c>
      <c r="P91">
        <v>100</v>
      </c>
      <c r="Q91" s="1">
        <v>46266</v>
      </c>
      <c r="R91">
        <v>1</v>
      </c>
      <c r="S91">
        <v>0</v>
      </c>
      <c r="T91">
        <v>144.6</v>
      </c>
      <c r="U91">
        <v>0</v>
      </c>
      <c r="W91">
        <v>0</v>
      </c>
      <c r="X91">
        <v>0</v>
      </c>
      <c r="Y91">
        <v>57.84</v>
      </c>
      <c r="Z91" t="s">
        <v>55</v>
      </c>
    </row>
    <row r="92" spans="2:26" x14ac:dyDescent="0.25">
      <c r="B92">
        <v>19491313</v>
      </c>
      <c r="C92" t="s">
        <v>138</v>
      </c>
      <c r="D92" t="s">
        <v>139</v>
      </c>
      <c r="E92" t="s">
        <v>47</v>
      </c>
      <c r="F92" t="s">
        <v>140</v>
      </c>
      <c r="G92" t="s">
        <v>49</v>
      </c>
      <c r="H92" t="s">
        <v>141</v>
      </c>
      <c r="I92" t="s">
        <v>142</v>
      </c>
      <c r="J92" t="s">
        <v>143</v>
      </c>
      <c r="K92" s="1">
        <v>46174</v>
      </c>
      <c r="M92" t="s">
        <v>53</v>
      </c>
      <c r="N92" s="2">
        <v>28.92</v>
      </c>
      <c r="O92" t="s">
        <v>54</v>
      </c>
      <c r="P92">
        <v>100</v>
      </c>
      <c r="Q92" s="1">
        <v>46296</v>
      </c>
      <c r="R92" t="s">
        <v>57</v>
      </c>
      <c r="S92">
        <v>0</v>
      </c>
      <c r="T92">
        <v>144.6</v>
      </c>
      <c r="U92">
        <v>0</v>
      </c>
      <c r="W92">
        <v>0</v>
      </c>
      <c r="X92">
        <v>0</v>
      </c>
      <c r="Y92">
        <v>-28.92</v>
      </c>
    </row>
    <row r="93" spans="2:26" x14ac:dyDescent="0.25">
      <c r="B93">
        <v>19491313</v>
      </c>
      <c r="C93" t="s">
        <v>138</v>
      </c>
      <c r="D93" t="s">
        <v>139</v>
      </c>
      <c r="E93" t="s">
        <v>47</v>
      </c>
      <c r="F93" t="s">
        <v>140</v>
      </c>
      <c r="G93" t="s">
        <v>49</v>
      </c>
      <c r="H93" t="s">
        <v>141</v>
      </c>
      <c r="I93" t="s">
        <v>142</v>
      </c>
      <c r="J93" t="s">
        <v>143</v>
      </c>
      <c r="K93" s="1">
        <v>46174</v>
      </c>
      <c r="M93" t="s">
        <v>53</v>
      </c>
      <c r="N93" s="2">
        <v>57.84</v>
      </c>
      <c r="O93" t="s">
        <v>54</v>
      </c>
      <c r="P93">
        <v>100</v>
      </c>
      <c r="Q93" s="1">
        <v>46296</v>
      </c>
      <c r="R93">
        <v>1</v>
      </c>
      <c r="S93">
        <v>0</v>
      </c>
      <c r="T93">
        <v>144.6</v>
      </c>
      <c r="U93">
        <v>0</v>
      </c>
      <c r="W93">
        <v>0</v>
      </c>
      <c r="X93">
        <v>0</v>
      </c>
      <c r="Y93">
        <v>57.84</v>
      </c>
      <c r="Z93" t="s">
        <v>55</v>
      </c>
    </row>
    <row r="94" spans="2:26" x14ac:dyDescent="0.25">
      <c r="B94">
        <v>19491313</v>
      </c>
      <c r="C94" t="s">
        <v>138</v>
      </c>
      <c r="D94" t="s">
        <v>139</v>
      </c>
      <c r="E94" t="s">
        <v>47</v>
      </c>
      <c r="F94" t="s">
        <v>140</v>
      </c>
      <c r="G94" t="s">
        <v>49</v>
      </c>
      <c r="H94" t="s">
        <v>141</v>
      </c>
      <c r="I94" t="s">
        <v>142</v>
      </c>
      <c r="J94" t="s">
        <v>143</v>
      </c>
      <c r="K94" s="1">
        <v>46174</v>
      </c>
      <c r="M94" t="s">
        <v>53</v>
      </c>
      <c r="N94" s="2">
        <v>57.84</v>
      </c>
      <c r="O94" t="s">
        <v>54</v>
      </c>
      <c r="P94">
        <v>100</v>
      </c>
      <c r="Q94" s="1">
        <v>46327</v>
      </c>
      <c r="R94">
        <v>1</v>
      </c>
      <c r="S94">
        <v>0</v>
      </c>
      <c r="T94">
        <v>144.6</v>
      </c>
      <c r="U94">
        <v>0</v>
      </c>
      <c r="W94">
        <v>0</v>
      </c>
      <c r="X94">
        <v>0</v>
      </c>
      <c r="Y94">
        <v>57.84</v>
      </c>
      <c r="Z94" t="s">
        <v>55</v>
      </c>
    </row>
    <row r="95" spans="2:26" x14ac:dyDescent="0.25">
      <c r="B95">
        <v>19491313</v>
      </c>
      <c r="C95" t="s">
        <v>138</v>
      </c>
      <c r="D95" t="s">
        <v>139</v>
      </c>
      <c r="E95" t="s">
        <v>47</v>
      </c>
      <c r="F95" t="s">
        <v>140</v>
      </c>
      <c r="G95" t="s">
        <v>49</v>
      </c>
      <c r="H95" t="s">
        <v>141</v>
      </c>
      <c r="I95" t="s">
        <v>142</v>
      </c>
      <c r="J95" t="s">
        <v>143</v>
      </c>
      <c r="K95" s="1">
        <v>46174</v>
      </c>
      <c r="M95" t="s">
        <v>53</v>
      </c>
      <c r="N95" s="2">
        <v>28.92</v>
      </c>
      <c r="O95" t="s">
        <v>54</v>
      </c>
      <c r="P95">
        <v>100</v>
      </c>
      <c r="Q95" s="1">
        <v>46327</v>
      </c>
      <c r="R95" t="s">
        <v>57</v>
      </c>
      <c r="S95">
        <v>0</v>
      </c>
      <c r="T95">
        <v>144.6</v>
      </c>
      <c r="U95">
        <v>0</v>
      </c>
      <c r="W95">
        <v>0</v>
      </c>
      <c r="X95">
        <v>0</v>
      </c>
      <c r="Y95">
        <v>-28.92</v>
      </c>
    </row>
    <row r="96" spans="2:26" x14ac:dyDescent="0.25">
      <c r="B96">
        <v>19491313</v>
      </c>
      <c r="C96" t="s">
        <v>138</v>
      </c>
      <c r="D96" t="s">
        <v>139</v>
      </c>
      <c r="E96" t="s">
        <v>47</v>
      </c>
      <c r="F96" t="s">
        <v>140</v>
      </c>
      <c r="G96" t="s">
        <v>49</v>
      </c>
      <c r="H96" t="s">
        <v>141</v>
      </c>
      <c r="I96" t="s">
        <v>142</v>
      </c>
      <c r="J96" t="s">
        <v>143</v>
      </c>
      <c r="K96" s="1">
        <v>46174</v>
      </c>
      <c r="M96" t="s">
        <v>53</v>
      </c>
      <c r="N96" s="2">
        <v>57.84</v>
      </c>
      <c r="O96" t="s">
        <v>54</v>
      </c>
      <c r="P96">
        <v>100</v>
      </c>
      <c r="Q96" s="1">
        <v>46357</v>
      </c>
      <c r="R96">
        <v>1</v>
      </c>
      <c r="S96">
        <v>0</v>
      </c>
      <c r="T96">
        <v>144.6</v>
      </c>
      <c r="U96">
        <v>0</v>
      </c>
      <c r="W96">
        <v>0</v>
      </c>
      <c r="X96">
        <v>0</v>
      </c>
      <c r="Y96">
        <v>57.84</v>
      </c>
      <c r="Z96" t="s">
        <v>55</v>
      </c>
    </row>
    <row r="97" spans="2:28" x14ac:dyDescent="0.25">
      <c r="B97">
        <v>19491313</v>
      </c>
      <c r="C97" t="s">
        <v>138</v>
      </c>
      <c r="D97" t="s">
        <v>139</v>
      </c>
      <c r="E97" t="s">
        <v>47</v>
      </c>
      <c r="F97" t="s">
        <v>140</v>
      </c>
      <c r="G97" t="s">
        <v>49</v>
      </c>
      <c r="H97" t="s">
        <v>141</v>
      </c>
      <c r="I97" t="s">
        <v>142</v>
      </c>
      <c r="J97" t="s">
        <v>143</v>
      </c>
      <c r="K97" s="1">
        <v>46174</v>
      </c>
      <c r="M97" t="s">
        <v>53</v>
      </c>
      <c r="N97" s="2">
        <v>28.92</v>
      </c>
      <c r="O97" t="s">
        <v>54</v>
      </c>
      <c r="P97">
        <v>100</v>
      </c>
      <c r="Q97" s="1">
        <v>46357</v>
      </c>
      <c r="R97" t="s">
        <v>57</v>
      </c>
      <c r="S97">
        <v>0</v>
      </c>
      <c r="T97">
        <v>144.6</v>
      </c>
      <c r="U97">
        <v>0</v>
      </c>
      <c r="W97">
        <v>0</v>
      </c>
      <c r="X97">
        <v>0</v>
      </c>
      <c r="Y97">
        <v>-28.92</v>
      </c>
    </row>
    <row r="98" spans="2:28" x14ac:dyDescent="0.25">
      <c r="B98">
        <v>19491313</v>
      </c>
      <c r="C98" t="s">
        <v>138</v>
      </c>
      <c r="D98" t="s">
        <v>139</v>
      </c>
      <c r="E98" t="s">
        <v>47</v>
      </c>
      <c r="F98" t="s">
        <v>144</v>
      </c>
      <c r="G98" t="s">
        <v>60</v>
      </c>
      <c r="H98" t="s">
        <v>141</v>
      </c>
      <c r="I98" t="s">
        <v>145</v>
      </c>
      <c r="J98" t="s">
        <v>146</v>
      </c>
      <c r="K98" s="1">
        <v>46174</v>
      </c>
      <c r="M98" t="s">
        <v>53</v>
      </c>
      <c r="N98" s="3">
        <v>0.23</v>
      </c>
      <c r="O98" t="s">
        <v>54</v>
      </c>
      <c r="P98">
        <v>100</v>
      </c>
      <c r="Q98" s="1">
        <v>46204</v>
      </c>
      <c r="R98">
        <v>1</v>
      </c>
      <c r="S98">
        <v>0</v>
      </c>
      <c r="T98">
        <v>276.95999999999998</v>
      </c>
      <c r="U98">
        <v>150.56</v>
      </c>
      <c r="V98" t="s">
        <v>70</v>
      </c>
      <c r="W98">
        <v>0</v>
      </c>
      <c r="X98">
        <v>0</v>
      </c>
      <c r="Y98">
        <v>0</v>
      </c>
    </row>
    <row r="99" spans="2:28" x14ac:dyDescent="0.25">
      <c r="B99">
        <v>21564088</v>
      </c>
      <c r="C99" t="s">
        <v>147</v>
      </c>
      <c r="D99" t="s">
        <v>139</v>
      </c>
      <c r="E99" t="s">
        <v>47</v>
      </c>
      <c r="F99" t="s">
        <v>148</v>
      </c>
      <c r="G99" t="s">
        <v>60</v>
      </c>
      <c r="H99" t="s">
        <v>141</v>
      </c>
      <c r="I99" t="s">
        <v>149</v>
      </c>
      <c r="J99" t="s">
        <v>150</v>
      </c>
      <c r="K99" s="1">
        <v>45992</v>
      </c>
      <c r="M99" t="s">
        <v>53</v>
      </c>
      <c r="N99" s="3">
        <v>0.23</v>
      </c>
      <c r="O99" t="s">
        <v>54</v>
      </c>
      <c r="P99">
        <v>100</v>
      </c>
      <c r="Q99" s="1">
        <v>46204</v>
      </c>
      <c r="R99">
        <v>1</v>
      </c>
      <c r="S99">
        <v>0</v>
      </c>
      <c r="T99">
        <v>67.92</v>
      </c>
      <c r="U99">
        <v>147.66999999999999</v>
      </c>
      <c r="V99" t="s">
        <v>70</v>
      </c>
      <c r="W99">
        <v>0</v>
      </c>
      <c r="X99">
        <v>0</v>
      </c>
      <c r="Y99">
        <v>0</v>
      </c>
      <c r="AA99">
        <v>0</v>
      </c>
      <c r="AB99">
        <v>0</v>
      </c>
    </row>
    <row r="100" spans="2:28" x14ac:dyDescent="0.25">
      <c r="B100">
        <v>21564088</v>
      </c>
      <c r="C100" t="s">
        <v>147</v>
      </c>
      <c r="D100" t="s">
        <v>139</v>
      </c>
      <c r="E100" t="s">
        <v>47</v>
      </c>
      <c r="F100" t="s">
        <v>151</v>
      </c>
      <c r="G100" t="s">
        <v>60</v>
      </c>
      <c r="H100" t="s">
        <v>141</v>
      </c>
      <c r="I100" t="s">
        <v>152</v>
      </c>
      <c r="J100" t="s">
        <v>153</v>
      </c>
      <c r="K100" s="1">
        <v>45992</v>
      </c>
      <c r="M100" t="s">
        <v>53</v>
      </c>
      <c r="N100" s="3">
        <v>0.23</v>
      </c>
      <c r="O100" t="s">
        <v>54</v>
      </c>
      <c r="P100">
        <v>100</v>
      </c>
      <c r="Q100" s="1">
        <v>46204</v>
      </c>
      <c r="R100">
        <v>1</v>
      </c>
      <c r="S100">
        <v>0</v>
      </c>
      <c r="T100">
        <v>74.52</v>
      </c>
      <c r="U100">
        <v>162.01</v>
      </c>
      <c r="V100" t="s">
        <v>70</v>
      </c>
      <c r="W100">
        <v>0</v>
      </c>
      <c r="X100">
        <v>0</v>
      </c>
      <c r="Y100">
        <v>0</v>
      </c>
    </row>
    <row r="101" spans="2:28" x14ac:dyDescent="0.25">
      <c r="B101">
        <v>17094718</v>
      </c>
      <c r="C101" t="s">
        <v>154</v>
      </c>
      <c r="D101" t="s">
        <v>155</v>
      </c>
      <c r="E101" t="s">
        <v>47</v>
      </c>
      <c r="F101" t="s">
        <v>156</v>
      </c>
      <c r="G101" t="s">
        <v>49</v>
      </c>
      <c r="H101" t="s">
        <v>157</v>
      </c>
      <c r="I101" t="s">
        <v>158</v>
      </c>
      <c r="J101" t="s">
        <v>159</v>
      </c>
      <c r="K101" s="1">
        <v>45689</v>
      </c>
      <c r="M101" t="s">
        <v>53</v>
      </c>
      <c r="N101" s="2">
        <v>28.92</v>
      </c>
      <c r="O101" t="s">
        <v>54</v>
      </c>
      <c r="P101">
        <v>100</v>
      </c>
      <c r="Q101" s="1">
        <v>46204</v>
      </c>
      <c r="R101" t="s">
        <v>57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-28.92</v>
      </c>
      <c r="Z101" t="s">
        <v>160</v>
      </c>
      <c r="AA101">
        <v>-28.92</v>
      </c>
      <c r="AB101">
        <v>-28.92</v>
      </c>
    </row>
    <row r="102" spans="2:28" x14ac:dyDescent="0.25">
      <c r="B102">
        <v>9079571</v>
      </c>
      <c r="C102" t="s">
        <v>161</v>
      </c>
      <c r="D102" t="s">
        <v>162</v>
      </c>
      <c r="E102" t="s">
        <v>47</v>
      </c>
      <c r="F102" t="s">
        <v>163</v>
      </c>
      <c r="G102" t="s">
        <v>49</v>
      </c>
      <c r="H102" t="s">
        <v>84</v>
      </c>
      <c r="I102" t="s">
        <v>164</v>
      </c>
      <c r="J102" t="s">
        <v>165</v>
      </c>
      <c r="K102" s="1">
        <v>46174</v>
      </c>
      <c r="M102" t="s">
        <v>53</v>
      </c>
      <c r="N102" s="2">
        <v>52.17</v>
      </c>
      <c r="O102" t="s">
        <v>54</v>
      </c>
      <c r="P102">
        <v>100</v>
      </c>
      <c r="Q102" s="1">
        <v>46023</v>
      </c>
      <c r="R102">
        <v>1</v>
      </c>
      <c r="S102">
        <v>0</v>
      </c>
      <c r="T102">
        <v>144.6</v>
      </c>
      <c r="U102">
        <v>0</v>
      </c>
      <c r="W102">
        <v>0</v>
      </c>
      <c r="X102">
        <v>0</v>
      </c>
      <c r="Y102">
        <v>52.17</v>
      </c>
      <c r="Z102" t="s">
        <v>55</v>
      </c>
      <c r="AA102">
        <v>423.6</v>
      </c>
      <c r="AB102">
        <v>423.6</v>
      </c>
    </row>
    <row r="103" spans="2:28" x14ac:dyDescent="0.25">
      <c r="B103">
        <v>9079571</v>
      </c>
      <c r="C103" t="s">
        <v>161</v>
      </c>
      <c r="D103" t="s">
        <v>162</v>
      </c>
      <c r="E103" t="s">
        <v>47</v>
      </c>
      <c r="F103" t="s">
        <v>163</v>
      </c>
      <c r="G103" t="s">
        <v>49</v>
      </c>
      <c r="H103" t="s">
        <v>84</v>
      </c>
      <c r="I103" t="s">
        <v>164</v>
      </c>
      <c r="J103" t="s">
        <v>165</v>
      </c>
      <c r="K103" s="1">
        <v>46174</v>
      </c>
      <c r="M103" t="s">
        <v>53</v>
      </c>
      <c r="N103" s="2">
        <v>52.17</v>
      </c>
      <c r="O103" t="s">
        <v>54</v>
      </c>
      <c r="P103">
        <v>100</v>
      </c>
      <c r="Q103" s="1">
        <v>46054</v>
      </c>
      <c r="R103">
        <v>1</v>
      </c>
      <c r="S103">
        <v>0</v>
      </c>
      <c r="T103">
        <v>144.6</v>
      </c>
      <c r="U103">
        <v>0</v>
      </c>
      <c r="W103">
        <v>0</v>
      </c>
      <c r="X103">
        <v>0</v>
      </c>
      <c r="Y103">
        <v>52.17</v>
      </c>
      <c r="Z103" t="s">
        <v>55</v>
      </c>
    </row>
    <row r="104" spans="2:28" x14ac:dyDescent="0.25">
      <c r="B104">
        <v>9079571</v>
      </c>
      <c r="C104" t="s">
        <v>161</v>
      </c>
      <c r="D104" t="s">
        <v>162</v>
      </c>
      <c r="E104" t="s">
        <v>47</v>
      </c>
      <c r="F104" t="s">
        <v>163</v>
      </c>
      <c r="G104" t="s">
        <v>49</v>
      </c>
      <c r="H104" t="s">
        <v>84</v>
      </c>
      <c r="I104" t="s">
        <v>164</v>
      </c>
      <c r="J104" t="s">
        <v>165</v>
      </c>
      <c r="K104" s="1">
        <v>46174</v>
      </c>
      <c r="M104" t="s">
        <v>53</v>
      </c>
      <c r="N104" s="2">
        <v>52.17</v>
      </c>
      <c r="O104" t="s">
        <v>54</v>
      </c>
      <c r="P104">
        <v>100</v>
      </c>
      <c r="Q104" s="1">
        <v>46082</v>
      </c>
      <c r="R104">
        <v>1</v>
      </c>
      <c r="S104">
        <v>0</v>
      </c>
      <c r="T104">
        <v>144.6</v>
      </c>
      <c r="U104">
        <v>0</v>
      </c>
      <c r="W104">
        <v>0</v>
      </c>
      <c r="X104">
        <v>0</v>
      </c>
      <c r="Y104">
        <v>52.17</v>
      </c>
      <c r="Z104" t="s">
        <v>55</v>
      </c>
    </row>
    <row r="105" spans="2:28" x14ac:dyDescent="0.25">
      <c r="B105">
        <v>9079571</v>
      </c>
      <c r="C105" t="s">
        <v>161</v>
      </c>
      <c r="D105" t="s">
        <v>162</v>
      </c>
      <c r="E105" t="s">
        <v>47</v>
      </c>
      <c r="F105" t="s">
        <v>163</v>
      </c>
      <c r="G105" t="s">
        <v>49</v>
      </c>
      <c r="H105" t="s">
        <v>84</v>
      </c>
      <c r="I105" t="s">
        <v>164</v>
      </c>
      <c r="J105" t="s">
        <v>165</v>
      </c>
      <c r="K105" s="1">
        <v>46174</v>
      </c>
      <c r="M105" t="s">
        <v>53</v>
      </c>
      <c r="N105" s="2">
        <v>52.17</v>
      </c>
      <c r="O105" t="s">
        <v>54</v>
      </c>
      <c r="P105">
        <v>100</v>
      </c>
      <c r="Q105" s="1">
        <v>46113</v>
      </c>
      <c r="R105">
        <v>1</v>
      </c>
      <c r="S105">
        <v>0</v>
      </c>
      <c r="T105">
        <v>144.6</v>
      </c>
      <c r="U105">
        <v>0</v>
      </c>
      <c r="W105">
        <v>0</v>
      </c>
      <c r="X105">
        <v>0</v>
      </c>
      <c r="Y105">
        <v>52.17</v>
      </c>
      <c r="Z105" t="s">
        <v>55</v>
      </c>
    </row>
    <row r="106" spans="2:28" x14ac:dyDescent="0.25">
      <c r="B106">
        <v>9079571</v>
      </c>
      <c r="C106" t="s">
        <v>161</v>
      </c>
      <c r="D106" t="s">
        <v>162</v>
      </c>
      <c r="E106" t="s">
        <v>47</v>
      </c>
      <c r="F106" t="s">
        <v>163</v>
      </c>
      <c r="G106" t="s">
        <v>49</v>
      </c>
      <c r="H106" t="s">
        <v>84</v>
      </c>
      <c r="I106" t="s">
        <v>164</v>
      </c>
      <c r="J106" t="s">
        <v>165</v>
      </c>
      <c r="K106" s="1">
        <v>46174</v>
      </c>
      <c r="M106" t="s">
        <v>53</v>
      </c>
      <c r="N106" s="2">
        <v>52.17</v>
      </c>
      <c r="O106" t="s">
        <v>54</v>
      </c>
      <c r="P106">
        <v>100</v>
      </c>
      <c r="Q106" s="1">
        <v>46143</v>
      </c>
      <c r="R106">
        <v>1</v>
      </c>
      <c r="S106">
        <v>0</v>
      </c>
      <c r="T106">
        <v>144.6</v>
      </c>
      <c r="U106">
        <v>0</v>
      </c>
      <c r="W106">
        <v>0</v>
      </c>
      <c r="X106">
        <v>0</v>
      </c>
      <c r="Y106">
        <v>52.17</v>
      </c>
      <c r="Z106" t="s">
        <v>55</v>
      </c>
    </row>
    <row r="107" spans="2:28" x14ac:dyDescent="0.25">
      <c r="B107">
        <v>9079571</v>
      </c>
      <c r="C107" t="s">
        <v>161</v>
      </c>
      <c r="D107" t="s">
        <v>162</v>
      </c>
      <c r="E107" t="s">
        <v>47</v>
      </c>
      <c r="F107" t="s">
        <v>163</v>
      </c>
      <c r="G107" t="s">
        <v>49</v>
      </c>
      <c r="H107" t="s">
        <v>84</v>
      </c>
      <c r="I107" t="s">
        <v>164</v>
      </c>
      <c r="J107" t="s">
        <v>165</v>
      </c>
      <c r="K107" s="1">
        <v>46174</v>
      </c>
      <c r="M107" t="s">
        <v>53</v>
      </c>
      <c r="N107" s="2">
        <v>52.17</v>
      </c>
      <c r="O107" t="s">
        <v>54</v>
      </c>
      <c r="P107">
        <v>100</v>
      </c>
      <c r="Q107" s="1">
        <v>46174</v>
      </c>
      <c r="R107">
        <v>1</v>
      </c>
      <c r="S107">
        <v>0</v>
      </c>
      <c r="T107">
        <v>144.6</v>
      </c>
      <c r="U107">
        <v>0</v>
      </c>
      <c r="W107">
        <v>0</v>
      </c>
      <c r="X107">
        <v>0</v>
      </c>
      <c r="Y107">
        <v>52.17</v>
      </c>
      <c r="Z107" t="s">
        <v>56</v>
      </c>
    </row>
    <row r="108" spans="2:28" x14ac:dyDescent="0.25">
      <c r="B108">
        <v>9079571</v>
      </c>
      <c r="C108" t="s">
        <v>161</v>
      </c>
      <c r="D108" t="s">
        <v>162</v>
      </c>
      <c r="E108" t="s">
        <v>47</v>
      </c>
      <c r="F108" t="s">
        <v>163</v>
      </c>
      <c r="G108" t="s">
        <v>49</v>
      </c>
      <c r="H108" t="s">
        <v>84</v>
      </c>
      <c r="I108" t="s">
        <v>164</v>
      </c>
      <c r="J108" t="s">
        <v>165</v>
      </c>
      <c r="K108" s="1">
        <v>46174</v>
      </c>
      <c r="M108" t="s">
        <v>53</v>
      </c>
      <c r="N108" s="2">
        <v>28.92</v>
      </c>
      <c r="O108" t="s">
        <v>54</v>
      </c>
      <c r="P108">
        <v>100</v>
      </c>
      <c r="Q108" s="1">
        <v>46174</v>
      </c>
      <c r="R108" t="s">
        <v>57</v>
      </c>
      <c r="S108">
        <v>0</v>
      </c>
      <c r="T108">
        <v>144.6</v>
      </c>
      <c r="U108">
        <v>0</v>
      </c>
      <c r="W108">
        <v>0</v>
      </c>
      <c r="X108">
        <v>0</v>
      </c>
      <c r="Y108">
        <v>-28.92</v>
      </c>
    </row>
    <row r="109" spans="2:28" x14ac:dyDescent="0.25">
      <c r="B109">
        <v>9079571</v>
      </c>
      <c r="C109" t="s">
        <v>161</v>
      </c>
      <c r="D109" t="s">
        <v>162</v>
      </c>
      <c r="E109" t="s">
        <v>47</v>
      </c>
      <c r="F109" t="s">
        <v>163</v>
      </c>
      <c r="G109" t="s">
        <v>49</v>
      </c>
      <c r="H109" t="s">
        <v>84</v>
      </c>
      <c r="I109" t="s">
        <v>164</v>
      </c>
      <c r="J109" t="s">
        <v>165</v>
      </c>
      <c r="K109" s="1">
        <v>46174</v>
      </c>
      <c r="M109" t="s">
        <v>53</v>
      </c>
      <c r="N109" s="2">
        <v>52.17</v>
      </c>
      <c r="O109" t="s">
        <v>54</v>
      </c>
      <c r="P109">
        <v>100</v>
      </c>
      <c r="Q109" s="1">
        <v>46204</v>
      </c>
      <c r="R109">
        <v>1</v>
      </c>
      <c r="S109">
        <v>0</v>
      </c>
      <c r="T109">
        <v>144.6</v>
      </c>
      <c r="U109">
        <v>0</v>
      </c>
      <c r="W109">
        <v>0</v>
      </c>
      <c r="X109">
        <v>0</v>
      </c>
      <c r="Y109">
        <v>52.17</v>
      </c>
      <c r="Z109" t="s">
        <v>55</v>
      </c>
    </row>
    <row r="110" spans="2:28" x14ac:dyDescent="0.25">
      <c r="B110">
        <v>9079571</v>
      </c>
      <c r="C110" t="s">
        <v>161</v>
      </c>
      <c r="D110" t="s">
        <v>162</v>
      </c>
      <c r="E110" t="s">
        <v>47</v>
      </c>
      <c r="F110" t="s">
        <v>163</v>
      </c>
      <c r="G110" t="s">
        <v>49</v>
      </c>
      <c r="H110" t="s">
        <v>84</v>
      </c>
      <c r="I110" t="s">
        <v>164</v>
      </c>
      <c r="J110" t="s">
        <v>165</v>
      </c>
      <c r="K110" s="1">
        <v>46174</v>
      </c>
      <c r="M110" t="s">
        <v>53</v>
      </c>
      <c r="N110" s="2">
        <v>28.92</v>
      </c>
      <c r="O110" t="s">
        <v>54</v>
      </c>
      <c r="P110">
        <v>100</v>
      </c>
      <c r="Q110" s="1">
        <v>46204</v>
      </c>
      <c r="R110" t="s">
        <v>57</v>
      </c>
      <c r="S110">
        <v>0</v>
      </c>
      <c r="T110">
        <v>144.6</v>
      </c>
      <c r="U110">
        <v>0</v>
      </c>
      <c r="W110">
        <v>0</v>
      </c>
      <c r="X110">
        <v>0</v>
      </c>
      <c r="Y110">
        <v>-28.92</v>
      </c>
    </row>
    <row r="111" spans="2:28" x14ac:dyDescent="0.25">
      <c r="B111">
        <v>9079571</v>
      </c>
      <c r="C111" t="s">
        <v>161</v>
      </c>
      <c r="D111" t="s">
        <v>162</v>
      </c>
      <c r="E111" t="s">
        <v>47</v>
      </c>
      <c r="F111" t="s">
        <v>163</v>
      </c>
      <c r="G111" t="s">
        <v>49</v>
      </c>
      <c r="H111" t="s">
        <v>84</v>
      </c>
      <c r="I111" t="s">
        <v>164</v>
      </c>
      <c r="J111" t="s">
        <v>165</v>
      </c>
      <c r="K111" s="1">
        <v>46174</v>
      </c>
      <c r="M111" t="s">
        <v>53</v>
      </c>
      <c r="N111" s="2">
        <v>28.92</v>
      </c>
      <c r="O111" t="s">
        <v>54</v>
      </c>
      <c r="P111">
        <v>100</v>
      </c>
      <c r="Q111" s="1">
        <v>46235</v>
      </c>
      <c r="R111" t="s">
        <v>57</v>
      </c>
      <c r="S111">
        <v>0</v>
      </c>
      <c r="T111">
        <v>144.6</v>
      </c>
      <c r="U111">
        <v>0</v>
      </c>
      <c r="W111">
        <v>0</v>
      </c>
      <c r="X111">
        <v>0</v>
      </c>
      <c r="Y111">
        <v>-28.92</v>
      </c>
    </row>
    <row r="112" spans="2:28" x14ac:dyDescent="0.25">
      <c r="B112">
        <v>9079571</v>
      </c>
      <c r="C112" t="s">
        <v>161</v>
      </c>
      <c r="D112" t="s">
        <v>162</v>
      </c>
      <c r="E112" t="s">
        <v>47</v>
      </c>
      <c r="F112" t="s">
        <v>163</v>
      </c>
      <c r="G112" t="s">
        <v>49</v>
      </c>
      <c r="H112" t="s">
        <v>84</v>
      </c>
      <c r="I112" t="s">
        <v>164</v>
      </c>
      <c r="J112" t="s">
        <v>165</v>
      </c>
      <c r="K112" s="1">
        <v>46174</v>
      </c>
      <c r="M112" t="s">
        <v>53</v>
      </c>
      <c r="N112" s="2">
        <v>52.17</v>
      </c>
      <c r="O112" t="s">
        <v>54</v>
      </c>
      <c r="P112">
        <v>100</v>
      </c>
      <c r="Q112" s="1">
        <v>46235</v>
      </c>
      <c r="R112">
        <v>1</v>
      </c>
      <c r="S112">
        <v>0</v>
      </c>
      <c r="T112">
        <v>144.6</v>
      </c>
      <c r="U112">
        <v>0</v>
      </c>
      <c r="W112">
        <v>0</v>
      </c>
      <c r="X112">
        <v>0</v>
      </c>
      <c r="Y112">
        <v>52.17</v>
      </c>
      <c r="Z112" t="s">
        <v>55</v>
      </c>
    </row>
    <row r="113" spans="2:26" x14ac:dyDescent="0.25">
      <c r="B113">
        <v>9079571</v>
      </c>
      <c r="C113" t="s">
        <v>161</v>
      </c>
      <c r="D113" t="s">
        <v>162</v>
      </c>
      <c r="E113" t="s">
        <v>47</v>
      </c>
      <c r="F113" t="s">
        <v>163</v>
      </c>
      <c r="G113" t="s">
        <v>49</v>
      </c>
      <c r="H113" t="s">
        <v>84</v>
      </c>
      <c r="I113" t="s">
        <v>164</v>
      </c>
      <c r="J113" t="s">
        <v>165</v>
      </c>
      <c r="K113" s="1">
        <v>46174</v>
      </c>
      <c r="M113" t="s">
        <v>53</v>
      </c>
      <c r="N113" s="2">
        <v>28.92</v>
      </c>
      <c r="O113" t="s">
        <v>54</v>
      </c>
      <c r="P113">
        <v>100</v>
      </c>
      <c r="Q113" s="1">
        <v>46266</v>
      </c>
      <c r="R113" t="s">
        <v>57</v>
      </c>
      <c r="S113">
        <v>0</v>
      </c>
      <c r="T113">
        <v>144.6</v>
      </c>
      <c r="U113">
        <v>0</v>
      </c>
      <c r="W113">
        <v>0</v>
      </c>
      <c r="X113">
        <v>0</v>
      </c>
      <c r="Y113">
        <v>-28.92</v>
      </c>
    </row>
    <row r="114" spans="2:26" x14ac:dyDescent="0.25">
      <c r="B114">
        <v>9079571</v>
      </c>
      <c r="C114" t="s">
        <v>161</v>
      </c>
      <c r="D114" t="s">
        <v>162</v>
      </c>
      <c r="E114" t="s">
        <v>47</v>
      </c>
      <c r="F114" t="s">
        <v>163</v>
      </c>
      <c r="G114" t="s">
        <v>49</v>
      </c>
      <c r="H114" t="s">
        <v>84</v>
      </c>
      <c r="I114" t="s">
        <v>164</v>
      </c>
      <c r="J114" t="s">
        <v>165</v>
      </c>
      <c r="K114" s="1">
        <v>46174</v>
      </c>
      <c r="M114" t="s">
        <v>53</v>
      </c>
      <c r="N114" s="2">
        <v>52.17</v>
      </c>
      <c r="O114" t="s">
        <v>54</v>
      </c>
      <c r="P114">
        <v>100</v>
      </c>
      <c r="Q114" s="1">
        <v>46266</v>
      </c>
      <c r="R114">
        <v>1</v>
      </c>
      <c r="S114">
        <v>0</v>
      </c>
      <c r="T114">
        <v>144.6</v>
      </c>
      <c r="U114">
        <v>0</v>
      </c>
      <c r="W114">
        <v>0</v>
      </c>
      <c r="X114">
        <v>0</v>
      </c>
      <c r="Y114">
        <v>52.17</v>
      </c>
      <c r="Z114" t="s">
        <v>55</v>
      </c>
    </row>
    <row r="115" spans="2:26" x14ac:dyDescent="0.25">
      <c r="B115">
        <v>9079571</v>
      </c>
      <c r="C115" t="s">
        <v>161</v>
      </c>
      <c r="D115" t="s">
        <v>162</v>
      </c>
      <c r="E115" t="s">
        <v>47</v>
      </c>
      <c r="F115" t="s">
        <v>163</v>
      </c>
      <c r="G115" t="s">
        <v>49</v>
      </c>
      <c r="H115" t="s">
        <v>84</v>
      </c>
      <c r="I115" t="s">
        <v>164</v>
      </c>
      <c r="J115" t="s">
        <v>165</v>
      </c>
      <c r="K115" s="1">
        <v>46174</v>
      </c>
      <c r="M115" t="s">
        <v>53</v>
      </c>
      <c r="N115" s="2">
        <v>28.92</v>
      </c>
      <c r="O115" t="s">
        <v>54</v>
      </c>
      <c r="P115">
        <v>100</v>
      </c>
      <c r="Q115" s="1">
        <v>46296</v>
      </c>
      <c r="R115" t="s">
        <v>57</v>
      </c>
      <c r="S115">
        <v>0</v>
      </c>
      <c r="T115">
        <v>144.6</v>
      </c>
      <c r="U115">
        <v>0</v>
      </c>
      <c r="W115">
        <v>0</v>
      </c>
      <c r="X115">
        <v>0</v>
      </c>
      <c r="Y115">
        <v>-28.92</v>
      </c>
    </row>
    <row r="116" spans="2:26" x14ac:dyDescent="0.25">
      <c r="B116">
        <v>9079571</v>
      </c>
      <c r="C116" t="s">
        <v>161</v>
      </c>
      <c r="D116" t="s">
        <v>162</v>
      </c>
      <c r="E116" t="s">
        <v>47</v>
      </c>
      <c r="F116" t="s">
        <v>163</v>
      </c>
      <c r="G116" t="s">
        <v>49</v>
      </c>
      <c r="H116" t="s">
        <v>84</v>
      </c>
      <c r="I116" t="s">
        <v>164</v>
      </c>
      <c r="J116" t="s">
        <v>165</v>
      </c>
      <c r="K116" s="1">
        <v>46174</v>
      </c>
      <c r="M116" t="s">
        <v>53</v>
      </c>
      <c r="N116" s="2">
        <v>52.17</v>
      </c>
      <c r="O116" t="s">
        <v>54</v>
      </c>
      <c r="P116">
        <v>100</v>
      </c>
      <c r="Q116" s="1">
        <v>46296</v>
      </c>
      <c r="R116">
        <v>1</v>
      </c>
      <c r="S116">
        <v>0</v>
      </c>
      <c r="T116">
        <v>144.6</v>
      </c>
      <c r="U116">
        <v>0</v>
      </c>
      <c r="W116">
        <v>0</v>
      </c>
      <c r="X116">
        <v>0</v>
      </c>
      <c r="Y116">
        <v>52.17</v>
      </c>
      <c r="Z116" t="s">
        <v>55</v>
      </c>
    </row>
    <row r="117" spans="2:26" x14ac:dyDescent="0.25">
      <c r="B117">
        <v>9079571</v>
      </c>
      <c r="C117" t="s">
        <v>161</v>
      </c>
      <c r="D117" t="s">
        <v>162</v>
      </c>
      <c r="E117" t="s">
        <v>47</v>
      </c>
      <c r="F117" t="s">
        <v>163</v>
      </c>
      <c r="G117" t="s">
        <v>49</v>
      </c>
      <c r="H117" t="s">
        <v>84</v>
      </c>
      <c r="I117" t="s">
        <v>164</v>
      </c>
      <c r="J117" t="s">
        <v>165</v>
      </c>
      <c r="K117" s="1">
        <v>46174</v>
      </c>
      <c r="M117" t="s">
        <v>53</v>
      </c>
      <c r="N117" s="2">
        <v>28.92</v>
      </c>
      <c r="O117" t="s">
        <v>54</v>
      </c>
      <c r="P117">
        <v>100</v>
      </c>
      <c r="Q117" s="1">
        <v>46327</v>
      </c>
      <c r="R117" t="s">
        <v>57</v>
      </c>
      <c r="S117">
        <v>0</v>
      </c>
      <c r="T117">
        <v>144.6</v>
      </c>
      <c r="U117">
        <v>0</v>
      </c>
      <c r="W117">
        <v>0</v>
      </c>
      <c r="X117">
        <v>0</v>
      </c>
      <c r="Y117">
        <v>-28.92</v>
      </c>
    </row>
    <row r="118" spans="2:26" x14ac:dyDescent="0.25">
      <c r="B118">
        <v>9079571</v>
      </c>
      <c r="C118" t="s">
        <v>161</v>
      </c>
      <c r="D118" t="s">
        <v>162</v>
      </c>
      <c r="E118" t="s">
        <v>47</v>
      </c>
      <c r="F118" t="s">
        <v>163</v>
      </c>
      <c r="G118" t="s">
        <v>49</v>
      </c>
      <c r="H118" t="s">
        <v>84</v>
      </c>
      <c r="I118" t="s">
        <v>164</v>
      </c>
      <c r="J118" t="s">
        <v>165</v>
      </c>
      <c r="K118" s="1">
        <v>46174</v>
      </c>
      <c r="M118" t="s">
        <v>53</v>
      </c>
      <c r="N118" s="2">
        <v>52.17</v>
      </c>
      <c r="O118" t="s">
        <v>54</v>
      </c>
      <c r="P118">
        <v>100</v>
      </c>
      <c r="Q118" s="1">
        <v>46327</v>
      </c>
      <c r="R118">
        <v>1</v>
      </c>
      <c r="S118">
        <v>0</v>
      </c>
      <c r="T118">
        <v>144.6</v>
      </c>
      <c r="U118">
        <v>0</v>
      </c>
      <c r="W118">
        <v>0</v>
      </c>
      <c r="X118">
        <v>0</v>
      </c>
      <c r="Y118">
        <v>52.17</v>
      </c>
      <c r="Z118" t="s">
        <v>55</v>
      </c>
    </row>
    <row r="119" spans="2:26" x14ac:dyDescent="0.25">
      <c r="B119">
        <v>9079571</v>
      </c>
      <c r="C119" t="s">
        <v>161</v>
      </c>
      <c r="D119" t="s">
        <v>162</v>
      </c>
      <c r="E119" t="s">
        <v>47</v>
      </c>
      <c r="F119" t="s">
        <v>163</v>
      </c>
      <c r="G119" t="s">
        <v>49</v>
      </c>
      <c r="H119" t="s">
        <v>84</v>
      </c>
      <c r="I119" t="s">
        <v>164</v>
      </c>
      <c r="J119" t="s">
        <v>165</v>
      </c>
      <c r="K119" s="1">
        <v>46174</v>
      </c>
      <c r="M119" t="s">
        <v>53</v>
      </c>
      <c r="N119" s="2">
        <v>28.92</v>
      </c>
      <c r="O119" t="s">
        <v>54</v>
      </c>
      <c r="P119">
        <v>100</v>
      </c>
      <c r="Q119" s="1">
        <v>46357</v>
      </c>
      <c r="R119" t="s">
        <v>57</v>
      </c>
      <c r="S119">
        <v>0</v>
      </c>
      <c r="T119">
        <v>144.6</v>
      </c>
      <c r="U119">
        <v>0</v>
      </c>
      <c r="W119">
        <v>0</v>
      </c>
      <c r="X119">
        <v>0</v>
      </c>
      <c r="Y119">
        <v>-28.92</v>
      </c>
    </row>
    <row r="120" spans="2:26" x14ac:dyDescent="0.25">
      <c r="B120">
        <v>9079571</v>
      </c>
      <c r="C120" t="s">
        <v>161</v>
      </c>
      <c r="D120" t="s">
        <v>162</v>
      </c>
      <c r="E120" t="s">
        <v>47</v>
      </c>
      <c r="F120" t="s">
        <v>163</v>
      </c>
      <c r="G120" t="s">
        <v>49</v>
      </c>
      <c r="H120" t="s">
        <v>84</v>
      </c>
      <c r="I120" t="s">
        <v>164</v>
      </c>
      <c r="J120" t="s">
        <v>165</v>
      </c>
      <c r="K120" s="1">
        <v>46174</v>
      </c>
      <c r="M120" t="s">
        <v>53</v>
      </c>
      <c r="N120" s="2">
        <v>52.17</v>
      </c>
      <c r="O120" t="s">
        <v>54</v>
      </c>
      <c r="P120">
        <v>100</v>
      </c>
      <c r="Q120" s="1">
        <v>46357</v>
      </c>
      <c r="R120">
        <v>1</v>
      </c>
      <c r="S120">
        <v>0</v>
      </c>
      <c r="T120">
        <v>144.6</v>
      </c>
      <c r="U120">
        <v>0</v>
      </c>
      <c r="W120">
        <v>0</v>
      </c>
      <c r="X120">
        <v>0</v>
      </c>
      <c r="Y120">
        <v>52.17</v>
      </c>
      <c r="Z1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C773-C838-4DC7-98BB-4B69553FDEAD}">
  <dimension ref="A1:AE111"/>
  <sheetViews>
    <sheetView tabSelected="1" topLeftCell="E1" workbookViewId="0">
      <selection activeCell="X2" sqref="X2:X10"/>
    </sheetView>
  </sheetViews>
  <sheetFormatPr defaultRowHeight="15" x14ac:dyDescent="0.25"/>
  <cols>
    <col min="1" max="1" width="14.28515625" style="12" customWidth="1"/>
    <col min="2" max="2" width="8" style="12" customWidth="1"/>
    <col min="3" max="3" width="8.5703125" style="12" customWidth="1"/>
    <col min="4" max="4" width="16.5703125" customWidth="1"/>
    <col min="5" max="5" width="6.28515625" bestFit="1" customWidth="1"/>
    <col min="6" max="6" width="12.140625" customWidth="1"/>
    <col min="7" max="8" width="12.85546875" customWidth="1"/>
    <col min="9" max="9" width="7.5703125" customWidth="1"/>
    <col min="10" max="10" width="22.5703125" customWidth="1"/>
    <col min="11" max="11" width="12.140625" customWidth="1"/>
    <col min="12" max="12" width="7.28515625" bestFit="1" customWidth="1"/>
    <col min="13" max="13" width="10" bestFit="1" customWidth="1"/>
    <col min="14" max="14" width="10.7109375" bestFit="1" customWidth="1"/>
    <col min="15" max="15" width="4.140625" bestFit="1" customWidth="1"/>
    <col min="16" max="16" width="5.5703125" bestFit="1" customWidth="1"/>
    <col min="17" max="17" width="8.5703125" bestFit="1" customWidth="1"/>
    <col min="18" max="18" width="9.5703125" bestFit="1" customWidth="1"/>
    <col min="19" max="19" width="14.28515625" bestFit="1" customWidth="1"/>
    <col min="20" max="20" width="9.5703125" bestFit="1" customWidth="1"/>
    <col min="21" max="21" width="20" bestFit="1" customWidth="1"/>
    <col min="23" max="23" width="33" bestFit="1" customWidth="1"/>
  </cols>
  <sheetData>
    <row r="1" spans="1:31" x14ac:dyDescent="0.25">
      <c r="A1" s="12" t="s">
        <v>18</v>
      </c>
      <c r="D1" t="s">
        <v>19</v>
      </c>
      <c r="E1" t="s">
        <v>20</v>
      </c>
      <c r="F1" t="s">
        <v>21</v>
      </c>
      <c r="G1" t="s">
        <v>22</v>
      </c>
      <c r="I1" t="s">
        <v>23</v>
      </c>
      <c r="J1" t="s">
        <v>25</v>
      </c>
      <c r="K1" t="s">
        <v>27</v>
      </c>
      <c r="L1" t="s">
        <v>30</v>
      </c>
      <c r="M1" t="s">
        <v>31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41</v>
      </c>
      <c r="U1" t="s">
        <v>42</v>
      </c>
    </row>
    <row r="2" spans="1:31" s="9" customFormat="1" x14ac:dyDescent="0.25">
      <c r="A2" s="13">
        <v>16849453</v>
      </c>
      <c r="B2" s="13" t="s">
        <v>185</v>
      </c>
      <c r="C2" s="13" t="s">
        <v>186</v>
      </c>
      <c r="D2" s="9" t="s">
        <v>71</v>
      </c>
      <c r="E2" s="9" t="s">
        <v>72</v>
      </c>
      <c r="F2" s="9" t="s">
        <v>47</v>
      </c>
      <c r="G2" s="9" t="s">
        <v>83</v>
      </c>
      <c r="H2" s="9" t="str">
        <f>CONCATENATE(G2,7)</f>
        <v>940W233977</v>
      </c>
      <c r="I2" s="9" t="s">
        <v>49</v>
      </c>
      <c r="J2" s="9" t="s">
        <v>85</v>
      </c>
      <c r="K2" s="10">
        <v>46204</v>
      </c>
      <c r="L2" s="11">
        <v>52.17</v>
      </c>
      <c r="M2" s="9" t="s">
        <v>54</v>
      </c>
      <c r="N2" s="10">
        <v>46387</v>
      </c>
      <c r="O2" s="9">
        <v>1</v>
      </c>
      <c r="P2" s="9">
        <v>0</v>
      </c>
      <c r="Q2" s="9">
        <v>144.6</v>
      </c>
      <c r="R2" s="9">
        <v>1</v>
      </c>
      <c r="T2" s="9">
        <v>52.17</v>
      </c>
      <c r="U2" s="9" t="s">
        <v>56</v>
      </c>
      <c r="V2" s="9">
        <v>626</v>
      </c>
      <c r="W2" s="9" t="s">
        <v>182</v>
      </c>
      <c r="X2" s="9" t="s">
        <v>181</v>
      </c>
    </row>
    <row r="3" spans="1:31" s="9" customFormat="1" x14ac:dyDescent="0.25">
      <c r="A3" s="13">
        <v>9079571</v>
      </c>
      <c r="B3" s="13" t="s">
        <v>185</v>
      </c>
      <c r="C3" s="13" t="s">
        <v>186</v>
      </c>
      <c r="D3" s="9" t="s">
        <v>161</v>
      </c>
      <c r="E3" s="9" t="s">
        <v>162</v>
      </c>
      <c r="F3" s="9" t="s">
        <v>47</v>
      </c>
      <c r="G3" s="9" t="s">
        <v>163</v>
      </c>
      <c r="H3" s="9" t="str">
        <f>CONCATENATE(G3,7)</f>
        <v>502W273357</v>
      </c>
      <c r="I3" s="9" t="s">
        <v>49</v>
      </c>
      <c r="J3" s="9" t="s">
        <v>164</v>
      </c>
      <c r="K3" s="10">
        <v>46174</v>
      </c>
      <c r="L3" s="11">
        <v>52.17</v>
      </c>
      <c r="M3" s="9" t="s">
        <v>54</v>
      </c>
      <c r="N3" s="10">
        <v>46387</v>
      </c>
      <c r="O3" s="9">
        <v>1</v>
      </c>
      <c r="P3" s="9">
        <v>0</v>
      </c>
      <c r="Q3" s="9">
        <v>144.6</v>
      </c>
      <c r="R3" s="9">
        <v>1</v>
      </c>
      <c r="T3" s="9">
        <v>52.17</v>
      </c>
      <c r="U3" s="9" t="s">
        <v>56</v>
      </c>
      <c r="V3" s="9">
        <v>626</v>
      </c>
      <c r="W3" s="9" t="s">
        <v>182</v>
      </c>
      <c r="X3" s="9" t="s">
        <v>181</v>
      </c>
    </row>
    <row r="4" spans="1:31" s="9" customFormat="1" x14ac:dyDescent="0.25">
      <c r="A4" s="13">
        <v>18754354</v>
      </c>
      <c r="B4" s="13" t="s">
        <v>185</v>
      </c>
      <c r="C4" s="13" t="s">
        <v>186</v>
      </c>
      <c r="D4" s="9" t="s">
        <v>45</v>
      </c>
      <c r="E4" s="9" t="s">
        <v>46</v>
      </c>
      <c r="F4" s="9" t="s">
        <v>47</v>
      </c>
      <c r="G4" s="9" t="s">
        <v>48</v>
      </c>
      <c r="H4" s="9" t="str">
        <f>CONCATENATE(G4,7)</f>
        <v>946W275557</v>
      </c>
      <c r="I4" s="9" t="s">
        <v>49</v>
      </c>
      <c r="J4" s="9" t="s">
        <v>51</v>
      </c>
      <c r="K4" s="10">
        <v>46204</v>
      </c>
      <c r="L4" s="11">
        <v>65</v>
      </c>
      <c r="M4" s="9" t="s">
        <v>54</v>
      </c>
      <c r="N4" s="10">
        <v>46387</v>
      </c>
      <c r="O4" s="9">
        <v>1</v>
      </c>
      <c r="P4" s="9">
        <v>0</v>
      </c>
      <c r="Q4" s="9">
        <v>180</v>
      </c>
      <c r="R4" s="9">
        <v>1</v>
      </c>
      <c r="T4" s="9">
        <v>65</v>
      </c>
      <c r="U4" s="9" t="s">
        <v>56</v>
      </c>
      <c r="V4" s="9">
        <v>780</v>
      </c>
      <c r="W4" s="9" t="s">
        <v>177</v>
      </c>
      <c r="X4" s="9" t="s">
        <v>178</v>
      </c>
    </row>
    <row r="5" spans="1:31" s="9" customFormat="1" x14ac:dyDescent="0.25">
      <c r="A5" s="13">
        <v>19491313</v>
      </c>
      <c r="B5" s="13" t="s">
        <v>185</v>
      </c>
      <c r="C5" s="13" t="s">
        <v>186</v>
      </c>
      <c r="D5" s="9" t="s">
        <v>138</v>
      </c>
      <c r="E5" s="9" t="s">
        <v>139</v>
      </c>
      <c r="F5" s="9" t="s">
        <v>47</v>
      </c>
      <c r="G5" s="9" t="s">
        <v>140</v>
      </c>
      <c r="H5" s="9" t="str">
        <f>CONCATENATE(G5,77)</f>
        <v>145W2733577</v>
      </c>
      <c r="I5" s="9" t="s">
        <v>49</v>
      </c>
      <c r="J5" s="9" t="s">
        <v>142</v>
      </c>
      <c r="K5" s="10">
        <v>46174</v>
      </c>
      <c r="L5" s="11">
        <v>57.84</v>
      </c>
      <c r="M5" s="9" t="s">
        <v>54</v>
      </c>
      <c r="N5" s="10">
        <v>46387</v>
      </c>
      <c r="O5" s="9">
        <v>1</v>
      </c>
      <c r="P5" s="9">
        <v>0</v>
      </c>
      <c r="Q5" s="9">
        <v>144.6</v>
      </c>
      <c r="R5" s="9">
        <v>1</v>
      </c>
      <c r="T5" s="9">
        <v>57.84</v>
      </c>
      <c r="U5" s="9" t="s">
        <v>56</v>
      </c>
      <c r="V5" s="9">
        <v>694</v>
      </c>
      <c r="W5" s="9" t="s">
        <v>179</v>
      </c>
      <c r="X5" s="9" t="s">
        <v>180</v>
      </c>
    </row>
    <row r="6" spans="1:31" s="9" customFormat="1" x14ac:dyDescent="0.25">
      <c r="A6" s="13">
        <v>18754354</v>
      </c>
      <c r="B6" s="13" t="s">
        <v>185</v>
      </c>
      <c r="C6" s="13" t="s">
        <v>186</v>
      </c>
      <c r="D6" s="9" t="s">
        <v>45</v>
      </c>
      <c r="E6" s="9" t="s">
        <v>46</v>
      </c>
      <c r="F6" s="9" t="s">
        <v>47</v>
      </c>
      <c r="G6" s="9" t="s">
        <v>48</v>
      </c>
      <c r="H6" s="9" t="str">
        <f>CONCATENATE(G6,66)</f>
        <v>946W2755566</v>
      </c>
      <c r="I6" s="9" t="s">
        <v>49</v>
      </c>
      <c r="J6" s="9" t="s">
        <v>51</v>
      </c>
      <c r="K6" s="10">
        <v>46204</v>
      </c>
      <c r="L6" s="11">
        <v>36</v>
      </c>
      <c r="M6" s="9" t="s">
        <v>54</v>
      </c>
      <c r="N6" s="10">
        <v>46387</v>
      </c>
      <c r="O6" s="9" t="s">
        <v>57</v>
      </c>
      <c r="P6" s="9">
        <v>0</v>
      </c>
      <c r="Q6" s="9">
        <v>180</v>
      </c>
      <c r="R6" s="9">
        <v>-1</v>
      </c>
      <c r="T6" s="9">
        <v>-36</v>
      </c>
      <c r="V6" s="9">
        <v>-216</v>
      </c>
      <c r="W6" s="9" t="s">
        <v>175</v>
      </c>
      <c r="X6" s="9" t="s">
        <v>176</v>
      </c>
    </row>
    <row r="7" spans="1:31" s="9" customFormat="1" x14ac:dyDescent="0.25">
      <c r="A7" s="13">
        <v>19491313</v>
      </c>
      <c r="B7" s="13" t="s">
        <v>185</v>
      </c>
      <c r="C7" s="13" t="s">
        <v>186</v>
      </c>
      <c r="D7" s="9" t="s">
        <v>138</v>
      </c>
      <c r="E7" s="9" t="s">
        <v>139</v>
      </c>
      <c r="F7" s="9" t="s">
        <v>47</v>
      </c>
      <c r="G7" s="9" t="s">
        <v>140</v>
      </c>
      <c r="H7" s="9" t="str">
        <f>CONCATENATE(G7,66)</f>
        <v>145W2733566</v>
      </c>
      <c r="I7" s="9" t="s">
        <v>49</v>
      </c>
      <c r="J7" s="9" t="s">
        <v>142</v>
      </c>
      <c r="K7" s="10">
        <v>46174</v>
      </c>
      <c r="L7" s="11">
        <v>28.92</v>
      </c>
      <c r="M7" s="9" t="s">
        <v>54</v>
      </c>
      <c r="N7" s="10">
        <v>46387</v>
      </c>
      <c r="O7" s="9" t="s">
        <v>57</v>
      </c>
      <c r="P7" s="9">
        <v>0</v>
      </c>
      <c r="Q7" s="9">
        <v>144.6</v>
      </c>
      <c r="R7" s="9">
        <v>-1</v>
      </c>
      <c r="T7" s="9">
        <v>-28.92</v>
      </c>
      <c r="V7" s="9">
        <v>-202.44</v>
      </c>
      <c r="W7" s="9" t="s">
        <v>171</v>
      </c>
      <c r="X7" s="9" t="s">
        <v>172</v>
      </c>
    </row>
    <row r="8" spans="1:31" s="9" customFormat="1" x14ac:dyDescent="0.25">
      <c r="A8" s="13">
        <v>16849453</v>
      </c>
      <c r="B8" s="13" t="s">
        <v>185</v>
      </c>
      <c r="C8" s="13" t="s">
        <v>186</v>
      </c>
      <c r="D8" s="9" t="s">
        <v>71</v>
      </c>
      <c r="E8" s="9" t="s">
        <v>72</v>
      </c>
      <c r="F8" s="9" t="s">
        <v>47</v>
      </c>
      <c r="G8" s="9" t="s">
        <v>83</v>
      </c>
      <c r="H8" s="9" t="str">
        <f>CONCATENATE(G8,66)</f>
        <v>940W2339766</v>
      </c>
      <c r="I8" s="9" t="s">
        <v>49</v>
      </c>
      <c r="J8" s="9" t="s">
        <v>85</v>
      </c>
      <c r="K8" s="10">
        <v>46204</v>
      </c>
      <c r="L8" s="11">
        <v>28.92</v>
      </c>
      <c r="M8" s="9" t="s">
        <v>54</v>
      </c>
      <c r="N8" s="10">
        <v>46387</v>
      </c>
      <c r="O8" s="9" t="s">
        <v>57</v>
      </c>
      <c r="P8" s="9">
        <v>0</v>
      </c>
      <c r="Q8" s="9">
        <v>144.6</v>
      </c>
      <c r="R8" s="9">
        <v>-1</v>
      </c>
      <c r="T8" s="9">
        <v>-28.92</v>
      </c>
      <c r="V8" s="9">
        <v>-173.52</v>
      </c>
      <c r="W8" s="9" t="s">
        <v>171</v>
      </c>
      <c r="X8" s="9" t="s">
        <v>174</v>
      </c>
    </row>
    <row r="9" spans="1:31" s="9" customFormat="1" x14ac:dyDescent="0.25">
      <c r="A9" s="12">
        <v>17094718</v>
      </c>
      <c r="B9" s="13" t="s">
        <v>185</v>
      </c>
      <c r="C9" s="13" t="s">
        <v>186</v>
      </c>
      <c r="D9" t="s">
        <v>154</v>
      </c>
      <c r="E9" t="s">
        <v>155</v>
      </c>
      <c r="F9" t="s">
        <v>47</v>
      </c>
      <c r="G9" t="s">
        <v>156</v>
      </c>
      <c r="H9" s="9" t="str">
        <f>CONCATENATE(G9,66)</f>
        <v>972W2287566</v>
      </c>
      <c r="I9" t="s">
        <v>49</v>
      </c>
      <c r="J9" t="s">
        <v>158</v>
      </c>
      <c r="K9" s="1">
        <v>45689</v>
      </c>
      <c r="L9" s="2">
        <v>28.92</v>
      </c>
      <c r="M9" t="s">
        <v>54</v>
      </c>
      <c r="N9" s="1">
        <v>46204</v>
      </c>
      <c r="O9" t="s">
        <v>57</v>
      </c>
      <c r="P9">
        <v>0</v>
      </c>
      <c r="Q9">
        <v>0</v>
      </c>
      <c r="R9" s="9">
        <v>-1</v>
      </c>
      <c r="S9"/>
      <c r="T9">
        <v>-28.92</v>
      </c>
      <c r="U9" t="s">
        <v>160</v>
      </c>
      <c r="V9">
        <v>-28.92</v>
      </c>
      <c r="W9" s="9" t="s">
        <v>171</v>
      </c>
      <c r="X9" s="9" t="s">
        <v>173</v>
      </c>
      <c r="Y9"/>
      <c r="Z9"/>
      <c r="AA9"/>
      <c r="AB9"/>
      <c r="AC9"/>
      <c r="AD9"/>
      <c r="AE9"/>
    </row>
    <row r="10" spans="1:31" x14ac:dyDescent="0.25">
      <c r="A10" s="13">
        <v>9079571</v>
      </c>
      <c r="B10" s="13" t="s">
        <v>185</v>
      </c>
      <c r="C10" s="13" t="s">
        <v>186</v>
      </c>
      <c r="D10" s="9" t="s">
        <v>161</v>
      </c>
      <c r="E10" s="9" t="s">
        <v>162</v>
      </c>
      <c r="F10" s="9" t="s">
        <v>47</v>
      </c>
      <c r="G10" s="9" t="s">
        <v>163</v>
      </c>
      <c r="H10" s="9" t="str">
        <f>CONCATENATE(G10,66)</f>
        <v>502W2733566</v>
      </c>
      <c r="I10" s="9" t="s">
        <v>49</v>
      </c>
      <c r="J10" s="9" t="s">
        <v>164</v>
      </c>
      <c r="K10" s="10">
        <v>46174</v>
      </c>
      <c r="L10" s="11">
        <v>28.92</v>
      </c>
      <c r="M10" s="9" t="s">
        <v>54</v>
      </c>
      <c r="N10" s="10">
        <v>46387</v>
      </c>
      <c r="O10" s="9" t="s">
        <v>57</v>
      </c>
      <c r="P10" s="9">
        <v>0</v>
      </c>
      <c r="Q10" s="9">
        <v>144.6</v>
      </c>
      <c r="R10" s="9">
        <v>-1</v>
      </c>
      <c r="S10" s="9"/>
      <c r="T10" s="9">
        <v>-28.92</v>
      </c>
      <c r="U10" s="9"/>
      <c r="V10" s="9">
        <v>-202.44</v>
      </c>
      <c r="W10" s="9" t="s">
        <v>171</v>
      </c>
      <c r="X10" s="9" t="s">
        <v>172</v>
      </c>
      <c r="Y10" s="9"/>
      <c r="Z10" s="9"/>
      <c r="AA10" s="9"/>
      <c r="AB10" s="9"/>
      <c r="AC10" s="9"/>
      <c r="AD10" s="9"/>
      <c r="AE10" s="9"/>
    </row>
    <row r="11" spans="1:31" x14ac:dyDescent="0.25">
      <c r="A11" s="12">
        <v>6634327</v>
      </c>
      <c r="B11" s="13" t="s">
        <v>185</v>
      </c>
      <c r="C11" s="13" t="s">
        <v>186</v>
      </c>
      <c r="D11" t="s">
        <v>65</v>
      </c>
      <c r="E11" t="s">
        <v>24</v>
      </c>
      <c r="F11" t="s">
        <v>47</v>
      </c>
      <c r="G11" t="s">
        <v>66</v>
      </c>
      <c r="H11" t="s">
        <v>66</v>
      </c>
      <c r="I11" t="s">
        <v>60</v>
      </c>
      <c r="J11" t="s">
        <v>68</v>
      </c>
      <c r="K11" s="1">
        <v>46082</v>
      </c>
      <c r="L11" s="3">
        <v>0.26</v>
      </c>
      <c r="M11" t="s">
        <v>54</v>
      </c>
      <c r="N11" s="1">
        <v>46204</v>
      </c>
      <c r="O11">
        <v>1</v>
      </c>
      <c r="P11">
        <v>0</v>
      </c>
      <c r="Q11">
        <v>223.7</v>
      </c>
      <c r="R11">
        <v>172.11</v>
      </c>
      <c r="S11" t="s">
        <v>70</v>
      </c>
      <c r="T11">
        <v>0</v>
      </c>
      <c r="V11" s="8">
        <f>R11*L11</f>
        <v>44.748600000000003</v>
      </c>
      <c r="W11" t="s">
        <v>169</v>
      </c>
    </row>
    <row r="12" spans="1:31" x14ac:dyDescent="0.25">
      <c r="A12" s="12">
        <v>19491313</v>
      </c>
      <c r="B12" s="13" t="s">
        <v>185</v>
      </c>
      <c r="C12" s="13" t="s">
        <v>186</v>
      </c>
      <c r="D12" t="s">
        <v>138</v>
      </c>
      <c r="E12" t="s">
        <v>139</v>
      </c>
      <c r="F12" t="s">
        <v>47</v>
      </c>
      <c r="G12" t="s">
        <v>144</v>
      </c>
      <c r="H12" t="s">
        <v>144</v>
      </c>
      <c r="I12" t="s">
        <v>60</v>
      </c>
      <c r="J12" t="s">
        <v>145</v>
      </c>
      <c r="K12" s="1">
        <v>46174</v>
      </c>
      <c r="L12" s="3">
        <v>0.23</v>
      </c>
      <c r="M12" t="s">
        <v>54</v>
      </c>
      <c r="N12" s="1">
        <v>46204</v>
      </c>
      <c r="O12">
        <v>1</v>
      </c>
      <c r="P12">
        <v>0</v>
      </c>
      <c r="Q12">
        <v>276.95999999999998</v>
      </c>
      <c r="R12">
        <v>150.56</v>
      </c>
      <c r="S12" t="s">
        <v>70</v>
      </c>
      <c r="T12">
        <v>0</v>
      </c>
      <c r="V12" s="8">
        <f>R12*L12</f>
        <v>34.628800000000005</v>
      </c>
      <c r="W12" t="s">
        <v>168</v>
      </c>
    </row>
    <row r="13" spans="1:31" x14ac:dyDescent="0.25">
      <c r="A13" s="12">
        <v>21564088</v>
      </c>
      <c r="B13" s="13" t="s">
        <v>185</v>
      </c>
      <c r="C13" s="13" t="s">
        <v>186</v>
      </c>
      <c r="D13" t="s">
        <v>147</v>
      </c>
      <c r="E13" t="s">
        <v>139</v>
      </c>
      <c r="F13" t="s">
        <v>47</v>
      </c>
      <c r="G13" t="s">
        <v>148</v>
      </c>
      <c r="H13" t="s">
        <v>148</v>
      </c>
      <c r="I13" t="s">
        <v>60</v>
      </c>
      <c r="J13" t="s">
        <v>149</v>
      </c>
      <c r="K13" s="1">
        <v>45992</v>
      </c>
      <c r="L13" s="3">
        <v>0.23</v>
      </c>
      <c r="M13" t="s">
        <v>54</v>
      </c>
      <c r="N13" s="1">
        <v>46204</v>
      </c>
      <c r="O13">
        <v>1</v>
      </c>
      <c r="P13">
        <v>0</v>
      </c>
      <c r="Q13">
        <v>67.92</v>
      </c>
      <c r="R13">
        <v>147.66999999999999</v>
      </c>
      <c r="S13" t="s">
        <v>70</v>
      </c>
      <c r="T13">
        <v>0</v>
      </c>
      <c r="V13" s="8">
        <f>R13*L13</f>
        <v>33.964100000000002</v>
      </c>
      <c r="W13" t="s">
        <v>168</v>
      </c>
    </row>
    <row r="14" spans="1:31" x14ac:dyDescent="0.25">
      <c r="A14" s="12">
        <v>21564088</v>
      </c>
      <c r="B14" s="13" t="s">
        <v>185</v>
      </c>
      <c r="C14" s="13" t="s">
        <v>186</v>
      </c>
      <c r="D14" t="s">
        <v>147</v>
      </c>
      <c r="E14" t="s">
        <v>139</v>
      </c>
      <c r="F14" t="s">
        <v>47</v>
      </c>
      <c r="G14" t="s">
        <v>151</v>
      </c>
      <c r="H14" t="s">
        <v>151</v>
      </c>
      <c r="I14" t="s">
        <v>60</v>
      </c>
      <c r="J14" t="s">
        <v>152</v>
      </c>
      <c r="K14" s="1">
        <v>45992</v>
      </c>
      <c r="L14" s="3">
        <v>0.23</v>
      </c>
      <c r="M14" t="s">
        <v>54</v>
      </c>
      <c r="N14" s="1">
        <v>46204</v>
      </c>
      <c r="O14">
        <v>1</v>
      </c>
      <c r="P14">
        <v>0</v>
      </c>
      <c r="Q14">
        <v>74.52</v>
      </c>
      <c r="R14">
        <v>162.01</v>
      </c>
      <c r="S14" t="s">
        <v>70</v>
      </c>
      <c r="T14">
        <v>0</v>
      </c>
      <c r="V14" s="8">
        <f>R14*L14</f>
        <v>37.262299999999996</v>
      </c>
      <c r="W14" t="s">
        <v>168</v>
      </c>
    </row>
    <row r="15" spans="1:31" s="4" customFormat="1" x14ac:dyDescent="0.25">
      <c r="A15" s="12">
        <v>21348299</v>
      </c>
      <c r="B15" s="13" t="s">
        <v>185</v>
      </c>
      <c r="C15" s="13" t="s">
        <v>186</v>
      </c>
      <c r="D15" t="s">
        <v>58</v>
      </c>
      <c r="E15" t="s">
        <v>46</v>
      </c>
      <c r="F15" t="s">
        <v>47</v>
      </c>
      <c r="G15" t="s">
        <v>59</v>
      </c>
      <c r="H15" t="s">
        <v>59</v>
      </c>
      <c r="I15" t="s">
        <v>60</v>
      </c>
      <c r="J15" t="s">
        <v>62</v>
      </c>
      <c r="K15" s="1">
        <v>46023</v>
      </c>
      <c r="L15" s="3">
        <v>0.2</v>
      </c>
      <c r="M15" t="s">
        <v>54</v>
      </c>
      <c r="N15" s="1">
        <v>46204</v>
      </c>
      <c r="O15">
        <v>1</v>
      </c>
      <c r="P15">
        <v>0</v>
      </c>
      <c r="Q15">
        <v>92.04</v>
      </c>
      <c r="R15">
        <v>179.58</v>
      </c>
      <c r="S15" t="s">
        <v>64</v>
      </c>
      <c r="T15">
        <v>0</v>
      </c>
      <c r="U15"/>
      <c r="V15">
        <v>34.31</v>
      </c>
      <c r="W15" t="s">
        <v>166</v>
      </c>
      <c r="X15"/>
      <c r="Y15"/>
      <c r="Z15"/>
      <c r="AA15"/>
      <c r="AB15"/>
      <c r="AC15"/>
      <c r="AD15"/>
      <c r="AE15"/>
    </row>
    <row r="16" spans="1:31" x14ac:dyDescent="0.25">
      <c r="A16" s="14" t="s">
        <v>170</v>
      </c>
      <c r="B16" s="14" t="s">
        <v>183</v>
      </c>
      <c r="C16" s="14" t="s">
        <v>184</v>
      </c>
      <c r="D16" s="4" t="s">
        <v>71</v>
      </c>
      <c r="E16" s="4" t="s">
        <v>72</v>
      </c>
      <c r="F16" s="4" t="s">
        <v>47</v>
      </c>
      <c r="G16" s="4" t="s">
        <v>87</v>
      </c>
      <c r="H16" s="4" t="s">
        <v>87</v>
      </c>
      <c r="I16" s="4" t="s">
        <v>60</v>
      </c>
      <c r="J16" s="4" t="s">
        <v>88</v>
      </c>
      <c r="K16" s="5">
        <v>46204</v>
      </c>
      <c r="L16" s="7">
        <v>0.21</v>
      </c>
      <c r="M16" s="4" t="s">
        <v>54</v>
      </c>
      <c r="N16" s="5">
        <v>46204</v>
      </c>
      <c r="O16" s="4">
        <v>1</v>
      </c>
      <c r="P16" s="4">
        <v>0</v>
      </c>
      <c r="Q16" s="4">
        <v>0</v>
      </c>
      <c r="R16" s="4">
        <v>183.84</v>
      </c>
      <c r="S16" s="4" t="s">
        <v>70</v>
      </c>
      <c r="T16" s="4">
        <v>38.6</v>
      </c>
      <c r="U16" s="4" t="s">
        <v>90</v>
      </c>
      <c r="V16" s="4">
        <v>38.6</v>
      </c>
      <c r="W16" s="4" t="s">
        <v>167</v>
      </c>
      <c r="X16" s="4"/>
      <c r="Y16" s="4"/>
      <c r="Z16" s="4"/>
      <c r="AA16" s="4"/>
      <c r="AB16" s="4"/>
      <c r="AC16" s="4"/>
      <c r="AD16" s="4"/>
      <c r="AE16" s="4"/>
    </row>
    <row r="17" spans="1:23" x14ac:dyDescent="0.25">
      <c r="A17" s="12">
        <v>16849453</v>
      </c>
      <c r="B17" s="13" t="s">
        <v>185</v>
      </c>
      <c r="C17" s="13" t="s">
        <v>186</v>
      </c>
      <c r="D17" t="s">
        <v>71</v>
      </c>
      <c r="E17" t="s">
        <v>72</v>
      </c>
      <c r="F17" t="s">
        <v>47</v>
      </c>
      <c r="G17" t="s">
        <v>92</v>
      </c>
      <c r="H17" t="s">
        <v>92</v>
      </c>
      <c r="I17" t="s">
        <v>60</v>
      </c>
      <c r="J17" t="s">
        <v>93</v>
      </c>
      <c r="K17" s="1">
        <v>46054</v>
      </c>
      <c r="L17" s="3">
        <v>0.21</v>
      </c>
      <c r="M17" t="s">
        <v>54</v>
      </c>
      <c r="N17" s="1">
        <v>46204</v>
      </c>
      <c r="O17">
        <v>1</v>
      </c>
      <c r="P17">
        <v>0</v>
      </c>
      <c r="Q17">
        <v>149.28</v>
      </c>
      <c r="R17">
        <v>177.73</v>
      </c>
      <c r="S17" t="s">
        <v>70</v>
      </c>
      <c r="T17">
        <v>0</v>
      </c>
      <c r="V17" s="8">
        <f>R17*L17</f>
        <v>37.323299999999996</v>
      </c>
      <c r="W17" t="s">
        <v>167</v>
      </c>
    </row>
    <row r="18" spans="1:23" x14ac:dyDescent="0.25">
      <c r="A18" s="12">
        <v>16849453</v>
      </c>
      <c r="B18" s="13" t="s">
        <v>185</v>
      </c>
      <c r="C18" s="13" t="s">
        <v>186</v>
      </c>
      <c r="D18" t="s">
        <v>71</v>
      </c>
      <c r="E18" t="s">
        <v>72</v>
      </c>
      <c r="F18" t="s">
        <v>47</v>
      </c>
      <c r="G18" t="s">
        <v>77</v>
      </c>
      <c r="H18" t="s">
        <v>77</v>
      </c>
      <c r="I18" t="s">
        <v>60</v>
      </c>
      <c r="J18" t="s">
        <v>78</v>
      </c>
      <c r="K18" s="1">
        <v>46082</v>
      </c>
      <c r="L18" s="3">
        <v>0.21</v>
      </c>
      <c r="M18" t="s">
        <v>54</v>
      </c>
      <c r="N18" s="1">
        <v>46204</v>
      </c>
      <c r="O18">
        <v>1</v>
      </c>
      <c r="P18">
        <v>0</v>
      </c>
      <c r="Q18">
        <v>186.6</v>
      </c>
      <c r="R18">
        <v>177.73</v>
      </c>
      <c r="S18" t="s">
        <v>70</v>
      </c>
      <c r="T18">
        <v>0</v>
      </c>
      <c r="V18" s="8">
        <f>R18*L18</f>
        <v>37.323299999999996</v>
      </c>
      <c r="W18" t="s">
        <v>167</v>
      </c>
    </row>
    <row r="19" spans="1:23" x14ac:dyDescent="0.25">
      <c r="A19" s="12">
        <v>16849453</v>
      </c>
      <c r="B19" s="13" t="s">
        <v>185</v>
      </c>
      <c r="C19" s="13" t="s">
        <v>186</v>
      </c>
      <c r="D19" t="s">
        <v>71</v>
      </c>
      <c r="E19" t="s">
        <v>72</v>
      </c>
      <c r="F19" t="s">
        <v>47</v>
      </c>
      <c r="G19" t="s">
        <v>80</v>
      </c>
      <c r="H19" t="s">
        <v>80</v>
      </c>
      <c r="I19" t="s">
        <v>60</v>
      </c>
      <c r="J19" t="s">
        <v>81</v>
      </c>
      <c r="K19" s="1">
        <v>46054</v>
      </c>
      <c r="L19" s="3">
        <v>0.21</v>
      </c>
      <c r="M19" t="s">
        <v>54</v>
      </c>
      <c r="N19" s="1">
        <v>46204</v>
      </c>
      <c r="O19">
        <v>1</v>
      </c>
      <c r="P19">
        <v>0</v>
      </c>
      <c r="Q19">
        <v>149.28</v>
      </c>
      <c r="R19">
        <v>177.73</v>
      </c>
      <c r="S19" t="s">
        <v>70</v>
      </c>
      <c r="T19">
        <v>0</v>
      </c>
      <c r="V19" s="8">
        <f>R19*L19</f>
        <v>37.323299999999996</v>
      </c>
      <c r="W19" t="s">
        <v>167</v>
      </c>
    </row>
    <row r="20" spans="1:23" x14ac:dyDescent="0.25">
      <c r="A20" s="12">
        <v>16849453</v>
      </c>
      <c r="B20" s="13" t="s">
        <v>185</v>
      </c>
      <c r="C20" s="13" t="s">
        <v>186</v>
      </c>
      <c r="D20" t="s">
        <v>71</v>
      </c>
      <c r="E20" t="s">
        <v>72</v>
      </c>
      <c r="F20" t="s">
        <v>47</v>
      </c>
      <c r="G20" t="s">
        <v>73</v>
      </c>
      <c r="H20" t="s">
        <v>73</v>
      </c>
      <c r="I20" t="s">
        <v>60</v>
      </c>
      <c r="J20" t="s">
        <v>75</v>
      </c>
      <c r="K20" s="1">
        <v>46082</v>
      </c>
      <c r="L20" s="3">
        <v>0.21</v>
      </c>
      <c r="M20" t="s">
        <v>54</v>
      </c>
      <c r="N20" s="1">
        <v>46204</v>
      </c>
      <c r="O20">
        <v>1</v>
      </c>
      <c r="P20">
        <v>0</v>
      </c>
      <c r="Q20">
        <v>193</v>
      </c>
      <c r="R20">
        <v>183.84</v>
      </c>
      <c r="S20" t="s">
        <v>70</v>
      </c>
      <c r="T20">
        <v>0</v>
      </c>
      <c r="V20" s="8">
        <f>R20*L20</f>
        <v>38.606400000000001</v>
      </c>
      <c r="W20" t="s">
        <v>167</v>
      </c>
    </row>
    <row r="21" spans="1:23" x14ac:dyDescent="0.25">
      <c r="A21" s="12">
        <v>20724564</v>
      </c>
      <c r="B21" s="13" t="s">
        <v>185</v>
      </c>
      <c r="C21" s="13" t="s">
        <v>186</v>
      </c>
      <c r="D21" t="s">
        <v>95</v>
      </c>
      <c r="E21" t="s">
        <v>72</v>
      </c>
      <c r="F21" t="s">
        <v>47</v>
      </c>
      <c r="G21" t="s">
        <v>114</v>
      </c>
      <c r="H21" t="s">
        <v>114</v>
      </c>
      <c r="I21" t="s">
        <v>60</v>
      </c>
      <c r="J21" t="s">
        <v>115</v>
      </c>
      <c r="K21" s="1">
        <v>45931</v>
      </c>
      <c r="L21" s="3">
        <v>0.21</v>
      </c>
      <c r="M21" t="s">
        <v>54</v>
      </c>
      <c r="N21" s="1">
        <v>46204</v>
      </c>
      <c r="O21">
        <v>1</v>
      </c>
      <c r="P21">
        <v>0</v>
      </c>
      <c r="Q21">
        <v>0</v>
      </c>
      <c r="R21">
        <v>163.41</v>
      </c>
      <c r="S21" t="s">
        <v>70</v>
      </c>
      <c r="T21">
        <v>34.31</v>
      </c>
      <c r="V21">
        <v>34.31</v>
      </c>
      <c r="W21" t="s">
        <v>167</v>
      </c>
    </row>
    <row r="22" spans="1:23" x14ac:dyDescent="0.25">
      <c r="A22" s="12">
        <v>20724564</v>
      </c>
      <c r="B22" s="13" t="s">
        <v>185</v>
      </c>
      <c r="C22" s="13" t="s">
        <v>186</v>
      </c>
      <c r="D22" t="s">
        <v>95</v>
      </c>
      <c r="E22" t="s">
        <v>72</v>
      </c>
      <c r="F22" t="s">
        <v>47</v>
      </c>
      <c r="G22" t="s">
        <v>135</v>
      </c>
      <c r="H22" t="s">
        <v>135</v>
      </c>
      <c r="I22" t="s">
        <v>60</v>
      </c>
      <c r="J22" t="s">
        <v>136</v>
      </c>
      <c r="K22" s="1">
        <v>46023</v>
      </c>
      <c r="L22" s="3">
        <v>0.21</v>
      </c>
      <c r="M22" t="s">
        <v>54</v>
      </c>
      <c r="N22" s="1">
        <v>46204</v>
      </c>
      <c r="O22">
        <v>1</v>
      </c>
      <c r="P22">
        <v>0</v>
      </c>
      <c r="Q22">
        <v>110.13</v>
      </c>
      <c r="R22">
        <v>174.83</v>
      </c>
      <c r="S22" t="s">
        <v>70</v>
      </c>
      <c r="T22">
        <v>0</v>
      </c>
      <c r="V22">
        <v>34.31</v>
      </c>
      <c r="W22" t="s">
        <v>167</v>
      </c>
    </row>
    <row r="23" spans="1:23" x14ac:dyDescent="0.25">
      <c r="A23" s="12">
        <v>20724564</v>
      </c>
      <c r="B23" s="13" t="s">
        <v>185</v>
      </c>
      <c r="C23" s="13" t="s">
        <v>186</v>
      </c>
      <c r="D23" t="s">
        <v>95</v>
      </c>
      <c r="E23" t="s">
        <v>72</v>
      </c>
      <c r="F23" t="s">
        <v>47</v>
      </c>
      <c r="G23" t="s">
        <v>111</v>
      </c>
      <c r="H23" t="s">
        <v>111</v>
      </c>
      <c r="I23" t="s">
        <v>60</v>
      </c>
      <c r="J23" t="s">
        <v>112</v>
      </c>
      <c r="K23" s="1">
        <v>45901</v>
      </c>
      <c r="L23" s="3">
        <v>0.21</v>
      </c>
      <c r="M23" t="s">
        <v>54</v>
      </c>
      <c r="N23" s="1">
        <v>46204</v>
      </c>
      <c r="O23">
        <v>1</v>
      </c>
      <c r="P23">
        <v>0</v>
      </c>
      <c r="Q23">
        <v>0</v>
      </c>
      <c r="R23">
        <v>163.41</v>
      </c>
      <c r="S23" t="s">
        <v>70</v>
      </c>
      <c r="T23">
        <v>34.31</v>
      </c>
      <c r="V23">
        <v>34.31</v>
      </c>
      <c r="W23" t="s">
        <v>167</v>
      </c>
    </row>
    <row r="24" spans="1:23" x14ac:dyDescent="0.25">
      <c r="A24" s="12">
        <v>20724564</v>
      </c>
      <c r="B24" s="13" t="s">
        <v>185</v>
      </c>
      <c r="C24" s="13" t="s">
        <v>186</v>
      </c>
      <c r="D24" t="s">
        <v>95</v>
      </c>
      <c r="E24" t="s">
        <v>72</v>
      </c>
      <c r="F24" t="s">
        <v>47</v>
      </c>
      <c r="G24" t="s">
        <v>99</v>
      </c>
      <c r="H24" t="s">
        <v>99</v>
      </c>
      <c r="I24" t="s">
        <v>60</v>
      </c>
      <c r="J24" t="s">
        <v>100</v>
      </c>
      <c r="K24" s="1">
        <v>45901</v>
      </c>
      <c r="L24" s="3">
        <v>0.21</v>
      </c>
      <c r="M24" t="s">
        <v>54</v>
      </c>
      <c r="N24" s="1">
        <v>46204</v>
      </c>
      <c r="O24">
        <v>1</v>
      </c>
      <c r="P24">
        <v>0</v>
      </c>
      <c r="Q24">
        <v>0</v>
      </c>
      <c r="R24">
        <v>163.41</v>
      </c>
      <c r="S24" t="s">
        <v>70</v>
      </c>
      <c r="T24">
        <v>34.31</v>
      </c>
      <c r="V24">
        <v>34.31</v>
      </c>
      <c r="W24" t="s">
        <v>167</v>
      </c>
    </row>
    <row r="25" spans="1:23" x14ac:dyDescent="0.25">
      <c r="A25" s="12">
        <v>20724564</v>
      </c>
      <c r="B25" s="13" t="s">
        <v>185</v>
      </c>
      <c r="C25" s="13" t="s">
        <v>186</v>
      </c>
      <c r="D25" t="s">
        <v>95</v>
      </c>
      <c r="E25" t="s">
        <v>72</v>
      </c>
      <c r="F25" t="s">
        <v>47</v>
      </c>
      <c r="G25" t="s">
        <v>126</v>
      </c>
      <c r="H25" t="s">
        <v>126</v>
      </c>
      <c r="I25" t="s">
        <v>60</v>
      </c>
      <c r="J25" t="s">
        <v>127</v>
      </c>
      <c r="K25" s="1">
        <v>46023</v>
      </c>
      <c r="L25" s="3">
        <v>0.21</v>
      </c>
      <c r="M25" t="s">
        <v>54</v>
      </c>
      <c r="N25" s="1">
        <v>46204</v>
      </c>
      <c r="O25">
        <v>1</v>
      </c>
      <c r="P25">
        <v>0</v>
      </c>
      <c r="Q25">
        <v>139.44</v>
      </c>
      <c r="R25">
        <v>221.34</v>
      </c>
      <c r="S25" t="s">
        <v>70</v>
      </c>
      <c r="T25">
        <v>0</v>
      </c>
      <c r="V25" s="8">
        <f>R25*L25</f>
        <v>46.481400000000001</v>
      </c>
      <c r="W25" t="s">
        <v>167</v>
      </c>
    </row>
    <row r="26" spans="1:23" x14ac:dyDescent="0.25">
      <c r="A26" s="12">
        <v>20724564</v>
      </c>
      <c r="B26" s="13" t="s">
        <v>185</v>
      </c>
      <c r="C26" s="13" t="s">
        <v>186</v>
      </c>
      <c r="D26" t="s">
        <v>95</v>
      </c>
      <c r="E26" t="s">
        <v>72</v>
      </c>
      <c r="F26" t="s">
        <v>47</v>
      </c>
      <c r="G26" t="s">
        <v>108</v>
      </c>
      <c r="H26" t="s">
        <v>108</v>
      </c>
      <c r="I26" t="s">
        <v>60</v>
      </c>
      <c r="J26" t="s">
        <v>109</v>
      </c>
      <c r="K26" s="1">
        <v>46023</v>
      </c>
      <c r="L26" s="3">
        <v>0.21</v>
      </c>
      <c r="M26" t="s">
        <v>54</v>
      </c>
      <c r="N26" s="1">
        <v>46204</v>
      </c>
      <c r="O26">
        <v>1</v>
      </c>
      <c r="P26">
        <v>0</v>
      </c>
      <c r="Q26">
        <v>104.64</v>
      </c>
      <c r="R26">
        <v>166.11</v>
      </c>
      <c r="S26" t="s">
        <v>70</v>
      </c>
      <c r="T26">
        <v>0</v>
      </c>
      <c r="V26" s="8">
        <f>R26*L26</f>
        <v>34.883099999999999</v>
      </c>
      <c r="W26" t="s">
        <v>167</v>
      </c>
    </row>
    <row r="27" spans="1:23" x14ac:dyDescent="0.25">
      <c r="A27" s="12">
        <v>20724564</v>
      </c>
      <c r="B27" s="13" t="s">
        <v>185</v>
      </c>
      <c r="C27" s="13" t="s">
        <v>186</v>
      </c>
      <c r="D27" t="s">
        <v>95</v>
      </c>
      <c r="E27" t="s">
        <v>72</v>
      </c>
      <c r="F27" t="s">
        <v>47</v>
      </c>
      <c r="G27" t="s">
        <v>105</v>
      </c>
      <c r="H27" t="s">
        <v>105</v>
      </c>
      <c r="I27" t="s">
        <v>60</v>
      </c>
      <c r="J27" t="s">
        <v>106</v>
      </c>
      <c r="K27" s="1">
        <v>45839</v>
      </c>
      <c r="L27" s="3">
        <v>0.21</v>
      </c>
      <c r="M27" t="s">
        <v>54</v>
      </c>
      <c r="N27" s="1">
        <v>46204</v>
      </c>
      <c r="O27">
        <v>1</v>
      </c>
      <c r="P27">
        <v>0</v>
      </c>
      <c r="Q27">
        <v>0</v>
      </c>
      <c r="R27">
        <v>203.9</v>
      </c>
      <c r="S27" t="s">
        <v>70</v>
      </c>
      <c r="T27">
        <v>42.81</v>
      </c>
      <c r="V27">
        <v>42.81</v>
      </c>
      <c r="W27" t="s">
        <v>167</v>
      </c>
    </row>
    <row r="28" spans="1:23" x14ac:dyDescent="0.25">
      <c r="A28" s="12">
        <v>20724564</v>
      </c>
      <c r="B28" s="13" t="s">
        <v>185</v>
      </c>
      <c r="C28" s="13" t="s">
        <v>186</v>
      </c>
      <c r="D28" t="s">
        <v>95</v>
      </c>
      <c r="E28" t="s">
        <v>72</v>
      </c>
      <c r="F28" t="s">
        <v>47</v>
      </c>
      <c r="G28" t="s">
        <v>102</v>
      </c>
      <c r="H28" t="s">
        <v>102</v>
      </c>
      <c r="I28" t="s">
        <v>60</v>
      </c>
      <c r="J28" t="s">
        <v>103</v>
      </c>
      <c r="K28" s="1">
        <v>45931</v>
      </c>
      <c r="L28" s="3">
        <v>0.21</v>
      </c>
      <c r="M28" t="s">
        <v>54</v>
      </c>
      <c r="N28" s="1">
        <v>46204</v>
      </c>
      <c r="O28">
        <v>1</v>
      </c>
      <c r="P28">
        <v>0</v>
      </c>
      <c r="Q28">
        <v>0</v>
      </c>
      <c r="R28">
        <v>147.65</v>
      </c>
      <c r="S28" t="s">
        <v>70</v>
      </c>
      <c r="T28">
        <v>31</v>
      </c>
      <c r="V28">
        <v>31</v>
      </c>
      <c r="W28" t="s">
        <v>167</v>
      </c>
    </row>
    <row r="29" spans="1:23" x14ac:dyDescent="0.25">
      <c r="A29" s="12">
        <v>20724564</v>
      </c>
      <c r="B29" s="13" t="s">
        <v>185</v>
      </c>
      <c r="C29" s="13" t="s">
        <v>186</v>
      </c>
      <c r="D29" t="s">
        <v>95</v>
      </c>
      <c r="E29" t="s">
        <v>72</v>
      </c>
      <c r="F29" t="s">
        <v>47</v>
      </c>
      <c r="G29" t="s">
        <v>123</v>
      </c>
      <c r="H29" t="s">
        <v>123</v>
      </c>
      <c r="I29" t="s">
        <v>60</v>
      </c>
      <c r="J29" t="s">
        <v>124</v>
      </c>
      <c r="K29" s="1">
        <v>45992</v>
      </c>
      <c r="L29" s="3">
        <v>0.21</v>
      </c>
      <c r="M29" t="s">
        <v>54</v>
      </c>
      <c r="N29" s="1">
        <v>46204</v>
      </c>
      <c r="O29">
        <v>1</v>
      </c>
      <c r="P29">
        <v>0</v>
      </c>
      <c r="Q29">
        <v>68.62</v>
      </c>
      <c r="R29">
        <v>163.41</v>
      </c>
      <c r="S29" t="s">
        <v>70</v>
      </c>
      <c r="T29">
        <v>0</v>
      </c>
      <c r="V29" s="8">
        <f>R29*L29</f>
        <v>34.316099999999999</v>
      </c>
      <c r="W29" t="s">
        <v>167</v>
      </c>
    </row>
    <row r="30" spans="1:23" x14ac:dyDescent="0.25">
      <c r="A30" s="12">
        <v>20724564</v>
      </c>
      <c r="B30" s="13" t="s">
        <v>185</v>
      </c>
      <c r="C30" s="13" t="s">
        <v>186</v>
      </c>
      <c r="D30" t="s">
        <v>95</v>
      </c>
      <c r="E30" t="s">
        <v>72</v>
      </c>
      <c r="F30" t="s">
        <v>47</v>
      </c>
      <c r="G30" t="s">
        <v>132</v>
      </c>
      <c r="H30" t="s">
        <v>132</v>
      </c>
      <c r="I30" t="s">
        <v>60</v>
      </c>
      <c r="J30" t="s">
        <v>133</v>
      </c>
      <c r="K30" s="1">
        <v>45931</v>
      </c>
      <c r="L30" s="3">
        <v>0.21</v>
      </c>
      <c r="M30" t="s">
        <v>54</v>
      </c>
      <c r="N30" s="1">
        <v>46204</v>
      </c>
      <c r="O30">
        <v>1</v>
      </c>
      <c r="P30">
        <v>0</v>
      </c>
      <c r="Q30">
        <v>0</v>
      </c>
      <c r="R30">
        <v>176.94</v>
      </c>
      <c r="S30" t="s">
        <v>70</v>
      </c>
      <c r="T30">
        <v>37.15</v>
      </c>
      <c r="V30">
        <v>37.15</v>
      </c>
      <c r="W30" t="s">
        <v>167</v>
      </c>
    </row>
    <row r="31" spans="1:23" x14ac:dyDescent="0.25">
      <c r="A31" s="12">
        <v>20724564</v>
      </c>
      <c r="B31" s="13" t="s">
        <v>185</v>
      </c>
      <c r="C31" s="13" t="s">
        <v>186</v>
      </c>
      <c r="D31" t="s">
        <v>95</v>
      </c>
      <c r="E31" t="s">
        <v>72</v>
      </c>
      <c r="F31" t="s">
        <v>47</v>
      </c>
      <c r="G31" t="s">
        <v>129</v>
      </c>
      <c r="H31" t="s">
        <v>129</v>
      </c>
      <c r="I31" t="s">
        <v>60</v>
      </c>
      <c r="J31" t="s">
        <v>130</v>
      </c>
      <c r="K31" s="1">
        <v>46023</v>
      </c>
      <c r="L31" s="3">
        <v>0.21</v>
      </c>
      <c r="M31" t="s">
        <v>54</v>
      </c>
      <c r="N31" s="1">
        <v>46204</v>
      </c>
      <c r="O31">
        <v>1</v>
      </c>
      <c r="P31">
        <v>0</v>
      </c>
      <c r="Q31">
        <v>141.47999999999999</v>
      </c>
      <c r="R31">
        <v>224.58</v>
      </c>
      <c r="S31" t="s">
        <v>70</v>
      </c>
      <c r="T31">
        <v>0</v>
      </c>
      <c r="V31" s="8">
        <f>R31*L31</f>
        <v>47.161799999999999</v>
      </c>
      <c r="W31" t="s">
        <v>167</v>
      </c>
    </row>
    <row r="32" spans="1:23" x14ac:dyDescent="0.25">
      <c r="A32" s="12">
        <v>20724564</v>
      </c>
      <c r="B32" s="13" t="s">
        <v>185</v>
      </c>
      <c r="C32" s="13" t="s">
        <v>186</v>
      </c>
      <c r="D32" t="s">
        <v>95</v>
      </c>
      <c r="E32" t="s">
        <v>72</v>
      </c>
      <c r="F32" t="s">
        <v>47</v>
      </c>
      <c r="G32" t="s">
        <v>117</v>
      </c>
      <c r="H32" t="s">
        <v>117</v>
      </c>
      <c r="I32" t="s">
        <v>60</v>
      </c>
      <c r="J32" t="s">
        <v>118</v>
      </c>
      <c r="K32" s="1">
        <v>45931</v>
      </c>
      <c r="L32" s="3">
        <v>0.21</v>
      </c>
      <c r="M32" t="s">
        <v>54</v>
      </c>
      <c r="N32" s="1">
        <v>46204</v>
      </c>
      <c r="O32">
        <v>1</v>
      </c>
      <c r="P32">
        <v>0</v>
      </c>
      <c r="Q32">
        <v>0</v>
      </c>
      <c r="R32">
        <v>157.97999999999999</v>
      </c>
      <c r="S32" t="s">
        <v>70</v>
      </c>
      <c r="T32">
        <v>33.17</v>
      </c>
      <c r="V32">
        <v>33.17</v>
      </c>
      <c r="W32" t="s">
        <v>167</v>
      </c>
    </row>
    <row r="33" spans="1:23" x14ac:dyDescent="0.25">
      <c r="A33" s="12">
        <v>20724564</v>
      </c>
      <c r="B33" s="13" t="s">
        <v>185</v>
      </c>
      <c r="C33" s="13" t="s">
        <v>186</v>
      </c>
      <c r="D33" t="s">
        <v>95</v>
      </c>
      <c r="E33" t="s">
        <v>72</v>
      </c>
      <c r="F33" t="s">
        <v>47</v>
      </c>
      <c r="G33" t="s">
        <v>96</v>
      </c>
      <c r="H33" t="s">
        <v>96</v>
      </c>
      <c r="I33" t="s">
        <v>60</v>
      </c>
      <c r="J33" t="s">
        <v>97</v>
      </c>
      <c r="K33" s="1">
        <v>45901</v>
      </c>
      <c r="L33" s="3">
        <v>0.21</v>
      </c>
      <c r="M33" t="s">
        <v>54</v>
      </c>
      <c r="N33" s="1">
        <v>46204</v>
      </c>
      <c r="O33">
        <v>1</v>
      </c>
      <c r="P33">
        <v>0</v>
      </c>
      <c r="Q33">
        <v>0</v>
      </c>
      <c r="R33">
        <v>147.65</v>
      </c>
      <c r="S33" t="s">
        <v>70</v>
      </c>
      <c r="T33">
        <v>31</v>
      </c>
      <c r="V33">
        <v>31</v>
      </c>
      <c r="W33" t="s">
        <v>167</v>
      </c>
    </row>
    <row r="34" spans="1:23" x14ac:dyDescent="0.25">
      <c r="A34" s="12">
        <v>20724564</v>
      </c>
      <c r="B34" s="13" t="s">
        <v>185</v>
      </c>
      <c r="C34" s="13" t="s">
        <v>186</v>
      </c>
      <c r="D34" t="s">
        <v>95</v>
      </c>
      <c r="E34" t="s">
        <v>72</v>
      </c>
      <c r="F34" t="s">
        <v>47</v>
      </c>
      <c r="G34" t="s">
        <v>120</v>
      </c>
      <c r="H34" t="s">
        <v>120</v>
      </c>
      <c r="I34" t="s">
        <v>60</v>
      </c>
      <c r="J34" t="s">
        <v>121</v>
      </c>
      <c r="K34" s="1">
        <v>45901</v>
      </c>
      <c r="L34" s="3">
        <v>0.21</v>
      </c>
      <c r="M34" t="s">
        <v>54</v>
      </c>
      <c r="N34" s="1">
        <v>46204</v>
      </c>
      <c r="O34">
        <v>1</v>
      </c>
      <c r="P34">
        <v>0</v>
      </c>
      <c r="Q34">
        <v>0</v>
      </c>
      <c r="R34">
        <v>147.65</v>
      </c>
      <c r="S34" t="s">
        <v>70</v>
      </c>
      <c r="T34">
        <v>31</v>
      </c>
      <c r="V34">
        <v>31</v>
      </c>
      <c r="W34" t="s">
        <v>167</v>
      </c>
    </row>
    <row r="38" spans="1:23" s="4" customFormat="1" x14ac:dyDescent="0.25">
      <c r="A38" s="14">
        <v>19491313</v>
      </c>
      <c r="B38" s="14"/>
      <c r="C38" s="14"/>
      <c r="D38" s="4" t="s">
        <v>138</v>
      </c>
      <c r="E38" s="4" t="s">
        <v>139</v>
      </c>
      <c r="F38" s="4" t="s">
        <v>47</v>
      </c>
      <c r="G38" s="4" t="s">
        <v>140</v>
      </c>
      <c r="I38" s="4" t="s">
        <v>49</v>
      </c>
      <c r="J38" s="4" t="s">
        <v>142</v>
      </c>
      <c r="K38" s="5">
        <v>46174</v>
      </c>
      <c r="L38" s="6">
        <v>57.84</v>
      </c>
      <c r="M38" s="4" t="s">
        <v>54</v>
      </c>
      <c r="N38" s="5">
        <v>46054</v>
      </c>
      <c r="O38" s="4">
        <v>1</v>
      </c>
      <c r="P38" s="4">
        <v>0</v>
      </c>
      <c r="Q38" s="4">
        <v>144.6</v>
      </c>
      <c r="R38" s="4">
        <v>0</v>
      </c>
      <c r="T38" s="4">
        <v>57.84</v>
      </c>
      <c r="U38" s="4" t="s">
        <v>55</v>
      </c>
    </row>
    <row r="39" spans="1:23" s="4" customFormat="1" x14ac:dyDescent="0.25">
      <c r="A39" s="14">
        <v>19491313</v>
      </c>
      <c r="B39" s="14"/>
      <c r="C39" s="14"/>
      <c r="D39" s="4" t="s">
        <v>138</v>
      </c>
      <c r="E39" s="4" t="s">
        <v>139</v>
      </c>
      <c r="F39" s="4" t="s">
        <v>47</v>
      </c>
      <c r="G39" s="4" t="s">
        <v>140</v>
      </c>
      <c r="I39" s="4" t="s">
        <v>49</v>
      </c>
      <c r="J39" s="4" t="s">
        <v>142</v>
      </c>
      <c r="K39" s="5">
        <v>46174</v>
      </c>
      <c r="L39" s="6">
        <v>57.84</v>
      </c>
      <c r="M39" s="4" t="s">
        <v>54</v>
      </c>
      <c r="N39" s="5">
        <v>46082</v>
      </c>
      <c r="O39" s="4">
        <v>1</v>
      </c>
      <c r="P39" s="4">
        <v>0</v>
      </c>
      <c r="Q39" s="4">
        <v>144.6</v>
      </c>
      <c r="R39" s="4">
        <v>0</v>
      </c>
      <c r="T39" s="4">
        <v>57.84</v>
      </c>
      <c r="U39" s="4" t="s">
        <v>55</v>
      </c>
    </row>
    <row r="40" spans="1:23" s="4" customFormat="1" x14ac:dyDescent="0.25">
      <c r="A40" s="14">
        <v>19491313</v>
      </c>
      <c r="B40" s="14"/>
      <c r="C40" s="14"/>
      <c r="D40" s="4" t="s">
        <v>138</v>
      </c>
      <c r="E40" s="4" t="s">
        <v>139</v>
      </c>
      <c r="F40" s="4" t="s">
        <v>47</v>
      </c>
      <c r="G40" s="4" t="s">
        <v>140</v>
      </c>
      <c r="I40" s="4" t="s">
        <v>49</v>
      </c>
      <c r="J40" s="4" t="s">
        <v>142</v>
      </c>
      <c r="K40" s="5">
        <v>46174</v>
      </c>
      <c r="L40" s="6">
        <v>57.84</v>
      </c>
      <c r="M40" s="4" t="s">
        <v>54</v>
      </c>
      <c r="N40" s="5">
        <v>46113</v>
      </c>
      <c r="O40" s="4">
        <v>1</v>
      </c>
      <c r="P40" s="4">
        <v>0</v>
      </c>
      <c r="Q40" s="4">
        <v>144.6</v>
      </c>
      <c r="R40" s="4">
        <v>0</v>
      </c>
      <c r="T40" s="4">
        <v>57.84</v>
      </c>
      <c r="U40" s="4" t="s">
        <v>55</v>
      </c>
    </row>
    <row r="41" spans="1:23" s="4" customFormat="1" x14ac:dyDescent="0.25">
      <c r="A41" s="14">
        <v>19491313</v>
      </c>
      <c r="B41" s="14"/>
      <c r="C41" s="14"/>
      <c r="D41" s="4" t="s">
        <v>138</v>
      </c>
      <c r="E41" s="4" t="s">
        <v>139</v>
      </c>
      <c r="F41" s="4" t="s">
        <v>47</v>
      </c>
      <c r="G41" s="4" t="s">
        <v>140</v>
      </c>
      <c r="I41" s="4" t="s">
        <v>49</v>
      </c>
      <c r="J41" s="4" t="s">
        <v>142</v>
      </c>
      <c r="K41" s="5">
        <v>46174</v>
      </c>
      <c r="L41" s="6">
        <v>57.84</v>
      </c>
      <c r="M41" s="4" t="s">
        <v>54</v>
      </c>
      <c r="N41" s="5">
        <v>46143</v>
      </c>
      <c r="O41" s="4">
        <v>1</v>
      </c>
      <c r="P41" s="4">
        <v>0</v>
      </c>
      <c r="Q41" s="4">
        <v>144.6</v>
      </c>
      <c r="R41" s="4">
        <v>0</v>
      </c>
      <c r="T41" s="4">
        <v>57.84</v>
      </c>
      <c r="U41" s="4" t="s">
        <v>55</v>
      </c>
    </row>
    <row r="42" spans="1:23" s="4" customFormat="1" x14ac:dyDescent="0.25">
      <c r="A42" s="14">
        <v>19491313</v>
      </c>
      <c r="B42" s="14"/>
      <c r="C42" s="14"/>
      <c r="D42" s="4" t="s">
        <v>138</v>
      </c>
      <c r="E42" s="4" t="s">
        <v>139</v>
      </c>
      <c r="F42" s="4" t="s">
        <v>47</v>
      </c>
      <c r="G42" s="4" t="s">
        <v>140</v>
      </c>
      <c r="I42" s="4" t="s">
        <v>49</v>
      </c>
      <c r="J42" s="4" t="s">
        <v>142</v>
      </c>
      <c r="K42" s="5">
        <v>46174</v>
      </c>
      <c r="L42" s="6">
        <v>57.84</v>
      </c>
      <c r="M42" s="4" t="s">
        <v>54</v>
      </c>
      <c r="N42" s="5">
        <v>46174</v>
      </c>
      <c r="O42" s="4">
        <v>1</v>
      </c>
      <c r="P42" s="4">
        <v>0</v>
      </c>
      <c r="Q42" s="4">
        <v>144.6</v>
      </c>
      <c r="R42" s="4">
        <v>0</v>
      </c>
      <c r="T42" s="4">
        <v>57.84</v>
      </c>
      <c r="U42" s="4" t="s">
        <v>55</v>
      </c>
    </row>
    <row r="43" spans="1:23" s="4" customFormat="1" x14ac:dyDescent="0.25">
      <c r="A43" s="14">
        <v>19491313</v>
      </c>
      <c r="B43" s="14"/>
      <c r="C43" s="14"/>
      <c r="D43" s="4" t="s">
        <v>138</v>
      </c>
      <c r="E43" s="4" t="s">
        <v>139</v>
      </c>
      <c r="F43" s="4" t="s">
        <v>47</v>
      </c>
      <c r="G43" s="4" t="s">
        <v>140</v>
      </c>
      <c r="I43" s="4" t="s">
        <v>49</v>
      </c>
      <c r="J43" s="4" t="s">
        <v>142</v>
      </c>
      <c r="K43" s="5">
        <v>46174</v>
      </c>
      <c r="L43" s="6">
        <v>57.84</v>
      </c>
      <c r="M43" s="4" t="s">
        <v>54</v>
      </c>
      <c r="N43" s="5">
        <v>46204</v>
      </c>
      <c r="O43" s="4">
        <v>1</v>
      </c>
      <c r="P43" s="4">
        <v>0</v>
      </c>
      <c r="Q43" s="4">
        <v>144.6</v>
      </c>
      <c r="R43" s="4">
        <v>0</v>
      </c>
      <c r="T43" s="4">
        <v>57.84</v>
      </c>
      <c r="U43" s="4" t="s">
        <v>55</v>
      </c>
    </row>
    <row r="44" spans="1:23" s="4" customFormat="1" x14ac:dyDescent="0.25">
      <c r="A44" s="14">
        <v>19491313</v>
      </c>
      <c r="B44" s="14"/>
      <c r="C44" s="14"/>
      <c r="D44" s="4" t="s">
        <v>138</v>
      </c>
      <c r="E44" s="4" t="s">
        <v>139</v>
      </c>
      <c r="F44" s="4" t="s">
        <v>47</v>
      </c>
      <c r="G44" s="4" t="s">
        <v>140</v>
      </c>
      <c r="I44" s="4" t="s">
        <v>49</v>
      </c>
      <c r="J44" s="4" t="s">
        <v>142</v>
      </c>
      <c r="K44" s="5">
        <v>46174</v>
      </c>
      <c r="L44" s="6">
        <v>57.84</v>
      </c>
      <c r="M44" s="4" t="s">
        <v>54</v>
      </c>
      <c r="N44" s="5">
        <v>46235</v>
      </c>
      <c r="O44" s="4">
        <v>1</v>
      </c>
      <c r="P44" s="4">
        <v>0</v>
      </c>
      <c r="Q44" s="4">
        <v>144.6</v>
      </c>
      <c r="R44" s="4">
        <v>0</v>
      </c>
      <c r="T44" s="4">
        <v>57.84</v>
      </c>
      <c r="U44" s="4" t="s">
        <v>55</v>
      </c>
    </row>
    <row r="45" spans="1:23" s="4" customFormat="1" x14ac:dyDescent="0.25">
      <c r="A45" s="14">
        <v>19491313</v>
      </c>
      <c r="B45" s="14"/>
      <c r="C45" s="14"/>
      <c r="D45" s="4" t="s">
        <v>138</v>
      </c>
      <c r="E45" s="4" t="s">
        <v>139</v>
      </c>
      <c r="F45" s="4" t="s">
        <v>47</v>
      </c>
      <c r="G45" s="4" t="s">
        <v>140</v>
      </c>
      <c r="I45" s="4" t="s">
        <v>49</v>
      </c>
      <c r="J45" s="4" t="s">
        <v>142</v>
      </c>
      <c r="K45" s="5">
        <v>46174</v>
      </c>
      <c r="L45" s="6">
        <v>57.84</v>
      </c>
      <c r="M45" s="4" t="s">
        <v>54</v>
      </c>
      <c r="N45" s="5">
        <v>46266</v>
      </c>
      <c r="O45" s="4">
        <v>1</v>
      </c>
      <c r="P45" s="4">
        <v>0</v>
      </c>
      <c r="Q45" s="4">
        <v>144.6</v>
      </c>
      <c r="R45" s="4">
        <v>0</v>
      </c>
      <c r="T45" s="4">
        <v>57.84</v>
      </c>
      <c r="U45" s="4" t="s">
        <v>55</v>
      </c>
    </row>
    <row r="46" spans="1:23" s="4" customFormat="1" x14ac:dyDescent="0.25">
      <c r="A46" s="14">
        <v>19491313</v>
      </c>
      <c r="B46" s="14"/>
      <c r="C46" s="14"/>
      <c r="D46" s="4" t="s">
        <v>138</v>
      </c>
      <c r="E46" s="4" t="s">
        <v>139</v>
      </c>
      <c r="F46" s="4" t="s">
        <v>47</v>
      </c>
      <c r="G46" s="4" t="s">
        <v>140</v>
      </c>
      <c r="I46" s="4" t="s">
        <v>49</v>
      </c>
      <c r="J46" s="4" t="s">
        <v>142</v>
      </c>
      <c r="K46" s="5">
        <v>46174</v>
      </c>
      <c r="L46" s="6">
        <v>57.84</v>
      </c>
      <c r="M46" s="4" t="s">
        <v>54</v>
      </c>
      <c r="N46" s="5">
        <v>46296</v>
      </c>
      <c r="O46" s="4">
        <v>1</v>
      </c>
      <c r="P46" s="4">
        <v>0</v>
      </c>
      <c r="Q46" s="4">
        <v>144.6</v>
      </c>
      <c r="R46" s="4">
        <v>0</v>
      </c>
      <c r="T46" s="4">
        <v>57.84</v>
      </c>
      <c r="U46" s="4" t="s">
        <v>55</v>
      </c>
    </row>
    <row r="47" spans="1:23" s="4" customFormat="1" x14ac:dyDescent="0.25">
      <c r="A47" s="14">
        <v>19491313</v>
      </c>
      <c r="B47" s="14"/>
      <c r="C47" s="14"/>
      <c r="D47" s="4" t="s">
        <v>138</v>
      </c>
      <c r="E47" s="4" t="s">
        <v>139</v>
      </c>
      <c r="F47" s="4" t="s">
        <v>47</v>
      </c>
      <c r="G47" s="4" t="s">
        <v>140</v>
      </c>
      <c r="I47" s="4" t="s">
        <v>49</v>
      </c>
      <c r="J47" s="4" t="s">
        <v>142</v>
      </c>
      <c r="K47" s="5">
        <v>46174</v>
      </c>
      <c r="L47" s="6">
        <v>57.84</v>
      </c>
      <c r="M47" s="4" t="s">
        <v>54</v>
      </c>
      <c r="N47" s="5">
        <v>46327</v>
      </c>
      <c r="O47" s="4">
        <v>1</v>
      </c>
      <c r="P47" s="4">
        <v>0</v>
      </c>
      <c r="Q47" s="4">
        <v>144.6</v>
      </c>
      <c r="R47" s="4">
        <v>0</v>
      </c>
      <c r="T47" s="4">
        <v>57.84</v>
      </c>
      <c r="U47" s="4" t="s">
        <v>55</v>
      </c>
    </row>
    <row r="48" spans="1:23" s="4" customFormat="1" x14ac:dyDescent="0.25">
      <c r="A48" s="14">
        <v>19491313</v>
      </c>
      <c r="B48" s="14"/>
      <c r="C48" s="14"/>
      <c r="D48" s="4" t="s">
        <v>138</v>
      </c>
      <c r="E48" s="4" t="s">
        <v>139</v>
      </c>
      <c r="F48" s="4" t="s">
        <v>47</v>
      </c>
      <c r="G48" s="4" t="s">
        <v>140</v>
      </c>
      <c r="I48" s="4" t="s">
        <v>49</v>
      </c>
      <c r="J48" s="4" t="s">
        <v>142</v>
      </c>
      <c r="K48" s="5">
        <v>46174</v>
      </c>
      <c r="L48" s="6">
        <v>57.84</v>
      </c>
      <c r="M48" s="4" t="s">
        <v>54</v>
      </c>
      <c r="N48" s="5">
        <v>46357</v>
      </c>
      <c r="O48" s="4">
        <v>1</v>
      </c>
      <c r="P48" s="4">
        <v>0</v>
      </c>
      <c r="Q48" s="4">
        <v>144.6</v>
      </c>
      <c r="R48" s="4">
        <v>0</v>
      </c>
      <c r="T48" s="4">
        <v>57.84</v>
      </c>
      <c r="U48" s="4" t="s">
        <v>55</v>
      </c>
    </row>
    <row r="49" spans="1:21" s="4" customFormat="1" x14ac:dyDescent="0.25">
      <c r="A49" s="14">
        <v>19491313</v>
      </c>
      <c r="B49" s="14"/>
      <c r="C49" s="14"/>
      <c r="D49" s="4" t="s">
        <v>138</v>
      </c>
      <c r="E49" s="4" t="s">
        <v>139</v>
      </c>
      <c r="F49" s="4" t="s">
        <v>47</v>
      </c>
      <c r="G49" s="4" t="s">
        <v>140</v>
      </c>
      <c r="I49" s="4" t="s">
        <v>49</v>
      </c>
      <c r="J49" s="4" t="s">
        <v>142</v>
      </c>
      <c r="K49" s="5">
        <v>46174</v>
      </c>
      <c r="L49" s="6">
        <v>28.92</v>
      </c>
      <c r="M49" s="4" t="s">
        <v>54</v>
      </c>
      <c r="N49" s="5">
        <v>46204</v>
      </c>
      <c r="O49" s="4" t="s">
        <v>57</v>
      </c>
      <c r="P49" s="4">
        <v>0</v>
      </c>
      <c r="Q49" s="4">
        <v>144.6</v>
      </c>
      <c r="R49" s="4">
        <v>0</v>
      </c>
      <c r="T49" s="4">
        <v>-28.92</v>
      </c>
    </row>
    <row r="50" spans="1:21" s="4" customFormat="1" x14ac:dyDescent="0.25">
      <c r="A50" s="14">
        <v>19491313</v>
      </c>
      <c r="B50" s="14"/>
      <c r="C50" s="14"/>
      <c r="D50" s="4" t="s">
        <v>138</v>
      </c>
      <c r="E50" s="4" t="s">
        <v>139</v>
      </c>
      <c r="F50" s="4" t="s">
        <v>47</v>
      </c>
      <c r="G50" s="4" t="s">
        <v>140</v>
      </c>
      <c r="I50" s="4" t="s">
        <v>49</v>
      </c>
      <c r="J50" s="4" t="s">
        <v>142</v>
      </c>
      <c r="K50" s="5">
        <v>46174</v>
      </c>
      <c r="L50" s="6">
        <v>28.92</v>
      </c>
      <c r="M50" s="4" t="s">
        <v>54</v>
      </c>
      <c r="N50" s="5">
        <v>46235</v>
      </c>
      <c r="O50" s="4" t="s">
        <v>57</v>
      </c>
      <c r="P50" s="4">
        <v>0</v>
      </c>
      <c r="Q50" s="4">
        <v>144.6</v>
      </c>
      <c r="R50" s="4">
        <v>0</v>
      </c>
      <c r="T50" s="4">
        <v>-28.92</v>
      </c>
    </row>
    <row r="51" spans="1:21" s="4" customFormat="1" x14ac:dyDescent="0.25">
      <c r="A51" s="14">
        <v>19491313</v>
      </c>
      <c r="B51" s="14"/>
      <c r="C51" s="14"/>
      <c r="D51" s="4" t="s">
        <v>138</v>
      </c>
      <c r="E51" s="4" t="s">
        <v>139</v>
      </c>
      <c r="F51" s="4" t="s">
        <v>47</v>
      </c>
      <c r="G51" s="4" t="s">
        <v>140</v>
      </c>
      <c r="I51" s="4" t="s">
        <v>49</v>
      </c>
      <c r="J51" s="4" t="s">
        <v>142</v>
      </c>
      <c r="K51" s="5">
        <v>46174</v>
      </c>
      <c r="L51" s="6">
        <v>28.92</v>
      </c>
      <c r="M51" s="4" t="s">
        <v>54</v>
      </c>
      <c r="N51" s="5">
        <v>46266</v>
      </c>
      <c r="O51" s="4" t="s">
        <v>57</v>
      </c>
      <c r="P51" s="4">
        <v>0</v>
      </c>
      <c r="Q51" s="4">
        <v>144.6</v>
      </c>
      <c r="R51" s="4">
        <v>0</v>
      </c>
      <c r="T51" s="4">
        <v>-28.92</v>
      </c>
    </row>
    <row r="52" spans="1:21" s="4" customFormat="1" x14ac:dyDescent="0.25">
      <c r="A52" s="14">
        <v>19491313</v>
      </c>
      <c r="B52" s="14"/>
      <c r="C52" s="14"/>
      <c r="D52" s="4" t="s">
        <v>138</v>
      </c>
      <c r="E52" s="4" t="s">
        <v>139</v>
      </c>
      <c r="F52" s="4" t="s">
        <v>47</v>
      </c>
      <c r="G52" s="4" t="s">
        <v>140</v>
      </c>
      <c r="I52" s="4" t="s">
        <v>49</v>
      </c>
      <c r="J52" s="4" t="s">
        <v>142</v>
      </c>
      <c r="K52" s="5">
        <v>46174</v>
      </c>
      <c r="L52" s="6">
        <v>28.92</v>
      </c>
      <c r="M52" s="4" t="s">
        <v>54</v>
      </c>
      <c r="N52" s="5">
        <v>46296</v>
      </c>
      <c r="O52" s="4" t="s">
        <v>57</v>
      </c>
      <c r="P52" s="4">
        <v>0</v>
      </c>
      <c r="Q52" s="4">
        <v>144.6</v>
      </c>
      <c r="R52" s="4">
        <v>0</v>
      </c>
      <c r="T52" s="4">
        <v>-28.92</v>
      </c>
    </row>
    <row r="53" spans="1:21" s="4" customFormat="1" x14ac:dyDescent="0.25">
      <c r="A53" s="14">
        <v>19491313</v>
      </c>
      <c r="B53" s="14"/>
      <c r="C53" s="14"/>
      <c r="D53" s="4" t="s">
        <v>138</v>
      </c>
      <c r="E53" s="4" t="s">
        <v>139</v>
      </c>
      <c r="F53" s="4" t="s">
        <v>47</v>
      </c>
      <c r="G53" s="4" t="s">
        <v>140</v>
      </c>
      <c r="I53" s="4" t="s">
        <v>49</v>
      </c>
      <c r="J53" s="4" t="s">
        <v>142</v>
      </c>
      <c r="K53" s="5">
        <v>46174</v>
      </c>
      <c r="L53" s="6">
        <v>28.92</v>
      </c>
      <c r="M53" s="4" t="s">
        <v>54</v>
      </c>
      <c r="N53" s="5">
        <v>46327</v>
      </c>
      <c r="O53" s="4" t="s">
        <v>57</v>
      </c>
      <c r="P53" s="4">
        <v>0</v>
      </c>
      <c r="Q53" s="4">
        <v>144.6</v>
      </c>
      <c r="R53" s="4">
        <v>0</v>
      </c>
      <c r="T53" s="4">
        <v>-28.92</v>
      </c>
    </row>
    <row r="54" spans="1:21" s="4" customFormat="1" x14ac:dyDescent="0.25">
      <c r="A54" s="14">
        <v>19491313</v>
      </c>
      <c r="B54" s="14"/>
      <c r="C54" s="14"/>
      <c r="D54" s="4" t="s">
        <v>138</v>
      </c>
      <c r="E54" s="4" t="s">
        <v>139</v>
      </c>
      <c r="F54" s="4" t="s">
        <v>47</v>
      </c>
      <c r="G54" s="4" t="s">
        <v>140</v>
      </c>
      <c r="I54" s="4" t="s">
        <v>49</v>
      </c>
      <c r="J54" s="4" t="s">
        <v>142</v>
      </c>
      <c r="K54" s="5">
        <v>46174</v>
      </c>
      <c r="L54" s="6">
        <v>28.92</v>
      </c>
      <c r="M54" s="4" t="s">
        <v>54</v>
      </c>
      <c r="N54" s="5">
        <v>46357</v>
      </c>
      <c r="O54" s="4" t="s">
        <v>57</v>
      </c>
      <c r="P54" s="4">
        <v>0</v>
      </c>
      <c r="Q54" s="4">
        <v>144.6</v>
      </c>
      <c r="R54" s="4">
        <v>0</v>
      </c>
      <c r="T54" s="4">
        <v>-28.92</v>
      </c>
    </row>
    <row r="55" spans="1:21" s="4" customFormat="1" x14ac:dyDescent="0.25">
      <c r="A55" s="14">
        <v>9079571</v>
      </c>
      <c r="B55" s="14"/>
      <c r="C55" s="14"/>
      <c r="D55" s="4" t="s">
        <v>161</v>
      </c>
      <c r="E55" s="4" t="s">
        <v>162</v>
      </c>
      <c r="F55" s="4" t="s">
        <v>47</v>
      </c>
      <c r="G55" s="4" t="s">
        <v>163</v>
      </c>
      <c r="I55" s="4" t="s">
        <v>49</v>
      </c>
      <c r="J55" s="4" t="s">
        <v>164</v>
      </c>
      <c r="K55" s="5">
        <v>46174</v>
      </c>
      <c r="L55" s="6">
        <v>52.17</v>
      </c>
      <c r="M55" s="4" t="s">
        <v>54</v>
      </c>
      <c r="N55" s="5">
        <v>46054</v>
      </c>
      <c r="O55" s="4">
        <v>1</v>
      </c>
      <c r="P55" s="4">
        <v>0</v>
      </c>
      <c r="Q55" s="4">
        <v>144.6</v>
      </c>
      <c r="R55" s="4">
        <v>0</v>
      </c>
      <c r="T55" s="4">
        <v>52.17</v>
      </c>
      <c r="U55" s="4" t="s">
        <v>55</v>
      </c>
    </row>
    <row r="56" spans="1:21" s="4" customFormat="1" x14ac:dyDescent="0.25">
      <c r="A56" s="14">
        <v>9079571</v>
      </c>
      <c r="B56" s="14"/>
      <c r="C56" s="14"/>
      <c r="D56" s="4" t="s">
        <v>161</v>
      </c>
      <c r="E56" s="4" t="s">
        <v>162</v>
      </c>
      <c r="F56" s="4" t="s">
        <v>47</v>
      </c>
      <c r="G56" s="4" t="s">
        <v>163</v>
      </c>
      <c r="I56" s="4" t="s">
        <v>49</v>
      </c>
      <c r="J56" s="4" t="s">
        <v>164</v>
      </c>
      <c r="K56" s="5">
        <v>46174</v>
      </c>
      <c r="L56" s="6">
        <v>52.17</v>
      </c>
      <c r="M56" s="4" t="s">
        <v>54</v>
      </c>
      <c r="N56" s="5">
        <v>46082</v>
      </c>
      <c r="O56" s="4">
        <v>1</v>
      </c>
      <c r="P56" s="4">
        <v>0</v>
      </c>
      <c r="Q56" s="4">
        <v>144.6</v>
      </c>
      <c r="R56" s="4">
        <v>0</v>
      </c>
      <c r="T56" s="4">
        <v>52.17</v>
      </c>
      <c r="U56" s="4" t="s">
        <v>55</v>
      </c>
    </row>
    <row r="57" spans="1:21" s="4" customFormat="1" x14ac:dyDescent="0.25">
      <c r="A57" s="14">
        <v>9079571</v>
      </c>
      <c r="B57" s="14"/>
      <c r="C57" s="14"/>
      <c r="D57" s="4" t="s">
        <v>161</v>
      </c>
      <c r="E57" s="4" t="s">
        <v>162</v>
      </c>
      <c r="F57" s="4" t="s">
        <v>47</v>
      </c>
      <c r="G57" s="4" t="s">
        <v>163</v>
      </c>
      <c r="I57" s="4" t="s">
        <v>49</v>
      </c>
      <c r="J57" s="4" t="s">
        <v>164</v>
      </c>
      <c r="K57" s="5">
        <v>46174</v>
      </c>
      <c r="L57" s="6">
        <v>52.17</v>
      </c>
      <c r="M57" s="4" t="s">
        <v>54</v>
      </c>
      <c r="N57" s="5">
        <v>46113</v>
      </c>
      <c r="O57" s="4">
        <v>1</v>
      </c>
      <c r="P57" s="4">
        <v>0</v>
      </c>
      <c r="Q57" s="4">
        <v>144.6</v>
      </c>
      <c r="R57" s="4">
        <v>0</v>
      </c>
      <c r="T57" s="4">
        <v>52.17</v>
      </c>
      <c r="U57" s="4" t="s">
        <v>55</v>
      </c>
    </row>
    <row r="58" spans="1:21" s="4" customFormat="1" x14ac:dyDescent="0.25">
      <c r="A58" s="14">
        <v>9079571</v>
      </c>
      <c r="B58" s="14"/>
      <c r="C58" s="14"/>
      <c r="D58" s="4" t="s">
        <v>161</v>
      </c>
      <c r="E58" s="4" t="s">
        <v>162</v>
      </c>
      <c r="F58" s="4" t="s">
        <v>47</v>
      </c>
      <c r="G58" s="4" t="s">
        <v>163</v>
      </c>
      <c r="I58" s="4" t="s">
        <v>49</v>
      </c>
      <c r="J58" s="4" t="s">
        <v>164</v>
      </c>
      <c r="K58" s="5">
        <v>46174</v>
      </c>
      <c r="L58" s="6">
        <v>52.17</v>
      </c>
      <c r="M58" s="4" t="s">
        <v>54</v>
      </c>
      <c r="N58" s="5">
        <v>46143</v>
      </c>
      <c r="O58" s="4">
        <v>1</v>
      </c>
      <c r="P58" s="4">
        <v>0</v>
      </c>
      <c r="Q58" s="4">
        <v>144.6</v>
      </c>
      <c r="R58" s="4">
        <v>0</v>
      </c>
      <c r="T58" s="4">
        <v>52.17</v>
      </c>
      <c r="U58" s="4" t="s">
        <v>55</v>
      </c>
    </row>
    <row r="59" spans="1:21" s="4" customFormat="1" x14ac:dyDescent="0.25">
      <c r="A59" s="14">
        <v>9079571</v>
      </c>
      <c r="B59" s="14"/>
      <c r="C59" s="14"/>
      <c r="D59" s="4" t="s">
        <v>161</v>
      </c>
      <c r="E59" s="4" t="s">
        <v>162</v>
      </c>
      <c r="F59" s="4" t="s">
        <v>47</v>
      </c>
      <c r="G59" s="4" t="s">
        <v>163</v>
      </c>
      <c r="I59" s="4" t="s">
        <v>49</v>
      </c>
      <c r="J59" s="4" t="s">
        <v>164</v>
      </c>
      <c r="K59" s="5">
        <v>46174</v>
      </c>
      <c r="L59" s="6">
        <v>52.17</v>
      </c>
      <c r="M59" s="4" t="s">
        <v>54</v>
      </c>
      <c r="N59" s="5">
        <v>46174</v>
      </c>
      <c r="O59" s="4">
        <v>1</v>
      </c>
      <c r="P59" s="4">
        <v>0</v>
      </c>
      <c r="Q59" s="4">
        <v>144.6</v>
      </c>
      <c r="R59" s="4">
        <v>0</v>
      </c>
      <c r="T59" s="4">
        <v>52.17</v>
      </c>
      <c r="U59" s="4" t="s">
        <v>55</v>
      </c>
    </row>
    <row r="60" spans="1:21" s="4" customFormat="1" x14ac:dyDescent="0.25">
      <c r="A60" s="14">
        <v>9079571</v>
      </c>
      <c r="B60" s="14"/>
      <c r="C60" s="14"/>
      <c r="D60" s="4" t="s">
        <v>161</v>
      </c>
      <c r="E60" s="4" t="s">
        <v>162</v>
      </c>
      <c r="F60" s="4" t="s">
        <v>47</v>
      </c>
      <c r="G60" s="4" t="s">
        <v>163</v>
      </c>
      <c r="I60" s="4" t="s">
        <v>49</v>
      </c>
      <c r="J60" s="4" t="s">
        <v>164</v>
      </c>
      <c r="K60" s="5">
        <v>46174</v>
      </c>
      <c r="L60" s="6">
        <v>52.17</v>
      </c>
      <c r="M60" s="4" t="s">
        <v>54</v>
      </c>
      <c r="N60" s="5">
        <v>46204</v>
      </c>
      <c r="O60" s="4">
        <v>1</v>
      </c>
      <c r="P60" s="4">
        <v>0</v>
      </c>
      <c r="Q60" s="4">
        <v>144.6</v>
      </c>
      <c r="R60" s="4">
        <v>0</v>
      </c>
      <c r="T60" s="4">
        <v>52.17</v>
      </c>
      <c r="U60" s="4" t="s">
        <v>55</v>
      </c>
    </row>
    <row r="61" spans="1:21" s="4" customFormat="1" x14ac:dyDescent="0.25">
      <c r="A61" s="14">
        <v>9079571</v>
      </c>
      <c r="B61" s="14"/>
      <c r="C61" s="14"/>
      <c r="D61" s="4" t="s">
        <v>161</v>
      </c>
      <c r="E61" s="4" t="s">
        <v>162</v>
      </c>
      <c r="F61" s="4" t="s">
        <v>47</v>
      </c>
      <c r="G61" s="4" t="s">
        <v>163</v>
      </c>
      <c r="I61" s="4" t="s">
        <v>49</v>
      </c>
      <c r="J61" s="4" t="s">
        <v>164</v>
      </c>
      <c r="K61" s="5">
        <v>46174</v>
      </c>
      <c r="L61" s="6">
        <v>52.17</v>
      </c>
      <c r="M61" s="4" t="s">
        <v>54</v>
      </c>
      <c r="N61" s="5">
        <v>46235</v>
      </c>
      <c r="O61" s="4">
        <v>1</v>
      </c>
      <c r="P61" s="4">
        <v>0</v>
      </c>
      <c r="Q61" s="4">
        <v>144.6</v>
      </c>
      <c r="R61" s="4">
        <v>0</v>
      </c>
      <c r="T61" s="4">
        <v>52.17</v>
      </c>
      <c r="U61" s="4" t="s">
        <v>55</v>
      </c>
    </row>
    <row r="62" spans="1:21" s="4" customFormat="1" x14ac:dyDescent="0.25">
      <c r="A62" s="14">
        <v>9079571</v>
      </c>
      <c r="B62" s="14"/>
      <c r="C62" s="14"/>
      <c r="D62" s="4" t="s">
        <v>161</v>
      </c>
      <c r="E62" s="4" t="s">
        <v>162</v>
      </c>
      <c r="F62" s="4" t="s">
        <v>47</v>
      </c>
      <c r="G62" s="4" t="s">
        <v>163</v>
      </c>
      <c r="I62" s="4" t="s">
        <v>49</v>
      </c>
      <c r="J62" s="4" t="s">
        <v>164</v>
      </c>
      <c r="K62" s="5">
        <v>46174</v>
      </c>
      <c r="L62" s="6">
        <v>52.17</v>
      </c>
      <c r="M62" s="4" t="s">
        <v>54</v>
      </c>
      <c r="N62" s="5">
        <v>46266</v>
      </c>
      <c r="O62" s="4">
        <v>1</v>
      </c>
      <c r="P62" s="4">
        <v>0</v>
      </c>
      <c r="Q62" s="4">
        <v>144.6</v>
      </c>
      <c r="R62" s="4">
        <v>0</v>
      </c>
      <c r="T62" s="4">
        <v>52.17</v>
      </c>
      <c r="U62" s="4" t="s">
        <v>55</v>
      </c>
    </row>
    <row r="63" spans="1:21" s="4" customFormat="1" x14ac:dyDescent="0.25">
      <c r="A63" s="14">
        <v>9079571</v>
      </c>
      <c r="B63" s="14"/>
      <c r="C63" s="14"/>
      <c r="D63" s="4" t="s">
        <v>161</v>
      </c>
      <c r="E63" s="4" t="s">
        <v>162</v>
      </c>
      <c r="F63" s="4" t="s">
        <v>47</v>
      </c>
      <c r="G63" s="4" t="s">
        <v>163</v>
      </c>
      <c r="I63" s="4" t="s">
        <v>49</v>
      </c>
      <c r="J63" s="4" t="s">
        <v>164</v>
      </c>
      <c r="K63" s="5">
        <v>46174</v>
      </c>
      <c r="L63" s="6">
        <v>52.17</v>
      </c>
      <c r="M63" s="4" t="s">
        <v>54</v>
      </c>
      <c r="N63" s="5">
        <v>46296</v>
      </c>
      <c r="O63" s="4">
        <v>1</v>
      </c>
      <c r="P63" s="4">
        <v>0</v>
      </c>
      <c r="Q63" s="4">
        <v>144.6</v>
      </c>
      <c r="R63" s="4">
        <v>0</v>
      </c>
      <c r="T63" s="4">
        <v>52.17</v>
      </c>
      <c r="U63" s="4" t="s">
        <v>55</v>
      </c>
    </row>
    <row r="64" spans="1:21" s="4" customFormat="1" x14ac:dyDescent="0.25">
      <c r="A64" s="14">
        <v>9079571</v>
      </c>
      <c r="B64" s="14"/>
      <c r="C64" s="14"/>
      <c r="D64" s="4" t="s">
        <v>161</v>
      </c>
      <c r="E64" s="4" t="s">
        <v>162</v>
      </c>
      <c r="F64" s="4" t="s">
        <v>47</v>
      </c>
      <c r="G64" s="4" t="s">
        <v>163</v>
      </c>
      <c r="I64" s="4" t="s">
        <v>49</v>
      </c>
      <c r="J64" s="4" t="s">
        <v>164</v>
      </c>
      <c r="K64" s="5">
        <v>46174</v>
      </c>
      <c r="L64" s="6">
        <v>52.17</v>
      </c>
      <c r="M64" s="4" t="s">
        <v>54</v>
      </c>
      <c r="N64" s="5">
        <v>46327</v>
      </c>
      <c r="O64" s="4">
        <v>1</v>
      </c>
      <c r="P64" s="4">
        <v>0</v>
      </c>
      <c r="Q64" s="4">
        <v>144.6</v>
      </c>
      <c r="R64" s="4">
        <v>0</v>
      </c>
      <c r="T64" s="4">
        <v>52.17</v>
      </c>
      <c r="U64" s="4" t="s">
        <v>55</v>
      </c>
    </row>
    <row r="65" spans="1:21" s="4" customFormat="1" x14ac:dyDescent="0.25">
      <c r="A65" s="14">
        <v>9079571</v>
      </c>
      <c r="B65" s="14"/>
      <c r="C65" s="14"/>
      <c r="D65" s="4" t="s">
        <v>161</v>
      </c>
      <c r="E65" s="4" t="s">
        <v>162</v>
      </c>
      <c r="F65" s="4" t="s">
        <v>47</v>
      </c>
      <c r="G65" s="4" t="s">
        <v>163</v>
      </c>
      <c r="I65" s="4" t="s">
        <v>49</v>
      </c>
      <c r="J65" s="4" t="s">
        <v>164</v>
      </c>
      <c r="K65" s="5">
        <v>46174</v>
      </c>
      <c r="L65" s="6">
        <v>52.17</v>
      </c>
      <c r="M65" s="4" t="s">
        <v>54</v>
      </c>
      <c r="N65" s="5">
        <v>46357</v>
      </c>
      <c r="O65" s="4">
        <v>1</v>
      </c>
      <c r="P65" s="4">
        <v>0</v>
      </c>
      <c r="Q65" s="4">
        <v>144.6</v>
      </c>
      <c r="R65" s="4">
        <v>0</v>
      </c>
      <c r="T65" s="4">
        <v>52.17</v>
      </c>
      <c r="U65" s="4" t="s">
        <v>55</v>
      </c>
    </row>
    <row r="66" spans="1:21" s="4" customFormat="1" x14ac:dyDescent="0.25">
      <c r="A66" s="14">
        <v>9079571</v>
      </c>
      <c r="B66" s="14"/>
      <c r="C66" s="14"/>
      <c r="D66" s="4" t="s">
        <v>161</v>
      </c>
      <c r="E66" s="4" t="s">
        <v>162</v>
      </c>
      <c r="F66" s="4" t="s">
        <v>47</v>
      </c>
      <c r="G66" s="4" t="s">
        <v>163</v>
      </c>
      <c r="I66" s="4" t="s">
        <v>49</v>
      </c>
      <c r="J66" s="4" t="s">
        <v>164</v>
      </c>
      <c r="K66" s="5">
        <v>46174</v>
      </c>
      <c r="L66" s="6">
        <v>28.92</v>
      </c>
      <c r="M66" s="4" t="s">
        <v>54</v>
      </c>
      <c r="N66" s="5">
        <v>46204</v>
      </c>
      <c r="O66" s="4" t="s">
        <v>57</v>
      </c>
      <c r="P66" s="4">
        <v>0</v>
      </c>
      <c r="Q66" s="4">
        <v>144.6</v>
      </c>
      <c r="R66" s="4">
        <v>0</v>
      </c>
      <c r="T66" s="4">
        <v>-28.92</v>
      </c>
    </row>
    <row r="67" spans="1:21" s="4" customFormat="1" x14ac:dyDescent="0.25">
      <c r="A67" s="14">
        <v>9079571</v>
      </c>
      <c r="B67" s="14"/>
      <c r="C67" s="14"/>
      <c r="D67" s="4" t="s">
        <v>161</v>
      </c>
      <c r="E67" s="4" t="s">
        <v>162</v>
      </c>
      <c r="F67" s="4" t="s">
        <v>47</v>
      </c>
      <c r="G67" s="4" t="s">
        <v>163</v>
      </c>
      <c r="I67" s="4" t="s">
        <v>49</v>
      </c>
      <c r="J67" s="4" t="s">
        <v>164</v>
      </c>
      <c r="K67" s="5">
        <v>46174</v>
      </c>
      <c r="L67" s="6">
        <v>28.92</v>
      </c>
      <c r="M67" s="4" t="s">
        <v>54</v>
      </c>
      <c r="N67" s="5">
        <v>46235</v>
      </c>
      <c r="O67" s="4" t="s">
        <v>57</v>
      </c>
      <c r="P67" s="4">
        <v>0</v>
      </c>
      <c r="Q67" s="4">
        <v>144.6</v>
      </c>
      <c r="R67" s="4">
        <v>0</v>
      </c>
      <c r="T67" s="4">
        <v>-28.92</v>
      </c>
    </row>
    <row r="68" spans="1:21" s="4" customFormat="1" x14ac:dyDescent="0.25">
      <c r="A68" s="14">
        <v>9079571</v>
      </c>
      <c r="B68" s="14"/>
      <c r="C68" s="14"/>
      <c r="D68" s="4" t="s">
        <v>161</v>
      </c>
      <c r="E68" s="4" t="s">
        <v>162</v>
      </c>
      <c r="F68" s="4" t="s">
        <v>47</v>
      </c>
      <c r="G68" s="4" t="s">
        <v>163</v>
      </c>
      <c r="I68" s="4" t="s">
        <v>49</v>
      </c>
      <c r="J68" s="4" t="s">
        <v>164</v>
      </c>
      <c r="K68" s="5">
        <v>46174</v>
      </c>
      <c r="L68" s="6">
        <v>28.92</v>
      </c>
      <c r="M68" s="4" t="s">
        <v>54</v>
      </c>
      <c r="N68" s="5">
        <v>46266</v>
      </c>
      <c r="O68" s="4" t="s">
        <v>57</v>
      </c>
      <c r="P68" s="4">
        <v>0</v>
      </c>
      <c r="Q68" s="4">
        <v>144.6</v>
      </c>
      <c r="R68" s="4">
        <v>0</v>
      </c>
      <c r="T68" s="4">
        <v>-28.92</v>
      </c>
    </row>
    <row r="69" spans="1:21" s="4" customFormat="1" x14ac:dyDescent="0.25">
      <c r="A69" s="14">
        <v>9079571</v>
      </c>
      <c r="B69" s="14"/>
      <c r="C69" s="14"/>
      <c r="D69" s="4" t="s">
        <v>161</v>
      </c>
      <c r="E69" s="4" t="s">
        <v>162</v>
      </c>
      <c r="F69" s="4" t="s">
        <v>47</v>
      </c>
      <c r="G69" s="4" t="s">
        <v>163</v>
      </c>
      <c r="I69" s="4" t="s">
        <v>49</v>
      </c>
      <c r="J69" s="4" t="s">
        <v>164</v>
      </c>
      <c r="K69" s="5">
        <v>46174</v>
      </c>
      <c r="L69" s="6">
        <v>28.92</v>
      </c>
      <c r="M69" s="4" t="s">
        <v>54</v>
      </c>
      <c r="N69" s="5">
        <v>46296</v>
      </c>
      <c r="O69" s="4" t="s">
        <v>57</v>
      </c>
      <c r="P69" s="4">
        <v>0</v>
      </c>
      <c r="Q69" s="4">
        <v>144.6</v>
      </c>
      <c r="R69" s="4">
        <v>0</v>
      </c>
      <c r="T69" s="4">
        <v>-28.92</v>
      </c>
    </row>
    <row r="70" spans="1:21" s="4" customFormat="1" x14ac:dyDescent="0.25">
      <c r="A70" s="14">
        <v>9079571</v>
      </c>
      <c r="B70" s="14"/>
      <c r="C70" s="14"/>
      <c r="D70" s="4" t="s">
        <v>161</v>
      </c>
      <c r="E70" s="4" t="s">
        <v>162</v>
      </c>
      <c r="F70" s="4" t="s">
        <v>47</v>
      </c>
      <c r="G70" s="4" t="s">
        <v>163</v>
      </c>
      <c r="I70" s="4" t="s">
        <v>49</v>
      </c>
      <c r="J70" s="4" t="s">
        <v>164</v>
      </c>
      <c r="K70" s="5">
        <v>46174</v>
      </c>
      <c r="L70" s="6">
        <v>28.92</v>
      </c>
      <c r="M70" s="4" t="s">
        <v>54</v>
      </c>
      <c r="N70" s="5">
        <v>46327</v>
      </c>
      <c r="O70" s="4" t="s">
        <v>57</v>
      </c>
      <c r="P70" s="4">
        <v>0</v>
      </c>
      <c r="Q70" s="4">
        <v>144.6</v>
      </c>
      <c r="R70" s="4">
        <v>0</v>
      </c>
      <c r="T70" s="4">
        <v>-28.92</v>
      </c>
    </row>
    <row r="71" spans="1:21" s="4" customFormat="1" x14ac:dyDescent="0.25">
      <c r="A71" s="14">
        <v>9079571</v>
      </c>
      <c r="B71" s="14"/>
      <c r="C71" s="14"/>
      <c r="D71" s="4" t="s">
        <v>161</v>
      </c>
      <c r="E71" s="4" t="s">
        <v>162</v>
      </c>
      <c r="F71" s="4" t="s">
        <v>47</v>
      </c>
      <c r="G71" s="4" t="s">
        <v>163</v>
      </c>
      <c r="I71" s="4" t="s">
        <v>49</v>
      </c>
      <c r="J71" s="4" t="s">
        <v>164</v>
      </c>
      <c r="K71" s="5">
        <v>46174</v>
      </c>
      <c r="L71" s="6">
        <v>28.92</v>
      </c>
      <c r="M71" s="4" t="s">
        <v>54</v>
      </c>
      <c r="N71" s="5">
        <v>46357</v>
      </c>
      <c r="O71" s="4" t="s">
        <v>57</v>
      </c>
      <c r="P71" s="4">
        <v>0</v>
      </c>
      <c r="Q71" s="4">
        <v>144.6</v>
      </c>
      <c r="R71" s="4">
        <v>0</v>
      </c>
      <c r="T71" s="4">
        <v>-28.92</v>
      </c>
    </row>
    <row r="72" spans="1:21" s="4" customFormat="1" x14ac:dyDescent="0.25">
      <c r="A72" s="14">
        <v>16849453</v>
      </c>
      <c r="B72" s="14"/>
      <c r="C72" s="14"/>
      <c r="D72" s="4" t="s">
        <v>71</v>
      </c>
      <c r="E72" s="4" t="s">
        <v>72</v>
      </c>
      <c r="F72" s="4" t="s">
        <v>47</v>
      </c>
      <c r="G72" s="4" t="s">
        <v>83</v>
      </c>
      <c r="I72" s="4" t="s">
        <v>49</v>
      </c>
      <c r="J72" s="4" t="s">
        <v>85</v>
      </c>
      <c r="K72" s="5">
        <v>46204</v>
      </c>
      <c r="L72" s="6">
        <v>52.17</v>
      </c>
      <c r="M72" s="4" t="s">
        <v>54</v>
      </c>
      <c r="N72" s="5">
        <v>46054</v>
      </c>
      <c r="O72" s="4">
        <v>1</v>
      </c>
      <c r="P72" s="4">
        <v>0</v>
      </c>
      <c r="Q72" s="4">
        <v>144.6</v>
      </c>
      <c r="R72" s="4">
        <v>0</v>
      </c>
      <c r="T72" s="4">
        <v>52.17</v>
      </c>
      <c r="U72" s="4" t="s">
        <v>55</v>
      </c>
    </row>
    <row r="73" spans="1:21" s="4" customFormat="1" x14ac:dyDescent="0.25">
      <c r="A73" s="14">
        <v>16849453</v>
      </c>
      <c r="B73" s="14"/>
      <c r="C73" s="14"/>
      <c r="D73" s="4" t="s">
        <v>71</v>
      </c>
      <c r="E73" s="4" t="s">
        <v>72</v>
      </c>
      <c r="F73" s="4" t="s">
        <v>47</v>
      </c>
      <c r="G73" s="4" t="s">
        <v>83</v>
      </c>
      <c r="I73" s="4" t="s">
        <v>49</v>
      </c>
      <c r="J73" s="4" t="s">
        <v>85</v>
      </c>
      <c r="K73" s="5">
        <v>46204</v>
      </c>
      <c r="L73" s="6">
        <v>52.17</v>
      </c>
      <c r="M73" s="4" t="s">
        <v>54</v>
      </c>
      <c r="N73" s="5">
        <v>46082</v>
      </c>
      <c r="O73" s="4">
        <v>1</v>
      </c>
      <c r="P73" s="4">
        <v>0</v>
      </c>
      <c r="Q73" s="4">
        <v>144.6</v>
      </c>
      <c r="R73" s="4">
        <v>0</v>
      </c>
      <c r="T73" s="4">
        <v>52.17</v>
      </c>
      <c r="U73" s="4" t="s">
        <v>55</v>
      </c>
    </row>
    <row r="74" spans="1:21" s="4" customFormat="1" x14ac:dyDescent="0.25">
      <c r="A74" s="14">
        <v>16849453</v>
      </c>
      <c r="B74" s="14"/>
      <c r="C74" s="14"/>
      <c r="D74" s="4" t="s">
        <v>71</v>
      </c>
      <c r="E74" s="4" t="s">
        <v>72</v>
      </c>
      <c r="F74" s="4" t="s">
        <v>47</v>
      </c>
      <c r="G74" s="4" t="s">
        <v>83</v>
      </c>
      <c r="I74" s="4" t="s">
        <v>49</v>
      </c>
      <c r="J74" s="4" t="s">
        <v>85</v>
      </c>
      <c r="K74" s="5">
        <v>46204</v>
      </c>
      <c r="L74" s="6">
        <v>52.17</v>
      </c>
      <c r="M74" s="4" t="s">
        <v>54</v>
      </c>
      <c r="N74" s="5">
        <v>46113</v>
      </c>
      <c r="O74" s="4">
        <v>1</v>
      </c>
      <c r="P74" s="4">
        <v>0</v>
      </c>
      <c r="Q74" s="4">
        <v>144.6</v>
      </c>
      <c r="R74" s="4">
        <v>0</v>
      </c>
      <c r="T74" s="4">
        <v>52.17</v>
      </c>
      <c r="U74" s="4" t="s">
        <v>55</v>
      </c>
    </row>
    <row r="75" spans="1:21" s="4" customFormat="1" x14ac:dyDescent="0.25">
      <c r="A75" s="14">
        <v>16849453</v>
      </c>
      <c r="B75" s="14"/>
      <c r="C75" s="14"/>
      <c r="D75" s="4" t="s">
        <v>71</v>
      </c>
      <c r="E75" s="4" t="s">
        <v>72</v>
      </c>
      <c r="F75" s="4" t="s">
        <v>47</v>
      </c>
      <c r="G75" s="4" t="s">
        <v>83</v>
      </c>
      <c r="I75" s="4" t="s">
        <v>49</v>
      </c>
      <c r="J75" s="4" t="s">
        <v>85</v>
      </c>
      <c r="K75" s="5">
        <v>46204</v>
      </c>
      <c r="L75" s="6">
        <v>52.17</v>
      </c>
      <c r="M75" s="4" t="s">
        <v>54</v>
      </c>
      <c r="N75" s="5">
        <v>46143</v>
      </c>
      <c r="O75" s="4">
        <v>1</v>
      </c>
      <c r="P75" s="4">
        <v>0</v>
      </c>
      <c r="Q75" s="4">
        <v>144.6</v>
      </c>
      <c r="R75" s="4">
        <v>0</v>
      </c>
      <c r="T75" s="4">
        <v>52.17</v>
      </c>
      <c r="U75" s="4" t="s">
        <v>55</v>
      </c>
    </row>
    <row r="76" spans="1:21" s="4" customFormat="1" x14ac:dyDescent="0.25">
      <c r="A76" s="14">
        <v>16849453</v>
      </c>
      <c r="B76" s="14"/>
      <c r="C76" s="14"/>
      <c r="D76" s="4" t="s">
        <v>71</v>
      </c>
      <c r="E76" s="4" t="s">
        <v>72</v>
      </c>
      <c r="F76" s="4" t="s">
        <v>47</v>
      </c>
      <c r="G76" s="4" t="s">
        <v>83</v>
      </c>
      <c r="I76" s="4" t="s">
        <v>49</v>
      </c>
      <c r="J76" s="4" t="s">
        <v>85</v>
      </c>
      <c r="K76" s="5">
        <v>46204</v>
      </c>
      <c r="L76" s="6">
        <v>52.17</v>
      </c>
      <c r="M76" s="4" t="s">
        <v>54</v>
      </c>
      <c r="N76" s="5">
        <v>46174</v>
      </c>
      <c r="O76" s="4">
        <v>1</v>
      </c>
      <c r="P76" s="4">
        <v>0</v>
      </c>
      <c r="Q76" s="4">
        <v>144.6</v>
      </c>
      <c r="R76" s="4">
        <v>0</v>
      </c>
      <c r="T76" s="4">
        <v>52.17</v>
      </c>
      <c r="U76" s="4" t="s">
        <v>55</v>
      </c>
    </row>
    <row r="77" spans="1:21" s="4" customFormat="1" x14ac:dyDescent="0.25">
      <c r="A77" s="14">
        <v>16849453</v>
      </c>
      <c r="B77" s="14"/>
      <c r="C77" s="14"/>
      <c r="D77" s="4" t="s">
        <v>71</v>
      </c>
      <c r="E77" s="4" t="s">
        <v>72</v>
      </c>
      <c r="F77" s="4" t="s">
        <v>47</v>
      </c>
      <c r="G77" s="4" t="s">
        <v>83</v>
      </c>
      <c r="I77" s="4" t="s">
        <v>49</v>
      </c>
      <c r="J77" s="4" t="s">
        <v>85</v>
      </c>
      <c r="K77" s="5">
        <v>46204</v>
      </c>
      <c r="L77" s="6">
        <v>52.17</v>
      </c>
      <c r="M77" s="4" t="s">
        <v>54</v>
      </c>
      <c r="N77" s="5">
        <v>46204</v>
      </c>
      <c r="O77" s="4">
        <v>1</v>
      </c>
      <c r="P77" s="4">
        <v>0</v>
      </c>
      <c r="Q77" s="4">
        <v>144.6</v>
      </c>
      <c r="R77" s="4">
        <v>0</v>
      </c>
      <c r="T77" s="4">
        <v>52.17</v>
      </c>
      <c r="U77" s="4" t="s">
        <v>55</v>
      </c>
    </row>
    <row r="78" spans="1:21" s="4" customFormat="1" x14ac:dyDescent="0.25">
      <c r="A78" s="14">
        <v>16849453</v>
      </c>
      <c r="B78" s="14"/>
      <c r="C78" s="14"/>
      <c r="D78" s="4" t="s">
        <v>71</v>
      </c>
      <c r="E78" s="4" t="s">
        <v>72</v>
      </c>
      <c r="F78" s="4" t="s">
        <v>47</v>
      </c>
      <c r="G78" s="4" t="s">
        <v>83</v>
      </c>
      <c r="I78" s="4" t="s">
        <v>49</v>
      </c>
      <c r="J78" s="4" t="s">
        <v>85</v>
      </c>
      <c r="K78" s="5">
        <v>46204</v>
      </c>
      <c r="L78" s="6">
        <v>52.17</v>
      </c>
      <c r="M78" s="4" t="s">
        <v>54</v>
      </c>
      <c r="N78" s="5">
        <v>46235</v>
      </c>
      <c r="O78" s="4">
        <v>1</v>
      </c>
      <c r="P78" s="4">
        <v>0</v>
      </c>
      <c r="Q78" s="4">
        <v>144.6</v>
      </c>
      <c r="R78" s="4">
        <v>0</v>
      </c>
      <c r="T78" s="4">
        <v>52.17</v>
      </c>
      <c r="U78" s="4" t="s">
        <v>55</v>
      </c>
    </row>
    <row r="79" spans="1:21" s="4" customFormat="1" x14ac:dyDescent="0.25">
      <c r="A79" s="14">
        <v>16849453</v>
      </c>
      <c r="B79" s="14"/>
      <c r="C79" s="14"/>
      <c r="D79" s="4" t="s">
        <v>71</v>
      </c>
      <c r="E79" s="4" t="s">
        <v>72</v>
      </c>
      <c r="F79" s="4" t="s">
        <v>47</v>
      </c>
      <c r="G79" s="4" t="s">
        <v>83</v>
      </c>
      <c r="I79" s="4" t="s">
        <v>49</v>
      </c>
      <c r="J79" s="4" t="s">
        <v>85</v>
      </c>
      <c r="K79" s="5">
        <v>46204</v>
      </c>
      <c r="L79" s="6">
        <v>52.17</v>
      </c>
      <c r="M79" s="4" t="s">
        <v>54</v>
      </c>
      <c r="N79" s="5">
        <v>46266</v>
      </c>
      <c r="O79" s="4">
        <v>1</v>
      </c>
      <c r="P79" s="4">
        <v>0</v>
      </c>
      <c r="Q79" s="4">
        <v>144.6</v>
      </c>
      <c r="R79" s="4">
        <v>0</v>
      </c>
      <c r="T79" s="4">
        <v>52.17</v>
      </c>
      <c r="U79" s="4" t="s">
        <v>55</v>
      </c>
    </row>
    <row r="80" spans="1:21" s="4" customFormat="1" x14ac:dyDescent="0.25">
      <c r="A80" s="14">
        <v>16849453</v>
      </c>
      <c r="B80" s="14"/>
      <c r="C80" s="14"/>
      <c r="D80" s="4" t="s">
        <v>71</v>
      </c>
      <c r="E80" s="4" t="s">
        <v>72</v>
      </c>
      <c r="F80" s="4" t="s">
        <v>47</v>
      </c>
      <c r="G80" s="4" t="s">
        <v>83</v>
      </c>
      <c r="I80" s="4" t="s">
        <v>49</v>
      </c>
      <c r="J80" s="4" t="s">
        <v>85</v>
      </c>
      <c r="K80" s="5">
        <v>46204</v>
      </c>
      <c r="L80" s="6">
        <v>52.17</v>
      </c>
      <c r="M80" s="4" t="s">
        <v>54</v>
      </c>
      <c r="N80" s="5">
        <v>46296</v>
      </c>
      <c r="O80" s="4">
        <v>1</v>
      </c>
      <c r="P80" s="4">
        <v>0</v>
      </c>
      <c r="Q80" s="4">
        <v>144.6</v>
      </c>
      <c r="R80" s="4">
        <v>0</v>
      </c>
      <c r="T80" s="4">
        <v>52.17</v>
      </c>
      <c r="U80" s="4" t="s">
        <v>55</v>
      </c>
    </row>
    <row r="81" spans="1:21" s="4" customFormat="1" x14ac:dyDescent="0.25">
      <c r="A81" s="14">
        <v>16849453</v>
      </c>
      <c r="B81" s="14"/>
      <c r="C81" s="14"/>
      <c r="D81" s="4" t="s">
        <v>71</v>
      </c>
      <c r="E81" s="4" t="s">
        <v>72</v>
      </c>
      <c r="F81" s="4" t="s">
        <v>47</v>
      </c>
      <c r="G81" s="4" t="s">
        <v>83</v>
      </c>
      <c r="I81" s="4" t="s">
        <v>49</v>
      </c>
      <c r="J81" s="4" t="s">
        <v>85</v>
      </c>
      <c r="K81" s="5">
        <v>46204</v>
      </c>
      <c r="L81" s="6">
        <v>52.17</v>
      </c>
      <c r="M81" s="4" t="s">
        <v>54</v>
      </c>
      <c r="N81" s="5">
        <v>46327</v>
      </c>
      <c r="O81" s="4">
        <v>1</v>
      </c>
      <c r="P81" s="4">
        <v>0</v>
      </c>
      <c r="Q81" s="4">
        <v>144.6</v>
      </c>
      <c r="R81" s="4">
        <v>0</v>
      </c>
      <c r="T81" s="4">
        <v>52.17</v>
      </c>
      <c r="U81" s="4" t="s">
        <v>55</v>
      </c>
    </row>
    <row r="82" spans="1:21" s="4" customFormat="1" x14ac:dyDescent="0.25">
      <c r="A82" s="14">
        <v>16849453</v>
      </c>
      <c r="B82" s="14"/>
      <c r="C82" s="14"/>
      <c r="D82" s="4" t="s">
        <v>71</v>
      </c>
      <c r="E82" s="4" t="s">
        <v>72</v>
      </c>
      <c r="F82" s="4" t="s">
        <v>47</v>
      </c>
      <c r="G82" s="4" t="s">
        <v>83</v>
      </c>
      <c r="I82" s="4" t="s">
        <v>49</v>
      </c>
      <c r="J82" s="4" t="s">
        <v>85</v>
      </c>
      <c r="K82" s="5">
        <v>46204</v>
      </c>
      <c r="L82" s="6">
        <v>52.17</v>
      </c>
      <c r="M82" s="4" t="s">
        <v>54</v>
      </c>
      <c r="N82" s="5">
        <v>46357</v>
      </c>
      <c r="O82" s="4">
        <v>1</v>
      </c>
      <c r="P82" s="4">
        <v>0</v>
      </c>
      <c r="Q82" s="4">
        <v>144.6</v>
      </c>
      <c r="R82" s="4">
        <v>0</v>
      </c>
      <c r="T82" s="4">
        <v>52.17</v>
      </c>
      <c r="U82" s="4" t="s">
        <v>55</v>
      </c>
    </row>
    <row r="83" spans="1:21" s="4" customFormat="1" x14ac:dyDescent="0.25">
      <c r="A83" s="14">
        <v>16849453</v>
      </c>
      <c r="B83" s="14"/>
      <c r="C83" s="14"/>
      <c r="D83" s="4" t="s">
        <v>71</v>
      </c>
      <c r="E83" s="4" t="s">
        <v>72</v>
      </c>
      <c r="F83" s="4" t="s">
        <v>47</v>
      </c>
      <c r="G83" s="4" t="s">
        <v>83</v>
      </c>
      <c r="I83" s="4" t="s">
        <v>49</v>
      </c>
      <c r="J83" s="4" t="s">
        <v>85</v>
      </c>
      <c r="K83" s="5">
        <v>46204</v>
      </c>
      <c r="L83" s="6">
        <v>28.92</v>
      </c>
      <c r="M83" s="4" t="s">
        <v>54</v>
      </c>
      <c r="N83" s="5">
        <v>46235</v>
      </c>
      <c r="O83" s="4" t="s">
        <v>57</v>
      </c>
      <c r="P83" s="4">
        <v>0</v>
      </c>
      <c r="Q83" s="4">
        <v>144.6</v>
      </c>
      <c r="R83" s="4">
        <v>0</v>
      </c>
      <c r="T83" s="4">
        <v>-28.92</v>
      </c>
    </row>
    <row r="84" spans="1:21" s="4" customFormat="1" x14ac:dyDescent="0.25">
      <c r="A84" s="14">
        <v>16849453</v>
      </c>
      <c r="B84" s="14"/>
      <c r="C84" s="14"/>
      <c r="D84" s="4" t="s">
        <v>71</v>
      </c>
      <c r="E84" s="4" t="s">
        <v>72</v>
      </c>
      <c r="F84" s="4" t="s">
        <v>47</v>
      </c>
      <c r="G84" s="4" t="s">
        <v>83</v>
      </c>
      <c r="I84" s="4" t="s">
        <v>49</v>
      </c>
      <c r="J84" s="4" t="s">
        <v>85</v>
      </c>
      <c r="K84" s="5">
        <v>46204</v>
      </c>
      <c r="L84" s="6">
        <v>28.92</v>
      </c>
      <c r="M84" s="4" t="s">
        <v>54</v>
      </c>
      <c r="N84" s="5">
        <v>46266</v>
      </c>
      <c r="O84" s="4" t="s">
        <v>57</v>
      </c>
      <c r="P84" s="4">
        <v>0</v>
      </c>
      <c r="Q84" s="4">
        <v>144.6</v>
      </c>
      <c r="R84" s="4">
        <v>0</v>
      </c>
      <c r="T84" s="4">
        <v>-28.92</v>
      </c>
    </row>
    <row r="85" spans="1:21" s="4" customFormat="1" x14ac:dyDescent="0.25">
      <c r="A85" s="14">
        <v>16849453</v>
      </c>
      <c r="B85" s="14"/>
      <c r="C85" s="14"/>
      <c r="D85" s="4" t="s">
        <v>71</v>
      </c>
      <c r="E85" s="4" t="s">
        <v>72</v>
      </c>
      <c r="F85" s="4" t="s">
        <v>47</v>
      </c>
      <c r="G85" s="4" t="s">
        <v>83</v>
      </c>
      <c r="I85" s="4" t="s">
        <v>49</v>
      </c>
      <c r="J85" s="4" t="s">
        <v>85</v>
      </c>
      <c r="K85" s="5">
        <v>46204</v>
      </c>
      <c r="L85" s="6">
        <v>28.92</v>
      </c>
      <c r="M85" s="4" t="s">
        <v>54</v>
      </c>
      <c r="N85" s="5">
        <v>46296</v>
      </c>
      <c r="O85" s="4" t="s">
        <v>57</v>
      </c>
      <c r="P85" s="4">
        <v>0</v>
      </c>
      <c r="Q85" s="4">
        <v>144.6</v>
      </c>
      <c r="R85" s="4">
        <v>0</v>
      </c>
      <c r="T85" s="4">
        <v>-28.92</v>
      </c>
    </row>
    <row r="86" spans="1:21" s="4" customFormat="1" x14ac:dyDescent="0.25">
      <c r="A86" s="14">
        <v>16849453</v>
      </c>
      <c r="B86" s="14"/>
      <c r="C86" s="14"/>
      <c r="D86" s="4" t="s">
        <v>71</v>
      </c>
      <c r="E86" s="4" t="s">
        <v>72</v>
      </c>
      <c r="F86" s="4" t="s">
        <v>47</v>
      </c>
      <c r="G86" s="4" t="s">
        <v>83</v>
      </c>
      <c r="I86" s="4" t="s">
        <v>49</v>
      </c>
      <c r="J86" s="4" t="s">
        <v>85</v>
      </c>
      <c r="K86" s="5">
        <v>46204</v>
      </c>
      <c r="L86" s="6">
        <v>28.92</v>
      </c>
      <c r="M86" s="4" t="s">
        <v>54</v>
      </c>
      <c r="N86" s="5">
        <v>46327</v>
      </c>
      <c r="O86" s="4" t="s">
        <v>57</v>
      </c>
      <c r="P86" s="4">
        <v>0</v>
      </c>
      <c r="Q86" s="4">
        <v>144.6</v>
      </c>
      <c r="R86" s="4">
        <v>0</v>
      </c>
      <c r="T86" s="4">
        <v>-28.92</v>
      </c>
    </row>
    <row r="87" spans="1:21" s="4" customFormat="1" x14ac:dyDescent="0.25">
      <c r="A87" s="14">
        <v>16849453</v>
      </c>
      <c r="B87" s="14"/>
      <c r="C87" s="14"/>
      <c r="D87" s="4" t="s">
        <v>71</v>
      </c>
      <c r="E87" s="4" t="s">
        <v>72</v>
      </c>
      <c r="F87" s="4" t="s">
        <v>47</v>
      </c>
      <c r="G87" s="4" t="s">
        <v>83</v>
      </c>
      <c r="I87" s="4" t="s">
        <v>49</v>
      </c>
      <c r="J87" s="4" t="s">
        <v>85</v>
      </c>
      <c r="K87" s="5">
        <v>46204</v>
      </c>
      <c r="L87" s="6">
        <v>28.92</v>
      </c>
      <c r="M87" s="4" t="s">
        <v>54</v>
      </c>
      <c r="N87" s="5">
        <v>46357</v>
      </c>
      <c r="O87" s="4" t="s">
        <v>57</v>
      </c>
      <c r="P87" s="4">
        <v>0</v>
      </c>
      <c r="Q87" s="4">
        <v>144.6</v>
      </c>
      <c r="R87" s="4">
        <v>0</v>
      </c>
      <c r="T87" s="4">
        <v>-28.92</v>
      </c>
    </row>
    <row r="88" spans="1:21" s="4" customFormat="1" x14ac:dyDescent="0.25">
      <c r="A88" s="14">
        <v>18754354</v>
      </c>
      <c r="B88" s="14"/>
      <c r="C88" s="14"/>
      <c r="D88" s="4" t="s">
        <v>45</v>
      </c>
      <c r="E88" s="4" t="s">
        <v>46</v>
      </c>
      <c r="F88" s="4" t="s">
        <v>47</v>
      </c>
      <c r="G88" s="4" t="s">
        <v>48</v>
      </c>
      <c r="I88" s="4" t="s">
        <v>49</v>
      </c>
      <c r="J88" s="4" t="s">
        <v>51</v>
      </c>
      <c r="K88" s="5">
        <v>46204</v>
      </c>
      <c r="L88" s="6">
        <v>65</v>
      </c>
      <c r="M88" s="4" t="s">
        <v>54</v>
      </c>
      <c r="N88" s="5">
        <v>46054</v>
      </c>
      <c r="O88" s="4">
        <v>1</v>
      </c>
      <c r="P88" s="4">
        <v>0</v>
      </c>
      <c r="Q88" s="4">
        <v>180</v>
      </c>
      <c r="R88" s="4">
        <v>0</v>
      </c>
      <c r="T88" s="4">
        <v>65</v>
      </c>
      <c r="U88" s="4" t="s">
        <v>55</v>
      </c>
    </row>
    <row r="89" spans="1:21" s="4" customFormat="1" x14ac:dyDescent="0.25">
      <c r="A89" s="14">
        <v>18754354</v>
      </c>
      <c r="B89" s="14"/>
      <c r="C89" s="14"/>
      <c r="D89" s="4" t="s">
        <v>45</v>
      </c>
      <c r="E89" s="4" t="s">
        <v>46</v>
      </c>
      <c r="F89" s="4" t="s">
        <v>47</v>
      </c>
      <c r="G89" s="4" t="s">
        <v>48</v>
      </c>
      <c r="I89" s="4" t="s">
        <v>49</v>
      </c>
      <c r="J89" s="4" t="s">
        <v>51</v>
      </c>
      <c r="K89" s="5">
        <v>46204</v>
      </c>
      <c r="L89" s="6">
        <v>65</v>
      </c>
      <c r="M89" s="4" t="s">
        <v>54</v>
      </c>
      <c r="N89" s="5">
        <v>46082</v>
      </c>
      <c r="O89" s="4">
        <v>1</v>
      </c>
      <c r="P89" s="4">
        <v>0</v>
      </c>
      <c r="Q89" s="4">
        <v>180</v>
      </c>
      <c r="R89" s="4">
        <v>0</v>
      </c>
      <c r="T89" s="4">
        <v>65</v>
      </c>
      <c r="U89" s="4" t="s">
        <v>55</v>
      </c>
    </row>
    <row r="90" spans="1:21" s="4" customFormat="1" x14ac:dyDescent="0.25">
      <c r="A90" s="14">
        <v>18754354</v>
      </c>
      <c r="B90" s="14"/>
      <c r="C90" s="14"/>
      <c r="D90" s="4" t="s">
        <v>45</v>
      </c>
      <c r="E90" s="4" t="s">
        <v>46</v>
      </c>
      <c r="F90" s="4" t="s">
        <v>47</v>
      </c>
      <c r="G90" s="4" t="s">
        <v>48</v>
      </c>
      <c r="I90" s="4" t="s">
        <v>49</v>
      </c>
      <c r="J90" s="4" t="s">
        <v>51</v>
      </c>
      <c r="K90" s="5">
        <v>46204</v>
      </c>
      <c r="L90" s="6">
        <v>65</v>
      </c>
      <c r="M90" s="4" t="s">
        <v>54</v>
      </c>
      <c r="N90" s="5">
        <v>46113</v>
      </c>
      <c r="O90" s="4">
        <v>1</v>
      </c>
      <c r="P90" s="4">
        <v>0</v>
      </c>
      <c r="Q90" s="4">
        <v>180</v>
      </c>
      <c r="R90" s="4">
        <v>0</v>
      </c>
      <c r="T90" s="4">
        <v>65</v>
      </c>
      <c r="U90" s="4" t="s">
        <v>55</v>
      </c>
    </row>
    <row r="91" spans="1:21" s="4" customFormat="1" x14ac:dyDescent="0.25">
      <c r="A91" s="14">
        <v>18754354</v>
      </c>
      <c r="B91" s="14"/>
      <c r="C91" s="14"/>
      <c r="D91" s="4" t="s">
        <v>45</v>
      </c>
      <c r="E91" s="4" t="s">
        <v>46</v>
      </c>
      <c r="F91" s="4" t="s">
        <v>47</v>
      </c>
      <c r="G91" s="4" t="s">
        <v>48</v>
      </c>
      <c r="I91" s="4" t="s">
        <v>49</v>
      </c>
      <c r="J91" s="4" t="s">
        <v>51</v>
      </c>
      <c r="K91" s="5">
        <v>46204</v>
      </c>
      <c r="L91" s="6">
        <v>65</v>
      </c>
      <c r="M91" s="4" t="s">
        <v>54</v>
      </c>
      <c r="N91" s="5">
        <v>46143</v>
      </c>
      <c r="O91" s="4">
        <v>1</v>
      </c>
      <c r="P91" s="4">
        <v>0</v>
      </c>
      <c r="Q91" s="4">
        <v>180</v>
      </c>
      <c r="R91" s="4">
        <v>0</v>
      </c>
      <c r="T91" s="4">
        <v>65</v>
      </c>
      <c r="U91" s="4" t="s">
        <v>55</v>
      </c>
    </row>
    <row r="92" spans="1:21" s="4" customFormat="1" x14ac:dyDescent="0.25">
      <c r="A92" s="14">
        <v>18754354</v>
      </c>
      <c r="B92" s="14"/>
      <c r="C92" s="14"/>
      <c r="D92" s="4" t="s">
        <v>45</v>
      </c>
      <c r="E92" s="4" t="s">
        <v>46</v>
      </c>
      <c r="F92" s="4" t="s">
        <v>47</v>
      </c>
      <c r="G92" s="4" t="s">
        <v>48</v>
      </c>
      <c r="I92" s="4" t="s">
        <v>49</v>
      </c>
      <c r="J92" s="4" t="s">
        <v>51</v>
      </c>
      <c r="K92" s="5">
        <v>46204</v>
      </c>
      <c r="L92" s="6">
        <v>65</v>
      </c>
      <c r="M92" s="4" t="s">
        <v>54</v>
      </c>
      <c r="N92" s="5">
        <v>46174</v>
      </c>
      <c r="O92" s="4">
        <v>1</v>
      </c>
      <c r="P92" s="4">
        <v>0</v>
      </c>
      <c r="Q92" s="4">
        <v>180</v>
      </c>
      <c r="R92" s="4">
        <v>0</v>
      </c>
      <c r="T92" s="4">
        <v>65</v>
      </c>
      <c r="U92" s="4" t="s">
        <v>55</v>
      </c>
    </row>
    <row r="93" spans="1:21" s="4" customFormat="1" x14ac:dyDescent="0.25">
      <c r="A93" s="14">
        <v>18754354</v>
      </c>
      <c r="B93" s="14"/>
      <c r="C93" s="14"/>
      <c r="D93" s="4" t="s">
        <v>45</v>
      </c>
      <c r="E93" s="4" t="s">
        <v>46</v>
      </c>
      <c r="F93" s="4" t="s">
        <v>47</v>
      </c>
      <c r="G93" s="4" t="s">
        <v>48</v>
      </c>
      <c r="I93" s="4" t="s">
        <v>49</v>
      </c>
      <c r="J93" s="4" t="s">
        <v>51</v>
      </c>
      <c r="K93" s="5">
        <v>46204</v>
      </c>
      <c r="L93" s="6">
        <v>65</v>
      </c>
      <c r="M93" s="4" t="s">
        <v>54</v>
      </c>
      <c r="N93" s="5">
        <v>46204</v>
      </c>
      <c r="O93" s="4">
        <v>1</v>
      </c>
      <c r="P93" s="4">
        <v>0</v>
      </c>
      <c r="Q93" s="4">
        <v>180</v>
      </c>
      <c r="R93" s="4">
        <v>0</v>
      </c>
      <c r="T93" s="4">
        <v>65</v>
      </c>
      <c r="U93" s="4" t="s">
        <v>55</v>
      </c>
    </row>
    <row r="94" spans="1:21" s="4" customFormat="1" x14ac:dyDescent="0.25">
      <c r="A94" s="14">
        <v>18754354</v>
      </c>
      <c r="B94" s="14"/>
      <c r="C94" s="14"/>
      <c r="D94" s="4" t="s">
        <v>45</v>
      </c>
      <c r="E94" s="4" t="s">
        <v>46</v>
      </c>
      <c r="F94" s="4" t="s">
        <v>47</v>
      </c>
      <c r="G94" s="4" t="s">
        <v>48</v>
      </c>
      <c r="I94" s="4" t="s">
        <v>49</v>
      </c>
      <c r="J94" s="4" t="s">
        <v>51</v>
      </c>
      <c r="K94" s="5">
        <v>46204</v>
      </c>
      <c r="L94" s="6">
        <v>65</v>
      </c>
      <c r="M94" s="4" t="s">
        <v>54</v>
      </c>
      <c r="N94" s="5">
        <v>46235</v>
      </c>
      <c r="O94" s="4">
        <v>1</v>
      </c>
      <c r="P94" s="4">
        <v>0</v>
      </c>
      <c r="Q94" s="4">
        <v>180</v>
      </c>
      <c r="R94" s="4">
        <v>0</v>
      </c>
      <c r="T94" s="4">
        <v>65</v>
      </c>
      <c r="U94" s="4" t="s">
        <v>55</v>
      </c>
    </row>
    <row r="95" spans="1:21" s="4" customFormat="1" x14ac:dyDescent="0.25">
      <c r="A95" s="14">
        <v>18754354</v>
      </c>
      <c r="B95" s="14"/>
      <c r="C95" s="14"/>
      <c r="D95" s="4" t="s">
        <v>45</v>
      </c>
      <c r="E95" s="4" t="s">
        <v>46</v>
      </c>
      <c r="F95" s="4" t="s">
        <v>47</v>
      </c>
      <c r="G95" s="4" t="s">
        <v>48</v>
      </c>
      <c r="I95" s="4" t="s">
        <v>49</v>
      </c>
      <c r="J95" s="4" t="s">
        <v>51</v>
      </c>
      <c r="K95" s="5">
        <v>46204</v>
      </c>
      <c r="L95" s="6">
        <v>65</v>
      </c>
      <c r="M95" s="4" t="s">
        <v>54</v>
      </c>
      <c r="N95" s="5">
        <v>46266</v>
      </c>
      <c r="O95" s="4">
        <v>1</v>
      </c>
      <c r="P95" s="4">
        <v>0</v>
      </c>
      <c r="Q95" s="4">
        <v>180</v>
      </c>
      <c r="R95" s="4">
        <v>0</v>
      </c>
      <c r="T95" s="4">
        <v>65</v>
      </c>
      <c r="U95" s="4" t="s">
        <v>55</v>
      </c>
    </row>
    <row r="96" spans="1:21" s="4" customFormat="1" x14ac:dyDescent="0.25">
      <c r="A96" s="14">
        <v>18754354</v>
      </c>
      <c r="B96" s="14"/>
      <c r="C96" s="14"/>
      <c r="D96" s="4" t="s">
        <v>45</v>
      </c>
      <c r="E96" s="4" t="s">
        <v>46</v>
      </c>
      <c r="F96" s="4" t="s">
        <v>47</v>
      </c>
      <c r="G96" s="4" t="s">
        <v>48</v>
      </c>
      <c r="I96" s="4" t="s">
        <v>49</v>
      </c>
      <c r="J96" s="4" t="s">
        <v>51</v>
      </c>
      <c r="K96" s="5">
        <v>46204</v>
      </c>
      <c r="L96" s="6">
        <v>65</v>
      </c>
      <c r="M96" s="4" t="s">
        <v>54</v>
      </c>
      <c r="N96" s="5">
        <v>46296</v>
      </c>
      <c r="O96" s="4">
        <v>1</v>
      </c>
      <c r="P96" s="4">
        <v>0</v>
      </c>
      <c r="Q96" s="4">
        <v>180</v>
      </c>
      <c r="R96" s="4">
        <v>0</v>
      </c>
      <c r="T96" s="4">
        <v>65</v>
      </c>
      <c r="U96" s="4" t="s">
        <v>55</v>
      </c>
    </row>
    <row r="97" spans="1:21" s="4" customFormat="1" x14ac:dyDescent="0.25">
      <c r="A97" s="14">
        <v>18754354</v>
      </c>
      <c r="B97" s="14"/>
      <c r="C97" s="14"/>
      <c r="D97" s="4" t="s">
        <v>45</v>
      </c>
      <c r="E97" s="4" t="s">
        <v>46</v>
      </c>
      <c r="F97" s="4" t="s">
        <v>47</v>
      </c>
      <c r="G97" s="4" t="s">
        <v>48</v>
      </c>
      <c r="I97" s="4" t="s">
        <v>49</v>
      </c>
      <c r="J97" s="4" t="s">
        <v>51</v>
      </c>
      <c r="K97" s="5">
        <v>46204</v>
      </c>
      <c r="L97" s="6">
        <v>65</v>
      </c>
      <c r="M97" s="4" t="s">
        <v>54</v>
      </c>
      <c r="N97" s="5">
        <v>46327</v>
      </c>
      <c r="O97" s="4">
        <v>1</v>
      </c>
      <c r="P97" s="4">
        <v>0</v>
      </c>
      <c r="Q97" s="4">
        <v>180</v>
      </c>
      <c r="R97" s="4">
        <v>0</v>
      </c>
      <c r="T97" s="4">
        <v>65</v>
      </c>
      <c r="U97" s="4" t="s">
        <v>55</v>
      </c>
    </row>
    <row r="98" spans="1:21" s="4" customFormat="1" x14ac:dyDescent="0.25">
      <c r="A98" s="14">
        <v>18754354</v>
      </c>
      <c r="B98" s="14"/>
      <c r="C98" s="14"/>
      <c r="D98" s="4" t="s">
        <v>45</v>
      </c>
      <c r="E98" s="4" t="s">
        <v>46</v>
      </c>
      <c r="F98" s="4" t="s">
        <v>47</v>
      </c>
      <c r="G98" s="4" t="s">
        <v>48</v>
      </c>
      <c r="I98" s="4" t="s">
        <v>49</v>
      </c>
      <c r="J98" s="4" t="s">
        <v>51</v>
      </c>
      <c r="K98" s="5">
        <v>46204</v>
      </c>
      <c r="L98" s="6">
        <v>65</v>
      </c>
      <c r="M98" s="4" t="s">
        <v>54</v>
      </c>
      <c r="N98" s="5">
        <v>46357</v>
      </c>
      <c r="O98" s="4">
        <v>1</v>
      </c>
      <c r="P98" s="4">
        <v>0</v>
      </c>
      <c r="Q98" s="4">
        <v>180</v>
      </c>
      <c r="R98" s="4">
        <v>0</v>
      </c>
      <c r="T98" s="4">
        <v>65</v>
      </c>
      <c r="U98" s="4" t="s">
        <v>55</v>
      </c>
    </row>
    <row r="99" spans="1:21" s="4" customFormat="1" x14ac:dyDescent="0.25">
      <c r="A99" s="14">
        <v>18754354</v>
      </c>
      <c r="B99" s="14"/>
      <c r="C99" s="14"/>
      <c r="D99" s="4" t="s">
        <v>45</v>
      </c>
      <c r="E99" s="4" t="s">
        <v>46</v>
      </c>
      <c r="F99" s="4" t="s">
        <v>47</v>
      </c>
      <c r="G99" s="4" t="s">
        <v>48</v>
      </c>
      <c r="I99" s="4" t="s">
        <v>49</v>
      </c>
      <c r="J99" s="4" t="s">
        <v>51</v>
      </c>
      <c r="K99" s="5">
        <v>46204</v>
      </c>
      <c r="L99" s="6">
        <v>36</v>
      </c>
      <c r="M99" s="4" t="s">
        <v>54</v>
      </c>
      <c r="N99" s="5">
        <v>46235</v>
      </c>
      <c r="O99" s="4" t="s">
        <v>57</v>
      </c>
      <c r="P99" s="4">
        <v>0</v>
      </c>
      <c r="Q99" s="4">
        <v>180</v>
      </c>
      <c r="R99" s="4">
        <v>0</v>
      </c>
      <c r="T99" s="4">
        <v>-36</v>
      </c>
    </row>
    <row r="100" spans="1:21" s="4" customFormat="1" x14ac:dyDescent="0.25">
      <c r="A100" s="14">
        <v>18754354</v>
      </c>
      <c r="B100" s="14"/>
      <c r="C100" s="14"/>
      <c r="D100" s="4" t="s">
        <v>45</v>
      </c>
      <c r="E100" s="4" t="s">
        <v>46</v>
      </c>
      <c r="F100" s="4" t="s">
        <v>47</v>
      </c>
      <c r="G100" s="4" t="s">
        <v>48</v>
      </c>
      <c r="I100" s="4" t="s">
        <v>49</v>
      </c>
      <c r="J100" s="4" t="s">
        <v>51</v>
      </c>
      <c r="K100" s="5">
        <v>46204</v>
      </c>
      <c r="L100" s="6">
        <v>36</v>
      </c>
      <c r="M100" s="4" t="s">
        <v>54</v>
      </c>
      <c r="N100" s="5">
        <v>46266</v>
      </c>
      <c r="O100" s="4" t="s">
        <v>57</v>
      </c>
      <c r="P100" s="4">
        <v>0</v>
      </c>
      <c r="Q100" s="4">
        <v>180</v>
      </c>
      <c r="R100" s="4">
        <v>0</v>
      </c>
      <c r="T100" s="4">
        <v>-36</v>
      </c>
    </row>
    <row r="101" spans="1:21" s="4" customFormat="1" x14ac:dyDescent="0.25">
      <c r="A101" s="14">
        <v>18754354</v>
      </c>
      <c r="B101" s="14"/>
      <c r="C101" s="14"/>
      <c r="D101" s="4" t="s">
        <v>45</v>
      </c>
      <c r="E101" s="4" t="s">
        <v>46</v>
      </c>
      <c r="F101" s="4" t="s">
        <v>47</v>
      </c>
      <c r="G101" s="4" t="s">
        <v>48</v>
      </c>
      <c r="I101" s="4" t="s">
        <v>49</v>
      </c>
      <c r="J101" s="4" t="s">
        <v>51</v>
      </c>
      <c r="K101" s="5">
        <v>46204</v>
      </c>
      <c r="L101" s="6">
        <v>36</v>
      </c>
      <c r="M101" s="4" t="s">
        <v>54</v>
      </c>
      <c r="N101" s="5">
        <v>46296</v>
      </c>
      <c r="O101" s="4" t="s">
        <v>57</v>
      </c>
      <c r="P101" s="4">
        <v>0</v>
      </c>
      <c r="Q101" s="4">
        <v>180</v>
      </c>
      <c r="R101" s="4">
        <v>0</v>
      </c>
      <c r="T101" s="4">
        <v>-36</v>
      </c>
    </row>
    <row r="102" spans="1:21" s="4" customFormat="1" x14ac:dyDescent="0.25">
      <c r="A102" s="14">
        <v>18754354</v>
      </c>
      <c r="B102" s="14"/>
      <c r="C102" s="14"/>
      <c r="D102" s="4" t="s">
        <v>45</v>
      </c>
      <c r="E102" s="4" t="s">
        <v>46</v>
      </c>
      <c r="F102" s="4" t="s">
        <v>47</v>
      </c>
      <c r="G102" s="4" t="s">
        <v>48</v>
      </c>
      <c r="I102" s="4" t="s">
        <v>49</v>
      </c>
      <c r="J102" s="4" t="s">
        <v>51</v>
      </c>
      <c r="K102" s="5">
        <v>46204</v>
      </c>
      <c r="L102" s="6">
        <v>36</v>
      </c>
      <c r="M102" s="4" t="s">
        <v>54</v>
      </c>
      <c r="N102" s="5">
        <v>46327</v>
      </c>
      <c r="O102" s="4" t="s">
        <v>57</v>
      </c>
      <c r="P102" s="4">
        <v>0</v>
      </c>
      <c r="Q102" s="4">
        <v>180</v>
      </c>
      <c r="R102" s="4">
        <v>0</v>
      </c>
      <c r="T102" s="4">
        <v>-36</v>
      </c>
    </row>
    <row r="103" spans="1:21" s="4" customFormat="1" x14ac:dyDescent="0.25">
      <c r="A103" s="14">
        <v>18754354</v>
      </c>
      <c r="B103" s="14"/>
      <c r="C103" s="14"/>
      <c r="D103" s="4" t="s">
        <v>45</v>
      </c>
      <c r="E103" s="4" t="s">
        <v>46</v>
      </c>
      <c r="F103" s="4" t="s">
        <v>47</v>
      </c>
      <c r="G103" s="4" t="s">
        <v>48</v>
      </c>
      <c r="I103" s="4" t="s">
        <v>49</v>
      </c>
      <c r="J103" s="4" t="s">
        <v>51</v>
      </c>
      <c r="K103" s="5">
        <v>46204</v>
      </c>
      <c r="L103" s="6">
        <v>36</v>
      </c>
      <c r="M103" s="4" t="s">
        <v>54</v>
      </c>
      <c r="N103" s="5">
        <v>46357</v>
      </c>
      <c r="O103" s="4" t="s">
        <v>57</v>
      </c>
      <c r="P103" s="4">
        <v>0</v>
      </c>
      <c r="Q103" s="4">
        <v>180</v>
      </c>
      <c r="R103" s="4">
        <v>0</v>
      </c>
      <c r="T103" s="4">
        <v>-36</v>
      </c>
    </row>
    <row r="104" spans="1:21" s="4" customFormat="1" x14ac:dyDescent="0.25">
      <c r="A104" s="14">
        <v>16849453</v>
      </c>
      <c r="B104" s="14"/>
      <c r="C104" s="14"/>
      <c r="D104" s="4" t="s">
        <v>71</v>
      </c>
      <c r="E104" s="4" t="s">
        <v>72</v>
      </c>
      <c r="F104" s="4" t="s">
        <v>47</v>
      </c>
      <c r="G104" s="4" t="s">
        <v>87</v>
      </c>
      <c r="I104" s="4" t="s">
        <v>60</v>
      </c>
      <c r="J104" s="4" t="s">
        <v>88</v>
      </c>
      <c r="K104" s="5">
        <v>46204</v>
      </c>
      <c r="L104" s="7">
        <v>0.21</v>
      </c>
      <c r="M104" s="4" t="s">
        <v>54</v>
      </c>
      <c r="N104" s="5">
        <v>46235</v>
      </c>
      <c r="O104" s="4">
        <v>1</v>
      </c>
      <c r="P104" s="4">
        <v>0</v>
      </c>
      <c r="Q104" s="4">
        <v>0</v>
      </c>
      <c r="R104" s="4">
        <v>183.84</v>
      </c>
      <c r="S104" s="4" t="s">
        <v>70</v>
      </c>
      <c r="T104" s="4">
        <v>38.6</v>
      </c>
      <c r="U104" s="4" t="s">
        <v>91</v>
      </c>
    </row>
    <row r="105" spans="1:21" s="4" customFormat="1" x14ac:dyDescent="0.25">
      <c r="A105" s="14">
        <v>16849453</v>
      </c>
      <c r="B105" s="14"/>
      <c r="C105" s="14"/>
      <c r="D105" s="4" t="s">
        <v>71</v>
      </c>
      <c r="E105" s="4" t="s">
        <v>72</v>
      </c>
      <c r="F105" s="4" t="s">
        <v>47</v>
      </c>
      <c r="G105" s="4" t="s">
        <v>87</v>
      </c>
      <c r="I105" s="4" t="s">
        <v>60</v>
      </c>
      <c r="J105" s="4" t="s">
        <v>88</v>
      </c>
      <c r="K105" s="5">
        <v>46204</v>
      </c>
      <c r="L105" s="7">
        <v>0.21</v>
      </c>
      <c r="M105" s="4" t="s">
        <v>54</v>
      </c>
      <c r="N105" s="5">
        <v>46266</v>
      </c>
      <c r="O105" s="4">
        <v>1</v>
      </c>
      <c r="P105" s="4">
        <v>0</v>
      </c>
      <c r="Q105" s="4">
        <v>0</v>
      </c>
      <c r="R105" s="4">
        <v>183.84</v>
      </c>
      <c r="S105" s="4" t="s">
        <v>70</v>
      </c>
      <c r="T105" s="4">
        <v>38.6</v>
      </c>
      <c r="U105" s="4" t="s">
        <v>91</v>
      </c>
    </row>
    <row r="106" spans="1:21" s="4" customFormat="1" x14ac:dyDescent="0.25">
      <c r="A106" s="14">
        <v>16849453</v>
      </c>
      <c r="B106" s="14"/>
      <c r="C106" s="14"/>
      <c r="D106" s="4" t="s">
        <v>71</v>
      </c>
      <c r="E106" s="4" t="s">
        <v>72</v>
      </c>
      <c r="F106" s="4" t="s">
        <v>47</v>
      </c>
      <c r="G106" s="4" t="s">
        <v>87</v>
      </c>
      <c r="I106" s="4" t="s">
        <v>60</v>
      </c>
      <c r="J106" s="4" t="s">
        <v>88</v>
      </c>
      <c r="K106" s="5">
        <v>46204</v>
      </c>
      <c r="L106" s="7">
        <v>0.21</v>
      </c>
      <c r="M106" s="4" t="s">
        <v>54</v>
      </c>
      <c r="N106" s="5">
        <v>46296</v>
      </c>
      <c r="O106" s="4">
        <v>1</v>
      </c>
      <c r="P106" s="4">
        <v>0</v>
      </c>
      <c r="Q106" s="4">
        <v>0</v>
      </c>
      <c r="R106" s="4">
        <v>183.84</v>
      </c>
      <c r="S106" s="4" t="s">
        <v>70</v>
      </c>
      <c r="T106" s="4">
        <v>38.6</v>
      </c>
      <c r="U106" s="4" t="s">
        <v>91</v>
      </c>
    </row>
    <row r="107" spans="1:21" s="4" customFormat="1" x14ac:dyDescent="0.25">
      <c r="A107" s="14">
        <v>16849453</v>
      </c>
      <c r="B107" s="14"/>
      <c r="C107" s="14"/>
      <c r="D107" s="4" t="s">
        <v>71</v>
      </c>
      <c r="E107" s="4" t="s">
        <v>72</v>
      </c>
      <c r="F107" s="4" t="s">
        <v>47</v>
      </c>
      <c r="G107" s="4" t="s">
        <v>87</v>
      </c>
      <c r="I107" s="4" t="s">
        <v>60</v>
      </c>
      <c r="J107" s="4" t="s">
        <v>88</v>
      </c>
      <c r="K107" s="5">
        <v>46204</v>
      </c>
      <c r="L107" s="7">
        <v>0.21</v>
      </c>
      <c r="M107" s="4" t="s">
        <v>54</v>
      </c>
      <c r="N107" s="5">
        <v>46327</v>
      </c>
      <c r="O107" s="4">
        <v>1</v>
      </c>
      <c r="P107" s="4">
        <v>0</v>
      </c>
      <c r="Q107" s="4">
        <v>0</v>
      </c>
      <c r="R107" s="4">
        <v>183.84</v>
      </c>
      <c r="S107" s="4" t="s">
        <v>70</v>
      </c>
      <c r="T107" s="4">
        <v>38.6</v>
      </c>
      <c r="U107" s="4" t="s">
        <v>91</v>
      </c>
    </row>
    <row r="108" spans="1:21" s="4" customFormat="1" x14ac:dyDescent="0.25">
      <c r="A108" s="14">
        <v>16849453</v>
      </c>
      <c r="B108" s="14"/>
      <c r="C108" s="14"/>
      <c r="D108" s="4" t="s">
        <v>71</v>
      </c>
      <c r="E108" s="4" t="s">
        <v>72</v>
      </c>
      <c r="F108" s="4" t="s">
        <v>47</v>
      </c>
      <c r="G108" s="4" t="s">
        <v>87</v>
      </c>
      <c r="I108" s="4" t="s">
        <v>60</v>
      </c>
      <c r="J108" s="4" t="s">
        <v>88</v>
      </c>
      <c r="K108" s="5">
        <v>46204</v>
      </c>
      <c r="L108" s="7">
        <v>0.21</v>
      </c>
      <c r="M108" s="4" t="s">
        <v>54</v>
      </c>
      <c r="N108" s="5">
        <v>46357</v>
      </c>
      <c r="O108" s="4">
        <v>1</v>
      </c>
      <c r="P108" s="4">
        <v>0</v>
      </c>
      <c r="Q108" s="4">
        <v>0</v>
      </c>
      <c r="R108" s="4">
        <v>183.84</v>
      </c>
      <c r="S108" s="4" t="s">
        <v>70</v>
      </c>
      <c r="T108" s="4">
        <v>38.6</v>
      </c>
      <c r="U108" s="4" t="s">
        <v>91</v>
      </c>
    </row>
    <row r="109" spans="1:21" s="4" customFormat="1" x14ac:dyDescent="0.25">
      <c r="A109" s="14">
        <v>16849453</v>
      </c>
      <c r="B109" s="14"/>
      <c r="C109" s="14"/>
      <c r="D109" s="4" t="s">
        <v>71</v>
      </c>
      <c r="E109" s="4" t="s">
        <v>72</v>
      </c>
      <c r="F109" s="4" t="s">
        <v>47</v>
      </c>
      <c r="G109" s="4" t="s">
        <v>87</v>
      </c>
      <c r="I109" s="4" t="s">
        <v>60</v>
      </c>
      <c r="J109" s="4" t="s">
        <v>88</v>
      </c>
      <c r="K109" s="5">
        <v>46204</v>
      </c>
      <c r="L109" s="7">
        <v>0.21</v>
      </c>
      <c r="M109" s="4" t="s">
        <v>54</v>
      </c>
      <c r="N109" s="5">
        <v>46388</v>
      </c>
      <c r="O109" s="4">
        <v>1</v>
      </c>
      <c r="P109" s="4">
        <v>0</v>
      </c>
      <c r="Q109" s="4">
        <v>0</v>
      </c>
      <c r="R109" s="4">
        <v>183.84</v>
      </c>
      <c r="S109" s="4" t="s">
        <v>70</v>
      </c>
      <c r="T109" s="4">
        <v>38.6</v>
      </c>
      <c r="U109" s="4" t="s">
        <v>91</v>
      </c>
    </row>
    <row r="110" spans="1:21" s="4" customFormat="1" x14ac:dyDescent="0.25">
      <c r="A110" s="14">
        <v>16849453</v>
      </c>
      <c r="B110" s="14"/>
      <c r="C110" s="14"/>
      <c r="D110" s="4" t="s">
        <v>71</v>
      </c>
      <c r="E110" s="4" t="s">
        <v>72</v>
      </c>
      <c r="F110" s="4" t="s">
        <v>47</v>
      </c>
      <c r="G110" s="4" t="s">
        <v>87</v>
      </c>
      <c r="I110" s="4" t="s">
        <v>60</v>
      </c>
      <c r="J110" s="4" t="s">
        <v>88</v>
      </c>
      <c r="K110" s="5">
        <v>46204</v>
      </c>
      <c r="L110" s="7">
        <v>0.21</v>
      </c>
      <c r="M110" s="4" t="s">
        <v>54</v>
      </c>
      <c r="N110" s="5">
        <v>46419</v>
      </c>
      <c r="O110" s="4">
        <v>1</v>
      </c>
      <c r="P110" s="4">
        <v>0</v>
      </c>
      <c r="Q110" s="4">
        <v>0</v>
      </c>
      <c r="R110" s="4">
        <v>183.84</v>
      </c>
      <c r="S110" s="4" t="s">
        <v>70</v>
      </c>
      <c r="T110" s="4">
        <v>38.6</v>
      </c>
      <c r="U110" s="4" t="s">
        <v>91</v>
      </c>
    </row>
    <row r="111" spans="1:21" s="4" customFormat="1" x14ac:dyDescent="0.25">
      <c r="A111" s="14">
        <v>16849453</v>
      </c>
      <c r="B111" s="14"/>
      <c r="C111" s="14"/>
      <c r="D111" s="4" t="s">
        <v>71</v>
      </c>
      <c r="E111" s="4" t="s">
        <v>72</v>
      </c>
      <c r="F111" s="4" t="s">
        <v>47</v>
      </c>
      <c r="G111" s="4" t="s">
        <v>87</v>
      </c>
      <c r="I111" s="4" t="s">
        <v>60</v>
      </c>
      <c r="J111" s="4" t="s">
        <v>88</v>
      </c>
      <c r="K111" s="5">
        <v>46204</v>
      </c>
      <c r="L111" s="7">
        <v>0.21</v>
      </c>
      <c r="M111" s="4" t="s">
        <v>54</v>
      </c>
      <c r="N111" s="5">
        <v>46447</v>
      </c>
      <c r="O111" s="4">
        <v>1</v>
      </c>
      <c r="P111" s="4">
        <v>0</v>
      </c>
      <c r="Q111" s="4">
        <v>0</v>
      </c>
      <c r="R111" s="4">
        <v>183.84</v>
      </c>
      <c r="S111" s="4" t="s">
        <v>70</v>
      </c>
      <c r="T111" s="4">
        <v>38.6</v>
      </c>
      <c r="U111" s="4" t="s">
        <v>91</v>
      </c>
    </row>
  </sheetData>
  <sortState xmlns:xlrd2="http://schemas.microsoft.com/office/spreadsheetml/2017/richdata2" ref="A2:AE34">
    <sortCondition ref="I2:I34"/>
    <sortCondition ref="W2:W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ToolBox_07092026_COINS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2026-07-23T10:21:21Z</dcterms:created>
  <dcterms:modified xsi:type="dcterms:W3CDTF">2026-07-24T13:59:18Z</dcterms:modified>
</cp:coreProperties>
</file>