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Elevance_MAPD\2026\2026-07-02_To_ 2026-07-09\"/>
    </mc:Choice>
  </mc:AlternateContent>
  <xr:revisionPtr revIDLastSave="0" documentId="13_ncr:1_{E6836616-4A41-4236-924E-502415FA0867}" xr6:coauthVersionLast="47" xr6:coauthVersionMax="47" xr10:uidLastSave="{00000000-0000-0000-0000-000000000000}"/>
  <bookViews>
    <workbookView xWindow="-120" yWindow="-120" windowWidth="29040" windowHeight="15720" activeTab="1" xr2:uid="{91F91710-6D2B-42D1-B94A-90A024041AFB}"/>
  </bookViews>
  <sheets>
    <sheet name="Producer ToolBox_07022026_COI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0" i="2"/>
  <c r="F9" i="2"/>
  <c r="F8" i="2"/>
  <c r="F7" i="2"/>
  <c r="F6" i="2"/>
  <c r="F5" i="2"/>
  <c r="F4" i="2"/>
  <c r="F3" i="2"/>
  <c r="F2" i="2"/>
  <c r="T12" i="2"/>
</calcChain>
</file>

<file path=xl/sharedStrings.xml><?xml version="1.0" encoding="utf-8"?>
<sst xmlns="http://schemas.openxmlformats.org/spreadsheetml/2006/main" count="1606" uniqueCount="289">
  <si>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</si>
  <si>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</si>
  <si>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</si>
  <si>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</si>
  <si>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</si>
  <si>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</si>
  <si>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</si>
  <si>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:06/26/2026 TO 07/02/2026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</si>
  <si>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</si>
  <si>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</si>
  <si>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</si>
  <si>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</si>
  <si>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</si>
  <si>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</si>
  <si>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</si>
  <si>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</si>
  <si>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</si>
  <si>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</si>
  <si>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</si>
  <si>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</si>
  <si>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</si>
  <si>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</si>
  <si>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</si>
  <si>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</si>
  <si>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</si>
  <si>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</si>
  <si>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</si>
  <si>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</si>
  <si>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</si>
  <si>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</si>
  <si>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</si>
  <si>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</si>
  <si>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</si>
  <si>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</si>
  <si>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</si>
  <si>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</si>
  <si>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</si>
  <si>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</si>
  <si>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</si>
  <si>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</si>
  <si>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</si>
  <si>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</si>
  <si>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</si>
  <si>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</si>
  <si>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</si>
  <si>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YALE, JACOB D</t>
  </si>
  <si>
    <t>CA</t>
  </si>
  <si>
    <t>MEDICARE</t>
  </si>
  <si>
    <t>946W27555</t>
  </si>
  <si>
    <t>MED</t>
  </si>
  <si>
    <t>210C</t>
  </si>
  <si>
    <t>DIMOPOULOS, CHRISTO</t>
  </si>
  <si>
    <t>6XX7V76DC60</t>
  </si>
  <si>
    <t>NO</t>
  </si>
  <si>
    <t>Base</t>
  </si>
  <si>
    <t>ADVREN  NEW</t>
  </si>
  <si>
    <t>ADVREN</t>
  </si>
  <si>
    <t>PORTUGAL, STACEY A</t>
  </si>
  <si>
    <t>790W25493</t>
  </si>
  <si>
    <t>REIS SAMII, BARBARA</t>
  </si>
  <si>
    <t>6AW2VW7DA16</t>
  </si>
  <si>
    <t>BRENNER, BARRY G</t>
  </si>
  <si>
    <t>985W25187</t>
  </si>
  <si>
    <t>MSUP</t>
  </si>
  <si>
    <t>200C</t>
  </si>
  <si>
    <t>GOODMAN, STACEY</t>
  </si>
  <si>
    <t>8X85NE2NT61</t>
  </si>
  <si>
    <t>INFO ONLY</t>
  </si>
  <si>
    <t>GONZALEZ, LENSIE</t>
  </si>
  <si>
    <t>206W26504</t>
  </si>
  <si>
    <t>GOTTS, IAN</t>
  </si>
  <si>
    <t>1AF3GU8KY01</t>
  </si>
  <si>
    <t>LEE, JOEL N</t>
  </si>
  <si>
    <t>307W26711</t>
  </si>
  <si>
    <t>525C</t>
  </si>
  <si>
    <t>PALMER, THERESA</t>
  </si>
  <si>
    <t>2D84TV9PA07</t>
  </si>
  <si>
    <t>FL</t>
  </si>
  <si>
    <t>488W24198</t>
  </si>
  <si>
    <t>161C</t>
  </si>
  <si>
    <t>COUCH, JOYCE</t>
  </si>
  <si>
    <t>9F86P64WA86</t>
  </si>
  <si>
    <t>GREEN, DANNA</t>
  </si>
  <si>
    <t>IN</t>
  </si>
  <si>
    <t>641W26577</t>
  </si>
  <si>
    <t>201C</t>
  </si>
  <si>
    <t>GORDON, DALE</t>
  </si>
  <si>
    <t>8PW1YE8JP27</t>
  </si>
  <si>
    <t>406W26407</t>
  </si>
  <si>
    <t>HACKETT, KRISTI</t>
  </si>
  <si>
    <t>1FX4U45RC80</t>
  </si>
  <si>
    <t>396W27282</t>
  </si>
  <si>
    <t>608C</t>
  </si>
  <si>
    <t>WRIGHT, LUZ</t>
  </si>
  <si>
    <t>5QG9WX7UR56</t>
  </si>
  <si>
    <t>461W26478</t>
  </si>
  <si>
    <t>DAVEY, MARIA</t>
  </si>
  <si>
    <t>2A91TH6UA98</t>
  </si>
  <si>
    <t>772W26990</t>
  </si>
  <si>
    <t>GIBBS, JEFFERS</t>
  </si>
  <si>
    <t>2XU5X37DF50</t>
  </si>
  <si>
    <t>283W21805</t>
  </si>
  <si>
    <t>BROWN, TERRY</t>
  </si>
  <si>
    <t>2XP5CJ1TH85</t>
  </si>
  <si>
    <t>925W10518</t>
  </si>
  <si>
    <t>LEVI, TIMOTHY</t>
  </si>
  <si>
    <t>6KH2UQ1XX12</t>
  </si>
  <si>
    <t>940W23397</t>
  </si>
  <si>
    <t>LATTA, ELIZABE</t>
  </si>
  <si>
    <t>9PH0XP3JD07</t>
  </si>
  <si>
    <t>235W27021</t>
  </si>
  <si>
    <t>SANDERS, JEFFREY</t>
  </si>
  <si>
    <t>7TK8RR0JT31</t>
  </si>
  <si>
    <t>335W26438</t>
  </si>
  <si>
    <t>BRATTON, JENNIFE</t>
  </si>
  <si>
    <t>7DT8VJ3EH49</t>
  </si>
  <si>
    <t>407W22392</t>
  </si>
  <si>
    <t>BLASKO, EDWARD</t>
  </si>
  <si>
    <t>4JK6FM6YV43</t>
  </si>
  <si>
    <t>SANDEROCK, MARSHA</t>
  </si>
  <si>
    <t>852W24516</t>
  </si>
  <si>
    <t>BIDGOOD, BETH</t>
  </si>
  <si>
    <t>6J85MQ7UP58</t>
  </si>
  <si>
    <t>784W25466</t>
  </si>
  <si>
    <t>BARRETT, PATRICI</t>
  </si>
  <si>
    <t>6X11PE2XY19</t>
  </si>
  <si>
    <t>331W24188</t>
  </si>
  <si>
    <t>WILLIAMSON, JOHN</t>
  </si>
  <si>
    <t>9E38YY0MT36</t>
  </si>
  <si>
    <t>574W24286</t>
  </si>
  <si>
    <t>LAIN, TERESA</t>
  </si>
  <si>
    <t>6GH0DE0HD17</t>
  </si>
  <si>
    <t>461W24123</t>
  </si>
  <si>
    <t>RYSTED, DAVID</t>
  </si>
  <si>
    <t>6X23YP8DC82</t>
  </si>
  <si>
    <t>641W24303</t>
  </si>
  <si>
    <t>GANGNON, CONNIE</t>
  </si>
  <si>
    <t>6H05MM8QG54</t>
  </si>
  <si>
    <t>407W24929</t>
  </si>
  <si>
    <t>STEELE, SHARON</t>
  </si>
  <si>
    <t>2JP1U73EW97</t>
  </si>
  <si>
    <t>205M00134</t>
  </si>
  <si>
    <t>WOLBRINK, BART</t>
  </si>
  <si>
    <t>1HC1XX7VX98</t>
  </si>
  <si>
    <t>029W24748</t>
  </si>
  <si>
    <t>MAGNA, CARL</t>
  </si>
  <si>
    <t>3VT5QU9DH99</t>
  </si>
  <si>
    <t>810W24548</t>
  </si>
  <si>
    <t>RYSTED, KATHLEE</t>
  </si>
  <si>
    <t>2HM6C22QJ45</t>
  </si>
  <si>
    <t>910W24439</t>
  </si>
  <si>
    <t>MANGANO, JULIA</t>
  </si>
  <si>
    <t>1R92UN9YA80</t>
  </si>
  <si>
    <t>612W25182</t>
  </si>
  <si>
    <t>BULTMAN, BRUCE</t>
  </si>
  <si>
    <t>3J86ME2QM46</t>
  </si>
  <si>
    <t>000W24385</t>
  </si>
  <si>
    <t>VORIS, DANNY</t>
  </si>
  <si>
    <t>4DA4GH6KV04</t>
  </si>
  <si>
    <t>INITIAL</t>
  </si>
  <si>
    <t>672W24975</t>
  </si>
  <si>
    <t>SURFACE, DOROTHY</t>
  </si>
  <si>
    <t>5TP7MN8QJ37</t>
  </si>
  <si>
    <t>530M71263</t>
  </si>
  <si>
    <t>LYELL, JOHN</t>
  </si>
  <si>
    <t>3TH8PG4GT49</t>
  </si>
  <si>
    <t>339W25134</t>
  </si>
  <si>
    <t>OOLEY, PHYLLIS</t>
  </si>
  <si>
    <t>6MX9K72NY36</t>
  </si>
  <si>
    <t>747W02885</t>
  </si>
  <si>
    <t>BARRETT, KIM</t>
  </si>
  <si>
    <t>6TM2W46KN70</t>
  </si>
  <si>
    <t>750W25136</t>
  </si>
  <si>
    <t>OOLEY, DANNY</t>
  </si>
  <si>
    <t>7K29D53AF55</t>
  </si>
  <si>
    <t>640W24767</t>
  </si>
  <si>
    <t>MONTGOMERY, LISA</t>
  </si>
  <si>
    <t>7UU2Y68YA24</t>
  </si>
  <si>
    <t>118M64511</t>
  </si>
  <si>
    <t>LYELL, THOMAS</t>
  </si>
  <si>
    <t>8V24HC1XF65</t>
  </si>
  <si>
    <t>030W24880</t>
  </si>
  <si>
    <t>KENT, CLIFTON</t>
  </si>
  <si>
    <t>9G26Y94VV66</t>
  </si>
  <si>
    <t>HANSFORD, GREGORY</t>
  </si>
  <si>
    <t>022W14511</t>
  </si>
  <si>
    <t>PUETZER, JANICE</t>
  </si>
  <si>
    <t>5T45H98AC54</t>
  </si>
  <si>
    <t>BRANDT, STEVEN K</t>
  </si>
  <si>
    <t>OH</t>
  </si>
  <si>
    <t>145W27335</t>
  </si>
  <si>
    <t>728C</t>
  </si>
  <si>
    <t>ELLIOTT, C</t>
  </si>
  <si>
    <t>8GH7AQ4WE38</t>
  </si>
  <si>
    <t>206W27296</t>
  </si>
  <si>
    <t>SHUMAKER, STEPHEN</t>
  </si>
  <si>
    <t>8JC1M49WD31</t>
  </si>
  <si>
    <t>310W18437</t>
  </si>
  <si>
    <t>HARVEY, KAREN</t>
  </si>
  <si>
    <t>1GJ9RG6QW13</t>
  </si>
  <si>
    <t>517W26544</t>
  </si>
  <si>
    <t>JETER, ANTHONY</t>
  </si>
  <si>
    <t>7EY1HW9WV34</t>
  </si>
  <si>
    <t>HALSAVER, JENNIFER L</t>
  </si>
  <si>
    <t>018W25251</t>
  </si>
  <si>
    <t>HOGAN, MICHAL</t>
  </si>
  <si>
    <t>7X00K09CD21</t>
  </si>
  <si>
    <t>502W24995</t>
  </si>
  <si>
    <t>REFAI, BASSAM</t>
  </si>
  <si>
    <t>9A22T17GX89</t>
  </si>
  <si>
    <t>BROUSSEAU, CHRISTOPHER</t>
  </si>
  <si>
    <t>733W26414</t>
  </si>
  <si>
    <t>LIVINGSTON, FRANCES</t>
  </si>
  <si>
    <t>4F09DF2YA19</t>
  </si>
  <si>
    <t>TN</t>
  </si>
  <si>
    <t>835W27120</t>
  </si>
  <si>
    <t>622C</t>
  </si>
  <si>
    <t>MILLER, ERIK</t>
  </si>
  <si>
    <t>6EX3VM0TV92</t>
  </si>
  <si>
    <t>TX</t>
  </si>
  <si>
    <t>907W26893</t>
  </si>
  <si>
    <t>602C</t>
  </si>
  <si>
    <t>COFFEY, JACK</t>
  </si>
  <si>
    <t>5HJ6YQ1DM55</t>
  </si>
  <si>
    <t>972W22875</t>
  </si>
  <si>
    <t>628C</t>
  </si>
  <si>
    <t>SKIPWORTH, DEBORAH</t>
  </si>
  <si>
    <t>9M88C01JJ24</t>
  </si>
  <si>
    <t>RICHTER, ADAM J</t>
  </si>
  <si>
    <t>VA</t>
  </si>
  <si>
    <t>502W27335</t>
  </si>
  <si>
    <t>DIXON, SHIRLEY</t>
  </si>
  <si>
    <t>1TF4AN5GV09</t>
  </si>
  <si>
    <t>WI</t>
  </si>
  <si>
    <t>121W24900</t>
  </si>
  <si>
    <t>423C</t>
  </si>
  <si>
    <t>MASAMITSU, ELIZABE</t>
  </si>
  <si>
    <t>1E48MX8EK51</t>
  </si>
  <si>
    <t>845W26780</t>
  </si>
  <si>
    <t>LAMBERT, LORI</t>
  </si>
  <si>
    <t>3HY7T51NA40</t>
  </si>
  <si>
    <t>516W26857</t>
  </si>
  <si>
    <t>ROBINSON, SANDRA</t>
  </si>
  <si>
    <t>1W65HK1HP75</t>
  </si>
  <si>
    <t>ADVINT</t>
  </si>
  <si>
    <t>ADVINT  REINSTATE</t>
  </si>
  <si>
    <t>788W24089</t>
  </si>
  <si>
    <t>METCALF, JAY</t>
  </si>
  <si>
    <t>9MU5GX9QU79</t>
  </si>
  <si>
    <t>HODGMAN, TIMOTHY D</t>
  </si>
  <si>
    <t>003W25213</t>
  </si>
  <si>
    <t>BEHRENS, BRIAN</t>
  </si>
  <si>
    <t>5NY9R71TF42</t>
  </si>
  <si>
    <t>474W25206</t>
  </si>
  <si>
    <t>KROKEN, DUANE</t>
  </si>
  <si>
    <t>3EX9YM0TU42</t>
  </si>
  <si>
    <t>215W25138</t>
  </si>
  <si>
    <t>LILLA, JEFFREY</t>
  </si>
  <si>
    <t>6MD1Y17UC22</t>
  </si>
  <si>
    <t>745W25023</t>
  </si>
  <si>
    <t>MOEHRING, LINDA</t>
  </si>
  <si>
    <t>7GH0UX0TA15</t>
  </si>
  <si>
    <t>625W25104</t>
  </si>
  <si>
    <t>OHALLERAN, THOMAS</t>
  </si>
  <si>
    <t>3AQ0MP5HM39</t>
  </si>
  <si>
    <t>360W24948</t>
  </si>
  <si>
    <t>CLEMENS, KYLEMAR</t>
  </si>
  <si>
    <t>6A82X83RY16</t>
  </si>
  <si>
    <t>733W25023</t>
  </si>
  <si>
    <t>MOEHRING JR, CHARLES</t>
  </si>
  <si>
    <t>5UU5DG6ND65</t>
  </si>
  <si>
    <t>752M00116</t>
  </si>
  <si>
    <t>DEDINSKY, GARY</t>
  </si>
  <si>
    <t>1TA2KJ3DW96</t>
  </si>
  <si>
    <t>YES</t>
  </si>
  <si>
    <t>761W17740</t>
  </si>
  <si>
    <t>PODGORSKI, STANLEY</t>
  </si>
  <si>
    <t>8EA8WV4KJ46</t>
  </si>
  <si>
    <t>526W17632</t>
  </si>
  <si>
    <t>DEMICH, JAMIE</t>
  </si>
  <si>
    <t>6YW9YW0MU11</t>
  </si>
  <si>
    <t>Elevance Plan A, F, G, and N 65+ - IN</t>
  </si>
  <si>
    <t>Elevance MAPD 2026*</t>
  </si>
  <si>
    <t>Elevance 2026</t>
  </si>
  <si>
    <t>[%/$=347][prorate=1/12]</t>
  </si>
  <si>
    <t>[%/$=347][prorate=6/12]</t>
  </si>
  <si>
    <t>Elevance 2026 CA, NJ*</t>
  </si>
  <si>
    <t>[%/$=432][prorate=6/12]</t>
  </si>
  <si>
    <t>[%/$=694]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</si>
</sst>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1BFD-1333-4CB0-8799-3404667B9D07}">
  <dimension ref="A1:AB98"/>
  <sheetViews>
    <sheetView topLeftCell="I1" workbookViewId="0">
      <selection activeCell="I1" sqref="A1:XFD1048576"/>
    </sheetView>
  </sheetViews>
  <sheetFormatPr defaultRowHeight="15" x14ac:dyDescent="0.25"/>
  <cols>
    <col min="1" max="1" width="22.5703125" bestFit="1" customWidth="1"/>
    <col min="2" max="2" width="19" bestFit="1" customWidth="1"/>
    <col min="3" max="3" width="25.14062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35.28515625" bestFit="1" customWidth="1"/>
    <col min="10" max="10" width="15" bestFit="1" customWidth="1"/>
    <col min="11" max="11" width="20.140625" bestFit="1" customWidth="1"/>
    <col min="12" max="12" width="10.140625" bestFit="1" customWidth="1"/>
    <col min="13" max="13" width="12.7109375" bestFit="1" customWidth="1"/>
    <col min="14" max="14" width="7.28515625" bestFit="1" customWidth="1"/>
    <col min="15" max="15" width="10" bestFit="1" customWidth="1"/>
    <col min="16" max="16" width="12" bestFit="1" customWidth="1"/>
    <col min="17" max="17" width="9.7109375" bestFit="1" customWidth="1"/>
    <col min="18" max="18" width="4.140625" bestFit="1" customWidth="1"/>
    <col min="19" max="19" width="5.5703125" bestFit="1" customWidth="1"/>
    <col min="20" max="20" width="8.5703125" bestFit="1" customWidth="1"/>
    <col min="21" max="21" width="9.5703125" bestFit="1" customWidth="1"/>
    <col min="22" max="22" width="14.28515625" bestFit="1" customWidth="1"/>
    <col min="23" max="23" width="19.28515625" bestFit="1" customWidth="1"/>
    <col min="24" max="24" width="23.140625" bestFit="1" customWidth="1"/>
    <col min="25" max="25" width="9.5703125" bestFit="1" customWidth="1"/>
    <col min="26" max="26" width="18.42578125" bestFit="1" customWidth="1"/>
    <col min="27" max="27" width="26.7109375" bestFit="1" customWidth="1"/>
    <col min="28" max="28" width="32.2851562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163.41</v>
      </c>
    </row>
    <row r="2" spans="1:28" x14ac:dyDescent="0.25">
      <c r="A2" t="s">
        <v>3</v>
      </c>
      <c r="E2" t="s">
        <v>4</v>
      </c>
      <c r="I2" t="s">
        <v>5</v>
      </c>
      <c r="K2">
        <v>20076.54</v>
      </c>
    </row>
    <row r="3" spans="1:28" x14ac:dyDescent="0.25">
      <c r="A3" t="s">
        <v>6</v>
      </c>
      <c r="E3" t="s">
        <v>7</v>
      </c>
      <c r="I3" t="s">
        <v>8</v>
      </c>
      <c r="K3">
        <v>1286.04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1286.04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18754354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46204</v>
      </c>
      <c r="M14" t="s">
        <v>53</v>
      </c>
      <c r="N14" s="2">
        <v>36</v>
      </c>
      <c r="O14" t="s">
        <v>54</v>
      </c>
      <c r="P14">
        <v>100</v>
      </c>
      <c r="Q14" s="1">
        <v>46204</v>
      </c>
      <c r="R14">
        <v>1</v>
      </c>
      <c r="S14">
        <v>0</v>
      </c>
      <c r="T14">
        <v>0</v>
      </c>
      <c r="U14">
        <v>0</v>
      </c>
      <c r="W14">
        <v>0</v>
      </c>
      <c r="X14">
        <v>0</v>
      </c>
      <c r="Y14">
        <v>36</v>
      </c>
      <c r="Z14" t="s">
        <v>55</v>
      </c>
      <c r="AA14">
        <v>216</v>
      </c>
      <c r="AB14">
        <v>216</v>
      </c>
    </row>
    <row r="15" spans="1:28" x14ac:dyDescent="0.25">
      <c r="B15">
        <v>18754354</v>
      </c>
      <c r="C15" t="s">
        <v>45</v>
      </c>
      <c r="D15" t="s">
        <v>46</v>
      </c>
      <c r="E15" t="s">
        <v>47</v>
      </c>
      <c r="F15" t="s">
        <v>48</v>
      </c>
      <c r="G15" t="s">
        <v>49</v>
      </c>
      <c r="H15" t="s">
        <v>50</v>
      </c>
      <c r="I15" t="s">
        <v>51</v>
      </c>
      <c r="J15" t="s">
        <v>52</v>
      </c>
      <c r="K15" s="1">
        <v>46204</v>
      </c>
      <c r="M15" t="s">
        <v>53</v>
      </c>
      <c r="N15" s="2">
        <v>36</v>
      </c>
      <c r="O15" t="s">
        <v>54</v>
      </c>
      <c r="P15">
        <v>100</v>
      </c>
      <c r="Q15" s="1">
        <v>46235</v>
      </c>
      <c r="R15">
        <v>1</v>
      </c>
      <c r="S15">
        <v>0</v>
      </c>
      <c r="T15">
        <v>0</v>
      </c>
      <c r="U15">
        <v>0</v>
      </c>
      <c r="W15">
        <v>0</v>
      </c>
      <c r="X15">
        <v>0</v>
      </c>
      <c r="Y15">
        <v>36</v>
      </c>
      <c r="Z15" t="s">
        <v>56</v>
      </c>
    </row>
    <row r="16" spans="1:28" x14ac:dyDescent="0.25">
      <c r="B16">
        <v>18754354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s="1">
        <v>46204</v>
      </c>
      <c r="M16" t="s">
        <v>53</v>
      </c>
      <c r="N16" s="2">
        <v>36</v>
      </c>
      <c r="O16" t="s">
        <v>54</v>
      </c>
      <c r="P16">
        <v>100</v>
      </c>
      <c r="Q16" s="1">
        <v>46266</v>
      </c>
      <c r="R16">
        <v>1</v>
      </c>
      <c r="S16">
        <v>0</v>
      </c>
      <c r="T16">
        <v>0</v>
      </c>
      <c r="U16">
        <v>0</v>
      </c>
      <c r="W16">
        <v>0</v>
      </c>
      <c r="X16">
        <v>0</v>
      </c>
      <c r="Y16">
        <v>36</v>
      </c>
      <c r="Z16" t="s">
        <v>56</v>
      </c>
    </row>
    <row r="17" spans="2:28" x14ac:dyDescent="0.25">
      <c r="B17">
        <v>18754354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s="1">
        <v>46204</v>
      </c>
      <c r="M17" t="s">
        <v>53</v>
      </c>
      <c r="N17" s="2">
        <v>36</v>
      </c>
      <c r="O17" t="s">
        <v>54</v>
      </c>
      <c r="P17">
        <v>100</v>
      </c>
      <c r="Q17" s="1">
        <v>46296</v>
      </c>
      <c r="R17">
        <v>1</v>
      </c>
      <c r="S17">
        <v>0</v>
      </c>
      <c r="T17">
        <v>0</v>
      </c>
      <c r="U17">
        <v>0</v>
      </c>
      <c r="W17">
        <v>0</v>
      </c>
      <c r="X17">
        <v>0</v>
      </c>
      <c r="Y17">
        <v>36</v>
      </c>
      <c r="Z17" t="s">
        <v>56</v>
      </c>
    </row>
    <row r="18" spans="2:28" x14ac:dyDescent="0.25">
      <c r="B18">
        <v>18754354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t="s">
        <v>50</v>
      </c>
      <c r="I18" t="s">
        <v>51</v>
      </c>
      <c r="J18" t="s">
        <v>52</v>
      </c>
      <c r="K18" s="1">
        <v>46204</v>
      </c>
      <c r="M18" t="s">
        <v>53</v>
      </c>
      <c r="N18" s="2">
        <v>36</v>
      </c>
      <c r="O18" t="s">
        <v>54</v>
      </c>
      <c r="P18">
        <v>100</v>
      </c>
      <c r="Q18" s="1">
        <v>46327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36</v>
      </c>
      <c r="Z18" t="s">
        <v>56</v>
      </c>
    </row>
    <row r="19" spans="2:28" x14ac:dyDescent="0.25">
      <c r="B19">
        <v>18754354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s="1">
        <v>46204</v>
      </c>
      <c r="M19" t="s">
        <v>53</v>
      </c>
      <c r="N19" s="2">
        <v>36</v>
      </c>
      <c r="O19" t="s">
        <v>54</v>
      </c>
      <c r="P19">
        <v>100</v>
      </c>
      <c r="Q19" s="1">
        <v>46357</v>
      </c>
      <c r="R19">
        <v>1</v>
      </c>
      <c r="S19">
        <v>0</v>
      </c>
      <c r="T19">
        <v>0</v>
      </c>
      <c r="U19">
        <v>0</v>
      </c>
      <c r="W19">
        <v>0</v>
      </c>
      <c r="X19">
        <v>0</v>
      </c>
      <c r="Y19">
        <v>36</v>
      </c>
      <c r="Z19" t="s">
        <v>56</v>
      </c>
    </row>
    <row r="20" spans="2:28" x14ac:dyDescent="0.25">
      <c r="B20">
        <v>19645587</v>
      </c>
      <c r="C20" t="s">
        <v>57</v>
      </c>
      <c r="D20" t="s">
        <v>46</v>
      </c>
      <c r="E20" t="s">
        <v>47</v>
      </c>
      <c r="F20" t="s">
        <v>58</v>
      </c>
      <c r="G20" t="s">
        <v>49</v>
      </c>
      <c r="H20" t="s">
        <v>50</v>
      </c>
      <c r="I20" t="s">
        <v>59</v>
      </c>
      <c r="J20" t="s">
        <v>60</v>
      </c>
      <c r="K20" s="1">
        <v>46023</v>
      </c>
      <c r="M20" t="s">
        <v>53</v>
      </c>
      <c r="N20" s="2">
        <v>65</v>
      </c>
      <c r="O20" t="s">
        <v>54</v>
      </c>
      <c r="P20">
        <v>100</v>
      </c>
      <c r="Q20" s="1">
        <v>46204</v>
      </c>
      <c r="R20">
        <v>1</v>
      </c>
      <c r="S20">
        <v>0</v>
      </c>
      <c r="T20">
        <v>390</v>
      </c>
      <c r="U20">
        <v>0</v>
      </c>
      <c r="W20">
        <v>0</v>
      </c>
      <c r="X20">
        <v>0</v>
      </c>
      <c r="Y20">
        <v>0</v>
      </c>
      <c r="AA20">
        <v>751.92</v>
      </c>
      <c r="AB20">
        <v>751.92</v>
      </c>
    </row>
    <row r="21" spans="2:28" x14ac:dyDescent="0.25">
      <c r="B21">
        <v>21348299</v>
      </c>
      <c r="C21" t="s">
        <v>61</v>
      </c>
      <c r="D21" t="s">
        <v>46</v>
      </c>
      <c r="E21" t="s">
        <v>47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s="1">
        <v>46023</v>
      </c>
      <c r="O21" t="s">
        <v>54</v>
      </c>
      <c r="P21">
        <v>100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 t="s">
        <v>67</v>
      </c>
      <c r="AA21">
        <v>0</v>
      </c>
      <c r="AB21">
        <v>0</v>
      </c>
    </row>
    <row r="22" spans="2:28" x14ac:dyDescent="0.25">
      <c r="B22">
        <v>17859093</v>
      </c>
      <c r="C22" t="s">
        <v>68</v>
      </c>
      <c r="D22" t="s">
        <v>46</v>
      </c>
      <c r="E22" t="s">
        <v>47</v>
      </c>
      <c r="F22" t="s">
        <v>69</v>
      </c>
      <c r="G22" t="s">
        <v>49</v>
      </c>
      <c r="H22" t="s">
        <v>50</v>
      </c>
      <c r="I22" t="s">
        <v>70</v>
      </c>
      <c r="J22" t="s">
        <v>71</v>
      </c>
      <c r="K22" s="1">
        <v>46054</v>
      </c>
      <c r="M22" t="s">
        <v>53</v>
      </c>
      <c r="N22" s="2">
        <v>65</v>
      </c>
      <c r="O22" t="s">
        <v>54</v>
      </c>
      <c r="P22">
        <v>100</v>
      </c>
      <c r="Q22" s="1">
        <v>46204</v>
      </c>
      <c r="R22">
        <v>1</v>
      </c>
      <c r="S22">
        <v>0</v>
      </c>
      <c r="T22">
        <v>455</v>
      </c>
      <c r="U22">
        <v>0</v>
      </c>
      <c r="W22">
        <v>0</v>
      </c>
      <c r="X22">
        <v>0</v>
      </c>
      <c r="Y22">
        <v>0</v>
      </c>
      <c r="AA22">
        <v>0</v>
      </c>
      <c r="AB22">
        <v>0</v>
      </c>
    </row>
    <row r="23" spans="2:28" x14ac:dyDescent="0.25">
      <c r="B23">
        <v>6634327</v>
      </c>
      <c r="C23" t="s">
        <v>72</v>
      </c>
      <c r="D23" t="s">
        <v>24</v>
      </c>
      <c r="E23" t="s">
        <v>47</v>
      </c>
      <c r="F23" t="s">
        <v>73</v>
      </c>
      <c r="G23" t="s">
        <v>63</v>
      </c>
      <c r="H23" t="s">
        <v>74</v>
      </c>
      <c r="I23" t="s">
        <v>75</v>
      </c>
      <c r="J23" t="s">
        <v>76</v>
      </c>
      <c r="K23" s="1">
        <v>46082</v>
      </c>
      <c r="O23" t="s">
        <v>54</v>
      </c>
      <c r="P23">
        <v>100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Z23" t="s">
        <v>67</v>
      </c>
      <c r="AA23">
        <v>0</v>
      </c>
      <c r="AB23">
        <v>0</v>
      </c>
    </row>
    <row r="24" spans="2:28" x14ac:dyDescent="0.25">
      <c r="B24">
        <v>19645587</v>
      </c>
      <c r="C24" t="s">
        <v>57</v>
      </c>
      <c r="D24" t="s">
        <v>77</v>
      </c>
      <c r="E24" t="s">
        <v>47</v>
      </c>
      <c r="F24" t="s">
        <v>78</v>
      </c>
      <c r="G24" t="s">
        <v>49</v>
      </c>
      <c r="H24" t="s">
        <v>79</v>
      </c>
      <c r="I24" t="s">
        <v>80</v>
      </c>
      <c r="J24" t="s">
        <v>81</v>
      </c>
      <c r="K24" s="1">
        <v>45931</v>
      </c>
      <c r="M24" t="s">
        <v>53</v>
      </c>
      <c r="N24" s="2">
        <v>28.92</v>
      </c>
      <c r="O24" t="s">
        <v>54</v>
      </c>
      <c r="P24">
        <v>100</v>
      </c>
      <c r="Q24" s="1">
        <v>46204</v>
      </c>
      <c r="R24">
        <v>1</v>
      </c>
      <c r="S24">
        <v>0</v>
      </c>
      <c r="T24">
        <v>0</v>
      </c>
      <c r="U24">
        <v>0</v>
      </c>
      <c r="W24">
        <v>0</v>
      </c>
      <c r="X24">
        <v>0</v>
      </c>
      <c r="Y24">
        <v>28.92</v>
      </c>
      <c r="AA24">
        <v>751.92</v>
      </c>
      <c r="AB24">
        <v>751.92</v>
      </c>
    </row>
    <row r="25" spans="2:28" x14ac:dyDescent="0.25">
      <c r="B25">
        <v>16849453</v>
      </c>
      <c r="C25" t="s">
        <v>82</v>
      </c>
      <c r="D25" t="s">
        <v>83</v>
      </c>
      <c r="E25" t="s">
        <v>47</v>
      </c>
      <c r="F25" t="s">
        <v>84</v>
      </c>
      <c r="G25" t="s">
        <v>63</v>
      </c>
      <c r="H25" t="s">
        <v>85</v>
      </c>
      <c r="I25" t="s">
        <v>86</v>
      </c>
      <c r="J25" t="s">
        <v>87</v>
      </c>
      <c r="K25" s="1">
        <v>46082</v>
      </c>
      <c r="O25" t="s">
        <v>54</v>
      </c>
      <c r="P25">
        <v>100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  <c r="Z25" t="s">
        <v>67</v>
      </c>
      <c r="AA25">
        <v>173.52</v>
      </c>
      <c r="AB25">
        <v>173.52</v>
      </c>
    </row>
    <row r="26" spans="2:28" x14ac:dyDescent="0.25">
      <c r="B26">
        <v>16849453</v>
      </c>
      <c r="C26" t="s">
        <v>82</v>
      </c>
      <c r="D26" t="s">
        <v>83</v>
      </c>
      <c r="E26" t="s">
        <v>47</v>
      </c>
      <c r="F26" t="s">
        <v>88</v>
      </c>
      <c r="G26" t="s">
        <v>63</v>
      </c>
      <c r="H26" t="s">
        <v>85</v>
      </c>
      <c r="I26" t="s">
        <v>89</v>
      </c>
      <c r="J26" t="s">
        <v>90</v>
      </c>
      <c r="K26" s="1">
        <v>46082</v>
      </c>
      <c r="O26" t="s">
        <v>54</v>
      </c>
      <c r="P26">
        <v>100</v>
      </c>
      <c r="S26">
        <v>0</v>
      </c>
      <c r="T26">
        <v>0</v>
      </c>
      <c r="U26">
        <v>0</v>
      </c>
      <c r="W26">
        <v>0</v>
      </c>
      <c r="X26">
        <v>0</v>
      </c>
      <c r="Y26">
        <v>0</v>
      </c>
      <c r="Z26" t="s">
        <v>67</v>
      </c>
    </row>
    <row r="27" spans="2:28" x14ac:dyDescent="0.25">
      <c r="B27">
        <v>16849453</v>
      </c>
      <c r="C27" t="s">
        <v>82</v>
      </c>
      <c r="D27" t="s">
        <v>83</v>
      </c>
      <c r="E27" t="s">
        <v>47</v>
      </c>
      <c r="F27" t="s">
        <v>91</v>
      </c>
      <c r="G27" t="s">
        <v>49</v>
      </c>
      <c r="H27" t="s">
        <v>92</v>
      </c>
      <c r="I27" t="s">
        <v>93</v>
      </c>
      <c r="J27" t="s">
        <v>94</v>
      </c>
      <c r="K27" s="1">
        <v>46174</v>
      </c>
      <c r="M27" t="s">
        <v>53</v>
      </c>
      <c r="N27" s="2">
        <v>52.17</v>
      </c>
      <c r="O27" t="s">
        <v>54</v>
      </c>
      <c r="P27">
        <v>100</v>
      </c>
      <c r="Q27" s="1">
        <v>46204</v>
      </c>
      <c r="R27">
        <v>1</v>
      </c>
      <c r="S27">
        <v>0</v>
      </c>
      <c r="T27">
        <v>573.87</v>
      </c>
      <c r="U27">
        <v>0</v>
      </c>
      <c r="W27">
        <v>0</v>
      </c>
      <c r="X27">
        <v>0</v>
      </c>
      <c r="Y27">
        <v>0</v>
      </c>
    </row>
    <row r="28" spans="2:28" x14ac:dyDescent="0.25">
      <c r="B28">
        <v>16849453</v>
      </c>
      <c r="C28" t="s">
        <v>82</v>
      </c>
      <c r="D28" t="s">
        <v>83</v>
      </c>
      <c r="E28" t="s">
        <v>47</v>
      </c>
      <c r="F28" t="s">
        <v>95</v>
      </c>
      <c r="G28" t="s">
        <v>63</v>
      </c>
      <c r="H28" t="s">
        <v>85</v>
      </c>
      <c r="I28" t="s">
        <v>96</v>
      </c>
      <c r="J28" t="s">
        <v>97</v>
      </c>
      <c r="K28" s="1">
        <v>46054</v>
      </c>
      <c r="O28" t="s">
        <v>54</v>
      </c>
      <c r="P28">
        <v>100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 t="s">
        <v>67</v>
      </c>
    </row>
    <row r="29" spans="2:28" x14ac:dyDescent="0.25">
      <c r="B29">
        <v>16849453</v>
      </c>
      <c r="C29" t="s">
        <v>82</v>
      </c>
      <c r="D29" t="s">
        <v>83</v>
      </c>
      <c r="E29" t="s">
        <v>47</v>
      </c>
      <c r="F29" t="s">
        <v>98</v>
      </c>
      <c r="G29" t="s">
        <v>49</v>
      </c>
      <c r="H29" t="s">
        <v>92</v>
      </c>
      <c r="I29" t="s">
        <v>99</v>
      </c>
      <c r="J29" t="s">
        <v>100</v>
      </c>
      <c r="K29" s="1">
        <v>46143</v>
      </c>
      <c r="M29" t="s">
        <v>53</v>
      </c>
      <c r="N29" s="2">
        <v>52.17</v>
      </c>
      <c r="O29" t="s">
        <v>54</v>
      </c>
      <c r="P29">
        <v>100</v>
      </c>
      <c r="Q29" s="1">
        <v>46204</v>
      </c>
      <c r="R29">
        <v>1</v>
      </c>
      <c r="S29">
        <v>0</v>
      </c>
      <c r="T29">
        <v>521.70000000000005</v>
      </c>
      <c r="U29">
        <v>0</v>
      </c>
      <c r="W29">
        <v>0</v>
      </c>
      <c r="X29">
        <v>0</v>
      </c>
      <c r="Y29">
        <v>0</v>
      </c>
    </row>
    <row r="30" spans="2:28" x14ac:dyDescent="0.25">
      <c r="B30">
        <v>16849453</v>
      </c>
      <c r="C30" t="s">
        <v>82</v>
      </c>
      <c r="D30" t="s">
        <v>83</v>
      </c>
      <c r="E30" t="s">
        <v>47</v>
      </c>
      <c r="F30" t="s">
        <v>101</v>
      </c>
      <c r="G30" t="s">
        <v>49</v>
      </c>
      <c r="H30" t="s">
        <v>92</v>
      </c>
      <c r="I30" t="s">
        <v>102</v>
      </c>
      <c r="J30" t="s">
        <v>103</v>
      </c>
      <c r="K30" s="1">
        <v>46054</v>
      </c>
      <c r="M30" t="s">
        <v>53</v>
      </c>
      <c r="N30" s="2">
        <v>28.92</v>
      </c>
      <c r="O30" t="s">
        <v>54</v>
      </c>
      <c r="P30">
        <v>100</v>
      </c>
      <c r="Q30" s="1">
        <v>46204</v>
      </c>
      <c r="R30">
        <v>1</v>
      </c>
      <c r="S30">
        <v>0</v>
      </c>
      <c r="T30">
        <v>173.52</v>
      </c>
      <c r="U30">
        <v>0</v>
      </c>
      <c r="W30">
        <v>0</v>
      </c>
      <c r="X30">
        <v>0</v>
      </c>
      <c r="Y30">
        <v>0</v>
      </c>
    </row>
    <row r="31" spans="2:28" x14ac:dyDescent="0.25">
      <c r="B31">
        <v>16849453</v>
      </c>
      <c r="C31" t="s">
        <v>82</v>
      </c>
      <c r="D31" t="s">
        <v>83</v>
      </c>
      <c r="E31" t="s">
        <v>47</v>
      </c>
      <c r="F31" t="s">
        <v>104</v>
      </c>
      <c r="G31" t="s">
        <v>49</v>
      </c>
      <c r="H31" t="s">
        <v>85</v>
      </c>
      <c r="I31" t="s">
        <v>105</v>
      </c>
      <c r="J31" t="s">
        <v>106</v>
      </c>
      <c r="K31" s="1">
        <v>46082</v>
      </c>
      <c r="M31" t="s">
        <v>53</v>
      </c>
      <c r="N31" s="3">
        <v>0</v>
      </c>
      <c r="O31" t="s">
        <v>54</v>
      </c>
      <c r="P31">
        <v>100</v>
      </c>
      <c r="Q31" s="1">
        <v>46204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</row>
    <row r="32" spans="2:28" x14ac:dyDescent="0.25">
      <c r="B32">
        <v>16849453</v>
      </c>
      <c r="C32" t="s">
        <v>82</v>
      </c>
      <c r="D32" t="s">
        <v>83</v>
      </c>
      <c r="E32" t="s">
        <v>47</v>
      </c>
      <c r="F32" t="s">
        <v>107</v>
      </c>
      <c r="G32" t="s">
        <v>49</v>
      </c>
      <c r="H32" t="s">
        <v>92</v>
      </c>
      <c r="I32" t="s">
        <v>108</v>
      </c>
      <c r="J32" t="s">
        <v>109</v>
      </c>
      <c r="K32" s="1">
        <v>46204</v>
      </c>
      <c r="M32" t="s">
        <v>53</v>
      </c>
      <c r="N32" s="2">
        <v>28.92</v>
      </c>
      <c r="O32" t="s">
        <v>54</v>
      </c>
      <c r="P32">
        <v>100</v>
      </c>
      <c r="Q32" s="1">
        <v>46204</v>
      </c>
      <c r="R32">
        <v>1</v>
      </c>
      <c r="S32">
        <v>0</v>
      </c>
      <c r="T32">
        <v>0</v>
      </c>
      <c r="U32">
        <v>0</v>
      </c>
      <c r="W32">
        <v>0</v>
      </c>
      <c r="X32">
        <v>0</v>
      </c>
      <c r="Y32">
        <v>28.92</v>
      </c>
      <c r="Z32" t="s">
        <v>55</v>
      </c>
    </row>
    <row r="33" spans="2:28" x14ac:dyDescent="0.25">
      <c r="B33">
        <v>16849453</v>
      </c>
      <c r="C33" t="s">
        <v>82</v>
      </c>
      <c r="D33" t="s">
        <v>83</v>
      </c>
      <c r="E33" t="s">
        <v>47</v>
      </c>
      <c r="F33" t="s">
        <v>107</v>
      </c>
      <c r="G33" t="s">
        <v>49</v>
      </c>
      <c r="H33" t="s">
        <v>92</v>
      </c>
      <c r="I33" t="s">
        <v>108</v>
      </c>
      <c r="J33" t="s">
        <v>109</v>
      </c>
      <c r="K33" s="1">
        <v>46204</v>
      </c>
      <c r="M33" t="s">
        <v>53</v>
      </c>
      <c r="N33" s="2">
        <v>28.92</v>
      </c>
      <c r="O33" t="s">
        <v>54</v>
      </c>
      <c r="P33">
        <v>100</v>
      </c>
      <c r="Q33" s="1">
        <v>46235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28.92</v>
      </c>
      <c r="Z33" t="s">
        <v>56</v>
      </c>
    </row>
    <row r="34" spans="2:28" x14ac:dyDescent="0.25">
      <c r="B34">
        <v>16849453</v>
      </c>
      <c r="C34" t="s">
        <v>82</v>
      </c>
      <c r="D34" t="s">
        <v>83</v>
      </c>
      <c r="E34" t="s">
        <v>47</v>
      </c>
      <c r="F34" t="s">
        <v>107</v>
      </c>
      <c r="G34" t="s">
        <v>49</v>
      </c>
      <c r="H34" t="s">
        <v>92</v>
      </c>
      <c r="I34" t="s">
        <v>108</v>
      </c>
      <c r="J34" t="s">
        <v>109</v>
      </c>
      <c r="K34" s="1">
        <v>46204</v>
      </c>
      <c r="M34" t="s">
        <v>53</v>
      </c>
      <c r="N34" s="2">
        <v>28.92</v>
      </c>
      <c r="O34" t="s">
        <v>54</v>
      </c>
      <c r="P34">
        <v>100</v>
      </c>
      <c r="Q34" s="1">
        <v>46266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28.92</v>
      </c>
      <c r="Z34" t="s">
        <v>56</v>
      </c>
    </row>
    <row r="35" spans="2:28" x14ac:dyDescent="0.25">
      <c r="B35">
        <v>16849453</v>
      </c>
      <c r="C35" t="s">
        <v>82</v>
      </c>
      <c r="D35" t="s">
        <v>83</v>
      </c>
      <c r="E35" t="s">
        <v>47</v>
      </c>
      <c r="F35" t="s">
        <v>107</v>
      </c>
      <c r="G35" t="s">
        <v>49</v>
      </c>
      <c r="H35" t="s">
        <v>92</v>
      </c>
      <c r="I35" t="s">
        <v>108</v>
      </c>
      <c r="J35" t="s">
        <v>109</v>
      </c>
      <c r="K35" s="1">
        <v>46204</v>
      </c>
      <c r="M35" t="s">
        <v>53</v>
      </c>
      <c r="N35" s="2">
        <v>28.92</v>
      </c>
      <c r="O35" t="s">
        <v>54</v>
      </c>
      <c r="P35">
        <v>100</v>
      </c>
      <c r="Q35" s="1">
        <v>46296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28.92</v>
      </c>
      <c r="Z35" t="s">
        <v>56</v>
      </c>
    </row>
    <row r="36" spans="2:28" x14ac:dyDescent="0.25">
      <c r="B36">
        <v>16849453</v>
      </c>
      <c r="C36" t="s">
        <v>82</v>
      </c>
      <c r="D36" t="s">
        <v>83</v>
      </c>
      <c r="E36" t="s">
        <v>47</v>
      </c>
      <c r="F36" t="s">
        <v>107</v>
      </c>
      <c r="G36" t="s">
        <v>49</v>
      </c>
      <c r="H36" t="s">
        <v>92</v>
      </c>
      <c r="I36" t="s">
        <v>108</v>
      </c>
      <c r="J36" t="s">
        <v>109</v>
      </c>
      <c r="K36" s="1">
        <v>46204</v>
      </c>
      <c r="M36" t="s">
        <v>53</v>
      </c>
      <c r="N36" s="2">
        <v>28.92</v>
      </c>
      <c r="O36" t="s">
        <v>54</v>
      </c>
      <c r="P36">
        <v>100</v>
      </c>
      <c r="Q36" s="1">
        <v>46327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28.92</v>
      </c>
      <c r="Z36" t="s">
        <v>56</v>
      </c>
    </row>
    <row r="37" spans="2:28" x14ac:dyDescent="0.25">
      <c r="B37">
        <v>16849453</v>
      </c>
      <c r="C37" t="s">
        <v>82</v>
      </c>
      <c r="D37" t="s">
        <v>83</v>
      </c>
      <c r="E37" t="s">
        <v>47</v>
      </c>
      <c r="F37" t="s">
        <v>107</v>
      </c>
      <c r="G37" t="s">
        <v>49</v>
      </c>
      <c r="H37" t="s">
        <v>92</v>
      </c>
      <c r="I37" t="s">
        <v>108</v>
      </c>
      <c r="J37" t="s">
        <v>109</v>
      </c>
      <c r="K37" s="1">
        <v>46204</v>
      </c>
      <c r="M37" t="s">
        <v>53</v>
      </c>
      <c r="N37" s="2">
        <v>28.92</v>
      </c>
      <c r="O37" t="s">
        <v>54</v>
      </c>
      <c r="P37">
        <v>100</v>
      </c>
      <c r="Q37" s="1">
        <v>46357</v>
      </c>
      <c r="R37">
        <v>1</v>
      </c>
      <c r="S37">
        <v>0</v>
      </c>
      <c r="T37">
        <v>0</v>
      </c>
      <c r="U37">
        <v>0</v>
      </c>
      <c r="W37">
        <v>0</v>
      </c>
      <c r="X37">
        <v>0</v>
      </c>
      <c r="Y37">
        <v>28.92</v>
      </c>
      <c r="Z37" t="s">
        <v>56</v>
      </c>
    </row>
    <row r="38" spans="2:28" x14ac:dyDescent="0.25">
      <c r="B38">
        <v>16849453</v>
      </c>
      <c r="C38" t="s">
        <v>82</v>
      </c>
      <c r="D38" t="s">
        <v>83</v>
      </c>
      <c r="E38" t="s">
        <v>47</v>
      </c>
      <c r="F38" t="s">
        <v>110</v>
      </c>
      <c r="G38" t="s">
        <v>63</v>
      </c>
      <c r="H38" t="s">
        <v>85</v>
      </c>
      <c r="I38" t="s">
        <v>111</v>
      </c>
      <c r="J38" t="s">
        <v>112</v>
      </c>
      <c r="K38" s="1">
        <v>46204</v>
      </c>
      <c r="O38" t="s">
        <v>54</v>
      </c>
      <c r="P38">
        <v>100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 t="s">
        <v>67</v>
      </c>
    </row>
    <row r="39" spans="2:28" x14ac:dyDescent="0.25">
      <c r="B39">
        <v>16849453</v>
      </c>
      <c r="C39" t="s">
        <v>82</v>
      </c>
      <c r="D39" t="s">
        <v>83</v>
      </c>
      <c r="E39" t="s">
        <v>47</v>
      </c>
      <c r="F39" t="s">
        <v>113</v>
      </c>
      <c r="G39" t="s">
        <v>63</v>
      </c>
      <c r="H39" t="s">
        <v>85</v>
      </c>
      <c r="I39" t="s">
        <v>114</v>
      </c>
      <c r="J39" t="s">
        <v>115</v>
      </c>
      <c r="K39" s="1">
        <v>46054</v>
      </c>
      <c r="O39" t="s">
        <v>54</v>
      </c>
      <c r="P39">
        <v>100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 t="s">
        <v>67</v>
      </c>
    </row>
    <row r="40" spans="2:28" x14ac:dyDescent="0.25">
      <c r="B40">
        <v>19645587</v>
      </c>
      <c r="C40" t="s">
        <v>57</v>
      </c>
      <c r="D40" t="s">
        <v>83</v>
      </c>
      <c r="E40" t="s">
        <v>47</v>
      </c>
      <c r="F40" t="s">
        <v>116</v>
      </c>
      <c r="G40" t="s">
        <v>49</v>
      </c>
      <c r="H40" t="s">
        <v>92</v>
      </c>
      <c r="I40" t="s">
        <v>117</v>
      </c>
      <c r="J40" t="s">
        <v>118</v>
      </c>
      <c r="K40" s="1">
        <v>45658</v>
      </c>
      <c r="M40" t="s">
        <v>53</v>
      </c>
      <c r="N40" s="2">
        <v>28.92</v>
      </c>
      <c r="O40" t="s">
        <v>54</v>
      </c>
      <c r="P40">
        <v>100</v>
      </c>
      <c r="Q40" s="1">
        <v>46204</v>
      </c>
      <c r="R40">
        <v>1</v>
      </c>
      <c r="S40">
        <v>0</v>
      </c>
      <c r="T40">
        <v>0</v>
      </c>
      <c r="U40">
        <v>0</v>
      </c>
      <c r="W40">
        <v>0</v>
      </c>
      <c r="X40">
        <v>0</v>
      </c>
      <c r="Y40">
        <v>28.92</v>
      </c>
      <c r="AA40">
        <v>751.92</v>
      </c>
      <c r="AB40">
        <v>751.92</v>
      </c>
    </row>
    <row r="41" spans="2:28" x14ac:dyDescent="0.25">
      <c r="B41">
        <v>20724564</v>
      </c>
      <c r="C41" t="s">
        <v>119</v>
      </c>
      <c r="D41" t="s">
        <v>83</v>
      </c>
      <c r="E41" t="s">
        <v>47</v>
      </c>
      <c r="F41" t="s">
        <v>120</v>
      </c>
      <c r="G41" t="s">
        <v>63</v>
      </c>
      <c r="H41" t="s">
        <v>85</v>
      </c>
      <c r="I41" t="s">
        <v>121</v>
      </c>
      <c r="J41" t="s">
        <v>122</v>
      </c>
      <c r="K41" s="1">
        <v>45901</v>
      </c>
      <c r="O41" t="s">
        <v>54</v>
      </c>
      <c r="P41">
        <v>100</v>
      </c>
      <c r="S41">
        <v>0</v>
      </c>
      <c r="T41">
        <v>0</v>
      </c>
      <c r="U41">
        <v>0</v>
      </c>
      <c r="W41">
        <v>0</v>
      </c>
      <c r="X41">
        <v>0</v>
      </c>
      <c r="Y41">
        <v>0</v>
      </c>
      <c r="Z41" t="s">
        <v>67</v>
      </c>
      <c r="AA41">
        <v>0</v>
      </c>
      <c r="AB41">
        <v>0</v>
      </c>
    </row>
    <row r="42" spans="2:28" x14ac:dyDescent="0.25">
      <c r="B42">
        <v>20724564</v>
      </c>
      <c r="C42" t="s">
        <v>119</v>
      </c>
      <c r="D42" t="s">
        <v>83</v>
      </c>
      <c r="E42" t="s">
        <v>47</v>
      </c>
      <c r="F42" t="s">
        <v>123</v>
      </c>
      <c r="G42" t="s">
        <v>49</v>
      </c>
      <c r="H42" t="s">
        <v>92</v>
      </c>
      <c r="I42" t="s">
        <v>124</v>
      </c>
      <c r="J42" t="s">
        <v>125</v>
      </c>
      <c r="K42" s="1">
        <v>46023</v>
      </c>
      <c r="M42" t="s">
        <v>53</v>
      </c>
      <c r="N42" s="2">
        <v>28.92</v>
      </c>
      <c r="O42" t="s">
        <v>54</v>
      </c>
      <c r="P42">
        <v>100</v>
      </c>
      <c r="Q42" s="1">
        <v>46204</v>
      </c>
      <c r="R42">
        <v>1</v>
      </c>
      <c r="S42">
        <v>0</v>
      </c>
      <c r="T42">
        <v>173.52</v>
      </c>
      <c r="U42">
        <v>0</v>
      </c>
      <c r="W42">
        <v>0</v>
      </c>
      <c r="X42">
        <v>0</v>
      </c>
      <c r="Y42">
        <v>0</v>
      </c>
    </row>
    <row r="43" spans="2:28" x14ac:dyDescent="0.25">
      <c r="B43">
        <v>20724564</v>
      </c>
      <c r="C43" t="s">
        <v>119</v>
      </c>
      <c r="D43" t="s">
        <v>83</v>
      </c>
      <c r="E43" t="s">
        <v>47</v>
      </c>
      <c r="F43" t="s">
        <v>126</v>
      </c>
      <c r="G43" t="s">
        <v>63</v>
      </c>
      <c r="H43" t="s">
        <v>85</v>
      </c>
      <c r="I43" t="s">
        <v>127</v>
      </c>
      <c r="J43" t="s">
        <v>128</v>
      </c>
      <c r="K43" s="1">
        <v>45901</v>
      </c>
      <c r="O43" t="s">
        <v>54</v>
      </c>
      <c r="P43">
        <v>100</v>
      </c>
      <c r="S43">
        <v>0</v>
      </c>
      <c r="T43">
        <v>0</v>
      </c>
      <c r="U43">
        <v>0</v>
      </c>
      <c r="W43">
        <v>0</v>
      </c>
      <c r="X43">
        <v>0</v>
      </c>
      <c r="Y43">
        <v>0</v>
      </c>
      <c r="Z43" t="s">
        <v>67</v>
      </c>
    </row>
    <row r="44" spans="2:28" x14ac:dyDescent="0.25">
      <c r="B44">
        <v>20724564</v>
      </c>
      <c r="C44" t="s">
        <v>119</v>
      </c>
      <c r="D44" t="s">
        <v>83</v>
      </c>
      <c r="E44" t="s">
        <v>47</v>
      </c>
      <c r="F44" t="s">
        <v>129</v>
      </c>
      <c r="G44" t="s">
        <v>63</v>
      </c>
      <c r="H44" t="s">
        <v>85</v>
      </c>
      <c r="I44" t="s">
        <v>130</v>
      </c>
      <c r="J44" t="s">
        <v>131</v>
      </c>
      <c r="K44" s="1">
        <v>45931</v>
      </c>
      <c r="O44" t="s">
        <v>54</v>
      </c>
      <c r="P44">
        <v>100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 t="s">
        <v>67</v>
      </c>
    </row>
    <row r="45" spans="2:28" x14ac:dyDescent="0.25">
      <c r="B45">
        <v>20724564</v>
      </c>
      <c r="C45" t="s">
        <v>119</v>
      </c>
      <c r="D45" t="s">
        <v>83</v>
      </c>
      <c r="E45" t="s">
        <v>47</v>
      </c>
      <c r="F45" t="s">
        <v>132</v>
      </c>
      <c r="G45" t="s">
        <v>63</v>
      </c>
      <c r="H45" t="s">
        <v>85</v>
      </c>
      <c r="I45" t="s">
        <v>133</v>
      </c>
      <c r="J45" t="s">
        <v>134</v>
      </c>
      <c r="K45" s="1">
        <v>45839</v>
      </c>
      <c r="O45" t="s">
        <v>54</v>
      </c>
      <c r="P45">
        <v>100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 t="s">
        <v>67</v>
      </c>
    </row>
    <row r="46" spans="2:28" x14ac:dyDescent="0.25">
      <c r="B46">
        <v>20724564</v>
      </c>
      <c r="C46" t="s">
        <v>119</v>
      </c>
      <c r="D46" t="s">
        <v>83</v>
      </c>
      <c r="E46" t="s">
        <v>47</v>
      </c>
      <c r="F46" t="s">
        <v>135</v>
      </c>
      <c r="G46" t="s">
        <v>63</v>
      </c>
      <c r="H46" t="s">
        <v>85</v>
      </c>
      <c r="I46" t="s">
        <v>136</v>
      </c>
      <c r="J46" t="s">
        <v>137</v>
      </c>
      <c r="K46" s="1">
        <v>45931</v>
      </c>
      <c r="O46" t="s">
        <v>54</v>
      </c>
      <c r="P46">
        <v>100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 t="s">
        <v>67</v>
      </c>
    </row>
    <row r="47" spans="2:28" x14ac:dyDescent="0.25">
      <c r="B47">
        <v>20724564</v>
      </c>
      <c r="C47" t="s">
        <v>119</v>
      </c>
      <c r="D47" t="s">
        <v>83</v>
      </c>
      <c r="E47" t="s">
        <v>47</v>
      </c>
      <c r="F47" t="s">
        <v>138</v>
      </c>
      <c r="G47" t="s">
        <v>63</v>
      </c>
      <c r="H47" t="s">
        <v>85</v>
      </c>
      <c r="I47" t="s">
        <v>139</v>
      </c>
      <c r="J47" t="s">
        <v>140</v>
      </c>
      <c r="K47" s="1">
        <v>46023</v>
      </c>
      <c r="O47" t="s">
        <v>54</v>
      </c>
      <c r="P47">
        <v>100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 t="s">
        <v>67</v>
      </c>
    </row>
    <row r="48" spans="2:28" x14ac:dyDescent="0.25">
      <c r="B48">
        <v>20724564</v>
      </c>
      <c r="C48" t="s">
        <v>119</v>
      </c>
      <c r="D48" t="s">
        <v>83</v>
      </c>
      <c r="E48" t="s">
        <v>47</v>
      </c>
      <c r="F48" t="s">
        <v>141</v>
      </c>
      <c r="G48" t="s">
        <v>63</v>
      </c>
      <c r="H48" t="s">
        <v>85</v>
      </c>
      <c r="I48" t="s">
        <v>142</v>
      </c>
      <c r="J48" t="s">
        <v>143</v>
      </c>
      <c r="K48" s="1">
        <v>45901</v>
      </c>
      <c r="O48" t="s">
        <v>54</v>
      </c>
      <c r="P48">
        <v>100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 t="s">
        <v>67</v>
      </c>
    </row>
    <row r="49" spans="2:28" x14ac:dyDescent="0.25">
      <c r="B49">
        <v>20724564</v>
      </c>
      <c r="C49" t="s">
        <v>119</v>
      </c>
      <c r="D49" t="s">
        <v>83</v>
      </c>
      <c r="E49" t="s">
        <v>47</v>
      </c>
      <c r="F49" t="s">
        <v>144</v>
      </c>
      <c r="G49" t="s">
        <v>63</v>
      </c>
      <c r="H49" t="s">
        <v>85</v>
      </c>
      <c r="I49" t="s">
        <v>145</v>
      </c>
      <c r="J49" t="s">
        <v>146</v>
      </c>
      <c r="K49" s="1">
        <v>45931</v>
      </c>
      <c r="O49" t="s">
        <v>54</v>
      </c>
      <c r="P49">
        <v>100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 t="s">
        <v>67</v>
      </c>
    </row>
    <row r="50" spans="2:28" x14ac:dyDescent="0.25">
      <c r="B50">
        <v>20724564</v>
      </c>
      <c r="C50" t="s">
        <v>119</v>
      </c>
      <c r="D50" t="s">
        <v>83</v>
      </c>
      <c r="E50" t="s">
        <v>47</v>
      </c>
      <c r="F50" t="s">
        <v>147</v>
      </c>
      <c r="G50" t="s">
        <v>63</v>
      </c>
      <c r="H50" t="s">
        <v>85</v>
      </c>
      <c r="I50" t="s">
        <v>148</v>
      </c>
      <c r="J50" t="s">
        <v>149</v>
      </c>
      <c r="K50" s="1">
        <v>45931</v>
      </c>
      <c r="O50" t="s">
        <v>54</v>
      </c>
      <c r="P50">
        <v>100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 t="s">
        <v>67</v>
      </c>
    </row>
    <row r="51" spans="2:28" x14ac:dyDescent="0.25">
      <c r="B51">
        <v>20724564</v>
      </c>
      <c r="C51" t="s">
        <v>119</v>
      </c>
      <c r="D51" t="s">
        <v>83</v>
      </c>
      <c r="E51" t="s">
        <v>47</v>
      </c>
      <c r="F51" t="s">
        <v>150</v>
      </c>
      <c r="G51" t="s">
        <v>63</v>
      </c>
      <c r="H51" t="s">
        <v>85</v>
      </c>
      <c r="I51" t="s">
        <v>151</v>
      </c>
      <c r="J51" t="s">
        <v>152</v>
      </c>
      <c r="K51" s="1">
        <v>45901</v>
      </c>
      <c r="O51" t="s">
        <v>54</v>
      </c>
      <c r="P51">
        <v>100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Z51" t="s">
        <v>67</v>
      </c>
    </row>
    <row r="52" spans="2:28" x14ac:dyDescent="0.25">
      <c r="B52">
        <v>20724564</v>
      </c>
      <c r="C52" t="s">
        <v>119</v>
      </c>
      <c r="D52" t="s">
        <v>83</v>
      </c>
      <c r="E52" t="s">
        <v>47</v>
      </c>
      <c r="F52" t="s">
        <v>153</v>
      </c>
      <c r="G52" t="s">
        <v>63</v>
      </c>
      <c r="H52" t="s">
        <v>85</v>
      </c>
      <c r="I52" t="s">
        <v>154</v>
      </c>
      <c r="J52" t="s">
        <v>155</v>
      </c>
      <c r="K52" s="1">
        <v>45992</v>
      </c>
      <c r="O52" t="s">
        <v>54</v>
      </c>
      <c r="P52">
        <v>100</v>
      </c>
      <c r="S52">
        <v>0</v>
      </c>
      <c r="T52">
        <v>0</v>
      </c>
      <c r="U52">
        <v>0</v>
      </c>
      <c r="W52">
        <v>0</v>
      </c>
      <c r="X52">
        <v>0</v>
      </c>
      <c r="Y52">
        <v>0</v>
      </c>
      <c r="Z52" t="s">
        <v>67</v>
      </c>
    </row>
    <row r="53" spans="2:28" x14ac:dyDescent="0.25">
      <c r="B53">
        <v>20724564</v>
      </c>
      <c r="C53" t="s">
        <v>119</v>
      </c>
      <c r="D53" t="s">
        <v>83</v>
      </c>
      <c r="E53" t="s">
        <v>47</v>
      </c>
      <c r="F53" t="s">
        <v>156</v>
      </c>
      <c r="G53" t="s">
        <v>63</v>
      </c>
      <c r="H53" t="s">
        <v>85</v>
      </c>
      <c r="I53" t="s">
        <v>157</v>
      </c>
      <c r="J53" t="s">
        <v>158</v>
      </c>
      <c r="K53" s="1">
        <v>45962</v>
      </c>
      <c r="M53" t="s">
        <v>53</v>
      </c>
      <c r="N53" s="3">
        <v>0.21</v>
      </c>
      <c r="O53" t="s">
        <v>54</v>
      </c>
      <c r="P53">
        <v>100</v>
      </c>
      <c r="Q53" s="1">
        <v>46204</v>
      </c>
      <c r="R53">
        <v>1</v>
      </c>
      <c r="S53">
        <v>0</v>
      </c>
      <c r="T53">
        <v>34.31</v>
      </c>
      <c r="U53">
        <v>163.41</v>
      </c>
      <c r="V53" t="s">
        <v>159</v>
      </c>
      <c r="W53">
        <v>0</v>
      </c>
      <c r="X53">
        <v>0</v>
      </c>
      <c r="Y53">
        <v>0</v>
      </c>
    </row>
    <row r="54" spans="2:28" x14ac:dyDescent="0.25">
      <c r="B54">
        <v>20724564</v>
      </c>
      <c r="C54" t="s">
        <v>119</v>
      </c>
      <c r="D54" t="s">
        <v>83</v>
      </c>
      <c r="E54" t="s">
        <v>47</v>
      </c>
      <c r="F54" t="s">
        <v>160</v>
      </c>
      <c r="G54" t="s">
        <v>49</v>
      </c>
      <c r="H54" t="s">
        <v>92</v>
      </c>
      <c r="I54" t="s">
        <v>161</v>
      </c>
      <c r="J54" t="s">
        <v>162</v>
      </c>
      <c r="K54" s="1">
        <v>46023</v>
      </c>
      <c r="M54" t="s">
        <v>53</v>
      </c>
      <c r="N54" s="2">
        <v>28.92</v>
      </c>
      <c r="O54" t="s">
        <v>54</v>
      </c>
      <c r="P54">
        <v>100</v>
      </c>
      <c r="Q54" s="1">
        <v>46204</v>
      </c>
      <c r="R54">
        <v>1</v>
      </c>
      <c r="S54">
        <v>0</v>
      </c>
      <c r="T54">
        <v>173.52</v>
      </c>
      <c r="U54">
        <v>0</v>
      </c>
      <c r="W54">
        <v>0</v>
      </c>
      <c r="X54">
        <v>0</v>
      </c>
      <c r="Y54">
        <v>0</v>
      </c>
    </row>
    <row r="55" spans="2:28" x14ac:dyDescent="0.25">
      <c r="B55">
        <v>20724564</v>
      </c>
      <c r="C55" t="s">
        <v>119</v>
      </c>
      <c r="D55" t="s">
        <v>83</v>
      </c>
      <c r="E55" t="s">
        <v>47</v>
      </c>
      <c r="F55" t="s">
        <v>163</v>
      </c>
      <c r="G55" t="s">
        <v>49</v>
      </c>
      <c r="H55" t="s">
        <v>92</v>
      </c>
      <c r="I55" t="s">
        <v>164</v>
      </c>
      <c r="J55" t="s">
        <v>165</v>
      </c>
      <c r="K55" s="1">
        <v>46023</v>
      </c>
      <c r="M55" t="s">
        <v>53</v>
      </c>
      <c r="N55" s="2">
        <v>52.17</v>
      </c>
      <c r="O55" t="s">
        <v>54</v>
      </c>
      <c r="P55">
        <v>100</v>
      </c>
      <c r="Q55" s="1">
        <v>46204</v>
      </c>
      <c r="R55">
        <v>1</v>
      </c>
      <c r="S55">
        <v>0</v>
      </c>
      <c r="T55">
        <v>313.02</v>
      </c>
      <c r="U55">
        <v>0</v>
      </c>
      <c r="W55">
        <v>0</v>
      </c>
      <c r="X55">
        <v>0</v>
      </c>
      <c r="Y55">
        <v>0</v>
      </c>
    </row>
    <row r="56" spans="2:28" x14ac:dyDescent="0.25">
      <c r="B56">
        <v>20724564</v>
      </c>
      <c r="C56" t="s">
        <v>119</v>
      </c>
      <c r="D56" t="s">
        <v>83</v>
      </c>
      <c r="E56" t="s">
        <v>47</v>
      </c>
      <c r="F56" t="s">
        <v>166</v>
      </c>
      <c r="G56" t="s">
        <v>63</v>
      </c>
      <c r="H56" t="s">
        <v>85</v>
      </c>
      <c r="I56" t="s">
        <v>167</v>
      </c>
      <c r="J56" t="s">
        <v>168</v>
      </c>
      <c r="K56" s="1">
        <v>46023</v>
      </c>
      <c r="O56" t="s">
        <v>54</v>
      </c>
      <c r="P56">
        <v>100</v>
      </c>
      <c r="S56">
        <v>0</v>
      </c>
      <c r="T56">
        <v>0</v>
      </c>
      <c r="U56">
        <v>0</v>
      </c>
      <c r="W56">
        <v>0</v>
      </c>
      <c r="X56">
        <v>0</v>
      </c>
      <c r="Y56">
        <v>0</v>
      </c>
      <c r="Z56" t="s">
        <v>67</v>
      </c>
    </row>
    <row r="57" spans="2:28" x14ac:dyDescent="0.25">
      <c r="B57">
        <v>20724564</v>
      </c>
      <c r="C57" t="s">
        <v>119</v>
      </c>
      <c r="D57" t="s">
        <v>83</v>
      </c>
      <c r="E57" t="s">
        <v>47</v>
      </c>
      <c r="F57" t="s">
        <v>169</v>
      </c>
      <c r="G57" t="s">
        <v>49</v>
      </c>
      <c r="H57" t="s">
        <v>92</v>
      </c>
      <c r="I57" t="s">
        <v>170</v>
      </c>
      <c r="J57" t="s">
        <v>171</v>
      </c>
      <c r="K57" s="1">
        <v>46023</v>
      </c>
      <c r="M57" t="s">
        <v>53</v>
      </c>
      <c r="N57" s="2">
        <v>28.92</v>
      </c>
      <c r="O57" t="s">
        <v>54</v>
      </c>
      <c r="P57">
        <v>100</v>
      </c>
      <c r="Q57" s="1">
        <v>46204</v>
      </c>
      <c r="R57">
        <v>1</v>
      </c>
      <c r="S57">
        <v>0</v>
      </c>
      <c r="T57">
        <v>173.52</v>
      </c>
      <c r="U57">
        <v>0</v>
      </c>
      <c r="W57">
        <v>0</v>
      </c>
      <c r="X57">
        <v>0</v>
      </c>
      <c r="Y57">
        <v>0</v>
      </c>
    </row>
    <row r="58" spans="2:28" x14ac:dyDescent="0.25">
      <c r="B58">
        <v>20724564</v>
      </c>
      <c r="C58" t="s">
        <v>119</v>
      </c>
      <c r="D58" t="s">
        <v>83</v>
      </c>
      <c r="E58" t="s">
        <v>47</v>
      </c>
      <c r="F58" t="s">
        <v>172</v>
      </c>
      <c r="G58" t="s">
        <v>63</v>
      </c>
      <c r="H58" t="s">
        <v>85</v>
      </c>
      <c r="I58" t="s">
        <v>173</v>
      </c>
      <c r="J58" t="s">
        <v>174</v>
      </c>
      <c r="K58" s="1">
        <v>46023</v>
      </c>
      <c r="O58" t="s">
        <v>54</v>
      </c>
      <c r="P58">
        <v>100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 t="s">
        <v>67</v>
      </c>
    </row>
    <row r="59" spans="2:28" x14ac:dyDescent="0.25">
      <c r="B59">
        <v>20724564</v>
      </c>
      <c r="C59" t="s">
        <v>119</v>
      </c>
      <c r="D59" t="s">
        <v>83</v>
      </c>
      <c r="E59" t="s">
        <v>47</v>
      </c>
      <c r="F59" t="s">
        <v>175</v>
      </c>
      <c r="G59" t="s">
        <v>63</v>
      </c>
      <c r="H59" t="s">
        <v>85</v>
      </c>
      <c r="I59" t="s">
        <v>176</v>
      </c>
      <c r="J59" t="s">
        <v>177</v>
      </c>
      <c r="K59" s="1">
        <v>45931</v>
      </c>
      <c r="O59" t="s">
        <v>54</v>
      </c>
      <c r="P59">
        <v>100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 t="s">
        <v>67</v>
      </c>
    </row>
    <row r="60" spans="2:28" x14ac:dyDescent="0.25">
      <c r="B60">
        <v>20724564</v>
      </c>
      <c r="C60" t="s">
        <v>119</v>
      </c>
      <c r="D60" t="s">
        <v>83</v>
      </c>
      <c r="E60" t="s">
        <v>47</v>
      </c>
      <c r="F60" t="s">
        <v>178</v>
      </c>
      <c r="G60" t="s">
        <v>49</v>
      </c>
      <c r="H60" t="s">
        <v>92</v>
      </c>
      <c r="I60" t="s">
        <v>179</v>
      </c>
      <c r="J60" t="s">
        <v>180</v>
      </c>
      <c r="K60" s="1">
        <v>46023</v>
      </c>
      <c r="M60" t="s">
        <v>53</v>
      </c>
      <c r="N60" s="2">
        <v>52.17</v>
      </c>
      <c r="O60" t="s">
        <v>54</v>
      </c>
      <c r="P60">
        <v>100</v>
      </c>
      <c r="Q60" s="1">
        <v>46204</v>
      </c>
      <c r="R60">
        <v>1</v>
      </c>
      <c r="S60">
        <v>0</v>
      </c>
      <c r="T60">
        <v>313.02</v>
      </c>
      <c r="U60">
        <v>0</v>
      </c>
      <c r="W60">
        <v>0</v>
      </c>
      <c r="X60">
        <v>0</v>
      </c>
      <c r="Y60">
        <v>0</v>
      </c>
    </row>
    <row r="61" spans="2:28" x14ac:dyDescent="0.25">
      <c r="B61">
        <v>20724564</v>
      </c>
      <c r="C61" t="s">
        <v>119</v>
      </c>
      <c r="D61" t="s">
        <v>83</v>
      </c>
      <c r="E61" t="s">
        <v>47</v>
      </c>
      <c r="F61" t="s">
        <v>181</v>
      </c>
      <c r="G61" t="s">
        <v>63</v>
      </c>
      <c r="H61" t="s">
        <v>85</v>
      </c>
      <c r="I61" t="s">
        <v>182</v>
      </c>
      <c r="J61" t="s">
        <v>183</v>
      </c>
      <c r="K61" s="1">
        <v>46023</v>
      </c>
      <c r="O61" t="s">
        <v>54</v>
      </c>
      <c r="P61">
        <v>100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 t="s">
        <v>67</v>
      </c>
    </row>
    <row r="62" spans="2:28" x14ac:dyDescent="0.25">
      <c r="B62">
        <v>17094718</v>
      </c>
      <c r="C62" t="s">
        <v>184</v>
      </c>
      <c r="D62" t="s">
        <v>83</v>
      </c>
      <c r="E62" t="s">
        <v>47</v>
      </c>
      <c r="F62" t="s">
        <v>185</v>
      </c>
      <c r="G62" t="s">
        <v>49</v>
      </c>
      <c r="H62" t="s">
        <v>92</v>
      </c>
      <c r="I62" t="s">
        <v>186</v>
      </c>
      <c r="J62" t="s">
        <v>187</v>
      </c>
      <c r="K62" s="1">
        <v>45658</v>
      </c>
      <c r="M62" t="s">
        <v>53</v>
      </c>
      <c r="N62" s="2">
        <v>28.92</v>
      </c>
      <c r="O62" t="s">
        <v>54</v>
      </c>
      <c r="P62">
        <v>100</v>
      </c>
      <c r="Q62" s="1">
        <v>46204</v>
      </c>
      <c r="R62">
        <v>1</v>
      </c>
      <c r="S62">
        <v>0</v>
      </c>
      <c r="T62">
        <v>0</v>
      </c>
      <c r="U62">
        <v>0</v>
      </c>
      <c r="W62">
        <v>0</v>
      </c>
      <c r="X62">
        <v>0</v>
      </c>
      <c r="Y62">
        <v>28.92</v>
      </c>
      <c r="AA62">
        <v>57.84</v>
      </c>
      <c r="AB62">
        <v>57.84</v>
      </c>
    </row>
    <row r="63" spans="2:28" x14ac:dyDescent="0.25">
      <c r="B63">
        <v>19491313</v>
      </c>
      <c r="C63" t="s">
        <v>188</v>
      </c>
      <c r="D63" t="s">
        <v>189</v>
      </c>
      <c r="E63" t="s">
        <v>47</v>
      </c>
      <c r="F63" t="s">
        <v>190</v>
      </c>
      <c r="G63" t="s">
        <v>49</v>
      </c>
      <c r="H63" t="s">
        <v>191</v>
      </c>
      <c r="I63" t="s">
        <v>192</v>
      </c>
      <c r="J63" t="s">
        <v>193</v>
      </c>
      <c r="K63" s="1">
        <v>46174</v>
      </c>
      <c r="M63" t="s">
        <v>53</v>
      </c>
      <c r="N63" s="2">
        <v>28.92</v>
      </c>
      <c r="O63" t="s">
        <v>54</v>
      </c>
      <c r="P63">
        <v>100</v>
      </c>
      <c r="Q63" s="1">
        <v>46204</v>
      </c>
      <c r="R63">
        <v>1</v>
      </c>
      <c r="S63">
        <v>0</v>
      </c>
      <c r="T63">
        <v>173.52</v>
      </c>
      <c r="U63">
        <v>0</v>
      </c>
      <c r="W63">
        <v>0</v>
      </c>
      <c r="X63">
        <v>0</v>
      </c>
      <c r="Y63">
        <v>0</v>
      </c>
      <c r="AA63">
        <v>0</v>
      </c>
      <c r="AB63">
        <v>0</v>
      </c>
    </row>
    <row r="64" spans="2:28" x14ac:dyDescent="0.25">
      <c r="B64">
        <v>19491313</v>
      </c>
      <c r="C64" t="s">
        <v>188</v>
      </c>
      <c r="D64" t="s">
        <v>189</v>
      </c>
      <c r="E64" t="s">
        <v>47</v>
      </c>
      <c r="F64" t="s">
        <v>194</v>
      </c>
      <c r="G64" t="s">
        <v>63</v>
      </c>
      <c r="H64" t="s">
        <v>191</v>
      </c>
      <c r="I64" t="s">
        <v>195</v>
      </c>
      <c r="J64" t="s">
        <v>196</v>
      </c>
      <c r="K64" s="1">
        <v>46174</v>
      </c>
      <c r="O64" t="s">
        <v>54</v>
      </c>
      <c r="P64">
        <v>100</v>
      </c>
      <c r="S64">
        <v>0</v>
      </c>
      <c r="T64">
        <v>0</v>
      </c>
      <c r="U64">
        <v>0</v>
      </c>
      <c r="W64">
        <v>0</v>
      </c>
      <c r="X64">
        <v>0</v>
      </c>
      <c r="Y64">
        <v>0</v>
      </c>
      <c r="Z64" t="s">
        <v>67</v>
      </c>
    </row>
    <row r="65" spans="2:28" x14ac:dyDescent="0.25">
      <c r="B65">
        <v>19491313</v>
      </c>
      <c r="C65" t="s">
        <v>188</v>
      </c>
      <c r="D65" t="s">
        <v>189</v>
      </c>
      <c r="E65" t="s">
        <v>47</v>
      </c>
      <c r="F65" t="s">
        <v>197</v>
      </c>
      <c r="G65" t="s">
        <v>49</v>
      </c>
      <c r="H65" t="s">
        <v>191</v>
      </c>
      <c r="I65" t="s">
        <v>198</v>
      </c>
      <c r="J65" t="s">
        <v>199</v>
      </c>
      <c r="K65" s="1">
        <v>46054</v>
      </c>
      <c r="M65" t="s">
        <v>53</v>
      </c>
      <c r="N65" s="2">
        <v>28.92</v>
      </c>
      <c r="O65" t="s">
        <v>54</v>
      </c>
      <c r="P65">
        <v>100</v>
      </c>
      <c r="Q65" s="1">
        <v>46204</v>
      </c>
      <c r="R65">
        <v>1</v>
      </c>
      <c r="S65">
        <v>0</v>
      </c>
      <c r="T65">
        <v>173.52</v>
      </c>
      <c r="U65">
        <v>0</v>
      </c>
      <c r="W65">
        <v>0</v>
      </c>
      <c r="X65">
        <v>0</v>
      </c>
      <c r="Y65">
        <v>0</v>
      </c>
    </row>
    <row r="66" spans="2:28" x14ac:dyDescent="0.25">
      <c r="B66">
        <v>19491313</v>
      </c>
      <c r="C66" t="s">
        <v>188</v>
      </c>
      <c r="D66" t="s">
        <v>189</v>
      </c>
      <c r="E66" t="s">
        <v>47</v>
      </c>
      <c r="F66" t="s">
        <v>200</v>
      </c>
      <c r="G66" t="s">
        <v>49</v>
      </c>
      <c r="H66" t="s">
        <v>191</v>
      </c>
      <c r="I66" t="s">
        <v>201</v>
      </c>
      <c r="J66" t="s">
        <v>202</v>
      </c>
      <c r="K66" s="1">
        <v>46054</v>
      </c>
      <c r="M66" t="s">
        <v>53</v>
      </c>
      <c r="N66" s="2">
        <v>57.84</v>
      </c>
      <c r="O66" t="s">
        <v>54</v>
      </c>
      <c r="P66">
        <v>100</v>
      </c>
      <c r="Q66" s="1">
        <v>46204</v>
      </c>
      <c r="R66">
        <v>1</v>
      </c>
      <c r="S66">
        <v>0</v>
      </c>
      <c r="T66">
        <v>347.04</v>
      </c>
      <c r="U66">
        <v>0</v>
      </c>
      <c r="W66">
        <v>0</v>
      </c>
      <c r="X66">
        <v>0</v>
      </c>
      <c r="Y66">
        <v>0</v>
      </c>
    </row>
    <row r="67" spans="2:28" x14ac:dyDescent="0.25">
      <c r="B67">
        <v>21564088</v>
      </c>
      <c r="C67" t="s">
        <v>203</v>
      </c>
      <c r="D67" t="s">
        <v>189</v>
      </c>
      <c r="E67" t="s">
        <v>47</v>
      </c>
      <c r="F67" t="s">
        <v>204</v>
      </c>
      <c r="G67" t="s">
        <v>63</v>
      </c>
      <c r="H67" t="s">
        <v>191</v>
      </c>
      <c r="I67" t="s">
        <v>205</v>
      </c>
      <c r="J67" t="s">
        <v>206</v>
      </c>
      <c r="K67" s="1">
        <v>45992</v>
      </c>
      <c r="O67" t="s">
        <v>54</v>
      </c>
      <c r="P67">
        <v>100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 t="s">
        <v>67</v>
      </c>
      <c r="AA67">
        <v>0</v>
      </c>
      <c r="AB67">
        <v>0</v>
      </c>
    </row>
    <row r="68" spans="2:28" x14ac:dyDescent="0.25">
      <c r="B68">
        <v>21564088</v>
      </c>
      <c r="C68" t="s">
        <v>203</v>
      </c>
      <c r="D68" t="s">
        <v>189</v>
      </c>
      <c r="E68" t="s">
        <v>47</v>
      </c>
      <c r="F68" t="s">
        <v>207</v>
      </c>
      <c r="G68" t="s">
        <v>63</v>
      </c>
      <c r="H68" t="s">
        <v>191</v>
      </c>
      <c r="I68" t="s">
        <v>208</v>
      </c>
      <c r="J68" t="s">
        <v>209</v>
      </c>
      <c r="K68" s="1">
        <v>45992</v>
      </c>
      <c r="O68" t="s">
        <v>54</v>
      </c>
      <c r="P68">
        <v>100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 t="s">
        <v>67</v>
      </c>
    </row>
    <row r="69" spans="2:28" x14ac:dyDescent="0.25">
      <c r="B69">
        <v>21435997</v>
      </c>
      <c r="C69" t="s">
        <v>210</v>
      </c>
      <c r="D69" t="s">
        <v>189</v>
      </c>
      <c r="E69" t="s">
        <v>47</v>
      </c>
      <c r="F69" t="s">
        <v>211</v>
      </c>
      <c r="G69" t="s">
        <v>49</v>
      </c>
      <c r="H69" t="s">
        <v>191</v>
      </c>
      <c r="I69" t="s">
        <v>212</v>
      </c>
      <c r="J69" t="s">
        <v>213</v>
      </c>
      <c r="K69" s="1">
        <v>46054</v>
      </c>
      <c r="M69" t="s">
        <v>53</v>
      </c>
      <c r="N69" s="2">
        <v>28.92</v>
      </c>
      <c r="O69" t="s">
        <v>54</v>
      </c>
      <c r="P69">
        <v>100</v>
      </c>
      <c r="Q69" s="1">
        <v>46204</v>
      </c>
      <c r="R69">
        <v>1</v>
      </c>
      <c r="S69">
        <v>0</v>
      </c>
      <c r="T69">
        <v>173.52</v>
      </c>
      <c r="U69">
        <v>0</v>
      </c>
      <c r="W69">
        <v>0</v>
      </c>
      <c r="X69">
        <v>0</v>
      </c>
      <c r="Y69">
        <v>0</v>
      </c>
      <c r="AA69">
        <v>0</v>
      </c>
      <c r="AB69">
        <v>0</v>
      </c>
    </row>
    <row r="70" spans="2:28" x14ac:dyDescent="0.25">
      <c r="B70">
        <v>17094718</v>
      </c>
      <c r="C70" t="s">
        <v>184</v>
      </c>
      <c r="D70" t="s">
        <v>214</v>
      </c>
      <c r="E70" t="s">
        <v>47</v>
      </c>
      <c r="F70" t="s">
        <v>215</v>
      </c>
      <c r="G70" t="s">
        <v>49</v>
      </c>
      <c r="H70" t="s">
        <v>216</v>
      </c>
      <c r="I70" t="s">
        <v>217</v>
      </c>
      <c r="J70" t="s">
        <v>218</v>
      </c>
      <c r="K70" s="1">
        <v>46143</v>
      </c>
      <c r="M70" t="s">
        <v>53</v>
      </c>
      <c r="N70" s="2">
        <v>57.84</v>
      </c>
      <c r="O70" t="s">
        <v>54</v>
      </c>
      <c r="P70">
        <v>100</v>
      </c>
      <c r="Q70" s="1">
        <v>46204</v>
      </c>
      <c r="R70">
        <v>1</v>
      </c>
      <c r="S70">
        <v>0</v>
      </c>
      <c r="T70">
        <v>578.4</v>
      </c>
      <c r="U70">
        <v>0</v>
      </c>
      <c r="W70">
        <v>0</v>
      </c>
      <c r="X70">
        <v>0</v>
      </c>
      <c r="Y70">
        <v>0</v>
      </c>
      <c r="AA70">
        <v>57.84</v>
      </c>
      <c r="AB70">
        <v>57.84</v>
      </c>
    </row>
    <row r="71" spans="2:28" x14ac:dyDescent="0.25">
      <c r="B71">
        <v>19645587</v>
      </c>
      <c r="C71" t="s">
        <v>57</v>
      </c>
      <c r="D71" t="s">
        <v>219</v>
      </c>
      <c r="E71" t="s">
        <v>47</v>
      </c>
      <c r="F71" t="s">
        <v>220</v>
      </c>
      <c r="G71" t="s">
        <v>49</v>
      </c>
      <c r="H71" t="s">
        <v>221</v>
      </c>
      <c r="I71" t="s">
        <v>222</v>
      </c>
      <c r="J71" t="s">
        <v>223</v>
      </c>
      <c r="K71" s="1">
        <v>46174</v>
      </c>
      <c r="M71" t="s">
        <v>53</v>
      </c>
      <c r="N71" s="2">
        <v>57.84</v>
      </c>
      <c r="O71" t="s">
        <v>54</v>
      </c>
      <c r="P71">
        <v>100</v>
      </c>
      <c r="Q71" s="1">
        <v>46204</v>
      </c>
      <c r="R71">
        <v>1</v>
      </c>
      <c r="S71">
        <v>0</v>
      </c>
      <c r="T71">
        <v>636.24</v>
      </c>
      <c r="U71">
        <v>0</v>
      </c>
      <c r="W71">
        <v>0</v>
      </c>
      <c r="X71">
        <v>0</v>
      </c>
      <c r="Y71">
        <v>0</v>
      </c>
      <c r="AA71">
        <v>751.92</v>
      </c>
      <c r="AB71">
        <v>751.92</v>
      </c>
    </row>
    <row r="72" spans="2:28" x14ac:dyDescent="0.25">
      <c r="B72">
        <v>17094718</v>
      </c>
      <c r="C72" t="s">
        <v>184</v>
      </c>
      <c r="D72" t="s">
        <v>219</v>
      </c>
      <c r="E72" t="s">
        <v>47</v>
      </c>
      <c r="F72" t="s">
        <v>224</v>
      </c>
      <c r="G72" t="s">
        <v>49</v>
      </c>
      <c r="H72" t="s">
        <v>225</v>
      </c>
      <c r="I72" t="s">
        <v>226</v>
      </c>
      <c r="J72" t="s">
        <v>227</v>
      </c>
      <c r="K72" s="1">
        <v>45689</v>
      </c>
      <c r="M72" t="s">
        <v>53</v>
      </c>
      <c r="N72" s="2">
        <v>28.92</v>
      </c>
      <c r="O72" t="s">
        <v>54</v>
      </c>
      <c r="P72">
        <v>100</v>
      </c>
      <c r="Q72" s="1">
        <v>46204</v>
      </c>
      <c r="R72">
        <v>1</v>
      </c>
      <c r="S72">
        <v>0</v>
      </c>
      <c r="T72">
        <v>0</v>
      </c>
      <c r="U72">
        <v>0</v>
      </c>
      <c r="W72">
        <v>0</v>
      </c>
      <c r="X72">
        <v>0</v>
      </c>
      <c r="Y72">
        <v>28.92</v>
      </c>
      <c r="AA72">
        <v>57.84</v>
      </c>
      <c r="AB72">
        <v>57.84</v>
      </c>
    </row>
    <row r="73" spans="2:28" x14ac:dyDescent="0.25">
      <c r="B73">
        <v>9079571</v>
      </c>
      <c r="C73" t="s">
        <v>228</v>
      </c>
      <c r="D73" t="s">
        <v>229</v>
      </c>
      <c r="E73" t="s">
        <v>47</v>
      </c>
      <c r="F73" t="s">
        <v>230</v>
      </c>
      <c r="G73" t="s">
        <v>49</v>
      </c>
      <c r="H73" t="s">
        <v>92</v>
      </c>
      <c r="I73" t="s">
        <v>231</v>
      </c>
      <c r="J73" t="s">
        <v>232</v>
      </c>
      <c r="K73" s="1">
        <v>46174</v>
      </c>
      <c r="M73" t="s">
        <v>53</v>
      </c>
      <c r="N73" s="2">
        <v>28.92</v>
      </c>
      <c r="O73" t="s">
        <v>54</v>
      </c>
      <c r="P73">
        <v>100</v>
      </c>
      <c r="Q73" s="1">
        <v>46204</v>
      </c>
      <c r="R73">
        <v>1</v>
      </c>
      <c r="S73">
        <v>0</v>
      </c>
      <c r="T73">
        <v>173.52</v>
      </c>
      <c r="U73">
        <v>0</v>
      </c>
      <c r="W73">
        <v>0</v>
      </c>
      <c r="X73">
        <v>0</v>
      </c>
      <c r="Y73">
        <v>0</v>
      </c>
      <c r="AA73">
        <v>0</v>
      </c>
      <c r="AB73">
        <v>0</v>
      </c>
    </row>
    <row r="74" spans="2:28" x14ac:dyDescent="0.25">
      <c r="B74">
        <v>18754354</v>
      </c>
      <c r="C74" t="s">
        <v>45</v>
      </c>
      <c r="D74" t="s">
        <v>233</v>
      </c>
      <c r="E74" t="s">
        <v>47</v>
      </c>
      <c r="F74" t="s">
        <v>234</v>
      </c>
      <c r="G74" t="s">
        <v>49</v>
      </c>
      <c r="H74" t="s">
        <v>235</v>
      </c>
      <c r="I74" t="s">
        <v>236</v>
      </c>
      <c r="J74" t="s">
        <v>237</v>
      </c>
      <c r="K74" s="1">
        <v>46023</v>
      </c>
      <c r="M74" t="s">
        <v>53</v>
      </c>
      <c r="N74" s="2">
        <v>28.92</v>
      </c>
      <c r="O74" t="s">
        <v>54</v>
      </c>
      <c r="P74">
        <v>100</v>
      </c>
      <c r="Q74" s="1">
        <v>46204</v>
      </c>
      <c r="R74">
        <v>1</v>
      </c>
      <c r="S74">
        <v>0</v>
      </c>
      <c r="T74">
        <v>173.52</v>
      </c>
      <c r="U74">
        <v>0</v>
      </c>
      <c r="W74">
        <v>0</v>
      </c>
      <c r="X74">
        <v>0</v>
      </c>
      <c r="Y74">
        <v>0</v>
      </c>
      <c r="AA74">
        <v>216</v>
      </c>
      <c r="AB74">
        <v>216</v>
      </c>
    </row>
    <row r="75" spans="2:28" x14ac:dyDescent="0.25">
      <c r="B75">
        <v>19645587</v>
      </c>
      <c r="C75" t="s">
        <v>57</v>
      </c>
      <c r="D75" t="s">
        <v>233</v>
      </c>
      <c r="E75" t="s">
        <v>47</v>
      </c>
      <c r="F75" t="s">
        <v>238</v>
      </c>
      <c r="G75" t="s">
        <v>49</v>
      </c>
      <c r="H75" t="s">
        <v>235</v>
      </c>
      <c r="I75" t="s">
        <v>239</v>
      </c>
      <c r="J75" t="s">
        <v>240</v>
      </c>
      <c r="K75" s="1">
        <v>46113</v>
      </c>
      <c r="M75" t="s">
        <v>53</v>
      </c>
      <c r="N75" s="2">
        <v>57.84</v>
      </c>
      <c r="O75" t="s">
        <v>54</v>
      </c>
      <c r="P75">
        <v>100</v>
      </c>
      <c r="Q75" s="1">
        <v>46204</v>
      </c>
      <c r="R75">
        <v>1</v>
      </c>
      <c r="S75">
        <v>0</v>
      </c>
      <c r="T75">
        <v>520.55999999999995</v>
      </c>
      <c r="U75">
        <v>0</v>
      </c>
      <c r="W75">
        <v>0</v>
      </c>
      <c r="X75">
        <v>0</v>
      </c>
      <c r="Y75">
        <v>0</v>
      </c>
      <c r="AA75">
        <v>751.92</v>
      </c>
      <c r="AB75">
        <v>751.92</v>
      </c>
    </row>
    <row r="76" spans="2:28" x14ac:dyDescent="0.25">
      <c r="B76">
        <v>19645587</v>
      </c>
      <c r="C76" t="s">
        <v>57</v>
      </c>
      <c r="D76" t="s">
        <v>233</v>
      </c>
      <c r="E76" t="s">
        <v>47</v>
      </c>
      <c r="F76" t="s">
        <v>241</v>
      </c>
      <c r="G76" t="s">
        <v>49</v>
      </c>
      <c r="H76" t="s">
        <v>235</v>
      </c>
      <c r="I76" t="s">
        <v>242</v>
      </c>
      <c r="J76" t="s">
        <v>243</v>
      </c>
      <c r="K76" s="1">
        <v>46174</v>
      </c>
      <c r="M76" t="s">
        <v>53</v>
      </c>
      <c r="N76" s="2">
        <v>57.84</v>
      </c>
      <c r="O76" t="s">
        <v>54</v>
      </c>
      <c r="P76">
        <v>100</v>
      </c>
      <c r="Q76" s="1">
        <v>46023</v>
      </c>
      <c r="R76">
        <v>1</v>
      </c>
      <c r="S76">
        <v>0</v>
      </c>
      <c r="T76">
        <v>0</v>
      </c>
      <c r="U76">
        <v>0</v>
      </c>
      <c r="W76">
        <v>0</v>
      </c>
      <c r="X76">
        <v>0</v>
      </c>
      <c r="Y76">
        <v>57.84</v>
      </c>
      <c r="Z76" t="s">
        <v>244</v>
      </c>
    </row>
    <row r="77" spans="2:28" x14ac:dyDescent="0.25">
      <c r="B77">
        <v>19645587</v>
      </c>
      <c r="C77" t="s">
        <v>57</v>
      </c>
      <c r="D77" t="s">
        <v>233</v>
      </c>
      <c r="E77" t="s">
        <v>47</v>
      </c>
      <c r="F77" t="s">
        <v>241</v>
      </c>
      <c r="G77" t="s">
        <v>49</v>
      </c>
      <c r="H77" t="s">
        <v>235</v>
      </c>
      <c r="I77" t="s">
        <v>242</v>
      </c>
      <c r="J77" t="s">
        <v>243</v>
      </c>
      <c r="K77" s="1">
        <v>46174</v>
      </c>
      <c r="M77" t="s">
        <v>53</v>
      </c>
      <c r="N77" s="2">
        <v>57.84</v>
      </c>
      <c r="O77" t="s">
        <v>54</v>
      </c>
      <c r="P77">
        <v>100</v>
      </c>
      <c r="Q77" s="1">
        <v>46054</v>
      </c>
      <c r="R77">
        <v>1</v>
      </c>
      <c r="S77">
        <v>0</v>
      </c>
      <c r="T77">
        <v>0</v>
      </c>
      <c r="U77">
        <v>0</v>
      </c>
      <c r="W77">
        <v>0</v>
      </c>
      <c r="X77">
        <v>0</v>
      </c>
      <c r="Y77">
        <v>57.84</v>
      </c>
      <c r="Z77" t="s">
        <v>244</v>
      </c>
    </row>
    <row r="78" spans="2:28" x14ac:dyDescent="0.25">
      <c r="B78">
        <v>19645587</v>
      </c>
      <c r="C78" t="s">
        <v>57</v>
      </c>
      <c r="D78" t="s">
        <v>233</v>
      </c>
      <c r="E78" t="s">
        <v>47</v>
      </c>
      <c r="F78" t="s">
        <v>241</v>
      </c>
      <c r="G78" t="s">
        <v>49</v>
      </c>
      <c r="H78" t="s">
        <v>235</v>
      </c>
      <c r="I78" t="s">
        <v>242</v>
      </c>
      <c r="J78" t="s">
        <v>243</v>
      </c>
      <c r="K78" s="1">
        <v>46174</v>
      </c>
      <c r="M78" t="s">
        <v>53</v>
      </c>
      <c r="N78" s="2">
        <v>57.84</v>
      </c>
      <c r="O78" t="s">
        <v>54</v>
      </c>
      <c r="P78">
        <v>100</v>
      </c>
      <c r="Q78" s="1">
        <v>46082</v>
      </c>
      <c r="R78">
        <v>1</v>
      </c>
      <c r="S78">
        <v>0</v>
      </c>
      <c r="T78">
        <v>0</v>
      </c>
      <c r="U78">
        <v>0</v>
      </c>
      <c r="W78">
        <v>0</v>
      </c>
      <c r="X78">
        <v>0</v>
      </c>
      <c r="Y78">
        <v>57.84</v>
      </c>
      <c r="Z78" t="s">
        <v>244</v>
      </c>
    </row>
    <row r="79" spans="2:28" x14ac:dyDescent="0.25">
      <c r="B79">
        <v>19645587</v>
      </c>
      <c r="C79" t="s">
        <v>57</v>
      </c>
      <c r="D79" t="s">
        <v>233</v>
      </c>
      <c r="E79" t="s">
        <v>47</v>
      </c>
      <c r="F79" t="s">
        <v>241</v>
      </c>
      <c r="G79" t="s">
        <v>49</v>
      </c>
      <c r="H79" t="s">
        <v>235</v>
      </c>
      <c r="I79" t="s">
        <v>242</v>
      </c>
      <c r="J79" t="s">
        <v>243</v>
      </c>
      <c r="K79" s="1">
        <v>46174</v>
      </c>
      <c r="M79" t="s">
        <v>53</v>
      </c>
      <c r="N79" s="2">
        <v>57.84</v>
      </c>
      <c r="O79" t="s">
        <v>54</v>
      </c>
      <c r="P79">
        <v>100</v>
      </c>
      <c r="Q79" s="1">
        <v>46113</v>
      </c>
      <c r="R79">
        <v>1</v>
      </c>
      <c r="S79">
        <v>0</v>
      </c>
      <c r="T79">
        <v>0</v>
      </c>
      <c r="U79">
        <v>0</v>
      </c>
      <c r="W79">
        <v>0</v>
      </c>
      <c r="X79">
        <v>0</v>
      </c>
      <c r="Y79">
        <v>57.84</v>
      </c>
      <c r="Z79" t="s">
        <v>244</v>
      </c>
    </row>
    <row r="80" spans="2:28" x14ac:dyDescent="0.25">
      <c r="B80">
        <v>19645587</v>
      </c>
      <c r="C80" t="s">
        <v>57</v>
      </c>
      <c r="D80" t="s">
        <v>233</v>
      </c>
      <c r="E80" t="s">
        <v>47</v>
      </c>
      <c r="F80" t="s">
        <v>241</v>
      </c>
      <c r="G80" t="s">
        <v>49</v>
      </c>
      <c r="H80" t="s">
        <v>235</v>
      </c>
      <c r="I80" t="s">
        <v>242</v>
      </c>
      <c r="J80" t="s">
        <v>243</v>
      </c>
      <c r="K80" s="1">
        <v>46174</v>
      </c>
      <c r="M80" t="s">
        <v>53</v>
      </c>
      <c r="N80" s="2">
        <v>57.84</v>
      </c>
      <c r="O80" t="s">
        <v>54</v>
      </c>
      <c r="P80">
        <v>100</v>
      </c>
      <c r="Q80" s="1">
        <v>46143</v>
      </c>
      <c r="R80">
        <v>1</v>
      </c>
      <c r="S80">
        <v>0</v>
      </c>
      <c r="T80">
        <v>0</v>
      </c>
      <c r="U80">
        <v>0</v>
      </c>
      <c r="W80">
        <v>0</v>
      </c>
      <c r="X80">
        <v>0</v>
      </c>
      <c r="Y80">
        <v>57.84</v>
      </c>
      <c r="Z80" t="s">
        <v>244</v>
      </c>
    </row>
    <row r="81" spans="2:28" x14ac:dyDescent="0.25">
      <c r="B81">
        <v>19645587</v>
      </c>
      <c r="C81" t="s">
        <v>57</v>
      </c>
      <c r="D81" t="s">
        <v>233</v>
      </c>
      <c r="E81" t="s">
        <v>47</v>
      </c>
      <c r="F81" t="s">
        <v>241</v>
      </c>
      <c r="G81" t="s">
        <v>49</v>
      </c>
      <c r="H81" t="s">
        <v>235</v>
      </c>
      <c r="I81" t="s">
        <v>242</v>
      </c>
      <c r="J81" t="s">
        <v>243</v>
      </c>
      <c r="K81" s="1">
        <v>46174</v>
      </c>
      <c r="M81" t="s">
        <v>53</v>
      </c>
      <c r="N81" s="2">
        <v>57.84</v>
      </c>
      <c r="O81" t="s">
        <v>54</v>
      </c>
      <c r="P81">
        <v>100</v>
      </c>
      <c r="Q81" s="1">
        <v>46174</v>
      </c>
      <c r="R81">
        <v>1</v>
      </c>
      <c r="S81">
        <v>0</v>
      </c>
      <c r="T81">
        <v>0</v>
      </c>
      <c r="U81">
        <v>0</v>
      </c>
      <c r="W81">
        <v>0</v>
      </c>
      <c r="X81">
        <v>0</v>
      </c>
      <c r="Y81">
        <v>57.84</v>
      </c>
      <c r="Z81" t="s">
        <v>245</v>
      </c>
    </row>
    <row r="82" spans="2:28" x14ac:dyDescent="0.25">
      <c r="B82">
        <v>19645587</v>
      </c>
      <c r="C82" t="s">
        <v>57</v>
      </c>
      <c r="D82" t="s">
        <v>233</v>
      </c>
      <c r="E82" t="s">
        <v>47</v>
      </c>
      <c r="F82" t="s">
        <v>241</v>
      </c>
      <c r="G82" t="s">
        <v>49</v>
      </c>
      <c r="H82" t="s">
        <v>235</v>
      </c>
      <c r="I82" t="s">
        <v>242</v>
      </c>
      <c r="J82" t="s">
        <v>243</v>
      </c>
      <c r="K82" s="1">
        <v>46174</v>
      </c>
      <c r="M82" t="s">
        <v>53</v>
      </c>
      <c r="N82" s="2">
        <v>57.84</v>
      </c>
      <c r="O82" t="s">
        <v>54</v>
      </c>
      <c r="P82">
        <v>100</v>
      </c>
      <c r="Q82" s="1">
        <v>46204</v>
      </c>
      <c r="R82">
        <v>1</v>
      </c>
      <c r="S82">
        <v>0</v>
      </c>
      <c r="T82">
        <v>0</v>
      </c>
      <c r="U82">
        <v>0</v>
      </c>
      <c r="W82">
        <v>0</v>
      </c>
      <c r="X82">
        <v>0</v>
      </c>
      <c r="Y82">
        <v>57.84</v>
      </c>
      <c r="Z82" t="s">
        <v>244</v>
      </c>
    </row>
    <row r="83" spans="2:28" x14ac:dyDescent="0.25">
      <c r="B83">
        <v>19645587</v>
      </c>
      <c r="C83" t="s">
        <v>57</v>
      </c>
      <c r="D83" t="s">
        <v>233</v>
      </c>
      <c r="E83" t="s">
        <v>47</v>
      </c>
      <c r="F83" t="s">
        <v>241</v>
      </c>
      <c r="G83" t="s">
        <v>49</v>
      </c>
      <c r="H83" t="s">
        <v>235</v>
      </c>
      <c r="I83" t="s">
        <v>242</v>
      </c>
      <c r="J83" t="s">
        <v>243</v>
      </c>
      <c r="K83" s="1">
        <v>46174</v>
      </c>
      <c r="M83" t="s">
        <v>53</v>
      </c>
      <c r="N83" s="2">
        <v>57.84</v>
      </c>
      <c r="O83" t="s">
        <v>54</v>
      </c>
      <c r="P83">
        <v>100</v>
      </c>
      <c r="Q83" s="1">
        <v>46235</v>
      </c>
      <c r="R83">
        <v>1</v>
      </c>
      <c r="S83">
        <v>0</v>
      </c>
      <c r="T83">
        <v>0</v>
      </c>
      <c r="U83">
        <v>0</v>
      </c>
      <c r="W83">
        <v>0</v>
      </c>
      <c r="X83">
        <v>0</v>
      </c>
      <c r="Y83">
        <v>57.84</v>
      </c>
      <c r="Z83" t="s">
        <v>244</v>
      </c>
    </row>
    <row r="84" spans="2:28" x14ac:dyDescent="0.25">
      <c r="B84">
        <v>19645587</v>
      </c>
      <c r="C84" t="s">
        <v>57</v>
      </c>
      <c r="D84" t="s">
        <v>233</v>
      </c>
      <c r="E84" t="s">
        <v>47</v>
      </c>
      <c r="F84" t="s">
        <v>241</v>
      </c>
      <c r="G84" t="s">
        <v>49</v>
      </c>
      <c r="H84" t="s">
        <v>235</v>
      </c>
      <c r="I84" t="s">
        <v>242</v>
      </c>
      <c r="J84" t="s">
        <v>243</v>
      </c>
      <c r="K84" s="1">
        <v>46174</v>
      </c>
      <c r="M84" t="s">
        <v>53</v>
      </c>
      <c r="N84" s="2">
        <v>57.84</v>
      </c>
      <c r="O84" t="s">
        <v>54</v>
      </c>
      <c r="P84">
        <v>100</v>
      </c>
      <c r="Q84" s="1">
        <v>46266</v>
      </c>
      <c r="R84">
        <v>1</v>
      </c>
      <c r="S84">
        <v>0</v>
      </c>
      <c r="T84">
        <v>0</v>
      </c>
      <c r="U84">
        <v>0</v>
      </c>
      <c r="W84">
        <v>0</v>
      </c>
      <c r="X84">
        <v>0</v>
      </c>
      <c r="Y84">
        <v>57.84</v>
      </c>
      <c r="Z84" t="s">
        <v>244</v>
      </c>
    </row>
    <row r="85" spans="2:28" x14ac:dyDescent="0.25">
      <c r="B85">
        <v>19645587</v>
      </c>
      <c r="C85" t="s">
        <v>57</v>
      </c>
      <c r="D85" t="s">
        <v>233</v>
      </c>
      <c r="E85" t="s">
        <v>47</v>
      </c>
      <c r="F85" t="s">
        <v>241</v>
      </c>
      <c r="G85" t="s">
        <v>49</v>
      </c>
      <c r="H85" t="s">
        <v>235</v>
      </c>
      <c r="I85" t="s">
        <v>242</v>
      </c>
      <c r="J85" t="s">
        <v>243</v>
      </c>
      <c r="K85" s="1">
        <v>46174</v>
      </c>
      <c r="M85" t="s">
        <v>53</v>
      </c>
      <c r="N85" s="2">
        <v>57.84</v>
      </c>
      <c r="O85" t="s">
        <v>54</v>
      </c>
      <c r="P85">
        <v>100</v>
      </c>
      <c r="Q85" s="1">
        <v>46296</v>
      </c>
      <c r="R85">
        <v>1</v>
      </c>
      <c r="S85">
        <v>0</v>
      </c>
      <c r="T85">
        <v>0</v>
      </c>
      <c r="U85">
        <v>0</v>
      </c>
      <c r="W85">
        <v>0</v>
      </c>
      <c r="X85">
        <v>0</v>
      </c>
      <c r="Y85">
        <v>57.84</v>
      </c>
      <c r="Z85" t="s">
        <v>244</v>
      </c>
    </row>
    <row r="86" spans="2:28" x14ac:dyDescent="0.25">
      <c r="B86">
        <v>19645587</v>
      </c>
      <c r="C86" t="s">
        <v>57</v>
      </c>
      <c r="D86" t="s">
        <v>233</v>
      </c>
      <c r="E86" t="s">
        <v>47</v>
      </c>
      <c r="F86" t="s">
        <v>241</v>
      </c>
      <c r="G86" t="s">
        <v>49</v>
      </c>
      <c r="H86" t="s">
        <v>235</v>
      </c>
      <c r="I86" t="s">
        <v>242</v>
      </c>
      <c r="J86" t="s">
        <v>243</v>
      </c>
      <c r="K86" s="1">
        <v>46174</v>
      </c>
      <c r="M86" t="s">
        <v>53</v>
      </c>
      <c r="N86" s="2">
        <v>57.84</v>
      </c>
      <c r="O86" t="s">
        <v>54</v>
      </c>
      <c r="P86">
        <v>100</v>
      </c>
      <c r="Q86" s="1">
        <v>46327</v>
      </c>
      <c r="R86">
        <v>1</v>
      </c>
      <c r="S86">
        <v>0</v>
      </c>
      <c r="T86">
        <v>0</v>
      </c>
      <c r="U86">
        <v>0</v>
      </c>
      <c r="W86">
        <v>0</v>
      </c>
      <c r="X86">
        <v>0</v>
      </c>
      <c r="Y86">
        <v>57.84</v>
      </c>
      <c r="Z86" t="s">
        <v>244</v>
      </c>
    </row>
    <row r="87" spans="2:28" x14ac:dyDescent="0.25">
      <c r="B87">
        <v>19645587</v>
      </c>
      <c r="C87" t="s">
        <v>57</v>
      </c>
      <c r="D87" t="s">
        <v>233</v>
      </c>
      <c r="E87" t="s">
        <v>47</v>
      </c>
      <c r="F87" t="s">
        <v>241</v>
      </c>
      <c r="G87" t="s">
        <v>49</v>
      </c>
      <c r="H87" t="s">
        <v>235</v>
      </c>
      <c r="I87" t="s">
        <v>242</v>
      </c>
      <c r="J87" t="s">
        <v>243</v>
      </c>
      <c r="K87" s="1">
        <v>46174</v>
      </c>
      <c r="M87" t="s">
        <v>53</v>
      </c>
      <c r="N87" s="2">
        <v>57.84</v>
      </c>
      <c r="O87" t="s">
        <v>54</v>
      </c>
      <c r="P87">
        <v>100</v>
      </c>
      <c r="Q87" s="1">
        <v>46357</v>
      </c>
      <c r="R87">
        <v>1</v>
      </c>
      <c r="S87">
        <v>0</v>
      </c>
      <c r="T87">
        <v>0</v>
      </c>
      <c r="U87">
        <v>0</v>
      </c>
      <c r="W87">
        <v>0</v>
      </c>
      <c r="X87">
        <v>0</v>
      </c>
      <c r="Y87">
        <v>57.84</v>
      </c>
      <c r="Z87" t="s">
        <v>244</v>
      </c>
    </row>
    <row r="88" spans="2:28" x14ac:dyDescent="0.25">
      <c r="B88">
        <v>19645587</v>
      </c>
      <c r="C88" t="s">
        <v>57</v>
      </c>
      <c r="D88" t="s">
        <v>233</v>
      </c>
      <c r="E88" t="s">
        <v>47</v>
      </c>
      <c r="F88" t="s">
        <v>246</v>
      </c>
      <c r="G88" t="s">
        <v>49</v>
      </c>
      <c r="H88" t="s">
        <v>235</v>
      </c>
      <c r="I88" t="s">
        <v>247</v>
      </c>
      <c r="J88" t="s">
        <v>248</v>
      </c>
      <c r="K88" s="1">
        <v>45839</v>
      </c>
      <c r="O88" t="s">
        <v>54</v>
      </c>
      <c r="P88">
        <v>100</v>
      </c>
      <c r="S88">
        <v>0</v>
      </c>
      <c r="T88">
        <v>0</v>
      </c>
      <c r="U88">
        <v>0</v>
      </c>
      <c r="W88">
        <v>0</v>
      </c>
      <c r="X88">
        <v>0</v>
      </c>
      <c r="Y88">
        <v>0</v>
      </c>
      <c r="Z88" t="s">
        <v>67</v>
      </c>
    </row>
    <row r="89" spans="2:28" x14ac:dyDescent="0.25">
      <c r="B89">
        <v>18581063</v>
      </c>
      <c r="C89" t="s">
        <v>249</v>
      </c>
      <c r="D89" t="s">
        <v>233</v>
      </c>
      <c r="E89" t="s">
        <v>47</v>
      </c>
      <c r="F89" t="s">
        <v>250</v>
      </c>
      <c r="G89" t="s">
        <v>49</v>
      </c>
      <c r="H89" t="s">
        <v>235</v>
      </c>
      <c r="I89" t="s">
        <v>251</v>
      </c>
      <c r="J89" t="s">
        <v>252</v>
      </c>
      <c r="K89" s="1">
        <v>46023</v>
      </c>
      <c r="M89" t="s">
        <v>53</v>
      </c>
      <c r="N89" s="2">
        <v>28.92</v>
      </c>
      <c r="O89" t="s">
        <v>54</v>
      </c>
      <c r="P89">
        <v>100</v>
      </c>
      <c r="Q89" s="1">
        <v>46204</v>
      </c>
      <c r="R89">
        <v>1</v>
      </c>
      <c r="S89">
        <v>0</v>
      </c>
      <c r="T89">
        <v>173.52</v>
      </c>
      <c r="U89">
        <v>0</v>
      </c>
      <c r="W89">
        <v>0</v>
      </c>
      <c r="X89">
        <v>0</v>
      </c>
      <c r="Y89">
        <v>0</v>
      </c>
      <c r="AA89">
        <v>86.76</v>
      </c>
      <c r="AB89">
        <v>86.76</v>
      </c>
    </row>
    <row r="90" spans="2:28" x14ac:dyDescent="0.25">
      <c r="B90">
        <v>18581063</v>
      </c>
      <c r="C90" t="s">
        <v>249</v>
      </c>
      <c r="D90" t="s">
        <v>233</v>
      </c>
      <c r="E90" t="s">
        <v>47</v>
      </c>
      <c r="F90" t="s">
        <v>253</v>
      </c>
      <c r="G90" t="s">
        <v>49</v>
      </c>
      <c r="H90" t="s">
        <v>235</v>
      </c>
      <c r="I90" t="s">
        <v>254</v>
      </c>
      <c r="J90" t="s">
        <v>255</v>
      </c>
      <c r="K90" s="1">
        <v>46023</v>
      </c>
      <c r="M90" t="s">
        <v>53</v>
      </c>
      <c r="N90" s="2">
        <v>28.92</v>
      </c>
      <c r="O90" t="s">
        <v>54</v>
      </c>
      <c r="P90">
        <v>100</v>
      </c>
      <c r="Q90" s="1">
        <v>46204</v>
      </c>
      <c r="R90">
        <v>1</v>
      </c>
      <c r="S90">
        <v>0</v>
      </c>
      <c r="T90">
        <v>173.52</v>
      </c>
      <c r="U90">
        <v>0</v>
      </c>
      <c r="W90">
        <v>0</v>
      </c>
      <c r="X90">
        <v>0</v>
      </c>
      <c r="Y90">
        <v>0</v>
      </c>
    </row>
    <row r="91" spans="2:28" x14ac:dyDescent="0.25">
      <c r="B91">
        <v>18581063</v>
      </c>
      <c r="C91" t="s">
        <v>249</v>
      </c>
      <c r="D91" t="s">
        <v>233</v>
      </c>
      <c r="E91" t="s">
        <v>47</v>
      </c>
      <c r="F91" t="s">
        <v>256</v>
      </c>
      <c r="G91" t="s">
        <v>49</v>
      </c>
      <c r="H91" t="s">
        <v>235</v>
      </c>
      <c r="I91" t="s">
        <v>257</v>
      </c>
      <c r="J91" t="s">
        <v>258</v>
      </c>
      <c r="K91" s="1">
        <v>46023</v>
      </c>
      <c r="M91" t="s">
        <v>53</v>
      </c>
      <c r="N91" s="2">
        <v>28.92</v>
      </c>
      <c r="O91" t="s">
        <v>54</v>
      </c>
      <c r="P91">
        <v>100</v>
      </c>
      <c r="Q91" s="1">
        <v>46204</v>
      </c>
      <c r="R91">
        <v>1</v>
      </c>
      <c r="S91">
        <v>0</v>
      </c>
      <c r="T91">
        <v>173.52</v>
      </c>
      <c r="U91">
        <v>0</v>
      </c>
      <c r="W91">
        <v>0</v>
      </c>
      <c r="X91">
        <v>0</v>
      </c>
      <c r="Y91">
        <v>0</v>
      </c>
    </row>
    <row r="92" spans="2:28" x14ac:dyDescent="0.25">
      <c r="B92">
        <v>18581063</v>
      </c>
      <c r="C92" t="s">
        <v>249</v>
      </c>
      <c r="D92" t="s">
        <v>233</v>
      </c>
      <c r="E92" t="s">
        <v>47</v>
      </c>
      <c r="F92" t="s">
        <v>259</v>
      </c>
      <c r="G92" t="s">
        <v>49</v>
      </c>
      <c r="H92" t="s">
        <v>235</v>
      </c>
      <c r="I92" t="s">
        <v>260</v>
      </c>
      <c r="J92" t="s">
        <v>261</v>
      </c>
      <c r="K92" s="1">
        <v>46023</v>
      </c>
      <c r="M92" t="s">
        <v>53</v>
      </c>
      <c r="N92" s="2">
        <v>28.92</v>
      </c>
      <c r="O92" t="s">
        <v>54</v>
      </c>
      <c r="P92">
        <v>100</v>
      </c>
      <c r="Q92" s="1">
        <v>46204</v>
      </c>
      <c r="R92">
        <v>1</v>
      </c>
      <c r="S92">
        <v>0</v>
      </c>
      <c r="T92">
        <v>173.52</v>
      </c>
      <c r="U92">
        <v>0</v>
      </c>
      <c r="W92">
        <v>0</v>
      </c>
      <c r="X92">
        <v>0</v>
      </c>
      <c r="Y92">
        <v>0</v>
      </c>
    </row>
    <row r="93" spans="2:28" x14ac:dyDescent="0.25">
      <c r="B93">
        <v>18581063</v>
      </c>
      <c r="C93" t="s">
        <v>249</v>
      </c>
      <c r="D93" t="s">
        <v>233</v>
      </c>
      <c r="E93" t="s">
        <v>47</v>
      </c>
      <c r="F93" t="s">
        <v>262</v>
      </c>
      <c r="G93" t="s">
        <v>49</v>
      </c>
      <c r="H93" t="s">
        <v>235</v>
      </c>
      <c r="I93" t="s">
        <v>263</v>
      </c>
      <c r="J93" t="s">
        <v>264</v>
      </c>
      <c r="K93" s="1">
        <v>46023</v>
      </c>
      <c r="M93" t="s">
        <v>53</v>
      </c>
      <c r="N93" s="2">
        <v>28.92</v>
      </c>
      <c r="O93" t="s">
        <v>54</v>
      </c>
      <c r="P93">
        <v>100</v>
      </c>
      <c r="Q93" s="1">
        <v>46204</v>
      </c>
      <c r="R93">
        <v>1</v>
      </c>
      <c r="S93">
        <v>0</v>
      </c>
      <c r="T93">
        <v>173.52</v>
      </c>
      <c r="U93">
        <v>0</v>
      </c>
      <c r="W93">
        <v>0</v>
      </c>
      <c r="X93">
        <v>0</v>
      </c>
      <c r="Y93">
        <v>0</v>
      </c>
    </row>
    <row r="94" spans="2:28" x14ac:dyDescent="0.25">
      <c r="B94">
        <v>18581063</v>
      </c>
      <c r="C94" t="s">
        <v>249</v>
      </c>
      <c r="D94" t="s">
        <v>233</v>
      </c>
      <c r="E94" t="s">
        <v>47</v>
      </c>
      <c r="F94" t="s">
        <v>265</v>
      </c>
      <c r="G94" t="s">
        <v>49</v>
      </c>
      <c r="H94" t="s">
        <v>235</v>
      </c>
      <c r="I94" t="s">
        <v>266</v>
      </c>
      <c r="J94" t="s">
        <v>267</v>
      </c>
      <c r="K94" s="1">
        <v>46023</v>
      </c>
      <c r="M94" t="s">
        <v>53</v>
      </c>
      <c r="N94" s="2">
        <v>28.92</v>
      </c>
      <c r="O94" t="s">
        <v>54</v>
      </c>
      <c r="P94">
        <v>100</v>
      </c>
      <c r="Q94" s="1">
        <v>46204</v>
      </c>
      <c r="R94">
        <v>1</v>
      </c>
      <c r="S94">
        <v>0</v>
      </c>
      <c r="T94">
        <v>173.52</v>
      </c>
      <c r="U94">
        <v>0</v>
      </c>
      <c r="W94">
        <v>0</v>
      </c>
      <c r="X94">
        <v>0</v>
      </c>
      <c r="Y94">
        <v>0</v>
      </c>
    </row>
    <row r="95" spans="2:28" x14ac:dyDescent="0.25">
      <c r="B95">
        <v>18581063</v>
      </c>
      <c r="C95" t="s">
        <v>249</v>
      </c>
      <c r="D95" t="s">
        <v>233</v>
      </c>
      <c r="E95" t="s">
        <v>47</v>
      </c>
      <c r="F95" t="s">
        <v>268</v>
      </c>
      <c r="G95" t="s">
        <v>49</v>
      </c>
      <c r="H95" t="s">
        <v>235</v>
      </c>
      <c r="I95" t="s">
        <v>269</v>
      </c>
      <c r="J95" t="s">
        <v>270</v>
      </c>
      <c r="K95" s="1">
        <v>46023</v>
      </c>
      <c r="M95" t="s">
        <v>53</v>
      </c>
      <c r="N95" s="2">
        <v>28.92</v>
      </c>
      <c r="O95" t="s">
        <v>54</v>
      </c>
      <c r="P95">
        <v>100</v>
      </c>
      <c r="Q95" s="1">
        <v>46204</v>
      </c>
      <c r="R95">
        <v>1</v>
      </c>
      <c r="S95">
        <v>0</v>
      </c>
      <c r="T95">
        <v>173.52</v>
      </c>
      <c r="U95">
        <v>0</v>
      </c>
      <c r="W95">
        <v>0</v>
      </c>
      <c r="X95">
        <v>0</v>
      </c>
      <c r="Y95">
        <v>0</v>
      </c>
    </row>
    <row r="96" spans="2:28" x14ac:dyDescent="0.25">
      <c r="B96">
        <v>18581063</v>
      </c>
      <c r="C96" t="s">
        <v>249</v>
      </c>
      <c r="D96" t="s">
        <v>233</v>
      </c>
      <c r="E96" t="s">
        <v>47</v>
      </c>
      <c r="F96" t="s">
        <v>271</v>
      </c>
      <c r="G96" t="s">
        <v>49</v>
      </c>
      <c r="H96" t="s">
        <v>235</v>
      </c>
      <c r="I96" t="s">
        <v>272</v>
      </c>
      <c r="J96" t="s">
        <v>273</v>
      </c>
      <c r="K96" s="1">
        <v>46023</v>
      </c>
      <c r="M96" t="s">
        <v>274</v>
      </c>
      <c r="N96" s="2">
        <v>28.92</v>
      </c>
      <c r="O96" t="s">
        <v>54</v>
      </c>
      <c r="P96">
        <v>100</v>
      </c>
      <c r="Q96" s="1">
        <v>46204</v>
      </c>
      <c r="R96">
        <v>1</v>
      </c>
      <c r="S96">
        <v>0</v>
      </c>
      <c r="T96">
        <v>0</v>
      </c>
      <c r="U96">
        <v>0</v>
      </c>
      <c r="W96">
        <v>0</v>
      </c>
      <c r="X96">
        <v>0</v>
      </c>
      <c r="Y96">
        <v>28.92</v>
      </c>
    </row>
    <row r="97" spans="2:25" x14ac:dyDescent="0.25">
      <c r="B97">
        <v>18581063</v>
      </c>
      <c r="C97" t="s">
        <v>249</v>
      </c>
      <c r="D97" t="s">
        <v>233</v>
      </c>
      <c r="E97" t="s">
        <v>47</v>
      </c>
      <c r="F97" t="s">
        <v>275</v>
      </c>
      <c r="G97" t="s">
        <v>49</v>
      </c>
      <c r="H97" t="s">
        <v>235</v>
      </c>
      <c r="I97" t="s">
        <v>276</v>
      </c>
      <c r="J97" t="s">
        <v>277</v>
      </c>
      <c r="K97" s="1">
        <v>46023</v>
      </c>
      <c r="M97" t="s">
        <v>274</v>
      </c>
      <c r="N97" s="2">
        <v>28.92</v>
      </c>
      <c r="O97" t="s">
        <v>54</v>
      </c>
      <c r="P97">
        <v>100</v>
      </c>
      <c r="Q97" s="1">
        <v>46204</v>
      </c>
      <c r="R97">
        <v>1</v>
      </c>
      <c r="S97">
        <v>0</v>
      </c>
      <c r="T97">
        <v>0</v>
      </c>
      <c r="U97">
        <v>0</v>
      </c>
      <c r="W97">
        <v>0</v>
      </c>
      <c r="X97">
        <v>0</v>
      </c>
      <c r="Y97">
        <v>28.92</v>
      </c>
    </row>
    <row r="98" spans="2:25" x14ac:dyDescent="0.25">
      <c r="B98">
        <v>18581063</v>
      </c>
      <c r="C98" t="s">
        <v>249</v>
      </c>
      <c r="D98" t="s">
        <v>233</v>
      </c>
      <c r="E98" t="s">
        <v>47</v>
      </c>
      <c r="F98" t="s">
        <v>278</v>
      </c>
      <c r="G98" t="s">
        <v>49</v>
      </c>
      <c r="H98" t="s">
        <v>235</v>
      </c>
      <c r="I98" t="s">
        <v>279</v>
      </c>
      <c r="J98" t="s">
        <v>280</v>
      </c>
      <c r="K98" s="1">
        <v>46023</v>
      </c>
      <c r="M98" t="s">
        <v>274</v>
      </c>
      <c r="N98" s="2">
        <v>28.92</v>
      </c>
      <c r="O98" t="s">
        <v>54</v>
      </c>
      <c r="P98">
        <v>100</v>
      </c>
      <c r="Q98" s="1">
        <v>46204</v>
      </c>
      <c r="R98">
        <v>1</v>
      </c>
      <c r="S98">
        <v>0</v>
      </c>
      <c r="T98">
        <v>0</v>
      </c>
      <c r="U98">
        <v>0</v>
      </c>
      <c r="W98">
        <v>0</v>
      </c>
      <c r="X98">
        <v>0</v>
      </c>
      <c r="Y98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2369-CD93-453E-B525-915A8970DE3F}">
  <dimension ref="A1:V89"/>
  <sheetViews>
    <sheetView tabSelected="1" workbookViewId="0">
      <selection activeCell="F12" sqref="F12"/>
    </sheetView>
  </sheetViews>
  <sheetFormatPr defaultRowHeight="15" x14ac:dyDescent="0.25"/>
  <cols>
    <col min="1" max="1" width="11" customWidth="1"/>
    <col min="2" max="2" width="17.5703125" customWidth="1"/>
    <col min="3" max="3" width="6.28515625" bestFit="1" customWidth="1"/>
    <col min="4" max="4" width="14.5703125" customWidth="1"/>
    <col min="5" max="5" width="15.42578125" bestFit="1" customWidth="1"/>
    <col min="6" max="6" width="15.42578125" customWidth="1"/>
    <col min="7" max="7" width="11" customWidth="1"/>
    <col min="8" max="8" width="16.28515625" customWidth="1"/>
    <col min="9" max="9" width="15" customWidth="1"/>
    <col min="10" max="10" width="7.28515625" bestFit="1" customWidth="1"/>
    <col min="11" max="11" width="10" bestFit="1" customWidth="1"/>
    <col min="12" max="12" width="10.7109375" bestFit="1" customWidth="1"/>
    <col min="13" max="13" width="4.140625" bestFit="1" customWidth="1"/>
    <col min="14" max="14" width="5.5703125" bestFit="1" customWidth="1"/>
    <col min="15" max="15" width="8.5703125" bestFit="1" customWidth="1"/>
    <col min="16" max="16" width="9.5703125" bestFit="1" customWidth="1"/>
    <col min="17" max="17" width="14.28515625" bestFit="1" customWidth="1"/>
    <col min="18" max="18" width="9.5703125" bestFit="1" customWidth="1"/>
    <col min="19" max="19" width="18.42578125" bestFit="1" customWidth="1"/>
    <col min="21" max="21" width="33" bestFit="1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G1" t="s">
        <v>23</v>
      </c>
      <c r="H1" t="s">
        <v>25</v>
      </c>
      <c r="I1" t="s">
        <v>27</v>
      </c>
      <c r="J1" t="s">
        <v>30</v>
      </c>
      <c r="K1" t="s">
        <v>31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41</v>
      </c>
      <c r="S1" t="s">
        <v>42</v>
      </c>
    </row>
    <row r="2" spans="1:22" x14ac:dyDescent="0.25">
      <c r="A2">
        <v>19645587</v>
      </c>
      <c r="B2" t="s">
        <v>57</v>
      </c>
      <c r="C2" t="s">
        <v>233</v>
      </c>
      <c r="D2" t="s">
        <v>47</v>
      </c>
      <c r="E2" t="s">
        <v>241</v>
      </c>
      <c r="F2" t="str">
        <f>CONCATENATE(E2,77)</f>
        <v>516W2685777</v>
      </c>
      <c r="G2" t="s">
        <v>49</v>
      </c>
      <c r="H2" t="s">
        <v>242</v>
      </c>
      <c r="I2" s="1">
        <v>46174</v>
      </c>
      <c r="J2" s="2">
        <v>57.84</v>
      </c>
      <c r="K2" t="s">
        <v>54</v>
      </c>
      <c r="L2" s="1">
        <v>46387</v>
      </c>
      <c r="M2">
        <v>1</v>
      </c>
      <c r="N2">
        <v>0</v>
      </c>
      <c r="O2">
        <v>0</v>
      </c>
      <c r="P2">
        <v>1</v>
      </c>
      <c r="R2">
        <v>57.84</v>
      </c>
      <c r="S2" t="s">
        <v>244</v>
      </c>
      <c r="T2">
        <v>694</v>
      </c>
      <c r="U2" t="s">
        <v>283</v>
      </c>
      <c r="V2" t="s">
        <v>288</v>
      </c>
    </row>
    <row r="3" spans="1:22" x14ac:dyDescent="0.25">
      <c r="A3">
        <v>18754354</v>
      </c>
      <c r="B3" t="s">
        <v>45</v>
      </c>
      <c r="C3" t="s">
        <v>46</v>
      </c>
      <c r="D3" t="s">
        <v>47</v>
      </c>
      <c r="E3" t="s">
        <v>48</v>
      </c>
      <c r="F3" t="str">
        <f>CONCATENATE(E3,66)</f>
        <v>946W2755566</v>
      </c>
      <c r="G3" t="s">
        <v>49</v>
      </c>
      <c r="H3" t="s">
        <v>51</v>
      </c>
      <c r="I3" s="1">
        <v>46204</v>
      </c>
      <c r="J3" s="2">
        <v>36</v>
      </c>
      <c r="K3" t="s">
        <v>54</v>
      </c>
      <c r="L3" s="1">
        <v>46387</v>
      </c>
      <c r="M3">
        <v>1</v>
      </c>
      <c r="N3">
        <v>0</v>
      </c>
      <c r="O3">
        <v>0</v>
      </c>
      <c r="P3">
        <v>1</v>
      </c>
      <c r="R3">
        <v>36</v>
      </c>
      <c r="S3" t="s">
        <v>55</v>
      </c>
      <c r="T3">
        <v>216</v>
      </c>
      <c r="U3" t="s">
        <v>286</v>
      </c>
      <c r="V3" t="s">
        <v>287</v>
      </c>
    </row>
    <row r="4" spans="1:22" x14ac:dyDescent="0.25">
      <c r="A4">
        <v>17094718</v>
      </c>
      <c r="B4" t="s">
        <v>184</v>
      </c>
      <c r="C4" t="s">
        <v>83</v>
      </c>
      <c r="D4" t="s">
        <v>47</v>
      </c>
      <c r="E4" t="s">
        <v>185</v>
      </c>
      <c r="F4" t="str">
        <f t="shared" ref="F4:F11" si="0">CONCATENATE(E4,66)</f>
        <v>022W1451166</v>
      </c>
      <c r="G4" t="s">
        <v>49</v>
      </c>
      <c r="H4" t="s">
        <v>186</v>
      </c>
      <c r="I4" s="1">
        <v>45658</v>
      </c>
      <c r="J4" s="2">
        <v>28.92</v>
      </c>
      <c r="K4" t="s">
        <v>54</v>
      </c>
      <c r="L4" s="1">
        <v>46204</v>
      </c>
      <c r="M4">
        <v>1</v>
      </c>
      <c r="N4">
        <v>0</v>
      </c>
      <c r="O4">
        <v>0</v>
      </c>
      <c r="P4">
        <v>1</v>
      </c>
      <c r="R4">
        <v>28.92</v>
      </c>
      <c r="T4">
        <v>28.92</v>
      </c>
      <c r="U4" t="s">
        <v>282</v>
      </c>
      <c r="V4" t="s">
        <v>284</v>
      </c>
    </row>
    <row r="5" spans="1:22" x14ac:dyDescent="0.25">
      <c r="A5">
        <v>19645587</v>
      </c>
      <c r="B5" t="s">
        <v>57</v>
      </c>
      <c r="C5" t="s">
        <v>83</v>
      </c>
      <c r="D5" t="s">
        <v>47</v>
      </c>
      <c r="E5" t="s">
        <v>116</v>
      </c>
      <c r="F5" t="str">
        <f t="shared" si="0"/>
        <v>407W2239266</v>
      </c>
      <c r="G5" t="s">
        <v>49</v>
      </c>
      <c r="H5" t="s">
        <v>117</v>
      </c>
      <c r="I5" s="1">
        <v>45658</v>
      </c>
      <c r="J5" s="2">
        <v>28.92</v>
      </c>
      <c r="K5" t="s">
        <v>54</v>
      </c>
      <c r="L5" s="1">
        <v>46204</v>
      </c>
      <c r="M5">
        <v>1</v>
      </c>
      <c r="N5">
        <v>0</v>
      </c>
      <c r="O5">
        <v>0</v>
      </c>
      <c r="P5">
        <v>1</v>
      </c>
      <c r="R5">
        <v>28.92</v>
      </c>
      <c r="T5">
        <v>28.92</v>
      </c>
      <c r="U5" t="s">
        <v>282</v>
      </c>
      <c r="V5" t="s">
        <v>284</v>
      </c>
    </row>
    <row r="6" spans="1:22" x14ac:dyDescent="0.25">
      <c r="A6">
        <v>19645587</v>
      </c>
      <c r="B6" t="s">
        <v>57</v>
      </c>
      <c r="C6" t="s">
        <v>77</v>
      </c>
      <c r="D6" t="s">
        <v>47</v>
      </c>
      <c r="E6" t="s">
        <v>78</v>
      </c>
      <c r="F6" t="str">
        <f t="shared" si="0"/>
        <v>488W2419866</v>
      </c>
      <c r="G6" t="s">
        <v>49</v>
      </c>
      <c r="H6" t="s">
        <v>80</v>
      </c>
      <c r="I6" s="1">
        <v>45931</v>
      </c>
      <c r="J6" s="2">
        <v>28.92</v>
      </c>
      <c r="K6" t="s">
        <v>54</v>
      </c>
      <c r="L6" s="1">
        <v>46204</v>
      </c>
      <c r="M6">
        <v>1</v>
      </c>
      <c r="N6">
        <v>0</v>
      </c>
      <c r="O6">
        <v>0</v>
      </c>
      <c r="P6">
        <v>1</v>
      </c>
      <c r="R6">
        <v>28.92</v>
      </c>
      <c r="T6">
        <v>28.92</v>
      </c>
      <c r="U6" t="s">
        <v>282</v>
      </c>
      <c r="V6" t="s">
        <v>284</v>
      </c>
    </row>
    <row r="7" spans="1:22" x14ac:dyDescent="0.25">
      <c r="A7">
        <v>18581063</v>
      </c>
      <c r="B7" t="s">
        <v>249</v>
      </c>
      <c r="C7" t="s">
        <v>233</v>
      </c>
      <c r="D7" t="s">
        <v>47</v>
      </c>
      <c r="E7" t="s">
        <v>278</v>
      </c>
      <c r="F7" t="str">
        <f t="shared" si="0"/>
        <v>526W1763266</v>
      </c>
      <c r="G7" t="s">
        <v>49</v>
      </c>
      <c r="H7" t="s">
        <v>279</v>
      </c>
      <c r="I7" s="1">
        <v>46023</v>
      </c>
      <c r="J7" s="2">
        <v>28.92</v>
      </c>
      <c r="K7" t="s">
        <v>54</v>
      </c>
      <c r="L7" s="1">
        <v>46204</v>
      </c>
      <c r="M7">
        <v>1</v>
      </c>
      <c r="N7">
        <v>0</v>
      </c>
      <c r="O7">
        <v>0</v>
      </c>
      <c r="P7">
        <v>1</v>
      </c>
      <c r="R7">
        <v>28.92</v>
      </c>
      <c r="T7">
        <v>28.92</v>
      </c>
      <c r="U7" t="s">
        <v>282</v>
      </c>
      <c r="V7" t="s">
        <v>284</v>
      </c>
    </row>
    <row r="8" spans="1:22" x14ac:dyDescent="0.25">
      <c r="A8">
        <v>18581063</v>
      </c>
      <c r="B8" t="s">
        <v>249</v>
      </c>
      <c r="C8" t="s">
        <v>233</v>
      </c>
      <c r="D8" t="s">
        <v>47</v>
      </c>
      <c r="E8" t="s">
        <v>271</v>
      </c>
      <c r="F8" t="str">
        <f t="shared" si="0"/>
        <v>752M0011666</v>
      </c>
      <c r="G8" t="s">
        <v>49</v>
      </c>
      <c r="H8" t="s">
        <v>272</v>
      </c>
      <c r="I8" s="1">
        <v>46023</v>
      </c>
      <c r="J8" s="2">
        <v>28.92</v>
      </c>
      <c r="K8" t="s">
        <v>54</v>
      </c>
      <c r="L8" s="1">
        <v>46204</v>
      </c>
      <c r="M8">
        <v>1</v>
      </c>
      <c r="N8">
        <v>0</v>
      </c>
      <c r="O8">
        <v>0</v>
      </c>
      <c r="P8">
        <v>1</v>
      </c>
      <c r="R8">
        <v>28.92</v>
      </c>
      <c r="T8">
        <v>28.92</v>
      </c>
      <c r="U8" t="s">
        <v>282</v>
      </c>
      <c r="V8" t="s">
        <v>284</v>
      </c>
    </row>
    <row r="9" spans="1:22" x14ac:dyDescent="0.25">
      <c r="A9">
        <v>18581063</v>
      </c>
      <c r="B9" t="s">
        <v>249</v>
      </c>
      <c r="C9" t="s">
        <v>233</v>
      </c>
      <c r="D9" t="s">
        <v>47</v>
      </c>
      <c r="E9" t="s">
        <v>275</v>
      </c>
      <c r="F9" t="str">
        <f t="shared" si="0"/>
        <v>761W1774066</v>
      </c>
      <c r="G9" t="s">
        <v>49</v>
      </c>
      <c r="H9" t="s">
        <v>276</v>
      </c>
      <c r="I9" s="1">
        <v>46023</v>
      </c>
      <c r="J9" s="2">
        <v>28.92</v>
      </c>
      <c r="K9" t="s">
        <v>54</v>
      </c>
      <c r="L9" s="1">
        <v>46204</v>
      </c>
      <c r="M9">
        <v>1</v>
      </c>
      <c r="N9">
        <v>0</v>
      </c>
      <c r="O9">
        <v>0</v>
      </c>
      <c r="P9">
        <v>1</v>
      </c>
      <c r="R9">
        <v>28.92</v>
      </c>
      <c r="T9">
        <v>28.92</v>
      </c>
      <c r="U9" t="s">
        <v>282</v>
      </c>
      <c r="V9" t="s">
        <v>284</v>
      </c>
    </row>
    <row r="10" spans="1:22" x14ac:dyDescent="0.25">
      <c r="A10">
        <v>16849453</v>
      </c>
      <c r="B10" t="s">
        <v>82</v>
      </c>
      <c r="C10" t="s">
        <v>83</v>
      </c>
      <c r="D10" t="s">
        <v>47</v>
      </c>
      <c r="E10" t="s">
        <v>107</v>
      </c>
      <c r="F10" t="str">
        <f t="shared" si="0"/>
        <v>940W2339766</v>
      </c>
      <c r="G10" t="s">
        <v>49</v>
      </c>
      <c r="H10" t="s">
        <v>108</v>
      </c>
      <c r="I10" s="1">
        <v>46204</v>
      </c>
      <c r="J10" s="2">
        <v>28.92</v>
      </c>
      <c r="K10" t="s">
        <v>54</v>
      </c>
      <c r="L10" s="1">
        <v>46387</v>
      </c>
      <c r="M10">
        <v>1</v>
      </c>
      <c r="N10">
        <v>0</v>
      </c>
      <c r="O10">
        <v>0</v>
      </c>
      <c r="P10">
        <v>1</v>
      </c>
      <c r="R10">
        <v>28.92</v>
      </c>
      <c r="S10" t="s">
        <v>55</v>
      </c>
      <c r="T10">
        <v>173.52</v>
      </c>
      <c r="U10" t="s">
        <v>282</v>
      </c>
      <c r="V10" t="s">
        <v>285</v>
      </c>
    </row>
    <row r="11" spans="1:22" x14ac:dyDescent="0.25">
      <c r="A11">
        <v>17094718</v>
      </c>
      <c r="B11" t="s">
        <v>184</v>
      </c>
      <c r="C11" t="s">
        <v>219</v>
      </c>
      <c r="D11" t="s">
        <v>47</v>
      </c>
      <c r="E11" t="s">
        <v>224</v>
      </c>
      <c r="F11" t="str">
        <f t="shared" si="0"/>
        <v>972W2287566</v>
      </c>
      <c r="G11" t="s">
        <v>49</v>
      </c>
      <c r="H11" t="s">
        <v>226</v>
      </c>
      <c r="I11" s="1">
        <v>45689</v>
      </c>
      <c r="J11" s="2">
        <v>28.92</v>
      </c>
      <c r="K11" t="s">
        <v>54</v>
      </c>
      <c r="L11" s="1">
        <v>46204</v>
      </c>
      <c r="M11">
        <v>1</v>
      </c>
      <c r="N11">
        <v>0</v>
      </c>
      <c r="O11">
        <v>0</v>
      </c>
      <c r="P11">
        <v>1</v>
      </c>
      <c r="R11">
        <v>28.92</v>
      </c>
      <c r="T11">
        <v>28.92</v>
      </c>
      <c r="U11" t="s">
        <v>282</v>
      </c>
      <c r="V11" t="s">
        <v>284</v>
      </c>
    </row>
    <row r="12" spans="1:22" x14ac:dyDescent="0.25">
      <c r="A12">
        <v>20724564</v>
      </c>
      <c r="B12" t="s">
        <v>119</v>
      </c>
      <c r="C12" t="s">
        <v>83</v>
      </c>
      <c r="D12" t="s">
        <v>47</v>
      </c>
      <c r="E12" t="s">
        <v>156</v>
      </c>
      <c r="F12" t="s">
        <v>156</v>
      </c>
      <c r="G12" t="s">
        <v>63</v>
      </c>
      <c r="H12" t="s">
        <v>157</v>
      </c>
      <c r="I12" s="1">
        <v>45962</v>
      </c>
      <c r="J12" s="3">
        <v>0.21</v>
      </c>
      <c r="K12" t="s">
        <v>54</v>
      </c>
      <c r="L12" s="1">
        <v>46204</v>
      </c>
      <c r="M12">
        <v>1</v>
      </c>
      <c r="N12">
        <v>0</v>
      </c>
      <c r="O12">
        <v>34.31</v>
      </c>
      <c r="P12">
        <v>163.41</v>
      </c>
      <c r="Q12" t="s">
        <v>159</v>
      </c>
      <c r="R12">
        <v>0</v>
      </c>
      <c r="T12" s="4">
        <f>P12*J12</f>
        <v>34.316099999999999</v>
      </c>
      <c r="U12" t="s">
        <v>281</v>
      </c>
    </row>
    <row r="13" spans="1:22" x14ac:dyDescent="0.25">
      <c r="I13" s="1"/>
      <c r="J13" s="3"/>
      <c r="L13" s="1"/>
    </row>
    <row r="14" spans="1:22" x14ac:dyDescent="0.25">
      <c r="I14" s="1"/>
      <c r="J14" s="3"/>
      <c r="L14" s="1"/>
    </row>
    <row r="15" spans="1:22" x14ac:dyDescent="0.25">
      <c r="A15">
        <v>19645587</v>
      </c>
      <c r="B15" t="s">
        <v>57</v>
      </c>
      <c r="C15" t="s">
        <v>233</v>
      </c>
      <c r="D15" t="s">
        <v>47</v>
      </c>
      <c r="E15" t="s">
        <v>241</v>
      </c>
      <c r="G15" t="s">
        <v>49</v>
      </c>
      <c r="H15" t="s">
        <v>242</v>
      </c>
      <c r="I15" s="1">
        <v>46174</v>
      </c>
      <c r="J15" s="2">
        <v>57.84</v>
      </c>
      <c r="K15" t="s">
        <v>54</v>
      </c>
      <c r="L15" s="1">
        <v>46054</v>
      </c>
      <c r="M15">
        <v>1</v>
      </c>
      <c r="N15">
        <v>0</v>
      </c>
      <c r="O15">
        <v>0</v>
      </c>
      <c r="P15">
        <v>0</v>
      </c>
      <c r="R15">
        <v>57.84</v>
      </c>
      <c r="S15" t="s">
        <v>244</v>
      </c>
    </row>
    <row r="16" spans="1:22" x14ac:dyDescent="0.25">
      <c r="A16">
        <v>19645587</v>
      </c>
      <c r="B16" t="s">
        <v>57</v>
      </c>
      <c r="C16" t="s">
        <v>233</v>
      </c>
      <c r="D16" t="s">
        <v>47</v>
      </c>
      <c r="E16" t="s">
        <v>241</v>
      </c>
      <c r="G16" t="s">
        <v>49</v>
      </c>
      <c r="H16" t="s">
        <v>242</v>
      </c>
      <c r="I16" s="1">
        <v>46174</v>
      </c>
      <c r="J16" s="2">
        <v>57.84</v>
      </c>
      <c r="K16" t="s">
        <v>54</v>
      </c>
      <c r="L16" s="1">
        <v>46082</v>
      </c>
      <c r="M16">
        <v>1</v>
      </c>
      <c r="N16">
        <v>0</v>
      </c>
      <c r="O16">
        <v>0</v>
      </c>
      <c r="P16">
        <v>0</v>
      </c>
      <c r="R16">
        <v>57.84</v>
      </c>
      <c r="S16" t="s">
        <v>244</v>
      </c>
    </row>
    <row r="17" spans="1:19" x14ac:dyDescent="0.25">
      <c r="A17">
        <v>19645587</v>
      </c>
      <c r="B17" t="s">
        <v>57</v>
      </c>
      <c r="C17" t="s">
        <v>233</v>
      </c>
      <c r="D17" t="s">
        <v>47</v>
      </c>
      <c r="E17" t="s">
        <v>241</v>
      </c>
      <c r="G17" t="s">
        <v>49</v>
      </c>
      <c r="H17" t="s">
        <v>242</v>
      </c>
      <c r="I17" s="1">
        <v>46174</v>
      </c>
      <c r="J17" s="2">
        <v>57.84</v>
      </c>
      <c r="K17" t="s">
        <v>54</v>
      </c>
      <c r="L17" s="1">
        <v>46113</v>
      </c>
      <c r="M17">
        <v>1</v>
      </c>
      <c r="N17">
        <v>0</v>
      </c>
      <c r="O17">
        <v>0</v>
      </c>
      <c r="P17">
        <v>0</v>
      </c>
      <c r="R17">
        <v>57.84</v>
      </c>
      <c r="S17" t="s">
        <v>244</v>
      </c>
    </row>
    <row r="18" spans="1:19" x14ac:dyDescent="0.25">
      <c r="A18">
        <v>19645587</v>
      </c>
      <c r="B18" t="s">
        <v>57</v>
      </c>
      <c r="C18" t="s">
        <v>233</v>
      </c>
      <c r="D18" t="s">
        <v>47</v>
      </c>
      <c r="E18" t="s">
        <v>241</v>
      </c>
      <c r="G18" t="s">
        <v>49</v>
      </c>
      <c r="H18" t="s">
        <v>242</v>
      </c>
      <c r="I18" s="1">
        <v>46174</v>
      </c>
      <c r="J18" s="2">
        <v>57.84</v>
      </c>
      <c r="K18" t="s">
        <v>54</v>
      </c>
      <c r="L18" s="1">
        <v>46143</v>
      </c>
      <c r="M18">
        <v>1</v>
      </c>
      <c r="N18">
        <v>0</v>
      </c>
      <c r="O18">
        <v>0</v>
      </c>
      <c r="P18">
        <v>0</v>
      </c>
      <c r="R18">
        <v>57.84</v>
      </c>
      <c r="S18" t="s">
        <v>244</v>
      </c>
    </row>
    <row r="19" spans="1:19" x14ac:dyDescent="0.25">
      <c r="A19">
        <v>19645587</v>
      </c>
      <c r="B19" t="s">
        <v>57</v>
      </c>
      <c r="C19" t="s">
        <v>233</v>
      </c>
      <c r="D19" t="s">
        <v>47</v>
      </c>
      <c r="E19" t="s">
        <v>241</v>
      </c>
      <c r="G19" t="s">
        <v>49</v>
      </c>
      <c r="H19" t="s">
        <v>242</v>
      </c>
      <c r="I19" s="1">
        <v>46174</v>
      </c>
      <c r="J19" s="2">
        <v>57.84</v>
      </c>
      <c r="K19" t="s">
        <v>54</v>
      </c>
      <c r="L19" s="1">
        <v>46174</v>
      </c>
      <c r="M19">
        <v>1</v>
      </c>
      <c r="N19">
        <v>0</v>
      </c>
      <c r="O19">
        <v>0</v>
      </c>
      <c r="P19">
        <v>0</v>
      </c>
      <c r="R19">
        <v>57.84</v>
      </c>
      <c r="S19" t="s">
        <v>245</v>
      </c>
    </row>
    <row r="20" spans="1:19" x14ac:dyDescent="0.25">
      <c r="A20">
        <v>19645587</v>
      </c>
      <c r="B20" t="s">
        <v>57</v>
      </c>
      <c r="C20" t="s">
        <v>233</v>
      </c>
      <c r="D20" t="s">
        <v>47</v>
      </c>
      <c r="E20" t="s">
        <v>241</v>
      </c>
      <c r="G20" t="s">
        <v>49</v>
      </c>
      <c r="H20" t="s">
        <v>242</v>
      </c>
      <c r="I20" s="1">
        <v>46174</v>
      </c>
      <c r="J20" s="2">
        <v>57.84</v>
      </c>
      <c r="K20" t="s">
        <v>54</v>
      </c>
      <c r="L20" s="1">
        <v>46204</v>
      </c>
      <c r="M20">
        <v>1</v>
      </c>
      <c r="N20">
        <v>0</v>
      </c>
      <c r="O20">
        <v>0</v>
      </c>
      <c r="P20">
        <v>0</v>
      </c>
      <c r="R20">
        <v>57.84</v>
      </c>
      <c r="S20" t="s">
        <v>244</v>
      </c>
    </row>
    <row r="21" spans="1:19" x14ac:dyDescent="0.25">
      <c r="A21">
        <v>19645587</v>
      </c>
      <c r="B21" t="s">
        <v>57</v>
      </c>
      <c r="C21" t="s">
        <v>233</v>
      </c>
      <c r="D21" t="s">
        <v>47</v>
      </c>
      <c r="E21" t="s">
        <v>241</v>
      </c>
      <c r="G21" t="s">
        <v>49</v>
      </c>
      <c r="H21" t="s">
        <v>242</v>
      </c>
      <c r="I21" s="1">
        <v>46174</v>
      </c>
      <c r="J21" s="2">
        <v>57.84</v>
      </c>
      <c r="K21" t="s">
        <v>54</v>
      </c>
      <c r="L21" s="1">
        <v>46235</v>
      </c>
      <c r="M21">
        <v>1</v>
      </c>
      <c r="N21">
        <v>0</v>
      </c>
      <c r="O21">
        <v>0</v>
      </c>
      <c r="P21">
        <v>0</v>
      </c>
      <c r="R21">
        <v>57.84</v>
      </c>
      <c r="S21" t="s">
        <v>244</v>
      </c>
    </row>
    <row r="22" spans="1:19" x14ac:dyDescent="0.25">
      <c r="A22">
        <v>19645587</v>
      </c>
      <c r="B22" t="s">
        <v>57</v>
      </c>
      <c r="C22" t="s">
        <v>233</v>
      </c>
      <c r="D22" t="s">
        <v>47</v>
      </c>
      <c r="E22" t="s">
        <v>241</v>
      </c>
      <c r="G22" t="s">
        <v>49</v>
      </c>
      <c r="H22" t="s">
        <v>242</v>
      </c>
      <c r="I22" s="1">
        <v>46174</v>
      </c>
      <c r="J22" s="2">
        <v>57.84</v>
      </c>
      <c r="K22" t="s">
        <v>54</v>
      </c>
      <c r="L22" s="1">
        <v>46266</v>
      </c>
      <c r="M22">
        <v>1</v>
      </c>
      <c r="N22">
        <v>0</v>
      </c>
      <c r="O22">
        <v>0</v>
      </c>
      <c r="P22">
        <v>0</v>
      </c>
      <c r="R22">
        <v>57.84</v>
      </c>
      <c r="S22" t="s">
        <v>244</v>
      </c>
    </row>
    <row r="23" spans="1:19" x14ac:dyDescent="0.25">
      <c r="A23">
        <v>19645587</v>
      </c>
      <c r="B23" t="s">
        <v>57</v>
      </c>
      <c r="C23" t="s">
        <v>233</v>
      </c>
      <c r="D23" t="s">
        <v>47</v>
      </c>
      <c r="E23" t="s">
        <v>241</v>
      </c>
      <c r="G23" t="s">
        <v>49</v>
      </c>
      <c r="H23" t="s">
        <v>242</v>
      </c>
      <c r="I23" s="1">
        <v>46174</v>
      </c>
      <c r="J23" s="2">
        <v>57.84</v>
      </c>
      <c r="K23" t="s">
        <v>54</v>
      </c>
      <c r="L23" s="1">
        <v>46296</v>
      </c>
      <c r="M23">
        <v>1</v>
      </c>
      <c r="N23">
        <v>0</v>
      </c>
      <c r="O23">
        <v>0</v>
      </c>
      <c r="P23">
        <v>0</v>
      </c>
      <c r="R23">
        <v>57.84</v>
      </c>
      <c r="S23" t="s">
        <v>244</v>
      </c>
    </row>
    <row r="24" spans="1:19" x14ac:dyDescent="0.25">
      <c r="A24">
        <v>19645587</v>
      </c>
      <c r="B24" t="s">
        <v>57</v>
      </c>
      <c r="C24" t="s">
        <v>233</v>
      </c>
      <c r="D24" t="s">
        <v>47</v>
      </c>
      <c r="E24" t="s">
        <v>241</v>
      </c>
      <c r="G24" t="s">
        <v>49</v>
      </c>
      <c r="H24" t="s">
        <v>242</v>
      </c>
      <c r="I24" s="1">
        <v>46174</v>
      </c>
      <c r="J24" s="2">
        <v>57.84</v>
      </c>
      <c r="K24" t="s">
        <v>54</v>
      </c>
      <c r="L24" s="1">
        <v>46327</v>
      </c>
      <c r="M24">
        <v>1</v>
      </c>
      <c r="N24">
        <v>0</v>
      </c>
      <c r="O24">
        <v>0</v>
      </c>
      <c r="P24">
        <v>0</v>
      </c>
      <c r="R24">
        <v>57.84</v>
      </c>
      <c r="S24" t="s">
        <v>244</v>
      </c>
    </row>
    <row r="25" spans="1:19" x14ac:dyDescent="0.25">
      <c r="A25">
        <v>19645587</v>
      </c>
      <c r="B25" t="s">
        <v>57</v>
      </c>
      <c r="C25" t="s">
        <v>233</v>
      </c>
      <c r="D25" t="s">
        <v>47</v>
      </c>
      <c r="E25" t="s">
        <v>241</v>
      </c>
      <c r="G25" t="s">
        <v>49</v>
      </c>
      <c r="H25" t="s">
        <v>242</v>
      </c>
      <c r="I25" s="1">
        <v>46174</v>
      </c>
      <c r="J25" s="2">
        <v>57.84</v>
      </c>
      <c r="K25" t="s">
        <v>54</v>
      </c>
      <c r="L25" s="1">
        <v>46357</v>
      </c>
      <c r="M25">
        <v>1</v>
      </c>
      <c r="N25">
        <v>0</v>
      </c>
      <c r="O25">
        <v>0</v>
      </c>
      <c r="P25">
        <v>0</v>
      </c>
      <c r="R25">
        <v>57.84</v>
      </c>
      <c r="S25" t="s">
        <v>244</v>
      </c>
    </row>
    <row r="26" spans="1:19" x14ac:dyDescent="0.25">
      <c r="A26">
        <v>18754354</v>
      </c>
      <c r="B26" t="s">
        <v>45</v>
      </c>
      <c r="C26" t="s">
        <v>46</v>
      </c>
      <c r="D26" t="s">
        <v>47</v>
      </c>
      <c r="E26" t="s">
        <v>48</v>
      </c>
      <c r="G26" t="s">
        <v>49</v>
      </c>
      <c r="H26" t="s">
        <v>51</v>
      </c>
      <c r="I26" s="1">
        <v>46204</v>
      </c>
      <c r="J26" s="2">
        <v>36</v>
      </c>
      <c r="K26" t="s">
        <v>54</v>
      </c>
      <c r="L26" s="1">
        <v>46235</v>
      </c>
      <c r="M26">
        <v>1</v>
      </c>
      <c r="N26">
        <v>0</v>
      </c>
      <c r="O26">
        <v>0</v>
      </c>
      <c r="P26">
        <v>0</v>
      </c>
      <c r="R26">
        <v>36</v>
      </c>
      <c r="S26" t="s">
        <v>56</v>
      </c>
    </row>
    <row r="27" spans="1:19" x14ac:dyDescent="0.25">
      <c r="A27">
        <v>18754354</v>
      </c>
      <c r="B27" t="s">
        <v>45</v>
      </c>
      <c r="C27" t="s">
        <v>46</v>
      </c>
      <c r="D27" t="s">
        <v>47</v>
      </c>
      <c r="E27" t="s">
        <v>48</v>
      </c>
      <c r="G27" t="s">
        <v>49</v>
      </c>
      <c r="H27" t="s">
        <v>51</v>
      </c>
      <c r="I27" s="1">
        <v>46204</v>
      </c>
      <c r="J27" s="2">
        <v>36</v>
      </c>
      <c r="K27" t="s">
        <v>54</v>
      </c>
      <c r="L27" s="1">
        <v>46266</v>
      </c>
      <c r="M27">
        <v>1</v>
      </c>
      <c r="N27">
        <v>0</v>
      </c>
      <c r="O27">
        <v>0</v>
      </c>
      <c r="P27">
        <v>0</v>
      </c>
      <c r="R27">
        <v>36</v>
      </c>
      <c r="S27" t="s">
        <v>56</v>
      </c>
    </row>
    <row r="28" spans="1:19" x14ac:dyDescent="0.25">
      <c r="A28">
        <v>18754354</v>
      </c>
      <c r="B28" t="s">
        <v>45</v>
      </c>
      <c r="C28" t="s">
        <v>46</v>
      </c>
      <c r="D28" t="s">
        <v>47</v>
      </c>
      <c r="E28" t="s">
        <v>48</v>
      </c>
      <c r="G28" t="s">
        <v>49</v>
      </c>
      <c r="H28" t="s">
        <v>51</v>
      </c>
      <c r="I28" s="1">
        <v>46204</v>
      </c>
      <c r="J28" s="2">
        <v>36</v>
      </c>
      <c r="K28" t="s">
        <v>54</v>
      </c>
      <c r="L28" s="1">
        <v>46296</v>
      </c>
      <c r="M28">
        <v>1</v>
      </c>
      <c r="N28">
        <v>0</v>
      </c>
      <c r="O28">
        <v>0</v>
      </c>
      <c r="P28">
        <v>0</v>
      </c>
      <c r="R28">
        <v>36</v>
      </c>
      <c r="S28" t="s">
        <v>56</v>
      </c>
    </row>
    <row r="29" spans="1:19" x14ac:dyDescent="0.25">
      <c r="A29">
        <v>18754354</v>
      </c>
      <c r="B29" t="s">
        <v>45</v>
      </c>
      <c r="C29" t="s">
        <v>46</v>
      </c>
      <c r="D29" t="s">
        <v>47</v>
      </c>
      <c r="E29" t="s">
        <v>48</v>
      </c>
      <c r="G29" t="s">
        <v>49</v>
      </c>
      <c r="H29" t="s">
        <v>51</v>
      </c>
      <c r="I29" s="1">
        <v>46204</v>
      </c>
      <c r="J29" s="2">
        <v>36</v>
      </c>
      <c r="K29" t="s">
        <v>54</v>
      </c>
      <c r="L29" s="1">
        <v>46327</v>
      </c>
      <c r="M29">
        <v>1</v>
      </c>
      <c r="N29">
        <v>0</v>
      </c>
      <c r="O29">
        <v>0</v>
      </c>
      <c r="P29">
        <v>0</v>
      </c>
      <c r="R29">
        <v>36</v>
      </c>
      <c r="S29" t="s">
        <v>56</v>
      </c>
    </row>
    <row r="30" spans="1:19" x14ac:dyDescent="0.25">
      <c r="A30">
        <v>18754354</v>
      </c>
      <c r="B30" t="s">
        <v>45</v>
      </c>
      <c r="C30" t="s">
        <v>46</v>
      </c>
      <c r="D30" t="s">
        <v>47</v>
      </c>
      <c r="E30" t="s">
        <v>48</v>
      </c>
      <c r="G30" t="s">
        <v>49</v>
      </c>
      <c r="H30" t="s">
        <v>51</v>
      </c>
      <c r="I30" s="1">
        <v>46204</v>
      </c>
      <c r="J30" s="2">
        <v>36</v>
      </c>
      <c r="K30" t="s">
        <v>54</v>
      </c>
      <c r="L30" s="1">
        <v>46357</v>
      </c>
      <c r="M30">
        <v>1</v>
      </c>
      <c r="N30">
        <v>0</v>
      </c>
      <c r="O30">
        <v>0</v>
      </c>
      <c r="P30">
        <v>0</v>
      </c>
      <c r="R30">
        <v>36</v>
      </c>
      <c r="S30" t="s">
        <v>56</v>
      </c>
    </row>
    <row r="31" spans="1:19" x14ac:dyDescent="0.25">
      <c r="A31">
        <v>16849453</v>
      </c>
      <c r="B31" t="s">
        <v>82</v>
      </c>
      <c r="C31" t="s">
        <v>83</v>
      </c>
      <c r="D31" t="s">
        <v>47</v>
      </c>
      <c r="E31" t="s">
        <v>107</v>
      </c>
      <c r="G31" t="s">
        <v>49</v>
      </c>
      <c r="H31" t="s">
        <v>108</v>
      </c>
      <c r="I31" s="1">
        <v>46204</v>
      </c>
      <c r="J31" s="2">
        <v>28.92</v>
      </c>
      <c r="K31" t="s">
        <v>54</v>
      </c>
      <c r="L31" s="1">
        <v>46235</v>
      </c>
      <c r="M31">
        <v>1</v>
      </c>
      <c r="N31">
        <v>0</v>
      </c>
      <c r="O31">
        <v>0</v>
      </c>
      <c r="P31">
        <v>0</v>
      </c>
      <c r="R31">
        <v>28.92</v>
      </c>
      <c r="S31" t="s">
        <v>56</v>
      </c>
    </row>
    <row r="32" spans="1:19" x14ac:dyDescent="0.25">
      <c r="A32">
        <v>16849453</v>
      </c>
      <c r="B32" t="s">
        <v>82</v>
      </c>
      <c r="C32" t="s">
        <v>83</v>
      </c>
      <c r="D32" t="s">
        <v>47</v>
      </c>
      <c r="E32" t="s">
        <v>107</v>
      </c>
      <c r="G32" t="s">
        <v>49</v>
      </c>
      <c r="H32" t="s">
        <v>108</v>
      </c>
      <c r="I32" s="1">
        <v>46204</v>
      </c>
      <c r="J32" s="2">
        <v>28.92</v>
      </c>
      <c r="K32" t="s">
        <v>54</v>
      </c>
      <c r="L32" s="1">
        <v>46266</v>
      </c>
      <c r="M32">
        <v>1</v>
      </c>
      <c r="N32">
        <v>0</v>
      </c>
      <c r="O32">
        <v>0</v>
      </c>
      <c r="P32">
        <v>0</v>
      </c>
      <c r="R32">
        <v>28.92</v>
      </c>
      <c r="S32" t="s">
        <v>56</v>
      </c>
    </row>
    <row r="33" spans="1:19" x14ac:dyDescent="0.25">
      <c r="A33">
        <v>16849453</v>
      </c>
      <c r="B33" t="s">
        <v>82</v>
      </c>
      <c r="C33" t="s">
        <v>83</v>
      </c>
      <c r="D33" t="s">
        <v>47</v>
      </c>
      <c r="E33" t="s">
        <v>107</v>
      </c>
      <c r="G33" t="s">
        <v>49</v>
      </c>
      <c r="H33" t="s">
        <v>108</v>
      </c>
      <c r="I33" s="1">
        <v>46204</v>
      </c>
      <c r="J33" s="2">
        <v>28.92</v>
      </c>
      <c r="K33" t="s">
        <v>54</v>
      </c>
      <c r="L33" s="1">
        <v>46296</v>
      </c>
      <c r="M33">
        <v>1</v>
      </c>
      <c r="N33">
        <v>0</v>
      </c>
      <c r="O33">
        <v>0</v>
      </c>
      <c r="P33">
        <v>0</v>
      </c>
      <c r="R33">
        <v>28.92</v>
      </c>
      <c r="S33" t="s">
        <v>56</v>
      </c>
    </row>
    <row r="34" spans="1:19" x14ac:dyDescent="0.25">
      <c r="A34">
        <v>16849453</v>
      </c>
      <c r="B34" t="s">
        <v>82</v>
      </c>
      <c r="C34" t="s">
        <v>83</v>
      </c>
      <c r="D34" t="s">
        <v>47</v>
      </c>
      <c r="E34" t="s">
        <v>107</v>
      </c>
      <c r="G34" t="s">
        <v>49</v>
      </c>
      <c r="H34" t="s">
        <v>108</v>
      </c>
      <c r="I34" s="1">
        <v>46204</v>
      </c>
      <c r="J34" s="2">
        <v>28.92</v>
      </c>
      <c r="K34" t="s">
        <v>54</v>
      </c>
      <c r="L34" s="1">
        <v>46327</v>
      </c>
      <c r="M34">
        <v>1</v>
      </c>
      <c r="N34">
        <v>0</v>
      </c>
      <c r="O34">
        <v>0</v>
      </c>
      <c r="P34">
        <v>0</v>
      </c>
      <c r="R34">
        <v>28.92</v>
      </c>
      <c r="S34" t="s">
        <v>56</v>
      </c>
    </row>
    <row r="35" spans="1:19" x14ac:dyDescent="0.25">
      <c r="A35">
        <v>16849453</v>
      </c>
      <c r="B35" t="s">
        <v>82</v>
      </c>
      <c r="C35" t="s">
        <v>83</v>
      </c>
      <c r="D35" t="s">
        <v>47</v>
      </c>
      <c r="E35" t="s">
        <v>107</v>
      </c>
      <c r="G35" t="s">
        <v>49</v>
      </c>
      <c r="H35" t="s">
        <v>108</v>
      </c>
      <c r="I35" s="1">
        <v>46204</v>
      </c>
      <c r="J35" s="2">
        <v>28.92</v>
      </c>
      <c r="K35" t="s">
        <v>54</v>
      </c>
      <c r="L35" s="1">
        <v>46357</v>
      </c>
      <c r="M35">
        <v>1</v>
      </c>
      <c r="N35">
        <v>0</v>
      </c>
      <c r="O35">
        <v>0</v>
      </c>
      <c r="P35">
        <v>0</v>
      </c>
      <c r="R35">
        <v>28.92</v>
      </c>
      <c r="S35" t="s">
        <v>56</v>
      </c>
    </row>
    <row r="36" spans="1:19" x14ac:dyDescent="0.25">
      <c r="I36" s="1"/>
      <c r="J36" s="3"/>
      <c r="L36" s="1"/>
    </row>
    <row r="37" spans="1:19" x14ac:dyDescent="0.25">
      <c r="A37">
        <v>18581063</v>
      </c>
      <c r="B37" t="s">
        <v>249</v>
      </c>
      <c r="C37" t="s">
        <v>233</v>
      </c>
      <c r="D37" t="s">
        <v>47</v>
      </c>
      <c r="E37" t="s">
        <v>250</v>
      </c>
      <c r="G37" t="s">
        <v>49</v>
      </c>
      <c r="H37" t="s">
        <v>251</v>
      </c>
      <c r="I37" s="1">
        <v>46023</v>
      </c>
      <c r="J37" s="2">
        <v>28.92</v>
      </c>
      <c r="K37" t="s">
        <v>54</v>
      </c>
      <c r="L37" s="1">
        <v>46204</v>
      </c>
      <c r="M37">
        <v>1</v>
      </c>
      <c r="N37">
        <v>0</v>
      </c>
      <c r="O37">
        <v>173.52</v>
      </c>
      <c r="P37">
        <v>0</v>
      </c>
      <c r="R37">
        <v>0</v>
      </c>
    </row>
    <row r="38" spans="1:19" x14ac:dyDescent="0.25">
      <c r="A38">
        <v>20724564</v>
      </c>
      <c r="B38" t="s">
        <v>119</v>
      </c>
      <c r="C38" t="s">
        <v>83</v>
      </c>
      <c r="D38" t="s">
        <v>47</v>
      </c>
      <c r="E38" t="s">
        <v>178</v>
      </c>
      <c r="G38" t="s">
        <v>49</v>
      </c>
      <c r="H38" t="s">
        <v>179</v>
      </c>
      <c r="I38" s="1">
        <v>46023</v>
      </c>
      <c r="J38" s="2">
        <v>52.17</v>
      </c>
      <c r="K38" t="s">
        <v>54</v>
      </c>
      <c r="L38" s="1">
        <v>46204</v>
      </c>
      <c r="M38">
        <v>1</v>
      </c>
      <c r="N38">
        <v>0</v>
      </c>
      <c r="O38">
        <v>313.02</v>
      </c>
      <c r="P38">
        <v>0</v>
      </c>
      <c r="R38">
        <v>0</v>
      </c>
    </row>
    <row r="39" spans="1:19" x14ac:dyDescent="0.25">
      <c r="A39">
        <v>18754354</v>
      </c>
      <c r="B39" t="s">
        <v>45</v>
      </c>
      <c r="C39" t="s">
        <v>233</v>
      </c>
      <c r="D39" t="s">
        <v>47</v>
      </c>
      <c r="E39" t="s">
        <v>234</v>
      </c>
      <c r="G39" t="s">
        <v>49</v>
      </c>
      <c r="H39" t="s">
        <v>236</v>
      </c>
      <c r="I39" s="1">
        <v>46023</v>
      </c>
      <c r="J39" s="2">
        <v>28.92</v>
      </c>
      <c r="K39" t="s">
        <v>54</v>
      </c>
      <c r="L39" s="1">
        <v>46204</v>
      </c>
      <c r="M39">
        <v>1</v>
      </c>
      <c r="N39">
        <v>0</v>
      </c>
      <c r="O39">
        <v>173.52</v>
      </c>
      <c r="P39">
        <v>0</v>
      </c>
      <c r="R39">
        <v>0</v>
      </c>
    </row>
    <row r="40" spans="1:19" x14ac:dyDescent="0.25">
      <c r="A40">
        <v>19491313</v>
      </c>
      <c r="B40" t="s">
        <v>188</v>
      </c>
      <c r="C40" t="s">
        <v>189</v>
      </c>
      <c r="D40" t="s">
        <v>47</v>
      </c>
      <c r="E40" t="s">
        <v>190</v>
      </c>
      <c r="G40" t="s">
        <v>49</v>
      </c>
      <c r="H40" t="s">
        <v>192</v>
      </c>
      <c r="I40" s="1">
        <v>46174</v>
      </c>
      <c r="J40" s="2">
        <v>28.92</v>
      </c>
      <c r="K40" t="s">
        <v>54</v>
      </c>
      <c r="L40" s="1">
        <v>46204</v>
      </c>
      <c r="M40">
        <v>1</v>
      </c>
      <c r="N40">
        <v>0</v>
      </c>
      <c r="O40">
        <v>173.52</v>
      </c>
      <c r="P40">
        <v>0</v>
      </c>
      <c r="R40">
        <v>0</v>
      </c>
    </row>
    <row r="41" spans="1:19" x14ac:dyDescent="0.25">
      <c r="A41">
        <v>17859093</v>
      </c>
      <c r="B41" t="s">
        <v>68</v>
      </c>
      <c r="C41" t="s">
        <v>46</v>
      </c>
      <c r="D41" t="s">
        <v>47</v>
      </c>
      <c r="E41" t="s">
        <v>69</v>
      </c>
      <c r="G41" t="s">
        <v>49</v>
      </c>
      <c r="H41" t="s">
        <v>70</v>
      </c>
      <c r="I41" s="1">
        <v>46054</v>
      </c>
      <c r="J41" s="2">
        <v>65</v>
      </c>
      <c r="K41" t="s">
        <v>54</v>
      </c>
      <c r="L41" s="1">
        <v>46204</v>
      </c>
      <c r="M41">
        <v>1</v>
      </c>
      <c r="N41">
        <v>0</v>
      </c>
      <c r="O41">
        <v>455</v>
      </c>
      <c r="P41">
        <v>0</v>
      </c>
      <c r="R41">
        <v>0</v>
      </c>
    </row>
    <row r="42" spans="1:19" x14ac:dyDescent="0.25">
      <c r="A42">
        <v>18581063</v>
      </c>
      <c r="B42" t="s">
        <v>249</v>
      </c>
      <c r="C42" t="s">
        <v>233</v>
      </c>
      <c r="D42" t="s">
        <v>47</v>
      </c>
      <c r="E42" t="s">
        <v>256</v>
      </c>
      <c r="G42" t="s">
        <v>49</v>
      </c>
      <c r="H42" t="s">
        <v>257</v>
      </c>
      <c r="I42" s="1">
        <v>46023</v>
      </c>
      <c r="J42" s="2">
        <v>28.92</v>
      </c>
      <c r="K42" t="s">
        <v>54</v>
      </c>
      <c r="L42" s="1">
        <v>46204</v>
      </c>
      <c r="M42">
        <v>1</v>
      </c>
      <c r="N42">
        <v>0</v>
      </c>
      <c r="O42">
        <v>173.52</v>
      </c>
      <c r="P42">
        <v>0</v>
      </c>
      <c r="R42">
        <v>0</v>
      </c>
    </row>
    <row r="43" spans="1:19" x14ac:dyDescent="0.25">
      <c r="A43">
        <v>16849453</v>
      </c>
      <c r="B43" t="s">
        <v>82</v>
      </c>
      <c r="C43" t="s">
        <v>83</v>
      </c>
      <c r="D43" t="s">
        <v>47</v>
      </c>
      <c r="E43" t="s">
        <v>101</v>
      </c>
      <c r="G43" t="s">
        <v>49</v>
      </c>
      <c r="H43" t="s">
        <v>102</v>
      </c>
      <c r="I43" s="1">
        <v>46054</v>
      </c>
      <c r="J43" s="2">
        <v>28.92</v>
      </c>
      <c r="K43" t="s">
        <v>54</v>
      </c>
      <c r="L43" s="1">
        <v>46204</v>
      </c>
      <c r="M43">
        <v>1</v>
      </c>
      <c r="N43">
        <v>0</v>
      </c>
      <c r="O43">
        <v>173.52</v>
      </c>
      <c r="P43">
        <v>0</v>
      </c>
      <c r="R43">
        <v>0</v>
      </c>
    </row>
    <row r="44" spans="1:19" x14ac:dyDescent="0.25">
      <c r="A44">
        <v>19491313</v>
      </c>
      <c r="B44" t="s">
        <v>188</v>
      </c>
      <c r="C44" t="s">
        <v>189</v>
      </c>
      <c r="D44" t="s">
        <v>47</v>
      </c>
      <c r="E44" t="s">
        <v>197</v>
      </c>
      <c r="G44" t="s">
        <v>49</v>
      </c>
      <c r="H44" t="s">
        <v>198</v>
      </c>
      <c r="I44" s="1">
        <v>46054</v>
      </c>
      <c r="J44" s="2">
        <v>28.92</v>
      </c>
      <c r="K44" t="s">
        <v>54</v>
      </c>
      <c r="L44" s="1">
        <v>46204</v>
      </c>
      <c r="M44">
        <v>1</v>
      </c>
      <c r="N44">
        <v>0</v>
      </c>
      <c r="O44">
        <v>173.52</v>
      </c>
      <c r="P44">
        <v>0</v>
      </c>
      <c r="R44">
        <v>0</v>
      </c>
    </row>
    <row r="45" spans="1:19" x14ac:dyDescent="0.25">
      <c r="A45">
        <v>18581063</v>
      </c>
      <c r="B45" t="s">
        <v>249</v>
      </c>
      <c r="C45" t="s">
        <v>233</v>
      </c>
      <c r="D45" t="s">
        <v>47</v>
      </c>
      <c r="E45" t="s">
        <v>265</v>
      </c>
      <c r="G45" t="s">
        <v>49</v>
      </c>
      <c r="H45" t="s">
        <v>266</v>
      </c>
      <c r="I45" s="1">
        <v>46023</v>
      </c>
      <c r="J45" s="2">
        <v>28.92</v>
      </c>
      <c r="K45" t="s">
        <v>54</v>
      </c>
      <c r="L45" s="1">
        <v>46204</v>
      </c>
      <c r="M45">
        <v>1</v>
      </c>
      <c r="N45">
        <v>0</v>
      </c>
      <c r="O45">
        <v>173.52</v>
      </c>
      <c r="P45">
        <v>0</v>
      </c>
      <c r="R45">
        <v>0</v>
      </c>
    </row>
    <row r="46" spans="1:19" x14ac:dyDescent="0.25">
      <c r="A46">
        <v>16849453</v>
      </c>
      <c r="B46" t="s">
        <v>82</v>
      </c>
      <c r="C46" t="s">
        <v>83</v>
      </c>
      <c r="D46" t="s">
        <v>47</v>
      </c>
      <c r="E46" t="s">
        <v>91</v>
      </c>
      <c r="G46" t="s">
        <v>49</v>
      </c>
      <c r="H46" t="s">
        <v>93</v>
      </c>
      <c r="I46" s="1">
        <v>46174</v>
      </c>
      <c r="J46" s="2">
        <v>52.17</v>
      </c>
      <c r="K46" t="s">
        <v>54</v>
      </c>
      <c r="L46" s="1">
        <v>46204</v>
      </c>
      <c r="M46">
        <v>1</v>
      </c>
      <c r="N46">
        <v>0</v>
      </c>
      <c r="O46">
        <v>573.87</v>
      </c>
      <c r="P46">
        <v>0</v>
      </c>
      <c r="R46">
        <v>0</v>
      </c>
    </row>
    <row r="47" spans="1:19" x14ac:dyDescent="0.25">
      <c r="A47">
        <v>18581063</v>
      </c>
      <c r="B47" t="s">
        <v>249</v>
      </c>
      <c r="C47" t="s">
        <v>233</v>
      </c>
      <c r="D47" t="s">
        <v>47</v>
      </c>
      <c r="E47" t="s">
        <v>253</v>
      </c>
      <c r="G47" t="s">
        <v>49</v>
      </c>
      <c r="H47" t="s">
        <v>254</v>
      </c>
      <c r="I47" s="1">
        <v>46023</v>
      </c>
      <c r="J47" s="2">
        <v>28.92</v>
      </c>
      <c r="K47" t="s">
        <v>54</v>
      </c>
      <c r="L47" s="1">
        <v>46204</v>
      </c>
      <c r="M47">
        <v>1</v>
      </c>
      <c r="N47">
        <v>0</v>
      </c>
      <c r="O47">
        <v>173.52</v>
      </c>
      <c r="P47">
        <v>0</v>
      </c>
      <c r="R47">
        <v>0</v>
      </c>
    </row>
    <row r="48" spans="1:19" x14ac:dyDescent="0.25">
      <c r="A48">
        <v>9079571</v>
      </c>
      <c r="B48" t="s">
        <v>228</v>
      </c>
      <c r="C48" t="s">
        <v>229</v>
      </c>
      <c r="D48" t="s">
        <v>47</v>
      </c>
      <c r="E48" t="s">
        <v>230</v>
      </c>
      <c r="G48" t="s">
        <v>49</v>
      </c>
      <c r="H48" t="s">
        <v>231</v>
      </c>
      <c r="I48" s="1">
        <v>46174</v>
      </c>
      <c r="J48" s="2">
        <v>28.92</v>
      </c>
      <c r="K48" t="s">
        <v>54</v>
      </c>
      <c r="L48" s="1">
        <v>46204</v>
      </c>
      <c r="M48">
        <v>1</v>
      </c>
      <c r="N48">
        <v>0</v>
      </c>
      <c r="O48">
        <v>173.52</v>
      </c>
      <c r="P48">
        <v>0</v>
      </c>
      <c r="R48">
        <v>0</v>
      </c>
    </row>
    <row r="49" spans="1:19" x14ac:dyDescent="0.25">
      <c r="A49">
        <v>19491313</v>
      </c>
      <c r="B49" t="s">
        <v>188</v>
      </c>
      <c r="C49" t="s">
        <v>189</v>
      </c>
      <c r="D49" t="s">
        <v>47</v>
      </c>
      <c r="E49" t="s">
        <v>200</v>
      </c>
      <c r="G49" t="s">
        <v>49</v>
      </c>
      <c r="H49" t="s">
        <v>201</v>
      </c>
      <c r="I49" s="1">
        <v>46054</v>
      </c>
      <c r="J49" s="2">
        <v>57.84</v>
      </c>
      <c r="K49" t="s">
        <v>54</v>
      </c>
      <c r="L49" s="1">
        <v>46204</v>
      </c>
      <c r="M49">
        <v>1</v>
      </c>
      <c r="N49">
        <v>0</v>
      </c>
      <c r="O49">
        <v>347.04</v>
      </c>
      <c r="P49">
        <v>0</v>
      </c>
      <c r="R49">
        <v>0</v>
      </c>
    </row>
    <row r="50" spans="1:19" x14ac:dyDescent="0.25">
      <c r="A50">
        <v>20724564</v>
      </c>
      <c r="B50" t="s">
        <v>119</v>
      </c>
      <c r="C50" t="s">
        <v>83</v>
      </c>
      <c r="D50" t="s">
        <v>47</v>
      </c>
      <c r="E50" t="s">
        <v>163</v>
      </c>
      <c r="G50" t="s">
        <v>49</v>
      </c>
      <c r="H50" t="s">
        <v>164</v>
      </c>
      <c r="I50" s="1">
        <v>46023</v>
      </c>
      <c r="J50" s="2">
        <v>52.17</v>
      </c>
      <c r="K50" t="s">
        <v>54</v>
      </c>
      <c r="L50" s="1">
        <v>46204</v>
      </c>
      <c r="M50">
        <v>1</v>
      </c>
      <c r="N50">
        <v>0</v>
      </c>
      <c r="O50">
        <v>313.02</v>
      </c>
      <c r="P50">
        <v>0</v>
      </c>
      <c r="R50">
        <v>0</v>
      </c>
    </row>
    <row r="51" spans="1:19" x14ac:dyDescent="0.25">
      <c r="A51">
        <v>18581063</v>
      </c>
      <c r="B51" t="s">
        <v>249</v>
      </c>
      <c r="C51" t="s">
        <v>233</v>
      </c>
      <c r="D51" t="s">
        <v>47</v>
      </c>
      <c r="E51" t="s">
        <v>262</v>
      </c>
      <c r="G51" t="s">
        <v>49</v>
      </c>
      <c r="H51" t="s">
        <v>263</v>
      </c>
      <c r="I51" s="1">
        <v>46023</v>
      </c>
      <c r="J51" s="2">
        <v>28.92</v>
      </c>
      <c r="K51" t="s">
        <v>54</v>
      </c>
      <c r="L51" s="1">
        <v>46204</v>
      </c>
      <c r="M51">
        <v>1</v>
      </c>
      <c r="N51">
        <v>0</v>
      </c>
      <c r="O51">
        <v>173.52</v>
      </c>
      <c r="P51">
        <v>0</v>
      </c>
      <c r="R51">
        <v>0</v>
      </c>
    </row>
    <row r="52" spans="1:19" x14ac:dyDescent="0.25">
      <c r="A52">
        <v>20724564</v>
      </c>
      <c r="B52" t="s">
        <v>119</v>
      </c>
      <c r="C52" t="s">
        <v>83</v>
      </c>
      <c r="D52" t="s">
        <v>47</v>
      </c>
      <c r="E52" t="s">
        <v>160</v>
      </c>
      <c r="G52" t="s">
        <v>49</v>
      </c>
      <c r="H52" t="s">
        <v>161</v>
      </c>
      <c r="I52" s="1">
        <v>46023</v>
      </c>
      <c r="J52" s="2">
        <v>28.92</v>
      </c>
      <c r="K52" t="s">
        <v>54</v>
      </c>
      <c r="L52" s="1">
        <v>46204</v>
      </c>
      <c r="M52">
        <v>1</v>
      </c>
      <c r="N52">
        <v>0</v>
      </c>
      <c r="O52">
        <v>173.52</v>
      </c>
      <c r="P52">
        <v>0</v>
      </c>
      <c r="R52">
        <v>0</v>
      </c>
    </row>
    <row r="53" spans="1:19" x14ac:dyDescent="0.25">
      <c r="A53">
        <v>18581063</v>
      </c>
      <c r="B53" t="s">
        <v>249</v>
      </c>
      <c r="C53" t="s">
        <v>233</v>
      </c>
      <c r="D53" t="s">
        <v>47</v>
      </c>
      <c r="E53" t="s">
        <v>268</v>
      </c>
      <c r="G53" t="s">
        <v>49</v>
      </c>
      <c r="H53" t="s">
        <v>269</v>
      </c>
      <c r="I53" s="1">
        <v>46023</v>
      </c>
      <c r="J53" s="2">
        <v>28.92</v>
      </c>
      <c r="K53" t="s">
        <v>54</v>
      </c>
      <c r="L53" s="1">
        <v>46204</v>
      </c>
      <c r="M53">
        <v>1</v>
      </c>
      <c r="N53">
        <v>0</v>
      </c>
      <c r="O53">
        <v>173.52</v>
      </c>
      <c r="P53">
        <v>0</v>
      </c>
      <c r="R53">
        <v>0</v>
      </c>
    </row>
    <row r="54" spans="1:19" x14ac:dyDescent="0.25">
      <c r="A54">
        <v>21435997</v>
      </c>
      <c r="B54" t="s">
        <v>210</v>
      </c>
      <c r="C54" t="s">
        <v>189</v>
      </c>
      <c r="D54" t="s">
        <v>47</v>
      </c>
      <c r="E54" t="s">
        <v>211</v>
      </c>
      <c r="G54" t="s">
        <v>49</v>
      </c>
      <c r="H54" t="s">
        <v>212</v>
      </c>
      <c r="I54" s="1">
        <v>46054</v>
      </c>
      <c r="J54" s="2">
        <v>28.92</v>
      </c>
      <c r="K54" t="s">
        <v>54</v>
      </c>
      <c r="L54" s="1">
        <v>46204</v>
      </c>
      <c r="M54">
        <v>1</v>
      </c>
      <c r="N54">
        <v>0</v>
      </c>
      <c r="O54">
        <v>173.52</v>
      </c>
      <c r="P54">
        <v>0</v>
      </c>
      <c r="R54">
        <v>0</v>
      </c>
    </row>
    <row r="55" spans="1:19" x14ac:dyDescent="0.25">
      <c r="A55">
        <v>18581063</v>
      </c>
      <c r="B55" t="s">
        <v>249</v>
      </c>
      <c r="C55" t="s">
        <v>233</v>
      </c>
      <c r="D55" t="s">
        <v>47</v>
      </c>
      <c r="E55" t="s">
        <v>259</v>
      </c>
      <c r="G55" t="s">
        <v>49</v>
      </c>
      <c r="H55" t="s">
        <v>260</v>
      </c>
      <c r="I55" s="1">
        <v>46023</v>
      </c>
      <c r="J55" s="2">
        <v>28.92</v>
      </c>
      <c r="K55" t="s">
        <v>54</v>
      </c>
      <c r="L55" s="1">
        <v>46204</v>
      </c>
      <c r="M55">
        <v>1</v>
      </c>
      <c r="N55">
        <v>0</v>
      </c>
      <c r="O55">
        <v>173.52</v>
      </c>
      <c r="P55">
        <v>0</v>
      </c>
      <c r="R55">
        <v>0</v>
      </c>
    </row>
    <row r="56" spans="1:19" x14ac:dyDescent="0.25">
      <c r="A56">
        <v>20724564</v>
      </c>
      <c r="B56" t="s">
        <v>119</v>
      </c>
      <c r="C56" t="s">
        <v>83</v>
      </c>
      <c r="D56" t="s">
        <v>47</v>
      </c>
      <c r="E56" t="s">
        <v>169</v>
      </c>
      <c r="G56" t="s">
        <v>49</v>
      </c>
      <c r="H56" t="s">
        <v>170</v>
      </c>
      <c r="I56" s="1">
        <v>46023</v>
      </c>
      <c r="J56" s="2">
        <v>28.92</v>
      </c>
      <c r="K56" t="s">
        <v>54</v>
      </c>
      <c r="L56" s="1">
        <v>46204</v>
      </c>
      <c r="M56">
        <v>1</v>
      </c>
      <c r="N56">
        <v>0</v>
      </c>
      <c r="O56">
        <v>173.52</v>
      </c>
      <c r="P56">
        <v>0</v>
      </c>
      <c r="R56">
        <v>0</v>
      </c>
    </row>
    <row r="57" spans="1:19" x14ac:dyDescent="0.25">
      <c r="A57">
        <v>16849453</v>
      </c>
      <c r="B57" t="s">
        <v>82</v>
      </c>
      <c r="C57" t="s">
        <v>83</v>
      </c>
      <c r="D57" t="s">
        <v>47</v>
      </c>
      <c r="E57" t="s">
        <v>98</v>
      </c>
      <c r="G57" t="s">
        <v>49</v>
      </c>
      <c r="H57" t="s">
        <v>99</v>
      </c>
      <c r="I57" s="1">
        <v>46143</v>
      </c>
      <c r="J57" s="2">
        <v>52.17</v>
      </c>
      <c r="K57" t="s">
        <v>54</v>
      </c>
      <c r="L57" s="1">
        <v>46204</v>
      </c>
      <c r="M57">
        <v>1</v>
      </c>
      <c r="N57">
        <v>0</v>
      </c>
      <c r="O57">
        <v>521.70000000000005</v>
      </c>
      <c r="P57">
        <v>0</v>
      </c>
      <c r="R57">
        <v>0</v>
      </c>
    </row>
    <row r="58" spans="1:19" x14ac:dyDescent="0.25">
      <c r="A58">
        <v>20724564</v>
      </c>
      <c r="B58" t="s">
        <v>119</v>
      </c>
      <c r="C58" t="s">
        <v>83</v>
      </c>
      <c r="D58" t="s">
        <v>47</v>
      </c>
      <c r="E58" t="s">
        <v>123</v>
      </c>
      <c r="G58" t="s">
        <v>49</v>
      </c>
      <c r="H58" t="s">
        <v>124</v>
      </c>
      <c r="I58" s="1">
        <v>46023</v>
      </c>
      <c r="J58" s="2">
        <v>28.92</v>
      </c>
      <c r="K58" t="s">
        <v>54</v>
      </c>
      <c r="L58" s="1">
        <v>46204</v>
      </c>
      <c r="M58">
        <v>1</v>
      </c>
      <c r="N58">
        <v>0</v>
      </c>
      <c r="O58">
        <v>173.52</v>
      </c>
      <c r="P58">
        <v>0</v>
      </c>
      <c r="R58">
        <v>0</v>
      </c>
    </row>
    <row r="59" spans="1:19" x14ac:dyDescent="0.25">
      <c r="A59">
        <v>19645587</v>
      </c>
      <c r="B59" t="s">
        <v>57</v>
      </c>
      <c r="C59" t="s">
        <v>233</v>
      </c>
      <c r="D59" t="s">
        <v>47</v>
      </c>
      <c r="E59" t="s">
        <v>246</v>
      </c>
      <c r="G59" t="s">
        <v>49</v>
      </c>
      <c r="H59" t="s">
        <v>247</v>
      </c>
      <c r="I59" s="1">
        <v>45839</v>
      </c>
      <c r="K59" t="s">
        <v>54</v>
      </c>
      <c r="N59">
        <v>0</v>
      </c>
      <c r="O59">
        <v>0</v>
      </c>
      <c r="P59">
        <v>0</v>
      </c>
      <c r="R59">
        <v>0</v>
      </c>
      <c r="S59" t="s">
        <v>67</v>
      </c>
    </row>
    <row r="60" spans="1:19" x14ac:dyDescent="0.25">
      <c r="A60">
        <v>19645587</v>
      </c>
      <c r="B60" t="s">
        <v>57</v>
      </c>
      <c r="C60" t="s">
        <v>46</v>
      </c>
      <c r="D60" t="s">
        <v>47</v>
      </c>
      <c r="E60" t="s">
        <v>58</v>
      </c>
      <c r="G60" t="s">
        <v>49</v>
      </c>
      <c r="H60" t="s">
        <v>59</v>
      </c>
      <c r="I60" s="1">
        <v>46023</v>
      </c>
      <c r="J60" s="2">
        <v>65</v>
      </c>
      <c r="K60" t="s">
        <v>54</v>
      </c>
      <c r="L60" s="1">
        <v>46204</v>
      </c>
      <c r="M60">
        <v>1</v>
      </c>
      <c r="N60">
        <v>0</v>
      </c>
      <c r="O60">
        <v>390</v>
      </c>
      <c r="P60">
        <v>0</v>
      </c>
      <c r="R60">
        <v>0</v>
      </c>
    </row>
    <row r="61" spans="1:19" x14ac:dyDescent="0.25">
      <c r="A61">
        <v>17094718</v>
      </c>
      <c r="B61" t="s">
        <v>184</v>
      </c>
      <c r="C61" t="s">
        <v>214</v>
      </c>
      <c r="D61" t="s">
        <v>47</v>
      </c>
      <c r="E61" t="s">
        <v>215</v>
      </c>
      <c r="G61" t="s">
        <v>49</v>
      </c>
      <c r="H61" t="s">
        <v>217</v>
      </c>
      <c r="I61" s="1">
        <v>46143</v>
      </c>
      <c r="J61" s="2">
        <v>57.84</v>
      </c>
      <c r="K61" t="s">
        <v>54</v>
      </c>
      <c r="L61" s="1">
        <v>46204</v>
      </c>
      <c r="M61">
        <v>1</v>
      </c>
      <c r="N61">
        <v>0</v>
      </c>
      <c r="O61">
        <v>578.4</v>
      </c>
      <c r="P61">
        <v>0</v>
      </c>
      <c r="R61">
        <v>0</v>
      </c>
    </row>
    <row r="62" spans="1:19" x14ac:dyDescent="0.25">
      <c r="A62">
        <v>19645587</v>
      </c>
      <c r="B62" t="s">
        <v>57</v>
      </c>
      <c r="C62" t="s">
        <v>233</v>
      </c>
      <c r="D62" t="s">
        <v>47</v>
      </c>
      <c r="E62" t="s">
        <v>238</v>
      </c>
      <c r="G62" t="s">
        <v>49</v>
      </c>
      <c r="H62" t="s">
        <v>239</v>
      </c>
      <c r="I62" s="1">
        <v>46113</v>
      </c>
      <c r="J62" s="2">
        <v>57.84</v>
      </c>
      <c r="K62" t="s">
        <v>54</v>
      </c>
      <c r="L62" s="1">
        <v>46204</v>
      </c>
      <c r="M62">
        <v>1</v>
      </c>
      <c r="N62">
        <v>0</v>
      </c>
      <c r="O62">
        <v>520.55999999999995</v>
      </c>
      <c r="P62">
        <v>0</v>
      </c>
      <c r="R62">
        <v>0</v>
      </c>
    </row>
    <row r="63" spans="1:19" x14ac:dyDescent="0.25">
      <c r="A63">
        <v>19645587</v>
      </c>
      <c r="B63" t="s">
        <v>57</v>
      </c>
      <c r="C63" t="s">
        <v>219</v>
      </c>
      <c r="D63" t="s">
        <v>47</v>
      </c>
      <c r="E63" t="s">
        <v>220</v>
      </c>
      <c r="G63" t="s">
        <v>49</v>
      </c>
      <c r="H63" t="s">
        <v>222</v>
      </c>
      <c r="I63" s="1">
        <v>46174</v>
      </c>
      <c r="J63" s="2">
        <v>57.84</v>
      </c>
      <c r="K63" t="s">
        <v>54</v>
      </c>
      <c r="L63" s="1">
        <v>46204</v>
      </c>
      <c r="M63">
        <v>1</v>
      </c>
      <c r="N63">
        <v>0</v>
      </c>
      <c r="O63">
        <v>636.24</v>
      </c>
      <c r="P63">
        <v>0</v>
      </c>
      <c r="R63">
        <v>0</v>
      </c>
    </row>
    <row r="64" spans="1:19" x14ac:dyDescent="0.25">
      <c r="A64">
        <v>16849453</v>
      </c>
      <c r="B64" t="s">
        <v>82</v>
      </c>
      <c r="C64" t="s">
        <v>83</v>
      </c>
      <c r="D64" t="s">
        <v>47</v>
      </c>
      <c r="E64" t="s">
        <v>104</v>
      </c>
      <c r="G64" t="s">
        <v>49</v>
      </c>
      <c r="H64" t="s">
        <v>105</v>
      </c>
      <c r="I64" s="1">
        <v>46082</v>
      </c>
      <c r="J64" s="3">
        <v>0</v>
      </c>
      <c r="K64" t="s">
        <v>54</v>
      </c>
      <c r="L64" s="1">
        <v>46204</v>
      </c>
      <c r="M64">
        <v>1</v>
      </c>
      <c r="N64">
        <v>0</v>
      </c>
      <c r="O64">
        <v>0</v>
      </c>
      <c r="P64">
        <v>0</v>
      </c>
      <c r="R64">
        <v>0</v>
      </c>
    </row>
    <row r="65" spans="1:19" x14ac:dyDescent="0.25">
      <c r="A65">
        <v>21564088</v>
      </c>
      <c r="B65" t="s">
        <v>203</v>
      </c>
      <c r="C65" t="s">
        <v>189</v>
      </c>
      <c r="D65" t="s">
        <v>47</v>
      </c>
      <c r="E65" t="s">
        <v>204</v>
      </c>
      <c r="G65" t="s">
        <v>63</v>
      </c>
      <c r="H65" t="s">
        <v>205</v>
      </c>
      <c r="I65" s="1">
        <v>45992</v>
      </c>
      <c r="K65" t="s">
        <v>54</v>
      </c>
      <c r="N65">
        <v>0</v>
      </c>
      <c r="O65">
        <v>0</v>
      </c>
      <c r="P65">
        <v>0</v>
      </c>
      <c r="R65">
        <v>0</v>
      </c>
      <c r="S65" t="s">
        <v>67</v>
      </c>
    </row>
    <row r="66" spans="1:19" x14ac:dyDescent="0.25">
      <c r="A66">
        <v>20724564</v>
      </c>
      <c r="B66" t="s">
        <v>119</v>
      </c>
      <c r="C66" t="s">
        <v>83</v>
      </c>
      <c r="D66" t="s">
        <v>47</v>
      </c>
      <c r="E66" t="s">
        <v>144</v>
      </c>
      <c r="G66" t="s">
        <v>63</v>
      </c>
      <c r="H66" t="s">
        <v>145</v>
      </c>
      <c r="I66" s="1">
        <v>45931</v>
      </c>
      <c r="K66" t="s">
        <v>54</v>
      </c>
      <c r="N66">
        <v>0</v>
      </c>
      <c r="O66">
        <v>0</v>
      </c>
      <c r="P66">
        <v>0</v>
      </c>
      <c r="R66">
        <v>0</v>
      </c>
      <c r="S66" t="s">
        <v>67</v>
      </c>
    </row>
    <row r="67" spans="1:19" x14ac:dyDescent="0.25">
      <c r="A67">
        <v>20724564</v>
      </c>
      <c r="B67" t="s">
        <v>119</v>
      </c>
      <c r="C67" t="s">
        <v>83</v>
      </c>
      <c r="D67" t="s">
        <v>47</v>
      </c>
      <c r="E67" t="s">
        <v>181</v>
      </c>
      <c r="G67" t="s">
        <v>63</v>
      </c>
      <c r="H67" t="s">
        <v>182</v>
      </c>
      <c r="I67" s="1">
        <v>46023</v>
      </c>
      <c r="K67" t="s">
        <v>54</v>
      </c>
      <c r="N67">
        <v>0</v>
      </c>
      <c r="O67">
        <v>0</v>
      </c>
      <c r="P67">
        <v>0</v>
      </c>
      <c r="R67">
        <v>0</v>
      </c>
      <c r="S67" t="s">
        <v>67</v>
      </c>
    </row>
    <row r="68" spans="1:19" x14ac:dyDescent="0.25">
      <c r="A68">
        <v>20724564</v>
      </c>
      <c r="B68" t="s">
        <v>119</v>
      </c>
      <c r="C68" t="s">
        <v>83</v>
      </c>
      <c r="D68" t="s">
        <v>47</v>
      </c>
      <c r="E68" t="s">
        <v>141</v>
      </c>
      <c r="G68" t="s">
        <v>63</v>
      </c>
      <c r="H68" t="s">
        <v>142</v>
      </c>
      <c r="I68" s="1">
        <v>45901</v>
      </c>
      <c r="K68" t="s">
        <v>54</v>
      </c>
      <c r="N68">
        <v>0</v>
      </c>
      <c r="O68">
        <v>0</v>
      </c>
      <c r="P68">
        <v>0</v>
      </c>
      <c r="R68">
        <v>0</v>
      </c>
      <c r="S68" t="s">
        <v>67</v>
      </c>
    </row>
    <row r="69" spans="1:19" x14ac:dyDescent="0.25">
      <c r="A69">
        <v>19491313</v>
      </c>
      <c r="B69" t="s">
        <v>188</v>
      </c>
      <c r="C69" t="s">
        <v>189</v>
      </c>
      <c r="D69" t="s">
        <v>47</v>
      </c>
      <c r="E69" t="s">
        <v>194</v>
      </c>
      <c r="G69" t="s">
        <v>63</v>
      </c>
      <c r="H69" t="s">
        <v>195</v>
      </c>
      <c r="I69" s="1">
        <v>46174</v>
      </c>
      <c r="K69" t="s">
        <v>54</v>
      </c>
      <c r="N69">
        <v>0</v>
      </c>
      <c r="O69">
        <v>0</v>
      </c>
      <c r="P69">
        <v>0</v>
      </c>
      <c r="R69">
        <v>0</v>
      </c>
      <c r="S69" t="s">
        <v>67</v>
      </c>
    </row>
    <row r="70" spans="1:19" x14ac:dyDescent="0.25">
      <c r="A70">
        <v>16849453</v>
      </c>
      <c r="B70" t="s">
        <v>82</v>
      </c>
      <c r="C70" t="s">
        <v>83</v>
      </c>
      <c r="D70" t="s">
        <v>47</v>
      </c>
      <c r="E70" t="s">
        <v>110</v>
      </c>
      <c r="G70" t="s">
        <v>63</v>
      </c>
      <c r="H70" t="s">
        <v>111</v>
      </c>
      <c r="I70" s="1">
        <v>46204</v>
      </c>
      <c r="K70" t="s">
        <v>54</v>
      </c>
      <c r="N70">
        <v>0</v>
      </c>
      <c r="O70">
        <v>0</v>
      </c>
      <c r="P70">
        <v>0</v>
      </c>
      <c r="R70">
        <v>0</v>
      </c>
      <c r="S70" t="s">
        <v>67</v>
      </c>
    </row>
    <row r="71" spans="1:19" x14ac:dyDescent="0.25">
      <c r="A71">
        <v>6634327</v>
      </c>
      <c r="B71" t="s">
        <v>72</v>
      </c>
      <c r="C71" t="s">
        <v>24</v>
      </c>
      <c r="D71" t="s">
        <v>47</v>
      </c>
      <c r="E71" t="s">
        <v>73</v>
      </c>
      <c r="G71" t="s">
        <v>63</v>
      </c>
      <c r="H71" t="s">
        <v>75</v>
      </c>
      <c r="I71" s="1">
        <v>46082</v>
      </c>
      <c r="K71" t="s">
        <v>54</v>
      </c>
      <c r="N71">
        <v>0</v>
      </c>
      <c r="O71">
        <v>0</v>
      </c>
      <c r="P71">
        <v>0</v>
      </c>
      <c r="R71">
        <v>0</v>
      </c>
      <c r="S71" t="s">
        <v>67</v>
      </c>
    </row>
    <row r="72" spans="1:19" x14ac:dyDescent="0.25">
      <c r="A72">
        <v>20724564</v>
      </c>
      <c r="B72" t="s">
        <v>119</v>
      </c>
      <c r="C72" t="s">
        <v>83</v>
      </c>
      <c r="D72" t="s">
        <v>47</v>
      </c>
      <c r="E72" t="s">
        <v>126</v>
      </c>
      <c r="G72" t="s">
        <v>63</v>
      </c>
      <c r="H72" t="s">
        <v>127</v>
      </c>
      <c r="I72" s="1">
        <v>45901</v>
      </c>
      <c r="K72" t="s">
        <v>54</v>
      </c>
      <c r="N72">
        <v>0</v>
      </c>
      <c r="O72">
        <v>0</v>
      </c>
      <c r="P72">
        <v>0</v>
      </c>
      <c r="R72">
        <v>0</v>
      </c>
      <c r="S72" t="s">
        <v>67</v>
      </c>
    </row>
    <row r="73" spans="1:19" x14ac:dyDescent="0.25">
      <c r="A73">
        <v>16849453</v>
      </c>
      <c r="B73" t="s">
        <v>82</v>
      </c>
      <c r="C73" t="s">
        <v>83</v>
      </c>
      <c r="D73" t="s">
        <v>47</v>
      </c>
      <c r="E73" t="s">
        <v>113</v>
      </c>
      <c r="G73" t="s">
        <v>63</v>
      </c>
      <c r="H73" t="s">
        <v>114</v>
      </c>
      <c r="I73" s="1">
        <v>46054</v>
      </c>
      <c r="K73" t="s">
        <v>54</v>
      </c>
      <c r="N73">
        <v>0</v>
      </c>
      <c r="O73">
        <v>0</v>
      </c>
      <c r="P73">
        <v>0</v>
      </c>
      <c r="R73">
        <v>0</v>
      </c>
      <c r="S73" t="s">
        <v>67</v>
      </c>
    </row>
    <row r="74" spans="1:19" x14ac:dyDescent="0.25">
      <c r="A74">
        <v>20724564</v>
      </c>
      <c r="B74" t="s">
        <v>119</v>
      </c>
      <c r="C74" t="s">
        <v>83</v>
      </c>
      <c r="D74" t="s">
        <v>47</v>
      </c>
      <c r="E74" t="s">
        <v>166</v>
      </c>
      <c r="G74" t="s">
        <v>63</v>
      </c>
      <c r="H74" t="s">
        <v>167</v>
      </c>
      <c r="I74" s="1">
        <v>46023</v>
      </c>
      <c r="K74" t="s">
        <v>54</v>
      </c>
      <c r="N74">
        <v>0</v>
      </c>
      <c r="O74">
        <v>0</v>
      </c>
      <c r="P74">
        <v>0</v>
      </c>
      <c r="R74">
        <v>0</v>
      </c>
      <c r="S74" t="s">
        <v>67</v>
      </c>
    </row>
    <row r="75" spans="1:19" x14ac:dyDescent="0.25">
      <c r="A75">
        <v>16849453</v>
      </c>
      <c r="B75" t="s">
        <v>82</v>
      </c>
      <c r="C75" t="s">
        <v>83</v>
      </c>
      <c r="D75" t="s">
        <v>47</v>
      </c>
      <c r="E75" t="s">
        <v>88</v>
      </c>
      <c r="G75" t="s">
        <v>63</v>
      </c>
      <c r="H75" t="s">
        <v>89</v>
      </c>
      <c r="I75" s="1">
        <v>46082</v>
      </c>
      <c r="K75" t="s">
        <v>54</v>
      </c>
      <c r="N75">
        <v>0</v>
      </c>
      <c r="O75">
        <v>0</v>
      </c>
      <c r="P75">
        <v>0</v>
      </c>
      <c r="R75">
        <v>0</v>
      </c>
      <c r="S75" t="s">
        <v>67</v>
      </c>
    </row>
    <row r="76" spans="1:19" x14ac:dyDescent="0.25">
      <c r="A76">
        <v>20724564</v>
      </c>
      <c r="B76" t="s">
        <v>119</v>
      </c>
      <c r="C76" t="s">
        <v>83</v>
      </c>
      <c r="D76" t="s">
        <v>47</v>
      </c>
      <c r="E76" t="s">
        <v>138</v>
      </c>
      <c r="G76" t="s">
        <v>63</v>
      </c>
      <c r="H76" t="s">
        <v>139</v>
      </c>
      <c r="I76" s="1">
        <v>46023</v>
      </c>
      <c r="K76" t="s">
        <v>54</v>
      </c>
      <c r="N76">
        <v>0</v>
      </c>
      <c r="O76">
        <v>0</v>
      </c>
      <c r="P76">
        <v>0</v>
      </c>
      <c r="R76">
        <v>0</v>
      </c>
      <c r="S76" t="s">
        <v>67</v>
      </c>
    </row>
    <row r="77" spans="1:19" x14ac:dyDescent="0.25">
      <c r="A77">
        <v>20724564</v>
      </c>
      <c r="B77" t="s">
        <v>119</v>
      </c>
      <c r="C77" t="s">
        <v>83</v>
      </c>
      <c r="D77" t="s">
        <v>47</v>
      </c>
      <c r="E77" t="s">
        <v>132</v>
      </c>
      <c r="G77" t="s">
        <v>63</v>
      </c>
      <c r="H77" t="s">
        <v>133</v>
      </c>
      <c r="I77" s="1">
        <v>45839</v>
      </c>
      <c r="K77" t="s">
        <v>54</v>
      </c>
      <c r="N77">
        <v>0</v>
      </c>
      <c r="O77">
        <v>0</v>
      </c>
      <c r="P77">
        <v>0</v>
      </c>
      <c r="R77">
        <v>0</v>
      </c>
      <c r="S77" t="s">
        <v>67</v>
      </c>
    </row>
    <row r="78" spans="1:19" x14ac:dyDescent="0.25">
      <c r="A78">
        <v>16849453</v>
      </c>
      <c r="B78" t="s">
        <v>82</v>
      </c>
      <c r="C78" t="s">
        <v>83</v>
      </c>
      <c r="D78" t="s">
        <v>47</v>
      </c>
      <c r="E78" t="s">
        <v>95</v>
      </c>
      <c r="G78" t="s">
        <v>63</v>
      </c>
      <c r="H78" t="s">
        <v>96</v>
      </c>
      <c r="I78" s="1">
        <v>46054</v>
      </c>
      <c r="K78" t="s">
        <v>54</v>
      </c>
      <c r="N78">
        <v>0</v>
      </c>
      <c r="O78">
        <v>0</v>
      </c>
      <c r="P78">
        <v>0</v>
      </c>
      <c r="R78">
        <v>0</v>
      </c>
      <c r="S78" t="s">
        <v>67</v>
      </c>
    </row>
    <row r="79" spans="1:19" x14ac:dyDescent="0.25">
      <c r="A79">
        <v>21564088</v>
      </c>
      <c r="B79" t="s">
        <v>203</v>
      </c>
      <c r="C79" t="s">
        <v>189</v>
      </c>
      <c r="D79" t="s">
        <v>47</v>
      </c>
      <c r="E79" t="s">
        <v>207</v>
      </c>
      <c r="G79" t="s">
        <v>63</v>
      </c>
      <c r="H79" t="s">
        <v>208</v>
      </c>
      <c r="I79" s="1">
        <v>45992</v>
      </c>
      <c r="K79" t="s">
        <v>54</v>
      </c>
      <c r="N79">
        <v>0</v>
      </c>
      <c r="O79">
        <v>0</v>
      </c>
      <c r="P79">
        <v>0</v>
      </c>
      <c r="R79">
        <v>0</v>
      </c>
      <c r="S79" t="s">
        <v>67</v>
      </c>
    </row>
    <row r="80" spans="1:19" x14ac:dyDescent="0.25">
      <c r="A80">
        <v>20724564</v>
      </c>
      <c r="B80" t="s">
        <v>119</v>
      </c>
      <c r="C80" t="s">
        <v>83</v>
      </c>
      <c r="D80" t="s">
        <v>47</v>
      </c>
      <c r="E80" t="s">
        <v>129</v>
      </c>
      <c r="G80" t="s">
        <v>63</v>
      </c>
      <c r="H80" t="s">
        <v>130</v>
      </c>
      <c r="I80" s="1">
        <v>45931</v>
      </c>
      <c r="K80" t="s">
        <v>54</v>
      </c>
      <c r="N80">
        <v>0</v>
      </c>
      <c r="O80">
        <v>0</v>
      </c>
      <c r="P80">
        <v>0</v>
      </c>
      <c r="R80">
        <v>0</v>
      </c>
      <c r="S80" t="s">
        <v>67</v>
      </c>
    </row>
    <row r="81" spans="1:19" x14ac:dyDescent="0.25">
      <c r="A81">
        <v>20724564</v>
      </c>
      <c r="B81" t="s">
        <v>119</v>
      </c>
      <c r="C81" t="s">
        <v>83</v>
      </c>
      <c r="D81" t="s">
        <v>47</v>
      </c>
      <c r="E81" t="s">
        <v>153</v>
      </c>
      <c r="G81" t="s">
        <v>63</v>
      </c>
      <c r="H81" t="s">
        <v>154</v>
      </c>
      <c r="I81" s="1">
        <v>45992</v>
      </c>
      <c r="K81" t="s">
        <v>54</v>
      </c>
      <c r="N81">
        <v>0</v>
      </c>
      <c r="O81">
        <v>0</v>
      </c>
      <c r="P81">
        <v>0</v>
      </c>
      <c r="R81">
        <v>0</v>
      </c>
      <c r="S81" t="s">
        <v>67</v>
      </c>
    </row>
    <row r="82" spans="1:19" x14ac:dyDescent="0.25">
      <c r="A82">
        <v>20724564</v>
      </c>
      <c r="B82" t="s">
        <v>119</v>
      </c>
      <c r="C82" t="s">
        <v>83</v>
      </c>
      <c r="D82" t="s">
        <v>47</v>
      </c>
      <c r="E82" t="s">
        <v>175</v>
      </c>
      <c r="G82" t="s">
        <v>63</v>
      </c>
      <c r="H82" t="s">
        <v>176</v>
      </c>
      <c r="I82" s="1">
        <v>45931</v>
      </c>
      <c r="K82" t="s">
        <v>54</v>
      </c>
      <c r="N82">
        <v>0</v>
      </c>
      <c r="O82">
        <v>0</v>
      </c>
      <c r="P82">
        <v>0</v>
      </c>
      <c r="R82">
        <v>0</v>
      </c>
      <c r="S82" t="s">
        <v>67</v>
      </c>
    </row>
    <row r="83" spans="1:19" x14ac:dyDescent="0.25">
      <c r="A83">
        <v>20724564</v>
      </c>
      <c r="B83" t="s">
        <v>119</v>
      </c>
      <c r="C83" t="s">
        <v>83</v>
      </c>
      <c r="D83" t="s">
        <v>47</v>
      </c>
      <c r="E83" t="s">
        <v>135</v>
      </c>
      <c r="G83" t="s">
        <v>63</v>
      </c>
      <c r="H83" t="s">
        <v>136</v>
      </c>
      <c r="I83" s="1">
        <v>45931</v>
      </c>
      <c r="K83" t="s">
        <v>54</v>
      </c>
      <c r="N83">
        <v>0</v>
      </c>
      <c r="O83">
        <v>0</v>
      </c>
      <c r="P83">
        <v>0</v>
      </c>
      <c r="R83">
        <v>0</v>
      </c>
      <c r="S83" t="s">
        <v>67</v>
      </c>
    </row>
    <row r="84" spans="1:19" x14ac:dyDescent="0.25">
      <c r="A84">
        <v>16849453</v>
      </c>
      <c r="B84" t="s">
        <v>82</v>
      </c>
      <c r="C84" t="s">
        <v>83</v>
      </c>
      <c r="D84" t="s">
        <v>47</v>
      </c>
      <c r="E84" t="s">
        <v>84</v>
      </c>
      <c r="G84" t="s">
        <v>63</v>
      </c>
      <c r="H84" t="s">
        <v>86</v>
      </c>
      <c r="I84" s="1">
        <v>46082</v>
      </c>
      <c r="K84" t="s">
        <v>54</v>
      </c>
      <c r="N84">
        <v>0</v>
      </c>
      <c r="O84">
        <v>0</v>
      </c>
      <c r="P84">
        <v>0</v>
      </c>
      <c r="R84">
        <v>0</v>
      </c>
      <c r="S84" t="s">
        <v>67</v>
      </c>
    </row>
    <row r="85" spans="1:19" x14ac:dyDescent="0.25">
      <c r="A85">
        <v>20724564</v>
      </c>
      <c r="B85" t="s">
        <v>119</v>
      </c>
      <c r="C85" t="s">
        <v>83</v>
      </c>
      <c r="D85" t="s">
        <v>47</v>
      </c>
      <c r="E85" t="s">
        <v>172</v>
      </c>
      <c r="G85" t="s">
        <v>63</v>
      </c>
      <c r="H85" t="s">
        <v>173</v>
      </c>
      <c r="I85" s="1">
        <v>46023</v>
      </c>
      <c r="K85" t="s">
        <v>54</v>
      </c>
      <c r="N85">
        <v>0</v>
      </c>
      <c r="O85">
        <v>0</v>
      </c>
      <c r="P85">
        <v>0</v>
      </c>
      <c r="R85">
        <v>0</v>
      </c>
      <c r="S85" t="s">
        <v>67</v>
      </c>
    </row>
    <row r="86" spans="1:19" x14ac:dyDescent="0.25">
      <c r="A86">
        <v>20724564</v>
      </c>
      <c r="B86" t="s">
        <v>119</v>
      </c>
      <c r="C86" t="s">
        <v>83</v>
      </c>
      <c r="D86" t="s">
        <v>47</v>
      </c>
      <c r="E86" t="s">
        <v>147</v>
      </c>
      <c r="G86" t="s">
        <v>63</v>
      </c>
      <c r="H86" t="s">
        <v>148</v>
      </c>
      <c r="I86" s="1">
        <v>45931</v>
      </c>
      <c r="K86" t="s">
        <v>54</v>
      </c>
      <c r="N86">
        <v>0</v>
      </c>
      <c r="O86">
        <v>0</v>
      </c>
      <c r="P86">
        <v>0</v>
      </c>
      <c r="R86">
        <v>0</v>
      </c>
      <c r="S86" t="s">
        <v>67</v>
      </c>
    </row>
    <row r="87" spans="1:19" x14ac:dyDescent="0.25">
      <c r="A87">
        <v>20724564</v>
      </c>
      <c r="B87" t="s">
        <v>119</v>
      </c>
      <c r="C87" t="s">
        <v>83</v>
      </c>
      <c r="D87" t="s">
        <v>47</v>
      </c>
      <c r="E87" t="s">
        <v>120</v>
      </c>
      <c r="G87" t="s">
        <v>63</v>
      </c>
      <c r="H87" t="s">
        <v>121</v>
      </c>
      <c r="I87" s="1">
        <v>45901</v>
      </c>
      <c r="K87" t="s">
        <v>54</v>
      </c>
      <c r="N87">
        <v>0</v>
      </c>
      <c r="O87">
        <v>0</v>
      </c>
      <c r="P87">
        <v>0</v>
      </c>
      <c r="R87">
        <v>0</v>
      </c>
      <c r="S87" t="s">
        <v>67</v>
      </c>
    </row>
    <row r="88" spans="1:19" x14ac:dyDescent="0.25">
      <c r="A88">
        <v>20724564</v>
      </c>
      <c r="B88" t="s">
        <v>119</v>
      </c>
      <c r="C88" t="s">
        <v>83</v>
      </c>
      <c r="D88" t="s">
        <v>47</v>
      </c>
      <c r="E88" t="s">
        <v>150</v>
      </c>
      <c r="G88" t="s">
        <v>63</v>
      </c>
      <c r="H88" t="s">
        <v>151</v>
      </c>
      <c r="I88" s="1">
        <v>45901</v>
      </c>
      <c r="K88" t="s">
        <v>54</v>
      </c>
      <c r="N88">
        <v>0</v>
      </c>
      <c r="O88">
        <v>0</v>
      </c>
      <c r="P88">
        <v>0</v>
      </c>
      <c r="R88">
        <v>0</v>
      </c>
      <c r="S88" t="s">
        <v>67</v>
      </c>
    </row>
    <row r="89" spans="1:19" x14ac:dyDescent="0.25">
      <c r="A89">
        <v>21348299</v>
      </c>
      <c r="B89" t="s">
        <v>61</v>
      </c>
      <c r="C89" t="s">
        <v>46</v>
      </c>
      <c r="D89" t="s">
        <v>47</v>
      </c>
      <c r="E89" t="s">
        <v>62</v>
      </c>
      <c r="G89" t="s">
        <v>63</v>
      </c>
      <c r="H89" t="s">
        <v>65</v>
      </c>
      <c r="I89" s="1">
        <v>46023</v>
      </c>
      <c r="K89" t="s">
        <v>54</v>
      </c>
      <c r="N89">
        <v>0</v>
      </c>
      <c r="O89">
        <v>0</v>
      </c>
      <c r="P89">
        <v>0</v>
      </c>
      <c r="R89">
        <v>0</v>
      </c>
      <c r="S89" t="s">
        <v>67</v>
      </c>
    </row>
  </sheetData>
  <sortState xmlns:xlrd2="http://schemas.microsoft.com/office/spreadsheetml/2017/richdata2" ref="A2:AC89">
    <sortCondition ref="G2:G89"/>
    <sortCondition descending="1" ref="R2:R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ToolBox_07022026_COINS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2026-07-23T10:21:59Z</dcterms:created>
  <dcterms:modified xsi:type="dcterms:W3CDTF">2026-07-24T13:20:04Z</dcterms:modified>
</cp:coreProperties>
</file>