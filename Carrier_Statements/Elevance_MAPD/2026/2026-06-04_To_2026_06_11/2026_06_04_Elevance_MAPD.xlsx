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Elevance_MAPD\2026\2026-06-04_To_2026_06_11\"/>
    </mc:Choice>
  </mc:AlternateContent>
  <xr:revisionPtr revIDLastSave="0" documentId="13_ncr:1_{69127CE1-CEC5-40C7-8FAA-E9E59FC1965C}" xr6:coauthVersionLast="47" xr6:coauthVersionMax="47" xr10:uidLastSave="{00000000-0000-0000-0000-000000000000}"/>
  <bookViews>
    <workbookView xWindow="-120" yWindow="-120" windowWidth="29040" windowHeight="15720" activeTab="1" xr2:uid="{DD49718A-9704-413A-B841-8C39172CDED6}"/>
  </bookViews>
  <sheets>
    <sheet name="Producer ToolBox_06042026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8" i="2"/>
  <c r="E13" i="2"/>
  <c r="E11" i="2"/>
  <c r="E10" i="2"/>
  <c r="E9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<sst xmlns="http://schemas.openxmlformats.org/spreadsheetml/2006/main" count="1835" uniqueCount="280">
  <si>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</si>
  <si>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</si>
  <si>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</si>
  <si>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</si>
  <si>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</si>
  <si>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</si>
  <si>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</si>
  <si>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:05/29/2026 TO 06/04/2026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</si>
  <si>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</si>
  <si>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</si>
  <si>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</si>
  <si>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</si>
  <si>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</si>
  <si>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</si>
  <si>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</si>
  <si>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</si>
  <si>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</si>
  <si>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</si>
  <si>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</si>
  <si>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</si>
  <si>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</si>
  <si>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</si>
  <si>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</si>
  <si>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</si>
  <si>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</si>
  <si>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</si>
  <si>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</si>
  <si>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</si>
  <si>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</si>
  <si>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</si>
  <si>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</si>
  <si>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</si>
  <si>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</si>
  <si>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</si>
  <si>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</si>
  <si>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</si>
  <si>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</si>
  <si>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</si>
  <si>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</si>
  <si>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</si>
  <si>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</si>
  <si>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</si>
  <si>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</si>
  <si>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</si>
  <si>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</si>
  <si>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</si>
  <si>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CA</t>
  </si>
  <si>
    <t>MEDICARE</t>
  </si>
  <si>
    <t>790W25493</t>
  </si>
  <si>
    <t>MED</t>
  </si>
  <si>
    <t>210C</t>
  </si>
  <si>
    <t>REIS SAMII, BARBARA</t>
  </si>
  <si>
    <t>6AW2VW7DA16</t>
  </si>
  <si>
    <t>NO</t>
  </si>
  <si>
    <t>Base</t>
  </si>
  <si>
    <t>BRENNER, BARRY G</t>
  </si>
  <si>
    <t>985W25187</t>
  </si>
  <si>
    <t>MSUP</t>
  </si>
  <si>
    <t>200C</t>
  </si>
  <si>
    <t>GOODMAN, STACEY</t>
  </si>
  <si>
    <t>8X85NE2NT61</t>
  </si>
  <si>
    <t>INFO ONLY</t>
  </si>
  <si>
    <t>GONZALEZ, LENSIE</t>
  </si>
  <si>
    <t>206W26504</t>
  </si>
  <si>
    <t>GOTTS, IAN</t>
  </si>
  <si>
    <t>1AF3GU8KY01</t>
  </si>
  <si>
    <t>LEE, JOEL N</t>
  </si>
  <si>
    <t>307W26711</t>
  </si>
  <si>
    <t>525C</t>
  </si>
  <si>
    <t>PALMER, THERESA</t>
  </si>
  <si>
    <t>2D84TV9PA07</t>
  </si>
  <si>
    <t>FL</t>
  </si>
  <si>
    <t>488W24198</t>
  </si>
  <si>
    <t>161C</t>
  </si>
  <si>
    <t>COUCH, JOYCE</t>
  </si>
  <si>
    <t>9F86P64WA86</t>
  </si>
  <si>
    <t>GREEN, DANNA</t>
  </si>
  <si>
    <t>IN</t>
  </si>
  <si>
    <t>641W26577</t>
  </si>
  <si>
    <t>201C</t>
  </si>
  <si>
    <t>GORDON, DALE</t>
  </si>
  <si>
    <t>8PW1YE8JP27</t>
  </si>
  <si>
    <t>406W26407</t>
  </si>
  <si>
    <t>HACKETT, KRISTI</t>
  </si>
  <si>
    <t>1FX4U45RC80</t>
  </si>
  <si>
    <t>396W27282</t>
  </si>
  <si>
    <t>608C</t>
  </si>
  <si>
    <t>WRIGHT, LUZ</t>
  </si>
  <si>
    <t>5QG9WX7UR56</t>
  </si>
  <si>
    <t>ADVREN  NEW</t>
  </si>
  <si>
    <t>ADVREN</t>
  </si>
  <si>
    <t>461W26478</t>
  </si>
  <si>
    <t>DAVEY, MARIA</t>
  </si>
  <si>
    <t>2A91TH6UA98</t>
  </si>
  <si>
    <t>772W26990</t>
  </si>
  <si>
    <t>GIBBS, JEFFERS</t>
  </si>
  <si>
    <t>2XU5X37DF50</t>
  </si>
  <si>
    <t>283W21805</t>
  </si>
  <si>
    <t>BROWN, TERRY</t>
  </si>
  <si>
    <t>2XP5CJ1TH85</t>
  </si>
  <si>
    <t>925W10518</t>
  </si>
  <si>
    <t>LEVI, TIMOTHY</t>
  </si>
  <si>
    <t>6KH2UQ1XX12</t>
  </si>
  <si>
    <t>335W26438</t>
  </si>
  <si>
    <t>BRATTON, JENNIFE</t>
  </si>
  <si>
    <t>7DT8VJ3EH49</t>
  </si>
  <si>
    <t>407W22392</t>
  </si>
  <si>
    <t>BLASKO, EDWARD</t>
  </si>
  <si>
    <t>4JK6FM6YV43</t>
  </si>
  <si>
    <t>SANDEROCK, MARSHA</t>
  </si>
  <si>
    <t>852W24516</t>
  </si>
  <si>
    <t>BIDGOOD, BETH</t>
  </si>
  <si>
    <t>6J85MQ7UP58</t>
  </si>
  <si>
    <t>784W25466</t>
  </si>
  <si>
    <t>BARRETT, PATRICI</t>
  </si>
  <si>
    <t>6X11PE2XY19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</si>
  <si>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</si>
  <si>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</si>
  <si>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</si>
  <si>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</si>
  <si>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</si>
  <si>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</si>
  <si>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</si>
  <si>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</si>
  <si>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</si>
  <si>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</si>
  <si>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</si>
  <si>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</si>
  <si>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</si>
  <si>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</si>
  <si>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</si>
  <si>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</si>
  <si>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</si>
  <si>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</si>
  <si>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</si>
  <si>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</si>
  <si>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</si>
  <si>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</si>
  <si>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</si>
  <si>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</si>
  <si>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</si>
  <si>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</si>
  <si>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</si>
  <si>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</si>
  <si>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</si>
  <si>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</si>
  <si>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</si>
  <si>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</si>
  <si>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</si>
  <si>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INITIAL</t>
  </si>
  <si>
    <t>672W24975</t>
  </si>
  <si>
    <t>SURFACE, DOROTHY</t>
  </si>
  <si>
    <t>5TP7MN8QJ37</t>
  </si>
  <si>
    <t>530M71263</t>
  </si>
  <si>
    <t>LYELL, JOHN</t>
  </si>
  <si>
    <t>3TH8PG4GT49</t>
  </si>
  <si>
    <t>940W23397</t>
  </si>
  <si>
    <t>LATTA, ELIZABE</t>
  </si>
  <si>
    <t>9PH0XP3JD07</t>
  </si>
  <si>
    <t>339W25134</t>
  </si>
  <si>
    <t>OOLEY, PHYLLIS</t>
  </si>
  <si>
    <t>6MX9K72NY36</t>
  </si>
  <si>
    <t>747W02885</t>
  </si>
  <si>
    <t>BARRETT, KIM</t>
  </si>
  <si>
    <t>6TM2W46KN70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</si>
  <si>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</si>
  <si>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</si>
  <si>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</si>
  <si>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</si>
  <si>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</si>
  <si>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</si>
  <si>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</si>
  <si>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</si>
  <si>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</si>
  <si>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</si>
  <si>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</si>
  <si>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</si>
  <si>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HANSFORD, GREGORY</t>
  </si>
  <si>
    <t>022W14511</t>
  </si>
  <si>
    <t>PUETZER, JANICE</t>
  </si>
  <si>
    <t>5T45H98AC54</t>
  </si>
  <si>
    <t>BRANDT, STEVEN K</t>
  </si>
  <si>
    <t>OH</t>
  </si>
  <si>
    <t>145W27335</t>
  </si>
  <si>
    <t>728C</t>
  </si>
  <si>
    <t>ELLIOTT, C</t>
  </si>
  <si>
    <t>8GH7AQ4WE38</t>
  </si>
  <si>
    <t>206W27296</t>
  </si>
  <si>
    <t>SHUMAKER, STEPHEN</t>
  </si>
  <si>
    <t>8JC1M49WD31</t>
  </si>
  <si>
    <t>310W18437</t>
  </si>
  <si>
    <t>HARVEY, KAREN</t>
  </si>
  <si>
    <t>1GJ9RG6QW13</t>
  </si>
  <si>
    <t>517W26544</t>
  </si>
  <si>
    <t>JETER, ANTHONY</t>
  </si>
  <si>
    <t>7EY1HW9WV34</t>
  </si>
  <si>
    <t>HALSAVER, JENNIFER</t>
  </si>
  <si>
    <t>018W25251</t>
  </si>
  <si>
    <t>HOGAN, MICHAL</t>
  </si>
  <si>
    <t>7X00K09CD21</t>
  </si>
  <si>
    <t>502W24995</t>
  </si>
  <si>
    <t>REFAI, BASSAM</t>
  </si>
  <si>
    <t>9A22T17GX89</t>
  </si>
  <si>
    <t>BROUSSEAU, CHRISTOPHER</t>
  </si>
  <si>
    <t>733W26414</t>
  </si>
  <si>
    <t>LIVINGSTON, FRANCES</t>
  </si>
  <si>
    <t>4F09DF2YA19</t>
  </si>
  <si>
    <t>TN</t>
  </si>
  <si>
    <t>835W27120</t>
  </si>
  <si>
    <t>622C</t>
  </si>
  <si>
    <t>MILLER, ERIK</t>
  </si>
  <si>
    <t>6EX3VM0TV92</t>
  </si>
  <si>
    <t>TX</t>
  </si>
  <si>
    <t>907W26893</t>
  </si>
  <si>
    <t>602C</t>
  </si>
  <si>
    <t>COFFEY, JACK</t>
  </si>
  <si>
    <t>5HJ6YQ1DM55</t>
  </si>
  <si>
    <t>ADVINT</t>
  </si>
  <si>
    <t>ADVINT  NEW</t>
  </si>
  <si>
    <t>972W22875</t>
  </si>
  <si>
    <t>628C</t>
  </si>
  <si>
    <t>SKIPWORTH, DEBORAH</t>
  </si>
  <si>
    <t>9M88C01JJ24</t>
  </si>
  <si>
    <t>RICHTER, ADAM J</t>
  </si>
  <si>
    <t>VA</t>
  </si>
  <si>
    <t>502W27335</t>
  </si>
  <si>
    <t>DIXON, SHIRLEY</t>
  </si>
  <si>
    <t>1TF4AN5GV09</t>
  </si>
  <si>
    <t>YALE, JACOB D</t>
  </si>
  <si>
    <t>WI</t>
  </si>
  <si>
    <t>121W24900</t>
  </si>
  <si>
    <t>423C</t>
  </si>
  <si>
    <t>MASAMITSU, ELIZABE</t>
  </si>
  <si>
    <t>1E48MX8EK51</t>
  </si>
  <si>
    <t>845W26780</t>
  </si>
  <si>
    <t>LAMBERT, LORI</t>
  </si>
  <si>
    <t>3HY7T51NA40</t>
  </si>
  <si>
    <t>516W26857</t>
  </si>
  <si>
    <t>ROBINSON, SANDRA</t>
  </si>
  <si>
    <t>1W65HK1HP75</t>
  </si>
  <si>
    <t>788W24089</t>
  </si>
  <si>
    <t>METCALF, JAY</t>
  </si>
  <si>
    <t>9MU5GX9QU79</t>
  </si>
  <si>
    <t>HODGMAN, TIMOTHY D</t>
  </si>
  <si>
    <t>003W25213</t>
  </si>
  <si>
    <t>BEHRENS, BRIAN</t>
  </si>
  <si>
    <t>5NY9R71TF42</t>
  </si>
  <si>
    <t>474W25206</t>
  </si>
  <si>
    <t>KROKEN, DUANE</t>
  </si>
  <si>
    <t>3EX9YM0TU42</t>
  </si>
  <si>
    <t>215W25138</t>
  </si>
  <si>
    <t>LILLA, JEFFREY</t>
  </si>
  <si>
    <t>6MD1Y17UC22</t>
  </si>
  <si>
    <t>745W25023</t>
  </si>
  <si>
    <t>MOEHRING, LINDA</t>
  </si>
  <si>
    <t>7GH0UX0TA15</t>
  </si>
  <si>
    <t>625W25104</t>
  </si>
  <si>
    <t>OHALLERAN, THOMAS</t>
  </si>
  <si>
    <t>3AQ0MP5HM39</t>
  </si>
  <si>
    <t>360W24948</t>
  </si>
  <si>
    <t>CLEMENS, KYLEMAR</t>
  </si>
  <si>
    <t>6A82X83RY16</t>
  </si>
  <si>
    <t>733W25023</t>
  </si>
  <si>
    <t>MOEHRING JR, CHARLES</t>
  </si>
  <si>
    <t>5UU5DG6ND65</t>
  </si>
  <si>
    <t>752M00116</t>
  </si>
  <si>
    <t>DEDINSKY, GARY</t>
  </si>
  <si>
    <t>1TA2KJ3DW96</t>
  </si>
  <si>
    <t>YES</t>
  </si>
  <si>
    <t>761W17740</t>
  </si>
  <si>
    <t>PODGORSKI, STANLEY</t>
  </si>
  <si>
    <t>8EA8WV4KJ46</t>
  </si>
  <si>
    <t>526W17632</t>
  </si>
  <si>
    <t>DEMICH, JAMIE</t>
  </si>
  <si>
    <t>6YW9YW0MU11</t>
  </si>
  <si>
    <t>[%/$=347][prorate=7/12]</t>
  </si>
  <si>
    <t>[%/$=347][prorate=1/12]</t>
  </si>
  <si>
    <t>Elevance MAPD 2026*</t>
  </si>
  <si>
    <t>Elevance 2026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</si>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</sst>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B4C3-BF60-4AED-86EF-61F60595300E}">
  <dimension ref="A1:AB115"/>
  <sheetViews>
    <sheetView workbookViewId="0">
      <selection sqref="A1:XFD1048576"/>
    </sheetView>
  </sheetViews>
  <sheetFormatPr defaultRowHeight="15" x14ac:dyDescent="0.25"/>
  <cols>
    <col min="1" max="1" width="22.5703125" bestFit="1" customWidth="1"/>
    <col min="2" max="2" width="19" bestFit="1" customWidth="1"/>
    <col min="3" max="3" width="25.140625" bestFit="1" customWidth="1"/>
    <col min="4" max="4" width="6.28515625" bestFit="1" customWidth="1"/>
    <col min="5" max="5" width="33.1406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35.28515625" bestFit="1" customWidth="1"/>
    <col min="10" max="10" width="15" bestFit="1" customWidth="1"/>
    <col min="11" max="11" width="20.140625" bestFit="1" customWidth="1"/>
    <col min="12" max="12" width="10.140625" bestFit="1" customWidth="1"/>
    <col min="13" max="13" width="12.7109375" bestFit="1" customWidth="1"/>
    <col min="14" max="14" width="7.28515625" bestFit="1" customWidth="1"/>
    <col min="15" max="15" width="10" bestFit="1" customWidth="1"/>
    <col min="16" max="16" width="12" bestFit="1" customWidth="1"/>
    <col min="17" max="17" width="9.7109375" bestFit="1" customWidth="1"/>
    <col min="18" max="18" width="4.140625" bestFit="1" customWidth="1"/>
    <col min="19" max="19" width="5.5703125" bestFit="1" customWidth="1"/>
    <col min="20" max="20" width="8.5703125" bestFit="1" customWidth="1"/>
    <col min="21" max="21" width="9.5703125" bestFit="1" customWidth="1"/>
    <col min="22" max="22" width="14.28515625" bestFit="1" customWidth="1"/>
    <col min="23" max="23" width="19.28515625" bestFit="1" customWidth="1"/>
    <col min="24" max="24" width="23.140625" bestFit="1" customWidth="1"/>
    <col min="25" max="25" width="9.5703125" bestFit="1" customWidth="1"/>
    <col min="26" max="26" width="13.7109375" bestFit="1" customWidth="1"/>
    <col min="27" max="27" width="26.7109375" bestFit="1" customWidth="1"/>
    <col min="28" max="28" width="32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163.41</v>
      </c>
    </row>
    <row r="2" spans="1:28" x14ac:dyDescent="0.25">
      <c r="A2" t="s">
        <v>3</v>
      </c>
      <c r="E2" t="s">
        <v>4</v>
      </c>
      <c r="I2" t="s">
        <v>5</v>
      </c>
      <c r="K2">
        <v>18325.97</v>
      </c>
    </row>
    <row r="3" spans="1:28" x14ac:dyDescent="0.25">
      <c r="A3" t="s">
        <v>6</v>
      </c>
      <c r="E3" t="s">
        <v>7</v>
      </c>
      <c r="I3" t="s">
        <v>8</v>
      </c>
      <c r="K3">
        <v>2197.92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2197.92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46023</v>
      </c>
      <c r="M14" t="s">
        <v>53</v>
      </c>
      <c r="N14" s="2">
        <v>65</v>
      </c>
      <c r="O14" t="s">
        <v>54</v>
      </c>
      <c r="P14">
        <v>100</v>
      </c>
      <c r="Q14" s="1">
        <v>46174</v>
      </c>
      <c r="R14">
        <v>1</v>
      </c>
      <c r="S14">
        <v>0</v>
      </c>
      <c r="T14">
        <v>455</v>
      </c>
      <c r="U14">
        <v>0</v>
      </c>
      <c r="W14">
        <v>0</v>
      </c>
      <c r="X14">
        <v>0</v>
      </c>
      <c r="Y14">
        <v>0</v>
      </c>
      <c r="AA14">
        <v>1446</v>
      </c>
      <c r="AB14">
        <v>1446</v>
      </c>
    </row>
    <row r="15" spans="1:28" x14ac:dyDescent="0.25">
      <c r="B15">
        <v>21348299</v>
      </c>
      <c r="C15" t="s">
        <v>55</v>
      </c>
      <c r="D15" t="s">
        <v>46</v>
      </c>
      <c r="E15" t="s">
        <v>47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s="1">
        <v>46023</v>
      </c>
      <c r="O15" t="s">
        <v>54</v>
      </c>
      <c r="P15">
        <v>100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Z15" t="s">
        <v>61</v>
      </c>
      <c r="AA15">
        <v>0</v>
      </c>
      <c r="AB15">
        <v>0</v>
      </c>
    </row>
    <row r="16" spans="1:28" x14ac:dyDescent="0.25">
      <c r="B16">
        <v>17859093</v>
      </c>
      <c r="C16" t="s">
        <v>62</v>
      </c>
      <c r="D16" t="s">
        <v>46</v>
      </c>
      <c r="E16" t="s">
        <v>47</v>
      </c>
      <c r="F16" t="s">
        <v>63</v>
      </c>
      <c r="G16" t="s">
        <v>49</v>
      </c>
      <c r="H16" t="s">
        <v>50</v>
      </c>
      <c r="I16" t="s">
        <v>64</v>
      </c>
      <c r="J16" t="s">
        <v>65</v>
      </c>
      <c r="K16" s="1">
        <v>46054</v>
      </c>
      <c r="M16" t="s">
        <v>53</v>
      </c>
      <c r="N16" s="2">
        <v>65</v>
      </c>
      <c r="O16" t="s">
        <v>54</v>
      </c>
      <c r="P16">
        <v>100</v>
      </c>
      <c r="Q16" s="1">
        <v>46174</v>
      </c>
      <c r="R16">
        <v>1</v>
      </c>
      <c r="S16">
        <v>0</v>
      </c>
      <c r="T16">
        <v>520</v>
      </c>
      <c r="U16">
        <v>0</v>
      </c>
      <c r="W16">
        <v>0</v>
      </c>
      <c r="X16">
        <v>0</v>
      </c>
      <c r="Y16">
        <v>0</v>
      </c>
      <c r="AA16">
        <v>0</v>
      </c>
      <c r="AB16">
        <v>0</v>
      </c>
    </row>
    <row r="17" spans="2:28" x14ac:dyDescent="0.25">
      <c r="B17">
        <v>6634327</v>
      </c>
      <c r="C17" t="s">
        <v>66</v>
      </c>
      <c r="D17" t="s">
        <v>24</v>
      </c>
      <c r="E17" t="s">
        <v>47</v>
      </c>
      <c r="F17" t="s">
        <v>67</v>
      </c>
      <c r="G17" t="s">
        <v>57</v>
      </c>
      <c r="H17" t="s">
        <v>68</v>
      </c>
      <c r="I17" t="s">
        <v>69</v>
      </c>
      <c r="J17" t="s">
        <v>70</v>
      </c>
      <c r="K17" s="1">
        <v>46082</v>
      </c>
      <c r="O17" t="s">
        <v>54</v>
      </c>
      <c r="P17">
        <v>100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 t="s">
        <v>61</v>
      </c>
      <c r="AA17">
        <v>0</v>
      </c>
      <c r="AB17">
        <v>0</v>
      </c>
    </row>
    <row r="18" spans="2:28" x14ac:dyDescent="0.25">
      <c r="B18">
        <v>19645587</v>
      </c>
      <c r="C18" t="s">
        <v>45</v>
      </c>
      <c r="D18" t="s">
        <v>71</v>
      </c>
      <c r="E18" t="s">
        <v>47</v>
      </c>
      <c r="F18" t="s">
        <v>72</v>
      </c>
      <c r="G18" t="s">
        <v>49</v>
      </c>
      <c r="H18" t="s">
        <v>73</v>
      </c>
      <c r="I18" t="s">
        <v>74</v>
      </c>
      <c r="J18" t="s">
        <v>75</v>
      </c>
      <c r="K18" s="1">
        <v>45931</v>
      </c>
      <c r="M18" t="s">
        <v>53</v>
      </c>
      <c r="N18" s="2">
        <v>28.92</v>
      </c>
      <c r="O18" t="s">
        <v>54</v>
      </c>
      <c r="P18">
        <v>100</v>
      </c>
      <c r="Q18" s="1">
        <v>46174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28.92</v>
      </c>
      <c r="AA18">
        <v>1446</v>
      </c>
      <c r="AB18">
        <v>1446</v>
      </c>
    </row>
    <row r="19" spans="2:28" x14ac:dyDescent="0.25">
      <c r="B19">
        <v>16849453</v>
      </c>
      <c r="C19" t="s">
        <v>76</v>
      </c>
      <c r="D19" t="s">
        <v>77</v>
      </c>
      <c r="E19" t="s">
        <v>47</v>
      </c>
      <c r="F19" t="s">
        <v>78</v>
      </c>
      <c r="G19" t="s">
        <v>57</v>
      </c>
      <c r="H19" t="s">
        <v>79</v>
      </c>
      <c r="I19" t="s">
        <v>80</v>
      </c>
      <c r="J19" t="s">
        <v>81</v>
      </c>
      <c r="K19" s="1">
        <v>46082</v>
      </c>
      <c r="O19" t="s">
        <v>54</v>
      </c>
      <c r="P19">
        <v>100</v>
      </c>
      <c r="S19">
        <v>0</v>
      </c>
      <c r="T19">
        <v>0</v>
      </c>
      <c r="U19">
        <v>0</v>
      </c>
      <c r="W19">
        <v>0</v>
      </c>
      <c r="X19">
        <v>0</v>
      </c>
      <c r="Y19">
        <v>0</v>
      </c>
      <c r="Z19" t="s">
        <v>61</v>
      </c>
      <c r="AA19">
        <v>202.44</v>
      </c>
      <c r="AB19">
        <v>202.44</v>
      </c>
    </row>
    <row r="20" spans="2:28" x14ac:dyDescent="0.25">
      <c r="B20">
        <v>16849453</v>
      </c>
      <c r="C20" t="s">
        <v>76</v>
      </c>
      <c r="D20" t="s">
        <v>77</v>
      </c>
      <c r="E20" t="s">
        <v>47</v>
      </c>
      <c r="F20" t="s">
        <v>82</v>
      </c>
      <c r="G20" t="s">
        <v>57</v>
      </c>
      <c r="H20" t="s">
        <v>79</v>
      </c>
      <c r="I20" t="s">
        <v>83</v>
      </c>
      <c r="J20" t="s">
        <v>84</v>
      </c>
      <c r="K20" s="1">
        <v>46082</v>
      </c>
      <c r="O20" t="s">
        <v>54</v>
      </c>
      <c r="P20">
        <v>100</v>
      </c>
      <c r="S20">
        <v>0</v>
      </c>
      <c r="T20">
        <v>0</v>
      </c>
      <c r="U20">
        <v>0</v>
      </c>
      <c r="W20">
        <v>0</v>
      </c>
      <c r="X20">
        <v>0</v>
      </c>
      <c r="Y20">
        <v>0</v>
      </c>
      <c r="Z20" t="s">
        <v>61</v>
      </c>
    </row>
    <row r="21" spans="2:28" x14ac:dyDescent="0.25">
      <c r="B21">
        <v>16849453</v>
      </c>
      <c r="C21" t="s">
        <v>76</v>
      </c>
      <c r="D21" t="s">
        <v>77</v>
      </c>
      <c r="E21" t="s">
        <v>47</v>
      </c>
      <c r="F21" t="s">
        <v>85</v>
      </c>
      <c r="G21" t="s">
        <v>49</v>
      </c>
      <c r="H21" t="s">
        <v>86</v>
      </c>
      <c r="I21" t="s">
        <v>87</v>
      </c>
      <c r="J21" t="s">
        <v>88</v>
      </c>
      <c r="K21" s="1">
        <v>46174</v>
      </c>
      <c r="M21" t="s">
        <v>53</v>
      </c>
      <c r="N21" s="2">
        <v>28.92</v>
      </c>
      <c r="O21" t="s">
        <v>54</v>
      </c>
      <c r="P21">
        <v>100</v>
      </c>
      <c r="Q21" s="1">
        <v>46174</v>
      </c>
      <c r="R21">
        <v>1</v>
      </c>
      <c r="S21">
        <v>0</v>
      </c>
      <c r="T21">
        <v>0</v>
      </c>
      <c r="U21">
        <v>0</v>
      </c>
      <c r="W21">
        <v>0</v>
      </c>
      <c r="X21">
        <v>0</v>
      </c>
      <c r="Y21">
        <v>28.92</v>
      </c>
      <c r="Z21" t="s">
        <v>89</v>
      </c>
    </row>
    <row r="22" spans="2:28" x14ac:dyDescent="0.25">
      <c r="B22">
        <v>16849453</v>
      </c>
      <c r="C22" t="s">
        <v>76</v>
      </c>
      <c r="D22" t="s">
        <v>77</v>
      </c>
      <c r="E22" t="s">
        <v>47</v>
      </c>
      <c r="F22" t="s">
        <v>85</v>
      </c>
      <c r="G22" t="s">
        <v>49</v>
      </c>
      <c r="H22" t="s">
        <v>86</v>
      </c>
      <c r="I22" t="s">
        <v>87</v>
      </c>
      <c r="J22" t="s">
        <v>88</v>
      </c>
      <c r="K22" s="1">
        <v>46174</v>
      </c>
      <c r="M22" t="s">
        <v>53</v>
      </c>
      <c r="N22" s="2">
        <v>28.92</v>
      </c>
      <c r="O22" t="s">
        <v>54</v>
      </c>
      <c r="P22">
        <v>100</v>
      </c>
      <c r="Q22" s="1">
        <v>46204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28.92</v>
      </c>
      <c r="Z22" t="s">
        <v>90</v>
      </c>
    </row>
    <row r="23" spans="2:28" x14ac:dyDescent="0.25">
      <c r="B23">
        <v>16849453</v>
      </c>
      <c r="C23" t="s">
        <v>76</v>
      </c>
      <c r="D23" t="s">
        <v>77</v>
      </c>
      <c r="E23" t="s">
        <v>47</v>
      </c>
      <c r="F23" t="s">
        <v>85</v>
      </c>
      <c r="G23" t="s">
        <v>49</v>
      </c>
      <c r="H23" t="s">
        <v>86</v>
      </c>
      <c r="I23" t="s">
        <v>87</v>
      </c>
      <c r="J23" t="s">
        <v>88</v>
      </c>
      <c r="K23" s="1">
        <v>46174</v>
      </c>
      <c r="M23" t="s">
        <v>53</v>
      </c>
      <c r="N23" s="2">
        <v>28.92</v>
      </c>
      <c r="O23" t="s">
        <v>54</v>
      </c>
      <c r="P23">
        <v>100</v>
      </c>
      <c r="Q23" s="1">
        <v>46235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28.92</v>
      </c>
      <c r="Z23" t="s">
        <v>90</v>
      </c>
    </row>
    <row r="24" spans="2:28" x14ac:dyDescent="0.25">
      <c r="B24">
        <v>16849453</v>
      </c>
      <c r="C24" t="s">
        <v>76</v>
      </c>
      <c r="D24" t="s">
        <v>77</v>
      </c>
      <c r="E24" t="s">
        <v>47</v>
      </c>
      <c r="F24" t="s">
        <v>85</v>
      </c>
      <c r="G24" t="s">
        <v>49</v>
      </c>
      <c r="H24" t="s">
        <v>86</v>
      </c>
      <c r="I24" t="s">
        <v>87</v>
      </c>
      <c r="J24" t="s">
        <v>88</v>
      </c>
      <c r="K24" s="1">
        <v>46174</v>
      </c>
      <c r="M24" t="s">
        <v>53</v>
      </c>
      <c r="N24" s="2">
        <v>28.92</v>
      </c>
      <c r="O24" t="s">
        <v>54</v>
      </c>
      <c r="P24">
        <v>100</v>
      </c>
      <c r="Q24" s="1">
        <v>46266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28.92</v>
      </c>
      <c r="Z24" t="s">
        <v>90</v>
      </c>
    </row>
    <row r="25" spans="2:28" x14ac:dyDescent="0.25">
      <c r="B25">
        <v>16849453</v>
      </c>
      <c r="C25" t="s">
        <v>76</v>
      </c>
      <c r="D25" t="s">
        <v>77</v>
      </c>
      <c r="E25" t="s">
        <v>47</v>
      </c>
      <c r="F25" t="s">
        <v>85</v>
      </c>
      <c r="G25" t="s">
        <v>49</v>
      </c>
      <c r="H25" t="s">
        <v>86</v>
      </c>
      <c r="I25" t="s">
        <v>87</v>
      </c>
      <c r="J25" t="s">
        <v>88</v>
      </c>
      <c r="K25" s="1">
        <v>46174</v>
      </c>
      <c r="M25" t="s">
        <v>53</v>
      </c>
      <c r="N25" s="2">
        <v>28.92</v>
      </c>
      <c r="O25" t="s">
        <v>54</v>
      </c>
      <c r="P25">
        <v>100</v>
      </c>
      <c r="Q25" s="1">
        <v>46296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28.92</v>
      </c>
      <c r="Z25" t="s">
        <v>90</v>
      </c>
    </row>
    <row r="26" spans="2:28" x14ac:dyDescent="0.25">
      <c r="B26">
        <v>16849453</v>
      </c>
      <c r="C26" t="s">
        <v>76</v>
      </c>
      <c r="D26" t="s">
        <v>77</v>
      </c>
      <c r="E26" t="s">
        <v>47</v>
      </c>
      <c r="F26" t="s">
        <v>85</v>
      </c>
      <c r="G26" t="s">
        <v>49</v>
      </c>
      <c r="H26" t="s">
        <v>86</v>
      </c>
      <c r="I26" t="s">
        <v>87</v>
      </c>
      <c r="J26" t="s">
        <v>88</v>
      </c>
      <c r="K26" s="1">
        <v>46174</v>
      </c>
      <c r="M26" t="s">
        <v>53</v>
      </c>
      <c r="N26" s="2">
        <v>28.92</v>
      </c>
      <c r="O26" t="s">
        <v>54</v>
      </c>
      <c r="P26">
        <v>100</v>
      </c>
      <c r="Q26" s="1">
        <v>46327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28.92</v>
      </c>
      <c r="Z26" t="s">
        <v>90</v>
      </c>
    </row>
    <row r="27" spans="2:28" x14ac:dyDescent="0.25">
      <c r="B27">
        <v>16849453</v>
      </c>
      <c r="C27" t="s">
        <v>76</v>
      </c>
      <c r="D27" t="s">
        <v>77</v>
      </c>
      <c r="E27" t="s">
        <v>47</v>
      </c>
      <c r="F27" t="s">
        <v>85</v>
      </c>
      <c r="G27" t="s">
        <v>49</v>
      </c>
      <c r="H27" t="s">
        <v>86</v>
      </c>
      <c r="I27" t="s">
        <v>87</v>
      </c>
      <c r="J27" t="s">
        <v>88</v>
      </c>
      <c r="K27" s="1">
        <v>46174</v>
      </c>
      <c r="M27" t="s">
        <v>53</v>
      </c>
      <c r="N27" s="2">
        <v>28.92</v>
      </c>
      <c r="O27" t="s">
        <v>54</v>
      </c>
      <c r="P27">
        <v>100</v>
      </c>
      <c r="Q27" s="1">
        <v>46357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28.92</v>
      </c>
      <c r="Z27" t="s">
        <v>90</v>
      </c>
    </row>
    <row r="28" spans="2:28" x14ac:dyDescent="0.25">
      <c r="B28">
        <v>16849453</v>
      </c>
      <c r="C28" t="s">
        <v>76</v>
      </c>
      <c r="D28" t="s">
        <v>77</v>
      </c>
      <c r="E28" t="s">
        <v>47</v>
      </c>
      <c r="F28" t="s">
        <v>91</v>
      </c>
      <c r="G28" t="s">
        <v>57</v>
      </c>
      <c r="H28" t="s">
        <v>79</v>
      </c>
      <c r="I28" t="s">
        <v>92</v>
      </c>
      <c r="J28" t="s">
        <v>93</v>
      </c>
      <c r="K28" s="1">
        <v>46054</v>
      </c>
      <c r="O28" t="s">
        <v>54</v>
      </c>
      <c r="P28">
        <v>100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Z28" t="s">
        <v>61</v>
      </c>
    </row>
    <row r="29" spans="2:28" x14ac:dyDescent="0.25">
      <c r="B29">
        <v>16849453</v>
      </c>
      <c r="C29" t="s">
        <v>76</v>
      </c>
      <c r="D29" t="s">
        <v>77</v>
      </c>
      <c r="E29" t="s">
        <v>47</v>
      </c>
      <c r="F29" t="s">
        <v>94</v>
      </c>
      <c r="G29" t="s">
        <v>49</v>
      </c>
      <c r="H29" t="s">
        <v>86</v>
      </c>
      <c r="I29" t="s">
        <v>95</v>
      </c>
      <c r="J29" t="s">
        <v>96</v>
      </c>
      <c r="K29" s="1">
        <v>46143</v>
      </c>
      <c r="M29" t="s">
        <v>53</v>
      </c>
      <c r="N29" s="2">
        <v>52.17</v>
      </c>
      <c r="O29" t="s">
        <v>54</v>
      </c>
      <c r="P29">
        <v>100</v>
      </c>
      <c r="Q29" s="1">
        <v>46174</v>
      </c>
      <c r="R29">
        <v>1</v>
      </c>
      <c r="S29">
        <v>0</v>
      </c>
      <c r="T29">
        <v>573.87</v>
      </c>
      <c r="U29">
        <v>0</v>
      </c>
      <c r="W29">
        <v>0</v>
      </c>
      <c r="X29">
        <v>0</v>
      </c>
      <c r="Y29">
        <v>0</v>
      </c>
    </row>
    <row r="30" spans="2:28" x14ac:dyDescent="0.25">
      <c r="B30">
        <v>16849453</v>
      </c>
      <c r="C30" t="s">
        <v>76</v>
      </c>
      <c r="D30" t="s">
        <v>77</v>
      </c>
      <c r="E30" t="s">
        <v>47</v>
      </c>
      <c r="F30" t="s">
        <v>97</v>
      </c>
      <c r="G30" t="s">
        <v>49</v>
      </c>
      <c r="H30" t="s">
        <v>86</v>
      </c>
      <c r="I30" t="s">
        <v>98</v>
      </c>
      <c r="J30" t="s">
        <v>99</v>
      </c>
      <c r="K30" s="1">
        <v>46054</v>
      </c>
      <c r="M30" t="s">
        <v>53</v>
      </c>
      <c r="N30" s="2">
        <v>28.92</v>
      </c>
      <c r="O30" t="s">
        <v>54</v>
      </c>
      <c r="P30">
        <v>100</v>
      </c>
      <c r="Q30" s="1">
        <v>46174</v>
      </c>
      <c r="R30">
        <v>1</v>
      </c>
      <c r="S30">
        <v>0</v>
      </c>
      <c r="T30">
        <v>202.44</v>
      </c>
      <c r="U30">
        <v>0</v>
      </c>
      <c r="W30">
        <v>0</v>
      </c>
      <c r="X30">
        <v>0</v>
      </c>
      <c r="Y30">
        <v>0</v>
      </c>
    </row>
    <row r="31" spans="2:28" x14ac:dyDescent="0.25">
      <c r="B31">
        <v>16849453</v>
      </c>
      <c r="C31" t="s">
        <v>76</v>
      </c>
      <c r="D31" t="s">
        <v>77</v>
      </c>
      <c r="E31" t="s">
        <v>47</v>
      </c>
      <c r="F31" t="s">
        <v>100</v>
      </c>
      <c r="G31" t="s">
        <v>49</v>
      </c>
      <c r="H31" t="s">
        <v>79</v>
      </c>
      <c r="I31" t="s">
        <v>101</v>
      </c>
      <c r="J31" t="s">
        <v>102</v>
      </c>
      <c r="K31" s="1">
        <v>46082</v>
      </c>
      <c r="M31" t="s">
        <v>53</v>
      </c>
      <c r="N31" s="3">
        <v>0</v>
      </c>
      <c r="O31" t="s">
        <v>54</v>
      </c>
      <c r="P31">
        <v>100</v>
      </c>
      <c r="Q31" s="1">
        <v>46174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</row>
    <row r="32" spans="2:28" x14ac:dyDescent="0.25">
      <c r="B32">
        <v>16849453</v>
      </c>
      <c r="C32" t="s">
        <v>76</v>
      </c>
      <c r="D32" t="s">
        <v>77</v>
      </c>
      <c r="E32" t="s">
        <v>47</v>
      </c>
      <c r="F32" t="s">
        <v>103</v>
      </c>
      <c r="G32" t="s">
        <v>57</v>
      </c>
      <c r="H32" t="s">
        <v>79</v>
      </c>
      <c r="I32" t="s">
        <v>104</v>
      </c>
      <c r="J32" t="s">
        <v>105</v>
      </c>
      <c r="K32" s="1">
        <v>46054</v>
      </c>
      <c r="O32" t="s">
        <v>54</v>
      </c>
      <c r="P32">
        <v>100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Z32" t="s">
        <v>61</v>
      </c>
    </row>
    <row r="33" spans="2:28" x14ac:dyDescent="0.25">
      <c r="B33">
        <v>19645587</v>
      </c>
      <c r="C33" t="s">
        <v>45</v>
      </c>
      <c r="D33" t="s">
        <v>77</v>
      </c>
      <c r="E33" t="s">
        <v>47</v>
      </c>
      <c r="F33" t="s">
        <v>106</v>
      </c>
      <c r="G33" t="s">
        <v>49</v>
      </c>
      <c r="H33" t="s">
        <v>86</v>
      </c>
      <c r="I33" t="s">
        <v>107</v>
      </c>
      <c r="J33" t="s">
        <v>108</v>
      </c>
      <c r="K33" s="1">
        <v>45658</v>
      </c>
      <c r="M33" t="s">
        <v>53</v>
      </c>
      <c r="N33" s="2">
        <v>28.92</v>
      </c>
      <c r="O33" t="s">
        <v>54</v>
      </c>
      <c r="P33">
        <v>100</v>
      </c>
      <c r="Q33" s="1">
        <v>46174</v>
      </c>
      <c r="R33">
        <v>1</v>
      </c>
      <c r="S33">
        <v>0</v>
      </c>
      <c r="T33">
        <v>0</v>
      </c>
      <c r="U33">
        <v>0</v>
      </c>
      <c r="W33">
        <v>0</v>
      </c>
      <c r="X33">
        <v>0</v>
      </c>
      <c r="Y33">
        <v>28.92</v>
      </c>
      <c r="AA33">
        <v>1446</v>
      </c>
      <c r="AB33">
        <v>1446</v>
      </c>
    </row>
    <row r="34" spans="2:28" x14ac:dyDescent="0.25">
      <c r="B34">
        <v>20724564</v>
      </c>
      <c r="C34" t="s">
        <v>109</v>
      </c>
      <c r="D34" t="s">
        <v>77</v>
      </c>
      <c r="E34" t="s">
        <v>47</v>
      </c>
      <c r="F34" t="s">
        <v>110</v>
      </c>
      <c r="G34" t="s">
        <v>57</v>
      </c>
      <c r="H34" t="s">
        <v>79</v>
      </c>
      <c r="I34" t="s">
        <v>111</v>
      </c>
      <c r="J34" t="s">
        <v>112</v>
      </c>
      <c r="K34" s="1">
        <v>45901</v>
      </c>
      <c r="O34" t="s">
        <v>54</v>
      </c>
      <c r="P34">
        <v>100</v>
      </c>
      <c r="S34">
        <v>0</v>
      </c>
      <c r="T34">
        <v>0</v>
      </c>
      <c r="U34">
        <v>0</v>
      </c>
      <c r="W34">
        <v>0</v>
      </c>
      <c r="X34">
        <v>0</v>
      </c>
      <c r="Y34">
        <v>0</v>
      </c>
      <c r="Z34" t="s">
        <v>61</v>
      </c>
      <c r="AA34">
        <v>0</v>
      </c>
      <c r="AB34">
        <v>0</v>
      </c>
    </row>
    <row r="35" spans="2:28" x14ac:dyDescent="0.25">
      <c r="B35">
        <v>20724564</v>
      </c>
      <c r="C35" t="s">
        <v>109</v>
      </c>
      <c r="D35" t="s">
        <v>77</v>
      </c>
      <c r="E35" t="s">
        <v>47</v>
      </c>
      <c r="F35" t="s">
        <v>113</v>
      </c>
      <c r="G35" t="s">
        <v>49</v>
      </c>
      <c r="H35" t="s">
        <v>86</v>
      </c>
      <c r="I35" t="s">
        <v>114</v>
      </c>
      <c r="J35" t="s">
        <v>115</v>
      </c>
      <c r="K35" s="1">
        <v>46023</v>
      </c>
      <c r="M35" t="s">
        <v>53</v>
      </c>
      <c r="N35" s="2">
        <v>28.92</v>
      </c>
      <c r="O35" t="s">
        <v>54</v>
      </c>
      <c r="P35">
        <v>100</v>
      </c>
      <c r="Q35" s="1">
        <v>46174</v>
      </c>
      <c r="R35">
        <v>1</v>
      </c>
      <c r="S35">
        <v>0</v>
      </c>
      <c r="T35">
        <v>202.44</v>
      </c>
      <c r="U35">
        <v>0</v>
      </c>
      <c r="W35">
        <v>0</v>
      </c>
      <c r="X35">
        <v>0</v>
      </c>
      <c r="Y35">
        <v>0</v>
      </c>
    </row>
    <row r="36" spans="2:28" x14ac:dyDescent="0.25">
      <c r="B36">
        <v>20724564</v>
      </c>
      <c r="C36" t="s">
        <v>109</v>
      </c>
      <c r="D36" t="s">
        <v>77</v>
      </c>
      <c r="E36" t="s">
        <v>47</v>
      </c>
      <c r="F36" t="s">
        <v>116</v>
      </c>
      <c r="G36" t="s">
        <v>57</v>
      </c>
      <c r="H36" t="s">
        <v>79</v>
      </c>
      <c r="I36" t="s">
        <v>117</v>
      </c>
      <c r="J36" t="s">
        <v>118</v>
      </c>
      <c r="K36" s="1">
        <v>45901</v>
      </c>
      <c r="O36" t="s">
        <v>54</v>
      </c>
      <c r="P36">
        <v>100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Z36" t="s">
        <v>61</v>
      </c>
    </row>
    <row r="37" spans="2:28" x14ac:dyDescent="0.25">
      <c r="B37">
        <v>20724564</v>
      </c>
      <c r="C37" t="s">
        <v>109</v>
      </c>
      <c r="D37" t="s">
        <v>77</v>
      </c>
      <c r="E37" t="s">
        <v>47</v>
      </c>
      <c r="F37" t="s">
        <v>119</v>
      </c>
      <c r="G37" t="s">
        <v>57</v>
      </c>
      <c r="H37" t="s">
        <v>79</v>
      </c>
      <c r="I37" t="s">
        <v>120</v>
      </c>
      <c r="J37" t="s">
        <v>121</v>
      </c>
      <c r="K37" s="1">
        <v>45931</v>
      </c>
      <c r="O37" t="s">
        <v>54</v>
      </c>
      <c r="P37">
        <v>100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 t="s">
        <v>61</v>
      </c>
    </row>
    <row r="38" spans="2:28" x14ac:dyDescent="0.25">
      <c r="B38">
        <v>20724564</v>
      </c>
      <c r="C38" t="s">
        <v>109</v>
      </c>
      <c r="D38" t="s">
        <v>77</v>
      </c>
      <c r="E38" t="s">
        <v>47</v>
      </c>
      <c r="F38" t="s">
        <v>122</v>
      </c>
      <c r="G38" t="s">
        <v>57</v>
      </c>
      <c r="H38" t="s">
        <v>79</v>
      </c>
      <c r="I38" t="s">
        <v>123</v>
      </c>
      <c r="J38" t="s">
        <v>124</v>
      </c>
      <c r="K38" s="1">
        <v>45839</v>
      </c>
      <c r="O38" t="s">
        <v>54</v>
      </c>
      <c r="P38">
        <v>100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Z38" t="s">
        <v>61</v>
      </c>
    </row>
    <row r="39" spans="2:28" x14ac:dyDescent="0.25">
      <c r="B39">
        <v>20724564</v>
      </c>
      <c r="C39" t="s">
        <v>109</v>
      </c>
      <c r="D39" t="s">
        <v>77</v>
      </c>
      <c r="E39" t="s">
        <v>47</v>
      </c>
      <c r="F39" t="s">
        <v>125</v>
      </c>
      <c r="G39" t="s">
        <v>57</v>
      </c>
      <c r="H39" t="s">
        <v>79</v>
      </c>
      <c r="I39" t="s">
        <v>126</v>
      </c>
      <c r="J39" t="s">
        <v>127</v>
      </c>
      <c r="K39" s="1">
        <v>45931</v>
      </c>
      <c r="O39" t="s">
        <v>54</v>
      </c>
      <c r="P39">
        <v>100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 t="s">
        <v>61</v>
      </c>
    </row>
    <row r="40" spans="2:28" x14ac:dyDescent="0.25">
      <c r="B40">
        <v>20724564</v>
      </c>
      <c r="C40" t="s">
        <v>109</v>
      </c>
      <c r="D40" t="s">
        <v>77</v>
      </c>
      <c r="E40" t="s">
        <v>47</v>
      </c>
      <c r="F40" t="s">
        <v>128</v>
      </c>
      <c r="G40" t="s">
        <v>57</v>
      </c>
      <c r="H40" t="s">
        <v>79</v>
      </c>
      <c r="I40" t="s">
        <v>129</v>
      </c>
      <c r="J40" t="s">
        <v>130</v>
      </c>
      <c r="K40" s="1">
        <v>46023</v>
      </c>
      <c r="O40" t="s">
        <v>54</v>
      </c>
      <c r="P40">
        <v>100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 t="s">
        <v>61</v>
      </c>
    </row>
    <row r="41" spans="2:28" x14ac:dyDescent="0.25">
      <c r="B41">
        <v>20724564</v>
      </c>
      <c r="C41" t="s">
        <v>109</v>
      </c>
      <c r="D41" t="s">
        <v>77</v>
      </c>
      <c r="E41" t="s">
        <v>47</v>
      </c>
      <c r="F41" t="s">
        <v>131</v>
      </c>
      <c r="G41" t="s">
        <v>57</v>
      </c>
      <c r="H41" t="s">
        <v>79</v>
      </c>
      <c r="I41" t="s">
        <v>132</v>
      </c>
      <c r="J41" t="s">
        <v>133</v>
      </c>
      <c r="K41" s="1">
        <v>45901</v>
      </c>
      <c r="O41" t="s">
        <v>54</v>
      </c>
      <c r="P41">
        <v>100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 t="s">
        <v>61</v>
      </c>
    </row>
    <row r="42" spans="2:28" x14ac:dyDescent="0.25">
      <c r="B42">
        <v>20724564</v>
      </c>
      <c r="C42" t="s">
        <v>109</v>
      </c>
      <c r="D42" t="s">
        <v>77</v>
      </c>
      <c r="E42" t="s">
        <v>47</v>
      </c>
      <c r="F42" t="s">
        <v>134</v>
      </c>
      <c r="G42" t="s">
        <v>57</v>
      </c>
      <c r="H42" t="s">
        <v>79</v>
      </c>
      <c r="I42" t="s">
        <v>135</v>
      </c>
      <c r="J42" t="s">
        <v>136</v>
      </c>
      <c r="K42" s="1">
        <v>45931</v>
      </c>
      <c r="O42" t="s">
        <v>54</v>
      </c>
      <c r="P42">
        <v>100</v>
      </c>
      <c r="S42">
        <v>0</v>
      </c>
      <c r="T42">
        <v>0</v>
      </c>
      <c r="U42">
        <v>0</v>
      </c>
      <c r="W42">
        <v>0</v>
      </c>
      <c r="X42">
        <v>0</v>
      </c>
      <c r="Y42">
        <v>0</v>
      </c>
      <c r="Z42" t="s">
        <v>61</v>
      </c>
    </row>
    <row r="43" spans="2:28" x14ac:dyDescent="0.25">
      <c r="B43">
        <v>20724564</v>
      </c>
      <c r="C43" t="s">
        <v>109</v>
      </c>
      <c r="D43" t="s">
        <v>77</v>
      </c>
      <c r="E43" t="s">
        <v>47</v>
      </c>
      <c r="F43" t="s">
        <v>137</v>
      </c>
      <c r="G43" t="s">
        <v>57</v>
      </c>
      <c r="H43" t="s">
        <v>79</v>
      </c>
      <c r="I43" t="s">
        <v>138</v>
      </c>
      <c r="J43" t="s">
        <v>139</v>
      </c>
      <c r="K43" s="1">
        <v>45931</v>
      </c>
      <c r="O43" t="s">
        <v>54</v>
      </c>
      <c r="P43">
        <v>100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Z43" t="s">
        <v>61</v>
      </c>
    </row>
    <row r="44" spans="2:28" x14ac:dyDescent="0.25">
      <c r="B44">
        <v>20724564</v>
      </c>
      <c r="C44" t="s">
        <v>109</v>
      </c>
      <c r="D44" t="s">
        <v>77</v>
      </c>
      <c r="E44" t="s">
        <v>47</v>
      </c>
      <c r="F44" t="s">
        <v>140</v>
      </c>
      <c r="G44" t="s">
        <v>57</v>
      </c>
      <c r="H44" t="s">
        <v>79</v>
      </c>
      <c r="I44" t="s">
        <v>141</v>
      </c>
      <c r="J44" t="s">
        <v>142</v>
      </c>
      <c r="K44" s="1">
        <v>45901</v>
      </c>
      <c r="O44" t="s">
        <v>54</v>
      </c>
      <c r="P44">
        <v>100</v>
      </c>
      <c r="S44">
        <v>0</v>
      </c>
      <c r="T44">
        <v>0</v>
      </c>
      <c r="U44">
        <v>0</v>
      </c>
      <c r="W44">
        <v>0</v>
      </c>
      <c r="X44">
        <v>0</v>
      </c>
      <c r="Y44">
        <v>0</v>
      </c>
      <c r="Z44" t="s">
        <v>61</v>
      </c>
    </row>
    <row r="45" spans="2:28" x14ac:dyDescent="0.25">
      <c r="B45">
        <v>20724564</v>
      </c>
      <c r="C45" t="s">
        <v>109</v>
      </c>
      <c r="D45" t="s">
        <v>77</v>
      </c>
      <c r="E45" t="s">
        <v>47</v>
      </c>
      <c r="F45" t="s">
        <v>143</v>
      </c>
      <c r="G45" t="s">
        <v>57</v>
      </c>
      <c r="H45" t="s">
        <v>79</v>
      </c>
      <c r="I45" t="s">
        <v>144</v>
      </c>
      <c r="J45" t="s">
        <v>145</v>
      </c>
      <c r="K45" s="1">
        <v>45992</v>
      </c>
      <c r="O45" t="s">
        <v>54</v>
      </c>
      <c r="P45">
        <v>100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 t="s">
        <v>61</v>
      </c>
    </row>
    <row r="46" spans="2:28" x14ac:dyDescent="0.25">
      <c r="B46">
        <v>20724564</v>
      </c>
      <c r="C46" t="s">
        <v>109</v>
      </c>
      <c r="D46" t="s">
        <v>77</v>
      </c>
      <c r="E46" t="s">
        <v>47</v>
      </c>
      <c r="F46" t="s">
        <v>146</v>
      </c>
      <c r="G46" t="s">
        <v>57</v>
      </c>
      <c r="H46" t="s">
        <v>79</v>
      </c>
      <c r="I46" t="s">
        <v>147</v>
      </c>
      <c r="J46" t="s">
        <v>148</v>
      </c>
      <c r="K46" s="1">
        <v>45962</v>
      </c>
      <c r="M46" t="s">
        <v>53</v>
      </c>
      <c r="N46" s="3">
        <v>0.21</v>
      </c>
      <c r="O46" t="s">
        <v>54</v>
      </c>
      <c r="P46">
        <v>100</v>
      </c>
      <c r="Q46" s="1">
        <v>46174</v>
      </c>
      <c r="R46">
        <v>1</v>
      </c>
      <c r="S46">
        <v>0</v>
      </c>
      <c r="T46">
        <v>68.62</v>
      </c>
      <c r="U46">
        <v>163.41</v>
      </c>
      <c r="V46" t="s">
        <v>149</v>
      </c>
      <c r="W46">
        <v>0</v>
      </c>
      <c r="X46">
        <v>0</v>
      </c>
      <c r="Y46">
        <v>0</v>
      </c>
    </row>
    <row r="47" spans="2:28" x14ac:dyDescent="0.25">
      <c r="B47">
        <v>20724564</v>
      </c>
      <c r="C47" t="s">
        <v>109</v>
      </c>
      <c r="D47" t="s">
        <v>77</v>
      </c>
      <c r="E47" t="s">
        <v>47</v>
      </c>
      <c r="F47" t="s">
        <v>150</v>
      </c>
      <c r="G47" t="s">
        <v>49</v>
      </c>
      <c r="H47" t="s">
        <v>86</v>
      </c>
      <c r="I47" t="s">
        <v>151</v>
      </c>
      <c r="J47" t="s">
        <v>152</v>
      </c>
      <c r="K47" s="1">
        <v>46023</v>
      </c>
      <c r="M47" t="s">
        <v>53</v>
      </c>
      <c r="N47" s="2">
        <v>28.92</v>
      </c>
      <c r="O47" t="s">
        <v>54</v>
      </c>
      <c r="P47">
        <v>100</v>
      </c>
      <c r="Q47" s="1">
        <v>46174</v>
      </c>
      <c r="R47">
        <v>1</v>
      </c>
      <c r="S47">
        <v>0</v>
      </c>
      <c r="T47">
        <v>202.44</v>
      </c>
      <c r="U47">
        <v>0</v>
      </c>
      <c r="W47">
        <v>0</v>
      </c>
      <c r="X47">
        <v>0</v>
      </c>
      <c r="Y47">
        <v>0</v>
      </c>
    </row>
    <row r="48" spans="2:28" x14ac:dyDescent="0.25">
      <c r="B48">
        <v>20724564</v>
      </c>
      <c r="C48" t="s">
        <v>109</v>
      </c>
      <c r="D48" t="s">
        <v>77</v>
      </c>
      <c r="E48" t="s">
        <v>47</v>
      </c>
      <c r="F48" t="s">
        <v>153</v>
      </c>
      <c r="G48" t="s">
        <v>49</v>
      </c>
      <c r="H48" t="s">
        <v>86</v>
      </c>
      <c r="I48" t="s">
        <v>154</v>
      </c>
      <c r="J48" t="s">
        <v>155</v>
      </c>
      <c r="K48" s="1">
        <v>46023</v>
      </c>
      <c r="M48" t="s">
        <v>53</v>
      </c>
      <c r="N48" s="2">
        <v>52.17</v>
      </c>
      <c r="O48" t="s">
        <v>54</v>
      </c>
      <c r="P48">
        <v>100</v>
      </c>
      <c r="Q48" s="1">
        <v>46174</v>
      </c>
      <c r="R48">
        <v>1</v>
      </c>
      <c r="S48">
        <v>0</v>
      </c>
      <c r="T48">
        <v>365.19</v>
      </c>
      <c r="U48">
        <v>0</v>
      </c>
      <c r="W48">
        <v>0</v>
      </c>
      <c r="X48">
        <v>0</v>
      </c>
      <c r="Y48">
        <v>0</v>
      </c>
    </row>
    <row r="49" spans="2:28" x14ac:dyDescent="0.25">
      <c r="B49">
        <v>20724564</v>
      </c>
      <c r="C49" t="s">
        <v>109</v>
      </c>
      <c r="D49" t="s">
        <v>77</v>
      </c>
      <c r="E49" t="s">
        <v>47</v>
      </c>
      <c r="F49" t="s">
        <v>156</v>
      </c>
      <c r="G49" t="s">
        <v>49</v>
      </c>
      <c r="H49" t="s">
        <v>86</v>
      </c>
      <c r="I49" t="s">
        <v>157</v>
      </c>
      <c r="J49" t="s">
        <v>158</v>
      </c>
      <c r="K49" s="1">
        <v>46023</v>
      </c>
      <c r="O49" t="s">
        <v>54</v>
      </c>
      <c r="P49">
        <v>100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 t="s">
        <v>61</v>
      </c>
    </row>
    <row r="50" spans="2:28" x14ac:dyDescent="0.25">
      <c r="B50">
        <v>20724564</v>
      </c>
      <c r="C50" t="s">
        <v>109</v>
      </c>
      <c r="D50" t="s">
        <v>77</v>
      </c>
      <c r="E50" t="s">
        <v>47</v>
      </c>
      <c r="F50" t="s">
        <v>159</v>
      </c>
      <c r="G50" t="s">
        <v>57</v>
      </c>
      <c r="H50" t="s">
        <v>79</v>
      </c>
      <c r="I50" t="s">
        <v>160</v>
      </c>
      <c r="J50" t="s">
        <v>161</v>
      </c>
      <c r="K50" s="1">
        <v>46023</v>
      </c>
      <c r="O50" t="s">
        <v>54</v>
      </c>
      <c r="P50">
        <v>100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 t="s">
        <v>61</v>
      </c>
    </row>
    <row r="51" spans="2:28" x14ac:dyDescent="0.25">
      <c r="B51">
        <v>20724564</v>
      </c>
      <c r="C51" t="s">
        <v>109</v>
      </c>
      <c r="D51" t="s">
        <v>77</v>
      </c>
      <c r="E51" t="s">
        <v>47</v>
      </c>
      <c r="F51" t="s">
        <v>162</v>
      </c>
      <c r="G51" t="s">
        <v>49</v>
      </c>
      <c r="H51" t="s">
        <v>86</v>
      </c>
      <c r="I51" t="s">
        <v>163</v>
      </c>
      <c r="J51" t="s">
        <v>164</v>
      </c>
      <c r="K51" s="1">
        <v>46023</v>
      </c>
      <c r="M51" t="s">
        <v>53</v>
      </c>
      <c r="N51" s="2">
        <v>28.92</v>
      </c>
      <c r="O51" t="s">
        <v>54</v>
      </c>
      <c r="P51">
        <v>100</v>
      </c>
      <c r="Q51" s="1">
        <v>46174</v>
      </c>
      <c r="R51">
        <v>1</v>
      </c>
      <c r="S51">
        <v>0</v>
      </c>
      <c r="T51">
        <v>202.44</v>
      </c>
      <c r="U51">
        <v>0</v>
      </c>
      <c r="W51">
        <v>0</v>
      </c>
      <c r="X51">
        <v>0</v>
      </c>
      <c r="Y51">
        <v>0</v>
      </c>
    </row>
    <row r="52" spans="2:28" x14ac:dyDescent="0.25">
      <c r="B52">
        <v>20724564</v>
      </c>
      <c r="C52" t="s">
        <v>109</v>
      </c>
      <c r="D52" t="s">
        <v>77</v>
      </c>
      <c r="E52" t="s">
        <v>47</v>
      </c>
      <c r="F52" t="s">
        <v>165</v>
      </c>
      <c r="G52" t="s">
        <v>57</v>
      </c>
      <c r="H52" t="s">
        <v>79</v>
      </c>
      <c r="I52" t="s">
        <v>166</v>
      </c>
      <c r="J52" t="s">
        <v>167</v>
      </c>
      <c r="K52" s="1">
        <v>46023</v>
      </c>
      <c r="O52" t="s">
        <v>54</v>
      </c>
      <c r="P52">
        <v>100</v>
      </c>
      <c r="S52">
        <v>0</v>
      </c>
      <c r="T52">
        <v>0</v>
      </c>
      <c r="U52">
        <v>0</v>
      </c>
      <c r="W52">
        <v>0</v>
      </c>
      <c r="X52">
        <v>0</v>
      </c>
      <c r="Y52">
        <v>0</v>
      </c>
      <c r="Z52" t="s">
        <v>61</v>
      </c>
    </row>
    <row r="53" spans="2:28" x14ac:dyDescent="0.25">
      <c r="B53">
        <v>20724564</v>
      </c>
      <c r="C53" t="s">
        <v>109</v>
      </c>
      <c r="D53" t="s">
        <v>77</v>
      </c>
      <c r="E53" t="s">
        <v>47</v>
      </c>
      <c r="F53" t="s">
        <v>168</v>
      </c>
      <c r="G53" t="s">
        <v>57</v>
      </c>
      <c r="H53" t="s">
        <v>79</v>
      </c>
      <c r="I53" t="s">
        <v>169</v>
      </c>
      <c r="J53" t="s">
        <v>170</v>
      </c>
      <c r="K53" s="1">
        <v>45931</v>
      </c>
      <c r="O53" t="s">
        <v>54</v>
      </c>
      <c r="P53">
        <v>100</v>
      </c>
      <c r="S53">
        <v>0</v>
      </c>
      <c r="T53">
        <v>0</v>
      </c>
      <c r="U53">
        <v>0</v>
      </c>
      <c r="W53">
        <v>0</v>
      </c>
      <c r="X53">
        <v>0</v>
      </c>
      <c r="Y53">
        <v>0</v>
      </c>
      <c r="Z53" t="s">
        <v>61</v>
      </c>
    </row>
    <row r="54" spans="2:28" x14ac:dyDescent="0.25">
      <c r="B54">
        <v>20724564</v>
      </c>
      <c r="C54" t="s">
        <v>109</v>
      </c>
      <c r="D54" t="s">
        <v>77</v>
      </c>
      <c r="E54" t="s">
        <v>47</v>
      </c>
      <c r="F54" t="s">
        <v>171</v>
      </c>
      <c r="G54" t="s">
        <v>49</v>
      </c>
      <c r="H54" t="s">
        <v>86</v>
      </c>
      <c r="I54" t="s">
        <v>172</v>
      </c>
      <c r="J54" t="s">
        <v>173</v>
      </c>
      <c r="K54" s="1">
        <v>46023</v>
      </c>
      <c r="M54" t="s">
        <v>53</v>
      </c>
      <c r="N54" s="2">
        <v>52.17</v>
      </c>
      <c r="O54" t="s">
        <v>54</v>
      </c>
      <c r="P54">
        <v>100</v>
      </c>
      <c r="Q54" s="1">
        <v>46174</v>
      </c>
      <c r="R54">
        <v>1</v>
      </c>
      <c r="S54">
        <v>0</v>
      </c>
      <c r="T54">
        <v>365.19</v>
      </c>
      <c r="U54">
        <v>0</v>
      </c>
      <c r="W54">
        <v>0</v>
      </c>
      <c r="X54">
        <v>0</v>
      </c>
      <c r="Y54">
        <v>0</v>
      </c>
    </row>
    <row r="55" spans="2:28" x14ac:dyDescent="0.25">
      <c r="B55">
        <v>20724564</v>
      </c>
      <c r="C55" t="s">
        <v>109</v>
      </c>
      <c r="D55" t="s">
        <v>77</v>
      </c>
      <c r="E55" t="s">
        <v>47</v>
      </c>
      <c r="F55" t="s">
        <v>174</v>
      </c>
      <c r="G55" t="s">
        <v>57</v>
      </c>
      <c r="H55" t="s">
        <v>79</v>
      </c>
      <c r="I55" t="s">
        <v>175</v>
      </c>
      <c r="J55" t="s">
        <v>176</v>
      </c>
      <c r="K55" s="1">
        <v>46023</v>
      </c>
      <c r="O55" t="s">
        <v>54</v>
      </c>
      <c r="P55">
        <v>100</v>
      </c>
      <c r="S55">
        <v>0</v>
      </c>
      <c r="T55">
        <v>0</v>
      </c>
      <c r="U55">
        <v>0</v>
      </c>
      <c r="W55">
        <v>0</v>
      </c>
      <c r="X55">
        <v>0</v>
      </c>
      <c r="Y55">
        <v>0</v>
      </c>
      <c r="Z55" t="s">
        <v>61</v>
      </c>
    </row>
    <row r="56" spans="2:28" x14ac:dyDescent="0.25">
      <c r="B56">
        <v>17094718</v>
      </c>
      <c r="C56" t="s">
        <v>177</v>
      </c>
      <c r="D56" t="s">
        <v>77</v>
      </c>
      <c r="E56" t="s">
        <v>47</v>
      </c>
      <c r="F56" t="s">
        <v>178</v>
      </c>
      <c r="G56" t="s">
        <v>49</v>
      </c>
      <c r="H56" t="s">
        <v>86</v>
      </c>
      <c r="I56" t="s">
        <v>179</v>
      </c>
      <c r="J56" t="s">
        <v>180</v>
      </c>
      <c r="K56" s="1">
        <v>45658</v>
      </c>
      <c r="M56" t="s">
        <v>53</v>
      </c>
      <c r="N56" s="2">
        <v>28.92</v>
      </c>
      <c r="O56" t="s">
        <v>54</v>
      </c>
      <c r="P56">
        <v>100</v>
      </c>
      <c r="Q56" s="1">
        <v>46174</v>
      </c>
      <c r="R56">
        <v>1</v>
      </c>
      <c r="S56">
        <v>0</v>
      </c>
      <c r="T56">
        <v>0</v>
      </c>
      <c r="U56">
        <v>0</v>
      </c>
      <c r="W56">
        <v>0</v>
      </c>
      <c r="X56">
        <v>0</v>
      </c>
      <c r="Y56">
        <v>28.92</v>
      </c>
      <c r="AA56">
        <v>57.84</v>
      </c>
      <c r="AB56">
        <v>57.84</v>
      </c>
    </row>
    <row r="57" spans="2:28" x14ac:dyDescent="0.25">
      <c r="B57">
        <v>19491313</v>
      </c>
      <c r="C57" t="s">
        <v>181</v>
      </c>
      <c r="D57" t="s">
        <v>182</v>
      </c>
      <c r="E57" t="s">
        <v>47</v>
      </c>
      <c r="F57" t="s">
        <v>183</v>
      </c>
      <c r="G57" t="s">
        <v>49</v>
      </c>
      <c r="H57" t="s">
        <v>184</v>
      </c>
      <c r="I57" t="s">
        <v>185</v>
      </c>
      <c r="J57" t="s">
        <v>186</v>
      </c>
      <c r="K57" s="1">
        <v>46174</v>
      </c>
      <c r="M57" t="s">
        <v>53</v>
      </c>
      <c r="N57" s="2">
        <v>28.92</v>
      </c>
      <c r="O57" t="s">
        <v>54</v>
      </c>
      <c r="P57">
        <v>100</v>
      </c>
      <c r="Q57" s="1">
        <v>46174</v>
      </c>
      <c r="R57">
        <v>1</v>
      </c>
      <c r="S57">
        <v>0</v>
      </c>
      <c r="T57">
        <v>0</v>
      </c>
      <c r="U57">
        <v>0</v>
      </c>
      <c r="W57">
        <v>0</v>
      </c>
      <c r="X57">
        <v>0</v>
      </c>
      <c r="Y57">
        <v>28.92</v>
      </c>
      <c r="Z57" t="s">
        <v>89</v>
      </c>
      <c r="AA57">
        <v>202.44</v>
      </c>
      <c r="AB57">
        <v>202.44</v>
      </c>
    </row>
    <row r="58" spans="2:28" x14ac:dyDescent="0.25">
      <c r="B58">
        <v>19491313</v>
      </c>
      <c r="C58" t="s">
        <v>181</v>
      </c>
      <c r="D58" t="s">
        <v>182</v>
      </c>
      <c r="E58" t="s">
        <v>47</v>
      </c>
      <c r="F58" t="s">
        <v>183</v>
      </c>
      <c r="G58" t="s">
        <v>49</v>
      </c>
      <c r="H58" t="s">
        <v>184</v>
      </c>
      <c r="I58" t="s">
        <v>185</v>
      </c>
      <c r="J58" t="s">
        <v>186</v>
      </c>
      <c r="K58" s="1">
        <v>46174</v>
      </c>
      <c r="M58" t="s">
        <v>53</v>
      </c>
      <c r="N58" s="2">
        <v>28.92</v>
      </c>
      <c r="O58" t="s">
        <v>54</v>
      </c>
      <c r="P58">
        <v>100</v>
      </c>
      <c r="Q58" s="1">
        <v>46204</v>
      </c>
      <c r="R58">
        <v>1</v>
      </c>
      <c r="S58">
        <v>0</v>
      </c>
      <c r="T58">
        <v>0</v>
      </c>
      <c r="U58">
        <v>0</v>
      </c>
      <c r="W58">
        <v>0</v>
      </c>
      <c r="X58">
        <v>0</v>
      </c>
      <c r="Y58">
        <v>28.92</v>
      </c>
      <c r="Z58" t="s">
        <v>90</v>
      </c>
    </row>
    <row r="59" spans="2:28" x14ac:dyDescent="0.25">
      <c r="B59">
        <v>19491313</v>
      </c>
      <c r="C59" t="s">
        <v>181</v>
      </c>
      <c r="D59" t="s">
        <v>182</v>
      </c>
      <c r="E59" t="s">
        <v>47</v>
      </c>
      <c r="F59" t="s">
        <v>183</v>
      </c>
      <c r="G59" t="s">
        <v>49</v>
      </c>
      <c r="H59" t="s">
        <v>184</v>
      </c>
      <c r="I59" t="s">
        <v>185</v>
      </c>
      <c r="J59" t="s">
        <v>186</v>
      </c>
      <c r="K59" s="1">
        <v>46174</v>
      </c>
      <c r="M59" t="s">
        <v>53</v>
      </c>
      <c r="N59" s="2">
        <v>28.92</v>
      </c>
      <c r="O59" t="s">
        <v>54</v>
      </c>
      <c r="P59">
        <v>100</v>
      </c>
      <c r="Q59" s="1">
        <v>46235</v>
      </c>
      <c r="R59">
        <v>1</v>
      </c>
      <c r="S59">
        <v>0</v>
      </c>
      <c r="T59">
        <v>0</v>
      </c>
      <c r="U59">
        <v>0</v>
      </c>
      <c r="W59">
        <v>0</v>
      </c>
      <c r="X59">
        <v>0</v>
      </c>
      <c r="Y59">
        <v>28.92</v>
      </c>
      <c r="Z59" t="s">
        <v>90</v>
      </c>
    </row>
    <row r="60" spans="2:28" x14ac:dyDescent="0.25">
      <c r="B60">
        <v>19491313</v>
      </c>
      <c r="C60" t="s">
        <v>181</v>
      </c>
      <c r="D60" t="s">
        <v>182</v>
      </c>
      <c r="E60" t="s">
        <v>47</v>
      </c>
      <c r="F60" t="s">
        <v>183</v>
      </c>
      <c r="G60" t="s">
        <v>49</v>
      </c>
      <c r="H60" t="s">
        <v>184</v>
      </c>
      <c r="I60" t="s">
        <v>185</v>
      </c>
      <c r="J60" t="s">
        <v>186</v>
      </c>
      <c r="K60" s="1">
        <v>46174</v>
      </c>
      <c r="M60" t="s">
        <v>53</v>
      </c>
      <c r="N60" s="2">
        <v>28.92</v>
      </c>
      <c r="O60" t="s">
        <v>54</v>
      </c>
      <c r="P60">
        <v>100</v>
      </c>
      <c r="Q60" s="1">
        <v>46266</v>
      </c>
      <c r="R60">
        <v>1</v>
      </c>
      <c r="S60">
        <v>0</v>
      </c>
      <c r="T60">
        <v>0</v>
      </c>
      <c r="U60">
        <v>0</v>
      </c>
      <c r="W60">
        <v>0</v>
      </c>
      <c r="X60">
        <v>0</v>
      </c>
      <c r="Y60">
        <v>28.92</v>
      </c>
      <c r="Z60" t="s">
        <v>90</v>
      </c>
    </row>
    <row r="61" spans="2:28" x14ac:dyDescent="0.25">
      <c r="B61">
        <v>19491313</v>
      </c>
      <c r="C61" t="s">
        <v>181</v>
      </c>
      <c r="D61" t="s">
        <v>182</v>
      </c>
      <c r="E61" t="s">
        <v>47</v>
      </c>
      <c r="F61" t="s">
        <v>183</v>
      </c>
      <c r="G61" t="s">
        <v>49</v>
      </c>
      <c r="H61" t="s">
        <v>184</v>
      </c>
      <c r="I61" t="s">
        <v>185</v>
      </c>
      <c r="J61" t="s">
        <v>186</v>
      </c>
      <c r="K61" s="1">
        <v>46174</v>
      </c>
      <c r="M61" t="s">
        <v>53</v>
      </c>
      <c r="N61" s="2">
        <v>28.92</v>
      </c>
      <c r="O61" t="s">
        <v>54</v>
      </c>
      <c r="P61">
        <v>100</v>
      </c>
      <c r="Q61" s="1">
        <v>46296</v>
      </c>
      <c r="R61">
        <v>1</v>
      </c>
      <c r="S61">
        <v>0</v>
      </c>
      <c r="T61">
        <v>0</v>
      </c>
      <c r="U61">
        <v>0</v>
      </c>
      <c r="W61">
        <v>0</v>
      </c>
      <c r="X61">
        <v>0</v>
      </c>
      <c r="Y61">
        <v>28.92</v>
      </c>
      <c r="Z61" t="s">
        <v>90</v>
      </c>
    </row>
    <row r="62" spans="2:28" x14ac:dyDescent="0.25">
      <c r="B62">
        <v>19491313</v>
      </c>
      <c r="C62" t="s">
        <v>181</v>
      </c>
      <c r="D62" t="s">
        <v>182</v>
      </c>
      <c r="E62" t="s">
        <v>47</v>
      </c>
      <c r="F62" t="s">
        <v>183</v>
      </c>
      <c r="G62" t="s">
        <v>49</v>
      </c>
      <c r="H62" t="s">
        <v>184</v>
      </c>
      <c r="I62" t="s">
        <v>185</v>
      </c>
      <c r="J62" t="s">
        <v>186</v>
      </c>
      <c r="K62" s="1">
        <v>46174</v>
      </c>
      <c r="M62" t="s">
        <v>53</v>
      </c>
      <c r="N62" s="2">
        <v>28.92</v>
      </c>
      <c r="O62" t="s">
        <v>54</v>
      </c>
      <c r="P62">
        <v>100</v>
      </c>
      <c r="Q62" s="1">
        <v>46327</v>
      </c>
      <c r="R62">
        <v>1</v>
      </c>
      <c r="S62">
        <v>0</v>
      </c>
      <c r="T62">
        <v>0</v>
      </c>
      <c r="U62">
        <v>0</v>
      </c>
      <c r="W62">
        <v>0</v>
      </c>
      <c r="X62">
        <v>0</v>
      </c>
      <c r="Y62">
        <v>28.92</v>
      </c>
      <c r="Z62" t="s">
        <v>90</v>
      </c>
    </row>
    <row r="63" spans="2:28" x14ac:dyDescent="0.25">
      <c r="B63">
        <v>19491313</v>
      </c>
      <c r="C63" t="s">
        <v>181</v>
      </c>
      <c r="D63" t="s">
        <v>182</v>
      </c>
      <c r="E63" t="s">
        <v>47</v>
      </c>
      <c r="F63" t="s">
        <v>183</v>
      </c>
      <c r="G63" t="s">
        <v>49</v>
      </c>
      <c r="H63" t="s">
        <v>184</v>
      </c>
      <c r="I63" t="s">
        <v>185</v>
      </c>
      <c r="J63" t="s">
        <v>186</v>
      </c>
      <c r="K63" s="1">
        <v>46174</v>
      </c>
      <c r="M63" t="s">
        <v>53</v>
      </c>
      <c r="N63" s="2">
        <v>28.92</v>
      </c>
      <c r="O63" t="s">
        <v>54</v>
      </c>
      <c r="P63">
        <v>100</v>
      </c>
      <c r="Q63" s="1">
        <v>46357</v>
      </c>
      <c r="R63">
        <v>1</v>
      </c>
      <c r="S63">
        <v>0</v>
      </c>
      <c r="T63">
        <v>0</v>
      </c>
      <c r="U63">
        <v>0</v>
      </c>
      <c r="W63">
        <v>0</v>
      </c>
      <c r="X63">
        <v>0</v>
      </c>
      <c r="Y63">
        <v>28.92</v>
      </c>
      <c r="Z63" t="s">
        <v>90</v>
      </c>
    </row>
    <row r="64" spans="2:28" x14ac:dyDescent="0.25">
      <c r="B64">
        <v>19491313</v>
      </c>
      <c r="C64" t="s">
        <v>181</v>
      </c>
      <c r="D64" t="s">
        <v>182</v>
      </c>
      <c r="E64" t="s">
        <v>47</v>
      </c>
      <c r="F64" t="s">
        <v>187</v>
      </c>
      <c r="G64" t="s">
        <v>57</v>
      </c>
      <c r="H64" t="s">
        <v>184</v>
      </c>
      <c r="I64" t="s">
        <v>188</v>
      </c>
      <c r="J64" t="s">
        <v>189</v>
      </c>
      <c r="K64" s="1">
        <v>46174</v>
      </c>
      <c r="O64" t="s">
        <v>54</v>
      </c>
      <c r="P64">
        <v>100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 t="s">
        <v>61</v>
      </c>
    </row>
    <row r="65" spans="2:28" x14ac:dyDescent="0.25">
      <c r="B65">
        <v>19491313</v>
      </c>
      <c r="C65" t="s">
        <v>181</v>
      </c>
      <c r="D65" t="s">
        <v>182</v>
      </c>
      <c r="E65" t="s">
        <v>47</v>
      </c>
      <c r="F65" t="s">
        <v>190</v>
      </c>
      <c r="G65" t="s">
        <v>49</v>
      </c>
      <c r="H65" t="s">
        <v>184</v>
      </c>
      <c r="I65" t="s">
        <v>191</v>
      </c>
      <c r="J65" t="s">
        <v>192</v>
      </c>
      <c r="K65" s="1">
        <v>46054</v>
      </c>
      <c r="M65" t="s">
        <v>53</v>
      </c>
      <c r="N65" s="2">
        <v>28.92</v>
      </c>
      <c r="O65" t="s">
        <v>54</v>
      </c>
      <c r="P65">
        <v>100</v>
      </c>
      <c r="Q65" s="1">
        <v>46174</v>
      </c>
      <c r="R65">
        <v>1</v>
      </c>
      <c r="S65">
        <v>0</v>
      </c>
      <c r="T65">
        <v>202.44</v>
      </c>
      <c r="U65">
        <v>0</v>
      </c>
      <c r="W65">
        <v>0</v>
      </c>
      <c r="X65">
        <v>0</v>
      </c>
      <c r="Y65">
        <v>0</v>
      </c>
    </row>
    <row r="66" spans="2:28" x14ac:dyDescent="0.25">
      <c r="B66">
        <v>19491313</v>
      </c>
      <c r="C66" t="s">
        <v>181</v>
      </c>
      <c r="D66" t="s">
        <v>182</v>
      </c>
      <c r="E66" t="s">
        <v>47</v>
      </c>
      <c r="F66" t="s">
        <v>193</v>
      </c>
      <c r="G66" t="s">
        <v>49</v>
      </c>
      <c r="H66" t="s">
        <v>184</v>
      </c>
      <c r="I66" t="s">
        <v>194</v>
      </c>
      <c r="J66" t="s">
        <v>195</v>
      </c>
      <c r="K66" s="1">
        <v>46054</v>
      </c>
      <c r="M66" t="s">
        <v>53</v>
      </c>
      <c r="N66" s="2">
        <v>57.84</v>
      </c>
      <c r="O66" t="s">
        <v>54</v>
      </c>
      <c r="P66">
        <v>100</v>
      </c>
      <c r="Q66" s="1">
        <v>46174</v>
      </c>
      <c r="R66">
        <v>1</v>
      </c>
      <c r="S66">
        <v>0</v>
      </c>
      <c r="T66">
        <v>404.88</v>
      </c>
      <c r="U66">
        <v>0</v>
      </c>
      <c r="W66">
        <v>0</v>
      </c>
      <c r="X66">
        <v>0</v>
      </c>
      <c r="Y66">
        <v>0</v>
      </c>
    </row>
    <row r="67" spans="2:28" x14ac:dyDescent="0.25">
      <c r="B67">
        <v>21564088</v>
      </c>
      <c r="C67" t="s">
        <v>196</v>
      </c>
      <c r="D67" t="s">
        <v>182</v>
      </c>
      <c r="E67" t="s">
        <v>47</v>
      </c>
      <c r="F67" t="s">
        <v>197</v>
      </c>
      <c r="G67" t="s">
        <v>57</v>
      </c>
      <c r="H67" t="s">
        <v>184</v>
      </c>
      <c r="I67" t="s">
        <v>198</v>
      </c>
      <c r="J67" t="s">
        <v>199</v>
      </c>
      <c r="K67" s="1">
        <v>45992</v>
      </c>
      <c r="O67" t="s">
        <v>54</v>
      </c>
      <c r="P67">
        <v>100</v>
      </c>
      <c r="S67">
        <v>0</v>
      </c>
      <c r="T67">
        <v>0</v>
      </c>
      <c r="U67">
        <v>0</v>
      </c>
      <c r="W67">
        <v>0</v>
      </c>
      <c r="X67">
        <v>0</v>
      </c>
      <c r="Y67">
        <v>0</v>
      </c>
      <c r="Z67" t="s">
        <v>61</v>
      </c>
      <c r="AA67">
        <v>0</v>
      </c>
      <c r="AB67">
        <v>0</v>
      </c>
    </row>
    <row r="68" spans="2:28" x14ac:dyDescent="0.25">
      <c r="B68">
        <v>21564088</v>
      </c>
      <c r="C68" t="s">
        <v>196</v>
      </c>
      <c r="D68" t="s">
        <v>182</v>
      </c>
      <c r="E68" t="s">
        <v>47</v>
      </c>
      <c r="F68" t="s">
        <v>200</v>
      </c>
      <c r="G68" t="s">
        <v>57</v>
      </c>
      <c r="H68" t="s">
        <v>184</v>
      </c>
      <c r="I68" t="s">
        <v>201</v>
      </c>
      <c r="J68" t="s">
        <v>202</v>
      </c>
      <c r="K68" s="1">
        <v>45992</v>
      </c>
      <c r="O68" t="s">
        <v>54</v>
      </c>
      <c r="P68">
        <v>100</v>
      </c>
      <c r="S68">
        <v>0</v>
      </c>
      <c r="T68">
        <v>0</v>
      </c>
      <c r="U68">
        <v>0</v>
      </c>
      <c r="W68">
        <v>0</v>
      </c>
      <c r="X68">
        <v>0</v>
      </c>
      <c r="Y68">
        <v>0</v>
      </c>
      <c r="Z68" t="s">
        <v>61</v>
      </c>
    </row>
    <row r="69" spans="2:28" x14ac:dyDescent="0.25">
      <c r="B69">
        <v>21435997</v>
      </c>
      <c r="C69" t="s">
        <v>203</v>
      </c>
      <c r="D69" t="s">
        <v>182</v>
      </c>
      <c r="E69" t="s">
        <v>47</v>
      </c>
      <c r="F69" t="s">
        <v>204</v>
      </c>
      <c r="G69" t="s">
        <v>49</v>
      </c>
      <c r="H69" t="s">
        <v>184</v>
      </c>
      <c r="I69" t="s">
        <v>205</v>
      </c>
      <c r="J69" t="s">
        <v>206</v>
      </c>
      <c r="K69" s="1">
        <v>46054</v>
      </c>
      <c r="M69" t="s">
        <v>53</v>
      </c>
      <c r="N69" s="2">
        <v>28.92</v>
      </c>
      <c r="O69" t="s">
        <v>54</v>
      </c>
      <c r="P69">
        <v>100</v>
      </c>
      <c r="Q69" s="1">
        <v>46174</v>
      </c>
      <c r="R69">
        <v>1</v>
      </c>
      <c r="S69">
        <v>0</v>
      </c>
      <c r="T69">
        <v>202.44</v>
      </c>
      <c r="U69">
        <v>0</v>
      </c>
      <c r="W69">
        <v>0</v>
      </c>
      <c r="X69">
        <v>0</v>
      </c>
      <c r="Y69">
        <v>0</v>
      </c>
      <c r="AA69">
        <v>0</v>
      </c>
      <c r="AB69">
        <v>0</v>
      </c>
    </row>
    <row r="70" spans="2:28" x14ac:dyDescent="0.25">
      <c r="B70">
        <v>17094718</v>
      </c>
      <c r="C70" t="s">
        <v>177</v>
      </c>
      <c r="D70" t="s">
        <v>207</v>
      </c>
      <c r="E70" t="s">
        <v>47</v>
      </c>
      <c r="F70" t="s">
        <v>208</v>
      </c>
      <c r="G70" t="s">
        <v>49</v>
      </c>
      <c r="H70" t="s">
        <v>209</v>
      </c>
      <c r="I70" t="s">
        <v>210</v>
      </c>
      <c r="J70" t="s">
        <v>211</v>
      </c>
      <c r="K70" s="1">
        <v>46143</v>
      </c>
      <c r="M70" t="s">
        <v>53</v>
      </c>
      <c r="N70" s="2">
        <v>57.84</v>
      </c>
      <c r="O70" t="s">
        <v>54</v>
      </c>
      <c r="P70">
        <v>100</v>
      </c>
      <c r="Q70" s="1">
        <v>46174</v>
      </c>
      <c r="R70">
        <v>1</v>
      </c>
      <c r="S70">
        <v>0</v>
      </c>
      <c r="T70">
        <v>636.24</v>
      </c>
      <c r="U70">
        <v>0</v>
      </c>
      <c r="W70">
        <v>0</v>
      </c>
      <c r="X70">
        <v>0</v>
      </c>
      <c r="Y70">
        <v>0</v>
      </c>
      <c r="AA70">
        <v>57.84</v>
      </c>
      <c r="AB70">
        <v>57.84</v>
      </c>
    </row>
    <row r="71" spans="2:28" x14ac:dyDescent="0.25">
      <c r="B71">
        <v>19645587</v>
      </c>
      <c r="C71" t="s">
        <v>45</v>
      </c>
      <c r="D71" t="s">
        <v>212</v>
      </c>
      <c r="E71" t="s">
        <v>47</v>
      </c>
      <c r="F71" t="s">
        <v>213</v>
      </c>
      <c r="G71" t="s">
        <v>49</v>
      </c>
      <c r="H71" t="s">
        <v>214</v>
      </c>
      <c r="I71" t="s">
        <v>215</v>
      </c>
      <c r="J71" t="s">
        <v>216</v>
      </c>
      <c r="K71" s="1">
        <v>46174</v>
      </c>
      <c r="M71" t="s">
        <v>53</v>
      </c>
      <c r="N71" s="2">
        <v>57.84</v>
      </c>
      <c r="O71" t="s">
        <v>54</v>
      </c>
      <c r="P71">
        <v>100</v>
      </c>
      <c r="Q71" s="1">
        <v>46023</v>
      </c>
      <c r="R71">
        <v>1</v>
      </c>
      <c r="S71">
        <v>0</v>
      </c>
      <c r="T71">
        <v>0</v>
      </c>
      <c r="U71">
        <v>0</v>
      </c>
      <c r="W71">
        <v>0</v>
      </c>
      <c r="X71">
        <v>0</v>
      </c>
      <c r="Y71">
        <v>57.84</v>
      </c>
      <c r="Z71" t="s">
        <v>217</v>
      </c>
      <c r="AA71">
        <v>1446</v>
      </c>
      <c r="AB71">
        <v>1446</v>
      </c>
    </row>
    <row r="72" spans="2:28" x14ac:dyDescent="0.25">
      <c r="B72">
        <v>19645587</v>
      </c>
      <c r="C72" t="s">
        <v>45</v>
      </c>
      <c r="D72" t="s">
        <v>212</v>
      </c>
      <c r="E72" t="s">
        <v>47</v>
      </c>
      <c r="F72" t="s">
        <v>213</v>
      </c>
      <c r="G72" t="s">
        <v>49</v>
      </c>
      <c r="H72" t="s">
        <v>214</v>
      </c>
      <c r="I72" t="s">
        <v>215</v>
      </c>
      <c r="J72" t="s">
        <v>216</v>
      </c>
      <c r="K72" s="1">
        <v>46174</v>
      </c>
      <c r="M72" t="s">
        <v>53</v>
      </c>
      <c r="N72" s="2">
        <v>57.84</v>
      </c>
      <c r="O72" t="s">
        <v>54</v>
      </c>
      <c r="P72">
        <v>100</v>
      </c>
      <c r="Q72" s="1">
        <v>46054</v>
      </c>
      <c r="R72">
        <v>1</v>
      </c>
      <c r="S72">
        <v>0</v>
      </c>
      <c r="T72">
        <v>0</v>
      </c>
      <c r="U72">
        <v>0</v>
      </c>
      <c r="W72">
        <v>0</v>
      </c>
      <c r="X72">
        <v>0</v>
      </c>
      <c r="Y72">
        <v>57.84</v>
      </c>
      <c r="Z72" t="s">
        <v>217</v>
      </c>
    </row>
    <row r="73" spans="2:28" x14ac:dyDescent="0.25">
      <c r="B73">
        <v>19645587</v>
      </c>
      <c r="C73" t="s">
        <v>45</v>
      </c>
      <c r="D73" t="s">
        <v>212</v>
      </c>
      <c r="E73" t="s">
        <v>47</v>
      </c>
      <c r="F73" t="s">
        <v>213</v>
      </c>
      <c r="G73" t="s">
        <v>49</v>
      </c>
      <c r="H73" t="s">
        <v>214</v>
      </c>
      <c r="I73" t="s">
        <v>215</v>
      </c>
      <c r="J73" t="s">
        <v>216</v>
      </c>
      <c r="K73" s="1">
        <v>46174</v>
      </c>
      <c r="M73" t="s">
        <v>53</v>
      </c>
      <c r="N73" s="2">
        <v>57.84</v>
      </c>
      <c r="O73" t="s">
        <v>54</v>
      </c>
      <c r="P73">
        <v>100</v>
      </c>
      <c r="Q73" s="1">
        <v>46082</v>
      </c>
      <c r="R73">
        <v>1</v>
      </c>
      <c r="S73">
        <v>0</v>
      </c>
      <c r="T73">
        <v>0</v>
      </c>
      <c r="U73">
        <v>0</v>
      </c>
      <c r="W73">
        <v>0</v>
      </c>
      <c r="X73">
        <v>0</v>
      </c>
      <c r="Y73">
        <v>57.84</v>
      </c>
      <c r="Z73" t="s">
        <v>217</v>
      </c>
    </row>
    <row r="74" spans="2:28" x14ac:dyDescent="0.25">
      <c r="B74">
        <v>19645587</v>
      </c>
      <c r="C74" t="s">
        <v>45</v>
      </c>
      <c r="D74" t="s">
        <v>212</v>
      </c>
      <c r="E74" t="s">
        <v>47</v>
      </c>
      <c r="F74" t="s">
        <v>213</v>
      </c>
      <c r="G74" t="s">
        <v>49</v>
      </c>
      <c r="H74" t="s">
        <v>214</v>
      </c>
      <c r="I74" t="s">
        <v>215</v>
      </c>
      <c r="J74" t="s">
        <v>216</v>
      </c>
      <c r="K74" s="1">
        <v>46174</v>
      </c>
      <c r="M74" t="s">
        <v>53</v>
      </c>
      <c r="N74" s="2">
        <v>57.84</v>
      </c>
      <c r="O74" t="s">
        <v>54</v>
      </c>
      <c r="P74">
        <v>100</v>
      </c>
      <c r="Q74" s="1">
        <v>46113</v>
      </c>
      <c r="R74">
        <v>1</v>
      </c>
      <c r="S74">
        <v>0</v>
      </c>
      <c r="T74">
        <v>0</v>
      </c>
      <c r="U74">
        <v>0</v>
      </c>
      <c r="W74">
        <v>0</v>
      </c>
      <c r="X74">
        <v>0</v>
      </c>
      <c r="Y74">
        <v>57.84</v>
      </c>
      <c r="Z74" t="s">
        <v>217</v>
      </c>
    </row>
    <row r="75" spans="2:28" x14ac:dyDescent="0.25">
      <c r="B75">
        <v>19645587</v>
      </c>
      <c r="C75" t="s">
        <v>45</v>
      </c>
      <c r="D75" t="s">
        <v>212</v>
      </c>
      <c r="E75" t="s">
        <v>47</v>
      </c>
      <c r="F75" t="s">
        <v>213</v>
      </c>
      <c r="G75" t="s">
        <v>49</v>
      </c>
      <c r="H75" t="s">
        <v>214</v>
      </c>
      <c r="I75" t="s">
        <v>215</v>
      </c>
      <c r="J75" t="s">
        <v>216</v>
      </c>
      <c r="K75" s="1">
        <v>46174</v>
      </c>
      <c r="M75" t="s">
        <v>53</v>
      </c>
      <c r="N75" s="2">
        <v>57.84</v>
      </c>
      <c r="O75" t="s">
        <v>54</v>
      </c>
      <c r="P75">
        <v>100</v>
      </c>
      <c r="Q75" s="1">
        <v>46143</v>
      </c>
      <c r="R75">
        <v>1</v>
      </c>
      <c r="S75">
        <v>0</v>
      </c>
      <c r="T75">
        <v>0</v>
      </c>
      <c r="U75">
        <v>0</v>
      </c>
      <c r="W75">
        <v>0</v>
      </c>
      <c r="X75">
        <v>0</v>
      </c>
      <c r="Y75">
        <v>57.84</v>
      </c>
      <c r="Z75" t="s">
        <v>217</v>
      </c>
    </row>
    <row r="76" spans="2:28" x14ac:dyDescent="0.25">
      <c r="B76">
        <v>19645587</v>
      </c>
      <c r="C76" t="s">
        <v>45</v>
      </c>
      <c r="D76" t="s">
        <v>212</v>
      </c>
      <c r="E76" t="s">
        <v>47</v>
      </c>
      <c r="F76" t="s">
        <v>213</v>
      </c>
      <c r="G76" t="s">
        <v>49</v>
      </c>
      <c r="H76" t="s">
        <v>214</v>
      </c>
      <c r="I76" t="s">
        <v>215</v>
      </c>
      <c r="J76" t="s">
        <v>216</v>
      </c>
      <c r="K76" s="1">
        <v>46174</v>
      </c>
      <c r="M76" t="s">
        <v>53</v>
      </c>
      <c r="N76" s="2">
        <v>57.84</v>
      </c>
      <c r="O76" t="s">
        <v>54</v>
      </c>
      <c r="P76">
        <v>100</v>
      </c>
      <c r="Q76" s="1">
        <v>46174</v>
      </c>
      <c r="R76">
        <v>1</v>
      </c>
      <c r="S76">
        <v>0</v>
      </c>
      <c r="T76">
        <v>0</v>
      </c>
      <c r="U76">
        <v>0</v>
      </c>
      <c r="W76">
        <v>0</v>
      </c>
      <c r="X76">
        <v>0</v>
      </c>
      <c r="Y76">
        <v>57.84</v>
      </c>
      <c r="Z76" t="s">
        <v>218</v>
      </c>
    </row>
    <row r="77" spans="2:28" x14ac:dyDescent="0.25">
      <c r="B77">
        <v>19645587</v>
      </c>
      <c r="C77" t="s">
        <v>45</v>
      </c>
      <c r="D77" t="s">
        <v>212</v>
      </c>
      <c r="E77" t="s">
        <v>47</v>
      </c>
      <c r="F77" t="s">
        <v>213</v>
      </c>
      <c r="G77" t="s">
        <v>49</v>
      </c>
      <c r="H77" t="s">
        <v>214</v>
      </c>
      <c r="I77" t="s">
        <v>215</v>
      </c>
      <c r="J77" t="s">
        <v>216</v>
      </c>
      <c r="K77" s="1">
        <v>46174</v>
      </c>
      <c r="M77" t="s">
        <v>53</v>
      </c>
      <c r="N77" s="2">
        <v>57.84</v>
      </c>
      <c r="O77" t="s">
        <v>54</v>
      </c>
      <c r="P77">
        <v>100</v>
      </c>
      <c r="Q77" s="1">
        <v>46204</v>
      </c>
      <c r="R77">
        <v>1</v>
      </c>
      <c r="S77">
        <v>0</v>
      </c>
      <c r="T77">
        <v>0</v>
      </c>
      <c r="U77">
        <v>0</v>
      </c>
      <c r="W77">
        <v>0</v>
      </c>
      <c r="X77">
        <v>0</v>
      </c>
      <c r="Y77">
        <v>57.84</v>
      </c>
      <c r="Z77" t="s">
        <v>217</v>
      </c>
    </row>
    <row r="78" spans="2:28" x14ac:dyDescent="0.25">
      <c r="B78">
        <v>19645587</v>
      </c>
      <c r="C78" t="s">
        <v>45</v>
      </c>
      <c r="D78" t="s">
        <v>212</v>
      </c>
      <c r="E78" t="s">
        <v>47</v>
      </c>
      <c r="F78" t="s">
        <v>213</v>
      </c>
      <c r="G78" t="s">
        <v>49</v>
      </c>
      <c r="H78" t="s">
        <v>214</v>
      </c>
      <c r="I78" t="s">
        <v>215</v>
      </c>
      <c r="J78" t="s">
        <v>216</v>
      </c>
      <c r="K78" s="1">
        <v>46174</v>
      </c>
      <c r="M78" t="s">
        <v>53</v>
      </c>
      <c r="N78" s="2">
        <v>57.84</v>
      </c>
      <c r="O78" t="s">
        <v>54</v>
      </c>
      <c r="P78">
        <v>100</v>
      </c>
      <c r="Q78" s="1">
        <v>46235</v>
      </c>
      <c r="R78">
        <v>1</v>
      </c>
      <c r="S78">
        <v>0</v>
      </c>
      <c r="T78">
        <v>0</v>
      </c>
      <c r="U78">
        <v>0</v>
      </c>
      <c r="W78">
        <v>0</v>
      </c>
      <c r="X78">
        <v>0</v>
      </c>
      <c r="Y78">
        <v>57.84</v>
      </c>
      <c r="Z78" t="s">
        <v>217</v>
      </c>
    </row>
    <row r="79" spans="2:28" x14ac:dyDescent="0.25">
      <c r="B79">
        <v>19645587</v>
      </c>
      <c r="C79" t="s">
        <v>45</v>
      </c>
      <c r="D79" t="s">
        <v>212</v>
      </c>
      <c r="E79" t="s">
        <v>47</v>
      </c>
      <c r="F79" t="s">
        <v>213</v>
      </c>
      <c r="G79" t="s">
        <v>49</v>
      </c>
      <c r="H79" t="s">
        <v>214</v>
      </c>
      <c r="I79" t="s">
        <v>215</v>
      </c>
      <c r="J79" t="s">
        <v>216</v>
      </c>
      <c r="K79" s="1">
        <v>46174</v>
      </c>
      <c r="M79" t="s">
        <v>53</v>
      </c>
      <c r="N79" s="2">
        <v>57.84</v>
      </c>
      <c r="O79" t="s">
        <v>54</v>
      </c>
      <c r="P79">
        <v>100</v>
      </c>
      <c r="Q79" s="1">
        <v>46266</v>
      </c>
      <c r="R79">
        <v>1</v>
      </c>
      <c r="S79">
        <v>0</v>
      </c>
      <c r="T79">
        <v>0</v>
      </c>
      <c r="U79">
        <v>0</v>
      </c>
      <c r="W79">
        <v>0</v>
      </c>
      <c r="X79">
        <v>0</v>
      </c>
      <c r="Y79">
        <v>57.84</v>
      </c>
      <c r="Z79" t="s">
        <v>217</v>
      </c>
    </row>
    <row r="80" spans="2:28" x14ac:dyDescent="0.25">
      <c r="B80">
        <v>19645587</v>
      </c>
      <c r="C80" t="s">
        <v>45</v>
      </c>
      <c r="D80" t="s">
        <v>212</v>
      </c>
      <c r="E80" t="s">
        <v>47</v>
      </c>
      <c r="F80" t="s">
        <v>213</v>
      </c>
      <c r="G80" t="s">
        <v>49</v>
      </c>
      <c r="H80" t="s">
        <v>214</v>
      </c>
      <c r="I80" t="s">
        <v>215</v>
      </c>
      <c r="J80" t="s">
        <v>216</v>
      </c>
      <c r="K80" s="1">
        <v>46174</v>
      </c>
      <c r="M80" t="s">
        <v>53</v>
      </c>
      <c r="N80" s="2">
        <v>57.84</v>
      </c>
      <c r="O80" t="s">
        <v>54</v>
      </c>
      <c r="P80">
        <v>100</v>
      </c>
      <c r="Q80" s="1">
        <v>46296</v>
      </c>
      <c r="R80">
        <v>1</v>
      </c>
      <c r="S80">
        <v>0</v>
      </c>
      <c r="T80">
        <v>0</v>
      </c>
      <c r="U80">
        <v>0</v>
      </c>
      <c r="W80">
        <v>0</v>
      </c>
      <c r="X80">
        <v>0</v>
      </c>
      <c r="Y80">
        <v>57.84</v>
      </c>
      <c r="Z80" t="s">
        <v>217</v>
      </c>
    </row>
    <row r="81" spans="2:28" x14ac:dyDescent="0.25">
      <c r="B81">
        <v>19645587</v>
      </c>
      <c r="C81" t="s">
        <v>45</v>
      </c>
      <c r="D81" t="s">
        <v>212</v>
      </c>
      <c r="E81" t="s">
        <v>47</v>
      </c>
      <c r="F81" t="s">
        <v>213</v>
      </c>
      <c r="G81" t="s">
        <v>49</v>
      </c>
      <c r="H81" t="s">
        <v>214</v>
      </c>
      <c r="I81" t="s">
        <v>215</v>
      </c>
      <c r="J81" t="s">
        <v>216</v>
      </c>
      <c r="K81" s="1">
        <v>46174</v>
      </c>
      <c r="M81" t="s">
        <v>53</v>
      </c>
      <c r="N81" s="2">
        <v>57.84</v>
      </c>
      <c r="O81" t="s">
        <v>54</v>
      </c>
      <c r="P81">
        <v>100</v>
      </c>
      <c r="Q81" s="1">
        <v>46327</v>
      </c>
      <c r="R81">
        <v>1</v>
      </c>
      <c r="S81">
        <v>0</v>
      </c>
      <c r="T81">
        <v>0</v>
      </c>
      <c r="U81">
        <v>0</v>
      </c>
      <c r="W81">
        <v>0</v>
      </c>
      <c r="X81">
        <v>0</v>
      </c>
      <c r="Y81">
        <v>57.84</v>
      </c>
      <c r="Z81" t="s">
        <v>217</v>
      </c>
    </row>
    <row r="82" spans="2:28" x14ac:dyDescent="0.25">
      <c r="B82">
        <v>19645587</v>
      </c>
      <c r="C82" t="s">
        <v>45</v>
      </c>
      <c r="D82" t="s">
        <v>212</v>
      </c>
      <c r="E82" t="s">
        <v>47</v>
      </c>
      <c r="F82" t="s">
        <v>213</v>
      </c>
      <c r="G82" t="s">
        <v>49</v>
      </c>
      <c r="H82" t="s">
        <v>214</v>
      </c>
      <c r="I82" t="s">
        <v>215</v>
      </c>
      <c r="J82" t="s">
        <v>216</v>
      </c>
      <c r="K82" s="1">
        <v>46174</v>
      </c>
      <c r="M82" t="s">
        <v>53</v>
      </c>
      <c r="N82" s="2">
        <v>57.84</v>
      </c>
      <c r="O82" t="s">
        <v>54</v>
      </c>
      <c r="P82">
        <v>100</v>
      </c>
      <c r="Q82" s="1">
        <v>46357</v>
      </c>
      <c r="R82">
        <v>1</v>
      </c>
      <c r="S82">
        <v>0</v>
      </c>
      <c r="T82">
        <v>0</v>
      </c>
      <c r="U82">
        <v>0</v>
      </c>
      <c r="W82">
        <v>0</v>
      </c>
      <c r="X82">
        <v>0</v>
      </c>
      <c r="Y82">
        <v>57.84</v>
      </c>
      <c r="Z82" t="s">
        <v>217</v>
      </c>
    </row>
    <row r="83" spans="2:28" x14ac:dyDescent="0.25">
      <c r="B83">
        <v>17094718</v>
      </c>
      <c r="C83" t="s">
        <v>177</v>
      </c>
      <c r="D83" t="s">
        <v>212</v>
      </c>
      <c r="E83" t="s">
        <v>47</v>
      </c>
      <c r="F83" t="s">
        <v>219</v>
      </c>
      <c r="G83" t="s">
        <v>49</v>
      </c>
      <c r="H83" t="s">
        <v>220</v>
      </c>
      <c r="I83" t="s">
        <v>221</v>
      </c>
      <c r="J83" t="s">
        <v>222</v>
      </c>
      <c r="K83" s="1">
        <v>45689</v>
      </c>
      <c r="M83" t="s">
        <v>53</v>
      </c>
      <c r="N83" s="2">
        <v>28.92</v>
      </c>
      <c r="O83" t="s">
        <v>54</v>
      </c>
      <c r="P83">
        <v>100</v>
      </c>
      <c r="Q83" s="1">
        <v>46174</v>
      </c>
      <c r="R83">
        <v>1</v>
      </c>
      <c r="S83">
        <v>0</v>
      </c>
      <c r="T83">
        <v>0</v>
      </c>
      <c r="U83">
        <v>0</v>
      </c>
      <c r="W83">
        <v>0</v>
      </c>
      <c r="X83">
        <v>0</v>
      </c>
      <c r="Y83">
        <v>28.92</v>
      </c>
      <c r="AA83">
        <v>57.84</v>
      </c>
      <c r="AB83">
        <v>57.84</v>
      </c>
    </row>
    <row r="84" spans="2:28" x14ac:dyDescent="0.25">
      <c r="B84">
        <v>9079571</v>
      </c>
      <c r="C84" t="s">
        <v>223</v>
      </c>
      <c r="D84" t="s">
        <v>224</v>
      </c>
      <c r="E84" t="s">
        <v>47</v>
      </c>
      <c r="F84" t="s">
        <v>225</v>
      </c>
      <c r="G84" t="s">
        <v>49</v>
      </c>
      <c r="H84" t="s">
        <v>86</v>
      </c>
      <c r="I84" t="s">
        <v>226</v>
      </c>
      <c r="J84" t="s">
        <v>227</v>
      </c>
      <c r="K84" s="1">
        <v>46174</v>
      </c>
      <c r="M84" t="s">
        <v>53</v>
      </c>
      <c r="N84" s="2">
        <v>28.92</v>
      </c>
      <c r="O84" t="s">
        <v>54</v>
      </c>
      <c r="P84">
        <v>100</v>
      </c>
      <c r="Q84" s="1">
        <v>46174</v>
      </c>
      <c r="R84">
        <v>1</v>
      </c>
      <c r="S84">
        <v>0</v>
      </c>
      <c r="T84">
        <v>0</v>
      </c>
      <c r="U84">
        <v>0</v>
      </c>
      <c r="W84">
        <v>0</v>
      </c>
      <c r="X84">
        <v>0</v>
      </c>
      <c r="Y84">
        <v>28.92</v>
      </c>
      <c r="Z84" t="s">
        <v>89</v>
      </c>
      <c r="AA84">
        <v>202.44</v>
      </c>
      <c r="AB84">
        <v>202.44</v>
      </c>
    </row>
    <row r="85" spans="2:28" x14ac:dyDescent="0.25">
      <c r="B85">
        <v>9079571</v>
      </c>
      <c r="C85" t="s">
        <v>223</v>
      </c>
      <c r="D85" t="s">
        <v>224</v>
      </c>
      <c r="E85" t="s">
        <v>47</v>
      </c>
      <c r="F85" t="s">
        <v>225</v>
      </c>
      <c r="G85" t="s">
        <v>49</v>
      </c>
      <c r="H85" t="s">
        <v>86</v>
      </c>
      <c r="I85" t="s">
        <v>226</v>
      </c>
      <c r="J85" t="s">
        <v>227</v>
      </c>
      <c r="K85" s="1">
        <v>46174</v>
      </c>
      <c r="M85" t="s">
        <v>53</v>
      </c>
      <c r="N85" s="2">
        <v>28.92</v>
      </c>
      <c r="O85" t="s">
        <v>54</v>
      </c>
      <c r="P85">
        <v>100</v>
      </c>
      <c r="Q85" s="1">
        <v>46204</v>
      </c>
      <c r="R85">
        <v>1</v>
      </c>
      <c r="S85">
        <v>0</v>
      </c>
      <c r="T85">
        <v>0</v>
      </c>
      <c r="U85">
        <v>0</v>
      </c>
      <c r="W85">
        <v>0</v>
      </c>
      <c r="X85">
        <v>0</v>
      </c>
      <c r="Y85">
        <v>28.92</v>
      </c>
      <c r="Z85" t="s">
        <v>90</v>
      </c>
    </row>
    <row r="86" spans="2:28" x14ac:dyDescent="0.25">
      <c r="B86">
        <v>9079571</v>
      </c>
      <c r="C86" t="s">
        <v>223</v>
      </c>
      <c r="D86" t="s">
        <v>224</v>
      </c>
      <c r="E86" t="s">
        <v>47</v>
      </c>
      <c r="F86" t="s">
        <v>225</v>
      </c>
      <c r="G86" t="s">
        <v>49</v>
      </c>
      <c r="H86" t="s">
        <v>86</v>
      </c>
      <c r="I86" t="s">
        <v>226</v>
      </c>
      <c r="J86" t="s">
        <v>227</v>
      </c>
      <c r="K86" s="1">
        <v>46174</v>
      </c>
      <c r="M86" t="s">
        <v>53</v>
      </c>
      <c r="N86" s="2">
        <v>28.92</v>
      </c>
      <c r="O86" t="s">
        <v>54</v>
      </c>
      <c r="P86">
        <v>100</v>
      </c>
      <c r="Q86" s="1">
        <v>46235</v>
      </c>
      <c r="R86">
        <v>1</v>
      </c>
      <c r="S86">
        <v>0</v>
      </c>
      <c r="T86">
        <v>0</v>
      </c>
      <c r="U86">
        <v>0</v>
      </c>
      <c r="W86">
        <v>0</v>
      </c>
      <c r="X86">
        <v>0</v>
      </c>
      <c r="Y86">
        <v>28.92</v>
      </c>
      <c r="Z86" t="s">
        <v>90</v>
      </c>
    </row>
    <row r="87" spans="2:28" x14ac:dyDescent="0.25">
      <c r="B87">
        <v>9079571</v>
      </c>
      <c r="C87" t="s">
        <v>223</v>
      </c>
      <c r="D87" t="s">
        <v>224</v>
      </c>
      <c r="E87" t="s">
        <v>47</v>
      </c>
      <c r="F87" t="s">
        <v>225</v>
      </c>
      <c r="G87" t="s">
        <v>49</v>
      </c>
      <c r="H87" t="s">
        <v>86</v>
      </c>
      <c r="I87" t="s">
        <v>226</v>
      </c>
      <c r="J87" t="s">
        <v>227</v>
      </c>
      <c r="K87" s="1">
        <v>46174</v>
      </c>
      <c r="M87" t="s">
        <v>53</v>
      </c>
      <c r="N87" s="2">
        <v>28.92</v>
      </c>
      <c r="O87" t="s">
        <v>54</v>
      </c>
      <c r="P87">
        <v>100</v>
      </c>
      <c r="Q87" s="1">
        <v>46266</v>
      </c>
      <c r="R87">
        <v>1</v>
      </c>
      <c r="S87">
        <v>0</v>
      </c>
      <c r="T87">
        <v>0</v>
      </c>
      <c r="U87">
        <v>0</v>
      </c>
      <c r="W87">
        <v>0</v>
      </c>
      <c r="X87">
        <v>0</v>
      </c>
      <c r="Y87">
        <v>28.92</v>
      </c>
      <c r="Z87" t="s">
        <v>90</v>
      </c>
    </row>
    <row r="88" spans="2:28" x14ac:dyDescent="0.25">
      <c r="B88">
        <v>9079571</v>
      </c>
      <c r="C88" t="s">
        <v>223</v>
      </c>
      <c r="D88" t="s">
        <v>224</v>
      </c>
      <c r="E88" t="s">
        <v>47</v>
      </c>
      <c r="F88" t="s">
        <v>225</v>
      </c>
      <c r="G88" t="s">
        <v>49</v>
      </c>
      <c r="H88" t="s">
        <v>86</v>
      </c>
      <c r="I88" t="s">
        <v>226</v>
      </c>
      <c r="J88" t="s">
        <v>227</v>
      </c>
      <c r="K88" s="1">
        <v>46174</v>
      </c>
      <c r="M88" t="s">
        <v>53</v>
      </c>
      <c r="N88" s="2">
        <v>28.92</v>
      </c>
      <c r="O88" t="s">
        <v>54</v>
      </c>
      <c r="P88">
        <v>100</v>
      </c>
      <c r="Q88" s="1">
        <v>46296</v>
      </c>
      <c r="R88">
        <v>1</v>
      </c>
      <c r="S88">
        <v>0</v>
      </c>
      <c r="T88">
        <v>0</v>
      </c>
      <c r="U88">
        <v>0</v>
      </c>
      <c r="W88">
        <v>0</v>
      </c>
      <c r="X88">
        <v>0</v>
      </c>
      <c r="Y88">
        <v>28.92</v>
      </c>
      <c r="Z88" t="s">
        <v>90</v>
      </c>
    </row>
    <row r="89" spans="2:28" x14ac:dyDescent="0.25">
      <c r="B89">
        <v>9079571</v>
      </c>
      <c r="C89" t="s">
        <v>223</v>
      </c>
      <c r="D89" t="s">
        <v>224</v>
      </c>
      <c r="E89" t="s">
        <v>47</v>
      </c>
      <c r="F89" t="s">
        <v>225</v>
      </c>
      <c r="G89" t="s">
        <v>49</v>
      </c>
      <c r="H89" t="s">
        <v>86</v>
      </c>
      <c r="I89" t="s">
        <v>226</v>
      </c>
      <c r="J89" t="s">
        <v>227</v>
      </c>
      <c r="K89" s="1">
        <v>46174</v>
      </c>
      <c r="M89" t="s">
        <v>53</v>
      </c>
      <c r="N89" s="2">
        <v>28.92</v>
      </c>
      <c r="O89" t="s">
        <v>54</v>
      </c>
      <c r="P89">
        <v>100</v>
      </c>
      <c r="Q89" s="1">
        <v>46327</v>
      </c>
      <c r="R89">
        <v>1</v>
      </c>
      <c r="S89">
        <v>0</v>
      </c>
      <c r="T89">
        <v>0</v>
      </c>
      <c r="U89">
        <v>0</v>
      </c>
      <c r="W89">
        <v>0</v>
      </c>
      <c r="X89">
        <v>0</v>
      </c>
      <c r="Y89">
        <v>28.92</v>
      </c>
      <c r="Z89" t="s">
        <v>90</v>
      </c>
    </row>
    <row r="90" spans="2:28" x14ac:dyDescent="0.25">
      <c r="B90">
        <v>9079571</v>
      </c>
      <c r="C90" t="s">
        <v>223</v>
      </c>
      <c r="D90" t="s">
        <v>224</v>
      </c>
      <c r="E90" t="s">
        <v>47</v>
      </c>
      <c r="F90" t="s">
        <v>225</v>
      </c>
      <c r="G90" t="s">
        <v>49</v>
      </c>
      <c r="H90" t="s">
        <v>86</v>
      </c>
      <c r="I90" t="s">
        <v>226</v>
      </c>
      <c r="J90" t="s">
        <v>227</v>
      </c>
      <c r="K90" s="1">
        <v>46174</v>
      </c>
      <c r="M90" t="s">
        <v>53</v>
      </c>
      <c r="N90" s="2">
        <v>28.92</v>
      </c>
      <c r="O90" t="s">
        <v>54</v>
      </c>
      <c r="P90">
        <v>100</v>
      </c>
      <c r="Q90" s="1">
        <v>46357</v>
      </c>
      <c r="R90">
        <v>1</v>
      </c>
      <c r="S90">
        <v>0</v>
      </c>
      <c r="T90">
        <v>0</v>
      </c>
      <c r="U90">
        <v>0</v>
      </c>
      <c r="W90">
        <v>0</v>
      </c>
      <c r="X90">
        <v>0</v>
      </c>
      <c r="Y90">
        <v>28.92</v>
      </c>
      <c r="Z90" t="s">
        <v>90</v>
      </c>
    </row>
    <row r="91" spans="2:28" x14ac:dyDescent="0.25">
      <c r="B91">
        <v>18754354</v>
      </c>
      <c r="C91" t="s">
        <v>228</v>
      </c>
      <c r="D91" t="s">
        <v>229</v>
      </c>
      <c r="E91" t="s">
        <v>47</v>
      </c>
      <c r="F91" t="s">
        <v>230</v>
      </c>
      <c r="G91" t="s">
        <v>49</v>
      </c>
      <c r="H91" t="s">
        <v>231</v>
      </c>
      <c r="I91" t="s">
        <v>232</v>
      </c>
      <c r="J91" t="s">
        <v>233</v>
      </c>
      <c r="K91" s="1">
        <v>46023</v>
      </c>
      <c r="M91" t="s">
        <v>53</v>
      </c>
      <c r="N91" s="2">
        <v>28.92</v>
      </c>
      <c r="O91" t="s">
        <v>54</v>
      </c>
      <c r="P91">
        <v>100</v>
      </c>
      <c r="Q91" s="1">
        <v>46174</v>
      </c>
      <c r="R91">
        <v>1</v>
      </c>
      <c r="S91">
        <v>0</v>
      </c>
      <c r="T91">
        <v>202.44</v>
      </c>
      <c r="U91">
        <v>0</v>
      </c>
      <c r="W91">
        <v>0</v>
      </c>
      <c r="X91">
        <v>0</v>
      </c>
      <c r="Y91">
        <v>0</v>
      </c>
      <c r="AA91">
        <v>0</v>
      </c>
      <c r="AB91">
        <v>0</v>
      </c>
    </row>
    <row r="92" spans="2:28" x14ac:dyDescent="0.25">
      <c r="B92">
        <v>19645587</v>
      </c>
      <c r="C92" t="s">
        <v>45</v>
      </c>
      <c r="D92" t="s">
        <v>229</v>
      </c>
      <c r="E92" t="s">
        <v>47</v>
      </c>
      <c r="F92" t="s">
        <v>234</v>
      </c>
      <c r="G92" t="s">
        <v>49</v>
      </c>
      <c r="H92" t="s">
        <v>231</v>
      </c>
      <c r="I92" t="s">
        <v>235</v>
      </c>
      <c r="J92" t="s">
        <v>236</v>
      </c>
      <c r="K92" s="1">
        <v>46113</v>
      </c>
      <c r="M92" t="s">
        <v>53</v>
      </c>
      <c r="N92" s="2">
        <v>57.84</v>
      </c>
      <c r="O92" t="s">
        <v>54</v>
      </c>
      <c r="P92">
        <v>100</v>
      </c>
      <c r="Q92" s="1">
        <v>46174</v>
      </c>
      <c r="R92">
        <v>1</v>
      </c>
      <c r="S92">
        <v>0</v>
      </c>
      <c r="T92">
        <v>578.4</v>
      </c>
      <c r="U92">
        <v>0</v>
      </c>
      <c r="W92">
        <v>0</v>
      </c>
      <c r="X92">
        <v>0</v>
      </c>
      <c r="Y92">
        <v>0</v>
      </c>
      <c r="AA92">
        <v>1446</v>
      </c>
      <c r="AB92">
        <v>1446</v>
      </c>
    </row>
    <row r="93" spans="2:28" x14ac:dyDescent="0.25">
      <c r="B93">
        <v>19645587</v>
      </c>
      <c r="C93" t="s">
        <v>45</v>
      </c>
      <c r="D93" t="s">
        <v>229</v>
      </c>
      <c r="E93" t="s">
        <v>47</v>
      </c>
      <c r="F93" t="s">
        <v>237</v>
      </c>
      <c r="G93" t="s">
        <v>49</v>
      </c>
      <c r="H93" t="s">
        <v>231</v>
      </c>
      <c r="I93" t="s">
        <v>238</v>
      </c>
      <c r="J93" t="s">
        <v>239</v>
      </c>
      <c r="K93" s="1">
        <v>46174</v>
      </c>
      <c r="M93" t="s">
        <v>53</v>
      </c>
      <c r="N93" s="2">
        <v>57.84</v>
      </c>
      <c r="O93" t="s">
        <v>54</v>
      </c>
      <c r="P93">
        <v>100</v>
      </c>
      <c r="Q93" s="1">
        <v>46023</v>
      </c>
      <c r="R93">
        <v>1</v>
      </c>
      <c r="S93">
        <v>0</v>
      </c>
      <c r="T93">
        <v>0</v>
      </c>
      <c r="U93">
        <v>0</v>
      </c>
      <c r="W93">
        <v>0</v>
      </c>
      <c r="X93">
        <v>0</v>
      </c>
      <c r="Y93">
        <v>57.84</v>
      </c>
      <c r="Z93" t="s">
        <v>217</v>
      </c>
    </row>
    <row r="94" spans="2:28" x14ac:dyDescent="0.25">
      <c r="B94">
        <v>19645587</v>
      </c>
      <c r="C94" t="s">
        <v>45</v>
      </c>
      <c r="D94" t="s">
        <v>229</v>
      </c>
      <c r="E94" t="s">
        <v>47</v>
      </c>
      <c r="F94" t="s">
        <v>237</v>
      </c>
      <c r="G94" t="s">
        <v>49</v>
      </c>
      <c r="H94" t="s">
        <v>231</v>
      </c>
      <c r="I94" t="s">
        <v>238</v>
      </c>
      <c r="J94" t="s">
        <v>239</v>
      </c>
      <c r="K94" s="1">
        <v>46174</v>
      </c>
      <c r="M94" t="s">
        <v>53</v>
      </c>
      <c r="N94" s="2">
        <v>57.84</v>
      </c>
      <c r="O94" t="s">
        <v>54</v>
      </c>
      <c r="P94">
        <v>100</v>
      </c>
      <c r="Q94" s="1">
        <v>46054</v>
      </c>
      <c r="R94">
        <v>1</v>
      </c>
      <c r="S94">
        <v>0</v>
      </c>
      <c r="T94">
        <v>0</v>
      </c>
      <c r="U94">
        <v>0</v>
      </c>
      <c r="W94">
        <v>0</v>
      </c>
      <c r="X94">
        <v>0</v>
      </c>
      <c r="Y94">
        <v>57.84</v>
      </c>
      <c r="Z94" t="s">
        <v>217</v>
      </c>
    </row>
    <row r="95" spans="2:28" x14ac:dyDescent="0.25">
      <c r="B95">
        <v>19645587</v>
      </c>
      <c r="C95" t="s">
        <v>45</v>
      </c>
      <c r="D95" t="s">
        <v>229</v>
      </c>
      <c r="E95" t="s">
        <v>47</v>
      </c>
      <c r="F95" t="s">
        <v>237</v>
      </c>
      <c r="G95" t="s">
        <v>49</v>
      </c>
      <c r="H95" t="s">
        <v>231</v>
      </c>
      <c r="I95" t="s">
        <v>238</v>
      </c>
      <c r="J95" t="s">
        <v>239</v>
      </c>
      <c r="K95" s="1">
        <v>46174</v>
      </c>
      <c r="M95" t="s">
        <v>53</v>
      </c>
      <c r="N95" s="2">
        <v>57.84</v>
      </c>
      <c r="O95" t="s">
        <v>54</v>
      </c>
      <c r="P95">
        <v>100</v>
      </c>
      <c r="Q95" s="1">
        <v>46082</v>
      </c>
      <c r="R95">
        <v>1</v>
      </c>
      <c r="S95">
        <v>0</v>
      </c>
      <c r="T95">
        <v>0</v>
      </c>
      <c r="U95">
        <v>0</v>
      </c>
      <c r="W95">
        <v>0</v>
      </c>
      <c r="X95">
        <v>0</v>
      </c>
      <c r="Y95">
        <v>57.84</v>
      </c>
      <c r="Z95" t="s">
        <v>217</v>
      </c>
    </row>
    <row r="96" spans="2:28" x14ac:dyDescent="0.25">
      <c r="B96">
        <v>19645587</v>
      </c>
      <c r="C96" t="s">
        <v>45</v>
      </c>
      <c r="D96" t="s">
        <v>229</v>
      </c>
      <c r="E96" t="s">
        <v>47</v>
      </c>
      <c r="F96" t="s">
        <v>237</v>
      </c>
      <c r="G96" t="s">
        <v>49</v>
      </c>
      <c r="H96" t="s">
        <v>231</v>
      </c>
      <c r="I96" t="s">
        <v>238</v>
      </c>
      <c r="J96" t="s">
        <v>239</v>
      </c>
      <c r="K96" s="1">
        <v>46174</v>
      </c>
      <c r="M96" t="s">
        <v>53</v>
      </c>
      <c r="N96" s="2">
        <v>57.84</v>
      </c>
      <c r="O96" t="s">
        <v>54</v>
      </c>
      <c r="P96">
        <v>100</v>
      </c>
      <c r="Q96" s="1">
        <v>46113</v>
      </c>
      <c r="R96">
        <v>1</v>
      </c>
      <c r="S96">
        <v>0</v>
      </c>
      <c r="T96">
        <v>0</v>
      </c>
      <c r="U96">
        <v>0</v>
      </c>
      <c r="W96">
        <v>0</v>
      </c>
      <c r="X96">
        <v>0</v>
      </c>
      <c r="Y96">
        <v>57.84</v>
      </c>
      <c r="Z96" t="s">
        <v>217</v>
      </c>
    </row>
    <row r="97" spans="2:28" x14ac:dyDescent="0.25">
      <c r="B97">
        <v>19645587</v>
      </c>
      <c r="C97" t="s">
        <v>45</v>
      </c>
      <c r="D97" t="s">
        <v>229</v>
      </c>
      <c r="E97" t="s">
        <v>47</v>
      </c>
      <c r="F97" t="s">
        <v>237</v>
      </c>
      <c r="G97" t="s">
        <v>49</v>
      </c>
      <c r="H97" t="s">
        <v>231</v>
      </c>
      <c r="I97" t="s">
        <v>238</v>
      </c>
      <c r="J97" t="s">
        <v>239</v>
      </c>
      <c r="K97" s="1">
        <v>46174</v>
      </c>
      <c r="M97" t="s">
        <v>53</v>
      </c>
      <c r="N97" s="2">
        <v>57.84</v>
      </c>
      <c r="O97" t="s">
        <v>54</v>
      </c>
      <c r="P97">
        <v>100</v>
      </c>
      <c r="Q97" s="1">
        <v>46143</v>
      </c>
      <c r="R97">
        <v>1</v>
      </c>
      <c r="S97">
        <v>0</v>
      </c>
      <c r="T97">
        <v>0</v>
      </c>
      <c r="U97">
        <v>0</v>
      </c>
      <c r="W97">
        <v>0</v>
      </c>
      <c r="X97">
        <v>0</v>
      </c>
      <c r="Y97">
        <v>57.84</v>
      </c>
      <c r="Z97" t="s">
        <v>217</v>
      </c>
    </row>
    <row r="98" spans="2:28" x14ac:dyDescent="0.25">
      <c r="B98">
        <v>19645587</v>
      </c>
      <c r="C98" t="s">
        <v>45</v>
      </c>
      <c r="D98" t="s">
        <v>229</v>
      </c>
      <c r="E98" t="s">
        <v>47</v>
      </c>
      <c r="F98" t="s">
        <v>237</v>
      </c>
      <c r="G98" t="s">
        <v>49</v>
      </c>
      <c r="H98" t="s">
        <v>231</v>
      </c>
      <c r="I98" t="s">
        <v>238</v>
      </c>
      <c r="J98" t="s">
        <v>239</v>
      </c>
      <c r="K98" s="1">
        <v>46174</v>
      </c>
      <c r="M98" t="s">
        <v>53</v>
      </c>
      <c r="N98" s="2">
        <v>57.84</v>
      </c>
      <c r="O98" t="s">
        <v>54</v>
      </c>
      <c r="P98">
        <v>100</v>
      </c>
      <c r="Q98" s="1">
        <v>46174</v>
      </c>
      <c r="R98">
        <v>1</v>
      </c>
      <c r="S98">
        <v>0</v>
      </c>
      <c r="T98">
        <v>0</v>
      </c>
      <c r="U98">
        <v>0</v>
      </c>
      <c r="W98">
        <v>0</v>
      </c>
      <c r="X98">
        <v>0</v>
      </c>
      <c r="Y98">
        <v>57.84</v>
      </c>
      <c r="Z98" t="s">
        <v>218</v>
      </c>
    </row>
    <row r="99" spans="2:28" x14ac:dyDescent="0.25">
      <c r="B99">
        <v>19645587</v>
      </c>
      <c r="C99" t="s">
        <v>45</v>
      </c>
      <c r="D99" t="s">
        <v>229</v>
      </c>
      <c r="E99" t="s">
        <v>47</v>
      </c>
      <c r="F99" t="s">
        <v>237</v>
      </c>
      <c r="G99" t="s">
        <v>49</v>
      </c>
      <c r="H99" t="s">
        <v>231</v>
      </c>
      <c r="I99" t="s">
        <v>238</v>
      </c>
      <c r="J99" t="s">
        <v>239</v>
      </c>
      <c r="K99" s="1">
        <v>46174</v>
      </c>
      <c r="M99" t="s">
        <v>53</v>
      </c>
      <c r="N99" s="2">
        <v>57.84</v>
      </c>
      <c r="O99" t="s">
        <v>54</v>
      </c>
      <c r="P99">
        <v>100</v>
      </c>
      <c r="Q99" s="1">
        <v>46204</v>
      </c>
      <c r="R99">
        <v>1</v>
      </c>
      <c r="S99">
        <v>0</v>
      </c>
      <c r="T99">
        <v>0</v>
      </c>
      <c r="U99">
        <v>0</v>
      </c>
      <c r="W99">
        <v>0</v>
      </c>
      <c r="X99">
        <v>0</v>
      </c>
      <c r="Y99">
        <v>57.84</v>
      </c>
      <c r="Z99" t="s">
        <v>217</v>
      </c>
    </row>
    <row r="100" spans="2:28" x14ac:dyDescent="0.25">
      <c r="B100">
        <v>19645587</v>
      </c>
      <c r="C100" t="s">
        <v>45</v>
      </c>
      <c r="D100" t="s">
        <v>229</v>
      </c>
      <c r="E100" t="s">
        <v>47</v>
      </c>
      <c r="F100" t="s">
        <v>237</v>
      </c>
      <c r="G100" t="s">
        <v>49</v>
      </c>
      <c r="H100" t="s">
        <v>231</v>
      </c>
      <c r="I100" t="s">
        <v>238</v>
      </c>
      <c r="J100" t="s">
        <v>239</v>
      </c>
      <c r="K100" s="1">
        <v>46174</v>
      </c>
      <c r="M100" t="s">
        <v>53</v>
      </c>
      <c r="N100" s="2">
        <v>57.84</v>
      </c>
      <c r="O100" t="s">
        <v>54</v>
      </c>
      <c r="P100">
        <v>100</v>
      </c>
      <c r="Q100" s="1">
        <v>46235</v>
      </c>
      <c r="R100">
        <v>1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57.84</v>
      </c>
      <c r="Z100" t="s">
        <v>217</v>
      </c>
    </row>
    <row r="101" spans="2:28" x14ac:dyDescent="0.25">
      <c r="B101">
        <v>19645587</v>
      </c>
      <c r="C101" t="s">
        <v>45</v>
      </c>
      <c r="D101" t="s">
        <v>229</v>
      </c>
      <c r="E101" t="s">
        <v>47</v>
      </c>
      <c r="F101" t="s">
        <v>237</v>
      </c>
      <c r="G101" t="s">
        <v>49</v>
      </c>
      <c r="H101" t="s">
        <v>231</v>
      </c>
      <c r="I101" t="s">
        <v>238</v>
      </c>
      <c r="J101" t="s">
        <v>239</v>
      </c>
      <c r="K101" s="1">
        <v>46174</v>
      </c>
      <c r="M101" t="s">
        <v>53</v>
      </c>
      <c r="N101" s="2">
        <v>57.84</v>
      </c>
      <c r="O101" t="s">
        <v>54</v>
      </c>
      <c r="P101">
        <v>100</v>
      </c>
      <c r="Q101" s="1">
        <v>46266</v>
      </c>
      <c r="R101">
        <v>1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57.84</v>
      </c>
      <c r="Z101" t="s">
        <v>217</v>
      </c>
    </row>
    <row r="102" spans="2:28" x14ac:dyDescent="0.25">
      <c r="B102">
        <v>19645587</v>
      </c>
      <c r="C102" t="s">
        <v>45</v>
      </c>
      <c r="D102" t="s">
        <v>229</v>
      </c>
      <c r="E102" t="s">
        <v>47</v>
      </c>
      <c r="F102" t="s">
        <v>237</v>
      </c>
      <c r="G102" t="s">
        <v>49</v>
      </c>
      <c r="H102" t="s">
        <v>231</v>
      </c>
      <c r="I102" t="s">
        <v>238</v>
      </c>
      <c r="J102" t="s">
        <v>239</v>
      </c>
      <c r="K102" s="1">
        <v>46174</v>
      </c>
      <c r="M102" t="s">
        <v>53</v>
      </c>
      <c r="N102" s="2">
        <v>57.84</v>
      </c>
      <c r="O102" t="s">
        <v>54</v>
      </c>
      <c r="P102">
        <v>100</v>
      </c>
      <c r="Q102" s="1">
        <v>46296</v>
      </c>
      <c r="R102">
        <v>1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57.84</v>
      </c>
      <c r="Z102" t="s">
        <v>217</v>
      </c>
    </row>
    <row r="103" spans="2:28" x14ac:dyDescent="0.25">
      <c r="B103">
        <v>19645587</v>
      </c>
      <c r="C103" t="s">
        <v>45</v>
      </c>
      <c r="D103" t="s">
        <v>229</v>
      </c>
      <c r="E103" t="s">
        <v>47</v>
      </c>
      <c r="F103" t="s">
        <v>237</v>
      </c>
      <c r="G103" t="s">
        <v>49</v>
      </c>
      <c r="H103" t="s">
        <v>231</v>
      </c>
      <c r="I103" t="s">
        <v>238</v>
      </c>
      <c r="J103" t="s">
        <v>239</v>
      </c>
      <c r="K103" s="1">
        <v>46174</v>
      </c>
      <c r="M103" t="s">
        <v>53</v>
      </c>
      <c r="N103" s="2">
        <v>57.84</v>
      </c>
      <c r="O103" t="s">
        <v>54</v>
      </c>
      <c r="P103">
        <v>100</v>
      </c>
      <c r="Q103" s="1">
        <v>46327</v>
      </c>
      <c r="R103">
        <v>1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57.84</v>
      </c>
      <c r="Z103" t="s">
        <v>217</v>
      </c>
    </row>
    <row r="104" spans="2:28" x14ac:dyDescent="0.25">
      <c r="B104">
        <v>19645587</v>
      </c>
      <c r="C104" t="s">
        <v>45</v>
      </c>
      <c r="D104" t="s">
        <v>229</v>
      </c>
      <c r="E104" t="s">
        <v>47</v>
      </c>
      <c r="F104" t="s">
        <v>237</v>
      </c>
      <c r="G104" t="s">
        <v>49</v>
      </c>
      <c r="H104" t="s">
        <v>231</v>
      </c>
      <c r="I104" t="s">
        <v>238</v>
      </c>
      <c r="J104" t="s">
        <v>239</v>
      </c>
      <c r="K104" s="1">
        <v>46174</v>
      </c>
      <c r="M104" t="s">
        <v>53</v>
      </c>
      <c r="N104" s="2">
        <v>57.84</v>
      </c>
      <c r="O104" t="s">
        <v>54</v>
      </c>
      <c r="P104">
        <v>100</v>
      </c>
      <c r="Q104" s="1">
        <v>46357</v>
      </c>
      <c r="R104">
        <v>1</v>
      </c>
      <c r="S104">
        <v>0</v>
      </c>
      <c r="T104">
        <v>0</v>
      </c>
      <c r="U104">
        <v>0</v>
      </c>
      <c r="W104">
        <v>0</v>
      </c>
      <c r="X104">
        <v>0</v>
      </c>
      <c r="Y104">
        <v>57.84</v>
      </c>
      <c r="Z104" t="s">
        <v>217</v>
      </c>
    </row>
    <row r="105" spans="2:28" x14ac:dyDescent="0.25">
      <c r="B105">
        <v>19645587</v>
      </c>
      <c r="C105" t="s">
        <v>45</v>
      </c>
      <c r="D105" t="s">
        <v>229</v>
      </c>
      <c r="E105" t="s">
        <v>47</v>
      </c>
      <c r="F105" t="s">
        <v>240</v>
      </c>
      <c r="G105" t="s">
        <v>49</v>
      </c>
      <c r="H105" t="s">
        <v>231</v>
      </c>
      <c r="I105" t="s">
        <v>241</v>
      </c>
      <c r="J105" t="s">
        <v>242</v>
      </c>
      <c r="K105" s="1">
        <v>45839</v>
      </c>
      <c r="O105" t="s">
        <v>54</v>
      </c>
      <c r="P105">
        <v>100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0</v>
      </c>
      <c r="Z105" t="s">
        <v>61</v>
      </c>
    </row>
    <row r="106" spans="2:28" x14ac:dyDescent="0.25">
      <c r="B106">
        <v>18581063</v>
      </c>
      <c r="C106" t="s">
        <v>243</v>
      </c>
      <c r="D106" t="s">
        <v>229</v>
      </c>
      <c r="E106" t="s">
        <v>47</v>
      </c>
      <c r="F106" t="s">
        <v>244</v>
      </c>
      <c r="G106" t="s">
        <v>49</v>
      </c>
      <c r="H106" t="s">
        <v>231</v>
      </c>
      <c r="I106" t="s">
        <v>245</v>
      </c>
      <c r="J106" t="s">
        <v>246</v>
      </c>
      <c r="K106" s="1">
        <v>46023</v>
      </c>
      <c r="M106" t="s">
        <v>53</v>
      </c>
      <c r="N106" s="2">
        <v>28.92</v>
      </c>
      <c r="O106" t="s">
        <v>54</v>
      </c>
      <c r="P106">
        <v>100</v>
      </c>
      <c r="Q106" s="1">
        <v>46174</v>
      </c>
      <c r="R106">
        <v>1</v>
      </c>
      <c r="S106">
        <v>0</v>
      </c>
      <c r="T106">
        <v>202.44</v>
      </c>
      <c r="U106">
        <v>0</v>
      </c>
      <c r="W106">
        <v>0</v>
      </c>
      <c r="X106">
        <v>0</v>
      </c>
      <c r="Y106">
        <v>0</v>
      </c>
      <c r="AA106">
        <v>86.76</v>
      </c>
      <c r="AB106">
        <v>86.76</v>
      </c>
    </row>
    <row r="107" spans="2:28" x14ac:dyDescent="0.25">
      <c r="B107">
        <v>18581063</v>
      </c>
      <c r="C107" t="s">
        <v>243</v>
      </c>
      <c r="D107" t="s">
        <v>229</v>
      </c>
      <c r="E107" t="s">
        <v>47</v>
      </c>
      <c r="F107" t="s">
        <v>247</v>
      </c>
      <c r="G107" t="s">
        <v>49</v>
      </c>
      <c r="H107" t="s">
        <v>231</v>
      </c>
      <c r="I107" t="s">
        <v>248</v>
      </c>
      <c r="J107" t="s">
        <v>249</v>
      </c>
      <c r="K107" s="1">
        <v>46023</v>
      </c>
      <c r="M107" t="s">
        <v>53</v>
      </c>
      <c r="N107" s="2">
        <v>28.92</v>
      </c>
      <c r="O107" t="s">
        <v>54</v>
      </c>
      <c r="P107">
        <v>100</v>
      </c>
      <c r="Q107" s="1">
        <v>46174</v>
      </c>
      <c r="R107">
        <v>1</v>
      </c>
      <c r="S107">
        <v>0</v>
      </c>
      <c r="T107">
        <v>202.44</v>
      </c>
      <c r="U107">
        <v>0</v>
      </c>
      <c r="W107">
        <v>0</v>
      </c>
      <c r="X107">
        <v>0</v>
      </c>
      <c r="Y107">
        <v>0</v>
      </c>
    </row>
    <row r="108" spans="2:28" x14ac:dyDescent="0.25">
      <c r="B108">
        <v>18581063</v>
      </c>
      <c r="C108" t="s">
        <v>243</v>
      </c>
      <c r="D108" t="s">
        <v>229</v>
      </c>
      <c r="E108" t="s">
        <v>47</v>
      </c>
      <c r="F108" t="s">
        <v>250</v>
      </c>
      <c r="G108" t="s">
        <v>49</v>
      </c>
      <c r="H108" t="s">
        <v>231</v>
      </c>
      <c r="I108" t="s">
        <v>251</v>
      </c>
      <c r="J108" t="s">
        <v>252</v>
      </c>
      <c r="K108" s="1">
        <v>46023</v>
      </c>
      <c r="M108" t="s">
        <v>53</v>
      </c>
      <c r="N108" s="2">
        <v>28.92</v>
      </c>
      <c r="O108" t="s">
        <v>54</v>
      </c>
      <c r="P108">
        <v>100</v>
      </c>
      <c r="Q108" s="1">
        <v>46174</v>
      </c>
      <c r="R108">
        <v>1</v>
      </c>
      <c r="S108">
        <v>0</v>
      </c>
      <c r="T108">
        <v>202.44</v>
      </c>
      <c r="U108">
        <v>0</v>
      </c>
      <c r="W108">
        <v>0</v>
      </c>
      <c r="X108">
        <v>0</v>
      </c>
      <c r="Y108">
        <v>0</v>
      </c>
    </row>
    <row r="109" spans="2:28" x14ac:dyDescent="0.25">
      <c r="B109">
        <v>18581063</v>
      </c>
      <c r="C109" t="s">
        <v>243</v>
      </c>
      <c r="D109" t="s">
        <v>229</v>
      </c>
      <c r="E109" t="s">
        <v>47</v>
      </c>
      <c r="F109" t="s">
        <v>253</v>
      </c>
      <c r="G109" t="s">
        <v>49</v>
      </c>
      <c r="H109" t="s">
        <v>231</v>
      </c>
      <c r="I109" t="s">
        <v>254</v>
      </c>
      <c r="J109" t="s">
        <v>255</v>
      </c>
      <c r="K109" s="1">
        <v>46023</v>
      </c>
      <c r="M109" t="s">
        <v>53</v>
      </c>
      <c r="N109" s="2">
        <v>28.92</v>
      </c>
      <c r="O109" t="s">
        <v>54</v>
      </c>
      <c r="P109">
        <v>100</v>
      </c>
      <c r="Q109" s="1">
        <v>46174</v>
      </c>
      <c r="R109">
        <v>1</v>
      </c>
      <c r="S109">
        <v>0</v>
      </c>
      <c r="T109">
        <v>202.44</v>
      </c>
      <c r="U109">
        <v>0</v>
      </c>
      <c r="W109">
        <v>0</v>
      </c>
      <c r="X109">
        <v>0</v>
      </c>
      <c r="Y109">
        <v>0</v>
      </c>
    </row>
    <row r="110" spans="2:28" x14ac:dyDescent="0.25">
      <c r="B110">
        <v>18581063</v>
      </c>
      <c r="C110" t="s">
        <v>243</v>
      </c>
      <c r="D110" t="s">
        <v>229</v>
      </c>
      <c r="E110" t="s">
        <v>47</v>
      </c>
      <c r="F110" t="s">
        <v>256</v>
      </c>
      <c r="G110" t="s">
        <v>49</v>
      </c>
      <c r="H110" t="s">
        <v>231</v>
      </c>
      <c r="I110" t="s">
        <v>257</v>
      </c>
      <c r="J110" t="s">
        <v>258</v>
      </c>
      <c r="K110" s="1">
        <v>46023</v>
      </c>
      <c r="M110" t="s">
        <v>53</v>
      </c>
      <c r="N110" s="2">
        <v>28.92</v>
      </c>
      <c r="O110" t="s">
        <v>54</v>
      </c>
      <c r="P110">
        <v>100</v>
      </c>
      <c r="Q110" s="1">
        <v>46174</v>
      </c>
      <c r="R110">
        <v>1</v>
      </c>
      <c r="S110">
        <v>0</v>
      </c>
      <c r="T110">
        <v>202.44</v>
      </c>
      <c r="U110">
        <v>0</v>
      </c>
      <c r="W110">
        <v>0</v>
      </c>
      <c r="X110">
        <v>0</v>
      </c>
      <c r="Y110">
        <v>0</v>
      </c>
    </row>
    <row r="111" spans="2:28" x14ac:dyDescent="0.25">
      <c r="B111">
        <v>18581063</v>
      </c>
      <c r="C111" t="s">
        <v>243</v>
      </c>
      <c r="D111" t="s">
        <v>229</v>
      </c>
      <c r="E111" t="s">
        <v>47</v>
      </c>
      <c r="F111" t="s">
        <v>259</v>
      </c>
      <c r="G111" t="s">
        <v>49</v>
      </c>
      <c r="H111" t="s">
        <v>231</v>
      </c>
      <c r="I111" t="s">
        <v>260</v>
      </c>
      <c r="J111" t="s">
        <v>261</v>
      </c>
      <c r="K111" s="1">
        <v>46023</v>
      </c>
      <c r="M111" t="s">
        <v>53</v>
      </c>
      <c r="N111" s="2">
        <v>28.92</v>
      </c>
      <c r="O111" t="s">
        <v>54</v>
      </c>
      <c r="P111">
        <v>100</v>
      </c>
      <c r="Q111" s="1">
        <v>46174</v>
      </c>
      <c r="R111">
        <v>1</v>
      </c>
      <c r="S111">
        <v>0</v>
      </c>
      <c r="T111">
        <v>202.44</v>
      </c>
      <c r="U111">
        <v>0</v>
      </c>
      <c r="W111">
        <v>0</v>
      </c>
      <c r="X111">
        <v>0</v>
      </c>
      <c r="Y111">
        <v>0</v>
      </c>
    </row>
    <row r="112" spans="2:28" x14ac:dyDescent="0.25">
      <c r="B112">
        <v>18581063</v>
      </c>
      <c r="C112" t="s">
        <v>243</v>
      </c>
      <c r="D112" t="s">
        <v>229</v>
      </c>
      <c r="E112" t="s">
        <v>47</v>
      </c>
      <c r="F112" t="s">
        <v>262</v>
      </c>
      <c r="G112" t="s">
        <v>49</v>
      </c>
      <c r="H112" t="s">
        <v>231</v>
      </c>
      <c r="I112" t="s">
        <v>263</v>
      </c>
      <c r="J112" t="s">
        <v>264</v>
      </c>
      <c r="K112" s="1">
        <v>46023</v>
      </c>
      <c r="M112" t="s">
        <v>53</v>
      </c>
      <c r="N112" s="2">
        <v>28.92</v>
      </c>
      <c r="O112" t="s">
        <v>54</v>
      </c>
      <c r="P112">
        <v>100</v>
      </c>
      <c r="Q112" s="1">
        <v>46174</v>
      </c>
      <c r="R112">
        <v>1</v>
      </c>
      <c r="S112">
        <v>0</v>
      </c>
      <c r="T112">
        <v>202.44</v>
      </c>
      <c r="U112">
        <v>0</v>
      </c>
      <c r="W112">
        <v>0</v>
      </c>
      <c r="X112">
        <v>0</v>
      </c>
      <c r="Y112">
        <v>0</v>
      </c>
    </row>
    <row r="113" spans="2:25" x14ac:dyDescent="0.25">
      <c r="B113">
        <v>18581063</v>
      </c>
      <c r="C113" t="s">
        <v>243</v>
      </c>
      <c r="D113" t="s">
        <v>229</v>
      </c>
      <c r="E113" t="s">
        <v>47</v>
      </c>
      <c r="F113" t="s">
        <v>265</v>
      </c>
      <c r="G113" t="s">
        <v>49</v>
      </c>
      <c r="H113" t="s">
        <v>231</v>
      </c>
      <c r="I113" t="s">
        <v>266</v>
      </c>
      <c r="J113" t="s">
        <v>267</v>
      </c>
      <c r="K113" s="1">
        <v>46023</v>
      </c>
      <c r="M113" t="s">
        <v>268</v>
      </c>
      <c r="N113" s="2">
        <v>28.92</v>
      </c>
      <c r="O113" t="s">
        <v>54</v>
      </c>
      <c r="P113">
        <v>100</v>
      </c>
      <c r="Q113" s="1">
        <v>46174</v>
      </c>
      <c r="R113">
        <v>1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28.92</v>
      </c>
    </row>
    <row r="114" spans="2:25" x14ac:dyDescent="0.25">
      <c r="B114">
        <v>18581063</v>
      </c>
      <c r="C114" t="s">
        <v>243</v>
      </c>
      <c r="D114" t="s">
        <v>229</v>
      </c>
      <c r="E114" t="s">
        <v>47</v>
      </c>
      <c r="F114" t="s">
        <v>269</v>
      </c>
      <c r="G114" t="s">
        <v>49</v>
      </c>
      <c r="H114" t="s">
        <v>231</v>
      </c>
      <c r="I114" t="s">
        <v>270</v>
      </c>
      <c r="J114" t="s">
        <v>271</v>
      </c>
      <c r="K114" s="1">
        <v>46023</v>
      </c>
      <c r="M114" t="s">
        <v>268</v>
      </c>
      <c r="N114" s="2">
        <v>28.92</v>
      </c>
      <c r="O114" t="s">
        <v>54</v>
      </c>
      <c r="P114">
        <v>100</v>
      </c>
      <c r="Q114" s="1">
        <v>46174</v>
      </c>
      <c r="R114">
        <v>1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28.92</v>
      </c>
    </row>
    <row r="115" spans="2:25" x14ac:dyDescent="0.25">
      <c r="B115">
        <v>18581063</v>
      </c>
      <c r="C115" t="s">
        <v>243</v>
      </c>
      <c r="D115" t="s">
        <v>229</v>
      </c>
      <c r="E115" t="s">
        <v>47</v>
      </c>
      <c r="F115" t="s">
        <v>272</v>
      </c>
      <c r="G115" t="s">
        <v>49</v>
      </c>
      <c r="H115" t="s">
        <v>231</v>
      </c>
      <c r="I115" t="s">
        <v>273</v>
      </c>
      <c r="J115" t="s">
        <v>274</v>
      </c>
      <c r="K115" s="1">
        <v>46023</v>
      </c>
      <c r="M115" t="s">
        <v>268</v>
      </c>
      <c r="N115" s="2">
        <v>28.92</v>
      </c>
      <c r="O115" t="s">
        <v>54</v>
      </c>
      <c r="P115">
        <v>100</v>
      </c>
      <c r="Q115" s="1">
        <v>46174</v>
      </c>
      <c r="R115">
        <v>1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28.92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8654-01B9-41A6-BB81-7F5D2B3DFF83}">
  <dimension ref="A1:AA106"/>
  <sheetViews>
    <sheetView tabSelected="1" topLeftCell="C1" workbookViewId="0">
      <selection activeCell="O17" sqref="O17"/>
    </sheetView>
  </sheetViews>
  <sheetFormatPr defaultRowHeight="15" x14ac:dyDescent="0.25"/>
  <cols>
    <col min="1" max="1" width="19" bestFit="1" customWidth="1"/>
    <col min="2" max="2" width="25.140625" bestFit="1" customWidth="1"/>
    <col min="3" max="3" width="6.28515625" bestFit="1" customWidth="1"/>
    <col min="4" max="4" width="15.42578125" bestFit="1" customWidth="1"/>
    <col min="5" max="5" width="15.42578125" customWidth="1"/>
    <col min="6" max="6" width="14.140625" bestFit="1" customWidth="1"/>
    <col min="7" max="7" width="35.28515625" bestFit="1" customWidth="1"/>
    <col min="8" max="8" width="20.140625" bestFit="1" customWidth="1"/>
    <col min="9" max="9" width="12.28515625" customWidth="1"/>
    <col min="10" max="10" width="7.28515625" bestFit="1" customWidth="1"/>
    <col min="11" max="11" width="10" bestFit="1" customWidth="1"/>
    <col min="12" max="12" width="9.7109375" bestFit="1" customWidth="1"/>
    <col min="13" max="13" width="4.140625" bestFit="1" customWidth="1"/>
    <col min="14" max="14" width="7.140625" customWidth="1"/>
    <col min="15" max="15" width="7" customWidth="1"/>
    <col min="16" max="16" width="6.7109375" customWidth="1"/>
    <col min="17" max="17" width="9.5703125" bestFit="1" customWidth="1"/>
    <col min="18" max="18" width="13.7109375" bestFit="1" customWidth="1"/>
    <col min="20" max="20" width="20.42578125" bestFit="1" customWidth="1"/>
    <col min="21" max="21" width="23.140625" bestFit="1" customWidth="1"/>
  </cols>
  <sheetData>
    <row r="1" spans="1:27" x14ac:dyDescent="0.25">
      <c r="A1" t="s">
        <v>18</v>
      </c>
      <c r="B1" t="s">
        <v>19</v>
      </c>
      <c r="C1" t="s">
        <v>20</v>
      </c>
      <c r="D1" t="s">
        <v>22</v>
      </c>
      <c r="F1" t="s">
        <v>23</v>
      </c>
      <c r="G1" t="s">
        <v>25</v>
      </c>
      <c r="H1" t="s">
        <v>27</v>
      </c>
      <c r="J1" t="s">
        <v>30</v>
      </c>
      <c r="K1" t="s">
        <v>31</v>
      </c>
      <c r="L1" t="s">
        <v>33</v>
      </c>
      <c r="M1" t="s">
        <v>34</v>
      </c>
      <c r="N1" t="s">
        <v>36</v>
      </c>
      <c r="O1" t="s">
        <v>37</v>
      </c>
      <c r="P1" t="s">
        <v>38</v>
      </c>
      <c r="Q1" t="s">
        <v>41</v>
      </c>
      <c r="R1" t="s">
        <v>42</v>
      </c>
    </row>
    <row r="2" spans="1:27" s="11" customFormat="1" x14ac:dyDescent="0.25">
      <c r="A2" s="11">
        <v>17094718</v>
      </c>
      <c r="B2" s="11" t="s">
        <v>177</v>
      </c>
      <c r="C2" s="11" t="s">
        <v>77</v>
      </c>
      <c r="D2" s="11" t="s">
        <v>178</v>
      </c>
      <c r="E2" s="11" t="str">
        <f>CONCATENATE(D2,66)</f>
        <v>022W1451166</v>
      </c>
      <c r="F2" s="11" t="s">
        <v>49</v>
      </c>
      <c r="G2" s="11" t="s">
        <v>179</v>
      </c>
      <c r="H2" s="12">
        <v>45658</v>
      </c>
      <c r="I2" s="12">
        <v>46174</v>
      </c>
      <c r="J2" s="13">
        <v>28.92</v>
      </c>
      <c r="K2" s="11" t="s">
        <v>54</v>
      </c>
      <c r="L2" s="12">
        <v>46174</v>
      </c>
      <c r="M2" s="11">
        <v>1</v>
      </c>
      <c r="N2" s="11">
        <v>0</v>
      </c>
      <c r="O2" s="11">
        <v>0</v>
      </c>
      <c r="Q2" s="11">
        <v>28.92</v>
      </c>
      <c r="S2" s="11">
        <v>28.92</v>
      </c>
      <c r="T2" s="11" t="s">
        <v>277</v>
      </c>
      <c r="U2" s="11" t="s">
        <v>276</v>
      </c>
    </row>
    <row r="3" spans="1:27" s="4" customFormat="1" x14ac:dyDescent="0.25">
      <c r="A3" s="4">
        <v>19491313</v>
      </c>
      <c r="B3" s="4" t="s">
        <v>181</v>
      </c>
      <c r="C3" s="4" t="s">
        <v>182</v>
      </c>
      <c r="D3" s="4" t="s">
        <v>183</v>
      </c>
      <c r="E3" s="4" t="str">
        <f t="shared" ref="E3:E7" si="0">CONCATENATE(D3,66)</f>
        <v>145W2733566</v>
      </c>
      <c r="F3" s="4" t="s">
        <v>49</v>
      </c>
      <c r="G3" s="4" t="s">
        <v>185</v>
      </c>
      <c r="H3" s="5">
        <v>46174</v>
      </c>
      <c r="I3" s="5">
        <v>46387</v>
      </c>
      <c r="J3" s="6">
        <v>28.92</v>
      </c>
      <c r="K3" s="4" t="s">
        <v>54</v>
      </c>
      <c r="L3" s="5">
        <v>46174</v>
      </c>
      <c r="M3" s="4">
        <v>1</v>
      </c>
      <c r="N3" s="4">
        <v>0</v>
      </c>
      <c r="O3" s="4">
        <v>0</v>
      </c>
      <c r="Q3" s="4">
        <v>28.92</v>
      </c>
      <c r="R3" s="4" t="s">
        <v>89</v>
      </c>
      <c r="S3" s="4">
        <v>202.44</v>
      </c>
      <c r="T3" s="4" t="s">
        <v>277</v>
      </c>
      <c r="U3" s="4" t="s">
        <v>275</v>
      </c>
    </row>
    <row r="4" spans="1:27" s="4" customFormat="1" x14ac:dyDescent="0.25">
      <c r="A4" s="4">
        <v>16849453</v>
      </c>
      <c r="B4" s="4" t="s">
        <v>76</v>
      </c>
      <c r="C4" s="4" t="s">
        <v>77</v>
      </c>
      <c r="D4" s="4" t="s">
        <v>85</v>
      </c>
      <c r="E4" s="4" t="str">
        <f t="shared" si="0"/>
        <v>396W2728266</v>
      </c>
      <c r="F4" s="4" t="s">
        <v>49</v>
      </c>
      <c r="G4" s="4" t="s">
        <v>87</v>
      </c>
      <c r="H4" s="5">
        <v>46174</v>
      </c>
      <c r="I4" s="5">
        <v>46387</v>
      </c>
      <c r="J4" s="6">
        <v>28.92</v>
      </c>
      <c r="K4" s="4" t="s">
        <v>54</v>
      </c>
      <c r="L4" s="5">
        <v>46174</v>
      </c>
      <c r="M4" s="4">
        <v>1</v>
      </c>
      <c r="N4" s="4">
        <v>0</v>
      </c>
      <c r="O4" s="4">
        <v>0</v>
      </c>
      <c r="Q4" s="4">
        <v>28.92</v>
      </c>
      <c r="R4" s="4" t="s">
        <v>89</v>
      </c>
      <c r="S4" s="4">
        <v>202.44</v>
      </c>
      <c r="T4" s="4" t="s">
        <v>277</v>
      </c>
      <c r="U4" s="4" t="s">
        <v>275</v>
      </c>
    </row>
    <row r="5" spans="1:27" s="4" customFormat="1" x14ac:dyDescent="0.25">
      <c r="A5">
        <v>19645587</v>
      </c>
      <c r="B5" t="s">
        <v>45</v>
      </c>
      <c r="C5" t="s">
        <v>77</v>
      </c>
      <c r="D5" t="s">
        <v>106</v>
      </c>
      <c r="E5" s="11" t="str">
        <f t="shared" si="0"/>
        <v>407W2239266</v>
      </c>
      <c r="F5" t="s">
        <v>49</v>
      </c>
      <c r="G5" t="s">
        <v>107</v>
      </c>
      <c r="H5" s="1">
        <v>45658</v>
      </c>
      <c r="I5" s="1">
        <v>46174</v>
      </c>
      <c r="J5" s="2">
        <v>28.92</v>
      </c>
      <c r="K5" t="s">
        <v>54</v>
      </c>
      <c r="L5" s="1">
        <v>46174</v>
      </c>
      <c r="M5">
        <v>1</v>
      </c>
      <c r="N5">
        <v>0</v>
      </c>
      <c r="O5">
        <v>0</v>
      </c>
      <c r="P5"/>
      <c r="Q5">
        <v>28.92</v>
      </c>
      <c r="R5"/>
      <c r="S5">
        <v>28.92</v>
      </c>
      <c r="T5" t="s">
        <v>277</v>
      </c>
      <c r="U5" s="11" t="s">
        <v>276</v>
      </c>
      <c r="V5"/>
      <c r="W5"/>
      <c r="X5"/>
      <c r="Y5"/>
      <c r="Z5"/>
      <c r="AA5"/>
    </row>
    <row r="6" spans="1:27" x14ac:dyDescent="0.25">
      <c r="A6">
        <v>19645587</v>
      </c>
      <c r="B6" t="s">
        <v>45</v>
      </c>
      <c r="C6" t="s">
        <v>71</v>
      </c>
      <c r="D6" t="s">
        <v>72</v>
      </c>
      <c r="E6" s="11" t="str">
        <f t="shared" si="0"/>
        <v>488W2419866</v>
      </c>
      <c r="F6" t="s">
        <v>49</v>
      </c>
      <c r="G6" t="s">
        <v>74</v>
      </c>
      <c r="H6" s="1">
        <v>45931</v>
      </c>
      <c r="I6" s="1">
        <v>46174</v>
      </c>
      <c r="J6" s="2">
        <v>28.92</v>
      </c>
      <c r="K6" t="s">
        <v>54</v>
      </c>
      <c r="L6" s="1">
        <v>46174</v>
      </c>
      <c r="M6">
        <v>1</v>
      </c>
      <c r="N6">
        <v>0</v>
      </c>
      <c r="O6">
        <v>0</v>
      </c>
      <c r="Q6">
        <v>28.92</v>
      </c>
      <c r="S6">
        <v>28.92</v>
      </c>
      <c r="T6" t="s">
        <v>277</v>
      </c>
      <c r="U6" s="11" t="s">
        <v>276</v>
      </c>
    </row>
    <row r="7" spans="1:27" s="4" customFormat="1" x14ac:dyDescent="0.25">
      <c r="A7" s="4">
        <v>9079571</v>
      </c>
      <c r="B7" s="4" t="s">
        <v>223</v>
      </c>
      <c r="C7" s="4" t="s">
        <v>224</v>
      </c>
      <c r="D7" s="4" t="s">
        <v>225</v>
      </c>
      <c r="E7" s="4" t="str">
        <f t="shared" si="0"/>
        <v>502W2733566</v>
      </c>
      <c r="F7" s="4" t="s">
        <v>49</v>
      </c>
      <c r="G7" s="4" t="s">
        <v>226</v>
      </c>
      <c r="H7" s="5">
        <v>46174</v>
      </c>
      <c r="I7" s="5">
        <v>46387</v>
      </c>
      <c r="J7" s="6">
        <v>28.92</v>
      </c>
      <c r="K7" s="4" t="s">
        <v>54</v>
      </c>
      <c r="L7" s="5">
        <v>46174</v>
      </c>
      <c r="M7" s="4">
        <v>1</v>
      </c>
      <c r="N7" s="4">
        <v>0</v>
      </c>
      <c r="O7" s="4">
        <v>0</v>
      </c>
      <c r="Q7" s="4">
        <v>28.92</v>
      </c>
      <c r="R7" s="4" t="s">
        <v>89</v>
      </c>
      <c r="S7" s="4">
        <v>202.44</v>
      </c>
      <c r="T7" s="4" t="s">
        <v>277</v>
      </c>
      <c r="U7" s="4" t="s">
        <v>275</v>
      </c>
    </row>
    <row r="8" spans="1:27" s="8" customFormat="1" x14ac:dyDescent="0.25">
      <c r="A8" s="8">
        <v>19645587</v>
      </c>
      <c r="B8" s="8" t="s">
        <v>45</v>
      </c>
      <c r="C8" s="8" t="s">
        <v>229</v>
      </c>
      <c r="D8" s="8" t="s">
        <v>237</v>
      </c>
      <c r="E8" s="8" t="str">
        <f>CONCATENATE(D8,77)</f>
        <v>516W2685777</v>
      </c>
      <c r="F8" s="8" t="s">
        <v>49</v>
      </c>
      <c r="G8" s="8" t="s">
        <v>238</v>
      </c>
      <c r="H8" s="9">
        <v>46174</v>
      </c>
      <c r="I8" s="9">
        <v>46387</v>
      </c>
      <c r="J8" s="10">
        <v>57.84</v>
      </c>
      <c r="K8" s="8" t="s">
        <v>54</v>
      </c>
      <c r="L8" s="9">
        <v>46023</v>
      </c>
      <c r="M8" s="8">
        <v>1</v>
      </c>
      <c r="N8" s="8">
        <v>0</v>
      </c>
      <c r="O8" s="8">
        <v>0</v>
      </c>
      <c r="Q8" s="8">
        <v>57.84</v>
      </c>
      <c r="R8" s="8" t="s">
        <v>218</v>
      </c>
      <c r="S8" s="8">
        <v>694.08</v>
      </c>
      <c r="T8" s="8" t="s">
        <v>278</v>
      </c>
      <c r="U8" s="8" t="s">
        <v>279</v>
      </c>
    </row>
    <row r="9" spans="1:27" x14ac:dyDescent="0.25">
      <c r="A9">
        <v>18581063</v>
      </c>
      <c r="B9" t="s">
        <v>243</v>
      </c>
      <c r="C9" t="s">
        <v>229</v>
      </c>
      <c r="D9" t="s">
        <v>272</v>
      </c>
      <c r="E9" s="11" t="str">
        <f t="shared" ref="E9:E11" si="1">CONCATENATE(D9,66)</f>
        <v>526W1763266</v>
      </c>
      <c r="F9" t="s">
        <v>49</v>
      </c>
      <c r="G9" t="s">
        <v>273</v>
      </c>
      <c r="H9" s="1">
        <v>46023</v>
      </c>
      <c r="I9" s="1">
        <v>46174</v>
      </c>
      <c r="J9" s="2">
        <v>28.92</v>
      </c>
      <c r="K9" t="s">
        <v>54</v>
      </c>
      <c r="L9" s="1">
        <v>46174</v>
      </c>
      <c r="M9">
        <v>1</v>
      </c>
      <c r="N9">
        <v>0</v>
      </c>
      <c r="O9">
        <v>0</v>
      </c>
      <c r="Q9">
        <v>28.92</v>
      </c>
      <c r="S9">
        <v>28.92</v>
      </c>
      <c r="T9" s="11" t="s">
        <v>277</v>
      </c>
      <c r="U9" s="11" t="s">
        <v>276</v>
      </c>
    </row>
    <row r="10" spans="1:27" x14ac:dyDescent="0.25">
      <c r="A10">
        <v>18581063</v>
      </c>
      <c r="B10" t="s">
        <v>243</v>
      </c>
      <c r="C10" t="s">
        <v>229</v>
      </c>
      <c r="D10" t="s">
        <v>265</v>
      </c>
      <c r="E10" s="11" t="str">
        <f t="shared" si="1"/>
        <v>752M0011666</v>
      </c>
      <c r="F10" t="s">
        <v>49</v>
      </c>
      <c r="G10" t="s">
        <v>266</v>
      </c>
      <c r="H10" s="1">
        <v>46023</v>
      </c>
      <c r="I10" s="1">
        <v>46174</v>
      </c>
      <c r="J10" s="2">
        <v>28.92</v>
      </c>
      <c r="K10" t="s">
        <v>54</v>
      </c>
      <c r="L10" s="1">
        <v>46174</v>
      </c>
      <c r="M10">
        <v>1</v>
      </c>
      <c r="N10">
        <v>0</v>
      </c>
      <c r="O10">
        <v>0</v>
      </c>
      <c r="Q10">
        <v>28.92</v>
      </c>
      <c r="S10">
        <v>28.92</v>
      </c>
      <c r="T10" s="11" t="s">
        <v>277</v>
      </c>
      <c r="U10" s="11" t="s">
        <v>276</v>
      </c>
    </row>
    <row r="11" spans="1:27" x14ac:dyDescent="0.25">
      <c r="A11">
        <v>18581063</v>
      </c>
      <c r="B11" t="s">
        <v>243</v>
      </c>
      <c r="C11" t="s">
        <v>229</v>
      </c>
      <c r="D11" t="s">
        <v>269</v>
      </c>
      <c r="E11" s="11" t="str">
        <f t="shared" si="1"/>
        <v>761W1774066</v>
      </c>
      <c r="F11" t="s">
        <v>49</v>
      </c>
      <c r="G11" t="s">
        <v>270</v>
      </c>
      <c r="H11" s="1">
        <v>46023</v>
      </c>
      <c r="I11" s="1">
        <v>46174</v>
      </c>
      <c r="J11" s="2">
        <v>28.92</v>
      </c>
      <c r="K11" t="s">
        <v>54</v>
      </c>
      <c r="L11" s="1">
        <v>46174</v>
      </c>
      <c r="M11">
        <v>1</v>
      </c>
      <c r="N11">
        <v>0</v>
      </c>
      <c r="O11">
        <v>0</v>
      </c>
      <c r="Q11">
        <v>28.92</v>
      </c>
      <c r="S11">
        <v>28.92</v>
      </c>
      <c r="T11" s="11" t="s">
        <v>277</v>
      </c>
      <c r="U11" s="11" t="s">
        <v>276</v>
      </c>
    </row>
    <row r="12" spans="1:27" s="8" customFormat="1" x14ac:dyDescent="0.25">
      <c r="A12" s="8">
        <v>19645587</v>
      </c>
      <c r="B12" s="8" t="s">
        <v>45</v>
      </c>
      <c r="C12" s="8" t="s">
        <v>212</v>
      </c>
      <c r="D12" s="8" t="s">
        <v>213</v>
      </c>
      <c r="E12" s="8" t="str">
        <f>CONCATENATE(D12,77)</f>
        <v>907W2689377</v>
      </c>
      <c r="F12" s="8" t="s">
        <v>49</v>
      </c>
      <c r="G12" s="8" t="s">
        <v>215</v>
      </c>
      <c r="H12" s="9">
        <v>46174</v>
      </c>
      <c r="I12" s="9">
        <v>46387</v>
      </c>
      <c r="J12" s="10">
        <v>57.84</v>
      </c>
      <c r="K12" s="8" t="s">
        <v>54</v>
      </c>
      <c r="L12" s="9">
        <v>46023</v>
      </c>
      <c r="M12" s="8">
        <v>1</v>
      </c>
      <c r="N12" s="8">
        <v>0</v>
      </c>
      <c r="O12" s="8">
        <v>0</v>
      </c>
      <c r="Q12" s="8">
        <v>57.84</v>
      </c>
      <c r="R12" s="8" t="s">
        <v>218</v>
      </c>
      <c r="S12" s="8">
        <v>694.08</v>
      </c>
      <c r="T12" s="8" t="s">
        <v>278</v>
      </c>
      <c r="U12" s="8" t="s">
        <v>279</v>
      </c>
    </row>
    <row r="13" spans="1:27" s="4" customFormat="1" x14ac:dyDescent="0.25">
      <c r="A13">
        <v>17094718</v>
      </c>
      <c r="B13" t="s">
        <v>177</v>
      </c>
      <c r="C13" t="s">
        <v>212</v>
      </c>
      <c r="D13" t="s">
        <v>219</v>
      </c>
      <c r="E13" s="11" t="str">
        <f>CONCATENATE(D13,66)</f>
        <v>972W2287566</v>
      </c>
      <c r="F13" t="s">
        <v>49</v>
      </c>
      <c r="G13" t="s">
        <v>221</v>
      </c>
      <c r="H13" s="1">
        <v>45689</v>
      </c>
      <c r="I13" s="1">
        <v>46174</v>
      </c>
      <c r="J13" s="2">
        <v>28.92</v>
      </c>
      <c r="K13" t="s">
        <v>54</v>
      </c>
      <c r="L13" s="1">
        <v>46174</v>
      </c>
      <c r="M13">
        <v>1</v>
      </c>
      <c r="N13">
        <v>0</v>
      </c>
      <c r="O13">
        <v>0</v>
      </c>
      <c r="P13"/>
      <c r="Q13">
        <v>28.92</v>
      </c>
      <c r="R13"/>
      <c r="S13">
        <v>28.92</v>
      </c>
      <c r="T13" s="11" t="s">
        <v>277</v>
      </c>
      <c r="U13" s="11" t="s">
        <v>276</v>
      </c>
      <c r="V13"/>
      <c r="W13"/>
      <c r="X13"/>
      <c r="Y13"/>
      <c r="Z13"/>
      <c r="AA13"/>
    </row>
    <row r="14" spans="1:27" s="4" customFormat="1" x14ac:dyDescent="0.25">
      <c r="A14"/>
      <c r="B14"/>
      <c r="C14"/>
      <c r="D14"/>
      <c r="E14"/>
      <c r="F14"/>
      <c r="G14"/>
      <c r="H14" s="1"/>
      <c r="I14" s="1"/>
      <c r="J14" s="2"/>
      <c r="K14"/>
      <c r="L14" s="1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4" customFormat="1" x14ac:dyDescent="0.25">
      <c r="A15"/>
      <c r="B15"/>
      <c r="C15"/>
      <c r="D15"/>
      <c r="E15"/>
      <c r="F15"/>
      <c r="G15"/>
      <c r="H15" s="1"/>
      <c r="I15" s="1"/>
      <c r="J15" s="2"/>
      <c r="K15"/>
      <c r="L15" s="1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4" customFormat="1" x14ac:dyDescent="0.25">
      <c r="A16" s="4">
        <v>19491313</v>
      </c>
      <c r="B16" s="4" t="s">
        <v>181</v>
      </c>
      <c r="C16" s="4" t="s">
        <v>182</v>
      </c>
      <c r="D16" s="4" t="s">
        <v>183</v>
      </c>
      <c r="F16" s="4" t="s">
        <v>49</v>
      </c>
      <c r="G16" s="4" t="s">
        <v>185</v>
      </c>
      <c r="H16" s="5">
        <v>46174</v>
      </c>
      <c r="I16" s="5"/>
      <c r="J16" s="6">
        <v>28.92</v>
      </c>
      <c r="K16" s="4" t="s">
        <v>54</v>
      </c>
      <c r="L16" s="5">
        <v>46204</v>
      </c>
      <c r="M16" s="4">
        <v>1</v>
      </c>
      <c r="N16" s="4">
        <v>0</v>
      </c>
      <c r="O16" s="4">
        <v>0</v>
      </c>
      <c r="Q16" s="4">
        <v>28.92</v>
      </c>
      <c r="R16" s="4" t="s">
        <v>90</v>
      </c>
    </row>
    <row r="17" spans="1:18" s="4" customFormat="1" x14ac:dyDescent="0.25">
      <c r="A17" s="4">
        <v>19491313</v>
      </c>
      <c r="B17" s="4" t="s">
        <v>181</v>
      </c>
      <c r="C17" s="4" t="s">
        <v>182</v>
      </c>
      <c r="D17" s="4" t="s">
        <v>183</v>
      </c>
      <c r="F17" s="4" t="s">
        <v>49</v>
      </c>
      <c r="G17" s="4" t="s">
        <v>185</v>
      </c>
      <c r="H17" s="5">
        <v>46174</v>
      </c>
      <c r="I17" s="5"/>
      <c r="J17" s="6">
        <v>28.92</v>
      </c>
      <c r="K17" s="4" t="s">
        <v>54</v>
      </c>
      <c r="L17" s="5">
        <v>46235</v>
      </c>
      <c r="M17" s="4">
        <v>1</v>
      </c>
      <c r="N17" s="4">
        <v>0</v>
      </c>
      <c r="O17" s="4">
        <v>0</v>
      </c>
      <c r="Q17" s="4">
        <v>28.92</v>
      </c>
      <c r="R17" s="4" t="s">
        <v>90</v>
      </c>
    </row>
    <row r="18" spans="1:18" s="4" customFormat="1" x14ac:dyDescent="0.25">
      <c r="A18" s="4">
        <v>19491313</v>
      </c>
      <c r="B18" s="4" t="s">
        <v>181</v>
      </c>
      <c r="C18" s="4" t="s">
        <v>182</v>
      </c>
      <c r="D18" s="4" t="s">
        <v>183</v>
      </c>
      <c r="F18" s="4" t="s">
        <v>49</v>
      </c>
      <c r="G18" s="4" t="s">
        <v>185</v>
      </c>
      <c r="H18" s="5">
        <v>46174</v>
      </c>
      <c r="I18" s="5"/>
      <c r="J18" s="6">
        <v>28.92</v>
      </c>
      <c r="K18" s="4" t="s">
        <v>54</v>
      </c>
      <c r="L18" s="5">
        <v>46266</v>
      </c>
      <c r="M18" s="4">
        <v>1</v>
      </c>
      <c r="N18" s="4">
        <v>0</v>
      </c>
      <c r="O18" s="4">
        <v>0</v>
      </c>
      <c r="Q18" s="4">
        <v>28.92</v>
      </c>
      <c r="R18" s="4" t="s">
        <v>90</v>
      </c>
    </row>
    <row r="19" spans="1:18" s="4" customFormat="1" x14ac:dyDescent="0.25">
      <c r="A19" s="4">
        <v>19491313</v>
      </c>
      <c r="B19" s="4" t="s">
        <v>181</v>
      </c>
      <c r="C19" s="4" t="s">
        <v>182</v>
      </c>
      <c r="D19" s="4" t="s">
        <v>183</v>
      </c>
      <c r="F19" s="4" t="s">
        <v>49</v>
      </c>
      <c r="G19" s="4" t="s">
        <v>185</v>
      </c>
      <c r="H19" s="5">
        <v>46174</v>
      </c>
      <c r="I19" s="5"/>
      <c r="J19" s="6">
        <v>28.92</v>
      </c>
      <c r="K19" s="4" t="s">
        <v>54</v>
      </c>
      <c r="L19" s="5">
        <v>46296</v>
      </c>
      <c r="M19" s="4">
        <v>1</v>
      </c>
      <c r="N19" s="4">
        <v>0</v>
      </c>
      <c r="O19" s="4">
        <v>0</v>
      </c>
      <c r="Q19" s="4">
        <v>28.92</v>
      </c>
      <c r="R19" s="4" t="s">
        <v>90</v>
      </c>
    </row>
    <row r="20" spans="1:18" s="4" customFormat="1" x14ac:dyDescent="0.25">
      <c r="A20" s="4">
        <v>19491313</v>
      </c>
      <c r="B20" s="4" t="s">
        <v>181</v>
      </c>
      <c r="C20" s="4" t="s">
        <v>182</v>
      </c>
      <c r="D20" s="4" t="s">
        <v>183</v>
      </c>
      <c r="F20" s="4" t="s">
        <v>49</v>
      </c>
      <c r="G20" s="4" t="s">
        <v>185</v>
      </c>
      <c r="H20" s="5">
        <v>46174</v>
      </c>
      <c r="I20" s="5"/>
      <c r="J20" s="6">
        <v>28.92</v>
      </c>
      <c r="K20" s="4" t="s">
        <v>54</v>
      </c>
      <c r="L20" s="5">
        <v>46327</v>
      </c>
      <c r="M20" s="4">
        <v>1</v>
      </c>
      <c r="N20" s="4">
        <v>0</v>
      </c>
      <c r="O20" s="4">
        <v>0</v>
      </c>
      <c r="Q20" s="4">
        <v>28.92</v>
      </c>
      <c r="R20" s="4" t="s">
        <v>90</v>
      </c>
    </row>
    <row r="21" spans="1:18" s="4" customFormat="1" x14ac:dyDescent="0.25">
      <c r="A21" s="4">
        <v>19491313</v>
      </c>
      <c r="B21" s="4" t="s">
        <v>181</v>
      </c>
      <c r="C21" s="4" t="s">
        <v>182</v>
      </c>
      <c r="D21" s="4" t="s">
        <v>183</v>
      </c>
      <c r="F21" s="4" t="s">
        <v>49</v>
      </c>
      <c r="G21" s="4" t="s">
        <v>185</v>
      </c>
      <c r="H21" s="5">
        <v>46174</v>
      </c>
      <c r="I21" s="5"/>
      <c r="J21" s="6">
        <v>28.92</v>
      </c>
      <c r="K21" s="4" t="s">
        <v>54</v>
      </c>
      <c r="L21" s="5">
        <v>46357</v>
      </c>
      <c r="M21" s="4">
        <v>1</v>
      </c>
      <c r="N21" s="4">
        <v>0</v>
      </c>
      <c r="O21" s="4">
        <v>0</v>
      </c>
      <c r="Q21" s="4">
        <v>28.92</v>
      </c>
      <c r="R21" s="4" t="s">
        <v>90</v>
      </c>
    </row>
    <row r="22" spans="1:18" s="4" customFormat="1" x14ac:dyDescent="0.25">
      <c r="A22" s="4">
        <v>16849453</v>
      </c>
      <c r="B22" s="4" t="s">
        <v>76</v>
      </c>
      <c r="C22" s="4" t="s">
        <v>77</v>
      </c>
      <c r="D22" s="4" t="s">
        <v>85</v>
      </c>
      <c r="F22" s="4" t="s">
        <v>49</v>
      </c>
      <c r="G22" s="4" t="s">
        <v>87</v>
      </c>
      <c r="H22" s="5">
        <v>46174</v>
      </c>
      <c r="I22" s="5"/>
      <c r="J22" s="6">
        <v>28.92</v>
      </c>
      <c r="K22" s="4" t="s">
        <v>54</v>
      </c>
      <c r="L22" s="5">
        <v>46204</v>
      </c>
      <c r="M22" s="4">
        <v>1</v>
      </c>
      <c r="N22" s="4">
        <v>0</v>
      </c>
      <c r="O22" s="4">
        <v>0</v>
      </c>
      <c r="Q22" s="4">
        <v>28.92</v>
      </c>
      <c r="R22" s="4" t="s">
        <v>90</v>
      </c>
    </row>
    <row r="23" spans="1:18" s="4" customFormat="1" x14ac:dyDescent="0.25">
      <c r="A23" s="4">
        <v>16849453</v>
      </c>
      <c r="B23" s="4" t="s">
        <v>76</v>
      </c>
      <c r="C23" s="4" t="s">
        <v>77</v>
      </c>
      <c r="D23" s="4" t="s">
        <v>85</v>
      </c>
      <c r="F23" s="4" t="s">
        <v>49</v>
      </c>
      <c r="G23" s="4" t="s">
        <v>87</v>
      </c>
      <c r="H23" s="5">
        <v>46174</v>
      </c>
      <c r="I23" s="5"/>
      <c r="J23" s="6">
        <v>28.92</v>
      </c>
      <c r="K23" s="4" t="s">
        <v>54</v>
      </c>
      <c r="L23" s="5">
        <v>46235</v>
      </c>
      <c r="M23" s="4">
        <v>1</v>
      </c>
      <c r="N23" s="4">
        <v>0</v>
      </c>
      <c r="O23" s="4">
        <v>0</v>
      </c>
      <c r="Q23" s="4">
        <v>28.92</v>
      </c>
      <c r="R23" s="4" t="s">
        <v>90</v>
      </c>
    </row>
    <row r="24" spans="1:18" s="4" customFormat="1" x14ac:dyDescent="0.25">
      <c r="A24" s="4">
        <v>16849453</v>
      </c>
      <c r="B24" s="4" t="s">
        <v>76</v>
      </c>
      <c r="C24" s="4" t="s">
        <v>77</v>
      </c>
      <c r="D24" s="4" t="s">
        <v>85</v>
      </c>
      <c r="F24" s="4" t="s">
        <v>49</v>
      </c>
      <c r="G24" s="4" t="s">
        <v>87</v>
      </c>
      <c r="H24" s="5">
        <v>46174</v>
      </c>
      <c r="I24" s="5"/>
      <c r="J24" s="6">
        <v>28.92</v>
      </c>
      <c r="K24" s="4" t="s">
        <v>54</v>
      </c>
      <c r="L24" s="5">
        <v>46266</v>
      </c>
      <c r="M24" s="4">
        <v>1</v>
      </c>
      <c r="N24" s="4">
        <v>0</v>
      </c>
      <c r="O24" s="4">
        <v>0</v>
      </c>
      <c r="Q24" s="4">
        <v>28.92</v>
      </c>
      <c r="R24" s="4" t="s">
        <v>90</v>
      </c>
    </row>
    <row r="25" spans="1:18" s="4" customFormat="1" x14ac:dyDescent="0.25">
      <c r="A25" s="4">
        <v>16849453</v>
      </c>
      <c r="B25" s="4" t="s">
        <v>76</v>
      </c>
      <c r="C25" s="4" t="s">
        <v>77</v>
      </c>
      <c r="D25" s="4" t="s">
        <v>85</v>
      </c>
      <c r="F25" s="4" t="s">
        <v>49</v>
      </c>
      <c r="G25" s="4" t="s">
        <v>87</v>
      </c>
      <c r="H25" s="5">
        <v>46174</v>
      </c>
      <c r="I25" s="5"/>
      <c r="J25" s="6">
        <v>28.92</v>
      </c>
      <c r="K25" s="4" t="s">
        <v>54</v>
      </c>
      <c r="L25" s="5">
        <v>46296</v>
      </c>
      <c r="M25" s="4">
        <v>1</v>
      </c>
      <c r="N25" s="4">
        <v>0</v>
      </c>
      <c r="O25" s="4">
        <v>0</v>
      </c>
      <c r="Q25" s="4">
        <v>28.92</v>
      </c>
      <c r="R25" s="4" t="s">
        <v>90</v>
      </c>
    </row>
    <row r="26" spans="1:18" s="4" customFormat="1" x14ac:dyDescent="0.25">
      <c r="A26" s="4">
        <v>16849453</v>
      </c>
      <c r="B26" s="4" t="s">
        <v>76</v>
      </c>
      <c r="C26" s="4" t="s">
        <v>77</v>
      </c>
      <c r="D26" s="4" t="s">
        <v>85</v>
      </c>
      <c r="F26" s="4" t="s">
        <v>49</v>
      </c>
      <c r="G26" s="4" t="s">
        <v>87</v>
      </c>
      <c r="H26" s="5">
        <v>46174</v>
      </c>
      <c r="I26" s="5"/>
      <c r="J26" s="6">
        <v>28.92</v>
      </c>
      <c r="K26" s="4" t="s">
        <v>54</v>
      </c>
      <c r="L26" s="5">
        <v>46327</v>
      </c>
      <c r="M26" s="4">
        <v>1</v>
      </c>
      <c r="N26" s="4">
        <v>0</v>
      </c>
      <c r="O26" s="4">
        <v>0</v>
      </c>
      <c r="Q26" s="4">
        <v>28.92</v>
      </c>
      <c r="R26" s="4" t="s">
        <v>90</v>
      </c>
    </row>
    <row r="27" spans="1:18" s="4" customFormat="1" x14ac:dyDescent="0.25">
      <c r="A27" s="4">
        <v>16849453</v>
      </c>
      <c r="B27" s="4" t="s">
        <v>76</v>
      </c>
      <c r="C27" s="4" t="s">
        <v>77</v>
      </c>
      <c r="D27" s="4" t="s">
        <v>85</v>
      </c>
      <c r="F27" s="4" t="s">
        <v>49</v>
      </c>
      <c r="G27" s="4" t="s">
        <v>87</v>
      </c>
      <c r="H27" s="5">
        <v>46174</v>
      </c>
      <c r="I27" s="5"/>
      <c r="J27" s="6">
        <v>28.92</v>
      </c>
      <c r="K27" s="4" t="s">
        <v>54</v>
      </c>
      <c r="L27" s="5">
        <v>46357</v>
      </c>
      <c r="M27" s="4">
        <v>1</v>
      </c>
      <c r="N27" s="4">
        <v>0</v>
      </c>
      <c r="O27" s="4">
        <v>0</v>
      </c>
      <c r="Q27" s="4">
        <v>28.92</v>
      </c>
      <c r="R27" s="4" t="s">
        <v>90</v>
      </c>
    </row>
    <row r="28" spans="1:18" s="4" customFormat="1" x14ac:dyDescent="0.25">
      <c r="A28" s="4">
        <v>9079571</v>
      </c>
      <c r="B28" s="4" t="s">
        <v>223</v>
      </c>
      <c r="C28" s="4" t="s">
        <v>224</v>
      </c>
      <c r="D28" s="4" t="s">
        <v>225</v>
      </c>
      <c r="F28" s="4" t="s">
        <v>49</v>
      </c>
      <c r="G28" s="4" t="s">
        <v>226</v>
      </c>
      <c r="H28" s="5">
        <v>46174</v>
      </c>
      <c r="I28" s="5"/>
      <c r="J28" s="6">
        <v>28.92</v>
      </c>
      <c r="K28" s="4" t="s">
        <v>54</v>
      </c>
      <c r="L28" s="5">
        <v>46204</v>
      </c>
      <c r="M28" s="4">
        <v>1</v>
      </c>
      <c r="N28" s="4">
        <v>0</v>
      </c>
      <c r="O28" s="4">
        <v>0</v>
      </c>
      <c r="Q28" s="4">
        <v>28.92</v>
      </c>
      <c r="R28" s="4" t="s">
        <v>90</v>
      </c>
    </row>
    <row r="29" spans="1:18" s="4" customFormat="1" x14ac:dyDescent="0.25">
      <c r="A29" s="4">
        <v>9079571</v>
      </c>
      <c r="B29" s="4" t="s">
        <v>223</v>
      </c>
      <c r="C29" s="4" t="s">
        <v>224</v>
      </c>
      <c r="D29" s="4" t="s">
        <v>225</v>
      </c>
      <c r="F29" s="4" t="s">
        <v>49</v>
      </c>
      <c r="G29" s="4" t="s">
        <v>226</v>
      </c>
      <c r="H29" s="5">
        <v>46174</v>
      </c>
      <c r="I29" s="5"/>
      <c r="J29" s="6">
        <v>28.92</v>
      </c>
      <c r="K29" s="4" t="s">
        <v>54</v>
      </c>
      <c r="L29" s="5">
        <v>46235</v>
      </c>
      <c r="M29" s="4">
        <v>1</v>
      </c>
      <c r="N29" s="4">
        <v>0</v>
      </c>
      <c r="O29" s="4">
        <v>0</v>
      </c>
      <c r="Q29" s="4">
        <v>28.92</v>
      </c>
      <c r="R29" s="4" t="s">
        <v>90</v>
      </c>
    </row>
    <row r="30" spans="1:18" s="4" customFormat="1" x14ac:dyDescent="0.25">
      <c r="A30" s="4">
        <v>9079571</v>
      </c>
      <c r="B30" s="4" t="s">
        <v>223</v>
      </c>
      <c r="C30" s="4" t="s">
        <v>224</v>
      </c>
      <c r="D30" s="4" t="s">
        <v>225</v>
      </c>
      <c r="F30" s="4" t="s">
        <v>49</v>
      </c>
      <c r="G30" s="4" t="s">
        <v>226</v>
      </c>
      <c r="H30" s="5">
        <v>46174</v>
      </c>
      <c r="I30" s="5"/>
      <c r="J30" s="6">
        <v>28.92</v>
      </c>
      <c r="K30" s="4" t="s">
        <v>54</v>
      </c>
      <c r="L30" s="5">
        <v>46266</v>
      </c>
      <c r="M30" s="4">
        <v>1</v>
      </c>
      <c r="N30" s="4">
        <v>0</v>
      </c>
      <c r="O30" s="4">
        <v>0</v>
      </c>
      <c r="Q30" s="4">
        <v>28.92</v>
      </c>
      <c r="R30" s="4" t="s">
        <v>90</v>
      </c>
    </row>
    <row r="31" spans="1:18" s="4" customFormat="1" x14ac:dyDescent="0.25">
      <c r="A31" s="4">
        <v>9079571</v>
      </c>
      <c r="B31" s="4" t="s">
        <v>223</v>
      </c>
      <c r="C31" s="4" t="s">
        <v>224</v>
      </c>
      <c r="D31" s="4" t="s">
        <v>225</v>
      </c>
      <c r="F31" s="4" t="s">
        <v>49</v>
      </c>
      <c r="G31" s="4" t="s">
        <v>226</v>
      </c>
      <c r="H31" s="5">
        <v>46174</v>
      </c>
      <c r="I31" s="5"/>
      <c r="J31" s="6">
        <v>28.92</v>
      </c>
      <c r="K31" s="4" t="s">
        <v>54</v>
      </c>
      <c r="L31" s="5">
        <v>46296</v>
      </c>
      <c r="M31" s="4">
        <v>1</v>
      </c>
      <c r="N31" s="4">
        <v>0</v>
      </c>
      <c r="O31" s="4">
        <v>0</v>
      </c>
      <c r="Q31" s="4">
        <v>28.92</v>
      </c>
      <c r="R31" s="4" t="s">
        <v>90</v>
      </c>
    </row>
    <row r="32" spans="1:18" s="4" customFormat="1" x14ac:dyDescent="0.25">
      <c r="A32" s="4">
        <v>9079571</v>
      </c>
      <c r="B32" s="4" t="s">
        <v>223</v>
      </c>
      <c r="C32" s="4" t="s">
        <v>224</v>
      </c>
      <c r="D32" s="4" t="s">
        <v>225</v>
      </c>
      <c r="F32" s="4" t="s">
        <v>49</v>
      </c>
      <c r="G32" s="4" t="s">
        <v>226</v>
      </c>
      <c r="H32" s="5">
        <v>46174</v>
      </c>
      <c r="I32" s="5"/>
      <c r="J32" s="6">
        <v>28.92</v>
      </c>
      <c r="K32" s="4" t="s">
        <v>54</v>
      </c>
      <c r="L32" s="5">
        <v>46327</v>
      </c>
      <c r="M32" s="4">
        <v>1</v>
      </c>
      <c r="N32" s="4">
        <v>0</v>
      </c>
      <c r="O32" s="4">
        <v>0</v>
      </c>
      <c r="Q32" s="4">
        <v>28.92</v>
      </c>
      <c r="R32" s="4" t="s">
        <v>90</v>
      </c>
    </row>
    <row r="33" spans="1:18" s="4" customFormat="1" x14ac:dyDescent="0.25">
      <c r="A33" s="4">
        <v>9079571</v>
      </c>
      <c r="B33" s="4" t="s">
        <v>223</v>
      </c>
      <c r="C33" s="4" t="s">
        <v>224</v>
      </c>
      <c r="D33" s="4" t="s">
        <v>225</v>
      </c>
      <c r="F33" s="4" t="s">
        <v>49</v>
      </c>
      <c r="G33" s="4" t="s">
        <v>226</v>
      </c>
      <c r="H33" s="5">
        <v>46174</v>
      </c>
      <c r="I33" s="5"/>
      <c r="J33" s="6">
        <v>28.92</v>
      </c>
      <c r="K33" s="4" t="s">
        <v>54</v>
      </c>
      <c r="L33" s="5">
        <v>46357</v>
      </c>
      <c r="M33" s="4">
        <v>1</v>
      </c>
      <c r="N33" s="4">
        <v>0</v>
      </c>
      <c r="O33" s="4">
        <v>0</v>
      </c>
      <c r="Q33" s="4">
        <v>28.92</v>
      </c>
      <c r="R33" s="4" t="s">
        <v>90</v>
      </c>
    </row>
    <row r="34" spans="1:18" s="8" customFormat="1" x14ac:dyDescent="0.25">
      <c r="A34" s="8">
        <v>19645587</v>
      </c>
      <c r="B34" s="8" t="s">
        <v>45</v>
      </c>
      <c r="C34" s="8" t="s">
        <v>229</v>
      </c>
      <c r="D34" s="8" t="s">
        <v>237</v>
      </c>
      <c r="F34" s="8" t="s">
        <v>49</v>
      </c>
      <c r="G34" s="8" t="s">
        <v>238</v>
      </c>
      <c r="H34" s="9">
        <v>46174</v>
      </c>
      <c r="I34" s="9"/>
      <c r="J34" s="10">
        <v>57.84</v>
      </c>
      <c r="K34" s="8" t="s">
        <v>54</v>
      </c>
      <c r="L34" s="9">
        <v>46054</v>
      </c>
      <c r="M34" s="8">
        <v>1</v>
      </c>
      <c r="N34" s="8">
        <v>0</v>
      </c>
      <c r="O34" s="8">
        <v>0</v>
      </c>
      <c r="Q34" s="8">
        <v>57.84</v>
      </c>
      <c r="R34" s="8" t="s">
        <v>217</v>
      </c>
    </row>
    <row r="35" spans="1:18" s="8" customFormat="1" x14ac:dyDescent="0.25">
      <c r="A35" s="8">
        <v>19645587</v>
      </c>
      <c r="B35" s="8" t="s">
        <v>45</v>
      </c>
      <c r="C35" s="8" t="s">
        <v>229</v>
      </c>
      <c r="D35" s="8" t="s">
        <v>237</v>
      </c>
      <c r="F35" s="8" t="s">
        <v>49</v>
      </c>
      <c r="G35" s="8" t="s">
        <v>238</v>
      </c>
      <c r="H35" s="9">
        <v>46174</v>
      </c>
      <c r="I35" s="9"/>
      <c r="J35" s="10">
        <v>57.84</v>
      </c>
      <c r="K35" s="8" t="s">
        <v>54</v>
      </c>
      <c r="L35" s="9">
        <v>46082</v>
      </c>
      <c r="M35" s="8">
        <v>1</v>
      </c>
      <c r="N35" s="8">
        <v>0</v>
      </c>
      <c r="O35" s="8">
        <v>0</v>
      </c>
      <c r="Q35" s="8">
        <v>57.84</v>
      </c>
      <c r="R35" s="8" t="s">
        <v>217</v>
      </c>
    </row>
    <row r="36" spans="1:18" s="8" customFormat="1" x14ac:dyDescent="0.25">
      <c r="A36" s="8">
        <v>19645587</v>
      </c>
      <c r="B36" s="8" t="s">
        <v>45</v>
      </c>
      <c r="C36" s="8" t="s">
        <v>229</v>
      </c>
      <c r="D36" s="8" t="s">
        <v>237</v>
      </c>
      <c r="F36" s="8" t="s">
        <v>49</v>
      </c>
      <c r="G36" s="8" t="s">
        <v>238</v>
      </c>
      <c r="H36" s="9">
        <v>46174</v>
      </c>
      <c r="I36" s="9"/>
      <c r="J36" s="10">
        <v>57.84</v>
      </c>
      <c r="K36" s="8" t="s">
        <v>54</v>
      </c>
      <c r="L36" s="9">
        <v>46113</v>
      </c>
      <c r="M36" s="8">
        <v>1</v>
      </c>
      <c r="N36" s="8">
        <v>0</v>
      </c>
      <c r="O36" s="8">
        <v>0</v>
      </c>
      <c r="Q36" s="8">
        <v>57.84</v>
      </c>
      <c r="R36" s="8" t="s">
        <v>217</v>
      </c>
    </row>
    <row r="37" spans="1:18" s="8" customFormat="1" x14ac:dyDescent="0.25">
      <c r="A37" s="8">
        <v>19645587</v>
      </c>
      <c r="B37" s="8" t="s">
        <v>45</v>
      </c>
      <c r="C37" s="8" t="s">
        <v>229</v>
      </c>
      <c r="D37" s="8" t="s">
        <v>237</v>
      </c>
      <c r="F37" s="8" t="s">
        <v>49</v>
      </c>
      <c r="G37" s="8" t="s">
        <v>238</v>
      </c>
      <c r="H37" s="9">
        <v>46174</v>
      </c>
      <c r="I37" s="9"/>
      <c r="J37" s="10">
        <v>57.84</v>
      </c>
      <c r="K37" s="8" t="s">
        <v>54</v>
      </c>
      <c r="L37" s="9">
        <v>46143</v>
      </c>
      <c r="M37" s="8">
        <v>1</v>
      </c>
      <c r="N37" s="8">
        <v>0</v>
      </c>
      <c r="O37" s="8">
        <v>0</v>
      </c>
      <c r="Q37" s="8">
        <v>57.84</v>
      </c>
      <c r="R37" s="8" t="s">
        <v>217</v>
      </c>
    </row>
    <row r="38" spans="1:18" s="8" customFormat="1" x14ac:dyDescent="0.25">
      <c r="A38" s="8">
        <v>19645587</v>
      </c>
      <c r="B38" s="8" t="s">
        <v>45</v>
      </c>
      <c r="C38" s="8" t="s">
        <v>229</v>
      </c>
      <c r="D38" s="8" t="s">
        <v>237</v>
      </c>
      <c r="F38" s="8" t="s">
        <v>49</v>
      </c>
      <c r="G38" s="8" t="s">
        <v>238</v>
      </c>
      <c r="H38" s="9">
        <v>46174</v>
      </c>
      <c r="I38" s="9"/>
      <c r="J38" s="10">
        <v>57.84</v>
      </c>
      <c r="K38" s="8" t="s">
        <v>54</v>
      </c>
      <c r="L38" s="9">
        <v>46174</v>
      </c>
      <c r="M38" s="8">
        <v>1</v>
      </c>
      <c r="N38" s="8">
        <v>0</v>
      </c>
      <c r="O38" s="8">
        <v>0</v>
      </c>
      <c r="Q38" s="8">
        <v>57.84</v>
      </c>
      <c r="R38" s="8" t="s">
        <v>217</v>
      </c>
    </row>
    <row r="39" spans="1:18" s="8" customFormat="1" x14ac:dyDescent="0.25">
      <c r="A39" s="8">
        <v>19645587</v>
      </c>
      <c r="B39" s="8" t="s">
        <v>45</v>
      </c>
      <c r="C39" s="8" t="s">
        <v>229</v>
      </c>
      <c r="D39" s="8" t="s">
        <v>237</v>
      </c>
      <c r="F39" s="8" t="s">
        <v>49</v>
      </c>
      <c r="G39" s="8" t="s">
        <v>238</v>
      </c>
      <c r="H39" s="9">
        <v>46174</v>
      </c>
      <c r="I39" s="9"/>
      <c r="J39" s="10">
        <v>57.84</v>
      </c>
      <c r="K39" s="8" t="s">
        <v>54</v>
      </c>
      <c r="L39" s="9">
        <v>46204</v>
      </c>
      <c r="M39" s="8">
        <v>1</v>
      </c>
      <c r="N39" s="8">
        <v>0</v>
      </c>
      <c r="O39" s="8">
        <v>0</v>
      </c>
      <c r="Q39" s="8">
        <v>57.84</v>
      </c>
      <c r="R39" s="8" t="s">
        <v>217</v>
      </c>
    </row>
    <row r="40" spans="1:18" s="8" customFormat="1" x14ac:dyDescent="0.25">
      <c r="A40" s="8">
        <v>19645587</v>
      </c>
      <c r="B40" s="8" t="s">
        <v>45</v>
      </c>
      <c r="C40" s="8" t="s">
        <v>229</v>
      </c>
      <c r="D40" s="8" t="s">
        <v>237</v>
      </c>
      <c r="F40" s="8" t="s">
        <v>49</v>
      </c>
      <c r="G40" s="8" t="s">
        <v>238</v>
      </c>
      <c r="H40" s="9">
        <v>46174</v>
      </c>
      <c r="I40" s="9"/>
      <c r="J40" s="10">
        <v>57.84</v>
      </c>
      <c r="K40" s="8" t="s">
        <v>54</v>
      </c>
      <c r="L40" s="9">
        <v>46235</v>
      </c>
      <c r="M40" s="8">
        <v>1</v>
      </c>
      <c r="N40" s="8">
        <v>0</v>
      </c>
      <c r="O40" s="8">
        <v>0</v>
      </c>
      <c r="Q40" s="8">
        <v>57.84</v>
      </c>
      <c r="R40" s="8" t="s">
        <v>217</v>
      </c>
    </row>
    <row r="41" spans="1:18" s="8" customFormat="1" x14ac:dyDescent="0.25">
      <c r="A41" s="8">
        <v>19645587</v>
      </c>
      <c r="B41" s="8" t="s">
        <v>45</v>
      </c>
      <c r="C41" s="8" t="s">
        <v>229</v>
      </c>
      <c r="D41" s="8" t="s">
        <v>237</v>
      </c>
      <c r="F41" s="8" t="s">
        <v>49</v>
      </c>
      <c r="G41" s="8" t="s">
        <v>238</v>
      </c>
      <c r="H41" s="9">
        <v>46174</v>
      </c>
      <c r="I41" s="9"/>
      <c r="J41" s="10">
        <v>57.84</v>
      </c>
      <c r="K41" s="8" t="s">
        <v>54</v>
      </c>
      <c r="L41" s="9">
        <v>46266</v>
      </c>
      <c r="M41" s="8">
        <v>1</v>
      </c>
      <c r="N41" s="8">
        <v>0</v>
      </c>
      <c r="O41" s="8">
        <v>0</v>
      </c>
      <c r="Q41" s="8">
        <v>57.84</v>
      </c>
      <c r="R41" s="8" t="s">
        <v>217</v>
      </c>
    </row>
    <row r="42" spans="1:18" s="8" customFormat="1" x14ac:dyDescent="0.25">
      <c r="A42" s="8">
        <v>19645587</v>
      </c>
      <c r="B42" s="8" t="s">
        <v>45</v>
      </c>
      <c r="C42" s="8" t="s">
        <v>229</v>
      </c>
      <c r="D42" s="8" t="s">
        <v>237</v>
      </c>
      <c r="F42" s="8" t="s">
        <v>49</v>
      </c>
      <c r="G42" s="8" t="s">
        <v>238</v>
      </c>
      <c r="H42" s="9">
        <v>46174</v>
      </c>
      <c r="I42" s="9"/>
      <c r="J42" s="10">
        <v>57.84</v>
      </c>
      <c r="K42" s="8" t="s">
        <v>54</v>
      </c>
      <c r="L42" s="9">
        <v>46296</v>
      </c>
      <c r="M42" s="8">
        <v>1</v>
      </c>
      <c r="N42" s="8">
        <v>0</v>
      </c>
      <c r="O42" s="8">
        <v>0</v>
      </c>
      <c r="Q42" s="8">
        <v>57.84</v>
      </c>
      <c r="R42" s="8" t="s">
        <v>217</v>
      </c>
    </row>
    <row r="43" spans="1:18" s="8" customFormat="1" x14ac:dyDescent="0.25">
      <c r="A43" s="8">
        <v>19645587</v>
      </c>
      <c r="B43" s="8" t="s">
        <v>45</v>
      </c>
      <c r="C43" s="8" t="s">
        <v>229</v>
      </c>
      <c r="D43" s="8" t="s">
        <v>237</v>
      </c>
      <c r="F43" s="8" t="s">
        <v>49</v>
      </c>
      <c r="G43" s="8" t="s">
        <v>238</v>
      </c>
      <c r="H43" s="9">
        <v>46174</v>
      </c>
      <c r="I43" s="9"/>
      <c r="J43" s="10">
        <v>57.84</v>
      </c>
      <c r="K43" s="8" t="s">
        <v>54</v>
      </c>
      <c r="L43" s="9">
        <v>46327</v>
      </c>
      <c r="M43" s="8">
        <v>1</v>
      </c>
      <c r="N43" s="8">
        <v>0</v>
      </c>
      <c r="O43" s="8">
        <v>0</v>
      </c>
      <c r="Q43" s="8">
        <v>57.84</v>
      </c>
      <c r="R43" s="8" t="s">
        <v>217</v>
      </c>
    </row>
    <row r="44" spans="1:18" s="8" customFormat="1" x14ac:dyDescent="0.25">
      <c r="A44" s="8">
        <v>19645587</v>
      </c>
      <c r="B44" s="8" t="s">
        <v>45</v>
      </c>
      <c r="C44" s="8" t="s">
        <v>229</v>
      </c>
      <c r="D44" s="8" t="s">
        <v>237</v>
      </c>
      <c r="F44" s="8" t="s">
        <v>49</v>
      </c>
      <c r="G44" s="8" t="s">
        <v>238</v>
      </c>
      <c r="H44" s="9">
        <v>46174</v>
      </c>
      <c r="I44" s="9"/>
      <c r="J44" s="10">
        <v>57.84</v>
      </c>
      <c r="K44" s="8" t="s">
        <v>54</v>
      </c>
      <c r="L44" s="9">
        <v>46357</v>
      </c>
      <c r="M44" s="8">
        <v>1</v>
      </c>
      <c r="N44" s="8">
        <v>0</v>
      </c>
      <c r="O44" s="8">
        <v>0</v>
      </c>
      <c r="Q44" s="8">
        <v>57.84</v>
      </c>
      <c r="R44" s="8" t="s">
        <v>217</v>
      </c>
    </row>
    <row r="45" spans="1:18" s="8" customFormat="1" x14ac:dyDescent="0.25">
      <c r="A45" s="8">
        <v>19645587</v>
      </c>
      <c r="B45" s="8" t="s">
        <v>45</v>
      </c>
      <c r="C45" s="8" t="s">
        <v>212</v>
      </c>
      <c r="D45" s="8" t="s">
        <v>213</v>
      </c>
      <c r="F45" s="8" t="s">
        <v>49</v>
      </c>
      <c r="G45" s="8" t="s">
        <v>215</v>
      </c>
      <c r="H45" s="9">
        <v>46174</v>
      </c>
      <c r="I45" s="9"/>
      <c r="J45" s="10">
        <v>57.84</v>
      </c>
      <c r="K45" s="8" t="s">
        <v>54</v>
      </c>
      <c r="L45" s="9">
        <v>46054</v>
      </c>
      <c r="M45" s="8">
        <v>1</v>
      </c>
      <c r="N45" s="8">
        <v>0</v>
      </c>
      <c r="O45" s="8">
        <v>0</v>
      </c>
      <c r="Q45" s="8">
        <v>57.84</v>
      </c>
      <c r="R45" s="8" t="s">
        <v>217</v>
      </c>
    </row>
    <row r="46" spans="1:18" s="8" customFormat="1" x14ac:dyDescent="0.25">
      <c r="A46" s="8">
        <v>19645587</v>
      </c>
      <c r="B46" s="8" t="s">
        <v>45</v>
      </c>
      <c r="C46" s="8" t="s">
        <v>212</v>
      </c>
      <c r="D46" s="8" t="s">
        <v>213</v>
      </c>
      <c r="F46" s="8" t="s">
        <v>49</v>
      </c>
      <c r="G46" s="8" t="s">
        <v>215</v>
      </c>
      <c r="H46" s="9">
        <v>46174</v>
      </c>
      <c r="I46" s="9"/>
      <c r="J46" s="10">
        <v>57.84</v>
      </c>
      <c r="K46" s="8" t="s">
        <v>54</v>
      </c>
      <c r="L46" s="9">
        <v>46082</v>
      </c>
      <c r="M46" s="8">
        <v>1</v>
      </c>
      <c r="N46" s="8">
        <v>0</v>
      </c>
      <c r="O46" s="8">
        <v>0</v>
      </c>
      <c r="Q46" s="8">
        <v>57.84</v>
      </c>
      <c r="R46" s="8" t="s">
        <v>217</v>
      </c>
    </row>
    <row r="47" spans="1:18" s="8" customFormat="1" x14ac:dyDescent="0.25">
      <c r="A47" s="8">
        <v>19645587</v>
      </c>
      <c r="B47" s="8" t="s">
        <v>45</v>
      </c>
      <c r="C47" s="8" t="s">
        <v>212</v>
      </c>
      <c r="D47" s="8" t="s">
        <v>213</v>
      </c>
      <c r="F47" s="8" t="s">
        <v>49</v>
      </c>
      <c r="G47" s="8" t="s">
        <v>215</v>
      </c>
      <c r="H47" s="9">
        <v>46174</v>
      </c>
      <c r="I47" s="9"/>
      <c r="J47" s="10">
        <v>57.84</v>
      </c>
      <c r="K47" s="8" t="s">
        <v>54</v>
      </c>
      <c r="L47" s="9">
        <v>46113</v>
      </c>
      <c r="M47" s="8">
        <v>1</v>
      </c>
      <c r="N47" s="8">
        <v>0</v>
      </c>
      <c r="O47" s="8">
        <v>0</v>
      </c>
      <c r="Q47" s="8">
        <v>57.84</v>
      </c>
      <c r="R47" s="8" t="s">
        <v>217</v>
      </c>
    </row>
    <row r="48" spans="1:18" s="8" customFormat="1" x14ac:dyDescent="0.25">
      <c r="A48" s="8">
        <v>19645587</v>
      </c>
      <c r="B48" s="8" t="s">
        <v>45</v>
      </c>
      <c r="C48" s="8" t="s">
        <v>212</v>
      </c>
      <c r="D48" s="8" t="s">
        <v>213</v>
      </c>
      <c r="F48" s="8" t="s">
        <v>49</v>
      </c>
      <c r="G48" s="8" t="s">
        <v>215</v>
      </c>
      <c r="H48" s="9">
        <v>46174</v>
      </c>
      <c r="I48" s="9"/>
      <c r="J48" s="10">
        <v>57.84</v>
      </c>
      <c r="K48" s="8" t="s">
        <v>54</v>
      </c>
      <c r="L48" s="9">
        <v>46143</v>
      </c>
      <c r="M48" s="8">
        <v>1</v>
      </c>
      <c r="N48" s="8">
        <v>0</v>
      </c>
      <c r="O48" s="8">
        <v>0</v>
      </c>
      <c r="Q48" s="8">
        <v>57.84</v>
      </c>
      <c r="R48" s="8" t="s">
        <v>217</v>
      </c>
    </row>
    <row r="49" spans="1:27" s="8" customFormat="1" x14ac:dyDescent="0.25">
      <c r="A49" s="8">
        <v>19645587</v>
      </c>
      <c r="B49" s="8" t="s">
        <v>45</v>
      </c>
      <c r="C49" s="8" t="s">
        <v>212</v>
      </c>
      <c r="D49" s="8" t="s">
        <v>213</v>
      </c>
      <c r="F49" s="8" t="s">
        <v>49</v>
      </c>
      <c r="G49" s="8" t="s">
        <v>215</v>
      </c>
      <c r="H49" s="9">
        <v>46174</v>
      </c>
      <c r="I49" s="9"/>
      <c r="J49" s="10">
        <v>57.84</v>
      </c>
      <c r="K49" s="8" t="s">
        <v>54</v>
      </c>
      <c r="L49" s="9">
        <v>46174</v>
      </c>
      <c r="M49" s="8">
        <v>1</v>
      </c>
      <c r="N49" s="8">
        <v>0</v>
      </c>
      <c r="O49" s="8">
        <v>0</v>
      </c>
      <c r="Q49" s="8">
        <v>57.84</v>
      </c>
      <c r="R49" s="8" t="s">
        <v>217</v>
      </c>
    </row>
    <row r="50" spans="1:27" s="8" customFormat="1" x14ac:dyDescent="0.25">
      <c r="A50" s="8">
        <v>19645587</v>
      </c>
      <c r="B50" s="8" t="s">
        <v>45</v>
      </c>
      <c r="C50" s="8" t="s">
        <v>212</v>
      </c>
      <c r="D50" s="8" t="s">
        <v>213</v>
      </c>
      <c r="F50" s="8" t="s">
        <v>49</v>
      </c>
      <c r="G50" s="8" t="s">
        <v>215</v>
      </c>
      <c r="H50" s="9">
        <v>46174</v>
      </c>
      <c r="I50" s="9"/>
      <c r="J50" s="10">
        <v>57.84</v>
      </c>
      <c r="K50" s="8" t="s">
        <v>54</v>
      </c>
      <c r="L50" s="9">
        <v>46204</v>
      </c>
      <c r="M50" s="8">
        <v>1</v>
      </c>
      <c r="N50" s="8">
        <v>0</v>
      </c>
      <c r="O50" s="8">
        <v>0</v>
      </c>
      <c r="Q50" s="8">
        <v>57.84</v>
      </c>
      <c r="R50" s="8" t="s">
        <v>217</v>
      </c>
    </row>
    <row r="51" spans="1:27" s="8" customFormat="1" x14ac:dyDescent="0.25">
      <c r="A51" s="8">
        <v>19645587</v>
      </c>
      <c r="B51" s="8" t="s">
        <v>45</v>
      </c>
      <c r="C51" s="8" t="s">
        <v>212</v>
      </c>
      <c r="D51" s="8" t="s">
        <v>213</v>
      </c>
      <c r="F51" s="8" t="s">
        <v>49</v>
      </c>
      <c r="G51" s="8" t="s">
        <v>215</v>
      </c>
      <c r="H51" s="9">
        <v>46174</v>
      </c>
      <c r="I51" s="9"/>
      <c r="J51" s="10">
        <v>57.84</v>
      </c>
      <c r="K51" s="8" t="s">
        <v>54</v>
      </c>
      <c r="L51" s="9">
        <v>46235</v>
      </c>
      <c r="M51" s="8">
        <v>1</v>
      </c>
      <c r="N51" s="8">
        <v>0</v>
      </c>
      <c r="O51" s="8">
        <v>0</v>
      </c>
      <c r="Q51" s="8">
        <v>57.84</v>
      </c>
      <c r="R51" s="8" t="s">
        <v>217</v>
      </c>
    </row>
    <row r="52" spans="1:27" s="8" customFormat="1" x14ac:dyDescent="0.25">
      <c r="A52" s="8">
        <v>19645587</v>
      </c>
      <c r="B52" s="8" t="s">
        <v>45</v>
      </c>
      <c r="C52" s="8" t="s">
        <v>212</v>
      </c>
      <c r="D52" s="8" t="s">
        <v>213</v>
      </c>
      <c r="F52" s="8" t="s">
        <v>49</v>
      </c>
      <c r="G52" s="8" t="s">
        <v>215</v>
      </c>
      <c r="H52" s="9">
        <v>46174</v>
      </c>
      <c r="I52" s="9"/>
      <c r="J52" s="10">
        <v>57.84</v>
      </c>
      <c r="K52" s="8" t="s">
        <v>54</v>
      </c>
      <c r="L52" s="9">
        <v>46266</v>
      </c>
      <c r="M52" s="8">
        <v>1</v>
      </c>
      <c r="N52" s="8">
        <v>0</v>
      </c>
      <c r="O52" s="8">
        <v>0</v>
      </c>
      <c r="Q52" s="8">
        <v>57.84</v>
      </c>
      <c r="R52" s="8" t="s">
        <v>217</v>
      </c>
    </row>
    <row r="53" spans="1:27" s="8" customFormat="1" x14ac:dyDescent="0.25">
      <c r="A53" s="8">
        <v>19645587</v>
      </c>
      <c r="B53" s="8" t="s">
        <v>45</v>
      </c>
      <c r="C53" s="8" t="s">
        <v>212</v>
      </c>
      <c r="D53" s="8" t="s">
        <v>213</v>
      </c>
      <c r="F53" s="8" t="s">
        <v>49</v>
      </c>
      <c r="G53" s="8" t="s">
        <v>215</v>
      </c>
      <c r="H53" s="9">
        <v>46174</v>
      </c>
      <c r="I53" s="9"/>
      <c r="J53" s="10">
        <v>57.84</v>
      </c>
      <c r="K53" s="8" t="s">
        <v>54</v>
      </c>
      <c r="L53" s="9">
        <v>46296</v>
      </c>
      <c r="M53" s="8">
        <v>1</v>
      </c>
      <c r="N53" s="8">
        <v>0</v>
      </c>
      <c r="O53" s="8">
        <v>0</v>
      </c>
      <c r="Q53" s="8">
        <v>57.84</v>
      </c>
      <c r="R53" s="8" t="s">
        <v>217</v>
      </c>
    </row>
    <row r="54" spans="1:27" s="8" customFormat="1" x14ac:dyDescent="0.25">
      <c r="A54" s="8">
        <v>19645587</v>
      </c>
      <c r="B54" s="8" t="s">
        <v>45</v>
      </c>
      <c r="C54" s="8" t="s">
        <v>212</v>
      </c>
      <c r="D54" s="8" t="s">
        <v>213</v>
      </c>
      <c r="F54" s="8" t="s">
        <v>49</v>
      </c>
      <c r="G54" s="8" t="s">
        <v>215</v>
      </c>
      <c r="H54" s="9">
        <v>46174</v>
      </c>
      <c r="I54" s="9"/>
      <c r="J54" s="10">
        <v>57.84</v>
      </c>
      <c r="K54" s="8" t="s">
        <v>54</v>
      </c>
      <c r="L54" s="9">
        <v>46327</v>
      </c>
      <c r="M54" s="8">
        <v>1</v>
      </c>
      <c r="N54" s="8">
        <v>0</v>
      </c>
      <c r="O54" s="8">
        <v>0</v>
      </c>
      <c r="Q54" s="8">
        <v>57.84</v>
      </c>
      <c r="R54" s="8" t="s">
        <v>217</v>
      </c>
    </row>
    <row r="55" spans="1:27" s="8" customFormat="1" x14ac:dyDescent="0.25">
      <c r="A55" s="8">
        <v>19645587</v>
      </c>
      <c r="B55" s="8" t="s">
        <v>45</v>
      </c>
      <c r="C55" s="8" t="s">
        <v>212</v>
      </c>
      <c r="D55" s="8" t="s">
        <v>213</v>
      </c>
      <c r="F55" s="8" t="s">
        <v>49</v>
      </c>
      <c r="G55" s="8" t="s">
        <v>215</v>
      </c>
      <c r="H55" s="9">
        <v>46174</v>
      </c>
      <c r="I55" s="9"/>
      <c r="J55" s="10">
        <v>57.84</v>
      </c>
      <c r="K55" s="8" t="s">
        <v>54</v>
      </c>
      <c r="L55" s="9">
        <v>46357</v>
      </c>
      <c r="M55" s="8">
        <v>1</v>
      </c>
      <c r="N55" s="8">
        <v>0</v>
      </c>
      <c r="O55" s="8">
        <v>0</v>
      </c>
      <c r="Q55" s="8">
        <v>57.84</v>
      </c>
      <c r="R55" s="8" t="s">
        <v>217</v>
      </c>
    </row>
    <row r="56" spans="1:27" s="4" customFormat="1" x14ac:dyDescent="0.25">
      <c r="A56"/>
      <c r="B56"/>
      <c r="C56"/>
      <c r="D56"/>
      <c r="E56"/>
      <c r="F56"/>
      <c r="G56"/>
      <c r="H56" s="1"/>
      <c r="I56" s="1"/>
      <c r="J56" s="2"/>
      <c r="K56"/>
      <c r="L56" s="1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7" s="4" customFormat="1" x14ac:dyDescent="0.25">
      <c r="A57" s="4">
        <v>18581063</v>
      </c>
      <c r="B57" s="4" t="s">
        <v>243</v>
      </c>
      <c r="C57" s="4" t="s">
        <v>229</v>
      </c>
      <c r="D57" s="4" t="s">
        <v>244</v>
      </c>
      <c r="F57" s="4" t="s">
        <v>49</v>
      </c>
      <c r="G57" s="4" t="s">
        <v>245</v>
      </c>
      <c r="H57" s="5">
        <v>46023</v>
      </c>
      <c r="I57" s="5"/>
      <c r="J57" s="6">
        <v>28.92</v>
      </c>
      <c r="K57" s="4" t="s">
        <v>54</v>
      </c>
      <c r="L57" s="5">
        <v>46174</v>
      </c>
      <c r="M57" s="4">
        <v>1</v>
      </c>
      <c r="N57" s="4">
        <v>202.44</v>
      </c>
      <c r="O57" s="4">
        <v>0</v>
      </c>
      <c r="Q57" s="4">
        <v>0</v>
      </c>
    </row>
    <row r="58" spans="1:27" s="4" customFormat="1" x14ac:dyDescent="0.25">
      <c r="A58" s="4">
        <v>20724564</v>
      </c>
      <c r="B58" s="4" t="s">
        <v>109</v>
      </c>
      <c r="C58" s="4" t="s">
        <v>77</v>
      </c>
      <c r="D58" s="4" t="s">
        <v>171</v>
      </c>
      <c r="F58" s="4" t="s">
        <v>49</v>
      </c>
      <c r="G58" s="4" t="s">
        <v>172</v>
      </c>
      <c r="H58" s="5">
        <v>46023</v>
      </c>
      <c r="I58" s="5"/>
      <c r="J58" s="6">
        <v>52.17</v>
      </c>
      <c r="K58" s="4" t="s">
        <v>54</v>
      </c>
      <c r="L58" s="5">
        <v>46174</v>
      </c>
      <c r="M58" s="4">
        <v>1</v>
      </c>
      <c r="N58" s="4">
        <v>365.19</v>
      </c>
      <c r="O58" s="4">
        <v>0</v>
      </c>
      <c r="Q58" s="4">
        <v>0</v>
      </c>
    </row>
    <row r="59" spans="1:27" x14ac:dyDescent="0.25">
      <c r="A59" s="4">
        <v>18754354</v>
      </c>
      <c r="B59" s="4" t="s">
        <v>228</v>
      </c>
      <c r="C59" s="4" t="s">
        <v>229</v>
      </c>
      <c r="D59" s="4" t="s">
        <v>230</v>
      </c>
      <c r="E59" s="4"/>
      <c r="F59" s="4" t="s">
        <v>49</v>
      </c>
      <c r="G59" s="4" t="s">
        <v>232</v>
      </c>
      <c r="H59" s="5">
        <v>46023</v>
      </c>
      <c r="I59" s="5"/>
      <c r="J59" s="6">
        <v>28.92</v>
      </c>
      <c r="K59" s="4" t="s">
        <v>54</v>
      </c>
      <c r="L59" s="5">
        <v>46174</v>
      </c>
      <c r="M59" s="4">
        <v>1</v>
      </c>
      <c r="N59" s="4">
        <v>202.44</v>
      </c>
      <c r="O59" s="4">
        <v>0</v>
      </c>
      <c r="P59" s="4"/>
      <c r="Q59" s="4">
        <v>0</v>
      </c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>
        <v>17859093</v>
      </c>
      <c r="B60" s="4" t="s">
        <v>62</v>
      </c>
      <c r="C60" s="4" t="s">
        <v>46</v>
      </c>
      <c r="D60" s="4" t="s">
        <v>63</v>
      </c>
      <c r="E60" s="4"/>
      <c r="F60" s="4" t="s">
        <v>49</v>
      </c>
      <c r="G60" s="4" t="s">
        <v>64</v>
      </c>
      <c r="H60" s="5">
        <v>46054</v>
      </c>
      <c r="I60" s="5"/>
      <c r="J60" s="6">
        <v>65</v>
      </c>
      <c r="K60" s="4" t="s">
        <v>54</v>
      </c>
      <c r="L60" s="5">
        <v>46174</v>
      </c>
      <c r="M60" s="4">
        <v>1</v>
      </c>
      <c r="N60" s="4">
        <v>520</v>
      </c>
      <c r="O60" s="4">
        <v>0</v>
      </c>
      <c r="P60" s="4"/>
      <c r="Q60" s="4">
        <v>0</v>
      </c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s="4" customFormat="1" x14ac:dyDescent="0.25">
      <c r="A61" s="4">
        <v>18581063</v>
      </c>
      <c r="B61" s="4" t="s">
        <v>243</v>
      </c>
      <c r="C61" s="4" t="s">
        <v>229</v>
      </c>
      <c r="D61" s="4" t="s">
        <v>250</v>
      </c>
      <c r="F61" s="4" t="s">
        <v>49</v>
      </c>
      <c r="G61" s="4" t="s">
        <v>251</v>
      </c>
      <c r="H61" s="5">
        <v>46023</v>
      </c>
      <c r="I61" s="5"/>
      <c r="J61" s="6">
        <v>28.92</v>
      </c>
      <c r="K61" s="4" t="s">
        <v>54</v>
      </c>
      <c r="L61" s="5">
        <v>46174</v>
      </c>
      <c r="M61" s="4">
        <v>1</v>
      </c>
      <c r="N61" s="4">
        <v>202.44</v>
      </c>
      <c r="O61" s="4">
        <v>0</v>
      </c>
      <c r="Q61" s="4">
        <v>0</v>
      </c>
    </row>
    <row r="62" spans="1:27" s="4" customFormat="1" x14ac:dyDescent="0.25">
      <c r="A62" s="4">
        <v>16849453</v>
      </c>
      <c r="B62" s="4" t="s">
        <v>76</v>
      </c>
      <c r="C62" s="4" t="s">
        <v>77</v>
      </c>
      <c r="D62" s="4" t="s">
        <v>97</v>
      </c>
      <c r="F62" s="4" t="s">
        <v>49</v>
      </c>
      <c r="G62" s="4" t="s">
        <v>98</v>
      </c>
      <c r="H62" s="5">
        <v>46054</v>
      </c>
      <c r="I62" s="5"/>
      <c r="J62" s="6">
        <v>28.92</v>
      </c>
      <c r="K62" s="4" t="s">
        <v>54</v>
      </c>
      <c r="L62" s="5">
        <v>46174</v>
      </c>
      <c r="M62" s="4">
        <v>1</v>
      </c>
      <c r="N62" s="4">
        <v>202.44</v>
      </c>
      <c r="O62" s="4">
        <v>0</v>
      </c>
      <c r="Q62" s="4">
        <v>0</v>
      </c>
    </row>
    <row r="63" spans="1:27" s="4" customFormat="1" x14ac:dyDescent="0.25">
      <c r="A63" s="4">
        <v>19491313</v>
      </c>
      <c r="B63" s="4" t="s">
        <v>181</v>
      </c>
      <c r="C63" s="4" t="s">
        <v>182</v>
      </c>
      <c r="D63" s="4" t="s">
        <v>190</v>
      </c>
      <c r="F63" s="4" t="s">
        <v>49</v>
      </c>
      <c r="G63" s="4" t="s">
        <v>191</v>
      </c>
      <c r="H63" s="5">
        <v>46054</v>
      </c>
      <c r="I63" s="5"/>
      <c r="J63" s="6">
        <v>28.92</v>
      </c>
      <c r="K63" s="4" t="s">
        <v>54</v>
      </c>
      <c r="L63" s="5">
        <v>46174</v>
      </c>
      <c r="M63" s="4">
        <v>1</v>
      </c>
      <c r="N63" s="4">
        <v>202.44</v>
      </c>
      <c r="O63" s="4">
        <v>0</v>
      </c>
      <c r="Q63" s="4">
        <v>0</v>
      </c>
    </row>
    <row r="64" spans="1:27" s="4" customFormat="1" x14ac:dyDescent="0.25">
      <c r="A64" s="4">
        <v>18581063</v>
      </c>
      <c r="B64" s="4" t="s">
        <v>243</v>
      </c>
      <c r="C64" s="4" t="s">
        <v>229</v>
      </c>
      <c r="D64" s="4" t="s">
        <v>259</v>
      </c>
      <c r="F64" s="4" t="s">
        <v>49</v>
      </c>
      <c r="G64" s="4" t="s">
        <v>260</v>
      </c>
      <c r="H64" s="5">
        <v>46023</v>
      </c>
      <c r="I64" s="5"/>
      <c r="J64" s="6">
        <v>28.92</v>
      </c>
      <c r="K64" s="4" t="s">
        <v>54</v>
      </c>
      <c r="L64" s="5">
        <v>46174</v>
      </c>
      <c r="M64" s="4">
        <v>1</v>
      </c>
      <c r="N64" s="4">
        <v>202.44</v>
      </c>
      <c r="O64" s="4">
        <v>0</v>
      </c>
      <c r="Q64" s="4">
        <v>0</v>
      </c>
    </row>
    <row r="65" spans="1:27" s="4" customFormat="1" x14ac:dyDescent="0.25">
      <c r="A65" s="4">
        <v>18581063</v>
      </c>
      <c r="B65" s="4" t="s">
        <v>243</v>
      </c>
      <c r="C65" s="4" t="s">
        <v>229</v>
      </c>
      <c r="D65" s="4" t="s">
        <v>247</v>
      </c>
      <c r="F65" s="4" t="s">
        <v>49</v>
      </c>
      <c r="G65" s="4" t="s">
        <v>248</v>
      </c>
      <c r="H65" s="5">
        <v>46023</v>
      </c>
      <c r="I65" s="5"/>
      <c r="J65" s="6">
        <v>28.92</v>
      </c>
      <c r="K65" s="4" t="s">
        <v>54</v>
      </c>
      <c r="L65" s="5">
        <v>46174</v>
      </c>
      <c r="M65" s="4">
        <v>1</v>
      </c>
      <c r="N65" s="4">
        <v>202.44</v>
      </c>
      <c r="O65" s="4">
        <v>0</v>
      </c>
      <c r="Q65" s="4">
        <v>0</v>
      </c>
    </row>
    <row r="66" spans="1:27" s="4" customFormat="1" x14ac:dyDescent="0.25">
      <c r="A66" s="4">
        <v>19491313</v>
      </c>
      <c r="B66" s="4" t="s">
        <v>181</v>
      </c>
      <c r="C66" s="4" t="s">
        <v>182</v>
      </c>
      <c r="D66" s="4" t="s">
        <v>193</v>
      </c>
      <c r="F66" s="4" t="s">
        <v>49</v>
      </c>
      <c r="G66" s="4" t="s">
        <v>194</v>
      </c>
      <c r="H66" s="5">
        <v>46054</v>
      </c>
      <c r="I66" s="5"/>
      <c r="J66" s="6">
        <v>57.84</v>
      </c>
      <c r="K66" s="4" t="s">
        <v>54</v>
      </c>
      <c r="L66" s="5">
        <v>46174</v>
      </c>
      <c r="M66" s="4">
        <v>1</v>
      </c>
      <c r="N66" s="4">
        <v>404.88</v>
      </c>
      <c r="O66" s="4">
        <v>0</v>
      </c>
      <c r="Q66" s="4">
        <v>0</v>
      </c>
    </row>
    <row r="67" spans="1:27" x14ac:dyDescent="0.25">
      <c r="A67" s="4">
        <v>20724564</v>
      </c>
      <c r="B67" s="4" t="s">
        <v>109</v>
      </c>
      <c r="C67" s="4" t="s">
        <v>77</v>
      </c>
      <c r="D67" s="4" t="s">
        <v>153</v>
      </c>
      <c r="E67" s="4"/>
      <c r="F67" s="4" t="s">
        <v>49</v>
      </c>
      <c r="G67" s="4" t="s">
        <v>154</v>
      </c>
      <c r="H67" s="5">
        <v>46023</v>
      </c>
      <c r="I67" s="5"/>
      <c r="J67" s="6">
        <v>52.17</v>
      </c>
      <c r="K67" s="4" t="s">
        <v>54</v>
      </c>
      <c r="L67" s="5">
        <v>46174</v>
      </c>
      <c r="M67" s="4">
        <v>1</v>
      </c>
      <c r="N67" s="4">
        <v>365.19</v>
      </c>
      <c r="O67" s="4">
        <v>0</v>
      </c>
      <c r="P67" s="4"/>
      <c r="Q67" s="4">
        <v>0</v>
      </c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5">
      <c r="A68" s="4">
        <v>18581063</v>
      </c>
      <c r="B68" s="4" t="s">
        <v>243</v>
      </c>
      <c r="C68" s="4" t="s">
        <v>229</v>
      </c>
      <c r="D68" s="4" t="s">
        <v>256</v>
      </c>
      <c r="E68" s="4"/>
      <c r="F68" s="4" t="s">
        <v>49</v>
      </c>
      <c r="G68" s="4" t="s">
        <v>257</v>
      </c>
      <c r="H68" s="5">
        <v>46023</v>
      </c>
      <c r="I68" s="5"/>
      <c r="J68" s="6">
        <v>28.92</v>
      </c>
      <c r="K68" s="4" t="s">
        <v>54</v>
      </c>
      <c r="L68" s="5">
        <v>46174</v>
      </c>
      <c r="M68" s="4">
        <v>1</v>
      </c>
      <c r="N68" s="4">
        <v>202.44</v>
      </c>
      <c r="O68" s="4">
        <v>0</v>
      </c>
      <c r="P68" s="4"/>
      <c r="Q68" s="4">
        <v>0</v>
      </c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s="4">
        <v>20724564</v>
      </c>
      <c r="B69" s="4" t="s">
        <v>109</v>
      </c>
      <c r="C69" s="4" t="s">
        <v>77</v>
      </c>
      <c r="D69" s="4" t="s">
        <v>150</v>
      </c>
      <c r="E69" s="4"/>
      <c r="F69" s="4" t="s">
        <v>49</v>
      </c>
      <c r="G69" s="4" t="s">
        <v>151</v>
      </c>
      <c r="H69" s="5">
        <v>46023</v>
      </c>
      <c r="I69" s="5"/>
      <c r="J69" s="6">
        <v>28.92</v>
      </c>
      <c r="K69" s="4" t="s">
        <v>54</v>
      </c>
      <c r="L69" s="5">
        <v>46174</v>
      </c>
      <c r="M69" s="4">
        <v>1</v>
      </c>
      <c r="N69" s="4">
        <v>202.44</v>
      </c>
      <c r="O69" s="4">
        <v>0</v>
      </c>
      <c r="P69" s="4"/>
      <c r="Q69" s="4">
        <v>0</v>
      </c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>
        <v>18581063</v>
      </c>
      <c r="B70" s="4" t="s">
        <v>243</v>
      </c>
      <c r="C70" s="4" t="s">
        <v>229</v>
      </c>
      <c r="D70" s="4" t="s">
        <v>262</v>
      </c>
      <c r="E70" s="4"/>
      <c r="F70" s="4" t="s">
        <v>49</v>
      </c>
      <c r="G70" s="4" t="s">
        <v>263</v>
      </c>
      <c r="H70" s="5">
        <v>46023</v>
      </c>
      <c r="I70" s="5"/>
      <c r="J70" s="6">
        <v>28.92</v>
      </c>
      <c r="K70" s="4" t="s">
        <v>54</v>
      </c>
      <c r="L70" s="5">
        <v>46174</v>
      </c>
      <c r="M70" s="4">
        <v>1</v>
      </c>
      <c r="N70" s="4">
        <v>202.44</v>
      </c>
      <c r="O70" s="4">
        <v>0</v>
      </c>
      <c r="P70" s="4"/>
      <c r="Q70" s="4">
        <v>0</v>
      </c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>
        <v>21435997</v>
      </c>
      <c r="B71" s="4" t="s">
        <v>203</v>
      </c>
      <c r="C71" s="4" t="s">
        <v>182</v>
      </c>
      <c r="D71" s="4" t="s">
        <v>204</v>
      </c>
      <c r="E71" s="4"/>
      <c r="F71" s="4" t="s">
        <v>49</v>
      </c>
      <c r="G71" s="4" t="s">
        <v>205</v>
      </c>
      <c r="H71" s="5">
        <v>46054</v>
      </c>
      <c r="I71" s="5"/>
      <c r="J71" s="6">
        <v>28.92</v>
      </c>
      <c r="K71" s="4" t="s">
        <v>54</v>
      </c>
      <c r="L71" s="5">
        <v>46174</v>
      </c>
      <c r="M71" s="4">
        <v>1</v>
      </c>
      <c r="N71" s="4">
        <v>202.44</v>
      </c>
      <c r="O71" s="4">
        <v>0</v>
      </c>
      <c r="P71" s="4"/>
      <c r="Q71" s="4">
        <v>0</v>
      </c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>
        <v>18581063</v>
      </c>
      <c r="B72" s="4" t="s">
        <v>243</v>
      </c>
      <c r="C72" s="4" t="s">
        <v>229</v>
      </c>
      <c r="D72" s="4" t="s">
        <v>253</v>
      </c>
      <c r="E72" s="4"/>
      <c r="F72" s="4" t="s">
        <v>49</v>
      </c>
      <c r="G72" s="4" t="s">
        <v>254</v>
      </c>
      <c r="H72" s="5">
        <v>46023</v>
      </c>
      <c r="I72" s="5"/>
      <c r="J72" s="6">
        <v>28.92</v>
      </c>
      <c r="K72" s="4" t="s">
        <v>54</v>
      </c>
      <c r="L72" s="5">
        <v>46174</v>
      </c>
      <c r="M72" s="4">
        <v>1</v>
      </c>
      <c r="N72" s="4">
        <v>202.44</v>
      </c>
      <c r="O72" s="4">
        <v>0</v>
      </c>
      <c r="P72" s="4"/>
      <c r="Q72" s="4">
        <v>0</v>
      </c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>
        <v>20724564</v>
      </c>
      <c r="B73" s="4" t="s">
        <v>109</v>
      </c>
      <c r="C73" s="4" t="s">
        <v>77</v>
      </c>
      <c r="D73" s="4" t="s">
        <v>162</v>
      </c>
      <c r="E73" s="4"/>
      <c r="F73" s="4" t="s">
        <v>49</v>
      </c>
      <c r="G73" s="4" t="s">
        <v>163</v>
      </c>
      <c r="H73" s="5">
        <v>46023</v>
      </c>
      <c r="I73" s="5"/>
      <c r="J73" s="6">
        <v>28.92</v>
      </c>
      <c r="K73" s="4" t="s">
        <v>54</v>
      </c>
      <c r="L73" s="5">
        <v>46174</v>
      </c>
      <c r="M73" s="4">
        <v>1</v>
      </c>
      <c r="N73" s="4">
        <v>202.44</v>
      </c>
      <c r="O73" s="4">
        <v>0</v>
      </c>
      <c r="P73" s="4"/>
      <c r="Q73" s="4">
        <v>0</v>
      </c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>
        <v>16849453</v>
      </c>
      <c r="B74" s="4" t="s">
        <v>76</v>
      </c>
      <c r="C74" s="4" t="s">
        <v>77</v>
      </c>
      <c r="D74" s="4" t="s">
        <v>94</v>
      </c>
      <c r="E74" s="4"/>
      <c r="F74" s="4" t="s">
        <v>49</v>
      </c>
      <c r="G74" s="4" t="s">
        <v>95</v>
      </c>
      <c r="H74" s="5">
        <v>46143</v>
      </c>
      <c r="I74" s="5"/>
      <c r="J74" s="6">
        <v>52.17</v>
      </c>
      <c r="K74" s="4" t="s">
        <v>54</v>
      </c>
      <c r="L74" s="5">
        <v>46174</v>
      </c>
      <c r="M74" s="4">
        <v>1</v>
      </c>
      <c r="N74" s="4">
        <v>573.87</v>
      </c>
      <c r="O74" s="4">
        <v>0</v>
      </c>
      <c r="P74" s="4"/>
      <c r="Q74" s="4">
        <v>0</v>
      </c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>
        <v>20724564</v>
      </c>
      <c r="B75" s="4" t="s">
        <v>109</v>
      </c>
      <c r="C75" s="4" t="s">
        <v>77</v>
      </c>
      <c r="D75" s="4" t="s">
        <v>113</v>
      </c>
      <c r="E75" s="4"/>
      <c r="F75" s="4" t="s">
        <v>49</v>
      </c>
      <c r="G75" s="4" t="s">
        <v>114</v>
      </c>
      <c r="H75" s="5">
        <v>46023</v>
      </c>
      <c r="I75" s="5"/>
      <c r="J75" s="6">
        <v>28.92</v>
      </c>
      <c r="K75" s="4" t="s">
        <v>54</v>
      </c>
      <c r="L75" s="5">
        <v>46174</v>
      </c>
      <c r="M75" s="4">
        <v>1</v>
      </c>
      <c r="N75" s="4">
        <v>202.44</v>
      </c>
      <c r="O75" s="4">
        <v>0</v>
      </c>
      <c r="P75" s="4"/>
      <c r="Q75" s="4">
        <v>0</v>
      </c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>
        <v>19645587</v>
      </c>
      <c r="B76" s="4" t="s">
        <v>45</v>
      </c>
      <c r="C76" s="4" t="s">
        <v>229</v>
      </c>
      <c r="D76" s="4" t="s">
        <v>240</v>
      </c>
      <c r="E76" s="4"/>
      <c r="F76" s="4" t="s">
        <v>49</v>
      </c>
      <c r="G76" s="4" t="s">
        <v>241</v>
      </c>
      <c r="H76" s="5">
        <v>45839</v>
      </c>
      <c r="I76" s="5"/>
      <c r="J76" s="4"/>
      <c r="K76" s="4" t="s">
        <v>54</v>
      </c>
      <c r="L76" s="4"/>
      <c r="M76" s="4"/>
      <c r="N76" s="4">
        <v>0</v>
      </c>
      <c r="O76" s="4">
        <v>0</v>
      </c>
      <c r="P76" s="4"/>
      <c r="Q76" s="4">
        <v>0</v>
      </c>
      <c r="R76" s="4" t="s">
        <v>61</v>
      </c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>
        <v>19645587</v>
      </c>
      <c r="B77" s="4" t="s">
        <v>45</v>
      </c>
      <c r="C77" s="4" t="s">
        <v>46</v>
      </c>
      <c r="D77" s="4" t="s">
        <v>48</v>
      </c>
      <c r="E77" s="4"/>
      <c r="F77" s="4" t="s">
        <v>49</v>
      </c>
      <c r="G77" s="4" t="s">
        <v>51</v>
      </c>
      <c r="H77" s="5">
        <v>46023</v>
      </c>
      <c r="I77" s="5"/>
      <c r="J77" s="6">
        <v>65</v>
      </c>
      <c r="K77" s="4" t="s">
        <v>54</v>
      </c>
      <c r="L77" s="5">
        <v>46174</v>
      </c>
      <c r="M77" s="4">
        <v>1</v>
      </c>
      <c r="N77" s="4">
        <v>455</v>
      </c>
      <c r="O77" s="4">
        <v>0</v>
      </c>
      <c r="P77" s="4"/>
      <c r="Q77" s="4">
        <v>0</v>
      </c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>
        <v>17094718</v>
      </c>
      <c r="B78" s="4" t="s">
        <v>177</v>
      </c>
      <c r="C78" s="4" t="s">
        <v>207</v>
      </c>
      <c r="D78" s="4" t="s">
        <v>208</v>
      </c>
      <c r="E78" s="4"/>
      <c r="F78" s="4" t="s">
        <v>49</v>
      </c>
      <c r="G78" s="4" t="s">
        <v>210</v>
      </c>
      <c r="H78" s="5">
        <v>46143</v>
      </c>
      <c r="I78" s="5"/>
      <c r="J78" s="6">
        <v>57.84</v>
      </c>
      <c r="K78" s="4" t="s">
        <v>54</v>
      </c>
      <c r="L78" s="5">
        <v>46174</v>
      </c>
      <c r="M78" s="4">
        <v>1</v>
      </c>
      <c r="N78" s="4">
        <v>636.24</v>
      </c>
      <c r="O78" s="4">
        <v>0</v>
      </c>
      <c r="P78" s="4"/>
      <c r="Q78" s="4">
        <v>0</v>
      </c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s="4" customFormat="1" x14ac:dyDescent="0.25">
      <c r="A79" s="4">
        <v>19645587</v>
      </c>
      <c r="B79" s="4" t="s">
        <v>45</v>
      </c>
      <c r="C79" s="4" t="s">
        <v>229</v>
      </c>
      <c r="D79" s="4" t="s">
        <v>234</v>
      </c>
      <c r="F79" s="4" t="s">
        <v>49</v>
      </c>
      <c r="G79" s="4" t="s">
        <v>235</v>
      </c>
      <c r="H79" s="5">
        <v>46113</v>
      </c>
      <c r="I79" s="5"/>
      <c r="J79" s="6">
        <v>57.84</v>
      </c>
      <c r="K79" s="4" t="s">
        <v>54</v>
      </c>
      <c r="L79" s="5">
        <v>46174</v>
      </c>
      <c r="M79" s="4">
        <v>1</v>
      </c>
      <c r="N79" s="4">
        <v>578.4</v>
      </c>
      <c r="O79" s="4">
        <v>0</v>
      </c>
      <c r="Q79" s="4">
        <v>0</v>
      </c>
    </row>
    <row r="80" spans="1:27" s="4" customFormat="1" x14ac:dyDescent="0.25">
      <c r="A80" s="4">
        <v>16849453</v>
      </c>
      <c r="B80" s="4" t="s">
        <v>76</v>
      </c>
      <c r="C80" s="4" t="s">
        <v>77</v>
      </c>
      <c r="D80" s="4" t="s">
        <v>100</v>
      </c>
      <c r="F80" s="4" t="s">
        <v>49</v>
      </c>
      <c r="G80" s="4" t="s">
        <v>101</v>
      </c>
      <c r="H80" s="5">
        <v>46082</v>
      </c>
      <c r="I80" s="5"/>
      <c r="J80" s="7">
        <v>0</v>
      </c>
      <c r="K80" s="4" t="s">
        <v>54</v>
      </c>
      <c r="L80" s="5">
        <v>46174</v>
      </c>
      <c r="M80" s="4">
        <v>1</v>
      </c>
      <c r="N80" s="4">
        <v>0</v>
      </c>
      <c r="O80" s="4">
        <v>0</v>
      </c>
      <c r="Q80" s="4">
        <v>0</v>
      </c>
    </row>
    <row r="81" spans="1:27" x14ac:dyDescent="0.25">
      <c r="A81" s="4">
        <v>20724564</v>
      </c>
      <c r="B81" s="4" t="s">
        <v>109</v>
      </c>
      <c r="C81" s="4" t="s">
        <v>77</v>
      </c>
      <c r="D81" s="4" t="s">
        <v>156</v>
      </c>
      <c r="E81" s="4"/>
      <c r="F81" s="4" t="s">
        <v>49</v>
      </c>
      <c r="G81" s="4" t="s">
        <v>157</v>
      </c>
      <c r="H81" s="5">
        <v>46023</v>
      </c>
      <c r="I81" s="5"/>
      <c r="J81" s="4"/>
      <c r="K81" s="4" t="s">
        <v>54</v>
      </c>
      <c r="L81" s="4"/>
      <c r="M81" s="4"/>
      <c r="N81" s="4">
        <v>0</v>
      </c>
      <c r="O81" s="4">
        <v>0</v>
      </c>
      <c r="P81" s="4"/>
      <c r="Q81" s="4">
        <v>0</v>
      </c>
      <c r="R81" s="4" t="s">
        <v>61</v>
      </c>
      <c r="S81" s="4"/>
      <c r="T81" s="4"/>
      <c r="U81" s="4"/>
      <c r="V81" s="4"/>
      <c r="W81" s="4"/>
      <c r="X81" s="4"/>
      <c r="Y81" s="4"/>
      <c r="Z81" s="4"/>
      <c r="AA81" s="4"/>
    </row>
    <row r="82" spans="1:27" s="4" customFormat="1" x14ac:dyDescent="0.25">
      <c r="A82" s="4">
        <v>20724564</v>
      </c>
      <c r="B82" s="4" t="s">
        <v>109</v>
      </c>
      <c r="C82" s="4" t="s">
        <v>77</v>
      </c>
      <c r="D82" s="4" t="s">
        <v>146</v>
      </c>
      <c r="F82" s="4" t="s">
        <v>57</v>
      </c>
      <c r="G82" s="4" t="s">
        <v>147</v>
      </c>
      <c r="H82" s="5">
        <v>45962</v>
      </c>
      <c r="I82" s="5"/>
      <c r="J82" s="7">
        <v>0.21</v>
      </c>
      <c r="K82" s="4" t="s">
        <v>54</v>
      </c>
      <c r="L82" s="5">
        <v>46174</v>
      </c>
      <c r="M82" s="4">
        <v>1</v>
      </c>
      <c r="N82" s="4">
        <v>68.62</v>
      </c>
      <c r="O82" s="4">
        <v>163.41</v>
      </c>
      <c r="P82" s="4" t="s">
        <v>149</v>
      </c>
      <c r="Q82" s="4">
        <v>0</v>
      </c>
    </row>
    <row r="83" spans="1:27" s="4" customFormat="1" x14ac:dyDescent="0.25">
      <c r="A83" s="4">
        <v>21564088</v>
      </c>
      <c r="B83" s="4" t="s">
        <v>196</v>
      </c>
      <c r="C83" s="4" t="s">
        <v>182</v>
      </c>
      <c r="D83" s="4" t="s">
        <v>197</v>
      </c>
      <c r="F83" s="4" t="s">
        <v>57</v>
      </c>
      <c r="G83" s="4" t="s">
        <v>198</v>
      </c>
      <c r="H83" s="5">
        <v>45992</v>
      </c>
      <c r="I83" s="5"/>
      <c r="K83" s="4" t="s">
        <v>54</v>
      </c>
      <c r="N83" s="4">
        <v>0</v>
      </c>
      <c r="O83" s="4">
        <v>0</v>
      </c>
      <c r="Q83" s="4">
        <v>0</v>
      </c>
      <c r="R83" s="4" t="s">
        <v>61</v>
      </c>
    </row>
    <row r="84" spans="1:27" s="4" customFormat="1" x14ac:dyDescent="0.25">
      <c r="A84" s="4">
        <v>20724564</v>
      </c>
      <c r="B84" s="4" t="s">
        <v>109</v>
      </c>
      <c r="C84" s="4" t="s">
        <v>77</v>
      </c>
      <c r="D84" s="4" t="s">
        <v>134</v>
      </c>
      <c r="F84" s="4" t="s">
        <v>57</v>
      </c>
      <c r="G84" s="4" t="s">
        <v>135</v>
      </c>
      <c r="H84" s="5">
        <v>45931</v>
      </c>
      <c r="I84" s="5"/>
      <c r="K84" s="4" t="s">
        <v>54</v>
      </c>
      <c r="N84" s="4">
        <v>0</v>
      </c>
      <c r="O84" s="4">
        <v>0</v>
      </c>
      <c r="Q84" s="4">
        <v>0</v>
      </c>
      <c r="R84" s="4" t="s">
        <v>61</v>
      </c>
    </row>
    <row r="85" spans="1:27" s="4" customFormat="1" x14ac:dyDescent="0.25">
      <c r="A85" s="4">
        <v>20724564</v>
      </c>
      <c r="B85" s="4" t="s">
        <v>109</v>
      </c>
      <c r="C85" s="4" t="s">
        <v>77</v>
      </c>
      <c r="D85" s="4" t="s">
        <v>174</v>
      </c>
      <c r="F85" s="4" t="s">
        <v>57</v>
      </c>
      <c r="G85" s="4" t="s">
        <v>175</v>
      </c>
      <c r="H85" s="5">
        <v>46023</v>
      </c>
      <c r="I85" s="5"/>
      <c r="K85" s="4" t="s">
        <v>54</v>
      </c>
      <c r="N85" s="4">
        <v>0</v>
      </c>
      <c r="O85" s="4">
        <v>0</v>
      </c>
      <c r="Q85" s="4">
        <v>0</v>
      </c>
      <c r="R85" s="4" t="s">
        <v>61</v>
      </c>
    </row>
    <row r="86" spans="1:27" s="4" customFormat="1" x14ac:dyDescent="0.25">
      <c r="A86" s="4">
        <v>20724564</v>
      </c>
      <c r="B86" s="4" t="s">
        <v>109</v>
      </c>
      <c r="C86" s="4" t="s">
        <v>77</v>
      </c>
      <c r="D86" s="4" t="s">
        <v>131</v>
      </c>
      <c r="F86" s="4" t="s">
        <v>57</v>
      </c>
      <c r="G86" s="4" t="s">
        <v>132</v>
      </c>
      <c r="H86" s="5">
        <v>45901</v>
      </c>
      <c r="I86" s="5"/>
      <c r="K86" s="4" t="s">
        <v>54</v>
      </c>
      <c r="N86" s="4">
        <v>0</v>
      </c>
      <c r="O86" s="4">
        <v>0</v>
      </c>
      <c r="Q86" s="4">
        <v>0</v>
      </c>
      <c r="R86" s="4" t="s">
        <v>61</v>
      </c>
    </row>
    <row r="87" spans="1:27" s="4" customFormat="1" x14ac:dyDescent="0.25">
      <c r="A87" s="4">
        <v>19491313</v>
      </c>
      <c r="B87" s="4" t="s">
        <v>181</v>
      </c>
      <c r="C87" s="4" t="s">
        <v>182</v>
      </c>
      <c r="D87" s="4" t="s">
        <v>187</v>
      </c>
      <c r="F87" s="4" t="s">
        <v>57</v>
      </c>
      <c r="G87" s="4" t="s">
        <v>188</v>
      </c>
      <c r="H87" s="5">
        <v>46174</v>
      </c>
      <c r="I87" s="5"/>
      <c r="K87" s="4" t="s">
        <v>54</v>
      </c>
      <c r="N87" s="4">
        <v>0</v>
      </c>
      <c r="O87" s="4">
        <v>0</v>
      </c>
      <c r="Q87" s="4">
        <v>0</v>
      </c>
      <c r="R87" s="4" t="s">
        <v>61</v>
      </c>
    </row>
    <row r="88" spans="1:27" s="4" customFormat="1" x14ac:dyDescent="0.25">
      <c r="A88" s="4">
        <v>6634327</v>
      </c>
      <c r="B88" s="4" t="s">
        <v>66</v>
      </c>
      <c r="C88" s="4" t="s">
        <v>24</v>
      </c>
      <c r="D88" s="4" t="s">
        <v>67</v>
      </c>
      <c r="F88" s="4" t="s">
        <v>57</v>
      </c>
      <c r="G88" s="4" t="s">
        <v>69</v>
      </c>
      <c r="H88" s="5">
        <v>46082</v>
      </c>
      <c r="I88" s="5"/>
      <c r="K88" s="4" t="s">
        <v>54</v>
      </c>
      <c r="N88" s="4">
        <v>0</v>
      </c>
      <c r="O88" s="4">
        <v>0</v>
      </c>
      <c r="Q88" s="4">
        <v>0</v>
      </c>
      <c r="R88" s="4" t="s">
        <v>61</v>
      </c>
    </row>
    <row r="89" spans="1:27" s="4" customFormat="1" x14ac:dyDescent="0.25">
      <c r="A89" s="4">
        <v>20724564</v>
      </c>
      <c r="B89" s="4" t="s">
        <v>109</v>
      </c>
      <c r="C89" s="4" t="s">
        <v>77</v>
      </c>
      <c r="D89" s="4" t="s">
        <v>116</v>
      </c>
      <c r="F89" s="4" t="s">
        <v>57</v>
      </c>
      <c r="G89" s="4" t="s">
        <v>117</v>
      </c>
      <c r="H89" s="5">
        <v>45901</v>
      </c>
      <c r="I89" s="5"/>
      <c r="K89" s="4" t="s">
        <v>54</v>
      </c>
      <c r="N89" s="4">
        <v>0</v>
      </c>
      <c r="O89" s="4">
        <v>0</v>
      </c>
      <c r="Q89" s="4">
        <v>0</v>
      </c>
      <c r="R89" s="4" t="s">
        <v>61</v>
      </c>
    </row>
    <row r="90" spans="1:27" s="4" customFormat="1" x14ac:dyDescent="0.25">
      <c r="A90" s="4">
        <v>16849453</v>
      </c>
      <c r="B90" s="4" t="s">
        <v>76</v>
      </c>
      <c r="C90" s="4" t="s">
        <v>77</v>
      </c>
      <c r="D90" s="4" t="s">
        <v>103</v>
      </c>
      <c r="F90" s="4" t="s">
        <v>57</v>
      </c>
      <c r="G90" s="4" t="s">
        <v>104</v>
      </c>
      <c r="H90" s="5">
        <v>46054</v>
      </c>
      <c r="I90" s="5"/>
      <c r="K90" s="4" t="s">
        <v>54</v>
      </c>
      <c r="N90" s="4">
        <v>0</v>
      </c>
      <c r="O90" s="4">
        <v>0</v>
      </c>
      <c r="Q90" s="4">
        <v>0</v>
      </c>
      <c r="R90" s="4" t="s">
        <v>61</v>
      </c>
    </row>
    <row r="91" spans="1:27" s="4" customFormat="1" x14ac:dyDescent="0.25">
      <c r="A91" s="4">
        <v>20724564</v>
      </c>
      <c r="B91" s="4" t="s">
        <v>109</v>
      </c>
      <c r="C91" s="4" t="s">
        <v>77</v>
      </c>
      <c r="D91" s="4" t="s">
        <v>159</v>
      </c>
      <c r="F91" s="4" t="s">
        <v>57</v>
      </c>
      <c r="G91" s="4" t="s">
        <v>160</v>
      </c>
      <c r="H91" s="5">
        <v>46023</v>
      </c>
      <c r="I91" s="5"/>
      <c r="K91" s="4" t="s">
        <v>54</v>
      </c>
      <c r="N91" s="4">
        <v>0</v>
      </c>
      <c r="O91" s="4">
        <v>0</v>
      </c>
      <c r="Q91" s="4">
        <v>0</v>
      </c>
      <c r="R91" s="4" t="s">
        <v>61</v>
      </c>
    </row>
    <row r="92" spans="1:27" s="4" customFormat="1" x14ac:dyDescent="0.25">
      <c r="A92" s="4">
        <v>16849453</v>
      </c>
      <c r="B92" s="4" t="s">
        <v>76</v>
      </c>
      <c r="C92" s="4" t="s">
        <v>77</v>
      </c>
      <c r="D92" s="4" t="s">
        <v>82</v>
      </c>
      <c r="F92" s="4" t="s">
        <v>57</v>
      </c>
      <c r="G92" s="4" t="s">
        <v>83</v>
      </c>
      <c r="H92" s="5">
        <v>46082</v>
      </c>
      <c r="I92" s="5"/>
      <c r="K92" s="4" t="s">
        <v>54</v>
      </c>
      <c r="N92" s="4">
        <v>0</v>
      </c>
      <c r="O92" s="4">
        <v>0</v>
      </c>
      <c r="Q92" s="4">
        <v>0</v>
      </c>
      <c r="R92" s="4" t="s">
        <v>61</v>
      </c>
    </row>
    <row r="93" spans="1:27" s="4" customFormat="1" x14ac:dyDescent="0.25">
      <c r="A93" s="4">
        <v>20724564</v>
      </c>
      <c r="B93" s="4" t="s">
        <v>109</v>
      </c>
      <c r="C93" s="4" t="s">
        <v>77</v>
      </c>
      <c r="D93" s="4" t="s">
        <v>128</v>
      </c>
      <c r="F93" s="4" t="s">
        <v>57</v>
      </c>
      <c r="G93" s="4" t="s">
        <v>129</v>
      </c>
      <c r="H93" s="5">
        <v>46023</v>
      </c>
      <c r="I93" s="5"/>
      <c r="K93" s="4" t="s">
        <v>54</v>
      </c>
      <c r="N93" s="4">
        <v>0</v>
      </c>
      <c r="O93" s="4">
        <v>0</v>
      </c>
      <c r="Q93" s="4">
        <v>0</v>
      </c>
      <c r="R93" s="4" t="s">
        <v>61</v>
      </c>
    </row>
    <row r="94" spans="1:27" s="4" customFormat="1" x14ac:dyDescent="0.25">
      <c r="A94" s="4">
        <v>20724564</v>
      </c>
      <c r="B94" s="4" t="s">
        <v>109</v>
      </c>
      <c r="C94" s="4" t="s">
        <v>77</v>
      </c>
      <c r="D94" s="4" t="s">
        <v>122</v>
      </c>
      <c r="F94" s="4" t="s">
        <v>57</v>
      </c>
      <c r="G94" s="4" t="s">
        <v>123</v>
      </c>
      <c r="H94" s="5">
        <v>45839</v>
      </c>
      <c r="I94" s="5"/>
      <c r="K94" s="4" t="s">
        <v>54</v>
      </c>
      <c r="N94" s="4">
        <v>0</v>
      </c>
      <c r="O94" s="4">
        <v>0</v>
      </c>
      <c r="Q94" s="4">
        <v>0</v>
      </c>
      <c r="R94" s="4" t="s">
        <v>61</v>
      </c>
    </row>
    <row r="95" spans="1:27" s="4" customFormat="1" x14ac:dyDescent="0.25">
      <c r="A95" s="4">
        <v>16849453</v>
      </c>
      <c r="B95" s="4" t="s">
        <v>76</v>
      </c>
      <c r="C95" s="4" t="s">
        <v>77</v>
      </c>
      <c r="D95" s="4" t="s">
        <v>91</v>
      </c>
      <c r="F95" s="4" t="s">
        <v>57</v>
      </c>
      <c r="G95" s="4" t="s">
        <v>92</v>
      </c>
      <c r="H95" s="5">
        <v>46054</v>
      </c>
      <c r="I95" s="5"/>
      <c r="K95" s="4" t="s">
        <v>54</v>
      </c>
      <c r="N95" s="4">
        <v>0</v>
      </c>
      <c r="O95" s="4">
        <v>0</v>
      </c>
      <c r="Q95" s="4">
        <v>0</v>
      </c>
      <c r="R95" s="4" t="s">
        <v>61</v>
      </c>
    </row>
    <row r="96" spans="1:27" s="4" customFormat="1" x14ac:dyDescent="0.25">
      <c r="A96" s="4">
        <v>21564088</v>
      </c>
      <c r="B96" s="4" t="s">
        <v>196</v>
      </c>
      <c r="C96" s="4" t="s">
        <v>182</v>
      </c>
      <c r="D96" s="4" t="s">
        <v>200</v>
      </c>
      <c r="F96" s="4" t="s">
        <v>57</v>
      </c>
      <c r="G96" s="4" t="s">
        <v>201</v>
      </c>
      <c r="H96" s="5">
        <v>45992</v>
      </c>
      <c r="I96" s="5"/>
      <c r="K96" s="4" t="s">
        <v>54</v>
      </c>
      <c r="N96" s="4">
        <v>0</v>
      </c>
      <c r="O96" s="4">
        <v>0</v>
      </c>
      <c r="Q96" s="4">
        <v>0</v>
      </c>
      <c r="R96" s="4" t="s">
        <v>61</v>
      </c>
    </row>
    <row r="97" spans="1:18" s="4" customFormat="1" x14ac:dyDescent="0.25">
      <c r="A97" s="4">
        <v>20724564</v>
      </c>
      <c r="B97" s="4" t="s">
        <v>109</v>
      </c>
      <c r="C97" s="4" t="s">
        <v>77</v>
      </c>
      <c r="D97" s="4" t="s">
        <v>119</v>
      </c>
      <c r="F97" s="4" t="s">
        <v>57</v>
      </c>
      <c r="G97" s="4" t="s">
        <v>120</v>
      </c>
      <c r="H97" s="5">
        <v>45931</v>
      </c>
      <c r="I97" s="5"/>
      <c r="K97" s="4" t="s">
        <v>54</v>
      </c>
      <c r="N97" s="4">
        <v>0</v>
      </c>
      <c r="O97" s="4">
        <v>0</v>
      </c>
      <c r="Q97" s="4">
        <v>0</v>
      </c>
      <c r="R97" s="4" t="s">
        <v>61</v>
      </c>
    </row>
    <row r="98" spans="1:18" s="4" customFormat="1" x14ac:dyDescent="0.25">
      <c r="A98" s="4">
        <v>20724564</v>
      </c>
      <c r="B98" s="4" t="s">
        <v>109</v>
      </c>
      <c r="C98" s="4" t="s">
        <v>77</v>
      </c>
      <c r="D98" s="4" t="s">
        <v>143</v>
      </c>
      <c r="F98" s="4" t="s">
        <v>57</v>
      </c>
      <c r="G98" s="4" t="s">
        <v>144</v>
      </c>
      <c r="H98" s="5">
        <v>45992</v>
      </c>
      <c r="I98" s="5"/>
      <c r="K98" s="4" t="s">
        <v>54</v>
      </c>
      <c r="N98" s="4">
        <v>0</v>
      </c>
      <c r="O98" s="4">
        <v>0</v>
      </c>
      <c r="Q98" s="4">
        <v>0</v>
      </c>
      <c r="R98" s="4" t="s">
        <v>61</v>
      </c>
    </row>
    <row r="99" spans="1:18" s="4" customFormat="1" x14ac:dyDescent="0.25">
      <c r="A99" s="4">
        <v>20724564</v>
      </c>
      <c r="B99" s="4" t="s">
        <v>109</v>
      </c>
      <c r="C99" s="4" t="s">
        <v>77</v>
      </c>
      <c r="D99" s="4" t="s">
        <v>168</v>
      </c>
      <c r="F99" s="4" t="s">
        <v>57</v>
      </c>
      <c r="G99" s="4" t="s">
        <v>169</v>
      </c>
      <c r="H99" s="5">
        <v>45931</v>
      </c>
      <c r="I99" s="5"/>
      <c r="K99" s="4" t="s">
        <v>54</v>
      </c>
      <c r="N99" s="4">
        <v>0</v>
      </c>
      <c r="O99" s="4">
        <v>0</v>
      </c>
      <c r="Q99" s="4">
        <v>0</v>
      </c>
      <c r="R99" s="4" t="s">
        <v>61</v>
      </c>
    </row>
    <row r="100" spans="1:18" s="4" customFormat="1" x14ac:dyDescent="0.25">
      <c r="A100" s="4">
        <v>20724564</v>
      </c>
      <c r="B100" s="4" t="s">
        <v>109</v>
      </c>
      <c r="C100" s="4" t="s">
        <v>77</v>
      </c>
      <c r="D100" s="4" t="s">
        <v>125</v>
      </c>
      <c r="F100" s="4" t="s">
        <v>57</v>
      </c>
      <c r="G100" s="4" t="s">
        <v>126</v>
      </c>
      <c r="H100" s="5">
        <v>45931</v>
      </c>
      <c r="I100" s="5"/>
      <c r="K100" s="4" t="s">
        <v>54</v>
      </c>
      <c r="N100" s="4">
        <v>0</v>
      </c>
      <c r="O100" s="4">
        <v>0</v>
      </c>
      <c r="Q100" s="4">
        <v>0</v>
      </c>
      <c r="R100" s="4" t="s">
        <v>61</v>
      </c>
    </row>
    <row r="101" spans="1:18" s="4" customFormat="1" x14ac:dyDescent="0.25">
      <c r="A101" s="4">
        <v>16849453</v>
      </c>
      <c r="B101" s="4" t="s">
        <v>76</v>
      </c>
      <c r="C101" s="4" t="s">
        <v>77</v>
      </c>
      <c r="D101" s="4" t="s">
        <v>78</v>
      </c>
      <c r="F101" s="4" t="s">
        <v>57</v>
      </c>
      <c r="G101" s="4" t="s">
        <v>80</v>
      </c>
      <c r="H101" s="5">
        <v>46082</v>
      </c>
      <c r="I101" s="5"/>
      <c r="K101" s="4" t="s">
        <v>54</v>
      </c>
      <c r="N101" s="4">
        <v>0</v>
      </c>
      <c r="O101" s="4">
        <v>0</v>
      </c>
      <c r="Q101" s="4">
        <v>0</v>
      </c>
      <c r="R101" s="4" t="s">
        <v>61</v>
      </c>
    </row>
    <row r="102" spans="1:18" s="4" customFormat="1" x14ac:dyDescent="0.25">
      <c r="A102" s="4">
        <v>20724564</v>
      </c>
      <c r="B102" s="4" t="s">
        <v>109</v>
      </c>
      <c r="C102" s="4" t="s">
        <v>77</v>
      </c>
      <c r="D102" s="4" t="s">
        <v>165</v>
      </c>
      <c r="F102" s="4" t="s">
        <v>57</v>
      </c>
      <c r="G102" s="4" t="s">
        <v>166</v>
      </c>
      <c r="H102" s="5">
        <v>46023</v>
      </c>
      <c r="I102" s="5"/>
      <c r="K102" s="4" t="s">
        <v>54</v>
      </c>
      <c r="N102" s="4">
        <v>0</v>
      </c>
      <c r="O102" s="4">
        <v>0</v>
      </c>
      <c r="Q102" s="4">
        <v>0</v>
      </c>
      <c r="R102" s="4" t="s">
        <v>61</v>
      </c>
    </row>
    <row r="103" spans="1:18" s="4" customFormat="1" x14ac:dyDescent="0.25">
      <c r="A103" s="4">
        <v>20724564</v>
      </c>
      <c r="B103" s="4" t="s">
        <v>109</v>
      </c>
      <c r="C103" s="4" t="s">
        <v>77</v>
      </c>
      <c r="D103" s="4" t="s">
        <v>137</v>
      </c>
      <c r="F103" s="4" t="s">
        <v>57</v>
      </c>
      <c r="G103" s="4" t="s">
        <v>138</v>
      </c>
      <c r="H103" s="5">
        <v>45931</v>
      </c>
      <c r="I103" s="5"/>
      <c r="K103" s="4" t="s">
        <v>54</v>
      </c>
      <c r="N103" s="4">
        <v>0</v>
      </c>
      <c r="O103" s="4">
        <v>0</v>
      </c>
      <c r="Q103" s="4">
        <v>0</v>
      </c>
      <c r="R103" s="4" t="s">
        <v>61</v>
      </c>
    </row>
    <row r="104" spans="1:18" s="4" customFormat="1" x14ac:dyDescent="0.25">
      <c r="A104" s="4">
        <v>20724564</v>
      </c>
      <c r="B104" s="4" t="s">
        <v>109</v>
      </c>
      <c r="C104" s="4" t="s">
        <v>77</v>
      </c>
      <c r="D104" s="4" t="s">
        <v>110</v>
      </c>
      <c r="F104" s="4" t="s">
        <v>57</v>
      </c>
      <c r="G104" s="4" t="s">
        <v>111</v>
      </c>
      <c r="H104" s="5">
        <v>45901</v>
      </c>
      <c r="I104" s="5"/>
      <c r="K104" s="4" t="s">
        <v>54</v>
      </c>
      <c r="N104" s="4">
        <v>0</v>
      </c>
      <c r="O104" s="4">
        <v>0</v>
      </c>
      <c r="Q104" s="4">
        <v>0</v>
      </c>
      <c r="R104" s="4" t="s">
        <v>61</v>
      </c>
    </row>
    <row r="105" spans="1:18" s="4" customFormat="1" x14ac:dyDescent="0.25">
      <c r="A105" s="4">
        <v>20724564</v>
      </c>
      <c r="B105" s="4" t="s">
        <v>109</v>
      </c>
      <c r="C105" s="4" t="s">
        <v>77</v>
      </c>
      <c r="D105" s="4" t="s">
        <v>140</v>
      </c>
      <c r="F105" s="4" t="s">
        <v>57</v>
      </c>
      <c r="G105" s="4" t="s">
        <v>141</v>
      </c>
      <c r="H105" s="5">
        <v>45901</v>
      </c>
      <c r="I105" s="5"/>
      <c r="K105" s="4" t="s">
        <v>54</v>
      </c>
      <c r="N105" s="4">
        <v>0</v>
      </c>
      <c r="O105" s="4">
        <v>0</v>
      </c>
      <c r="Q105" s="4">
        <v>0</v>
      </c>
      <c r="R105" s="4" t="s">
        <v>61</v>
      </c>
    </row>
    <row r="106" spans="1:18" s="4" customFormat="1" x14ac:dyDescent="0.25">
      <c r="A106" s="4">
        <v>21348299</v>
      </c>
      <c r="B106" s="4" t="s">
        <v>55</v>
      </c>
      <c r="C106" s="4" t="s">
        <v>46</v>
      </c>
      <c r="D106" s="4" t="s">
        <v>56</v>
      </c>
      <c r="F106" s="4" t="s">
        <v>57</v>
      </c>
      <c r="G106" s="4" t="s">
        <v>59</v>
      </c>
      <c r="H106" s="5">
        <v>46023</v>
      </c>
      <c r="I106" s="5"/>
      <c r="K106" s="4" t="s">
        <v>54</v>
      </c>
      <c r="N106" s="4">
        <v>0</v>
      </c>
      <c r="O106" s="4">
        <v>0</v>
      </c>
      <c r="Q106" s="4">
        <v>0</v>
      </c>
      <c r="R106" s="4" t="s">
        <v>61</v>
      </c>
    </row>
  </sheetData>
  <sortState xmlns:xlrd2="http://schemas.microsoft.com/office/spreadsheetml/2017/richdata2" ref="A57:AA106">
    <sortCondition ref="F57:F106"/>
    <sortCondition ref="D57:D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ToolBox_06042026_COINS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2026-06-25T13:57:27Z</dcterms:created>
  <dcterms:modified xsi:type="dcterms:W3CDTF">2026-06-26T15:17:49Z</dcterms:modified>
</cp:coreProperties>
</file>