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8-31-25\"/>
    </mc:Choice>
  </mc:AlternateContent>
  <xr:revisionPtr revIDLastSave="0" documentId="13_ncr:1_{5C6CA087-1BC5-4856-AB80-617C9486CE86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Policy Details" sheetId="1" r:id="rId1"/>
    <sheet name="clean sheet" sheetId="2" r:id="rId2"/>
    <sheet name="Sheet4" sheetId="5" r:id="rId3"/>
  </sheets>
  <externalReferences>
    <externalReference r:id="rId4"/>
  </externalReferences>
  <definedNames>
    <definedName name="_xlnm._FilterDatabase" localSheetId="1" hidden="1">'clean sheet'!$A$1:$P$315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2" i="2" l="1"/>
  <c r="B1" i="5" a="1"/>
  <c r="B1" i="5" s="1"/>
  <c r="G290" i="2"/>
  <c r="G291" i="2"/>
  <c r="G293" i="2"/>
  <c r="G247" i="2"/>
  <c r="G286" i="2"/>
  <c r="G288" i="2"/>
  <c r="G287" i="2"/>
  <c r="G314" i="2"/>
  <c r="G285" i="2"/>
  <c r="G280" i="2"/>
  <c r="G278" i="2"/>
  <c r="G283" i="2"/>
  <c r="G284" i="2"/>
  <c r="G313" i="2"/>
  <c r="G277" i="2"/>
  <c r="G282" i="2"/>
  <c r="G281" i="2"/>
  <c r="G279" i="2"/>
  <c r="G272" i="2"/>
  <c r="G276" i="2"/>
  <c r="G275" i="2"/>
  <c r="G266" i="2"/>
  <c r="G273" i="2"/>
  <c r="G274" i="2"/>
  <c r="G269" i="2"/>
  <c r="G270" i="2"/>
  <c r="G271" i="2"/>
  <c r="G268" i="2"/>
  <c r="G312" i="2"/>
  <c r="G267" i="2"/>
  <c r="G262" i="2"/>
  <c r="G265" i="2"/>
  <c r="G311" i="2"/>
  <c r="G263" i="2"/>
  <c r="G264" i="2"/>
  <c r="G261" i="2"/>
  <c r="G309" i="2"/>
  <c r="G310" i="2"/>
  <c r="G308" i="2"/>
  <c r="G260" i="2"/>
  <c r="G257" i="2"/>
  <c r="G258" i="2"/>
  <c r="G259" i="2"/>
  <c r="G307" i="2"/>
  <c r="G256" i="2"/>
  <c r="G254" i="2"/>
  <c r="G255" i="2"/>
  <c r="G251" i="2"/>
  <c r="G253" i="2"/>
  <c r="G252" i="2"/>
  <c r="G248" i="2"/>
  <c r="G249" i="2"/>
  <c r="G250" i="2"/>
  <c r="G246" i="2"/>
  <c r="G234" i="2"/>
  <c r="G235" i="2"/>
  <c r="G236" i="2"/>
  <c r="G237" i="2"/>
  <c r="G238" i="2"/>
  <c r="G239" i="2"/>
  <c r="G245" i="2"/>
  <c r="G304" i="2"/>
  <c r="G244" i="2"/>
  <c r="G240" i="2"/>
  <c r="G241" i="2"/>
  <c r="G242" i="2"/>
  <c r="G243" i="2"/>
  <c r="G306" i="2"/>
  <c r="G225" i="2"/>
  <c r="G305" i="2"/>
  <c r="G233" i="2"/>
  <c r="G211" i="2"/>
  <c r="G303" i="2"/>
  <c r="G230" i="2"/>
  <c r="G231" i="2"/>
  <c r="G232" i="2"/>
  <c r="G229" i="2"/>
  <c r="G228" i="2"/>
  <c r="G226" i="2"/>
  <c r="G227" i="2"/>
  <c r="G224" i="2"/>
  <c r="G223" i="2"/>
  <c r="G217" i="2"/>
  <c r="G210" i="2"/>
  <c r="G219" i="2"/>
  <c r="G220" i="2"/>
  <c r="G212" i="2"/>
  <c r="G213" i="2"/>
  <c r="G214" i="2"/>
  <c r="G215" i="2"/>
  <c r="G216" i="2"/>
  <c r="G221" i="2"/>
  <c r="G222" i="2"/>
  <c r="G218" i="2"/>
  <c r="G207" i="2"/>
  <c r="G175" i="2"/>
  <c r="G208" i="2"/>
  <c r="G209" i="2"/>
  <c r="G300" i="2"/>
  <c r="G195" i="2"/>
  <c r="G196" i="2"/>
  <c r="G204" i="2"/>
  <c r="G205" i="2"/>
  <c r="G206" i="2"/>
  <c r="G197" i="2"/>
  <c r="G192" i="2"/>
  <c r="G193" i="2"/>
  <c r="G199" i="2"/>
  <c r="G200" i="2"/>
  <c r="G202" i="2"/>
  <c r="G203" i="2"/>
  <c r="G198" i="2"/>
  <c r="G201" i="2"/>
  <c r="G194" i="2"/>
  <c r="G178" i="2"/>
  <c r="G179" i="2"/>
  <c r="G188" i="2"/>
  <c r="G144" i="2"/>
  <c r="G186" i="2"/>
  <c r="G190" i="2"/>
  <c r="G191" i="2"/>
  <c r="G180" i="2"/>
  <c r="G189" i="2"/>
  <c r="G187" i="2"/>
  <c r="G181" i="2"/>
  <c r="G182" i="2"/>
  <c r="G184" i="2"/>
  <c r="G185" i="2"/>
  <c r="G183" i="2"/>
  <c r="G301" i="2"/>
  <c r="G176" i="2"/>
  <c r="G155" i="2"/>
  <c r="G163" i="2"/>
  <c r="G164" i="2"/>
  <c r="G170" i="2"/>
  <c r="G171" i="2"/>
  <c r="G172" i="2"/>
  <c r="G173" i="2"/>
  <c r="G177" i="2"/>
  <c r="G161" i="2"/>
  <c r="G162" i="2"/>
  <c r="G165" i="2"/>
  <c r="G166" i="2"/>
  <c r="G167" i="2"/>
  <c r="G168" i="2"/>
  <c r="G169" i="2"/>
  <c r="G174" i="2"/>
  <c r="G147" i="2"/>
  <c r="G154" i="2"/>
  <c r="G153" i="2"/>
  <c r="G156" i="2"/>
  <c r="G159" i="2"/>
  <c r="G151" i="2"/>
  <c r="G160" i="2"/>
  <c r="G158" i="2"/>
  <c r="G302" i="2"/>
  <c r="G150" i="2"/>
  <c r="G157" i="2"/>
  <c r="G152" i="2"/>
  <c r="G142" i="2"/>
  <c r="G136" i="2"/>
  <c r="G140" i="2"/>
  <c r="G138" i="2"/>
  <c r="G119" i="2"/>
  <c r="G135" i="2"/>
  <c r="G141" i="2"/>
  <c r="G143" i="2"/>
  <c r="G146" i="2"/>
  <c r="G148" i="2"/>
  <c r="G149" i="2"/>
  <c r="G145" i="2"/>
  <c r="G139" i="2"/>
  <c r="G123" i="2"/>
  <c r="G137" i="2"/>
  <c r="G130" i="2"/>
  <c r="G120" i="2"/>
  <c r="G129" i="2"/>
  <c r="G134" i="2"/>
  <c r="G127" i="2"/>
  <c r="G131" i="2"/>
  <c r="G132" i="2"/>
  <c r="G133" i="2"/>
  <c r="G124" i="2"/>
  <c r="G125" i="2"/>
  <c r="G126" i="2"/>
  <c r="G128" i="2"/>
  <c r="G117" i="2"/>
  <c r="G118" i="2"/>
  <c r="G121" i="2"/>
  <c r="G122" i="2"/>
  <c r="G116" i="2"/>
  <c r="G114" i="2"/>
  <c r="G115" i="2"/>
  <c r="G107" i="2"/>
  <c r="G113" i="2"/>
  <c r="G110" i="2"/>
  <c r="G111" i="2"/>
  <c r="G112" i="2"/>
  <c r="G108" i="2"/>
  <c r="G102" i="2"/>
  <c r="G104" i="2"/>
  <c r="G109" i="2"/>
  <c r="G105" i="2"/>
  <c r="G106" i="2"/>
  <c r="G298" i="2"/>
  <c r="G100" i="2"/>
  <c r="G101" i="2"/>
  <c r="G103" i="2"/>
  <c r="G93" i="2"/>
  <c r="G98" i="2"/>
  <c r="G99" i="2"/>
  <c r="G94" i="2"/>
  <c r="G95" i="2"/>
  <c r="G96" i="2"/>
  <c r="G97" i="2"/>
  <c r="G91" i="2"/>
  <c r="G92" i="2"/>
  <c r="G89" i="2"/>
  <c r="G90" i="2"/>
  <c r="G85" i="2"/>
  <c r="G77" i="2"/>
  <c r="G87" i="2"/>
  <c r="G88" i="2"/>
  <c r="G81" i="2"/>
  <c r="G79" i="2"/>
  <c r="G82" i="2"/>
  <c r="G299" i="2"/>
  <c r="G83" i="2"/>
  <c r="G84" i="2"/>
  <c r="G86" i="2"/>
  <c r="G78" i="2"/>
  <c r="G80" i="2"/>
  <c r="G296" i="2"/>
  <c r="G63" i="2"/>
  <c r="G76" i="2"/>
  <c r="G75" i="2"/>
  <c r="G73" i="2"/>
  <c r="G74" i="2"/>
  <c r="G72" i="2"/>
  <c r="G297" i="2"/>
  <c r="G71" i="2"/>
  <c r="G68" i="2"/>
  <c r="G69" i="2"/>
  <c r="G70" i="2"/>
  <c r="G66" i="2"/>
  <c r="G67" i="2"/>
  <c r="G65" i="2"/>
  <c r="G61" i="2"/>
  <c r="G64" i="2"/>
  <c r="G62" i="2"/>
  <c r="G54" i="2"/>
  <c r="G58" i="2"/>
  <c r="G60" i="2"/>
  <c r="G57" i="2"/>
  <c r="G59" i="2"/>
  <c r="G295" i="2"/>
  <c r="G56" i="2"/>
  <c r="G53" i="2"/>
  <c r="G55" i="2"/>
  <c r="G45" i="2"/>
  <c r="G52" i="2"/>
  <c r="G50" i="2"/>
  <c r="G51" i="2"/>
  <c r="G315" i="2"/>
  <c r="G26" i="2"/>
  <c r="G49" i="2"/>
  <c r="G43" i="2"/>
  <c r="G44" i="2"/>
  <c r="G46" i="2"/>
  <c r="G47" i="2"/>
  <c r="G48" i="2"/>
  <c r="G42" i="2"/>
  <c r="G294" i="2"/>
  <c r="G40" i="2"/>
  <c r="G41" i="2"/>
  <c r="G27" i="2"/>
  <c r="G39" i="2"/>
  <c r="G37" i="2"/>
  <c r="G38" i="2"/>
  <c r="G35" i="2"/>
  <c r="G36" i="2"/>
  <c r="G28" i="2"/>
  <c r="G29" i="2"/>
  <c r="G30" i="2"/>
  <c r="G31" i="2"/>
  <c r="G32" i="2"/>
  <c r="G33" i="2"/>
  <c r="G34" i="2"/>
  <c r="G23" i="2"/>
  <c r="G24" i="2"/>
  <c r="G25" i="2"/>
  <c r="G22" i="2"/>
  <c r="G20" i="2"/>
  <c r="G21" i="2"/>
  <c r="G19" i="2"/>
  <c r="G13" i="2"/>
  <c r="G11" i="2"/>
  <c r="G18" i="2"/>
  <c r="G17" i="2"/>
  <c r="G16" i="2"/>
  <c r="G15" i="2"/>
  <c r="G14" i="2"/>
  <c r="G12" i="2"/>
  <c r="G8" i="2"/>
  <c r="G10" i="2"/>
  <c r="G9" i="2"/>
  <c r="G6" i="2"/>
  <c r="G7" i="2"/>
  <c r="G5" i="2"/>
  <c r="G4" i="2"/>
  <c r="G3" i="2"/>
  <c r="G2" i="2"/>
  <c r="G289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<sst xmlns="http://schemas.openxmlformats.org/spreadsheetml/2006/main" count="5090" uniqueCount="716">
  <si>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</si>
  <si>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</si>
  <si>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</si>
  <si>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</si>
  <si>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</si>
  <si>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</si>
  <si>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</si>
  <si>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</si>
  <si>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</si>
  <si>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</si>
  <si>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</si>
  <si>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</si>
  <si>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</si>
  <si>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</si>
  <si>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</si>
  <si>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</si>
  <si>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</si>
  <si>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</si>
  <si>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</si>
  <si>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</si>
  <si>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</si>
  <si>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</si>
  <si>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Max, Ronald</t>
  </si>
  <si>
    <t>6NBL</t>
  </si>
  <si>
    <t>4151547823</t>
  </si>
  <si>
    <t>Edelenbos, Ursula</t>
  </si>
  <si>
    <t>H</t>
  </si>
  <si>
    <t>Accidental Death Benefit</t>
  </si>
  <si>
    <t>85</t>
  </si>
  <si>
    <t>Monthly</t>
  </si>
  <si>
    <t>FirstYear</t>
  </si>
  <si>
    <t>REVERSAL</t>
  </si>
  <si>
    <t>4151547834</t>
  </si>
  <si>
    <t>Accident Insurance</t>
  </si>
  <si>
    <t>Zana, Nasandelger</t>
  </si>
  <si>
    <t>6LM9</t>
  </si>
  <si>
    <t>4151550029</t>
  </si>
  <si>
    <t>Enkhbold, Otgontuya</t>
  </si>
  <si>
    <t>Assurity Critical Illness</t>
  </si>
  <si>
    <t>Choi, Andrew</t>
  </si>
  <si>
    <t>6LVV</t>
  </si>
  <si>
    <t>4151553287</t>
  </si>
  <si>
    <t>Vanderpluym, Mark</t>
  </si>
  <si>
    <t>4151556451</t>
  </si>
  <si>
    <t>Young, Steven</t>
  </si>
  <si>
    <t>4151556453</t>
  </si>
  <si>
    <t>4151558819</t>
  </si>
  <si>
    <t>Quang, Minh</t>
  </si>
  <si>
    <t>4151561169</t>
  </si>
  <si>
    <t>Wongus, Marcus</t>
  </si>
  <si>
    <t>4151561171</t>
  </si>
  <si>
    <t>Richter, Adam</t>
  </si>
  <si>
    <t>2BNY</t>
  </si>
  <si>
    <t>4151561317</t>
  </si>
  <si>
    <t>Makowitz, David</t>
  </si>
  <si>
    <t>4151561471</t>
  </si>
  <si>
    <t>Vance, Jaime</t>
  </si>
  <si>
    <t>4151561472</t>
  </si>
  <si>
    <t>Abdul, Saadia</t>
  </si>
  <si>
    <t>6LQA</t>
  </si>
  <si>
    <t>4151561743</t>
  </si>
  <si>
    <t>Vega, Agustin</t>
  </si>
  <si>
    <t>4151561762</t>
  </si>
  <si>
    <t>Yale, Richard</t>
  </si>
  <si>
    <t>6LXP</t>
  </si>
  <si>
    <t>4151561767</t>
  </si>
  <si>
    <t>Palmer, Dean</t>
  </si>
  <si>
    <t>Portugal, Gary</t>
  </si>
  <si>
    <t>6LVU</t>
  </si>
  <si>
    <t>4151562155</t>
  </si>
  <si>
    <t>Basilio, Rodolfo</t>
  </si>
  <si>
    <t>Inskipt, Deborah</t>
  </si>
  <si>
    <t>3B6E</t>
  </si>
  <si>
    <t>4151562777</t>
  </si>
  <si>
    <t>Karas, Aaron</t>
  </si>
  <si>
    <t>4151562783</t>
  </si>
  <si>
    <t>4151562986</t>
  </si>
  <si>
    <t>Palmer, Donna</t>
  </si>
  <si>
    <t>4151563221</t>
  </si>
  <si>
    <t>Sosorbaram, Bolormaa</t>
  </si>
  <si>
    <t>4151563252</t>
  </si>
  <si>
    <t>Sonnefeldt, Nicole</t>
  </si>
  <si>
    <t>4151563253</t>
  </si>
  <si>
    <t>Liskovec, Frank</t>
  </si>
  <si>
    <t>6M7F</t>
  </si>
  <si>
    <t>4151563292</t>
  </si>
  <si>
    <t>Enwia, Maurice</t>
  </si>
  <si>
    <t>Yale, Chad</t>
  </si>
  <si>
    <t>6NBN</t>
  </si>
  <si>
    <t>4151563302</t>
  </si>
  <si>
    <t>Randazzo, Francesca</t>
  </si>
  <si>
    <t>4151563538</t>
  </si>
  <si>
    <t>4151563603</t>
  </si>
  <si>
    <t>Thornton, Jorden</t>
  </si>
  <si>
    <t>4151563607</t>
  </si>
  <si>
    <t>4151563611</t>
  </si>
  <si>
    <t>Mulkern, Patrick</t>
  </si>
  <si>
    <t>4151563638</t>
  </si>
  <si>
    <t>Ariano, Giuseppe</t>
  </si>
  <si>
    <t>4151563639</t>
  </si>
  <si>
    <t>4151563892</t>
  </si>
  <si>
    <t>Rohrbach, Kevin</t>
  </si>
  <si>
    <t>4151563900</t>
  </si>
  <si>
    <t>Santos, Ricardo</t>
  </si>
  <si>
    <t>6LW6</t>
  </si>
  <si>
    <t>4151564293</t>
  </si>
  <si>
    <t>Fernando, Jordan</t>
  </si>
  <si>
    <t>4151564868</t>
  </si>
  <si>
    <t>Zana, Yesukhei</t>
  </si>
  <si>
    <t>Quarterly</t>
  </si>
  <si>
    <t>4151565382</t>
  </si>
  <si>
    <t>Madete, Susan</t>
  </si>
  <si>
    <t>4151565384</t>
  </si>
  <si>
    <t>4151565412</t>
  </si>
  <si>
    <t>Amar, Sainbuyan</t>
  </si>
  <si>
    <t>4151565413</t>
  </si>
  <si>
    <t>4151565823</t>
  </si>
  <si>
    <t>Chinbat, Zulbayar</t>
  </si>
  <si>
    <t>4151565825</t>
  </si>
  <si>
    <t>4151566818</t>
  </si>
  <si>
    <t>Zana, Nasanjargal</t>
  </si>
  <si>
    <t>4151566820</t>
  </si>
  <si>
    <t>4151568366</t>
  </si>
  <si>
    <t>Tumenbaatar, Tumurbat</t>
  </si>
  <si>
    <t>Enkhtur, Odmaa</t>
  </si>
  <si>
    <t>6MDU</t>
  </si>
  <si>
    <t>4151572874</t>
  </si>
  <si>
    <t>Tsagaan, Enkhtur</t>
  </si>
  <si>
    <t>4151574039</t>
  </si>
  <si>
    <t>Sambuu, Otgontogtokh</t>
  </si>
  <si>
    <t>4151574969</t>
  </si>
  <si>
    <t>Stephan, Alana</t>
  </si>
  <si>
    <t>4151574972</t>
  </si>
  <si>
    <t>Stephan, Craig</t>
  </si>
  <si>
    <t>4151575743</t>
  </si>
  <si>
    <t>Ganbaatar, Gangantugs</t>
  </si>
  <si>
    <t>Kinyua, Jared</t>
  </si>
  <si>
    <t>6LN5</t>
  </si>
  <si>
    <t>4151580492</t>
  </si>
  <si>
    <t>Carter, Bernard</t>
  </si>
  <si>
    <t>Petrungaro, Andrea</t>
  </si>
  <si>
    <t>6MCL</t>
  </si>
  <si>
    <t>4151580600</t>
  </si>
  <si>
    <t>Anderson, Annette</t>
  </si>
  <si>
    <t>4151586279</t>
  </si>
  <si>
    <t>Hackensmith, Lynn</t>
  </si>
  <si>
    <t>4151587194</t>
  </si>
  <si>
    <t>Weiss, Kathy</t>
  </si>
  <si>
    <t>4151588160</t>
  </si>
  <si>
    <t>Curtis, Robert</t>
  </si>
  <si>
    <t>4151588493</t>
  </si>
  <si>
    <t>Altangerel, Selenge</t>
  </si>
  <si>
    <t>4151588759</t>
  </si>
  <si>
    <t>Davis, Shannon</t>
  </si>
  <si>
    <t>4151588799</t>
  </si>
  <si>
    <t>Fritz, Karen</t>
  </si>
  <si>
    <t>4151588825</t>
  </si>
  <si>
    <t>Zolzaya, Turtogtokh</t>
  </si>
  <si>
    <t>4151588828</t>
  </si>
  <si>
    <t>Nyamjantsan, Zolzaya</t>
  </si>
  <si>
    <t>4151588840</t>
  </si>
  <si>
    <t>Myagmarsuren, Selenge</t>
  </si>
  <si>
    <t>4151589059</t>
  </si>
  <si>
    <t>Cisneros, Maria</t>
  </si>
  <si>
    <t>4151591279</t>
  </si>
  <si>
    <t>Fourtounis, Peter</t>
  </si>
  <si>
    <t>4151591316</t>
  </si>
  <si>
    <t>Conway, Robert</t>
  </si>
  <si>
    <t>4151593736</t>
  </si>
  <si>
    <t>Sciupider, Magda</t>
  </si>
  <si>
    <t>4151594815</t>
  </si>
  <si>
    <t>Buneta, Katherine</t>
  </si>
  <si>
    <t>4151595912</t>
  </si>
  <si>
    <t>Fasullo, Gioacchino</t>
  </si>
  <si>
    <t>4151597808</t>
  </si>
  <si>
    <t>Zisopoulos, Konstantia</t>
  </si>
  <si>
    <t>4151600184</t>
  </si>
  <si>
    <t>Gonchig, Baigalmaa</t>
  </si>
  <si>
    <t>4151600185</t>
  </si>
  <si>
    <t>Jigjiddorj, Erdenebaatar</t>
  </si>
  <si>
    <t>4151600566</t>
  </si>
  <si>
    <t>White, William</t>
  </si>
  <si>
    <t>4151600902</t>
  </si>
  <si>
    <t>4151605305</t>
  </si>
  <si>
    <t>Nina, Erdene</t>
  </si>
  <si>
    <t>4151610835</t>
  </si>
  <si>
    <t>Vasquez, Alexi</t>
  </si>
  <si>
    <t>4151615335</t>
  </si>
  <si>
    <t>Tyson Channer, James</t>
  </si>
  <si>
    <t>4151617038</t>
  </si>
  <si>
    <t>Braica, Dylan</t>
  </si>
  <si>
    <t>4151620521</t>
  </si>
  <si>
    <t>Thomas, Kesya</t>
  </si>
  <si>
    <t>4151620816</t>
  </si>
  <si>
    <t>Henry, Rodney</t>
  </si>
  <si>
    <t>Accidental Death &amp; Dismemberment</t>
  </si>
  <si>
    <t>4151620817</t>
  </si>
  <si>
    <t>Sandifer, Jessica</t>
  </si>
  <si>
    <t>67VY</t>
  </si>
  <si>
    <t>4151620840</t>
  </si>
  <si>
    <t>Alvarez, Maria</t>
  </si>
  <si>
    <t>4151621050</t>
  </si>
  <si>
    <t>Miller, James</t>
  </si>
  <si>
    <t>4151622521</t>
  </si>
  <si>
    <t>Keane, Jacob</t>
  </si>
  <si>
    <t>4151630167</t>
  </si>
  <si>
    <t>Dickson, Robin</t>
  </si>
  <si>
    <t>4151630168</t>
  </si>
  <si>
    <t>Dickson, Torey</t>
  </si>
  <si>
    <t>4151630259</t>
  </si>
  <si>
    <t>Boyd, Chester</t>
  </si>
  <si>
    <t>Kucan, Thomas</t>
  </si>
  <si>
    <t>5SSK</t>
  </si>
  <si>
    <t>4151632122</t>
  </si>
  <si>
    <t>Walker, Sharrod</t>
  </si>
  <si>
    <t>4151633920</t>
  </si>
  <si>
    <t>Glenn, Lavearn</t>
  </si>
  <si>
    <t>4151633921</t>
  </si>
  <si>
    <t>4151634891</t>
  </si>
  <si>
    <t>Lukefahr, Gerald</t>
  </si>
  <si>
    <t>Torres, Jose</t>
  </si>
  <si>
    <t>6M7J</t>
  </si>
  <si>
    <t>4151639802</t>
  </si>
  <si>
    <t>Morales, Lilia</t>
  </si>
  <si>
    <t>4151644344</t>
  </si>
  <si>
    <t>Stevenson, Victoria</t>
  </si>
  <si>
    <t>4151645069</t>
  </si>
  <si>
    <t>Rose, Laura</t>
  </si>
  <si>
    <t>PREMIUM REFUND</t>
  </si>
  <si>
    <t>4151652051</t>
  </si>
  <si>
    <t>Francisco, Ronaldo</t>
  </si>
  <si>
    <t>Oliver, Brittany</t>
  </si>
  <si>
    <t>6EVF</t>
  </si>
  <si>
    <t>4151655190</t>
  </si>
  <si>
    <t>Fourquet, Maria</t>
  </si>
  <si>
    <t>4151661157</t>
  </si>
  <si>
    <t>Poole, Sophia</t>
  </si>
  <si>
    <t>4151662690</t>
  </si>
  <si>
    <t>Kelly, Luka</t>
  </si>
  <si>
    <t>4151663733</t>
  </si>
  <si>
    <t>Head, Samara</t>
  </si>
  <si>
    <t>4151663734</t>
  </si>
  <si>
    <t>Mcphail, Loronda</t>
  </si>
  <si>
    <t>4151663735</t>
  </si>
  <si>
    <t>Thomas, Jaela</t>
  </si>
  <si>
    <t>4151663736</t>
  </si>
  <si>
    <t>4151663752</t>
  </si>
  <si>
    <t>Knotts, George</t>
  </si>
  <si>
    <t>4151664680</t>
  </si>
  <si>
    <t>4151670691</t>
  </si>
  <si>
    <t>Kennedy, Michelle</t>
  </si>
  <si>
    <t>4151671947</t>
  </si>
  <si>
    <t>Saenz, Hector</t>
  </si>
  <si>
    <t>4151673372</t>
  </si>
  <si>
    <t>Muharram, Fateheya</t>
  </si>
  <si>
    <t>4151678939</t>
  </si>
  <si>
    <t>Farrell, Thomas</t>
  </si>
  <si>
    <t>4151683235</t>
  </si>
  <si>
    <t>Caldwell, April</t>
  </si>
  <si>
    <t>4151685220</t>
  </si>
  <si>
    <t>Misiaszek, Sara</t>
  </si>
  <si>
    <t>4151685278</t>
  </si>
  <si>
    <t>Barbitta, Connie</t>
  </si>
  <si>
    <t>4151685643</t>
  </si>
  <si>
    <t>Martinez, Alejandra</t>
  </si>
  <si>
    <t>4151687180</t>
  </si>
  <si>
    <t>Stambaugh, Grace</t>
  </si>
  <si>
    <t>4151688039</t>
  </si>
  <si>
    <t>Haddock, Teresa</t>
  </si>
  <si>
    <t>4151694577</t>
  </si>
  <si>
    <t>Lewis, James</t>
  </si>
  <si>
    <t>4151695285</t>
  </si>
  <si>
    <t>Talati, Dipal</t>
  </si>
  <si>
    <t>4151695690</t>
  </si>
  <si>
    <t>Okemwa, Petuah</t>
  </si>
  <si>
    <t>4151695691</t>
  </si>
  <si>
    <t>Dittrich, Danne</t>
  </si>
  <si>
    <t>4151695980</t>
  </si>
  <si>
    <t>Tall, Amadou</t>
  </si>
  <si>
    <t>4151696059</t>
  </si>
  <si>
    <t>Rightmyer, Kimberly</t>
  </si>
  <si>
    <t>4151697305</t>
  </si>
  <si>
    <t>Hairston, Kevin</t>
  </si>
  <si>
    <t>4151697325</t>
  </si>
  <si>
    <t>Espitia Ramirez, Luz</t>
  </si>
  <si>
    <t>4151699055</t>
  </si>
  <si>
    <t>Music, Deborah</t>
  </si>
  <si>
    <t>4151448094</t>
  </si>
  <si>
    <t>Jones, Thomas</t>
  </si>
  <si>
    <t>Renewal</t>
  </si>
  <si>
    <t>4151474580</t>
  </si>
  <si>
    <t>Kuhn, Timothy</t>
  </si>
  <si>
    <t>4151474581</t>
  </si>
  <si>
    <t>4151474839</t>
  </si>
  <si>
    <t>Fowler, Emmanuel</t>
  </si>
  <si>
    <t>4151475370</t>
  </si>
  <si>
    <t>Prebble, William</t>
  </si>
  <si>
    <t>4151479424</t>
  </si>
  <si>
    <t>Welch, April</t>
  </si>
  <si>
    <t>4151486528</t>
  </si>
  <si>
    <t>Mccloud, Elizabeth</t>
  </si>
  <si>
    <t>4151487382</t>
  </si>
  <si>
    <t>Baraka, Hany</t>
  </si>
  <si>
    <t>Hoffmann, Jason</t>
  </si>
  <si>
    <t>25JE</t>
  </si>
  <si>
    <t>4151488177</t>
  </si>
  <si>
    <t>Bonavitacola, Justin</t>
  </si>
  <si>
    <t>4151488383</t>
  </si>
  <si>
    <t>Sahu, Sayantan</t>
  </si>
  <si>
    <t>4151488391</t>
  </si>
  <si>
    <t>4151488395</t>
  </si>
  <si>
    <t>Membreno Navas, Maryuri</t>
  </si>
  <si>
    <t>4151488733</t>
  </si>
  <si>
    <t>Forrest, Sharon</t>
  </si>
  <si>
    <t>4151489083</t>
  </si>
  <si>
    <t>Quartana, Matthew</t>
  </si>
  <si>
    <t>4151495181</t>
  </si>
  <si>
    <t>Kenst, Cheryl</t>
  </si>
  <si>
    <t>4151496435</t>
  </si>
  <si>
    <t>Rickabaugh, Mitchell</t>
  </si>
  <si>
    <t>4151496673</t>
  </si>
  <si>
    <t>Guerra, Gonzalo</t>
  </si>
  <si>
    <t>4151499145</t>
  </si>
  <si>
    <t>Beyin, Ermias</t>
  </si>
  <si>
    <t>4151499149</t>
  </si>
  <si>
    <t>4151499232</t>
  </si>
  <si>
    <t>Morgan, Denise</t>
  </si>
  <si>
    <t>4151499578</t>
  </si>
  <si>
    <t>Ricciardelli, Christiano</t>
  </si>
  <si>
    <t>4151499802</t>
  </si>
  <si>
    <t>Lake, Richard</t>
  </si>
  <si>
    <t>4151506447</t>
  </si>
  <si>
    <t>Boliek, Matthew</t>
  </si>
  <si>
    <t>Income Protection</t>
  </si>
  <si>
    <t>4151506812</t>
  </si>
  <si>
    <t>Visilias, Andreas</t>
  </si>
  <si>
    <t>4151506813</t>
  </si>
  <si>
    <t>4151506816</t>
  </si>
  <si>
    <t>Bauer, Natalia</t>
  </si>
  <si>
    <t>4151506817</t>
  </si>
  <si>
    <t>4151507085</t>
  </si>
  <si>
    <t>Davidson, Ross</t>
  </si>
  <si>
    <t>4151507086</t>
  </si>
  <si>
    <t>Spaid, Emma</t>
  </si>
  <si>
    <t>4151507089</t>
  </si>
  <si>
    <t>Davidson, Malinda</t>
  </si>
  <si>
    <t>4151507957</t>
  </si>
  <si>
    <t>Sardino, Jay</t>
  </si>
  <si>
    <t>4151507959</t>
  </si>
  <si>
    <t>4151508741</t>
  </si>
  <si>
    <t>Meinschein, Wayne</t>
  </si>
  <si>
    <t>4151508743</t>
  </si>
  <si>
    <t>4151509553</t>
  </si>
  <si>
    <t>Diaz Machado, Francisco</t>
  </si>
  <si>
    <t>4151509987</t>
  </si>
  <si>
    <t>Holden, Scott</t>
  </si>
  <si>
    <t>4151509992</t>
  </si>
  <si>
    <t>Holden, Carly</t>
  </si>
  <si>
    <t>4151515419</t>
  </si>
  <si>
    <t>Muhuhu, Michael</t>
  </si>
  <si>
    <t>4151516797</t>
  </si>
  <si>
    <t>Vito, Lisa</t>
  </si>
  <si>
    <t>4151517096</t>
  </si>
  <si>
    <t>Barron, Nichole</t>
  </si>
  <si>
    <t>4151517183</t>
  </si>
  <si>
    <t>Kostantinidis, Kalliope</t>
  </si>
  <si>
    <t>4151517502</t>
  </si>
  <si>
    <t>Hale, Jessica</t>
  </si>
  <si>
    <t>4151517503</t>
  </si>
  <si>
    <t>Hale, Kevin</t>
  </si>
  <si>
    <t>4151517528</t>
  </si>
  <si>
    <t>Manesh, Bijan</t>
  </si>
  <si>
    <t>4151517529</t>
  </si>
  <si>
    <t>4151517776</t>
  </si>
  <si>
    <t>Badarch, Buyanjargal</t>
  </si>
  <si>
    <t>4151517778</t>
  </si>
  <si>
    <t>4151518319</t>
  </si>
  <si>
    <t>Boykin, Marvin</t>
  </si>
  <si>
    <t>4151518929</t>
  </si>
  <si>
    <t>Cantrell, Jared</t>
  </si>
  <si>
    <t>4151519042</t>
  </si>
  <si>
    <t>Kulik Johnson, Eva</t>
  </si>
  <si>
    <t>4151519049</t>
  </si>
  <si>
    <t>Nur, Isaq</t>
  </si>
  <si>
    <t>4151519051</t>
  </si>
  <si>
    <t>4151519575</t>
  </si>
  <si>
    <t>Fasnacht, Tracey</t>
  </si>
  <si>
    <t>4151519587</t>
  </si>
  <si>
    <t>Ibarra, Adriel</t>
  </si>
  <si>
    <t>4151519588</t>
  </si>
  <si>
    <t>Ibarra, Annabel</t>
  </si>
  <si>
    <t>4151519597</t>
  </si>
  <si>
    <t>Beverley, Amanda</t>
  </si>
  <si>
    <t>4151520882</t>
  </si>
  <si>
    <t>Link, Robert</t>
  </si>
  <si>
    <t>4151521411</t>
  </si>
  <si>
    <t>Navas, Edwin</t>
  </si>
  <si>
    <t>4151522213</t>
  </si>
  <si>
    <t>Payne, Tony</t>
  </si>
  <si>
    <t>Taugner, Christian</t>
  </si>
  <si>
    <t>6LUP</t>
  </si>
  <si>
    <t>4151525602</t>
  </si>
  <si>
    <t>Hughes, Logan</t>
  </si>
  <si>
    <t>4151526389</t>
  </si>
  <si>
    <t>Matsuda, Patrick</t>
  </si>
  <si>
    <t>4151527980</t>
  </si>
  <si>
    <t>Jones, Jessica</t>
  </si>
  <si>
    <t>4151527989</t>
  </si>
  <si>
    <t>Kozacheck, Anne Marie</t>
  </si>
  <si>
    <t>6MEW</t>
  </si>
  <si>
    <t>4151528161</t>
  </si>
  <si>
    <t>Burgos, Andrew</t>
  </si>
  <si>
    <t>4151528167</t>
  </si>
  <si>
    <t>Svarnias, Kalie</t>
  </si>
  <si>
    <t>4151528168</t>
  </si>
  <si>
    <t>4151528718</t>
  </si>
  <si>
    <t>Mcelfresh, Garrett</t>
  </si>
  <si>
    <t>4151529661</t>
  </si>
  <si>
    <t>Collins, Taia</t>
  </si>
  <si>
    <t>4151530381</t>
  </si>
  <si>
    <t>Richardson, Elizabeth</t>
  </si>
  <si>
    <t>4151530383</t>
  </si>
  <si>
    <t>4151530507</t>
  </si>
  <si>
    <t>Jerz, Frank</t>
  </si>
  <si>
    <t>4151531095</t>
  </si>
  <si>
    <t>Canales Diaz, Kelly</t>
  </si>
  <si>
    <t>Hodgman, Timothy</t>
  </si>
  <si>
    <t>6LMA</t>
  </si>
  <si>
    <t>4151534456</t>
  </si>
  <si>
    <t>Wasilewski, Deanna</t>
  </si>
  <si>
    <t>4151534581</t>
  </si>
  <si>
    <t>Gomez, Octavio</t>
  </si>
  <si>
    <t>4151535621</t>
  </si>
  <si>
    <t>Deluca, Anthony</t>
  </si>
  <si>
    <t>4151535832</t>
  </si>
  <si>
    <t>Cairns, Chet</t>
  </si>
  <si>
    <t>4151536344</t>
  </si>
  <si>
    <t>Anazonwu, Walter</t>
  </si>
  <si>
    <t>4151536546</t>
  </si>
  <si>
    <t>Divelbiss, Christopher</t>
  </si>
  <si>
    <t>4151536556</t>
  </si>
  <si>
    <t>Breden, Ciana</t>
  </si>
  <si>
    <t>4151536666</t>
  </si>
  <si>
    <t>Chestnut, Alfred</t>
  </si>
  <si>
    <t>4151536852</t>
  </si>
  <si>
    <t>Mangum, Gregory</t>
  </si>
  <si>
    <t>4151536853</t>
  </si>
  <si>
    <t>4151536864</t>
  </si>
  <si>
    <t>Holder, Jeffery</t>
  </si>
  <si>
    <t>4151536968</t>
  </si>
  <si>
    <t>Holder, Joshua</t>
  </si>
  <si>
    <t>4151537138</t>
  </si>
  <si>
    <t>Aguirre, Sergio</t>
  </si>
  <si>
    <t>4151537145</t>
  </si>
  <si>
    <t>4151537473</t>
  </si>
  <si>
    <t>Baez Hernaiz, Irma</t>
  </si>
  <si>
    <t>4151537602</t>
  </si>
  <si>
    <t>Liautaud Diaz, Nathalie</t>
  </si>
  <si>
    <t>4151537824</t>
  </si>
  <si>
    <t>Beltran, Geanette</t>
  </si>
  <si>
    <t>4151537844</t>
  </si>
  <si>
    <t>Spokus, Donna</t>
  </si>
  <si>
    <t>4151537850</t>
  </si>
  <si>
    <t>Ganbat, Ankhzul</t>
  </si>
  <si>
    <t>4151537851</t>
  </si>
  <si>
    <t>4151537852</t>
  </si>
  <si>
    <t>Battumur, Munkhzul</t>
  </si>
  <si>
    <t>4151537853</t>
  </si>
  <si>
    <t>Merveille, Samina</t>
  </si>
  <si>
    <t>4151537854</t>
  </si>
  <si>
    <t>Merveille, Sarah</t>
  </si>
  <si>
    <t>4151538099</t>
  </si>
  <si>
    <t>Gardner, Jesse</t>
  </si>
  <si>
    <t>4151538102</t>
  </si>
  <si>
    <t>4151538358</t>
  </si>
  <si>
    <t>Oddi, Lynn</t>
  </si>
  <si>
    <t>4151538582</t>
  </si>
  <si>
    <t>Giorgio, Chrystina</t>
  </si>
  <si>
    <t>4151538605</t>
  </si>
  <si>
    <t>Goodale, Deborah</t>
  </si>
  <si>
    <t>4151538727</t>
  </si>
  <si>
    <t>Hechmer, Craig</t>
  </si>
  <si>
    <t>4151538745</t>
  </si>
  <si>
    <t>Deaton, Pamela</t>
  </si>
  <si>
    <t>67ZY</t>
  </si>
  <si>
    <t>4151539375</t>
  </si>
  <si>
    <t>Smith, Jennifer</t>
  </si>
  <si>
    <t>4151539495</t>
  </si>
  <si>
    <t>Stotter, Sophie</t>
  </si>
  <si>
    <t>4151539499</t>
  </si>
  <si>
    <t>4151539870</t>
  </si>
  <si>
    <t>Jones, Renoka</t>
  </si>
  <si>
    <t>4151540013</t>
  </si>
  <si>
    <t>Jones, Deborah</t>
  </si>
  <si>
    <t>4151540017</t>
  </si>
  <si>
    <t>4151540272</t>
  </si>
  <si>
    <t>Stanley, Anita</t>
  </si>
  <si>
    <t>4151540291</t>
  </si>
  <si>
    <t>Alimantsetseg, Temuujin</t>
  </si>
  <si>
    <t>4151540307</t>
  </si>
  <si>
    <t>Dambadarjaa, Anand</t>
  </si>
  <si>
    <t>4151541301</t>
  </si>
  <si>
    <t>Jaycen, Amelia</t>
  </si>
  <si>
    <t>4151547021</t>
  </si>
  <si>
    <t>Lilla, Cecelia</t>
  </si>
  <si>
    <t>4151547026</t>
  </si>
  <si>
    <t>4151547517</t>
  </si>
  <si>
    <t>Lasky, Dale</t>
  </si>
  <si>
    <t>4151547551</t>
  </si>
  <si>
    <t>4151547679</t>
  </si>
  <si>
    <t>Willie, Merissa</t>
  </si>
  <si>
    <t>4151547682</t>
  </si>
  <si>
    <t>4151547740</t>
  </si>
  <si>
    <t>Zafiriadis, Piedad</t>
  </si>
  <si>
    <t>4151547863</t>
  </si>
  <si>
    <t>Rinaldi, Jack</t>
  </si>
  <si>
    <t>4151547882</t>
  </si>
  <si>
    <t>Ryan, Matthew</t>
  </si>
  <si>
    <t>4151547883</t>
  </si>
  <si>
    <t>Horn, Jeffrey</t>
  </si>
  <si>
    <t>6LQB</t>
  </si>
  <si>
    <t>4151547892</t>
  </si>
  <si>
    <t>Monroe, Benjamin</t>
  </si>
  <si>
    <t>4151547986</t>
  </si>
  <si>
    <t>Malone, Mark</t>
  </si>
  <si>
    <t>4151548817</t>
  </si>
  <si>
    <t>Eichhorn, Michael</t>
  </si>
  <si>
    <t>4151548820</t>
  </si>
  <si>
    <t>4151549083</t>
  </si>
  <si>
    <t>4151549096</t>
  </si>
  <si>
    <t>Shah, Samir</t>
  </si>
  <si>
    <t>4151549382</t>
  </si>
  <si>
    <t>Sandag, Sugar</t>
  </si>
  <si>
    <t>4151549687</t>
  </si>
  <si>
    <t>Hibbard, Mathias</t>
  </si>
  <si>
    <t>4151549696</t>
  </si>
  <si>
    <t>Richardson, Patricia</t>
  </si>
  <si>
    <t>4151549697</t>
  </si>
  <si>
    <t>4151549874</t>
  </si>
  <si>
    <t>Davidson, Marilyn</t>
  </si>
  <si>
    <t>4151550001</t>
  </si>
  <si>
    <t>4151550018</t>
  </si>
  <si>
    <t>Hammond, Patrick</t>
  </si>
  <si>
    <t>4151550027</t>
  </si>
  <si>
    <t>Thompson, Christopher</t>
  </si>
  <si>
    <t>4151550028</t>
  </si>
  <si>
    <t>Long, Stuart</t>
  </si>
  <si>
    <t>4151550081</t>
  </si>
  <si>
    <t>Melvin, Laura</t>
  </si>
  <si>
    <t>4151550119</t>
  </si>
  <si>
    <t>Horine, Andrea</t>
  </si>
  <si>
    <t>Foley, Carol</t>
  </si>
  <si>
    <t>4DUQ</t>
  </si>
  <si>
    <t>4151550153</t>
  </si>
  <si>
    <t>Krysik, Matthew</t>
  </si>
  <si>
    <t>Accident-Only Income Protection</t>
  </si>
  <si>
    <t>4151550158</t>
  </si>
  <si>
    <t>Whiteman, Timothy</t>
  </si>
  <si>
    <t>4151550167</t>
  </si>
  <si>
    <t>4151551360</t>
  </si>
  <si>
    <t>Mcneely, Hunter</t>
  </si>
  <si>
    <t>4151551364</t>
  </si>
  <si>
    <t>Alkhasawneh, Mohammed</t>
  </si>
  <si>
    <t>4151551369</t>
  </si>
  <si>
    <t>Enkhjargal, Saruultuya</t>
  </si>
  <si>
    <t>4151551747</t>
  </si>
  <si>
    <t>Zick, Amanda</t>
  </si>
  <si>
    <t>4151551770</t>
  </si>
  <si>
    <t>Madden, Madison</t>
  </si>
  <si>
    <t>4151551771</t>
  </si>
  <si>
    <t>Madden, James</t>
  </si>
  <si>
    <t>4151551776</t>
  </si>
  <si>
    <t>4151551777</t>
  </si>
  <si>
    <t>Ochirbat, Enkhbayar</t>
  </si>
  <si>
    <t>Schumann, Barry</t>
  </si>
  <si>
    <t>6LRB</t>
  </si>
  <si>
    <t>4151551792</t>
  </si>
  <si>
    <t>Rippel, Stephanie</t>
  </si>
  <si>
    <t>4151551803</t>
  </si>
  <si>
    <t>Zoeller, Cyerah</t>
  </si>
  <si>
    <t>4151551876</t>
  </si>
  <si>
    <t>Gonsiewski, Beth</t>
  </si>
  <si>
    <t>4151551973</t>
  </si>
  <si>
    <t>Edwards, Jerome</t>
  </si>
  <si>
    <t>4151551976</t>
  </si>
  <si>
    <t>4151551980</t>
  </si>
  <si>
    <t>4151552208</t>
  </si>
  <si>
    <t>Kramer, Matthew</t>
  </si>
  <si>
    <t>4151552210</t>
  </si>
  <si>
    <t>4151552226</t>
  </si>
  <si>
    <t>Williams, Anthony</t>
  </si>
  <si>
    <t>4151552237</t>
  </si>
  <si>
    <t>4151552304</t>
  </si>
  <si>
    <t>Valdez, Jacqueline</t>
  </si>
  <si>
    <t>4151552307</t>
  </si>
  <si>
    <t>Stoner, Seann</t>
  </si>
  <si>
    <t>4151552890</t>
  </si>
  <si>
    <t>Smith, Earl</t>
  </si>
  <si>
    <t>4151553062</t>
  </si>
  <si>
    <t>Reisburg, Gina</t>
  </si>
  <si>
    <t>4151553063</t>
  </si>
  <si>
    <t>Reisberg, Gina</t>
  </si>
  <si>
    <t>4151553065</t>
  </si>
  <si>
    <t>Yale, Jacob</t>
  </si>
  <si>
    <t>4VFF</t>
  </si>
  <si>
    <t>4151553122</t>
  </si>
  <si>
    <t>Morales, Jocelyn</t>
  </si>
  <si>
    <t>4151553295</t>
  </si>
  <si>
    <t>Mathias, Kyle</t>
  </si>
  <si>
    <t>4151554180</t>
  </si>
  <si>
    <t>4151369340</t>
  </si>
  <si>
    <t>Stewart, Lisa</t>
  </si>
  <si>
    <t>4151407821</t>
  </si>
  <si>
    <t>Krajack, Catherine</t>
  </si>
  <si>
    <t>4151415838</t>
  </si>
  <si>
    <t>Hoffman, Sharon</t>
  </si>
  <si>
    <t>4351546042</t>
  </si>
  <si>
    <t>Schaub, Ruth</t>
  </si>
  <si>
    <t>L</t>
  </si>
  <si>
    <t>Term Life - 20 Year</t>
  </si>
  <si>
    <t>4351565419</t>
  </si>
  <si>
    <t>Term Life - 10 Year</t>
  </si>
  <si>
    <t>4351589953</t>
  </si>
  <si>
    <t>Holmes, Patrick</t>
  </si>
  <si>
    <t>4351590528</t>
  </si>
  <si>
    <t>Carr, Marissa</t>
  </si>
  <si>
    <t>4351600207</t>
  </si>
  <si>
    <t>Castillo, Allan</t>
  </si>
  <si>
    <t>Term Life - 30 Year</t>
  </si>
  <si>
    <t>4351633159</t>
  </si>
  <si>
    <t>4351638342</t>
  </si>
  <si>
    <t>Sylvander, Samantha</t>
  </si>
  <si>
    <t>4351641351</t>
  </si>
  <si>
    <t>Robinson, Christopher</t>
  </si>
  <si>
    <t>4351641353</t>
  </si>
  <si>
    <t>Torrence, Rahima</t>
  </si>
  <si>
    <t>4351650836</t>
  </si>
  <si>
    <t>Wilson, Douglas</t>
  </si>
  <si>
    <t>Walenga, Dale</t>
  </si>
  <si>
    <t>0DG8</t>
  </si>
  <si>
    <t>4351658855</t>
  </si>
  <si>
    <t>Walenga, Bradley</t>
  </si>
  <si>
    <t>WL Perform+ Pay to A100</t>
  </si>
  <si>
    <t>4351672582</t>
  </si>
  <si>
    <t>Walenga, Jennifer</t>
  </si>
  <si>
    <t>4351687006</t>
  </si>
  <si>
    <t>Fahringer, Breana</t>
  </si>
  <si>
    <t>4351515421</t>
  </si>
  <si>
    <t>4351519591</t>
  </si>
  <si>
    <t>4351525994</t>
  </si>
  <si>
    <t>Apelian, Jennifer</t>
  </si>
  <si>
    <t>Term Life - 15 Year</t>
  </si>
  <si>
    <t>Geske, Heather</t>
  </si>
  <si>
    <t>6LXH</t>
  </si>
  <si>
    <t>4351529400</t>
  </si>
  <si>
    <t>Geske, William</t>
  </si>
  <si>
    <t>4351536147</t>
  </si>
  <si>
    <t>Siavelis, Spiro</t>
  </si>
  <si>
    <t>4351536547</t>
  </si>
  <si>
    <t>4351549893</t>
  </si>
  <si>
    <t>Kassim, Jacob</t>
  </si>
  <si>
    <t>4351550051</t>
  </si>
  <si>
    <t>Deol, Baljeet</t>
  </si>
  <si>
    <t>4451515420</t>
  </si>
  <si>
    <t>U</t>
  </si>
  <si>
    <t>Assurity Universal Life</t>
  </si>
  <si>
    <t>Issuedate</t>
  </si>
  <si>
    <t>Months</t>
  </si>
  <si>
    <t>saadia abdul</t>
  </si>
  <si>
    <t>andrew choi</t>
  </si>
  <si>
    <t>pamela deaton</t>
  </si>
  <si>
    <t>odmaa enkhtur</t>
  </si>
  <si>
    <t>carol foley</t>
  </si>
  <si>
    <t>heather geske</t>
  </si>
  <si>
    <t>timothy hodgman</t>
  </si>
  <si>
    <t>jason hoffmann</t>
  </si>
  <si>
    <t>jeffrey horn</t>
  </si>
  <si>
    <t>deborah inskipt</t>
  </si>
  <si>
    <t>jared kinyua</t>
  </si>
  <si>
    <t>anne marie kozacheck</t>
  </si>
  <si>
    <t>thomas kucan</t>
  </si>
  <si>
    <t>frank liskovec</t>
  </si>
  <si>
    <t>ronald max</t>
  </si>
  <si>
    <t>brittany oliver</t>
  </si>
  <si>
    <t>andrea petrungaro</t>
  </si>
  <si>
    <t>gary portugal</t>
  </si>
  <si>
    <t>adam richter</t>
  </si>
  <si>
    <t>jessica sandifer</t>
  </si>
  <si>
    <t>ricardo santos</t>
  </si>
  <si>
    <t>barry schumann</t>
  </si>
  <si>
    <t>christian taugner</t>
  </si>
  <si>
    <t>jose torres</t>
  </si>
  <si>
    <t>dale walenga</t>
  </si>
  <si>
    <t>chad yale</t>
  </si>
  <si>
    <t>jacob yale</t>
  </si>
  <si>
    <t>richard yale</t>
  </si>
  <si>
    <t>nasandelger zana</t>
  </si>
  <si>
    <t>paymode</t>
  </si>
  <si>
    <t>AV</t>
  </si>
  <si>
    <t>AV1</t>
  </si>
  <si>
    <t>AE</t>
  </si>
  <si>
    <t>Term Life- 20 and 30 Yr Term</t>
  </si>
  <si>
    <t>2024-Universal Life All States 81-85 (4.25)</t>
  </si>
  <si>
    <t>Income Protection - All States (85%) (6)</t>
  </si>
  <si>
    <t>2024-Accidental Death Insurance Plus - To Age 80</t>
  </si>
  <si>
    <t>2024-Accident Insurance- All States Applicable Except (CO/MN/SD/WA)100</t>
  </si>
  <si>
    <t>2024-Simplified Critical Illness ALL STATES (60%)</t>
  </si>
  <si>
    <t>2024-Accident Insurance (CO/MN/SD/WA) 90%</t>
  </si>
  <si>
    <t>Internal Replacement Accident Insurance 93%</t>
  </si>
  <si>
    <t>1-3 2024- Accident Insurance All States Applicable Except (CO/MN/SD/WA) 95%</t>
  </si>
  <si>
    <t>10 Yr Term-All States Where Applicable (110%)</t>
  </si>
  <si>
    <t>2024-Simplified Whole Life Insurance Level Graded Benefit</t>
  </si>
  <si>
    <t>2024-20 and 30 Yr Term All States Where Applicable</t>
  </si>
  <si>
    <t>17554531AV9</t>
  </si>
  <si>
    <t>19200754AV9</t>
  </si>
  <si>
    <t>[%/$=1.75]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</si>
</sst>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name val="Calibri"/>
    </font>
    <font>
      <b/>
      <sz val="11"/>
      <name val="Arial"/>
    </font>
    <font>
      <b/>
      <sz val="11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NumberFormat="1" applyFill="1" applyAlignment="1">
      <alignment vertical="center" wrapText="1"/>
    </xf>
    <xf numFmtId="14" fontId="0" fillId="0" borderId="0" xfId="0" applyNumberFormat="1" applyFill="1" applyAlignment="1">
      <alignment vertical="center" wrapText="1"/>
    </xf>
    <xf numFmtId="1" fontId="0" fillId="0" borderId="0" xfId="0" applyNumberFormat="1" applyFill="1" applyAlignment="1">
      <alignment vertical="center" wrapText="1"/>
    </xf>
    <xf numFmtId="164" fontId="0" fillId="0" borderId="0" xfId="0" applyNumberFormat="1" applyFill="1" applyAlignment="1">
      <alignment vertical="center" wrapText="1"/>
    </xf>
    <xf numFmtId="10" fontId="0" fillId="0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1" fontId="3" fillId="3" borderId="0" xfId="0" applyNumberFormat="1" applyFont="1" applyFill="1" applyAlignment="1">
      <alignment vertical="center" wrapText="1"/>
    </xf>
    <xf numFmtId="1" fontId="3" fillId="0" borderId="0" xfId="0" applyNumberFormat="1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agent%20roster%20as%20of%207-16-25.xlsx" TargetMode="External"/><Relationship Id="rId1" Type="http://schemas.openxmlformats.org/officeDocument/2006/relationships/externalLinkPath" Target="https://mlbenefitsco-my.sharepoint.com/personal/jpatel_mlbenefitsco_com/Documents/Desktop/commissions/agent%20roster%20as%20of%207-16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advance"/>
      <sheetName val="advance 1"/>
      <sheetName val="Sheet3"/>
    </sheetNames>
    <sheetDataSet>
      <sheetData sheetId="0" refreshError="1"/>
      <sheetData sheetId="1" refreshError="1"/>
      <sheetData sheetId="2"/>
      <sheetData sheetId="3">
        <row r="1">
          <cell r="A1" t="str">
            <v>abbie  hall</v>
          </cell>
        </row>
        <row r="2">
          <cell r="A2" t="str">
            <v>adam richter</v>
          </cell>
          <cell r="B2">
            <v>9079571</v>
          </cell>
        </row>
        <row r="3">
          <cell r="A3" t="str">
            <v>ahmad hassan</v>
          </cell>
          <cell r="B3">
            <v>2173482</v>
          </cell>
        </row>
        <row r="4">
          <cell r="A4" t="str">
            <v>aidan  barber</v>
          </cell>
          <cell r="B4">
            <v>20769090</v>
          </cell>
        </row>
        <row r="5">
          <cell r="A5" t="str">
            <v>alan cousar</v>
          </cell>
          <cell r="B5">
            <v>9544903</v>
          </cell>
        </row>
        <row r="6">
          <cell r="A6" t="str">
            <v>alison luse</v>
          </cell>
          <cell r="B6">
            <v>9254978</v>
          </cell>
        </row>
        <row r="7">
          <cell r="A7" t="str">
            <v>ami de rama</v>
          </cell>
          <cell r="B7">
            <v>5859730</v>
          </cell>
        </row>
        <row r="8">
          <cell r="A8" t="str">
            <v>anand munkhbaatar</v>
          </cell>
          <cell r="B8" t="str">
            <v>NA</v>
          </cell>
        </row>
        <row r="9">
          <cell r="A9" t="str">
            <v>andrea petrungaro</v>
          </cell>
          <cell r="B9">
            <v>16912722</v>
          </cell>
        </row>
        <row r="10">
          <cell r="A10" t="str">
            <v>andrew choi</v>
          </cell>
          <cell r="B10">
            <v>7470776</v>
          </cell>
        </row>
        <row r="11">
          <cell r="A11" t="str">
            <v>andrew  goodman</v>
          </cell>
          <cell r="B11">
            <v>593918</v>
          </cell>
        </row>
        <row r="12">
          <cell r="A12" t="str">
            <v>anne marie kozacheck</v>
          </cell>
          <cell r="B12">
            <v>19278370</v>
          </cell>
        </row>
        <row r="13">
          <cell r="A13" t="str">
            <v>anthony hunsberger</v>
          </cell>
          <cell r="B13">
            <v>7146581</v>
          </cell>
        </row>
        <row r="14">
          <cell r="A14" t="str">
            <v>antonia nevaraz</v>
          </cell>
          <cell r="B14">
            <v>21646325</v>
          </cell>
        </row>
        <row r="15">
          <cell r="A15" t="str">
            <v>arick martin</v>
          </cell>
          <cell r="B15">
            <v>15707250</v>
          </cell>
        </row>
        <row r="16">
          <cell r="A16" t="str">
            <v>arnold  aloff</v>
          </cell>
          <cell r="B16">
            <v>3475518</v>
          </cell>
        </row>
        <row r="17">
          <cell r="A17" t="str">
            <v>ashley teipel</v>
          </cell>
          <cell r="B17">
            <v>20436925</v>
          </cell>
        </row>
        <row r="18">
          <cell r="A18" t="str">
            <v>barry brenner</v>
          </cell>
          <cell r="B18">
            <v>21348299</v>
          </cell>
        </row>
        <row r="19">
          <cell r="A19" t="str">
            <v>barry schumann</v>
          </cell>
          <cell r="B19">
            <v>19586992</v>
          </cell>
        </row>
        <row r="20">
          <cell r="A20" t="str">
            <v>brian raughter</v>
          </cell>
          <cell r="B20">
            <v>18406006</v>
          </cell>
        </row>
        <row r="21">
          <cell r="A21" t="str">
            <v>brian strohman</v>
          </cell>
          <cell r="B21">
            <v>21104854</v>
          </cell>
        </row>
        <row r="22">
          <cell r="A22" t="str">
            <v>brittany oliver</v>
          </cell>
          <cell r="B22">
            <v>17554531</v>
          </cell>
        </row>
        <row r="23">
          <cell r="A23" t="str">
            <v>carol foley</v>
          </cell>
          <cell r="B23">
            <v>17425766</v>
          </cell>
        </row>
        <row r="24">
          <cell r="A24" t="str">
            <v>carol fritz</v>
          </cell>
          <cell r="B24">
            <v>19268643</v>
          </cell>
        </row>
        <row r="25">
          <cell r="A25" t="str">
            <v>carolyn  wilson smith</v>
          </cell>
          <cell r="B25">
            <v>7387433</v>
          </cell>
        </row>
        <row r="26">
          <cell r="A26" t="str">
            <v>cathy lemon</v>
          </cell>
          <cell r="B26">
            <v>17195620</v>
          </cell>
        </row>
        <row r="27">
          <cell r="A27" t="str">
            <v>chad bender</v>
          </cell>
          <cell r="B27">
            <v>18598357</v>
          </cell>
        </row>
        <row r="28">
          <cell r="A28" t="str">
            <v>chad yale</v>
          </cell>
          <cell r="B28">
            <v>20003537</v>
          </cell>
        </row>
        <row r="29">
          <cell r="A29" t="str">
            <v>cheryl frazier</v>
          </cell>
          <cell r="B29">
            <v>8499606</v>
          </cell>
        </row>
        <row r="30">
          <cell r="A30" t="str">
            <v>christian taugner</v>
          </cell>
          <cell r="B30">
            <v>19681796</v>
          </cell>
        </row>
        <row r="31">
          <cell r="A31" t="str">
            <v>christopher brousseau</v>
          </cell>
          <cell r="B31">
            <v>21435997</v>
          </cell>
        </row>
        <row r="32">
          <cell r="A32" t="str">
            <v>clarissa powell</v>
          </cell>
          <cell r="B32">
            <v>17785596</v>
          </cell>
        </row>
        <row r="33">
          <cell r="A33" t="str">
            <v>colleen jerger</v>
          </cell>
          <cell r="B33">
            <v>3333476</v>
          </cell>
        </row>
        <row r="34">
          <cell r="A34" t="str">
            <v>colleen finnigan</v>
          </cell>
          <cell r="B34">
            <v>17437820</v>
          </cell>
        </row>
        <row r="35">
          <cell r="A35" t="str">
            <v>connor  green</v>
          </cell>
          <cell r="B35">
            <v>20811434</v>
          </cell>
        </row>
        <row r="36">
          <cell r="A36" t="str">
            <v>cora kuykendall</v>
          </cell>
          <cell r="B36">
            <v>22021577</v>
          </cell>
        </row>
        <row r="37">
          <cell r="A37" t="str">
            <v>curtis dodd</v>
          </cell>
          <cell r="B37">
            <v>10599300</v>
          </cell>
        </row>
        <row r="38">
          <cell r="A38" t="str">
            <v>dale walenga</v>
          </cell>
          <cell r="B38">
            <v>8325282</v>
          </cell>
        </row>
        <row r="39">
          <cell r="A39" t="str">
            <v>danna green</v>
          </cell>
          <cell r="B39">
            <v>16849453</v>
          </cell>
        </row>
        <row r="40">
          <cell r="A40" t="str">
            <v>deborah inskipt</v>
          </cell>
          <cell r="B40">
            <v>17528908</v>
          </cell>
        </row>
        <row r="41">
          <cell r="A41" t="str">
            <v>deborah powers</v>
          </cell>
          <cell r="B41">
            <v>19606009</v>
          </cell>
        </row>
        <row r="42">
          <cell r="A42" t="str">
            <v>dennis holyn</v>
          </cell>
          <cell r="B42">
            <v>7152559</v>
          </cell>
        </row>
        <row r="43">
          <cell r="A43" t="str">
            <v>diana zimmerman</v>
          </cell>
          <cell r="B43">
            <v>17640026</v>
          </cell>
        </row>
        <row r="44">
          <cell r="A44" t="str">
            <v>dolores dunbar</v>
          </cell>
          <cell r="B44">
            <v>17774994</v>
          </cell>
        </row>
        <row r="45">
          <cell r="A45" t="str">
            <v xml:space="preserve">eliseo tajanlangit </v>
          </cell>
          <cell r="B45">
            <v>18207434</v>
          </cell>
        </row>
        <row r="46">
          <cell r="A46" t="str">
            <v>erica solivan</v>
          </cell>
          <cell r="B46">
            <v>21605264</v>
          </cell>
        </row>
        <row r="47">
          <cell r="A47" t="str">
            <v>esther "estee" herrera-larsen</v>
          </cell>
          <cell r="B47">
            <v>17301495</v>
          </cell>
        </row>
        <row r="48">
          <cell r="A48" t="str">
            <v>frank liskovec</v>
          </cell>
          <cell r="B48">
            <v>8814784</v>
          </cell>
        </row>
        <row r="49">
          <cell r="A49" t="str">
            <v>gary portugal</v>
          </cell>
          <cell r="B49">
            <v>9213293</v>
          </cell>
        </row>
        <row r="50">
          <cell r="A50" t="str">
            <v>gregory teipel</v>
          </cell>
          <cell r="B50">
            <v>8307933</v>
          </cell>
        </row>
        <row r="51">
          <cell r="A51" t="str">
            <v>gregg arenson</v>
          </cell>
          <cell r="B51">
            <v>20776610</v>
          </cell>
        </row>
        <row r="52">
          <cell r="A52" t="str">
            <v>gregory hansford</v>
          </cell>
          <cell r="B52">
            <v>17094718</v>
          </cell>
        </row>
        <row r="53">
          <cell r="A53" t="str">
            <v>heather geske</v>
          </cell>
          <cell r="B53">
            <v>16865615</v>
          </cell>
        </row>
        <row r="54">
          <cell r="A54" t="str">
            <v>heidi berthelsen</v>
          </cell>
          <cell r="B54">
            <v>19617796</v>
          </cell>
        </row>
        <row r="55">
          <cell r="A55" t="str">
            <v>ines berg</v>
          </cell>
          <cell r="B55">
            <v>17117649</v>
          </cell>
        </row>
        <row r="56">
          <cell r="A56" t="str">
            <v>jack  jerger</v>
          </cell>
          <cell r="B56" t="str">
            <v>NA</v>
          </cell>
        </row>
        <row r="57">
          <cell r="A57" t="str">
            <v>jacob yale</v>
          </cell>
          <cell r="B57">
            <v>18754354</v>
          </cell>
        </row>
        <row r="58">
          <cell r="A58" t="str">
            <v>jake shulman</v>
          </cell>
          <cell r="B58">
            <v>18201929</v>
          </cell>
        </row>
        <row r="59">
          <cell r="A59" t="str">
            <v>jalyne vogel</v>
          </cell>
          <cell r="B59" t="str">
            <v>?</v>
          </cell>
        </row>
        <row r="60">
          <cell r="A60" t="str">
            <v>james allen</v>
          </cell>
          <cell r="B60">
            <v>17143996</v>
          </cell>
        </row>
        <row r="61">
          <cell r="A61" t="str">
            <v>jared kinyua</v>
          </cell>
          <cell r="B61">
            <v>19279958</v>
          </cell>
        </row>
        <row r="62">
          <cell r="A62" t="str">
            <v>jason roller</v>
          </cell>
          <cell r="B62">
            <v>16228684</v>
          </cell>
        </row>
        <row r="63">
          <cell r="A63" t="str">
            <v>jason hoffmann</v>
          </cell>
          <cell r="B63">
            <v>15278437</v>
          </cell>
        </row>
        <row r="64">
          <cell r="A64" t="str">
            <v>jeanet reyes</v>
          </cell>
          <cell r="B64">
            <v>16997303</v>
          </cell>
        </row>
        <row r="65">
          <cell r="A65" t="str">
            <v>jeffrey horn</v>
          </cell>
          <cell r="B65">
            <v>2158366</v>
          </cell>
        </row>
        <row r="66">
          <cell r="A66" t="str">
            <v>jennifer  hunsberger</v>
          </cell>
          <cell r="B66" t="str">
            <v>?</v>
          </cell>
        </row>
        <row r="67">
          <cell r="A67" t="str">
            <v>jennifer  halsaver</v>
          </cell>
          <cell r="B67">
            <v>21564088</v>
          </cell>
        </row>
        <row r="68">
          <cell r="A68" t="str">
            <v>jessica sandifer</v>
          </cell>
          <cell r="B68">
            <v>6115727</v>
          </cell>
        </row>
        <row r="69">
          <cell r="A69" t="str">
            <v>jill shepard</v>
          </cell>
          <cell r="B69">
            <v>18142208</v>
          </cell>
        </row>
        <row r="70">
          <cell r="A70" t="str">
            <v>joel lee</v>
          </cell>
          <cell r="B70">
            <v>6634327</v>
          </cell>
        </row>
        <row r="71">
          <cell r="A71" t="str">
            <v>john risely</v>
          </cell>
          <cell r="B71">
            <v>20551344</v>
          </cell>
        </row>
        <row r="72">
          <cell r="A72" t="str">
            <v>john roken</v>
          </cell>
          <cell r="B72">
            <v>18781057</v>
          </cell>
        </row>
        <row r="73">
          <cell r="A73" t="str">
            <v>john kelly</v>
          </cell>
          <cell r="B73" t="str">
            <v>working on license</v>
          </cell>
        </row>
        <row r="74">
          <cell r="A74" t="str">
            <v>john  karns</v>
          </cell>
          <cell r="B74">
            <v>21128342</v>
          </cell>
        </row>
        <row r="75">
          <cell r="A75" t="str">
            <v>jonathan aloff</v>
          </cell>
          <cell r="B75">
            <v>16683808</v>
          </cell>
        </row>
        <row r="76">
          <cell r="A76" t="str">
            <v>jose torres</v>
          </cell>
          <cell r="B76">
            <v>20212926</v>
          </cell>
        </row>
        <row r="77">
          <cell r="A77" t="str">
            <v>joseph sexton</v>
          </cell>
          <cell r="B77">
            <v>21505953</v>
          </cell>
        </row>
        <row r="78">
          <cell r="A78" t="str">
            <v>josiah  luse</v>
          </cell>
          <cell r="B78">
            <v>20405298</v>
          </cell>
        </row>
        <row r="79">
          <cell r="A79" t="str">
            <v>karen  flowers</v>
          </cell>
        </row>
        <row r="80">
          <cell r="A80" t="str">
            <v>kasandra holland</v>
          </cell>
          <cell r="B80">
            <v>21284072</v>
          </cell>
        </row>
        <row r="81">
          <cell r="A81" t="str">
            <v>katelan wick</v>
          </cell>
          <cell r="B81">
            <v>19271047</v>
          </cell>
        </row>
        <row r="82">
          <cell r="A82" t="str">
            <v xml:space="preserve">katelenn caltagirone </v>
          </cell>
          <cell r="B82">
            <v>20436896</v>
          </cell>
        </row>
        <row r="83">
          <cell r="A83" t="str">
            <v>kendall gillespie</v>
          </cell>
          <cell r="B83">
            <v>21645031</v>
          </cell>
        </row>
        <row r="84">
          <cell r="A84" t="str">
            <v>kenneth weitzman</v>
          </cell>
          <cell r="B84">
            <v>17516272</v>
          </cell>
        </row>
        <row r="85">
          <cell r="A85" t="str">
            <v>kimberly edwards</v>
          </cell>
          <cell r="B85">
            <v>21128256</v>
          </cell>
        </row>
        <row r="86">
          <cell r="A86" t="str">
            <v>kimberly foley</v>
          </cell>
          <cell r="B86">
            <v>21577652</v>
          </cell>
        </row>
        <row r="87">
          <cell r="A87" t="str">
            <v>kimberly dickerson</v>
          </cell>
          <cell r="B87">
            <v>16243811</v>
          </cell>
        </row>
        <row r="88">
          <cell r="A88" t="str">
            <v>kirk tigue</v>
          </cell>
          <cell r="B88">
            <v>21421111</v>
          </cell>
        </row>
        <row r="89">
          <cell r="A89" t="str">
            <v>laneece white</v>
          </cell>
          <cell r="B89">
            <v>13496370</v>
          </cell>
        </row>
        <row r="90">
          <cell r="A90" t="str">
            <v>latesha rose</v>
          </cell>
          <cell r="B90">
            <v>21436172</v>
          </cell>
        </row>
        <row r="91">
          <cell r="A91" t="str">
            <v>laurie casta</v>
          </cell>
          <cell r="B91">
            <v>20697692</v>
          </cell>
        </row>
        <row r="92">
          <cell r="A92" t="str">
            <v>leandrus gaskins</v>
          </cell>
          <cell r="B92">
            <v>19642342</v>
          </cell>
        </row>
        <row r="93">
          <cell r="A93" t="str">
            <v>lensie gonzalez</v>
          </cell>
          <cell r="B93">
            <v>17859093</v>
          </cell>
        </row>
        <row r="94">
          <cell r="A94" t="str">
            <v>linda  wolfson</v>
          </cell>
          <cell r="B94" t="str">
            <v>NA</v>
          </cell>
        </row>
        <row r="95">
          <cell r="A95" t="str">
            <v>lori tunstall</v>
          </cell>
          <cell r="B95">
            <v>18134413</v>
          </cell>
        </row>
        <row r="96">
          <cell r="A96" t="str">
            <v>luis ybanez</v>
          </cell>
          <cell r="B96">
            <v>15735937</v>
          </cell>
        </row>
        <row r="97">
          <cell r="A97" t="str">
            <v>maggie smith</v>
          </cell>
          <cell r="B97">
            <v>20253958</v>
          </cell>
        </row>
        <row r="98">
          <cell r="A98" t="str">
            <v>margaret finnegan</v>
          </cell>
          <cell r="B98">
            <v>19861194</v>
          </cell>
        </row>
        <row r="99">
          <cell r="A99" t="str">
            <v>marina obrien</v>
          </cell>
          <cell r="B99">
            <v>16865242</v>
          </cell>
        </row>
        <row r="100">
          <cell r="A100" t="str">
            <v>marissa porraz</v>
          </cell>
          <cell r="B100">
            <v>21617661</v>
          </cell>
        </row>
        <row r="101">
          <cell r="A101" t="str">
            <v>mark  roccia</v>
          </cell>
          <cell r="B101">
            <v>21618313</v>
          </cell>
        </row>
        <row r="102">
          <cell r="A102" t="str">
            <v>marsha  sanderock</v>
          </cell>
          <cell r="B102">
            <v>20724564</v>
          </cell>
        </row>
        <row r="103">
          <cell r="A103" t="str">
            <v>matthew daugherty</v>
          </cell>
          <cell r="B103">
            <v>1706194</v>
          </cell>
        </row>
        <row r="104">
          <cell r="A104" t="str">
            <v>matthew wasserman</v>
          </cell>
          <cell r="B104">
            <v>21247158</v>
          </cell>
        </row>
        <row r="105">
          <cell r="A105" t="str">
            <v>matthew sherman</v>
          </cell>
          <cell r="B105">
            <v>8812322</v>
          </cell>
        </row>
        <row r="106">
          <cell r="A106" t="str">
            <v>melissa  tatro</v>
          </cell>
          <cell r="B106">
            <v>14177521</v>
          </cell>
        </row>
        <row r="107">
          <cell r="A107" t="str">
            <v xml:space="preserve">michael wilston </v>
          </cell>
          <cell r="B107">
            <v>20178878</v>
          </cell>
        </row>
        <row r="108">
          <cell r="A108" t="str">
            <v>michael foley</v>
          </cell>
          <cell r="B108">
            <v>20995076</v>
          </cell>
        </row>
        <row r="109">
          <cell r="A109" t="str">
            <v>michael garnett</v>
          </cell>
          <cell r="B109">
            <v>21222981</v>
          </cell>
        </row>
        <row r="110">
          <cell r="A110" t="str">
            <v>michael lutz</v>
          </cell>
          <cell r="B110">
            <v>16751785</v>
          </cell>
        </row>
        <row r="111">
          <cell r="A111" t="str">
            <v>michael semprevivo</v>
          </cell>
          <cell r="B111">
            <v>6375605</v>
          </cell>
        </row>
        <row r="112">
          <cell r="A112" t="str">
            <v>michael dunavant</v>
          </cell>
          <cell r="B112">
            <v>18828278</v>
          </cell>
        </row>
        <row r="113">
          <cell r="A113" t="str">
            <v>michelle hamel</v>
          </cell>
          <cell r="B113">
            <v>20591229</v>
          </cell>
        </row>
        <row r="114">
          <cell r="A114" t="str">
            <v>michelle mccorkle</v>
          </cell>
          <cell r="B114">
            <v>18710070</v>
          </cell>
        </row>
        <row r="115">
          <cell r="A115" t="str">
            <v>murray sterner</v>
          </cell>
          <cell r="B115">
            <v>16212649</v>
          </cell>
        </row>
        <row r="116">
          <cell r="A116" t="str">
            <v>mya fritchman</v>
          </cell>
          <cell r="B116" t="str">
            <v>?</v>
          </cell>
        </row>
        <row r="117">
          <cell r="A117" t="str">
            <v>nasandelger zana</v>
          </cell>
          <cell r="B117">
            <v>20220688</v>
          </cell>
        </row>
        <row r="118">
          <cell r="A118" t="str">
            <v>nathan weller</v>
          </cell>
          <cell r="B118">
            <v>19219478</v>
          </cell>
        </row>
        <row r="119">
          <cell r="A119" t="str">
            <v>nava livne</v>
          </cell>
          <cell r="B119">
            <v>20552652</v>
          </cell>
        </row>
        <row r="120">
          <cell r="A120" t="str">
            <v>noah dionesotes</v>
          </cell>
          <cell r="B120">
            <v>21607778</v>
          </cell>
        </row>
        <row r="121">
          <cell r="A121" t="str">
            <v>odeny  fernandez</v>
          </cell>
          <cell r="B121">
            <v>18155813</v>
          </cell>
        </row>
        <row r="122">
          <cell r="A122" t="str">
            <v>odmaa enkhtur</v>
          </cell>
          <cell r="B122">
            <v>20999157</v>
          </cell>
        </row>
        <row r="123">
          <cell r="A123" t="str">
            <v>pamela deaton</v>
          </cell>
          <cell r="B123">
            <v>8244481</v>
          </cell>
        </row>
        <row r="124">
          <cell r="A124" t="str">
            <v>patricia long</v>
          </cell>
          <cell r="B124">
            <v>18794740</v>
          </cell>
        </row>
        <row r="125">
          <cell r="A125" t="str">
            <v>patrick byrne</v>
          </cell>
          <cell r="B125">
            <v>16615811</v>
          </cell>
        </row>
        <row r="126">
          <cell r="A126" t="str">
            <v>patsamon thanadabouth</v>
          </cell>
          <cell r="B126">
            <v>8405446</v>
          </cell>
        </row>
        <row r="127">
          <cell r="A127" t="str">
            <v>paul berk</v>
          </cell>
          <cell r="B127">
            <v>2048099</v>
          </cell>
        </row>
        <row r="128">
          <cell r="A128" t="str">
            <v>paul miller</v>
          </cell>
          <cell r="B128">
            <v>13353571</v>
          </cell>
        </row>
        <row r="129">
          <cell r="A129" t="str">
            <v>paul robinson</v>
          </cell>
          <cell r="B129">
            <v>16983460</v>
          </cell>
        </row>
        <row r="130">
          <cell r="A130" t="str">
            <v>peggy kolanko</v>
          </cell>
          <cell r="B130">
            <v>1250871</v>
          </cell>
        </row>
        <row r="131">
          <cell r="A131" t="str">
            <v>peter elvart</v>
          </cell>
          <cell r="B131">
            <v>6778759</v>
          </cell>
        </row>
        <row r="132">
          <cell r="A132" t="str">
            <v>peter richter</v>
          </cell>
          <cell r="B132">
            <v>16509456</v>
          </cell>
        </row>
        <row r="133">
          <cell r="A133" t="str">
            <v>raluca cheregi</v>
          </cell>
          <cell r="B133">
            <v>21648482</v>
          </cell>
        </row>
        <row r="134">
          <cell r="A134" t="str">
            <v>randy tapper</v>
          </cell>
          <cell r="B134">
            <v>18935660</v>
          </cell>
        </row>
        <row r="135">
          <cell r="A135" t="str">
            <v>renee russell</v>
          </cell>
          <cell r="B135" t="str">
            <v>NA</v>
          </cell>
        </row>
        <row r="136">
          <cell r="A136" t="str">
            <v>ricardo santos</v>
          </cell>
          <cell r="B136">
            <v>19200754</v>
          </cell>
        </row>
        <row r="137">
          <cell r="A137" t="str">
            <v>richard skarnulis</v>
          </cell>
          <cell r="B137">
            <v>13374569</v>
          </cell>
        </row>
        <row r="138">
          <cell r="A138" t="str">
            <v>richard wuensch</v>
          </cell>
          <cell r="B138">
            <v>19615078</v>
          </cell>
        </row>
        <row r="139">
          <cell r="A139" t="str">
            <v>richard yale</v>
          </cell>
          <cell r="B139">
            <v>16633294</v>
          </cell>
        </row>
        <row r="140">
          <cell r="A140" t="str">
            <v>robert adcock</v>
          </cell>
          <cell r="B140">
            <v>20872981</v>
          </cell>
        </row>
        <row r="141">
          <cell r="A141" t="str">
            <v>robert shapiro</v>
          </cell>
          <cell r="B141">
            <v>7565575</v>
          </cell>
        </row>
        <row r="142">
          <cell r="A142" t="str">
            <v>robert  sievewright</v>
          </cell>
          <cell r="B142">
            <v>7307857</v>
          </cell>
        </row>
        <row r="143">
          <cell r="A143" t="str">
            <v>ronald max</v>
          </cell>
          <cell r="B143">
            <v>5442438</v>
          </cell>
        </row>
        <row r="144">
          <cell r="A144" t="str">
            <v>ryan caltagirone</v>
          </cell>
          <cell r="B144">
            <v>8977234</v>
          </cell>
        </row>
        <row r="145">
          <cell r="A145" t="str">
            <v>ryan stocker</v>
          </cell>
          <cell r="B145">
            <v>15950276</v>
          </cell>
        </row>
        <row r="146">
          <cell r="A146" t="str">
            <v>ryan shepard</v>
          </cell>
          <cell r="B146">
            <v>16170994</v>
          </cell>
        </row>
        <row r="147">
          <cell r="A147" t="str">
            <v>saadia abdul</v>
          </cell>
          <cell r="B147">
            <v>19396223</v>
          </cell>
        </row>
        <row r="148">
          <cell r="A148" t="str">
            <v>sandra sentman</v>
          </cell>
          <cell r="B148">
            <v>21475206</v>
          </cell>
        </row>
        <row r="149">
          <cell r="A149" t="str">
            <v>scott fine</v>
          </cell>
          <cell r="B149">
            <v>19106640</v>
          </cell>
        </row>
        <row r="150">
          <cell r="A150" t="str">
            <v>scott aguglia</v>
          </cell>
          <cell r="B150">
            <v>8971826</v>
          </cell>
        </row>
        <row r="151">
          <cell r="A151" t="str">
            <v>shannon stump</v>
          </cell>
          <cell r="B151">
            <v>18943687</v>
          </cell>
        </row>
        <row r="152">
          <cell r="A152" t="str">
            <v>shawn gastelo</v>
          </cell>
          <cell r="B152">
            <v>21122864</v>
          </cell>
        </row>
        <row r="153">
          <cell r="A153" t="str">
            <v>stacey portugal</v>
          </cell>
          <cell r="B153">
            <v>19645587</v>
          </cell>
        </row>
        <row r="154">
          <cell r="A154" t="str">
            <v>stephanie drapac</v>
          </cell>
          <cell r="B154">
            <v>17126004</v>
          </cell>
        </row>
        <row r="155">
          <cell r="A155" t="str">
            <v>steven werner</v>
          </cell>
          <cell r="B155">
            <v>19481808</v>
          </cell>
        </row>
        <row r="156">
          <cell r="A156" t="str">
            <v>steven  levin</v>
          </cell>
          <cell r="B156">
            <v>1592053</v>
          </cell>
        </row>
        <row r="157">
          <cell r="A157" t="str">
            <v>steven  brandt</v>
          </cell>
          <cell r="B157">
            <v>19491313</v>
          </cell>
        </row>
        <row r="158">
          <cell r="A158" t="str">
            <v>taliah ferguson</v>
          </cell>
          <cell r="B158">
            <v>21561165</v>
          </cell>
        </row>
        <row r="159">
          <cell r="A159" t="str">
            <v>teri foster</v>
          </cell>
          <cell r="B159">
            <v>20098658</v>
          </cell>
        </row>
        <row r="160">
          <cell r="A160" t="str">
            <v>thomas ervolina</v>
          </cell>
          <cell r="B160">
            <v>8477730</v>
          </cell>
        </row>
        <row r="161">
          <cell r="A161" t="str">
            <v>thomas bentley</v>
          </cell>
          <cell r="B161">
            <v>2118374</v>
          </cell>
        </row>
        <row r="162">
          <cell r="A162" t="str">
            <v>thomas kucan</v>
          </cell>
          <cell r="B162">
            <v>16202925</v>
          </cell>
        </row>
        <row r="163">
          <cell r="A163" t="str">
            <v>thomas serio</v>
          </cell>
          <cell r="B163">
            <v>20490188</v>
          </cell>
        </row>
        <row r="164">
          <cell r="A164" t="str">
            <v>timothy hodgman</v>
          </cell>
          <cell r="B164">
            <v>18581063</v>
          </cell>
        </row>
        <row r="165">
          <cell r="A165" t="str">
            <v>timothy merced</v>
          </cell>
          <cell r="B165">
            <v>17418075</v>
          </cell>
        </row>
        <row r="166">
          <cell r="A166" t="str">
            <v>timothy powers</v>
          </cell>
          <cell r="B166">
            <v>17886092</v>
          </cell>
        </row>
        <row r="167">
          <cell r="A167" t="str">
            <v>thomas pardue</v>
          </cell>
          <cell r="B167">
            <v>371819</v>
          </cell>
        </row>
        <row r="168">
          <cell r="A168" t="str">
            <v>traci barton</v>
          </cell>
          <cell r="B168">
            <v>20678727</v>
          </cell>
        </row>
        <row r="169">
          <cell r="A169" t="str">
            <v>victor fuentes</v>
          </cell>
          <cell r="B169">
            <v>21283956</v>
          </cell>
        </row>
        <row r="170">
          <cell r="A170" t="str">
            <v>wesley ellis</v>
          </cell>
          <cell r="B170">
            <v>19396919</v>
          </cell>
        </row>
        <row r="171">
          <cell r="A171" t="str">
            <v>william schaeffer</v>
          </cell>
          <cell r="B171">
            <v>18010408</v>
          </cell>
        </row>
        <row r="172">
          <cell r="A172" t="str">
            <v>william  geske</v>
          </cell>
          <cell r="B172">
            <v>21313588</v>
          </cell>
        </row>
        <row r="173">
          <cell r="A173" t="str">
            <v>zameer  kotadia</v>
          </cell>
          <cell r="B173">
            <v>21648482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5"/>
  <sheetViews>
    <sheetView workbookViewId="0">
      <selection sqref="A1:XFD1048576"/>
    </sheetView>
  </sheetViews>
  <sheetFormatPr defaultRowHeight="15" x14ac:dyDescent="0.25"/>
  <cols>
    <col min="1" max="1" width="25.140625" bestFit="1" customWidth="1"/>
    <col min="2" max="3" width="28.140625" bestFit="1" customWidth="1"/>
    <col min="4" max="4" width="25.140625" bestFit="1" customWidth="1"/>
    <col min="5" max="5" width="31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29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45894</v>
      </c>
      <c r="G2" s="1">
        <v>45888</v>
      </c>
      <c r="H2" s="1">
        <v>45900</v>
      </c>
      <c r="K2" t="s">
        <v>26</v>
      </c>
      <c r="L2" t="s">
        <v>27</v>
      </c>
      <c r="M2" t="s">
        <v>28</v>
      </c>
      <c r="N2" t="s">
        <v>29</v>
      </c>
      <c r="O2" s="2">
        <v>-4.92</v>
      </c>
      <c r="P2" t="s">
        <v>30</v>
      </c>
      <c r="Q2" s="4">
        <v>0.995</v>
      </c>
      <c r="R2" t="s">
        <v>31</v>
      </c>
      <c r="S2" s="2">
        <v>-4.9000000000000004</v>
      </c>
      <c r="T2" s="2">
        <v>0</v>
      </c>
      <c r="U2" s="2">
        <v>-4.9000000000000004</v>
      </c>
    </row>
    <row r="3" spans="1:21" x14ac:dyDescent="0.25">
      <c r="A3" t="s">
        <v>21</v>
      </c>
      <c r="B3" t="s">
        <v>22</v>
      </c>
      <c r="C3" t="s">
        <v>23</v>
      </c>
      <c r="D3" t="s">
        <v>32</v>
      </c>
      <c r="E3" t="s">
        <v>25</v>
      </c>
      <c r="F3" s="1">
        <v>45894</v>
      </c>
      <c r="G3" s="1">
        <v>45888</v>
      </c>
      <c r="H3" s="1">
        <v>45900</v>
      </c>
      <c r="K3" t="s">
        <v>26</v>
      </c>
      <c r="L3" t="s">
        <v>33</v>
      </c>
      <c r="M3" t="s">
        <v>28</v>
      </c>
      <c r="N3" t="s">
        <v>29</v>
      </c>
      <c r="O3" s="2">
        <v>-7.43</v>
      </c>
      <c r="P3" t="s">
        <v>30</v>
      </c>
      <c r="Q3" s="4">
        <v>1</v>
      </c>
      <c r="R3" t="s">
        <v>31</v>
      </c>
      <c r="S3" s="2">
        <v>-7.43</v>
      </c>
      <c r="T3" s="2">
        <v>0</v>
      </c>
      <c r="U3" s="2">
        <v>-7.43</v>
      </c>
    </row>
    <row r="4" spans="1:21" x14ac:dyDescent="0.25">
      <c r="A4" t="s">
        <v>21</v>
      </c>
      <c r="B4" t="s">
        <v>34</v>
      </c>
      <c r="C4" t="s">
        <v>35</v>
      </c>
      <c r="D4" t="s">
        <v>36</v>
      </c>
      <c r="E4" t="s">
        <v>37</v>
      </c>
      <c r="F4" s="1">
        <v>45894</v>
      </c>
      <c r="G4" s="1">
        <v>45892</v>
      </c>
      <c r="H4" s="1">
        <v>45900</v>
      </c>
      <c r="K4" t="s">
        <v>26</v>
      </c>
      <c r="L4" t="s">
        <v>38</v>
      </c>
      <c r="M4" t="s">
        <v>28</v>
      </c>
      <c r="N4" t="s">
        <v>29</v>
      </c>
      <c r="O4" s="2">
        <v>14.02</v>
      </c>
      <c r="P4" t="s">
        <v>30</v>
      </c>
      <c r="Q4" s="4">
        <v>0.85</v>
      </c>
      <c r="S4" s="2">
        <v>11.92</v>
      </c>
      <c r="T4" s="2">
        <v>0</v>
      </c>
      <c r="U4" s="2">
        <v>11.92</v>
      </c>
    </row>
    <row r="5" spans="1:21" x14ac:dyDescent="0.25">
      <c r="A5" t="s">
        <v>21</v>
      </c>
      <c r="B5" t="s">
        <v>39</v>
      </c>
      <c r="C5" t="s">
        <v>40</v>
      </c>
      <c r="D5" t="s">
        <v>41</v>
      </c>
      <c r="E5" t="s">
        <v>42</v>
      </c>
      <c r="F5" s="1">
        <v>45897</v>
      </c>
      <c r="G5" s="1">
        <v>45897</v>
      </c>
      <c r="H5" s="1">
        <v>45900</v>
      </c>
      <c r="K5" t="s">
        <v>26</v>
      </c>
      <c r="L5" t="s">
        <v>38</v>
      </c>
      <c r="M5" t="s">
        <v>28</v>
      </c>
      <c r="N5" t="s">
        <v>29</v>
      </c>
      <c r="O5" s="2">
        <v>106.37</v>
      </c>
      <c r="P5" t="s">
        <v>30</v>
      </c>
      <c r="Q5" s="4">
        <v>0.85</v>
      </c>
      <c r="S5" s="2">
        <v>90.41</v>
      </c>
      <c r="T5" s="2">
        <v>0</v>
      </c>
      <c r="U5" s="2">
        <v>90.41</v>
      </c>
    </row>
    <row r="6" spans="1:21" x14ac:dyDescent="0.25">
      <c r="A6" t="s">
        <v>21</v>
      </c>
      <c r="B6" t="s">
        <v>22</v>
      </c>
      <c r="C6" t="s">
        <v>23</v>
      </c>
      <c r="D6" t="s">
        <v>43</v>
      </c>
      <c r="E6" t="s">
        <v>44</v>
      </c>
      <c r="F6" s="1">
        <v>45894</v>
      </c>
      <c r="G6" s="1">
        <v>45892</v>
      </c>
      <c r="H6" s="1">
        <v>45900</v>
      </c>
      <c r="K6" t="s">
        <v>26</v>
      </c>
      <c r="L6" t="s">
        <v>27</v>
      </c>
      <c r="M6" t="s">
        <v>28</v>
      </c>
      <c r="N6" t="s">
        <v>29</v>
      </c>
      <c r="O6" s="2">
        <v>36.58</v>
      </c>
      <c r="P6" t="s">
        <v>30</v>
      </c>
      <c r="Q6" s="4">
        <v>0.995</v>
      </c>
      <c r="S6" s="2">
        <v>36.4</v>
      </c>
      <c r="T6" s="2">
        <v>0</v>
      </c>
      <c r="U6" s="2">
        <v>36.4</v>
      </c>
    </row>
    <row r="7" spans="1:21" x14ac:dyDescent="0.25">
      <c r="A7" t="s">
        <v>21</v>
      </c>
      <c r="B7" t="s">
        <v>22</v>
      </c>
      <c r="C7" t="s">
        <v>23</v>
      </c>
      <c r="D7" t="s">
        <v>45</v>
      </c>
      <c r="E7" t="s">
        <v>44</v>
      </c>
      <c r="F7" s="1">
        <v>45894</v>
      </c>
      <c r="G7" s="1">
        <v>45892</v>
      </c>
      <c r="H7" s="1">
        <v>45900</v>
      </c>
      <c r="K7" t="s">
        <v>26</v>
      </c>
      <c r="L7" t="s">
        <v>33</v>
      </c>
      <c r="M7" t="s">
        <v>28</v>
      </c>
      <c r="N7" t="s">
        <v>29</v>
      </c>
      <c r="O7" s="2">
        <v>40.39</v>
      </c>
      <c r="P7" t="s">
        <v>30</v>
      </c>
      <c r="Q7" s="4">
        <v>1</v>
      </c>
      <c r="S7" s="2">
        <v>40.39</v>
      </c>
      <c r="T7" s="2">
        <v>0</v>
      </c>
      <c r="U7" s="2">
        <v>40.39</v>
      </c>
    </row>
    <row r="8" spans="1:21" x14ac:dyDescent="0.25">
      <c r="A8" t="s">
        <v>21</v>
      </c>
      <c r="B8" t="s">
        <v>22</v>
      </c>
      <c r="C8" t="s">
        <v>23</v>
      </c>
      <c r="D8" t="s">
        <v>46</v>
      </c>
      <c r="E8" t="s">
        <v>47</v>
      </c>
      <c r="F8" s="1">
        <v>45888</v>
      </c>
      <c r="G8" s="1">
        <v>45888</v>
      </c>
      <c r="H8" s="1">
        <v>45900</v>
      </c>
      <c r="K8" t="s">
        <v>26</v>
      </c>
      <c r="L8" t="s">
        <v>33</v>
      </c>
      <c r="M8" t="s">
        <v>28</v>
      </c>
      <c r="N8" t="s">
        <v>29</v>
      </c>
      <c r="O8" s="2">
        <v>75.25</v>
      </c>
      <c r="P8" t="s">
        <v>30</v>
      </c>
      <c r="Q8" s="4">
        <v>1</v>
      </c>
      <c r="S8" s="2">
        <v>75.25</v>
      </c>
      <c r="T8" s="2">
        <v>0</v>
      </c>
      <c r="U8" s="2">
        <v>75.25</v>
      </c>
    </row>
    <row r="9" spans="1:21" x14ac:dyDescent="0.25">
      <c r="A9" t="s">
        <v>21</v>
      </c>
      <c r="B9" t="s">
        <v>22</v>
      </c>
      <c r="C9" t="s">
        <v>23</v>
      </c>
      <c r="D9" t="s">
        <v>48</v>
      </c>
      <c r="E9" t="s">
        <v>49</v>
      </c>
      <c r="F9" s="1">
        <v>45887</v>
      </c>
      <c r="G9" s="1">
        <v>45886</v>
      </c>
      <c r="H9" s="1">
        <v>45900</v>
      </c>
      <c r="K9" t="s">
        <v>26</v>
      </c>
      <c r="L9" t="s">
        <v>27</v>
      </c>
      <c r="M9" t="s">
        <v>28</v>
      </c>
      <c r="N9" t="s">
        <v>29</v>
      </c>
      <c r="O9" s="2">
        <v>16.920000000000002</v>
      </c>
      <c r="P9" t="s">
        <v>30</v>
      </c>
      <c r="Q9" s="4">
        <v>0.995</v>
      </c>
      <c r="S9" s="2">
        <v>16.84</v>
      </c>
      <c r="T9" s="2">
        <v>0</v>
      </c>
      <c r="U9" s="2">
        <v>16.84</v>
      </c>
    </row>
    <row r="10" spans="1:21" x14ac:dyDescent="0.25">
      <c r="A10" t="s">
        <v>21</v>
      </c>
      <c r="B10" t="s">
        <v>22</v>
      </c>
      <c r="C10" t="s">
        <v>23</v>
      </c>
      <c r="D10" t="s">
        <v>50</v>
      </c>
      <c r="E10" t="s">
        <v>49</v>
      </c>
      <c r="F10" s="1">
        <v>45887</v>
      </c>
      <c r="G10" s="1">
        <v>45886</v>
      </c>
      <c r="H10" s="1">
        <v>45900</v>
      </c>
      <c r="K10" t="s">
        <v>26</v>
      </c>
      <c r="L10" t="s">
        <v>33</v>
      </c>
      <c r="M10" t="s">
        <v>28</v>
      </c>
      <c r="N10" t="s">
        <v>29</v>
      </c>
      <c r="O10" s="2">
        <v>18.16</v>
      </c>
      <c r="P10" t="s">
        <v>30</v>
      </c>
      <c r="Q10" s="4">
        <v>1</v>
      </c>
      <c r="S10" s="2">
        <v>18.16</v>
      </c>
      <c r="T10" s="2">
        <v>0</v>
      </c>
      <c r="U10" s="2">
        <v>18.16</v>
      </c>
    </row>
    <row r="11" spans="1:21" x14ac:dyDescent="0.25">
      <c r="A11" t="s">
        <v>21</v>
      </c>
      <c r="B11" t="s">
        <v>51</v>
      </c>
      <c r="C11" t="s">
        <v>52</v>
      </c>
      <c r="D11" t="s">
        <v>53</v>
      </c>
      <c r="E11" t="s">
        <v>54</v>
      </c>
      <c r="F11" s="1">
        <v>45887</v>
      </c>
      <c r="G11" s="1">
        <v>45886</v>
      </c>
      <c r="H11" s="1">
        <v>45900</v>
      </c>
      <c r="K11" t="s">
        <v>26</v>
      </c>
      <c r="L11" t="s">
        <v>33</v>
      </c>
      <c r="M11" t="s">
        <v>28</v>
      </c>
      <c r="N11" t="s">
        <v>29</v>
      </c>
      <c r="O11" s="2">
        <v>68.09</v>
      </c>
      <c r="P11" t="s">
        <v>30</v>
      </c>
      <c r="Q11" s="4">
        <v>1</v>
      </c>
      <c r="S11" s="2">
        <v>68.09</v>
      </c>
      <c r="T11" s="2">
        <v>0</v>
      </c>
      <c r="U11" s="2">
        <v>68.09</v>
      </c>
    </row>
    <row r="12" spans="1:21" x14ac:dyDescent="0.25">
      <c r="A12" t="s">
        <v>21</v>
      </c>
      <c r="B12" t="s">
        <v>22</v>
      </c>
      <c r="C12" t="s">
        <v>23</v>
      </c>
      <c r="D12" t="s">
        <v>55</v>
      </c>
      <c r="E12" t="s">
        <v>56</v>
      </c>
      <c r="F12" s="1">
        <v>45887</v>
      </c>
      <c r="G12" s="1">
        <v>45886</v>
      </c>
      <c r="H12" s="1">
        <v>45900</v>
      </c>
      <c r="K12" t="s">
        <v>26</v>
      </c>
      <c r="L12" t="s">
        <v>33</v>
      </c>
      <c r="M12" t="s">
        <v>28</v>
      </c>
      <c r="N12" t="s">
        <v>29</v>
      </c>
      <c r="O12" s="2">
        <v>38.39</v>
      </c>
      <c r="P12" t="s">
        <v>30</v>
      </c>
      <c r="Q12" s="4">
        <v>1</v>
      </c>
      <c r="S12" s="2">
        <v>38.39</v>
      </c>
      <c r="T12" s="2">
        <v>0</v>
      </c>
      <c r="U12" s="2">
        <v>38.39</v>
      </c>
    </row>
    <row r="13" spans="1:21" x14ac:dyDescent="0.25">
      <c r="A13" t="s">
        <v>21</v>
      </c>
      <c r="B13" t="s">
        <v>22</v>
      </c>
      <c r="C13" t="s">
        <v>23</v>
      </c>
      <c r="D13" t="s">
        <v>57</v>
      </c>
      <c r="E13" t="s">
        <v>56</v>
      </c>
      <c r="F13" s="1">
        <v>45887</v>
      </c>
      <c r="G13" s="1">
        <v>45886</v>
      </c>
      <c r="H13" s="1">
        <v>45900</v>
      </c>
      <c r="K13" t="s">
        <v>26</v>
      </c>
      <c r="L13" t="s">
        <v>27</v>
      </c>
      <c r="M13" t="s">
        <v>28</v>
      </c>
      <c r="N13" t="s">
        <v>29</v>
      </c>
      <c r="O13" s="2">
        <v>30.38</v>
      </c>
      <c r="P13" t="s">
        <v>30</v>
      </c>
      <c r="Q13" s="4">
        <v>0.995</v>
      </c>
      <c r="S13" s="2">
        <v>30.23</v>
      </c>
      <c r="T13" s="2">
        <v>0</v>
      </c>
      <c r="U13" s="2">
        <v>30.23</v>
      </c>
    </row>
    <row r="14" spans="1:21" x14ac:dyDescent="0.25">
      <c r="A14" t="s">
        <v>21</v>
      </c>
      <c r="B14" t="s">
        <v>58</v>
      </c>
      <c r="C14" t="s">
        <v>59</v>
      </c>
      <c r="D14" t="s">
        <v>60</v>
      </c>
      <c r="E14" t="s">
        <v>61</v>
      </c>
      <c r="F14" s="1">
        <v>45889</v>
      </c>
      <c r="G14" s="1">
        <v>45889</v>
      </c>
      <c r="H14" s="1">
        <v>45900</v>
      </c>
      <c r="K14" t="s">
        <v>26</v>
      </c>
      <c r="L14" t="s">
        <v>38</v>
      </c>
      <c r="M14" t="s">
        <v>28</v>
      </c>
      <c r="N14" t="s">
        <v>29</v>
      </c>
      <c r="O14" s="2">
        <v>50.38</v>
      </c>
      <c r="P14" t="s">
        <v>30</v>
      </c>
      <c r="Q14" s="4">
        <v>0.85</v>
      </c>
      <c r="S14" s="2">
        <v>42.82</v>
      </c>
      <c r="T14" s="2">
        <v>0</v>
      </c>
      <c r="U14" s="2">
        <v>42.82</v>
      </c>
    </row>
    <row r="15" spans="1:21" x14ac:dyDescent="0.25">
      <c r="A15" t="s">
        <v>21</v>
      </c>
      <c r="B15" t="s">
        <v>58</v>
      </c>
      <c r="C15" t="s">
        <v>59</v>
      </c>
      <c r="D15" t="s">
        <v>62</v>
      </c>
      <c r="E15" t="s">
        <v>61</v>
      </c>
      <c r="F15" s="1">
        <v>45887</v>
      </c>
      <c r="G15" s="1">
        <v>45887</v>
      </c>
      <c r="H15" s="1">
        <v>45900</v>
      </c>
      <c r="K15" t="s">
        <v>26</v>
      </c>
      <c r="L15" t="s">
        <v>33</v>
      </c>
      <c r="M15" t="s">
        <v>28</v>
      </c>
      <c r="N15" t="s">
        <v>29</v>
      </c>
      <c r="O15" s="2">
        <v>18.16</v>
      </c>
      <c r="P15" t="s">
        <v>30</v>
      </c>
      <c r="Q15" s="4">
        <v>1</v>
      </c>
      <c r="S15" s="2">
        <v>18.16</v>
      </c>
      <c r="T15" s="2">
        <v>0</v>
      </c>
      <c r="U15" s="2">
        <v>18.16</v>
      </c>
    </row>
    <row r="16" spans="1:21" x14ac:dyDescent="0.25">
      <c r="A16" t="s">
        <v>21</v>
      </c>
      <c r="B16" t="s">
        <v>63</v>
      </c>
      <c r="C16" t="s">
        <v>64</v>
      </c>
      <c r="D16" t="s">
        <v>65</v>
      </c>
      <c r="E16" t="s">
        <v>66</v>
      </c>
      <c r="F16" s="1">
        <v>45894</v>
      </c>
      <c r="G16" s="1">
        <v>45892</v>
      </c>
      <c r="H16" s="1">
        <v>45900</v>
      </c>
      <c r="K16" t="s">
        <v>26</v>
      </c>
      <c r="L16" t="s">
        <v>38</v>
      </c>
      <c r="M16" t="s">
        <v>28</v>
      </c>
      <c r="N16" t="s">
        <v>29</v>
      </c>
      <c r="O16" s="2">
        <v>114.54</v>
      </c>
      <c r="P16" t="s">
        <v>30</v>
      </c>
      <c r="Q16" s="4">
        <v>0.85</v>
      </c>
      <c r="S16" s="2">
        <v>97.36</v>
      </c>
      <c r="T16" s="2">
        <v>0</v>
      </c>
      <c r="U16" s="2">
        <v>97.36</v>
      </c>
    </row>
    <row r="17" spans="1:21" x14ac:dyDescent="0.25">
      <c r="A17" t="s">
        <v>21</v>
      </c>
      <c r="B17" t="s">
        <v>67</v>
      </c>
      <c r="C17" t="s">
        <v>68</v>
      </c>
      <c r="D17" t="s">
        <v>69</v>
      </c>
      <c r="E17" t="s">
        <v>70</v>
      </c>
      <c r="F17" s="1">
        <v>45888</v>
      </c>
      <c r="G17" s="1">
        <v>45888</v>
      </c>
      <c r="H17" s="1">
        <v>45900</v>
      </c>
      <c r="K17" t="s">
        <v>26</v>
      </c>
      <c r="L17" t="s">
        <v>33</v>
      </c>
      <c r="M17" t="s">
        <v>28</v>
      </c>
      <c r="N17" t="s">
        <v>29</v>
      </c>
      <c r="O17" s="2">
        <v>8.1199999999999992</v>
      </c>
      <c r="P17" t="s">
        <v>30</v>
      </c>
      <c r="Q17" s="4">
        <v>1</v>
      </c>
      <c r="S17" s="2">
        <v>8.1199999999999992</v>
      </c>
      <c r="T17" s="2">
        <v>0</v>
      </c>
      <c r="U17" s="2">
        <v>8.1199999999999992</v>
      </c>
    </row>
    <row r="18" spans="1:21" x14ac:dyDescent="0.25">
      <c r="A18" t="s">
        <v>21</v>
      </c>
      <c r="B18" t="s">
        <v>71</v>
      </c>
      <c r="C18" t="s">
        <v>72</v>
      </c>
      <c r="D18" t="s">
        <v>73</v>
      </c>
      <c r="E18" t="s">
        <v>74</v>
      </c>
      <c r="F18" s="1">
        <v>45889</v>
      </c>
      <c r="G18" s="1">
        <v>45889</v>
      </c>
      <c r="H18" s="1">
        <v>45900</v>
      </c>
      <c r="K18" t="s">
        <v>26</v>
      </c>
      <c r="L18" t="s">
        <v>33</v>
      </c>
      <c r="M18" t="s">
        <v>28</v>
      </c>
      <c r="N18" t="s">
        <v>29</v>
      </c>
      <c r="O18" s="2">
        <v>28.63</v>
      </c>
      <c r="P18" t="s">
        <v>30</v>
      </c>
      <c r="Q18" s="4">
        <v>1</v>
      </c>
      <c r="S18" s="2">
        <v>28.63</v>
      </c>
      <c r="T18" s="2">
        <v>0</v>
      </c>
      <c r="U18" s="2">
        <v>28.63</v>
      </c>
    </row>
    <row r="19" spans="1:21" x14ac:dyDescent="0.25">
      <c r="A19" t="s">
        <v>21</v>
      </c>
      <c r="B19" t="s">
        <v>71</v>
      </c>
      <c r="C19" t="s">
        <v>72</v>
      </c>
      <c r="D19" t="s">
        <v>75</v>
      </c>
      <c r="E19" t="s">
        <v>74</v>
      </c>
      <c r="F19" s="1">
        <v>45889</v>
      </c>
      <c r="G19" s="1">
        <v>45889</v>
      </c>
      <c r="H19" s="1">
        <v>45900</v>
      </c>
      <c r="K19" t="s">
        <v>26</v>
      </c>
      <c r="L19" t="s">
        <v>38</v>
      </c>
      <c r="M19" t="s">
        <v>28</v>
      </c>
      <c r="N19" t="s">
        <v>29</v>
      </c>
      <c r="O19" s="2">
        <v>128.38</v>
      </c>
      <c r="P19" t="s">
        <v>30</v>
      </c>
      <c r="Q19" s="4">
        <v>0.85</v>
      </c>
      <c r="S19" s="2">
        <v>109.12</v>
      </c>
      <c r="T19" s="2">
        <v>0</v>
      </c>
      <c r="U19" s="2">
        <v>109.12</v>
      </c>
    </row>
    <row r="20" spans="1:21" x14ac:dyDescent="0.25">
      <c r="A20" t="s">
        <v>21</v>
      </c>
      <c r="B20" t="s">
        <v>63</v>
      </c>
      <c r="C20" t="s">
        <v>64</v>
      </c>
      <c r="D20" t="s">
        <v>76</v>
      </c>
      <c r="E20" t="s">
        <v>77</v>
      </c>
      <c r="F20" s="1">
        <v>45894</v>
      </c>
      <c r="G20" s="1">
        <v>45894</v>
      </c>
      <c r="H20" s="1">
        <v>45900</v>
      </c>
      <c r="K20" t="s">
        <v>26</v>
      </c>
      <c r="L20" t="s">
        <v>38</v>
      </c>
      <c r="M20" t="s">
        <v>28</v>
      </c>
      <c r="N20" t="s">
        <v>29</v>
      </c>
      <c r="O20" s="2">
        <v>66.900000000000006</v>
      </c>
      <c r="P20" t="s">
        <v>30</v>
      </c>
      <c r="Q20" s="4">
        <v>0.85</v>
      </c>
      <c r="S20" s="2">
        <v>56.87</v>
      </c>
      <c r="T20" s="2">
        <v>0</v>
      </c>
      <c r="U20" s="2">
        <v>56.87</v>
      </c>
    </row>
    <row r="21" spans="1:21" x14ac:dyDescent="0.25">
      <c r="A21" t="s">
        <v>21</v>
      </c>
      <c r="B21" t="s">
        <v>34</v>
      </c>
      <c r="C21" t="s">
        <v>35</v>
      </c>
      <c r="D21" t="s">
        <v>78</v>
      </c>
      <c r="E21" t="s">
        <v>79</v>
      </c>
      <c r="F21" s="1">
        <v>45894</v>
      </c>
      <c r="G21" s="1">
        <v>45894</v>
      </c>
      <c r="H21" s="1">
        <v>45900</v>
      </c>
      <c r="K21" t="s">
        <v>26</v>
      </c>
      <c r="L21" t="s">
        <v>38</v>
      </c>
      <c r="M21" t="s">
        <v>28</v>
      </c>
      <c r="N21" t="s">
        <v>29</v>
      </c>
      <c r="O21" s="2">
        <v>35.659999999999997</v>
      </c>
      <c r="P21" t="s">
        <v>30</v>
      </c>
      <c r="Q21" s="4">
        <v>0.85</v>
      </c>
      <c r="S21" s="2">
        <v>30.31</v>
      </c>
      <c r="T21" s="2">
        <v>0</v>
      </c>
      <c r="U21" s="2">
        <v>30.31</v>
      </c>
    </row>
    <row r="22" spans="1:21" x14ac:dyDescent="0.25">
      <c r="A22" t="s">
        <v>21</v>
      </c>
      <c r="B22" t="s">
        <v>58</v>
      </c>
      <c r="C22" t="s">
        <v>59</v>
      </c>
      <c r="D22" t="s">
        <v>80</v>
      </c>
      <c r="E22" t="s">
        <v>81</v>
      </c>
      <c r="F22" s="1">
        <v>45894</v>
      </c>
      <c r="G22" s="1">
        <v>45892</v>
      </c>
      <c r="H22" s="1">
        <v>45900</v>
      </c>
      <c r="K22" t="s">
        <v>26</v>
      </c>
      <c r="L22" t="s">
        <v>33</v>
      </c>
      <c r="M22" t="s">
        <v>28</v>
      </c>
      <c r="N22" t="s">
        <v>29</v>
      </c>
      <c r="O22" s="2">
        <v>18.16</v>
      </c>
      <c r="P22" t="s">
        <v>30</v>
      </c>
      <c r="Q22" s="4">
        <v>1</v>
      </c>
      <c r="S22" s="2">
        <v>18.16</v>
      </c>
      <c r="T22" s="2">
        <v>0</v>
      </c>
      <c r="U22" s="2">
        <v>18.16</v>
      </c>
    </row>
    <row r="23" spans="1:21" x14ac:dyDescent="0.25">
      <c r="A23" t="s">
        <v>21</v>
      </c>
      <c r="B23" t="s">
        <v>58</v>
      </c>
      <c r="C23" t="s">
        <v>59</v>
      </c>
      <c r="D23" t="s">
        <v>82</v>
      </c>
      <c r="E23" t="s">
        <v>81</v>
      </c>
      <c r="F23" s="1">
        <v>45894</v>
      </c>
      <c r="G23" s="1">
        <v>45894</v>
      </c>
      <c r="H23" s="1">
        <v>45900</v>
      </c>
      <c r="K23" t="s">
        <v>26</v>
      </c>
      <c r="L23" t="s">
        <v>38</v>
      </c>
      <c r="M23" t="s">
        <v>28</v>
      </c>
      <c r="N23" t="s">
        <v>29</v>
      </c>
      <c r="O23" s="2">
        <v>13.14</v>
      </c>
      <c r="P23" t="s">
        <v>30</v>
      </c>
      <c r="Q23" s="4">
        <v>0.85</v>
      </c>
      <c r="S23" s="2">
        <v>11.17</v>
      </c>
      <c r="T23" s="2">
        <v>0</v>
      </c>
      <c r="U23" s="2">
        <v>11.17</v>
      </c>
    </row>
    <row r="24" spans="1:21" x14ac:dyDescent="0.25">
      <c r="A24" t="s">
        <v>21</v>
      </c>
      <c r="B24" t="s">
        <v>83</v>
      </c>
      <c r="C24" t="s">
        <v>84</v>
      </c>
      <c r="D24" t="s">
        <v>85</v>
      </c>
      <c r="E24" t="s">
        <v>86</v>
      </c>
      <c r="F24" s="1">
        <v>45894</v>
      </c>
      <c r="G24" s="1">
        <v>45894</v>
      </c>
      <c r="H24" s="1">
        <v>45900</v>
      </c>
      <c r="K24" t="s">
        <v>26</v>
      </c>
      <c r="L24" t="s">
        <v>38</v>
      </c>
      <c r="M24" t="s">
        <v>28</v>
      </c>
      <c r="N24" t="s">
        <v>29</v>
      </c>
      <c r="O24" s="2">
        <v>57.12</v>
      </c>
      <c r="P24" t="s">
        <v>30</v>
      </c>
      <c r="Q24" s="4">
        <v>0.85</v>
      </c>
      <c r="S24" s="2">
        <v>48.55</v>
      </c>
      <c r="T24" s="2">
        <v>0</v>
      </c>
      <c r="U24" s="2">
        <v>48.55</v>
      </c>
    </row>
    <row r="25" spans="1:21" x14ac:dyDescent="0.25">
      <c r="A25" t="s">
        <v>21</v>
      </c>
      <c r="B25" t="s">
        <v>87</v>
      </c>
      <c r="C25" t="s">
        <v>88</v>
      </c>
      <c r="D25" t="s">
        <v>89</v>
      </c>
      <c r="E25" t="s">
        <v>90</v>
      </c>
      <c r="F25" s="1">
        <v>45894</v>
      </c>
      <c r="G25" s="1">
        <v>45894</v>
      </c>
      <c r="H25" s="1">
        <v>45900</v>
      </c>
      <c r="K25" t="s">
        <v>26</v>
      </c>
      <c r="L25" t="s">
        <v>33</v>
      </c>
      <c r="M25" t="s">
        <v>28</v>
      </c>
      <c r="N25" t="s">
        <v>29</v>
      </c>
      <c r="O25" s="2">
        <v>18.16</v>
      </c>
      <c r="P25" t="s">
        <v>30</v>
      </c>
      <c r="Q25" s="4">
        <v>1</v>
      </c>
      <c r="S25" s="2">
        <v>18.16</v>
      </c>
      <c r="T25" s="2">
        <v>0</v>
      </c>
      <c r="U25" s="2">
        <v>18.16</v>
      </c>
    </row>
    <row r="26" spans="1:21" x14ac:dyDescent="0.25">
      <c r="A26" t="s">
        <v>21</v>
      </c>
      <c r="B26" t="s">
        <v>83</v>
      </c>
      <c r="C26" t="s">
        <v>84</v>
      </c>
      <c r="D26" t="s">
        <v>91</v>
      </c>
      <c r="E26" t="s">
        <v>86</v>
      </c>
      <c r="F26" s="1">
        <v>45894</v>
      </c>
      <c r="G26" s="1">
        <v>45893</v>
      </c>
      <c r="H26" s="1">
        <v>45900</v>
      </c>
      <c r="K26" t="s">
        <v>26</v>
      </c>
      <c r="L26" t="s">
        <v>33</v>
      </c>
      <c r="M26" t="s">
        <v>28</v>
      </c>
      <c r="N26" t="s">
        <v>29</v>
      </c>
      <c r="O26" s="2">
        <v>37.83</v>
      </c>
      <c r="P26" t="s">
        <v>30</v>
      </c>
      <c r="Q26" s="4">
        <v>1</v>
      </c>
      <c r="S26" s="2">
        <v>37.83</v>
      </c>
      <c r="T26" s="2">
        <v>0</v>
      </c>
      <c r="U26" s="2">
        <v>37.83</v>
      </c>
    </row>
    <row r="27" spans="1:21" x14ac:dyDescent="0.25">
      <c r="A27" t="s">
        <v>21</v>
      </c>
      <c r="B27" t="s">
        <v>58</v>
      </c>
      <c r="C27" t="s">
        <v>59</v>
      </c>
      <c r="D27" t="s">
        <v>92</v>
      </c>
      <c r="E27" t="s">
        <v>93</v>
      </c>
      <c r="F27" s="1">
        <v>45894</v>
      </c>
      <c r="G27" s="1">
        <v>45893</v>
      </c>
      <c r="H27" s="1">
        <v>45900</v>
      </c>
      <c r="K27" t="s">
        <v>26</v>
      </c>
      <c r="L27" t="s">
        <v>38</v>
      </c>
      <c r="M27" t="s">
        <v>28</v>
      </c>
      <c r="N27" t="s">
        <v>29</v>
      </c>
      <c r="O27" s="2">
        <v>10.35</v>
      </c>
      <c r="P27" t="s">
        <v>30</v>
      </c>
      <c r="Q27" s="4">
        <v>0.85</v>
      </c>
      <c r="S27" s="2">
        <v>8.8000000000000007</v>
      </c>
      <c r="T27" s="2">
        <v>0</v>
      </c>
      <c r="U27" s="2">
        <v>8.8000000000000007</v>
      </c>
    </row>
    <row r="28" spans="1:21" x14ac:dyDescent="0.25">
      <c r="A28" t="s">
        <v>21</v>
      </c>
      <c r="B28" t="s">
        <v>58</v>
      </c>
      <c r="C28" t="s">
        <v>59</v>
      </c>
      <c r="D28" t="s">
        <v>94</v>
      </c>
      <c r="E28" t="s">
        <v>93</v>
      </c>
      <c r="F28" s="1">
        <v>45894</v>
      </c>
      <c r="G28" s="1">
        <v>45893</v>
      </c>
      <c r="H28" s="1">
        <v>45900</v>
      </c>
      <c r="K28" t="s">
        <v>26</v>
      </c>
      <c r="L28" t="s">
        <v>33</v>
      </c>
      <c r="M28" t="s">
        <v>28</v>
      </c>
      <c r="N28" t="s">
        <v>29</v>
      </c>
      <c r="O28" s="2">
        <v>18.16</v>
      </c>
      <c r="P28" t="s">
        <v>30</v>
      </c>
      <c r="Q28" s="4">
        <v>1</v>
      </c>
      <c r="S28" s="2">
        <v>18.16</v>
      </c>
      <c r="T28" s="2">
        <v>0</v>
      </c>
      <c r="U28" s="2">
        <v>18.16</v>
      </c>
    </row>
    <row r="29" spans="1:21" x14ac:dyDescent="0.25">
      <c r="A29" t="s">
        <v>21</v>
      </c>
      <c r="B29" t="s">
        <v>51</v>
      </c>
      <c r="C29" t="s">
        <v>52</v>
      </c>
      <c r="D29" t="s">
        <v>95</v>
      </c>
      <c r="E29" t="s">
        <v>96</v>
      </c>
      <c r="F29" s="1">
        <v>45894</v>
      </c>
      <c r="G29" s="1">
        <v>45893</v>
      </c>
      <c r="H29" s="1">
        <v>45900</v>
      </c>
      <c r="K29" t="s">
        <v>26</v>
      </c>
      <c r="L29" t="s">
        <v>33</v>
      </c>
      <c r="M29" t="s">
        <v>28</v>
      </c>
      <c r="N29" t="s">
        <v>29</v>
      </c>
      <c r="O29" s="2">
        <v>38.39</v>
      </c>
      <c r="P29" t="s">
        <v>30</v>
      </c>
      <c r="Q29" s="4">
        <v>1</v>
      </c>
      <c r="S29" s="2">
        <v>38.39</v>
      </c>
      <c r="T29" s="2">
        <v>0</v>
      </c>
      <c r="U29" s="2">
        <v>38.39</v>
      </c>
    </row>
    <row r="30" spans="1:21" x14ac:dyDescent="0.25">
      <c r="A30" t="s">
        <v>21</v>
      </c>
      <c r="B30" t="s">
        <v>58</v>
      </c>
      <c r="C30" t="s">
        <v>59</v>
      </c>
      <c r="D30" t="s">
        <v>97</v>
      </c>
      <c r="E30" t="s">
        <v>98</v>
      </c>
      <c r="F30" s="1">
        <v>45894</v>
      </c>
      <c r="G30" s="1">
        <v>45893</v>
      </c>
      <c r="H30" s="1">
        <v>45900</v>
      </c>
      <c r="K30" t="s">
        <v>26</v>
      </c>
      <c r="L30" t="s">
        <v>38</v>
      </c>
      <c r="M30" t="s">
        <v>28</v>
      </c>
      <c r="N30" t="s">
        <v>29</v>
      </c>
      <c r="O30" s="2">
        <v>40.909999999999997</v>
      </c>
      <c r="P30" t="s">
        <v>30</v>
      </c>
      <c r="Q30" s="4">
        <v>0.85</v>
      </c>
      <c r="S30" s="2">
        <v>34.770000000000003</v>
      </c>
      <c r="T30" s="2">
        <v>0</v>
      </c>
      <c r="U30" s="2">
        <v>34.770000000000003</v>
      </c>
    </row>
    <row r="31" spans="1:21" x14ac:dyDescent="0.25">
      <c r="A31" t="s">
        <v>21</v>
      </c>
      <c r="B31" t="s">
        <v>58</v>
      </c>
      <c r="C31" t="s">
        <v>59</v>
      </c>
      <c r="D31" t="s">
        <v>99</v>
      </c>
      <c r="E31" t="s">
        <v>98</v>
      </c>
      <c r="F31" s="1">
        <v>45894</v>
      </c>
      <c r="G31" s="1">
        <v>45893</v>
      </c>
      <c r="H31" s="1">
        <v>45900</v>
      </c>
      <c r="K31" t="s">
        <v>26</v>
      </c>
      <c r="L31" t="s">
        <v>33</v>
      </c>
      <c r="M31" t="s">
        <v>28</v>
      </c>
      <c r="N31" t="s">
        <v>29</v>
      </c>
      <c r="O31" s="2">
        <v>18.16</v>
      </c>
      <c r="P31" t="s">
        <v>30</v>
      </c>
      <c r="Q31" s="4">
        <v>1</v>
      </c>
      <c r="S31" s="2">
        <v>18.16</v>
      </c>
      <c r="T31" s="2">
        <v>0</v>
      </c>
      <c r="U31" s="2">
        <v>18.16</v>
      </c>
    </row>
    <row r="32" spans="1:21" x14ac:dyDescent="0.25">
      <c r="A32" t="s">
        <v>21</v>
      </c>
      <c r="B32" t="s">
        <v>22</v>
      </c>
      <c r="C32" t="s">
        <v>23</v>
      </c>
      <c r="D32" t="s">
        <v>100</v>
      </c>
      <c r="E32" t="s">
        <v>101</v>
      </c>
      <c r="F32" s="1">
        <v>45894</v>
      </c>
      <c r="G32" s="1">
        <v>45894</v>
      </c>
      <c r="H32" s="1">
        <v>45900</v>
      </c>
      <c r="K32" t="s">
        <v>26</v>
      </c>
      <c r="L32" t="s">
        <v>33</v>
      </c>
      <c r="M32" t="s">
        <v>28</v>
      </c>
      <c r="N32" t="s">
        <v>29</v>
      </c>
      <c r="O32" s="2">
        <v>30.63</v>
      </c>
      <c r="P32" t="s">
        <v>30</v>
      </c>
      <c r="Q32" s="4">
        <v>1</v>
      </c>
      <c r="S32" s="2">
        <v>30.63</v>
      </c>
      <c r="T32" s="2">
        <v>0</v>
      </c>
      <c r="U32" s="2">
        <v>30.63</v>
      </c>
    </row>
    <row r="33" spans="1:21" x14ac:dyDescent="0.25">
      <c r="A33" t="s">
        <v>21</v>
      </c>
      <c r="B33" t="s">
        <v>22</v>
      </c>
      <c r="C33" t="s">
        <v>23</v>
      </c>
      <c r="D33" t="s">
        <v>102</v>
      </c>
      <c r="E33" t="s">
        <v>101</v>
      </c>
      <c r="F33" s="1">
        <v>45894</v>
      </c>
      <c r="G33" s="1">
        <v>45894</v>
      </c>
      <c r="H33" s="1">
        <v>45900</v>
      </c>
      <c r="K33" t="s">
        <v>26</v>
      </c>
      <c r="L33" t="s">
        <v>27</v>
      </c>
      <c r="M33" t="s">
        <v>28</v>
      </c>
      <c r="N33" t="s">
        <v>29</v>
      </c>
      <c r="O33" s="2">
        <v>57.16</v>
      </c>
      <c r="P33" t="s">
        <v>30</v>
      </c>
      <c r="Q33" s="4">
        <v>0.995</v>
      </c>
      <c r="S33" s="2">
        <v>56.87</v>
      </c>
      <c r="T33" s="2">
        <v>0</v>
      </c>
      <c r="U33" s="2">
        <v>56.87</v>
      </c>
    </row>
    <row r="34" spans="1:21" x14ac:dyDescent="0.25">
      <c r="A34" t="s">
        <v>21</v>
      </c>
      <c r="B34" t="s">
        <v>103</v>
      </c>
      <c r="C34" t="s">
        <v>104</v>
      </c>
      <c r="D34" t="s">
        <v>105</v>
      </c>
      <c r="E34" t="s">
        <v>106</v>
      </c>
      <c r="F34" s="1">
        <v>45894</v>
      </c>
      <c r="G34" s="1">
        <v>45894</v>
      </c>
      <c r="H34" s="1">
        <v>45900</v>
      </c>
      <c r="K34" t="s">
        <v>26</v>
      </c>
      <c r="L34" t="s">
        <v>33</v>
      </c>
      <c r="M34" t="s">
        <v>28</v>
      </c>
      <c r="N34" t="s">
        <v>29</v>
      </c>
      <c r="O34" s="2">
        <v>18.16</v>
      </c>
      <c r="P34" t="s">
        <v>30</v>
      </c>
      <c r="Q34" s="4">
        <v>1</v>
      </c>
      <c r="S34" s="2">
        <v>18.16</v>
      </c>
      <c r="T34" s="2">
        <v>0</v>
      </c>
      <c r="U34" s="2">
        <v>18.16</v>
      </c>
    </row>
    <row r="35" spans="1:21" x14ac:dyDescent="0.25">
      <c r="A35" t="s">
        <v>21</v>
      </c>
      <c r="B35" t="s">
        <v>34</v>
      </c>
      <c r="C35" t="s">
        <v>35</v>
      </c>
      <c r="D35" t="s">
        <v>107</v>
      </c>
      <c r="E35" t="s">
        <v>108</v>
      </c>
      <c r="F35" s="1">
        <v>45887</v>
      </c>
      <c r="G35" s="1">
        <v>45853</v>
      </c>
      <c r="H35" s="1">
        <v>45900</v>
      </c>
      <c r="K35" t="s">
        <v>26</v>
      </c>
      <c r="L35" t="s">
        <v>33</v>
      </c>
      <c r="M35" t="s">
        <v>28</v>
      </c>
      <c r="N35" t="s">
        <v>109</v>
      </c>
      <c r="O35" s="2">
        <v>160.22999999999999</v>
      </c>
      <c r="P35" t="s">
        <v>30</v>
      </c>
      <c r="Q35" s="4">
        <v>1</v>
      </c>
      <c r="S35" s="2">
        <v>160.22999999999999</v>
      </c>
      <c r="T35" s="2">
        <v>0</v>
      </c>
      <c r="U35" s="2">
        <v>160.22999999999999</v>
      </c>
    </row>
    <row r="36" spans="1:21" x14ac:dyDescent="0.25">
      <c r="A36" t="s">
        <v>21</v>
      </c>
      <c r="B36" t="s">
        <v>103</v>
      </c>
      <c r="C36" t="s">
        <v>104</v>
      </c>
      <c r="D36" t="s">
        <v>110</v>
      </c>
      <c r="E36" t="s">
        <v>111</v>
      </c>
      <c r="F36" s="1">
        <v>45897</v>
      </c>
      <c r="G36" s="1">
        <v>45897</v>
      </c>
      <c r="H36" s="1">
        <v>45900</v>
      </c>
      <c r="K36" t="s">
        <v>26</v>
      </c>
      <c r="L36" t="s">
        <v>38</v>
      </c>
      <c r="M36" t="s">
        <v>28</v>
      </c>
      <c r="N36" t="s">
        <v>29</v>
      </c>
      <c r="O36" s="2">
        <v>85.55</v>
      </c>
      <c r="P36" t="s">
        <v>30</v>
      </c>
      <c r="Q36" s="4">
        <v>0.85</v>
      </c>
      <c r="S36" s="2">
        <v>72.72</v>
      </c>
      <c r="T36" s="2">
        <v>0</v>
      </c>
      <c r="U36" s="2">
        <v>72.72</v>
      </c>
    </row>
    <row r="37" spans="1:21" x14ac:dyDescent="0.25">
      <c r="A37" t="s">
        <v>21</v>
      </c>
      <c r="B37" t="s">
        <v>103</v>
      </c>
      <c r="C37" t="s">
        <v>104</v>
      </c>
      <c r="D37" t="s">
        <v>112</v>
      </c>
      <c r="E37" t="s">
        <v>111</v>
      </c>
      <c r="F37" s="1">
        <v>45897</v>
      </c>
      <c r="G37" s="1">
        <v>45897</v>
      </c>
      <c r="H37" s="1">
        <v>45900</v>
      </c>
      <c r="K37" t="s">
        <v>26</v>
      </c>
      <c r="L37" t="s">
        <v>33</v>
      </c>
      <c r="M37" t="s">
        <v>28</v>
      </c>
      <c r="N37" t="s">
        <v>29</v>
      </c>
      <c r="O37" s="2">
        <v>37.83</v>
      </c>
      <c r="P37" t="s">
        <v>30</v>
      </c>
      <c r="Q37" s="4">
        <v>1</v>
      </c>
      <c r="S37" s="2">
        <v>37.83</v>
      </c>
      <c r="T37" s="2">
        <v>0</v>
      </c>
      <c r="U37" s="2">
        <v>37.83</v>
      </c>
    </row>
    <row r="38" spans="1:21" x14ac:dyDescent="0.25">
      <c r="A38" t="s">
        <v>21</v>
      </c>
      <c r="B38" t="s">
        <v>34</v>
      </c>
      <c r="C38" t="s">
        <v>35</v>
      </c>
      <c r="D38" t="s">
        <v>113</v>
      </c>
      <c r="E38" t="s">
        <v>114</v>
      </c>
      <c r="F38" s="1">
        <v>45894</v>
      </c>
      <c r="G38" s="1">
        <v>45870</v>
      </c>
      <c r="H38" s="1">
        <v>45900</v>
      </c>
      <c r="K38" t="s">
        <v>26</v>
      </c>
      <c r="L38" t="s">
        <v>33</v>
      </c>
      <c r="M38" t="s">
        <v>28</v>
      </c>
      <c r="N38" t="s">
        <v>29</v>
      </c>
      <c r="O38" s="2">
        <v>18.16</v>
      </c>
      <c r="P38" t="s">
        <v>30</v>
      </c>
      <c r="Q38" s="4">
        <v>1</v>
      </c>
      <c r="S38" s="2">
        <v>18.16</v>
      </c>
      <c r="T38" s="2">
        <v>0</v>
      </c>
      <c r="U38" s="2">
        <v>18.16</v>
      </c>
    </row>
    <row r="39" spans="1:21" x14ac:dyDescent="0.25">
      <c r="A39" t="s">
        <v>21</v>
      </c>
      <c r="B39" t="s">
        <v>34</v>
      </c>
      <c r="C39" t="s">
        <v>35</v>
      </c>
      <c r="D39" t="s">
        <v>115</v>
      </c>
      <c r="E39" t="s">
        <v>114</v>
      </c>
      <c r="F39" s="1">
        <v>45894</v>
      </c>
      <c r="G39" s="1">
        <v>45894</v>
      </c>
      <c r="H39" s="1">
        <v>45900</v>
      </c>
      <c r="K39" t="s">
        <v>26</v>
      </c>
      <c r="L39" t="s">
        <v>38</v>
      </c>
      <c r="M39" t="s">
        <v>28</v>
      </c>
      <c r="N39" t="s">
        <v>29</v>
      </c>
      <c r="O39" s="2">
        <v>55.42</v>
      </c>
      <c r="P39" t="s">
        <v>30</v>
      </c>
      <c r="Q39" s="4">
        <v>0.85</v>
      </c>
      <c r="S39" s="2">
        <v>47.11</v>
      </c>
      <c r="T39" s="2">
        <v>0</v>
      </c>
      <c r="U39" s="2">
        <v>47.11</v>
      </c>
    </row>
    <row r="40" spans="1:21" x14ac:dyDescent="0.25">
      <c r="A40" t="s">
        <v>21</v>
      </c>
      <c r="B40" t="s">
        <v>34</v>
      </c>
      <c r="C40" t="s">
        <v>35</v>
      </c>
      <c r="D40" t="s">
        <v>116</v>
      </c>
      <c r="E40" t="s">
        <v>117</v>
      </c>
      <c r="F40" s="1">
        <v>45894</v>
      </c>
      <c r="G40" s="1">
        <v>45894</v>
      </c>
      <c r="H40" s="1">
        <v>45900</v>
      </c>
      <c r="K40" t="s">
        <v>26</v>
      </c>
      <c r="L40" t="s">
        <v>33</v>
      </c>
      <c r="M40" t="s">
        <v>28</v>
      </c>
      <c r="N40" t="s">
        <v>29</v>
      </c>
      <c r="O40" s="2">
        <v>25.7</v>
      </c>
      <c r="P40" t="s">
        <v>30</v>
      </c>
      <c r="Q40" s="4">
        <v>1</v>
      </c>
      <c r="S40" s="2">
        <v>25.7</v>
      </c>
      <c r="T40" s="2">
        <v>0</v>
      </c>
      <c r="U40" s="2">
        <v>25.7</v>
      </c>
    </row>
    <row r="41" spans="1:21" x14ac:dyDescent="0.25">
      <c r="A41" t="s">
        <v>21</v>
      </c>
      <c r="B41" t="s">
        <v>34</v>
      </c>
      <c r="C41" t="s">
        <v>35</v>
      </c>
      <c r="D41" t="s">
        <v>118</v>
      </c>
      <c r="E41" t="s">
        <v>117</v>
      </c>
      <c r="F41" s="1">
        <v>45894</v>
      </c>
      <c r="G41" s="1">
        <v>45894</v>
      </c>
      <c r="H41" s="1">
        <v>45900</v>
      </c>
      <c r="K41" t="s">
        <v>26</v>
      </c>
      <c r="L41" t="s">
        <v>38</v>
      </c>
      <c r="M41" t="s">
        <v>28</v>
      </c>
      <c r="N41" t="s">
        <v>29</v>
      </c>
      <c r="O41" s="2">
        <v>24.53</v>
      </c>
      <c r="P41" t="s">
        <v>30</v>
      </c>
      <c r="Q41" s="4">
        <v>0.85</v>
      </c>
      <c r="S41" s="2">
        <v>20.85</v>
      </c>
      <c r="T41" s="2">
        <v>0</v>
      </c>
      <c r="U41" s="2">
        <v>20.85</v>
      </c>
    </row>
    <row r="42" spans="1:21" x14ac:dyDescent="0.25">
      <c r="A42" t="s">
        <v>21</v>
      </c>
      <c r="B42" t="s">
        <v>34</v>
      </c>
      <c r="C42" t="s">
        <v>35</v>
      </c>
      <c r="D42" t="s">
        <v>119</v>
      </c>
      <c r="E42" t="s">
        <v>120</v>
      </c>
      <c r="F42" s="1">
        <v>45894</v>
      </c>
      <c r="G42" s="1">
        <v>45894</v>
      </c>
      <c r="H42" s="1">
        <v>45900</v>
      </c>
      <c r="K42" t="s">
        <v>26</v>
      </c>
      <c r="L42" t="s">
        <v>38</v>
      </c>
      <c r="M42" t="s">
        <v>28</v>
      </c>
      <c r="N42" t="s">
        <v>29</v>
      </c>
      <c r="O42" s="2">
        <v>53.2</v>
      </c>
      <c r="P42" t="s">
        <v>30</v>
      </c>
      <c r="Q42" s="4">
        <v>0.85</v>
      </c>
      <c r="S42" s="2">
        <v>45.22</v>
      </c>
      <c r="T42" s="2">
        <v>0</v>
      </c>
      <c r="U42" s="2">
        <v>45.22</v>
      </c>
    </row>
    <row r="43" spans="1:21" x14ac:dyDescent="0.25">
      <c r="A43" t="s">
        <v>21</v>
      </c>
      <c r="B43" t="s">
        <v>34</v>
      </c>
      <c r="C43" t="s">
        <v>35</v>
      </c>
      <c r="D43" t="s">
        <v>121</v>
      </c>
      <c r="E43" t="s">
        <v>120</v>
      </c>
      <c r="F43" s="1">
        <v>45894</v>
      </c>
      <c r="G43" s="1">
        <v>45894</v>
      </c>
      <c r="H43" s="1">
        <v>45900</v>
      </c>
      <c r="K43" t="s">
        <v>26</v>
      </c>
      <c r="L43" t="s">
        <v>33</v>
      </c>
      <c r="M43" t="s">
        <v>28</v>
      </c>
      <c r="N43" t="s">
        <v>29</v>
      </c>
      <c r="O43" s="2">
        <v>18.16</v>
      </c>
      <c r="P43" t="s">
        <v>30</v>
      </c>
      <c r="Q43" s="4">
        <v>1</v>
      </c>
      <c r="S43" s="2">
        <v>18.16</v>
      </c>
      <c r="T43" s="2">
        <v>0</v>
      </c>
      <c r="U43" s="2">
        <v>18.16</v>
      </c>
    </row>
    <row r="44" spans="1:21" x14ac:dyDescent="0.25">
      <c r="A44" t="s">
        <v>21</v>
      </c>
      <c r="B44" t="s">
        <v>34</v>
      </c>
      <c r="C44" t="s">
        <v>35</v>
      </c>
      <c r="D44" t="s">
        <v>122</v>
      </c>
      <c r="E44" t="s">
        <v>123</v>
      </c>
      <c r="F44" s="1">
        <v>45894</v>
      </c>
      <c r="G44" s="1">
        <v>45894</v>
      </c>
      <c r="H44" s="1">
        <v>45900</v>
      </c>
      <c r="K44" t="s">
        <v>26</v>
      </c>
      <c r="L44" t="s">
        <v>33</v>
      </c>
      <c r="M44" t="s">
        <v>28</v>
      </c>
      <c r="N44" t="s">
        <v>29</v>
      </c>
      <c r="O44" s="2">
        <v>37.25</v>
      </c>
      <c r="P44" t="s">
        <v>30</v>
      </c>
      <c r="Q44" s="4">
        <v>0.9</v>
      </c>
      <c r="S44" s="2">
        <v>33.53</v>
      </c>
      <c r="T44" s="2">
        <v>0</v>
      </c>
      <c r="U44" s="2">
        <v>33.53</v>
      </c>
    </row>
    <row r="45" spans="1:21" x14ac:dyDescent="0.25">
      <c r="A45" t="s">
        <v>21</v>
      </c>
      <c r="B45" t="s">
        <v>124</v>
      </c>
      <c r="C45" t="s">
        <v>125</v>
      </c>
      <c r="D45" t="s">
        <v>126</v>
      </c>
      <c r="E45" t="s">
        <v>127</v>
      </c>
      <c r="F45" s="1">
        <v>45895</v>
      </c>
      <c r="G45" s="1">
        <v>45870</v>
      </c>
      <c r="H45" s="1">
        <v>45900</v>
      </c>
      <c r="K45" t="s">
        <v>26</v>
      </c>
      <c r="L45" t="s">
        <v>33</v>
      </c>
      <c r="M45" t="s">
        <v>28</v>
      </c>
      <c r="N45" t="s">
        <v>29</v>
      </c>
      <c r="O45" s="2">
        <v>30.16</v>
      </c>
      <c r="P45" t="s">
        <v>30</v>
      </c>
      <c r="Q45" s="4">
        <v>1</v>
      </c>
      <c r="S45" s="2">
        <v>30.16</v>
      </c>
      <c r="T45" s="2">
        <v>0</v>
      </c>
      <c r="U45" s="2">
        <v>30.16</v>
      </c>
    </row>
    <row r="46" spans="1:21" x14ac:dyDescent="0.25">
      <c r="A46" t="s">
        <v>21</v>
      </c>
      <c r="B46" t="s">
        <v>34</v>
      </c>
      <c r="C46" t="s">
        <v>35</v>
      </c>
      <c r="D46" t="s">
        <v>128</v>
      </c>
      <c r="E46" t="s">
        <v>129</v>
      </c>
      <c r="F46" s="1">
        <v>45890</v>
      </c>
      <c r="G46" s="1">
        <v>45890</v>
      </c>
      <c r="H46" s="1">
        <v>45900</v>
      </c>
      <c r="K46" t="s">
        <v>26</v>
      </c>
      <c r="L46" t="s">
        <v>33</v>
      </c>
      <c r="M46" t="s">
        <v>28</v>
      </c>
      <c r="N46" t="s">
        <v>29</v>
      </c>
      <c r="O46" s="2">
        <v>29.21</v>
      </c>
      <c r="P46" t="s">
        <v>30</v>
      </c>
      <c r="Q46" s="4">
        <v>1</v>
      </c>
      <c r="S46" s="2">
        <v>29.21</v>
      </c>
      <c r="T46" s="2">
        <v>0</v>
      </c>
      <c r="U46" s="2">
        <v>29.21</v>
      </c>
    </row>
    <row r="47" spans="1:21" x14ac:dyDescent="0.25">
      <c r="A47" t="s">
        <v>21</v>
      </c>
      <c r="B47" t="s">
        <v>71</v>
      </c>
      <c r="C47" t="s">
        <v>72</v>
      </c>
      <c r="D47" t="s">
        <v>130</v>
      </c>
      <c r="E47" t="s">
        <v>131</v>
      </c>
      <c r="F47" s="1">
        <v>45894</v>
      </c>
      <c r="G47" s="1">
        <v>45894</v>
      </c>
      <c r="H47" s="1">
        <v>45900</v>
      </c>
      <c r="K47" t="s">
        <v>26</v>
      </c>
      <c r="L47" t="s">
        <v>38</v>
      </c>
      <c r="M47" t="s">
        <v>28</v>
      </c>
      <c r="N47" t="s">
        <v>29</v>
      </c>
      <c r="O47" s="2">
        <v>35.28</v>
      </c>
      <c r="P47" t="s">
        <v>30</v>
      </c>
      <c r="Q47" s="4">
        <v>0.85</v>
      </c>
      <c r="S47" s="2">
        <v>29.99</v>
      </c>
      <c r="T47" s="2">
        <v>0</v>
      </c>
      <c r="U47" s="2">
        <v>29.99</v>
      </c>
    </row>
    <row r="48" spans="1:21" x14ac:dyDescent="0.25">
      <c r="A48" t="s">
        <v>21</v>
      </c>
      <c r="B48" t="s">
        <v>71</v>
      </c>
      <c r="C48" t="s">
        <v>72</v>
      </c>
      <c r="D48" t="s">
        <v>132</v>
      </c>
      <c r="E48" t="s">
        <v>133</v>
      </c>
      <c r="F48" s="1">
        <v>45894</v>
      </c>
      <c r="G48" s="1">
        <v>45894</v>
      </c>
      <c r="H48" s="1">
        <v>45900</v>
      </c>
      <c r="K48" t="s">
        <v>26</v>
      </c>
      <c r="L48" t="s">
        <v>38</v>
      </c>
      <c r="M48" t="s">
        <v>28</v>
      </c>
      <c r="N48" t="s">
        <v>29</v>
      </c>
      <c r="O48" s="2">
        <v>53.41</v>
      </c>
      <c r="P48" t="s">
        <v>30</v>
      </c>
      <c r="Q48" s="4">
        <v>0.85</v>
      </c>
      <c r="S48" s="2">
        <v>45.4</v>
      </c>
      <c r="T48" s="2">
        <v>0</v>
      </c>
      <c r="U48" s="2">
        <v>45.4</v>
      </c>
    </row>
    <row r="49" spans="1:21" x14ac:dyDescent="0.25">
      <c r="A49" t="s">
        <v>21</v>
      </c>
      <c r="B49" t="s">
        <v>34</v>
      </c>
      <c r="C49" t="s">
        <v>35</v>
      </c>
      <c r="D49" t="s">
        <v>134</v>
      </c>
      <c r="E49" t="s">
        <v>135</v>
      </c>
      <c r="F49" s="1">
        <v>45894</v>
      </c>
      <c r="G49" s="1">
        <v>45894</v>
      </c>
      <c r="H49" s="1">
        <v>45900</v>
      </c>
      <c r="K49" t="s">
        <v>26</v>
      </c>
      <c r="L49" t="s">
        <v>33</v>
      </c>
      <c r="M49" t="s">
        <v>28</v>
      </c>
      <c r="N49" t="s">
        <v>29</v>
      </c>
      <c r="O49" s="2">
        <v>53.41</v>
      </c>
      <c r="P49" t="s">
        <v>30</v>
      </c>
      <c r="Q49" s="4">
        <v>1</v>
      </c>
      <c r="S49" s="2">
        <v>53.41</v>
      </c>
      <c r="T49" s="2">
        <v>0</v>
      </c>
      <c r="U49" s="2">
        <v>53.41</v>
      </c>
    </row>
    <row r="50" spans="1:21" x14ac:dyDescent="0.25">
      <c r="A50" t="s">
        <v>21</v>
      </c>
      <c r="B50" t="s">
        <v>136</v>
      </c>
      <c r="C50" t="s">
        <v>137</v>
      </c>
      <c r="D50" t="s">
        <v>138</v>
      </c>
      <c r="E50" t="s">
        <v>139</v>
      </c>
      <c r="F50" s="1">
        <v>45890</v>
      </c>
      <c r="G50" s="1">
        <v>45890</v>
      </c>
      <c r="H50" s="1">
        <v>45900</v>
      </c>
      <c r="K50" t="s">
        <v>26</v>
      </c>
      <c r="L50" t="s">
        <v>33</v>
      </c>
      <c r="M50" t="s">
        <v>28</v>
      </c>
      <c r="N50" t="s">
        <v>29</v>
      </c>
      <c r="O50" s="2">
        <v>36.53</v>
      </c>
      <c r="P50" t="s">
        <v>30</v>
      </c>
      <c r="Q50" s="4">
        <v>1</v>
      </c>
      <c r="S50" s="2">
        <v>36.53</v>
      </c>
      <c r="T50" s="2">
        <v>0</v>
      </c>
      <c r="U50" s="2">
        <v>36.53</v>
      </c>
    </row>
    <row r="51" spans="1:21" x14ac:dyDescent="0.25">
      <c r="A51" t="s">
        <v>21</v>
      </c>
      <c r="B51" t="s">
        <v>140</v>
      </c>
      <c r="C51" t="s">
        <v>141</v>
      </c>
      <c r="D51" t="s">
        <v>142</v>
      </c>
      <c r="E51" t="s">
        <v>143</v>
      </c>
      <c r="F51" s="1">
        <v>45889</v>
      </c>
      <c r="G51" s="1">
        <v>45876</v>
      </c>
      <c r="H51" s="1">
        <v>45900</v>
      </c>
      <c r="K51" t="s">
        <v>26</v>
      </c>
      <c r="L51" t="s">
        <v>38</v>
      </c>
      <c r="M51" t="s">
        <v>28</v>
      </c>
      <c r="N51" t="s">
        <v>29</v>
      </c>
      <c r="O51" s="2">
        <v>29.09</v>
      </c>
      <c r="P51" t="s">
        <v>30</v>
      </c>
      <c r="Q51" s="4">
        <v>0.85</v>
      </c>
      <c r="S51" s="2">
        <v>24.73</v>
      </c>
      <c r="T51" s="2">
        <v>0</v>
      </c>
      <c r="U51" s="2">
        <v>24.73</v>
      </c>
    </row>
    <row r="52" spans="1:21" x14ac:dyDescent="0.25">
      <c r="A52" t="s">
        <v>21</v>
      </c>
      <c r="B52" t="s">
        <v>51</v>
      </c>
      <c r="C52" t="s">
        <v>52</v>
      </c>
      <c r="D52" t="s">
        <v>144</v>
      </c>
      <c r="E52" t="s">
        <v>145</v>
      </c>
      <c r="F52" s="1">
        <v>45887</v>
      </c>
      <c r="G52" s="1">
        <v>45885</v>
      </c>
      <c r="H52" s="1">
        <v>45900</v>
      </c>
      <c r="K52" t="s">
        <v>26</v>
      </c>
      <c r="L52" t="s">
        <v>33</v>
      </c>
      <c r="M52" t="s">
        <v>28</v>
      </c>
      <c r="N52" t="s">
        <v>29</v>
      </c>
      <c r="O52" s="2">
        <v>39.83</v>
      </c>
      <c r="P52" t="s">
        <v>30</v>
      </c>
      <c r="Q52" s="4">
        <v>1</v>
      </c>
      <c r="S52" s="2">
        <v>39.83</v>
      </c>
      <c r="T52" s="2">
        <v>0</v>
      </c>
      <c r="U52" s="2">
        <v>39.83</v>
      </c>
    </row>
    <row r="53" spans="1:21" x14ac:dyDescent="0.25">
      <c r="A53" t="s">
        <v>21</v>
      </c>
      <c r="B53" t="s">
        <v>87</v>
      </c>
      <c r="C53" t="s">
        <v>88</v>
      </c>
      <c r="D53" t="s">
        <v>146</v>
      </c>
      <c r="E53" t="s">
        <v>147</v>
      </c>
      <c r="F53" s="1">
        <v>45897</v>
      </c>
      <c r="G53" s="1">
        <v>45897</v>
      </c>
      <c r="H53" s="1">
        <v>45900</v>
      </c>
      <c r="K53" t="s">
        <v>26</v>
      </c>
      <c r="L53" t="s">
        <v>38</v>
      </c>
      <c r="M53" t="s">
        <v>28</v>
      </c>
      <c r="N53" t="s">
        <v>29</v>
      </c>
      <c r="O53" s="2">
        <v>61.93</v>
      </c>
      <c r="P53" t="s">
        <v>30</v>
      </c>
      <c r="Q53" s="4">
        <v>0.85</v>
      </c>
      <c r="S53" s="2">
        <v>52.64</v>
      </c>
      <c r="T53" s="2">
        <v>0</v>
      </c>
      <c r="U53" s="2">
        <v>52.64</v>
      </c>
    </row>
    <row r="54" spans="1:21" x14ac:dyDescent="0.25">
      <c r="A54" t="s">
        <v>21</v>
      </c>
      <c r="B54" t="s">
        <v>51</v>
      </c>
      <c r="C54" t="s">
        <v>52</v>
      </c>
      <c r="D54" t="s">
        <v>148</v>
      </c>
      <c r="E54" t="s">
        <v>149</v>
      </c>
      <c r="F54" s="1">
        <v>45890</v>
      </c>
      <c r="G54" s="1">
        <v>45890</v>
      </c>
      <c r="H54" s="1">
        <v>45900</v>
      </c>
      <c r="K54" t="s">
        <v>26</v>
      </c>
      <c r="L54" t="s">
        <v>33</v>
      </c>
      <c r="M54" t="s">
        <v>28</v>
      </c>
      <c r="N54" t="s">
        <v>29</v>
      </c>
      <c r="O54" s="2">
        <v>39.83</v>
      </c>
      <c r="P54" t="s">
        <v>30</v>
      </c>
      <c r="Q54" s="4">
        <v>1</v>
      </c>
      <c r="S54" s="2">
        <v>39.83</v>
      </c>
      <c r="T54" s="2">
        <v>0</v>
      </c>
      <c r="U54" s="2">
        <v>39.83</v>
      </c>
    </row>
    <row r="55" spans="1:21" x14ac:dyDescent="0.25">
      <c r="A55" t="s">
        <v>21</v>
      </c>
      <c r="B55" t="s">
        <v>34</v>
      </c>
      <c r="C55" t="s">
        <v>35</v>
      </c>
      <c r="D55" t="s">
        <v>150</v>
      </c>
      <c r="E55" t="s">
        <v>151</v>
      </c>
      <c r="F55" s="1">
        <v>45890</v>
      </c>
      <c r="G55" s="1">
        <v>45890</v>
      </c>
      <c r="H55" s="1">
        <v>45900</v>
      </c>
      <c r="K55" t="s">
        <v>26</v>
      </c>
      <c r="L55" t="s">
        <v>33</v>
      </c>
      <c r="M55" t="s">
        <v>28</v>
      </c>
      <c r="N55" t="s">
        <v>29</v>
      </c>
      <c r="O55" s="2">
        <v>28.63</v>
      </c>
      <c r="P55" t="s">
        <v>30</v>
      </c>
      <c r="Q55" s="4">
        <v>1</v>
      </c>
      <c r="S55" s="2">
        <v>28.63</v>
      </c>
      <c r="T55" s="2">
        <v>0</v>
      </c>
      <c r="U55" s="2">
        <v>28.63</v>
      </c>
    </row>
    <row r="56" spans="1:21" x14ac:dyDescent="0.25">
      <c r="A56" t="s">
        <v>21</v>
      </c>
      <c r="B56" t="s">
        <v>51</v>
      </c>
      <c r="C56" t="s">
        <v>52</v>
      </c>
      <c r="D56" t="s">
        <v>152</v>
      </c>
      <c r="E56" t="s">
        <v>153</v>
      </c>
      <c r="F56" s="1">
        <v>45892</v>
      </c>
      <c r="G56" s="1">
        <v>45891</v>
      </c>
      <c r="H56" s="1">
        <v>45900</v>
      </c>
      <c r="K56" t="s">
        <v>26</v>
      </c>
      <c r="L56" t="s">
        <v>33</v>
      </c>
      <c r="M56" t="s">
        <v>28</v>
      </c>
      <c r="N56" t="s">
        <v>29</v>
      </c>
      <c r="O56" s="2">
        <v>28.63</v>
      </c>
      <c r="P56" t="s">
        <v>30</v>
      </c>
      <c r="Q56" s="4">
        <v>1</v>
      </c>
      <c r="S56" s="2">
        <v>28.63</v>
      </c>
      <c r="T56" s="2">
        <v>0</v>
      </c>
      <c r="U56" s="2">
        <v>28.63</v>
      </c>
    </row>
    <row r="57" spans="1:21" x14ac:dyDescent="0.25">
      <c r="A57" t="s">
        <v>21</v>
      </c>
      <c r="B57" t="s">
        <v>51</v>
      </c>
      <c r="C57" t="s">
        <v>52</v>
      </c>
      <c r="D57" t="s">
        <v>154</v>
      </c>
      <c r="E57" t="s">
        <v>155</v>
      </c>
      <c r="F57" s="1">
        <v>45894</v>
      </c>
      <c r="G57" s="1">
        <v>45892</v>
      </c>
      <c r="H57" s="1">
        <v>45900</v>
      </c>
      <c r="K57" t="s">
        <v>26</v>
      </c>
      <c r="L57" t="s">
        <v>33</v>
      </c>
      <c r="M57" t="s">
        <v>28</v>
      </c>
      <c r="N57" t="s">
        <v>29</v>
      </c>
      <c r="O57" s="2">
        <v>39.83</v>
      </c>
      <c r="P57" t="s">
        <v>30</v>
      </c>
      <c r="Q57" s="4">
        <v>1</v>
      </c>
      <c r="S57" s="2">
        <v>39.83</v>
      </c>
      <c r="T57" s="2">
        <v>0</v>
      </c>
      <c r="U57" s="2">
        <v>39.83</v>
      </c>
    </row>
    <row r="58" spans="1:21" x14ac:dyDescent="0.25">
      <c r="A58" t="s">
        <v>21</v>
      </c>
      <c r="B58" t="s">
        <v>34</v>
      </c>
      <c r="C58" t="s">
        <v>35</v>
      </c>
      <c r="D58" t="s">
        <v>156</v>
      </c>
      <c r="E58" t="s">
        <v>157</v>
      </c>
      <c r="F58" s="1">
        <v>45894</v>
      </c>
      <c r="G58" s="1">
        <v>45893</v>
      </c>
      <c r="H58" s="1">
        <v>45900</v>
      </c>
      <c r="K58" t="s">
        <v>26</v>
      </c>
      <c r="L58" t="s">
        <v>33</v>
      </c>
      <c r="M58" t="s">
        <v>28</v>
      </c>
      <c r="N58" t="s">
        <v>29</v>
      </c>
      <c r="O58" s="2">
        <v>18.16</v>
      </c>
      <c r="P58" t="s">
        <v>30</v>
      </c>
      <c r="Q58" s="4">
        <v>1</v>
      </c>
      <c r="S58" s="2">
        <v>18.16</v>
      </c>
      <c r="T58" s="2">
        <v>0</v>
      </c>
      <c r="U58" s="2">
        <v>18.16</v>
      </c>
    </row>
    <row r="59" spans="1:21" x14ac:dyDescent="0.25">
      <c r="A59" t="s">
        <v>21</v>
      </c>
      <c r="B59" t="s">
        <v>34</v>
      </c>
      <c r="C59" t="s">
        <v>35</v>
      </c>
      <c r="D59" t="s">
        <v>158</v>
      </c>
      <c r="E59" t="s">
        <v>159</v>
      </c>
      <c r="F59" s="1">
        <v>45894</v>
      </c>
      <c r="G59" s="1">
        <v>45893</v>
      </c>
      <c r="H59" s="1">
        <v>45900</v>
      </c>
      <c r="K59" t="s">
        <v>26</v>
      </c>
      <c r="L59" t="s">
        <v>33</v>
      </c>
      <c r="M59" t="s">
        <v>28</v>
      </c>
      <c r="N59" t="s">
        <v>29</v>
      </c>
      <c r="O59" s="2">
        <v>32.68</v>
      </c>
      <c r="P59" t="s">
        <v>30</v>
      </c>
      <c r="Q59" s="4">
        <v>1</v>
      </c>
      <c r="S59" s="2">
        <v>32.68</v>
      </c>
      <c r="T59" s="2">
        <v>0</v>
      </c>
      <c r="U59" s="2">
        <v>32.68</v>
      </c>
    </row>
    <row r="60" spans="1:21" x14ac:dyDescent="0.25">
      <c r="A60" t="s">
        <v>21</v>
      </c>
      <c r="B60" t="s">
        <v>34</v>
      </c>
      <c r="C60" t="s">
        <v>35</v>
      </c>
      <c r="D60" t="s">
        <v>160</v>
      </c>
      <c r="E60" t="s">
        <v>161</v>
      </c>
      <c r="F60" s="1">
        <v>45894</v>
      </c>
      <c r="G60" s="1">
        <v>45893</v>
      </c>
      <c r="H60" s="1">
        <v>45900</v>
      </c>
      <c r="K60" t="s">
        <v>26</v>
      </c>
      <c r="L60" t="s">
        <v>33</v>
      </c>
      <c r="M60" t="s">
        <v>28</v>
      </c>
      <c r="N60" t="s">
        <v>29</v>
      </c>
      <c r="O60" s="2">
        <v>18.16</v>
      </c>
      <c r="P60" t="s">
        <v>30</v>
      </c>
      <c r="Q60" s="4">
        <v>1</v>
      </c>
      <c r="S60" s="2">
        <v>18.16</v>
      </c>
      <c r="T60" s="2">
        <v>0</v>
      </c>
      <c r="U60" s="2">
        <v>18.16</v>
      </c>
    </row>
    <row r="61" spans="1:21" x14ac:dyDescent="0.25">
      <c r="A61" t="s">
        <v>21</v>
      </c>
      <c r="B61" t="s">
        <v>63</v>
      </c>
      <c r="C61" t="s">
        <v>64</v>
      </c>
      <c r="D61" t="s">
        <v>162</v>
      </c>
      <c r="E61" t="s">
        <v>163</v>
      </c>
      <c r="F61" s="1">
        <v>45895</v>
      </c>
      <c r="G61" s="1">
        <v>45895</v>
      </c>
      <c r="H61" s="1">
        <v>45900</v>
      </c>
      <c r="K61" t="s">
        <v>26</v>
      </c>
      <c r="L61" t="s">
        <v>38</v>
      </c>
      <c r="M61" t="s">
        <v>28</v>
      </c>
      <c r="N61" t="s">
        <v>29</v>
      </c>
      <c r="O61" s="2">
        <v>57.87</v>
      </c>
      <c r="P61" t="s">
        <v>30</v>
      </c>
      <c r="Q61" s="4">
        <v>0.85</v>
      </c>
      <c r="S61" s="2">
        <v>49.19</v>
      </c>
      <c r="T61" s="2">
        <v>0</v>
      </c>
      <c r="U61" s="2">
        <v>49.19</v>
      </c>
    </row>
    <row r="62" spans="1:21" x14ac:dyDescent="0.25">
      <c r="A62" t="s">
        <v>21</v>
      </c>
      <c r="B62" t="s">
        <v>39</v>
      </c>
      <c r="C62" t="s">
        <v>40</v>
      </c>
      <c r="D62" t="s">
        <v>164</v>
      </c>
      <c r="E62" t="s">
        <v>165</v>
      </c>
      <c r="F62" s="1">
        <v>45897</v>
      </c>
      <c r="G62" s="1">
        <v>45897</v>
      </c>
      <c r="H62" s="1">
        <v>45900</v>
      </c>
      <c r="K62" t="s">
        <v>26</v>
      </c>
      <c r="L62" t="s">
        <v>38</v>
      </c>
      <c r="M62" t="s">
        <v>28</v>
      </c>
      <c r="N62" t="s">
        <v>29</v>
      </c>
      <c r="O62" s="2">
        <v>89.96</v>
      </c>
      <c r="P62" t="s">
        <v>30</v>
      </c>
      <c r="Q62" s="4">
        <v>0.85</v>
      </c>
      <c r="S62" s="2">
        <v>76.47</v>
      </c>
      <c r="T62" s="2">
        <v>76.430000000000007</v>
      </c>
      <c r="U62" s="2">
        <v>0.04</v>
      </c>
    </row>
    <row r="63" spans="1:21" x14ac:dyDescent="0.25">
      <c r="A63" t="s">
        <v>21</v>
      </c>
      <c r="B63" t="s">
        <v>39</v>
      </c>
      <c r="C63" t="s">
        <v>40</v>
      </c>
      <c r="D63" t="s">
        <v>166</v>
      </c>
      <c r="E63" t="s">
        <v>167</v>
      </c>
      <c r="F63" s="1">
        <v>45897</v>
      </c>
      <c r="G63" s="1">
        <v>45897</v>
      </c>
      <c r="H63" s="1">
        <v>45900</v>
      </c>
      <c r="K63" t="s">
        <v>26</v>
      </c>
      <c r="L63" t="s">
        <v>38</v>
      </c>
      <c r="M63" t="s">
        <v>28</v>
      </c>
      <c r="N63" t="s">
        <v>29</v>
      </c>
      <c r="O63" s="2">
        <v>49.94</v>
      </c>
      <c r="P63" t="s">
        <v>30</v>
      </c>
      <c r="Q63" s="4">
        <v>0.85</v>
      </c>
      <c r="S63" s="2">
        <v>42.45</v>
      </c>
      <c r="T63" s="2">
        <v>42.44</v>
      </c>
      <c r="U63" s="2">
        <v>0.01</v>
      </c>
    </row>
    <row r="64" spans="1:21" x14ac:dyDescent="0.25">
      <c r="A64" t="s">
        <v>21</v>
      </c>
      <c r="B64" t="s">
        <v>39</v>
      </c>
      <c r="C64" t="s">
        <v>40</v>
      </c>
      <c r="D64" t="s">
        <v>168</v>
      </c>
      <c r="E64" t="s">
        <v>169</v>
      </c>
      <c r="F64" s="1">
        <v>45897</v>
      </c>
      <c r="G64" s="1">
        <v>45897</v>
      </c>
      <c r="H64" s="1">
        <v>45900</v>
      </c>
      <c r="K64" t="s">
        <v>26</v>
      </c>
      <c r="L64" t="s">
        <v>38</v>
      </c>
      <c r="M64" t="s">
        <v>28</v>
      </c>
      <c r="N64" t="s">
        <v>29</v>
      </c>
      <c r="O64" s="2">
        <v>104.01</v>
      </c>
      <c r="P64" t="s">
        <v>30</v>
      </c>
      <c r="Q64" s="4">
        <v>0.85</v>
      </c>
      <c r="S64" s="2">
        <v>88.41</v>
      </c>
      <c r="T64" s="2">
        <v>88.39</v>
      </c>
      <c r="U64" s="2">
        <v>0.02</v>
      </c>
    </row>
    <row r="65" spans="1:21" x14ac:dyDescent="0.25">
      <c r="A65" t="s">
        <v>21</v>
      </c>
      <c r="B65" t="s">
        <v>39</v>
      </c>
      <c r="C65" t="s">
        <v>40</v>
      </c>
      <c r="D65" t="s">
        <v>170</v>
      </c>
      <c r="E65" t="s">
        <v>171</v>
      </c>
      <c r="F65" s="1">
        <v>45897</v>
      </c>
      <c r="G65" s="1">
        <v>45897</v>
      </c>
      <c r="H65" s="1">
        <v>45900</v>
      </c>
      <c r="K65" t="s">
        <v>26</v>
      </c>
      <c r="L65" t="s">
        <v>38</v>
      </c>
      <c r="M65" t="s">
        <v>28</v>
      </c>
      <c r="N65" t="s">
        <v>29</v>
      </c>
      <c r="O65" s="2">
        <v>170.73</v>
      </c>
      <c r="P65" t="s">
        <v>30</v>
      </c>
      <c r="Q65" s="4">
        <v>0.85</v>
      </c>
      <c r="S65" s="2">
        <v>145.12</v>
      </c>
      <c r="T65" s="2">
        <v>145.12</v>
      </c>
      <c r="U65" s="2">
        <v>0</v>
      </c>
    </row>
    <row r="66" spans="1:21" x14ac:dyDescent="0.25">
      <c r="A66" t="s">
        <v>21</v>
      </c>
      <c r="B66" t="s">
        <v>39</v>
      </c>
      <c r="C66" t="s">
        <v>40</v>
      </c>
      <c r="D66" t="s">
        <v>172</v>
      </c>
      <c r="E66" t="s">
        <v>173</v>
      </c>
      <c r="F66" s="1">
        <v>45897</v>
      </c>
      <c r="G66" s="1">
        <v>45897</v>
      </c>
      <c r="H66" s="1">
        <v>45900</v>
      </c>
      <c r="K66" t="s">
        <v>26</v>
      </c>
      <c r="L66" t="s">
        <v>38</v>
      </c>
      <c r="M66" t="s">
        <v>28</v>
      </c>
      <c r="N66" t="s">
        <v>29</v>
      </c>
      <c r="O66" s="2">
        <v>70.75</v>
      </c>
      <c r="P66" t="s">
        <v>30</v>
      </c>
      <c r="Q66" s="4">
        <v>0.85</v>
      </c>
      <c r="S66" s="2">
        <v>60.14</v>
      </c>
      <c r="T66" s="2">
        <v>60.11</v>
      </c>
      <c r="U66" s="2">
        <v>0.03</v>
      </c>
    </row>
    <row r="67" spans="1:21" x14ac:dyDescent="0.25">
      <c r="A67" t="s">
        <v>21</v>
      </c>
      <c r="B67" t="s">
        <v>51</v>
      </c>
      <c r="C67" t="s">
        <v>52</v>
      </c>
      <c r="D67" t="s">
        <v>174</v>
      </c>
      <c r="E67" t="s">
        <v>175</v>
      </c>
      <c r="F67" s="1">
        <v>45897</v>
      </c>
      <c r="G67" s="1">
        <v>45897</v>
      </c>
      <c r="H67" s="1">
        <v>45900</v>
      </c>
      <c r="K67" t="s">
        <v>26</v>
      </c>
      <c r="L67" t="s">
        <v>33</v>
      </c>
      <c r="M67" t="s">
        <v>28</v>
      </c>
      <c r="N67" t="s">
        <v>29</v>
      </c>
      <c r="O67" s="2">
        <v>68.09</v>
      </c>
      <c r="P67" t="s">
        <v>30</v>
      </c>
      <c r="Q67" s="4">
        <v>1</v>
      </c>
      <c r="S67" s="2">
        <v>68.09</v>
      </c>
      <c r="T67" s="2">
        <v>68.09</v>
      </c>
      <c r="U67" s="2">
        <v>0</v>
      </c>
    </row>
    <row r="68" spans="1:21" x14ac:dyDescent="0.25">
      <c r="A68" t="s">
        <v>21</v>
      </c>
      <c r="B68" t="s">
        <v>34</v>
      </c>
      <c r="C68" t="s">
        <v>35</v>
      </c>
      <c r="D68" t="s">
        <v>176</v>
      </c>
      <c r="E68" t="s">
        <v>177</v>
      </c>
      <c r="F68" s="1">
        <v>45887</v>
      </c>
      <c r="G68" s="1">
        <v>45887</v>
      </c>
      <c r="H68" s="1">
        <v>45900</v>
      </c>
      <c r="K68" t="s">
        <v>26</v>
      </c>
      <c r="L68" t="s">
        <v>38</v>
      </c>
      <c r="M68" t="s">
        <v>28</v>
      </c>
      <c r="N68" t="s">
        <v>29</v>
      </c>
      <c r="O68" s="2">
        <v>62.81</v>
      </c>
      <c r="P68" t="s">
        <v>30</v>
      </c>
      <c r="Q68" s="4">
        <v>0.85</v>
      </c>
      <c r="S68" s="2">
        <v>53.39</v>
      </c>
      <c r="T68" s="2">
        <v>53.37</v>
      </c>
      <c r="U68" s="2">
        <v>0.02</v>
      </c>
    </row>
    <row r="69" spans="1:21" x14ac:dyDescent="0.25">
      <c r="A69" t="s">
        <v>21</v>
      </c>
      <c r="B69" t="s">
        <v>34</v>
      </c>
      <c r="C69" t="s">
        <v>35</v>
      </c>
      <c r="D69" t="s">
        <v>178</v>
      </c>
      <c r="E69" t="s">
        <v>179</v>
      </c>
      <c r="F69" s="1">
        <v>45887</v>
      </c>
      <c r="G69" s="1">
        <v>45887</v>
      </c>
      <c r="H69" s="1">
        <v>45900</v>
      </c>
      <c r="K69" t="s">
        <v>26</v>
      </c>
      <c r="L69" t="s">
        <v>38</v>
      </c>
      <c r="M69" t="s">
        <v>28</v>
      </c>
      <c r="N69" t="s">
        <v>29</v>
      </c>
      <c r="O69" s="2">
        <v>40.520000000000003</v>
      </c>
      <c r="P69" t="s">
        <v>30</v>
      </c>
      <c r="Q69" s="4">
        <v>0.85</v>
      </c>
      <c r="S69" s="2">
        <v>34.44</v>
      </c>
      <c r="T69" s="2">
        <v>34.44</v>
      </c>
      <c r="U69" s="2">
        <v>0</v>
      </c>
    </row>
    <row r="70" spans="1:21" x14ac:dyDescent="0.25">
      <c r="A70" t="s">
        <v>21</v>
      </c>
      <c r="B70" t="s">
        <v>22</v>
      </c>
      <c r="C70" t="s">
        <v>23</v>
      </c>
      <c r="D70" t="s">
        <v>180</v>
      </c>
      <c r="E70" t="s">
        <v>181</v>
      </c>
      <c r="F70" s="1">
        <v>45887</v>
      </c>
      <c r="G70" s="1">
        <v>45885</v>
      </c>
      <c r="H70" s="1">
        <v>45900</v>
      </c>
      <c r="K70" t="s">
        <v>26</v>
      </c>
      <c r="L70" t="s">
        <v>33</v>
      </c>
      <c r="M70" t="s">
        <v>28</v>
      </c>
      <c r="N70" t="s">
        <v>29</v>
      </c>
      <c r="O70" s="2">
        <v>40.39</v>
      </c>
      <c r="P70" t="s">
        <v>30</v>
      </c>
      <c r="Q70" s="4">
        <v>1</v>
      </c>
      <c r="S70" s="2">
        <v>40.39</v>
      </c>
      <c r="T70" s="2">
        <v>40.39</v>
      </c>
      <c r="U70" s="2">
        <v>0</v>
      </c>
    </row>
    <row r="71" spans="1:21" x14ac:dyDescent="0.25">
      <c r="A71" t="s">
        <v>21</v>
      </c>
      <c r="B71" t="s">
        <v>22</v>
      </c>
      <c r="C71" t="s">
        <v>23</v>
      </c>
      <c r="D71" t="s">
        <v>182</v>
      </c>
      <c r="E71" t="s">
        <v>181</v>
      </c>
      <c r="F71" s="1">
        <v>45887</v>
      </c>
      <c r="G71" s="1">
        <v>45885</v>
      </c>
      <c r="H71" s="1">
        <v>45900</v>
      </c>
      <c r="K71" t="s">
        <v>26</v>
      </c>
      <c r="L71" t="s">
        <v>27</v>
      </c>
      <c r="M71" t="s">
        <v>28</v>
      </c>
      <c r="N71" t="s">
        <v>29</v>
      </c>
      <c r="O71" s="2">
        <v>54.56</v>
      </c>
      <c r="P71" t="s">
        <v>30</v>
      </c>
      <c r="Q71" s="4">
        <v>0.995</v>
      </c>
      <c r="S71" s="2">
        <v>54.29</v>
      </c>
      <c r="T71" s="2">
        <v>54.26</v>
      </c>
      <c r="U71" s="2">
        <v>0.03</v>
      </c>
    </row>
    <row r="72" spans="1:21" x14ac:dyDescent="0.25">
      <c r="A72" t="s">
        <v>21</v>
      </c>
      <c r="B72" t="s">
        <v>34</v>
      </c>
      <c r="C72" t="s">
        <v>35</v>
      </c>
      <c r="D72" t="s">
        <v>183</v>
      </c>
      <c r="E72" t="s">
        <v>184</v>
      </c>
      <c r="F72" s="1">
        <v>45890</v>
      </c>
      <c r="G72" s="1">
        <v>45890</v>
      </c>
      <c r="H72" s="1">
        <v>45900</v>
      </c>
      <c r="K72" t="s">
        <v>26</v>
      </c>
      <c r="L72" t="s">
        <v>33</v>
      </c>
      <c r="M72" t="s">
        <v>28</v>
      </c>
      <c r="N72" t="s">
        <v>29</v>
      </c>
      <c r="O72" s="2">
        <v>18.16</v>
      </c>
      <c r="P72" t="s">
        <v>30</v>
      </c>
      <c r="Q72" s="4">
        <v>1</v>
      </c>
      <c r="S72" s="2">
        <v>18.16</v>
      </c>
      <c r="T72" s="2">
        <v>18.16</v>
      </c>
      <c r="U72" s="2">
        <v>0</v>
      </c>
    </row>
    <row r="73" spans="1:21" x14ac:dyDescent="0.25">
      <c r="A73" t="s">
        <v>21</v>
      </c>
      <c r="B73" t="s">
        <v>136</v>
      </c>
      <c r="C73" t="s">
        <v>137</v>
      </c>
      <c r="D73" t="s">
        <v>185</v>
      </c>
      <c r="E73" t="s">
        <v>186</v>
      </c>
      <c r="F73" s="1">
        <v>45896</v>
      </c>
      <c r="G73" s="1">
        <v>45896</v>
      </c>
      <c r="H73" s="1">
        <v>45900</v>
      </c>
      <c r="K73" t="s">
        <v>26</v>
      </c>
      <c r="L73" t="s">
        <v>33</v>
      </c>
      <c r="M73" t="s">
        <v>28</v>
      </c>
      <c r="N73" t="s">
        <v>29</v>
      </c>
      <c r="O73" s="2">
        <v>20.16</v>
      </c>
      <c r="P73" t="s">
        <v>30</v>
      </c>
      <c r="Q73" s="4">
        <v>1</v>
      </c>
      <c r="S73" s="2">
        <v>20.16</v>
      </c>
      <c r="T73" s="2">
        <v>20.16</v>
      </c>
      <c r="U73" s="2">
        <v>0</v>
      </c>
    </row>
    <row r="74" spans="1:21" x14ac:dyDescent="0.25">
      <c r="A74" t="s">
        <v>21</v>
      </c>
      <c r="B74" t="s">
        <v>51</v>
      </c>
      <c r="C74" t="s">
        <v>52</v>
      </c>
      <c r="D74" t="s">
        <v>187</v>
      </c>
      <c r="E74" t="s">
        <v>188</v>
      </c>
      <c r="F74" s="1">
        <v>45897</v>
      </c>
      <c r="G74" s="1">
        <v>45874</v>
      </c>
      <c r="H74" s="1">
        <v>45900</v>
      </c>
      <c r="K74" t="s">
        <v>26</v>
      </c>
      <c r="L74" t="s">
        <v>33</v>
      </c>
      <c r="M74" t="s">
        <v>28</v>
      </c>
      <c r="N74" t="s">
        <v>29</v>
      </c>
      <c r="O74" s="2">
        <v>38.39</v>
      </c>
      <c r="P74" t="s">
        <v>30</v>
      </c>
      <c r="Q74" s="4">
        <v>0.93</v>
      </c>
      <c r="S74" s="2">
        <v>35.700000000000003</v>
      </c>
      <c r="T74" s="2">
        <v>35.700000000000003</v>
      </c>
      <c r="U74" s="2">
        <v>0</v>
      </c>
    </row>
    <row r="75" spans="1:21" x14ac:dyDescent="0.25">
      <c r="A75" t="s">
        <v>21</v>
      </c>
      <c r="B75" t="s">
        <v>51</v>
      </c>
      <c r="C75" t="s">
        <v>52</v>
      </c>
      <c r="D75" t="s">
        <v>189</v>
      </c>
      <c r="E75" t="s">
        <v>190</v>
      </c>
      <c r="F75" s="1">
        <v>45887</v>
      </c>
      <c r="G75" s="1">
        <v>45878</v>
      </c>
      <c r="H75" s="1">
        <v>45900</v>
      </c>
      <c r="K75" t="s">
        <v>26</v>
      </c>
      <c r="L75" t="s">
        <v>33</v>
      </c>
      <c r="M75" t="s">
        <v>28</v>
      </c>
      <c r="N75" t="s">
        <v>29</v>
      </c>
      <c r="O75" s="2">
        <v>-1.24</v>
      </c>
      <c r="P75" t="s">
        <v>30</v>
      </c>
      <c r="Q75" s="4">
        <v>1</v>
      </c>
      <c r="R75" t="s">
        <v>31</v>
      </c>
      <c r="S75" s="2">
        <v>-1.24</v>
      </c>
      <c r="T75" s="2">
        <v>0</v>
      </c>
      <c r="U75" s="2">
        <v>-1.24</v>
      </c>
    </row>
    <row r="76" spans="1:21" x14ac:dyDescent="0.25">
      <c r="A76" t="s">
        <v>21</v>
      </c>
      <c r="B76" t="s">
        <v>51</v>
      </c>
      <c r="C76" t="s">
        <v>52</v>
      </c>
      <c r="D76" t="s">
        <v>191</v>
      </c>
      <c r="E76" t="s">
        <v>192</v>
      </c>
      <c r="F76" s="1">
        <v>45889</v>
      </c>
      <c r="G76" s="1">
        <v>45889</v>
      </c>
      <c r="H76" s="1">
        <v>45900</v>
      </c>
      <c r="K76" t="s">
        <v>26</v>
      </c>
      <c r="L76" t="s">
        <v>33</v>
      </c>
      <c r="M76" t="s">
        <v>28</v>
      </c>
      <c r="N76" t="s">
        <v>29</v>
      </c>
      <c r="O76" s="2">
        <v>29.4</v>
      </c>
      <c r="P76" t="s">
        <v>30</v>
      </c>
      <c r="Q76" s="4">
        <v>1</v>
      </c>
      <c r="S76" s="2">
        <v>29.4</v>
      </c>
      <c r="T76" s="2">
        <v>29.4</v>
      </c>
      <c r="U76" s="2">
        <v>0</v>
      </c>
    </row>
    <row r="77" spans="1:21" x14ac:dyDescent="0.25">
      <c r="A77" t="s">
        <v>21</v>
      </c>
      <c r="B77" t="s">
        <v>51</v>
      </c>
      <c r="C77" t="s">
        <v>52</v>
      </c>
      <c r="D77" t="s">
        <v>193</v>
      </c>
      <c r="E77" t="s">
        <v>194</v>
      </c>
      <c r="F77" s="1">
        <v>45889</v>
      </c>
      <c r="G77" s="1">
        <v>45889</v>
      </c>
      <c r="H77" s="1">
        <v>45900</v>
      </c>
      <c r="K77" t="s">
        <v>26</v>
      </c>
      <c r="L77" t="s">
        <v>195</v>
      </c>
      <c r="M77" t="s">
        <v>28</v>
      </c>
      <c r="N77" t="s">
        <v>29</v>
      </c>
      <c r="O77" s="2">
        <v>64.22</v>
      </c>
      <c r="P77" t="s">
        <v>30</v>
      </c>
      <c r="Q77" s="4">
        <v>0.995</v>
      </c>
      <c r="S77" s="2">
        <v>63.9</v>
      </c>
      <c r="T77" s="2">
        <v>63.9</v>
      </c>
      <c r="U77" s="2">
        <v>0</v>
      </c>
    </row>
    <row r="78" spans="1:21" x14ac:dyDescent="0.25">
      <c r="A78" t="s">
        <v>21</v>
      </c>
      <c r="B78" t="s">
        <v>51</v>
      </c>
      <c r="C78" t="s">
        <v>52</v>
      </c>
      <c r="D78" t="s">
        <v>196</v>
      </c>
      <c r="E78" t="s">
        <v>194</v>
      </c>
      <c r="F78" s="1">
        <v>45889</v>
      </c>
      <c r="G78" s="1">
        <v>45889</v>
      </c>
      <c r="H78" s="1">
        <v>45900</v>
      </c>
      <c r="K78" t="s">
        <v>26</v>
      </c>
      <c r="L78" t="s">
        <v>33</v>
      </c>
      <c r="M78" t="s">
        <v>28</v>
      </c>
      <c r="N78" t="s">
        <v>29</v>
      </c>
      <c r="O78" s="2">
        <v>28.63</v>
      </c>
      <c r="P78" t="s">
        <v>30</v>
      </c>
      <c r="Q78" s="4">
        <v>1</v>
      </c>
      <c r="S78" s="2">
        <v>28.63</v>
      </c>
      <c r="T78" s="2">
        <v>28.63</v>
      </c>
      <c r="U78" s="2">
        <v>0</v>
      </c>
    </row>
    <row r="79" spans="1:21" x14ac:dyDescent="0.25">
      <c r="A79" t="s">
        <v>21</v>
      </c>
      <c r="B79" t="s">
        <v>197</v>
      </c>
      <c r="C79" t="s">
        <v>198</v>
      </c>
      <c r="D79" t="s">
        <v>199</v>
      </c>
      <c r="E79" t="s">
        <v>200</v>
      </c>
      <c r="F79" s="1">
        <v>45887</v>
      </c>
      <c r="G79" s="1">
        <v>45885</v>
      </c>
      <c r="H79" s="1">
        <v>45900</v>
      </c>
      <c r="K79" t="s">
        <v>26</v>
      </c>
      <c r="L79" t="s">
        <v>33</v>
      </c>
      <c r="M79" t="s">
        <v>28</v>
      </c>
      <c r="N79" t="s">
        <v>29</v>
      </c>
      <c r="O79" s="2">
        <v>11.55</v>
      </c>
      <c r="P79" t="s">
        <v>30</v>
      </c>
      <c r="Q79" s="4">
        <v>1</v>
      </c>
      <c r="S79" s="2">
        <v>11.55</v>
      </c>
      <c r="T79" s="2">
        <v>11.55</v>
      </c>
      <c r="U79" s="2">
        <v>0</v>
      </c>
    </row>
    <row r="80" spans="1:21" x14ac:dyDescent="0.25">
      <c r="A80" t="s">
        <v>21</v>
      </c>
      <c r="B80" t="s">
        <v>51</v>
      </c>
      <c r="C80" t="s">
        <v>52</v>
      </c>
      <c r="D80" t="s">
        <v>201</v>
      </c>
      <c r="E80" t="s">
        <v>202</v>
      </c>
      <c r="F80" s="1">
        <v>45890</v>
      </c>
      <c r="G80" s="1">
        <v>45890</v>
      </c>
      <c r="H80" s="1">
        <v>45900</v>
      </c>
      <c r="K80" t="s">
        <v>26</v>
      </c>
      <c r="L80" t="s">
        <v>33</v>
      </c>
      <c r="M80" t="s">
        <v>28</v>
      </c>
      <c r="N80" t="s">
        <v>29</v>
      </c>
      <c r="O80" s="2">
        <v>68.3</v>
      </c>
      <c r="P80" t="s">
        <v>30</v>
      </c>
      <c r="Q80" s="4">
        <v>1</v>
      </c>
      <c r="S80" s="2">
        <v>68.3</v>
      </c>
      <c r="T80" s="2">
        <v>68.3</v>
      </c>
      <c r="U80" s="2">
        <v>0</v>
      </c>
    </row>
    <row r="81" spans="1:21" x14ac:dyDescent="0.25">
      <c r="A81" t="s">
        <v>21</v>
      </c>
      <c r="B81" t="s">
        <v>51</v>
      </c>
      <c r="C81" t="s">
        <v>52</v>
      </c>
      <c r="D81" t="s">
        <v>203</v>
      </c>
      <c r="E81" t="s">
        <v>204</v>
      </c>
      <c r="F81" s="1">
        <v>45894</v>
      </c>
      <c r="G81" s="1">
        <v>45894</v>
      </c>
      <c r="H81" s="1">
        <v>45900</v>
      </c>
      <c r="K81" t="s">
        <v>26</v>
      </c>
      <c r="L81" t="s">
        <v>33</v>
      </c>
      <c r="M81" t="s">
        <v>28</v>
      </c>
      <c r="N81" t="s">
        <v>29</v>
      </c>
      <c r="O81" s="2">
        <v>38.39</v>
      </c>
      <c r="P81" t="s">
        <v>30</v>
      </c>
      <c r="Q81" s="4">
        <v>1</v>
      </c>
      <c r="S81" s="2">
        <v>38.39</v>
      </c>
      <c r="T81" s="2">
        <v>38.39</v>
      </c>
      <c r="U81" s="2">
        <v>0</v>
      </c>
    </row>
    <row r="82" spans="1:21" x14ac:dyDescent="0.25">
      <c r="A82" t="s">
        <v>21</v>
      </c>
      <c r="B82" t="s">
        <v>51</v>
      </c>
      <c r="C82" t="s">
        <v>52</v>
      </c>
      <c r="D82" t="s">
        <v>205</v>
      </c>
      <c r="E82" t="s">
        <v>206</v>
      </c>
      <c r="F82" s="1">
        <v>45897</v>
      </c>
      <c r="G82" s="1">
        <v>45886</v>
      </c>
      <c r="H82" s="1">
        <v>45900</v>
      </c>
      <c r="K82" t="s">
        <v>26</v>
      </c>
      <c r="L82" t="s">
        <v>33</v>
      </c>
      <c r="M82" t="s">
        <v>28</v>
      </c>
      <c r="N82" t="s">
        <v>29</v>
      </c>
      <c r="O82" s="2">
        <v>52.34</v>
      </c>
      <c r="P82" t="s">
        <v>30</v>
      </c>
      <c r="Q82" s="4">
        <v>1</v>
      </c>
      <c r="S82" s="2">
        <v>52.34</v>
      </c>
      <c r="T82" s="2">
        <v>52.34</v>
      </c>
      <c r="U82" s="2">
        <v>0</v>
      </c>
    </row>
    <row r="83" spans="1:21" x14ac:dyDescent="0.25">
      <c r="A83" t="s">
        <v>21</v>
      </c>
      <c r="B83" t="s">
        <v>51</v>
      </c>
      <c r="C83" t="s">
        <v>52</v>
      </c>
      <c r="D83" t="s">
        <v>207</v>
      </c>
      <c r="E83" t="s">
        <v>208</v>
      </c>
      <c r="F83" s="1">
        <v>45897</v>
      </c>
      <c r="G83" s="1">
        <v>45886</v>
      </c>
      <c r="H83" s="1">
        <v>45900</v>
      </c>
      <c r="K83" t="s">
        <v>26</v>
      </c>
      <c r="L83" t="s">
        <v>33</v>
      </c>
      <c r="M83" t="s">
        <v>28</v>
      </c>
      <c r="N83" t="s">
        <v>29</v>
      </c>
      <c r="O83" s="2">
        <v>18.16</v>
      </c>
      <c r="P83" t="s">
        <v>30</v>
      </c>
      <c r="Q83" s="4">
        <v>1</v>
      </c>
      <c r="S83" s="2">
        <v>18.16</v>
      </c>
      <c r="T83" s="2">
        <v>18.16</v>
      </c>
      <c r="U83" s="2">
        <v>0</v>
      </c>
    </row>
    <row r="84" spans="1:21" x14ac:dyDescent="0.25">
      <c r="A84" t="s">
        <v>21</v>
      </c>
      <c r="B84" t="s">
        <v>136</v>
      </c>
      <c r="C84" t="s">
        <v>137</v>
      </c>
      <c r="D84" t="s">
        <v>209</v>
      </c>
      <c r="E84" t="s">
        <v>210</v>
      </c>
      <c r="F84" s="1">
        <v>45888</v>
      </c>
      <c r="G84" s="1">
        <v>45888</v>
      </c>
      <c r="H84" s="1">
        <v>45900</v>
      </c>
      <c r="K84" t="s">
        <v>26</v>
      </c>
      <c r="L84" t="s">
        <v>195</v>
      </c>
      <c r="M84" t="s">
        <v>28</v>
      </c>
      <c r="N84" t="s">
        <v>29</v>
      </c>
      <c r="O84" s="2">
        <v>49.48</v>
      </c>
      <c r="P84" t="s">
        <v>30</v>
      </c>
      <c r="Q84" s="4">
        <v>0.995</v>
      </c>
      <c r="S84" s="2">
        <v>49.23</v>
      </c>
      <c r="T84" s="2">
        <v>49.23</v>
      </c>
      <c r="U84" s="2">
        <v>0</v>
      </c>
    </row>
    <row r="85" spans="1:21" x14ac:dyDescent="0.25">
      <c r="A85" t="s">
        <v>21</v>
      </c>
      <c r="B85" t="s">
        <v>211</v>
      </c>
      <c r="C85" t="s">
        <v>212</v>
      </c>
      <c r="D85" t="s">
        <v>213</v>
      </c>
      <c r="E85" t="s">
        <v>214</v>
      </c>
      <c r="F85" s="1">
        <v>45896</v>
      </c>
      <c r="G85" s="1">
        <v>45896</v>
      </c>
      <c r="H85" s="1">
        <v>45900</v>
      </c>
      <c r="K85" t="s">
        <v>26</v>
      </c>
      <c r="L85" t="s">
        <v>33</v>
      </c>
      <c r="M85" t="s">
        <v>28</v>
      </c>
      <c r="N85" t="s">
        <v>29</v>
      </c>
      <c r="O85" s="2">
        <v>33.89</v>
      </c>
      <c r="P85" t="s">
        <v>30</v>
      </c>
      <c r="Q85" s="4">
        <v>1</v>
      </c>
      <c r="S85" s="2">
        <v>33.89</v>
      </c>
      <c r="T85" s="2">
        <v>33.89</v>
      </c>
      <c r="U85" s="2">
        <v>0</v>
      </c>
    </row>
    <row r="86" spans="1:21" x14ac:dyDescent="0.25">
      <c r="A86" t="s">
        <v>21</v>
      </c>
      <c r="B86" t="s">
        <v>22</v>
      </c>
      <c r="C86" t="s">
        <v>23</v>
      </c>
      <c r="D86" t="s">
        <v>215</v>
      </c>
      <c r="E86" t="s">
        <v>216</v>
      </c>
      <c r="F86" s="1">
        <v>45897</v>
      </c>
      <c r="G86" s="1">
        <v>45895</v>
      </c>
      <c r="H86" s="1">
        <v>45900</v>
      </c>
      <c r="K86" t="s">
        <v>26</v>
      </c>
      <c r="L86" t="s">
        <v>27</v>
      </c>
      <c r="M86" t="s">
        <v>28</v>
      </c>
      <c r="N86" t="s">
        <v>29</v>
      </c>
      <c r="O86" s="2">
        <v>26.25</v>
      </c>
      <c r="P86" t="s">
        <v>30</v>
      </c>
      <c r="Q86" s="4">
        <v>0.995</v>
      </c>
      <c r="S86" s="2">
        <v>26.12</v>
      </c>
      <c r="T86" s="2">
        <v>26.12</v>
      </c>
      <c r="U86" s="2">
        <v>0</v>
      </c>
    </row>
    <row r="87" spans="1:21" x14ac:dyDescent="0.25">
      <c r="A87" t="s">
        <v>21</v>
      </c>
      <c r="B87" t="s">
        <v>22</v>
      </c>
      <c r="C87" t="s">
        <v>23</v>
      </c>
      <c r="D87" t="s">
        <v>217</v>
      </c>
      <c r="E87" t="s">
        <v>216</v>
      </c>
      <c r="F87" s="1">
        <v>45897</v>
      </c>
      <c r="G87" s="1">
        <v>45895</v>
      </c>
      <c r="H87" s="1">
        <v>45900</v>
      </c>
      <c r="K87" t="s">
        <v>26</v>
      </c>
      <c r="L87" t="s">
        <v>33</v>
      </c>
      <c r="M87" t="s">
        <v>28</v>
      </c>
      <c r="N87" t="s">
        <v>29</v>
      </c>
      <c r="O87" s="2">
        <v>37.83</v>
      </c>
      <c r="P87" t="s">
        <v>30</v>
      </c>
      <c r="Q87" s="4">
        <v>1</v>
      </c>
      <c r="S87" s="2">
        <v>37.83</v>
      </c>
      <c r="T87" s="2">
        <v>37.83</v>
      </c>
      <c r="U87" s="2">
        <v>0</v>
      </c>
    </row>
    <row r="88" spans="1:21" x14ac:dyDescent="0.25">
      <c r="A88" t="s">
        <v>21</v>
      </c>
      <c r="B88" t="s">
        <v>22</v>
      </c>
      <c r="C88" t="s">
        <v>23</v>
      </c>
      <c r="D88" t="s">
        <v>218</v>
      </c>
      <c r="E88" t="s">
        <v>219</v>
      </c>
      <c r="F88" s="1">
        <v>45897</v>
      </c>
      <c r="G88" s="1">
        <v>45897</v>
      </c>
      <c r="H88" s="1">
        <v>45900</v>
      </c>
      <c r="K88" t="s">
        <v>26</v>
      </c>
      <c r="L88" t="s">
        <v>33</v>
      </c>
      <c r="M88" t="s">
        <v>28</v>
      </c>
      <c r="N88" t="s">
        <v>29</v>
      </c>
      <c r="O88" s="2">
        <v>43.8</v>
      </c>
      <c r="P88" t="s">
        <v>30</v>
      </c>
      <c r="Q88" s="4">
        <v>1</v>
      </c>
      <c r="S88" s="2">
        <v>43.8</v>
      </c>
      <c r="T88" s="2">
        <v>43.8</v>
      </c>
      <c r="U88" s="2">
        <v>0</v>
      </c>
    </row>
    <row r="89" spans="1:21" x14ac:dyDescent="0.25">
      <c r="A89" t="s">
        <v>21</v>
      </c>
      <c r="B89" t="s">
        <v>220</v>
      </c>
      <c r="C89" t="s">
        <v>221</v>
      </c>
      <c r="D89" t="s">
        <v>222</v>
      </c>
      <c r="E89" t="s">
        <v>223</v>
      </c>
      <c r="F89" s="1">
        <v>45897</v>
      </c>
      <c r="G89" s="1">
        <v>45870</v>
      </c>
      <c r="H89" s="1">
        <v>45900</v>
      </c>
      <c r="K89" t="s">
        <v>26</v>
      </c>
      <c r="L89" t="s">
        <v>33</v>
      </c>
      <c r="M89" t="s">
        <v>28</v>
      </c>
      <c r="N89" t="s">
        <v>29</v>
      </c>
      <c r="O89" s="2">
        <v>39.5</v>
      </c>
      <c r="P89" t="s">
        <v>30</v>
      </c>
      <c r="Q89" s="4">
        <v>1</v>
      </c>
      <c r="S89" s="2">
        <v>39.5</v>
      </c>
      <c r="T89" s="2">
        <v>39.5</v>
      </c>
      <c r="U89" s="2">
        <v>0</v>
      </c>
    </row>
    <row r="90" spans="1:21" x14ac:dyDescent="0.25">
      <c r="A90" t="s">
        <v>21</v>
      </c>
      <c r="B90" t="s">
        <v>51</v>
      </c>
      <c r="C90" t="s">
        <v>52</v>
      </c>
      <c r="D90" t="s">
        <v>224</v>
      </c>
      <c r="E90" t="s">
        <v>225</v>
      </c>
      <c r="F90" s="1">
        <v>45888</v>
      </c>
      <c r="G90" s="1">
        <v>45870</v>
      </c>
      <c r="H90" s="1">
        <v>45900</v>
      </c>
      <c r="K90" t="s">
        <v>26</v>
      </c>
      <c r="L90" t="s">
        <v>33</v>
      </c>
      <c r="M90" t="s">
        <v>28</v>
      </c>
      <c r="N90" t="s">
        <v>29</v>
      </c>
      <c r="O90" s="2">
        <v>54.34</v>
      </c>
      <c r="P90" t="s">
        <v>30</v>
      </c>
      <c r="Q90" s="4">
        <v>1</v>
      </c>
      <c r="S90" s="2">
        <v>54.34</v>
      </c>
      <c r="T90" s="2">
        <v>54.34</v>
      </c>
      <c r="U90" s="2">
        <v>0</v>
      </c>
    </row>
    <row r="91" spans="1:21" x14ac:dyDescent="0.25">
      <c r="A91" t="s">
        <v>21</v>
      </c>
      <c r="B91" t="s">
        <v>51</v>
      </c>
      <c r="C91" t="s">
        <v>52</v>
      </c>
      <c r="D91" t="s">
        <v>226</v>
      </c>
      <c r="E91" t="s">
        <v>227</v>
      </c>
      <c r="F91" s="1">
        <v>45891</v>
      </c>
      <c r="G91" s="1">
        <v>45891</v>
      </c>
      <c r="H91" s="1">
        <v>45900</v>
      </c>
      <c r="K91" t="s">
        <v>26</v>
      </c>
      <c r="L91" t="s">
        <v>33</v>
      </c>
      <c r="M91" t="s">
        <v>28</v>
      </c>
      <c r="N91" t="s">
        <v>29</v>
      </c>
      <c r="O91" s="2">
        <v>-37.39</v>
      </c>
      <c r="P91" t="s">
        <v>30</v>
      </c>
      <c r="Q91" s="4">
        <v>1</v>
      </c>
      <c r="R91" t="s">
        <v>228</v>
      </c>
      <c r="S91" s="2">
        <v>-37.39</v>
      </c>
      <c r="T91" s="2">
        <v>-37.39</v>
      </c>
      <c r="U91" s="2">
        <v>0</v>
      </c>
    </row>
    <row r="92" spans="1:21" x14ac:dyDescent="0.25">
      <c r="A92" t="s">
        <v>21</v>
      </c>
      <c r="B92" t="s">
        <v>51</v>
      </c>
      <c r="C92" t="s">
        <v>52</v>
      </c>
      <c r="D92" t="s">
        <v>226</v>
      </c>
      <c r="E92" t="s">
        <v>227</v>
      </c>
      <c r="F92" s="1">
        <v>45892</v>
      </c>
      <c r="G92" s="1">
        <v>45870</v>
      </c>
      <c r="H92" s="1">
        <v>45900</v>
      </c>
      <c r="K92" t="s">
        <v>26</v>
      </c>
      <c r="L92" t="s">
        <v>33</v>
      </c>
      <c r="M92" t="s">
        <v>28</v>
      </c>
      <c r="N92" t="s">
        <v>29</v>
      </c>
      <c r="O92" s="2">
        <v>56.16</v>
      </c>
      <c r="P92" t="s">
        <v>30</v>
      </c>
      <c r="Q92" s="4">
        <v>1</v>
      </c>
      <c r="S92" s="2">
        <v>56.16</v>
      </c>
      <c r="T92" s="2">
        <v>56.16</v>
      </c>
      <c r="U92" s="2">
        <v>0</v>
      </c>
    </row>
    <row r="93" spans="1:21" x14ac:dyDescent="0.25">
      <c r="A93" t="s">
        <v>21</v>
      </c>
      <c r="B93" t="s">
        <v>51</v>
      </c>
      <c r="C93" t="s">
        <v>52</v>
      </c>
      <c r="D93" t="s">
        <v>229</v>
      </c>
      <c r="E93" t="s">
        <v>230</v>
      </c>
      <c r="F93" s="1">
        <v>45892</v>
      </c>
      <c r="G93" s="1">
        <v>45891</v>
      </c>
      <c r="H93" s="1">
        <v>45900</v>
      </c>
      <c r="K93" t="s">
        <v>26</v>
      </c>
      <c r="L93" t="s">
        <v>33</v>
      </c>
      <c r="M93" t="s">
        <v>28</v>
      </c>
      <c r="N93" t="s">
        <v>29</v>
      </c>
      <c r="O93" s="2">
        <v>37.83</v>
      </c>
      <c r="P93" t="s">
        <v>30</v>
      </c>
      <c r="Q93" s="4">
        <v>1</v>
      </c>
      <c r="S93" s="2">
        <v>37.83</v>
      </c>
      <c r="T93" s="2">
        <v>37.83</v>
      </c>
      <c r="U93" s="2">
        <v>0</v>
      </c>
    </row>
    <row r="94" spans="1:21" x14ac:dyDescent="0.25">
      <c r="A94" t="s">
        <v>21</v>
      </c>
      <c r="B94" t="s">
        <v>231</v>
      </c>
      <c r="C94" t="s">
        <v>232</v>
      </c>
      <c r="D94" t="s">
        <v>233</v>
      </c>
      <c r="E94" t="s">
        <v>234</v>
      </c>
      <c r="F94" s="1">
        <v>45887</v>
      </c>
      <c r="G94" s="1">
        <v>45870</v>
      </c>
      <c r="H94" s="1">
        <v>45900</v>
      </c>
      <c r="K94" t="s">
        <v>26</v>
      </c>
      <c r="L94" t="s">
        <v>38</v>
      </c>
      <c r="M94" t="s">
        <v>28</v>
      </c>
      <c r="N94" t="s">
        <v>29</v>
      </c>
      <c r="O94" s="2">
        <v>131.77000000000001</v>
      </c>
      <c r="P94" t="s">
        <v>30</v>
      </c>
      <c r="Q94" s="4">
        <v>0.85</v>
      </c>
      <c r="S94" s="2">
        <v>112</v>
      </c>
      <c r="T94" s="2">
        <v>112</v>
      </c>
      <c r="U94" s="2">
        <v>0</v>
      </c>
    </row>
    <row r="95" spans="1:21" x14ac:dyDescent="0.25">
      <c r="A95" t="s">
        <v>21</v>
      </c>
      <c r="B95" t="s">
        <v>51</v>
      </c>
      <c r="C95" t="s">
        <v>52</v>
      </c>
      <c r="D95" t="s">
        <v>235</v>
      </c>
      <c r="E95" t="s">
        <v>236</v>
      </c>
      <c r="F95" s="1">
        <v>45887</v>
      </c>
      <c r="G95" s="1">
        <v>45885</v>
      </c>
      <c r="H95" s="1">
        <v>45900</v>
      </c>
      <c r="K95" t="s">
        <v>26</v>
      </c>
      <c r="L95" t="s">
        <v>33</v>
      </c>
      <c r="M95" t="s">
        <v>28</v>
      </c>
      <c r="N95" t="s">
        <v>29</v>
      </c>
      <c r="O95" s="2">
        <v>40.39</v>
      </c>
      <c r="P95" t="s">
        <v>30</v>
      </c>
      <c r="Q95" s="4">
        <v>1</v>
      </c>
      <c r="S95" s="2">
        <v>40.39</v>
      </c>
      <c r="T95" s="2">
        <v>40.39</v>
      </c>
      <c r="U95" s="2">
        <v>0</v>
      </c>
    </row>
    <row r="96" spans="1:21" x14ac:dyDescent="0.25">
      <c r="A96" t="s">
        <v>21</v>
      </c>
      <c r="B96" t="s">
        <v>51</v>
      </c>
      <c r="C96" t="s">
        <v>52</v>
      </c>
      <c r="D96" t="s">
        <v>237</v>
      </c>
      <c r="E96" t="s">
        <v>238</v>
      </c>
      <c r="F96" s="1">
        <v>45890</v>
      </c>
      <c r="G96" s="1">
        <v>45890</v>
      </c>
      <c r="H96" s="1">
        <v>45900</v>
      </c>
      <c r="K96" t="s">
        <v>26</v>
      </c>
      <c r="L96" t="s">
        <v>33</v>
      </c>
      <c r="M96" t="s">
        <v>28</v>
      </c>
      <c r="N96" t="s">
        <v>29</v>
      </c>
      <c r="O96" s="2">
        <v>40.39</v>
      </c>
      <c r="P96" t="s">
        <v>30</v>
      </c>
      <c r="Q96" s="4">
        <v>1</v>
      </c>
      <c r="S96" s="2">
        <v>40.39</v>
      </c>
      <c r="T96" s="2">
        <v>40.39</v>
      </c>
      <c r="U96" s="2">
        <v>0</v>
      </c>
    </row>
    <row r="97" spans="1:21" x14ac:dyDescent="0.25">
      <c r="A97" t="s">
        <v>21</v>
      </c>
      <c r="B97" t="s">
        <v>51</v>
      </c>
      <c r="C97" t="s">
        <v>52</v>
      </c>
      <c r="D97" t="s">
        <v>239</v>
      </c>
      <c r="E97" t="s">
        <v>240</v>
      </c>
      <c r="F97" s="1">
        <v>45894</v>
      </c>
      <c r="G97" s="1">
        <v>45892</v>
      </c>
      <c r="H97" s="1">
        <v>45900</v>
      </c>
      <c r="K97" t="s">
        <v>26</v>
      </c>
      <c r="L97" t="s">
        <v>33</v>
      </c>
      <c r="M97" t="s">
        <v>28</v>
      </c>
      <c r="N97" t="s">
        <v>29</v>
      </c>
      <c r="O97" s="2">
        <v>40.39</v>
      </c>
      <c r="P97" t="s">
        <v>30</v>
      </c>
      <c r="Q97" s="4">
        <v>1</v>
      </c>
      <c r="S97" s="2">
        <v>40.39</v>
      </c>
      <c r="T97" s="2">
        <v>40.39</v>
      </c>
      <c r="U97" s="2">
        <v>0</v>
      </c>
    </row>
    <row r="98" spans="1:21" x14ac:dyDescent="0.25">
      <c r="A98" t="s">
        <v>21</v>
      </c>
      <c r="B98" t="s">
        <v>51</v>
      </c>
      <c r="C98" t="s">
        <v>52</v>
      </c>
      <c r="D98" t="s">
        <v>241</v>
      </c>
      <c r="E98" t="s">
        <v>242</v>
      </c>
      <c r="F98" s="1">
        <v>45894</v>
      </c>
      <c r="G98" s="1">
        <v>45892</v>
      </c>
      <c r="H98" s="1">
        <v>45900</v>
      </c>
      <c r="K98" t="s">
        <v>26</v>
      </c>
      <c r="L98" t="s">
        <v>33</v>
      </c>
      <c r="M98" t="s">
        <v>28</v>
      </c>
      <c r="N98" t="s">
        <v>29</v>
      </c>
      <c r="O98" s="2">
        <v>40.39</v>
      </c>
      <c r="P98" t="s">
        <v>30</v>
      </c>
      <c r="Q98" s="4">
        <v>1</v>
      </c>
      <c r="S98" s="2">
        <v>40.39</v>
      </c>
      <c r="T98" s="2">
        <v>40.39</v>
      </c>
      <c r="U98" s="2">
        <v>0</v>
      </c>
    </row>
    <row r="99" spans="1:21" x14ac:dyDescent="0.25">
      <c r="A99" t="s">
        <v>21</v>
      </c>
      <c r="B99" t="s">
        <v>51</v>
      </c>
      <c r="C99" t="s">
        <v>52</v>
      </c>
      <c r="D99" t="s">
        <v>243</v>
      </c>
      <c r="E99" t="s">
        <v>244</v>
      </c>
      <c r="F99" s="1">
        <v>45894</v>
      </c>
      <c r="G99" s="1">
        <v>45892</v>
      </c>
      <c r="H99" s="1">
        <v>45900</v>
      </c>
      <c r="K99" t="s">
        <v>26</v>
      </c>
      <c r="L99" t="s">
        <v>33</v>
      </c>
      <c r="M99" t="s">
        <v>28</v>
      </c>
      <c r="N99" t="s">
        <v>29</v>
      </c>
      <c r="O99" s="2">
        <v>40.39</v>
      </c>
      <c r="P99" t="s">
        <v>30</v>
      </c>
      <c r="Q99" s="4">
        <v>1</v>
      </c>
      <c r="S99" s="2">
        <v>40.39</v>
      </c>
      <c r="T99" s="2">
        <v>40.39</v>
      </c>
      <c r="U99" s="2">
        <v>0</v>
      </c>
    </row>
    <row r="100" spans="1:21" x14ac:dyDescent="0.25">
      <c r="A100" t="s">
        <v>21</v>
      </c>
      <c r="B100" t="s">
        <v>51</v>
      </c>
      <c r="C100" t="s">
        <v>52</v>
      </c>
      <c r="D100" t="s">
        <v>245</v>
      </c>
      <c r="E100" t="s">
        <v>242</v>
      </c>
      <c r="F100" s="1">
        <v>45894</v>
      </c>
      <c r="G100" s="1">
        <v>45892</v>
      </c>
      <c r="H100" s="1">
        <v>45900</v>
      </c>
      <c r="K100" t="s">
        <v>26</v>
      </c>
      <c r="L100" t="s">
        <v>38</v>
      </c>
      <c r="M100" t="s">
        <v>28</v>
      </c>
      <c r="N100" t="s">
        <v>29</v>
      </c>
      <c r="O100" s="2">
        <v>76.540000000000006</v>
      </c>
      <c r="P100" t="s">
        <v>30</v>
      </c>
      <c r="Q100" s="4">
        <v>0.85</v>
      </c>
      <c r="S100" s="2">
        <v>65.06</v>
      </c>
      <c r="T100" s="2">
        <v>65.06</v>
      </c>
      <c r="U100" s="2">
        <v>0</v>
      </c>
    </row>
    <row r="101" spans="1:21" x14ac:dyDescent="0.25">
      <c r="A101" t="s">
        <v>21</v>
      </c>
      <c r="B101" t="s">
        <v>51</v>
      </c>
      <c r="C101" t="s">
        <v>52</v>
      </c>
      <c r="D101" t="s">
        <v>246</v>
      </c>
      <c r="E101" t="s">
        <v>247</v>
      </c>
      <c r="F101" s="1">
        <v>45897</v>
      </c>
      <c r="G101" s="1">
        <v>45870</v>
      </c>
      <c r="H101" s="1">
        <v>45900</v>
      </c>
      <c r="K101" t="s">
        <v>26</v>
      </c>
      <c r="L101" t="s">
        <v>33</v>
      </c>
      <c r="M101" t="s">
        <v>28</v>
      </c>
      <c r="N101" t="s">
        <v>29</v>
      </c>
      <c r="O101" s="2">
        <v>54.34</v>
      </c>
      <c r="P101" t="s">
        <v>30</v>
      </c>
      <c r="Q101" s="4">
        <v>1</v>
      </c>
      <c r="S101" s="2">
        <v>54.34</v>
      </c>
      <c r="T101" s="2">
        <v>54.34</v>
      </c>
      <c r="U101" s="2">
        <v>0</v>
      </c>
    </row>
    <row r="102" spans="1:21" x14ac:dyDescent="0.25">
      <c r="A102" t="s">
        <v>21</v>
      </c>
      <c r="B102" t="s">
        <v>211</v>
      </c>
      <c r="C102" t="s">
        <v>212</v>
      </c>
      <c r="D102" t="s">
        <v>248</v>
      </c>
      <c r="E102" t="s">
        <v>211</v>
      </c>
      <c r="F102" s="1">
        <v>45897</v>
      </c>
      <c r="G102" s="1">
        <v>45897</v>
      </c>
      <c r="H102" s="1">
        <v>45900</v>
      </c>
      <c r="K102" t="s">
        <v>26</v>
      </c>
      <c r="L102" t="s">
        <v>33</v>
      </c>
      <c r="M102" t="s">
        <v>28</v>
      </c>
      <c r="N102" t="s">
        <v>29</v>
      </c>
      <c r="O102" s="2">
        <v>46.41</v>
      </c>
      <c r="P102" t="s">
        <v>30</v>
      </c>
      <c r="Q102" s="4">
        <v>1</v>
      </c>
      <c r="S102" s="2">
        <v>46.41</v>
      </c>
      <c r="T102" s="2">
        <v>46.41</v>
      </c>
      <c r="U102" s="2">
        <v>0</v>
      </c>
    </row>
    <row r="103" spans="1:21" x14ac:dyDescent="0.25">
      <c r="A103" t="s">
        <v>21</v>
      </c>
      <c r="B103" t="s">
        <v>136</v>
      </c>
      <c r="C103" t="s">
        <v>137</v>
      </c>
      <c r="D103" t="s">
        <v>249</v>
      </c>
      <c r="E103" t="s">
        <v>250</v>
      </c>
      <c r="F103" s="1">
        <v>45887</v>
      </c>
      <c r="G103" s="1">
        <v>45885</v>
      </c>
      <c r="H103" s="1">
        <v>45900</v>
      </c>
      <c r="K103" t="s">
        <v>26</v>
      </c>
      <c r="L103" t="s">
        <v>33</v>
      </c>
      <c r="M103" t="s">
        <v>28</v>
      </c>
      <c r="N103" t="s">
        <v>29</v>
      </c>
      <c r="O103" s="2">
        <v>30.63</v>
      </c>
      <c r="P103" t="s">
        <v>30</v>
      </c>
      <c r="Q103" s="4">
        <v>1</v>
      </c>
      <c r="S103" s="2">
        <v>30.63</v>
      </c>
      <c r="T103" s="2">
        <v>30.63</v>
      </c>
      <c r="U103" s="2">
        <v>0</v>
      </c>
    </row>
    <row r="104" spans="1:21" x14ac:dyDescent="0.25">
      <c r="A104" t="s">
        <v>21</v>
      </c>
      <c r="B104" t="s">
        <v>136</v>
      </c>
      <c r="C104" t="s">
        <v>137</v>
      </c>
      <c r="D104" t="s">
        <v>251</v>
      </c>
      <c r="E104" t="s">
        <v>252</v>
      </c>
      <c r="F104" s="1">
        <v>45887</v>
      </c>
      <c r="G104" s="1">
        <v>45886</v>
      </c>
      <c r="H104" s="1">
        <v>45900</v>
      </c>
      <c r="K104" t="s">
        <v>26</v>
      </c>
      <c r="L104" t="s">
        <v>33</v>
      </c>
      <c r="M104" t="s">
        <v>28</v>
      </c>
      <c r="N104" t="s">
        <v>29</v>
      </c>
      <c r="O104" s="2">
        <v>30.63</v>
      </c>
      <c r="P104" t="s">
        <v>30</v>
      </c>
      <c r="Q104" s="4">
        <v>1</v>
      </c>
      <c r="S104" s="2">
        <v>30.63</v>
      </c>
      <c r="T104" s="2">
        <v>30.63</v>
      </c>
      <c r="U104" s="2">
        <v>0</v>
      </c>
    </row>
    <row r="105" spans="1:21" x14ac:dyDescent="0.25">
      <c r="A105" t="s">
        <v>21</v>
      </c>
      <c r="B105" t="s">
        <v>51</v>
      </c>
      <c r="C105" t="s">
        <v>52</v>
      </c>
      <c r="D105" t="s">
        <v>253</v>
      </c>
      <c r="E105" t="s">
        <v>254</v>
      </c>
      <c r="F105" s="1">
        <v>45889</v>
      </c>
      <c r="G105" s="1">
        <v>45889</v>
      </c>
      <c r="H105" s="1">
        <v>45900</v>
      </c>
      <c r="K105" t="s">
        <v>26</v>
      </c>
      <c r="L105" t="s">
        <v>33</v>
      </c>
      <c r="M105" t="s">
        <v>28</v>
      </c>
      <c r="N105" t="s">
        <v>29</v>
      </c>
      <c r="O105" s="2">
        <v>39.83</v>
      </c>
      <c r="P105" t="s">
        <v>30</v>
      </c>
      <c r="Q105" s="4">
        <v>1</v>
      </c>
      <c r="S105" s="2">
        <v>39.83</v>
      </c>
      <c r="T105" s="2">
        <v>39.83</v>
      </c>
      <c r="U105" s="2">
        <v>0</v>
      </c>
    </row>
    <row r="106" spans="1:21" x14ac:dyDescent="0.25">
      <c r="A106" t="s">
        <v>21</v>
      </c>
      <c r="B106" t="s">
        <v>231</v>
      </c>
      <c r="C106" t="s">
        <v>232</v>
      </c>
      <c r="D106" t="s">
        <v>255</v>
      </c>
      <c r="E106" t="s">
        <v>256</v>
      </c>
      <c r="F106" s="1">
        <v>45897</v>
      </c>
      <c r="G106" s="1">
        <v>45897</v>
      </c>
      <c r="H106" s="1">
        <v>45900</v>
      </c>
      <c r="K106" t="s">
        <v>26</v>
      </c>
      <c r="L106" t="s">
        <v>33</v>
      </c>
      <c r="M106" t="s">
        <v>28</v>
      </c>
      <c r="N106" t="s">
        <v>29</v>
      </c>
      <c r="O106" s="2">
        <v>56.51</v>
      </c>
      <c r="P106" t="s">
        <v>30</v>
      </c>
      <c r="Q106" s="4">
        <v>1</v>
      </c>
      <c r="S106" s="2">
        <v>56.51</v>
      </c>
      <c r="T106" s="2">
        <v>56.51</v>
      </c>
      <c r="U106" s="2">
        <v>0</v>
      </c>
    </row>
    <row r="107" spans="1:21" x14ac:dyDescent="0.25">
      <c r="A107" t="s">
        <v>21</v>
      </c>
      <c r="B107" t="s">
        <v>51</v>
      </c>
      <c r="C107" t="s">
        <v>52</v>
      </c>
      <c r="D107" t="s">
        <v>257</v>
      </c>
      <c r="E107" t="s">
        <v>258</v>
      </c>
      <c r="F107" s="1">
        <v>45888</v>
      </c>
      <c r="G107" s="1">
        <v>45911</v>
      </c>
      <c r="H107" s="1">
        <v>45900</v>
      </c>
      <c r="K107" t="s">
        <v>26</v>
      </c>
      <c r="L107" t="s">
        <v>33</v>
      </c>
      <c r="M107" t="s">
        <v>28</v>
      </c>
      <c r="N107" t="s">
        <v>29</v>
      </c>
      <c r="O107" s="2">
        <v>-54.34</v>
      </c>
      <c r="P107" t="s">
        <v>30</v>
      </c>
      <c r="Q107" s="4">
        <v>1</v>
      </c>
      <c r="R107" t="s">
        <v>31</v>
      </c>
      <c r="S107" s="2">
        <v>-54.34</v>
      </c>
      <c r="T107" s="2">
        <v>-54.34</v>
      </c>
      <c r="U107" s="2">
        <v>0</v>
      </c>
    </row>
    <row r="108" spans="1:21" x14ac:dyDescent="0.25">
      <c r="A108" t="s">
        <v>21</v>
      </c>
      <c r="B108" t="s">
        <v>231</v>
      </c>
      <c r="C108" t="s">
        <v>232</v>
      </c>
      <c r="D108" t="s">
        <v>259</v>
      </c>
      <c r="E108" t="s">
        <v>260</v>
      </c>
      <c r="F108" s="1">
        <v>45888</v>
      </c>
      <c r="G108" s="1">
        <v>45880</v>
      </c>
      <c r="H108" s="1">
        <v>45900</v>
      </c>
      <c r="K108" t="s">
        <v>26</v>
      </c>
      <c r="L108" t="s">
        <v>33</v>
      </c>
      <c r="M108" t="s">
        <v>28</v>
      </c>
      <c r="N108" t="s">
        <v>29</v>
      </c>
      <c r="O108" s="2">
        <v>35.89</v>
      </c>
      <c r="P108" t="s">
        <v>30</v>
      </c>
      <c r="Q108" s="4">
        <v>0.95</v>
      </c>
      <c r="S108" s="2">
        <v>34.1</v>
      </c>
      <c r="T108" s="2">
        <v>34.1</v>
      </c>
      <c r="U108" s="2">
        <v>0</v>
      </c>
    </row>
    <row r="109" spans="1:21" x14ac:dyDescent="0.25">
      <c r="A109" t="s">
        <v>21</v>
      </c>
      <c r="B109" t="s">
        <v>231</v>
      </c>
      <c r="C109" t="s">
        <v>232</v>
      </c>
      <c r="D109" t="s">
        <v>261</v>
      </c>
      <c r="E109" t="s">
        <v>262</v>
      </c>
      <c r="F109" s="1">
        <v>45887</v>
      </c>
      <c r="G109" s="1">
        <v>45887</v>
      </c>
      <c r="H109" s="1">
        <v>45900</v>
      </c>
      <c r="K109" t="s">
        <v>26</v>
      </c>
      <c r="L109" t="s">
        <v>38</v>
      </c>
      <c r="M109" t="s">
        <v>28</v>
      </c>
      <c r="N109" t="s">
        <v>29</v>
      </c>
      <c r="O109" s="2">
        <v>84.71</v>
      </c>
      <c r="P109" t="s">
        <v>30</v>
      </c>
      <c r="Q109" s="4">
        <v>0.8</v>
      </c>
      <c r="S109" s="2">
        <v>67.77</v>
      </c>
      <c r="T109" s="2">
        <v>67.77</v>
      </c>
      <c r="U109" s="2">
        <v>0</v>
      </c>
    </row>
    <row r="110" spans="1:21" x14ac:dyDescent="0.25">
      <c r="A110" t="s">
        <v>21</v>
      </c>
      <c r="B110" t="s">
        <v>103</v>
      </c>
      <c r="C110" t="s">
        <v>104</v>
      </c>
      <c r="D110" t="s">
        <v>263</v>
      </c>
      <c r="E110" t="s">
        <v>264</v>
      </c>
      <c r="F110" s="1">
        <v>45889</v>
      </c>
      <c r="G110" s="1">
        <v>45889</v>
      </c>
      <c r="H110" s="1">
        <v>45900</v>
      </c>
      <c r="K110" t="s">
        <v>26</v>
      </c>
      <c r="L110" t="s">
        <v>33</v>
      </c>
      <c r="M110" t="s">
        <v>28</v>
      </c>
      <c r="N110" t="s">
        <v>29</v>
      </c>
      <c r="O110" s="2">
        <v>35.93</v>
      </c>
      <c r="P110" t="s">
        <v>30</v>
      </c>
      <c r="Q110" s="4">
        <v>0.95</v>
      </c>
      <c r="S110" s="2">
        <v>34.130000000000003</v>
      </c>
      <c r="T110" s="2">
        <v>34.130000000000003</v>
      </c>
      <c r="U110" s="2">
        <v>0</v>
      </c>
    </row>
    <row r="111" spans="1:21" x14ac:dyDescent="0.25">
      <c r="A111" t="s">
        <v>21</v>
      </c>
      <c r="B111" t="s">
        <v>231</v>
      </c>
      <c r="C111" t="s">
        <v>232</v>
      </c>
      <c r="D111" t="s">
        <v>265</v>
      </c>
      <c r="E111" t="s">
        <v>266</v>
      </c>
      <c r="F111" s="1">
        <v>45897</v>
      </c>
      <c r="G111" s="1">
        <v>45897</v>
      </c>
      <c r="H111" s="1">
        <v>45900</v>
      </c>
      <c r="K111" t="s">
        <v>26</v>
      </c>
      <c r="L111" t="s">
        <v>38</v>
      </c>
      <c r="M111" t="s">
        <v>28</v>
      </c>
      <c r="N111" t="s">
        <v>29</v>
      </c>
      <c r="O111" s="2">
        <v>54.03</v>
      </c>
      <c r="P111" t="s">
        <v>30</v>
      </c>
      <c r="Q111" s="4">
        <v>0.8</v>
      </c>
      <c r="S111" s="2">
        <v>43.22</v>
      </c>
      <c r="T111" s="2">
        <v>43.22</v>
      </c>
      <c r="U111" s="2">
        <v>0</v>
      </c>
    </row>
    <row r="112" spans="1:21" x14ac:dyDescent="0.25">
      <c r="A112" t="s">
        <v>21</v>
      </c>
      <c r="B112" t="s">
        <v>103</v>
      </c>
      <c r="C112" t="s">
        <v>104</v>
      </c>
      <c r="D112" t="s">
        <v>267</v>
      </c>
      <c r="E112" t="s">
        <v>268</v>
      </c>
      <c r="F112" s="1">
        <v>45897</v>
      </c>
      <c r="G112" s="1">
        <v>45897</v>
      </c>
      <c r="H112" s="1">
        <v>45900</v>
      </c>
      <c r="K112" t="s">
        <v>26</v>
      </c>
      <c r="L112" t="s">
        <v>33</v>
      </c>
      <c r="M112" t="s">
        <v>28</v>
      </c>
      <c r="N112" t="s">
        <v>29</v>
      </c>
      <c r="O112" s="2">
        <v>34.39</v>
      </c>
      <c r="P112" t="s">
        <v>30</v>
      </c>
      <c r="Q112" s="4">
        <v>0.85</v>
      </c>
      <c r="S112" s="2">
        <v>29.23</v>
      </c>
      <c r="T112" s="2">
        <v>29.23</v>
      </c>
      <c r="U112" s="2">
        <v>0</v>
      </c>
    </row>
    <row r="113" spans="1:21" x14ac:dyDescent="0.25">
      <c r="A113" t="s">
        <v>21</v>
      </c>
      <c r="B113" t="s">
        <v>51</v>
      </c>
      <c r="C113" t="s">
        <v>52</v>
      </c>
      <c r="D113" t="s">
        <v>269</v>
      </c>
      <c r="E113" t="s">
        <v>270</v>
      </c>
      <c r="F113" s="1">
        <v>45887</v>
      </c>
      <c r="G113" s="1">
        <v>45883</v>
      </c>
      <c r="H113" s="1">
        <v>45900</v>
      </c>
      <c r="K113" t="s">
        <v>26</v>
      </c>
      <c r="L113" t="s">
        <v>33</v>
      </c>
      <c r="M113" t="s">
        <v>28</v>
      </c>
      <c r="N113" t="s">
        <v>29</v>
      </c>
      <c r="O113" s="2">
        <v>40.39</v>
      </c>
      <c r="P113" t="s">
        <v>30</v>
      </c>
      <c r="Q113" s="4">
        <v>0.95</v>
      </c>
      <c r="S113" s="2">
        <v>38.369999999999997</v>
      </c>
      <c r="T113" s="2">
        <v>38.369999999999997</v>
      </c>
      <c r="U113" s="2">
        <v>0</v>
      </c>
    </row>
    <row r="114" spans="1:21" x14ac:dyDescent="0.25">
      <c r="A114" t="s">
        <v>21</v>
      </c>
      <c r="B114" t="s">
        <v>231</v>
      </c>
      <c r="C114" t="s">
        <v>232</v>
      </c>
      <c r="D114" t="s">
        <v>271</v>
      </c>
      <c r="E114" t="s">
        <v>272</v>
      </c>
      <c r="F114" s="1">
        <v>45897</v>
      </c>
      <c r="G114" s="1">
        <v>45897</v>
      </c>
      <c r="H114" s="1">
        <v>45900</v>
      </c>
      <c r="K114" t="s">
        <v>26</v>
      </c>
      <c r="L114" t="s">
        <v>33</v>
      </c>
      <c r="M114" t="s">
        <v>28</v>
      </c>
      <c r="N114" t="s">
        <v>29</v>
      </c>
      <c r="O114" s="2">
        <v>54.34</v>
      </c>
      <c r="P114" t="s">
        <v>30</v>
      </c>
      <c r="Q114" s="4">
        <v>0.95</v>
      </c>
      <c r="S114" s="2">
        <v>51.62</v>
      </c>
      <c r="T114" s="2">
        <v>51.62</v>
      </c>
      <c r="U114" s="2">
        <v>0</v>
      </c>
    </row>
    <row r="115" spans="1:21" x14ac:dyDescent="0.25">
      <c r="A115" t="s">
        <v>21</v>
      </c>
      <c r="B115" t="s">
        <v>136</v>
      </c>
      <c r="C115" t="s">
        <v>137</v>
      </c>
      <c r="D115" t="s">
        <v>273</v>
      </c>
      <c r="E115" t="s">
        <v>274</v>
      </c>
      <c r="F115" s="1">
        <v>45889</v>
      </c>
      <c r="G115" s="1">
        <v>45888</v>
      </c>
      <c r="H115" s="1">
        <v>45900</v>
      </c>
      <c r="K115" t="s">
        <v>26</v>
      </c>
      <c r="L115" t="s">
        <v>33</v>
      </c>
      <c r="M115" t="s">
        <v>28</v>
      </c>
      <c r="N115" t="s">
        <v>29</v>
      </c>
      <c r="O115" s="2">
        <v>60.51</v>
      </c>
      <c r="P115" t="s">
        <v>30</v>
      </c>
      <c r="Q115" s="4">
        <v>0.95</v>
      </c>
      <c r="S115" s="2">
        <v>57.48</v>
      </c>
      <c r="T115" s="2">
        <v>57.48</v>
      </c>
      <c r="U115" s="2">
        <v>0</v>
      </c>
    </row>
    <row r="116" spans="1:21" x14ac:dyDescent="0.25">
      <c r="A116" t="s">
        <v>21</v>
      </c>
      <c r="B116" t="s">
        <v>231</v>
      </c>
      <c r="C116" t="s">
        <v>232</v>
      </c>
      <c r="D116" t="s">
        <v>275</v>
      </c>
      <c r="E116" t="s">
        <v>276</v>
      </c>
      <c r="F116" s="1">
        <v>45897</v>
      </c>
      <c r="G116" s="1">
        <v>45897</v>
      </c>
      <c r="H116" s="1">
        <v>45900</v>
      </c>
      <c r="K116" t="s">
        <v>26</v>
      </c>
      <c r="L116" t="s">
        <v>33</v>
      </c>
      <c r="M116" t="s">
        <v>28</v>
      </c>
      <c r="N116" t="s">
        <v>29</v>
      </c>
      <c r="O116" s="2">
        <v>40.39</v>
      </c>
      <c r="P116" t="s">
        <v>30</v>
      </c>
      <c r="Q116" s="4">
        <v>0.95</v>
      </c>
      <c r="S116" s="2">
        <v>38.369999999999997</v>
      </c>
      <c r="T116" s="2">
        <v>38.369999999999997</v>
      </c>
      <c r="U116" s="2">
        <v>0</v>
      </c>
    </row>
    <row r="117" spans="1:21" x14ac:dyDescent="0.25">
      <c r="A117" t="s">
        <v>21</v>
      </c>
      <c r="B117" t="s">
        <v>231</v>
      </c>
      <c r="C117" t="s">
        <v>232</v>
      </c>
      <c r="D117" t="s">
        <v>277</v>
      </c>
      <c r="E117" t="s">
        <v>278</v>
      </c>
      <c r="F117" s="1">
        <v>45897</v>
      </c>
      <c r="G117" s="1">
        <v>45897</v>
      </c>
      <c r="H117" s="1">
        <v>45900</v>
      </c>
      <c r="K117" t="s">
        <v>26</v>
      </c>
      <c r="L117" t="s">
        <v>38</v>
      </c>
      <c r="M117" t="s">
        <v>28</v>
      </c>
      <c r="N117" t="s">
        <v>29</v>
      </c>
      <c r="O117" s="2">
        <v>67.52</v>
      </c>
      <c r="P117" t="s">
        <v>30</v>
      </c>
      <c r="Q117" s="4">
        <v>0.8</v>
      </c>
      <c r="S117" s="2">
        <v>54.02</v>
      </c>
      <c r="T117" s="2">
        <v>54.02</v>
      </c>
      <c r="U117" s="2">
        <v>0</v>
      </c>
    </row>
    <row r="118" spans="1:21" x14ac:dyDescent="0.25">
      <c r="A118" t="s">
        <v>21</v>
      </c>
      <c r="B118" t="s">
        <v>231</v>
      </c>
      <c r="C118" t="s">
        <v>232</v>
      </c>
      <c r="D118" t="s">
        <v>279</v>
      </c>
      <c r="E118" t="s">
        <v>280</v>
      </c>
      <c r="F118" s="1">
        <v>45897</v>
      </c>
      <c r="G118" s="1">
        <v>45897</v>
      </c>
      <c r="H118" s="1">
        <v>45900</v>
      </c>
      <c r="K118" t="s">
        <v>26</v>
      </c>
      <c r="L118" t="s">
        <v>33</v>
      </c>
      <c r="M118" t="s">
        <v>28</v>
      </c>
      <c r="N118" t="s">
        <v>29</v>
      </c>
      <c r="O118" s="2">
        <v>49.07</v>
      </c>
      <c r="P118" t="s">
        <v>30</v>
      </c>
      <c r="Q118" s="4">
        <v>0.95</v>
      </c>
      <c r="S118" s="2">
        <v>46.62</v>
      </c>
      <c r="T118" s="2">
        <v>46.62</v>
      </c>
      <c r="U118" s="2">
        <v>0</v>
      </c>
    </row>
    <row r="119" spans="1:21" x14ac:dyDescent="0.25">
      <c r="A119" t="s">
        <v>21</v>
      </c>
      <c r="B119" t="s">
        <v>231</v>
      </c>
      <c r="C119" t="s">
        <v>232</v>
      </c>
      <c r="D119" t="s">
        <v>281</v>
      </c>
      <c r="E119" t="s">
        <v>282</v>
      </c>
      <c r="F119" s="1">
        <v>45897</v>
      </c>
      <c r="G119" s="1">
        <v>45897</v>
      </c>
      <c r="H119" s="1">
        <v>45900</v>
      </c>
      <c r="K119" t="s">
        <v>26</v>
      </c>
      <c r="L119" t="s">
        <v>38</v>
      </c>
      <c r="M119" t="s">
        <v>28</v>
      </c>
      <c r="N119" t="s">
        <v>29</v>
      </c>
      <c r="O119" s="2">
        <v>347.27</v>
      </c>
      <c r="P119" t="s">
        <v>30</v>
      </c>
      <c r="Q119" s="4">
        <v>0.8</v>
      </c>
      <c r="S119" s="2">
        <v>277.82</v>
      </c>
      <c r="T119" s="2">
        <v>277.82</v>
      </c>
      <c r="U119" s="2">
        <v>0</v>
      </c>
    </row>
    <row r="120" spans="1:21" x14ac:dyDescent="0.25">
      <c r="A120" t="s">
        <v>21</v>
      </c>
      <c r="B120" t="s">
        <v>103</v>
      </c>
      <c r="C120" t="s">
        <v>104</v>
      </c>
      <c r="D120" t="s">
        <v>283</v>
      </c>
      <c r="E120" t="s">
        <v>284</v>
      </c>
      <c r="F120" s="1">
        <v>45897</v>
      </c>
      <c r="G120" s="1">
        <v>45897</v>
      </c>
      <c r="H120" s="1">
        <v>45900</v>
      </c>
      <c r="K120" t="s">
        <v>26</v>
      </c>
      <c r="L120" t="s">
        <v>33</v>
      </c>
      <c r="M120" t="s">
        <v>28</v>
      </c>
      <c r="N120" t="s">
        <v>29</v>
      </c>
      <c r="O120" s="2">
        <v>26.03</v>
      </c>
      <c r="P120" t="s">
        <v>30</v>
      </c>
      <c r="Q120" s="4">
        <v>0.85</v>
      </c>
      <c r="S120" s="2">
        <v>22.13</v>
      </c>
      <c r="T120" s="2">
        <v>22.13</v>
      </c>
      <c r="U120" s="2">
        <v>0</v>
      </c>
    </row>
    <row r="121" spans="1:21" x14ac:dyDescent="0.25">
      <c r="A121" t="s">
        <v>21</v>
      </c>
      <c r="B121" t="s">
        <v>231</v>
      </c>
      <c r="C121" t="s">
        <v>232</v>
      </c>
      <c r="D121" t="s">
        <v>285</v>
      </c>
      <c r="E121" t="s">
        <v>286</v>
      </c>
      <c r="F121" s="1">
        <v>45897</v>
      </c>
      <c r="G121" s="1">
        <v>45897</v>
      </c>
      <c r="H121" s="1">
        <v>45900</v>
      </c>
      <c r="K121" t="s">
        <v>26</v>
      </c>
      <c r="L121" t="s">
        <v>33</v>
      </c>
      <c r="M121" t="s">
        <v>28</v>
      </c>
      <c r="N121" t="s">
        <v>29</v>
      </c>
      <c r="O121" s="2">
        <v>28.63</v>
      </c>
      <c r="P121" t="s">
        <v>30</v>
      </c>
      <c r="Q121" s="4">
        <v>0.95</v>
      </c>
      <c r="S121" s="2">
        <v>27.2</v>
      </c>
      <c r="T121" s="2">
        <v>27.2</v>
      </c>
      <c r="U121" s="2">
        <v>0</v>
      </c>
    </row>
    <row r="122" spans="1:21" x14ac:dyDescent="0.25">
      <c r="A122" t="s">
        <v>21</v>
      </c>
      <c r="B122" t="s">
        <v>51</v>
      </c>
      <c r="C122" t="s">
        <v>52</v>
      </c>
      <c r="D122" t="s">
        <v>287</v>
      </c>
      <c r="E122" t="s">
        <v>288</v>
      </c>
      <c r="F122" s="1">
        <v>45896</v>
      </c>
      <c r="G122" s="1">
        <v>45896</v>
      </c>
      <c r="H122" s="1">
        <v>45900</v>
      </c>
      <c r="K122" t="s">
        <v>26</v>
      </c>
      <c r="L122" t="s">
        <v>33</v>
      </c>
      <c r="M122" t="s">
        <v>28</v>
      </c>
      <c r="N122" t="s">
        <v>29</v>
      </c>
      <c r="O122" s="2">
        <v>78.849999999999994</v>
      </c>
      <c r="P122" t="s">
        <v>289</v>
      </c>
      <c r="Q122" s="4">
        <v>0.12</v>
      </c>
      <c r="S122" s="2">
        <v>9.4600000000000009</v>
      </c>
      <c r="T122" s="2">
        <v>0</v>
      </c>
      <c r="U122" s="2">
        <v>9.4600000000000009</v>
      </c>
    </row>
    <row r="123" spans="1:21" x14ac:dyDescent="0.25">
      <c r="A123" t="s">
        <v>21</v>
      </c>
      <c r="B123" t="s">
        <v>51</v>
      </c>
      <c r="C123" t="s">
        <v>52</v>
      </c>
      <c r="D123" t="s">
        <v>290</v>
      </c>
      <c r="E123" t="s">
        <v>291</v>
      </c>
      <c r="F123" s="1">
        <v>45887</v>
      </c>
      <c r="G123" s="1">
        <v>45885</v>
      </c>
      <c r="H123" s="1">
        <v>45900</v>
      </c>
      <c r="K123" t="s">
        <v>26</v>
      </c>
      <c r="L123" t="s">
        <v>38</v>
      </c>
      <c r="M123" t="s">
        <v>28</v>
      </c>
      <c r="N123" t="s">
        <v>29</v>
      </c>
      <c r="O123" s="2">
        <v>92.5</v>
      </c>
      <c r="P123" t="s">
        <v>289</v>
      </c>
      <c r="Q123" s="4">
        <v>0.125</v>
      </c>
      <c r="S123" s="2">
        <v>11.56</v>
      </c>
      <c r="T123" s="2">
        <v>0</v>
      </c>
      <c r="U123" s="2">
        <v>11.56</v>
      </c>
    </row>
    <row r="124" spans="1:21" x14ac:dyDescent="0.25">
      <c r="A124" t="s">
        <v>21</v>
      </c>
      <c r="B124" t="s">
        <v>51</v>
      </c>
      <c r="C124" t="s">
        <v>52</v>
      </c>
      <c r="D124" t="s">
        <v>292</v>
      </c>
      <c r="E124" t="s">
        <v>291</v>
      </c>
      <c r="F124" s="1">
        <v>45887</v>
      </c>
      <c r="G124" s="1">
        <v>45885</v>
      </c>
      <c r="H124" s="1">
        <v>45900</v>
      </c>
      <c r="K124" t="s">
        <v>26</v>
      </c>
      <c r="L124" t="s">
        <v>33</v>
      </c>
      <c r="M124" t="s">
        <v>28</v>
      </c>
      <c r="N124" t="s">
        <v>29</v>
      </c>
      <c r="O124" s="2">
        <v>20.16</v>
      </c>
      <c r="P124" t="s">
        <v>289</v>
      </c>
      <c r="Q124" s="4">
        <v>0.12</v>
      </c>
      <c r="S124" s="2">
        <v>2.42</v>
      </c>
      <c r="T124" s="2">
        <v>0</v>
      </c>
      <c r="U124" s="2">
        <v>2.42</v>
      </c>
    </row>
    <row r="125" spans="1:21" x14ac:dyDescent="0.25">
      <c r="A125" t="s">
        <v>21</v>
      </c>
      <c r="B125" t="s">
        <v>51</v>
      </c>
      <c r="C125" t="s">
        <v>52</v>
      </c>
      <c r="D125" t="s">
        <v>293</v>
      </c>
      <c r="E125" t="s">
        <v>294</v>
      </c>
      <c r="F125" s="1">
        <v>45888</v>
      </c>
      <c r="G125" s="1">
        <v>45888</v>
      </c>
      <c r="H125" s="1">
        <v>45900</v>
      </c>
      <c r="K125" t="s">
        <v>26</v>
      </c>
      <c r="L125" t="s">
        <v>33</v>
      </c>
      <c r="M125" t="s">
        <v>28</v>
      </c>
      <c r="N125" t="s">
        <v>29</v>
      </c>
      <c r="O125" s="2">
        <v>38.39</v>
      </c>
      <c r="P125" t="s">
        <v>289</v>
      </c>
      <c r="Q125" s="4">
        <v>0.12</v>
      </c>
      <c r="S125" s="2">
        <v>4.6100000000000003</v>
      </c>
      <c r="T125" s="2">
        <v>0</v>
      </c>
      <c r="U125" s="2">
        <v>4.6100000000000003</v>
      </c>
    </row>
    <row r="126" spans="1:21" x14ac:dyDescent="0.25">
      <c r="A126" t="s">
        <v>21</v>
      </c>
      <c r="B126" t="s">
        <v>51</v>
      </c>
      <c r="C126" t="s">
        <v>52</v>
      </c>
      <c r="D126" t="s">
        <v>295</v>
      </c>
      <c r="E126" t="s">
        <v>296</v>
      </c>
      <c r="F126" s="1">
        <v>45887</v>
      </c>
      <c r="G126" s="1">
        <v>45887</v>
      </c>
      <c r="H126" s="1">
        <v>45900</v>
      </c>
      <c r="K126" t="s">
        <v>26</v>
      </c>
      <c r="L126" t="s">
        <v>33</v>
      </c>
      <c r="M126" t="s">
        <v>28</v>
      </c>
      <c r="N126" t="s">
        <v>29</v>
      </c>
      <c r="O126" s="2">
        <v>40.39</v>
      </c>
      <c r="P126" t="s">
        <v>289</v>
      </c>
      <c r="Q126" s="4">
        <v>0.12</v>
      </c>
      <c r="S126" s="2">
        <v>4.8499999999999996</v>
      </c>
      <c r="T126" s="2">
        <v>0</v>
      </c>
      <c r="U126" s="2">
        <v>4.8499999999999996</v>
      </c>
    </row>
    <row r="127" spans="1:21" x14ac:dyDescent="0.25">
      <c r="A127" t="s">
        <v>21</v>
      </c>
      <c r="B127" t="s">
        <v>51</v>
      </c>
      <c r="C127" t="s">
        <v>52</v>
      </c>
      <c r="D127" t="s">
        <v>297</v>
      </c>
      <c r="E127" t="s">
        <v>298</v>
      </c>
      <c r="F127" s="1">
        <v>45895</v>
      </c>
      <c r="G127" s="1">
        <v>45895</v>
      </c>
      <c r="H127" s="1">
        <v>45900</v>
      </c>
      <c r="K127" t="s">
        <v>26</v>
      </c>
      <c r="L127" t="s">
        <v>33</v>
      </c>
      <c r="M127" t="s">
        <v>28</v>
      </c>
      <c r="N127" t="s">
        <v>29</v>
      </c>
      <c r="O127" s="2">
        <v>52.34</v>
      </c>
      <c r="P127" t="s">
        <v>289</v>
      </c>
      <c r="Q127" s="4">
        <v>0.12</v>
      </c>
      <c r="S127" s="2">
        <v>6.28</v>
      </c>
      <c r="T127" s="2">
        <v>0</v>
      </c>
      <c r="U127" s="2">
        <v>6.28</v>
      </c>
    </row>
    <row r="128" spans="1:21" x14ac:dyDescent="0.25">
      <c r="A128" t="s">
        <v>21</v>
      </c>
      <c r="B128" t="s">
        <v>71</v>
      </c>
      <c r="C128" t="s">
        <v>72</v>
      </c>
      <c r="D128" t="s">
        <v>299</v>
      </c>
      <c r="E128" t="s">
        <v>300</v>
      </c>
      <c r="F128" s="1">
        <v>45897</v>
      </c>
      <c r="G128" s="1">
        <v>45897</v>
      </c>
      <c r="H128" s="1">
        <v>45900</v>
      </c>
      <c r="K128" t="s">
        <v>26</v>
      </c>
      <c r="L128" t="s">
        <v>38</v>
      </c>
      <c r="M128" t="s">
        <v>28</v>
      </c>
      <c r="N128" t="s">
        <v>29</v>
      </c>
      <c r="O128" s="2">
        <v>34.78</v>
      </c>
      <c r="P128" t="s">
        <v>289</v>
      </c>
      <c r="Q128" s="4">
        <v>0.125</v>
      </c>
      <c r="S128" s="2">
        <v>4.3499999999999996</v>
      </c>
      <c r="T128" s="2">
        <v>0</v>
      </c>
      <c r="U128" s="2">
        <v>4.3499999999999996</v>
      </c>
    </row>
    <row r="129" spans="1:21" x14ac:dyDescent="0.25">
      <c r="A129" t="s">
        <v>21</v>
      </c>
      <c r="B129" t="s">
        <v>51</v>
      </c>
      <c r="C129" t="s">
        <v>52</v>
      </c>
      <c r="D129" t="s">
        <v>301</v>
      </c>
      <c r="E129" t="s">
        <v>302</v>
      </c>
      <c r="F129" s="1">
        <v>45890</v>
      </c>
      <c r="G129" s="1">
        <v>45890</v>
      </c>
      <c r="H129" s="1">
        <v>45900</v>
      </c>
      <c r="K129" t="s">
        <v>26</v>
      </c>
      <c r="L129" t="s">
        <v>33</v>
      </c>
      <c r="M129" t="s">
        <v>28</v>
      </c>
      <c r="N129" t="s">
        <v>29</v>
      </c>
      <c r="O129" s="2">
        <v>40.39</v>
      </c>
      <c r="P129" t="s">
        <v>289</v>
      </c>
      <c r="Q129" s="4">
        <v>0.12</v>
      </c>
      <c r="S129" s="2">
        <v>4.8499999999999996</v>
      </c>
      <c r="T129" s="2">
        <v>0</v>
      </c>
      <c r="U129" s="2">
        <v>4.8499999999999996</v>
      </c>
    </row>
    <row r="130" spans="1:21" x14ac:dyDescent="0.25">
      <c r="A130" t="s">
        <v>21</v>
      </c>
      <c r="B130" t="s">
        <v>303</v>
      </c>
      <c r="C130" t="s">
        <v>304</v>
      </c>
      <c r="D130" t="s">
        <v>305</v>
      </c>
      <c r="E130" t="s">
        <v>306</v>
      </c>
      <c r="F130" s="1">
        <v>45897</v>
      </c>
      <c r="G130" s="1">
        <v>45897</v>
      </c>
      <c r="H130" s="1">
        <v>45900</v>
      </c>
      <c r="K130" t="s">
        <v>26</v>
      </c>
      <c r="L130" t="s">
        <v>38</v>
      </c>
      <c r="M130" t="s">
        <v>28</v>
      </c>
      <c r="N130" t="s">
        <v>29</v>
      </c>
      <c r="O130" s="2">
        <v>43.37</v>
      </c>
      <c r="P130" t="s">
        <v>289</v>
      </c>
      <c r="Q130" s="4">
        <v>0.125</v>
      </c>
      <c r="S130" s="2">
        <v>5.42</v>
      </c>
      <c r="T130" s="2">
        <v>0</v>
      </c>
      <c r="U130" s="2">
        <v>5.42</v>
      </c>
    </row>
    <row r="131" spans="1:21" x14ac:dyDescent="0.25">
      <c r="A131" t="s">
        <v>21</v>
      </c>
      <c r="B131" t="s">
        <v>51</v>
      </c>
      <c r="C131" t="s">
        <v>52</v>
      </c>
      <c r="D131" t="s">
        <v>307</v>
      </c>
      <c r="E131" t="s">
        <v>308</v>
      </c>
      <c r="F131" s="1">
        <v>45892</v>
      </c>
      <c r="G131" s="1">
        <v>45891</v>
      </c>
      <c r="H131" s="1">
        <v>45900</v>
      </c>
      <c r="K131" t="s">
        <v>26</v>
      </c>
      <c r="L131" t="s">
        <v>33</v>
      </c>
      <c r="M131" t="s">
        <v>28</v>
      </c>
      <c r="N131" t="s">
        <v>29</v>
      </c>
      <c r="O131" s="2">
        <v>20.16</v>
      </c>
      <c r="P131" t="s">
        <v>289</v>
      </c>
      <c r="Q131" s="4">
        <v>0.12</v>
      </c>
      <c r="S131" s="2">
        <v>2.42</v>
      </c>
      <c r="T131" s="2">
        <v>0</v>
      </c>
      <c r="U131" s="2">
        <v>2.42</v>
      </c>
    </row>
    <row r="132" spans="1:21" x14ac:dyDescent="0.25">
      <c r="A132" t="s">
        <v>21</v>
      </c>
      <c r="B132" t="s">
        <v>303</v>
      </c>
      <c r="C132" t="s">
        <v>304</v>
      </c>
      <c r="D132" t="s">
        <v>309</v>
      </c>
      <c r="E132" t="s">
        <v>306</v>
      </c>
      <c r="F132" s="1">
        <v>45892</v>
      </c>
      <c r="G132" s="1">
        <v>45891</v>
      </c>
      <c r="H132" s="1">
        <v>45900</v>
      </c>
      <c r="K132" t="s">
        <v>26</v>
      </c>
      <c r="L132" t="s">
        <v>33</v>
      </c>
      <c r="M132" t="s">
        <v>28</v>
      </c>
      <c r="N132" t="s">
        <v>29</v>
      </c>
      <c r="O132" s="2">
        <v>53.41</v>
      </c>
      <c r="P132" t="s">
        <v>289</v>
      </c>
      <c r="Q132" s="4">
        <v>0.12</v>
      </c>
      <c r="S132" s="2">
        <v>6.41</v>
      </c>
      <c r="T132" s="2">
        <v>0</v>
      </c>
      <c r="U132" s="2">
        <v>6.41</v>
      </c>
    </row>
    <row r="133" spans="1:21" x14ac:dyDescent="0.25">
      <c r="A133" t="s">
        <v>21</v>
      </c>
      <c r="B133" t="s">
        <v>51</v>
      </c>
      <c r="C133" t="s">
        <v>52</v>
      </c>
      <c r="D133" t="s">
        <v>310</v>
      </c>
      <c r="E133" t="s">
        <v>311</v>
      </c>
      <c r="F133" s="1">
        <v>45894</v>
      </c>
      <c r="G133" s="1">
        <v>45892</v>
      </c>
      <c r="H133" s="1">
        <v>45900</v>
      </c>
      <c r="K133" t="s">
        <v>26</v>
      </c>
      <c r="L133" t="s">
        <v>33</v>
      </c>
      <c r="M133" t="s">
        <v>28</v>
      </c>
      <c r="N133" t="s">
        <v>29</v>
      </c>
      <c r="O133" s="2">
        <v>40.39</v>
      </c>
      <c r="P133" t="s">
        <v>289</v>
      </c>
      <c r="Q133" s="4">
        <v>0.12</v>
      </c>
      <c r="S133" s="2">
        <v>4.8499999999999996</v>
      </c>
      <c r="T133" s="2">
        <v>0</v>
      </c>
      <c r="U133" s="2">
        <v>4.8499999999999996</v>
      </c>
    </row>
    <row r="134" spans="1:21" x14ac:dyDescent="0.25">
      <c r="A134" t="s">
        <v>21</v>
      </c>
      <c r="B134" t="s">
        <v>51</v>
      </c>
      <c r="C134" t="s">
        <v>52</v>
      </c>
      <c r="D134" t="s">
        <v>312</v>
      </c>
      <c r="E134" t="s">
        <v>313</v>
      </c>
      <c r="F134" s="1">
        <v>45895</v>
      </c>
      <c r="G134" s="1">
        <v>45895</v>
      </c>
      <c r="H134" s="1">
        <v>45900</v>
      </c>
      <c r="K134" t="s">
        <v>26</v>
      </c>
      <c r="L134" t="s">
        <v>33</v>
      </c>
      <c r="M134" t="s">
        <v>28</v>
      </c>
      <c r="N134" t="s">
        <v>29</v>
      </c>
      <c r="O134" s="2">
        <v>35.22</v>
      </c>
      <c r="P134" t="s">
        <v>289</v>
      </c>
      <c r="Q134" s="4">
        <v>0.12</v>
      </c>
      <c r="S134" s="2">
        <v>4.2300000000000004</v>
      </c>
      <c r="T134" s="2">
        <v>0</v>
      </c>
      <c r="U134" s="2">
        <v>4.2300000000000004</v>
      </c>
    </row>
    <row r="135" spans="1:21" x14ac:dyDescent="0.25">
      <c r="A135" t="s">
        <v>21</v>
      </c>
      <c r="B135" t="s">
        <v>51</v>
      </c>
      <c r="C135" t="s">
        <v>52</v>
      </c>
      <c r="D135" t="s">
        <v>314</v>
      </c>
      <c r="E135" t="s">
        <v>315</v>
      </c>
      <c r="F135" s="1">
        <v>45897</v>
      </c>
      <c r="G135" s="1">
        <v>45897</v>
      </c>
      <c r="H135" s="1">
        <v>45900</v>
      </c>
      <c r="K135" t="s">
        <v>26</v>
      </c>
      <c r="L135" t="s">
        <v>38</v>
      </c>
      <c r="M135" t="s">
        <v>28</v>
      </c>
      <c r="N135" t="s">
        <v>29</v>
      </c>
      <c r="O135" s="2">
        <v>82.02</v>
      </c>
      <c r="P135" t="s">
        <v>289</v>
      </c>
      <c r="Q135" s="4">
        <v>0.125</v>
      </c>
      <c r="S135" s="2">
        <v>10.25</v>
      </c>
      <c r="T135" s="2">
        <v>0</v>
      </c>
      <c r="U135" s="2">
        <v>10.25</v>
      </c>
    </row>
    <row r="136" spans="1:21" x14ac:dyDescent="0.25">
      <c r="A136" t="s">
        <v>21</v>
      </c>
      <c r="B136" t="s">
        <v>71</v>
      </c>
      <c r="C136" t="s">
        <v>72</v>
      </c>
      <c r="D136" t="s">
        <v>316</v>
      </c>
      <c r="E136" t="s">
        <v>317</v>
      </c>
      <c r="F136" s="1">
        <v>45887</v>
      </c>
      <c r="G136" s="1">
        <v>45887</v>
      </c>
      <c r="H136" s="1">
        <v>45900</v>
      </c>
      <c r="K136" t="s">
        <v>26</v>
      </c>
      <c r="L136" t="s">
        <v>38</v>
      </c>
      <c r="M136" t="s">
        <v>28</v>
      </c>
      <c r="N136" t="s">
        <v>29</v>
      </c>
      <c r="O136" s="2">
        <v>52.41</v>
      </c>
      <c r="P136" t="s">
        <v>289</v>
      </c>
      <c r="Q136" s="4">
        <v>0.125</v>
      </c>
      <c r="S136" s="2">
        <v>6.55</v>
      </c>
      <c r="T136" s="2">
        <v>0</v>
      </c>
      <c r="U136" s="2">
        <v>6.55</v>
      </c>
    </row>
    <row r="137" spans="1:21" x14ac:dyDescent="0.25">
      <c r="A137" t="s">
        <v>21</v>
      </c>
      <c r="B137" t="s">
        <v>51</v>
      </c>
      <c r="C137" t="s">
        <v>52</v>
      </c>
      <c r="D137" t="s">
        <v>318</v>
      </c>
      <c r="E137" t="s">
        <v>319</v>
      </c>
      <c r="F137" s="1">
        <v>45890</v>
      </c>
      <c r="G137" s="1">
        <v>45890</v>
      </c>
      <c r="H137" s="1">
        <v>45900</v>
      </c>
      <c r="K137" t="s">
        <v>26</v>
      </c>
      <c r="L137" t="s">
        <v>33</v>
      </c>
      <c r="M137" t="s">
        <v>28</v>
      </c>
      <c r="N137" t="s">
        <v>29</v>
      </c>
      <c r="O137" s="2">
        <v>38.39</v>
      </c>
      <c r="P137" t="s">
        <v>289</v>
      </c>
      <c r="Q137" s="4">
        <v>0.12</v>
      </c>
      <c r="S137" s="2">
        <v>4.6100000000000003</v>
      </c>
      <c r="T137" s="2">
        <v>0</v>
      </c>
      <c r="U137" s="2">
        <v>4.6100000000000003</v>
      </c>
    </row>
    <row r="138" spans="1:21" x14ac:dyDescent="0.25">
      <c r="A138" t="s">
        <v>21</v>
      </c>
      <c r="B138" t="s">
        <v>51</v>
      </c>
      <c r="C138" t="s">
        <v>52</v>
      </c>
      <c r="D138" t="s">
        <v>320</v>
      </c>
      <c r="E138" t="s">
        <v>321</v>
      </c>
      <c r="F138" s="1">
        <v>45890</v>
      </c>
      <c r="G138" s="1">
        <v>45890</v>
      </c>
      <c r="H138" s="1">
        <v>45900</v>
      </c>
      <c r="K138" t="s">
        <v>26</v>
      </c>
      <c r="L138" t="s">
        <v>33</v>
      </c>
      <c r="M138" t="s">
        <v>28</v>
      </c>
      <c r="N138" t="s">
        <v>29</v>
      </c>
      <c r="O138" s="2">
        <v>38.39</v>
      </c>
      <c r="P138" t="s">
        <v>289</v>
      </c>
      <c r="Q138" s="4">
        <v>0.12</v>
      </c>
      <c r="S138" s="2">
        <v>4.6100000000000003</v>
      </c>
      <c r="T138" s="2">
        <v>0</v>
      </c>
      <c r="U138" s="2">
        <v>4.6100000000000003</v>
      </c>
    </row>
    <row r="139" spans="1:21" x14ac:dyDescent="0.25">
      <c r="A139" t="s">
        <v>21</v>
      </c>
      <c r="B139" t="s">
        <v>51</v>
      </c>
      <c r="C139" t="s">
        <v>52</v>
      </c>
      <c r="D139" t="s">
        <v>322</v>
      </c>
      <c r="E139" t="s">
        <v>323</v>
      </c>
      <c r="F139" s="1">
        <v>45897</v>
      </c>
      <c r="G139" s="1">
        <v>45895</v>
      </c>
      <c r="H139" s="1">
        <v>45900</v>
      </c>
      <c r="K139" t="s">
        <v>26</v>
      </c>
      <c r="L139" t="s">
        <v>33</v>
      </c>
      <c r="M139" t="s">
        <v>28</v>
      </c>
      <c r="N139" t="s">
        <v>29</v>
      </c>
      <c r="O139" s="2">
        <v>73.64</v>
      </c>
      <c r="P139" t="s">
        <v>289</v>
      </c>
      <c r="Q139" s="4">
        <v>0.12</v>
      </c>
      <c r="S139" s="2">
        <v>8.84</v>
      </c>
      <c r="T139" s="2">
        <v>0</v>
      </c>
      <c r="U139" s="2">
        <v>8.84</v>
      </c>
    </row>
    <row r="140" spans="1:21" x14ac:dyDescent="0.25">
      <c r="A140" t="s">
        <v>21</v>
      </c>
      <c r="B140" t="s">
        <v>51</v>
      </c>
      <c r="C140" t="s">
        <v>52</v>
      </c>
      <c r="D140" t="s">
        <v>324</v>
      </c>
      <c r="E140" t="s">
        <v>323</v>
      </c>
      <c r="F140" s="1">
        <v>45897</v>
      </c>
      <c r="G140" s="1">
        <v>45896</v>
      </c>
      <c r="H140" s="1">
        <v>45900</v>
      </c>
      <c r="K140" t="s">
        <v>26</v>
      </c>
      <c r="L140" t="s">
        <v>38</v>
      </c>
      <c r="M140" t="s">
        <v>28</v>
      </c>
      <c r="N140" t="s">
        <v>29</v>
      </c>
      <c r="O140" s="2">
        <v>82.59</v>
      </c>
      <c r="P140" t="s">
        <v>289</v>
      </c>
      <c r="Q140" s="4">
        <v>0.125</v>
      </c>
      <c r="S140" s="2">
        <v>10.32</v>
      </c>
      <c r="T140" s="2">
        <v>0</v>
      </c>
      <c r="U140" s="2">
        <v>10.32</v>
      </c>
    </row>
    <row r="141" spans="1:21" x14ac:dyDescent="0.25">
      <c r="A141" t="s">
        <v>21</v>
      </c>
      <c r="B141" t="s">
        <v>51</v>
      </c>
      <c r="C141" t="s">
        <v>52</v>
      </c>
      <c r="D141" t="s">
        <v>325</v>
      </c>
      <c r="E141" t="s">
        <v>326</v>
      </c>
      <c r="F141" s="1">
        <v>45896</v>
      </c>
      <c r="G141" s="1">
        <v>45896</v>
      </c>
      <c r="H141" s="1">
        <v>45900</v>
      </c>
      <c r="K141" t="s">
        <v>26</v>
      </c>
      <c r="L141" t="s">
        <v>33</v>
      </c>
      <c r="M141" t="s">
        <v>28</v>
      </c>
      <c r="N141" t="s">
        <v>29</v>
      </c>
      <c r="O141" s="2">
        <v>71.69</v>
      </c>
      <c r="P141" t="s">
        <v>289</v>
      </c>
      <c r="Q141" s="4">
        <v>0.12</v>
      </c>
      <c r="S141" s="2">
        <v>8.6</v>
      </c>
      <c r="T141" s="2">
        <v>0</v>
      </c>
      <c r="U141" s="2">
        <v>8.6</v>
      </c>
    </row>
    <row r="142" spans="1:21" x14ac:dyDescent="0.25">
      <c r="A142" t="s">
        <v>21</v>
      </c>
      <c r="B142" t="s">
        <v>51</v>
      </c>
      <c r="C142" t="s">
        <v>52</v>
      </c>
      <c r="D142" t="s">
        <v>327</v>
      </c>
      <c r="E142" t="s">
        <v>328</v>
      </c>
      <c r="F142" s="1">
        <v>45896</v>
      </c>
      <c r="G142" s="1">
        <v>45896</v>
      </c>
      <c r="H142" s="1">
        <v>45900</v>
      </c>
      <c r="K142" t="s">
        <v>26</v>
      </c>
      <c r="L142" t="s">
        <v>33</v>
      </c>
      <c r="M142" t="s">
        <v>28</v>
      </c>
      <c r="N142" t="s">
        <v>29</v>
      </c>
      <c r="O142" s="2">
        <v>32.68</v>
      </c>
      <c r="P142" t="s">
        <v>289</v>
      </c>
      <c r="Q142" s="4">
        <v>0.12</v>
      </c>
      <c r="S142" s="2">
        <v>3.92</v>
      </c>
      <c r="T142" s="2">
        <v>0</v>
      </c>
      <c r="U142" s="2">
        <v>3.92</v>
      </c>
    </row>
    <row r="143" spans="1:21" x14ac:dyDescent="0.25">
      <c r="A143" t="s">
        <v>21</v>
      </c>
      <c r="B143" t="s">
        <v>51</v>
      </c>
      <c r="C143" t="s">
        <v>52</v>
      </c>
      <c r="D143" t="s">
        <v>329</v>
      </c>
      <c r="E143" t="s">
        <v>330</v>
      </c>
      <c r="F143" s="1">
        <v>45892</v>
      </c>
      <c r="G143" s="1">
        <v>45891</v>
      </c>
      <c r="H143" s="1">
        <v>45900</v>
      </c>
      <c r="K143" t="s">
        <v>26</v>
      </c>
      <c r="L143" t="s">
        <v>33</v>
      </c>
      <c r="M143" t="s">
        <v>28</v>
      </c>
      <c r="N143" t="s">
        <v>29</v>
      </c>
      <c r="O143" s="2">
        <v>52.91</v>
      </c>
      <c r="P143" t="s">
        <v>289</v>
      </c>
      <c r="Q143" s="4">
        <v>0.12</v>
      </c>
      <c r="S143" s="2">
        <v>6.35</v>
      </c>
      <c r="T143" s="2">
        <v>0</v>
      </c>
      <c r="U143" s="2">
        <v>6.35</v>
      </c>
    </row>
    <row r="144" spans="1:21" x14ac:dyDescent="0.25">
      <c r="A144" t="s">
        <v>21</v>
      </c>
      <c r="B144" t="s">
        <v>211</v>
      </c>
      <c r="C144" t="s">
        <v>212</v>
      </c>
      <c r="D144" t="s">
        <v>331</v>
      </c>
      <c r="E144" t="s">
        <v>332</v>
      </c>
      <c r="F144" s="1">
        <v>45894</v>
      </c>
      <c r="G144" s="1">
        <v>45894</v>
      </c>
      <c r="H144" s="1">
        <v>45900</v>
      </c>
      <c r="K144" t="s">
        <v>26</v>
      </c>
      <c r="L144" t="s">
        <v>333</v>
      </c>
      <c r="M144" t="s">
        <v>28</v>
      </c>
      <c r="N144" t="s">
        <v>29</v>
      </c>
      <c r="O144" s="2">
        <v>45.24</v>
      </c>
      <c r="P144" t="s">
        <v>289</v>
      </c>
      <c r="Q144" s="4">
        <v>0.06</v>
      </c>
      <c r="S144" s="2">
        <v>2.71</v>
      </c>
      <c r="T144" s="2">
        <v>0</v>
      </c>
      <c r="U144" s="2">
        <v>2.71</v>
      </c>
    </row>
    <row r="145" spans="1:21" x14ac:dyDescent="0.25">
      <c r="A145" t="s">
        <v>21</v>
      </c>
      <c r="B145" t="s">
        <v>51</v>
      </c>
      <c r="C145" t="s">
        <v>52</v>
      </c>
      <c r="D145" t="s">
        <v>334</v>
      </c>
      <c r="E145" t="s">
        <v>335</v>
      </c>
      <c r="F145" s="1">
        <v>45887</v>
      </c>
      <c r="G145" s="1">
        <v>45886</v>
      </c>
      <c r="H145" s="1">
        <v>45900</v>
      </c>
      <c r="K145" t="s">
        <v>26</v>
      </c>
      <c r="L145" t="s">
        <v>38</v>
      </c>
      <c r="M145" t="s">
        <v>28</v>
      </c>
      <c r="N145" t="s">
        <v>29</v>
      </c>
      <c r="O145" s="2">
        <v>78.319999999999993</v>
      </c>
      <c r="P145" t="s">
        <v>289</v>
      </c>
      <c r="Q145" s="4">
        <v>0.125</v>
      </c>
      <c r="S145" s="2">
        <v>9.7899999999999991</v>
      </c>
      <c r="T145" s="2">
        <v>0</v>
      </c>
      <c r="U145" s="2">
        <v>9.7899999999999991</v>
      </c>
    </row>
    <row r="146" spans="1:21" x14ac:dyDescent="0.25">
      <c r="A146" t="s">
        <v>21</v>
      </c>
      <c r="B146" t="s">
        <v>51</v>
      </c>
      <c r="C146" t="s">
        <v>52</v>
      </c>
      <c r="D146" t="s">
        <v>336</v>
      </c>
      <c r="E146" t="s">
        <v>335</v>
      </c>
      <c r="F146" s="1">
        <v>45887</v>
      </c>
      <c r="G146" s="1">
        <v>45886</v>
      </c>
      <c r="H146" s="1">
        <v>45900</v>
      </c>
      <c r="K146" t="s">
        <v>26</v>
      </c>
      <c r="L146" t="s">
        <v>33</v>
      </c>
      <c r="M146" t="s">
        <v>28</v>
      </c>
      <c r="N146" t="s">
        <v>29</v>
      </c>
      <c r="O146" s="2">
        <v>38.39</v>
      </c>
      <c r="P146" t="s">
        <v>289</v>
      </c>
      <c r="Q146" s="4">
        <v>0.12</v>
      </c>
      <c r="S146" s="2">
        <v>4.6100000000000003</v>
      </c>
      <c r="T146" s="2">
        <v>0</v>
      </c>
      <c r="U146" s="2">
        <v>4.6100000000000003</v>
      </c>
    </row>
    <row r="147" spans="1:21" x14ac:dyDescent="0.25">
      <c r="A147" t="s">
        <v>21</v>
      </c>
      <c r="B147" t="s">
        <v>51</v>
      </c>
      <c r="C147" t="s">
        <v>52</v>
      </c>
      <c r="D147" t="s">
        <v>337</v>
      </c>
      <c r="E147" t="s">
        <v>338</v>
      </c>
      <c r="F147" s="1">
        <v>45887</v>
      </c>
      <c r="G147" s="1">
        <v>45886</v>
      </c>
      <c r="H147" s="1">
        <v>45900</v>
      </c>
      <c r="K147" t="s">
        <v>26</v>
      </c>
      <c r="L147" t="s">
        <v>38</v>
      </c>
      <c r="M147" t="s">
        <v>28</v>
      </c>
      <c r="N147" t="s">
        <v>29</v>
      </c>
      <c r="O147" s="2">
        <v>57.83</v>
      </c>
      <c r="P147" t="s">
        <v>289</v>
      </c>
      <c r="Q147" s="4">
        <v>0.125</v>
      </c>
      <c r="S147" s="2">
        <v>7.23</v>
      </c>
      <c r="T147" s="2">
        <v>0</v>
      </c>
      <c r="U147" s="2">
        <v>7.23</v>
      </c>
    </row>
    <row r="148" spans="1:21" x14ac:dyDescent="0.25">
      <c r="A148" t="s">
        <v>21</v>
      </c>
      <c r="B148" t="s">
        <v>51</v>
      </c>
      <c r="C148" t="s">
        <v>52</v>
      </c>
      <c r="D148" t="s">
        <v>339</v>
      </c>
      <c r="E148" t="s">
        <v>338</v>
      </c>
      <c r="F148" s="1">
        <v>45887</v>
      </c>
      <c r="G148" s="1">
        <v>45886</v>
      </c>
      <c r="H148" s="1">
        <v>45900</v>
      </c>
      <c r="K148" t="s">
        <v>26</v>
      </c>
      <c r="L148" t="s">
        <v>33</v>
      </c>
      <c r="M148" t="s">
        <v>28</v>
      </c>
      <c r="N148" t="s">
        <v>29</v>
      </c>
      <c r="O148" s="2">
        <v>38.39</v>
      </c>
      <c r="P148" t="s">
        <v>289</v>
      </c>
      <c r="Q148" s="4">
        <v>0.12</v>
      </c>
      <c r="S148" s="2">
        <v>4.6100000000000003</v>
      </c>
      <c r="T148" s="2">
        <v>0</v>
      </c>
      <c r="U148" s="2">
        <v>4.6100000000000003</v>
      </c>
    </row>
    <row r="149" spans="1:21" x14ac:dyDescent="0.25">
      <c r="A149" t="s">
        <v>21</v>
      </c>
      <c r="B149" t="s">
        <v>51</v>
      </c>
      <c r="C149" t="s">
        <v>52</v>
      </c>
      <c r="D149" t="s">
        <v>340</v>
      </c>
      <c r="E149" t="s">
        <v>341</v>
      </c>
      <c r="F149" s="1">
        <v>45887</v>
      </c>
      <c r="G149" s="1">
        <v>45886</v>
      </c>
      <c r="H149" s="1">
        <v>45900</v>
      </c>
      <c r="K149" t="s">
        <v>26</v>
      </c>
      <c r="L149" t="s">
        <v>33</v>
      </c>
      <c r="M149" t="s">
        <v>28</v>
      </c>
      <c r="N149" t="s">
        <v>29</v>
      </c>
      <c r="O149" s="2">
        <v>75.25</v>
      </c>
      <c r="P149" t="s">
        <v>289</v>
      </c>
      <c r="Q149" s="4">
        <v>0.12</v>
      </c>
      <c r="S149" s="2">
        <v>9.0299999999999994</v>
      </c>
      <c r="T149" s="2">
        <v>0</v>
      </c>
      <c r="U149" s="2">
        <v>9.0299999999999994</v>
      </c>
    </row>
    <row r="150" spans="1:21" x14ac:dyDescent="0.25">
      <c r="A150" t="s">
        <v>21</v>
      </c>
      <c r="B150" t="s">
        <v>51</v>
      </c>
      <c r="C150" t="s">
        <v>52</v>
      </c>
      <c r="D150" t="s">
        <v>342</v>
      </c>
      <c r="E150" t="s">
        <v>343</v>
      </c>
      <c r="F150" s="1">
        <v>45887</v>
      </c>
      <c r="G150" s="1">
        <v>45886</v>
      </c>
      <c r="H150" s="1">
        <v>45900</v>
      </c>
      <c r="K150" t="s">
        <v>26</v>
      </c>
      <c r="L150" t="s">
        <v>33</v>
      </c>
      <c r="M150" t="s">
        <v>28</v>
      </c>
      <c r="N150" t="s">
        <v>29</v>
      </c>
      <c r="O150" s="2">
        <v>18.16</v>
      </c>
      <c r="P150" t="s">
        <v>289</v>
      </c>
      <c r="Q150" s="4">
        <v>0.12</v>
      </c>
      <c r="S150" s="2">
        <v>2.1800000000000002</v>
      </c>
      <c r="T150" s="2">
        <v>0</v>
      </c>
      <c r="U150" s="2">
        <v>2.1800000000000002</v>
      </c>
    </row>
    <row r="151" spans="1:21" x14ac:dyDescent="0.25">
      <c r="A151" t="s">
        <v>21</v>
      </c>
      <c r="B151" t="s">
        <v>51</v>
      </c>
      <c r="C151" t="s">
        <v>52</v>
      </c>
      <c r="D151" t="s">
        <v>344</v>
      </c>
      <c r="E151" t="s">
        <v>345</v>
      </c>
      <c r="F151" s="1">
        <v>45887</v>
      </c>
      <c r="G151" s="1">
        <v>45885</v>
      </c>
      <c r="H151" s="1">
        <v>45900</v>
      </c>
      <c r="K151" t="s">
        <v>26</v>
      </c>
      <c r="L151" t="s">
        <v>38</v>
      </c>
      <c r="M151" t="s">
        <v>28</v>
      </c>
      <c r="N151" t="s">
        <v>29</v>
      </c>
      <c r="O151" s="2">
        <v>114.9</v>
      </c>
      <c r="P151" t="s">
        <v>289</v>
      </c>
      <c r="Q151" s="4">
        <v>0.125</v>
      </c>
      <c r="S151" s="2">
        <v>14.36</v>
      </c>
      <c r="T151" s="2">
        <v>0</v>
      </c>
      <c r="U151" s="2">
        <v>14.36</v>
      </c>
    </row>
    <row r="152" spans="1:21" x14ac:dyDescent="0.25">
      <c r="A152" t="s">
        <v>21</v>
      </c>
      <c r="B152" t="s">
        <v>51</v>
      </c>
      <c r="C152" t="s">
        <v>52</v>
      </c>
      <c r="D152" t="s">
        <v>346</v>
      </c>
      <c r="E152" t="s">
        <v>347</v>
      </c>
      <c r="F152" s="1">
        <v>45888</v>
      </c>
      <c r="G152" s="1">
        <v>45888</v>
      </c>
      <c r="H152" s="1">
        <v>45900</v>
      </c>
      <c r="K152" t="s">
        <v>26</v>
      </c>
      <c r="L152" t="s">
        <v>33</v>
      </c>
      <c r="M152" t="s">
        <v>28</v>
      </c>
      <c r="N152" t="s">
        <v>29</v>
      </c>
      <c r="O152" s="2">
        <v>23.78</v>
      </c>
      <c r="P152" t="s">
        <v>289</v>
      </c>
      <c r="Q152" s="4">
        <v>0.12</v>
      </c>
      <c r="S152" s="2">
        <v>2.85</v>
      </c>
      <c r="T152" s="2">
        <v>0</v>
      </c>
      <c r="U152" s="2">
        <v>2.85</v>
      </c>
    </row>
    <row r="153" spans="1:21" x14ac:dyDescent="0.25">
      <c r="A153" t="s">
        <v>21</v>
      </c>
      <c r="B153" t="s">
        <v>51</v>
      </c>
      <c r="C153" t="s">
        <v>52</v>
      </c>
      <c r="D153" t="s">
        <v>348</v>
      </c>
      <c r="E153" t="s">
        <v>347</v>
      </c>
      <c r="F153" s="1">
        <v>45888</v>
      </c>
      <c r="G153" s="1">
        <v>45888</v>
      </c>
      <c r="H153" s="1">
        <v>45900</v>
      </c>
      <c r="K153" t="s">
        <v>26</v>
      </c>
      <c r="L153" t="s">
        <v>38</v>
      </c>
      <c r="M153" t="s">
        <v>28</v>
      </c>
      <c r="N153" t="s">
        <v>29</v>
      </c>
      <c r="O153" s="2">
        <v>28.69</v>
      </c>
      <c r="P153" t="s">
        <v>289</v>
      </c>
      <c r="Q153" s="4">
        <v>0.125</v>
      </c>
      <c r="S153" s="2">
        <v>3.59</v>
      </c>
      <c r="T153" s="2">
        <v>0</v>
      </c>
      <c r="U153" s="2">
        <v>3.59</v>
      </c>
    </row>
    <row r="154" spans="1:21" x14ac:dyDescent="0.25">
      <c r="A154" t="s">
        <v>21</v>
      </c>
      <c r="B154" t="s">
        <v>51</v>
      </c>
      <c r="C154" t="s">
        <v>52</v>
      </c>
      <c r="D154" t="s">
        <v>349</v>
      </c>
      <c r="E154" t="s">
        <v>350</v>
      </c>
      <c r="F154" s="1">
        <v>45894</v>
      </c>
      <c r="G154" s="1">
        <v>45892</v>
      </c>
      <c r="H154" s="1">
        <v>45900</v>
      </c>
      <c r="K154" t="s">
        <v>26</v>
      </c>
      <c r="L154" t="s">
        <v>33</v>
      </c>
      <c r="M154" t="s">
        <v>28</v>
      </c>
      <c r="N154" t="s">
        <v>29</v>
      </c>
      <c r="O154" s="2">
        <v>38.39</v>
      </c>
      <c r="P154" t="s">
        <v>289</v>
      </c>
      <c r="Q154" s="4">
        <v>0.12</v>
      </c>
      <c r="S154" s="2">
        <v>4.6100000000000003</v>
      </c>
      <c r="T154" s="2">
        <v>0</v>
      </c>
      <c r="U154" s="2">
        <v>4.6100000000000003</v>
      </c>
    </row>
    <row r="155" spans="1:21" x14ac:dyDescent="0.25">
      <c r="A155" t="s">
        <v>21</v>
      </c>
      <c r="B155" t="s">
        <v>51</v>
      </c>
      <c r="C155" t="s">
        <v>52</v>
      </c>
      <c r="D155" t="s">
        <v>351</v>
      </c>
      <c r="E155" t="s">
        <v>350</v>
      </c>
      <c r="F155" s="1">
        <v>45894</v>
      </c>
      <c r="G155" s="1">
        <v>45892</v>
      </c>
      <c r="H155" s="1">
        <v>45900</v>
      </c>
      <c r="K155" t="s">
        <v>26</v>
      </c>
      <c r="L155" t="s">
        <v>38</v>
      </c>
      <c r="M155" t="s">
        <v>28</v>
      </c>
      <c r="N155" t="s">
        <v>29</v>
      </c>
      <c r="O155" s="2">
        <v>72.77</v>
      </c>
      <c r="P155" t="s">
        <v>289</v>
      </c>
      <c r="Q155" s="4">
        <v>0.125</v>
      </c>
      <c r="S155" s="2">
        <v>9.1</v>
      </c>
      <c r="T155" s="2">
        <v>0</v>
      </c>
      <c r="U155" s="2">
        <v>9.1</v>
      </c>
    </row>
    <row r="156" spans="1:21" x14ac:dyDescent="0.25">
      <c r="A156" t="s">
        <v>21</v>
      </c>
      <c r="B156" t="s">
        <v>51</v>
      </c>
      <c r="C156" t="s">
        <v>52</v>
      </c>
      <c r="D156" t="s">
        <v>352</v>
      </c>
      <c r="E156" t="s">
        <v>353</v>
      </c>
      <c r="F156" s="1">
        <v>45894</v>
      </c>
      <c r="G156" s="1">
        <v>45894</v>
      </c>
      <c r="H156" s="1">
        <v>45900</v>
      </c>
      <c r="K156" t="s">
        <v>26</v>
      </c>
      <c r="L156" t="s">
        <v>33</v>
      </c>
      <c r="M156" t="s">
        <v>28</v>
      </c>
      <c r="N156" t="s">
        <v>29</v>
      </c>
      <c r="O156" s="2">
        <v>73.64</v>
      </c>
      <c r="P156" t="s">
        <v>289</v>
      </c>
      <c r="Q156" s="4">
        <v>0.12</v>
      </c>
      <c r="S156" s="2">
        <v>8.84</v>
      </c>
      <c r="T156" s="2">
        <v>0</v>
      </c>
      <c r="U156" s="2">
        <v>8.84</v>
      </c>
    </row>
    <row r="157" spans="1:21" x14ac:dyDescent="0.25">
      <c r="A157" t="s">
        <v>21</v>
      </c>
      <c r="B157" t="s">
        <v>51</v>
      </c>
      <c r="C157" t="s">
        <v>52</v>
      </c>
      <c r="D157" t="s">
        <v>354</v>
      </c>
      <c r="E157" t="s">
        <v>355</v>
      </c>
      <c r="F157" s="1">
        <v>45895</v>
      </c>
      <c r="G157" s="1">
        <v>45895</v>
      </c>
      <c r="H157" s="1">
        <v>45900</v>
      </c>
      <c r="K157" t="s">
        <v>26</v>
      </c>
      <c r="L157" t="s">
        <v>33</v>
      </c>
      <c r="M157" t="s">
        <v>28</v>
      </c>
      <c r="N157" t="s">
        <v>29</v>
      </c>
      <c r="O157" s="2">
        <v>78.849999999999994</v>
      </c>
      <c r="P157" t="s">
        <v>289</v>
      </c>
      <c r="Q157" s="4">
        <v>0.12</v>
      </c>
      <c r="S157" s="2">
        <v>9.4600000000000009</v>
      </c>
      <c r="T157" s="2">
        <v>0</v>
      </c>
      <c r="U157" s="2">
        <v>9.4600000000000009</v>
      </c>
    </row>
    <row r="158" spans="1:21" x14ac:dyDescent="0.25">
      <c r="A158" t="s">
        <v>21</v>
      </c>
      <c r="B158" t="s">
        <v>51</v>
      </c>
      <c r="C158" t="s">
        <v>52</v>
      </c>
      <c r="D158" t="s">
        <v>356</v>
      </c>
      <c r="E158" t="s">
        <v>357</v>
      </c>
      <c r="F158" s="1">
        <v>45895</v>
      </c>
      <c r="G158" s="1">
        <v>45895</v>
      </c>
      <c r="H158" s="1">
        <v>45900</v>
      </c>
      <c r="K158" t="s">
        <v>26</v>
      </c>
      <c r="L158" t="s">
        <v>33</v>
      </c>
      <c r="M158" t="s">
        <v>28</v>
      </c>
      <c r="N158" t="s">
        <v>29</v>
      </c>
      <c r="O158" s="2">
        <v>20.16</v>
      </c>
      <c r="P158" t="s">
        <v>289</v>
      </c>
      <c r="Q158" s="4">
        <v>0.12</v>
      </c>
      <c r="S158" s="2">
        <v>2.42</v>
      </c>
      <c r="T158" s="2">
        <v>0</v>
      </c>
      <c r="U158" s="2">
        <v>2.42</v>
      </c>
    </row>
    <row r="159" spans="1:21" x14ac:dyDescent="0.25">
      <c r="A159" t="s">
        <v>21</v>
      </c>
      <c r="B159" t="s">
        <v>136</v>
      </c>
      <c r="C159" t="s">
        <v>137</v>
      </c>
      <c r="D159" t="s">
        <v>358</v>
      </c>
      <c r="E159" t="s">
        <v>359</v>
      </c>
      <c r="F159" s="1">
        <v>45887</v>
      </c>
      <c r="G159" s="1">
        <v>45886</v>
      </c>
      <c r="H159" s="1">
        <v>45900</v>
      </c>
      <c r="K159" t="s">
        <v>26</v>
      </c>
      <c r="L159" t="s">
        <v>33</v>
      </c>
      <c r="M159" t="s">
        <v>28</v>
      </c>
      <c r="N159" t="s">
        <v>29</v>
      </c>
      <c r="O159" s="2">
        <v>80.739999999999995</v>
      </c>
      <c r="P159" t="s">
        <v>289</v>
      </c>
      <c r="Q159" s="4">
        <v>0.12</v>
      </c>
      <c r="S159" s="2">
        <v>9.69</v>
      </c>
      <c r="T159" s="2">
        <v>0</v>
      </c>
      <c r="U159" s="2">
        <v>9.69</v>
      </c>
    </row>
    <row r="160" spans="1:21" x14ac:dyDescent="0.25">
      <c r="A160" t="s">
        <v>21</v>
      </c>
      <c r="B160" t="s">
        <v>67</v>
      </c>
      <c r="C160" t="s">
        <v>68</v>
      </c>
      <c r="D160" t="s">
        <v>360</v>
      </c>
      <c r="E160" t="s">
        <v>361</v>
      </c>
      <c r="F160" s="1">
        <v>45890</v>
      </c>
      <c r="G160" s="1">
        <v>45890</v>
      </c>
      <c r="H160" s="1">
        <v>45900</v>
      </c>
      <c r="K160" t="s">
        <v>26</v>
      </c>
      <c r="L160" t="s">
        <v>33</v>
      </c>
      <c r="M160" t="s">
        <v>28</v>
      </c>
      <c r="N160" t="s">
        <v>29</v>
      </c>
      <c r="O160" s="2">
        <v>28.63</v>
      </c>
      <c r="P160" t="s">
        <v>289</v>
      </c>
      <c r="Q160" s="4">
        <v>0.12</v>
      </c>
      <c r="S160" s="2">
        <v>3.44</v>
      </c>
      <c r="T160" s="2">
        <v>0</v>
      </c>
      <c r="U160" s="2">
        <v>3.44</v>
      </c>
    </row>
    <row r="161" spans="1:21" x14ac:dyDescent="0.25">
      <c r="A161" t="s">
        <v>21</v>
      </c>
      <c r="B161" t="s">
        <v>51</v>
      </c>
      <c r="C161" t="s">
        <v>52</v>
      </c>
      <c r="D161" t="s">
        <v>362</v>
      </c>
      <c r="E161" t="s">
        <v>363</v>
      </c>
      <c r="F161" s="1">
        <v>45890</v>
      </c>
      <c r="G161" s="1">
        <v>45890</v>
      </c>
      <c r="H161" s="1">
        <v>45900</v>
      </c>
      <c r="K161" t="s">
        <v>26</v>
      </c>
      <c r="L161" t="s">
        <v>33</v>
      </c>
      <c r="M161" t="s">
        <v>28</v>
      </c>
      <c r="N161" t="s">
        <v>29</v>
      </c>
      <c r="O161" s="2">
        <v>40.39</v>
      </c>
      <c r="P161" t="s">
        <v>289</v>
      </c>
      <c r="Q161" s="4">
        <v>0.12</v>
      </c>
      <c r="S161" s="2">
        <v>4.8499999999999996</v>
      </c>
      <c r="T161" s="2">
        <v>0</v>
      </c>
      <c r="U161" s="2">
        <v>4.8499999999999996</v>
      </c>
    </row>
    <row r="162" spans="1:21" x14ac:dyDescent="0.25">
      <c r="A162" t="s">
        <v>21</v>
      </c>
      <c r="B162" t="s">
        <v>58</v>
      </c>
      <c r="C162" t="s">
        <v>59</v>
      </c>
      <c r="D162" t="s">
        <v>364</v>
      </c>
      <c r="E162" t="s">
        <v>365</v>
      </c>
      <c r="F162" s="1">
        <v>45894</v>
      </c>
      <c r="G162" s="1">
        <v>45892</v>
      </c>
      <c r="H162" s="1">
        <v>45900</v>
      </c>
      <c r="K162" t="s">
        <v>26</v>
      </c>
      <c r="L162" t="s">
        <v>38</v>
      </c>
      <c r="M162" t="s">
        <v>28</v>
      </c>
      <c r="N162" t="s">
        <v>29</v>
      </c>
      <c r="O162" s="2">
        <v>96.48</v>
      </c>
      <c r="P162" t="s">
        <v>289</v>
      </c>
      <c r="Q162" s="4">
        <v>0.125</v>
      </c>
      <c r="S162" s="2">
        <v>12.06</v>
      </c>
      <c r="T162" s="2">
        <v>0</v>
      </c>
      <c r="U162" s="2">
        <v>12.06</v>
      </c>
    </row>
    <row r="163" spans="1:21" x14ac:dyDescent="0.25">
      <c r="A163" t="s">
        <v>21</v>
      </c>
      <c r="B163" t="s">
        <v>51</v>
      </c>
      <c r="C163" t="s">
        <v>52</v>
      </c>
      <c r="D163" t="s">
        <v>366</v>
      </c>
      <c r="E163" t="s">
        <v>367</v>
      </c>
      <c r="F163" s="1">
        <v>45890</v>
      </c>
      <c r="G163" s="1">
        <v>45890</v>
      </c>
      <c r="H163" s="1">
        <v>45900</v>
      </c>
      <c r="K163" t="s">
        <v>26</v>
      </c>
      <c r="L163" t="s">
        <v>33</v>
      </c>
      <c r="M163" t="s">
        <v>28</v>
      </c>
      <c r="N163" t="s">
        <v>29</v>
      </c>
      <c r="O163" s="2">
        <v>38.39</v>
      </c>
      <c r="P163" t="s">
        <v>289</v>
      </c>
      <c r="Q163" s="4">
        <v>0.12</v>
      </c>
      <c r="S163" s="2">
        <v>4.6100000000000003</v>
      </c>
      <c r="T163" s="2">
        <v>0</v>
      </c>
      <c r="U163" s="2">
        <v>4.6100000000000003</v>
      </c>
    </row>
    <row r="164" spans="1:21" x14ac:dyDescent="0.25">
      <c r="A164" t="s">
        <v>21</v>
      </c>
      <c r="B164" t="s">
        <v>51</v>
      </c>
      <c r="C164" t="s">
        <v>52</v>
      </c>
      <c r="D164" t="s">
        <v>368</v>
      </c>
      <c r="E164" t="s">
        <v>369</v>
      </c>
      <c r="F164" s="1">
        <v>45890</v>
      </c>
      <c r="G164" s="1">
        <v>45890</v>
      </c>
      <c r="H164" s="1">
        <v>45900</v>
      </c>
      <c r="K164" t="s">
        <v>26</v>
      </c>
      <c r="L164" t="s">
        <v>33</v>
      </c>
      <c r="M164" t="s">
        <v>28</v>
      </c>
      <c r="N164" t="s">
        <v>29</v>
      </c>
      <c r="O164" s="2">
        <v>38.39</v>
      </c>
      <c r="P164" t="s">
        <v>289</v>
      </c>
      <c r="Q164" s="4">
        <v>0.12</v>
      </c>
      <c r="S164" s="2">
        <v>4.6100000000000003</v>
      </c>
      <c r="T164" s="2">
        <v>0</v>
      </c>
      <c r="U164" s="2">
        <v>4.6100000000000003</v>
      </c>
    </row>
    <row r="165" spans="1:21" x14ac:dyDescent="0.25">
      <c r="A165" t="s">
        <v>21</v>
      </c>
      <c r="B165" t="s">
        <v>51</v>
      </c>
      <c r="C165" t="s">
        <v>52</v>
      </c>
      <c r="D165" t="s">
        <v>370</v>
      </c>
      <c r="E165" t="s">
        <v>371</v>
      </c>
      <c r="F165" s="1">
        <v>45890</v>
      </c>
      <c r="G165" s="1">
        <v>45890</v>
      </c>
      <c r="H165" s="1">
        <v>45900</v>
      </c>
      <c r="K165" t="s">
        <v>26</v>
      </c>
      <c r="L165" t="s">
        <v>33</v>
      </c>
      <c r="M165" t="s">
        <v>28</v>
      </c>
      <c r="N165" t="s">
        <v>29</v>
      </c>
      <c r="O165" s="2">
        <v>38.39</v>
      </c>
      <c r="P165" t="s">
        <v>289</v>
      </c>
      <c r="Q165" s="4">
        <v>0.12</v>
      </c>
      <c r="S165" s="2">
        <v>4.6100000000000003</v>
      </c>
      <c r="T165" s="2">
        <v>0</v>
      </c>
      <c r="U165" s="2">
        <v>4.6100000000000003</v>
      </c>
    </row>
    <row r="166" spans="1:21" x14ac:dyDescent="0.25">
      <c r="A166" t="s">
        <v>21</v>
      </c>
      <c r="B166" t="s">
        <v>51</v>
      </c>
      <c r="C166" t="s">
        <v>52</v>
      </c>
      <c r="D166" t="s">
        <v>372</v>
      </c>
      <c r="E166" t="s">
        <v>371</v>
      </c>
      <c r="F166" s="1">
        <v>45892</v>
      </c>
      <c r="G166" s="1">
        <v>45891</v>
      </c>
      <c r="H166" s="1">
        <v>45900</v>
      </c>
      <c r="K166" t="s">
        <v>26</v>
      </c>
      <c r="L166" t="s">
        <v>38</v>
      </c>
      <c r="M166" t="s">
        <v>28</v>
      </c>
      <c r="N166" t="s">
        <v>29</v>
      </c>
      <c r="O166" s="2">
        <v>54.54</v>
      </c>
      <c r="P166" t="s">
        <v>289</v>
      </c>
      <c r="Q166" s="4">
        <v>0.125</v>
      </c>
      <c r="S166" s="2">
        <v>6.82</v>
      </c>
      <c r="T166" s="2">
        <v>0</v>
      </c>
      <c r="U166" s="2">
        <v>6.82</v>
      </c>
    </row>
    <row r="167" spans="1:21" x14ac:dyDescent="0.25">
      <c r="A167" t="s">
        <v>21</v>
      </c>
      <c r="B167" t="s">
        <v>34</v>
      </c>
      <c r="C167" t="s">
        <v>35</v>
      </c>
      <c r="D167" t="s">
        <v>373</v>
      </c>
      <c r="E167" t="s">
        <v>374</v>
      </c>
      <c r="F167" s="1">
        <v>45894</v>
      </c>
      <c r="G167" s="1">
        <v>45892</v>
      </c>
      <c r="H167" s="1">
        <v>45900</v>
      </c>
      <c r="K167" t="s">
        <v>26</v>
      </c>
      <c r="L167" t="s">
        <v>38</v>
      </c>
      <c r="M167" t="s">
        <v>28</v>
      </c>
      <c r="N167" t="s">
        <v>29</v>
      </c>
      <c r="O167" s="2">
        <v>45.88</v>
      </c>
      <c r="P167" t="s">
        <v>289</v>
      </c>
      <c r="Q167" s="4">
        <v>0.125</v>
      </c>
      <c r="S167" s="2">
        <v>5.74</v>
      </c>
      <c r="T167" s="2">
        <v>0</v>
      </c>
      <c r="U167" s="2">
        <v>5.74</v>
      </c>
    </row>
    <row r="168" spans="1:21" x14ac:dyDescent="0.25">
      <c r="A168" t="s">
        <v>21</v>
      </c>
      <c r="B168" t="s">
        <v>34</v>
      </c>
      <c r="C168" t="s">
        <v>35</v>
      </c>
      <c r="D168" t="s">
        <v>375</v>
      </c>
      <c r="E168" t="s">
        <v>374</v>
      </c>
      <c r="F168" s="1">
        <v>45894</v>
      </c>
      <c r="G168" s="1">
        <v>45892</v>
      </c>
      <c r="H168" s="1">
        <v>45900</v>
      </c>
      <c r="K168" t="s">
        <v>26</v>
      </c>
      <c r="L168" t="s">
        <v>33</v>
      </c>
      <c r="M168" t="s">
        <v>28</v>
      </c>
      <c r="N168" t="s">
        <v>29</v>
      </c>
      <c r="O168" s="2">
        <v>30.63</v>
      </c>
      <c r="P168" t="s">
        <v>289</v>
      </c>
      <c r="Q168" s="4">
        <v>0.12</v>
      </c>
      <c r="S168" s="2">
        <v>3.68</v>
      </c>
      <c r="T168" s="2">
        <v>0</v>
      </c>
      <c r="U168" s="2">
        <v>3.68</v>
      </c>
    </row>
    <row r="169" spans="1:21" x14ac:dyDescent="0.25">
      <c r="A169" t="s">
        <v>21</v>
      </c>
      <c r="B169" t="s">
        <v>136</v>
      </c>
      <c r="C169" t="s">
        <v>137</v>
      </c>
      <c r="D169" t="s">
        <v>376</v>
      </c>
      <c r="E169" t="s">
        <v>377</v>
      </c>
      <c r="F169" s="1">
        <v>45894</v>
      </c>
      <c r="G169" s="1">
        <v>45892</v>
      </c>
      <c r="H169" s="1">
        <v>45900</v>
      </c>
      <c r="K169" t="s">
        <v>26</v>
      </c>
      <c r="L169" t="s">
        <v>33</v>
      </c>
      <c r="M169" t="s">
        <v>28</v>
      </c>
      <c r="N169" t="s">
        <v>29</v>
      </c>
      <c r="O169" s="2">
        <v>30.63</v>
      </c>
      <c r="P169" t="s">
        <v>289</v>
      </c>
      <c r="Q169" s="4">
        <v>0.12</v>
      </c>
      <c r="S169" s="2">
        <v>3.68</v>
      </c>
      <c r="T169" s="2">
        <v>0</v>
      </c>
      <c r="U169" s="2">
        <v>3.68</v>
      </c>
    </row>
    <row r="170" spans="1:21" x14ac:dyDescent="0.25">
      <c r="A170" t="s">
        <v>21</v>
      </c>
      <c r="B170" t="s">
        <v>51</v>
      </c>
      <c r="C170" t="s">
        <v>52</v>
      </c>
      <c r="D170" t="s">
        <v>378</v>
      </c>
      <c r="E170" t="s">
        <v>379</v>
      </c>
      <c r="F170" s="1">
        <v>45894</v>
      </c>
      <c r="G170" s="1">
        <v>45893</v>
      </c>
      <c r="H170" s="1">
        <v>45900</v>
      </c>
      <c r="K170" t="s">
        <v>26</v>
      </c>
      <c r="L170" t="s">
        <v>33</v>
      </c>
      <c r="M170" t="s">
        <v>28</v>
      </c>
      <c r="N170" t="s">
        <v>29</v>
      </c>
      <c r="O170" s="2">
        <v>38.39</v>
      </c>
      <c r="P170" t="s">
        <v>289</v>
      </c>
      <c r="Q170" s="4">
        <v>0.12</v>
      </c>
      <c r="S170" s="2">
        <v>4.6100000000000003</v>
      </c>
      <c r="T170" s="2">
        <v>0</v>
      </c>
      <c r="U170" s="2">
        <v>4.6100000000000003</v>
      </c>
    </row>
    <row r="171" spans="1:21" x14ac:dyDescent="0.25">
      <c r="A171" t="s">
        <v>21</v>
      </c>
      <c r="B171" t="s">
        <v>67</v>
      </c>
      <c r="C171" t="s">
        <v>68</v>
      </c>
      <c r="D171" t="s">
        <v>380</v>
      </c>
      <c r="E171" t="s">
        <v>381</v>
      </c>
      <c r="F171" s="1">
        <v>45897</v>
      </c>
      <c r="G171" s="1">
        <v>45897</v>
      </c>
      <c r="H171" s="1">
        <v>45900</v>
      </c>
      <c r="K171" t="s">
        <v>26</v>
      </c>
      <c r="L171" t="s">
        <v>38</v>
      </c>
      <c r="M171" t="s">
        <v>28</v>
      </c>
      <c r="N171" t="s">
        <v>29</v>
      </c>
      <c r="O171" s="2">
        <v>70.790000000000006</v>
      </c>
      <c r="P171" t="s">
        <v>289</v>
      </c>
      <c r="Q171" s="4">
        <v>0.125</v>
      </c>
      <c r="S171" s="2">
        <v>8.85</v>
      </c>
      <c r="T171" s="2">
        <v>0</v>
      </c>
      <c r="U171" s="2">
        <v>8.85</v>
      </c>
    </row>
    <row r="172" spans="1:21" x14ac:dyDescent="0.25">
      <c r="A172" t="s">
        <v>21</v>
      </c>
      <c r="B172" t="s">
        <v>51</v>
      </c>
      <c r="C172" t="s">
        <v>52</v>
      </c>
      <c r="D172" t="s">
        <v>382</v>
      </c>
      <c r="E172" t="s">
        <v>383</v>
      </c>
      <c r="F172" s="1">
        <v>45894</v>
      </c>
      <c r="G172" s="1">
        <v>45893</v>
      </c>
      <c r="H172" s="1">
        <v>45900</v>
      </c>
      <c r="K172" t="s">
        <v>26</v>
      </c>
      <c r="L172" t="s">
        <v>33</v>
      </c>
      <c r="M172" t="s">
        <v>28</v>
      </c>
      <c r="N172" t="s">
        <v>29</v>
      </c>
      <c r="O172" s="2">
        <v>40.39</v>
      </c>
      <c r="P172" t="s">
        <v>289</v>
      </c>
      <c r="Q172" s="4">
        <v>0.12</v>
      </c>
      <c r="S172" s="2">
        <v>4.8499999999999996</v>
      </c>
      <c r="T172" s="2">
        <v>0</v>
      </c>
      <c r="U172" s="2">
        <v>4.8499999999999996</v>
      </c>
    </row>
    <row r="173" spans="1:21" x14ac:dyDescent="0.25">
      <c r="A173" t="s">
        <v>21</v>
      </c>
      <c r="B173" t="s">
        <v>67</v>
      </c>
      <c r="C173" t="s">
        <v>68</v>
      </c>
      <c r="D173" t="s">
        <v>384</v>
      </c>
      <c r="E173" t="s">
        <v>381</v>
      </c>
      <c r="F173" s="1">
        <v>45894</v>
      </c>
      <c r="G173" s="1">
        <v>45893</v>
      </c>
      <c r="H173" s="1">
        <v>45900</v>
      </c>
      <c r="K173" t="s">
        <v>26</v>
      </c>
      <c r="L173" t="s">
        <v>33</v>
      </c>
      <c r="M173" t="s">
        <v>28</v>
      </c>
      <c r="N173" t="s">
        <v>29</v>
      </c>
      <c r="O173" s="2">
        <v>28.63</v>
      </c>
      <c r="P173" t="s">
        <v>289</v>
      </c>
      <c r="Q173" s="4">
        <v>0.12</v>
      </c>
      <c r="S173" s="2">
        <v>3.44</v>
      </c>
      <c r="T173" s="2">
        <v>0</v>
      </c>
      <c r="U173" s="2">
        <v>3.44</v>
      </c>
    </row>
    <row r="174" spans="1:21" x14ac:dyDescent="0.25">
      <c r="A174" t="s">
        <v>21</v>
      </c>
      <c r="B174" t="s">
        <v>71</v>
      </c>
      <c r="C174" t="s">
        <v>72</v>
      </c>
      <c r="D174" t="s">
        <v>385</v>
      </c>
      <c r="E174" t="s">
        <v>386</v>
      </c>
      <c r="F174" s="1">
        <v>45896</v>
      </c>
      <c r="G174" s="1">
        <v>45896</v>
      </c>
      <c r="H174" s="1">
        <v>45900</v>
      </c>
      <c r="K174" t="s">
        <v>26</v>
      </c>
      <c r="L174" t="s">
        <v>38</v>
      </c>
      <c r="M174" t="s">
        <v>28</v>
      </c>
      <c r="N174" t="s">
        <v>29</v>
      </c>
      <c r="O174" s="2">
        <v>44.69</v>
      </c>
      <c r="P174" t="s">
        <v>289</v>
      </c>
      <c r="Q174" s="4">
        <v>0.125</v>
      </c>
      <c r="S174" s="2">
        <v>5.59</v>
      </c>
      <c r="T174" s="2">
        <v>0</v>
      </c>
      <c r="U174" s="2">
        <v>5.59</v>
      </c>
    </row>
    <row r="175" spans="1:21" x14ac:dyDescent="0.25">
      <c r="A175" t="s">
        <v>21</v>
      </c>
      <c r="B175" t="s">
        <v>67</v>
      </c>
      <c r="C175" t="s">
        <v>68</v>
      </c>
      <c r="D175" t="s">
        <v>387</v>
      </c>
      <c r="E175" t="s">
        <v>388</v>
      </c>
      <c r="F175" s="1">
        <v>45897</v>
      </c>
      <c r="G175" s="1">
        <v>45897</v>
      </c>
      <c r="H175" s="1">
        <v>45900</v>
      </c>
      <c r="K175" t="s">
        <v>26</v>
      </c>
      <c r="L175" t="s">
        <v>33</v>
      </c>
      <c r="M175" t="s">
        <v>28</v>
      </c>
      <c r="N175" t="s">
        <v>29</v>
      </c>
      <c r="O175" s="2">
        <v>13.98</v>
      </c>
      <c r="P175" t="s">
        <v>289</v>
      </c>
      <c r="Q175" s="4">
        <v>0.12</v>
      </c>
      <c r="S175" s="2">
        <v>1.68</v>
      </c>
      <c r="T175" s="2">
        <v>0</v>
      </c>
      <c r="U175" s="2">
        <v>1.68</v>
      </c>
    </row>
    <row r="176" spans="1:21" x14ac:dyDescent="0.25">
      <c r="A176" t="s">
        <v>21</v>
      </c>
      <c r="B176" t="s">
        <v>67</v>
      </c>
      <c r="C176" t="s">
        <v>68</v>
      </c>
      <c r="D176" t="s">
        <v>389</v>
      </c>
      <c r="E176" t="s">
        <v>390</v>
      </c>
      <c r="F176" s="1">
        <v>45894</v>
      </c>
      <c r="G176" s="1">
        <v>45894</v>
      </c>
      <c r="H176" s="1">
        <v>45900</v>
      </c>
      <c r="K176" t="s">
        <v>26</v>
      </c>
      <c r="L176" t="s">
        <v>38</v>
      </c>
      <c r="M176" t="s">
        <v>28</v>
      </c>
      <c r="N176" t="s">
        <v>29</v>
      </c>
      <c r="O176" s="2">
        <v>27.7</v>
      </c>
      <c r="P176" t="s">
        <v>289</v>
      </c>
      <c r="Q176" s="4">
        <v>0.125</v>
      </c>
      <c r="S176" s="2">
        <v>3.46</v>
      </c>
      <c r="T176" s="2">
        <v>0</v>
      </c>
      <c r="U176" s="2">
        <v>3.46</v>
      </c>
    </row>
    <row r="177" spans="1:21" x14ac:dyDescent="0.25">
      <c r="A177" t="s">
        <v>21</v>
      </c>
      <c r="B177" t="s">
        <v>67</v>
      </c>
      <c r="C177" t="s">
        <v>68</v>
      </c>
      <c r="D177" t="s">
        <v>391</v>
      </c>
      <c r="E177" t="s">
        <v>392</v>
      </c>
      <c r="F177" s="1">
        <v>45897</v>
      </c>
      <c r="G177" s="1">
        <v>45897</v>
      </c>
      <c r="H177" s="1">
        <v>45900</v>
      </c>
      <c r="K177" t="s">
        <v>26</v>
      </c>
      <c r="L177" t="s">
        <v>33</v>
      </c>
      <c r="M177" t="s">
        <v>28</v>
      </c>
      <c r="N177" t="s">
        <v>29</v>
      </c>
      <c r="O177" s="2">
        <v>32.68</v>
      </c>
      <c r="P177" t="s">
        <v>289</v>
      </c>
      <c r="Q177" s="4">
        <v>0.12</v>
      </c>
      <c r="S177" s="2">
        <v>3.92</v>
      </c>
      <c r="T177" s="2">
        <v>0</v>
      </c>
      <c r="U177" s="2">
        <v>3.92</v>
      </c>
    </row>
    <row r="178" spans="1:21" x14ac:dyDescent="0.25">
      <c r="A178" t="s">
        <v>21</v>
      </c>
      <c r="B178" t="s">
        <v>51</v>
      </c>
      <c r="C178" t="s">
        <v>52</v>
      </c>
      <c r="D178" t="s">
        <v>393</v>
      </c>
      <c r="E178" t="s">
        <v>394</v>
      </c>
      <c r="F178" s="1">
        <v>45887</v>
      </c>
      <c r="G178" s="1">
        <v>45886</v>
      </c>
      <c r="H178" s="1">
        <v>45900</v>
      </c>
      <c r="K178" t="s">
        <v>26</v>
      </c>
      <c r="L178" t="s">
        <v>38</v>
      </c>
      <c r="M178" t="s">
        <v>28</v>
      </c>
      <c r="N178" t="s">
        <v>29</v>
      </c>
      <c r="O178" s="2">
        <v>57.78</v>
      </c>
      <c r="P178" t="s">
        <v>289</v>
      </c>
      <c r="Q178" s="4">
        <v>0.125</v>
      </c>
      <c r="S178" s="2">
        <v>7.22</v>
      </c>
      <c r="T178" s="2">
        <v>0</v>
      </c>
      <c r="U178" s="2">
        <v>7.22</v>
      </c>
    </row>
    <row r="179" spans="1:21" x14ac:dyDescent="0.25">
      <c r="A179" t="s">
        <v>21</v>
      </c>
      <c r="B179" t="s">
        <v>136</v>
      </c>
      <c r="C179" t="s">
        <v>137</v>
      </c>
      <c r="D179" t="s">
        <v>395</v>
      </c>
      <c r="E179" t="s">
        <v>396</v>
      </c>
      <c r="F179" s="1">
        <v>45887</v>
      </c>
      <c r="G179" s="1">
        <v>45873</v>
      </c>
      <c r="H179" s="1">
        <v>45900</v>
      </c>
      <c r="K179" t="s">
        <v>26</v>
      </c>
      <c r="L179" t="s">
        <v>33</v>
      </c>
      <c r="M179" t="s">
        <v>28</v>
      </c>
      <c r="N179" t="s">
        <v>29</v>
      </c>
      <c r="O179" s="2">
        <v>31.4</v>
      </c>
      <c r="P179" t="s">
        <v>289</v>
      </c>
      <c r="Q179" s="4">
        <v>0.12</v>
      </c>
      <c r="S179" s="2">
        <v>3.77</v>
      </c>
      <c r="T179" s="2">
        <v>0</v>
      </c>
      <c r="U179" s="2">
        <v>3.77</v>
      </c>
    </row>
    <row r="180" spans="1:21" x14ac:dyDescent="0.25">
      <c r="A180" t="s">
        <v>21</v>
      </c>
      <c r="B180" t="s">
        <v>39</v>
      </c>
      <c r="C180" t="s">
        <v>40</v>
      </c>
      <c r="D180" t="s">
        <v>397</v>
      </c>
      <c r="E180" t="s">
        <v>398</v>
      </c>
      <c r="F180" s="1">
        <v>45889</v>
      </c>
      <c r="G180" s="1">
        <v>45870</v>
      </c>
      <c r="H180" s="1">
        <v>45900</v>
      </c>
      <c r="K180" t="s">
        <v>26</v>
      </c>
      <c r="L180" t="s">
        <v>38</v>
      </c>
      <c r="M180" t="s">
        <v>28</v>
      </c>
      <c r="N180" t="s">
        <v>29</v>
      </c>
      <c r="O180" s="2">
        <v>214.33</v>
      </c>
      <c r="P180" t="s">
        <v>289</v>
      </c>
      <c r="Q180" s="4">
        <v>0.125</v>
      </c>
      <c r="S180" s="2">
        <v>26.79</v>
      </c>
      <c r="T180" s="2">
        <v>0</v>
      </c>
      <c r="U180" s="2">
        <v>26.79</v>
      </c>
    </row>
    <row r="181" spans="1:21" x14ac:dyDescent="0.25">
      <c r="A181" t="s">
        <v>21</v>
      </c>
      <c r="B181" t="s">
        <v>399</v>
      </c>
      <c r="C181" t="s">
        <v>400</v>
      </c>
      <c r="D181" t="s">
        <v>401</v>
      </c>
      <c r="E181" t="s">
        <v>402</v>
      </c>
      <c r="F181" s="1">
        <v>45887</v>
      </c>
      <c r="G181" s="1">
        <v>45886</v>
      </c>
      <c r="H181" s="1">
        <v>45900</v>
      </c>
      <c r="K181" t="s">
        <v>26</v>
      </c>
      <c r="L181" t="s">
        <v>33</v>
      </c>
      <c r="M181" t="s">
        <v>28</v>
      </c>
      <c r="N181" t="s">
        <v>29</v>
      </c>
      <c r="O181" s="2">
        <v>18.16</v>
      </c>
      <c r="P181" t="s">
        <v>289</v>
      </c>
      <c r="Q181" s="4">
        <v>0.12</v>
      </c>
      <c r="S181" s="2">
        <v>2.1800000000000002</v>
      </c>
      <c r="T181" s="2">
        <v>0</v>
      </c>
      <c r="U181" s="2">
        <v>2.1800000000000002</v>
      </c>
    </row>
    <row r="182" spans="1:21" x14ac:dyDescent="0.25">
      <c r="A182" t="s">
        <v>21</v>
      </c>
      <c r="B182" t="s">
        <v>67</v>
      </c>
      <c r="C182" t="s">
        <v>68</v>
      </c>
      <c r="D182" t="s">
        <v>403</v>
      </c>
      <c r="E182" t="s">
        <v>404</v>
      </c>
      <c r="F182" s="1">
        <v>45887</v>
      </c>
      <c r="G182" s="1">
        <v>45886</v>
      </c>
      <c r="H182" s="1">
        <v>45900</v>
      </c>
      <c r="K182" t="s">
        <v>26</v>
      </c>
      <c r="L182" t="s">
        <v>38</v>
      </c>
      <c r="M182" t="s">
        <v>28</v>
      </c>
      <c r="N182" t="s">
        <v>29</v>
      </c>
      <c r="O182" s="2">
        <v>64.38</v>
      </c>
      <c r="P182" t="s">
        <v>289</v>
      </c>
      <c r="Q182" s="4">
        <v>0.125</v>
      </c>
      <c r="S182" s="2">
        <v>8.0500000000000007</v>
      </c>
      <c r="T182" s="2">
        <v>0</v>
      </c>
      <c r="U182" s="2">
        <v>8.0500000000000007</v>
      </c>
    </row>
    <row r="183" spans="1:21" x14ac:dyDescent="0.25">
      <c r="A183" t="s">
        <v>21</v>
      </c>
      <c r="B183" t="s">
        <v>63</v>
      </c>
      <c r="C183" t="s">
        <v>64</v>
      </c>
      <c r="D183" t="s">
        <v>405</v>
      </c>
      <c r="E183" t="s">
        <v>406</v>
      </c>
      <c r="F183" s="1">
        <v>45889</v>
      </c>
      <c r="G183" s="1">
        <v>45889</v>
      </c>
      <c r="H183" s="1">
        <v>45900</v>
      </c>
      <c r="K183" t="s">
        <v>26</v>
      </c>
      <c r="L183" t="s">
        <v>33</v>
      </c>
      <c r="M183" t="s">
        <v>28</v>
      </c>
      <c r="N183" t="s">
        <v>29</v>
      </c>
      <c r="O183" s="2">
        <v>18.16</v>
      </c>
      <c r="P183" t="s">
        <v>289</v>
      </c>
      <c r="Q183" s="4">
        <v>0.12</v>
      </c>
      <c r="S183" s="2">
        <v>2.1800000000000002</v>
      </c>
      <c r="T183" s="2">
        <v>0</v>
      </c>
      <c r="U183" s="2">
        <v>2.1800000000000002</v>
      </c>
    </row>
    <row r="184" spans="1:21" x14ac:dyDescent="0.25">
      <c r="A184" t="s">
        <v>21</v>
      </c>
      <c r="B184" t="s">
        <v>63</v>
      </c>
      <c r="C184" t="s">
        <v>64</v>
      </c>
      <c r="D184" t="s">
        <v>407</v>
      </c>
      <c r="E184" t="s">
        <v>406</v>
      </c>
      <c r="F184" s="1">
        <v>45889</v>
      </c>
      <c r="G184" s="1">
        <v>45889</v>
      </c>
      <c r="H184" s="1">
        <v>45900</v>
      </c>
      <c r="K184" t="s">
        <v>26</v>
      </c>
      <c r="L184" t="s">
        <v>38</v>
      </c>
      <c r="M184" t="s">
        <v>28</v>
      </c>
      <c r="N184" t="s">
        <v>29</v>
      </c>
      <c r="O184" s="2">
        <v>60.39</v>
      </c>
      <c r="P184" t="s">
        <v>289</v>
      </c>
      <c r="Q184" s="4">
        <v>0.125</v>
      </c>
      <c r="S184" s="2">
        <v>7.55</v>
      </c>
      <c r="T184" s="2">
        <v>0</v>
      </c>
      <c r="U184" s="2">
        <v>7.55</v>
      </c>
    </row>
    <row r="185" spans="1:21" x14ac:dyDescent="0.25">
      <c r="A185" t="s">
        <v>21</v>
      </c>
      <c r="B185" t="s">
        <v>408</v>
      </c>
      <c r="C185" t="s">
        <v>409</v>
      </c>
      <c r="D185" t="s">
        <v>410</v>
      </c>
      <c r="E185" t="s">
        <v>411</v>
      </c>
      <c r="F185" s="1">
        <v>45890</v>
      </c>
      <c r="G185" s="1">
        <v>45890</v>
      </c>
      <c r="H185" s="1">
        <v>45900</v>
      </c>
      <c r="K185" t="s">
        <v>26</v>
      </c>
      <c r="L185" t="s">
        <v>333</v>
      </c>
      <c r="M185" t="s">
        <v>28</v>
      </c>
      <c r="N185" t="s">
        <v>29</v>
      </c>
      <c r="O185" s="2">
        <v>44.53</v>
      </c>
      <c r="P185" t="s">
        <v>289</v>
      </c>
      <c r="Q185" s="4">
        <v>0.06</v>
      </c>
      <c r="S185" s="2">
        <v>2.67</v>
      </c>
      <c r="T185" s="2">
        <v>0</v>
      </c>
      <c r="U185" s="2">
        <v>2.67</v>
      </c>
    </row>
    <row r="186" spans="1:21" x14ac:dyDescent="0.25">
      <c r="A186" t="s">
        <v>21</v>
      </c>
      <c r="B186" t="s">
        <v>63</v>
      </c>
      <c r="C186" t="s">
        <v>64</v>
      </c>
      <c r="D186" t="s">
        <v>412</v>
      </c>
      <c r="E186" t="s">
        <v>413</v>
      </c>
      <c r="F186" s="1">
        <v>45890</v>
      </c>
      <c r="G186" s="1">
        <v>45890</v>
      </c>
      <c r="H186" s="1">
        <v>45900</v>
      </c>
      <c r="K186" t="s">
        <v>26</v>
      </c>
      <c r="L186" t="s">
        <v>33</v>
      </c>
      <c r="M186" t="s">
        <v>28</v>
      </c>
      <c r="N186" t="s">
        <v>29</v>
      </c>
      <c r="O186" s="2">
        <v>18.16</v>
      </c>
      <c r="P186" t="s">
        <v>289</v>
      </c>
      <c r="Q186" s="4">
        <v>0.12</v>
      </c>
      <c r="S186" s="2">
        <v>2.1800000000000002</v>
      </c>
      <c r="T186" s="2">
        <v>0</v>
      </c>
      <c r="U186" s="2">
        <v>2.1800000000000002</v>
      </c>
    </row>
    <row r="187" spans="1:21" x14ac:dyDescent="0.25">
      <c r="A187" t="s">
        <v>21</v>
      </c>
      <c r="B187" t="s">
        <v>63</v>
      </c>
      <c r="C187" t="s">
        <v>64</v>
      </c>
      <c r="D187" t="s">
        <v>414</v>
      </c>
      <c r="E187" t="s">
        <v>413</v>
      </c>
      <c r="F187" s="1">
        <v>45890</v>
      </c>
      <c r="G187" s="1">
        <v>45890</v>
      </c>
      <c r="H187" s="1">
        <v>45900</v>
      </c>
      <c r="K187" t="s">
        <v>26</v>
      </c>
      <c r="L187" t="s">
        <v>38</v>
      </c>
      <c r="M187" t="s">
        <v>28</v>
      </c>
      <c r="N187" t="s">
        <v>29</v>
      </c>
      <c r="O187" s="2">
        <v>33.85</v>
      </c>
      <c r="P187" t="s">
        <v>289</v>
      </c>
      <c r="Q187" s="4">
        <v>0.125</v>
      </c>
      <c r="S187" s="2">
        <v>4.2300000000000004</v>
      </c>
      <c r="T187" s="2">
        <v>0</v>
      </c>
      <c r="U187" s="2">
        <v>4.2300000000000004</v>
      </c>
    </row>
    <row r="188" spans="1:21" x14ac:dyDescent="0.25">
      <c r="A188" t="s">
        <v>21</v>
      </c>
      <c r="B188" t="s">
        <v>399</v>
      </c>
      <c r="C188" t="s">
        <v>400</v>
      </c>
      <c r="D188" t="s">
        <v>415</v>
      </c>
      <c r="E188" t="s">
        <v>416</v>
      </c>
      <c r="F188" s="1">
        <v>45894</v>
      </c>
      <c r="G188" s="1">
        <v>45893</v>
      </c>
      <c r="H188" s="1">
        <v>45900</v>
      </c>
      <c r="K188" t="s">
        <v>26</v>
      </c>
      <c r="L188" t="s">
        <v>33</v>
      </c>
      <c r="M188" t="s">
        <v>28</v>
      </c>
      <c r="N188" t="s">
        <v>29</v>
      </c>
      <c r="O188" s="2">
        <v>72.27</v>
      </c>
      <c r="P188" t="s">
        <v>289</v>
      </c>
      <c r="Q188" s="4">
        <v>0.12</v>
      </c>
      <c r="S188" s="2">
        <v>8.67</v>
      </c>
      <c r="T188" s="2">
        <v>0</v>
      </c>
      <c r="U188" s="2">
        <v>8.67</v>
      </c>
    </row>
    <row r="189" spans="1:21" x14ac:dyDescent="0.25">
      <c r="A189" t="s">
        <v>21</v>
      </c>
      <c r="B189" t="s">
        <v>51</v>
      </c>
      <c r="C189" t="s">
        <v>52</v>
      </c>
      <c r="D189" t="s">
        <v>417</v>
      </c>
      <c r="E189" t="s">
        <v>418</v>
      </c>
      <c r="F189" s="1">
        <v>45895</v>
      </c>
      <c r="G189" s="1">
        <v>45895</v>
      </c>
      <c r="H189" s="1">
        <v>45900</v>
      </c>
      <c r="K189" t="s">
        <v>26</v>
      </c>
      <c r="L189" t="s">
        <v>38</v>
      </c>
      <c r="M189" t="s">
        <v>28</v>
      </c>
      <c r="N189" t="s">
        <v>29</v>
      </c>
      <c r="O189" s="2">
        <v>21.4</v>
      </c>
      <c r="P189" t="s">
        <v>289</v>
      </c>
      <c r="Q189" s="4">
        <v>0.125</v>
      </c>
      <c r="S189" s="2">
        <v>2.68</v>
      </c>
      <c r="T189" s="2">
        <v>0</v>
      </c>
      <c r="U189" s="2">
        <v>2.68</v>
      </c>
    </row>
    <row r="190" spans="1:21" x14ac:dyDescent="0.25">
      <c r="A190" t="s">
        <v>21</v>
      </c>
      <c r="B190" t="s">
        <v>51</v>
      </c>
      <c r="C190" t="s">
        <v>52</v>
      </c>
      <c r="D190" t="s">
        <v>419</v>
      </c>
      <c r="E190" t="s">
        <v>420</v>
      </c>
      <c r="F190" s="1">
        <v>45896</v>
      </c>
      <c r="G190" s="1">
        <v>45896</v>
      </c>
      <c r="H190" s="1">
        <v>45900</v>
      </c>
      <c r="K190" t="s">
        <v>26</v>
      </c>
      <c r="L190" t="s">
        <v>33</v>
      </c>
      <c r="M190" t="s">
        <v>28</v>
      </c>
      <c r="N190" t="s">
        <v>29</v>
      </c>
      <c r="O190" s="2">
        <v>52.34</v>
      </c>
      <c r="P190" t="s">
        <v>289</v>
      </c>
      <c r="Q190" s="4">
        <v>0.12</v>
      </c>
      <c r="S190" s="2">
        <v>6.28</v>
      </c>
      <c r="T190" s="2">
        <v>0</v>
      </c>
      <c r="U190" s="2">
        <v>6.28</v>
      </c>
    </row>
    <row r="191" spans="1:21" x14ac:dyDescent="0.25">
      <c r="A191" t="s">
        <v>21</v>
      </c>
      <c r="B191" t="s">
        <v>51</v>
      </c>
      <c r="C191" t="s">
        <v>52</v>
      </c>
      <c r="D191" t="s">
        <v>421</v>
      </c>
      <c r="E191" t="s">
        <v>420</v>
      </c>
      <c r="F191" s="1">
        <v>45896</v>
      </c>
      <c r="G191" s="1">
        <v>45896</v>
      </c>
      <c r="H191" s="1">
        <v>45900</v>
      </c>
      <c r="K191" t="s">
        <v>26</v>
      </c>
      <c r="L191" t="s">
        <v>38</v>
      </c>
      <c r="M191" t="s">
        <v>28</v>
      </c>
      <c r="N191" t="s">
        <v>29</v>
      </c>
      <c r="O191" s="2">
        <v>167.11</v>
      </c>
      <c r="P191" t="s">
        <v>289</v>
      </c>
      <c r="Q191" s="4">
        <v>0.125</v>
      </c>
      <c r="S191" s="2">
        <v>20.89</v>
      </c>
      <c r="T191" s="2">
        <v>0</v>
      </c>
      <c r="U191" s="2">
        <v>20.89</v>
      </c>
    </row>
    <row r="192" spans="1:21" x14ac:dyDescent="0.25">
      <c r="A192" t="s">
        <v>21</v>
      </c>
      <c r="B192" t="s">
        <v>83</v>
      </c>
      <c r="C192" t="s">
        <v>84</v>
      </c>
      <c r="D192" t="s">
        <v>422</v>
      </c>
      <c r="E192" t="s">
        <v>423</v>
      </c>
      <c r="F192" s="1">
        <v>45896</v>
      </c>
      <c r="G192" s="1">
        <v>45896</v>
      </c>
      <c r="H192" s="1">
        <v>45900</v>
      </c>
      <c r="K192" t="s">
        <v>26</v>
      </c>
      <c r="L192" t="s">
        <v>33</v>
      </c>
      <c r="M192" t="s">
        <v>28</v>
      </c>
      <c r="N192" t="s">
        <v>29</v>
      </c>
      <c r="O192" s="2">
        <v>37.83</v>
      </c>
      <c r="P192" t="s">
        <v>289</v>
      </c>
      <c r="Q192" s="4">
        <v>0.12</v>
      </c>
      <c r="S192" s="2">
        <v>4.54</v>
      </c>
      <c r="T192" s="2">
        <v>0</v>
      </c>
      <c r="U192" s="2">
        <v>4.54</v>
      </c>
    </row>
    <row r="193" spans="1:21" x14ac:dyDescent="0.25">
      <c r="A193" t="s">
        <v>21</v>
      </c>
      <c r="B193" t="s">
        <v>136</v>
      </c>
      <c r="C193" t="s">
        <v>137</v>
      </c>
      <c r="D193" t="s">
        <v>424</v>
      </c>
      <c r="E193" t="s">
        <v>425</v>
      </c>
      <c r="F193" s="1">
        <v>45897</v>
      </c>
      <c r="G193" s="1">
        <v>45897</v>
      </c>
      <c r="H193" s="1">
        <v>45900</v>
      </c>
      <c r="K193" t="s">
        <v>26</v>
      </c>
      <c r="L193" t="s">
        <v>33</v>
      </c>
      <c r="M193" t="s">
        <v>28</v>
      </c>
      <c r="N193" t="s">
        <v>29</v>
      </c>
      <c r="O193" s="2">
        <v>20.16</v>
      </c>
      <c r="P193" t="s">
        <v>289</v>
      </c>
      <c r="Q193" s="4">
        <v>0.12</v>
      </c>
      <c r="S193" s="2">
        <v>2.42</v>
      </c>
      <c r="T193" s="2">
        <v>0</v>
      </c>
      <c r="U193" s="2">
        <v>2.42</v>
      </c>
    </row>
    <row r="194" spans="1:21" x14ac:dyDescent="0.25">
      <c r="A194" t="s">
        <v>21</v>
      </c>
      <c r="B194" t="s">
        <v>426</v>
      </c>
      <c r="C194" t="s">
        <v>427</v>
      </c>
      <c r="D194" t="s">
        <v>428</v>
      </c>
      <c r="E194" t="s">
        <v>429</v>
      </c>
      <c r="F194" s="1">
        <v>45887</v>
      </c>
      <c r="G194" s="1">
        <v>45886</v>
      </c>
      <c r="H194" s="1">
        <v>45900</v>
      </c>
      <c r="K194" t="s">
        <v>26</v>
      </c>
      <c r="L194" t="s">
        <v>38</v>
      </c>
      <c r="M194" t="s">
        <v>28</v>
      </c>
      <c r="N194" t="s">
        <v>29</v>
      </c>
      <c r="O194" s="2">
        <v>96.3</v>
      </c>
      <c r="P194" t="s">
        <v>289</v>
      </c>
      <c r="Q194" s="4">
        <v>0.125</v>
      </c>
      <c r="S194" s="2">
        <v>12.04</v>
      </c>
      <c r="T194" s="2">
        <v>0</v>
      </c>
      <c r="U194" s="2">
        <v>12.04</v>
      </c>
    </row>
    <row r="195" spans="1:21" x14ac:dyDescent="0.25">
      <c r="A195" t="s">
        <v>21</v>
      </c>
      <c r="B195" t="s">
        <v>67</v>
      </c>
      <c r="C195" t="s">
        <v>68</v>
      </c>
      <c r="D195" t="s">
        <v>430</v>
      </c>
      <c r="E195" t="s">
        <v>431</v>
      </c>
      <c r="F195" s="1">
        <v>45887</v>
      </c>
      <c r="G195" s="1">
        <v>45885</v>
      </c>
      <c r="H195" s="1">
        <v>45900</v>
      </c>
      <c r="K195" t="s">
        <v>26</v>
      </c>
      <c r="L195" t="s">
        <v>38</v>
      </c>
      <c r="M195" t="s">
        <v>28</v>
      </c>
      <c r="N195" t="s">
        <v>29</v>
      </c>
      <c r="O195" s="2">
        <v>9.66</v>
      </c>
      <c r="P195" t="s">
        <v>289</v>
      </c>
      <c r="Q195" s="4">
        <v>0.125</v>
      </c>
      <c r="S195" s="2">
        <v>1.21</v>
      </c>
      <c r="T195" s="2">
        <v>0</v>
      </c>
      <c r="U195" s="2">
        <v>1.21</v>
      </c>
    </row>
    <row r="196" spans="1:21" x14ac:dyDescent="0.25">
      <c r="A196" t="s">
        <v>21</v>
      </c>
      <c r="B196" t="s">
        <v>408</v>
      </c>
      <c r="C196" t="s">
        <v>409</v>
      </c>
      <c r="D196" t="s">
        <v>432</v>
      </c>
      <c r="E196" t="s">
        <v>433</v>
      </c>
      <c r="F196" s="1">
        <v>45887</v>
      </c>
      <c r="G196" s="1">
        <v>45886</v>
      </c>
      <c r="H196" s="1">
        <v>45900</v>
      </c>
      <c r="K196" t="s">
        <v>26</v>
      </c>
      <c r="L196" t="s">
        <v>33</v>
      </c>
      <c r="M196" t="s">
        <v>28</v>
      </c>
      <c r="N196" t="s">
        <v>29</v>
      </c>
      <c r="O196" s="2">
        <v>39.5</v>
      </c>
      <c r="P196" t="s">
        <v>289</v>
      </c>
      <c r="Q196" s="4">
        <v>0.12</v>
      </c>
      <c r="S196" s="2">
        <v>4.74</v>
      </c>
      <c r="T196" s="2">
        <v>0</v>
      </c>
      <c r="U196" s="2">
        <v>4.74</v>
      </c>
    </row>
    <row r="197" spans="1:21" x14ac:dyDescent="0.25">
      <c r="A197" t="s">
        <v>21</v>
      </c>
      <c r="B197" t="s">
        <v>51</v>
      </c>
      <c r="C197" t="s">
        <v>52</v>
      </c>
      <c r="D197" t="s">
        <v>434</v>
      </c>
      <c r="E197" t="s">
        <v>435</v>
      </c>
      <c r="F197" s="1">
        <v>45887</v>
      </c>
      <c r="G197" s="1">
        <v>45885</v>
      </c>
      <c r="H197" s="1">
        <v>45900</v>
      </c>
      <c r="K197" t="s">
        <v>26</v>
      </c>
      <c r="L197" t="s">
        <v>38</v>
      </c>
      <c r="M197" t="s">
        <v>28</v>
      </c>
      <c r="N197" t="s">
        <v>29</v>
      </c>
      <c r="O197" s="2">
        <v>68.97</v>
      </c>
      <c r="P197" t="s">
        <v>289</v>
      </c>
      <c r="Q197" s="4">
        <v>0.125</v>
      </c>
      <c r="S197" s="2">
        <v>8.6199999999999992</v>
      </c>
      <c r="T197" s="2">
        <v>0</v>
      </c>
      <c r="U197" s="2">
        <v>8.6199999999999992</v>
      </c>
    </row>
    <row r="198" spans="1:21" x14ac:dyDescent="0.25">
      <c r="A198" t="s">
        <v>21</v>
      </c>
      <c r="B198" t="s">
        <v>136</v>
      </c>
      <c r="C198" t="s">
        <v>137</v>
      </c>
      <c r="D198" t="s">
        <v>436</v>
      </c>
      <c r="E198" t="s">
        <v>437</v>
      </c>
      <c r="F198" s="1">
        <v>45887</v>
      </c>
      <c r="G198" s="1">
        <v>45886</v>
      </c>
      <c r="H198" s="1">
        <v>45900</v>
      </c>
      <c r="K198" t="s">
        <v>26</v>
      </c>
      <c r="L198" t="s">
        <v>38</v>
      </c>
      <c r="M198" t="s">
        <v>28</v>
      </c>
      <c r="N198" t="s">
        <v>29</v>
      </c>
      <c r="O198" s="2">
        <v>99.12</v>
      </c>
      <c r="P198" t="s">
        <v>289</v>
      </c>
      <c r="Q198" s="4">
        <v>0.125</v>
      </c>
      <c r="S198" s="2">
        <v>12.39</v>
      </c>
      <c r="T198" s="2">
        <v>0</v>
      </c>
      <c r="U198" s="2">
        <v>12.39</v>
      </c>
    </row>
    <row r="199" spans="1:21" x14ac:dyDescent="0.25">
      <c r="A199" t="s">
        <v>21</v>
      </c>
      <c r="B199" t="s">
        <v>22</v>
      </c>
      <c r="C199" t="s">
        <v>23</v>
      </c>
      <c r="D199" t="s">
        <v>438</v>
      </c>
      <c r="E199" t="s">
        <v>439</v>
      </c>
      <c r="F199" s="1">
        <v>45887</v>
      </c>
      <c r="G199" s="1">
        <v>45886</v>
      </c>
      <c r="H199" s="1">
        <v>45900</v>
      </c>
      <c r="K199" t="s">
        <v>26</v>
      </c>
      <c r="L199" t="s">
        <v>33</v>
      </c>
      <c r="M199" t="s">
        <v>28</v>
      </c>
      <c r="N199" t="s">
        <v>29</v>
      </c>
      <c r="O199" s="2">
        <v>38.39</v>
      </c>
      <c r="P199" t="s">
        <v>289</v>
      </c>
      <c r="Q199" s="4">
        <v>0.12</v>
      </c>
      <c r="S199" s="2">
        <v>4.6100000000000003</v>
      </c>
      <c r="T199" s="2">
        <v>0</v>
      </c>
      <c r="U199" s="2">
        <v>4.6100000000000003</v>
      </c>
    </row>
    <row r="200" spans="1:21" x14ac:dyDescent="0.25">
      <c r="A200" t="s">
        <v>21</v>
      </c>
      <c r="B200" t="s">
        <v>51</v>
      </c>
      <c r="C200" t="s">
        <v>52</v>
      </c>
      <c r="D200" t="s">
        <v>440</v>
      </c>
      <c r="E200" t="s">
        <v>441</v>
      </c>
      <c r="F200" s="1">
        <v>45887</v>
      </c>
      <c r="G200" s="1">
        <v>45886</v>
      </c>
      <c r="H200" s="1">
        <v>45900</v>
      </c>
      <c r="K200" t="s">
        <v>26</v>
      </c>
      <c r="L200" t="s">
        <v>33</v>
      </c>
      <c r="M200" t="s">
        <v>28</v>
      </c>
      <c r="N200" t="s">
        <v>29</v>
      </c>
      <c r="O200" s="2">
        <v>38.39</v>
      </c>
      <c r="P200" t="s">
        <v>289</v>
      </c>
      <c r="Q200" s="4">
        <v>0.12</v>
      </c>
      <c r="S200" s="2">
        <v>4.6100000000000003</v>
      </c>
      <c r="T200" s="2">
        <v>0</v>
      </c>
      <c r="U200" s="2">
        <v>4.6100000000000003</v>
      </c>
    </row>
    <row r="201" spans="1:21" x14ac:dyDescent="0.25">
      <c r="A201" t="s">
        <v>21</v>
      </c>
      <c r="B201" t="s">
        <v>51</v>
      </c>
      <c r="C201" t="s">
        <v>52</v>
      </c>
      <c r="D201" t="s">
        <v>442</v>
      </c>
      <c r="E201" t="s">
        <v>443</v>
      </c>
      <c r="F201" s="1">
        <v>45887</v>
      </c>
      <c r="G201" s="1">
        <v>45886</v>
      </c>
      <c r="H201" s="1">
        <v>45900</v>
      </c>
      <c r="K201" t="s">
        <v>26</v>
      </c>
      <c r="L201" t="s">
        <v>33</v>
      </c>
      <c r="M201" t="s">
        <v>28</v>
      </c>
      <c r="N201" t="s">
        <v>29</v>
      </c>
      <c r="O201" s="2">
        <v>39.17</v>
      </c>
      <c r="P201" t="s">
        <v>289</v>
      </c>
      <c r="Q201" s="4">
        <v>0.12</v>
      </c>
      <c r="S201" s="2">
        <v>4.7</v>
      </c>
      <c r="T201" s="2">
        <v>0</v>
      </c>
      <c r="U201" s="2">
        <v>4.7</v>
      </c>
    </row>
    <row r="202" spans="1:21" x14ac:dyDescent="0.25">
      <c r="A202" t="s">
        <v>21</v>
      </c>
      <c r="B202" t="s">
        <v>51</v>
      </c>
      <c r="C202" t="s">
        <v>52</v>
      </c>
      <c r="D202" t="s">
        <v>444</v>
      </c>
      <c r="E202" t="s">
        <v>445</v>
      </c>
      <c r="F202" s="1">
        <v>45887</v>
      </c>
      <c r="G202" s="1">
        <v>45887</v>
      </c>
      <c r="H202" s="1">
        <v>45900</v>
      </c>
      <c r="K202" t="s">
        <v>26</v>
      </c>
      <c r="L202" t="s">
        <v>38</v>
      </c>
      <c r="M202" t="s">
        <v>28</v>
      </c>
      <c r="N202" t="s">
        <v>29</v>
      </c>
      <c r="O202" s="2">
        <v>88.01</v>
      </c>
      <c r="P202" t="s">
        <v>289</v>
      </c>
      <c r="Q202" s="4">
        <v>0.125</v>
      </c>
      <c r="S202" s="2">
        <v>11</v>
      </c>
      <c r="T202" s="2">
        <v>0</v>
      </c>
      <c r="U202" s="2">
        <v>11</v>
      </c>
    </row>
    <row r="203" spans="1:21" x14ac:dyDescent="0.25">
      <c r="A203" t="s">
        <v>21</v>
      </c>
      <c r="B203" t="s">
        <v>51</v>
      </c>
      <c r="C203" t="s">
        <v>52</v>
      </c>
      <c r="D203" t="s">
        <v>446</v>
      </c>
      <c r="E203" t="s">
        <v>445</v>
      </c>
      <c r="F203" s="1">
        <v>45887</v>
      </c>
      <c r="G203" s="1">
        <v>45886</v>
      </c>
      <c r="H203" s="1">
        <v>45900</v>
      </c>
      <c r="K203" t="s">
        <v>26</v>
      </c>
      <c r="L203" t="s">
        <v>33</v>
      </c>
      <c r="M203" t="s">
        <v>28</v>
      </c>
      <c r="N203" t="s">
        <v>29</v>
      </c>
      <c r="O203" s="2">
        <v>73.64</v>
      </c>
      <c r="P203" t="s">
        <v>289</v>
      </c>
      <c r="Q203" s="4">
        <v>0.12</v>
      </c>
      <c r="S203" s="2">
        <v>8.84</v>
      </c>
      <c r="T203" s="2">
        <v>0</v>
      </c>
      <c r="U203" s="2">
        <v>8.84</v>
      </c>
    </row>
    <row r="204" spans="1:21" x14ac:dyDescent="0.25">
      <c r="A204" t="s">
        <v>21</v>
      </c>
      <c r="B204" t="s">
        <v>71</v>
      </c>
      <c r="C204" t="s">
        <v>72</v>
      </c>
      <c r="D204" t="s">
        <v>447</v>
      </c>
      <c r="E204" t="s">
        <v>448</v>
      </c>
      <c r="F204" s="1">
        <v>45887</v>
      </c>
      <c r="G204" s="1">
        <v>45886</v>
      </c>
      <c r="H204" s="1">
        <v>45900</v>
      </c>
      <c r="K204" t="s">
        <v>26</v>
      </c>
      <c r="L204" t="s">
        <v>33</v>
      </c>
      <c r="M204" t="s">
        <v>28</v>
      </c>
      <c r="N204" t="s">
        <v>29</v>
      </c>
      <c r="O204" s="2">
        <v>28.63</v>
      </c>
      <c r="P204" t="s">
        <v>289</v>
      </c>
      <c r="Q204" s="4">
        <v>0.12</v>
      </c>
      <c r="S204" s="2">
        <v>3.44</v>
      </c>
      <c r="T204" s="2">
        <v>0</v>
      </c>
      <c r="U204" s="2">
        <v>3.44</v>
      </c>
    </row>
    <row r="205" spans="1:21" x14ac:dyDescent="0.25">
      <c r="A205" t="s">
        <v>21</v>
      </c>
      <c r="B205" t="s">
        <v>71</v>
      </c>
      <c r="C205" t="s">
        <v>72</v>
      </c>
      <c r="D205" t="s">
        <v>449</v>
      </c>
      <c r="E205" t="s">
        <v>450</v>
      </c>
      <c r="F205" s="1">
        <v>45887</v>
      </c>
      <c r="G205" s="1">
        <v>45886</v>
      </c>
      <c r="H205" s="1">
        <v>45900</v>
      </c>
      <c r="K205" t="s">
        <v>26</v>
      </c>
      <c r="L205" t="s">
        <v>33</v>
      </c>
      <c r="M205" t="s">
        <v>28</v>
      </c>
      <c r="N205" t="s">
        <v>29</v>
      </c>
      <c r="O205" s="2">
        <v>18.16</v>
      </c>
      <c r="P205" t="s">
        <v>289</v>
      </c>
      <c r="Q205" s="4">
        <v>0.12</v>
      </c>
      <c r="S205" s="2">
        <v>2.1800000000000002</v>
      </c>
      <c r="T205" s="2">
        <v>0</v>
      </c>
      <c r="U205" s="2">
        <v>2.1800000000000002</v>
      </c>
    </row>
    <row r="206" spans="1:21" x14ac:dyDescent="0.25">
      <c r="A206" t="s">
        <v>21</v>
      </c>
      <c r="B206" t="s">
        <v>83</v>
      </c>
      <c r="C206" t="s">
        <v>84</v>
      </c>
      <c r="D206" t="s">
        <v>451</v>
      </c>
      <c r="E206" t="s">
        <v>452</v>
      </c>
      <c r="F206" s="1">
        <v>45887</v>
      </c>
      <c r="G206" s="1">
        <v>45887</v>
      </c>
      <c r="H206" s="1">
        <v>45900</v>
      </c>
      <c r="K206" t="s">
        <v>26</v>
      </c>
      <c r="L206" t="s">
        <v>38</v>
      </c>
      <c r="M206" t="s">
        <v>28</v>
      </c>
      <c r="N206" t="s">
        <v>29</v>
      </c>
      <c r="O206" s="2">
        <v>67.17</v>
      </c>
      <c r="P206" t="s">
        <v>289</v>
      </c>
      <c r="Q206" s="4">
        <v>0.125</v>
      </c>
      <c r="S206" s="2">
        <v>8.4</v>
      </c>
      <c r="T206" s="2">
        <v>0</v>
      </c>
      <c r="U206" s="2">
        <v>8.4</v>
      </c>
    </row>
    <row r="207" spans="1:21" x14ac:dyDescent="0.25">
      <c r="A207" t="s">
        <v>21</v>
      </c>
      <c r="B207" t="s">
        <v>83</v>
      </c>
      <c r="C207" t="s">
        <v>84</v>
      </c>
      <c r="D207" t="s">
        <v>453</v>
      </c>
      <c r="E207" t="s">
        <v>452</v>
      </c>
      <c r="F207" s="1">
        <v>45887</v>
      </c>
      <c r="G207" s="1">
        <v>45887</v>
      </c>
      <c r="H207" s="1">
        <v>45900</v>
      </c>
      <c r="K207" t="s">
        <v>26</v>
      </c>
      <c r="L207" t="s">
        <v>33</v>
      </c>
      <c r="M207" t="s">
        <v>28</v>
      </c>
      <c r="N207" t="s">
        <v>29</v>
      </c>
      <c r="O207" s="2">
        <v>53.41</v>
      </c>
      <c r="P207" t="s">
        <v>289</v>
      </c>
      <c r="Q207" s="4">
        <v>0.12</v>
      </c>
      <c r="S207" s="2">
        <v>6.41</v>
      </c>
      <c r="T207" s="2">
        <v>0</v>
      </c>
      <c r="U207" s="2">
        <v>6.41</v>
      </c>
    </row>
    <row r="208" spans="1:21" x14ac:dyDescent="0.25">
      <c r="A208" t="s">
        <v>21</v>
      </c>
      <c r="B208" t="s">
        <v>51</v>
      </c>
      <c r="C208" t="s">
        <v>52</v>
      </c>
      <c r="D208" t="s">
        <v>454</v>
      </c>
      <c r="E208" t="s">
        <v>455</v>
      </c>
      <c r="F208" s="1">
        <v>45888</v>
      </c>
      <c r="G208" s="1">
        <v>45888</v>
      </c>
      <c r="H208" s="1">
        <v>45900</v>
      </c>
      <c r="K208" t="s">
        <v>26</v>
      </c>
      <c r="L208" t="s">
        <v>33</v>
      </c>
      <c r="M208" t="s">
        <v>28</v>
      </c>
      <c r="N208" t="s">
        <v>29</v>
      </c>
      <c r="O208" s="2">
        <v>37.83</v>
      </c>
      <c r="P208" t="s">
        <v>289</v>
      </c>
      <c r="Q208" s="4">
        <v>0.12</v>
      </c>
      <c r="S208" s="2">
        <v>4.54</v>
      </c>
      <c r="T208" s="2">
        <v>0</v>
      </c>
      <c r="U208" s="2">
        <v>4.54</v>
      </c>
    </row>
    <row r="209" spans="1:21" x14ac:dyDescent="0.25">
      <c r="A209" t="s">
        <v>21</v>
      </c>
      <c r="B209" t="s">
        <v>51</v>
      </c>
      <c r="C209" t="s">
        <v>52</v>
      </c>
      <c r="D209" t="s">
        <v>456</v>
      </c>
      <c r="E209" t="s">
        <v>457</v>
      </c>
      <c r="F209" s="1">
        <v>45888</v>
      </c>
      <c r="G209" s="1">
        <v>45888</v>
      </c>
      <c r="H209" s="1">
        <v>45900</v>
      </c>
      <c r="K209" t="s">
        <v>26</v>
      </c>
      <c r="L209" t="s">
        <v>33</v>
      </c>
      <c r="M209" t="s">
        <v>28</v>
      </c>
      <c r="N209" t="s">
        <v>29</v>
      </c>
      <c r="O209" s="2">
        <v>28.63</v>
      </c>
      <c r="P209" t="s">
        <v>289</v>
      </c>
      <c r="Q209" s="4">
        <v>0.12</v>
      </c>
      <c r="S209" s="2">
        <v>3.44</v>
      </c>
      <c r="T209" s="2">
        <v>0</v>
      </c>
      <c r="U209" s="2">
        <v>3.44</v>
      </c>
    </row>
    <row r="210" spans="1:21" x14ac:dyDescent="0.25">
      <c r="A210" t="s">
        <v>21</v>
      </c>
      <c r="B210" t="s">
        <v>103</v>
      </c>
      <c r="C210" t="s">
        <v>104</v>
      </c>
      <c r="D210" t="s">
        <v>458</v>
      </c>
      <c r="E210" t="s">
        <v>459</v>
      </c>
      <c r="F210" s="1">
        <v>45892</v>
      </c>
      <c r="G210" s="1">
        <v>45891</v>
      </c>
      <c r="H210" s="1">
        <v>45900</v>
      </c>
      <c r="K210" t="s">
        <v>26</v>
      </c>
      <c r="L210" t="s">
        <v>38</v>
      </c>
      <c r="M210" t="s">
        <v>28</v>
      </c>
      <c r="N210" t="s">
        <v>29</v>
      </c>
      <c r="O210" s="2">
        <v>89.45</v>
      </c>
      <c r="P210" t="s">
        <v>289</v>
      </c>
      <c r="Q210" s="4">
        <v>0.125</v>
      </c>
      <c r="S210" s="2">
        <v>11.18</v>
      </c>
      <c r="T210" s="2">
        <v>0</v>
      </c>
      <c r="U210" s="2">
        <v>11.18</v>
      </c>
    </row>
    <row r="211" spans="1:21" x14ac:dyDescent="0.25">
      <c r="A211" t="s">
        <v>21</v>
      </c>
      <c r="B211" t="s">
        <v>51</v>
      </c>
      <c r="C211" t="s">
        <v>52</v>
      </c>
      <c r="D211" t="s">
        <v>460</v>
      </c>
      <c r="E211" t="s">
        <v>461</v>
      </c>
      <c r="F211" s="1">
        <v>45890</v>
      </c>
      <c r="G211" s="1">
        <v>45890</v>
      </c>
      <c r="H211" s="1">
        <v>45900</v>
      </c>
      <c r="K211" t="s">
        <v>26</v>
      </c>
      <c r="L211" t="s">
        <v>33</v>
      </c>
      <c r="M211" t="s">
        <v>28</v>
      </c>
      <c r="N211" t="s">
        <v>29</v>
      </c>
      <c r="O211" s="2">
        <v>37.83</v>
      </c>
      <c r="P211" t="s">
        <v>289</v>
      </c>
      <c r="Q211" s="4">
        <v>0.12</v>
      </c>
      <c r="S211" s="2">
        <v>4.54</v>
      </c>
      <c r="T211" s="2">
        <v>0</v>
      </c>
      <c r="U211" s="2">
        <v>4.54</v>
      </c>
    </row>
    <row r="212" spans="1:21" x14ac:dyDescent="0.25">
      <c r="A212" t="s">
        <v>21</v>
      </c>
      <c r="B212" t="s">
        <v>34</v>
      </c>
      <c r="C212" t="s">
        <v>35</v>
      </c>
      <c r="D212" t="s">
        <v>462</v>
      </c>
      <c r="E212" t="s">
        <v>463</v>
      </c>
      <c r="F212" s="1">
        <v>45890</v>
      </c>
      <c r="G212" s="1">
        <v>45890</v>
      </c>
      <c r="H212" s="1">
        <v>45900</v>
      </c>
      <c r="K212" t="s">
        <v>26</v>
      </c>
      <c r="L212" t="s">
        <v>33</v>
      </c>
      <c r="M212" t="s">
        <v>28</v>
      </c>
      <c r="N212" t="s">
        <v>29</v>
      </c>
      <c r="O212" s="2">
        <v>36.28</v>
      </c>
      <c r="P212" t="s">
        <v>289</v>
      </c>
      <c r="Q212" s="4">
        <v>0.12</v>
      </c>
      <c r="S212" s="2">
        <v>4.3499999999999996</v>
      </c>
      <c r="T212" s="2">
        <v>0</v>
      </c>
      <c r="U212" s="2">
        <v>4.3499999999999996</v>
      </c>
    </row>
    <row r="213" spans="1:21" x14ac:dyDescent="0.25">
      <c r="A213" t="s">
        <v>21</v>
      </c>
      <c r="B213" t="s">
        <v>34</v>
      </c>
      <c r="C213" t="s">
        <v>35</v>
      </c>
      <c r="D213" t="s">
        <v>464</v>
      </c>
      <c r="E213" t="s">
        <v>463</v>
      </c>
      <c r="F213" s="1">
        <v>45890</v>
      </c>
      <c r="G213" s="1">
        <v>45890</v>
      </c>
      <c r="H213" s="1">
        <v>45900</v>
      </c>
      <c r="K213" t="s">
        <v>26</v>
      </c>
      <c r="L213" t="s">
        <v>38</v>
      </c>
      <c r="M213" t="s">
        <v>28</v>
      </c>
      <c r="N213" t="s">
        <v>29</v>
      </c>
      <c r="O213" s="2">
        <v>26.21</v>
      </c>
      <c r="P213" t="s">
        <v>289</v>
      </c>
      <c r="Q213" s="4">
        <v>0.125</v>
      </c>
      <c r="S213" s="2">
        <v>3.28</v>
      </c>
      <c r="T213" s="2">
        <v>0</v>
      </c>
      <c r="U213" s="2">
        <v>3.28</v>
      </c>
    </row>
    <row r="214" spans="1:21" x14ac:dyDescent="0.25">
      <c r="A214" t="s">
        <v>21</v>
      </c>
      <c r="B214" t="s">
        <v>34</v>
      </c>
      <c r="C214" t="s">
        <v>35</v>
      </c>
      <c r="D214" t="s">
        <v>465</v>
      </c>
      <c r="E214" t="s">
        <v>466</v>
      </c>
      <c r="F214" s="1">
        <v>45890</v>
      </c>
      <c r="G214" s="1">
        <v>45890</v>
      </c>
      <c r="H214" s="1">
        <v>45900</v>
      </c>
      <c r="K214" t="s">
        <v>26</v>
      </c>
      <c r="L214" t="s">
        <v>38</v>
      </c>
      <c r="M214" t="s">
        <v>28</v>
      </c>
      <c r="N214" t="s">
        <v>29</v>
      </c>
      <c r="O214" s="2">
        <v>34.26</v>
      </c>
      <c r="P214" t="s">
        <v>289</v>
      </c>
      <c r="Q214" s="4">
        <v>0.125</v>
      </c>
      <c r="S214" s="2">
        <v>4.28</v>
      </c>
      <c r="T214" s="2">
        <v>0</v>
      </c>
      <c r="U214" s="2">
        <v>4.28</v>
      </c>
    </row>
    <row r="215" spans="1:21" x14ac:dyDescent="0.25">
      <c r="A215" t="s">
        <v>21</v>
      </c>
      <c r="B215" t="s">
        <v>67</v>
      </c>
      <c r="C215" t="s">
        <v>68</v>
      </c>
      <c r="D215" t="s">
        <v>467</v>
      </c>
      <c r="E215" t="s">
        <v>468</v>
      </c>
      <c r="F215" s="1">
        <v>45894</v>
      </c>
      <c r="G215" s="1">
        <v>45890</v>
      </c>
      <c r="H215" s="1">
        <v>45900</v>
      </c>
      <c r="K215" t="s">
        <v>26</v>
      </c>
      <c r="L215" t="s">
        <v>33</v>
      </c>
      <c r="M215" t="s">
        <v>28</v>
      </c>
      <c r="N215" t="s">
        <v>29</v>
      </c>
      <c r="O215" s="2">
        <v>9.3699999999999992</v>
      </c>
      <c r="P215" t="s">
        <v>289</v>
      </c>
      <c r="Q215" s="4">
        <v>0.12</v>
      </c>
      <c r="S215" s="2">
        <v>1.1200000000000001</v>
      </c>
      <c r="T215" s="2">
        <v>0</v>
      </c>
      <c r="U215" s="2">
        <v>1.1200000000000001</v>
      </c>
    </row>
    <row r="216" spans="1:21" x14ac:dyDescent="0.25">
      <c r="A216" t="s">
        <v>21</v>
      </c>
      <c r="B216" t="s">
        <v>67</v>
      </c>
      <c r="C216" t="s">
        <v>68</v>
      </c>
      <c r="D216" t="s">
        <v>469</v>
      </c>
      <c r="E216" t="s">
        <v>470</v>
      </c>
      <c r="F216" s="1">
        <v>45894</v>
      </c>
      <c r="G216" s="1">
        <v>45890</v>
      </c>
      <c r="H216" s="1">
        <v>45900</v>
      </c>
      <c r="K216" t="s">
        <v>26</v>
      </c>
      <c r="L216" t="s">
        <v>33</v>
      </c>
      <c r="M216" t="s">
        <v>28</v>
      </c>
      <c r="N216" t="s">
        <v>29</v>
      </c>
      <c r="O216" s="2">
        <v>9.3699999999999992</v>
      </c>
      <c r="P216" t="s">
        <v>289</v>
      </c>
      <c r="Q216" s="4">
        <v>0.12</v>
      </c>
      <c r="S216" s="2">
        <v>1.1200000000000001</v>
      </c>
      <c r="T216" s="2">
        <v>0</v>
      </c>
      <c r="U216" s="2">
        <v>1.1200000000000001</v>
      </c>
    </row>
    <row r="217" spans="1:21" x14ac:dyDescent="0.25">
      <c r="A217" t="s">
        <v>21</v>
      </c>
      <c r="B217" t="s">
        <v>22</v>
      </c>
      <c r="C217" t="s">
        <v>23</v>
      </c>
      <c r="D217" t="s">
        <v>471</v>
      </c>
      <c r="E217" t="s">
        <v>472</v>
      </c>
      <c r="F217" s="1">
        <v>45892</v>
      </c>
      <c r="G217" s="1">
        <v>45891</v>
      </c>
      <c r="H217" s="1">
        <v>45900</v>
      </c>
      <c r="K217" t="s">
        <v>26</v>
      </c>
      <c r="L217" t="s">
        <v>195</v>
      </c>
      <c r="M217" t="s">
        <v>28</v>
      </c>
      <c r="N217" t="s">
        <v>29</v>
      </c>
      <c r="O217" s="2">
        <v>26.31</v>
      </c>
      <c r="P217" t="s">
        <v>289</v>
      </c>
      <c r="Q217" s="4">
        <v>9.5000000000000001E-2</v>
      </c>
      <c r="S217" s="2">
        <v>2.5</v>
      </c>
      <c r="T217" s="2">
        <v>0</v>
      </c>
      <c r="U217" s="2">
        <v>2.5</v>
      </c>
    </row>
    <row r="218" spans="1:21" x14ac:dyDescent="0.25">
      <c r="A218" t="s">
        <v>21</v>
      </c>
      <c r="B218" t="s">
        <v>22</v>
      </c>
      <c r="C218" t="s">
        <v>23</v>
      </c>
      <c r="D218" t="s">
        <v>473</v>
      </c>
      <c r="E218" t="s">
        <v>472</v>
      </c>
      <c r="F218" s="1">
        <v>45892</v>
      </c>
      <c r="G218" s="1">
        <v>45891</v>
      </c>
      <c r="H218" s="1">
        <v>45900</v>
      </c>
      <c r="K218" t="s">
        <v>26</v>
      </c>
      <c r="L218" t="s">
        <v>33</v>
      </c>
      <c r="M218" t="s">
        <v>28</v>
      </c>
      <c r="N218" t="s">
        <v>29</v>
      </c>
      <c r="O218" s="2">
        <v>38.39</v>
      </c>
      <c r="P218" t="s">
        <v>289</v>
      </c>
      <c r="Q218" s="4">
        <v>0.12</v>
      </c>
      <c r="S218" s="2">
        <v>4.6100000000000003</v>
      </c>
      <c r="T218" s="2">
        <v>0</v>
      </c>
      <c r="U218" s="2">
        <v>4.6100000000000003</v>
      </c>
    </row>
    <row r="219" spans="1:21" x14ac:dyDescent="0.25">
      <c r="A219" t="s">
        <v>21</v>
      </c>
      <c r="B219" t="s">
        <v>83</v>
      </c>
      <c r="C219" t="s">
        <v>84</v>
      </c>
      <c r="D219" t="s">
        <v>474</v>
      </c>
      <c r="E219" t="s">
        <v>475</v>
      </c>
      <c r="F219" s="1">
        <v>45894</v>
      </c>
      <c r="G219" s="1">
        <v>45893</v>
      </c>
      <c r="H219" s="1">
        <v>45900</v>
      </c>
      <c r="K219" t="s">
        <v>26</v>
      </c>
      <c r="L219" t="s">
        <v>38</v>
      </c>
      <c r="M219" t="s">
        <v>28</v>
      </c>
      <c r="N219" t="s">
        <v>29</v>
      </c>
      <c r="O219" s="2">
        <v>96.48</v>
      </c>
      <c r="P219" t="s">
        <v>289</v>
      </c>
      <c r="Q219" s="4">
        <v>0.125</v>
      </c>
      <c r="S219" s="2">
        <v>12.06</v>
      </c>
      <c r="T219" s="2">
        <v>0</v>
      </c>
      <c r="U219" s="2">
        <v>12.06</v>
      </c>
    </row>
    <row r="220" spans="1:21" x14ac:dyDescent="0.25">
      <c r="A220" t="s">
        <v>21</v>
      </c>
      <c r="B220" t="s">
        <v>51</v>
      </c>
      <c r="C220" t="s">
        <v>52</v>
      </c>
      <c r="D220" t="s">
        <v>476</v>
      </c>
      <c r="E220" t="s">
        <v>477</v>
      </c>
      <c r="F220" s="1">
        <v>45892</v>
      </c>
      <c r="G220" s="1">
        <v>45891</v>
      </c>
      <c r="H220" s="1">
        <v>45900</v>
      </c>
      <c r="K220" t="s">
        <v>26</v>
      </c>
      <c r="L220" t="s">
        <v>33</v>
      </c>
      <c r="M220" t="s">
        <v>28</v>
      </c>
      <c r="N220" t="s">
        <v>29</v>
      </c>
      <c r="O220" s="2">
        <v>30.63</v>
      </c>
      <c r="P220" t="s">
        <v>289</v>
      </c>
      <c r="Q220" s="4">
        <v>0.12</v>
      </c>
      <c r="S220" s="2">
        <v>3.68</v>
      </c>
      <c r="T220" s="2">
        <v>0</v>
      </c>
      <c r="U220" s="2">
        <v>3.68</v>
      </c>
    </row>
    <row r="221" spans="1:21" x14ac:dyDescent="0.25">
      <c r="A221" t="s">
        <v>21</v>
      </c>
      <c r="B221" t="s">
        <v>63</v>
      </c>
      <c r="C221" t="s">
        <v>64</v>
      </c>
      <c r="D221" t="s">
        <v>478</v>
      </c>
      <c r="E221" t="s">
        <v>479</v>
      </c>
      <c r="F221" s="1">
        <v>45894</v>
      </c>
      <c r="G221" s="1">
        <v>45893</v>
      </c>
      <c r="H221" s="1">
        <v>45900</v>
      </c>
      <c r="K221" t="s">
        <v>26</v>
      </c>
      <c r="L221" t="s">
        <v>33</v>
      </c>
      <c r="M221" t="s">
        <v>28</v>
      </c>
      <c r="N221" t="s">
        <v>29</v>
      </c>
      <c r="O221" s="2">
        <v>28.63</v>
      </c>
      <c r="P221" t="s">
        <v>289</v>
      </c>
      <c r="Q221" s="4">
        <v>0.12</v>
      </c>
      <c r="S221" s="2">
        <v>3.44</v>
      </c>
      <c r="T221" s="2">
        <v>0</v>
      </c>
      <c r="U221" s="2">
        <v>3.44</v>
      </c>
    </row>
    <row r="222" spans="1:21" x14ac:dyDescent="0.25">
      <c r="A222" t="s">
        <v>21</v>
      </c>
      <c r="B222" t="s">
        <v>22</v>
      </c>
      <c r="C222" t="s">
        <v>23</v>
      </c>
      <c r="D222" t="s">
        <v>480</v>
      </c>
      <c r="E222" t="s">
        <v>481</v>
      </c>
      <c r="F222" s="1">
        <v>45894</v>
      </c>
      <c r="G222" s="1">
        <v>45892</v>
      </c>
      <c r="H222" s="1">
        <v>45900</v>
      </c>
      <c r="K222" t="s">
        <v>26</v>
      </c>
      <c r="L222" t="s">
        <v>33</v>
      </c>
      <c r="M222" t="s">
        <v>28</v>
      </c>
      <c r="N222" t="s">
        <v>29</v>
      </c>
      <c r="O222" s="2">
        <v>40.39</v>
      </c>
      <c r="P222" t="s">
        <v>289</v>
      </c>
      <c r="Q222" s="4">
        <v>0.12</v>
      </c>
      <c r="S222" s="2">
        <v>4.8499999999999996</v>
      </c>
      <c r="T222" s="2">
        <v>0</v>
      </c>
      <c r="U222" s="2">
        <v>4.8499999999999996</v>
      </c>
    </row>
    <row r="223" spans="1:21" x14ac:dyDescent="0.25">
      <c r="A223" t="s">
        <v>21</v>
      </c>
      <c r="B223" t="s">
        <v>22</v>
      </c>
      <c r="C223" t="s">
        <v>23</v>
      </c>
      <c r="D223" t="s">
        <v>482</v>
      </c>
      <c r="E223" t="s">
        <v>481</v>
      </c>
      <c r="F223" s="1">
        <v>45894</v>
      </c>
      <c r="G223" s="1">
        <v>45892</v>
      </c>
      <c r="H223" s="1">
        <v>45900</v>
      </c>
      <c r="K223" t="s">
        <v>26</v>
      </c>
      <c r="L223" t="s">
        <v>195</v>
      </c>
      <c r="M223" t="s">
        <v>28</v>
      </c>
      <c r="N223" t="s">
        <v>29</v>
      </c>
      <c r="O223" s="2">
        <v>26.66</v>
      </c>
      <c r="P223" t="s">
        <v>289</v>
      </c>
      <c r="Q223" s="4">
        <v>9.5000000000000001E-2</v>
      </c>
      <c r="S223" s="2">
        <v>2.5299999999999998</v>
      </c>
      <c r="T223" s="2">
        <v>0</v>
      </c>
      <c r="U223" s="2">
        <v>2.5299999999999998</v>
      </c>
    </row>
    <row r="224" spans="1:21" x14ac:dyDescent="0.25">
      <c r="A224" t="s">
        <v>21</v>
      </c>
      <c r="B224" t="s">
        <v>483</v>
      </c>
      <c r="C224" t="s">
        <v>484</v>
      </c>
      <c r="D224" t="s">
        <v>485</v>
      </c>
      <c r="E224" t="s">
        <v>486</v>
      </c>
      <c r="F224" s="1">
        <v>45895</v>
      </c>
      <c r="G224" s="1">
        <v>45895</v>
      </c>
      <c r="H224" s="1">
        <v>45900</v>
      </c>
      <c r="K224" t="s">
        <v>26</v>
      </c>
      <c r="L224" t="s">
        <v>333</v>
      </c>
      <c r="M224" t="s">
        <v>28</v>
      </c>
      <c r="N224" t="s">
        <v>29</v>
      </c>
      <c r="O224" s="2">
        <v>85.29</v>
      </c>
      <c r="P224" t="s">
        <v>289</v>
      </c>
      <c r="Q224" s="4">
        <v>0.06</v>
      </c>
      <c r="S224" s="2">
        <v>5.12</v>
      </c>
      <c r="T224" s="2">
        <v>0</v>
      </c>
      <c r="U224" s="2">
        <v>5.12</v>
      </c>
    </row>
    <row r="225" spans="1:21" x14ac:dyDescent="0.25">
      <c r="A225" t="s">
        <v>21</v>
      </c>
      <c r="B225" t="s">
        <v>63</v>
      </c>
      <c r="C225" t="s">
        <v>64</v>
      </c>
      <c r="D225" t="s">
        <v>487</v>
      </c>
      <c r="E225" t="s">
        <v>488</v>
      </c>
      <c r="F225" s="1">
        <v>45894</v>
      </c>
      <c r="G225" s="1">
        <v>45894</v>
      </c>
      <c r="H225" s="1">
        <v>45900</v>
      </c>
      <c r="K225" t="s">
        <v>26</v>
      </c>
      <c r="L225" t="s">
        <v>38</v>
      </c>
      <c r="M225" t="s">
        <v>28</v>
      </c>
      <c r="N225" t="s">
        <v>29</v>
      </c>
      <c r="O225" s="2">
        <v>33.85</v>
      </c>
      <c r="P225" t="s">
        <v>289</v>
      </c>
      <c r="Q225" s="4">
        <v>0.125</v>
      </c>
      <c r="S225" s="2">
        <v>4.2300000000000004</v>
      </c>
      <c r="T225" s="2">
        <v>0</v>
      </c>
      <c r="U225" s="2">
        <v>4.2300000000000004</v>
      </c>
    </row>
    <row r="226" spans="1:21" x14ac:dyDescent="0.25">
      <c r="A226" t="s">
        <v>21</v>
      </c>
      <c r="B226" t="s">
        <v>63</v>
      </c>
      <c r="C226" t="s">
        <v>64</v>
      </c>
      <c r="D226" t="s">
        <v>489</v>
      </c>
      <c r="E226" t="s">
        <v>488</v>
      </c>
      <c r="F226" s="1">
        <v>45894</v>
      </c>
      <c r="G226" s="1">
        <v>45893</v>
      </c>
      <c r="H226" s="1">
        <v>45900</v>
      </c>
      <c r="K226" t="s">
        <v>26</v>
      </c>
      <c r="L226" t="s">
        <v>33</v>
      </c>
      <c r="M226" t="s">
        <v>28</v>
      </c>
      <c r="N226" t="s">
        <v>29</v>
      </c>
      <c r="O226" s="2">
        <v>18.16</v>
      </c>
      <c r="P226" t="s">
        <v>289</v>
      </c>
      <c r="Q226" s="4">
        <v>0.12</v>
      </c>
      <c r="S226" s="2">
        <v>2.1800000000000002</v>
      </c>
      <c r="T226" s="2">
        <v>0</v>
      </c>
      <c r="U226" s="2">
        <v>2.1800000000000002</v>
      </c>
    </row>
    <row r="227" spans="1:21" x14ac:dyDescent="0.25">
      <c r="A227" t="s">
        <v>21</v>
      </c>
      <c r="B227" t="s">
        <v>51</v>
      </c>
      <c r="C227" t="s">
        <v>52</v>
      </c>
      <c r="D227" t="s">
        <v>490</v>
      </c>
      <c r="E227" t="s">
        <v>491</v>
      </c>
      <c r="F227" s="1">
        <v>45894</v>
      </c>
      <c r="G227" s="1">
        <v>45894</v>
      </c>
      <c r="H227" s="1">
        <v>45900</v>
      </c>
      <c r="K227" t="s">
        <v>26</v>
      </c>
      <c r="L227" t="s">
        <v>33</v>
      </c>
      <c r="M227" t="s">
        <v>28</v>
      </c>
      <c r="N227" t="s">
        <v>29</v>
      </c>
      <c r="O227" s="2">
        <v>52.34</v>
      </c>
      <c r="P227" t="s">
        <v>289</v>
      </c>
      <c r="Q227" s="4">
        <v>0.12</v>
      </c>
      <c r="S227" s="2">
        <v>6.28</v>
      </c>
      <c r="T227" s="2">
        <v>0</v>
      </c>
      <c r="U227" s="2">
        <v>6.28</v>
      </c>
    </row>
    <row r="228" spans="1:21" x14ac:dyDescent="0.25">
      <c r="A228" t="s">
        <v>21</v>
      </c>
      <c r="B228" t="s">
        <v>51</v>
      </c>
      <c r="C228" t="s">
        <v>52</v>
      </c>
      <c r="D228" t="s">
        <v>492</v>
      </c>
      <c r="E228" t="s">
        <v>493</v>
      </c>
      <c r="F228" s="1">
        <v>45894</v>
      </c>
      <c r="G228" s="1">
        <v>45894</v>
      </c>
      <c r="H228" s="1">
        <v>45900</v>
      </c>
      <c r="K228" t="s">
        <v>26</v>
      </c>
      <c r="L228" t="s">
        <v>33</v>
      </c>
      <c r="M228" t="s">
        <v>28</v>
      </c>
      <c r="N228" t="s">
        <v>29</v>
      </c>
      <c r="O228" s="2">
        <v>37.83</v>
      </c>
      <c r="P228" t="s">
        <v>289</v>
      </c>
      <c r="Q228" s="4">
        <v>0.12</v>
      </c>
      <c r="S228" s="2">
        <v>4.54</v>
      </c>
      <c r="T228" s="2">
        <v>0</v>
      </c>
      <c r="U228" s="2">
        <v>4.54</v>
      </c>
    </row>
    <row r="229" spans="1:21" x14ac:dyDescent="0.25">
      <c r="A229" t="s">
        <v>21</v>
      </c>
      <c r="B229" t="s">
        <v>51</v>
      </c>
      <c r="C229" t="s">
        <v>52</v>
      </c>
      <c r="D229" t="s">
        <v>494</v>
      </c>
      <c r="E229" t="s">
        <v>493</v>
      </c>
      <c r="F229" s="1">
        <v>45894</v>
      </c>
      <c r="G229" s="1">
        <v>45894</v>
      </c>
      <c r="H229" s="1">
        <v>45900</v>
      </c>
      <c r="K229" t="s">
        <v>26</v>
      </c>
      <c r="L229" t="s">
        <v>27</v>
      </c>
      <c r="M229" t="s">
        <v>28</v>
      </c>
      <c r="N229" t="s">
        <v>29</v>
      </c>
      <c r="O229" s="2">
        <v>45.91</v>
      </c>
      <c r="P229" t="s">
        <v>289</v>
      </c>
      <c r="Q229" s="4">
        <v>9.5000000000000001E-2</v>
      </c>
      <c r="S229" s="2">
        <v>4.3600000000000003</v>
      </c>
      <c r="T229" s="2">
        <v>0</v>
      </c>
      <c r="U229" s="2">
        <v>4.3600000000000003</v>
      </c>
    </row>
    <row r="230" spans="1:21" x14ac:dyDescent="0.25">
      <c r="A230" t="s">
        <v>21</v>
      </c>
      <c r="B230" t="s">
        <v>399</v>
      </c>
      <c r="C230" t="s">
        <v>400</v>
      </c>
      <c r="D230" t="s">
        <v>495</v>
      </c>
      <c r="E230" t="s">
        <v>496</v>
      </c>
      <c r="F230" s="1">
        <v>45895</v>
      </c>
      <c r="G230" s="1">
        <v>45895</v>
      </c>
      <c r="H230" s="1">
        <v>45900</v>
      </c>
      <c r="K230" t="s">
        <v>26</v>
      </c>
      <c r="L230" t="s">
        <v>33</v>
      </c>
      <c r="M230" t="s">
        <v>28</v>
      </c>
      <c r="N230" t="s">
        <v>29</v>
      </c>
      <c r="O230" s="2">
        <v>21.95</v>
      </c>
      <c r="P230" t="s">
        <v>289</v>
      </c>
      <c r="Q230" s="4">
        <v>0.12</v>
      </c>
      <c r="S230" s="2">
        <v>2.63</v>
      </c>
      <c r="T230" s="2">
        <v>0</v>
      </c>
      <c r="U230" s="2">
        <v>2.63</v>
      </c>
    </row>
    <row r="231" spans="1:21" x14ac:dyDescent="0.25">
      <c r="A231" t="s">
        <v>21</v>
      </c>
      <c r="B231" t="s">
        <v>34</v>
      </c>
      <c r="C231" t="s">
        <v>35</v>
      </c>
      <c r="D231" t="s">
        <v>497</v>
      </c>
      <c r="E231" t="s">
        <v>498</v>
      </c>
      <c r="F231" s="1">
        <v>45896</v>
      </c>
      <c r="G231" s="1">
        <v>45896</v>
      </c>
      <c r="H231" s="1">
        <v>45900</v>
      </c>
      <c r="K231" t="s">
        <v>26</v>
      </c>
      <c r="L231" t="s">
        <v>33</v>
      </c>
      <c r="M231" t="s">
        <v>28</v>
      </c>
      <c r="N231" t="s">
        <v>29</v>
      </c>
      <c r="O231" s="2">
        <v>35.93</v>
      </c>
      <c r="P231" t="s">
        <v>289</v>
      </c>
      <c r="Q231" s="4">
        <v>0.12</v>
      </c>
      <c r="S231" s="2">
        <v>4.3099999999999996</v>
      </c>
      <c r="T231" s="2">
        <v>0</v>
      </c>
      <c r="U231" s="2">
        <v>4.3099999999999996</v>
      </c>
    </row>
    <row r="232" spans="1:21" x14ac:dyDescent="0.25">
      <c r="A232" t="s">
        <v>21</v>
      </c>
      <c r="B232" t="s">
        <v>34</v>
      </c>
      <c r="C232" t="s">
        <v>35</v>
      </c>
      <c r="D232" t="s">
        <v>499</v>
      </c>
      <c r="E232" t="s">
        <v>500</v>
      </c>
      <c r="F232" s="1">
        <v>45896</v>
      </c>
      <c r="G232" s="1">
        <v>45896</v>
      </c>
      <c r="H232" s="1">
        <v>45900</v>
      </c>
      <c r="K232" t="s">
        <v>26</v>
      </c>
      <c r="L232" t="s">
        <v>33</v>
      </c>
      <c r="M232" t="s">
        <v>28</v>
      </c>
      <c r="N232" t="s">
        <v>29</v>
      </c>
      <c r="O232" s="2">
        <v>72.27</v>
      </c>
      <c r="P232" t="s">
        <v>289</v>
      </c>
      <c r="Q232" s="4">
        <v>0.12</v>
      </c>
      <c r="S232" s="2">
        <v>8.67</v>
      </c>
      <c r="T232" s="2">
        <v>0</v>
      </c>
      <c r="U232" s="2">
        <v>8.67</v>
      </c>
    </row>
    <row r="233" spans="1:21" x14ac:dyDescent="0.25">
      <c r="A233" t="s">
        <v>21</v>
      </c>
      <c r="B233" t="s">
        <v>51</v>
      </c>
      <c r="C233" t="s">
        <v>52</v>
      </c>
      <c r="D233" t="s">
        <v>501</v>
      </c>
      <c r="E233" t="s">
        <v>502</v>
      </c>
      <c r="F233" s="1">
        <v>45889</v>
      </c>
      <c r="G233" s="1">
        <v>45870</v>
      </c>
      <c r="H233" s="1">
        <v>45900</v>
      </c>
      <c r="K233" t="s">
        <v>26</v>
      </c>
      <c r="L233" t="s">
        <v>33</v>
      </c>
      <c r="M233" t="s">
        <v>28</v>
      </c>
      <c r="N233" t="s">
        <v>29</v>
      </c>
      <c r="O233" s="2">
        <v>38.39</v>
      </c>
      <c r="P233" t="s">
        <v>289</v>
      </c>
      <c r="Q233" s="4">
        <v>0.12</v>
      </c>
      <c r="S233" s="2">
        <v>4.6100000000000003</v>
      </c>
      <c r="T233" s="2">
        <v>0</v>
      </c>
      <c r="U233" s="2">
        <v>4.6100000000000003</v>
      </c>
    </row>
    <row r="234" spans="1:21" x14ac:dyDescent="0.25">
      <c r="A234" t="s">
        <v>21</v>
      </c>
      <c r="B234" t="s">
        <v>426</v>
      </c>
      <c r="C234" t="s">
        <v>427</v>
      </c>
      <c r="D234" t="s">
        <v>503</v>
      </c>
      <c r="E234" t="s">
        <v>504</v>
      </c>
      <c r="F234" s="1">
        <v>45887</v>
      </c>
      <c r="G234" s="1">
        <v>45887</v>
      </c>
      <c r="H234" s="1">
        <v>45900</v>
      </c>
      <c r="K234" t="s">
        <v>26</v>
      </c>
      <c r="L234" t="s">
        <v>33</v>
      </c>
      <c r="M234" t="s">
        <v>28</v>
      </c>
      <c r="N234" t="s">
        <v>29</v>
      </c>
      <c r="O234" s="2">
        <v>37.83</v>
      </c>
      <c r="P234" t="s">
        <v>289</v>
      </c>
      <c r="Q234" s="4">
        <v>0.12</v>
      </c>
      <c r="S234" s="2">
        <v>4.54</v>
      </c>
      <c r="T234" s="2">
        <v>0</v>
      </c>
      <c r="U234" s="2">
        <v>4.54</v>
      </c>
    </row>
    <row r="235" spans="1:21" x14ac:dyDescent="0.25">
      <c r="A235" t="s">
        <v>21</v>
      </c>
      <c r="B235" t="s">
        <v>426</v>
      </c>
      <c r="C235" t="s">
        <v>427</v>
      </c>
      <c r="D235" t="s">
        <v>505</v>
      </c>
      <c r="E235" t="s">
        <v>504</v>
      </c>
      <c r="F235" s="1">
        <v>45887</v>
      </c>
      <c r="G235" s="1">
        <v>45885</v>
      </c>
      <c r="H235" s="1">
        <v>45900</v>
      </c>
      <c r="K235" t="s">
        <v>26</v>
      </c>
      <c r="L235" t="s">
        <v>38</v>
      </c>
      <c r="M235" t="s">
        <v>28</v>
      </c>
      <c r="N235" t="s">
        <v>29</v>
      </c>
      <c r="O235" s="2">
        <v>86.68</v>
      </c>
      <c r="P235" t="s">
        <v>289</v>
      </c>
      <c r="Q235" s="4">
        <v>0.125</v>
      </c>
      <c r="S235" s="2">
        <v>10.84</v>
      </c>
      <c r="T235" s="2">
        <v>0</v>
      </c>
      <c r="U235" s="2">
        <v>10.84</v>
      </c>
    </row>
    <row r="236" spans="1:21" x14ac:dyDescent="0.25">
      <c r="A236" t="s">
        <v>21</v>
      </c>
      <c r="B236" t="s">
        <v>63</v>
      </c>
      <c r="C236" t="s">
        <v>64</v>
      </c>
      <c r="D236" t="s">
        <v>506</v>
      </c>
      <c r="E236" t="s">
        <v>507</v>
      </c>
      <c r="F236" s="1">
        <v>45894</v>
      </c>
      <c r="G236" s="1">
        <v>45892</v>
      </c>
      <c r="H236" s="1">
        <v>45900</v>
      </c>
      <c r="K236" t="s">
        <v>26</v>
      </c>
      <c r="L236" t="s">
        <v>38</v>
      </c>
      <c r="M236" t="s">
        <v>28</v>
      </c>
      <c r="N236" t="s">
        <v>29</v>
      </c>
      <c r="O236" s="2">
        <v>165.91</v>
      </c>
      <c r="P236" t="s">
        <v>289</v>
      </c>
      <c r="Q236" s="4">
        <v>0.125</v>
      </c>
      <c r="S236" s="2">
        <v>20.74</v>
      </c>
      <c r="T236" s="2">
        <v>0</v>
      </c>
      <c r="U236" s="2">
        <v>20.74</v>
      </c>
    </row>
    <row r="237" spans="1:21" x14ac:dyDescent="0.25">
      <c r="A237" t="s">
        <v>21</v>
      </c>
      <c r="B237" t="s">
        <v>63</v>
      </c>
      <c r="C237" t="s">
        <v>64</v>
      </c>
      <c r="D237" t="s">
        <v>508</v>
      </c>
      <c r="E237" t="s">
        <v>507</v>
      </c>
      <c r="F237" s="1">
        <v>45890</v>
      </c>
      <c r="G237" s="1">
        <v>45890</v>
      </c>
      <c r="H237" s="1">
        <v>45900</v>
      </c>
      <c r="K237" t="s">
        <v>26</v>
      </c>
      <c r="L237" t="s">
        <v>33</v>
      </c>
      <c r="M237" t="s">
        <v>28</v>
      </c>
      <c r="N237" t="s">
        <v>29</v>
      </c>
      <c r="O237" s="2">
        <v>51.54</v>
      </c>
      <c r="P237" t="s">
        <v>289</v>
      </c>
      <c r="Q237" s="4">
        <v>0.12</v>
      </c>
      <c r="S237" s="2">
        <v>6.18</v>
      </c>
      <c r="T237" s="2">
        <v>0</v>
      </c>
      <c r="U237" s="2">
        <v>6.18</v>
      </c>
    </row>
    <row r="238" spans="1:21" x14ac:dyDescent="0.25">
      <c r="A238" t="s">
        <v>21</v>
      </c>
      <c r="B238" t="s">
        <v>22</v>
      </c>
      <c r="C238" t="s">
        <v>23</v>
      </c>
      <c r="D238" t="s">
        <v>509</v>
      </c>
      <c r="E238" t="s">
        <v>510</v>
      </c>
      <c r="F238" s="1">
        <v>45887</v>
      </c>
      <c r="G238" s="1">
        <v>45885</v>
      </c>
      <c r="H238" s="1">
        <v>45900</v>
      </c>
      <c r="K238" t="s">
        <v>26</v>
      </c>
      <c r="L238" t="s">
        <v>27</v>
      </c>
      <c r="M238" t="s">
        <v>28</v>
      </c>
      <c r="N238" t="s">
        <v>29</v>
      </c>
      <c r="O238" s="2">
        <v>31.69</v>
      </c>
      <c r="P238" t="s">
        <v>289</v>
      </c>
      <c r="Q238" s="4">
        <v>9.5000000000000001E-2</v>
      </c>
      <c r="S238" s="2">
        <v>3.01</v>
      </c>
      <c r="T238" s="2">
        <v>0</v>
      </c>
      <c r="U238" s="2">
        <v>3.01</v>
      </c>
    </row>
    <row r="239" spans="1:21" x14ac:dyDescent="0.25">
      <c r="A239" t="s">
        <v>21</v>
      </c>
      <c r="B239" t="s">
        <v>22</v>
      </c>
      <c r="C239" t="s">
        <v>23</v>
      </c>
      <c r="D239" t="s">
        <v>511</v>
      </c>
      <c r="E239" t="s">
        <v>510</v>
      </c>
      <c r="F239" s="1">
        <v>45887</v>
      </c>
      <c r="G239" s="1">
        <v>45885</v>
      </c>
      <c r="H239" s="1">
        <v>45900</v>
      </c>
      <c r="K239" t="s">
        <v>26</v>
      </c>
      <c r="L239" t="s">
        <v>33</v>
      </c>
      <c r="M239" t="s">
        <v>28</v>
      </c>
      <c r="N239" t="s">
        <v>29</v>
      </c>
      <c r="O239" s="2">
        <v>56.16</v>
      </c>
      <c r="P239" t="s">
        <v>289</v>
      </c>
      <c r="Q239" s="4">
        <v>0.12</v>
      </c>
      <c r="S239" s="2">
        <v>6.74</v>
      </c>
      <c r="T239" s="2">
        <v>0</v>
      </c>
      <c r="U239" s="2">
        <v>6.74</v>
      </c>
    </row>
    <row r="240" spans="1:21" x14ac:dyDescent="0.25">
      <c r="A240" t="s">
        <v>21</v>
      </c>
      <c r="B240" t="s">
        <v>67</v>
      </c>
      <c r="C240" t="s">
        <v>68</v>
      </c>
      <c r="D240" t="s">
        <v>512</v>
      </c>
      <c r="E240" t="s">
        <v>513</v>
      </c>
      <c r="F240" s="1">
        <v>45890</v>
      </c>
      <c r="G240" s="1">
        <v>45890</v>
      </c>
      <c r="H240" s="1">
        <v>45900</v>
      </c>
      <c r="K240" t="s">
        <v>26</v>
      </c>
      <c r="L240" t="s">
        <v>33</v>
      </c>
      <c r="M240" t="s">
        <v>28</v>
      </c>
      <c r="N240" t="s">
        <v>29</v>
      </c>
      <c r="O240" s="2">
        <v>15.15</v>
      </c>
      <c r="P240" t="s">
        <v>289</v>
      </c>
      <c r="Q240" s="4">
        <v>0.12</v>
      </c>
      <c r="S240" s="2">
        <v>1.82</v>
      </c>
      <c r="T240" s="2">
        <v>0</v>
      </c>
      <c r="U240" s="2">
        <v>1.82</v>
      </c>
    </row>
    <row r="241" spans="1:21" x14ac:dyDescent="0.25">
      <c r="A241" t="s">
        <v>21</v>
      </c>
      <c r="B241" t="s">
        <v>22</v>
      </c>
      <c r="C241" t="s">
        <v>23</v>
      </c>
      <c r="D241" t="s">
        <v>514</v>
      </c>
      <c r="E241" t="s">
        <v>515</v>
      </c>
      <c r="F241" s="1">
        <v>45888</v>
      </c>
      <c r="G241" s="1">
        <v>45888</v>
      </c>
      <c r="H241" s="1">
        <v>45900</v>
      </c>
      <c r="K241" t="s">
        <v>26</v>
      </c>
      <c r="L241" t="s">
        <v>33</v>
      </c>
      <c r="M241" t="s">
        <v>28</v>
      </c>
      <c r="N241" t="s">
        <v>29</v>
      </c>
      <c r="O241" s="2">
        <v>40.39</v>
      </c>
      <c r="P241" t="s">
        <v>289</v>
      </c>
      <c r="Q241" s="4">
        <v>0.12</v>
      </c>
      <c r="S241" s="2">
        <v>4.8499999999999996</v>
      </c>
      <c r="T241" s="2">
        <v>0</v>
      </c>
      <c r="U241" s="2">
        <v>4.8499999999999996</v>
      </c>
    </row>
    <row r="242" spans="1:21" x14ac:dyDescent="0.25">
      <c r="A242" t="s">
        <v>21</v>
      </c>
      <c r="B242" t="s">
        <v>22</v>
      </c>
      <c r="C242" t="s">
        <v>23</v>
      </c>
      <c r="D242" t="s">
        <v>516</v>
      </c>
      <c r="E242" t="s">
        <v>517</v>
      </c>
      <c r="F242" s="1">
        <v>45889</v>
      </c>
      <c r="G242" s="1">
        <v>45889</v>
      </c>
      <c r="H242" s="1">
        <v>45900</v>
      </c>
      <c r="K242" t="s">
        <v>26</v>
      </c>
      <c r="L242" t="s">
        <v>38</v>
      </c>
      <c r="M242" t="s">
        <v>28</v>
      </c>
      <c r="N242" t="s">
        <v>29</v>
      </c>
      <c r="O242" s="2">
        <v>42.63</v>
      </c>
      <c r="P242" t="s">
        <v>289</v>
      </c>
      <c r="Q242" s="4">
        <v>0.125</v>
      </c>
      <c r="S242" s="2">
        <v>5.33</v>
      </c>
      <c r="T242" s="2">
        <v>0</v>
      </c>
      <c r="U242" s="2">
        <v>5.33</v>
      </c>
    </row>
    <row r="243" spans="1:21" x14ac:dyDescent="0.25">
      <c r="A243" t="s">
        <v>21</v>
      </c>
      <c r="B243" t="s">
        <v>22</v>
      </c>
      <c r="C243" t="s">
        <v>23</v>
      </c>
      <c r="D243" t="s">
        <v>518</v>
      </c>
      <c r="E243" t="s">
        <v>517</v>
      </c>
      <c r="F243" s="1">
        <v>45888</v>
      </c>
      <c r="G243" s="1">
        <v>45888</v>
      </c>
      <c r="H243" s="1">
        <v>45900</v>
      </c>
      <c r="K243" t="s">
        <v>26</v>
      </c>
      <c r="L243" t="s">
        <v>33</v>
      </c>
      <c r="M243" t="s">
        <v>28</v>
      </c>
      <c r="N243" t="s">
        <v>29</v>
      </c>
      <c r="O243" s="2">
        <v>52.34</v>
      </c>
      <c r="P243" t="s">
        <v>289</v>
      </c>
      <c r="Q243" s="4">
        <v>0.12</v>
      </c>
      <c r="S243" s="2">
        <v>6.28</v>
      </c>
      <c r="T243" s="2">
        <v>0</v>
      </c>
      <c r="U243" s="2">
        <v>6.28</v>
      </c>
    </row>
    <row r="244" spans="1:21" x14ac:dyDescent="0.25">
      <c r="A244" t="s">
        <v>21</v>
      </c>
      <c r="B244" t="s">
        <v>519</v>
      </c>
      <c r="C244" t="s">
        <v>520</v>
      </c>
      <c r="D244" t="s">
        <v>521</v>
      </c>
      <c r="E244" t="s">
        <v>522</v>
      </c>
      <c r="F244" s="1">
        <v>45889</v>
      </c>
      <c r="G244" s="1">
        <v>45889</v>
      </c>
      <c r="H244" s="1">
        <v>45900</v>
      </c>
      <c r="K244" t="s">
        <v>26</v>
      </c>
      <c r="L244" t="s">
        <v>38</v>
      </c>
      <c r="M244" t="s">
        <v>28</v>
      </c>
      <c r="N244" t="s">
        <v>29</v>
      </c>
      <c r="O244" s="2">
        <v>14.38</v>
      </c>
      <c r="P244" t="s">
        <v>289</v>
      </c>
      <c r="Q244" s="4">
        <v>0.125</v>
      </c>
      <c r="S244" s="2">
        <v>1.8</v>
      </c>
      <c r="T244" s="2">
        <v>0</v>
      </c>
      <c r="U244" s="2">
        <v>1.8</v>
      </c>
    </row>
    <row r="245" spans="1:21" x14ac:dyDescent="0.25">
      <c r="A245" t="s">
        <v>21</v>
      </c>
      <c r="B245" t="s">
        <v>399</v>
      </c>
      <c r="C245" t="s">
        <v>400</v>
      </c>
      <c r="D245" t="s">
        <v>523</v>
      </c>
      <c r="E245" t="s">
        <v>524</v>
      </c>
      <c r="F245" s="1">
        <v>45890</v>
      </c>
      <c r="G245" s="1">
        <v>45890</v>
      </c>
      <c r="H245" s="1">
        <v>45900</v>
      </c>
      <c r="K245" t="s">
        <v>26</v>
      </c>
      <c r="L245" t="s">
        <v>33</v>
      </c>
      <c r="M245" t="s">
        <v>28</v>
      </c>
      <c r="N245" t="s">
        <v>29</v>
      </c>
      <c r="O245" s="2">
        <v>28.91</v>
      </c>
      <c r="P245" t="s">
        <v>289</v>
      </c>
      <c r="Q245" s="4">
        <v>0.12</v>
      </c>
      <c r="S245" s="2">
        <v>3.47</v>
      </c>
      <c r="T245" s="2">
        <v>0</v>
      </c>
      <c r="U245" s="2">
        <v>3.47</v>
      </c>
    </row>
    <row r="246" spans="1:21" x14ac:dyDescent="0.25">
      <c r="A246" t="s">
        <v>21</v>
      </c>
      <c r="B246" t="s">
        <v>22</v>
      </c>
      <c r="C246" t="s">
        <v>23</v>
      </c>
      <c r="D246" t="s">
        <v>525</v>
      </c>
      <c r="E246" t="s">
        <v>526</v>
      </c>
      <c r="F246" s="1">
        <v>45889</v>
      </c>
      <c r="G246" s="1">
        <v>45889</v>
      </c>
      <c r="H246" s="1">
        <v>45900</v>
      </c>
      <c r="K246" t="s">
        <v>26</v>
      </c>
      <c r="L246" t="s">
        <v>38</v>
      </c>
      <c r="M246" t="s">
        <v>28</v>
      </c>
      <c r="N246" t="s">
        <v>29</v>
      </c>
      <c r="O246" s="2">
        <v>130.43</v>
      </c>
      <c r="P246" t="s">
        <v>289</v>
      </c>
      <c r="Q246" s="4">
        <v>0.125</v>
      </c>
      <c r="S246" s="2">
        <v>16.3</v>
      </c>
      <c r="T246" s="2">
        <v>0</v>
      </c>
      <c r="U246" s="2">
        <v>16.3</v>
      </c>
    </row>
    <row r="247" spans="1:21" x14ac:dyDescent="0.25">
      <c r="A247" t="s">
        <v>21</v>
      </c>
      <c r="B247" t="s">
        <v>22</v>
      </c>
      <c r="C247" t="s">
        <v>23</v>
      </c>
      <c r="D247" t="s">
        <v>527</v>
      </c>
      <c r="E247" t="s">
        <v>526</v>
      </c>
      <c r="F247" s="1">
        <v>45889</v>
      </c>
      <c r="G247" s="1">
        <v>45889</v>
      </c>
      <c r="H247" s="1">
        <v>45900</v>
      </c>
      <c r="K247" t="s">
        <v>26</v>
      </c>
      <c r="L247" t="s">
        <v>33</v>
      </c>
      <c r="M247" t="s">
        <v>28</v>
      </c>
      <c r="N247" t="s">
        <v>29</v>
      </c>
      <c r="O247" s="2">
        <v>52.34</v>
      </c>
      <c r="P247" t="s">
        <v>289</v>
      </c>
      <c r="Q247" s="4">
        <v>0.12</v>
      </c>
      <c r="S247" s="2">
        <v>6.28</v>
      </c>
      <c r="T247" s="2">
        <v>0</v>
      </c>
      <c r="U247" s="2">
        <v>6.28</v>
      </c>
    </row>
    <row r="248" spans="1:21" x14ac:dyDescent="0.25">
      <c r="A248" t="s">
        <v>21</v>
      </c>
      <c r="B248" t="s">
        <v>22</v>
      </c>
      <c r="C248" t="s">
        <v>23</v>
      </c>
      <c r="D248" t="s">
        <v>528</v>
      </c>
      <c r="E248" t="s">
        <v>47</v>
      </c>
      <c r="F248" s="1">
        <v>45889</v>
      </c>
      <c r="G248" s="1">
        <v>45889</v>
      </c>
      <c r="H248" s="1">
        <v>45900</v>
      </c>
      <c r="K248" t="s">
        <v>26</v>
      </c>
      <c r="L248" t="s">
        <v>27</v>
      </c>
      <c r="M248" t="s">
        <v>28</v>
      </c>
      <c r="N248" t="s">
        <v>29</v>
      </c>
      <c r="O248" s="2">
        <v>65.290000000000006</v>
      </c>
      <c r="P248" t="s">
        <v>289</v>
      </c>
      <c r="Q248" s="4">
        <v>9.5000000000000001E-2</v>
      </c>
      <c r="S248" s="2">
        <v>6.2</v>
      </c>
      <c r="T248" s="2">
        <v>0</v>
      </c>
      <c r="U248" s="2">
        <v>6.2</v>
      </c>
    </row>
    <row r="249" spans="1:21" x14ac:dyDescent="0.25">
      <c r="A249" t="s">
        <v>21</v>
      </c>
      <c r="B249" t="s">
        <v>83</v>
      </c>
      <c r="C249" t="s">
        <v>84</v>
      </c>
      <c r="D249" t="s">
        <v>529</v>
      </c>
      <c r="E249" t="s">
        <v>530</v>
      </c>
      <c r="F249" s="1">
        <v>45889</v>
      </c>
      <c r="G249" s="1">
        <v>45889</v>
      </c>
      <c r="H249" s="1">
        <v>45900</v>
      </c>
      <c r="K249" t="s">
        <v>26</v>
      </c>
      <c r="L249" t="s">
        <v>33</v>
      </c>
      <c r="M249" t="s">
        <v>28</v>
      </c>
      <c r="N249" t="s">
        <v>29</v>
      </c>
      <c r="O249" s="2">
        <v>53.41</v>
      </c>
      <c r="P249" t="s">
        <v>289</v>
      </c>
      <c r="Q249" s="4">
        <v>0.12</v>
      </c>
      <c r="S249" s="2">
        <v>6.41</v>
      </c>
      <c r="T249" s="2">
        <v>0</v>
      </c>
      <c r="U249" s="2">
        <v>6.41</v>
      </c>
    </row>
    <row r="250" spans="1:21" x14ac:dyDescent="0.25">
      <c r="A250" t="s">
        <v>21</v>
      </c>
      <c r="B250" t="s">
        <v>34</v>
      </c>
      <c r="C250" t="s">
        <v>35</v>
      </c>
      <c r="D250" t="s">
        <v>531</v>
      </c>
      <c r="E250" t="s">
        <v>532</v>
      </c>
      <c r="F250" s="1">
        <v>45894</v>
      </c>
      <c r="G250" s="1">
        <v>45892</v>
      </c>
      <c r="H250" s="1">
        <v>45900</v>
      </c>
      <c r="K250" t="s">
        <v>26</v>
      </c>
      <c r="L250" t="s">
        <v>38</v>
      </c>
      <c r="M250" t="s">
        <v>28</v>
      </c>
      <c r="N250" t="s">
        <v>29</v>
      </c>
      <c r="O250" s="2">
        <v>57.88</v>
      </c>
      <c r="P250" t="s">
        <v>289</v>
      </c>
      <c r="Q250" s="4">
        <v>0.125</v>
      </c>
      <c r="S250" s="2">
        <v>7.24</v>
      </c>
      <c r="T250" s="2">
        <v>0</v>
      </c>
      <c r="U250" s="2">
        <v>7.24</v>
      </c>
    </row>
    <row r="251" spans="1:21" x14ac:dyDescent="0.25">
      <c r="A251" t="s">
        <v>21</v>
      </c>
      <c r="B251" t="s">
        <v>426</v>
      </c>
      <c r="C251" t="s">
        <v>427</v>
      </c>
      <c r="D251" t="s">
        <v>533</v>
      </c>
      <c r="E251" t="s">
        <v>534</v>
      </c>
      <c r="F251" s="1">
        <v>45894</v>
      </c>
      <c r="G251" s="1">
        <v>45892</v>
      </c>
      <c r="H251" s="1">
        <v>45900</v>
      </c>
      <c r="K251" t="s">
        <v>26</v>
      </c>
      <c r="L251" t="s">
        <v>38</v>
      </c>
      <c r="M251" t="s">
        <v>28</v>
      </c>
      <c r="N251" t="s">
        <v>29</v>
      </c>
      <c r="O251" s="2">
        <v>57.08</v>
      </c>
      <c r="P251" t="s">
        <v>289</v>
      </c>
      <c r="Q251" s="4">
        <v>0.125</v>
      </c>
      <c r="S251" s="2">
        <v>7.14</v>
      </c>
      <c r="T251" s="2">
        <v>0</v>
      </c>
      <c r="U251" s="2">
        <v>7.14</v>
      </c>
    </row>
    <row r="252" spans="1:21" x14ac:dyDescent="0.25">
      <c r="A252" t="s">
        <v>21</v>
      </c>
      <c r="B252" t="s">
        <v>51</v>
      </c>
      <c r="C252" t="s">
        <v>52</v>
      </c>
      <c r="D252" t="s">
        <v>535</v>
      </c>
      <c r="E252" t="s">
        <v>536</v>
      </c>
      <c r="F252" s="1">
        <v>45890</v>
      </c>
      <c r="G252" s="1">
        <v>45890</v>
      </c>
      <c r="H252" s="1">
        <v>45900</v>
      </c>
      <c r="K252" t="s">
        <v>26</v>
      </c>
      <c r="L252" t="s">
        <v>33</v>
      </c>
      <c r="M252" t="s">
        <v>28</v>
      </c>
      <c r="N252" t="s">
        <v>29</v>
      </c>
      <c r="O252" s="2">
        <v>52.34</v>
      </c>
      <c r="P252" t="s">
        <v>289</v>
      </c>
      <c r="Q252" s="4">
        <v>0.12</v>
      </c>
      <c r="S252" s="2">
        <v>6.28</v>
      </c>
      <c r="T252" s="2">
        <v>0</v>
      </c>
      <c r="U252" s="2">
        <v>6.28</v>
      </c>
    </row>
    <row r="253" spans="1:21" x14ac:dyDescent="0.25">
      <c r="A253" t="s">
        <v>21</v>
      </c>
      <c r="B253" t="s">
        <v>51</v>
      </c>
      <c r="C253" t="s">
        <v>52</v>
      </c>
      <c r="D253" t="s">
        <v>537</v>
      </c>
      <c r="E253" t="s">
        <v>536</v>
      </c>
      <c r="F253" s="1">
        <v>45894</v>
      </c>
      <c r="G253" s="1">
        <v>45892</v>
      </c>
      <c r="H253" s="1">
        <v>45900</v>
      </c>
      <c r="K253" t="s">
        <v>26</v>
      </c>
      <c r="L253" t="s">
        <v>38</v>
      </c>
      <c r="M253" t="s">
        <v>28</v>
      </c>
      <c r="N253" t="s">
        <v>29</v>
      </c>
      <c r="O253" s="2">
        <v>79.349999999999994</v>
      </c>
      <c r="P253" t="s">
        <v>289</v>
      </c>
      <c r="Q253" s="4">
        <v>0.125</v>
      </c>
      <c r="S253" s="2">
        <v>9.92</v>
      </c>
      <c r="T253" s="2">
        <v>0</v>
      </c>
      <c r="U253" s="2">
        <v>9.92</v>
      </c>
    </row>
    <row r="254" spans="1:21" x14ac:dyDescent="0.25">
      <c r="A254" t="s">
        <v>21</v>
      </c>
      <c r="B254" t="s">
        <v>519</v>
      </c>
      <c r="C254" t="s">
        <v>520</v>
      </c>
      <c r="D254" t="s">
        <v>538</v>
      </c>
      <c r="E254" t="s">
        <v>539</v>
      </c>
      <c r="F254" s="1">
        <v>45890</v>
      </c>
      <c r="G254" s="1">
        <v>45890</v>
      </c>
      <c r="H254" s="1">
        <v>45900</v>
      </c>
      <c r="K254" t="s">
        <v>26</v>
      </c>
      <c r="L254" t="s">
        <v>33</v>
      </c>
      <c r="M254" t="s">
        <v>28</v>
      </c>
      <c r="N254" t="s">
        <v>29</v>
      </c>
      <c r="O254" s="2">
        <v>36.51</v>
      </c>
      <c r="P254" t="s">
        <v>289</v>
      </c>
      <c r="Q254" s="4">
        <v>0.12</v>
      </c>
      <c r="S254" s="2">
        <v>4.38</v>
      </c>
      <c r="T254" s="2">
        <v>0</v>
      </c>
      <c r="U254" s="2">
        <v>4.38</v>
      </c>
    </row>
    <row r="255" spans="1:21" x14ac:dyDescent="0.25">
      <c r="A255" t="s">
        <v>21</v>
      </c>
      <c r="B255" t="s">
        <v>303</v>
      </c>
      <c r="C255" t="s">
        <v>304</v>
      </c>
      <c r="D255" t="s">
        <v>540</v>
      </c>
      <c r="E255" t="s">
        <v>303</v>
      </c>
      <c r="F255" s="1">
        <v>45894</v>
      </c>
      <c r="G255" s="1">
        <v>45892</v>
      </c>
      <c r="H255" s="1">
        <v>45900</v>
      </c>
      <c r="K255" t="s">
        <v>26</v>
      </c>
      <c r="L255" t="s">
        <v>33</v>
      </c>
      <c r="M255" t="s">
        <v>28</v>
      </c>
      <c r="N255" t="s">
        <v>29</v>
      </c>
      <c r="O255" s="2">
        <v>53.41</v>
      </c>
      <c r="P255" t="s">
        <v>289</v>
      </c>
      <c r="Q255" s="4">
        <v>0.12</v>
      </c>
      <c r="S255" s="2">
        <v>6.41</v>
      </c>
      <c r="T255" s="2">
        <v>0</v>
      </c>
      <c r="U255" s="2">
        <v>6.41</v>
      </c>
    </row>
    <row r="256" spans="1:21" x14ac:dyDescent="0.25">
      <c r="A256" t="s">
        <v>21</v>
      </c>
      <c r="B256" t="s">
        <v>22</v>
      </c>
      <c r="C256" t="s">
        <v>23</v>
      </c>
      <c r="D256" t="s">
        <v>541</v>
      </c>
      <c r="E256" t="s">
        <v>542</v>
      </c>
      <c r="F256" s="1">
        <v>45892</v>
      </c>
      <c r="G256" s="1">
        <v>45891</v>
      </c>
      <c r="H256" s="1">
        <v>45900</v>
      </c>
      <c r="K256" t="s">
        <v>26</v>
      </c>
      <c r="L256" t="s">
        <v>33</v>
      </c>
      <c r="M256" t="s">
        <v>28</v>
      </c>
      <c r="N256" t="s">
        <v>29</v>
      </c>
      <c r="O256" s="2">
        <v>52.91</v>
      </c>
      <c r="P256" t="s">
        <v>289</v>
      </c>
      <c r="Q256" s="4">
        <v>0.12</v>
      </c>
      <c r="S256" s="2">
        <v>6.35</v>
      </c>
      <c r="T256" s="2">
        <v>0</v>
      </c>
      <c r="U256" s="2">
        <v>6.35</v>
      </c>
    </row>
    <row r="257" spans="1:21" x14ac:dyDescent="0.25">
      <c r="A257" t="s">
        <v>21</v>
      </c>
      <c r="B257" t="s">
        <v>39</v>
      </c>
      <c r="C257" t="s">
        <v>40</v>
      </c>
      <c r="D257" t="s">
        <v>543</v>
      </c>
      <c r="E257" t="s">
        <v>544</v>
      </c>
      <c r="F257" s="1">
        <v>45894</v>
      </c>
      <c r="G257" s="1">
        <v>45892</v>
      </c>
      <c r="H257" s="1">
        <v>45900</v>
      </c>
      <c r="K257" t="s">
        <v>26</v>
      </c>
      <c r="L257" t="s">
        <v>38</v>
      </c>
      <c r="M257" t="s">
        <v>28</v>
      </c>
      <c r="N257" t="s">
        <v>29</v>
      </c>
      <c r="O257" s="2">
        <v>177.46</v>
      </c>
      <c r="P257" t="s">
        <v>289</v>
      </c>
      <c r="Q257" s="4">
        <v>0.125</v>
      </c>
      <c r="S257" s="2">
        <v>22.18</v>
      </c>
      <c r="T257" s="2">
        <v>0</v>
      </c>
      <c r="U257" s="2">
        <v>22.18</v>
      </c>
    </row>
    <row r="258" spans="1:21" x14ac:dyDescent="0.25">
      <c r="A258" t="s">
        <v>21</v>
      </c>
      <c r="B258" t="s">
        <v>22</v>
      </c>
      <c r="C258" t="s">
        <v>23</v>
      </c>
      <c r="D258" t="s">
        <v>545</v>
      </c>
      <c r="E258" t="s">
        <v>546</v>
      </c>
      <c r="F258" s="1">
        <v>45892</v>
      </c>
      <c r="G258" s="1">
        <v>45891</v>
      </c>
      <c r="H258" s="1">
        <v>45900</v>
      </c>
      <c r="K258" t="s">
        <v>26</v>
      </c>
      <c r="L258" t="s">
        <v>27</v>
      </c>
      <c r="M258" t="s">
        <v>28</v>
      </c>
      <c r="N258" t="s">
        <v>29</v>
      </c>
      <c r="O258" s="2">
        <v>63.51</v>
      </c>
      <c r="P258" t="s">
        <v>289</v>
      </c>
      <c r="Q258" s="4">
        <v>9.5000000000000001E-2</v>
      </c>
      <c r="S258" s="2">
        <v>6.03</v>
      </c>
      <c r="T258" s="2">
        <v>0</v>
      </c>
      <c r="U258" s="2">
        <v>6.03</v>
      </c>
    </row>
    <row r="259" spans="1:21" x14ac:dyDescent="0.25">
      <c r="A259" t="s">
        <v>21</v>
      </c>
      <c r="B259" t="s">
        <v>67</v>
      </c>
      <c r="C259" t="s">
        <v>68</v>
      </c>
      <c r="D259" t="s">
        <v>547</v>
      </c>
      <c r="E259" t="s">
        <v>548</v>
      </c>
      <c r="F259" s="1">
        <v>45892</v>
      </c>
      <c r="G259" s="1">
        <v>45891</v>
      </c>
      <c r="H259" s="1">
        <v>45900</v>
      </c>
      <c r="K259" t="s">
        <v>26</v>
      </c>
      <c r="L259" t="s">
        <v>33</v>
      </c>
      <c r="M259" t="s">
        <v>28</v>
      </c>
      <c r="N259" t="s">
        <v>29</v>
      </c>
      <c r="O259" s="2">
        <v>37.83</v>
      </c>
      <c r="P259" t="s">
        <v>289</v>
      </c>
      <c r="Q259" s="4">
        <v>0.12</v>
      </c>
      <c r="S259" s="2">
        <v>4.54</v>
      </c>
      <c r="T259" s="2">
        <v>0</v>
      </c>
      <c r="U259" s="2">
        <v>4.54</v>
      </c>
    </row>
    <row r="260" spans="1:21" x14ac:dyDescent="0.25">
      <c r="A260" t="s">
        <v>21</v>
      </c>
      <c r="B260" t="s">
        <v>22</v>
      </c>
      <c r="C260" t="s">
        <v>23</v>
      </c>
      <c r="D260" t="s">
        <v>549</v>
      </c>
      <c r="E260" t="s">
        <v>550</v>
      </c>
      <c r="F260" s="1">
        <v>45892</v>
      </c>
      <c r="G260" s="1">
        <v>45891</v>
      </c>
      <c r="H260" s="1">
        <v>45900</v>
      </c>
      <c r="K260" t="s">
        <v>26</v>
      </c>
      <c r="L260" t="s">
        <v>27</v>
      </c>
      <c r="M260" t="s">
        <v>28</v>
      </c>
      <c r="N260" t="s">
        <v>29</v>
      </c>
      <c r="O260" s="2">
        <v>65.290000000000006</v>
      </c>
      <c r="P260" t="s">
        <v>289</v>
      </c>
      <c r="Q260" s="4">
        <v>9.5000000000000001E-2</v>
      </c>
      <c r="S260" s="2">
        <v>6.2</v>
      </c>
      <c r="T260" s="2">
        <v>0</v>
      </c>
      <c r="U260" s="2">
        <v>6.2</v>
      </c>
    </row>
    <row r="261" spans="1:21" x14ac:dyDescent="0.25">
      <c r="A261" t="s">
        <v>21</v>
      </c>
      <c r="B261" t="s">
        <v>551</v>
      </c>
      <c r="C261" t="s">
        <v>552</v>
      </c>
      <c r="D261" t="s">
        <v>553</v>
      </c>
      <c r="E261" t="s">
        <v>554</v>
      </c>
      <c r="F261" s="1">
        <v>45895</v>
      </c>
      <c r="G261" s="1">
        <v>45895</v>
      </c>
      <c r="H261" s="1">
        <v>45900</v>
      </c>
      <c r="K261" t="s">
        <v>26</v>
      </c>
      <c r="L261" t="s">
        <v>555</v>
      </c>
      <c r="M261" t="s">
        <v>28</v>
      </c>
      <c r="N261" t="s">
        <v>29</v>
      </c>
      <c r="O261" s="2">
        <v>11.48</v>
      </c>
      <c r="P261" t="s">
        <v>289</v>
      </c>
      <c r="Q261" s="4">
        <v>0.06</v>
      </c>
      <c r="S261" s="2">
        <v>0.69</v>
      </c>
      <c r="T261" s="2">
        <v>0</v>
      </c>
      <c r="U261" s="2">
        <v>0.69</v>
      </c>
    </row>
    <row r="262" spans="1:21" x14ac:dyDescent="0.25">
      <c r="A262" t="s">
        <v>21</v>
      </c>
      <c r="B262" t="s">
        <v>22</v>
      </c>
      <c r="C262" t="s">
        <v>23</v>
      </c>
      <c r="D262" t="s">
        <v>556</v>
      </c>
      <c r="E262" t="s">
        <v>557</v>
      </c>
      <c r="F262" s="1">
        <v>45892</v>
      </c>
      <c r="G262" s="1">
        <v>45891</v>
      </c>
      <c r="H262" s="1">
        <v>45900</v>
      </c>
      <c r="K262" t="s">
        <v>26</v>
      </c>
      <c r="L262" t="s">
        <v>33</v>
      </c>
      <c r="M262" t="s">
        <v>28</v>
      </c>
      <c r="N262" t="s">
        <v>29</v>
      </c>
      <c r="O262" s="2">
        <v>54.34</v>
      </c>
      <c r="P262" t="s">
        <v>289</v>
      </c>
      <c r="Q262" s="4">
        <v>0.12</v>
      </c>
      <c r="S262" s="2">
        <v>6.52</v>
      </c>
      <c r="T262" s="2">
        <v>0</v>
      </c>
      <c r="U262" s="2">
        <v>6.52</v>
      </c>
    </row>
    <row r="263" spans="1:21" x14ac:dyDescent="0.25">
      <c r="A263" t="s">
        <v>21</v>
      </c>
      <c r="B263" t="s">
        <v>22</v>
      </c>
      <c r="C263" t="s">
        <v>23</v>
      </c>
      <c r="D263" t="s">
        <v>558</v>
      </c>
      <c r="E263" t="s">
        <v>557</v>
      </c>
      <c r="F263" s="1">
        <v>45892</v>
      </c>
      <c r="G263" s="1">
        <v>45891</v>
      </c>
      <c r="H263" s="1">
        <v>45900</v>
      </c>
      <c r="K263" t="s">
        <v>26</v>
      </c>
      <c r="L263" t="s">
        <v>38</v>
      </c>
      <c r="M263" t="s">
        <v>28</v>
      </c>
      <c r="N263" t="s">
        <v>29</v>
      </c>
      <c r="O263" s="2">
        <v>102.64</v>
      </c>
      <c r="P263" t="s">
        <v>289</v>
      </c>
      <c r="Q263" s="4">
        <v>0.125</v>
      </c>
      <c r="S263" s="2">
        <v>12.83</v>
      </c>
      <c r="T263" s="2">
        <v>0</v>
      </c>
      <c r="U263" s="2">
        <v>12.83</v>
      </c>
    </row>
    <row r="264" spans="1:21" x14ac:dyDescent="0.25">
      <c r="A264" t="s">
        <v>21</v>
      </c>
      <c r="B264" t="s">
        <v>63</v>
      </c>
      <c r="C264" t="s">
        <v>64</v>
      </c>
      <c r="D264" t="s">
        <v>559</v>
      </c>
      <c r="E264" t="s">
        <v>560</v>
      </c>
      <c r="F264" s="1">
        <v>45895</v>
      </c>
      <c r="G264" s="1">
        <v>45895</v>
      </c>
      <c r="H264" s="1">
        <v>45900</v>
      </c>
      <c r="K264" t="s">
        <v>26</v>
      </c>
      <c r="L264" t="s">
        <v>38</v>
      </c>
      <c r="M264" t="s">
        <v>28</v>
      </c>
      <c r="N264" t="s">
        <v>29</v>
      </c>
      <c r="O264" s="2">
        <v>27.83</v>
      </c>
      <c r="P264" t="s">
        <v>289</v>
      </c>
      <c r="Q264" s="4">
        <v>0.125</v>
      </c>
      <c r="S264" s="2">
        <v>3.48</v>
      </c>
      <c r="T264" s="2">
        <v>0</v>
      </c>
      <c r="U264" s="2">
        <v>3.48</v>
      </c>
    </row>
    <row r="265" spans="1:21" x14ac:dyDescent="0.25">
      <c r="A265" t="s">
        <v>21</v>
      </c>
      <c r="B265" t="s">
        <v>103</v>
      </c>
      <c r="C265" t="s">
        <v>104</v>
      </c>
      <c r="D265" t="s">
        <v>561</v>
      </c>
      <c r="E265" t="s">
        <v>562</v>
      </c>
      <c r="F265" s="1">
        <v>45895</v>
      </c>
      <c r="G265" s="1">
        <v>45895</v>
      </c>
      <c r="H265" s="1">
        <v>45900</v>
      </c>
      <c r="K265" t="s">
        <v>26</v>
      </c>
      <c r="L265" t="s">
        <v>33</v>
      </c>
      <c r="M265" t="s">
        <v>28</v>
      </c>
      <c r="N265" t="s">
        <v>29</v>
      </c>
      <c r="O265" s="2">
        <v>32.68</v>
      </c>
      <c r="P265" t="s">
        <v>289</v>
      </c>
      <c r="Q265" s="4">
        <v>0.12</v>
      </c>
      <c r="S265" s="2">
        <v>3.92</v>
      </c>
      <c r="T265" s="2">
        <v>0</v>
      </c>
      <c r="U265" s="2">
        <v>3.92</v>
      </c>
    </row>
    <row r="266" spans="1:21" x14ac:dyDescent="0.25">
      <c r="A266" t="s">
        <v>21</v>
      </c>
      <c r="B266" t="s">
        <v>34</v>
      </c>
      <c r="C266" t="s">
        <v>35</v>
      </c>
      <c r="D266" t="s">
        <v>563</v>
      </c>
      <c r="E266" t="s">
        <v>564</v>
      </c>
      <c r="F266" s="1">
        <v>45894</v>
      </c>
      <c r="G266" s="1">
        <v>45893</v>
      </c>
      <c r="H266" s="1">
        <v>45900</v>
      </c>
      <c r="K266" t="s">
        <v>26</v>
      </c>
      <c r="L266" t="s">
        <v>33</v>
      </c>
      <c r="M266" t="s">
        <v>28</v>
      </c>
      <c r="N266" t="s">
        <v>29</v>
      </c>
      <c r="O266" s="2">
        <v>53.41</v>
      </c>
      <c r="P266" t="s">
        <v>289</v>
      </c>
      <c r="Q266" s="4">
        <v>0.12</v>
      </c>
      <c r="S266" s="2">
        <v>6.41</v>
      </c>
      <c r="T266" s="2">
        <v>0</v>
      </c>
      <c r="U266" s="2">
        <v>6.41</v>
      </c>
    </row>
    <row r="267" spans="1:21" x14ac:dyDescent="0.25">
      <c r="A267" t="s">
        <v>21</v>
      </c>
      <c r="B267" t="s">
        <v>83</v>
      </c>
      <c r="C267" t="s">
        <v>84</v>
      </c>
      <c r="D267" t="s">
        <v>565</v>
      </c>
      <c r="E267" t="s">
        <v>566</v>
      </c>
      <c r="F267" s="1">
        <v>45895</v>
      </c>
      <c r="G267" s="1">
        <v>45895</v>
      </c>
      <c r="H267" s="1">
        <v>45900</v>
      </c>
      <c r="K267" t="s">
        <v>26</v>
      </c>
      <c r="L267" t="s">
        <v>38</v>
      </c>
      <c r="M267" t="s">
        <v>28</v>
      </c>
      <c r="N267" t="s">
        <v>29</v>
      </c>
      <c r="O267" s="2">
        <v>14.87</v>
      </c>
      <c r="P267" t="s">
        <v>289</v>
      </c>
      <c r="Q267" s="4">
        <v>0.125</v>
      </c>
      <c r="S267" s="2">
        <v>1.86</v>
      </c>
      <c r="T267" s="2">
        <v>0</v>
      </c>
      <c r="U267" s="2">
        <v>1.86</v>
      </c>
    </row>
    <row r="268" spans="1:21" x14ac:dyDescent="0.25">
      <c r="A268" t="s">
        <v>21</v>
      </c>
      <c r="B268" t="s">
        <v>426</v>
      </c>
      <c r="C268" t="s">
        <v>427</v>
      </c>
      <c r="D268" t="s">
        <v>567</v>
      </c>
      <c r="E268" t="s">
        <v>568</v>
      </c>
      <c r="F268" s="1">
        <v>45895</v>
      </c>
      <c r="G268" s="1">
        <v>45895</v>
      </c>
      <c r="H268" s="1">
        <v>45900</v>
      </c>
      <c r="K268" t="s">
        <v>26</v>
      </c>
      <c r="L268" t="s">
        <v>33</v>
      </c>
      <c r="M268" t="s">
        <v>28</v>
      </c>
      <c r="N268" t="s">
        <v>29</v>
      </c>
      <c r="O268" s="2">
        <v>18.16</v>
      </c>
      <c r="P268" t="s">
        <v>289</v>
      </c>
      <c r="Q268" s="4">
        <v>0.12</v>
      </c>
      <c r="S268" s="2">
        <v>2.1800000000000002</v>
      </c>
      <c r="T268" s="2">
        <v>0</v>
      </c>
      <c r="U268" s="2">
        <v>2.1800000000000002</v>
      </c>
    </row>
    <row r="269" spans="1:21" x14ac:dyDescent="0.25">
      <c r="A269" t="s">
        <v>21</v>
      </c>
      <c r="B269" t="s">
        <v>426</v>
      </c>
      <c r="C269" t="s">
        <v>427</v>
      </c>
      <c r="D269" t="s">
        <v>569</v>
      </c>
      <c r="E269" t="s">
        <v>570</v>
      </c>
      <c r="F269" s="1">
        <v>45897</v>
      </c>
      <c r="G269" s="1">
        <v>45897</v>
      </c>
      <c r="H269" s="1">
        <v>45900</v>
      </c>
      <c r="K269" t="s">
        <v>26</v>
      </c>
      <c r="L269" t="s">
        <v>33</v>
      </c>
      <c r="M269" t="s">
        <v>28</v>
      </c>
      <c r="N269" t="s">
        <v>29</v>
      </c>
      <c r="O269" s="2">
        <v>72.27</v>
      </c>
      <c r="P269" t="s">
        <v>289</v>
      </c>
      <c r="Q269" s="4">
        <v>0.12</v>
      </c>
      <c r="S269" s="2">
        <v>8.67</v>
      </c>
      <c r="T269" s="2">
        <v>0</v>
      </c>
      <c r="U269" s="2">
        <v>8.67</v>
      </c>
    </row>
    <row r="270" spans="1:21" x14ac:dyDescent="0.25">
      <c r="A270" t="s">
        <v>21</v>
      </c>
      <c r="B270" t="s">
        <v>83</v>
      </c>
      <c r="C270" t="s">
        <v>84</v>
      </c>
      <c r="D270" t="s">
        <v>571</v>
      </c>
      <c r="E270" t="s">
        <v>566</v>
      </c>
      <c r="F270" s="1">
        <v>45895</v>
      </c>
      <c r="G270" s="1">
        <v>45895</v>
      </c>
      <c r="H270" s="1">
        <v>45900</v>
      </c>
      <c r="K270" t="s">
        <v>26</v>
      </c>
      <c r="L270" t="s">
        <v>33</v>
      </c>
      <c r="M270" t="s">
        <v>28</v>
      </c>
      <c r="N270" t="s">
        <v>29</v>
      </c>
      <c r="O270" s="2">
        <v>35.93</v>
      </c>
      <c r="P270" t="s">
        <v>289</v>
      </c>
      <c r="Q270" s="4">
        <v>0.12</v>
      </c>
      <c r="S270" s="2">
        <v>4.3099999999999996</v>
      </c>
      <c r="T270" s="2">
        <v>0</v>
      </c>
      <c r="U270" s="2">
        <v>4.3099999999999996</v>
      </c>
    </row>
    <row r="271" spans="1:21" x14ac:dyDescent="0.25">
      <c r="A271" t="s">
        <v>21</v>
      </c>
      <c r="B271" t="s">
        <v>34</v>
      </c>
      <c r="C271" t="s">
        <v>35</v>
      </c>
      <c r="D271" t="s">
        <v>572</v>
      </c>
      <c r="E271" t="s">
        <v>573</v>
      </c>
      <c r="F271" s="1">
        <v>45895</v>
      </c>
      <c r="G271" s="1">
        <v>45895</v>
      </c>
      <c r="H271" s="1">
        <v>45900</v>
      </c>
      <c r="K271" t="s">
        <v>26</v>
      </c>
      <c r="L271" t="s">
        <v>33</v>
      </c>
      <c r="M271" t="s">
        <v>28</v>
      </c>
      <c r="N271" t="s">
        <v>29</v>
      </c>
      <c r="O271" s="2">
        <v>53.41</v>
      </c>
      <c r="P271" t="s">
        <v>289</v>
      </c>
      <c r="Q271" s="4">
        <v>0.12</v>
      </c>
      <c r="S271" s="2">
        <v>6.41</v>
      </c>
      <c r="T271" s="2">
        <v>0</v>
      </c>
      <c r="U271" s="2">
        <v>6.41</v>
      </c>
    </row>
    <row r="272" spans="1:21" x14ac:dyDescent="0.25">
      <c r="A272" t="s">
        <v>21</v>
      </c>
      <c r="B272" t="s">
        <v>574</v>
      </c>
      <c r="C272" t="s">
        <v>575</v>
      </c>
      <c r="D272" t="s">
        <v>576</v>
      </c>
      <c r="E272" t="s">
        <v>577</v>
      </c>
      <c r="F272" s="1">
        <v>45895</v>
      </c>
      <c r="G272" s="1">
        <v>45895</v>
      </c>
      <c r="H272" s="1">
        <v>45900</v>
      </c>
      <c r="K272" t="s">
        <v>26</v>
      </c>
      <c r="L272" t="s">
        <v>33</v>
      </c>
      <c r="M272" t="s">
        <v>28</v>
      </c>
      <c r="N272" t="s">
        <v>29</v>
      </c>
      <c r="O272" s="2">
        <v>18.16</v>
      </c>
      <c r="P272" t="s">
        <v>289</v>
      </c>
      <c r="Q272" s="4">
        <v>0.12</v>
      </c>
      <c r="S272" s="2">
        <v>2.1800000000000002</v>
      </c>
      <c r="T272" s="2">
        <v>0</v>
      </c>
      <c r="U272" s="2">
        <v>2.1800000000000002</v>
      </c>
    </row>
    <row r="273" spans="1:21" x14ac:dyDescent="0.25">
      <c r="A273" t="s">
        <v>21</v>
      </c>
      <c r="B273" t="s">
        <v>51</v>
      </c>
      <c r="C273" t="s">
        <v>52</v>
      </c>
      <c r="D273" t="s">
        <v>578</v>
      </c>
      <c r="E273" t="s">
        <v>579</v>
      </c>
      <c r="F273" s="1">
        <v>45895</v>
      </c>
      <c r="G273" s="1">
        <v>45895</v>
      </c>
      <c r="H273" s="1">
        <v>45900</v>
      </c>
      <c r="K273" t="s">
        <v>26</v>
      </c>
      <c r="L273" t="s">
        <v>33</v>
      </c>
      <c r="M273" t="s">
        <v>28</v>
      </c>
      <c r="N273" t="s">
        <v>29</v>
      </c>
      <c r="O273" s="2">
        <v>38.39</v>
      </c>
      <c r="P273" t="s">
        <v>289</v>
      </c>
      <c r="Q273" s="4">
        <v>0.12</v>
      </c>
      <c r="S273" s="2">
        <v>4.6100000000000003</v>
      </c>
      <c r="T273" s="2">
        <v>0</v>
      </c>
      <c r="U273" s="2">
        <v>4.6100000000000003</v>
      </c>
    </row>
    <row r="274" spans="1:21" x14ac:dyDescent="0.25">
      <c r="A274" t="s">
        <v>21</v>
      </c>
      <c r="B274" t="s">
        <v>103</v>
      </c>
      <c r="C274" t="s">
        <v>104</v>
      </c>
      <c r="D274" t="s">
        <v>580</v>
      </c>
      <c r="E274" t="s">
        <v>581</v>
      </c>
      <c r="F274" s="1">
        <v>45895</v>
      </c>
      <c r="G274" s="1">
        <v>45895</v>
      </c>
      <c r="H274" s="1">
        <v>45900</v>
      </c>
      <c r="K274" t="s">
        <v>26</v>
      </c>
      <c r="L274" t="s">
        <v>33</v>
      </c>
      <c r="M274" t="s">
        <v>28</v>
      </c>
      <c r="N274" t="s">
        <v>29</v>
      </c>
      <c r="O274" s="2">
        <v>37.83</v>
      </c>
      <c r="P274" t="s">
        <v>289</v>
      </c>
      <c r="Q274" s="4">
        <v>0.12</v>
      </c>
      <c r="S274" s="2">
        <v>4.54</v>
      </c>
      <c r="T274" s="2">
        <v>0</v>
      </c>
      <c r="U274" s="2">
        <v>4.54</v>
      </c>
    </row>
    <row r="275" spans="1:21" x14ac:dyDescent="0.25">
      <c r="A275" t="s">
        <v>21</v>
      </c>
      <c r="B275" t="s">
        <v>22</v>
      </c>
      <c r="C275" t="s">
        <v>23</v>
      </c>
      <c r="D275" t="s">
        <v>582</v>
      </c>
      <c r="E275" t="s">
        <v>583</v>
      </c>
      <c r="F275" s="1">
        <v>45896</v>
      </c>
      <c r="G275" s="1">
        <v>45896</v>
      </c>
      <c r="H275" s="1">
        <v>45900</v>
      </c>
      <c r="K275" t="s">
        <v>26</v>
      </c>
      <c r="L275" t="s">
        <v>27</v>
      </c>
      <c r="M275" t="s">
        <v>28</v>
      </c>
      <c r="N275" t="s">
        <v>29</v>
      </c>
      <c r="O275" s="2">
        <v>41.41</v>
      </c>
      <c r="P275" t="s">
        <v>289</v>
      </c>
      <c r="Q275" s="4">
        <v>9.5000000000000001E-2</v>
      </c>
      <c r="S275" s="2">
        <v>3.93</v>
      </c>
      <c r="T275" s="2">
        <v>0</v>
      </c>
      <c r="U275" s="2">
        <v>3.93</v>
      </c>
    </row>
    <row r="276" spans="1:21" x14ac:dyDescent="0.25">
      <c r="A276" t="s">
        <v>21</v>
      </c>
      <c r="B276" t="s">
        <v>22</v>
      </c>
      <c r="C276" t="s">
        <v>23</v>
      </c>
      <c r="D276" t="s">
        <v>584</v>
      </c>
      <c r="E276" t="s">
        <v>583</v>
      </c>
      <c r="F276" s="1">
        <v>45896</v>
      </c>
      <c r="G276" s="1">
        <v>45896</v>
      </c>
      <c r="H276" s="1">
        <v>45900</v>
      </c>
      <c r="K276" t="s">
        <v>26</v>
      </c>
      <c r="L276" t="s">
        <v>33</v>
      </c>
      <c r="M276" t="s">
        <v>28</v>
      </c>
      <c r="N276" t="s">
        <v>29</v>
      </c>
      <c r="O276" s="2">
        <v>37.83</v>
      </c>
      <c r="P276" t="s">
        <v>289</v>
      </c>
      <c r="Q276" s="4">
        <v>0.12</v>
      </c>
      <c r="S276" s="2">
        <v>4.54</v>
      </c>
      <c r="T276" s="2">
        <v>0</v>
      </c>
      <c r="U276" s="2">
        <v>4.54</v>
      </c>
    </row>
    <row r="277" spans="1:21" x14ac:dyDescent="0.25">
      <c r="A277" t="s">
        <v>21</v>
      </c>
      <c r="B277" t="s">
        <v>22</v>
      </c>
      <c r="C277" t="s">
        <v>23</v>
      </c>
      <c r="D277" t="s">
        <v>585</v>
      </c>
      <c r="E277" t="s">
        <v>583</v>
      </c>
      <c r="F277" s="1">
        <v>45897</v>
      </c>
      <c r="G277" s="1">
        <v>45897</v>
      </c>
      <c r="H277" s="1">
        <v>45900</v>
      </c>
      <c r="K277" t="s">
        <v>26</v>
      </c>
      <c r="L277" t="s">
        <v>38</v>
      </c>
      <c r="M277" t="s">
        <v>28</v>
      </c>
      <c r="N277" t="s">
        <v>29</v>
      </c>
      <c r="O277" s="2">
        <v>54.53</v>
      </c>
      <c r="P277" t="s">
        <v>289</v>
      </c>
      <c r="Q277" s="4">
        <v>0.125</v>
      </c>
      <c r="S277" s="2">
        <v>6.82</v>
      </c>
      <c r="T277" s="2">
        <v>0</v>
      </c>
      <c r="U277" s="2">
        <v>6.82</v>
      </c>
    </row>
    <row r="278" spans="1:21" x14ac:dyDescent="0.25">
      <c r="A278" t="s">
        <v>21</v>
      </c>
      <c r="B278" t="s">
        <v>22</v>
      </c>
      <c r="C278" t="s">
        <v>23</v>
      </c>
      <c r="D278" t="s">
        <v>586</v>
      </c>
      <c r="E278" t="s">
        <v>587</v>
      </c>
      <c r="F278" s="1">
        <v>45897</v>
      </c>
      <c r="G278" s="1">
        <v>45897</v>
      </c>
      <c r="H278" s="1">
        <v>45900</v>
      </c>
      <c r="K278" t="s">
        <v>26</v>
      </c>
      <c r="L278" t="s">
        <v>38</v>
      </c>
      <c r="M278" t="s">
        <v>28</v>
      </c>
      <c r="N278" t="s">
        <v>29</v>
      </c>
      <c r="O278" s="2">
        <v>33.119999999999997</v>
      </c>
      <c r="P278" t="s">
        <v>289</v>
      </c>
      <c r="Q278" s="4">
        <v>0.125</v>
      </c>
      <c r="S278" s="2">
        <v>4.1399999999999997</v>
      </c>
      <c r="T278" s="2">
        <v>0</v>
      </c>
      <c r="U278" s="2">
        <v>4.1399999999999997</v>
      </c>
    </row>
    <row r="279" spans="1:21" x14ac:dyDescent="0.25">
      <c r="A279" t="s">
        <v>21</v>
      </c>
      <c r="B279" t="s">
        <v>22</v>
      </c>
      <c r="C279" t="s">
        <v>23</v>
      </c>
      <c r="D279" t="s">
        <v>588</v>
      </c>
      <c r="E279" t="s">
        <v>587</v>
      </c>
      <c r="F279" s="1">
        <v>45896</v>
      </c>
      <c r="G279" s="1">
        <v>45896</v>
      </c>
      <c r="H279" s="1">
        <v>45900</v>
      </c>
      <c r="K279" t="s">
        <v>26</v>
      </c>
      <c r="L279" t="s">
        <v>33</v>
      </c>
      <c r="M279" t="s">
        <v>28</v>
      </c>
      <c r="N279" t="s">
        <v>29</v>
      </c>
      <c r="O279" s="2">
        <v>40.39</v>
      </c>
      <c r="P279" t="s">
        <v>289</v>
      </c>
      <c r="Q279" s="4">
        <v>0.12</v>
      </c>
      <c r="S279" s="2">
        <v>4.8499999999999996</v>
      </c>
      <c r="T279" s="2">
        <v>0</v>
      </c>
      <c r="U279" s="2">
        <v>4.8499999999999996</v>
      </c>
    </row>
    <row r="280" spans="1:21" x14ac:dyDescent="0.25">
      <c r="A280" t="s">
        <v>21</v>
      </c>
      <c r="B280" t="s">
        <v>22</v>
      </c>
      <c r="C280" t="s">
        <v>23</v>
      </c>
      <c r="D280" t="s">
        <v>589</v>
      </c>
      <c r="E280" t="s">
        <v>590</v>
      </c>
      <c r="F280" s="1">
        <v>45896</v>
      </c>
      <c r="G280" s="1">
        <v>45896</v>
      </c>
      <c r="H280" s="1">
        <v>45900</v>
      </c>
      <c r="K280" t="s">
        <v>26</v>
      </c>
      <c r="L280" t="s">
        <v>27</v>
      </c>
      <c r="M280" t="s">
        <v>28</v>
      </c>
      <c r="N280" t="s">
        <v>29</v>
      </c>
      <c r="O280" s="2">
        <v>51.05</v>
      </c>
      <c r="P280" t="s">
        <v>289</v>
      </c>
      <c r="Q280" s="4">
        <v>9.5000000000000001E-2</v>
      </c>
      <c r="S280" s="2">
        <v>4.8499999999999996</v>
      </c>
      <c r="T280" s="2">
        <v>0</v>
      </c>
      <c r="U280" s="2">
        <v>4.8499999999999996</v>
      </c>
    </row>
    <row r="281" spans="1:21" x14ac:dyDescent="0.25">
      <c r="A281" t="s">
        <v>21</v>
      </c>
      <c r="B281" t="s">
        <v>22</v>
      </c>
      <c r="C281" t="s">
        <v>23</v>
      </c>
      <c r="D281" t="s">
        <v>591</v>
      </c>
      <c r="E281" t="s">
        <v>590</v>
      </c>
      <c r="F281" s="1">
        <v>45896</v>
      </c>
      <c r="G281" s="1">
        <v>45896</v>
      </c>
      <c r="H281" s="1">
        <v>45900</v>
      </c>
      <c r="K281" t="s">
        <v>26</v>
      </c>
      <c r="L281" t="s">
        <v>33</v>
      </c>
      <c r="M281" t="s">
        <v>28</v>
      </c>
      <c r="N281" t="s">
        <v>29</v>
      </c>
      <c r="O281" s="2">
        <v>52.34</v>
      </c>
      <c r="P281" t="s">
        <v>289</v>
      </c>
      <c r="Q281" s="4">
        <v>0.12</v>
      </c>
      <c r="S281" s="2">
        <v>6.28</v>
      </c>
      <c r="T281" s="2">
        <v>0</v>
      </c>
      <c r="U281" s="2">
        <v>6.28</v>
      </c>
    </row>
    <row r="282" spans="1:21" x14ac:dyDescent="0.25">
      <c r="A282" t="s">
        <v>21</v>
      </c>
      <c r="B282" t="s">
        <v>51</v>
      </c>
      <c r="C282" t="s">
        <v>52</v>
      </c>
      <c r="D282" t="s">
        <v>592</v>
      </c>
      <c r="E282" t="s">
        <v>593</v>
      </c>
      <c r="F282" s="1">
        <v>45896</v>
      </c>
      <c r="G282" s="1">
        <v>45896</v>
      </c>
      <c r="H282" s="1">
        <v>45900</v>
      </c>
      <c r="K282" t="s">
        <v>26</v>
      </c>
      <c r="L282" t="s">
        <v>33</v>
      </c>
      <c r="M282" t="s">
        <v>28</v>
      </c>
      <c r="N282" t="s">
        <v>29</v>
      </c>
      <c r="O282" s="2">
        <v>38.39</v>
      </c>
      <c r="P282" t="s">
        <v>289</v>
      </c>
      <c r="Q282" s="4">
        <v>0.12</v>
      </c>
      <c r="S282" s="2">
        <v>4.6100000000000003</v>
      </c>
      <c r="T282" s="2">
        <v>0</v>
      </c>
      <c r="U282" s="2">
        <v>4.6100000000000003</v>
      </c>
    </row>
    <row r="283" spans="1:21" x14ac:dyDescent="0.25">
      <c r="A283" t="s">
        <v>21</v>
      </c>
      <c r="B283" t="s">
        <v>51</v>
      </c>
      <c r="C283" t="s">
        <v>52</v>
      </c>
      <c r="D283" t="s">
        <v>594</v>
      </c>
      <c r="E283" t="s">
        <v>595</v>
      </c>
      <c r="F283" s="1">
        <v>45896</v>
      </c>
      <c r="G283" s="1">
        <v>45896</v>
      </c>
      <c r="H283" s="1">
        <v>45900</v>
      </c>
      <c r="K283" t="s">
        <v>26</v>
      </c>
      <c r="L283" t="s">
        <v>33</v>
      </c>
      <c r="M283" t="s">
        <v>28</v>
      </c>
      <c r="N283" t="s">
        <v>29</v>
      </c>
      <c r="O283" s="2">
        <v>73.64</v>
      </c>
      <c r="P283" t="s">
        <v>289</v>
      </c>
      <c r="Q283" s="4">
        <v>0.12</v>
      </c>
      <c r="S283" s="2">
        <v>8.84</v>
      </c>
      <c r="T283" s="2">
        <v>0</v>
      </c>
      <c r="U283" s="2">
        <v>8.84</v>
      </c>
    </row>
    <row r="284" spans="1:21" x14ac:dyDescent="0.25">
      <c r="A284" t="s">
        <v>21</v>
      </c>
      <c r="B284" t="s">
        <v>22</v>
      </c>
      <c r="C284" t="s">
        <v>23</v>
      </c>
      <c r="D284" t="s">
        <v>596</v>
      </c>
      <c r="E284" t="s">
        <v>597</v>
      </c>
      <c r="F284" s="1">
        <v>45897</v>
      </c>
      <c r="G284" s="1">
        <v>45897</v>
      </c>
      <c r="H284" s="1">
        <v>45900</v>
      </c>
      <c r="K284" t="s">
        <v>26</v>
      </c>
      <c r="L284" t="s">
        <v>27</v>
      </c>
      <c r="M284" t="s">
        <v>28</v>
      </c>
      <c r="N284" t="s">
        <v>29</v>
      </c>
      <c r="O284" s="2">
        <v>36.58</v>
      </c>
      <c r="P284" t="s">
        <v>289</v>
      </c>
      <c r="Q284" s="4">
        <v>9.5000000000000001E-2</v>
      </c>
      <c r="S284" s="2">
        <v>3.48</v>
      </c>
      <c r="T284" s="2">
        <v>0</v>
      </c>
      <c r="U284" s="2">
        <v>3.48</v>
      </c>
    </row>
    <row r="285" spans="1:21" x14ac:dyDescent="0.25">
      <c r="A285" t="s">
        <v>21</v>
      </c>
      <c r="B285" t="s">
        <v>22</v>
      </c>
      <c r="C285" t="s">
        <v>23</v>
      </c>
      <c r="D285" t="s">
        <v>598</v>
      </c>
      <c r="E285" t="s">
        <v>599</v>
      </c>
      <c r="F285" s="1">
        <v>45897</v>
      </c>
      <c r="G285" s="1">
        <v>45897</v>
      </c>
      <c r="H285" s="1">
        <v>45900</v>
      </c>
      <c r="K285" t="s">
        <v>26</v>
      </c>
      <c r="L285" t="s">
        <v>33</v>
      </c>
      <c r="M285" t="s">
        <v>28</v>
      </c>
      <c r="N285" t="s">
        <v>29</v>
      </c>
      <c r="O285" s="2">
        <v>37.83</v>
      </c>
      <c r="P285" t="s">
        <v>289</v>
      </c>
      <c r="Q285" s="4">
        <v>0.12</v>
      </c>
      <c r="S285" s="2">
        <v>4.54</v>
      </c>
      <c r="T285" s="2">
        <v>0</v>
      </c>
      <c r="U285" s="2">
        <v>4.54</v>
      </c>
    </row>
    <row r="286" spans="1:21" x14ac:dyDescent="0.25">
      <c r="A286" t="s">
        <v>21</v>
      </c>
      <c r="B286" t="s">
        <v>22</v>
      </c>
      <c r="C286" t="s">
        <v>23</v>
      </c>
      <c r="D286" t="s">
        <v>600</v>
      </c>
      <c r="E286" t="s">
        <v>601</v>
      </c>
      <c r="F286" s="1">
        <v>45897</v>
      </c>
      <c r="G286" s="1">
        <v>45897</v>
      </c>
      <c r="H286" s="1">
        <v>45900</v>
      </c>
      <c r="K286" t="s">
        <v>26</v>
      </c>
      <c r="L286" t="s">
        <v>38</v>
      </c>
      <c r="M286" t="s">
        <v>28</v>
      </c>
      <c r="N286" t="s">
        <v>29</v>
      </c>
      <c r="O286" s="2">
        <v>87.13</v>
      </c>
      <c r="P286" t="s">
        <v>289</v>
      </c>
      <c r="Q286" s="4">
        <v>0.125</v>
      </c>
      <c r="S286" s="2">
        <v>10.89</v>
      </c>
      <c r="T286" s="2">
        <v>0</v>
      </c>
      <c r="U286" s="2">
        <v>10.89</v>
      </c>
    </row>
    <row r="287" spans="1:21" x14ac:dyDescent="0.25">
      <c r="A287" t="s">
        <v>21</v>
      </c>
      <c r="B287" t="s">
        <v>22</v>
      </c>
      <c r="C287" t="s">
        <v>23</v>
      </c>
      <c r="D287" t="s">
        <v>602</v>
      </c>
      <c r="E287" t="s">
        <v>601</v>
      </c>
      <c r="F287" s="1">
        <v>45897</v>
      </c>
      <c r="G287" s="1">
        <v>45897</v>
      </c>
      <c r="H287" s="1">
        <v>45900</v>
      </c>
      <c r="K287" t="s">
        <v>26</v>
      </c>
      <c r="L287" t="s">
        <v>27</v>
      </c>
      <c r="M287" t="s">
        <v>28</v>
      </c>
      <c r="N287" t="s">
        <v>29</v>
      </c>
      <c r="O287" s="2">
        <v>45.91</v>
      </c>
      <c r="P287" t="s">
        <v>289</v>
      </c>
      <c r="Q287" s="4">
        <v>9.5000000000000001E-2</v>
      </c>
      <c r="S287" s="2">
        <v>4.3600000000000003</v>
      </c>
      <c r="T287" s="2">
        <v>0</v>
      </c>
      <c r="U287" s="2">
        <v>4.3600000000000003</v>
      </c>
    </row>
    <row r="288" spans="1:21" x14ac:dyDescent="0.25">
      <c r="A288" t="s">
        <v>21</v>
      </c>
      <c r="B288" t="s">
        <v>603</v>
      </c>
      <c r="C288" t="s">
        <v>604</v>
      </c>
      <c r="D288" t="s">
        <v>605</v>
      </c>
      <c r="E288" t="s">
        <v>606</v>
      </c>
      <c r="F288" s="1">
        <v>45896</v>
      </c>
      <c r="G288" s="1">
        <v>45896</v>
      </c>
      <c r="H288" s="1">
        <v>45900</v>
      </c>
      <c r="K288" t="s">
        <v>26</v>
      </c>
      <c r="L288" t="s">
        <v>33</v>
      </c>
      <c r="M288" t="s">
        <v>28</v>
      </c>
      <c r="N288" t="s">
        <v>29</v>
      </c>
      <c r="O288" s="2">
        <v>18.16</v>
      </c>
      <c r="P288" t="s">
        <v>289</v>
      </c>
      <c r="Q288" s="4">
        <v>0.12</v>
      </c>
      <c r="S288" s="2">
        <v>2.1800000000000002</v>
      </c>
      <c r="T288" s="2">
        <v>0</v>
      </c>
      <c r="U288" s="2">
        <v>2.1800000000000002</v>
      </c>
    </row>
    <row r="289" spans="1:21" x14ac:dyDescent="0.25">
      <c r="A289" t="s">
        <v>21</v>
      </c>
      <c r="B289" t="s">
        <v>51</v>
      </c>
      <c r="C289" t="s">
        <v>52</v>
      </c>
      <c r="D289" t="s">
        <v>607</v>
      </c>
      <c r="E289" t="s">
        <v>608</v>
      </c>
      <c r="F289" s="1">
        <v>45892</v>
      </c>
      <c r="G289" s="1">
        <v>45901</v>
      </c>
      <c r="H289" s="1">
        <v>45900</v>
      </c>
      <c r="K289" t="s">
        <v>26</v>
      </c>
      <c r="L289" t="s">
        <v>33</v>
      </c>
      <c r="M289" t="s">
        <v>28</v>
      </c>
      <c r="N289" t="s">
        <v>109</v>
      </c>
      <c r="O289" s="2">
        <v>116.48</v>
      </c>
      <c r="P289" t="s">
        <v>289</v>
      </c>
      <c r="Q289" s="4">
        <v>0.12</v>
      </c>
      <c r="S289" s="2">
        <v>13.98</v>
      </c>
      <c r="T289" s="2">
        <v>0</v>
      </c>
      <c r="U289" s="2">
        <v>13.98</v>
      </c>
    </row>
    <row r="290" spans="1:21" x14ac:dyDescent="0.25">
      <c r="A290" t="s">
        <v>21</v>
      </c>
      <c r="B290" t="s">
        <v>22</v>
      </c>
      <c r="C290" t="s">
        <v>23</v>
      </c>
      <c r="D290" t="s">
        <v>609</v>
      </c>
      <c r="E290" t="s">
        <v>597</v>
      </c>
      <c r="F290" s="1">
        <v>45897</v>
      </c>
      <c r="G290" s="1">
        <v>45897</v>
      </c>
      <c r="H290" s="1">
        <v>45900</v>
      </c>
      <c r="K290" t="s">
        <v>26</v>
      </c>
      <c r="L290" t="s">
        <v>33</v>
      </c>
      <c r="M290" t="s">
        <v>28</v>
      </c>
      <c r="N290" t="s">
        <v>29</v>
      </c>
      <c r="O290" s="2">
        <v>52.34</v>
      </c>
      <c r="P290" t="s">
        <v>289</v>
      </c>
      <c r="Q290" s="4">
        <v>0.12</v>
      </c>
      <c r="S290" s="2">
        <v>6.28</v>
      </c>
      <c r="T290" s="2">
        <v>0</v>
      </c>
      <c r="U290" s="2">
        <v>6.28</v>
      </c>
    </row>
    <row r="291" spans="1:21" x14ac:dyDescent="0.25">
      <c r="A291" t="s">
        <v>21</v>
      </c>
      <c r="B291" t="s">
        <v>51</v>
      </c>
      <c r="C291" t="s">
        <v>52</v>
      </c>
      <c r="D291" t="s">
        <v>610</v>
      </c>
      <c r="E291" t="s">
        <v>611</v>
      </c>
      <c r="F291" s="1">
        <v>45889</v>
      </c>
      <c r="G291" s="1">
        <v>45889</v>
      </c>
      <c r="H291" s="1">
        <v>45900</v>
      </c>
      <c r="K291" t="s">
        <v>26</v>
      </c>
      <c r="L291" t="s">
        <v>38</v>
      </c>
      <c r="M291" t="s">
        <v>28</v>
      </c>
      <c r="N291" t="s">
        <v>29</v>
      </c>
      <c r="O291" s="2">
        <v>24.43</v>
      </c>
      <c r="P291" t="s">
        <v>289</v>
      </c>
      <c r="Q291" s="4">
        <v>0.125</v>
      </c>
      <c r="S291" s="2">
        <v>3.05</v>
      </c>
      <c r="T291" s="2">
        <v>0</v>
      </c>
      <c r="U291" s="2">
        <v>3.05</v>
      </c>
    </row>
    <row r="292" spans="1:21" x14ac:dyDescent="0.25">
      <c r="A292" t="s">
        <v>21</v>
      </c>
      <c r="B292" t="s">
        <v>71</v>
      </c>
      <c r="C292" t="s">
        <v>72</v>
      </c>
      <c r="D292" t="s">
        <v>612</v>
      </c>
      <c r="E292" t="s">
        <v>613</v>
      </c>
      <c r="F292" s="1">
        <v>45890</v>
      </c>
      <c r="G292" s="1">
        <v>45890</v>
      </c>
      <c r="H292" s="1">
        <v>45900</v>
      </c>
      <c r="K292" t="s">
        <v>26</v>
      </c>
      <c r="L292" t="s">
        <v>38</v>
      </c>
      <c r="M292" t="s">
        <v>28</v>
      </c>
      <c r="N292" t="s">
        <v>29</v>
      </c>
      <c r="O292" s="2">
        <v>72.44</v>
      </c>
      <c r="P292" t="s">
        <v>289</v>
      </c>
      <c r="Q292" s="4">
        <v>0.125</v>
      </c>
      <c r="S292" s="2">
        <v>9.06</v>
      </c>
      <c r="T292" s="2">
        <v>0</v>
      </c>
      <c r="U292" s="2">
        <v>9.06</v>
      </c>
    </row>
    <row r="293" spans="1:21" x14ac:dyDescent="0.25">
      <c r="A293" t="s">
        <v>21</v>
      </c>
      <c r="B293" t="s">
        <v>303</v>
      </c>
      <c r="C293" t="s">
        <v>304</v>
      </c>
      <c r="D293" t="s">
        <v>614</v>
      </c>
      <c r="E293" t="s">
        <v>615</v>
      </c>
      <c r="F293" s="1">
        <v>45887</v>
      </c>
      <c r="G293" s="1">
        <v>45886</v>
      </c>
      <c r="H293" s="1">
        <v>45900</v>
      </c>
      <c r="K293" t="s">
        <v>26</v>
      </c>
      <c r="L293" t="s">
        <v>38</v>
      </c>
      <c r="M293" t="s">
        <v>28</v>
      </c>
      <c r="N293" t="s">
        <v>29</v>
      </c>
      <c r="O293" s="2">
        <v>51.19</v>
      </c>
      <c r="P293" t="s">
        <v>289</v>
      </c>
      <c r="Q293" s="4">
        <v>0.125</v>
      </c>
      <c r="S293" s="2">
        <v>6.4</v>
      </c>
      <c r="T293" s="2">
        <v>0</v>
      </c>
      <c r="U293" s="2">
        <v>6.4</v>
      </c>
    </row>
    <row r="294" spans="1:21" x14ac:dyDescent="0.25">
      <c r="A294" t="s">
        <v>21</v>
      </c>
      <c r="B294" t="s">
        <v>22</v>
      </c>
      <c r="C294" t="s">
        <v>23</v>
      </c>
      <c r="D294" t="s">
        <v>616</v>
      </c>
      <c r="E294" t="s">
        <v>617</v>
      </c>
      <c r="F294" s="1">
        <v>45895</v>
      </c>
      <c r="G294" s="1">
        <v>45895</v>
      </c>
      <c r="H294" s="1">
        <v>45900</v>
      </c>
      <c r="K294" t="s">
        <v>618</v>
      </c>
      <c r="L294" t="s">
        <v>619</v>
      </c>
      <c r="M294" t="s">
        <v>28</v>
      </c>
      <c r="N294" t="s">
        <v>29</v>
      </c>
      <c r="O294" s="2">
        <v>110.06</v>
      </c>
      <c r="P294" t="s">
        <v>30</v>
      </c>
      <c r="Q294" s="4">
        <v>1.3</v>
      </c>
      <c r="S294" s="2">
        <v>143.08000000000001</v>
      </c>
      <c r="T294" s="2">
        <v>0</v>
      </c>
      <c r="U294" s="2">
        <v>143.08000000000001</v>
      </c>
    </row>
    <row r="295" spans="1:21" x14ac:dyDescent="0.25">
      <c r="A295" t="s">
        <v>21</v>
      </c>
      <c r="B295" t="s">
        <v>34</v>
      </c>
      <c r="C295" t="s">
        <v>35</v>
      </c>
      <c r="D295" t="s">
        <v>620</v>
      </c>
      <c r="E295" t="s">
        <v>114</v>
      </c>
      <c r="F295" s="1">
        <v>45894</v>
      </c>
      <c r="G295" s="1">
        <v>45894</v>
      </c>
      <c r="H295" s="1">
        <v>45900</v>
      </c>
      <c r="K295" t="s">
        <v>618</v>
      </c>
      <c r="L295" t="s">
        <v>621</v>
      </c>
      <c r="M295" t="s">
        <v>28</v>
      </c>
      <c r="N295" t="s">
        <v>29</v>
      </c>
      <c r="O295" s="2">
        <v>22.19</v>
      </c>
      <c r="P295" t="s">
        <v>30</v>
      </c>
      <c r="Q295" s="4">
        <v>1.1000000000000001</v>
      </c>
      <c r="S295" s="2">
        <v>24.41</v>
      </c>
      <c r="T295" s="2">
        <v>0</v>
      </c>
      <c r="U295" s="2">
        <v>24.41</v>
      </c>
    </row>
    <row r="296" spans="1:21" x14ac:dyDescent="0.25">
      <c r="A296" t="s">
        <v>21</v>
      </c>
      <c r="B296" t="s">
        <v>22</v>
      </c>
      <c r="C296" t="s">
        <v>23</v>
      </c>
      <c r="D296" t="s">
        <v>622</v>
      </c>
      <c r="E296" t="s">
        <v>623</v>
      </c>
      <c r="F296" s="1">
        <v>45895</v>
      </c>
      <c r="G296" s="1">
        <v>45895</v>
      </c>
      <c r="H296" s="1">
        <v>45900</v>
      </c>
      <c r="K296" t="s">
        <v>618</v>
      </c>
      <c r="L296" t="s">
        <v>619</v>
      </c>
      <c r="M296" t="s">
        <v>28</v>
      </c>
      <c r="N296" t="s">
        <v>29</v>
      </c>
      <c r="O296" s="2">
        <v>19.579999999999998</v>
      </c>
      <c r="P296" t="s">
        <v>30</v>
      </c>
      <c r="Q296" s="4">
        <v>1.3</v>
      </c>
      <c r="S296" s="2">
        <v>25.45</v>
      </c>
      <c r="T296" s="2">
        <v>25.45</v>
      </c>
      <c r="U296" s="2">
        <v>0</v>
      </c>
    </row>
    <row r="297" spans="1:21" x14ac:dyDescent="0.25">
      <c r="A297" t="s">
        <v>21</v>
      </c>
      <c r="B297" t="s">
        <v>22</v>
      </c>
      <c r="C297" t="s">
        <v>23</v>
      </c>
      <c r="D297" t="s">
        <v>624</v>
      </c>
      <c r="E297" t="s">
        <v>625</v>
      </c>
      <c r="F297" s="1">
        <v>45896</v>
      </c>
      <c r="G297" s="1">
        <v>45896</v>
      </c>
      <c r="H297" s="1">
        <v>45900</v>
      </c>
      <c r="K297" t="s">
        <v>618</v>
      </c>
      <c r="L297" t="s">
        <v>619</v>
      </c>
      <c r="M297" t="s">
        <v>28</v>
      </c>
      <c r="N297" t="s">
        <v>29</v>
      </c>
      <c r="O297" s="2">
        <v>22.62</v>
      </c>
      <c r="P297" t="s">
        <v>30</v>
      </c>
      <c r="Q297" s="4">
        <v>1.3</v>
      </c>
      <c r="S297" s="2">
        <v>29.41</v>
      </c>
      <c r="T297" s="2">
        <v>0</v>
      </c>
      <c r="U297" s="2">
        <v>29.41</v>
      </c>
    </row>
    <row r="298" spans="1:21" x14ac:dyDescent="0.25">
      <c r="A298" t="s">
        <v>21</v>
      </c>
      <c r="B298" t="s">
        <v>67</v>
      </c>
      <c r="C298" t="s">
        <v>68</v>
      </c>
      <c r="D298" t="s">
        <v>626</v>
      </c>
      <c r="E298" t="s">
        <v>627</v>
      </c>
      <c r="F298" s="1">
        <v>45887</v>
      </c>
      <c r="G298" s="1">
        <v>45885</v>
      </c>
      <c r="H298" s="1">
        <v>45900</v>
      </c>
      <c r="K298" t="s">
        <v>618</v>
      </c>
      <c r="L298" t="s">
        <v>628</v>
      </c>
      <c r="M298" t="s">
        <v>28</v>
      </c>
      <c r="N298" t="s">
        <v>29</v>
      </c>
      <c r="O298" s="2">
        <v>70.47</v>
      </c>
      <c r="P298" t="s">
        <v>30</v>
      </c>
      <c r="Q298" s="4">
        <v>1.3</v>
      </c>
      <c r="S298" s="2">
        <v>91.61</v>
      </c>
      <c r="T298" s="2">
        <v>91.61</v>
      </c>
      <c r="U298" s="2">
        <v>0</v>
      </c>
    </row>
    <row r="299" spans="1:21" x14ac:dyDescent="0.25">
      <c r="A299" t="s">
        <v>21</v>
      </c>
      <c r="B299" t="s">
        <v>34</v>
      </c>
      <c r="C299" t="s">
        <v>35</v>
      </c>
      <c r="D299" t="s">
        <v>629</v>
      </c>
      <c r="E299" t="s">
        <v>374</v>
      </c>
      <c r="F299" s="1">
        <v>45894</v>
      </c>
      <c r="G299" s="1">
        <v>45894</v>
      </c>
      <c r="H299" s="1">
        <v>45900</v>
      </c>
      <c r="K299" t="s">
        <v>618</v>
      </c>
      <c r="L299" t="s">
        <v>621</v>
      </c>
      <c r="M299" t="s">
        <v>28</v>
      </c>
      <c r="N299" t="s">
        <v>29</v>
      </c>
      <c r="O299" s="2">
        <v>25.32</v>
      </c>
      <c r="P299" t="s">
        <v>30</v>
      </c>
      <c r="Q299" s="4">
        <v>1.1000000000000001</v>
      </c>
      <c r="S299" s="2">
        <v>27.85</v>
      </c>
      <c r="T299" s="2">
        <v>27.85</v>
      </c>
      <c r="U299" s="2">
        <v>0</v>
      </c>
    </row>
    <row r="300" spans="1:21" x14ac:dyDescent="0.25">
      <c r="A300" t="s">
        <v>21</v>
      </c>
      <c r="B300" t="s">
        <v>136</v>
      </c>
      <c r="C300" t="s">
        <v>137</v>
      </c>
      <c r="D300" t="s">
        <v>630</v>
      </c>
      <c r="E300" t="s">
        <v>631</v>
      </c>
      <c r="F300" s="1">
        <v>45888</v>
      </c>
      <c r="G300" s="1">
        <v>45888</v>
      </c>
      <c r="H300" s="1">
        <v>45900</v>
      </c>
      <c r="K300" t="s">
        <v>618</v>
      </c>
      <c r="L300" t="s">
        <v>628</v>
      </c>
      <c r="M300" t="s">
        <v>28</v>
      </c>
      <c r="N300" t="s">
        <v>29</v>
      </c>
      <c r="O300" s="2">
        <v>25.06</v>
      </c>
      <c r="P300" t="s">
        <v>30</v>
      </c>
      <c r="Q300" s="4">
        <v>1.3</v>
      </c>
      <c r="S300" s="2">
        <v>32.58</v>
      </c>
      <c r="T300" s="2">
        <v>32.58</v>
      </c>
      <c r="U300" s="2">
        <v>0</v>
      </c>
    </row>
    <row r="301" spans="1:21" x14ac:dyDescent="0.25">
      <c r="A301" t="s">
        <v>21</v>
      </c>
      <c r="B301" t="s">
        <v>22</v>
      </c>
      <c r="C301" t="s">
        <v>23</v>
      </c>
      <c r="D301" t="s">
        <v>632</v>
      </c>
      <c r="E301" t="s">
        <v>633</v>
      </c>
      <c r="F301" s="1">
        <v>45892</v>
      </c>
      <c r="G301" s="1">
        <v>45891</v>
      </c>
      <c r="H301" s="1">
        <v>45900</v>
      </c>
      <c r="K301" t="s">
        <v>618</v>
      </c>
      <c r="L301" t="s">
        <v>628</v>
      </c>
      <c r="M301" t="s">
        <v>28</v>
      </c>
      <c r="N301" t="s">
        <v>29</v>
      </c>
      <c r="O301" s="2">
        <v>31.76</v>
      </c>
      <c r="P301" t="s">
        <v>30</v>
      </c>
      <c r="Q301" s="4">
        <v>1.3</v>
      </c>
      <c r="S301" s="2">
        <v>41.29</v>
      </c>
      <c r="T301" s="2">
        <v>41.29</v>
      </c>
      <c r="U301" s="2">
        <v>0</v>
      </c>
    </row>
    <row r="302" spans="1:21" x14ac:dyDescent="0.25">
      <c r="A302" t="s">
        <v>21</v>
      </c>
      <c r="B302" t="s">
        <v>22</v>
      </c>
      <c r="C302" t="s">
        <v>23</v>
      </c>
      <c r="D302" t="s">
        <v>634</v>
      </c>
      <c r="E302" t="s">
        <v>635</v>
      </c>
      <c r="F302" s="1">
        <v>45892</v>
      </c>
      <c r="G302" s="1">
        <v>45891</v>
      </c>
      <c r="H302" s="1">
        <v>45900</v>
      </c>
      <c r="K302" t="s">
        <v>618</v>
      </c>
      <c r="L302" t="s">
        <v>628</v>
      </c>
      <c r="M302" t="s">
        <v>28</v>
      </c>
      <c r="N302" t="s">
        <v>29</v>
      </c>
      <c r="O302" s="2">
        <v>40.46</v>
      </c>
      <c r="P302" t="s">
        <v>30</v>
      </c>
      <c r="Q302" s="4">
        <v>1.3</v>
      </c>
      <c r="S302" s="2">
        <v>52.6</v>
      </c>
      <c r="T302" s="2">
        <v>52.6</v>
      </c>
      <c r="U302" s="2">
        <v>0</v>
      </c>
    </row>
    <row r="303" spans="1:21" x14ac:dyDescent="0.25">
      <c r="A303" t="s">
        <v>21</v>
      </c>
      <c r="B303" t="s">
        <v>22</v>
      </c>
      <c r="C303" t="s">
        <v>23</v>
      </c>
      <c r="D303" t="s">
        <v>636</v>
      </c>
      <c r="E303" t="s">
        <v>637</v>
      </c>
      <c r="F303" s="1">
        <v>45887</v>
      </c>
      <c r="G303" s="1">
        <v>45886</v>
      </c>
      <c r="H303" s="1">
        <v>45900</v>
      </c>
      <c r="K303" t="s">
        <v>618</v>
      </c>
      <c r="L303" t="s">
        <v>621</v>
      </c>
      <c r="M303" t="s">
        <v>28</v>
      </c>
      <c r="N303" t="s">
        <v>29</v>
      </c>
      <c r="O303" s="2">
        <v>69.86</v>
      </c>
      <c r="P303" t="s">
        <v>30</v>
      </c>
      <c r="Q303" s="4">
        <v>1.1000000000000001</v>
      </c>
      <c r="S303" s="2">
        <v>76.849999999999994</v>
      </c>
      <c r="T303" s="2">
        <v>76.849999999999994</v>
      </c>
      <c r="U303" s="2">
        <v>0</v>
      </c>
    </row>
    <row r="304" spans="1:21" x14ac:dyDescent="0.25">
      <c r="A304" t="s">
        <v>21</v>
      </c>
      <c r="B304" t="s">
        <v>638</v>
      </c>
      <c r="C304" t="s">
        <v>639</v>
      </c>
      <c r="D304" t="s">
        <v>640</v>
      </c>
      <c r="E304" t="s">
        <v>641</v>
      </c>
      <c r="F304" s="1">
        <v>45889</v>
      </c>
      <c r="G304" s="1">
        <v>45889</v>
      </c>
      <c r="H304" s="1">
        <v>45900</v>
      </c>
      <c r="K304" t="s">
        <v>618</v>
      </c>
      <c r="L304" t="s">
        <v>642</v>
      </c>
      <c r="M304" t="s">
        <v>28</v>
      </c>
      <c r="N304" t="s">
        <v>29</v>
      </c>
      <c r="O304" s="2">
        <v>67.77</v>
      </c>
      <c r="P304" t="s">
        <v>30</v>
      </c>
      <c r="Q304" s="4">
        <v>1.2</v>
      </c>
      <c r="S304" s="2">
        <v>81.319999999999993</v>
      </c>
      <c r="T304" s="2">
        <v>81.319999999999993</v>
      </c>
      <c r="U304" s="2">
        <v>0</v>
      </c>
    </row>
    <row r="305" spans="1:21" x14ac:dyDescent="0.25">
      <c r="A305" t="s">
        <v>21</v>
      </c>
      <c r="B305" t="s">
        <v>638</v>
      </c>
      <c r="C305" t="s">
        <v>639</v>
      </c>
      <c r="D305" t="s">
        <v>643</v>
      </c>
      <c r="E305" t="s">
        <v>644</v>
      </c>
      <c r="F305" s="1">
        <v>45894</v>
      </c>
      <c r="G305" s="1">
        <v>45892</v>
      </c>
      <c r="H305" s="1">
        <v>45900</v>
      </c>
      <c r="K305" t="s">
        <v>618</v>
      </c>
      <c r="L305" t="s">
        <v>642</v>
      </c>
      <c r="M305" t="s">
        <v>28</v>
      </c>
      <c r="N305" t="s">
        <v>29</v>
      </c>
      <c r="O305" s="2">
        <v>146.07</v>
      </c>
      <c r="P305" t="s">
        <v>30</v>
      </c>
      <c r="Q305" s="4">
        <v>1.2</v>
      </c>
      <c r="S305" s="2">
        <v>175.28</v>
      </c>
      <c r="T305" s="2">
        <v>175.28</v>
      </c>
      <c r="U305" s="2">
        <v>0</v>
      </c>
    </row>
    <row r="306" spans="1:21" x14ac:dyDescent="0.25">
      <c r="A306" t="s">
        <v>21</v>
      </c>
      <c r="B306" t="s">
        <v>303</v>
      </c>
      <c r="C306" t="s">
        <v>304</v>
      </c>
      <c r="D306" t="s">
        <v>645</v>
      </c>
      <c r="E306" t="s">
        <v>646</v>
      </c>
      <c r="F306" s="1">
        <v>45891</v>
      </c>
      <c r="G306" s="1">
        <v>45915</v>
      </c>
      <c r="H306" s="1">
        <v>45900</v>
      </c>
      <c r="K306" t="s">
        <v>618</v>
      </c>
      <c r="L306" t="s">
        <v>619</v>
      </c>
      <c r="M306" t="s">
        <v>28</v>
      </c>
      <c r="N306" t="s">
        <v>29</v>
      </c>
      <c r="O306" s="2">
        <v>-8.0500000000000007</v>
      </c>
      <c r="P306" t="s">
        <v>30</v>
      </c>
      <c r="Q306" s="4">
        <v>1.3</v>
      </c>
      <c r="R306" t="s">
        <v>31</v>
      </c>
      <c r="S306" s="2">
        <v>-10.47</v>
      </c>
      <c r="T306" s="2">
        <v>-10.47</v>
      </c>
      <c r="U306" s="2">
        <v>0</v>
      </c>
    </row>
    <row r="307" spans="1:21" x14ac:dyDescent="0.25">
      <c r="A307" t="s">
        <v>21</v>
      </c>
      <c r="B307" t="s">
        <v>136</v>
      </c>
      <c r="C307" t="s">
        <v>137</v>
      </c>
      <c r="D307" t="s">
        <v>647</v>
      </c>
      <c r="E307" t="s">
        <v>359</v>
      </c>
      <c r="F307" s="1">
        <v>45887</v>
      </c>
      <c r="G307" s="1">
        <v>45886</v>
      </c>
      <c r="H307" s="1">
        <v>45900</v>
      </c>
      <c r="K307" t="s">
        <v>618</v>
      </c>
      <c r="L307" t="s">
        <v>619</v>
      </c>
      <c r="M307" t="s">
        <v>28</v>
      </c>
      <c r="N307" t="s">
        <v>29</v>
      </c>
      <c r="O307" s="2">
        <v>140.5</v>
      </c>
      <c r="P307" t="s">
        <v>289</v>
      </c>
      <c r="Q307" s="4">
        <v>1.7500000000000002E-2</v>
      </c>
      <c r="S307" s="2">
        <v>2.46</v>
      </c>
      <c r="T307" s="2">
        <v>0</v>
      </c>
      <c r="U307" s="2">
        <v>2.46</v>
      </c>
    </row>
    <row r="308" spans="1:21" x14ac:dyDescent="0.25">
      <c r="A308" t="s">
        <v>21</v>
      </c>
      <c r="B308" t="s">
        <v>67</v>
      </c>
      <c r="C308" t="s">
        <v>68</v>
      </c>
      <c r="D308" t="s">
        <v>648</v>
      </c>
      <c r="E308" t="s">
        <v>390</v>
      </c>
      <c r="F308" s="1">
        <v>45894</v>
      </c>
      <c r="G308" s="1">
        <v>45894</v>
      </c>
      <c r="H308" s="1">
        <v>45900</v>
      </c>
      <c r="K308" t="s">
        <v>618</v>
      </c>
      <c r="L308" t="s">
        <v>628</v>
      </c>
      <c r="M308" t="s">
        <v>28</v>
      </c>
      <c r="N308" t="s">
        <v>29</v>
      </c>
      <c r="O308" s="2">
        <v>18.05</v>
      </c>
      <c r="P308" t="s">
        <v>289</v>
      </c>
      <c r="Q308" s="4">
        <v>1.7500000000000002E-2</v>
      </c>
      <c r="S308" s="2">
        <v>0.32</v>
      </c>
      <c r="T308" s="2">
        <v>0</v>
      </c>
      <c r="U308" s="2">
        <v>0.32</v>
      </c>
    </row>
    <row r="309" spans="1:21" x14ac:dyDescent="0.25">
      <c r="A309" t="s">
        <v>21</v>
      </c>
      <c r="B309" t="s">
        <v>140</v>
      </c>
      <c r="C309" t="s">
        <v>141</v>
      </c>
      <c r="D309" t="s">
        <v>649</v>
      </c>
      <c r="E309" t="s">
        <v>650</v>
      </c>
      <c r="F309" s="1">
        <v>45896</v>
      </c>
      <c r="G309" s="1">
        <v>45879</v>
      </c>
      <c r="H309" s="1">
        <v>45900</v>
      </c>
      <c r="K309" t="s">
        <v>618</v>
      </c>
      <c r="L309" t="s">
        <v>651</v>
      </c>
      <c r="M309" t="s">
        <v>28</v>
      </c>
      <c r="N309" t="s">
        <v>29</v>
      </c>
      <c r="O309" s="2">
        <v>-23.15</v>
      </c>
      <c r="P309" t="s">
        <v>289</v>
      </c>
      <c r="Q309" s="4">
        <v>1.7500000000000002E-2</v>
      </c>
      <c r="R309" t="s">
        <v>31</v>
      </c>
      <c r="S309" s="2">
        <v>-0.41</v>
      </c>
      <c r="T309" s="2">
        <v>0</v>
      </c>
      <c r="U309" s="2">
        <v>-0.41</v>
      </c>
    </row>
    <row r="310" spans="1:21" x14ac:dyDescent="0.25">
      <c r="A310" t="s">
        <v>21</v>
      </c>
      <c r="B310" t="s">
        <v>652</v>
      </c>
      <c r="C310" t="s">
        <v>653</v>
      </c>
      <c r="D310" t="s">
        <v>654</v>
      </c>
      <c r="E310" t="s">
        <v>655</v>
      </c>
      <c r="F310" s="1">
        <v>45894</v>
      </c>
      <c r="G310" s="1">
        <v>45893</v>
      </c>
      <c r="H310" s="1">
        <v>45900</v>
      </c>
      <c r="K310" t="s">
        <v>618</v>
      </c>
      <c r="L310" t="s">
        <v>621</v>
      </c>
      <c r="M310" t="s">
        <v>28</v>
      </c>
      <c r="N310" t="s">
        <v>29</v>
      </c>
      <c r="O310" s="2">
        <v>47.76</v>
      </c>
      <c r="P310" t="s">
        <v>289</v>
      </c>
      <c r="Q310" s="4">
        <v>1.7500000000000002E-2</v>
      </c>
      <c r="S310" s="2">
        <v>0.84</v>
      </c>
      <c r="T310" s="2">
        <v>0</v>
      </c>
      <c r="U310" s="2">
        <v>0.84</v>
      </c>
    </row>
    <row r="311" spans="1:21" x14ac:dyDescent="0.25">
      <c r="A311" t="s">
        <v>21</v>
      </c>
      <c r="B311" t="s">
        <v>140</v>
      </c>
      <c r="C311" t="s">
        <v>141</v>
      </c>
      <c r="D311" t="s">
        <v>656</v>
      </c>
      <c r="E311" t="s">
        <v>657</v>
      </c>
      <c r="F311" s="1">
        <v>45894</v>
      </c>
      <c r="G311" s="1">
        <v>45892</v>
      </c>
      <c r="H311" s="1">
        <v>45900</v>
      </c>
      <c r="K311" t="s">
        <v>618</v>
      </c>
      <c r="L311" t="s">
        <v>619</v>
      </c>
      <c r="M311" t="s">
        <v>28</v>
      </c>
      <c r="N311" t="s">
        <v>29</v>
      </c>
      <c r="O311" s="2">
        <v>25.45</v>
      </c>
      <c r="P311" t="s">
        <v>289</v>
      </c>
      <c r="Q311" s="4">
        <v>1.7500000000000002E-2</v>
      </c>
      <c r="S311" s="2">
        <v>0.45</v>
      </c>
      <c r="T311" s="2">
        <v>0</v>
      </c>
      <c r="U311" s="2">
        <v>0.45</v>
      </c>
    </row>
    <row r="312" spans="1:21" x14ac:dyDescent="0.25">
      <c r="A312" t="s">
        <v>21</v>
      </c>
      <c r="B312" t="s">
        <v>22</v>
      </c>
      <c r="C312" t="s">
        <v>23</v>
      </c>
      <c r="D312" t="s">
        <v>658</v>
      </c>
      <c r="E312" t="s">
        <v>439</v>
      </c>
      <c r="F312" s="1">
        <v>45887</v>
      </c>
      <c r="G312" s="1">
        <v>45886</v>
      </c>
      <c r="H312" s="1">
        <v>45900</v>
      </c>
      <c r="K312" t="s">
        <v>618</v>
      </c>
      <c r="L312" t="s">
        <v>619</v>
      </c>
      <c r="M312" t="s">
        <v>28</v>
      </c>
      <c r="N312" t="s">
        <v>29</v>
      </c>
      <c r="O312" s="2">
        <v>30.1</v>
      </c>
      <c r="P312" t="s">
        <v>289</v>
      </c>
      <c r="Q312" s="4">
        <v>1.7500000000000002E-2</v>
      </c>
      <c r="S312" s="2">
        <v>0.53</v>
      </c>
      <c r="T312" s="2">
        <v>0</v>
      </c>
      <c r="U312" s="2">
        <v>0.53</v>
      </c>
    </row>
    <row r="313" spans="1:21" x14ac:dyDescent="0.25">
      <c r="A313" t="s">
        <v>21</v>
      </c>
      <c r="B313" t="s">
        <v>22</v>
      </c>
      <c r="C313" t="s">
        <v>23</v>
      </c>
      <c r="D313" t="s">
        <v>659</v>
      </c>
      <c r="E313" t="s">
        <v>660</v>
      </c>
      <c r="F313" s="1">
        <v>45897</v>
      </c>
      <c r="G313" s="1">
        <v>45909</v>
      </c>
      <c r="H313" s="1">
        <v>45900</v>
      </c>
      <c r="K313" t="s">
        <v>618</v>
      </c>
      <c r="L313" t="s">
        <v>619</v>
      </c>
      <c r="M313" t="s">
        <v>28</v>
      </c>
      <c r="N313" t="s">
        <v>109</v>
      </c>
      <c r="O313" s="2">
        <v>192.72</v>
      </c>
      <c r="P313" t="s">
        <v>289</v>
      </c>
      <c r="Q313" s="4">
        <v>1.7500000000000002E-2</v>
      </c>
      <c r="S313" s="2">
        <v>3.37</v>
      </c>
      <c r="T313" s="2">
        <v>0</v>
      </c>
      <c r="U313" s="2">
        <v>3.37</v>
      </c>
    </row>
    <row r="314" spans="1:21" x14ac:dyDescent="0.25">
      <c r="A314" t="s">
        <v>21</v>
      </c>
      <c r="B314" t="s">
        <v>399</v>
      </c>
      <c r="C314" t="s">
        <v>400</v>
      </c>
      <c r="D314" t="s">
        <v>661</v>
      </c>
      <c r="E314" t="s">
        <v>662</v>
      </c>
      <c r="F314" s="1">
        <v>45895</v>
      </c>
      <c r="G314" s="1">
        <v>45895</v>
      </c>
      <c r="H314" s="1">
        <v>45900</v>
      </c>
      <c r="K314" t="s">
        <v>618</v>
      </c>
      <c r="L314" t="s">
        <v>651</v>
      </c>
      <c r="M314" t="s">
        <v>28</v>
      </c>
      <c r="N314" t="s">
        <v>29</v>
      </c>
      <c r="O314" s="2">
        <v>171.61</v>
      </c>
      <c r="P314" t="s">
        <v>289</v>
      </c>
      <c r="Q314" s="4">
        <v>1.7500000000000002E-2</v>
      </c>
      <c r="S314" s="2">
        <v>3</v>
      </c>
      <c r="T314" s="2">
        <v>0</v>
      </c>
      <c r="U314" s="2">
        <v>3</v>
      </c>
    </row>
    <row r="315" spans="1:21" x14ac:dyDescent="0.25">
      <c r="A315" t="s">
        <v>21</v>
      </c>
      <c r="B315" t="s">
        <v>136</v>
      </c>
      <c r="C315" t="s">
        <v>137</v>
      </c>
      <c r="D315" t="s">
        <v>663</v>
      </c>
      <c r="E315" t="s">
        <v>359</v>
      </c>
      <c r="F315" s="1">
        <v>45892</v>
      </c>
      <c r="G315" s="1">
        <v>45891</v>
      </c>
      <c r="H315" s="1">
        <v>45900</v>
      </c>
      <c r="K315" t="s">
        <v>664</v>
      </c>
      <c r="L315" t="s">
        <v>665</v>
      </c>
      <c r="M315" t="s">
        <v>28</v>
      </c>
      <c r="N315" t="s">
        <v>29</v>
      </c>
      <c r="O315" s="2">
        <v>161.85</v>
      </c>
      <c r="P315" t="s">
        <v>289</v>
      </c>
      <c r="Q315" s="4">
        <v>4.2500000000000003E-2</v>
      </c>
      <c r="S315" s="2">
        <v>6.88</v>
      </c>
      <c r="T315" s="2">
        <v>0</v>
      </c>
      <c r="U315" s="2">
        <v>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32D38-7FCF-4668-976D-929DFF3F5C3B}">
  <dimension ref="A1:P326"/>
  <sheetViews>
    <sheetView tabSelected="1" topLeftCell="B240" workbookViewId="0">
      <selection activeCell="C283" sqref="C283"/>
    </sheetView>
  </sheetViews>
  <sheetFormatPr defaultRowHeight="15" customHeight="1" x14ac:dyDescent="0.25"/>
  <cols>
    <col min="1" max="2" width="28.140625" style="7" bestFit="1" customWidth="1"/>
    <col min="3" max="3" width="25.140625" style="7" bestFit="1" customWidth="1"/>
    <col min="4" max="4" width="31.140625" style="7" bestFit="1" customWidth="1"/>
    <col min="5" max="6" width="30.140625" style="7" bestFit="1" customWidth="1"/>
    <col min="7" max="7" width="10.85546875" style="7" customWidth="1"/>
    <col min="8" max="8" width="9" style="7" customWidth="1"/>
    <col min="9" max="9" width="44.42578125" style="7" customWidth="1"/>
    <col min="10" max="10" width="24.140625" style="7" bestFit="1" customWidth="1"/>
    <col min="11" max="11" width="15.85546875" style="7" customWidth="1"/>
    <col min="12" max="12" width="11.140625" style="7" customWidth="1"/>
    <col min="13" max="13" width="7.85546875" style="7" customWidth="1"/>
    <col min="14" max="14" width="9" style="7" customWidth="1"/>
    <col min="15" max="15" width="8" style="7" customWidth="1"/>
    <col min="16" max="16" width="12.28515625" style="7" customWidth="1"/>
    <col min="17" max="16384" width="9.140625" style="7"/>
  </cols>
  <sheetData>
    <row r="1" spans="1:16" ht="15" customHeight="1" x14ac:dyDescent="0.25">
      <c r="A1" s="5" t="s">
        <v>1</v>
      </c>
      <c r="B1" s="5" t="s">
        <v>2</v>
      </c>
      <c r="C1" s="5" t="s">
        <v>3</v>
      </c>
      <c r="D1" s="5" t="s">
        <v>4</v>
      </c>
      <c r="E1" s="6" t="s">
        <v>666</v>
      </c>
      <c r="F1" s="5" t="s">
        <v>7</v>
      </c>
      <c r="G1" s="6" t="s">
        <v>667</v>
      </c>
      <c r="H1" s="6" t="s">
        <v>697</v>
      </c>
      <c r="I1" s="5" t="s">
        <v>11</v>
      </c>
      <c r="J1" s="5" t="s">
        <v>14</v>
      </c>
      <c r="K1" s="5" t="s">
        <v>15</v>
      </c>
      <c r="L1" s="5" t="s">
        <v>16</v>
      </c>
      <c r="M1" s="5" t="s">
        <v>18</v>
      </c>
      <c r="N1" s="5" t="s">
        <v>19</v>
      </c>
      <c r="O1" s="5" t="s">
        <v>20</v>
      </c>
    </row>
    <row r="2" spans="1:16" s="13" customFormat="1" ht="15" customHeight="1" x14ac:dyDescent="0.25">
      <c r="A2" s="7" t="s">
        <v>51</v>
      </c>
      <c r="B2" s="7">
        <v>9079571</v>
      </c>
      <c r="C2" s="8">
        <v>4151369340</v>
      </c>
      <c r="D2" s="7" t="s">
        <v>611</v>
      </c>
      <c r="E2" s="9">
        <v>45005</v>
      </c>
      <c r="F2" s="9">
        <v>45901</v>
      </c>
      <c r="G2" s="10">
        <f>DATEDIF(E2,F2,"M")</f>
        <v>29</v>
      </c>
      <c r="H2" s="20" t="s">
        <v>700</v>
      </c>
      <c r="I2" s="7" t="s">
        <v>706</v>
      </c>
      <c r="J2" s="11">
        <v>24.43</v>
      </c>
      <c r="K2" s="7" t="s">
        <v>289</v>
      </c>
      <c r="L2" s="12">
        <v>0.125</v>
      </c>
      <c r="M2" s="11">
        <v>3.05</v>
      </c>
      <c r="N2" s="11">
        <v>0</v>
      </c>
      <c r="O2" s="11">
        <v>3.05</v>
      </c>
      <c r="P2" s="7"/>
    </row>
    <row r="3" spans="1:16" s="13" customFormat="1" ht="15" customHeight="1" x14ac:dyDescent="0.25">
      <c r="A3" s="7" t="s">
        <v>71</v>
      </c>
      <c r="B3" s="7">
        <v>17528908</v>
      </c>
      <c r="C3" s="8">
        <v>4151407821</v>
      </c>
      <c r="D3" s="7" t="s">
        <v>613</v>
      </c>
      <c r="E3" s="9">
        <v>45128</v>
      </c>
      <c r="F3" s="9">
        <v>45901</v>
      </c>
      <c r="G3" s="10">
        <f>DATEDIF(E3,F3,"M")</f>
        <v>25</v>
      </c>
      <c r="H3" s="20" t="s">
        <v>700</v>
      </c>
      <c r="I3" s="7" t="s">
        <v>706</v>
      </c>
      <c r="J3" s="11">
        <v>72.44</v>
      </c>
      <c r="K3" s="7" t="s">
        <v>289</v>
      </c>
      <c r="L3" s="12">
        <v>0.125</v>
      </c>
      <c r="M3" s="11">
        <v>9.06</v>
      </c>
      <c r="N3" s="11">
        <v>0</v>
      </c>
      <c r="O3" s="11">
        <v>9.06</v>
      </c>
      <c r="P3" s="7"/>
    </row>
    <row r="4" spans="1:16" s="13" customFormat="1" ht="15" customHeight="1" x14ac:dyDescent="0.25">
      <c r="A4" s="7" t="s">
        <v>303</v>
      </c>
      <c r="B4" s="7">
        <v>15278437</v>
      </c>
      <c r="C4" s="8">
        <v>4151415838</v>
      </c>
      <c r="D4" s="7" t="s">
        <v>615</v>
      </c>
      <c r="E4" s="9">
        <v>45155</v>
      </c>
      <c r="F4" s="9">
        <v>45901</v>
      </c>
      <c r="G4" s="10">
        <f>DATEDIF(E4,F4,"M")</f>
        <v>24</v>
      </c>
      <c r="H4" s="20" t="s">
        <v>700</v>
      </c>
      <c r="I4" s="7" t="s">
        <v>706</v>
      </c>
      <c r="J4" s="11">
        <v>51.19</v>
      </c>
      <c r="K4" s="7" t="s">
        <v>289</v>
      </c>
      <c r="L4" s="12">
        <v>0.125</v>
      </c>
      <c r="M4" s="11">
        <v>6.4</v>
      </c>
      <c r="N4" s="11">
        <v>0</v>
      </c>
      <c r="O4" s="11">
        <v>6.4</v>
      </c>
      <c r="P4" s="7"/>
    </row>
    <row r="5" spans="1:16" s="13" customFormat="1" ht="15" customHeight="1" x14ac:dyDescent="0.25">
      <c r="A5" s="7" t="s">
        <v>51</v>
      </c>
      <c r="B5" s="7">
        <v>9079571</v>
      </c>
      <c r="C5" s="8">
        <v>4151448094</v>
      </c>
      <c r="D5" s="7" t="s">
        <v>288</v>
      </c>
      <c r="E5" s="9">
        <v>45257</v>
      </c>
      <c r="F5" s="9">
        <v>45901</v>
      </c>
      <c r="G5" s="10">
        <f>DATEDIF(E5,F5,"M")</f>
        <v>21</v>
      </c>
      <c r="H5" s="20" t="s">
        <v>700</v>
      </c>
      <c r="I5" s="7" t="s">
        <v>705</v>
      </c>
      <c r="J5" s="11">
        <v>78.849999999999994</v>
      </c>
      <c r="K5" s="7" t="s">
        <v>289</v>
      </c>
      <c r="L5" s="12">
        <v>0.12</v>
      </c>
      <c r="M5" s="11">
        <v>9.4600000000000009</v>
      </c>
      <c r="N5" s="11">
        <v>0</v>
      </c>
      <c r="O5" s="11">
        <v>9.4600000000000009</v>
      </c>
      <c r="P5" s="7"/>
    </row>
    <row r="6" spans="1:16" s="13" customFormat="1" ht="15" customHeight="1" x14ac:dyDescent="0.25">
      <c r="A6" s="7" t="s">
        <v>51</v>
      </c>
      <c r="B6" s="7">
        <v>9079571</v>
      </c>
      <c r="C6" s="8">
        <v>4151474580</v>
      </c>
      <c r="D6" s="7" t="s">
        <v>291</v>
      </c>
      <c r="E6" s="9">
        <v>45307</v>
      </c>
      <c r="F6" s="9">
        <v>45901</v>
      </c>
      <c r="G6" s="10">
        <f>DATEDIF(E6,F6,"M")</f>
        <v>19</v>
      </c>
      <c r="H6" s="20" t="s">
        <v>700</v>
      </c>
      <c r="I6" s="7" t="s">
        <v>706</v>
      </c>
      <c r="J6" s="11">
        <v>92.5</v>
      </c>
      <c r="K6" s="7" t="s">
        <v>289</v>
      </c>
      <c r="L6" s="12">
        <v>0.125</v>
      </c>
      <c r="M6" s="11">
        <v>11.56</v>
      </c>
      <c r="N6" s="11">
        <v>0</v>
      </c>
      <c r="O6" s="11">
        <v>11.56</v>
      </c>
      <c r="P6" s="7"/>
    </row>
    <row r="7" spans="1:16" ht="15" customHeight="1" x14ac:dyDescent="0.25">
      <c r="A7" s="7" t="s">
        <v>51</v>
      </c>
      <c r="B7" s="7">
        <v>9079571</v>
      </c>
      <c r="C7" s="8">
        <v>4151474581</v>
      </c>
      <c r="D7" s="7" t="s">
        <v>291</v>
      </c>
      <c r="E7" s="9">
        <v>45307</v>
      </c>
      <c r="F7" s="9">
        <v>45901</v>
      </c>
      <c r="G7" s="10">
        <f>DATEDIF(E7,F7,"M")</f>
        <v>19</v>
      </c>
      <c r="H7" s="20" t="s">
        <v>700</v>
      </c>
      <c r="I7" s="7" t="s">
        <v>705</v>
      </c>
      <c r="J7" s="11">
        <v>20.16</v>
      </c>
      <c r="K7" s="7" t="s">
        <v>289</v>
      </c>
      <c r="L7" s="12">
        <v>0.12</v>
      </c>
      <c r="M7" s="11">
        <v>2.42</v>
      </c>
      <c r="N7" s="11">
        <v>0</v>
      </c>
      <c r="O7" s="11">
        <v>2.42</v>
      </c>
      <c r="P7" s="7" t="s">
        <v>715</v>
      </c>
    </row>
    <row r="8" spans="1:16" ht="15" customHeight="1" x14ac:dyDescent="0.25">
      <c r="A8" s="7" t="s">
        <v>51</v>
      </c>
      <c r="B8" s="7">
        <v>9079571</v>
      </c>
      <c r="C8" s="8">
        <v>4151474839</v>
      </c>
      <c r="D8" s="7" t="s">
        <v>294</v>
      </c>
      <c r="E8" s="9">
        <v>45341</v>
      </c>
      <c r="F8" s="9">
        <v>45901</v>
      </c>
      <c r="G8" s="10">
        <f>DATEDIF(E8,F8,"M")</f>
        <v>18</v>
      </c>
      <c r="H8" s="20" t="s">
        <v>700</v>
      </c>
      <c r="I8" s="7" t="s">
        <v>705</v>
      </c>
      <c r="J8" s="11">
        <v>38.39</v>
      </c>
      <c r="K8" s="7" t="s">
        <v>289</v>
      </c>
      <c r="L8" s="12">
        <v>0.12</v>
      </c>
      <c r="M8" s="11">
        <v>4.6100000000000003</v>
      </c>
      <c r="N8" s="11">
        <v>0</v>
      </c>
      <c r="O8" s="11">
        <v>4.6100000000000003</v>
      </c>
    </row>
    <row r="9" spans="1:16" ht="15" customHeight="1" x14ac:dyDescent="0.25">
      <c r="A9" s="7" t="s">
        <v>51</v>
      </c>
      <c r="B9" s="7">
        <v>9079571</v>
      </c>
      <c r="C9" s="8">
        <v>4151475370</v>
      </c>
      <c r="D9" s="7" t="s">
        <v>296</v>
      </c>
      <c r="E9" s="9">
        <v>45309</v>
      </c>
      <c r="F9" s="9">
        <v>45901</v>
      </c>
      <c r="G9" s="10">
        <f>DATEDIF(E9,F9,"M")</f>
        <v>19</v>
      </c>
      <c r="H9" s="20" t="s">
        <v>700</v>
      </c>
      <c r="I9" s="7" t="s">
        <v>705</v>
      </c>
      <c r="J9" s="11">
        <v>40.39</v>
      </c>
      <c r="K9" s="7" t="s">
        <v>289</v>
      </c>
      <c r="L9" s="12">
        <v>0.12</v>
      </c>
      <c r="M9" s="11">
        <v>4.8499999999999996</v>
      </c>
      <c r="N9" s="11">
        <v>0</v>
      </c>
      <c r="O9" s="11">
        <v>4.8499999999999996</v>
      </c>
    </row>
    <row r="10" spans="1:16" ht="15" customHeight="1" x14ac:dyDescent="0.25">
      <c r="A10" s="7" t="s">
        <v>51</v>
      </c>
      <c r="B10" s="7">
        <v>9079571</v>
      </c>
      <c r="C10" s="8">
        <v>4151479424</v>
      </c>
      <c r="D10" s="7" t="s">
        <v>298</v>
      </c>
      <c r="E10" s="9">
        <v>45317</v>
      </c>
      <c r="F10" s="9">
        <v>45901</v>
      </c>
      <c r="G10" s="10">
        <f>DATEDIF(E10,F10,"M")</f>
        <v>19</v>
      </c>
      <c r="H10" s="20" t="s">
        <v>700</v>
      </c>
      <c r="I10" s="7" t="s">
        <v>705</v>
      </c>
      <c r="J10" s="11">
        <v>52.34</v>
      </c>
      <c r="K10" s="7" t="s">
        <v>289</v>
      </c>
      <c r="L10" s="12">
        <v>0.12</v>
      </c>
      <c r="M10" s="11">
        <v>6.28</v>
      </c>
      <c r="N10" s="11">
        <v>0</v>
      </c>
      <c r="O10" s="11">
        <v>6.28</v>
      </c>
    </row>
    <row r="11" spans="1:16" ht="15" customHeight="1" x14ac:dyDescent="0.25">
      <c r="A11" s="7" t="s">
        <v>71</v>
      </c>
      <c r="B11" s="7">
        <v>17528908</v>
      </c>
      <c r="C11" s="8">
        <v>4151486528</v>
      </c>
      <c r="D11" s="7" t="s">
        <v>300</v>
      </c>
      <c r="E11" s="9">
        <v>45350</v>
      </c>
      <c r="F11" s="9">
        <v>45901</v>
      </c>
      <c r="G11" s="10">
        <f>DATEDIF(E11,F11,"M")</f>
        <v>18</v>
      </c>
      <c r="H11" s="20" t="s">
        <v>700</v>
      </c>
      <c r="I11" s="7" t="s">
        <v>706</v>
      </c>
      <c r="J11" s="11">
        <v>34.78</v>
      </c>
      <c r="K11" s="7" t="s">
        <v>289</v>
      </c>
      <c r="L11" s="12">
        <v>0.125</v>
      </c>
      <c r="M11" s="11">
        <v>4.3499999999999996</v>
      </c>
      <c r="N11" s="11">
        <v>0</v>
      </c>
      <c r="O11" s="11">
        <v>4.3499999999999996</v>
      </c>
    </row>
    <row r="12" spans="1:16" ht="15" customHeight="1" x14ac:dyDescent="0.25">
      <c r="A12" s="7" t="s">
        <v>51</v>
      </c>
      <c r="B12" s="7">
        <v>9079571</v>
      </c>
      <c r="C12" s="8">
        <v>4151487382</v>
      </c>
      <c r="D12" s="7" t="s">
        <v>302</v>
      </c>
      <c r="E12" s="9">
        <v>45343</v>
      </c>
      <c r="F12" s="9">
        <v>45901</v>
      </c>
      <c r="G12" s="10">
        <f>DATEDIF(E12,F12,"M")</f>
        <v>18</v>
      </c>
      <c r="H12" s="20" t="s">
        <v>700</v>
      </c>
      <c r="I12" s="7" t="s">
        <v>705</v>
      </c>
      <c r="J12" s="11">
        <v>40.39</v>
      </c>
      <c r="K12" s="7" t="s">
        <v>289</v>
      </c>
      <c r="L12" s="12">
        <v>0.12</v>
      </c>
      <c r="M12" s="11">
        <v>4.8499999999999996</v>
      </c>
      <c r="N12" s="11">
        <v>0</v>
      </c>
      <c r="O12" s="11">
        <v>4.8499999999999996</v>
      </c>
    </row>
    <row r="13" spans="1:16" ht="15" customHeight="1" x14ac:dyDescent="0.25">
      <c r="A13" s="7" t="s">
        <v>303</v>
      </c>
      <c r="B13" s="7">
        <v>15278437</v>
      </c>
      <c r="C13" s="8">
        <v>4151488177</v>
      </c>
      <c r="D13" s="7" t="s">
        <v>306</v>
      </c>
      <c r="E13" s="9">
        <v>45350</v>
      </c>
      <c r="F13" s="9">
        <v>45901</v>
      </c>
      <c r="G13" s="10">
        <f>DATEDIF(E13,F13,"M")</f>
        <v>18</v>
      </c>
      <c r="H13" s="20" t="s">
        <v>700</v>
      </c>
      <c r="I13" s="7" t="s">
        <v>706</v>
      </c>
      <c r="J13" s="11">
        <v>43.37</v>
      </c>
      <c r="K13" s="7" t="s">
        <v>289</v>
      </c>
      <c r="L13" s="12">
        <v>0.125</v>
      </c>
      <c r="M13" s="11">
        <v>5.42</v>
      </c>
      <c r="N13" s="11">
        <v>0</v>
      </c>
      <c r="O13" s="11">
        <v>5.42</v>
      </c>
    </row>
    <row r="14" spans="1:16" ht="15" customHeight="1" x14ac:dyDescent="0.25">
      <c r="A14" s="7" t="s">
        <v>51</v>
      </c>
      <c r="B14" s="7">
        <v>9079571</v>
      </c>
      <c r="C14" s="8">
        <v>4151488383</v>
      </c>
      <c r="D14" s="7" t="s">
        <v>308</v>
      </c>
      <c r="E14" s="9">
        <v>45344</v>
      </c>
      <c r="F14" s="9">
        <v>45901</v>
      </c>
      <c r="G14" s="10">
        <f>DATEDIF(E14,F14,"M")</f>
        <v>18</v>
      </c>
      <c r="H14" s="20" t="s">
        <v>700</v>
      </c>
      <c r="I14" s="7" t="s">
        <v>705</v>
      </c>
      <c r="J14" s="11">
        <v>20.16</v>
      </c>
      <c r="K14" s="7" t="s">
        <v>289</v>
      </c>
      <c r="L14" s="12">
        <v>0.12</v>
      </c>
      <c r="M14" s="11">
        <v>2.42</v>
      </c>
      <c r="N14" s="11">
        <v>0</v>
      </c>
      <c r="O14" s="11">
        <v>2.42</v>
      </c>
      <c r="P14" s="7" t="s">
        <v>715</v>
      </c>
    </row>
    <row r="15" spans="1:16" ht="15" customHeight="1" x14ac:dyDescent="0.25">
      <c r="A15" s="7" t="s">
        <v>303</v>
      </c>
      <c r="B15" s="7">
        <v>15278437</v>
      </c>
      <c r="C15" s="8">
        <v>4151488391</v>
      </c>
      <c r="D15" s="7" t="s">
        <v>306</v>
      </c>
      <c r="E15" s="9">
        <v>45344</v>
      </c>
      <c r="F15" s="9">
        <v>45901</v>
      </c>
      <c r="G15" s="10">
        <f>DATEDIF(E15,F15,"M")</f>
        <v>18</v>
      </c>
      <c r="H15" s="20" t="s">
        <v>700</v>
      </c>
      <c r="I15" s="7" t="s">
        <v>705</v>
      </c>
      <c r="J15" s="11">
        <v>53.41</v>
      </c>
      <c r="K15" s="7" t="s">
        <v>289</v>
      </c>
      <c r="L15" s="12">
        <v>0.12</v>
      </c>
      <c r="M15" s="11">
        <v>6.41</v>
      </c>
      <c r="N15" s="11">
        <v>0</v>
      </c>
      <c r="O15" s="11">
        <v>6.41</v>
      </c>
    </row>
    <row r="16" spans="1:16" ht="15" customHeight="1" x14ac:dyDescent="0.25">
      <c r="A16" s="7" t="s">
        <v>51</v>
      </c>
      <c r="B16" s="7">
        <v>9079571</v>
      </c>
      <c r="C16" s="8">
        <v>4151488395</v>
      </c>
      <c r="D16" s="7" t="s">
        <v>311</v>
      </c>
      <c r="E16" s="9">
        <v>45345</v>
      </c>
      <c r="F16" s="9">
        <v>45901</v>
      </c>
      <c r="G16" s="10">
        <f>DATEDIF(E16,F16,"M")</f>
        <v>18</v>
      </c>
      <c r="H16" s="20" t="s">
        <v>700</v>
      </c>
      <c r="I16" s="7" t="s">
        <v>705</v>
      </c>
      <c r="J16" s="11">
        <v>40.39</v>
      </c>
      <c r="K16" s="7" t="s">
        <v>289</v>
      </c>
      <c r="L16" s="12">
        <v>0.12</v>
      </c>
      <c r="M16" s="11">
        <v>4.8499999999999996</v>
      </c>
      <c r="N16" s="11">
        <v>0</v>
      </c>
      <c r="O16" s="11">
        <v>4.8499999999999996</v>
      </c>
    </row>
    <row r="17" spans="1:15" ht="15" customHeight="1" x14ac:dyDescent="0.25">
      <c r="A17" s="7" t="s">
        <v>51</v>
      </c>
      <c r="B17" s="7">
        <v>9079571</v>
      </c>
      <c r="C17" s="8">
        <v>4151488733</v>
      </c>
      <c r="D17" s="7" t="s">
        <v>313</v>
      </c>
      <c r="E17" s="9">
        <v>45348</v>
      </c>
      <c r="F17" s="9">
        <v>45901</v>
      </c>
      <c r="G17" s="10">
        <f>DATEDIF(E17,F17,"M")</f>
        <v>18</v>
      </c>
      <c r="H17" s="20" t="s">
        <v>700</v>
      </c>
      <c r="I17" s="7" t="s">
        <v>705</v>
      </c>
      <c r="J17" s="11">
        <v>35.22</v>
      </c>
      <c r="K17" s="7" t="s">
        <v>289</v>
      </c>
      <c r="L17" s="12">
        <v>0.12</v>
      </c>
      <c r="M17" s="11">
        <v>4.2300000000000004</v>
      </c>
      <c r="N17" s="11">
        <v>0</v>
      </c>
      <c r="O17" s="11">
        <v>4.2300000000000004</v>
      </c>
    </row>
    <row r="18" spans="1:15" ht="15" customHeight="1" x14ac:dyDescent="0.25">
      <c r="A18" s="7" t="s">
        <v>51</v>
      </c>
      <c r="B18" s="7">
        <v>9079571</v>
      </c>
      <c r="C18" s="8">
        <v>4151489083</v>
      </c>
      <c r="D18" s="7" t="s">
        <v>315</v>
      </c>
      <c r="E18" s="9">
        <v>45350</v>
      </c>
      <c r="F18" s="9">
        <v>45901</v>
      </c>
      <c r="G18" s="10">
        <f>DATEDIF(E18,F18,"M")</f>
        <v>18</v>
      </c>
      <c r="H18" s="20" t="s">
        <v>700</v>
      </c>
      <c r="I18" s="7" t="s">
        <v>706</v>
      </c>
      <c r="J18" s="11">
        <v>82.02</v>
      </c>
      <c r="K18" s="7" t="s">
        <v>289</v>
      </c>
      <c r="L18" s="12">
        <v>0.125</v>
      </c>
      <c r="M18" s="11">
        <v>10.25</v>
      </c>
      <c r="N18" s="11">
        <v>0</v>
      </c>
      <c r="O18" s="11">
        <v>10.25</v>
      </c>
    </row>
    <row r="19" spans="1:15" ht="15" customHeight="1" x14ac:dyDescent="0.25">
      <c r="A19" s="7" t="s">
        <v>71</v>
      </c>
      <c r="B19" s="7">
        <v>17528908</v>
      </c>
      <c r="C19" s="8">
        <v>4151495181</v>
      </c>
      <c r="D19" s="7" t="s">
        <v>317</v>
      </c>
      <c r="E19" s="9">
        <v>45369</v>
      </c>
      <c r="F19" s="9">
        <v>45901</v>
      </c>
      <c r="G19" s="10">
        <f>DATEDIF(E19,F19,"M")</f>
        <v>17</v>
      </c>
      <c r="H19" s="20" t="s">
        <v>700</v>
      </c>
      <c r="I19" s="7" t="s">
        <v>706</v>
      </c>
      <c r="J19" s="11">
        <v>52.41</v>
      </c>
      <c r="K19" s="7" t="s">
        <v>289</v>
      </c>
      <c r="L19" s="12">
        <v>0.125</v>
      </c>
      <c r="M19" s="11">
        <v>6.55</v>
      </c>
      <c r="N19" s="11">
        <v>0</v>
      </c>
      <c r="O19" s="11">
        <v>6.55</v>
      </c>
    </row>
    <row r="20" spans="1:15" ht="15" customHeight="1" x14ac:dyDescent="0.25">
      <c r="A20" s="7" t="s">
        <v>51</v>
      </c>
      <c r="B20" s="7">
        <v>9079571</v>
      </c>
      <c r="C20" s="8">
        <v>4151496435</v>
      </c>
      <c r="D20" s="7" t="s">
        <v>319</v>
      </c>
      <c r="E20" s="9">
        <v>45372</v>
      </c>
      <c r="F20" s="9">
        <v>45901</v>
      </c>
      <c r="G20" s="10">
        <f>DATEDIF(E20,F20,"M")</f>
        <v>17</v>
      </c>
      <c r="H20" s="20" t="s">
        <v>700</v>
      </c>
      <c r="I20" s="7" t="s">
        <v>705</v>
      </c>
      <c r="J20" s="11">
        <v>38.39</v>
      </c>
      <c r="K20" s="7" t="s">
        <v>289</v>
      </c>
      <c r="L20" s="12">
        <v>0.12</v>
      </c>
      <c r="M20" s="11">
        <v>4.6100000000000003</v>
      </c>
      <c r="N20" s="11">
        <v>0</v>
      </c>
      <c r="O20" s="11">
        <v>4.6100000000000003</v>
      </c>
    </row>
    <row r="21" spans="1:15" ht="15" customHeight="1" x14ac:dyDescent="0.25">
      <c r="A21" s="7" t="s">
        <v>51</v>
      </c>
      <c r="B21" s="7">
        <v>9079571</v>
      </c>
      <c r="C21" s="8">
        <v>4151496673</v>
      </c>
      <c r="D21" s="7" t="s">
        <v>321</v>
      </c>
      <c r="E21" s="9">
        <v>45372</v>
      </c>
      <c r="F21" s="9">
        <v>45901</v>
      </c>
      <c r="G21" s="10">
        <f>DATEDIF(E21,F21,"M")</f>
        <v>17</v>
      </c>
      <c r="H21" s="20" t="s">
        <v>700</v>
      </c>
      <c r="I21" s="7" t="s">
        <v>705</v>
      </c>
      <c r="J21" s="11">
        <v>38.39</v>
      </c>
      <c r="K21" s="7" t="s">
        <v>289</v>
      </c>
      <c r="L21" s="12">
        <v>0.12</v>
      </c>
      <c r="M21" s="11">
        <v>4.6100000000000003</v>
      </c>
      <c r="N21" s="11">
        <v>0</v>
      </c>
      <c r="O21" s="11">
        <v>4.6100000000000003</v>
      </c>
    </row>
    <row r="22" spans="1:15" ht="15" customHeight="1" x14ac:dyDescent="0.25">
      <c r="A22" s="7" t="s">
        <v>51</v>
      </c>
      <c r="B22" s="7">
        <v>9079571</v>
      </c>
      <c r="C22" s="8">
        <v>4151499145</v>
      </c>
      <c r="D22" s="7" t="s">
        <v>323</v>
      </c>
      <c r="E22" s="9">
        <v>45377</v>
      </c>
      <c r="F22" s="9">
        <v>45901</v>
      </c>
      <c r="G22" s="10">
        <f>DATEDIF(E22,F22,"M")</f>
        <v>17</v>
      </c>
      <c r="H22" s="20" t="s">
        <v>700</v>
      </c>
      <c r="I22" s="7" t="s">
        <v>705</v>
      </c>
      <c r="J22" s="11">
        <v>73.64</v>
      </c>
      <c r="K22" s="7" t="s">
        <v>289</v>
      </c>
      <c r="L22" s="12">
        <v>0.12</v>
      </c>
      <c r="M22" s="11">
        <v>8.84</v>
      </c>
      <c r="N22" s="11">
        <v>0</v>
      </c>
      <c r="O22" s="11">
        <v>8.84</v>
      </c>
    </row>
    <row r="23" spans="1:15" ht="15" customHeight="1" x14ac:dyDescent="0.25">
      <c r="A23" s="7" t="s">
        <v>51</v>
      </c>
      <c r="B23" s="7">
        <v>9079571</v>
      </c>
      <c r="C23" s="8">
        <v>4151499149</v>
      </c>
      <c r="D23" s="7" t="s">
        <v>323</v>
      </c>
      <c r="E23" s="9">
        <v>45378</v>
      </c>
      <c r="F23" s="9">
        <v>45901</v>
      </c>
      <c r="G23" s="10">
        <f>DATEDIF(E23,F23,"M")</f>
        <v>17</v>
      </c>
      <c r="H23" s="20" t="s">
        <v>700</v>
      </c>
      <c r="I23" s="7" t="s">
        <v>706</v>
      </c>
      <c r="J23" s="11">
        <v>82.59</v>
      </c>
      <c r="K23" s="7" t="s">
        <v>289</v>
      </c>
      <c r="L23" s="12">
        <v>0.125</v>
      </c>
      <c r="M23" s="11">
        <v>10.32</v>
      </c>
      <c r="N23" s="11">
        <v>0</v>
      </c>
      <c r="O23" s="11">
        <v>10.32</v>
      </c>
    </row>
    <row r="24" spans="1:15" ht="15" customHeight="1" x14ac:dyDescent="0.25">
      <c r="A24" s="7" t="s">
        <v>51</v>
      </c>
      <c r="B24" s="7">
        <v>9079571</v>
      </c>
      <c r="C24" s="8">
        <v>4151499232</v>
      </c>
      <c r="D24" s="7" t="s">
        <v>326</v>
      </c>
      <c r="E24" s="9">
        <v>45378</v>
      </c>
      <c r="F24" s="9">
        <v>45901</v>
      </c>
      <c r="G24" s="10">
        <f>DATEDIF(E24,F24,"M")</f>
        <v>17</v>
      </c>
      <c r="H24" s="20" t="s">
        <v>700</v>
      </c>
      <c r="I24" s="7" t="s">
        <v>705</v>
      </c>
      <c r="J24" s="11">
        <v>71.69</v>
      </c>
      <c r="K24" s="7" t="s">
        <v>289</v>
      </c>
      <c r="L24" s="12">
        <v>0.12</v>
      </c>
      <c r="M24" s="11">
        <v>8.6</v>
      </c>
      <c r="N24" s="11">
        <v>0</v>
      </c>
      <c r="O24" s="11">
        <v>8.6</v>
      </c>
    </row>
    <row r="25" spans="1:15" ht="15" customHeight="1" x14ac:dyDescent="0.25">
      <c r="A25" s="7" t="s">
        <v>51</v>
      </c>
      <c r="B25" s="7">
        <v>9079571</v>
      </c>
      <c r="C25" s="8">
        <v>4151499578</v>
      </c>
      <c r="D25" s="7" t="s">
        <v>328</v>
      </c>
      <c r="E25" s="9">
        <v>45378</v>
      </c>
      <c r="F25" s="9">
        <v>45901</v>
      </c>
      <c r="G25" s="10">
        <f>DATEDIF(E25,F25,"M")</f>
        <v>17</v>
      </c>
      <c r="H25" s="20" t="s">
        <v>700</v>
      </c>
      <c r="I25" s="7" t="s">
        <v>705</v>
      </c>
      <c r="J25" s="11">
        <v>32.68</v>
      </c>
      <c r="K25" s="7" t="s">
        <v>289</v>
      </c>
      <c r="L25" s="12">
        <v>0.12</v>
      </c>
      <c r="M25" s="11">
        <v>3.92</v>
      </c>
      <c r="N25" s="11">
        <v>0</v>
      </c>
      <c r="O25" s="11">
        <v>3.92</v>
      </c>
    </row>
    <row r="26" spans="1:15" ht="15" customHeight="1" x14ac:dyDescent="0.25">
      <c r="A26" s="7" t="s">
        <v>51</v>
      </c>
      <c r="B26" s="7">
        <v>9079571</v>
      </c>
      <c r="C26" s="8">
        <v>4151499802</v>
      </c>
      <c r="D26" s="7" t="s">
        <v>330</v>
      </c>
      <c r="E26" s="9">
        <v>45434</v>
      </c>
      <c r="F26" s="9">
        <v>45901</v>
      </c>
      <c r="G26" s="10">
        <f>DATEDIF(E26,F26,"M")</f>
        <v>15</v>
      </c>
      <c r="H26" s="20" t="s">
        <v>700</v>
      </c>
      <c r="I26" s="7" t="s">
        <v>705</v>
      </c>
      <c r="J26" s="11">
        <v>52.91</v>
      </c>
      <c r="K26" s="7" t="s">
        <v>289</v>
      </c>
      <c r="L26" s="12">
        <v>0.12</v>
      </c>
      <c r="M26" s="11">
        <v>6.35</v>
      </c>
      <c r="N26" s="11">
        <v>0</v>
      </c>
      <c r="O26" s="11">
        <v>6.35</v>
      </c>
    </row>
    <row r="27" spans="1:15" ht="15" customHeight="1" x14ac:dyDescent="0.25">
      <c r="A27" s="7" t="s">
        <v>211</v>
      </c>
      <c r="B27" s="7">
        <v>16202925</v>
      </c>
      <c r="C27" s="8">
        <v>4151506447</v>
      </c>
      <c r="D27" s="7" t="s">
        <v>332</v>
      </c>
      <c r="E27" s="9">
        <v>45407</v>
      </c>
      <c r="F27" s="9">
        <v>45901</v>
      </c>
      <c r="G27" s="10">
        <f>DATEDIF(E27,F27,"M")</f>
        <v>16</v>
      </c>
      <c r="H27" s="20" t="s">
        <v>700</v>
      </c>
      <c r="I27" s="7" t="s">
        <v>703</v>
      </c>
      <c r="J27" s="11">
        <v>45.24</v>
      </c>
      <c r="K27" s="7" t="s">
        <v>289</v>
      </c>
      <c r="L27" s="12">
        <v>0.06</v>
      </c>
      <c r="M27" s="11">
        <v>2.71</v>
      </c>
      <c r="N27" s="11">
        <v>0</v>
      </c>
      <c r="O27" s="11">
        <v>2.71</v>
      </c>
    </row>
    <row r="28" spans="1:15" ht="15" customHeight="1" x14ac:dyDescent="0.25">
      <c r="A28" s="7" t="s">
        <v>51</v>
      </c>
      <c r="B28" s="7">
        <v>9079571</v>
      </c>
      <c r="C28" s="8">
        <v>4151506812</v>
      </c>
      <c r="D28" s="7" t="s">
        <v>335</v>
      </c>
      <c r="E28" s="9">
        <v>45399</v>
      </c>
      <c r="F28" s="9">
        <v>45901</v>
      </c>
      <c r="G28" s="10">
        <f>DATEDIF(E28,F28,"M")</f>
        <v>16</v>
      </c>
      <c r="H28" s="20" t="s">
        <v>700</v>
      </c>
      <c r="I28" s="7" t="s">
        <v>706</v>
      </c>
      <c r="J28" s="11">
        <v>78.319999999999993</v>
      </c>
      <c r="K28" s="7" t="s">
        <v>289</v>
      </c>
      <c r="L28" s="12">
        <v>0.125</v>
      </c>
      <c r="M28" s="11">
        <v>9.7899999999999991</v>
      </c>
      <c r="N28" s="11">
        <v>0</v>
      </c>
      <c r="O28" s="11">
        <v>9.7899999999999991</v>
      </c>
    </row>
    <row r="29" spans="1:15" ht="15" customHeight="1" x14ac:dyDescent="0.25">
      <c r="A29" s="7" t="s">
        <v>51</v>
      </c>
      <c r="B29" s="7">
        <v>9079571</v>
      </c>
      <c r="C29" s="8">
        <v>4151506813</v>
      </c>
      <c r="D29" s="7" t="s">
        <v>335</v>
      </c>
      <c r="E29" s="9">
        <v>45399</v>
      </c>
      <c r="F29" s="9">
        <v>45901</v>
      </c>
      <c r="G29" s="10">
        <f>DATEDIF(E29,F29,"M")</f>
        <v>16</v>
      </c>
      <c r="H29" s="20" t="s">
        <v>700</v>
      </c>
      <c r="I29" s="7" t="s">
        <v>705</v>
      </c>
      <c r="J29" s="11">
        <v>38.39</v>
      </c>
      <c r="K29" s="7" t="s">
        <v>289</v>
      </c>
      <c r="L29" s="12">
        <v>0.12</v>
      </c>
      <c r="M29" s="11">
        <v>4.6100000000000003</v>
      </c>
      <c r="N29" s="11">
        <v>0</v>
      </c>
      <c r="O29" s="11">
        <v>4.6100000000000003</v>
      </c>
    </row>
    <row r="30" spans="1:15" ht="15" customHeight="1" x14ac:dyDescent="0.25">
      <c r="A30" s="7" t="s">
        <v>51</v>
      </c>
      <c r="B30" s="7">
        <v>9079571</v>
      </c>
      <c r="C30" s="8">
        <v>4151506816</v>
      </c>
      <c r="D30" s="7" t="s">
        <v>338</v>
      </c>
      <c r="E30" s="9">
        <v>45399</v>
      </c>
      <c r="F30" s="9">
        <v>45901</v>
      </c>
      <c r="G30" s="10">
        <f>DATEDIF(E30,F30,"M")</f>
        <v>16</v>
      </c>
      <c r="H30" s="20" t="s">
        <v>700</v>
      </c>
      <c r="I30" s="7" t="s">
        <v>706</v>
      </c>
      <c r="J30" s="11">
        <v>57.83</v>
      </c>
      <c r="K30" s="7" t="s">
        <v>289</v>
      </c>
      <c r="L30" s="12">
        <v>0.125</v>
      </c>
      <c r="M30" s="11">
        <v>7.23</v>
      </c>
      <c r="N30" s="11">
        <v>0</v>
      </c>
      <c r="O30" s="11">
        <v>7.23</v>
      </c>
    </row>
    <row r="31" spans="1:15" ht="15" customHeight="1" x14ac:dyDescent="0.25">
      <c r="A31" s="7" t="s">
        <v>51</v>
      </c>
      <c r="B31" s="7">
        <v>9079571</v>
      </c>
      <c r="C31" s="8">
        <v>4151506817</v>
      </c>
      <c r="D31" s="7" t="s">
        <v>338</v>
      </c>
      <c r="E31" s="9">
        <v>45399</v>
      </c>
      <c r="F31" s="9">
        <v>45901</v>
      </c>
      <c r="G31" s="10">
        <f>DATEDIF(E31,F31,"M")</f>
        <v>16</v>
      </c>
      <c r="H31" s="20" t="s">
        <v>700</v>
      </c>
      <c r="I31" s="7" t="s">
        <v>705</v>
      </c>
      <c r="J31" s="11">
        <v>38.39</v>
      </c>
      <c r="K31" s="7" t="s">
        <v>289</v>
      </c>
      <c r="L31" s="12">
        <v>0.12</v>
      </c>
      <c r="M31" s="11">
        <v>4.6100000000000003</v>
      </c>
      <c r="N31" s="11">
        <v>0</v>
      </c>
      <c r="O31" s="11">
        <v>4.6100000000000003</v>
      </c>
    </row>
    <row r="32" spans="1:15" ht="15" customHeight="1" x14ac:dyDescent="0.25">
      <c r="A32" s="7" t="s">
        <v>51</v>
      </c>
      <c r="B32" s="7">
        <v>9079571</v>
      </c>
      <c r="C32" s="8">
        <v>4151507085</v>
      </c>
      <c r="D32" s="7" t="s">
        <v>341</v>
      </c>
      <c r="E32" s="9">
        <v>45399</v>
      </c>
      <c r="F32" s="9">
        <v>45901</v>
      </c>
      <c r="G32" s="10">
        <f>DATEDIF(E32,F32,"M")</f>
        <v>16</v>
      </c>
      <c r="H32" s="20" t="s">
        <v>700</v>
      </c>
      <c r="I32" s="7" t="s">
        <v>705</v>
      </c>
      <c r="J32" s="11">
        <v>75.25</v>
      </c>
      <c r="K32" s="7" t="s">
        <v>289</v>
      </c>
      <c r="L32" s="12">
        <v>0.12</v>
      </c>
      <c r="M32" s="11">
        <v>9.0299999999999994</v>
      </c>
      <c r="N32" s="11">
        <v>0</v>
      </c>
      <c r="O32" s="11">
        <v>9.0299999999999994</v>
      </c>
    </row>
    <row r="33" spans="1:16" ht="15" customHeight="1" x14ac:dyDescent="0.25">
      <c r="A33" s="7" t="s">
        <v>51</v>
      </c>
      <c r="B33" s="7">
        <v>9079571</v>
      </c>
      <c r="C33" s="8">
        <v>4151507086</v>
      </c>
      <c r="D33" s="7" t="s">
        <v>343</v>
      </c>
      <c r="E33" s="9">
        <v>45399</v>
      </c>
      <c r="F33" s="9">
        <v>45901</v>
      </c>
      <c r="G33" s="10">
        <f>DATEDIF(E33,F33,"M")</f>
        <v>16</v>
      </c>
      <c r="H33" s="20" t="s">
        <v>700</v>
      </c>
      <c r="I33" s="7" t="s">
        <v>705</v>
      </c>
      <c r="J33" s="11">
        <v>18.16</v>
      </c>
      <c r="K33" s="7" t="s">
        <v>289</v>
      </c>
      <c r="L33" s="12">
        <v>0.12</v>
      </c>
      <c r="M33" s="11">
        <v>2.1800000000000002</v>
      </c>
      <c r="N33" s="11">
        <v>0</v>
      </c>
      <c r="O33" s="11">
        <v>2.1800000000000002</v>
      </c>
    </row>
    <row r="34" spans="1:16" ht="15" customHeight="1" x14ac:dyDescent="0.25">
      <c r="A34" s="7" t="s">
        <v>51</v>
      </c>
      <c r="B34" s="7">
        <v>9079571</v>
      </c>
      <c r="C34" s="8">
        <v>4151507089</v>
      </c>
      <c r="D34" s="7" t="s">
        <v>345</v>
      </c>
      <c r="E34" s="9">
        <v>45398</v>
      </c>
      <c r="F34" s="9">
        <v>45901</v>
      </c>
      <c r="G34" s="10">
        <f>DATEDIF(E34,F34,"M")</f>
        <v>16</v>
      </c>
      <c r="H34" s="20" t="s">
        <v>700</v>
      </c>
      <c r="I34" s="7" t="s">
        <v>706</v>
      </c>
      <c r="J34" s="11">
        <v>114.9</v>
      </c>
      <c r="K34" s="7" t="s">
        <v>289</v>
      </c>
      <c r="L34" s="12">
        <v>0.125</v>
      </c>
      <c r="M34" s="11">
        <v>14.36</v>
      </c>
      <c r="N34" s="11">
        <v>0</v>
      </c>
      <c r="O34" s="11">
        <v>14.36</v>
      </c>
    </row>
    <row r="35" spans="1:16" ht="15" customHeight="1" x14ac:dyDescent="0.25">
      <c r="A35" s="7" t="s">
        <v>51</v>
      </c>
      <c r="B35" s="7">
        <v>9079571</v>
      </c>
      <c r="C35" s="8">
        <v>4151507957</v>
      </c>
      <c r="D35" s="7" t="s">
        <v>347</v>
      </c>
      <c r="E35" s="9">
        <v>45401</v>
      </c>
      <c r="F35" s="9">
        <v>45901</v>
      </c>
      <c r="G35" s="10">
        <f>DATEDIF(E35,F35,"M")</f>
        <v>16</v>
      </c>
      <c r="H35" s="20" t="s">
        <v>700</v>
      </c>
      <c r="I35" s="7" t="s">
        <v>705</v>
      </c>
      <c r="J35" s="11">
        <v>23.78</v>
      </c>
      <c r="K35" s="7" t="s">
        <v>289</v>
      </c>
      <c r="L35" s="12">
        <v>0.12</v>
      </c>
      <c r="M35" s="11">
        <v>2.85</v>
      </c>
      <c r="N35" s="11">
        <v>0</v>
      </c>
      <c r="O35" s="11">
        <v>2.85</v>
      </c>
    </row>
    <row r="36" spans="1:16" ht="15" customHeight="1" x14ac:dyDescent="0.25">
      <c r="A36" s="7" t="s">
        <v>51</v>
      </c>
      <c r="B36" s="7">
        <v>9079571</v>
      </c>
      <c r="C36" s="8">
        <v>4151507959</v>
      </c>
      <c r="D36" s="7" t="s">
        <v>347</v>
      </c>
      <c r="E36" s="9">
        <v>45401</v>
      </c>
      <c r="F36" s="9">
        <v>45901</v>
      </c>
      <c r="G36" s="10">
        <f>DATEDIF(E36,F36,"M")</f>
        <v>16</v>
      </c>
      <c r="H36" s="20" t="s">
        <v>700</v>
      </c>
      <c r="I36" s="7" t="s">
        <v>706</v>
      </c>
      <c r="J36" s="11">
        <v>28.69</v>
      </c>
      <c r="K36" s="7" t="s">
        <v>289</v>
      </c>
      <c r="L36" s="12">
        <v>0.125</v>
      </c>
      <c r="M36" s="11">
        <v>3.59</v>
      </c>
      <c r="N36" s="11">
        <v>0</v>
      </c>
      <c r="O36" s="11">
        <v>3.59</v>
      </c>
    </row>
    <row r="37" spans="1:16" ht="15" customHeight="1" x14ac:dyDescent="0.25">
      <c r="A37" s="7" t="s">
        <v>51</v>
      </c>
      <c r="B37" s="7">
        <v>9079571</v>
      </c>
      <c r="C37" s="8">
        <v>4151508741</v>
      </c>
      <c r="D37" s="7" t="s">
        <v>350</v>
      </c>
      <c r="E37" s="9">
        <v>45405</v>
      </c>
      <c r="F37" s="9">
        <v>45901</v>
      </c>
      <c r="G37" s="10">
        <f>DATEDIF(E37,F37,"M")</f>
        <v>16</v>
      </c>
      <c r="H37" s="20" t="s">
        <v>700</v>
      </c>
      <c r="I37" s="7" t="s">
        <v>705</v>
      </c>
      <c r="J37" s="11">
        <v>38.39</v>
      </c>
      <c r="K37" s="7" t="s">
        <v>289</v>
      </c>
      <c r="L37" s="12">
        <v>0.12</v>
      </c>
      <c r="M37" s="11">
        <v>4.6100000000000003</v>
      </c>
      <c r="N37" s="11">
        <v>0</v>
      </c>
      <c r="O37" s="11">
        <v>4.6100000000000003</v>
      </c>
    </row>
    <row r="38" spans="1:16" ht="15" customHeight="1" x14ac:dyDescent="0.25">
      <c r="A38" s="7" t="s">
        <v>51</v>
      </c>
      <c r="B38" s="7">
        <v>9079571</v>
      </c>
      <c r="C38" s="8">
        <v>4151508743</v>
      </c>
      <c r="D38" s="7" t="s">
        <v>350</v>
      </c>
      <c r="E38" s="9">
        <v>45405</v>
      </c>
      <c r="F38" s="9">
        <v>45901</v>
      </c>
      <c r="G38" s="10">
        <f>DATEDIF(E38,F38,"M")</f>
        <v>16</v>
      </c>
      <c r="H38" s="20" t="s">
        <v>700</v>
      </c>
      <c r="I38" s="7" t="s">
        <v>706</v>
      </c>
      <c r="J38" s="11">
        <v>72.77</v>
      </c>
      <c r="K38" s="7" t="s">
        <v>289</v>
      </c>
      <c r="L38" s="12">
        <v>0.125</v>
      </c>
      <c r="M38" s="11">
        <v>9.1</v>
      </c>
      <c r="N38" s="11">
        <v>0</v>
      </c>
      <c r="O38" s="11">
        <v>9.1</v>
      </c>
    </row>
    <row r="39" spans="1:16" ht="15" customHeight="1" x14ac:dyDescent="0.25">
      <c r="A39" s="7" t="s">
        <v>51</v>
      </c>
      <c r="B39" s="7">
        <v>9079571</v>
      </c>
      <c r="C39" s="8">
        <v>4151509553</v>
      </c>
      <c r="D39" s="7" t="s">
        <v>353</v>
      </c>
      <c r="E39" s="9">
        <v>45407</v>
      </c>
      <c r="F39" s="9">
        <v>45901</v>
      </c>
      <c r="G39" s="10">
        <f>DATEDIF(E39,F39,"M")</f>
        <v>16</v>
      </c>
      <c r="H39" s="20" t="s">
        <v>700</v>
      </c>
      <c r="I39" s="7" t="s">
        <v>705</v>
      </c>
      <c r="J39" s="11">
        <v>73.64</v>
      </c>
      <c r="K39" s="7" t="s">
        <v>289</v>
      </c>
      <c r="L39" s="12">
        <v>0.12</v>
      </c>
      <c r="M39" s="11">
        <v>8.84</v>
      </c>
      <c r="N39" s="11">
        <v>0</v>
      </c>
      <c r="O39" s="11">
        <v>8.84</v>
      </c>
    </row>
    <row r="40" spans="1:16" ht="15" customHeight="1" x14ac:dyDescent="0.25">
      <c r="A40" s="7" t="s">
        <v>51</v>
      </c>
      <c r="B40" s="7">
        <v>9079571</v>
      </c>
      <c r="C40" s="8">
        <v>4151509987</v>
      </c>
      <c r="D40" s="7" t="s">
        <v>355</v>
      </c>
      <c r="E40" s="9">
        <v>45408</v>
      </c>
      <c r="F40" s="9">
        <v>45901</v>
      </c>
      <c r="G40" s="10">
        <f>DATEDIF(E40,F40,"M")</f>
        <v>16</v>
      </c>
      <c r="H40" s="20" t="s">
        <v>700</v>
      </c>
      <c r="I40" s="7" t="s">
        <v>705</v>
      </c>
      <c r="J40" s="11">
        <v>78.849999999999994</v>
      </c>
      <c r="K40" s="7" t="s">
        <v>289</v>
      </c>
      <c r="L40" s="12">
        <v>0.12</v>
      </c>
      <c r="M40" s="11">
        <v>9.4600000000000009</v>
      </c>
      <c r="N40" s="11">
        <v>0</v>
      </c>
      <c r="O40" s="11">
        <v>9.4600000000000009</v>
      </c>
    </row>
    <row r="41" spans="1:16" ht="15" customHeight="1" x14ac:dyDescent="0.25">
      <c r="A41" s="7" t="s">
        <v>51</v>
      </c>
      <c r="B41" s="7">
        <v>9079571</v>
      </c>
      <c r="C41" s="8">
        <v>4151509992</v>
      </c>
      <c r="D41" s="7" t="s">
        <v>357</v>
      </c>
      <c r="E41" s="9">
        <v>45408</v>
      </c>
      <c r="F41" s="9">
        <v>45901</v>
      </c>
      <c r="G41" s="10">
        <f>DATEDIF(E41,F41,"M")</f>
        <v>16</v>
      </c>
      <c r="H41" s="20" t="s">
        <v>700</v>
      </c>
      <c r="I41" s="7" t="s">
        <v>705</v>
      </c>
      <c r="J41" s="11">
        <v>20.16</v>
      </c>
      <c r="K41" s="7" t="s">
        <v>289</v>
      </c>
      <c r="L41" s="12">
        <v>0.12</v>
      </c>
      <c r="M41" s="11">
        <v>2.42</v>
      </c>
      <c r="N41" s="11">
        <v>0</v>
      </c>
      <c r="O41" s="11">
        <v>2.42</v>
      </c>
      <c r="P41" s="7" t="s">
        <v>715</v>
      </c>
    </row>
    <row r="42" spans="1:16" ht="15" customHeight="1" x14ac:dyDescent="0.25">
      <c r="A42" s="7" t="s">
        <v>136</v>
      </c>
      <c r="B42" s="7">
        <v>19279958</v>
      </c>
      <c r="C42" s="8">
        <v>4151515419</v>
      </c>
      <c r="D42" s="7" t="s">
        <v>359</v>
      </c>
      <c r="E42" s="9">
        <v>45429</v>
      </c>
      <c r="F42" s="9">
        <v>45901</v>
      </c>
      <c r="G42" s="10">
        <f>DATEDIF(E42,F42,"M")</f>
        <v>15</v>
      </c>
      <c r="H42" s="20" t="s">
        <v>700</v>
      </c>
      <c r="I42" s="7" t="s">
        <v>705</v>
      </c>
      <c r="J42" s="11">
        <v>80.739999999999995</v>
      </c>
      <c r="K42" s="7" t="s">
        <v>289</v>
      </c>
      <c r="L42" s="12">
        <v>0.12</v>
      </c>
      <c r="M42" s="11">
        <v>9.69</v>
      </c>
      <c r="N42" s="11">
        <v>0</v>
      </c>
      <c r="O42" s="11">
        <v>9.69</v>
      </c>
    </row>
    <row r="43" spans="1:16" ht="15" customHeight="1" x14ac:dyDescent="0.25">
      <c r="A43" s="7" t="s">
        <v>67</v>
      </c>
      <c r="B43" s="7">
        <v>9213293</v>
      </c>
      <c r="C43" s="8">
        <v>4151516797</v>
      </c>
      <c r="D43" s="7" t="s">
        <v>361</v>
      </c>
      <c r="E43" s="9">
        <v>45433</v>
      </c>
      <c r="F43" s="9">
        <v>45901</v>
      </c>
      <c r="G43" s="10">
        <f>DATEDIF(E43,F43,"M")</f>
        <v>15</v>
      </c>
      <c r="H43" s="20" t="s">
        <v>700</v>
      </c>
      <c r="I43" s="7" t="s">
        <v>705</v>
      </c>
      <c r="J43" s="11">
        <v>28.63</v>
      </c>
      <c r="K43" s="7" t="s">
        <v>289</v>
      </c>
      <c r="L43" s="12">
        <v>0.12</v>
      </c>
      <c r="M43" s="11">
        <v>3.44</v>
      </c>
      <c r="N43" s="11">
        <v>0</v>
      </c>
      <c r="O43" s="11">
        <v>3.44</v>
      </c>
    </row>
    <row r="44" spans="1:16" ht="15" customHeight="1" x14ac:dyDescent="0.25">
      <c r="A44" s="7" t="s">
        <v>51</v>
      </c>
      <c r="B44" s="7">
        <v>9079571</v>
      </c>
      <c r="C44" s="8">
        <v>4151517096</v>
      </c>
      <c r="D44" s="7" t="s">
        <v>363</v>
      </c>
      <c r="E44" s="9">
        <v>45433</v>
      </c>
      <c r="F44" s="9">
        <v>45901</v>
      </c>
      <c r="G44" s="10">
        <f>DATEDIF(E44,F44,"M")</f>
        <v>15</v>
      </c>
      <c r="H44" s="20" t="s">
        <v>700</v>
      </c>
      <c r="I44" s="7" t="s">
        <v>705</v>
      </c>
      <c r="J44" s="11">
        <v>40.39</v>
      </c>
      <c r="K44" s="7" t="s">
        <v>289</v>
      </c>
      <c r="L44" s="12">
        <v>0.12</v>
      </c>
      <c r="M44" s="11">
        <v>4.8499999999999996</v>
      </c>
      <c r="N44" s="11">
        <v>0</v>
      </c>
      <c r="O44" s="11">
        <v>4.8499999999999996</v>
      </c>
    </row>
    <row r="45" spans="1:16" ht="15" customHeight="1" x14ac:dyDescent="0.25">
      <c r="A45" s="7" t="s">
        <v>58</v>
      </c>
      <c r="B45" s="7">
        <v>19396223</v>
      </c>
      <c r="C45" s="8">
        <v>4151517183</v>
      </c>
      <c r="D45" s="7" t="s">
        <v>365</v>
      </c>
      <c r="E45" s="9">
        <v>45435</v>
      </c>
      <c r="F45" s="9">
        <v>45901</v>
      </c>
      <c r="G45" s="10">
        <f>DATEDIF(E45,F45,"M")</f>
        <v>15</v>
      </c>
      <c r="H45" s="20" t="s">
        <v>700</v>
      </c>
      <c r="I45" s="7" t="s">
        <v>706</v>
      </c>
      <c r="J45" s="11">
        <v>96.48</v>
      </c>
      <c r="K45" s="7" t="s">
        <v>289</v>
      </c>
      <c r="L45" s="12">
        <v>0.125</v>
      </c>
      <c r="M45" s="11">
        <v>12.06</v>
      </c>
      <c r="N45" s="11">
        <v>0</v>
      </c>
      <c r="O45" s="11">
        <v>12.06</v>
      </c>
    </row>
    <row r="46" spans="1:16" ht="15" customHeight="1" x14ac:dyDescent="0.25">
      <c r="A46" s="7" t="s">
        <v>51</v>
      </c>
      <c r="B46" s="7">
        <v>9079571</v>
      </c>
      <c r="C46" s="8">
        <v>4151517502</v>
      </c>
      <c r="D46" s="7" t="s">
        <v>367</v>
      </c>
      <c r="E46" s="9">
        <v>45433</v>
      </c>
      <c r="F46" s="9">
        <v>45901</v>
      </c>
      <c r="G46" s="10">
        <f>DATEDIF(E46,F46,"M")</f>
        <v>15</v>
      </c>
      <c r="H46" s="20" t="s">
        <v>700</v>
      </c>
      <c r="I46" s="7" t="s">
        <v>705</v>
      </c>
      <c r="J46" s="11">
        <v>38.39</v>
      </c>
      <c r="K46" s="7" t="s">
        <v>289</v>
      </c>
      <c r="L46" s="12">
        <v>0.12</v>
      </c>
      <c r="M46" s="11">
        <v>4.6100000000000003</v>
      </c>
      <c r="N46" s="11">
        <v>0</v>
      </c>
      <c r="O46" s="11">
        <v>4.6100000000000003</v>
      </c>
    </row>
    <row r="47" spans="1:16" ht="15" customHeight="1" x14ac:dyDescent="0.25">
      <c r="A47" s="7" t="s">
        <v>51</v>
      </c>
      <c r="B47" s="7">
        <v>9079571</v>
      </c>
      <c r="C47" s="8">
        <v>4151517503</v>
      </c>
      <c r="D47" s="7" t="s">
        <v>369</v>
      </c>
      <c r="E47" s="9">
        <v>45433</v>
      </c>
      <c r="F47" s="9">
        <v>45901</v>
      </c>
      <c r="G47" s="10">
        <f>DATEDIF(E47,F47,"M")</f>
        <v>15</v>
      </c>
      <c r="H47" s="20" t="s">
        <v>700</v>
      </c>
      <c r="I47" s="7" t="s">
        <v>705</v>
      </c>
      <c r="J47" s="11">
        <v>38.39</v>
      </c>
      <c r="K47" s="7" t="s">
        <v>289</v>
      </c>
      <c r="L47" s="12">
        <v>0.12</v>
      </c>
      <c r="M47" s="11">
        <v>4.6100000000000003</v>
      </c>
      <c r="N47" s="11">
        <v>0</v>
      </c>
      <c r="O47" s="11">
        <v>4.6100000000000003</v>
      </c>
    </row>
    <row r="48" spans="1:16" ht="15" customHeight="1" x14ac:dyDescent="0.25">
      <c r="A48" s="7" t="s">
        <v>51</v>
      </c>
      <c r="B48" s="7">
        <v>9079571</v>
      </c>
      <c r="C48" s="8">
        <v>4151517528</v>
      </c>
      <c r="D48" s="7" t="s">
        <v>371</v>
      </c>
      <c r="E48" s="9">
        <v>45433</v>
      </c>
      <c r="F48" s="9">
        <v>45901</v>
      </c>
      <c r="G48" s="10">
        <f>DATEDIF(E48,F48,"M")</f>
        <v>15</v>
      </c>
      <c r="H48" s="20" t="s">
        <v>700</v>
      </c>
      <c r="I48" s="7" t="s">
        <v>705</v>
      </c>
      <c r="J48" s="11">
        <v>38.39</v>
      </c>
      <c r="K48" s="7" t="s">
        <v>289</v>
      </c>
      <c r="L48" s="12">
        <v>0.12</v>
      </c>
      <c r="M48" s="11">
        <v>4.6100000000000003</v>
      </c>
      <c r="N48" s="11">
        <v>0</v>
      </c>
      <c r="O48" s="11">
        <v>4.6100000000000003</v>
      </c>
    </row>
    <row r="49" spans="1:15" ht="15" customHeight="1" x14ac:dyDescent="0.25">
      <c r="A49" s="7" t="s">
        <v>51</v>
      </c>
      <c r="B49" s="7">
        <v>9079571</v>
      </c>
      <c r="C49" s="8">
        <v>4151517529</v>
      </c>
      <c r="D49" s="7" t="s">
        <v>371</v>
      </c>
      <c r="E49" s="9">
        <v>45434</v>
      </c>
      <c r="F49" s="9">
        <v>45901</v>
      </c>
      <c r="G49" s="10">
        <f>DATEDIF(E49,F49,"M")</f>
        <v>15</v>
      </c>
      <c r="H49" s="20" t="s">
        <v>700</v>
      </c>
      <c r="I49" s="7" t="s">
        <v>706</v>
      </c>
      <c r="J49" s="11">
        <v>54.54</v>
      </c>
      <c r="K49" s="7" t="s">
        <v>289</v>
      </c>
      <c r="L49" s="12">
        <v>0.125</v>
      </c>
      <c r="M49" s="11">
        <v>6.82</v>
      </c>
      <c r="N49" s="11">
        <v>0</v>
      </c>
      <c r="O49" s="11">
        <v>6.82</v>
      </c>
    </row>
    <row r="50" spans="1:15" ht="15" customHeight="1" x14ac:dyDescent="0.25">
      <c r="A50" s="7" t="s">
        <v>34</v>
      </c>
      <c r="B50" s="7">
        <v>20220688</v>
      </c>
      <c r="C50" s="8">
        <v>4151517776</v>
      </c>
      <c r="D50" s="7" t="s">
        <v>374</v>
      </c>
      <c r="E50" s="9">
        <v>45435</v>
      </c>
      <c r="F50" s="9">
        <v>45901</v>
      </c>
      <c r="G50" s="10">
        <f>DATEDIF(E50,F50,"M")</f>
        <v>15</v>
      </c>
      <c r="H50" s="20" t="s">
        <v>700</v>
      </c>
      <c r="I50" s="7" t="s">
        <v>706</v>
      </c>
      <c r="J50" s="11">
        <v>45.88</v>
      </c>
      <c r="K50" s="7" t="s">
        <v>289</v>
      </c>
      <c r="L50" s="12">
        <v>0.125</v>
      </c>
      <c r="M50" s="11">
        <v>5.74</v>
      </c>
      <c r="N50" s="11">
        <v>0</v>
      </c>
      <c r="O50" s="11">
        <v>5.74</v>
      </c>
    </row>
    <row r="51" spans="1:15" ht="15" customHeight="1" x14ac:dyDescent="0.25">
      <c r="A51" s="7" t="s">
        <v>34</v>
      </c>
      <c r="B51" s="7">
        <v>20220688</v>
      </c>
      <c r="C51" s="8">
        <v>4151517778</v>
      </c>
      <c r="D51" s="7" t="s">
        <v>374</v>
      </c>
      <c r="E51" s="9">
        <v>45435</v>
      </c>
      <c r="F51" s="9">
        <v>45901</v>
      </c>
      <c r="G51" s="10">
        <f>DATEDIF(E51,F51,"M")</f>
        <v>15</v>
      </c>
      <c r="H51" s="20" t="s">
        <v>700</v>
      </c>
      <c r="I51" s="7" t="s">
        <v>705</v>
      </c>
      <c r="J51" s="11">
        <v>30.63</v>
      </c>
      <c r="K51" s="7" t="s">
        <v>289</v>
      </c>
      <c r="L51" s="12">
        <v>0.12</v>
      </c>
      <c r="M51" s="11">
        <v>3.68</v>
      </c>
      <c r="N51" s="11">
        <v>0</v>
      </c>
      <c r="O51" s="11">
        <v>3.68</v>
      </c>
    </row>
    <row r="52" spans="1:15" ht="15" customHeight="1" x14ac:dyDescent="0.25">
      <c r="A52" s="7" t="s">
        <v>136</v>
      </c>
      <c r="B52" s="7">
        <v>19279958</v>
      </c>
      <c r="C52" s="8">
        <v>4151518319</v>
      </c>
      <c r="D52" s="7" t="s">
        <v>377</v>
      </c>
      <c r="E52" s="9">
        <v>45435</v>
      </c>
      <c r="F52" s="9">
        <v>45901</v>
      </c>
      <c r="G52" s="10">
        <f>DATEDIF(E52,F52,"M")</f>
        <v>15</v>
      </c>
      <c r="H52" s="20" t="s">
        <v>700</v>
      </c>
      <c r="I52" s="7" t="s">
        <v>705</v>
      </c>
      <c r="J52" s="11">
        <v>30.63</v>
      </c>
      <c r="K52" s="7" t="s">
        <v>289</v>
      </c>
      <c r="L52" s="12">
        <v>0.12</v>
      </c>
      <c r="M52" s="11">
        <v>3.68</v>
      </c>
      <c r="N52" s="11">
        <v>0</v>
      </c>
      <c r="O52" s="11">
        <v>3.68</v>
      </c>
    </row>
    <row r="53" spans="1:15" ht="15" customHeight="1" x14ac:dyDescent="0.25">
      <c r="A53" s="7" t="s">
        <v>51</v>
      </c>
      <c r="B53" s="7">
        <v>9079571</v>
      </c>
      <c r="C53" s="8">
        <v>4151518929</v>
      </c>
      <c r="D53" s="7" t="s">
        <v>379</v>
      </c>
      <c r="E53" s="9">
        <v>45436</v>
      </c>
      <c r="F53" s="9">
        <v>45901</v>
      </c>
      <c r="G53" s="10">
        <f>DATEDIF(E53,F53,"M")</f>
        <v>15</v>
      </c>
      <c r="H53" s="20" t="s">
        <v>700</v>
      </c>
      <c r="I53" s="7" t="s">
        <v>705</v>
      </c>
      <c r="J53" s="11">
        <v>38.39</v>
      </c>
      <c r="K53" s="7" t="s">
        <v>289</v>
      </c>
      <c r="L53" s="12">
        <v>0.12</v>
      </c>
      <c r="M53" s="11">
        <v>4.6100000000000003</v>
      </c>
      <c r="N53" s="11">
        <v>0</v>
      </c>
      <c r="O53" s="11">
        <v>4.6100000000000003</v>
      </c>
    </row>
    <row r="54" spans="1:15" ht="15" customHeight="1" x14ac:dyDescent="0.25">
      <c r="A54" s="7" t="s">
        <v>67</v>
      </c>
      <c r="B54" s="7">
        <v>9213293</v>
      </c>
      <c r="C54" s="8">
        <v>4151519042</v>
      </c>
      <c r="D54" s="7" t="s">
        <v>381</v>
      </c>
      <c r="E54" s="9">
        <v>45440</v>
      </c>
      <c r="F54" s="9">
        <v>45901</v>
      </c>
      <c r="G54" s="10">
        <f>DATEDIF(E54,F54,"M")</f>
        <v>15</v>
      </c>
      <c r="H54" s="20" t="s">
        <v>700</v>
      </c>
      <c r="I54" s="7" t="s">
        <v>706</v>
      </c>
      <c r="J54" s="11">
        <v>70.790000000000006</v>
      </c>
      <c r="K54" s="7" t="s">
        <v>289</v>
      </c>
      <c r="L54" s="12">
        <v>0.125</v>
      </c>
      <c r="M54" s="11">
        <v>8.85</v>
      </c>
      <c r="N54" s="11">
        <v>0</v>
      </c>
      <c r="O54" s="11">
        <v>8.85</v>
      </c>
    </row>
    <row r="55" spans="1:15" ht="15" customHeight="1" x14ac:dyDescent="0.25">
      <c r="A55" s="7" t="s">
        <v>51</v>
      </c>
      <c r="B55" s="7">
        <v>9079571</v>
      </c>
      <c r="C55" s="8">
        <v>4151519049</v>
      </c>
      <c r="D55" s="7" t="s">
        <v>383</v>
      </c>
      <c r="E55" s="9">
        <v>45436</v>
      </c>
      <c r="F55" s="9">
        <v>45901</v>
      </c>
      <c r="G55" s="10">
        <f>DATEDIF(E55,F55,"M")</f>
        <v>15</v>
      </c>
      <c r="H55" s="20" t="s">
        <v>700</v>
      </c>
      <c r="I55" s="7" t="s">
        <v>705</v>
      </c>
      <c r="J55" s="11">
        <v>40.39</v>
      </c>
      <c r="K55" s="7" t="s">
        <v>289</v>
      </c>
      <c r="L55" s="12">
        <v>0.12</v>
      </c>
      <c r="M55" s="11">
        <v>4.8499999999999996</v>
      </c>
      <c r="N55" s="11">
        <v>0</v>
      </c>
      <c r="O55" s="11">
        <v>4.8499999999999996</v>
      </c>
    </row>
    <row r="56" spans="1:15" ht="15" customHeight="1" x14ac:dyDescent="0.25">
      <c r="A56" s="7" t="s">
        <v>67</v>
      </c>
      <c r="B56" s="7">
        <v>9213293</v>
      </c>
      <c r="C56" s="8">
        <v>4151519051</v>
      </c>
      <c r="D56" s="7" t="s">
        <v>381</v>
      </c>
      <c r="E56" s="9">
        <v>45436</v>
      </c>
      <c r="F56" s="9">
        <v>45901</v>
      </c>
      <c r="G56" s="10">
        <f>DATEDIF(E56,F56,"M")</f>
        <v>15</v>
      </c>
      <c r="H56" s="20" t="s">
        <v>700</v>
      </c>
      <c r="I56" s="7" t="s">
        <v>705</v>
      </c>
      <c r="J56" s="11">
        <v>28.63</v>
      </c>
      <c r="K56" s="7" t="s">
        <v>289</v>
      </c>
      <c r="L56" s="12">
        <v>0.12</v>
      </c>
      <c r="M56" s="11">
        <v>3.44</v>
      </c>
      <c r="N56" s="11">
        <v>0</v>
      </c>
      <c r="O56" s="11">
        <v>3.44</v>
      </c>
    </row>
    <row r="57" spans="1:15" ht="15" customHeight="1" x14ac:dyDescent="0.25">
      <c r="A57" s="7" t="s">
        <v>71</v>
      </c>
      <c r="B57" s="7">
        <v>17528908</v>
      </c>
      <c r="C57" s="8">
        <v>4151519575</v>
      </c>
      <c r="D57" s="7" t="s">
        <v>386</v>
      </c>
      <c r="E57" s="9">
        <v>45439</v>
      </c>
      <c r="F57" s="9">
        <v>45901</v>
      </c>
      <c r="G57" s="10">
        <f>DATEDIF(E57,F57,"M")</f>
        <v>15</v>
      </c>
      <c r="H57" s="20" t="s">
        <v>700</v>
      </c>
      <c r="I57" s="7" t="s">
        <v>706</v>
      </c>
      <c r="J57" s="11">
        <v>44.69</v>
      </c>
      <c r="K57" s="7" t="s">
        <v>289</v>
      </c>
      <c r="L57" s="12">
        <v>0.125</v>
      </c>
      <c r="M57" s="11">
        <v>5.59</v>
      </c>
      <c r="N57" s="11">
        <v>0</v>
      </c>
      <c r="O57" s="11">
        <v>5.59</v>
      </c>
    </row>
    <row r="58" spans="1:15" ht="15" customHeight="1" x14ac:dyDescent="0.25">
      <c r="A58" s="7" t="s">
        <v>67</v>
      </c>
      <c r="B58" s="7">
        <v>9213293</v>
      </c>
      <c r="C58" s="8">
        <v>4151519587</v>
      </c>
      <c r="D58" s="7" t="s">
        <v>388</v>
      </c>
      <c r="E58" s="9">
        <v>45440</v>
      </c>
      <c r="F58" s="9">
        <v>45901</v>
      </c>
      <c r="G58" s="10">
        <f>DATEDIF(E58,F58,"M")</f>
        <v>15</v>
      </c>
      <c r="H58" s="20" t="s">
        <v>700</v>
      </c>
      <c r="I58" s="7" t="s">
        <v>705</v>
      </c>
      <c r="J58" s="11">
        <v>13.98</v>
      </c>
      <c r="K58" s="7" t="s">
        <v>289</v>
      </c>
      <c r="L58" s="12">
        <v>0.12</v>
      </c>
      <c r="M58" s="11">
        <v>1.68</v>
      </c>
      <c r="N58" s="11">
        <v>0</v>
      </c>
      <c r="O58" s="11">
        <v>1.68</v>
      </c>
    </row>
    <row r="59" spans="1:15" ht="15" customHeight="1" x14ac:dyDescent="0.25">
      <c r="A59" s="7" t="s">
        <v>67</v>
      </c>
      <c r="B59" s="7">
        <v>9213293</v>
      </c>
      <c r="C59" s="8">
        <v>4151519588</v>
      </c>
      <c r="D59" s="7" t="s">
        <v>390</v>
      </c>
      <c r="E59" s="9">
        <v>45437</v>
      </c>
      <c r="F59" s="9">
        <v>45901</v>
      </c>
      <c r="G59" s="10">
        <f>DATEDIF(E59,F59,"M")</f>
        <v>15</v>
      </c>
      <c r="H59" s="20" t="s">
        <v>700</v>
      </c>
      <c r="I59" s="7" t="s">
        <v>706</v>
      </c>
      <c r="J59" s="11">
        <v>27.7</v>
      </c>
      <c r="K59" s="7" t="s">
        <v>289</v>
      </c>
      <c r="L59" s="12">
        <v>0.125</v>
      </c>
      <c r="M59" s="11">
        <v>3.46</v>
      </c>
      <c r="N59" s="11">
        <v>0</v>
      </c>
      <c r="O59" s="11">
        <v>3.46</v>
      </c>
    </row>
    <row r="60" spans="1:15" ht="15" customHeight="1" x14ac:dyDescent="0.25">
      <c r="A60" s="7" t="s">
        <v>67</v>
      </c>
      <c r="B60" s="7">
        <v>9213293</v>
      </c>
      <c r="C60" s="8">
        <v>4151519597</v>
      </c>
      <c r="D60" s="7" t="s">
        <v>392</v>
      </c>
      <c r="E60" s="9">
        <v>45440</v>
      </c>
      <c r="F60" s="9">
        <v>45901</v>
      </c>
      <c r="G60" s="10">
        <f>DATEDIF(E60,F60,"M")</f>
        <v>15</v>
      </c>
      <c r="H60" s="20" t="s">
        <v>700</v>
      </c>
      <c r="I60" s="7" t="s">
        <v>705</v>
      </c>
      <c r="J60" s="11">
        <v>32.68</v>
      </c>
      <c r="K60" s="7" t="s">
        <v>289</v>
      </c>
      <c r="L60" s="12">
        <v>0.12</v>
      </c>
      <c r="M60" s="11">
        <v>3.92</v>
      </c>
      <c r="N60" s="11">
        <v>0</v>
      </c>
      <c r="O60" s="11">
        <v>3.92</v>
      </c>
    </row>
    <row r="61" spans="1:15" ht="15" customHeight="1" x14ac:dyDescent="0.25">
      <c r="A61" s="7" t="s">
        <v>51</v>
      </c>
      <c r="B61" s="7">
        <v>9079571</v>
      </c>
      <c r="C61" s="8">
        <v>4151520882</v>
      </c>
      <c r="D61" s="7" t="s">
        <v>394</v>
      </c>
      <c r="E61" s="9">
        <v>45460</v>
      </c>
      <c r="F61" s="9">
        <v>45901</v>
      </c>
      <c r="G61" s="10">
        <f>DATEDIF(E61,F61,"M")</f>
        <v>14</v>
      </c>
      <c r="H61" s="20" t="s">
        <v>700</v>
      </c>
      <c r="I61" s="7" t="s">
        <v>706</v>
      </c>
      <c r="J61" s="11">
        <v>57.78</v>
      </c>
      <c r="K61" s="7" t="s">
        <v>289</v>
      </c>
      <c r="L61" s="12">
        <v>0.125</v>
      </c>
      <c r="M61" s="11">
        <v>7.22</v>
      </c>
      <c r="N61" s="11">
        <v>0</v>
      </c>
      <c r="O61" s="11">
        <v>7.22</v>
      </c>
    </row>
    <row r="62" spans="1:15" ht="15" customHeight="1" x14ac:dyDescent="0.25">
      <c r="A62" s="7" t="s">
        <v>136</v>
      </c>
      <c r="B62" s="7">
        <v>19279958</v>
      </c>
      <c r="C62" s="8">
        <v>4151521411</v>
      </c>
      <c r="D62" s="7" t="s">
        <v>396</v>
      </c>
      <c r="E62" s="9">
        <v>45447</v>
      </c>
      <c r="F62" s="9">
        <v>45901</v>
      </c>
      <c r="G62" s="10">
        <f>DATEDIF(E62,F62,"M")</f>
        <v>14</v>
      </c>
      <c r="H62" s="20" t="s">
        <v>700</v>
      </c>
      <c r="I62" s="7" t="s">
        <v>705</v>
      </c>
      <c r="J62" s="11">
        <v>31.4</v>
      </c>
      <c r="K62" s="7" t="s">
        <v>289</v>
      </c>
      <c r="L62" s="12">
        <v>0.12</v>
      </c>
      <c r="M62" s="11">
        <v>3.77</v>
      </c>
      <c r="N62" s="11">
        <v>0</v>
      </c>
      <c r="O62" s="11">
        <v>3.77</v>
      </c>
    </row>
    <row r="63" spans="1:15" ht="15" customHeight="1" x14ac:dyDescent="0.25">
      <c r="A63" s="7" t="s">
        <v>39</v>
      </c>
      <c r="B63" s="7">
        <v>7470776</v>
      </c>
      <c r="C63" s="8">
        <v>4151522213</v>
      </c>
      <c r="D63" s="7" t="s">
        <v>398</v>
      </c>
      <c r="E63" s="9">
        <v>45474</v>
      </c>
      <c r="F63" s="9">
        <v>45901</v>
      </c>
      <c r="G63" s="10">
        <f>DATEDIF(E63,F63,"M")</f>
        <v>14</v>
      </c>
      <c r="H63" s="20" t="s">
        <v>700</v>
      </c>
      <c r="I63" s="7" t="s">
        <v>706</v>
      </c>
      <c r="J63" s="11">
        <v>214.33</v>
      </c>
      <c r="K63" s="7" t="s">
        <v>289</v>
      </c>
      <c r="L63" s="12">
        <v>0.125</v>
      </c>
      <c r="M63" s="11">
        <v>26.79</v>
      </c>
      <c r="N63" s="11">
        <v>0</v>
      </c>
      <c r="O63" s="11">
        <v>26.79</v>
      </c>
    </row>
    <row r="64" spans="1:15" ht="15" customHeight="1" x14ac:dyDescent="0.25">
      <c r="A64" s="7" t="s">
        <v>399</v>
      </c>
      <c r="B64" s="7">
        <v>19681796</v>
      </c>
      <c r="C64" s="8">
        <v>4151525602</v>
      </c>
      <c r="D64" s="7" t="s">
        <v>402</v>
      </c>
      <c r="E64" s="9">
        <v>45460</v>
      </c>
      <c r="F64" s="9">
        <v>45901</v>
      </c>
      <c r="G64" s="10">
        <f>DATEDIF(E64,F64,"M")</f>
        <v>14</v>
      </c>
      <c r="H64" s="20" t="s">
        <v>700</v>
      </c>
      <c r="I64" s="7" t="s">
        <v>705</v>
      </c>
      <c r="J64" s="11">
        <v>18.16</v>
      </c>
      <c r="K64" s="7" t="s">
        <v>289</v>
      </c>
      <c r="L64" s="12">
        <v>0.12</v>
      </c>
      <c r="M64" s="11">
        <v>2.1800000000000002</v>
      </c>
      <c r="N64" s="11">
        <v>0</v>
      </c>
      <c r="O64" s="11">
        <v>2.1800000000000002</v>
      </c>
    </row>
    <row r="65" spans="1:16" ht="15" customHeight="1" x14ac:dyDescent="0.25">
      <c r="A65" s="7" t="s">
        <v>67</v>
      </c>
      <c r="B65" s="7">
        <v>9213293</v>
      </c>
      <c r="C65" s="8">
        <v>4151526389</v>
      </c>
      <c r="D65" s="7" t="s">
        <v>404</v>
      </c>
      <c r="E65" s="9">
        <v>45460</v>
      </c>
      <c r="F65" s="9">
        <v>45901</v>
      </c>
      <c r="G65" s="10">
        <f>DATEDIF(E65,F65,"M")</f>
        <v>14</v>
      </c>
      <c r="H65" s="20" t="s">
        <v>700</v>
      </c>
      <c r="I65" s="7" t="s">
        <v>706</v>
      </c>
      <c r="J65" s="11">
        <v>64.38</v>
      </c>
      <c r="K65" s="7" t="s">
        <v>289</v>
      </c>
      <c r="L65" s="12">
        <v>0.125</v>
      </c>
      <c r="M65" s="11">
        <v>8.0500000000000007</v>
      </c>
      <c r="N65" s="11">
        <v>0</v>
      </c>
      <c r="O65" s="11">
        <v>8.0500000000000007</v>
      </c>
    </row>
    <row r="66" spans="1:16" ht="15" customHeight="1" x14ac:dyDescent="0.25">
      <c r="A66" s="7" t="s">
        <v>63</v>
      </c>
      <c r="B66" s="7">
        <v>16633294</v>
      </c>
      <c r="C66" s="8">
        <v>4151527980</v>
      </c>
      <c r="D66" s="7" t="s">
        <v>406</v>
      </c>
      <c r="E66" s="9">
        <v>45463</v>
      </c>
      <c r="F66" s="9">
        <v>45901</v>
      </c>
      <c r="G66" s="10">
        <f>DATEDIF(E66,F66,"M")</f>
        <v>14</v>
      </c>
      <c r="H66" s="20" t="s">
        <v>700</v>
      </c>
      <c r="I66" s="7" t="s">
        <v>705</v>
      </c>
      <c r="J66" s="11">
        <v>18.16</v>
      </c>
      <c r="K66" s="7" t="s">
        <v>289</v>
      </c>
      <c r="L66" s="12">
        <v>0.12</v>
      </c>
      <c r="M66" s="11">
        <v>2.1800000000000002</v>
      </c>
      <c r="N66" s="11">
        <v>0</v>
      </c>
      <c r="O66" s="11">
        <v>2.1800000000000002</v>
      </c>
    </row>
    <row r="67" spans="1:16" ht="15" customHeight="1" x14ac:dyDescent="0.25">
      <c r="A67" s="7" t="s">
        <v>63</v>
      </c>
      <c r="B67" s="7">
        <v>16633294</v>
      </c>
      <c r="C67" s="8">
        <v>4151527989</v>
      </c>
      <c r="D67" s="7" t="s">
        <v>406</v>
      </c>
      <c r="E67" s="9">
        <v>45463</v>
      </c>
      <c r="F67" s="9">
        <v>45901</v>
      </c>
      <c r="G67" s="10">
        <f>DATEDIF(E67,F67,"M")</f>
        <v>14</v>
      </c>
      <c r="H67" s="20" t="s">
        <v>700</v>
      </c>
      <c r="I67" s="7" t="s">
        <v>706</v>
      </c>
      <c r="J67" s="11">
        <v>60.39</v>
      </c>
      <c r="K67" s="7" t="s">
        <v>289</v>
      </c>
      <c r="L67" s="12">
        <v>0.125</v>
      </c>
      <c r="M67" s="11">
        <v>7.55</v>
      </c>
      <c r="N67" s="11">
        <v>0</v>
      </c>
      <c r="O67" s="11">
        <v>7.55</v>
      </c>
    </row>
    <row r="68" spans="1:16" ht="15" customHeight="1" x14ac:dyDescent="0.25">
      <c r="A68" s="7" t="s">
        <v>408</v>
      </c>
      <c r="B68" s="7">
        <v>19278370</v>
      </c>
      <c r="C68" s="8">
        <v>4151528161</v>
      </c>
      <c r="D68" s="7" t="s">
        <v>411</v>
      </c>
      <c r="E68" s="9">
        <v>45464</v>
      </c>
      <c r="F68" s="9">
        <v>45901</v>
      </c>
      <c r="G68" s="10">
        <f>DATEDIF(E68,F68,"M")</f>
        <v>14</v>
      </c>
      <c r="H68" s="20" t="s">
        <v>700</v>
      </c>
      <c r="I68" s="7" t="s">
        <v>703</v>
      </c>
      <c r="J68" s="11">
        <v>44.53</v>
      </c>
      <c r="K68" s="7" t="s">
        <v>289</v>
      </c>
      <c r="L68" s="12">
        <v>0.06</v>
      </c>
      <c r="M68" s="11">
        <v>2.67</v>
      </c>
      <c r="N68" s="11">
        <v>0</v>
      </c>
      <c r="O68" s="11">
        <v>2.67</v>
      </c>
    </row>
    <row r="69" spans="1:16" ht="15" customHeight="1" x14ac:dyDescent="0.25">
      <c r="A69" s="7" t="s">
        <v>63</v>
      </c>
      <c r="B69" s="7">
        <v>16633294</v>
      </c>
      <c r="C69" s="8">
        <v>4151528167</v>
      </c>
      <c r="D69" s="7" t="s">
        <v>413</v>
      </c>
      <c r="E69" s="9">
        <v>45464</v>
      </c>
      <c r="F69" s="9">
        <v>45901</v>
      </c>
      <c r="G69" s="10">
        <f>DATEDIF(E69,F69,"M")</f>
        <v>14</v>
      </c>
      <c r="H69" s="20" t="s">
        <v>700</v>
      </c>
      <c r="I69" s="7" t="s">
        <v>705</v>
      </c>
      <c r="J69" s="11">
        <v>18.16</v>
      </c>
      <c r="K69" s="7" t="s">
        <v>289</v>
      </c>
      <c r="L69" s="12">
        <v>0.12</v>
      </c>
      <c r="M69" s="11">
        <v>2.1800000000000002</v>
      </c>
      <c r="N69" s="11">
        <v>0</v>
      </c>
      <c r="O69" s="11">
        <v>2.1800000000000002</v>
      </c>
    </row>
    <row r="70" spans="1:16" ht="15" customHeight="1" x14ac:dyDescent="0.25">
      <c r="A70" s="7" t="s">
        <v>63</v>
      </c>
      <c r="B70" s="7">
        <v>16633294</v>
      </c>
      <c r="C70" s="8">
        <v>4151528168</v>
      </c>
      <c r="D70" s="7" t="s">
        <v>413</v>
      </c>
      <c r="E70" s="9">
        <v>45464</v>
      </c>
      <c r="F70" s="9">
        <v>45901</v>
      </c>
      <c r="G70" s="10">
        <f>DATEDIF(E70,F70,"M")</f>
        <v>14</v>
      </c>
      <c r="H70" s="20" t="s">
        <v>700</v>
      </c>
      <c r="I70" s="7" t="s">
        <v>706</v>
      </c>
      <c r="J70" s="11">
        <v>33.85</v>
      </c>
      <c r="K70" s="7" t="s">
        <v>289</v>
      </c>
      <c r="L70" s="12">
        <v>0.125</v>
      </c>
      <c r="M70" s="11">
        <v>4.2300000000000004</v>
      </c>
      <c r="N70" s="11">
        <v>0</v>
      </c>
      <c r="O70" s="11">
        <v>4.2300000000000004</v>
      </c>
    </row>
    <row r="71" spans="1:16" ht="15" customHeight="1" x14ac:dyDescent="0.25">
      <c r="A71" s="7" t="s">
        <v>399</v>
      </c>
      <c r="B71" s="7">
        <v>19681796</v>
      </c>
      <c r="C71" s="8">
        <v>4151528718</v>
      </c>
      <c r="D71" s="7" t="s">
        <v>416</v>
      </c>
      <c r="E71" s="9">
        <v>45467</v>
      </c>
      <c r="F71" s="9">
        <v>45901</v>
      </c>
      <c r="G71" s="10">
        <f>DATEDIF(E71,F71,"M")</f>
        <v>14</v>
      </c>
      <c r="H71" s="20" t="s">
        <v>700</v>
      </c>
      <c r="I71" s="7" t="s">
        <v>705</v>
      </c>
      <c r="J71" s="11">
        <v>72.27</v>
      </c>
      <c r="K71" s="7" t="s">
        <v>289</v>
      </c>
      <c r="L71" s="12">
        <v>0.12</v>
      </c>
      <c r="M71" s="11">
        <v>8.67</v>
      </c>
      <c r="N71" s="11">
        <v>0</v>
      </c>
      <c r="O71" s="11">
        <v>8.67</v>
      </c>
    </row>
    <row r="72" spans="1:16" ht="15" customHeight="1" x14ac:dyDescent="0.25">
      <c r="A72" s="7" t="s">
        <v>51</v>
      </c>
      <c r="B72" s="7">
        <v>9079571</v>
      </c>
      <c r="C72" s="8">
        <v>4151529661</v>
      </c>
      <c r="D72" s="7" t="s">
        <v>418</v>
      </c>
      <c r="E72" s="9">
        <v>45469</v>
      </c>
      <c r="F72" s="9">
        <v>45901</v>
      </c>
      <c r="G72" s="10">
        <f>DATEDIF(E72,F72,"M")</f>
        <v>14</v>
      </c>
      <c r="H72" s="20" t="s">
        <v>700</v>
      </c>
      <c r="I72" s="7" t="s">
        <v>706</v>
      </c>
      <c r="J72" s="11">
        <v>21.4</v>
      </c>
      <c r="K72" s="7" t="s">
        <v>289</v>
      </c>
      <c r="L72" s="12">
        <v>0.125</v>
      </c>
      <c r="M72" s="11">
        <v>2.68</v>
      </c>
      <c r="N72" s="11">
        <v>0</v>
      </c>
      <c r="O72" s="11">
        <v>2.68</v>
      </c>
    </row>
    <row r="73" spans="1:16" ht="15" customHeight="1" x14ac:dyDescent="0.25">
      <c r="A73" s="7" t="s">
        <v>51</v>
      </c>
      <c r="B73" s="7">
        <v>9079571</v>
      </c>
      <c r="C73" s="8">
        <v>4151530381</v>
      </c>
      <c r="D73" s="7" t="s">
        <v>420</v>
      </c>
      <c r="E73" s="9">
        <v>45470</v>
      </c>
      <c r="F73" s="9">
        <v>45901</v>
      </c>
      <c r="G73" s="10">
        <f>DATEDIF(E73,F73,"M")</f>
        <v>14</v>
      </c>
      <c r="H73" s="20" t="s">
        <v>700</v>
      </c>
      <c r="I73" s="7" t="s">
        <v>705</v>
      </c>
      <c r="J73" s="11">
        <v>52.34</v>
      </c>
      <c r="K73" s="7" t="s">
        <v>289</v>
      </c>
      <c r="L73" s="12">
        <v>0.12</v>
      </c>
      <c r="M73" s="11">
        <v>6.28</v>
      </c>
      <c r="N73" s="11">
        <v>0</v>
      </c>
      <c r="O73" s="11">
        <v>6.28</v>
      </c>
    </row>
    <row r="74" spans="1:16" ht="15" customHeight="1" x14ac:dyDescent="0.25">
      <c r="A74" s="7" t="s">
        <v>51</v>
      </c>
      <c r="B74" s="7">
        <v>9079571</v>
      </c>
      <c r="C74" s="8">
        <v>4151530383</v>
      </c>
      <c r="D74" s="7" t="s">
        <v>420</v>
      </c>
      <c r="E74" s="9">
        <v>45470</v>
      </c>
      <c r="F74" s="9">
        <v>45901</v>
      </c>
      <c r="G74" s="10">
        <f>DATEDIF(E74,F74,"M")</f>
        <v>14</v>
      </c>
      <c r="H74" s="20" t="s">
        <v>700</v>
      </c>
      <c r="I74" s="7" t="s">
        <v>706</v>
      </c>
      <c r="J74" s="11">
        <v>167.11</v>
      </c>
      <c r="K74" s="7" t="s">
        <v>289</v>
      </c>
      <c r="L74" s="12">
        <v>0.125</v>
      </c>
      <c r="M74" s="11">
        <v>20.89</v>
      </c>
      <c r="N74" s="11">
        <v>0</v>
      </c>
      <c r="O74" s="11">
        <v>20.89</v>
      </c>
    </row>
    <row r="75" spans="1:16" ht="15" customHeight="1" x14ac:dyDescent="0.25">
      <c r="A75" s="7" t="s">
        <v>83</v>
      </c>
      <c r="B75" s="7">
        <v>8814784</v>
      </c>
      <c r="C75" s="8">
        <v>4151530507</v>
      </c>
      <c r="D75" s="7" t="s">
        <v>423</v>
      </c>
      <c r="E75" s="9">
        <v>45470</v>
      </c>
      <c r="F75" s="9">
        <v>45901</v>
      </c>
      <c r="G75" s="10">
        <f>DATEDIF(E75,F75,"M")</f>
        <v>14</v>
      </c>
      <c r="H75" s="20" t="s">
        <v>700</v>
      </c>
      <c r="I75" s="7" t="s">
        <v>705</v>
      </c>
      <c r="J75" s="11">
        <v>37.83</v>
      </c>
      <c r="K75" s="7" t="s">
        <v>289</v>
      </c>
      <c r="L75" s="12">
        <v>0.12</v>
      </c>
      <c r="M75" s="11">
        <v>4.54</v>
      </c>
      <c r="N75" s="11">
        <v>0</v>
      </c>
      <c r="O75" s="11">
        <v>4.54</v>
      </c>
    </row>
    <row r="76" spans="1:16" ht="15" customHeight="1" x14ac:dyDescent="0.25">
      <c r="A76" s="7" t="s">
        <v>136</v>
      </c>
      <c r="B76" s="7">
        <v>19279958</v>
      </c>
      <c r="C76" s="8">
        <v>4151531095</v>
      </c>
      <c r="D76" s="7" t="s">
        <v>425</v>
      </c>
      <c r="E76" s="9">
        <v>45471</v>
      </c>
      <c r="F76" s="9">
        <v>45901</v>
      </c>
      <c r="G76" s="10">
        <f>DATEDIF(E76,F76,"M")</f>
        <v>14</v>
      </c>
      <c r="H76" s="20" t="s">
        <v>700</v>
      </c>
      <c r="I76" s="7" t="s">
        <v>705</v>
      </c>
      <c r="J76" s="11">
        <v>20.16</v>
      </c>
      <c r="K76" s="7" t="s">
        <v>289</v>
      </c>
      <c r="L76" s="12">
        <v>0.12</v>
      </c>
      <c r="M76" s="11">
        <v>2.42</v>
      </c>
      <c r="N76" s="11">
        <v>0</v>
      </c>
      <c r="O76" s="11">
        <v>2.42</v>
      </c>
      <c r="P76" s="7" t="s">
        <v>715</v>
      </c>
    </row>
    <row r="77" spans="1:16" ht="15" customHeight="1" x14ac:dyDescent="0.25">
      <c r="A77" s="7" t="s">
        <v>426</v>
      </c>
      <c r="B77" s="7">
        <v>18581063</v>
      </c>
      <c r="C77" s="8">
        <v>4151534456</v>
      </c>
      <c r="D77" s="7" t="s">
        <v>429</v>
      </c>
      <c r="E77" s="9">
        <v>45490</v>
      </c>
      <c r="F77" s="9">
        <v>45901</v>
      </c>
      <c r="G77" s="10">
        <f>DATEDIF(E77,F77,"M")</f>
        <v>13</v>
      </c>
      <c r="H77" s="20" t="s">
        <v>700</v>
      </c>
      <c r="I77" s="7" t="s">
        <v>706</v>
      </c>
      <c r="J77" s="11">
        <v>96.3</v>
      </c>
      <c r="K77" s="7" t="s">
        <v>289</v>
      </c>
      <c r="L77" s="12">
        <v>0.125</v>
      </c>
      <c r="M77" s="11">
        <v>12.04</v>
      </c>
      <c r="N77" s="11">
        <v>0</v>
      </c>
      <c r="O77" s="11">
        <v>12.04</v>
      </c>
    </row>
    <row r="78" spans="1:16" ht="15" customHeight="1" x14ac:dyDescent="0.25">
      <c r="A78" s="7" t="s">
        <v>67</v>
      </c>
      <c r="B78" s="7">
        <v>9213293</v>
      </c>
      <c r="C78" s="8">
        <v>4151534581</v>
      </c>
      <c r="D78" s="7" t="s">
        <v>431</v>
      </c>
      <c r="E78" s="9">
        <v>45489</v>
      </c>
      <c r="F78" s="9">
        <v>45901</v>
      </c>
      <c r="G78" s="10">
        <f>DATEDIF(E78,F78,"M")</f>
        <v>13</v>
      </c>
      <c r="H78" s="20" t="s">
        <v>700</v>
      </c>
      <c r="I78" s="7" t="s">
        <v>706</v>
      </c>
      <c r="J78" s="11">
        <v>9.66</v>
      </c>
      <c r="K78" s="7" t="s">
        <v>289</v>
      </c>
      <c r="L78" s="12">
        <v>0.125</v>
      </c>
      <c r="M78" s="11">
        <v>1.21</v>
      </c>
      <c r="N78" s="11">
        <v>0</v>
      </c>
      <c r="O78" s="11">
        <v>1.21</v>
      </c>
    </row>
    <row r="79" spans="1:16" ht="15" customHeight="1" x14ac:dyDescent="0.25">
      <c r="A79" s="7" t="s">
        <v>408</v>
      </c>
      <c r="B79" s="7">
        <v>19278370</v>
      </c>
      <c r="C79" s="8">
        <v>4151535621</v>
      </c>
      <c r="D79" s="7" t="s">
        <v>433</v>
      </c>
      <c r="E79" s="9">
        <v>45490</v>
      </c>
      <c r="F79" s="9">
        <v>45901</v>
      </c>
      <c r="G79" s="10">
        <f>DATEDIF(E79,F79,"M")</f>
        <v>13</v>
      </c>
      <c r="H79" s="20" t="s">
        <v>700</v>
      </c>
      <c r="I79" s="7" t="s">
        <v>705</v>
      </c>
      <c r="J79" s="11">
        <v>39.5</v>
      </c>
      <c r="K79" s="7" t="s">
        <v>289</v>
      </c>
      <c r="L79" s="12">
        <v>0.12</v>
      </c>
      <c r="M79" s="11">
        <v>4.74</v>
      </c>
      <c r="N79" s="11">
        <v>0</v>
      </c>
      <c r="O79" s="11">
        <v>4.74</v>
      </c>
    </row>
    <row r="80" spans="1:16" ht="15" customHeight="1" x14ac:dyDescent="0.25">
      <c r="A80" s="7" t="s">
        <v>51</v>
      </c>
      <c r="B80" s="7">
        <v>9079571</v>
      </c>
      <c r="C80" s="8">
        <v>4151535832</v>
      </c>
      <c r="D80" s="7" t="s">
        <v>435</v>
      </c>
      <c r="E80" s="9">
        <v>45489</v>
      </c>
      <c r="F80" s="9">
        <v>45901</v>
      </c>
      <c r="G80" s="10">
        <f>DATEDIF(E80,F80,"M")</f>
        <v>13</v>
      </c>
      <c r="H80" s="20" t="s">
        <v>700</v>
      </c>
      <c r="I80" s="7" t="s">
        <v>706</v>
      </c>
      <c r="J80" s="11">
        <v>68.97</v>
      </c>
      <c r="K80" s="7" t="s">
        <v>289</v>
      </c>
      <c r="L80" s="12">
        <v>0.125</v>
      </c>
      <c r="M80" s="11">
        <v>8.6199999999999992</v>
      </c>
      <c r="N80" s="11">
        <v>0</v>
      </c>
      <c r="O80" s="11">
        <v>8.6199999999999992</v>
      </c>
    </row>
    <row r="81" spans="1:15" ht="15" customHeight="1" x14ac:dyDescent="0.25">
      <c r="A81" s="7" t="s">
        <v>136</v>
      </c>
      <c r="B81" s="7">
        <v>19279958</v>
      </c>
      <c r="C81" s="8">
        <v>4151536344</v>
      </c>
      <c r="D81" s="7" t="s">
        <v>437</v>
      </c>
      <c r="E81" s="9">
        <v>45490</v>
      </c>
      <c r="F81" s="9">
        <v>45901</v>
      </c>
      <c r="G81" s="10">
        <f>DATEDIF(E81,F81,"M")</f>
        <v>13</v>
      </c>
      <c r="H81" s="20" t="s">
        <v>700</v>
      </c>
      <c r="I81" s="7" t="s">
        <v>706</v>
      </c>
      <c r="J81" s="11">
        <v>99.12</v>
      </c>
      <c r="K81" s="7" t="s">
        <v>289</v>
      </c>
      <c r="L81" s="12">
        <v>0.125</v>
      </c>
      <c r="M81" s="11">
        <v>12.39</v>
      </c>
      <c r="N81" s="11">
        <v>0</v>
      </c>
      <c r="O81" s="11">
        <v>12.39</v>
      </c>
    </row>
    <row r="82" spans="1:15" ht="15" customHeight="1" x14ac:dyDescent="0.25">
      <c r="A82" s="7" t="s">
        <v>22</v>
      </c>
      <c r="B82" s="7">
        <v>5442438</v>
      </c>
      <c r="C82" s="8">
        <v>4151536546</v>
      </c>
      <c r="D82" s="7" t="s">
        <v>439</v>
      </c>
      <c r="E82" s="9">
        <v>45490</v>
      </c>
      <c r="F82" s="9">
        <v>45901</v>
      </c>
      <c r="G82" s="10">
        <f>DATEDIF(E82,F82,"M")</f>
        <v>13</v>
      </c>
      <c r="H82" s="20" t="s">
        <v>700</v>
      </c>
      <c r="I82" s="7" t="s">
        <v>705</v>
      </c>
      <c r="J82" s="11">
        <v>38.39</v>
      </c>
      <c r="K82" s="7" t="s">
        <v>289</v>
      </c>
      <c r="L82" s="12">
        <v>0.12</v>
      </c>
      <c r="M82" s="11">
        <v>4.6100000000000003</v>
      </c>
      <c r="N82" s="11">
        <v>0</v>
      </c>
      <c r="O82" s="11">
        <v>4.6100000000000003</v>
      </c>
    </row>
    <row r="83" spans="1:15" ht="15" customHeight="1" x14ac:dyDescent="0.25">
      <c r="A83" s="7" t="s">
        <v>51</v>
      </c>
      <c r="B83" s="7">
        <v>9079571</v>
      </c>
      <c r="C83" s="8">
        <v>4151536556</v>
      </c>
      <c r="D83" s="7" t="s">
        <v>441</v>
      </c>
      <c r="E83" s="9">
        <v>45490</v>
      </c>
      <c r="F83" s="9">
        <v>45901</v>
      </c>
      <c r="G83" s="10">
        <f>DATEDIF(E83,F83,"M")</f>
        <v>13</v>
      </c>
      <c r="H83" s="20" t="s">
        <v>700</v>
      </c>
      <c r="I83" s="7" t="s">
        <v>705</v>
      </c>
      <c r="J83" s="11">
        <v>38.39</v>
      </c>
      <c r="K83" s="7" t="s">
        <v>289</v>
      </c>
      <c r="L83" s="12">
        <v>0.12</v>
      </c>
      <c r="M83" s="11">
        <v>4.6100000000000003</v>
      </c>
      <c r="N83" s="11">
        <v>0</v>
      </c>
      <c r="O83" s="11">
        <v>4.6100000000000003</v>
      </c>
    </row>
    <row r="84" spans="1:15" ht="15" customHeight="1" x14ac:dyDescent="0.25">
      <c r="A84" s="7" t="s">
        <v>51</v>
      </c>
      <c r="B84" s="7">
        <v>9079571</v>
      </c>
      <c r="C84" s="8">
        <v>4151536666</v>
      </c>
      <c r="D84" s="7" t="s">
        <v>443</v>
      </c>
      <c r="E84" s="9">
        <v>45490</v>
      </c>
      <c r="F84" s="9">
        <v>45901</v>
      </c>
      <c r="G84" s="10">
        <f>DATEDIF(E84,F84,"M")</f>
        <v>13</v>
      </c>
      <c r="H84" s="20" t="s">
        <v>700</v>
      </c>
      <c r="I84" s="7" t="s">
        <v>705</v>
      </c>
      <c r="J84" s="11">
        <v>39.17</v>
      </c>
      <c r="K84" s="7" t="s">
        <v>289</v>
      </c>
      <c r="L84" s="12">
        <v>0.12</v>
      </c>
      <c r="M84" s="11">
        <v>4.7</v>
      </c>
      <c r="N84" s="11">
        <v>0</v>
      </c>
      <c r="O84" s="11">
        <v>4.7</v>
      </c>
    </row>
    <row r="85" spans="1:15" ht="15" customHeight="1" x14ac:dyDescent="0.25">
      <c r="A85" s="7" t="s">
        <v>51</v>
      </c>
      <c r="B85" s="7">
        <v>9079571</v>
      </c>
      <c r="C85" s="8">
        <v>4151536852</v>
      </c>
      <c r="D85" s="7" t="s">
        <v>445</v>
      </c>
      <c r="E85" s="9">
        <v>45491</v>
      </c>
      <c r="F85" s="9">
        <v>45901</v>
      </c>
      <c r="G85" s="10">
        <f>DATEDIF(E85,F85,"M")</f>
        <v>13</v>
      </c>
      <c r="H85" s="20" t="s">
        <v>700</v>
      </c>
      <c r="I85" s="7" t="s">
        <v>706</v>
      </c>
      <c r="J85" s="11">
        <v>88.01</v>
      </c>
      <c r="K85" s="7" t="s">
        <v>289</v>
      </c>
      <c r="L85" s="12">
        <v>0.125</v>
      </c>
      <c r="M85" s="11">
        <v>11</v>
      </c>
      <c r="N85" s="11">
        <v>0</v>
      </c>
      <c r="O85" s="11">
        <v>11</v>
      </c>
    </row>
    <row r="86" spans="1:15" ht="15" customHeight="1" x14ac:dyDescent="0.25">
      <c r="A86" s="7" t="s">
        <v>51</v>
      </c>
      <c r="B86" s="7">
        <v>9079571</v>
      </c>
      <c r="C86" s="8">
        <v>4151536853</v>
      </c>
      <c r="D86" s="7" t="s">
        <v>445</v>
      </c>
      <c r="E86" s="9">
        <v>45490</v>
      </c>
      <c r="F86" s="9">
        <v>45901</v>
      </c>
      <c r="G86" s="10">
        <f>DATEDIF(E86,F86,"M")</f>
        <v>13</v>
      </c>
      <c r="H86" s="20" t="s">
        <v>700</v>
      </c>
      <c r="I86" s="7" t="s">
        <v>705</v>
      </c>
      <c r="J86" s="11">
        <v>73.64</v>
      </c>
      <c r="K86" s="7" t="s">
        <v>289</v>
      </c>
      <c r="L86" s="12">
        <v>0.12</v>
      </c>
      <c r="M86" s="11">
        <v>8.84</v>
      </c>
      <c r="N86" s="11">
        <v>0</v>
      </c>
      <c r="O86" s="11">
        <v>8.84</v>
      </c>
    </row>
    <row r="87" spans="1:15" ht="15" customHeight="1" x14ac:dyDescent="0.25">
      <c r="A87" s="7" t="s">
        <v>71</v>
      </c>
      <c r="B87" s="7">
        <v>17528908</v>
      </c>
      <c r="C87" s="8">
        <v>4151536864</v>
      </c>
      <c r="D87" s="7" t="s">
        <v>448</v>
      </c>
      <c r="E87" s="9">
        <v>45490</v>
      </c>
      <c r="F87" s="9">
        <v>45901</v>
      </c>
      <c r="G87" s="10">
        <f>DATEDIF(E87,F87,"M")</f>
        <v>13</v>
      </c>
      <c r="H87" s="20" t="s">
        <v>700</v>
      </c>
      <c r="I87" s="7" t="s">
        <v>705</v>
      </c>
      <c r="J87" s="11">
        <v>28.63</v>
      </c>
      <c r="K87" s="7" t="s">
        <v>289</v>
      </c>
      <c r="L87" s="12">
        <v>0.12</v>
      </c>
      <c r="M87" s="11">
        <v>3.44</v>
      </c>
      <c r="N87" s="11">
        <v>0</v>
      </c>
      <c r="O87" s="11">
        <v>3.44</v>
      </c>
    </row>
    <row r="88" spans="1:15" ht="15" customHeight="1" x14ac:dyDescent="0.25">
      <c r="A88" s="7" t="s">
        <v>71</v>
      </c>
      <c r="B88" s="7">
        <v>17528908</v>
      </c>
      <c r="C88" s="8">
        <v>4151536968</v>
      </c>
      <c r="D88" s="7" t="s">
        <v>450</v>
      </c>
      <c r="E88" s="9">
        <v>45490</v>
      </c>
      <c r="F88" s="9">
        <v>45901</v>
      </c>
      <c r="G88" s="10">
        <f>DATEDIF(E88,F88,"M")</f>
        <v>13</v>
      </c>
      <c r="H88" s="20" t="s">
        <v>700</v>
      </c>
      <c r="I88" s="7" t="s">
        <v>705</v>
      </c>
      <c r="J88" s="11">
        <v>18.16</v>
      </c>
      <c r="K88" s="7" t="s">
        <v>289</v>
      </c>
      <c r="L88" s="12">
        <v>0.12</v>
      </c>
      <c r="M88" s="11">
        <v>2.1800000000000002</v>
      </c>
      <c r="N88" s="11">
        <v>0</v>
      </c>
      <c r="O88" s="11">
        <v>2.1800000000000002</v>
      </c>
    </row>
    <row r="89" spans="1:15" ht="15" customHeight="1" x14ac:dyDescent="0.25">
      <c r="A89" s="7" t="s">
        <v>83</v>
      </c>
      <c r="B89" s="7">
        <v>8814784</v>
      </c>
      <c r="C89" s="8">
        <v>4151537138</v>
      </c>
      <c r="D89" s="7" t="s">
        <v>452</v>
      </c>
      <c r="E89" s="9">
        <v>45491</v>
      </c>
      <c r="F89" s="9">
        <v>45901</v>
      </c>
      <c r="G89" s="10">
        <f>DATEDIF(E89,F89,"M")</f>
        <v>13</v>
      </c>
      <c r="H89" s="20" t="s">
        <v>700</v>
      </c>
      <c r="I89" s="7" t="s">
        <v>706</v>
      </c>
      <c r="J89" s="11">
        <v>67.17</v>
      </c>
      <c r="K89" s="7" t="s">
        <v>289</v>
      </c>
      <c r="L89" s="12">
        <v>0.125</v>
      </c>
      <c r="M89" s="11">
        <v>8.4</v>
      </c>
      <c r="N89" s="11">
        <v>0</v>
      </c>
      <c r="O89" s="11">
        <v>8.4</v>
      </c>
    </row>
    <row r="90" spans="1:15" ht="15" customHeight="1" x14ac:dyDescent="0.25">
      <c r="A90" s="7" t="s">
        <v>83</v>
      </c>
      <c r="B90" s="7">
        <v>8814784</v>
      </c>
      <c r="C90" s="8">
        <v>4151537145</v>
      </c>
      <c r="D90" s="7" t="s">
        <v>452</v>
      </c>
      <c r="E90" s="9">
        <v>45491</v>
      </c>
      <c r="F90" s="9">
        <v>45901</v>
      </c>
      <c r="G90" s="10">
        <f>DATEDIF(E90,F90,"M")</f>
        <v>13</v>
      </c>
      <c r="H90" s="20" t="s">
        <v>700</v>
      </c>
      <c r="I90" s="7" t="s">
        <v>705</v>
      </c>
      <c r="J90" s="11">
        <v>53.41</v>
      </c>
      <c r="K90" s="7" t="s">
        <v>289</v>
      </c>
      <c r="L90" s="12">
        <v>0.12</v>
      </c>
      <c r="M90" s="11">
        <v>6.41</v>
      </c>
      <c r="N90" s="11">
        <v>0</v>
      </c>
      <c r="O90" s="11">
        <v>6.41</v>
      </c>
    </row>
    <row r="91" spans="1:15" ht="15" customHeight="1" x14ac:dyDescent="0.25">
      <c r="A91" s="7" t="s">
        <v>51</v>
      </c>
      <c r="B91" s="7">
        <v>9079571</v>
      </c>
      <c r="C91" s="8">
        <v>4151537473</v>
      </c>
      <c r="D91" s="7" t="s">
        <v>455</v>
      </c>
      <c r="E91" s="9">
        <v>45492</v>
      </c>
      <c r="F91" s="9">
        <v>45901</v>
      </c>
      <c r="G91" s="10">
        <f>DATEDIF(E91,F91,"M")</f>
        <v>13</v>
      </c>
      <c r="H91" s="20" t="s">
        <v>700</v>
      </c>
      <c r="I91" s="7" t="s">
        <v>705</v>
      </c>
      <c r="J91" s="11">
        <v>37.83</v>
      </c>
      <c r="K91" s="7" t="s">
        <v>289</v>
      </c>
      <c r="L91" s="12">
        <v>0.12</v>
      </c>
      <c r="M91" s="11">
        <v>4.54</v>
      </c>
      <c r="N91" s="11">
        <v>0</v>
      </c>
      <c r="O91" s="11">
        <v>4.54</v>
      </c>
    </row>
    <row r="92" spans="1:15" ht="15" customHeight="1" x14ac:dyDescent="0.25">
      <c r="A92" s="7" t="s">
        <v>51</v>
      </c>
      <c r="B92" s="7">
        <v>9079571</v>
      </c>
      <c r="C92" s="8">
        <v>4151537602</v>
      </c>
      <c r="D92" s="7" t="s">
        <v>457</v>
      </c>
      <c r="E92" s="9">
        <v>45492</v>
      </c>
      <c r="F92" s="9">
        <v>45901</v>
      </c>
      <c r="G92" s="10">
        <f>DATEDIF(E92,F92,"M")</f>
        <v>13</v>
      </c>
      <c r="H92" s="20" t="s">
        <v>700</v>
      </c>
      <c r="I92" s="7" t="s">
        <v>705</v>
      </c>
      <c r="J92" s="11">
        <v>28.63</v>
      </c>
      <c r="K92" s="7" t="s">
        <v>289</v>
      </c>
      <c r="L92" s="12">
        <v>0.12</v>
      </c>
      <c r="M92" s="11">
        <v>3.44</v>
      </c>
      <c r="N92" s="11">
        <v>0</v>
      </c>
      <c r="O92" s="11">
        <v>3.44</v>
      </c>
    </row>
    <row r="93" spans="1:15" ht="15" customHeight="1" x14ac:dyDescent="0.25">
      <c r="A93" s="7" t="s">
        <v>103</v>
      </c>
      <c r="B93" s="7">
        <v>19200754</v>
      </c>
      <c r="C93" s="8">
        <v>4151537824</v>
      </c>
      <c r="D93" s="7" t="s">
        <v>459</v>
      </c>
      <c r="E93" s="9">
        <v>45495</v>
      </c>
      <c r="F93" s="9">
        <v>45901</v>
      </c>
      <c r="G93" s="10">
        <f>DATEDIF(E93,F93,"M")</f>
        <v>13</v>
      </c>
      <c r="H93" s="20" t="s">
        <v>700</v>
      </c>
      <c r="I93" s="7" t="s">
        <v>706</v>
      </c>
      <c r="J93" s="11">
        <v>89.45</v>
      </c>
      <c r="K93" s="7" t="s">
        <v>289</v>
      </c>
      <c r="L93" s="12">
        <v>0.125</v>
      </c>
      <c r="M93" s="11">
        <v>11.18</v>
      </c>
      <c r="N93" s="11">
        <v>0</v>
      </c>
      <c r="O93" s="11">
        <v>11.18</v>
      </c>
    </row>
    <row r="94" spans="1:15" ht="15" customHeight="1" x14ac:dyDescent="0.25">
      <c r="A94" s="7" t="s">
        <v>51</v>
      </c>
      <c r="B94" s="7">
        <v>9079571</v>
      </c>
      <c r="C94" s="8">
        <v>4151537844</v>
      </c>
      <c r="D94" s="7" t="s">
        <v>461</v>
      </c>
      <c r="E94" s="9">
        <v>45494</v>
      </c>
      <c r="F94" s="9">
        <v>45901</v>
      </c>
      <c r="G94" s="10">
        <f>DATEDIF(E94,F94,"M")</f>
        <v>13</v>
      </c>
      <c r="H94" s="20" t="s">
        <v>700</v>
      </c>
      <c r="I94" s="7" t="s">
        <v>705</v>
      </c>
      <c r="J94" s="11">
        <v>37.83</v>
      </c>
      <c r="K94" s="7" t="s">
        <v>289</v>
      </c>
      <c r="L94" s="12">
        <v>0.12</v>
      </c>
      <c r="M94" s="11">
        <v>4.54</v>
      </c>
      <c r="N94" s="11">
        <v>0</v>
      </c>
      <c r="O94" s="11">
        <v>4.54</v>
      </c>
    </row>
    <row r="95" spans="1:15" ht="15" customHeight="1" x14ac:dyDescent="0.25">
      <c r="A95" s="7" t="s">
        <v>34</v>
      </c>
      <c r="B95" s="7">
        <v>20220688</v>
      </c>
      <c r="C95" s="8">
        <v>4151537850</v>
      </c>
      <c r="D95" s="7" t="s">
        <v>463</v>
      </c>
      <c r="E95" s="9">
        <v>45494</v>
      </c>
      <c r="F95" s="9">
        <v>45901</v>
      </c>
      <c r="G95" s="10">
        <f>DATEDIF(E95,F95,"M")</f>
        <v>13</v>
      </c>
      <c r="H95" s="20" t="s">
        <v>700</v>
      </c>
      <c r="I95" s="7" t="s">
        <v>705</v>
      </c>
      <c r="J95" s="11">
        <v>36.28</v>
      </c>
      <c r="K95" s="7" t="s">
        <v>289</v>
      </c>
      <c r="L95" s="12">
        <v>0.12</v>
      </c>
      <c r="M95" s="11">
        <v>4.3499999999999996</v>
      </c>
      <c r="N95" s="11">
        <v>0</v>
      </c>
      <c r="O95" s="11">
        <v>4.3499999999999996</v>
      </c>
    </row>
    <row r="96" spans="1:15" ht="15" customHeight="1" x14ac:dyDescent="0.25">
      <c r="A96" s="7" t="s">
        <v>34</v>
      </c>
      <c r="B96" s="7">
        <v>20220688</v>
      </c>
      <c r="C96" s="8">
        <v>4151537851</v>
      </c>
      <c r="D96" s="7" t="s">
        <v>463</v>
      </c>
      <c r="E96" s="9">
        <v>45494</v>
      </c>
      <c r="F96" s="9">
        <v>45901</v>
      </c>
      <c r="G96" s="10">
        <f>DATEDIF(E96,F96,"M")</f>
        <v>13</v>
      </c>
      <c r="H96" s="20" t="s">
        <v>700</v>
      </c>
      <c r="I96" s="7" t="s">
        <v>706</v>
      </c>
      <c r="J96" s="11">
        <v>26.21</v>
      </c>
      <c r="K96" s="7" t="s">
        <v>289</v>
      </c>
      <c r="L96" s="12">
        <v>0.125</v>
      </c>
      <c r="M96" s="11">
        <v>3.28</v>
      </c>
      <c r="N96" s="11">
        <v>0</v>
      </c>
      <c r="O96" s="11">
        <v>3.28</v>
      </c>
    </row>
    <row r="97" spans="1:15" ht="15" customHeight="1" x14ac:dyDescent="0.25">
      <c r="A97" s="7" t="s">
        <v>34</v>
      </c>
      <c r="B97" s="7">
        <v>20220688</v>
      </c>
      <c r="C97" s="8">
        <v>4151537852</v>
      </c>
      <c r="D97" s="7" t="s">
        <v>466</v>
      </c>
      <c r="E97" s="9">
        <v>45494</v>
      </c>
      <c r="F97" s="9">
        <v>45901</v>
      </c>
      <c r="G97" s="10">
        <f>DATEDIF(E97,F97,"M")</f>
        <v>13</v>
      </c>
      <c r="H97" s="20" t="s">
        <v>700</v>
      </c>
      <c r="I97" s="7" t="s">
        <v>706</v>
      </c>
      <c r="J97" s="11">
        <v>34.26</v>
      </c>
      <c r="K97" s="7" t="s">
        <v>289</v>
      </c>
      <c r="L97" s="12">
        <v>0.125</v>
      </c>
      <c r="M97" s="11">
        <v>4.28</v>
      </c>
      <c r="N97" s="11">
        <v>0</v>
      </c>
      <c r="O97" s="11">
        <v>4.28</v>
      </c>
    </row>
    <row r="98" spans="1:15" ht="15" customHeight="1" x14ac:dyDescent="0.25">
      <c r="A98" s="7" t="s">
        <v>67</v>
      </c>
      <c r="B98" s="7">
        <v>9213293</v>
      </c>
      <c r="C98" s="8">
        <v>4151537853</v>
      </c>
      <c r="D98" s="7" t="s">
        <v>468</v>
      </c>
      <c r="E98" s="9">
        <v>45494</v>
      </c>
      <c r="F98" s="9">
        <v>45901</v>
      </c>
      <c r="G98" s="10">
        <f>DATEDIF(E98,F98,"M")</f>
        <v>13</v>
      </c>
      <c r="H98" s="20" t="s">
        <v>700</v>
      </c>
      <c r="I98" s="7" t="s">
        <v>705</v>
      </c>
      <c r="J98" s="11">
        <v>9.3699999999999992</v>
      </c>
      <c r="K98" s="7" t="s">
        <v>289</v>
      </c>
      <c r="L98" s="12">
        <v>0.12</v>
      </c>
      <c r="M98" s="11">
        <v>1.1200000000000001</v>
      </c>
      <c r="N98" s="11">
        <v>0</v>
      </c>
      <c r="O98" s="11">
        <v>1.1200000000000001</v>
      </c>
    </row>
    <row r="99" spans="1:15" ht="15" customHeight="1" x14ac:dyDescent="0.25">
      <c r="A99" s="7" t="s">
        <v>67</v>
      </c>
      <c r="B99" s="7">
        <v>9213293</v>
      </c>
      <c r="C99" s="8">
        <v>4151537854</v>
      </c>
      <c r="D99" s="7" t="s">
        <v>470</v>
      </c>
      <c r="E99" s="9">
        <v>45494</v>
      </c>
      <c r="F99" s="9">
        <v>45901</v>
      </c>
      <c r="G99" s="10">
        <f>DATEDIF(E99,F99,"M")</f>
        <v>13</v>
      </c>
      <c r="H99" s="20" t="s">
        <v>700</v>
      </c>
      <c r="I99" s="7" t="s">
        <v>705</v>
      </c>
      <c r="J99" s="11">
        <v>9.3699999999999992</v>
      </c>
      <c r="K99" s="7" t="s">
        <v>289</v>
      </c>
      <c r="L99" s="12">
        <v>0.12</v>
      </c>
      <c r="M99" s="11">
        <v>1.1200000000000001</v>
      </c>
      <c r="N99" s="11">
        <v>0</v>
      </c>
      <c r="O99" s="11">
        <v>1.1200000000000001</v>
      </c>
    </row>
    <row r="100" spans="1:15" ht="15" customHeight="1" x14ac:dyDescent="0.25">
      <c r="A100" s="7" t="s">
        <v>22</v>
      </c>
      <c r="B100" s="7">
        <v>5442438</v>
      </c>
      <c r="C100" s="8">
        <v>4151538099</v>
      </c>
      <c r="D100" s="7" t="s">
        <v>472</v>
      </c>
      <c r="E100" s="9">
        <v>45495</v>
      </c>
      <c r="F100" s="9">
        <v>45901</v>
      </c>
      <c r="G100" s="10">
        <f>DATEDIF(E100,F100,"M")</f>
        <v>13</v>
      </c>
      <c r="H100" s="20" t="s">
        <v>700</v>
      </c>
      <c r="I100" s="7" t="s">
        <v>704</v>
      </c>
      <c r="J100" s="11">
        <v>26.31</v>
      </c>
      <c r="K100" s="7" t="s">
        <v>289</v>
      </c>
      <c r="L100" s="12">
        <v>9.5000000000000001E-2</v>
      </c>
      <c r="M100" s="11">
        <v>2.5</v>
      </c>
      <c r="N100" s="11">
        <v>0</v>
      </c>
      <c r="O100" s="11">
        <v>2.5</v>
      </c>
    </row>
    <row r="101" spans="1:15" ht="15" customHeight="1" x14ac:dyDescent="0.25">
      <c r="A101" s="7" t="s">
        <v>22</v>
      </c>
      <c r="B101" s="7">
        <v>5442438</v>
      </c>
      <c r="C101" s="8">
        <v>4151538102</v>
      </c>
      <c r="D101" s="7" t="s">
        <v>472</v>
      </c>
      <c r="E101" s="9">
        <v>45495</v>
      </c>
      <c r="F101" s="9">
        <v>45901</v>
      </c>
      <c r="G101" s="10">
        <f>DATEDIF(E101,F101,"M")</f>
        <v>13</v>
      </c>
      <c r="H101" s="20" t="s">
        <v>700</v>
      </c>
      <c r="I101" s="7" t="s">
        <v>705</v>
      </c>
      <c r="J101" s="11">
        <v>38.39</v>
      </c>
      <c r="K101" s="7" t="s">
        <v>289</v>
      </c>
      <c r="L101" s="12">
        <v>0.12</v>
      </c>
      <c r="M101" s="11">
        <v>4.6100000000000003</v>
      </c>
      <c r="N101" s="11">
        <v>0</v>
      </c>
      <c r="O101" s="11">
        <v>4.6100000000000003</v>
      </c>
    </row>
    <row r="102" spans="1:15" ht="15" customHeight="1" x14ac:dyDescent="0.25">
      <c r="A102" s="7" t="s">
        <v>83</v>
      </c>
      <c r="B102" s="7">
        <v>8814784</v>
      </c>
      <c r="C102" s="8">
        <v>4151538358</v>
      </c>
      <c r="D102" s="7" t="s">
        <v>475</v>
      </c>
      <c r="E102" s="9">
        <v>45497</v>
      </c>
      <c r="F102" s="9">
        <v>45901</v>
      </c>
      <c r="G102" s="10">
        <f>DATEDIF(E102,F102,"M")</f>
        <v>13</v>
      </c>
      <c r="H102" s="20" t="s">
        <v>700</v>
      </c>
      <c r="I102" s="7" t="s">
        <v>706</v>
      </c>
      <c r="J102" s="11">
        <v>96.48</v>
      </c>
      <c r="K102" s="7" t="s">
        <v>289</v>
      </c>
      <c r="L102" s="12">
        <v>0.125</v>
      </c>
      <c r="M102" s="11">
        <v>12.06</v>
      </c>
      <c r="N102" s="11">
        <v>0</v>
      </c>
      <c r="O102" s="11">
        <v>12.06</v>
      </c>
    </row>
    <row r="103" spans="1:15" ht="15" customHeight="1" x14ac:dyDescent="0.25">
      <c r="A103" s="7" t="s">
        <v>51</v>
      </c>
      <c r="B103" s="7">
        <v>9079571</v>
      </c>
      <c r="C103" s="8">
        <v>4151538582</v>
      </c>
      <c r="D103" s="7" t="s">
        <v>477</v>
      </c>
      <c r="E103" s="9">
        <v>45495</v>
      </c>
      <c r="F103" s="9">
        <v>45901</v>
      </c>
      <c r="G103" s="10">
        <f>DATEDIF(E103,F103,"M")</f>
        <v>13</v>
      </c>
      <c r="H103" s="20" t="s">
        <v>700</v>
      </c>
      <c r="I103" s="7" t="s">
        <v>705</v>
      </c>
      <c r="J103" s="11">
        <v>30.63</v>
      </c>
      <c r="K103" s="7" t="s">
        <v>289</v>
      </c>
      <c r="L103" s="12">
        <v>0.12</v>
      </c>
      <c r="M103" s="11">
        <v>3.68</v>
      </c>
      <c r="N103" s="11">
        <v>0</v>
      </c>
      <c r="O103" s="11">
        <v>3.68</v>
      </c>
    </row>
    <row r="104" spans="1:15" ht="15" customHeight="1" x14ac:dyDescent="0.25">
      <c r="A104" s="7" t="s">
        <v>63</v>
      </c>
      <c r="B104" s="7">
        <v>16633294</v>
      </c>
      <c r="C104" s="8">
        <v>4151538605</v>
      </c>
      <c r="D104" s="7" t="s">
        <v>479</v>
      </c>
      <c r="E104" s="9">
        <v>45497</v>
      </c>
      <c r="F104" s="9">
        <v>45901</v>
      </c>
      <c r="G104" s="10">
        <f>DATEDIF(E104,F104,"M")</f>
        <v>13</v>
      </c>
      <c r="H104" s="20" t="s">
        <v>700</v>
      </c>
      <c r="I104" s="7" t="s">
        <v>705</v>
      </c>
      <c r="J104" s="11">
        <v>28.63</v>
      </c>
      <c r="K104" s="7" t="s">
        <v>289</v>
      </c>
      <c r="L104" s="12">
        <v>0.12</v>
      </c>
      <c r="M104" s="11">
        <v>3.44</v>
      </c>
      <c r="N104" s="11">
        <v>0</v>
      </c>
      <c r="O104" s="11">
        <v>3.44</v>
      </c>
    </row>
    <row r="105" spans="1:15" ht="15" customHeight="1" x14ac:dyDescent="0.25">
      <c r="A105" s="7" t="s">
        <v>22</v>
      </c>
      <c r="B105" s="7">
        <v>5442438</v>
      </c>
      <c r="C105" s="8">
        <v>4151538727</v>
      </c>
      <c r="D105" s="7" t="s">
        <v>481</v>
      </c>
      <c r="E105" s="9">
        <v>45496</v>
      </c>
      <c r="F105" s="9">
        <v>45901</v>
      </c>
      <c r="G105" s="10">
        <f>DATEDIF(E105,F105,"M")</f>
        <v>13</v>
      </c>
      <c r="H105" s="20" t="s">
        <v>700</v>
      </c>
      <c r="I105" s="7" t="s">
        <v>705</v>
      </c>
      <c r="J105" s="11">
        <v>40.39</v>
      </c>
      <c r="K105" s="7" t="s">
        <v>289</v>
      </c>
      <c r="L105" s="12">
        <v>0.12</v>
      </c>
      <c r="M105" s="11">
        <v>4.8499999999999996</v>
      </c>
      <c r="N105" s="11">
        <v>0</v>
      </c>
      <c r="O105" s="11">
        <v>4.8499999999999996</v>
      </c>
    </row>
    <row r="106" spans="1:15" ht="15" customHeight="1" x14ac:dyDescent="0.25">
      <c r="A106" s="7" t="s">
        <v>22</v>
      </c>
      <c r="B106" s="7">
        <v>5442438</v>
      </c>
      <c r="C106" s="8">
        <v>4151538745</v>
      </c>
      <c r="D106" s="7" t="s">
        <v>481</v>
      </c>
      <c r="E106" s="9">
        <v>45496</v>
      </c>
      <c r="F106" s="9">
        <v>45901</v>
      </c>
      <c r="G106" s="10">
        <f>DATEDIF(E106,F106,"M")</f>
        <v>13</v>
      </c>
      <c r="H106" s="20" t="s">
        <v>700</v>
      </c>
      <c r="I106" s="7" t="s">
        <v>704</v>
      </c>
      <c r="J106" s="11">
        <v>26.66</v>
      </c>
      <c r="K106" s="7" t="s">
        <v>289</v>
      </c>
      <c r="L106" s="12">
        <v>9.5000000000000001E-2</v>
      </c>
      <c r="M106" s="11">
        <v>2.5299999999999998</v>
      </c>
      <c r="N106" s="11">
        <v>0</v>
      </c>
      <c r="O106" s="11">
        <v>2.5299999999999998</v>
      </c>
    </row>
    <row r="107" spans="1:15" ht="15" customHeight="1" x14ac:dyDescent="0.25">
      <c r="A107" s="7" t="s">
        <v>483</v>
      </c>
      <c r="B107" s="7">
        <v>8244481</v>
      </c>
      <c r="C107" s="8">
        <v>4151539375</v>
      </c>
      <c r="D107" s="7" t="s">
        <v>486</v>
      </c>
      <c r="E107" s="9">
        <v>45499</v>
      </c>
      <c r="F107" s="9">
        <v>45901</v>
      </c>
      <c r="G107" s="10">
        <f>DATEDIF(E107,F107,"M")</f>
        <v>13</v>
      </c>
      <c r="H107" s="20" t="s">
        <v>700</v>
      </c>
      <c r="I107" s="7" t="s">
        <v>703</v>
      </c>
      <c r="J107" s="11">
        <v>85.29</v>
      </c>
      <c r="K107" s="7" t="s">
        <v>289</v>
      </c>
      <c r="L107" s="12">
        <v>0.06</v>
      </c>
      <c r="M107" s="11">
        <v>5.12</v>
      </c>
      <c r="N107" s="11">
        <v>0</v>
      </c>
      <c r="O107" s="11">
        <v>5.12</v>
      </c>
    </row>
    <row r="108" spans="1:15" ht="15" customHeight="1" x14ac:dyDescent="0.25">
      <c r="A108" s="7" t="s">
        <v>63</v>
      </c>
      <c r="B108" s="7">
        <v>16633294</v>
      </c>
      <c r="C108" s="8">
        <v>4151539495</v>
      </c>
      <c r="D108" s="7" t="s">
        <v>488</v>
      </c>
      <c r="E108" s="9">
        <v>45498</v>
      </c>
      <c r="F108" s="9">
        <v>45901</v>
      </c>
      <c r="G108" s="10">
        <f>DATEDIF(E108,F108,"M")</f>
        <v>13</v>
      </c>
      <c r="H108" s="20" t="s">
        <v>700</v>
      </c>
      <c r="I108" s="7" t="s">
        <v>706</v>
      </c>
      <c r="J108" s="11">
        <v>33.85</v>
      </c>
      <c r="K108" s="7" t="s">
        <v>289</v>
      </c>
      <c r="L108" s="12">
        <v>0.125</v>
      </c>
      <c r="M108" s="11">
        <v>4.2300000000000004</v>
      </c>
      <c r="N108" s="11">
        <v>0</v>
      </c>
      <c r="O108" s="11">
        <v>4.2300000000000004</v>
      </c>
    </row>
    <row r="109" spans="1:15" ht="15" customHeight="1" x14ac:dyDescent="0.25">
      <c r="A109" s="7" t="s">
        <v>63</v>
      </c>
      <c r="B109" s="7">
        <v>16633294</v>
      </c>
      <c r="C109" s="8">
        <v>4151539499</v>
      </c>
      <c r="D109" s="7" t="s">
        <v>488</v>
      </c>
      <c r="E109" s="9">
        <v>45497</v>
      </c>
      <c r="F109" s="9">
        <v>45901</v>
      </c>
      <c r="G109" s="10">
        <f>DATEDIF(E109,F109,"M")</f>
        <v>13</v>
      </c>
      <c r="H109" s="20" t="s">
        <v>700</v>
      </c>
      <c r="I109" s="7" t="s">
        <v>705</v>
      </c>
      <c r="J109" s="11">
        <v>18.16</v>
      </c>
      <c r="K109" s="7" t="s">
        <v>289</v>
      </c>
      <c r="L109" s="12">
        <v>0.12</v>
      </c>
      <c r="M109" s="11">
        <v>2.1800000000000002</v>
      </c>
      <c r="N109" s="11">
        <v>0</v>
      </c>
      <c r="O109" s="11">
        <v>2.1800000000000002</v>
      </c>
    </row>
    <row r="110" spans="1:15" ht="15" customHeight="1" x14ac:dyDescent="0.25">
      <c r="A110" s="7" t="s">
        <v>51</v>
      </c>
      <c r="B110" s="7">
        <v>9079571</v>
      </c>
      <c r="C110" s="8">
        <v>4151539870</v>
      </c>
      <c r="D110" s="7" t="s">
        <v>491</v>
      </c>
      <c r="E110" s="9">
        <v>45498</v>
      </c>
      <c r="F110" s="9">
        <v>45901</v>
      </c>
      <c r="G110" s="10">
        <f>DATEDIF(E110,F110,"M")</f>
        <v>13</v>
      </c>
      <c r="H110" s="20" t="s">
        <v>700</v>
      </c>
      <c r="I110" s="7" t="s">
        <v>705</v>
      </c>
      <c r="J110" s="11">
        <v>52.34</v>
      </c>
      <c r="K110" s="7" t="s">
        <v>289</v>
      </c>
      <c r="L110" s="12">
        <v>0.12</v>
      </c>
      <c r="M110" s="11">
        <v>6.28</v>
      </c>
      <c r="N110" s="11">
        <v>0</v>
      </c>
      <c r="O110" s="11">
        <v>6.28</v>
      </c>
    </row>
    <row r="111" spans="1:15" ht="15" customHeight="1" x14ac:dyDescent="0.25">
      <c r="A111" s="7" t="s">
        <v>51</v>
      </c>
      <c r="B111" s="7">
        <v>9079571</v>
      </c>
      <c r="C111" s="8">
        <v>4151540013</v>
      </c>
      <c r="D111" s="7" t="s">
        <v>493</v>
      </c>
      <c r="E111" s="9">
        <v>45498</v>
      </c>
      <c r="F111" s="9">
        <v>45901</v>
      </c>
      <c r="G111" s="10">
        <f>DATEDIF(E111,F111,"M")</f>
        <v>13</v>
      </c>
      <c r="H111" s="20" t="s">
        <v>700</v>
      </c>
      <c r="I111" s="7" t="s">
        <v>705</v>
      </c>
      <c r="J111" s="11">
        <v>37.83</v>
      </c>
      <c r="K111" s="7" t="s">
        <v>289</v>
      </c>
      <c r="L111" s="12">
        <v>0.12</v>
      </c>
      <c r="M111" s="11">
        <v>4.54</v>
      </c>
      <c r="N111" s="11">
        <v>0</v>
      </c>
      <c r="O111" s="11">
        <v>4.54</v>
      </c>
    </row>
    <row r="112" spans="1:15" ht="15" customHeight="1" x14ac:dyDescent="0.25">
      <c r="A112" s="7" t="s">
        <v>51</v>
      </c>
      <c r="B112" s="7">
        <v>9079571</v>
      </c>
      <c r="C112" s="8">
        <v>4151540017</v>
      </c>
      <c r="D112" s="7" t="s">
        <v>493</v>
      </c>
      <c r="E112" s="9">
        <v>45498</v>
      </c>
      <c r="F112" s="9">
        <v>45901</v>
      </c>
      <c r="G112" s="10">
        <f>DATEDIF(E112,F112,"M")</f>
        <v>13</v>
      </c>
      <c r="H112" s="20" t="s">
        <v>700</v>
      </c>
      <c r="I112" s="7" t="s">
        <v>704</v>
      </c>
      <c r="J112" s="11">
        <v>45.91</v>
      </c>
      <c r="K112" s="7" t="s">
        <v>289</v>
      </c>
      <c r="L112" s="12">
        <v>9.5000000000000001E-2</v>
      </c>
      <c r="M112" s="11">
        <v>4.3600000000000003</v>
      </c>
      <c r="N112" s="11">
        <v>0</v>
      </c>
      <c r="O112" s="11">
        <v>4.3600000000000003</v>
      </c>
    </row>
    <row r="113" spans="1:16" ht="15" customHeight="1" x14ac:dyDescent="0.25">
      <c r="A113" s="7" t="s">
        <v>399</v>
      </c>
      <c r="B113" s="7">
        <v>19681796</v>
      </c>
      <c r="C113" s="8">
        <v>4151540272</v>
      </c>
      <c r="D113" s="7" t="s">
        <v>496</v>
      </c>
      <c r="E113" s="9">
        <v>45499</v>
      </c>
      <c r="F113" s="9">
        <v>45901</v>
      </c>
      <c r="G113" s="10">
        <f>DATEDIF(E113,F113,"M")</f>
        <v>13</v>
      </c>
      <c r="H113" s="20" t="s">
        <v>700</v>
      </c>
      <c r="I113" s="7" t="s">
        <v>705</v>
      </c>
      <c r="J113" s="11">
        <v>21.95</v>
      </c>
      <c r="K113" s="7" t="s">
        <v>289</v>
      </c>
      <c r="L113" s="12">
        <v>0.12</v>
      </c>
      <c r="M113" s="11">
        <v>2.63</v>
      </c>
      <c r="N113" s="11">
        <v>0</v>
      </c>
      <c r="O113" s="11">
        <v>2.63</v>
      </c>
    </row>
    <row r="114" spans="1:16" ht="15" customHeight="1" x14ac:dyDescent="0.25">
      <c r="A114" s="7" t="s">
        <v>34</v>
      </c>
      <c r="B114" s="7">
        <v>20220688</v>
      </c>
      <c r="C114" s="8">
        <v>4151540291</v>
      </c>
      <c r="D114" s="7" t="s">
        <v>498</v>
      </c>
      <c r="E114" s="9">
        <v>45500</v>
      </c>
      <c r="F114" s="9">
        <v>45901</v>
      </c>
      <c r="G114" s="10">
        <f>DATEDIF(E114,F114,"M")</f>
        <v>13</v>
      </c>
      <c r="H114" s="20" t="s">
        <v>700</v>
      </c>
      <c r="I114" s="7" t="s">
        <v>705</v>
      </c>
      <c r="J114" s="11">
        <v>35.93</v>
      </c>
      <c r="K114" s="7" t="s">
        <v>289</v>
      </c>
      <c r="L114" s="12">
        <v>0.12</v>
      </c>
      <c r="M114" s="11">
        <v>4.3099999999999996</v>
      </c>
      <c r="N114" s="11">
        <v>0</v>
      </c>
      <c r="O114" s="11">
        <v>4.3099999999999996</v>
      </c>
    </row>
    <row r="115" spans="1:16" ht="15" customHeight="1" x14ac:dyDescent="0.25">
      <c r="A115" s="7" t="s">
        <v>34</v>
      </c>
      <c r="B115" s="7">
        <v>20220688</v>
      </c>
      <c r="C115" s="8">
        <v>4151540307</v>
      </c>
      <c r="D115" s="7" t="s">
        <v>500</v>
      </c>
      <c r="E115" s="9">
        <v>45500</v>
      </c>
      <c r="F115" s="9">
        <v>45901</v>
      </c>
      <c r="G115" s="10">
        <f>DATEDIF(E115,F115,"M")</f>
        <v>13</v>
      </c>
      <c r="H115" s="20" t="s">
        <v>700</v>
      </c>
      <c r="I115" s="7" t="s">
        <v>705</v>
      </c>
      <c r="J115" s="11">
        <v>72.27</v>
      </c>
      <c r="K115" s="7" t="s">
        <v>289</v>
      </c>
      <c r="L115" s="12">
        <v>0.12</v>
      </c>
      <c r="M115" s="11">
        <v>8.67</v>
      </c>
      <c r="N115" s="11">
        <v>0</v>
      </c>
      <c r="O115" s="11">
        <v>8.67</v>
      </c>
    </row>
    <row r="116" spans="1:16" ht="15" customHeight="1" x14ac:dyDescent="0.25">
      <c r="A116" s="7" t="s">
        <v>51</v>
      </c>
      <c r="B116" s="7">
        <v>9079571</v>
      </c>
      <c r="C116" s="8">
        <v>4151541301</v>
      </c>
      <c r="D116" s="7" t="s">
        <v>502</v>
      </c>
      <c r="E116" s="9">
        <v>45505</v>
      </c>
      <c r="F116" s="9">
        <v>45901</v>
      </c>
      <c r="G116" s="10">
        <f>DATEDIF(E116,F116,"M")</f>
        <v>13</v>
      </c>
      <c r="H116" s="20" t="s">
        <v>700</v>
      </c>
      <c r="I116" s="7" t="s">
        <v>705</v>
      </c>
      <c r="J116" s="11">
        <v>38.39</v>
      </c>
      <c r="K116" s="7" t="s">
        <v>289</v>
      </c>
      <c r="L116" s="12">
        <v>0.12</v>
      </c>
      <c r="M116" s="11">
        <v>4.6100000000000003</v>
      </c>
      <c r="N116" s="11">
        <v>0</v>
      </c>
      <c r="O116" s="11">
        <v>4.6100000000000003</v>
      </c>
    </row>
    <row r="117" spans="1:16" ht="15" customHeight="1" x14ac:dyDescent="0.25">
      <c r="A117" s="7" t="s">
        <v>426</v>
      </c>
      <c r="B117" s="7">
        <v>18581063</v>
      </c>
      <c r="C117" s="8">
        <v>4151547021</v>
      </c>
      <c r="D117" s="7" t="s">
        <v>504</v>
      </c>
      <c r="E117" s="9">
        <v>45522</v>
      </c>
      <c r="F117" s="9">
        <v>45901</v>
      </c>
      <c r="G117" s="10">
        <f>DATEDIF(E117,F117,"M")</f>
        <v>12</v>
      </c>
      <c r="H117" s="20" t="s">
        <v>700</v>
      </c>
      <c r="I117" s="7" t="s">
        <v>705</v>
      </c>
      <c r="J117" s="11">
        <v>37.83</v>
      </c>
      <c r="K117" s="7" t="s">
        <v>289</v>
      </c>
      <c r="L117" s="12">
        <v>0.12</v>
      </c>
      <c r="M117" s="11">
        <v>4.54</v>
      </c>
      <c r="N117" s="11">
        <v>0</v>
      </c>
      <c r="O117" s="11">
        <v>4.54</v>
      </c>
    </row>
    <row r="118" spans="1:16" ht="15" customHeight="1" x14ac:dyDescent="0.25">
      <c r="A118" s="7" t="s">
        <v>426</v>
      </c>
      <c r="B118" s="7">
        <v>18581063</v>
      </c>
      <c r="C118" s="8">
        <v>4151547026</v>
      </c>
      <c r="D118" s="7" t="s">
        <v>504</v>
      </c>
      <c r="E118" s="9">
        <v>45520</v>
      </c>
      <c r="F118" s="9">
        <v>45901</v>
      </c>
      <c r="G118" s="10">
        <f>DATEDIF(E118,F118,"M")</f>
        <v>12</v>
      </c>
      <c r="H118" s="20" t="s">
        <v>700</v>
      </c>
      <c r="I118" s="7" t="s">
        <v>706</v>
      </c>
      <c r="J118" s="11">
        <v>86.68</v>
      </c>
      <c r="K118" s="7" t="s">
        <v>289</v>
      </c>
      <c r="L118" s="12">
        <v>0.125</v>
      </c>
      <c r="M118" s="11">
        <v>10.84</v>
      </c>
      <c r="N118" s="11">
        <v>0</v>
      </c>
      <c r="O118" s="11">
        <v>10.84</v>
      </c>
    </row>
    <row r="119" spans="1:16" ht="15" customHeight="1" x14ac:dyDescent="0.25">
      <c r="A119" s="7" t="s">
        <v>63</v>
      </c>
      <c r="B119" s="7">
        <v>16633294</v>
      </c>
      <c r="C119" s="8">
        <v>4151547517</v>
      </c>
      <c r="D119" s="7" t="s">
        <v>507</v>
      </c>
      <c r="E119" s="9">
        <v>45527</v>
      </c>
      <c r="F119" s="9">
        <v>45901</v>
      </c>
      <c r="G119" s="10">
        <f>DATEDIF(E119,F119,"M")</f>
        <v>12</v>
      </c>
      <c r="H119" s="20" t="s">
        <v>700</v>
      </c>
      <c r="I119" s="7" t="s">
        <v>706</v>
      </c>
      <c r="J119" s="11">
        <v>165.91</v>
      </c>
      <c r="K119" s="7" t="s">
        <v>289</v>
      </c>
      <c r="L119" s="12">
        <v>0.125</v>
      </c>
      <c r="M119" s="11">
        <v>20.74</v>
      </c>
      <c r="N119" s="11">
        <v>0</v>
      </c>
      <c r="O119" s="11">
        <v>20.74</v>
      </c>
    </row>
    <row r="120" spans="1:16" ht="15" customHeight="1" x14ac:dyDescent="0.25">
      <c r="A120" s="7" t="s">
        <v>63</v>
      </c>
      <c r="B120" s="7">
        <v>16633294</v>
      </c>
      <c r="C120" s="8">
        <v>4151547551</v>
      </c>
      <c r="D120" s="7" t="s">
        <v>507</v>
      </c>
      <c r="E120" s="9">
        <v>45525</v>
      </c>
      <c r="F120" s="9">
        <v>45901</v>
      </c>
      <c r="G120" s="10">
        <f>DATEDIF(E120,F120,"M")</f>
        <v>12</v>
      </c>
      <c r="H120" s="20" t="s">
        <v>700</v>
      </c>
      <c r="I120" s="7" t="s">
        <v>705</v>
      </c>
      <c r="J120" s="11">
        <v>51.54</v>
      </c>
      <c r="K120" s="7" t="s">
        <v>289</v>
      </c>
      <c r="L120" s="12">
        <v>0.12</v>
      </c>
      <c r="M120" s="11">
        <v>6.18</v>
      </c>
      <c r="N120" s="11">
        <v>0</v>
      </c>
      <c r="O120" s="11">
        <v>6.18</v>
      </c>
    </row>
    <row r="121" spans="1:16" ht="15" customHeight="1" x14ac:dyDescent="0.25">
      <c r="A121" s="7" t="s">
        <v>22</v>
      </c>
      <c r="B121" s="7">
        <v>5442438</v>
      </c>
      <c r="C121" s="8">
        <v>4151547679</v>
      </c>
      <c r="D121" s="7" t="s">
        <v>510</v>
      </c>
      <c r="E121" s="9">
        <v>45520</v>
      </c>
      <c r="F121" s="9">
        <v>45901</v>
      </c>
      <c r="G121" s="10">
        <f>DATEDIF(E121,F121,"M")</f>
        <v>12</v>
      </c>
      <c r="H121" s="20" t="s">
        <v>700</v>
      </c>
      <c r="I121" s="7" t="s">
        <v>704</v>
      </c>
      <c r="J121" s="11">
        <v>31.69</v>
      </c>
      <c r="K121" s="7" t="s">
        <v>289</v>
      </c>
      <c r="L121" s="12">
        <v>9.5000000000000001E-2</v>
      </c>
      <c r="M121" s="11">
        <v>3.01</v>
      </c>
      <c r="N121" s="11">
        <v>0</v>
      </c>
      <c r="O121" s="11">
        <v>3.01</v>
      </c>
    </row>
    <row r="122" spans="1:16" ht="15" customHeight="1" x14ac:dyDescent="0.25">
      <c r="A122" s="7" t="s">
        <v>22</v>
      </c>
      <c r="B122" s="7">
        <v>5442438</v>
      </c>
      <c r="C122" s="8">
        <v>4151547682</v>
      </c>
      <c r="D122" s="7" t="s">
        <v>510</v>
      </c>
      <c r="E122" s="9">
        <v>45520</v>
      </c>
      <c r="F122" s="9">
        <v>45901</v>
      </c>
      <c r="G122" s="10">
        <f>DATEDIF(E122,F122,"M")</f>
        <v>12</v>
      </c>
      <c r="H122" s="20" t="s">
        <v>700</v>
      </c>
      <c r="I122" s="7" t="s">
        <v>705</v>
      </c>
      <c r="J122" s="11">
        <v>56.16</v>
      </c>
      <c r="K122" s="7" t="s">
        <v>289</v>
      </c>
      <c r="L122" s="12">
        <v>0.12</v>
      </c>
      <c r="M122" s="11">
        <v>6.74</v>
      </c>
      <c r="N122" s="11">
        <v>0</v>
      </c>
      <c r="O122" s="11">
        <v>6.74</v>
      </c>
    </row>
    <row r="123" spans="1:16" ht="15" customHeight="1" x14ac:dyDescent="0.25">
      <c r="A123" s="7" t="s">
        <v>67</v>
      </c>
      <c r="B123" s="7">
        <v>9213293</v>
      </c>
      <c r="C123" s="8">
        <v>4151547740</v>
      </c>
      <c r="D123" s="7" t="s">
        <v>513</v>
      </c>
      <c r="E123" s="9">
        <v>45525</v>
      </c>
      <c r="F123" s="9">
        <v>45901</v>
      </c>
      <c r="G123" s="10">
        <f>DATEDIF(E123,F123,"M")</f>
        <v>12</v>
      </c>
      <c r="H123" s="20" t="s">
        <v>700</v>
      </c>
      <c r="I123" s="7" t="s">
        <v>705</v>
      </c>
      <c r="J123" s="11">
        <v>15.15</v>
      </c>
      <c r="K123" s="7" t="s">
        <v>289</v>
      </c>
      <c r="L123" s="12">
        <v>0.12</v>
      </c>
      <c r="M123" s="11">
        <v>1.82</v>
      </c>
      <c r="N123" s="11">
        <v>0</v>
      </c>
      <c r="O123" s="11">
        <v>1.82</v>
      </c>
    </row>
    <row r="124" spans="1:16" ht="15" customHeight="1" x14ac:dyDescent="0.25">
      <c r="A124" s="7" t="s">
        <v>22</v>
      </c>
      <c r="B124" s="7">
        <v>5442438</v>
      </c>
      <c r="C124" s="8">
        <v>4151547823</v>
      </c>
      <c r="D124" s="7" t="s">
        <v>25</v>
      </c>
      <c r="E124" s="9">
        <v>45523</v>
      </c>
      <c r="F124" s="9">
        <v>45901</v>
      </c>
      <c r="G124" s="10">
        <f>DATEDIF(E124,F124,"M")</f>
        <v>12</v>
      </c>
      <c r="H124" s="20" t="s">
        <v>700</v>
      </c>
      <c r="I124" s="7" t="s">
        <v>704</v>
      </c>
      <c r="J124" s="11">
        <v>-4.92</v>
      </c>
      <c r="K124" s="7" t="s">
        <v>30</v>
      </c>
      <c r="L124" s="12">
        <v>0.995</v>
      </c>
      <c r="M124" s="11">
        <v>-4.9000000000000004</v>
      </c>
      <c r="N124" s="11">
        <v>0</v>
      </c>
      <c r="O124" s="11">
        <v>-4.9000000000000004</v>
      </c>
      <c r="P124" s="13"/>
    </row>
    <row r="125" spans="1:16" ht="15" customHeight="1" x14ac:dyDescent="0.25">
      <c r="A125" s="7" t="s">
        <v>22</v>
      </c>
      <c r="B125" s="7">
        <v>5442438</v>
      </c>
      <c r="C125" s="8">
        <v>4151547834</v>
      </c>
      <c r="D125" s="7" t="s">
        <v>25</v>
      </c>
      <c r="E125" s="9">
        <v>45523</v>
      </c>
      <c r="F125" s="9">
        <v>45901</v>
      </c>
      <c r="G125" s="10">
        <f>DATEDIF(E125,F125,"M")</f>
        <v>12</v>
      </c>
      <c r="H125" s="20" t="s">
        <v>700</v>
      </c>
      <c r="I125" s="7" t="s">
        <v>705</v>
      </c>
      <c r="J125" s="11">
        <v>-7.43</v>
      </c>
      <c r="K125" s="7" t="s">
        <v>30</v>
      </c>
      <c r="L125" s="12">
        <v>1</v>
      </c>
      <c r="M125" s="11">
        <v>-7.43</v>
      </c>
      <c r="N125" s="11">
        <v>0</v>
      </c>
      <c r="O125" s="11">
        <v>-7.43</v>
      </c>
      <c r="P125" s="13"/>
    </row>
    <row r="126" spans="1:16" ht="15" customHeight="1" x14ac:dyDescent="0.25">
      <c r="A126" s="7" t="s">
        <v>22</v>
      </c>
      <c r="B126" s="7">
        <v>5442438</v>
      </c>
      <c r="C126" s="8">
        <v>4151547863</v>
      </c>
      <c r="D126" s="7" t="s">
        <v>515</v>
      </c>
      <c r="E126" s="9">
        <v>45523</v>
      </c>
      <c r="F126" s="9">
        <v>45901</v>
      </c>
      <c r="G126" s="10">
        <f>DATEDIF(E126,F126,"M")</f>
        <v>12</v>
      </c>
      <c r="H126" s="20" t="s">
        <v>700</v>
      </c>
      <c r="I126" s="7" t="s">
        <v>705</v>
      </c>
      <c r="J126" s="11">
        <v>40.39</v>
      </c>
      <c r="K126" s="7" t="s">
        <v>289</v>
      </c>
      <c r="L126" s="12">
        <v>0.12</v>
      </c>
      <c r="M126" s="11">
        <v>4.8499999999999996</v>
      </c>
      <c r="N126" s="11">
        <v>0</v>
      </c>
      <c r="O126" s="11">
        <v>4.8499999999999996</v>
      </c>
    </row>
    <row r="127" spans="1:16" ht="15" customHeight="1" x14ac:dyDescent="0.25">
      <c r="A127" s="7" t="s">
        <v>22</v>
      </c>
      <c r="B127" s="7">
        <v>5442438</v>
      </c>
      <c r="C127" s="8">
        <v>4151547882</v>
      </c>
      <c r="D127" s="7" t="s">
        <v>517</v>
      </c>
      <c r="E127" s="9">
        <v>45524</v>
      </c>
      <c r="F127" s="9">
        <v>45901</v>
      </c>
      <c r="G127" s="10">
        <f>DATEDIF(E127,F127,"M")</f>
        <v>12</v>
      </c>
      <c r="H127" s="20" t="s">
        <v>700</v>
      </c>
      <c r="I127" s="7" t="s">
        <v>706</v>
      </c>
      <c r="J127" s="11">
        <v>42.63</v>
      </c>
      <c r="K127" s="7" t="s">
        <v>289</v>
      </c>
      <c r="L127" s="12">
        <v>0.125</v>
      </c>
      <c r="M127" s="11">
        <v>5.33</v>
      </c>
      <c r="N127" s="11">
        <v>0</v>
      </c>
      <c r="O127" s="11">
        <v>5.33</v>
      </c>
    </row>
    <row r="128" spans="1:16" ht="15" customHeight="1" x14ac:dyDescent="0.25">
      <c r="A128" s="7" t="s">
        <v>22</v>
      </c>
      <c r="B128" s="7">
        <v>5442438</v>
      </c>
      <c r="C128" s="8">
        <v>4151547883</v>
      </c>
      <c r="D128" s="7" t="s">
        <v>517</v>
      </c>
      <c r="E128" s="9">
        <v>45523</v>
      </c>
      <c r="F128" s="9">
        <v>45901</v>
      </c>
      <c r="G128" s="10">
        <f>DATEDIF(E128,F128,"M")</f>
        <v>12</v>
      </c>
      <c r="H128" s="20" t="s">
        <v>700</v>
      </c>
      <c r="I128" s="7" t="s">
        <v>705</v>
      </c>
      <c r="J128" s="11">
        <v>52.34</v>
      </c>
      <c r="K128" s="7" t="s">
        <v>289</v>
      </c>
      <c r="L128" s="12">
        <v>0.12</v>
      </c>
      <c r="M128" s="11">
        <v>6.28</v>
      </c>
      <c r="N128" s="11">
        <v>0</v>
      </c>
      <c r="O128" s="11">
        <v>6.28</v>
      </c>
    </row>
    <row r="129" spans="1:15" ht="15" customHeight="1" x14ac:dyDescent="0.25">
      <c r="A129" s="7" t="s">
        <v>519</v>
      </c>
      <c r="B129" s="7">
        <v>2158366</v>
      </c>
      <c r="C129" s="8">
        <v>4151547892</v>
      </c>
      <c r="D129" s="7" t="s">
        <v>522</v>
      </c>
      <c r="E129" s="9">
        <v>45524</v>
      </c>
      <c r="F129" s="9">
        <v>45901</v>
      </c>
      <c r="G129" s="10">
        <f>DATEDIF(E129,F129,"M")</f>
        <v>12</v>
      </c>
      <c r="H129" s="20" t="s">
        <v>700</v>
      </c>
      <c r="I129" s="7" t="s">
        <v>706</v>
      </c>
      <c r="J129" s="11">
        <v>14.38</v>
      </c>
      <c r="K129" s="7" t="s">
        <v>289</v>
      </c>
      <c r="L129" s="12">
        <v>0.125</v>
      </c>
      <c r="M129" s="11">
        <v>1.8</v>
      </c>
      <c r="N129" s="11">
        <v>0</v>
      </c>
      <c r="O129" s="11">
        <v>1.8</v>
      </c>
    </row>
    <row r="130" spans="1:15" ht="15" customHeight="1" x14ac:dyDescent="0.25">
      <c r="A130" s="7" t="s">
        <v>399</v>
      </c>
      <c r="B130" s="7">
        <v>19681796</v>
      </c>
      <c r="C130" s="8">
        <v>4151547986</v>
      </c>
      <c r="D130" s="7" t="s">
        <v>524</v>
      </c>
      <c r="E130" s="9">
        <v>45525</v>
      </c>
      <c r="F130" s="9">
        <v>45901</v>
      </c>
      <c r="G130" s="10">
        <f>DATEDIF(E130,F130,"M")</f>
        <v>12</v>
      </c>
      <c r="H130" s="20" t="s">
        <v>700</v>
      </c>
      <c r="I130" s="7" t="s">
        <v>705</v>
      </c>
      <c r="J130" s="11">
        <v>28.91</v>
      </c>
      <c r="K130" s="7" t="s">
        <v>289</v>
      </c>
      <c r="L130" s="12">
        <v>0.12</v>
      </c>
      <c r="M130" s="11">
        <v>3.47</v>
      </c>
      <c r="N130" s="11">
        <v>0</v>
      </c>
      <c r="O130" s="11">
        <v>3.47</v>
      </c>
    </row>
    <row r="131" spans="1:15" ht="15" customHeight="1" x14ac:dyDescent="0.25">
      <c r="A131" s="7" t="s">
        <v>22</v>
      </c>
      <c r="B131" s="7">
        <v>5442438</v>
      </c>
      <c r="C131" s="8">
        <v>4151548817</v>
      </c>
      <c r="D131" s="7" t="s">
        <v>526</v>
      </c>
      <c r="E131" s="9">
        <v>45524</v>
      </c>
      <c r="F131" s="9">
        <v>45901</v>
      </c>
      <c r="G131" s="10">
        <f>DATEDIF(E131,F131,"M")</f>
        <v>12</v>
      </c>
      <c r="H131" s="20" t="s">
        <v>700</v>
      </c>
      <c r="I131" s="7" t="s">
        <v>706</v>
      </c>
      <c r="J131" s="11">
        <v>130.43</v>
      </c>
      <c r="K131" s="7" t="s">
        <v>289</v>
      </c>
      <c r="L131" s="12">
        <v>0.125</v>
      </c>
      <c r="M131" s="11">
        <v>16.3</v>
      </c>
      <c r="N131" s="11">
        <v>0</v>
      </c>
      <c r="O131" s="11">
        <v>16.3</v>
      </c>
    </row>
    <row r="132" spans="1:15" ht="15" customHeight="1" x14ac:dyDescent="0.25">
      <c r="A132" s="7" t="s">
        <v>22</v>
      </c>
      <c r="B132" s="7">
        <v>5442438</v>
      </c>
      <c r="C132" s="8">
        <v>4151548820</v>
      </c>
      <c r="D132" s="7" t="s">
        <v>526</v>
      </c>
      <c r="E132" s="9">
        <v>45524</v>
      </c>
      <c r="F132" s="9">
        <v>45901</v>
      </c>
      <c r="G132" s="10">
        <f>DATEDIF(E132,F132,"M")</f>
        <v>12</v>
      </c>
      <c r="H132" s="20" t="s">
        <v>700</v>
      </c>
      <c r="I132" s="7" t="s">
        <v>705</v>
      </c>
      <c r="J132" s="11">
        <v>52.34</v>
      </c>
      <c r="K132" s="7" t="s">
        <v>289</v>
      </c>
      <c r="L132" s="12">
        <v>0.12</v>
      </c>
      <c r="M132" s="11">
        <v>6.28</v>
      </c>
      <c r="N132" s="11">
        <v>0</v>
      </c>
      <c r="O132" s="11">
        <v>6.28</v>
      </c>
    </row>
    <row r="133" spans="1:15" ht="15" customHeight="1" x14ac:dyDescent="0.25">
      <c r="A133" s="7" t="s">
        <v>22</v>
      </c>
      <c r="B133" s="7">
        <v>5442438</v>
      </c>
      <c r="C133" s="8">
        <v>4151549083</v>
      </c>
      <c r="D133" s="7" t="s">
        <v>47</v>
      </c>
      <c r="E133" s="9">
        <v>45524</v>
      </c>
      <c r="F133" s="9">
        <v>45901</v>
      </c>
      <c r="G133" s="10">
        <f>DATEDIF(E133,F133,"M")</f>
        <v>12</v>
      </c>
      <c r="H133" s="20" t="s">
        <v>700</v>
      </c>
      <c r="I133" s="7" t="s">
        <v>704</v>
      </c>
      <c r="J133" s="11">
        <v>65.290000000000006</v>
      </c>
      <c r="K133" s="7" t="s">
        <v>289</v>
      </c>
      <c r="L133" s="12">
        <v>9.5000000000000001E-2</v>
      </c>
      <c r="M133" s="11">
        <v>6.2</v>
      </c>
      <c r="N133" s="11">
        <v>0</v>
      </c>
      <c r="O133" s="11">
        <v>6.2</v>
      </c>
    </row>
    <row r="134" spans="1:15" ht="15" customHeight="1" x14ac:dyDescent="0.25">
      <c r="A134" s="7" t="s">
        <v>83</v>
      </c>
      <c r="B134" s="7">
        <v>8814784</v>
      </c>
      <c r="C134" s="8">
        <v>4151549096</v>
      </c>
      <c r="D134" s="7" t="s">
        <v>530</v>
      </c>
      <c r="E134" s="9">
        <v>45524</v>
      </c>
      <c r="F134" s="9">
        <v>45901</v>
      </c>
      <c r="G134" s="10">
        <f>DATEDIF(E134,F134,"M")</f>
        <v>12</v>
      </c>
      <c r="H134" s="20" t="s">
        <v>700</v>
      </c>
      <c r="I134" s="7" t="s">
        <v>705</v>
      </c>
      <c r="J134" s="11">
        <v>53.41</v>
      </c>
      <c r="K134" s="7" t="s">
        <v>289</v>
      </c>
      <c r="L134" s="12">
        <v>0.12</v>
      </c>
      <c r="M134" s="11">
        <v>6.41</v>
      </c>
      <c r="N134" s="11">
        <v>0</v>
      </c>
      <c r="O134" s="11">
        <v>6.41</v>
      </c>
    </row>
    <row r="135" spans="1:15" ht="15" customHeight="1" x14ac:dyDescent="0.25">
      <c r="A135" s="7" t="s">
        <v>34</v>
      </c>
      <c r="B135" s="7">
        <v>20220688</v>
      </c>
      <c r="C135" s="8">
        <v>4151549382</v>
      </c>
      <c r="D135" s="7" t="s">
        <v>532</v>
      </c>
      <c r="E135" s="9">
        <v>45527</v>
      </c>
      <c r="F135" s="9">
        <v>45901</v>
      </c>
      <c r="G135" s="10">
        <f>DATEDIF(E135,F135,"M")</f>
        <v>12</v>
      </c>
      <c r="H135" s="20" t="s">
        <v>700</v>
      </c>
      <c r="I135" s="7" t="s">
        <v>706</v>
      </c>
      <c r="J135" s="11">
        <v>57.88</v>
      </c>
      <c r="K135" s="7" t="s">
        <v>289</v>
      </c>
      <c r="L135" s="12">
        <v>0.125</v>
      </c>
      <c r="M135" s="11">
        <v>7.24</v>
      </c>
      <c r="N135" s="11">
        <v>0</v>
      </c>
      <c r="O135" s="11">
        <v>7.24</v>
      </c>
    </row>
    <row r="136" spans="1:15" ht="15" customHeight="1" x14ac:dyDescent="0.25">
      <c r="A136" s="7" t="s">
        <v>426</v>
      </c>
      <c r="B136" s="7">
        <v>18581063</v>
      </c>
      <c r="C136" s="8">
        <v>4151549687</v>
      </c>
      <c r="D136" s="7" t="s">
        <v>534</v>
      </c>
      <c r="E136" s="9">
        <v>45527</v>
      </c>
      <c r="F136" s="9">
        <v>45901</v>
      </c>
      <c r="G136" s="10">
        <f>DATEDIF(E136,F136,"M")</f>
        <v>12</v>
      </c>
      <c r="H136" s="20" t="s">
        <v>700</v>
      </c>
      <c r="I136" s="7" t="s">
        <v>706</v>
      </c>
      <c r="J136" s="11">
        <v>57.08</v>
      </c>
      <c r="K136" s="7" t="s">
        <v>289</v>
      </c>
      <c r="L136" s="12">
        <v>0.125</v>
      </c>
      <c r="M136" s="11">
        <v>7.14</v>
      </c>
      <c r="N136" s="11">
        <v>0</v>
      </c>
      <c r="O136" s="11">
        <v>7.14</v>
      </c>
    </row>
    <row r="137" spans="1:15" ht="15" customHeight="1" x14ac:dyDescent="0.25">
      <c r="A137" s="7" t="s">
        <v>51</v>
      </c>
      <c r="B137" s="7">
        <v>9079571</v>
      </c>
      <c r="C137" s="8">
        <v>4151549696</v>
      </c>
      <c r="D137" s="7" t="s">
        <v>536</v>
      </c>
      <c r="E137" s="9">
        <v>45525</v>
      </c>
      <c r="F137" s="9">
        <v>45901</v>
      </c>
      <c r="G137" s="10">
        <f>DATEDIF(E137,F137,"M")</f>
        <v>12</v>
      </c>
      <c r="H137" s="20" t="s">
        <v>700</v>
      </c>
      <c r="I137" s="7" t="s">
        <v>705</v>
      </c>
      <c r="J137" s="11">
        <v>52.34</v>
      </c>
      <c r="K137" s="7" t="s">
        <v>289</v>
      </c>
      <c r="L137" s="12">
        <v>0.12</v>
      </c>
      <c r="M137" s="11">
        <v>6.28</v>
      </c>
      <c r="N137" s="11">
        <v>0</v>
      </c>
      <c r="O137" s="11">
        <v>6.28</v>
      </c>
    </row>
    <row r="138" spans="1:15" ht="15" customHeight="1" x14ac:dyDescent="0.25">
      <c r="A138" s="7" t="s">
        <v>51</v>
      </c>
      <c r="B138" s="7">
        <v>9079571</v>
      </c>
      <c r="C138" s="8">
        <v>4151549697</v>
      </c>
      <c r="D138" s="7" t="s">
        <v>536</v>
      </c>
      <c r="E138" s="9">
        <v>45527</v>
      </c>
      <c r="F138" s="9">
        <v>45901</v>
      </c>
      <c r="G138" s="10">
        <f>DATEDIF(E138,F138,"M")</f>
        <v>12</v>
      </c>
      <c r="H138" s="20" t="s">
        <v>700</v>
      </c>
      <c r="I138" s="7" t="s">
        <v>706</v>
      </c>
      <c r="J138" s="11">
        <v>79.349999999999994</v>
      </c>
      <c r="K138" s="7" t="s">
        <v>289</v>
      </c>
      <c r="L138" s="12">
        <v>0.125</v>
      </c>
      <c r="M138" s="11">
        <v>9.92</v>
      </c>
      <c r="N138" s="11">
        <v>0</v>
      </c>
      <c r="O138" s="11">
        <v>9.92</v>
      </c>
    </row>
    <row r="139" spans="1:15" ht="15" customHeight="1" x14ac:dyDescent="0.25">
      <c r="A139" s="7" t="s">
        <v>519</v>
      </c>
      <c r="B139" s="7">
        <v>2158366</v>
      </c>
      <c r="C139" s="8">
        <v>4151549874</v>
      </c>
      <c r="D139" s="7" t="s">
        <v>539</v>
      </c>
      <c r="E139" s="9">
        <v>45525</v>
      </c>
      <c r="F139" s="9">
        <v>45901</v>
      </c>
      <c r="G139" s="10">
        <f>DATEDIF(E139,F139,"M")</f>
        <v>12</v>
      </c>
      <c r="H139" s="20" t="s">
        <v>700</v>
      </c>
      <c r="I139" s="7" t="s">
        <v>705</v>
      </c>
      <c r="J139" s="11">
        <v>36.51</v>
      </c>
      <c r="K139" s="7" t="s">
        <v>289</v>
      </c>
      <c r="L139" s="12">
        <v>0.12</v>
      </c>
      <c r="M139" s="11">
        <v>4.38</v>
      </c>
      <c r="N139" s="11">
        <v>0</v>
      </c>
      <c r="O139" s="11">
        <v>4.38</v>
      </c>
    </row>
    <row r="140" spans="1:15" ht="15" customHeight="1" x14ac:dyDescent="0.25">
      <c r="A140" s="7" t="s">
        <v>303</v>
      </c>
      <c r="B140" s="7">
        <v>15278437</v>
      </c>
      <c r="C140" s="8">
        <v>4151550001</v>
      </c>
      <c r="D140" s="7" t="s">
        <v>303</v>
      </c>
      <c r="E140" s="9">
        <v>45527</v>
      </c>
      <c r="F140" s="9">
        <v>45901</v>
      </c>
      <c r="G140" s="10">
        <f>DATEDIF(E140,F140,"M")</f>
        <v>12</v>
      </c>
      <c r="H140" s="20" t="s">
        <v>700</v>
      </c>
      <c r="I140" s="7" t="s">
        <v>705</v>
      </c>
      <c r="J140" s="11">
        <v>53.41</v>
      </c>
      <c r="K140" s="7" t="s">
        <v>289</v>
      </c>
      <c r="L140" s="12">
        <v>0.12</v>
      </c>
      <c r="M140" s="11">
        <v>6.41</v>
      </c>
      <c r="N140" s="11">
        <v>0</v>
      </c>
      <c r="O140" s="11">
        <v>6.41</v>
      </c>
    </row>
    <row r="141" spans="1:15" ht="15" customHeight="1" x14ac:dyDescent="0.25">
      <c r="A141" s="7" t="s">
        <v>22</v>
      </c>
      <c r="B141" s="7">
        <v>5442438</v>
      </c>
      <c r="C141" s="8">
        <v>4151550018</v>
      </c>
      <c r="D141" s="7" t="s">
        <v>542</v>
      </c>
      <c r="E141" s="9">
        <v>45526</v>
      </c>
      <c r="F141" s="9">
        <v>45901</v>
      </c>
      <c r="G141" s="10">
        <f>DATEDIF(E141,F141,"M")</f>
        <v>12</v>
      </c>
      <c r="H141" s="20" t="s">
        <v>700</v>
      </c>
      <c r="I141" s="7" t="s">
        <v>705</v>
      </c>
      <c r="J141" s="11">
        <v>52.91</v>
      </c>
      <c r="K141" s="7" t="s">
        <v>289</v>
      </c>
      <c r="L141" s="12">
        <v>0.12</v>
      </c>
      <c r="M141" s="11">
        <v>6.35</v>
      </c>
      <c r="N141" s="11">
        <v>0</v>
      </c>
      <c r="O141" s="11">
        <v>6.35</v>
      </c>
    </row>
    <row r="142" spans="1:15" ht="15" customHeight="1" x14ac:dyDescent="0.25">
      <c r="A142" s="7" t="s">
        <v>39</v>
      </c>
      <c r="B142" s="7">
        <v>7470776</v>
      </c>
      <c r="C142" s="8">
        <v>4151550027</v>
      </c>
      <c r="D142" s="7" t="s">
        <v>544</v>
      </c>
      <c r="E142" s="9">
        <v>45527</v>
      </c>
      <c r="F142" s="9">
        <v>45901</v>
      </c>
      <c r="G142" s="10">
        <f>DATEDIF(E142,F142,"M")</f>
        <v>12</v>
      </c>
      <c r="H142" s="20" t="s">
        <v>700</v>
      </c>
      <c r="I142" s="7" t="s">
        <v>706</v>
      </c>
      <c r="J142" s="11">
        <v>177.46</v>
      </c>
      <c r="K142" s="7" t="s">
        <v>289</v>
      </c>
      <c r="L142" s="12">
        <v>0.125</v>
      </c>
      <c r="M142" s="11">
        <v>22.18</v>
      </c>
      <c r="N142" s="11">
        <v>0</v>
      </c>
      <c r="O142" s="11">
        <v>22.18</v>
      </c>
    </row>
    <row r="143" spans="1:15" ht="15" customHeight="1" x14ac:dyDescent="0.25">
      <c r="A143" s="7" t="s">
        <v>22</v>
      </c>
      <c r="B143" s="7">
        <v>5442438</v>
      </c>
      <c r="C143" s="8">
        <v>4151550028</v>
      </c>
      <c r="D143" s="7" t="s">
        <v>546</v>
      </c>
      <c r="E143" s="9">
        <v>45526</v>
      </c>
      <c r="F143" s="9">
        <v>45901</v>
      </c>
      <c r="G143" s="10">
        <f>DATEDIF(E143,F143,"M")</f>
        <v>12</v>
      </c>
      <c r="H143" s="20" t="s">
        <v>700</v>
      </c>
      <c r="I143" s="7" t="s">
        <v>704</v>
      </c>
      <c r="J143" s="11">
        <v>63.51</v>
      </c>
      <c r="K143" s="7" t="s">
        <v>289</v>
      </c>
      <c r="L143" s="12">
        <v>9.5000000000000001E-2</v>
      </c>
      <c r="M143" s="11">
        <v>6.03</v>
      </c>
      <c r="N143" s="11">
        <v>0</v>
      </c>
      <c r="O143" s="11">
        <v>6.03</v>
      </c>
    </row>
    <row r="144" spans="1:15" ht="15" customHeight="1" x14ac:dyDescent="0.25">
      <c r="A144" s="7" t="s">
        <v>34</v>
      </c>
      <c r="B144" s="7">
        <v>20220688</v>
      </c>
      <c r="C144" s="8">
        <v>4151550029</v>
      </c>
      <c r="D144" s="7" t="s">
        <v>37</v>
      </c>
      <c r="E144" s="9">
        <v>45558</v>
      </c>
      <c r="F144" s="9">
        <v>45901</v>
      </c>
      <c r="G144" s="10">
        <f>DATEDIF(E144,F144,"M")</f>
        <v>11</v>
      </c>
      <c r="H144" s="20" t="s">
        <v>700</v>
      </c>
      <c r="I144" s="7" t="s">
        <v>706</v>
      </c>
      <c r="J144" s="11">
        <v>14.02</v>
      </c>
      <c r="K144" s="7" t="s">
        <v>30</v>
      </c>
      <c r="L144" s="12">
        <v>0.85</v>
      </c>
      <c r="M144" s="11">
        <v>11.92</v>
      </c>
      <c r="N144" s="11">
        <v>0</v>
      </c>
      <c r="O144" s="11">
        <v>11.92</v>
      </c>
    </row>
    <row r="145" spans="1:15" ht="15" customHeight="1" x14ac:dyDescent="0.25">
      <c r="A145" s="7" t="s">
        <v>67</v>
      </c>
      <c r="B145" s="7">
        <v>9213293</v>
      </c>
      <c r="C145" s="8">
        <v>4151550081</v>
      </c>
      <c r="D145" s="7" t="s">
        <v>548</v>
      </c>
      <c r="E145" s="9">
        <v>45526</v>
      </c>
      <c r="F145" s="9">
        <v>45901</v>
      </c>
      <c r="G145" s="10">
        <f>DATEDIF(E145,F145,"M")</f>
        <v>12</v>
      </c>
      <c r="H145" s="20" t="s">
        <v>700</v>
      </c>
      <c r="I145" s="7" t="s">
        <v>705</v>
      </c>
      <c r="J145" s="11">
        <v>37.83</v>
      </c>
      <c r="K145" s="7" t="s">
        <v>289</v>
      </c>
      <c r="L145" s="12">
        <v>0.12</v>
      </c>
      <c r="M145" s="11">
        <v>4.54</v>
      </c>
      <c r="N145" s="11">
        <v>0</v>
      </c>
      <c r="O145" s="11">
        <v>4.54</v>
      </c>
    </row>
    <row r="146" spans="1:15" ht="15" customHeight="1" x14ac:dyDescent="0.25">
      <c r="A146" s="7" t="s">
        <v>22</v>
      </c>
      <c r="B146" s="7">
        <v>5442438</v>
      </c>
      <c r="C146" s="8">
        <v>4151550119</v>
      </c>
      <c r="D146" s="7" t="s">
        <v>550</v>
      </c>
      <c r="E146" s="9">
        <v>45526</v>
      </c>
      <c r="F146" s="9">
        <v>45901</v>
      </c>
      <c r="G146" s="10">
        <f>DATEDIF(E146,F146,"M")</f>
        <v>12</v>
      </c>
      <c r="H146" s="20" t="s">
        <v>700</v>
      </c>
      <c r="I146" s="7" t="s">
        <v>704</v>
      </c>
      <c r="J146" s="11">
        <v>65.290000000000006</v>
      </c>
      <c r="K146" s="7" t="s">
        <v>289</v>
      </c>
      <c r="L146" s="12">
        <v>9.5000000000000001E-2</v>
      </c>
      <c r="M146" s="11">
        <v>6.2</v>
      </c>
      <c r="N146" s="11">
        <v>0</v>
      </c>
      <c r="O146" s="11">
        <v>6.2</v>
      </c>
    </row>
    <row r="147" spans="1:15" ht="15" customHeight="1" x14ac:dyDescent="0.25">
      <c r="A147" s="7" t="s">
        <v>551</v>
      </c>
      <c r="B147" s="7">
        <v>17425766</v>
      </c>
      <c r="C147" s="8">
        <v>4151550153</v>
      </c>
      <c r="D147" s="7" t="s">
        <v>554</v>
      </c>
      <c r="E147" s="9">
        <v>45530</v>
      </c>
      <c r="F147" s="9">
        <v>45901</v>
      </c>
      <c r="G147" s="10">
        <f>DATEDIF(E147,F147,"M")</f>
        <v>12</v>
      </c>
      <c r="H147" s="20" t="s">
        <v>700</v>
      </c>
      <c r="I147" s="7" t="s">
        <v>555</v>
      </c>
      <c r="J147" s="11">
        <v>11.48</v>
      </c>
      <c r="K147" s="7" t="s">
        <v>289</v>
      </c>
      <c r="L147" s="12">
        <v>0.06</v>
      </c>
      <c r="M147" s="11">
        <v>0.69</v>
      </c>
      <c r="N147" s="11">
        <v>0</v>
      </c>
      <c r="O147" s="11">
        <v>0.69</v>
      </c>
    </row>
    <row r="148" spans="1:15" ht="15" customHeight="1" x14ac:dyDescent="0.25">
      <c r="A148" s="7" t="s">
        <v>22</v>
      </c>
      <c r="B148" s="7">
        <v>5442438</v>
      </c>
      <c r="C148" s="8">
        <v>4151550158</v>
      </c>
      <c r="D148" s="7" t="s">
        <v>557</v>
      </c>
      <c r="E148" s="9">
        <v>45526</v>
      </c>
      <c r="F148" s="9">
        <v>45901</v>
      </c>
      <c r="G148" s="10">
        <f>DATEDIF(E148,F148,"M")</f>
        <v>12</v>
      </c>
      <c r="H148" s="20" t="s">
        <v>700</v>
      </c>
      <c r="I148" s="7" t="s">
        <v>705</v>
      </c>
      <c r="J148" s="11">
        <v>54.34</v>
      </c>
      <c r="K148" s="7" t="s">
        <v>289</v>
      </c>
      <c r="L148" s="12">
        <v>0.12</v>
      </c>
      <c r="M148" s="11">
        <v>6.52</v>
      </c>
      <c r="N148" s="11">
        <v>0</v>
      </c>
      <c r="O148" s="11">
        <v>6.52</v>
      </c>
    </row>
    <row r="149" spans="1:15" ht="15" customHeight="1" x14ac:dyDescent="0.25">
      <c r="A149" s="7" t="s">
        <v>22</v>
      </c>
      <c r="B149" s="7">
        <v>5442438</v>
      </c>
      <c r="C149" s="8">
        <v>4151550167</v>
      </c>
      <c r="D149" s="7" t="s">
        <v>557</v>
      </c>
      <c r="E149" s="9">
        <v>45526</v>
      </c>
      <c r="F149" s="9">
        <v>45901</v>
      </c>
      <c r="G149" s="10">
        <f>DATEDIF(E149,F149,"M")</f>
        <v>12</v>
      </c>
      <c r="H149" s="20" t="s">
        <v>700</v>
      </c>
      <c r="I149" s="7" t="s">
        <v>706</v>
      </c>
      <c r="J149" s="11">
        <v>102.64</v>
      </c>
      <c r="K149" s="7" t="s">
        <v>289</v>
      </c>
      <c r="L149" s="12">
        <v>0.125</v>
      </c>
      <c r="M149" s="11">
        <v>12.83</v>
      </c>
      <c r="N149" s="11">
        <v>0</v>
      </c>
      <c r="O149" s="11">
        <v>12.83</v>
      </c>
    </row>
    <row r="150" spans="1:15" ht="15" customHeight="1" x14ac:dyDescent="0.25">
      <c r="A150" s="7" t="s">
        <v>63</v>
      </c>
      <c r="B150" s="7">
        <v>16633294</v>
      </c>
      <c r="C150" s="8">
        <v>4151551360</v>
      </c>
      <c r="D150" s="7" t="s">
        <v>560</v>
      </c>
      <c r="E150" s="9">
        <v>45530</v>
      </c>
      <c r="F150" s="9">
        <v>45901</v>
      </c>
      <c r="G150" s="10">
        <f>DATEDIF(E150,F150,"M")</f>
        <v>12</v>
      </c>
      <c r="H150" s="20" t="s">
        <v>700</v>
      </c>
      <c r="I150" s="7" t="s">
        <v>706</v>
      </c>
      <c r="J150" s="11">
        <v>27.83</v>
      </c>
      <c r="K150" s="7" t="s">
        <v>289</v>
      </c>
      <c r="L150" s="12">
        <v>0.125</v>
      </c>
      <c r="M150" s="11">
        <v>3.48</v>
      </c>
      <c r="N150" s="11">
        <v>0</v>
      </c>
      <c r="O150" s="11">
        <v>3.48</v>
      </c>
    </row>
    <row r="151" spans="1:15" ht="15" customHeight="1" x14ac:dyDescent="0.25">
      <c r="A151" s="7" t="s">
        <v>103</v>
      </c>
      <c r="B151" s="7">
        <v>19200754</v>
      </c>
      <c r="C151" s="8">
        <v>4151551364</v>
      </c>
      <c r="D151" s="7" t="s">
        <v>562</v>
      </c>
      <c r="E151" s="9">
        <v>45530</v>
      </c>
      <c r="F151" s="9">
        <v>45901</v>
      </c>
      <c r="G151" s="10">
        <f>DATEDIF(E151,F151,"M")</f>
        <v>12</v>
      </c>
      <c r="H151" s="20" t="s">
        <v>700</v>
      </c>
      <c r="I151" s="7" t="s">
        <v>705</v>
      </c>
      <c r="J151" s="11">
        <v>32.68</v>
      </c>
      <c r="K151" s="7" t="s">
        <v>289</v>
      </c>
      <c r="L151" s="12">
        <v>0.12</v>
      </c>
      <c r="M151" s="11">
        <v>3.92</v>
      </c>
      <c r="N151" s="11">
        <v>0</v>
      </c>
      <c r="O151" s="11">
        <v>3.92</v>
      </c>
    </row>
    <row r="152" spans="1:15" ht="15" customHeight="1" x14ac:dyDescent="0.25">
      <c r="A152" s="7" t="s">
        <v>34</v>
      </c>
      <c r="B152" s="7">
        <v>20220688</v>
      </c>
      <c r="C152" s="8">
        <v>4151551369</v>
      </c>
      <c r="D152" s="7" t="s">
        <v>564</v>
      </c>
      <c r="E152" s="9">
        <v>45528</v>
      </c>
      <c r="F152" s="9">
        <v>45901</v>
      </c>
      <c r="G152" s="10">
        <f>DATEDIF(E152,F152,"M")</f>
        <v>12</v>
      </c>
      <c r="H152" s="20" t="s">
        <v>700</v>
      </c>
      <c r="I152" s="7" t="s">
        <v>705</v>
      </c>
      <c r="J152" s="11">
        <v>53.41</v>
      </c>
      <c r="K152" s="7" t="s">
        <v>289</v>
      </c>
      <c r="L152" s="12">
        <v>0.12</v>
      </c>
      <c r="M152" s="11">
        <v>6.41</v>
      </c>
      <c r="N152" s="11">
        <v>0</v>
      </c>
      <c r="O152" s="11">
        <v>6.41</v>
      </c>
    </row>
    <row r="153" spans="1:15" ht="15" customHeight="1" x14ac:dyDescent="0.25">
      <c r="A153" s="7" t="s">
        <v>83</v>
      </c>
      <c r="B153" s="7">
        <v>8814784</v>
      </c>
      <c r="C153" s="8">
        <v>4151551747</v>
      </c>
      <c r="D153" s="7" t="s">
        <v>566</v>
      </c>
      <c r="E153" s="9">
        <v>45530</v>
      </c>
      <c r="F153" s="9">
        <v>45901</v>
      </c>
      <c r="G153" s="10">
        <f>DATEDIF(E153,F153,"M")</f>
        <v>12</v>
      </c>
      <c r="H153" s="20" t="s">
        <v>700</v>
      </c>
      <c r="I153" s="7" t="s">
        <v>706</v>
      </c>
      <c r="J153" s="11">
        <v>14.87</v>
      </c>
      <c r="K153" s="7" t="s">
        <v>289</v>
      </c>
      <c r="L153" s="12">
        <v>0.125</v>
      </c>
      <c r="M153" s="11">
        <v>1.86</v>
      </c>
      <c r="N153" s="11">
        <v>0</v>
      </c>
      <c r="O153" s="11">
        <v>1.86</v>
      </c>
    </row>
    <row r="154" spans="1:15" ht="15" customHeight="1" x14ac:dyDescent="0.25">
      <c r="A154" s="7" t="s">
        <v>426</v>
      </c>
      <c r="B154" s="7">
        <v>18581063</v>
      </c>
      <c r="C154" s="8">
        <v>4151551770</v>
      </c>
      <c r="D154" s="7" t="s">
        <v>568</v>
      </c>
      <c r="E154" s="9">
        <v>45530</v>
      </c>
      <c r="F154" s="9">
        <v>45901</v>
      </c>
      <c r="G154" s="10">
        <f>DATEDIF(E154,F154,"M")</f>
        <v>12</v>
      </c>
      <c r="H154" s="20" t="s">
        <v>700</v>
      </c>
      <c r="I154" s="7" t="s">
        <v>705</v>
      </c>
      <c r="J154" s="11">
        <v>18.16</v>
      </c>
      <c r="K154" s="7" t="s">
        <v>289</v>
      </c>
      <c r="L154" s="12">
        <v>0.12</v>
      </c>
      <c r="M154" s="11">
        <v>2.1800000000000002</v>
      </c>
      <c r="N154" s="11">
        <v>0</v>
      </c>
      <c r="O154" s="11">
        <v>2.1800000000000002</v>
      </c>
    </row>
    <row r="155" spans="1:15" ht="15" customHeight="1" x14ac:dyDescent="0.25">
      <c r="A155" s="7" t="s">
        <v>426</v>
      </c>
      <c r="B155" s="7">
        <v>18581063</v>
      </c>
      <c r="C155" s="8">
        <v>4151551771</v>
      </c>
      <c r="D155" s="7" t="s">
        <v>570</v>
      </c>
      <c r="E155" s="9">
        <v>45532</v>
      </c>
      <c r="F155" s="9">
        <v>45901</v>
      </c>
      <c r="G155" s="10">
        <f>DATEDIF(E155,F155,"M")</f>
        <v>12</v>
      </c>
      <c r="H155" s="20" t="s">
        <v>700</v>
      </c>
      <c r="I155" s="7" t="s">
        <v>705</v>
      </c>
      <c r="J155" s="11">
        <v>72.27</v>
      </c>
      <c r="K155" s="7" t="s">
        <v>289</v>
      </c>
      <c r="L155" s="12">
        <v>0.12</v>
      </c>
      <c r="M155" s="11">
        <v>8.67</v>
      </c>
      <c r="N155" s="11">
        <v>0</v>
      </c>
      <c r="O155" s="11">
        <v>8.67</v>
      </c>
    </row>
    <row r="156" spans="1:15" ht="15" customHeight="1" x14ac:dyDescent="0.25">
      <c r="A156" s="7" t="s">
        <v>83</v>
      </c>
      <c r="B156" s="7">
        <v>8814784</v>
      </c>
      <c r="C156" s="8">
        <v>4151551776</v>
      </c>
      <c r="D156" s="7" t="s">
        <v>566</v>
      </c>
      <c r="E156" s="9">
        <v>45530</v>
      </c>
      <c r="F156" s="9">
        <v>45901</v>
      </c>
      <c r="G156" s="10">
        <f>DATEDIF(E156,F156,"M")</f>
        <v>12</v>
      </c>
      <c r="H156" s="20" t="s">
        <v>700</v>
      </c>
      <c r="I156" s="7" t="s">
        <v>705</v>
      </c>
      <c r="J156" s="11">
        <v>35.93</v>
      </c>
      <c r="K156" s="7" t="s">
        <v>289</v>
      </c>
      <c r="L156" s="12">
        <v>0.12</v>
      </c>
      <c r="M156" s="11">
        <v>4.3099999999999996</v>
      </c>
      <c r="N156" s="11">
        <v>0</v>
      </c>
      <c r="O156" s="11">
        <v>4.3099999999999996</v>
      </c>
    </row>
    <row r="157" spans="1:15" ht="15" customHeight="1" x14ac:dyDescent="0.25">
      <c r="A157" s="7" t="s">
        <v>34</v>
      </c>
      <c r="B157" s="7">
        <v>20220688</v>
      </c>
      <c r="C157" s="8">
        <v>4151551777</v>
      </c>
      <c r="D157" s="7" t="s">
        <v>573</v>
      </c>
      <c r="E157" s="9">
        <v>45530</v>
      </c>
      <c r="F157" s="9">
        <v>45901</v>
      </c>
      <c r="G157" s="10">
        <f>DATEDIF(E157,F157,"M")</f>
        <v>12</v>
      </c>
      <c r="H157" s="20" t="s">
        <v>700</v>
      </c>
      <c r="I157" s="7" t="s">
        <v>705</v>
      </c>
      <c r="J157" s="11">
        <v>53.41</v>
      </c>
      <c r="K157" s="7" t="s">
        <v>289</v>
      </c>
      <c r="L157" s="12">
        <v>0.12</v>
      </c>
      <c r="M157" s="11">
        <v>6.41</v>
      </c>
      <c r="N157" s="11">
        <v>0</v>
      </c>
      <c r="O157" s="11">
        <v>6.41</v>
      </c>
    </row>
    <row r="158" spans="1:15" ht="15" customHeight="1" x14ac:dyDescent="0.25">
      <c r="A158" s="7" t="s">
        <v>574</v>
      </c>
      <c r="B158" s="7">
        <v>19586992</v>
      </c>
      <c r="C158" s="8">
        <v>4151551792</v>
      </c>
      <c r="D158" s="7" t="s">
        <v>577</v>
      </c>
      <c r="E158" s="9">
        <v>45530</v>
      </c>
      <c r="F158" s="9">
        <v>45901</v>
      </c>
      <c r="G158" s="10">
        <f>DATEDIF(E158,F158,"M")</f>
        <v>12</v>
      </c>
      <c r="H158" s="20" t="s">
        <v>700</v>
      </c>
      <c r="I158" s="7" t="s">
        <v>705</v>
      </c>
      <c r="J158" s="11">
        <v>18.16</v>
      </c>
      <c r="K158" s="7" t="s">
        <v>289</v>
      </c>
      <c r="L158" s="12">
        <v>0.12</v>
      </c>
      <c r="M158" s="11">
        <v>2.1800000000000002</v>
      </c>
      <c r="N158" s="11">
        <v>0</v>
      </c>
      <c r="O158" s="11">
        <v>2.1800000000000002</v>
      </c>
    </row>
    <row r="159" spans="1:15" ht="15" customHeight="1" x14ac:dyDescent="0.25">
      <c r="A159" s="7" t="s">
        <v>51</v>
      </c>
      <c r="B159" s="7">
        <v>9079571</v>
      </c>
      <c r="C159" s="8">
        <v>4151551803</v>
      </c>
      <c r="D159" s="7" t="s">
        <v>579</v>
      </c>
      <c r="E159" s="9">
        <v>45530</v>
      </c>
      <c r="F159" s="9">
        <v>45901</v>
      </c>
      <c r="G159" s="10">
        <f>DATEDIF(E159,F159,"M")</f>
        <v>12</v>
      </c>
      <c r="H159" s="20" t="s">
        <v>700</v>
      </c>
      <c r="I159" s="7" t="s">
        <v>705</v>
      </c>
      <c r="J159" s="11">
        <v>38.39</v>
      </c>
      <c r="K159" s="7" t="s">
        <v>289</v>
      </c>
      <c r="L159" s="12">
        <v>0.12</v>
      </c>
      <c r="M159" s="11">
        <v>4.6100000000000003</v>
      </c>
      <c r="N159" s="11">
        <v>0</v>
      </c>
      <c r="O159" s="11">
        <v>4.6100000000000003</v>
      </c>
    </row>
    <row r="160" spans="1:15" ht="15" customHeight="1" x14ac:dyDescent="0.25">
      <c r="A160" s="7" t="s">
        <v>103</v>
      </c>
      <c r="B160" s="7">
        <v>19200754</v>
      </c>
      <c r="C160" s="8">
        <v>4151551876</v>
      </c>
      <c r="D160" s="7" t="s">
        <v>581</v>
      </c>
      <c r="E160" s="9">
        <v>45530</v>
      </c>
      <c r="F160" s="9">
        <v>45901</v>
      </c>
      <c r="G160" s="10">
        <f>DATEDIF(E160,F160,"M")</f>
        <v>12</v>
      </c>
      <c r="H160" s="20" t="s">
        <v>700</v>
      </c>
      <c r="I160" s="7" t="s">
        <v>705</v>
      </c>
      <c r="J160" s="11">
        <v>37.83</v>
      </c>
      <c r="K160" s="7" t="s">
        <v>289</v>
      </c>
      <c r="L160" s="12">
        <v>0.12</v>
      </c>
      <c r="M160" s="11">
        <v>4.54</v>
      </c>
      <c r="N160" s="11">
        <v>0</v>
      </c>
      <c r="O160" s="11">
        <v>4.54</v>
      </c>
    </row>
    <row r="161" spans="1:15" ht="15" customHeight="1" x14ac:dyDescent="0.25">
      <c r="A161" s="7" t="s">
        <v>22</v>
      </c>
      <c r="B161" s="7">
        <v>5442438</v>
      </c>
      <c r="C161" s="8">
        <v>4151551973</v>
      </c>
      <c r="D161" s="7" t="s">
        <v>583</v>
      </c>
      <c r="E161" s="9">
        <v>45531</v>
      </c>
      <c r="F161" s="9">
        <v>45901</v>
      </c>
      <c r="G161" s="10">
        <f>DATEDIF(E161,F161,"M")</f>
        <v>12</v>
      </c>
      <c r="H161" s="20" t="s">
        <v>700</v>
      </c>
      <c r="I161" s="7" t="s">
        <v>704</v>
      </c>
      <c r="J161" s="11">
        <v>41.41</v>
      </c>
      <c r="K161" s="7" t="s">
        <v>289</v>
      </c>
      <c r="L161" s="12">
        <v>9.5000000000000001E-2</v>
      </c>
      <c r="M161" s="11">
        <v>3.93</v>
      </c>
      <c r="N161" s="11">
        <v>0</v>
      </c>
      <c r="O161" s="11">
        <v>3.93</v>
      </c>
    </row>
    <row r="162" spans="1:15" ht="15" customHeight="1" x14ac:dyDescent="0.25">
      <c r="A162" s="7" t="s">
        <v>22</v>
      </c>
      <c r="B162" s="7">
        <v>5442438</v>
      </c>
      <c r="C162" s="8">
        <v>4151551976</v>
      </c>
      <c r="D162" s="7" t="s">
        <v>583</v>
      </c>
      <c r="E162" s="9">
        <v>45531</v>
      </c>
      <c r="F162" s="9">
        <v>45901</v>
      </c>
      <c r="G162" s="10">
        <f>DATEDIF(E162,F162,"M")</f>
        <v>12</v>
      </c>
      <c r="H162" s="20" t="s">
        <v>700</v>
      </c>
      <c r="I162" s="7" t="s">
        <v>705</v>
      </c>
      <c r="J162" s="11">
        <v>37.83</v>
      </c>
      <c r="K162" s="7" t="s">
        <v>289</v>
      </c>
      <c r="L162" s="12">
        <v>0.12</v>
      </c>
      <c r="M162" s="11">
        <v>4.54</v>
      </c>
      <c r="N162" s="11">
        <v>0</v>
      </c>
      <c r="O162" s="11">
        <v>4.54</v>
      </c>
    </row>
    <row r="163" spans="1:15" ht="15" customHeight="1" x14ac:dyDescent="0.25">
      <c r="A163" s="7" t="s">
        <v>22</v>
      </c>
      <c r="B163" s="7">
        <v>5442438</v>
      </c>
      <c r="C163" s="8">
        <v>4151551980</v>
      </c>
      <c r="D163" s="7" t="s">
        <v>583</v>
      </c>
      <c r="E163" s="9">
        <v>45532</v>
      </c>
      <c r="F163" s="9">
        <v>45901</v>
      </c>
      <c r="G163" s="10">
        <f>DATEDIF(E163,F163,"M")</f>
        <v>12</v>
      </c>
      <c r="H163" s="20" t="s">
        <v>700</v>
      </c>
      <c r="I163" s="7" t="s">
        <v>706</v>
      </c>
      <c r="J163" s="11">
        <v>54.53</v>
      </c>
      <c r="K163" s="7" t="s">
        <v>289</v>
      </c>
      <c r="L163" s="12">
        <v>0.125</v>
      </c>
      <c r="M163" s="11">
        <v>6.82</v>
      </c>
      <c r="N163" s="11">
        <v>0</v>
      </c>
      <c r="O163" s="11">
        <v>6.82</v>
      </c>
    </row>
    <row r="164" spans="1:15" ht="15" customHeight="1" x14ac:dyDescent="0.25">
      <c r="A164" s="7" t="s">
        <v>22</v>
      </c>
      <c r="B164" s="7">
        <v>5442438</v>
      </c>
      <c r="C164" s="8">
        <v>4151552208</v>
      </c>
      <c r="D164" s="7" t="s">
        <v>587</v>
      </c>
      <c r="E164" s="9">
        <v>45532</v>
      </c>
      <c r="F164" s="9">
        <v>45901</v>
      </c>
      <c r="G164" s="10">
        <f>DATEDIF(E164,F164,"M")</f>
        <v>12</v>
      </c>
      <c r="H164" s="20" t="s">
        <v>700</v>
      </c>
      <c r="I164" s="7" t="s">
        <v>706</v>
      </c>
      <c r="J164" s="11">
        <v>33.119999999999997</v>
      </c>
      <c r="K164" s="7" t="s">
        <v>289</v>
      </c>
      <c r="L164" s="12">
        <v>0.125</v>
      </c>
      <c r="M164" s="11">
        <v>4.1399999999999997</v>
      </c>
      <c r="N164" s="11">
        <v>0</v>
      </c>
      <c r="O164" s="11">
        <v>4.1399999999999997</v>
      </c>
    </row>
    <row r="165" spans="1:15" ht="15" customHeight="1" x14ac:dyDescent="0.25">
      <c r="A165" s="7" t="s">
        <v>22</v>
      </c>
      <c r="B165" s="7">
        <v>5442438</v>
      </c>
      <c r="C165" s="8">
        <v>4151552210</v>
      </c>
      <c r="D165" s="7" t="s">
        <v>587</v>
      </c>
      <c r="E165" s="9">
        <v>45531</v>
      </c>
      <c r="F165" s="9">
        <v>45901</v>
      </c>
      <c r="G165" s="10">
        <f>DATEDIF(E165,F165,"M")</f>
        <v>12</v>
      </c>
      <c r="H165" s="20" t="s">
        <v>700</v>
      </c>
      <c r="I165" s="7" t="s">
        <v>705</v>
      </c>
      <c r="J165" s="11">
        <v>40.39</v>
      </c>
      <c r="K165" s="7" t="s">
        <v>289</v>
      </c>
      <c r="L165" s="12">
        <v>0.12</v>
      </c>
      <c r="M165" s="11">
        <v>4.8499999999999996</v>
      </c>
      <c r="N165" s="11">
        <v>0</v>
      </c>
      <c r="O165" s="11">
        <v>4.8499999999999996</v>
      </c>
    </row>
    <row r="166" spans="1:15" ht="15" customHeight="1" x14ac:dyDescent="0.25">
      <c r="A166" s="7" t="s">
        <v>22</v>
      </c>
      <c r="B166" s="7">
        <v>5442438</v>
      </c>
      <c r="C166" s="8">
        <v>4151552226</v>
      </c>
      <c r="D166" s="7" t="s">
        <v>590</v>
      </c>
      <c r="E166" s="9">
        <v>45531</v>
      </c>
      <c r="F166" s="9">
        <v>45901</v>
      </c>
      <c r="G166" s="10">
        <f>DATEDIF(E166,F166,"M")</f>
        <v>12</v>
      </c>
      <c r="H166" s="20" t="s">
        <v>700</v>
      </c>
      <c r="I166" s="7" t="s">
        <v>704</v>
      </c>
      <c r="J166" s="11">
        <v>51.05</v>
      </c>
      <c r="K166" s="7" t="s">
        <v>289</v>
      </c>
      <c r="L166" s="12">
        <v>9.5000000000000001E-2</v>
      </c>
      <c r="M166" s="11">
        <v>4.8499999999999996</v>
      </c>
      <c r="N166" s="11">
        <v>0</v>
      </c>
      <c r="O166" s="11">
        <v>4.8499999999999996</v>
      </c>
    </row>
    <row r="167" spans="1:15" ht="15" customHeight="1" x14ac:dyDescent="0.25">
      <c r="A167" s="7" t="s">
        <v>22</v>
      </c>
      <c r="B167" s="7">
        <v>5442438</v>
      </c>
      <c r="C167" s="8">
        <v>4151552237</v>
      </c>
      <c r="D167" s="7" t="s">
        <v>590</v>
      </c>
      <c r="E167" s="9">
        <v>45531</v>
      </c>
      <c r="F167" s="9">
        <v>45901</v>
      </c>
      <c r="G167" s="10">
        <f>DATEDIF(E167,F167,"M")</f>
        <v>12</v>
      </c>
      <c r="H167" s="20" t="s">
        <v>700</v>
      </c>
      <c r="I167" s="7" t="s">
        <v>705</v>
      </c>
      <c r="J167" s="11">
        <v>52.34</v>
      </c>
      <c r="K167" s="7" t="s">
        <v>289</v>
      </c>
      <c r="L167" s="12">
        <v>0.12</v>
      </c>
      <c r="M167" s="11">
        <v>6.28</v>
      </c>
      <c r="N167" s="11">
        <v>0</v>
      </c>
      <c r="O167" s="11">
        <v>6.28</v>
      </c>
    </row>
    <row r="168" spans="1:15" ht="15" customHeight="1" x14ac:dyDescent="0.25">
      <c r="A168" s="7" t="s">
        <v>51</v>
      </c>
      <c r="B168" s="7">
        <v>9079571</v>
      </c>
      <c r="C168" s="8">
        <v>4151552304</v>
      </c>
      <c r="D168" s="7" t="s">
        <v>593</v>
      </c>
      <c r="E168" s="9">
        <v>45531</v>
      </c>
      <c r="F168" s="9">
        <v>45901</v>
      </c>
      <c r="G168" s="10">
        <f>DATEDIF(E168,F168,"M")</f>
        <v>12</v>
      </c>
      <c r="H168" s="20" t="s">
        <v>700</v>
      </c>
      <c r="I168" s="7" t="s">
        <v>705</v>
      </c>
      <c r="J168" s="11">
        <v>38.39</v>
      </c>
      <c r="K168" s="7" t="s">
        <v>289</v>
      </c>
      <c r="L168" s="12">
        <v>0.12</v>
      </c>
      <c r="M168" s="11">
        <v>4.6100000000000003</v>
      </c>
      <c r="N168" s="11">
        <v>0</v>
      </c>
      <c r="O168" s="11">
        <v>4.6100000000000003</v>
      </c>
    </row>
    <row r="169" spans="1:15" ht="15" customHeight="1" x14ac:dyDescent="0.25">
      <c r="A169" s="7" t="s">
        <v>51</v>
      </c>
      <c r="B169" s="7">
        <v>9079571</v>
      </c>
      <c r="C169" s="8">
        <v>4151552307</v>
      </c>
      <c r="D169" s="7" t="s">
        <v>595</v>
      </c>
      <c r="E169" s="9">
        <v>45531</v>
      </c>
      <c r="F169" s="9">
        <v>45901</v>
      </c>
      <c r="G169" s="10">
        <f>DATEDIF(E169,F169,"M")</f>
        <v>12</v>
      </c>
      <c r="H169" s="20" t="s">
        <v>700</v>
      </c>
      <c r="I169" s="7" t="s">
        <v>705</v>
      </c>
      <c r="J169" s="11">
        <v>73.64</v>
      </c>
      <c r="K169" s="7" t="s">
        <v>289</v>
      </c>
      <c r="L169" s="12">
        <v>0.12</v>
      </c>
      <c r="M169" s="11">
        <v>8.84</v>
      </c>
      <c r="N169" s="11">
        <v>0</v>
      </c>
      <c r="O169" s="11">
        <v>8.84</v>
      </c>
    </row>
    <row r="170" spans="1:15" ht="15" customHeight="1" x14ac:dyDescent="0.25">
      <c r="A170" s="7" t="s">
        <v>22</v>
      </c>
      <c r="B170" s="7">
        <v>5442438</v>
      </c>
      <c r="C170" s="8">
        <v>4151552890</v>
      </c>
      <c r="D170" s="7" t="s">
        <v>597</v>
      </c>
      <c r="E170" s="9">
        <v>45532</v>
      </c>
      <c r="F170" s="9">
        <v>45901</v>
      </c>
      <c r="G170" s="10">
        <f>DATEDIF(E170,F170,"M")</f>
        <v>12</v>
      </c>
      <c r="H170" s="20" t="s">
        <v>700</v>
      </c>
      <c r="I170" s="7" t="s">
        <v>704</v>
      </c>
      <c r="J170" s="11">
        <v>36.58</v>
      </c>
      <c r="K170" s="7" t="s">
        <v>289</v>
      </c>
      <c r="L170" s="12">
        <v>9.5000000000000001E-2</v>
      </c>
      <c r="M170" s="11">
        <v>3.48</v>
      </c>
      <c r="N170" s="11">
        <v>0</v>
      </c>
      <c r="O170" s="11">
        <v>3.48</v>
      </c>
    </row>
    <row r="171" spans="1:15" ht="15" customHeight="1" x14ac:dyDescent="0.25">
      <c r="A171" s="7" t="s">
        <v>22</v>
      </c>
      <c r="B171" s="7">
        <v>5442438</v>
      </c>
      <c r="C171" s="8">
        <v>4151553062</v>
      </c>
      <c r="D171" s="7" t="s">
        <v>599</v>
      </c>
      <c r="E171" s="9">
        <v>45532</v>
      </c>
      <c r="F171" s="9">
        <v>45901</v>
      </c>
      <c r="G171" s="10">
        <f>DATEDIF(E171,F171,"M")</f>
        <v>12</v>
      </c>
      <c r="H171" s="20" t="s">
        <v>700</v>
      </c>
      <c r="I171" s="7" t="s">
        <v>705</v>
      </c>
      <c r="J171" s="11">
        <v>37.83</v>
      </c>
      <c r="K171" s="7" t="s">
        <v>289</v>
      </c>
      <c r="L171" s="12">
        <v>0.12</v>
      </c>
      <c r="M171" s="11">
        <v>4.54</v>
      </c>
      <c r="N171" s="11">
        <v>0</v>
      </c>
      <c r="O171" s="11">
        <v>4.54</v>
      </c>
    </row>
    <row r="172" spans="1:15" ht="15" customHeight="1" x14ac:dyDescent="0.25">
      <c r="A172" s="7" t="s">
        <v>22</v>
      </c>
      <c r="B172" s="7">
        <v>5442438</v>
      </c>
      <c r="C172" s="8">
        <v>4151553063</v>
      </c>
      <c r="D172" s="7" t="s">
        <v>601</v>
      </c>
      <c r="E172" s="9">
        <v>45532</v>
      </c>
      <c r="F172" s="9">
        <v>45901</v>
      </c>
      <c r="G172" s="10">
        <f>DATEDIF(E172,F172,"M")</f>
        <v>12</v>
      </c>
      <c r="H172" s="20" t="s">
        <v>700</v>
      </c>
      <c r="I172" s="7" t="s">
        <v>706</v>
      </c>
      <c r="J172" s="11">
        <v>87.13</v>
      </c>
      <c r="K172" s="7" t="s">
        <v>289</v>
      </c>
      <c r="L172" s="12">
        <v>0.125</v>
      </c>
      <c r="M172" s="11">
        <v>10.89</v>
      </c>
      <c r="N172" s="11">
        <v>0</v>
      </c>
      <c r="O172" s="11">
        <v>10.89</v>
      </c>
    </row>
    <row r="173" spans="1:15" ht="15" customHeight="1" x14ac:dyDescent="0.25">
      <c r="A173" s="7" t="s">
        <v>22</v>
      </c>
      <c r="B173" s="7">
        <v>5442438</v>
      </c>
      <c r="C173" s="8">
        <v>4151553065</v>
      </c>
      <c r="D173" s="7" t="s">
        <v>601</v>
      </c>
      <c r="E173" s="9">
        <v>45532</v>
      </c>
      <c r="F173" s="9">
        <v>45901</v>
      </c>
      <c r="G173" s="10">
        <f>DATEDIF(E173,F173,"M")</f>
        <v>12</v>
      </c>
      <c r="H173" s="20" t="s">
        <v>700</v>
      </c>
      <c r="I173" s="7" t="s">
        <v>704</v>
      </c>
      <c r="J173" s="11">
        <v>45.91</v>
      </c>
      <c r="K173" s="7" t="s">
        <v>289</v>
      </c>
      <c r="L173" s="12">
        <v>9.5000000000000001E-2</v>
      </c>
      <c r="M173" s="11">
        <v>4.3600000000000003</v>
      </c>
      <c r="N173" s="11">
        <v>0</v>
      </c>
      <c r="O173" s="11">
        <v>4.3600000000000003</v>
      </c>
    </row>
    <row r="174" spans="1:15" ht="15" customHeight="1" x14ac:dyDescent="0.25">
      <c r="A174" s="7" t="s">
        <v>603</v>
      </c>
      <c r="B174" s="7">
        <v>18754354</v>
      </c>
      <c r="C174" s="8">
        <v>4151553122</v>
      </c>
      <c r="D174" s="7" t="s">
        <v>606</v>
      </c>
      <c r="E174" s="9">
        <v>45531</v>
      </c>
      <c r="F174" s="9">
        <v>45901</v>
      </c>
      <c r="G174" s="10">
        <f>DATEDIF(E174,F174,"M")</f>
        <v>12</v>
      </c>
      <c r="H174" s="20" t="s">
        <v>700</v>
      </c>
      <c r="I174" s="7" t="s">
        <v>705</v>
      </c>
      <c r="J174" s="11">
        <v>18.16</v>
      </c>
      <c r="K174" s="7" t="s">
        <v>289</v>
      </c>
      <c r="L174" s="12">
        <v>0.12</v>
      </c>
      <c r="M174" s="11">
        <v>2.1800000000000002</v>
      </c>
      <c r="N174" s="11">
        <v>0</v>
      </c>
      <c r="O174" s="11">
        <v>2.1800000000000002</v>
      </c>
    </row>
    <row r="175" spans="1:15" ht="15" customHeight="1" x14ac:dyDescent="0.25">
      <c r="A175" s="7" t="s">
        <v>39</v>
      </c>
      <c r="B175" s="7">
        <v>7470776</v>
      </c>
      <c r="C175" s="8">
        <v>4151553287</v>
      </c>
      <c r="D175" s="7" t="s">
        <v>42</v>
      </c>
      <c r="E175" s="9">
        <v>45563</v>
      </c>
      <c r="F175" s="9">
        <v>45901</v>
      </c>
      <c r="G175" s="10">
        <f>DATEDIF(E175,F175,"M")</f>
        <v>11</v>
      </c>
      <c r="H175" s="20" t="s">
        <v>700</v>
      </c>
      <c r="I175" s="7" t="s">
        <v>706</v>
      </c>
      <c r="J175" s="11">
        <v>106.37</v>
      </c>
      <c r="K175" s="7" t="s">
        <v>30</v>
      </c>
      <c r="L175" s="12">
        <v>0.85</v>
      </c>
      <c r="M175" s="11">
        <v>90.41</v>
      </c>
      <c r="N175" s="11">
        <v>0</v>
      </c>
      <c r="O175" s="11">
        <v>90.41</v>
      </c>
    </row>
    <row r="176" spans="1:15" ht="15" customHeight="1" x14ac:dyDescent="0.25">
      <c r="A176" s="7" t="s">
        <v>51</v>
      </c>
      <c r="B176" s="7">
        <v>9079571</v>
      </c>
      <c r="C176" s="8">
        <v>4151553295</v>
      </c>
      <c r="D176" s="7" t="s">
        <v>608</v>
      </c>
      <c r="E176" s="9">
        <v>45536</v>
      </c>
      <c r="F176" s="9">
        <v>45901</v>
      </c>
      <c r="G176" s="10">
        <f>DATEDIF(E176,F176,"M")</f>
        <v>12</v>
      </c>
      <c r="H176" s="20" t="s">
        <v>700</v>
      </c>
      <c r="I176" s="7" t="s">
        <v>705</v>
      </c>
      <c r="J176" s="11">
        <v>116.48</v>
      </c>
      <c r="K176" s="7" t="s">
        <v>289</v>
      </c>
      <c r="L176" s="12">
        <v>0.12</v>
      </c>
      <c r="M176" s="11">
        <v>13.98</v>
      </c>
      <c r="N176" s="11">
        <v>0</v>
      </c>
      <c r="O176" s="11">
        <v>13.98</v>
      </c>
    </row>
    <row r="177" spans="1:15" ht="15" customHeight="1" x14ac:dyDescent="0.25">
      <c r="A177" s="7" t="s">
        <v>22</v>
      </c>
      <c r="B177" s="7">
        <v>5442438</v>
      </c>
      <c r="C177" s="8">
        <v>4151554180</v>
      </c>
      <c r="D177" s="7" t="s">
        <v>597</v>
      </c>
      <c r="E177" s="9">
        <v>45532</v>
      </c>
      <c r="F177" s="9">
        <v>45901</v>
      </c>
      <c r="G177" s="10">
        <f>DATEDIF(E177,F177,"M")</f>
        <v>12</v>
      </c>
      <c r="H177" s="20" t="s">
        <v>700</v>
      </c>
      <c r="I177" s="7" t="s">
        <v>705</v>
      </c>
      <c r="J177" s="11">
        <v>52.34</v>
      </c>
      <c r="K177" s="7" t="s">
        <v>289</v>
      </c>
      <c r="L177" s="12">
        <v>0.12</v>
      </c>
      <c r="M177" s="11">
        <v>6.28</v>
      </c>
      <c r="N177" s="11">
        <v>0</v>
      </c>
      <c r="O177" s="11">
        <v>6.28</v>
      </c>
    </row>
    <row r="178" spans="1:15" ht="15" customHeight="1" x14ac:dyDescent="0.25">
      <c r="A178" s="7" t="s">
        <v>22</v>
      </c>
      <c r="B178" s="7">
        <v>5442438</v>
      </c>
      <c r="C178" s="8">
        <v>4151556451</v>
      </c>
      <c r="D178" s="7" t="s">
        <v>44</v>
      </c>
      <c r="E178" s="9">
        <v>45558</v>
      </c>
      <c r="F178" s="9">
        <v>45901</v>
      </c>
      <c r="G178" s="10">
        <f>DATEDIF(E178,F178,"M")</f>
        <v>11</v>
      </c>
      <c r="H178" s="20" t="s">
        <v>700</v>
      </c>
      <c r="I178" s="7" t="s">
        <v>704</v>
      </c>
      <c r="J178" s="11">
        <v>36.58</v>
      </c>
      <c r="K178" s="7" t="s">
        <v>30</v>
      </c>
      <c r="L178" s="12">
        <v>0.995</v>
      </c>
      <c r="M178" s="11">
        <v>36.4</v>
      </c>
      <c r="N178" s="11">
        <v>0</v>
      </c>
      <c r="O178" s="11">
        <v>36.4</v>
      </c>
    </row>
    <row r="179" spans="1:15" ht="15" customHeight="1" x14ac:dyDescent="0.25">
      <c r="A179" s="7" t="s">
        <v>22</v>
      </c>
      <c r="B179" s="7">
        <v>5442438</v>
      </c>
      <c r="C179" s="8">
        <v>4151556453</v>
      </c>
      <c r="D179" s="7" t="s">
        <v>44</v>
      </c>
      <c r="E179" s="9">
        <v>45558</v>
      </c>
      <c r="F179" s="9">
        <v>45901</v>
      </c>
      <c r="G179" s="10">
        <f>DATEDIF(E179,F179,"M")</f>
        <v>11</v>
      </c>
      <c r="H179" s="20" t="s">
        <v>700</v>
      </c>
      <c r="I179" s="7" t="s">
        <v>705</v>
      </c>
      <c r="J179" s="11">
        <v>40.39</v>
      </c>
      <c r="K179" s="7" t="s">
        <v>30</v>
      </c>
      <c r="L179" s="12">
        <v>1</v>
      </c>
      <c r="M179" s="11">
        <v>40.39</v>
      </c>
      <c r="N179" s="11">
        <v>0</v>
      </c>
      <c r="O179" s="11">
        <v>40.39</v>
      </c>
    </row>
    <row r="180" spans="1:15" ht="15" customHeight="1" x14ac:dyDescent="0.25">
      <c r="A180" s="7" t="s">
        <v>22</v>
      </c>
      <c r="B180" s="7">
        <v>5442438</v>
      </c>
      <c r="C180" s="8">
        <v>4151558819</v>
      </c>
      <c r="D180" s="7" t="s">
        <v>47</v>
      </c>
      <c r="E180" s="9">
        <v>45554</v>
      </c>
      <c r="F180" s="9">
        <v>45901</v>
      </c>
      <c r="G180" s="10">
        <f>DATEDIF(E180,F180,"M")</f>
        <v>11</v>
      </c>
      <c r="H180" s="20" t="s">
        <v>700</v>
      </c>
      <c r="I180" s="7" t="s">
        <v>705</v>
      </c>
      <c r="J180" s="11">
        <v>75.25</v>
      </c>
      <c r="K180" s="7" t="s">
        <v>30</v>
      </c>
      <c r="L180" s="12">
        <v>1</v>
      </c>
      <c r="M180" s="11">
        <v>75.25</v>
      </c>
      <c r="N180" s="11">
        <v>0</v>
      </c>
      <c r="O180" s="11">
        <v>75.25</v>
      </c>
    </row>
    <row r="181" spans="1:15" ht="15" customHeight="1" x14ac:dyDescent="0.25">
      <c r="A181" s="7" t="s">
        <v>22</v>
      </c>
      <c r="B181" s="7">
        <v>5442438</v>
      </c>
      <c r="C181" s="8">
        <v>4151561169</v>
      </c>
      <c r="D181" s="7" t="s">
        <v>49</v>
      </c>
      <c r="E181" s="9">
        <v>45552</v>
      </c>
      <c r="F181" s="9">
        <v>45901</v>
      </c>
      <c r="G181" s="10">
        <f>DATEDIF(E181,F181,"M")</f>
        <v>11</v>
      </c>
      <c r="H181" s="20" t="s">
        <v>700</v>
      </c>
      <c r="I181" s="7" t="s">
        <v>704</v>
      </c>
      <c r="J181" s="11">
        <v>16.920000000000002</v>
      </c>
      <c r="K181" s="7" t="s">
        <v>30</v>
      </c>
      <c r="L181" s="12">
        <v>0.995</v>
      </c>
      <c r="M181" s="11">
        <v>16.84</v>
      </c>
      <c r="N181" s="11">
        <v>0</v>
      </c>
      <c r="O181" s="11">
        <v>16.84</v>
      </c>
    </row>
    <row r="182" spans="1:15" ht="15" customHeight="1" x14ac:dyDescent="0.25">
      <c r="A182" s="7" t="s">
        <v>22</v>
      </c>
      <c r="B182" s="7">
        <v>5442438</v>
      </c>
      <c r="C182" s="8">
        <v>4151561171</v>
      </c>
      <c r="D182" s="7" t="s">
        <v>49</v>
      </c>
      <c r="E182" s="9">
        <v>45552</v>
      </c>
      <c r="F182" s="9">
        <v>45901</v>
      </c>
      <c r="G182" s="10">
        <f>DATEDIF(E182,F182,"M")</f>
        <v>11</v>
      </c>
      <c r="H182" s="20" t="s">
        <v>700</v>
      </c>
      <c r="I182" s="7" t="s">
        <v>705</v>
      </c>
      <c r="J182" s="11">
        <v>18.16</v>
      </c>
      <c r="K182" s="7" t="s">
        <v>30</v>
      </c>
      <c r="L182" s="12">
        <v>1</v>
      </c>
      <c r="M182" s="11">
        <v>18.16</v>
      </c>
      <c r="N182" s="11">
        <v>0</v>
      </c>
      <c r="O182" s="11">
        <v>18.16</v>
      </c>
    </row>
    <row r="183" spans="1:15" ht="15" customHeight="1" x14ac:dyDescent="0.25">
      <c r="A183" s="7" t="s">
        <v>51</v>
      </c>
      <c r="B183" s="7">
        <v>9079571</v>
      </c>
      <c r="C183" s="8">
        <v>4151561317</v>
      </c>
      <c r="D183" s="7" t="s">
        <v>54</v>
      </c>
      <c r="E183" s="9">
        <v>45552</v>
      </c>
      <c r="F183" s="9">
        <v>45901</v>
      </c>
      <c r="G183" s="10">
        <f>DATEDIF(E183,F183,"M")</f>
        <v>11</v>
      </c>
      <c r="H183" s="20" t="s">
        <v>700</v>
      </c>
      <c r="I183" s="7" t="s">
        <v>705</v>
      </c>
      <c r="J183" s="11">
        <v>68.09</v>
      </c>
      <c r="K183" s="7" t="s">
        <v>30</v>
      </c>
      <c r="L183" s="12">
        <v>1</v>
      </c>
      <c r="M183" s="11">
        <v>68.09</v>
      </c>
      <c r="N183" s="11">
        <v>0</v>
      </c>
      <c r="O183" s="11">
        <v>68.09</v>
      </c>
    </row>
    <row r="184" spans="1:15" ht="15" customHeight="1" x14ac:dyDescent="0.25">
      <c r="A184" s="7" t="s">
        <v>22</v>
      </c>
      <c r="B184" s="7">
        <v>5442438</v>
      </c>
      <c r="C184" s="8">
        <v>4151561471</v>
      </c>
      <c r="D184" s="7" t="s">
        <v>56</v>
      </c>
      <c r="E184" s="9">
        <v>45552</v>
      </c>
      <c r="F184" s="9">
        <v>45901</v>
      </c>
      <c r="G184" s="10">
        <f>DATEDIF(E184,F184,"M")</f>
        <v>11</v>
      </c>
      <c r="H184" s="20" t="s">
        <v>700</v>
      </c>
      <c r="I184" s="7" t="s">
        <v>705</v>
      </c>
      <c r="J184" s="11">
        <v>38.39</v>
      </c>
      <c r="K184" s="7" t="s">
        <v>30</v>
      </c>
      <c r="L184" s="12">
        <v>1</v>
      </c>
      <c r="M184" s="11">
        <v>38.39</v>
      </c>
      <c r="N184" s="11">
        <v>0</v>
      </c>
      <c r="O184" s="11">
        <v>38.39</v>
      </c>
    </row>
    <row r="185" spans="1:15" ht="15" customHeight="1" x14ac:dyDescent="0.25">
      <c r="A185" s="7" t="s">
        <v>22</v>
      </c>
      <c r="B185" s="7">
        <v>5442438</v>
      </c>
      <c r="C185" s="8">
        <v>4151561472</v>
      </c>
      <c r="D185" s="7" t="s">
        <v>56</v>
      </c>
      <c r="E185" s="9">
        <v>45552</v>
      </c>
      <c r="F185" s="9">
        <v>45901</v>
      </c>
      <c r="G185" s="10">
        <f>DATEDIF(E185,F185,"M")</f>
        <v>11</v>
      </c>
      <c r="H185" s="20" t="s">
        <v>700</v>
      </c>
      <c r="I185" s="7" t="s">
        <v>704</v>
      </c>
      <c r="J185" s="11">
        <v>30.38</v>
      </c>
      <c r="K185" s="7" t="s">
        <v>30</v>
      </c>
      <c r="L185" s="12">
        <v>0.995</v>
      </c>
      <c r="M185" s="11">
        <v>30.23</v>
      </c>
      <c r="N185" s="11">
        <v>0</v>
      </c>
      <c r="O185" s="11">
        <v>30.23</v>
      </c>
    </row>
    <row r="186" spans="1:15" ht="15" customHeight="1" x14ac:dyDescent="0.25">
      <c r="A186" s="7" t="s">
        <v>58</v>
      </c>
      <c r="B186" s="7">
        <v>19396223</v>
      </c>
      <c r="C186" s="8">
        <v>4151561743</v>
      </c>
      <c r="D186" s="7" t="s">
        <v>61</v>
      </c>
      <c r="E186" s="9">
        <v>45555</v>
      </c>
      <c r="F186" s="9">
        <v>45901</v>
      </c>
      <c r="G186" s="10">
        <f>DATEDIF(E186,F186,"M")</f>
        <v>11</v>
      </c>
      <c r="H186" s="20" t="s">
        <v>700</v>
      </c>
      <c r="I186" s="7" t="s">
        <v>706</v>
      </c>
      <c r="J186" s="11">
        <v>50.38</v>
      </c>
      <c r="K186" s="7" t="s">
        <v>30</v>
      </c>
      <c r="L186" s="12">
        <v>0.85</v>
      </c>
      <c r="M186" s="11">
        <v>42.82</v>
      </c>
      <c r="N186" s="11">
        <v>0</v>
      </c>
      <c r="O186" s="11">
        <v>42.82</v>
      </c>
    </row>
    <row r="187" spans="1:15" ht="15" customHeight="1" x14ac:dyDescent="0.25">
      <c r="A187" s="7" t="s">
        <v>58</v>
      </c>
      <c r="B187" s="7">
        <v>19396223</v>
      </c>
      <c r="C187" s="8">
        <v>4151561762</v>
      </c>
      <c r="D187" s="7" t="s">
        <v>61</v>
      </c>
      <c r="E187" s="9">
        <v>45553</v>
      </c>
      <c r="F187" s="9">
        <v>45901</v>
      </c>
      <c r="G187" s="10">
        <f>DATEDIF(E187,F187,"M")</f>
        <v>11</v>
      </c>
      <c r="H187" s="20" t="s">
        <v>700</v>
      </c>
      <c r="I187" s="7" t="s">
        <v>705</v>
      </c>
      <c r="J187" s="11">
        <v>18.16</v>
      </c>
      <c r="K187" s="7" t="s">
        <v>30</v>
      </c>
      <c r="L187" s="12">
        <v>1</v>
      </c>
      <c r="M187" s="11">
        <v>18.16</v>
      </c>
      <c r="N187" s="11">
        <v>0</v>
      </c>
      <c r="O187" s="11">
        <v>18.16</v>
      </c>
    </row>
    <row r="188" spans="1:15" ht="15" customHeight="1" x14ac:dyDescent="0.25">
      <c r="A188" s="7" t="s">
        <v>63</v>
      </c>
      <c r="B188" s="7">
        <v>16633294</v>
      </c>
      <c r="C188" s="8">
        <v>4151561767</v>
      </c>
      <c r="D188" s="7" t="s">
        <v>66</v>
      </c>
      <c r="E188" s="9">
        <v>45558</v>
      </c>
      <c r="F188" s="9">
        <v>45901</v>
      </c>
      <c r="G188" s="10">
        <f>DATEDIF(E188,F188,"M")</f>
        <v>11</v>
      </c>
      <c r="H188" s="20" t="s">
        <v>700</v>
      </c>
      <c r="I188" s="7" t="s">
        <v>706</v>
      </c>
      <c r="J188" s="11">
        <v>114.54</v>
      </c>
      <c r="K188" s="7" t="s">
        <v>30</v>
      </c>
      <c r="L188" s="12">
        <v>0.85</v>
      </c>
      <c r="M188" s="11">
        <v>97.36</v>
      </c>
      <c r="N188" s="11">
        <v>0</v>
      </c>
      <c r="O188" s="11">
        <v>97.36</v>
      </c>
    </row>
    <row r="189" spans="1:15" ht="15" customHeight="1" x14ac:dyDescent="0.25">
      <c r="A189" s="7" t="s">
        <v>67</v>
      </c>
      <c r="B189" s="7">
        <v>9213293</v>
      </c>
      <c r="C189" s="8">
        <v>4151562155</v>
      </c>
      <c r="D189" s="7" t="s">
        <v>70</v>
      </c>
      <c r="E189" s="9">
        <v>45554</v>
      </c>
      <c r="F189" s="9">
        <v>45901</v>
      </c>
      <c r="G189" s="10">
        <f>DATEDIF(E189,F189,"M")</f>
        <v>11</v>
      </c>
      <c r="H189" s="20" t="s">
        <v>700</v>
      </c>
      <c r="I189" s="7" t="s">
        <v>705</v>
      </c>
      <c r="J189" s="11">
        <v>8.1199999999999992</v>
      </c>
      <c r="K189" s="7" t="s">
        <v>30</v>
      </c>
      <c r="L189" s="12">
        <v>1</v>
      </c>
      <c r="M189" s="11">
        <v>8.1199999999999992</v>
      </c>
      <c r="N189" s="11">
        <v>0</v>
      </c>
      <c r="O189" s="11">
        <v>8.1199999999999992</v>
      </c>
    </row>
    <row r="190" spans="1:15" ht="15" customHeight="1" x14ac:dyDescent="0.25">
      <c r="A190" s="7" t="s">
        <v>71</v>
      </c>
      <c r="B190" s="7">
        <v>17528908</v>
      </c>
      <c r="C190" s="8">
        <v>4151562777</v>
      </c>
      <c r="D190" s="7" t="s">
        <v>74</v>
      </c>
      <c r="E190" s="9">
        <v>45555</v>
      </c>
      <c r="F190" s="9">
        <v>45901</v>
      </c>
      <c r="G190" s="10">
        <f>DATEDIF(E190,F190,"M")</f>
        <v>11</v>
      </c>
      <c r="H190" s="20" t="s">
        <v>700</v>
      </c>
      <c r="I190" s="7" t="s">
        <v>705</v>
      </c>
      <c r="J190" s="11">
        <v>28.63</v>
      </c>
      <c r="K190" s="7" t="s">
        <v>30</v>
      </c>
      <c r="L190" s="12">
        <v>1</v>
      </c>
      <c r="M190" s="11">
        <v>28.63</v>
      </c>
      <c r="N190" s="11">
        <v>0</v>
      </c>
      <c r="O190" s="11">
        <v>28.63</v>
      </c>
    </row>
    <row r="191" spans="1:15" ht="15" customHeight="1" x14ac:dyDescent="0.25">
      <c r="A191" s="7" t="s">
        <v>71</v>
      </c>
      <c r="B191" s="7">
        <v>17528908</v>
      </c>
      <c r="C191" s="8">
        <v>4151562783</v>
      </c>
      <c r="D191" s="7" t="s">
        <v>74</v>
      </c>
      <c r="E191" s="9">
        <v>45555</v>
      </c>
      <c r="F191" s="9">
        <v>45901</v>
      </c>
      <c r="G191" s="10">
        <f>DATEDIF(E191,F191,"M")</f>
        <v>11</v>
      </c>
      <c r="H191" s="20" t="s">
        <v>700</v>
      </c>
      <c r="I191" s="7" t="s">
        <v>706</v>
      </c>
      <c r="J191" s="11">
        <v>128.38</v>
      </c>
      <c r="K191" s="7" t="s">
        <v>30</v>
      </c>
      <c r="L191" s="12">
        <v>0.85</v>
      </c>
      <c r="M191" s="11">
        <v>109.12</v>
      </c>
      <c r="N191" s="11">
        <v>0</v>
      </c>
      <c r="O191" s="11">
        <v>109.12</v>
      </c>
    </row>
    <row r="192" spans="1:15" ht="15" customHeight="1" x14ac:dyDescent="0.25">
      <c r="A192" s="7" t="s">
        <v>63</v>
      </c>
      <c r="B192" s="7">
        <v>16633294</v>
      </c>
      <c r="C192" s="8">
        <v>4151562986</v>
      </c>
      <c r="D192" s="7" t="s">
        <v>77</v>
      </c>
      <c r="E192" s="9">
        <v>45560</v>
      </c>
      <c r="F192" s="9">
        <v>45901</v>
      </c>
      <c r="G192" s="10">
        <f>DATEDIF(E192,F192,"M")</f>
        <v>11</v>
      </c>
      <c r="H192" s="20" t="s">
        <v>700</v>
      </c>
      <c r="I192" s="7" t="s">
        <v>706</v>
      </c>
      <c r="J192" s="11">
        <v>66.900000000000006</v>
      </c>
      <c r="K192" s="7" t="s">
        <v>30</v>
      </c>
      <c r="L192" s="12">
        <v>0.85</v>
      </c>
      <c r="M192" s="11">
        <v>56.87</v>
      </c>
      <c r="N192" s="11">
        <v>0</v>
      </c>
      <c r="O192" s="11">
        <v>56.87</v>
      </c>
    </row>
    <row r="193" spans="1:15" ht="15" customHeight="1" x14ac:dyDescent="0.25">
      <c r="A193" s="7" t="s">
        <v>34</v>
      </c>
      <c r="B193" s="7">
        <v>20220688</v>
      </c>
      <c r="C193" s="8">
        <v>4151563221</v>
      </c>
      <c r="D193" s="7" t="s">
        <v>79</v>
      </c>
      <c r="E193" s="9">
        <v>45560</v>
      </c>
      <c r="F193" s="9">
        <v>45901</v>
      </c>
      <c r="G193" s="10">
        <f>DATEDIF(E193,F193,"M")</f>
        <v>11</v>
      </c>
      <c r="H193" s="20" t="s">
        <v>700</v>
      </c>
      <c r="I193" s="7" t="s">
        <v>706</v>
      </c>
      <c r="J193" s="11">
        <v>35.659999999999997</v>
      </c>
      <c r="K193" s="7" t="s">
        <v>30</v>
      </c>
      <c r="L193" s="12">
        <v>0.85</v>
      </c>
      <c r="M193" s="11">
        <v>30.31</v>
      </c>
      <c r="N193" s="11">
        <v>0</v>
      </c>
      <c r="O193" s="11">
        <v>30.31</v>
      </c>
    </row>
    <row r="194" spans="1:15" ht="15" customHeight="1" x14ac:dyDescent="0.25">
      <c r="A194" s="7" t="s">
        <v>58</v>
      </c>
      <c r="B194" s="7">
        <v>19396223</v>
      </c>
      <c r="C194" s="8">
        <v>4151563252</v>
      </c>
      <c r="D194" s="7" t="s">
        <v>81</v>
      </c>
      <c r="E194" s="9">
        <v>45558</v>
      </c>
      <c r="F194" s="9">
        <v>45901</v>
      </c>
      <c r="G194" s="10">
        <f>DATEDIF(E194,F194,"M")</f>
        <v>11</v>
      </c>
      <c r="H194" s="20" t="s">
        <v>700</v>
      </c>
      <c r="I194" s="7" t="s">
        <v>705</v>
      </c>
      <c r="J194" s="11">
        <v>18.16</v>
      </c>
      <c r="K194" s="7" t="s">
        <v>30</v>
      </c>
      <c r="L194" s="12">
        <v>1</v>
      </c>
      <c r="M194" s="11">
        <v>18.16</v>
      </c>
      <c r="N194" s="11">
        <v>0</v>
      </c>
      <c r="O194" s="11">
        <v>18.16</v>
      </c>
    </row>
    <row r="195" spans="1:15" ht="15" customHeight="1" x14ac:dyDescent="0.25">
      <c r="A195" s="7" t="s">
        <v>58</v>
      </c>
      <c r="B195" s="7">
        <v>19396223</v>
      </c>
      <c r="C195" s="8">
        <v>4151563253</v>
      </c>
      <c r="D195" s="7" t="s">
        <v>81</v>
      </c>
      <c r="E195" s="9">
        <v>45560</v>
      </c>
      <c r="F195" s="9">
        <v>45901</v>
      </c>
      <c r="G195" s="10">
        <f>DATEDIF(E195,F195,"M")</f>
        <v>11</v>
      </c>
      <c r="H195" s="20" t="s">
        <v>700</v>
      </c>
      <c r="I195" s="7" t="s">
        <v>706</v>
      </c>
      <c r="J195" s="11">
        <v>13.14</v>
      </c>
      <c r="K195" s="7" t="s">
        <v>30</v>
      </c>
      <c r="L195" s="12">
        <v>0.85</v>
      </c>
      <c r="M195" s="11">
        <v>11.17</v>
      </c>
      <c r="N195" s="11">
        <v>0</v>
      </c>
      <c r="O195" s="11">
        <v>11.17</v>
      </c>
    </row>
    <row r="196" spans="1:15" ht="15" customHeight="1" x14ac:dyDescent="0.25">
      <c r="A196" s="7" t="s">
        <v>83</v>
      </c>
      <c r="B196" s="7">
        <v>8814784</v>
      </c>
      <c r="C196" s="8">
        <v>4151563292</v>
      </c>
      <c r="D196" s="7" t="s">
        <v>86</v>
      </c>
      <c r="E196" s="9">
        <v>45560</v>
      </c>
      <c r="F196" s="9">
        <v>45901</v>
      </c>
      <c r="G196" s="10">
        <f>DATEDIF(E196,F196,"M")</f>
        <v>11</v>
      </c>
      <c r="H196" s="20" t="s">
        <v>700</v>
      </c>
      <c r="I196" s="7" t="s">
        <v>706</v>
      </c>
      <c r="J196" s="11">
        <v>57.12</v>
      </c>
      <c r="K196" s="7" t="s">
        <v>30</v>
      </c>
      <c r="L196" s="12">
        <v>0.85</v>
      </c>
      <c r="M196" s="11">
        <v>48.55</v>
      </c>
      <c r="N196" s="11">
        <v>0</v>
      </c>
      <c r="O196" s="11">
        <v>48.55</v>
      </c>
    </row>
    <row r="197" spans="1:15" ht="15" customHeight="1" x14ac:dyDescent="0.25">
      <c r="A197" s="7" t="s">
        <v>87</v>
      </c>
      <c r="B197" s="7">
        <v>20003537</v>
      </c>
      <c r="C197" s="8">
        <v>4151563302</v>
      </c>
      <c r="D197" s="7" t="s">
        <v>90</v>
      </c>
      <c r="E197" s="9">
        <v>45560</v>
      </c>
      <c r="F197" s="9">
        <v>45901</v>
      </c>
      <c r="G197" s="10">
        <f>DATEDIF(E197,F197,"M")</f>
        <v>11</v>
      </c>
      <c r="H197" s="20" t="s">
        <v>700</v>
      </c>
      <c r="I197" s="7" t="s">
        <v>705</v>
      </c>
      <c r="J197" s="11">
        <v>18.16</v>
      </c>
      <c r="K197" s="7" t="s">
        <v>30</v>
      </c>
      <c r="L197" s="12">
        <v>1</v>
      </c>
      <c r="M197" s="11">
        <v>18.16</v>
      </c>
      <c r="N197" s="11">
        <v>0</v>
      </c>
      <c r="O197" s="11">
        <v>18.16</v>
      </c>
    </row>
    <row r="198" spans="1:15" ht="15" customHeight="1" x14ac:dyDescent="0.25">
      <c r="A198" s="7" t="s">
        <v>83</v>
      </c>
      <c r="B198" s="7">
        <v>8814784</v>
      </c>
      <c r="C198" s="8">
        <v>4151563538</v>
      </c>
      <c r="D198" s="7" t="s">
        <v>86</v>
      </c>
      <c r="E198" s="9">
        <v>45559</v>
      </c>
      <c r="F198" s="9">
        <v>45901</v>
      </c>
      <c r="G198" s="10">
        <f>DATEDIF(E198,F198,"M")</f>
        <v>11</v>
      </c>
      <c r="H198" s="20" t="s">
        <v>700</v>
      </c>
      <c r="I198" s="7" t="s">
        <v>705</v>
      </c>
      <c r="J198" s="11">
        <v>37.83</v>
      </c>
      <c r="K198" s="7" t="s">
        <v>30</v>
      </c>
      <c r="L198" s="12">
        <v>1</v>
      </c>
      <c r="M198" s="11">
        <v>37.83</v>
      </c>
      <c r="N198" s="11">
        <v>0</v>
      </c>
      <c r="O198" s="11">
        <v>37.83</v>
      </c>
    </row>
    <row r="199" spans="1:15" ht="15" customHeight="1" x14ac:dyDescent="0.25">
      <c r="A199" s="7" t="s">
        <v>58</v>
      </c>
      <c r="B199" s="7">
        <v>19396223</v>
      </c>
      <c r="C199" s="8">
        <v>4151563603</v>
      </c>
      <c r="D199" s="7" t="s">
        <v>93</v>
      </c>
      <c r="E199" s="9">
        <v>45559</v>
      </c>
      <c r="F199" s="9">
        <v>45901</v>
      </c>
      <c r="G199" s="10">
        <f>DATEDIF(E199,F199,"M")</f>
        <v>11</v>
      </c>
      <c r="H199" s="20" t="s">
        <v>700</v>
      </c>
      <c r="I199" s="7" t="s">
        <v>706</v>
      </c>
      <c r="J199" s="11">
        <v>10.35</v>
      </c>
      <c r="K199" s="7" t="s">
        <v>30</v>
      </c>
      <c r="L199" s="12">
        <v>0.85</v>
      </c>
      <c r="M199" s="11">
        <v>8.8000000000000007</v>
      </c>
      <c r="N199" s="11">
        <v>0</v>
      </c>
      <c r="O199" s="11">
        <v>8.8000000000000007</v>
      </c>
    </row>
    <row r="200" spans="1:15" ht="15" customHeight="1" x14ac:dyDescent="0.25">
      <c r="A200" s="7" t="s">
        <v>58</v>
      </c>
      <c r="B200" s="7">
        <v>19396223</v>
      </c>
      <c r="C200" s="8">
        <v>4151563607</v>
      </c>
      <c r="D200" s="7" t="s">
        <v>93</v>
      </c>
      <c r="E200" s="9">
        <v>45559</v>
      </c>
      <c r="F200" s="9">
        <v>45901</v>
      </c>
      <c r="G200" s="10">
        <f>DATEDIF(E200,F200,"M")</f>
        <v>11</v>
      </c>
      <c r="H200" s="20" t="s">
        <v>700</v>
      </c>
      <c r="I200" s="7" t="s">
        <v>705</v>
      </c>
      <c r="J200" s="11">
        <v>18.16</v>
      </c>
      <c r="K200" s="7" t="s">
        <v>30</v>
      </c>
      <c r="L200" s="12">
        <v>1</v>
      </c>
      <c r="M200" s="11">
        <v>18.16</v>
      </c>
      <c r="N200" s="11">
        <v>0</v>
      </c>
      <c r="O200" s="11">
        <v>18.16</v>
      </c>
    </row>
    <row r="201" spans="1:15" ht="15" customHeight="1" x14ac:dyDescent="0.25">
      <c r="A201" s="7" t="s">
        <v>51</v>
      </c>
      <c r="B201" s="7">
        <v>9079571</v>
      </c>
      <c r="C201" s="8">
        <v>4151563611</v>
      </c>
      <c r="D201" s="7" t="s">
        <v>96</v>
      </c>
      <c r="E201" s="9">
        <v>45559</v>
      </c>
      <c r="F201" s="9">
        <v>45901</v>
      </c>
      <c r="G201" s="10">
        <f>DATEDIF(E201,F201,"M")</f>
        <v>11</v>
      </c>
      <c r="H201" s="20" t="s">
        <v>700</v>
      </c>
      <c r="I201" s="7" t="s">
        <v>705</v>
      </c>
      <c r="J201" s="11">
        <v>38.39</v>
      </c>
      <c r="K201" s="7" t="s">
        <v>30</v>
      </c>
      <c r="L201" s="12">
        <v>1</v>
      </c>
      <c r="M201" s="11">
        <v>38.39</v>
      </c>
      <c r="N201" s="11">
        <v>0</v>
      </c>
      <c r="O201" s="11">
        <v>38.39</v>
      </c>
    </row>
    <row r="202" spans="1:15" ht="15" customHeight="1" x14ac:dyDescent="0.25">
      <c r="A202" s="7" t="s">
        <v>58</v>
      </c>
      <c r="B202" s="7">
        <v>19396223</v>
      </c>
      <c r="C202" s="8">
        <v>4151563638</v>
      </c>
      <c r="D202" s="7" t="s">
        <v>98</v>
      </c>
      <c r="E202" s="9">
        <v>45559</v>
      </c>
      <c r="F202" s="9">
        <v>45901</v>
      </c>
      <c r="G202" s="10">
        <f>DATEDIF(E202,F202,"M")</f>
        <v>11</v>
      </c>
      <c r="H202" s="20" t="s">
        <v>700</v>
      </c>
      <c r="I202" s="7" t="s">
        <v>706</v>
      </c>
      <c r="J202" s="11">
        <v>40.909999999999997</v>
      </c>
      <c r="K202" s="7" t="s">
        <v>30</v>
      </c>
      <c r="L202" s="12">
        <v>0.85</v>
      </c>
      <c r="M202" s="11">
        <v>34.770000000000003</v>
      </c>
      <c r="N202" s="11">
        <v>0</v>
      </c>
      <c r="O202" s="11">
        <v>34.770000000000003</v>
      </c>
    </row>
    <row r="203" spans="1:15" ht="15" customHeight="1" x14ac:dyDescent="0.25">
      <c r="A203" s="7" t="s">
        <v>58</v>
      </c>
      <c r="B203" s="7">
        <v>19396223</v>
      </c>
      <c r="C203" s="8">
        <v>4151563639</v>
      </c>
      <c r="D203" s="7" t="s">
        <v>98</v>
      </c>
      <c r="E203" s="9">
        <v>45559</v>
      </c>
      <c r="F203" s="9">
        <v>45901</v>
      </c>
      <c r="G203" s="10">
        <f>DATEDIF(E203,F203,"M")</f>
        <v>11</v>
      </c>
      <c r="H203" s="20" t="s">
        <v>700</v>
      </c>
      <c r="I203" s="7" t="s">
        <v>705</v>
      </c>
      <c r="J203" s="11">
        <v>18.16</v>
      </c>
      <c r="K203" s="7" t="s">
        <v>30</v>
      </c>
      <c r="L203" s="12">
        <v>1</v>
      </c>
      <c r="M203" s="11">
        <v>18.16</v>
      </c>
      <c r="N203" s="11">
        <v>0</v>
      </c>
      <c r="O203" s="11">
        <v>18.16</v>
      </c>
    </row>
    <row r="204" spans="1:15" ht="15" customHeight="1" x14ac:dyDescent="0.25">
      <c r="A204" s="7" t="s">
        <v>22</v>
      </c>
      <c r="B204" s="7">
        <v>5442438</v>
      </c>
      <c r="C204" s="8">
        <v>4151563892</v>
      </c>
      <c r="D204" s="7" t="s">
        <v>101</v>
      </c>
      <c r="E204" s="9">
        <v>45560</v>
      </c>
      <c r="F204" s="9">
        <v>45901</v>
      </c>
      <c r="G204" s="10">
        <f>DATEDIF(E204,F204,"M")</f>
        <v>11</v>
      </c>
      <c r="H204" s="20" t="s">
        <v>700</v>
      </c>
      <c r="I204" s="7" t="s">
        <v>705</v>
      </c>
      <c r="J204" s="11">
        <v>30.63</v>
      </c>
      <c r="K204" s="7" t="s">
        <v>30</v>
      </c>
      <c r="L204" s="12">
        <v>1</v>
      </c>
      <c r="M204" s="11">
        <v>30.63</v>
      </c>
      <c r="N204" s="11">
        <v>0</v>
      </c>
      <c r="O204" s="11">
        <v>30.63</v>
      </c>
    </row>
    <row r="205" spans="1:15" ht="15" customHeight="1" x14ac:dyDescent="0.25">
      <c r="A205" s="7" t="s">
        <v>22</v>
      </c>
      <c r="B205" s="7">
        <v>5442438</v>
      </c>
      <c r="C205" s="8">
        <v>4151563900</v>
      </c>
      <c r="D205" s="7" t="s">
        <v>101</v>
      </c>
      <c r="E205" s="9">
        <v>45560</v>
      </c>
      <c r="F205" s="9">
        <v>45901</v>
      </c>
      <c r="G205" s="10">
        <f>DATEDIF(E205,F205,"M")</f>
        <v>11</v>
      </c>
      <c r="H205" s="20" t="s">
        <v>700</v>
      </c>
      <c r="I205" s="7" t="s">
        <v>704</v>
      </c>
      <c r="J205" s="11">
        <v>57.16</v>
      </c>
      <c r="K205" s="7" t="s">
        <v>30</v>
      </c>
      <c r="L205" s="12">
        <v>0.995</v>
      </c>
      <c r="M205" s="11">
        <v>56.87</v>
      </c>
      <c r="N205" s="11">
        <v>0</v>
      </c>
      <c r="O205" s="11">
        <v>56.87</v>
      </c>
    </row>
    <row r="206" spans="1:15" ht="15" customHeight="1" x14ac:dyDescent="0.25">
      <c r="A206" s="7" t="s">
        <v>103</v>
      </c>
      <c r="B206" s="7">
        <v>19200754</v>
      </c>
      <c r="C206" s="8">
        <v>4151564293</v>
      </c>
      <c r="D206" s="7" t="s">
        <v>106</v>
      </c>
      <c r="E206" s="9">
        <v>45560</v>
      </c>
      <c r="F206" s="9">
        <v>45901</v>
      </c>
      <c r="G206" s="10">
        <f>DATEDIF(E206,F206,"M")</f>
        <v>11</v>
      </c>
      <c r="H206" s="20" t="s">
        <v>700</v>
      </c>
      <c r="I206" s="7" t="s">
        <v>705</v>
      </c>
      <c r="J206" s="11">
        <v>18.16</v>
      </c>
      <c r="K206" s="7" t="s">
        <v>30</v>
      </c>
      <c r="L206" s="12">
        <v>1</v>
      </c>
      <c r="M206" s="11">
        <v>18.16</v>
      </c>
      <c r="N206" s="11">
        <v>0</v>
      </c>
      <c r="O206" s="11">
        <v>18.16</v>
      </c>
    </row>
    <row r="207" spans="1:15" ht="15" customHeight="1" x14ac:dyDescent="0.25">
      <c r="A207" s="7" t="s">
        <v>34</v>
      </c>
      <c r="B207" s="7">
        <v>20220688</v>
      </c>
      <c r="C207" s="8">
        <v>4151564868</v>
      </c>
      <c r="D207" s="7" t="s">
        <v>108</v>
      </c>
      <c r="E207" s="9">
        <v>45580</v>
      </c>
      <c r="F207" s="9">
        <v>45901</v>
      </c>
      <c r="G207" s="10">
        <f>DATEDIF(E207,F207,"M")</f>
        <v>10</v>
      </c>
      <c r="H207" s="20" t="s">
        <v>700</v>
      </c>
      <c r="I207" s="7" t="s">
        <v>705</v>
      </c>
      <c r="J207" s="11">
        <v>160.22999999999999</v>
      </c>
      <c r="K207" s="7" t="s">
        <v>30</v>
      </c>
      <c r="L207" s="12">
        <v>1</v>
      </c>
      <c r="M207" s="11">
        <v>160.22999999999999</v>
      </c>
      <c r="N207" s="11">
        <v>0</v>
      </c>
      <c r="O207" s="11">
        <v>160.22999999999999</v>
      </c>
    </row>
    <row r="208" spans="1:15" ht="15" customHeight="1" x14ac:dyDescent="0.25">
      <c r="A208" s="7" t="s">
        <v>103</v>
      </c>
      <c r="B208" s="7">
        <v>19200754</v>
      </c>
      <c r="C208" s="8">
        <v>4151565382</v>
      </c>
      <c r="D208" s="7" t="s">
        <v>111</v>
      </c>
      <c r="E208" s="9">
        <v>45563</v>
      </c>
      <c r="F208" s="9">
        <v>45901</v>
      </c>
      <c r="G208" s="10">
        <f>DATEDIF(E208,F208,"M")</f>
        <v>11</v>
      </c>
      <c r="H208" s="20" t="s">
        <v>700</v>
      </c>
      <c r="I208" s="7" t="s">
        <v>706</v>
      </c>
      <c r="J208" s="11">
        <v>85.55</v>
      </c>
      <c r="K208" s="7" t="s">
        <v>30</v>
      </c>
      <c r="L208" s="12">
        <v>0.85</v>
      </c>
      <c r="M208" s="11">
        <v>72.72</v>
      </c>
      <c r="N208" s="11">
        <v>0</v>
      </c>
      <c r="O208" s="11">
        <v>72.72</v>
      </c>
    </row>
    <row r="209" spans="1:15" ht="15" customHeight="1" x14ac:dyDescent="0.25">
      <c r="A209" s="7" t="s">
        <v>103</v>
      </c>
      <c r="B209" s="7">
        <v>19200754</v>
      </c>
      <c r="C209" s="8">
        <v>4151565384</v>
      </c>
      <c r="D209" s="7" t="s">
        <v>111</v>
      </c>
      <c r="E209" s="9">
        <v>45563</v>
      </c>
      <c r="F209" s="9">
        <v>45901</v>
      </c>
      <c r="G209" s="10">
        <f>DATEDIF(E209,F209,"M")</f>
        <v>11</v>
      </c>
      <c r="H209" s="20" t="s">
        <v>700</v>
      </c>
      <c r="I209" s="7" t="s">
        <v>705</v>
      </c>
      <c r="J209" s="11">
        <v>37.83</v>
      </c>
      <c r="K209" s="7" t="s">
        <v>30</v>
      </c>
      <c r="L209" s="12">
        <v>1</v>
      </c>
      <c r="M209" s="11">
        <v>37.83</v>
      </c>
      <c r="N209" s="11">
        <v>0</v>
      </c>
      <c r="O209" s="11">
        <v>37.83</v>
      </c>
    </row>
    <row r="210" spans="1:15" ht="15" customHeight="1" x14ac:dyDescent="0.25">
      <c r="A210" s="7" t="s">
        <v>34</v>
      </c>
      <c r="B210" s="7">
        <v>20220688</v>
      </c>
      <c r="C210" s="8">
        <v>4151565412</v>
      </c>
      <c r="D210" s="7" t="s">
        <v>114</v>
      </c>
      <c r="E210" s="9">
        <v>45597</v>
      </c>
      <c r="F210" s="9">
        <v>45901</v>
      </c>
      <c r="G210" s="10">
        <f>DATEDIF(E210,F210,"M")</f>
        <v>10</v>
      </c>
      <c r="H210" s="20" t="s">
        <v>700</v>
      </c>
      <c r="I210" s="7" t="s">
        <v>705</v>
      </c>
      <c r="J210" s="11">
        <v>18.16</v>
      </c>
      <c r="K210" s="7" t="s">
        <v>30</v>
      </c>
      <c r="L210" s="12">
        <v>1</v>
      </c>
      <c r="M210" s="11">
        <v>18.16</v>
      </c>
      <c r="N210" s="11">
        <v>0</v>
      </c>
      <c r="O210" s="11">
        <v>18.16</v>
      </c>
    </row>
    <row r="211" spans="1:15" ht="15" customHeight="1" x14ac:dyDescent="0.25">
      <c r="A211" s="7" t="s">
        <v>34</v>
      </c>
      <c r="B211" s="7">
        <v>20220688</v>
      </c>
      <c r="C211" s="8">
        <v>4151565413</v>
      </c>
      <c r="D211" s="7" t="s">
        <v>114</v>
      </c>
      <c r="E211" s="9">
        <v>45621</v>
      </c>
      <c r="F211" s="9">
        <v>45901</v>
      </c>
      <c r="G211" s="10">
        <f>DATEDIF(E211,F211,"M")</f>
        <v>9</v>
      </c>
      <c r="H211" s="20" t="s">
        <v>699</v>
      </c>
      <c r="I211" s="7" t="s">
        <v>706</v>
      </c>
      <c r="J211" s="11">
        <v>55.42</v>
      </c>
      <c r="K211" s="7" t="s">
        <v>30</v>
      </c>
      <c r="L211" s="12">
        <v>0.85</v>
      </c>
      <c r="M211" s="11">
        <v>47.11</v>
      </c>
      <c r="N211" s="11">
        <v>0</v>
      </c>
      <c r="O211" s="11">
        <v>47.11</v>
      </c>
    </row>
    <row r="212" spans="1:15" ht="15" customHeight="1" x14ac:dyDescent="0.25">
      <c r="A212" s="7" t="s">
        <v>34</v>
      </c>
      <c r="B212" s="7">
        <v>20220688</v>
      </c>
      <c r="C212" s="8">
        <v>4151565823</v>
      </c>
      <c r="D212" s="7" t="s">
        <v>117</v>
      </c>
      <c r="E212" s="9">
        <v>45590</v>
      </c>
      <c r="F212" s="9">
        <v>45901</v>
      </c>
      <c r="G212" s="10">
        <f>DATEDIF(E212,F212,"M")</f>
        <v>10</v>
      </c>
      <c r="H212" s="20" t="s">
        <v>700</v>
      </c>
      <c r="I212" s="7" t="s">
        <v>705</v>
      </c>
      <c r="J212" s="11">
        <v>25.7</v>
      </c>
      <c r="K212" s="7" t="s">
        <v>30</v>
      </c>
      <c r="L212" s="12">
        <v>1</v>
      </c>
      <c r="M212" s="11">
        <v>25.7</v>
      </c>
      <c r="N212" s="11">
        <v>0</v>
      </c>
      <c r="O212" s="11">
        <v>25.7</v>
      </c>
    </row>
    <row r="213" spans="1:15" ht="15" customHeight="1" x14ac:dyDescent="0.25">
      <c r="A213" s="7" t="s">
        <v>34</v>
      </c>
      <c r="B213" s="7">
        <v>20220688</v>
      </c>
      <c r="C213" s="8">
        <v>4151565825</v>
      </c>
      <c r="D213" s="7" t="s">
        <v>117</v>
      </c>
      <c r="E213" s="9">
        <v>45590</v>
      </c>
      <c r="F213" s="9">
        <v>45901</v>
      </c>
      <c r="G213" s="10">
        <f>DATEDIF(E213,F213,"M")</f>
        <v>10</v>
      </c>
      <c r="H213" s="20" t="s">
        <v>700</v>
      </c>
      <c r="I213" s="7" t="s">
        <v>706</v>
      </c>
      <c r="J213" s="11">
        <v>24.53</v>
      </c>
      <c r="K213" s="7" t="s">
        <v>30</v>
      </c>
      <c r="L213" s="12">
        <v>0.85</v>
      </c>
      <c r="M213" s="11">
        <v>20.85</v>
      </c>
      <c r="N213" s="11">
        <v>0</v>
      </c>
      <c r="O213" s="11">
        <v>20.85</v>
      </c>
    </row>
    <row r="214" spans="1:15" ht="15" customHeight="1" x14ac:dyDescent="0.25">
      <c r="A214" s="7" t="s">
        <v>34</v>
      </c>
      <c r="B214" s="7">
        <v>20220688</v>
      </c>
      <c r="C214" s="8">
        <v>4151566818</v>
      </c>
      <c r="D214" s="7" t="s">
        <v>120</v>
      </c>
      <c r="E214" s="9">
        <v>45590</v>
      </c>
      <c r="F214" s="9">
        <v>45901</v>
      </c>
      <c r="G214" s="10">
        <f>DATEDIF(E214,F214,"M")</f>
        <v>10</v>
      </c>
      <c r="H214" s="20" t="s">
        <v>700</v>
      </c>
      <c r="I214" s="7" t="s">
        <v>706</v>
      </c>
      <c r="J214" s="11">
        <v>53.2</v>
      </c>
      <c r="K214" s="7" t="s">
        <v>30</v>
      </c>
      <c r="L214" s="12">
        <v>0.85</v>
      </c>
      <c r="M214" s="11">
        <v>45.22</v>
      </c>
      <c r="N214" s="11">
        <v>0</v>
      </c>
      <c r="O214" s="11">
        <v>45.22</v>
      </c>
    </row>
    <row r="215" spans="1:15" ht="15" customHeight="1" x14ac:dyDescent="0.25">
      <c r="A215" s="7" t="s">
        <v>34</v>
      </c>
      <c r="B215" s="7">
        <v>20220688</v>
      </c>
      <c r="C215" s="8">
        <v>4151566820</v>
      </c>
      <c r="D215" s="7" t="s">
        <v>120</v>
      </c>
      <c r="E215" s="9">
        <v>45590</v>
      </c>
      <c r="F215" s="9">
        <v>45901</v>
      </c>
      <c r="G215" s="10">
        <f>DATEDIF(E215,F215,"M")</f>
        <v>10</v>
      </c>
      <c r="H215" s="20" t="s">
        <v>700</v>
      </c>
      <c r="I215" s="7" t="s">
        <v>705</v>
      </c>
      <c r="J215" s="11">
        <v>18.16</v>
      </c>
      <c r="K215" s="7" t="s">
        <v>30</v>
      </c>
      <c r="L215" s="12">
        <v>1</v>
      </c>
      <c r="M215" s="11">
        <v>18.16</v>
      </c>
      <c r="N215" s="11">
        <v>0</v>
      </c>
      <c r="O215" s="11">
        <v>18.16</v>
      </c>
    </row>
    <row r="216" spans="1:15" ht="15" customHeight="1" x14ac:dyDescent="0.25">
      <c r="A216" s="7" t="s">
        <v>34</v>
      </c>
      <c r="B216" s="7">
        <v>20220688</v>
      </c>
      <c r="C216" s="8">
        <v>4151568366</v>
      </c>
      <c r="D216" s="7" t="s">
        <v>123</v>
      </c>
      <c r="E216" s="9">
        <v>45590</v>
      </c>
      <c r="F216" s="9">
        <v>45901</v>
      </c>
      <c r="G216" s="10">
        <f>DATEDIF(E216,F216,"M")</f>
        <v>10</v>
      </c>
      <c r="H216" s="20" t="s">
        <v>700</v>
      </c>
      <c r="I216" s="7" t="s">
        <v>707</v>
      </c>
      <c r="J216" s="11">
        <v>37.25</v>
      </c>
      <c r="K216" s="7" t="s">
        <v>30</v>
      </c>
      <c r="L216" s="12">
        <v>0.9</v>
      </c>
      <c r="M216" s="11">
        <v>33.53</v>
      </c>
      <c r="N216" s="11">
        <v>0</v>
      </c>
      <c r="O216" s="11">
        <v>33.53</v>
      </c>
    </row>
    <row r="217" spans="1:15" ht="15" customHeight="1" x14ac:dyDescent="0.25">
      <c r="A217" s="7" t="s">
        <v>124</v>
      </c>
      <c r="B217" s="7">
        <v>20999157</v>
      </c>
      <c r="C217" s="8">
        <v>4151572874</v>
      </c>
      <c r="D217" s="7" t="s">
        <v>127</v>
      </c>
      <c r="E217" s="9">
        <v>45597</v>
      </c>
      <c r="F217" s="9">
        <v>45901</v>
      </c>
      <c r="G217" s="10">
        <f>DATEDIF(E217,F217,"M")</f>
        <v>10</v>
      </c>
      <c r="H217" s="20" t="s">
        <v>700</v>
      </c>
      <c r="I217" s="7" t="s">
        <v>705</v>
      </c>
      <c r="J217" s="11">
        <v>30.16</v>
      </c>
      <c r="K217" s="7" t="s">
        <v>30</v>
      </c>
      <c r="L217" s="12">
        <v>1</v>
      </c>
      <c r="M217" s="11">
        <v>30.16</v>
      </c>
      <c r="N217" s="11">
        <v>0</v>
      </c>
      <c r="O217" s="11">
        <v>30.16</v>
      </c>
    </row>
    <row r="218" spans="1:15" ht="15" customHeight="1" x14ac:dyDescent="0.25">
      <c r="A218" s="7" t="s">
        <v>34</v>
      </c>
      <c r="B218" s="7">
        <v>20220688</v>
      </c>
      <c r="C218" s="8">
        <v>4151574039</v>
      </c>
      <c r="D218" s="7" t="s">
        <v>129</v>
      </c>
      <c r="E218" s="9">
        <v>45586</v>
      </c>
      <c r="F218" s="9">
        <v>45901</v>
      </c>
      <c r="G218" s="10">
        <f>DATEDIF(E218,F218,"M")</f>
        <v>10</v>
      </c>
      <c r="H218" s="20" t="s">
        <v>700</v>
      </c>
      <c r="I218" s="7" t="s">
        <v>705</v>
      </c>
      <c r="J218" s="11">
        <v>29.21</v>
      </c>
      <c r="K218" s="7" t="s">
        <v>30</v>
      </c>
      <c r="L218" s="12">
        <v>1</v>
      </c>
      <c r="M218" s="11">
        <v>29.21</v>
      </c>
      <c r="N218" s="11">
        <v>0</v>
      </c>
      <c r="O218" s="11">
        <v>29.21</v>
      </c>
    </row>
    <row r="219" spans="1:15" ht="15" customHeight="1" x14ac:dyDescent="0.25">
      <c r="A219" s="7" t="s">
        <v>71</v>
      </c>
      <c r="B219" s="7">
        <v>17528908</v>
      </c>
      <c r="C219" s="8">
        <v>4151574969</v>
      </c>
      <c r="D219" s="7" t="s">
        <v>131</v>
      </c>
      <c r="E219" s="9">
        <v>45590</v>
      </c>
      <c r="F219" s="9">
        <v>45901</v>
      </c>
      <c r="G219" s="10">
        <f>DATEDIF(E219,F219,"M")</f>
        <v>10</v>
      </c>
      <c r="H219" s="20" t="s">
        <v>700</v>
      </c>
      <c r="I219" s="7" t="s">
        <v>706</v>
      </c>
      <c r="J219" s="11">
        <v>35.28</v>
      </c>
      <c r="K219" s="7" t="s">
        <v>30</v>
      </c>
      <c r="L219" s="12">
        <v>0.85</v>
      </c>
      <c r="M219" s="11">
        <v>29.99</v>
      </c>
      <c r="N219" s="11">
        <v>0</v>
      </c>
      <c r="O219" s="11">
        <v>29.99</v>
      </c>
    </row>
    <row r="220" spans="1:15" ht="15" customHeight="1" x14ac:dyDescent="0.25">
      <c r="A220" s="7" t="s">
        <v>71</v>
      </c>
      <c r="B220" s="7">
        <v>17528908</v>
      </c>
      <c r="C220" s="8">
        <v>4151574972</v>
      </c>
      <c r="D220" s="7" t="s">
        <v>133</v>
      </c>
      <c r="E220" s="9">
        <v>45590</v>
      </c>
      <c r="F220" s="9">
        <v>45901</v>
      </c>
      <c r="G220" s="10">
        <f>DATEDIF(E220,F220,"M")</f>
        <v>10</v>
      </c>
      <c r="H220" s="20" t="s">
        <v>700</v>
      </c>
      <c r="I220" s="7" t="s">
        <v>706</v>
      </c>
      <c r="J220" s="11">
        <v>53.41</v>
      </c>
      <c r="K220" s="7" t="s">
        <v>30</v>
      </c>
      <c r="L220" s="12">
        <v>0.85</v>
      </c>
      <c r="M220" s="11">
        <v>45.4</v>
      </c>
      <c r="N220" s="11">
        <v>0</v>
      </c>
      <c r="O220" s="11">
        <v>45.4</v>
      </c>
    </row>
    <row r="221" spans="1:15" ht="15" customHeight="1" x14ac:dyDescent="0.25">
      <c r="A221" s="7" t="s">
        <v>34</v>
      </c>
      <c r="B221" s="7">
        <v>20220688</v>
      </c>
      <c r="C221" s="8">
        <v>4151575743</v>
      </c>
      <c r="D221" s="7" t="s">
        <v>135</v>
      </c>
      <c r="E221" s="9">
        <v>45590</v>
      </c>
      <c r="F221" s="9">
        <v>45901</v>
      </c>
      <c r="G221" s="10">
        <f>DATEDIF(E221,F221,"M")</f>
        <v>10</v>
      </c>
      <c r="H221" s="20" t="s">
        <v>700</v>
      </c>
      <c r="I221" s="7" t="s">
        <v>705</v>
      </c>
      <c r="J221" s="11">
        <v>53.41</v>
      </c>
      <c r="K221" s="7" t="s">
        <v>30</v>
      </c>
      <c r="L221" s="12">
        <v>1</v>
      </c>
      <c r="M221" s="11">
        <v>53.41</v>
      </c>
      <c r="N221" s="11">
        <v>0</v>
      </c>
      <c r="O221" s="11">
        <v>53.41</v>
      </c>
    </row>
    <row r="222" spans="1:15" ht="15" customHeight="1" x14ac:dyDescent="0.25">
      <c r="A222" s="7" t="s">
        <v>136</v>
      </c>
      <c r="B222" s="7">
        <v>19279958</v>
      </c>
      <c r="C222" s="8">
        <v>4151580492</v>
      </c>
      <c r="D222" s="7" t="s">
        <v>139</v>
      </c>
      <c r="E222" s="9">
        <v>45586</v>
      </c>
      <c r="F222" s="9">
        <v>45901</v>
      </c>
      <c r="G222" s="10">
        <f>DATEDIF(E222,F222,"M")</f>
        <v>10</v>
      </c>
      <c r="H222" s="20" t="s">
        <v>700</v>
      </c>
      <c r="I222" s="7" t="s">
        <v>705</v>
      </c>
      <c r="J222" s="11">
        <v>36.53</v>
      </c>
      <c r="K222" s="7" t="s">
        <v>30</v>
      </c>
      <c r="L222" s="12">
        <v>1</v>
      </c>
      <c r="M222" s="11">
        <v>36.53</v>
      </c>
      <c r="N222" s="11">
        <v>0</v>
      </c>
      <c r="O222" s="11">
        <v>36.53</v>
      </c>
    </row>
    <row r="223" spans="1:15" ht="15" customHeight="1" x14ac:dyDescent="0.25">
      <c r="A223" s="7" t="s">
        <v>140</v>
      </c>
      <c r="B223" s="7">
        <v>16912722</v>
      </c>
      <c r="C223" s="8">
        <v>4151580600</v>
      </c>
      <c r="D223" s="7" t="s">
        <v>143</v>
      </c>
      <c r="E223" s="9">
        <v>45603</v>
      </c>
      <c r="F223" s="9">
        <v>45901</v>
      </c>
      <c r="G223" s="10">
        <f>DATEDIF(E223,F223,"M")</f>
        <v>9</v>
      </c>
      <c r="H223" s="20" t="s">
        <v>699</v>
      </c>
      <c r="I223" s="7" t="s">
        <v>706</v>
      </c>
      <c r="J223" s="11">
        <v>29.09</v>
      </c>
      <c r="K223" s="7" t="s">
        <v>30</v>
      </c>
      <c r="L223" s="12">
        <v>0.85</v>
      </c>
      <c r="M223" s="11">
        <v>24.73</v>
      </c>
      <c r="N223" s="11">
        <v>0</v>
      </c>
      <c r="O223" s="11">
        <v>24.73</v>
      </c>
    </row>
    <row r="224" spans="1:15" ht="15" customHeight="1" x14ac:dyDescent="0.25">
      <c r="A224" s="7" t="s">
        <v>51</v>
      </c>
      <c r="B224" s="7">
        <v>9079571</v>
      </c>
      <c r="C224" s="8">
        <v>4151586279</v>
      </c>
      <c r="D224" s="7" t="s">
        <v>145</v>
      </c>
      <c r="E224" s="9">
        <v>45612</v>
      </c>
      <c r="F224" s="9">
        <v>45901</v>
      </c>
      <c r="G224" s="10">
        <f>DATEDIF(E224,F224,"M")</f>
        <v>9</v>
      </c>
      <c r="H224" s="20" t="s">
        <v>700</v>
      </c>
      <c r="I224" s="7" t="s">
        <v>705</v>
      </c>
      <c r="J224" s="11">
        <v>39.83</v>
      </c>
      <c r="K224" s="7" t="s">
        <v>30</v>
      </c>
      <c r="L224" s="12">
        <v>1</v>
      </c>
      <c r="M224" s="11">
        <v>39.83</v>
      </c>
      <c r="N224" s="11">
        <v>0</v>
      </c>
      <c r="O224" s="11">
        <v>39.83</v>
      </c>
    </row>
    <row r="225" spans="1:15" ht="15" customHeight="1" x14ac:dyDescent="0.25">
      <c r="A225" s="7" t="s">
        <v>87</v>
      </c>
      <c r="B225" s="7">
        <v>20003537</v>
      </c>
      <c r="C225" s="8">
        <v>4151587194</v>
      </c>
      <c r="D225" s="7" t="s">
        <v>147</v>
      </c>
      <c r="E225" s="9">
        <v>45624</v>
      </c>
      <c r="F225" s="9">
        <v>45901</v>
      </c>
      <c r="G225" s="10">
        <f>DATEDIF(E225,F225,"M")</f>
        <v>9</v>
      </c>
      <c r="H225" s="20" t="s">
        <v>700</v>
      </c>
      <c r="I225" s="7" t="s">
        <v>706</v>
      </c>
      <c r="J225" s="11">
        <v>61.93</v>
      </c>
      <c r="K225" s="7" t="s">
        <v>30</v>
      </c>
      <c r="L225" s="12">
        <v>0.85</v>
      </c>
      <c r="M225" s="11">
        <v>52.64</v>
      </c>
      <c r="N225" s="11">
        <v>0</v>
      </c>
      <c r="O225" s="11">
        <v>52.64</v>
      </c>
    </row>
    <row r="226" spans="1:15" ht="15" customHeight="1" x14ac:dyDescent="0.25">
      <c r="A226" s="7" t="s">
        <v>51</v>
      </c>
      <c r="B226" s="7">
        <v>9079571</v>
      </c>
      <c r="C226" s="8">
        <v>4151588160</v>
      </c>
      <c r="D226" s="7" t="s">
        <v>149</v>
      </c>
      <c r="E226" s="9">
        <v>45617</v>
      </c>
      <c r="F226" s="9">
        <v>45901</v>
      </c>
      <c r="G226" s="10">
        <f>DATEDIF(E226,F226,"M")</f>
        <v>9</v>
      </c>
      <c r="H226" s="20" t="s">
        <v>700</v>
      </c>
      <c r="I226" s="7" t="s">
        <v>705</v>
      </c>
      <c r="J226" s="11">
        <v>39.83</v>
      </c>
      <c r="K226" s="7" t="s">
        <v>30</v>
      </c>
      <c r="L226" s="12">
        <v>1</v>
      </c>
      <c r="M226" s="11">
        <v>39.83</v>
      </c>
      <c r="N226" s="11">
        <v>0</v>
      </c>
      <c r="O226" s="11">
        <v>39.83</v>
      </c>
    </row>
    <row r="227" spans="1:15" ht="15" customHeight="1" x14ac:dyDescent="0.25">
      <c r="A227" s="7" t="s">
        <v>34</v>
      </c>
      <c r="B227" s="7">
        <v>20220688</v>
      </c>
      <c r="C227" s="8">
        <v>4151588493</v>
      </c>
      <c r="D227" s="7" t="s">
        <v>151</v>
      </c>
      <c r="E227" s="9">
        <v>45617</v>
      </c>
      <c r="F227" s="9">
        <v>45901</v>
      </c>
      <c r="G227" s="10">
        <f>DATEDIF(E227,F227,"M")</f>
        <v>9</v>
      </c>
      <c r="H227" s="20" t="s">
        <v>699</v>
      </c>
      <c r="I227" s="7" t="s">
        <v>705</v>
      </c>
      <c r="J227" s="11">
        <v>28.63</v>
      </c>
      <c r="K227" s="7" t="s">
        <v>30</v>
      </c>
      <c r="L227" s="12">
        <v>1</v>
      </c>
      <c r="M227" s="11">
        <v>28.63</v>
      </c>
      <c r="N227" s="11">
        <v>0</v>
      </c>
      <c r="O227" s="11">
        <v>28.63</v>
      </c>
    </row>
    <row r="228" spans="1:15" ht="15" customHeight="1" x14ac:dyDescent="0.25">
      <c r="A228" s="7" t="s">
        <v>51</v>
      </c>
      <c r="B228" s="7">
        <v>9079571</v>
      </c>
      <c r="C228" s="8">
        <v>4151588759</v>
      </c>
      <c r="D228" s="7" t="s">
        <v>153</v>
      </c>
      <c r="E228" s="9">
        <v>45618</v>
      </c>
      <c r="F228" s="9">
        <v>45901</v>
      </c>
      <c r="G228" s="10">
        <f>DATEDIF(E228,F228,"M")</f>
        <v>9</v>
      </c>
      <c r="H228" s="20" t="s">
        <v>700</v>
      </c>
      <c r="I228" s="7" t="s">
        <v>705</v>
      </c>
      <c r="J228" s="11">
        <v>28.63</v>
      </c>
      <c r="K228" s="7" t="s">
        <v>30</v>
      </c>
      <c r="L228" s="12">
        <v>1</v>
      </c>
      <c r="M228" s="11">
        <v>28.63</v>
      </c>
      <c r="N228" s="11">
        <v>0</v>
      </c>
      <c r="O228" s="11">
        <v>28.63</v>
      </c>
    </row>
    <row r="229" spans="1:15" ht="15" customHeight="1" x14ac:dyDescent="0.25">
      <c r="A229" s="7" t="s">
        <v>51</v>
      </c>
      <c r="B229" s="7">
        <v>9079571</v>
      </c>
      <c r="C229" s="8">
        <v>4151588799</v>
      </c>
      <c r="D229" s="7" t="s">
        <v>155</v>
      </c>
      <c r="E229" s="9">
        <v>45619</v>
      </c>
      <c r="F229" s="9">
        <v>45901</v>
      </c>
      <c r="G229" s="10">
        <f>DATEDIF(E229,F229,"M")</f>
        <v>9</v>
      </c>
      <c r="H229" s="20" t="s">
        <v>700</v>
      </c>
      <c r="I229" s="7" t="s">
        <v>705</v>
      </c>
      <c r="J229" s="11">
        <v>39.83</v>
      </c>
      <c r="K229" s="7" t="s">
        <v>30</v>
      </c>
      <c r="L229" s="12">
        <v>1</v>
      </c>
      <c r="M229" s="11">
        <v>39.83</v>
      </c>
      <c r="N229" s="11">
        <v>0</v>
      </c>
      <c r="O229" s="11">
        <v>39.83</v>
      </c>
    </row>
    <row r="230" spans="1:15" ht="15" customHeight="1" x14ac:dyDescent="0.25">
      <c r="A230" s="7" t="s">
        <v>34</v>
      </c>
      <c r="B230" s="7">
        <v>20220688</v>
      </c>
      <c r="C230" s="8">
        <v>4151588825</v>
      </c>
      <c r="D230" s="7" t="s">
        <v>157</v>
      </c>
      <c r="E230" s="9">
        <v>45620</v>
      </c>
      <c r="F230" s="9">
        <v>45901</v>
      </c>
      <c r="G230" s="10">
        <f>DATEDIF(E230,F230,"M")</f>
        <v>9</v>
      </c>
      <c r="H230" s="20" t="s">
        <v>699</v>
      </c>
      <c r="I230" s="7" t="s">
        <v>705</v>
      </c>
      <c r="J230" s="11">
        <v>18.16</v>
      </c>
      <c r="K230" s="7" t="s">
        <v>30</v>
      </c>
      <c r="L230" s="12">
        <v>1</v>
      </c>
      <c r="M230" s="11">
        <v>18.16</v>
      </c>
      <c r="N230" s="11">
        <v>0</v>
      </c>
      <c r="O230" s="11">
        <v>18.16</v>
      </c>
    </row>
    <row r="231" spans="1:15" ht="15" customHeight="1" x14ac:dyDescent="0.25">
      <c r="A231" s="7" t="s">
        <v>34</v>
      </c>
      <c r="B231" s="7">
        <v>20220688</v>
      </c>
      <c r="C231" s="8">
        <v>4151588828</v>
      </c>
      <c r="D231" s="7" t="s">
        <v>159</v>
      </c>
      <c r="E231" s="9">
        <v>45620</v>
      </c>
      <c r="F231" s="9">
        <v>45901</v>
      </c>
      <c r="G231" s="10">
        <f>DATEDIF(E231,F231,"M")</f>
        <v>9</v>
      </c>
      <c r="H231" s="20" t="s">
        <v>699</v>
      </c>
      <c r="I231" s="7" t="s">
        <v>705</v>
      </c>
      <c r="J231" s="11">
        <v>32.68</v>
      </c>
      <c r="K231" s="7" t="s">
        <v>30</v>
      </c>
      <c r="L231" s="12">
        <v>1</v>
      </c>
      <c r="M231" s="11">
        <v>32.68</v>
      </c>
      <c r="N231" s="11">
        <v>0</v>
      </c>
      <c r="O231" s="11">
        <v>32.68</v>
      </c>
    </row>
    <row r="232" spans="1:15" ht="15" customHeight="1" x14ac:dyDescent="0.25">
      <c r="A232" s="7" t="s">
        <v>34</v>
      </c>
      <c r="B232" s="7">
        <v>20220688</v>
      </c>
      <c r="C232" s="8">
        <v>4151588840</v>
      </c>
      <c r="D232" s="7" t="s">
        <v>161</v>
      </c>
      <c r="E232" s="9">
        <v>45620</v>
      </c>
      <c r="F232" s="9">
        <v>45901</v>
      </c>
      <c r="G232" s="10">
        <f>DATEDIF(E232,F232,"M")</f>
        <v>9</v>
      </c>
      <c r="H232" s="20" t="s">
        <v>699</v>
      </c>
      <c r="I232" s="7" t="s">
        <v>705</v>
      </c>
      <c r="J232" s="11">
        <v>18.16</v>
      </c>
      <c r="K232" s="7" t="s">
        <v>30</v>
      </c>
      <c r="L232" s="12">
        <v>1</v>
      </c>
      <c r="M232" s="11">
        <v>18.16</v>
      </c>
      <c r="N232" s="11">
        <v>0</v>
      </c>
      <c r="O232" s="11">
        <v>18.16</v>
      </c>
    </row>
    <row r="233" spans="1:15" ht="15" customHeight="1" x14ac:dyDescent="0.25">
      <c r="A233" s="7" t="s">
        <v>63</v>
      </c>
      <c r="B233" s="7">
        <v>16633294</v>
      </c>
      <c r="C233" s="8">
        <v>4151589059</v>
      </c>
      <c r="D233" s="7" t="s">
        <v>163</v>
      </c>
      <c r="E233" s="9">
        <v>45622</v>
      </c>
      <c r="F233" s="9">
        <v>45901</v>
      </c>
      <c r="G233" s="10">
        <f>DATEDIF(E233,F233,"M")</f>
        <v>9</v>
      </c>
      <c r="H233" s="20" t="s">
        <v>699</v>
      </c>
      <c r="I233" s="7" t="s">
        <v>706</v>
      </c>
      <c r="J233" s="11">
        <v>57.87</v>
      </c>
      <c r="K233" s="7" t="s">
        <v>30</v>
      </c>
      <c r="L233" s="12">
        <v>0.85</v>
      </c>
      <c r="M233" s="11">
        <v>49.19</v>
      </c>
      <c r="N233" s="11">
        <v>0</v>
      </c>
      <c r="O233" s="11">
        <v>49.19</v>
      </c>
    </row>
    <row r="234" spans="1:15" ht="15" customHeight="1" x14ac:dyDescent="0.25">
      <c r="A234" s="7" t="s">
        <v>39</v>
      </c>
      <c r="B234" s="7">
        <v>7470776</v>
      </c>
      <c r="C234" s="8">
        <v>4151591279</v>
      </c>
      <c r="D234" s="7" t="s">
        <v>165</v>
      </c>
      <c r="E234" s="9">
        <v>45654</v>
      </c>
      <c r="F234" s="9">
        <v>45901</v>
      </c>
      <c r="G234" s="10">
        <f>DATEDIF(E234,F234,"M")</f>
        <v>8</v>
      </c>
      <c r="H234" s="20" t="s">
        <v>699</v>
      </c>
      <c r="I234" s="7" t="s">
        <v>706</v>
      </c>
      <c r="J234" s="11">
        <v>89.96</v>
      </c>
      <c r="K234" s="7" t="s">
        <v>30</v>
      </c>
      <c r="L234" s="12">
        <v>0.85</v>
      </c>
      <c r="M234" s="11">
        <v>76.47</v>
      </c>
      <c r="N234" s="11">
        <v>76.430000000000007</v>
      </c>
      <c r="O234" s="11">
        <v>0.04</v>
      </c>
    </row>
    <row r="235" spans="1:15" ht="15" customHeight="1" x14ac:dyDescent="0.25">
      <c r="A235" s="7" t="s">
        <v>39</v>
      </c>
      <c r="B235" s="7">
        <v>7470776</v>
      </c>
      <c r="C235" s="8">
        <v>4151591316</v>
      </c>
      <c r="D235" s="7" t="s">
        <v>167</v>
      </c>
      <c r="E235" s="9">
        <v>45654</v>
      </c>
      <c r="F235" s="9">
        <v>45901</v>
      </c>
      <c r="G235" s="10">
        <f>DATEDIF(E235,F235,"M")</f>
        <v>8</v>
      </c>
      <c r="H235" s="20" t="s">
        <v>699</v>
      </c>
      <c r="I235" s="7" t="s">
        <v>706</v>
      </c>
      <c r="J235" s="11">
        <v>49.94</v>
      </c>
      <c r="K235" s="7" t="s">
        <v>30</v>
      </c>
      <c r="L235" s="12">
        <v>0.85</v>
      </c>
      <c r="M235" s="11">
        <v>42.45</v>
      </c>
      <c r="N235" s="11">
        <v>42.44</v>
      </c>
      <c r="O235" s="11">
        <v>0.01</v>
      </c>
    </row>
    <row r="236" spans="1:15" ht="15" customHeight="1" x14ac:dyDescent="0.25">
      <c r="A236" s="7" t="s">
        <v>39</v>
      </c>
      <c r="B236" s="7">
        <v>7470776</v>
      </c>
      <c r="C236" s="8">
        <v>4151593736</v>
      </c>
      <c r="D236" s="7" t="s">
        <v>169</v>
      </c>
      <c r="E236" s="9">
        <v>45654</v>
      </c>
      <c r="F236" s="9">
        <v>45901</v>
      </c>
      <c r="G236" s="10">
        <f>DATEDIF(E236,F236,"M")</f>
        <v>8</v>
      </c>
      <c r="H236" s="20" t="s">
        <v>699</v>
      </c>
      <c r="I236" s="7" t="s">
        <v>706</v>
      </c>
      <c r="J236" s="11">
        <v>104.01</v>
      </c>
      <c r="K236" s="7" t="s">
        <v>30</v>
      </c>
      <c r="L236" s="12">
        <v>0.85</v>
      </c>
      <c r="M236" s="11">
        <v>88.41</v>
      </c>
      <c r="N236" s="11">
        <v>88.39</v>
      </c>
      <c r="O236" s="11">
        <v>0.02</v>
      </c>
    </row>
    <row r="237" spans="1:15" ht="15" customHeight="1" x14ac:dyDescent="0.25">
      <c r="A237" s="7" t="s">
        <v>39</v>
      </c>
      <c r="B237" s="7">
        <v>7470776</v>
      </c>
      <c r="C237" s="8">
        <v>4151594815</v>
      </c>
      <c r="D237" s="7" t="s">
        <v>171</v>
      </c>
      <c r="E237" s="9">
        <v>45654</v>
      </c>
      <c r="F237" s="9">
        <v>45901</v>
      </c>
      <c r="G237" s="10">
        <f>DATEDIF(E237,F237,"M")</f>
        <v>8</v>
      </c>
      <c r="H237" s="20" t="s">
        <v>699</v>
      </c>
      <c r="I237" s="7" t="s">
        <v>706</v>
      </c>
      <c r="J237" s="11">
        <v>170.73</v>
      </c>
      <c r="K237" s="7" t="s">
        <v>30</v>
      </c>
      <c r="L237" s="12">
        <v>0.85</v>
      </c>
      <c r="M237" s="11">
        <v>145.12</v>
      </c>
      <c r="N237" s="11">
        <v>145.12</v>
      </c>
      <c r="O237" s="11">
        <v>0</v>
      </c>
    </row>
    <row r="238" spans="1:15" ht="15" customHeight="1" x14ac:dyDescent="0.25">
      <c r="A238" s="7" t="s">
        <v>39</v>
      </c>
      <c r="B238" s="7">
        <v>7470776</v>
      </c>
      <c r="C238" s="8">
        <v>4151595912</v>
      </c>
      <c r="D238" s="7" t="s">
        <v>173</v>
      </c>
      <c r="E238" s="9">
        <v>45654</v>
      </c>
      <c r="F238" s="9">
        <v>45901</v>
      </c>
      <c r="G238" s="10">
        <f>DATEDIF(E238,F238,"M")</f>
        <v>8</v>
      </c>
      <c r="H238" s="20" t="s">
        <v>699</v>
      </c>
      <c r="I238" s="7" t="s">
        <v>706</v>
      </c>
      <c r="J238" s="11">
        <v>70.75</v>
      </c>
      <c r="K238" s="7" t="s">
        <v>30</v>
      </c>
      <c r="L238" s="12">
        <v>0.85</v>
      </c>
      <c r="M238" s="11">
        <v>60.14</v>
      </c>
      <c r="N238" s="11">
        <v>60.11</v>
      </c>
      <c r="O238" s="11">
        <v>0.03</v>
      </c>
    </row>
    <row r="239" spans="1:15" ht="15" customHeight="1" x14ac:dyDescent="0.25">
      <c r="A239" s="7" t="s">
        <v>51</v>
      </c>
      <c r="B239" s="7">
        <v>9079571</v>
      </c>
      <c r="C239" s="8">
        <v>4151597808</v>
      </c>
      <c r="D239" s="7" t="s">
        <v>175</v>
      </c>
      <c r="E239" s="9">
        <v>45654</v>
      </c>
      <c r="F239" s="9">
        <v>45901</v>
      </c>
      <c r="G239" s="10">
        <f>DATEDIF(E239,F239,"M")</f>
        <v>8</v>
      </c>
      <c r="H239" s="20" t="s">
        <v>700</v>
      </c>
      <c r="I239" s="7" t="s">
        <v>705</v>
      </c>
      <c r="J239" s="11">
        <v>68.09</v>
      </c>
      <c r="K239" s="7" t="s">
        <v>30</v>
      </c>
      <c r="L239" s="12">
        <v>1</v>
      </c>
      <c r="M239" s="11">
        <v>68.09</v>
      </c>
      <c r="N239" s="11">
        <v>68.09</v>
      </c>
      <c r="O239" s="11">
        <v>0</v>
      </c>
    </row>
    <row r="240" spans="1:15" ht="15" customHeight="1" x14ac:dyDescent="0.25">
      <c r="A240" s="7" t="s">
        <v>34</v>
      </c>
      <c r="B240" s="7">
        <v>20220688</v>
      </c>
      <c r="C240" s="8">
        <v>4151600184</v>
      </c>
      <c r="D240" s="7" t="s">
        <v>177</v>
      </c>
      <c r="E240" s="9">
        <v>45644</v>
      </c>
      <c r="F240" s="9">
        <v>45901</v>
      </c>
      <c r="G240" s="10">
        <f>DATEDIF(E240,F240,"M")</f>
        <v>8</v>
      </c>
      <c r="H240" s="20" t="s">
        <v>699</v>
      </c>
      <c r="I240" s="7" t="s">
        <v>706</v>
      </c>
      <c r="J240" s="11">
        <v>62.81</v>
      </c>
      <c r="K240" s="7" t="s">
        <v>30</v>
      </c>
      <c r="L240" s="12">
        <v>0.85</v>
      </c>
      <c r="M240" s="11">
        <v>53.39</v>
      </c>
      <c r="N240" s="11">
        <v>53.37</v>
      </c>
      <c r="O240" s="11">
        <v>0.02</v>
      </c>
    </row>
    <row r="241" spans="1:15" ht="15" customHeight="1" x14ac:dyDescent="0.25">
      <c r="A241" s="7" t="s">
        <v>34</v>
      </c>
      <c r="B241" s="7">
        <v>20220688</v>
      </c>
      <c r="C241" s="8">
        <v>4151600185</v>
      </c>
      <c r="D241" s="7" t="s">
        <v>179</v>
      </c>
      <c r="E241" s="9">
        <v>45644</v>
      </c>
      <c r="F241" s="9">
        <v>45901</v>
      </c>
      <c r="G241" s="10">
        <f>DATEDIF(E241,F241,"M")</f>
        <v>8</v>
      </c>
      <c r="H241" s="20" t="s">
        <v>699</v>
      </c>
      <c r="I241" s="7" t="s">
        <v>706</v>
      </c>
      <c r="J241" s="11">
        <v>40.520000000000003</v>
      </c>
      <c r="K241" s="7" t="s">
        <v>30</v>
      </c>
      <c r="L241" s="12">
        <v>0.85</v>
      </c>
      <c r="M241" s="11">
        <v>34.44</v>
      </c>
      <c r="N241" s="11">
        <v>34.44</v>
      </c>
      <c r="O241" s="11">
        <v>0</v>
      </c>
    </row>
    <row r="242" spans="1:15" ht="15" customHeight="1" x14ac:dyDescent="0.25">
      <c r="A242" s="7" t="s">
        <v>22</v>
      </c>
      <c r="B242" s="7">
        <v>5442438</v>
      </c>
      <c r="C242" s="8">
        <v>4151600566</v>
      </c>
      <c r="D242" s="7" t="s">
        <v>181</v>
      </c>
      <c r="E242" s="9">
        <v>45642</v>
      </c>
      <c r="F242" s="9">
        <v>45901</v>
      </c>
      <c r="G242" s="10">
        <f>DATEDIF(E242,F242,"M")</f>
        <v>8</v>
      </c>
      <c r="H242" s="20" t="s">
        <v>700</v>
      </c>
      <c r="I242" s="7" t="s">
        <v>705</v>
      </c>
      <c r="J242" s="11">
        <v>40.39</v>
      </c>
      <c r="K242" s="7" t="s">
        <v>30</v>
      </c>
      <c r="L242" s="12">
        <v>1</v>
      </c>
      <c r="M242" s="11">
        <v>40.39</v>
      </c>
      <c r="N242" s="11">
        <v>40.39</v>
      </c>
      <c r="O242" s="11">
        <v>0</v>
      </c>
    </row>
    <row r="243" spans="1:15" ht="15" customHeight="1" x14ac:dyDescent="0.25">
      <c r="A243" s="7" t="s">
        <v>22</v>
      </c>
      <c r="B243" s="7">
        <v>5442438</v>
      </c>
      <c r="C243" s="8">
        <v>4151600902</v>
      </c>
      <c r="D243" s="7" t="s">
        <v>181</v>
      </c>
      <c r="E243" s="9">
        <v>45642</v>
      </c>
      <c r="F243" s="9">
        <v>45901</v>
      </c>
      <c r="G243" s="10">
        <f>DATEDIF(E243,F243,"M")</f>
        <v>8</v>
      </c>
      <c r="H243" s="20" t="s">
        <v>700</v>
      </c>
      <c r="I243" s="7" t="s">
        <v>704</v>
      </c>
      <c r="J243" s="11">
        <v>54.56</v>
      </c>
      <c r="K243" s="7" t="s">
        <v>30</v>
      </c>
      <c r="L243" s="12">
        <v>0.995</v>
      </c>
      <c r="M243" s="11">
        <v>54.29</v>
      </c>
      <c r="N243" s="11">
        <v>54.26</v>
      </c>
      <c r="O243" s="11">
        <v>0.03</v>
      </c>
    </row>
    <row r="244" spans="1:15" ht="15" customHeight="1" x14ac:dyDescent="0.25">
      <c r="A244" s="7" t="s">
        <v>34</v>
      </c>
      <c r="B244" s="7">
        <v>20220688</v>
      </c>
      <c r="C244" s="8">
        <v>4151605305</v>
      </c>
      <c r="D244" s="7" t="s">
        <v>184</v>
      </c>
      <c r="E244" s="9">
        <v>45647</v>
      </c>
      <c r="F244" s="9">
        <v>45901</v>
      </c>
      <c r="G244" s="10">
        <f>DATEDIF(E244,F244,"M")</f>
        <v>8</v>
      </c>
      <c r="H244" s="20" t="s">
        <v>699</v>
      </c>
      <c r="I244" s="7" t="s">
        <v>705</v>
      </c>
      <c r="J244" s="11">
        <v>18.16</v>
      </c>
      <c r="K244" s="7" t="s">
        <v>30</v>
      </c>
      <c r="L244" s="12">
        <v>1</v>
      </c>
      <c r="M244" s="11">
        <v>18.16</v>
      </c>
      <c r="N244" s="11">
        <v>18.16</v>
      </c>
      <c r="O244" s="11">
        <v>0</v>
      </c>
    </row>
    <row r="245" spans="1:15" ht="15" customHeight="1" x14ac:dyDescent="0.25">
      <c r="A245" s="7" t="s">
        <v>136</v>
      </c>
      <c r="B245" s="7">
        <v>19279958</v>
      </c>
      <c r="C245" s="8">
        <v>4151610835</v>
      </c>
      <c r="D245" s="7" t="s">
        <v>186</v>
      </c>
      <c r="E245" s="9">
        <v>45653</v>
      </c>
      <c r="F245" s="9">
        <v>45901</v>
      </c>
      <c r="G245" s="10">
        <f>DATEDIF(E245,F245,"M")</f>
        <v>8</v>
      </c>
      <c r="H245" s="20" t="s">
        <v>700</v>
      </c>
      <c r="I245" s="7" t="s">
        <v>705</v>
      </c>
      <c r="J245" s="11">
        <v>20.16</v>
      </c>
      <c r="K245" s="7" t="s">
        <v>30</v>
      </c>
      <c r="L245" s="12">
        <v>1</v>
      </c>
      <c r="M245" s="11">
        <v>20.16</v>
      </c>
      <c r="N245" s="11">
        <v>20.16</v>
      </c>
      <c r="O245" s="11">
        <v>0</v>
      </c>
    </row>
    <row r="246" spans="1:15" ht="15" customHeight="1" x14ac:dyDescent="0.25">
      <c r="A246" s="7" t="s">
        <v>51</v>
      </c>
      <c r="B246" s="7">
        <v>9079571</v>
      </c>
      <c r="C246" s="8">
        <v>4151615335</v>
      </c>
      <c r="D246" s="7" t="s">
        <v>188</v>
      </c>
      <c r="E246" s="9">
        <v>45662</v>
      </c>
      <c r="F246" s="9">
        <v>45901</v>
      </c>
      <c r="G246" s="10">
        <f>DATEDIF(E246,F246,"M")</f>
        <v>7</v>
      </c>
      <c r="H246" s="20" t="s">
        <v>700</v>
      </c>
      <c r="I246" s="7" t="s">
        <v>708</v>
      </c>
      <c r="J246" s="11">
        <v>38.39</v>
      </c>
      <c r="K246" s="7" t="s">
        <v>30</v>
      </c>
      <c r="L246" s="12">
        <v>0.93</v>
      </c>
      <c r="M246" s="11">
        <v>35.700000000000003</v>
      </c>
      <c r="N246" s="11">
        <v>35.700000000000003</v>
      </c>
      <c r="O246" s="11">
        <v>0</v>
      </c>
    </row>
    <row r="247" spans="1:15" ht="15" customHeight="1" x14ac:dyDescent="0.25">
      <c r="A247" s="7" t="s">
        <v>51</v>
      </c>
      <c r="B247" s="7">
        <v>9079571</v>
      </c>
      <c r="C247" s="8">
        <v>4151617038</v>
      </c>
      <c r="D247" s="7" t="s">
        <v>190</v>
      </c>
      <c r="E247" s="9">
        <v>45666</v>
      </c>
      <c r="F247" s="9">
        <v>45901</v>
      </c>
      <c r="G247" s="10">
        <f>DATEDIF(E247,F247,"M")</f>
        <v>7</v>
      </c>
      <c r="H247" s="20" t="s">
        <v>700</v>
      </c>
      <c r="I247" s="7" t="s">
        <v>705</v>
      </c>
      <c r="J247" s="11">
        <v>-1.24</v>
      </c>
      <c r="K247" s="7" t="s">
        <v>30</v>
      </c>
      <c r="L247" s="12">
        <v>1</v>
      </c>
      <c r="M247" s="11">
        <v>-1.24</v>
      </c>
      <c r="N247" s="11">
        <v>0</v>
      </c>
      <c r="O247" s="11">
        <v>-1.24</v>
      </c>
    </row>
    <row r="248" spans="1:15" ht="15" customHeight="1" x14ac:dyDescent="0.25">
      <c r="A248" s="7" t="s">
        <v>51</v>
      </c>
      <c r="B248" s="7">
        <v>9079571</v>
      </c>
      <c r="C248" s="8">
        <v>4151620521</v>
      </c>
      <c r="D248" s="7" t="s">
        <v>192</v>
      </c>
      <c r="E248" s="9">
        <v>45677</v>
      </c>
      <c r="F248" s="9">
        <v>45901</v>
      </c>
      <c r="G248" s="10">
        <f>DATEDIF(E248,F248,"M")</f>
        <v>7</v>
      </c>
      <c r="H248" s="20" t="s">
        <v>700</v>
      </c>
      <c r="I248" s="7" t="s">
        <v>705</v>
      </c>
      <c r="J248" s="11">
        <v>29.4</v>
      </c>
      <c r="K248" s="7" t="s">
        <v>30</v>
      </c>
      <c r="L248" s="12">
        <v>1</v>
      </c>
      <c r="M248" s="11">
        <v>29.4</v>
      </c>
      <c r="N248" s="11">
        <v>29.4</v>
      </c>
      <c r="O248" s="11">
        <v>0</v>
      </c>
    </row>
    <row r="249" spans="1:15" ht="15" customHeight="1" x14ac:dyDescent="0.25">
      <c r="A249" s="7" t="s">
        <v>51</v>
      </c>
      <c r="B249" s="7">
        <v>9079571</v>
      </c>
      <c r="C249" s="8">
        <v>4151620816</v>
      </c>
      <c r="D249" s="7" t="s">
        <v>194</v>
      </c>
      <c r="E249" s="9">
        <v>45677</v>
      </c>
      <c r="F249" s="9">
        <v>45901</v>
      </c>
      <c r="G249" s="10">
        <f>DATEDIF(E249,F249,"M")</f>
        <v>7</v>
      </c>
      <c r="H249" s="20" t="s">
        <v>700</v>
      </c>
      <c r="I249" s="7" t="s">
        <v>704</v>
      </c>
      <c r="J249" s="11">
        <v>64.22</v>
      </c>
      <c r="K249" s="7" t="s">
        <v>30</v>
      </c>
      <c r="L249" s="12">
        <v>0.995</v>
      </c>
      <c r="M249" s="11">
        <v>63.9</v>
      </c>
      <c r="N249" s="11">
        <v>63.9</v>
      </c>
      <c r="O249" s="11">
        <v>0</v>
      </c>
    </row>
    <row r="250" spans="1:15" ht="15" customHeight="1" x14ac:dyDescent="0.25">
      <c r="A250" s="7" t="s">
        <v>51</v>
      </c>
      <c r="B250" s="7">
        <v>9079571</v>
      </c>
      <c r="C250" s="8">
        <v>4151620817</v>
      </c>
      <c r="D250" s="7" t="s">
        <v>194</v>
      </c>
      <c r="E250" s="9">
        <v>45677</v>
      </c>
      <c r="F250" s="9">
        <v>45901</v>
      </c>
      <c r="G250" s="10">
        <f>DATEDIF(E250,F250,"M")</f>
        <v>7</v>
      </c>
      <c r="H250" s="20" t="s">
        <v>700</v>
      </c>
      <c r="I250" s="7" t="s">
        <v>705</v>
      </c>
      <c r="J250" s="11">
        <v>28.63</v>
      </c>
      <c r="K250" s="7" t="s">
        <v>30</v>
      </c>
      <c r="L250" s="12">
        <v>1</v>
      </c>
      <c r="M250" s="11">
        <v>28.63</v>
      </c>
      <c r="N250" s="11">
        <v>28.63</v>
      </c>
      <c r="O250" s="11">
        <v>0</v>
      </c>
    </row>
    <row r="251" spans="1:15" ht="15" customHeight="1" x14ac:dyDescent="0.25">
      <c r="A251" s="7" t="s">
        <v>197</v>
      </c>
      <c r="B251" s="7">
        <v>6115727</v>
      </c>
      <c r="C251" s="8">
        <v>4151620840</v>
      </c>
      <c r="D251" s="7" t="s">
        <v>200</v>
      </c>
      <c r="E251" s="9">
        <v>45704</v>
      </c>
      <c r="F251" s="9">
        <v>45901</v>
      </c>
      <c r="G251" s="10">
        <f>DATEDIF(E251,F251,"M")</f>
        <v>6</v>
      </c>
      <c r="H251" s="20" t="s">
        <v>699</v>
      </c>
      <c r="I251" s="7" t="s">
        <v>705</v>
      </c>
      <c r="J251" s="11">
        <v>11.55</v>
      </c>
      <c r="K251" s="7" t="s">
        <v>30</v>
      </c>
      <c r="L251" s="12">
        <v>1</v>
      </c>
      <c r="M251" s="11">
        <v>11.55</v>
      </c>
      <c r="N251" s="11">
        <v>11.55</v>
      </c>
      <c r="O251" s="11">
        <v>0</v>
      </c>
    </row>
    <row r="252" spans="1:15" ht="15" customHeight="1" x14ac:dyDescent="0.25">
      <c r="A252" s="7" t="s">
        <v>51</v>
      </c>
      <c r="B252" s="7">
        <v>9079571</v>
      </c>
      <c r="C252" s="8">
        <v>4151621050</v>
      </c>
      <c r="D252" s="7" t="s">
        <v>202</v>
      </c>
      <c r="E252" s="9">
        <v>45678</v>
      </c>
      <c r="F252" s="9">
        <v>45901</v>
      </c>
      <c r="G252" s="10">
        <f>DATEDIF(E252,F252,"M")</f>
        <v>7</v>
      </c>
      <c r="H252" s="20" t="s">
        <v>700</v>
      </c>
      <c r="I252" s="7" t="s">
        <v>705</v>
      </c>
      <c r="J252" s="11">
        <v>68.3</v>
      </c>
      <c r="K252" s="7" t="s">
        <v>30</v>
      </c>
      <c r="L252" s="12">
        <v>1</v>
      </c>
      <c r="M252" s="11">
        <v>68.3</v>
      </c>
      <c r="N252" s="11">
        <v>68.3</v>
      </c>
      <c r="O252" s="11">
        <v>0</v>
      </c>
    </row>
    <row r="253" spans="1:15" ht="15" customHeight="1" x14ac:dyDescent="0.25">
      <c r="A253" s="7" t="s">
        <v>51</v>
      </c>
      <c r="B253" s="7">
        <v>9079571</v>
      </c>
      <c r="C253" s="8">
        <v>4151622521</v>
      </c>
      <c r="D253" s="7" t="s">
        <v>204</v>
      </c>
      <c r="E253" s="9">
        <v>45682</v>
      </c>
      <c r="F253" s="9">
        <v>45901</v>
      </c>
      <c r="G253" s="10">
        <f>DATEDIF(E253,F253,"M")</f>
        <v>7</v>
      </c>
      <c r="H253" s="20" t="s">
        <v>700</v>
      </c>
      <c r="I253" s="7" t="s">
        <v>705</v>
      </c>
      <c r="J253" s="11">
        <v>38.39</v>
      </c>
      <c r="K253" s="7" t="s">
        <v>30</v>
      </c>
      <c r="L253" s="12">
        <v>1</v>
      </c>
      <c r="M253" s="11">
        <v>38.39</v>
      </c>
      <c r="N253" s="11">
        <v>38.39</v>
      </c>
      <c r="O253" s="11">
        <v>0</v>
      </c>
    </row>
    <row r="254" spans="1:15" ht="15" customHeight="1" x14ac:dyDescent="0.25">
      <c r="A254" s="7" t="s">
        <v>51</v>
      </c>
      <c r="B254" s="7">
        <v>9079571</v>
      </c>
      <c r="C254" s="8">
        <v>4151630167</v>
      </c>
      <c r="D254" s="7" t="s">
        <v>206</v>
      </c>
      <c r="E254" s="9">
        <v>45705</v>
      </c>
      <c r="F254" s="9">
        <v>45901</v>
      </c>
      <c r="G254" s="10">
        <f>DATEDIF(E254,F254,"M")</f>
        <v>6</v>
      </c>
      <c r="H254" s="20" t="s">
        <v>700</v>
      </c>
      <c r="I254" s="7" t="s">
        <v>705</v>
      </c>
      <c r="J254" s="11">
        <v>52.34</v>
      </c>
      <c r="K254" s="7" t="s">
        <v>30</v>
      </c>
      <c r="L254" s="12">
        <v>1</v>
      </c>
      <c r="M254" s="11">
        <v>52.34</v>
      </c>
      <c r="N254" s="11">
        <v>52.34</v>
      </c>
      <c r="O254" s="11">
        <v>0</v>
      </c>
    </row>
    <row r="255" spans="1:15" ht="15" customHeight="1" x14ac:dyDescent="0.25">
      <c r="A255" s="7" t="s">
        <v>51</v>
      </c>
      <c r="B255" s="7">
        <v>9079571</v>
      </c>
      <c r="C255" s="8">
        <v>4151630168</v>
      </c>
      <c r="D255" s="7" t="s">
        <v>208</v>
      </c>
      <c r="E255" s="9">
        <v>45705</v>
      </c>
      <c r="F255" s="9">
        <v>45901</v>
      </c>
      <c r="G255" s="10">
        <f>DATEDIF(E255,F255,"M")</f>
        <v>6</v>
      </c>
      <c r="H255" s="20" t="s">
        <v>700</v>
      </c>
      <c r="I255" s="7" t="s">
        <v>705</v>
      </c>
      <c r="J255" s="11">
        <v>18.16</v>
      </c>
      <c r="K255" s="7" t="s">
        <v>30</v>
      </c>
      <c r="L255" s="12">
        <v>1</v>
      </c>
      <c r="M255" s="11">
        <v>18.16</v>
      </c>
      <c r="N255" s="11">
        <v>18.16</v>
      </c>
      <c r="O255" s="11">
        <v>0</v>
      </c>
    </row>
    <row r="256" spans="1:15" ht="15" customHeight="1" x14ac:dyDescent="0.25">
      <c r="A256" s="7" t="s">
        <v>136</v>
      </c>
      <c r="B256" s="7">
        <v>19279958</v>
      </c>
      <c r="C256" s="8">
        <v>4151630259</v>
      </c>
      <c r="D256" s="7" t="s">
        <v>210</v>
      </c>
      <c r="E256" s="9">
        <v>45707</v>
      </c>
      <c r="F256" s="9">
        <v>45901</v>
      </c>
      <c r="G256" s="10">
        <f>DATEDIF(E256,F256,"M")</f>
        <v>6</v>
      </c>
      <c r="H256" s="20" t="s">
        <v>700</v>
      </c>
      <c r="I256" s="7" t="s">
        <v>704</v>
      </c>
      <c r="J256" s="11">
        <v>49.48</v>
      </c>
      <c r="K256" s="7" t="s">
        <v>30</v>
      </c>
      <c r="L256" s="12">
        <v>0.995</v>
      </c>
      <c r="M256" s="11">
        <v>49.23</v>
      </c>
      <c r="N256" s="11">
        <v>49.23</v>
      </c>
      <c r="O256" s="11">
        <v>0</v>
      </c>
    </row>
    <row r="257" spans="1:16" ht="15" customHeight="1" x14ac:dyDescent="0.25">
      <c r="A257" s="7" t="s">
        <v>211</v>
      </c>
      <c r="B257" s="7">
        <v>16202925</v>
      </c>
      <c r="C257" s="8">
        <v>4151632122</v>
      </c>
      <c r="D257" s="7" t="s">
        <v>214</v>
      </c>
      <c r="E257" s="9">
        <v>45715</v>
      </c>
      <c r="F257" s="9">
        <v>45901</v>
      </c>
      <c r="G257" s="10">
        <f>DATEDIF(E257,F257,"M")</f>
        <v>6</v>
      </c>
      <c r="H257" s="20" t="s">
        <v>699</v>
      </c>
      <c r="I257" s="7" t="s">
        <v>705</v>
      </c>
      <c r="J257" s="11">
        <v>33.89</v>
      </c>
      <c r="K257" s="7" t="s">
        <v>30</v>
      </c>
      <c r="L257" s="12">
        <v>1</v>
      </c>
      <c r="M257" s="11">
        <v>33.89</v>
      </c>
      <c r="N257" s="11">
        <v>33.89</v>
      </c>
      <c r="O257" s="11">
        <v>0</v>
      </c>
    </row>
    <row r="258" spans="1:16" ht="15" customHeight="1" x14ac:dyDescent="0.25">
      <c r="A258" s="7" t="s">
        <v>22</v>
      </c>
      <c r="B258" s="7">
        <v>5442438</v>
      </c>
      <c r="C258" s="8">
        <v>4151633920</v>
      </c>
      <c r="D258" s="7" t="s">
        <v>216</v>
      </c>
      <c r="E258" s="9">
        <v>45714</v>
      </c>
      <c r="F258" s="9">
        <v>45901</v>
      </c>
      <c r="G258" s="10">
        <f>DATEDIF(E258,F258,"M")</f>
        <v>6</v>
      </c>
      <c r="H258" s="20" t="s">
        <v>700</v>
      </c>
      <c r="I258" s="7" t="s">
        <v>704</v>
      </c>
      <c r="J258" s="11">
        <v>26.25</v>
      </c>
      <c r="K258" s="7" t="s">
        <v>30</v>
      </c>
      <c r="L258" s="12">
        <v>0.995</v>
      </c>
      <c r="M258" s="11">
        <v>26.12</v>
      </c>
      <c r="N258" s="11">
        <v>26.12</v>
      </c>
      <c r="O258" s="11">
        <v>0</v>
      </c>
    </row>
    <row r="259" spans="1:16" ht="15" customHeight="1" x14ac:dyDescent="0.25">
      <c r="A259" s="7" t="s">
        <v>22</v>
      </c>
      <c r="B259" s="7">
        <v>5442438</v>
      </c>
      <c r="C259" s="8">
        <v>4151633921</v>
      </c>
      <c r="D259" s="7" t="s">
        <v>216</v>
      </c>
      <c r="E259" s="9">
        <v>45714</v>
      </c>
      <c r="F259" s="9">
        <v>45901</v>
      </c>
      <c r="G259" s="10">
        <f>DATEDIF(E259,F259,"M")</f>
        <v>6</v>
      </c>
      <c r="H259" s="20" t="s">
        <v>700</v>
      </c>
      <c r="I259" s="7" t="s">
        <v>705</v>
      </c>
      <c r="J259" s="11">
        <v>37.83</v>
      </c>
      <c r="K259" s="7" t="s">
        <v>30</v>
      </c>
      <c r="L259" s="12">
        <v>1</v>
      </c>
      <c r="M259" s="11">
        <v>37.83</v>
      </c>
      <c r="N259" s="11">
        <v>37.83</v>
      </c>
      <c r="O259" s="11">
        <v>0</v>
      </c>
    </row>
    <row r="260" spans="1:16" ht="15" customHeight="1" x14ac:dyDescent="0.25">
      <c r="A260" s="7" t="s">
        <v>22</v>
      </c>
      <c r="B260" s="7">
        <v>5442438</v>
      </c>
      <c r="C260" s="8">
        <v>4151634891</v>
      </c>
      <c r="D260" s="7" t="s">
        <v>219</v>
      </c>
      <c r="E260" s="9">
        <v>45716</v>
      </c>
      <c r="F260" s="9">
        <v>45901</v>
      </c>
      <c r="G260" s="10">
        <f>DATEDIF(E260,F260,"M")</f>
        <v>6</v>
      </c>
      <c r="H260" s="20" t="s">
        <v>700</v>
      </c>
      <c r="I260" s="7" t="s">
        <v>705</v>
      </c>
      <c r="J260" s="11">
        <v>43.8</v>
      </c>
      <c r="K260" s="7" t="s">
        <v>30</v>
      </c>
      <c r="L260" s="12">
        <v>1</v>
      </c>
      <c r="M260" s="11">
        <v>43.8</v>
      </c>
      <c r="N260" s="11">
        <v>43.8</v>
      </c>
      <c r="O260" s="11">
        <v>0</v>
      </c>
    </row>
    <row r="261" spans="1:16" ht="15" customHeight="1" x14ac:dyDescent="0.25">
      <c r="A261" s="7" t="s">
        <v>220</v>
      </c>
      <c r="B261" s="7">
        <v>20212926</v>
      </c>
      <c r="C261" s="8">
        <v>4151639802</v>
      </c>
      <c r="D261" s="7" t="s">
        <v>223</v>
      </c>
      <c r="E261" s="9">
        <v>45748</v>
      </c>
      <c r="F261" s="9">
        <v>45901</v>
      </c>
      <c r="G261" s="10">
        <f>DATEDIF(E261,F261,"M")</f>
        <v>5</v>
      </c>
      <c r="H261" s="20" t="s">
        <v>699</v>
      </c>
      <c r="I261" s="7" t="s">
        <v>705</v>
      </c>
      <c r="J261" s="11">
        <v>39.5</v>
      </c>
      <c r="K261" s="7" t="s">
        <v>30</v>
      </c>
      <c r="L261" s="12">
        <v>1</v>
      </c>
      <c r="M261" s="11">
        <v>39.5</v>
      </c>
      <c r="N261" s="11">
        <v>39.5</v>
      </c>
      <c r="O261" s="11">
        <v>0</v>
      </c>
    </row>
    <row r="262" spans="1:16" ht="15" customHeight="1" x14ac:dyDescent="0.25">
      <c r="A262" s="7" t="s">
        <v>51</v>
      </c>
      <c r="B262" s="7">
        <v>9079571</v>
      </c>
      <c r="C262" s="8">
        <v>4151644344</v>
      </c>
      <c r="D262" s="7" t="s">
        <v>225</v>
      </c>
      <c r="E262" s="9">
        <v>45778</v>
      </c>
      <c r="F262" s="9">
        <v>45901</v>
      </c>
      <c r="G262" s="10">
        <f>DATEDIF(E262,F262,"M")</f>
        <v>4</v>
      </c>
      <c r="H262" s="20" t="s">
        <v>700</v>
      </c>
      <c r="I262" s="7" t="s">
        <v>705</v>
      </c>
      <c r="J262" s="11">
        <v>54.34</v>
      </c>
      <c r="K262" s="7" t="s">
        <v>30</v>
      </c>
      <c r="L262" s="12">
        <v>1</v>
      </c>
      <c r="M262" s="11">
        <v>54.34</v>
      </c>
      <c r="N262" s="11">
        <v>54.34</v>
      </c>
      <c r="O262" s="11">
        <v>0</v>
      </c>
    </row>
    <row r="263" spans="1:16" ht="15" customHeight="1" x14ac:dyDescent="0.25">
      <c r="A263" s="7" t="s">
        <v>51</v>
      </c>
      <c r="B263" s="7">
        <v>9079571</v>
      </c>
      <c r="C263" s="8">
        <v>4151645069</v>
      </c>
      <c r="D263" s="7" t="s">
        <v>227</v>
      </c>
      <c r="E263" s="9">
        <v>45748</v>
      </c>
      <c r="F263" s="9">
        <v>45901</v>
      </c>
      <c r="G263" s="10">
        <f>DATEDIF(E263,F263,"M")</f>
        <v>5</v>
      </c>
      <c r="H263" s="20" t="s">
        <v>700</v>
      </c>
      <c r="I263" s="7" t="s">
        <v>705</v>
      </c>
      <c r="J263" s="11">
        <v>-37.39</v>
      </c>
      <c r="K263" s="7" t="s">
        <v>30</v>
      </c>
      <c r="L263" s="12">
        <v>1</v>
      </c>
      <c r="M263" s="11">
        <v>-37.39</v>
      </c>
      <c r="N263" s="11">
        <v>-37.39</v>
      </c>
      <c r="O263" s="11">
        <v>0</v>
      </c>
      <c r="P263" s="13"/>
    </row>
    <row r="264" spans="1:16" ht="15" customHeight="1" x14ac:dyDescent="0.25">
      <c r="A264" s="7" t="s">
        <v>51</v>
      </c>
      <c r="B264" s="7">
        <v>9079571</v>
      </c>
      <c r="C264" s="8">
        <v>4151645069</v>
      </c>
      <c r="D264" s="7" t="s">
        <v>227</v>
      </c>
      <c r="E264" s="9">
        <v>45748</v>
      </c>
      <c r="F264" s="9">
        <v>45901</v>
      </c>
      <c r="G264" s="10">
        <f>DATEDIF(E264,F264,"M")</f>
        <v>5</v>
      </c>
      <c r="H264" s="20" t="s">
        <v>700</v>
      </c>
      <c r="I264" s="7" t="s">
        <v>705</v>
      </c>
      <c r="J264" s="11">
        <v>56.16</v>
      </c>
      <c r="K264" s="7" t="s">
        <v>30</v>
      </c>
      <c r="L264" s="12">
        <v>1</v>
      </c>
      <c r="M264" s="11">
        <v>56.16</v>
      </c>
      <c r="N264" s="11">
        <v>56.16</v>
      </c>
      <c r="O264" s="11">
        <v>0</v>
      </c>
    </row>
    <row r="265" spans="1:16" ht="15" customHeight="1" x14ac:dyDescent="0.25">
      <c r="A265" s="7" t="s">
        <v>51</v>
      </c>
      <c r="B265" s="7">
        <v>9079571</v>
      </c>
      <c r="C265" s="8">
        <v>4151652051</v>
      </c>
      <c r="D265" s="7" t="s">
        <v>230</v>
      </c>
      <c r="E265" s="9">
        <v>45769</v>
      </c>
      <c r="F265" s="9">
        <v>45901</v>
      </c>
      <c r="G265" s="10">
        <f>DATEDIF(E265,F265,"M")</f>
        <v>4</v>
      </c>
      <c r="H265" s="20" t="s">
        <v>700</v>
      </c>
      <c r="I265" s="7" t="s">
        <v>705</v>
      </c>
      <c r="J265" s="11">
        <v>37.83</v>
      </c>
      <c r="K265" s="7" t="s">
        <v>30</v>
      </c>
      <c r="L265" s="12">
        <v>1</v>
      </c>
      <c r="M265" s="11">
        <v>37.83</v>
      </c>
      <c r="N265" s="11">
        <v>37.83</v>
      </c>
      <c r="O265" s="11">
        <v>0</v>
      </c>
    </row>
    <row r="266" spans="1:16" ht="15" customHeight="1" x14ac:dyDescent="0.25">
      <c r="A266" s="7" t="s">
        <v>231</v>
      </c>
      <c r="B266" s="7">
        <v>17554531</v>
      </c>
      <c r="C266" s="8">
        <v>4151655190</v>
      </c>
      <c r="D266" s="7" t="s">
        <v>234</v>
      </c>
      <c r="E266" s="9">
        <v>45809</v>
      </c>
      <c r="F266" s="9">
        <v>45901</v>
      </c>
      <c r="G266" s="10">
        <f>DATEDIF(E266,F266,"M")</f>
        <v>3</v>
      </c>
      <c r="H266" s="20" t="s">
        <v>699</v>
      </c>
      <c r="I266" s="7" t="s">
        <v>706</v>
      </c>
      <c r="J266" s="11">
        <v>131.77000000000001</v>
      </c>
      <c r="K266" s="7" t="s">
        <v>30</v>
      </c>
      <c r="L266" s="12">
        <v>0.85</v>
      </c>
      <c r="M266" s="11">
        <v>112</v>
      </c>
      <c r="N266" s="11">
        <v>112</v>
      </c>
      <c r="O266" s="11">
        <v>0</v>
      </c>
    </row>
    <row r="267" spans="1:16" ht="15" customHeight="1" x14ac:dyDescent="0.25">
      <c r="A267" s="7" t="s">
        <v>51</v>
      </c>
      <c r="B267" s="7">
        <v>9079571</v>
      </c>
      <c r="C267" s="8">
        <v>4151661157</v>
      </c>
      <c r="D267" s="7" t="s">
        <v>236</v>
      </c>
      <c r="E267" s="9">
        <v>45793</v>
      </c>
      <c r="F267" s="9">
        <v>45901</v>
      </c>
      <c r="G267" s="10">
        <f>DATEDIF(E267,F267,"M")</f>
        <v>3</v>
      </c>
      <c r="H267" s="20" t="s">
        <v>700</v>
      </c>
      <c r="I267" s="7" t="s">
        <v>705</v>
      </c>
      <c r="J267" s="11">
        <v>40.39</v>
      </c>
      <c r="K267" s="7" t="s">
        <v>30</v>
      </c>
      <c r="L267" s="12">
        <v>1</v>
      </c>
      <c r="M267" s="11">
        <v>40.39</v>
      </c>
      <c r="N267" s="11">
        <v>40.39</v>
      </c>
      <c r="O267" s="11">
        <v>0</v>
      </c>
    </row>
    <row r="268" spans="1:16" ht="15" customHeight="1" x14ac:dyDescent="0.25">
      <c r="A268" s="7" t="s">
        <v>51</v>
      </c>
      <c r="B268" s="7">
        <v>9079571</v>
      </c>
      <c r="C268" s="8">
        <v>4151662690</v>
      </c>
      <c r="D268" s="7" t="s">
        <v>238</v>
      </c>
      <c r="E268" s="9">
        <v>45798</v>
      </c>
      <c r="F268" s="9">
        <v>45901</v>
      </c>
      <c r="G268" s="10">
        <f>DATEDIF(E268,F268,"M")</f>
        <v>3</v>
      </c>
      <c r="H268" s="20" t="s">
        <v>700</v>
      </c>
      <c r="I268" s="7" t="s">
        <v>705</v>
      </c>
      <c r="J268" s="11">
        <v>40.39</v>
      </c>
      <c r="K268" s="7" t="s">
        <v>30</v>
      </c>
      <c r="L268" s="12">
        <v>1</v>
      </c>
      <c r="M268" s="11">
        <v>40.39</v>
      </c>
      <c r="N268" s="11">
        <v>40.39</v>
      </c>
      <c r="O268" s="11">
        <v>0</v>
      </c>
    </row>
    <row r="269" spans="1:16" ht="15" customHeight="1" x14ac:dyDescent="0.25">
      <c r="A269" s="7" t="s">
        <v>51</v>
      </c>
      <c r="B269" s="7">
        <v>9079571</v>
      </c>
      <c r="C269" s="8">
        <v>4151663733</v>
      </c>
      <c r="D269" s="7" t="s">
        <v>240</v>
      </c>
      <c r="E269" s="9">
        <v>45800</v>
      </c>
      <c r="F269" s="9">
        <v>45901</v>
      </c>
      <c r="G269" s="10">
        <f>DATEDIF(E269,F269,"M")</f>
        <v>3</v>
      </c>
      <c r="H269" s="20" t="s">
        <v>700</v>
      </c>
      <c r="I269" s="7" t="s">
        <v>705</v>
      </c>
      <c r="J269" s="11">
        <v>40.39</v>
      </c>
      <c r="K269" s="7" t="s">
        <v>30</v>
      </c>
      <c r="L269" s="12">
        <v>1</v>
      </c>
      <c r="M269" s="11">
        <v>40.39</v>
      </c>
      <c r="N269" s="11">
        <v>40.39</v>
      </c>
      <c r="O269" s="11">
        <v>0</v>
      </c>
    </row>
    <row r="270" spans="1:16" ht="15" customHeight="1" x14ac:dyDescent="0.25">
      <c r="A270" s="7" t="s">
        <v>51</v>
      </c>
      <c r="B270" s="7">
        <v>9079571</v>
      </c>
      <c r="C270" s="8">
        <v>4151663734</v>
      </c>
      <c r="D270" s="7" t="s">
        <v>242</v>
      </c>
      <c r="E270" s="9">
        <v>45800</v>
      </c>
      <c r="F270" s="9">
        <v>45901</v>
      </c>
      <c r="G270" s="10">
        <f>DATEDIF(E270,F270,"M")</f>
        <v>3</v>
      </c>
      <c r="H270" s="20" t="s">
        <v>700</v>
      </c>
      <c r="I270" s="7" t="s">
        <v>705</v>
      </c>
      <c r="J270" s="11">
        <v>40.39</v>
      </c>
      <c r="K270" s="7" t="s">
        <v>30</v>
      </c>
      <c r="L270" s="12">
        <v>1</v>
      </c>
      <c r="M270" s="11">
        <v>40.39</v>
      </c>
      <c r="N270" s="11">
        <v>40.39</v>
      </c>
      <c r="O270" s="11">
        <v>0</v>
      </c>
    </row>
    <row r="271" spans="1:16" ht="15" customHeight="1" x14ac:dyDescent="0.25">
      <c r="A271" s="7" t="s">
        <v>51</v>
      </c>
      <c r="B271" s="7">
        <v>9079571</v>
      </c>
      <c r="C271" s="8">
        <v>4151663735</v>
      </c>
      <c r="D271" s="7" t="s">
        <v>244</v>
      </c>
      <c r="E271" s="9">
        <v>45800</v>
      </c>
      <c r="F271" s="9">
        <v>45901</v>
      </c>
      <c r="G271" s="10">
        <f>DATEDIF(E271,F271,"M")</f>
        <v>3</v>
      </c>
      <c r="H271" s="20" t="s">
        <v>700</v>
      </c>
      <c r="I271" s="7" t="s">
        <v>705</v>
      </c>
      <c r="J271" s="11">
        <v>40.39</v>
      </c>
      <c r="K271" s="7" t="s">
        <v>30</v>
      </c>
      <c r="L271" s="12">
        <v>1</v>
      </c>
      <c r="M271" s="11">
        <v>40.39</v>
      </c>
      <c r="N271" s="11">
        <v>40.39</v>
      </c>
      <c r="O271" s="11">
        <v>0</v>
      </c>
    </row>
    <row r="272" spans="1:16" ht="15" customHeight="1" x14ac:dyDescent="0.25">
      <c r="A272" s="7" t="s">
        <v>51</v>
      </c>
      <c r="B272" s="7">
        <v>9079571</v>
      </c>
      <c r="C272" s="8">
        <v>4151663736</v>
      </c>
      <c r="D272" s="7" t="s">
        <v>242</v>
      </c>
      <c r="E272" s="9">
        <v>45831</v>
      </c>
      <c r="F272" s="9">
        <v>45901</v>
      </c>
      <c r="G272" s="10">
        <f>DATEDIF(E272,F272,"M")</f>
        <v>2</v>
      </c>
      <c r="H272" s="20" t="s">
        <v>700</v>
      </c>
      <c r="I272" s="7" t="s">
        <v>706</v>
      </c>
      <c r="J272" s="11">
        <v>76.540000000000006</v>
      </c>
      <c r="K272" s="7" t="s">
        <v>30</v>
      </c>
      <c r="L272" s="12">
        <v>0.85</v>
      </c>
      <c r="M272" s="11">
        <v>65.06</v>
      </c>
      <c r="N272" s="11">
        <v>65.06</v>
      </c>
      <c r="O272" s="11">
        <v>0</v>
      </c>
    </row>
    <row r="273" spans="1:16" ht="15" customHeight="1" x14ac:dyDescent="0.25">
      <c r="A273" s="7" t="s">
        <v>51</v>
      </c>
      <c r="B273" s="7">
        <v>9079571</v>
      </c>
      <c r="C273" s="8">
        <v>4151663752</v>
      </c>
      <c r="D273" s="7" t="s">
        <v>247</v>
      </c>
      <c r="E273" s="9">
        <v>45809</v>
      </c>
      <c r="F273" s="9">
        <v>45901</v>
      </c>
      <c r="G273" s="10">
        <f>DATEDIF(E273,F273,"M")</f>
        <v>3</v>
      </c>
      <c r="H273" s="20" t="s">
        <v>700</v>
      </c>
      <c r="I273" s="7" t="s">
        <v>705</v>
      </c>
      <c r="J273" s="11">
        <v>54.34</v>
      </c>
      <c r="K273" s="7" t="s">
        <v>30</v>
      </c>
      <c r="L273" s="12">
        <v>1</v>
      </c>
      <c r="M273" s="11">
        <v>54.34</v>
      </c>
      <c r="N273" s="11">
        <v>54.34</v>
      </c>
      <c r="O273" s="11">
        <v>0</v>
      </c>
    </row>
    <row r="274" spans="1:16" ht="15" customHeight="1" x14ac:dyDescent="0.25">
      <c r="A274" s="7" t="s">
        <v>211</v>
      </c>
      <c r="B274" s="7">
        <v>16202925</v>
      </c>
      <c r="C274" s="8">
        <v>4151664680</v>
      </c>
      <c r="D274" s="7" t="s">
        <v>211</v>
      </c>
      <c r="E274" s="9">
        <v>45805</v>
      </c>
      <c r="F274" s="9">
        <v>45901</v>
      </c>
      <c r="G274" s="10">
        <f>DATEDIF(E274,F274,"M")</f>
        <v>3</v>
      </c>
      <c r="H274" s="20" t="s">
        <v>699</v>
      </c>
      <c r="I274" s="7" t="s">
        <v>705</v>
      </c>
      <c r="J274" s="11">
        <v>46.41</v>
      </c>
      <c r="K274" s="7" t="s">
        <v>30</v>
      </c>
      <c r="L274" s="12">
        <v>1</v>
      </c>
      <c r="M274" s="11">
        <v>46.41</v>
      </c>
      <c r="N274" s="11">
        <v>46.41</v>
      </c>
      <c r="O274" s="11">
        <v>0</v>
      </c>
    </row>
    <row r="275" spans="1:16" ht="15" customHeight="1" x14ac:dyDescent="0.25">
      <c r="A275" s="7" t="s">
        <v>136</v>
      </c>
      <c r="B275" s="7">
        <v>19279958</v>
      </c>
      <c r="C275" s="8">
        <v>4151670691</v>
      </c>
      <c r="D275" s="7" t="s">
        <v>250</v>
      </c>
      <c r="E275" s="9">
        <v>45824</v>
      </c>
      <c r="F275" s="9">
        <v>45901</v>
      </c>
      <c r="G275" s="10">
        <f>DATEDIF(E275,F275,"M")</f>
        <v>2</v>
      </c>
      <c r="H275" s="20" t="s">
        <v>700</v>
      </c>
      <c r="I275" s="7" t="s">
        <v>705</v>
      </c>
      <c r="J275" s="11">
        <v>30.63</v>
      </c>
      <c r="K275" s="7" t="s">
        <v>30</v>
      </c>
      <c r="L275" s="12">
        <v>1</v>
      </c>
      <c r="M275" s="11">
        <v>30.63</v>
      </c>
      <c r="N275" s="11">
        <v>30.63</v>
      </c>
      <c r="O275" s="11">
        <v>0</v>
      </c>
    </row>
    <row r="276" spans="1:16" ht="15" customHeight="1" x14ac:dyDescent="0.25">
      <c r="A276" s="7" t="s">
        <v>136</v>
      </c>
      <c r="B276" s="7">
        <v>19279958</v>
      </c>
      <c r="C276" s="8">
        <v>4151671947</v>
      </c>
      <c r="D276" s="7" t="s">
        <v>252</v>
      </c>
      <c r="E276" s="9">
        <v>45825</v>
      </c>
      <c r="F276" s="9">
        <v>45901</v>
      </c>
      <c r="G276" s="10">
        <f>DATEDIF(E276,F276,"M")</f>
        <v>2</v>
      </c>
      <c r="H276" s="20" t="s">
        <v>700</v>
      </c>
      <c r="I276" s="7" t="s">
        <v>705</v>
      </c>
      <c r="J276" s="11">
        <v>30.63</v>
      </c>
      <c r="K276" s="7" t="s">
        <v>30</v>
      </c>
      <c r="L276" s="12">
        <v>1</v>
      </c>
      <c r="M276" s="11">
        <v>30.63</v>
      </c>
      <c r="N276" s="11">
        <v>30.63</v>
      </c>
      <c r="O276" s="11">
        <v>0</v>
      </c>
    </row>
    <row r="277" spans="1:16" ht="15" customHeight="1" x14ac:dyDescent="0.25">
      <c r="A277" s="7" t="s">
        <v>51</v>
      </c>
      <c r="B277" s="7">
        <v>9079571</v>
      </c>
      <c r="C277" s="8">
        <v>4151673372</v>
      </c>
      <c r="D277" s="7" t="s">
        <v>254</v>
      </c>
      <c r="E277" s="9">
        <v>45858</v>
      </c>
      <c r="F277" s="9">
        <v>45901</v>
      </c>
      <c r="G277" s="10">
        <f>DATEDIF(E277,F277,"M")</f>
        <v>1</v>
      </c>
      <c r="H277" s="20" t="s">
        <v>700</v>
      </c>
      <c r="I277" s="7" t="s">
        <v>705</v>
      </c>
      <c r="J277" s="11">
        <v>39.83</v>
      </c>
      <c r="K277" s="7" t="s">
        <v>30</v>
      </c>
      <c r="L277" s="12">
        <v>1</v>
      </c>
      <c r="M277" s="11">
        <v>39.83</v>
      </c>
      <c r="N277" s="11">
        <v>39.83</v>
      </c>
      <c r="O277" s="11">
        <v>0</v>
      </c>
    </row>
    <row r="278" spans="1:16" ht="15" customHeight="1" x14ac:dyDescent="0.25">
      <c r="A278" s="7" t="s">
        <v>231</v>
      </c>
      <c r="B278" s="7">
        <v>17554531</v>
      </c>
      <c r="C278" s="8">
        <v>4151678939</v>
      </c>
      <c r="D278" s="7" t="s">
        <v>256</v>
      </c>
      <c r="E278" s="9">
        <v>45866</v>
      </c>
      <c r="F278" s="9">
        <v>45901</v>
      </c>
      <c r="G278" s="10">
        <f>DATEDIF(E278,F278,"M")</f>
        <v>1</v>
      </c>
      <c r="H278" s="20" t="s">
        <v>699</v>
      </c>
      <c r="I278" s="7" t="s">
        <v>705</v>
      </c>
      <c r="J278" s="11">
        <v>56.51</v>
      </c>
      <c r="K278" s="7" t="s">
        <v>30</v>
      </c>
      <c r="L278" s="12">
        <v>1</v>
      </c>
      <c r="M278" s="11">
        <v>56.51</v>
      </c>
      <c r="N278" s="11">
        <v>56.51</v>
      </c>
      <c r="O278" s="11">
        <v>0</v>
      </c>
    </row>
    <row r="279" spans="1:16" ht="15" customHeight="1" x14ac:dyDescent="0.25">
      <c r="A279" s="7" t="s">
        <v>51</v>
      </c>
      <c r="B279" s="7">
        <v>9079571</v>
      </c>
      <c r="C279" s="8">
        <v>4151683235</v>
      </c>
      <c r="D279" s="7" t="s">
        <v>258</v>
      </c>
      <c r="E279" s="9">
        <v>45849</v>
      </c>
      <c r="F279" s="9">
        <v>45901</v>
      </c>
      <c r="G279" s="10">
        <f>DATEDIF(E279,F279,"M")</f>
        <v>1</v>
      </c>
      <c r="H279" s="20" t="s">
        <v>700</v>
      </c>
      <c r="I279" s="7" t="s">
        <v>705</v>
      </c>
      <c r="J279" s="11">
        <v>-54.34</v>
      </c>
      <c r="K279" s="7" t="s">
        <v>30</v>
      </c>
      <c r="L279" s="12">
        <v>1</v>
      </c>
      <c r="M279" s="11">
        <v>-54.34</v>
      </c>
      <c r="N279" s="11">
        <v>-54.34</v>
      </c>
      <c r="O279" s="11">
        <v>0</v>
      </c>
      <c r="P279" s="13"/>
    </row>
    <row r="280" spans="1:16" ht="15" customHeight="1" x14ac:dyDescent="0.25">
      <c r="A280" s="13" t="s">
        <v>231</v>
      </c>
      <c r="B280" s="21" t="s">
        <v>713</v>
      </c>
      <c r="C280" s="14">
        <v>4151685220</v>
      </c>
      <c r="D280" s="13" t="s">
        <v>260</v>
      </c>
      <c r="E280" s="15">
        <v>45880</v>
      </c>
      <c r="F280" s="15">
        <v>45901</v>
      </c>
      <c r="G280" s="16">
        <f>DATEDIF(E280,F280,"M")</f>
        <v>0</v>
      </c>
      <c r="H280" s="19" t="s">
        <v>698</v>
      </c>
      <c r="I280" s="13" t="s">
        <v>709</v>
      </c>
      <c r="J280" s="17">
        <v>35.89</v>
      </c>
      <c r="K280" s="13" t="s">
        <v>30</v>
      </c>
      <c r="L280" s="18">
        <v>0.95</v>
      </c>
      <c r="M280" s="17">
        <v>34.1</v>
      </c>
      <c r="N280" s="17">
        <v>34.1</v>
      </c>
      <c r="O280" s="17">
        <v>0</v>
      </c>
    </row>
    <row r="281" spans="1:16" ht="15" customHeight="1" x14ac:dyDescent="0.25">
      <c r="A281" s="7" t="s">
        <v>231</v>
      </c>
      <c r="B281" s="7">
        <v>17554531</v>
      </c>
      <c r="C281" s="8">
        <v>4151685278</v>
      </c>
      <c r="D281" s="7" t="s">
        <v>262</v>
      </c>
      <c r="E281" s="9">
        <v>45856</v>
      </c>
      <c r="F281" s="9">
        <v>45901</v>
      </c>
      <c r="G281" s="10">
        <f>DATEDIF(E281,F281,"M")</f>
        <v>1</v>
      </c>
      <c r="H281" s="20" t="s">
        <v>699</v>
      </c>
      <c r="I281" s="7" t="s">
        <v>706</v>
      </c>
      <c r="J281" s="11">
        <v>84.71</v>
      </c>
      <c r="K281" s="7" t="s">
        <v>30</v>
      </c>
      <c r="L281" s="12">
        <v>0.8</v>
      </c>
      <c r="M281" s="11">
        <v>67.77</v>
      </c>
      <c r="N281" s="11">
        <v>67.77</v>
      </c>
      <c r="O281" s="11">
        <v>0</v>
      </c>
    </row>
    <row r="282" spans="1:16" ht="15" customHeight="1" x14ac:dyDescent="0.25">
      <c r="A282" s="7" t="s">
        <v>103</v>
      </c>
      <c r="B282" s="7">
        <v>19200754</v>
      </c>
      <c r="C282" s="8">
        <v>4151685643</v>
      </c>
      <c r="D282" s="7" t="s">
        <v>264</v>
      </c>
      <c r="E282" s="9">
        <v>45858</v>
      </c>
      <c r="F282" s="9">
        <v>45901</v>
      </c>
      <c r="G282" s="10">
        <f>DATEDIF(E282,F282,"M")</f>
        <v>1</v>
      </c>
      <c r="H282" s="20" t="s">
        <v>699</v>
      </c>
      <c r="I282" s="7" t="s">
        <v>709</v>
      </c>
      <c r="J282" s="11">
        <v>35.93</v>
      </c>
      <c r="K282" s="7" t="s">
        <v>30</v>
      </c>
      <c r="L282" s="12">
        <v>0.95</v>
      </c>
      <c r="M282" s="11">
        <v>34.130000000000003</v>
      </c>
      <c r="N282" s="11">
        <v>34.130000000000003</v>
      </c>
      <c r="O282" s="11">
        <v>0</v>
      </c>
    </row>
    <row r="283" spans="1:16" ht="15" customHeight="1" x14ac:dyDescent="0.25">
      <c r="A283" s="7" t="s">
        <v>231</v>
      </c>
      <c r="B283" s="7">
        <v>17554531</v>
      </c>
      <c r="C283" s="8">
        <v>4151687180</v>
      </c>
      <c r="D283" s="7" t="s">
        <v>266</v>
      </c>
      <c r="E283" s="9">
        <v>45866</v>
      </c>
      <c r="F283" s="9">
        <v>45901</v>
      </c>
      <c r="G283" s="10">
        <f>DATEDIF(E283,F283,"M")</f>
        <v>1</v>
      </c>
      <c r="H283" s="20" t="s">
        <v>699</v>
      </c>
      <c r="I283" s="7" t="s">
        <v>706</v>
      </c>
      <c r="J283" s="11">
        <v>54.03</v>
      </c>
      <c r="K283" s="7" t="s">
        <v>30</v>
      </c>
      <c r="L283" s="12">
        <v>0.8</v>
      </c>
      <c r="M283" s="11">
        <v>43.22</v>
      </c>
      <c r="N283" s="11">
        <v>43.22</v>
      </c>
      <c r="O283" s="11">
        <v>0</v>
      </c>
    </row>
    <row r="284" spans="1:16" ht="15" customHeight="1" x14ac:dyDescent="0.25">
      <c r="A284" s="7" t="s">
        <v>103</v>
      </c>
      <c r="B284" s="7">
        <v>19200754</v>
      </c>
      <c r="C284" s="8">
        <v>4151688039</v>
      </c>
      <c r="D284" s="7" t="s">
        <v>268</v>
      </c>
      <c r="E284" s="9">
        <v>45866</v>
      </c>
      <c r="F284" s="9">
        <v>45901</v>
      </c>
      <c r="G284" s="10">
        <f>DATEDIF(E284,F284,"M")</f>
        <v>1</v>
      </c>
      <c r="H284" s="20" t="s">
        <v>699</v>
      </c>
      <c r="I284" s="7" t="s">
        <v>706</v>
      </c>
      <c r="J284" s="11">
        <v>34.39</v>
      </c>
      <c r="K284" s="7" t="s">
        <v>30</v>
      </c>
      <c r="L284" s="12">
        <v>0.85</v>
      </c>
      <c r="M284" s="11">
        <v>29.23</v>
      </c>
      <c r="N284" s="11">
        <v>29.23</v>
      </c>
      <c r="O284" s="11">
        <v>0</v>
      </c>
    </row>
    <row r="285" spans="1:16" ht="15" customHeight="1" x14ac:dyDescent="0.25">
      <c r="A285" s="7" t="s">
        <v>51</v>
      </c>
      <c r="B285" s="7">
        <v>9079571</v>
      </c>
      <c r="C285" s="8">
        <v>4151694577</v>
      </c>
      <c r="D285" s="7" t="s">
        <v>270</v>
      </c>
      <c r="E285" s="9">
        <v>45883</v>
      </c>
      <c r="F285" s="9">
        <v>45901</v>
      </c>
      <c r="G285" s="10">
        <f>DATEDIF(E285,F285,"M")</f>
        <v>0</v>
      </c>
      <c r="H285" s="20" t="s">
        <v>700</v>
      </c>
      <c r="I285" s="7" t="s">
        <v>709</v>
      </c>
      <c r="J285" s="11">
        <v>40.39</v>
      </c>
      <c r="K285" s="7" t="s">
        <v>30</v>
      </c>
      <c r="L285" s="12">
        <v>0.95</v>
      </c>
      <c r="M285" s="11">
        <v>38.369999999999997</v>
      </c>
      <c r="N285" s="11">
        <v>38.369999999999997</v>
      </c>
      <c r="O285" s="11">
        <v>0</v>
      </c>
    </row>
    <row r="286" spans="1:16" ht="15" customHeight="1" x14ac:dyDescent="0.25">
      <c r="A286" s="13" t="s">
        <v>231</v>
      </c>
      <c r="B286" s="21" t="s">
        <v>713</v>
      </c>
      <c r="C286" s="14">
        <v>4151695285</v>
      </c>
      <c r="D286" s="13" t="s">
        <v>272</v>
      </c>
      <c r="E286" s="15">
        <v>45897</v>
      </c>
      <c r="F286" s="15">
        <v>45901</v>
      </c>
      <c r="G286" s="16">
        <f>DATEDIF(E286,F286,"M")</f>
        <v>0</v>
      </c>
      <c r="H286" s="19" t="s">
        <v>698</v>
      </c>
      <c r="I286" s="13" t="s">
        <v>709</v>
      </c>
      <c r="J286" s="17">
        <v>54.34</v>
      </c>
      <c r="K286" s="13" t="s">
        <v>30</v>
      </c>
      <c r="L286" s="18">
        <v>0.95</v>
      </c>
      <c r="M286" s="17">
        <v>51.62</v>
      </c>
      <c r="N286" s="17">
        <v>51.62</v>
      </c>
      <c r="O286" s="17">
        <v>0</v>
      </c>
    </row>
    <row r="287" spans="1:16" ht="15" customHeight="1" x14ac:dyDescent="0.25">
      <c r="A287" s="7" t="s">
        <v>136</v>
      </c>
      <c r="B287" s="7">
        <v>19279958</v>
      </c>
      <c r="C287" s="8">
        <v>4151695690</v>
      </c>
      <c r="D287" s="7" t="s">
        <v>274</v>
      </c>
      <c r="E287" s="9">
        <v>45888</v>
      </c>
      <c r="F287" s="9">
        <v>45901</v>
      </c>
      <c r="G287" s="10">
        <f>DATEDIF(E287,F287,"M")</f>
        <v>0</v>
      </c>
      <c r="H287" s="20" t="s">
        <v>700</v>
      </c>
      <c r="I287" s="7" t="s">
        <v>709</v>
      </c>
      <c r="J287" s="11">
        <v>60.51</v>
      </c>
      <c r="K287" s="7" t="s">
        <v>30</v>
      </c>
      <c r="L287" s="12">
        <v>0.95</v>
      </c>
      <c r="M287" s="11">
        <v>57.48</v>
      </c>
      <c r="N287" s="11">
        <v>57.48</v>
      </c>
      <c r="O287" s="11">
        <v>0</v>
      </c>
    </row>
    <row r="288" spans="1:16" ht="15" customHeight="1" x14ac:dyDescent="0.25">
      <c r="A288" s="13" t="s">
        <v>231</v>
      </c>
      <c r="B288" s="21" t="s">
        <v>713</v>
      </c>
      <c r="C288" s="14">
        <v>4151695691</v>
      </c>
      <c r="D288" s="13" t="s">
        <v>276</v>
      </c>
      <c r="E288" s="15">
        <v>45897</v>
      </c>
      <c r="F288" s="15">
        <v>45901</v>
      </c>
      <c r="G288" s="16">
        <f>DATEDIF(E288,F288,"M")</f>
        <v>0</v>
      </c>
      <c r="H288" s="19" t="s">
        <v>698</v>
      </c>
      <c r="I288" s="13" t="s">
        <v>709</v>
      </c>
      <c r="J288" s="17">
        <v>40.39</v>
      </c>
      <c r="K288" s="13" t="s">
        <v>30</v>
      </c>
      <c r="L288" s="18">
        <v>0.95</v>
      </c>
      <c r="M288" s="17">
        <v>38.369999999999997</v>
      </c>
      <c r="N288" s="17">
        <v>38.369999999999997</v>
      </c>
      <c r="O288" s="17">
        <v>0</v>
      </c>
    </row>
    <row r="289" spans="1:15" ht="15" customHeight="1" x14ac:dyDescent="0.25">
      <c r="A289" s="13" t="s">
        <v>231</v>
      </c>
      <c r="B289" s="21" t="s">
        <v>713</v>
      </c>
      <c r="C289" s="14">
        <v>4151695980</v>
      </c>
      <c r="D289" s="13" t="s">
        <v>278</v>
      </c>
      <c r="E289" s="15">
        <v>45897</v>
      </c>
      <c r="F289" s="15">
        <v>45901</v>
      </c>
      <c r="G289" s="16">
        <f>DATEDIF(E289,F289,"M")</f>
        <v>0</v>
      </c>
      <c r="H289" s="19" t="s">
        <v>698</v>
      </c>
      <c r="I289" s="13" t="s">
        <v>706</v>
      </c>
      <c r="J289" s="17">
        <v>67.52</v>
      </c>
      <c r="K289" s="13" t="s">
        <v>30</v>
      </c>
      <c r="L289" s="18">
        <v>0.8</v>
      </c>
      <c r="M289" s="17">
        <v>54.02</v>
      </c>
      <c r="N289" s="17">
        <v>54.02</v>
      </c>
      <c r="O289" s="17">
        <v>0</v>
      </c>
    </row>
    <row r="290" spans="1:15" ht="15" customHeight="1" x14ac:dyDescent="0.25">
      <c r="A290" s="13" t="s">
        <v>231</v>
      </c>
      <c r="B290" s="21" t="s">
        <v>713</v>
      </c>
      <c r="C290" s="14">
        <v>4151696059</v>
      </c>
      <c r="D290" s="13" t="s">
        <v>280</v>
      </c>
      <c r="E290" s="15">
        <v>45897</v>
      </c>
      <c r="F290" s="15">
        <v>45901</v>
      </c>
      <c r="G290" s="16">
        <f>DATEDIF(E290,F290,"M")</f>
        <v>0</v>
      </c>
      <c r="H290" s="19" t="s">
        <v>698</v>
      </c>
      <c r="I290" s="13" t="s">
        <v>709</v>
      </c>
      <c r="J290" s="17">
        <v>49.07</v>
      </c>
      <c r="K290" s="13" t="s">
        <v>30</v>
      </c>
      <c r="L290" s="18">
        <v>0.95</v>
      </c>
      <c r="M290" s="17">
        <v>46.62</v>
      </c>
      <c r="N290" s="17">
        <v>46.62</v>
      </c>
      <c r="O290" s="17">
        <v>0</v>
      </c>
    </row>
    <row r="291" spans="1:15" ht="15" customHeight="1" x14ac:dyDescent="0.25">
      <c r="A291" s="13" t="s">
        <v>231</v>
      </c>
      <c r="B291" s="21" t="s">
        <v>713</v>
      </c>
      <c r="C291" s="14">
        <v>4151697305</v>
      </c>
      <c r="D291" s="13" t="s">
        <v>282</v>
      </c>
      <c r="E291" s="15">
        <v>45897</v>
      </c>
      <c r="F291" s="15">
        <v>45901</v>
      </c>
      <c r="G291" s="16">
        <f>DATEDIF(E291,F291,"M")</f>
        <v>0</v>
      </c>
      <c r="H291" s="19" t="s">
        <v>698</v>
      </c>
      <c r="I291" s="13" t="s">
        <v>706</v>
      </c>
      <c r="J291" s="17">
        <v>347.27</v>
      </c>
      <c r="K291" s="13" t="s">
        <v>30</v>
      </c>
      <c r="L291" s="18">
        <v>0.8</v>
      </c>
      <c r="M291" s="17">
        <v>277.82</v>
      </c>
      <c r="N291" s="17">
        <v>277.82</v>
      </c>
      <c r="O291" s="17">
        <v>0</v>
      </c>
    </row>
    <row r="292" spans="1:15" ht="15" customHeight="1" x14ac:dyDescent="0.25">
      <c r="A292" s="13" t="s">
        <v>103</v>
      </c>
      <c r="B292" s="21" t="s">
        <v>714</v>
      </c>
      <c r="C292" s="14">
        <v>4151697325</v>
      </c>
      <c r="D292" s="13" t="s">
        <v>284</v>
      </c>
      <c r="E292" s="15">
        <v>45897</v>
      </c>
      <c r="F292" s="15">
        <v>45901</v>
      </c>
      <c r="G292" s="16">
        <f>DATEDIF(E292,F292,"M")</f>
        <v>0</v>
      </c>
      <c r="H292" s="19" t="s">
        <v>698</v>
      </c>
      <c r="I292" s="13" t="s">
        <v>706</v>
      </c>
      <c r="J292" s="17">
        <v>26.03</v>
      </c>
      <c r="K292" s="13" t="s">
        <v>30</v>
      </c>
      <c r="L292" s="18">
        <v>0.85</v>
      </c>
      <c r="M292" s="17">
        <v>22.13</v>
      </c>
      <c r="N292" s="17">
        <v>22.13</v>
      </c>
      <c r="O292" s="17">
        <v>0</v>
      </c>
    </row>
    <row r="293" spans="1:15" ht="15" customHeight="1" x14ac:dyDescent="0.25">
      <c r="A293" s="13" t="s">
        <v>231</v>
      </c>
      <c r="B293" s="21" t="s">
        <v>713</v>
      </c>
      <c r="C293" s="14">
        <v>4151699055</v>
      </c>
      <c r="D293" s="13" t="s">
        <v>286</v>
      </c>
      <c r="E293" s="15">
        <v>45897</v>
      </c>
      <c r="F293" s="15">
        <v>45901</v>
      </c>
      <c r="G293" s="16">
        <f>DATEDIF(E293,F293,"M")</f>
        <v>0</v>
      </c>
      <c r="H293" s="19" t="s">
        <v>698</v>
      </c>
      <c r="I293" s="13" t="s">
        <v>709</v>
      </c>
      <c r="J293" s="17">
        <v>28.63</v>
      </c>
      <c r="K293" s="13" t="s">
        <v>30</v>
      </c>
      <c r="L293" s="18">
        <v>0.95</v>
      </c>
      <c r="M293" s="17">
        <v>27.2</v>
      </c>
      <c r="N293" s="17">
        <v>27.2</v>
      </c>
      <c r="O293" s="17">
        <v>0</v>
      </c>
    </row>
    <row r="294" spans="1:15" ht="15" customHeight="1" x14ac:dyDescent="0.25">
      <c r="A294" s="7" t="s">
        <v>136</v>
      </c>
      <c r="B294" s="7">
        <v>19279958</v>
      </c>
      <c r="C294" s="8">
        <v>4351515421</v>
      </c>
      <c r="D294" s="7" t="s">
        <v>359</v>
      </c>
      <c r="E294" s="9">
        <v>45429</v>
      </c>
      <c r="F294" s="9">
        <v>45901</v>
      </c>
      <c r="G294" s="10">
        <f>DATEDIF(E294,F294,"M")</f>
        <v>15</v>
      </c>
      <c r="H294" s="20" t="s">
        <v>700</v>
      </c>
      <c r="I294" s="7" t="s">
        <v>701</v>
      </c>
      <c r="J294" s="11">
        <v>140.5</v>
      </c>
      <c r="K294" s="7" t="s">
        <v>289</v>
      </c>
      <c r="L294" s="12">
        <v>1.7500000000000002E-2</v>
      </c>
      <c r="M294" s="11">
        <v>2.46</v>
      </c>
      <c r="N294" s="11">
        <v>0</v>
      </c>
      <c r="O294" s="11">
        <v>2.46</v>
      </c>
    </row>
    <row r="295" spans="1:15" ht="15" customHeight="1" x14ac:dyDescent="0.25">
      <c r="A295" s="7" t="s">
        <v>67</v>
      </c>
      <c r="B295" s="7">
        <v>9213293</v>
      </c>
      <c r="C295" s="8">
        <v>4351519591</v>
      </c>
      <c r="D295" s="7" t="s">
        <v>390</v>
      </c>
      <c r="E295" s="9">
        <v>45437</v>
      </c>
      <c r="F295" s="9">
        <v>45901</v>
      </c>
      <c r="G295" s="10">
        <f>DATEDIF(E295,F295,"M")</f>
        <v>15</v>
      </c>
      <c r="H295" s="20" t="s">
        <v>700</v>
      </c>
      <c r="I295" s="7" t="s">
        <v>701</v>
      </c>
      <c r="J295" s="11">
        <v>18.05</v>
      </c>
      <c r="K295" s="7" t="s">
        <v>289</v>
      </c>
      <c r="L295" s="12">
        <v>1.7500000000000002E-2</v>
      </c>
      <c r="M295" s="11">
        <v>0.32</v>
      </c>
      <c r="N295" s="11">
        <v>0</v>
      </c>
      <c r="O295" s="11">
        <v>0.32</v>
      </c>
    </row>
    <row r="296" spans="1:15" ht="15" customHeight="1" x14ac:dyDescent="0.25">
      <c r="A296" s="7" t="s">
        <v>140</v>
      </c>
      <c r="B296" s="7">
        <v>16912722</v>
      </c>
      <c r="C296" s="8">
        <v>4351525994</v>
      </c>
      <c r="D296" s="7" t="s">
        <v>650</v>
      </c>
      <c r="E296" s="9">
        <v>45483</v>
      </c>
      <c r="F296" s="9">
        <v>45901</v>
      </c>
      <c r="G296" s="10">
        <f>DATEDIF(E296,F296,"M")</f>
        <v>13</v>
      </c>
      <c r="H296" s="20" t="s">
        <v>700</v>
      </c>
      <c r="I296" s="7" t="s">
        <v>701</v>
      </c>
      <c r="J296" s="11">
        <v>-23.15</v>
      </c>
      <c r="K296" s="7" t="s">
        <v>289</v>
      </c>
      <c r="L296" s="12">
        <v>1.7500000000000002E-2</v>
      </c>
      <c r="M296" s="11">
        <v>-0.41</v>
      </c>
      <c r="N296" s="11">
        <v>0</v>
      </c>
      <c r="O296" s="11">
        <v>-0.41</v>
      </c>
    </row>
    <row r="297" spans="1:15" ht="15" customHeight="1" x14ac:dyDescent="0.25">
      <c r="A297" s="7" t="s">
        <v>652</v>
      </c>
      <c r="B297" s="7">
        <v>16865615</v>
      </c>
      <c r="C297" s="8">
        <v>4351529400</v>
      </c>
      <c r="D297" s="7" t="s">
        <v>655</v>
      </c>
      <c r="E297" s="9">
        <v>45467</v>
      </c>
      <c r="F297" s="9">
        <v>45901</v>
      </c>
      <c r="G297" s="10">
        <f>DATEDIF(E297,F297,"M")</f>
        <v>14</v>
      </c>
      <c r="H297" s="20" t="s">
        <v>700</v>
      </c>
      <c r="I297" s="7" t="s">
        <v>701</v>
      </c>
      <c r="J297" s="11">
        <v>47.76</v>
      </c>
      <c r="K297" s="7" t="s">
        <v>289</v>
      </c>
      <c r="L297" s="12">
        <v>1.7500000000000002E-2</v>
      </c>
      <c r="M297" s="11">
        <v>0.84</v>
      </c>
      <c r="N297" s="11">
        <v>0</v>
      </c>
      <c r="O297" s="11">
        <v>0.84</v>
      </c>
    </row>
    <row r="298" spans="1:15" ht="15" customHeight="1" x14ac:dyDescent="0.25">
      <c r="A298" s="7" t="s">
        <v>140</v>
      </c>
      <c r="B298" s="7">
        <v>16912722</v>
      </c>
      <c r="C298" s="8">
        <v>4351536147</v>
      </c>
      <c r="D298" s="7" t="s">
        <v>657</v>
      </c>
      <c r="E298" s="9">
        <v>45496</v>
      </c>
      <c r="F298" s="9">
        <v>45901</v>
      </c>
      <c r="G298" s="10">
        <f>DATEDIF(E298,F298,"M")</f>
        <v>13</v>
      </c>
      <c r="H298" s="20" t="s">
        <v>700</v>
      </c>
      <c r="I298" s="7" t="s">
        <v>701</v>
      </c>
      <c r="J298" s="11">
        <v>25.45</v>
      </c>
      <c r="K298" s="7" t="s">
        <v>289</v>
      </c>
      <c r="L298" s="12">
        <v>1.7500000000000002E-2</v>
      </c>
      <c r="M298" s="11">
        <v>0.45</v>
      </c>
      <c r="N298" s="11">
        <v>0</v>
      </c>
      <c r="O298" s="11">
        <v>0.45</v>
      </c>
    </row>
    <row r="299" spans="1:15" ht="15" customHeight="1" x14ac:dyDescent="0.25">
      <c r="A299" s="7" t="s">
        <v>22</v>
      </c>
      <c r="B299" s="7">
        <v>5442438</v>
      </c>
      <c r="C299" s="8">
        <v>4351536547</v>
      </c>
      <c r="D299" s="7" t="s">
        <v>439</v>
      </c>
      <c r="E299" s="9">
        <v>45490</v>
      </c>
      <c r="F299" s="9">
        <v>45901</v>
      </c>
      <c r="G299" s="10">
        <f>DATEDIF(E299,F299,"M")</f>
        <v>13</v>
      </c>
      <c r="H299" s="20" t="s">
        <v>700</v>
      </c>
      <c r="I299" s="7" t="s">
        <v>701</v>
      </c>
      <c r="J299" s="11">
        <v>30.1</v>
      </c>
      <c r="K299" s="7" t="s">
        <v>289</v>
      </c>
      <c r="L299" s="12">
        <v>1.7500000000000002E-2</v>
      </c>
      <c r="M299" s="11">
        <v>0.53</v>
      </c>
      <c r="N299" s="11">
        <v>0</v>
      </c>
      <c r="O299" s="11">
        <v>0.53</v>
      </c>
    </row>
    <row r="300" spans="1:15" ht="15" customHeight="1" x14ac:dyDescent="0.25">
      <c r="A300" s="7" t="s">
        <v>22</v>
      </c>
      <c r="B300" s="7">
        <v>5442438</v>
      </c>
      <c r="C300" s="8">
        <v>4351546042</v>
      </c>
      <c r="D300" s="7" t="s">
        <v>617</v>
      </c>
      <c r="E300" s="9">
        <v>45561</v>
      </c>
      <c r="F300" s="9">
        <v>45901</v>
      </c>
      <c r="G300" s="10">
        <f>DATEDIF(E300,F300,"M")</f>
        <v>11</v>
      </c>
      <c r="H300" s="20" t="s">
        <v>700</v>
      </c>
      <c r="I300" s="7" t="s">
        <v>712</v>
      </c>
      <c r="J300" s="11">
        <v>110.06</v>
      </c>
      <c r="K300" s="7" t="s">
        <v>30</v>
      </c>
      <c r="L300" s="12">
        <v>1.3</v>
      </c>
      <c r="M300" s="11">
        <v>143.08000000000001</v>
      </c>
      <c r="N300" s="11">
        <v>0</v>
      </c>
      <c r="O300" s="11">
        <v>143.08000000000001</v>
      </c>
    </row>
    <row r="301" spans="1:15" ht="15" customHeight="1" x14ac:dyDescent="0.25">
      <c r="A301" s="7" t="s">
        <v>22</v>
      </c>
      <c r="B301" s="7">
        <v>5442438</v>
      </c>
      <c r="C301" s="8">
        <v>4351549893</v>
      </c>
      <c r="D301" s="7" t="s">
        <v>660</v>
      </c>
      <c r="E301" s="9">
        <v>45544</v>
      </c>
      <c r="F301" s="9">
        <v>45901</v>
      </c>
      <c r="G301" s="10">
        <f>DATEDIF(E301,F301,"M")</f>
        <v>11</v>
      </c>
      <c r="H301" s="20" t="s">
        <v>700</v>
      </c>
      <c r="I301" s="7" t="s">
        <v>701</v>
      </c>
      <c r="J301" s="11">
        <v>192.72</v>
      </c>
      <c r="K301" s="7" t="s">
        <v>289</v>
      </c>
      <c r="L301" s="12">
        <v>1.7500000000000002E-2</v>
      </c>
      <c r="M301" s="11">
        <v>3.37</v>
      </c>
      <c r="N301" s="11">
        <v>0</v>
      </c>
      <c r="O301" s="11">
        <v>3.37</v>
      </c>
    </row>
    <row r="302" spans="1:15" ht="15" customHeight="1" x14ac:dyDescent="0.25">
      <c r="A302" s="7" t="s">
        <v>399</v>
      </c>
      <c r="B302" s="7">
        <v>19681796</v>
      </c>
      <c r="C302" s="8">
        <v>4351550051</v>
      </c>
      <c r="D302" s="7" t="s">
        <v>662</v>
      </c>
      <c r="E302" s="9">
        <v>45530</v>
      </c>
      <c r="F302" s="9">
        <v>45901</v>
      </c>
      <c r="G302" s="10">
        <f>DATEDIF(E302,F302,"M")</f>
        <v>12</v>
      </c>
      <c r="H302" s="20" t="s">
        <v>700</v>
      </c>
      <c r="I302" s="7" t="s">
        <v>701</v>
      </c>
      <c r="J302" s="11">
        <v>171.61</v>
      </c>
      <c r="K302" s="7" t="s">
        <v>289</v>
      </c>
      <c r="L302" s="12">
        <v>1.7500000000000002E-2</v>
      </c>
      <c r="M302" s="11">
        <v>3</v>
      </c>
      <c r="N302" s="11">
        <v>0</v>
      </c>
      <c r="O302" s="11">
        <v>3</v>
      </c>
    </row>
    <row r="303" spans="1:15" ht="15" customHeight="1" x14ac:dyDescent="0.25">
      <c r="A303" s="7" t="s">
        <v>34</v>
      </c>
      <c r="B303" s="7">
        <v>20220688</v>
      </c>
      <c r="C303" s="8">
        <v>4351565419</v>
      </c>
      <c r="D303" s="7" t="s">
        <v>114</v>
      </c>
      <c r="E303" s="9">
        <v>45621</v>
      </c>
      <c r="F303" s="9">
        <v>45901</v>
      </c>
      <c r="G303" s="10">
        <f>DATEDIF(E303,F303,"M")</f>
        <v>9</v>
      </c>
      <c r="H303" s="20" t="s">
        <v>699</v>
      </c>
      <c r="I303" s="7" t="s">
        <v>710</v>
      </c>
      <c r="J303" s="11">
        <v>22.19</v>
      </c>
      <c r="K303" s="7" t="s">
        <v>30</v>
      </c>
      <c r="L303" s="12">
        <v>1.1000000000000001</v>
      </c>
      <c r="M303" s="11">
        <v>24.41</v>
      </c>
      <c r="N303" s="11">
        <v>0</v>
      </c>
      <c r="O303" s="11">
        <v>24.41</v>
      </c>
    </row>
    <row r="304" spans="1:15" ht="15" customHeight="1" x14ac:dyDescent="0.25">
      <c r="A304" s="7" t="s">
        <v>22</v>
      </c>
      <c r="B304" s="7">
        <v>5442438</v>
      </c>
      <c r="C304" s="8">
        <v>4351589953</v>
      </c>
      <c r="D304" s="7" t="s">
        <v>623</v>
      </c>
      <c r="E304" s="9">
        <v>45652</v>
      </c>
      <c r="F304" s="9">
        <v>45901</v>
      </c>
      <c r="G304" s="10">
        <f>DATEDIF(E304,F304,"M")</f>
        <v>8</v>
      </c>
      <c r="H304" s="20" t="s">
        <v>700</v>
      </c>
      <c r="I304" s="7" t="s">
        <v>712</v>
      </c>
      <c r="J304" s="11">
        <v>19.579999999999998</v>
      </c>
      <c r="K304" s="7" t="s">
        <v>30</v>
      </c>
      <c r="L304" s="12">
        <v>1.3</v>
      </c>
      <c r="M304" s="11">
        <v>25.45</v>
      </c>
      <c r="N304" s="11">
        <v>25.45</v>
      </c>
      <c r="O304" s="11">
        <v>0</v>
      </c>
    </row>
    <row r="305" spans="1:16" ht="15" customHeight="1" x14ac:dyDescent="0.25">
      <c r="A305" s="7" t="s">
        <v>22</v>
      </c>
      <c r="B305" s="7">
        <v>5442438</v>
      </c>
      <c r="C305" s="8">
        <v>4351590528</v>
      </c>
      <c r="D305" s="7" t="s">
        <v>625</v>
      </c>
      <c r="E305" s="9">
        <v>45623</v>
      </c>
      <c r="F305" s="9">
        <v>45901</v>
      </c>
      <c r="G305" s="10">
        <f>DATEDIF(E305,F305,"M")</f>
        <v>9</v>
      </c>
      <c r="H305" s="20" t="s">
        <v>700</v>
      </c>
      <c r="I305" s="7" t="s">
        <v>712</v>
      </c>
      <c r="J305" s="11">
        <v>22.62</v>
      </c>
      <c r="K305" s="7" t="s">
        <v>30</v>
      </c>
      <c r="L305" s="12">
        <v>1.3</v>
      </c>
      <c r="M305" s="11">
        <v>29.41</v>
      </c>
      <c r="N305" s="11">
        <v>0</v>
      </c>
      <c r="O305" s="11">
        <v>29.41</v>
      </c>
    </row>
    <row r="306" spans="1:16" ht="15" customHeight="1" x14ac:dyDescent="0.25">
      <c r="A306" s="7" t="s">
        <v>67</v>
      </c>
      <c r="B306" s="7">
        <v>9213293</v>
      </c>
      <c r="C306" s="8">
        <v>4351600207</v>
      </c>
      <c r="D306" s="7" t="s">
        <v>627</v>
      </c>
      <c r="E306" s="9">
        <v>45642</v>
      </c>
      <c r="F306" s="9">
        <v>45901</v>
      </c>
      <c r="G306" s="10">
        <f>DATEDIF(E306,F306,"M")</f>
        <v>8</v>
      </c>
      <c r="H306" s="20" t="s">
        <v>700</v>
      </c>
      <c r="I306" s="7" t="s">
        <v>712</v>
      </c>
      <c r="J306" s="11">
        <v>70.47</v>
      </c>
      <c r="K306" s="7" t="s">
        <v>30</v>
      </c>
      <c r="L306" s="12">
        <v>1.3</v>
      </c>
      <c r="M306" s="11">
        <v>91.61</v>
      </c>
      <c r="N306" s="11">
        <v>91.61</v>
      </c>
      <c r="O306" s="11">
        <v>0</v>
      </c>
    </row>
    <row r="307" spans="1:16" ht="15" customHeight="1" x14ac:dyDescent="0.25">
      <c r="A307" s="7" t="s">
        <v>34</v>
      </c>
      <c r="B307" s="7">
        <v>20220688</v>
      </c>
      <c r="C307" s="8">
        <v>4351633159</v>
      </c>
      <c r="D307" s="7" t="s">
        <v>374</v>
      </c>
      <c r="E307" s="9">
        <v>45713</v>
      </c>
      <c r="F307" s="9">
        <v>45901</v>
      </c>
      <c r="G307" s="10">
        <f>DATEDIF(E307,F307,"M")</f>
        <v>6</v>
      </c>
      <c r="H307" s="20" t="s">
        <v>699</v>
      </c>
      <c r="I307" s="7" t="s">
        <v>710</v>
      </c>
      <c r="J307" s="11">
        <v>25.32</v>
      </c>
      <c r="K307" s="7" t="s">
        <v>30</v>
      </c>
      <c r="L307" s="12">
        <v>1.1000000000000001</v>
      </c>
      <c r="M307" s="11">
        <v>27.85</v>
      </c>
      <c r="N307" s="11">
        <v>27.85</v>
      </c>
      <c r="O307" s="11">
        <v>0</v>
      </c>
    </row>
    <row r="308" spans="1:16" ht="15" customHeight="1" x14ac:dyDescent="0.25">
      <c r="A308" s="7" t="s">
        <v>136</v>
      </c>
      <c r="B308" s="7">
        <v>19279958</v>
      </c>
      <c r="C308" s="8">
        <v>4351638342</v>
      </c>
      <c r="D308" s="7" t="s">
        <v>631</v>
      </c>
      <c r="E308" s="9">
        <v>45735</v>
      </c>
      <c r="F308" s="9">
        <v>45901</v>
      </c>
      <c r="G308" s="10">
        <f>DATEDIF(E308,F308,"M")</f>
        <v>5</v>
      </c>
      <c r="H308" s="20" t="s">
        <v>700</v>
      </c>
      <c r="I308" s="7" t="s">
        <v>712</v>
      </c>
      <c r="J308" s="11">
        <v>25.06</v>
      </c>
      <c r="K308" s="7" t="s">
        <v>30</v>
      </c>
      <c r="L308" s="12">
        <v>1.3</v>
      </c>
      <c r="M308" s="11">
        <v>32.58</v>
      </c>
      <c r="N308" s="11">
        <v>32.58</v>
      </c>
      <c r="O308" s="11">
        <v>0</v>
      </c>
    </row>
    <row r="309" spans="1:16" ht="15" customHeight="1" x14ac:dyDescent="0.25">
      <c r="A309" s="7" t="s">
        <v>22</v>
      </c>
      <c r="B309" s="7">
        <v>5442438</v>
      </c>
      <c r="C309" s="8">
        <v>4351641351</v>
      </c>
      <c r="D309" s="7" t="s">
        <v>633</v>
      </c>
      <c r="E309" s="9">
        <v>45738</v>
      </c>
      <c r="F309" s="9">
        <v>45901</v>
      </c>
      <c r="G309" s="10">
        <f>DATEDIF(E309,F309,"M")</f>
        <v>5</v>
      </c>
      <c r="H309" s="20" t="s">
        <v>700</v>
      </c>
      <c r="I309" s="7" t="s">
        <v>712</v>
      </c>
      <c r="J309" s="11">
        <v>31.76</v>
      </c>
      <c r="K309" s="7" t="s">
        <v>30</v>
      </c>
      <c r="L309" s="12">
        <v>1.3</v>
      </c>
      <c r="M309" s="11">
        <v>41.29</v>
      </c>
      <c r="N309" s="11">
        <v>41.29</v>
      </c>
      <c r="O309" s="11">
        <v>0</v>
      </c>
    </row>
    <row r="310" spans="1:16" ht="15" customHeight="1" x14ac:dyDescent="0.25">
      <c r="A310" s="7" t="s">
        <v>22</v>
      </c>
      <c r="B310" s="7">
        <v>5442438</v>
      </c>
      <c r="C310" s="8">
        <v>4351641353</v>
      </c>
      <c r="D310" s="7" t="s">
        <v>635</v>
      </c>
      <c r="E310" s="9">
        <v>45738</v>
      </c>
      <c r="F310" s="9">
        <v>45901</v>
      </c>
      <c r="G310" s="10">
        <f>DATEDIF(E310,F310,"M")</f>
        <v>5</v>
      </c>
      <c r="H310" s="20" t="s">
        <v>700</v>
      </c>
      <c r="I310" s="7" t="s">
        <v>712</v>
      </c>
      <c r="J310" s="11">
        <v>40.46</v>
      </c>
      <c r="K310" s="7" t="s">
        <v>30</v>
      </c>
      <c r="L310" s="12">
        <v>1.3</v>
      </c>
      <c r="M310" s="11">
        <v>52.6</v>
      </c>
      <c r="N310" s="11">
        <v>52.6</v>
      </c>
      <c r="O310" s="11">
        <v>0</v>
      </c>
    </row>
    <row r="311" spans="1:16" ht="15" customHeight="1" x14ac:dyDescent="0.25">
      <c r="A311" s="7" t="s">
        <v>22</v>
      </c>
      <c r="B311" s="7">
        <v>5442438</v>
      </c>
      <c r="C311" s="8">
        <v>4351650836</v>
      </c>
      <c r="D311" s="7" t="s">
        <v>637</v>
      </c>
      <c r="E311" s="9">
        <v>45764</v>
      </c>
      <c r="F311" s="9">
        <v>45901</v>
      </c>
      <c r="G311" s="10">
        <f>DATEDIF(E311,F311,"M")</f>
        <v>4</v>
      </c>
      <c r="H311" s="20" t="s">
        <v>700</v>
      </c>
      <c r="I311" s="7" t="s">
        <v>710</v>
      </c>
      <c r="J311" s="11">
        <v>69.86</v>
      </c>
      <c r="K311" s="7" t="s">
        <v>30</v>
      </c>
      <c r="L311" s="12">
        <v>1.1000000000000001</v>
      </c>
      <c r="M311" s="11">
        <v>76.849999999999994</v>
      </c>
      <c r="N311" s="11">
        <v>76.849999999999994</v>
      </c>
      <c r="O311" s="11">
        <v>0</v>
      </c>
    </row>
    <row r="312" spans="1:16" ht="15" customHeight="1" x14ac:dyDescent="0.25">
      <c r="A312" s="7" t="s">
        <v>638</v>
      </c>
      <c r="B312" s="7">
        <v>8325282</v>
      </c>
      <c r="C312" s="8">
        <v>4351658855</v>
      </c>
      <c r="D312" s="7" t="s">
        <v>641</v>
      </c>
      <c r="E312" s="9">
        <v>45797</v>
      </c>
      <c r="F312" s="9">
        <v>45901</v>
      </c>
      <c r="G312" s="10">
        <f>DATEDIF(E312,F312,"M")</f>
        <v>3</v>
      </c>
      <c r="H312" s="20" t="s">
        <v>699</v>
      </c>
      <c r="I312" s="7" t="s">
        <v>711</v>
      </c>
      <c r="J312" s="11">
        <v>67.77</v>
      </c>
      <c r="K312" s="7" t="s">
        <v>30</v>
      </c>
      <c r="L312" s="12">
        <v>1.2</v>
      </c>
      <c r="M312" s="11">
        <v>81.319999999999993</v>
      </c>
      <c r="N312" s="11">
        <v>81.319999999999993</v>
      </c>
      <c r="O312" s="11">
        <v>0</v>
      </c>
    </row>
    <row r="313" spans="1:16" ht="15" customHeight="1" x14ac:dyDescent="0.25">
      <c r="A313" s="7" t="s">
        <v>638</v>
      </c>
      <c r="B313" s="7">
        <v>8325282</v>
      </c>
      <c r="C313" s="8">
        <v>4351672582</v>
      </c>
      <c r="D313" s="7" t="s">
        <v>644</v>
      </c>
      <c r="E313" s="9">
        <v>45861</v>
      </c>
      <c r="F313" s="9">
        <v>45901</v>
      </c>
      <c r="G313" s="10">
        <f>DATEDIF(E313,F313,"M")</f>
        <v>1</v>
      </c>
      <c r="H313" s="20" t="s">
        <v>699</v>
      </c>
      <c r="I313" s="7" t="s">
        <v>711</v>
      </c>
      <c r="J313" s="11">
        <v>146.07</v>
      </c>
      <c r="K313" s="7" t="s">
        <v>30</v>
      </c>
      <c r="L313" s="12">
        <v>1.2</v>
      </c>
      <c r="M313" s="11">
        <v>175.28</v>
      </c>
      <c r="N313" s="11">
        <v>175.28</v>
      </c>
      <c r="O313" s="11">
        <v>0</v>
      </c>
    </row>
    <row r="314" spans="1:16" ht="15" customHeight="1" x14ac:dyDescent="0.25">
      <c r="A314" s="7" t="s">
        <v>303</v>
      </c>
      <c r="B314" s="7">
        <v>15278437</v>
      </c>
      <c r="C314" s="8">
        <v>4351687006</v>
      </c>
      <c r="D314" s="7" t="s">
        <v>646</v>
      </c>
      <c r="E314" s="9">
        <v>45884</v>
      </c>
      <c r="F314" s="9">
        <v>45901</v>
      </c>
      <c r="G314" s="10">
        <f>DATEDIF(E314,F314,"M")</f>
        <v>0</v>
      </c>
      <c r="H314" s="20" t="s">
        <v>700</v>
      </c>
      <c r="I314" s="7" t="s">
        <v>712</v>
      </c>
      <c r="J314" s="11">
        <v>-8.0500000000000007</v>
      </c>
      <c r="K314" s="7" t="s">
        <v>30</v>
      </c>
      <c r="L314" s="12">
        <v>1.3</v>
      </c>
      <c r="M314" s="11">
        <v>-10.47</v>
      </c>
      <c r="N314" s="11">
        <v>-10.47</v>
      </c>
      <c r="O314" s="11">
        <v>0</v>
      </c>
      <c r="P314" s="13"/>
    </row>
    <row r="315" spans="1:16" ht="15" customHeight="1" x14ac:dyDescent="0.25">
      <c r="A315" s="7" t="s">
        <v>136</v>
      </c>
      <c r="B315" s="7">
        <v>19279958</v>
      </c>
      <c r="C315" s="8">
        <v>4451515420</v>
      </c>
      <c r="D315" s="7" t="s">
        <v>359</v>
      </c>
      <c r="E315" s="9">
        <v>45434</v>
      </c>
      <c r="F315" s="9">
        <v>45901</v>
      </c>
      <c r="G315" s="10">
        <f>DATEDIF(E315,F315,"M")</f>
        <v>15</v>
      </c>
      <c r="H315" s="20" t="s">
        <v>700</v>
      </c>
      <c r="I315" s="7" t="s">
        <v>702</v>
      </c>
      <c r="J315" s="11">
        <v>161.85</v>
      </c>
      <c r="K315" s="7" t="s">
        <v>289</v>
      </c>
      <c r="L315" s="12">
        <v>4.2500000000000003E-2</v>
      </c>
      <c r="M315" s="11">
        <v>6.88</v>
      </c>
      <c r="N315" s="11">
        <v>0</v>
      </c>
      <c r="O315" s="11">
        <v>6.88</v>
      </c>
    </row>
    <row r="316" spans="1:16" ht="15" customHeight="1" x14ac:dyDescent="0.25">
      <c r="H316" s="20"/>
    </row>
    <row r="317" spans="1:16" ht="15" customHeight="1" x14ac:dyDescent="0.25">
      <c r="H317" s="20"/>
    </row>
    <row r="318" spans="1:16" ht="15" customHeight="1" x14ac:dyDescent="0.25">
      <c r="H318" s="20"/>
    </row>
    <row r="319" spans="1:16" ht="15" customHeight="1" x14ac:dyDescent="0.25">
      <c r="H319" s="20"/>
    </row>
    <row r="320" spans="1:16" ht="15" customHeight="1" x14ac:dyDescent="0.25">
      <c r="H320" s="20"/>
    </row>
    <row r="321" spans="8:8" ht="15" customHeight="1" x14ac:dyDescent="0.25">
      <c r="H321" s="20"/>
    </row>
    <row r="322" spans="8:8" ht="15" customHeight="1" x14ac:dyDescent="0.25">
      <c r="H322" s="20"/>
    </row>
    <row r="323" spans="8:8" ht="15" customHeight="1" x14ac:dyDescent="0.25">
      <c r="H323" s="20"/>
    </row>
    <row r="324" spans="8:8" ht="15" customHeight="1" x14ac:dyDescent="0.25">
      <c r="H324" s="20"/>
    </row>
    <row r="325" spans="8:8" ht="15" customHeight="1" x14ac:dyDescent="0.25">
      <c r="H325" s="20"/>
    </row>
    <row r="326" spans="8:8" ht="15" customHeight="1" x14ac:dyDescent="0.25">
      <c r="H326" s="20"/>
    </row>
  </sheetData>
  <sortState xmlns:xlrd2="http://schemas.microsoft.com/office/spreadsheetml/2017/richdata2" ref="A2:P315">
    <sortCondition ref="C2:C31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6D8B0-83B7-49A2-BB8C-C6764787D982}">
  <dimension ref="A1:B325"/>
  <sheetViews>
    <sheetView topLeftCell="A296" workbookViewId="0">
      <selection activeCell="B1" sqref="B1:B325"/>
    </sheetView>
  </sheetViews>
  <sheetFormatPr defaultColWidth="15.85546875" defaultRowHeight="17.25" customHeight="1" x14ac:dyDescent="0.25"/>
  <cols>
    <col min="2" max="2" width="17.7109375" customWidth="1"/>
  </cols>
  <sheetData>
    <row r="1" spans="1:2" ht="17.25" customHeight="1" x14ac:dyDescent="0.25">
      <c r="A1" t="s">
        <v>668</v>
      </c>
      <c r="B1" cm="1">
        <f t="array" ref="B1:B325">VLOOKUP(A1:A325,[1]Sheet3!$A$1:$B$173,2,FALSE)</f>
        <v>19396223</v>
      </c>
    </row>
    <row r="2" spans="1:2" ht="17.25" customHeight="1" x14ac:dyDescent="0.25">
      <c r="A2" t="s">
        <v>668</v>
      </c>
      <c r="B2">
        <v>19396223</v>
      </c>
    </row>
    <row r="3" spans="1:2" ht="17.25" customHeight="1" x14ac:dyDescent="0.25">
      <c r="A3" t="s">
        <v>668</v>
      </c>
      <c r="B3">
        <v>19396223</v>
      </c>
    </row>
    <row r="4" spans="1:2" ht="17.25" customHeight="1" x14ac:dyDescent="0.25">
      <c r="A4" t="s">
        <v>668</v>
      </c>
      <c r="B4">
        <v>19396223</v>
      </c>
    </row>
    <row r="5" spans="1:2" ht="17.25" customHeight="1" x14ac:dyDescent="0.25">
      <c r="A5" t="s">
        <v>668</v>
      </c>
      <c r="B5">
        <v>19396223</v>
      </c>
    </row>
    <row r="6" spans="1:2" ht="17.25" customHeight="1" x14ac:dyDescent="0.25">
      <c r="A6" t="s">
        <v>668</v>
      </c>
      <c r="B6">
        <v>19396223</v>
      </c>
    </row>
    <row r="7" spans="1:2" ht="17.25" customHeight="1" x14ac:dyDescent="0.25">
      <c r="A7" t="s">
        <v>668</v>
      </c>
      <c r="B7">
        <v>19396223</v>
      </c>
    </row>
    <row r="8" spans="1:2" ht="17.25" customHeight="1" x14ac:dyDescent="0.25">
      <c r="A8" t="s">
        <v>668</v>
      </c>
      <c r="B8">
        <v>19396223</v>
      </c>
    </row>
    <row r="9" spans="1:2" ht="17.25" customHeight="1" x14ac:dyDescent="0.25">
      <c r="A9" t="s">
        <v>668</v>
      </c>
      <c r="B9">
        <v>19396223</v>
      </c>
    </row>
    <row r="10" spans="1:2" ht="17.25" customHeight="1" x14ac:dyDescent="0.25">
      <c r="A10" t="s">
        <v>669</v>
      </c>
      <c r="B10">
        <v>7470776</v>
      </c>
    </row>
    <row r="11" spans="1:2" ht="17.25" customHeight="1" x14ac:dyDescent="0.25">
      <c r="A11" t="s">
        <v>669</v>
      </c>
      <c r="B11">
        <v>7470776</v>
      </c>
    </row>
    <row r="12" spans="1:2" ht="17.25" customHeight="1" x14ac:dyDescent="0.25">
      <c r="A12" t="s">
        <v>669</v>
      </c>
      <c r="B12">
        <v>7470776</v>
      </c>
    </row>
    <row r="13" spans="1:2" ht="17.25" customHeight="1" x14ac:dyDescent="0.25">
      <c r="A13" t="s">
        <v>669</v>
      </c>
      <c r="B13">
        <v>7470776</v>
      </c>
    </row>
    <row r="14" spans="1:2" ht="17.25" customHeight="1" x14ac:dyDescent="0.25">
      <c r="A14" t="s">
        <v>669</v>
      </c>
      <c r="B14">
        <v>7470776</v>
      </c>
    </row>
    <row r="15" spans="1:2" ht="17.25" customHeight="1" x14ac:dyDescent="0.25">
      <c r="A15" t="s">
        <v>669</v>
      </c>
      <c r="B15">
        <v>7470776</v>
      </c>
    </row>
    <row r="16" spans="1:2" ht="17.25" customHeight="1" x14ac:dyDescent="0.25">
      <c r="A16" t="s">
        <v>669</v>
      </c>
      <c r="B16">
        <v>7470776</v>
      </c>
    </row>
    <row r="17" spans="1:2" ht="17.25" customHeight="1" x14ac:dyDescent="0.25">
      <c r="A17" t="s">
        <v>669</v>
      </c>
      <c r="B17">
        <v>7470776</v>
      </c>
    </row>
    <row r="18" spans="1:2" ht="17.25" customHeight="1" x14ac:dyDescent="0.25">
      <c r="A18" t="s">
        <v>670</v>
      </c>
      <c r="B18">
        <v>8244481</v>
      </c>
    </row>
    <row r="19" spans="1:2" ht="17.25" customHeight="1" x14ac:dyDescent="0.25">
      <c r="A19" t="s">
        <v>671</v>
      </c>
      <c r="B19">
        <v>20999157</v>
      </c>
    </row>
    <row r="20" spans="1:2" ht="17.25" customHeight="1" x14ac:dyDescent="0.25">
      <c r="A20" t="s">
        <v>672</v>
      </c>
      <c r="B20">
        <v>17425766</v>
      </c>
    </row>
    <row r="21" spans="1:2" ht="17.25" customHeight="1" x14ac:dyDescent="0.25">
      <c r="A21" t="s">
        <v>673</v>
      </c>
      <c r="B21">
        <v>16865615</v>
      </c>
    </row>
    <row r="22" spans="1:2" ht="17.25" customHeight="1" x14ac:dyDescent="0.25">
      <c r="A22" t="s">
        <v>674</v>
      </c>
      <c r="B22">
        <v>18581063</v>
      </c>
    </row>
    <row r="23" spans="1:2" ht="17.25" customHeight="1" x14ac:dyDescent="0.25">
      <c r="A23" t="s">
        <v>674</v>
      </c>
      <c r="B23">
        <v>18581063</v>
      </c>
    </row>
    <row r="24" spans="1:2" ht="17.25" customHeight="1" x14ac:dyDescent="0.25">
      <c r="A24" t="s">
        <v>674</v>
      </c>
      <c r="B24">
        <v>18581063</v>
      </c>
    </row>
    <row r="25" spans="1:2" ht="17.25" customHeight="1" x14ac:dyDescent="0.25">
      <c r="A25" t="s">
        <v>674</v>
      </c>
      <c r="B25">
        <v>18581063</v>
      </c>
    </row>
    <row r="26" spans="1:2" ht="17.25" customHeight="1" x14ac:dyDescent="0.25">
      <c r="A26" t="s">
        <v>674</v>
      </c>
      <c r="B26">
        <v>18581063</v>
      </c>
    </row>
    <row r="27" spans="1:2" ht="17.25" customHeight="1" x14ac:dyDescent="0.25">
      <c r="A27" t="s">
        <v>674</v>
      </c>
      <c r="B27">
        <v>18581063</v>
      </c>
    </row>
    <row r="28" spans="1:2" ht="17.25" customHeight="1" x14ac:dyDescent="0.25">
      <c r="A28" t="s">
        <v>675</v>
      </c>
      <c r="B28">
        <v>15278437</v>
      </c>
    </row>
    <row r="29" spans="1:2" ht="17.25" customHeight="1" x14ac:dyDescent="0.25">
      <c r="A29" t="s">
        <v>675</v>
      </c>
      <c r="B29">
        <v>15278437</v>
      </c>
    </row>
    <row r="30" spans="1:2" ht="17.25" customHeight="1" x14ac:dyDescent="0.25">
      <c r="A30" t="s">
        <v>675</v>
      </c>
      <c r="B30">
        <v>15278437</v>
      </c>
    </row>
    <row r="31" spans="1:2" ht="17.25" customHeight="1" x14ac:dyDescent="0.25">
      <c r="A31" t="s">
        <v>675</v>
      </c>
      <c r="B31">
        <v>15278437</v>
      </c>
    </row>
    <row r="32" spans="1:2" ht="17.25" customHeight="1" x14ac:dyDescent="0.25">
      <c r="A32" t="s">
        <v>675</v>
      </c>
      <c r="B32">
        <v>15278437</v>
      </c>
    </row>
    <row r="33" spans="1:2" ht="17.25" customHeight="1" x14ac:dyDescent="0.25">
      <c r="A33" t="s">
        <v>676</v>
      </c>
      <c r="B33">
        <v>2158366</v>
      </c>
    </row>
    <row r="34" spans="1:2" ht="17.25" customHeight="1" x14ac:dyDescent="0.25">
      <c r="A34" t="s">
        <v>676</v>
      </c>
      <c r="B34">
        <v>2158366</v>
      </c>
    </row>
    <row r="35" spans="1:2" ht="17.25" customHeight="1" x14ac:dyDescent="0.25">
      <c r="A35" t="s">
        <v>677</v>
      </c>
      <c r="B35">
        <v>17528908</v>
      </c>
    </row>
    <row r="36" spans="1:2" ht="17.25" customHeight="1" x14ac:dyDescent="0.25">
      <c r="A36" t="s">
        <v>677</v>
      </c>
      <c r="B36">
        <v>17528908</v>
      </c>
    </row>
    <row r="37" spans="1:2" ht="17.25" customHeight="1" x14ac:dyDescent="0.25">
      <c r="A37" t="s">
        <v>677</v>
      </c>
      <c r="B37">
        <v>17528908</v>
      </c>
    </row>
    <row r="38" spans="1:2" ht="17.25" customHeight="1" x14ac:dyDescent="0.25">
      <c r="A38" t="s">
        <v>677</v>
      </c>
      <c r="B38">
        <v>17528908</v>
      </c>
    </row>
    <row r="39" spans="1:2" ht="17.25" customHeight="1" x14ac:dyDescent="0.25">
      <c r="A39" t="s">
        <v>677</v>
      </c>
      <c r="B39">
        <v>17528908</v>
      </c>
    </row>
    <row r="40" spans="1:2" ht="17.25" customHeight="1" x14ac:dyDescent="0.25">
      <c r="A40" t="s">
        <v>677</v>
      </c>
      <c r="B40">
        <v>17528908</v>
      </c>
    </row>
    <row r="41" spans="1:2" ht="17.25" customHeight="1" x14ac:dyDescent="0.25">
      <c r="A41" t="s">
        <v>677</v>
      </c>
      <c r="B41">
        <v>17528908</v>
      </c>
    </row>
    <row r="42" spans="1:2" ht="17.25" customHeight="1" x14ac:dyDescent="0.25">
      <c r="A42" t="s">
        <v>677</v>
      </c>
      <c r="B42">
        <v>17528908</v>
      </c>
    </row>
    <row r="43" spans="1:2" ht="17.25" customHeight="1" x14ac:dyDescent="0.25">
      <c r="A43" t="s">
        <v>677</v>
      </c>
      <c r="B43">
        <v>17528908</v>
      </c>
    </row>
    <row r="44" spans="1:2" ht="17.25" customHeight="1" x14ac:dyDescent="0.25">
      <c r="A44" t="s">
        <v>677</v>
      </c>
      <c r="B44">
        <v>17528908</v>
      </c>
    </row>
    <row r="45" spans="1:2" ht="17.25" customHeight="1" x14ac:dyDescent="0.25">
      <c r="A45" t="s">
        <v>678</v>
      </c>
      <c r="B45">
        <v>19279958</v>
      </c>
    </row>
    <row r="46" spans="1:2" ht="17.25" customHeight="1" x14ac:dyDescent="0.25">
      <c r="A46" t="s">
        <v>678</v>
      </c>
      <c r="B46">
        <v>19279958</v>
      </c>
    </row>
    <row r="47" spans="1:2" ht="17.25" customHeight="1" x14ac:dyDescent="0.25">
      <c r="A47" t="s">
        <v>678</v>
      </c>
      <c r="B47">
        <v>19279958</v>
      </c>
    </row>
    <row r="48" spans="1:2" ht="17.25" customHeight="1" x14ac:dyDescent="0.25">
      <c r="A48" t="s">
        <v>678</v>
      </c>
      <c r="B48">
        <v>19279958</v>
      </c>
    </row>
    <row r="49" spans="1:2" ht="17.25" customHeight="1" x14ac:dyDescent="0.25">
      <c r="A49" t="s">
        <v>678</v>
      </c>
      <c r="B49">
        <v>19279958</v>
      </c>
    </row>
    <row r="50" spans="1:2" ht="17.25" customHeight="1" x14ac:dyDescent="0.25">
      <c r="A50" t="s">
        <v>678</v>
      </c>
      <c r="B50">
        <v>19279958</v>
      </c>
    </row>
    <row r="51" spans="1:2" ht="17.25" customHeight="1" x14ac:dyDescent="0.25">
      <c r="A51" t="s">
        <v>678</v>
      </c>
      <c r="B51">
        <v>19279958</v>
      </c>
    </row>
    <row r="52" spans="1:2" ht="17.25" customHeight="1" x14ac:dyDescent="0.25">
      <c r="A52" t="s">
        <v>678</v>
      </c>
      <c r="B52">
        <v>19279958</v>
      </c>
    </row>
    <row r="53" spans="1:2" ht="17.25" customHeight="1" x14ac:dyDescent="0.25">
      <c r="A53" t="s">
        <v>678</v>
      </c>
      <c r="B53">
        <v>19279958</v>
      </c>
    </row>
    <row r="54" spans="1:2" ht="17.25" customHeight="1" x14ac:dyDescent="0.25">
      <c r="A54" t="s">
        <v>678</v>
      </c>
      <c r="B54">
        <v>19279958</v>
      </c>
    </row>
    <row r="55" spans="1:2" ht="17.25" customHeight="1" x14ac:dyDescent="0.25">
      <c r="A55" t="s">
        <v>678</v>
      </c>
      <c r="B55">
        <v>19279958</v>
      </c>
    </row>
    <row r="56" spans="1:2" ht="17.25" customHeight="1" x14ac:dyDescent="0.25">
      <c r="A56" t="s">
        <v>678</v>
      </c>
      <c r="B56">
        <v>19279958</v>
      </c>
    </row>
    <row r="57" spans="1:2" ht="17.25" customHeight="1" x14ac:dyDescent="0.25">
      <c r="A57" t="s">
        <v>678</v>
      </c>
      <c r="B57">
        <v>19279958</v>
      </c>
    </row>
    <row r="58" spans="1:2" ht="17.25" customHeight="1" x14ac:dyDescent="0.25">
      <c r="A58" t="s">
        <v>678</v>
      </c>
      <c r="B58">
        <v>19279958</v>
      </c>
    </row>
    <row r="59" spans="1:2" ht="17.25" customHeight="1" x14ac:dyDescent="0.25">
      <c r="A59" t="s">
        <v>679</v>
      </c>
      <c r="B59">
        <v>19278370</v>
      </c>
    </row>
    <row r="60" spans="1:2" ht="17.25" customHeight="1" x14ac:dyDescent="0.25">
      <c r="A60" t="s">
        <v>679</v>
      </c>
      <c r="B60">
        <v>19278370</v>
      </c>
    </row>
    <row r="61" spans="1:2" ht="17.25" customHeight="1" x14ac:dyDescent="0.25">
      <c r="A61" t="s">
        <v>680</v>
      </c>
      <c r="B61">
        <v>16202925</v>
      </c>
    </row>
    <row r="62" spans="1:2" ht="17.25" customHeight="1" x14ac:dyDescent="0.25">
      <c r="A62" t="s">
        <v>680</v>
      </c>
      <c r="B62">
        <v>16202925</v>
      </c>
    </row>
    <row r="63" spans="1:2" ht="17.25" customHeight="1" x14ac:dyDescent="0.25">
      <c r="A63" t="s">
        <v>680</v>
      </c>
      <c r="B63">
        <v>16202925</v>
      </c>
    </row>
    <row r="64" spans="1:2" ht="17.25" customHeight="1" x14ac:dyDescent="0.25">
      <c r="A64" t="s">
        <v>681</v>
      </c>
      <c r="B64">
        <v>8814784</v>
      </c>
    </row>
    <row r="65" spans="1:2" ht="17.25" customHeight="1" x14ac:dyDescent="0.25">
      <c r="A65" t="s">
        <v>681</v>
      </c>
      <c r="B65">
        <v>8814784</v>
      </c>
    </row>
    <row r="66" spans="1:2" ht="17.25" customHeight="1" x14ac:dyDescent="0.25">
      <c r="A66" t="s">
        <v>681</v>
      </c>
      <c r="B66">
        <v>8814784</v>
      </c>
    </row>
    <row r="67" spans="1:2" ht="17.25" customHeight="1" x14ac:dyDescent="0.25">
      <c r="A67" t="s">
        <v>681</v>
      </c>
      <c r="B67">
        <v>8814784</v>
      </c>
    </row>
    <row r="68" spans="1:2" ht="17.25" customHeight="1" x14ac:dyDescent="0.25">
      <c r="A68" t="s">
        <v>681</v>
      </c>
      <c r="B68">
        <v>8814784</v>
      </c>
    </row>
    <row r="69" spans="1:2" ht="17.25" customHeight="1" x14ac:dyDescent="0.25">
      <c r="A69" t="s">
        <v>681</v>
      </c>
      <c r="B69">
        <v>8814784</v>
      </c>
    </row>
    <row r="70" spans="1:2" ht="17.25" customHeight="1" x14ac:dyDescent="0.25">
      <c r="A70" t="s">
        <v>681</v>
      </c>
      <c r="B70">
        <v>8814784</v>
      </c>
    </row>
    <row r="71" spans="1:2" ht="17.25" customHeight="1" x14ac:dyDescent="0.25">
      <c r="A71" t="s">
        <v>681</v>
      </c>
      <c r="B71">
        <v>8814784</v>
      </c>
    </row>
    <row r="72" spans="1:2" ht="17.25" customHeight="1" x14ac:dyDescent="0.25">
      <c r="A72" t="s">
        <v>681</v>
      </c>
      <c r="B72">
        <v>8814784</v>
      </c>
    </row>
    <row r="73" spans="1:2" ht="17.25" customHeight="1" x14ac:dyDescent="0.25">
      <c r="A73" t="s">
        <v>682</v>
      </c>
      <c r="B73">
        <v>5442438</v>
      </c>
    </row>
    <row r="74" spans="1:2" ht="17.25" customHeight="1" x14ac:dyDescent="0.25">
      <c r="A74" t="s">
        <v>682</v>
      </c>
      <c r="B74">
        <v>5442438</v>
      </c>
    </row>
    <row r="75" spans="1:2" ht="17.25" customHeight="1" x14ac:dyDescent="0.25">
      <c r="A75" t="s">
        <v>682</v>
      </c>
      <c r="B75">
        <v>5442438</v>
      </c>
    </row>
    <row r="76" spans="1:2" ht="17.25" customHeight="1" x14ac:dyDescent="0.25">
      <c r="A76" t="s">
        <v>682</v>
      </c>
      <c r="B76">
        <v>5442438</v>
      </c>
    </row>
    <row r="77" spans="1:2" ht="17.25" customHeight="1" x14ac:dyDescent="0.25">
      <c r="A77" t="s">
        <v>682</v>
      </c>
      <c r="B77">
        <v>5442438</v>
      </c>
    </row>
    <row r="78" spans="1:2" ht="17.25" customHeight="1" x14ac:dyDescent="0.25">
      <c r="A78" t="s">
        <v>682</v>
      </c>
      <c r="B78">
        <v>5442438</v>
      </c>
    </row>
    <row r="79" spans="1:2" ht="17.25" customHeight="1" x14ac:dyDescent="0.25">
      <c r="A79" t="s">
        <v>682</v>
      </c>
      <c r="B79">
        <v>5442438</v>
      </c>
    </row>
    <row r="80" spans="1:2" ht="17.25" customHeight="1" x14ac:dyDescent="0.25">
      <c r="A80" t="s">
        <v>682</v>
      </c>
      <c r="B80">
        <v>5442438</v>
      </c>
    </row>
    <row r="81" spans="1:2" ht="17.25" customHeight="1" x14ac:dyDescent="0.25">
      <c r="A81" t="s">
        <v>682</v>
      </c>
      <c r="B81">
        <v>5442438</v>
      </c>
    </row>
    <row r="82" spans="1:2" ht="17.25" customHeight="1" x14ac:dyDescent="0.25">
      <c r="A82" t="s">
        <v>682</v>
      </c>
      <c r="B82">
        <v>5442438</v>
      </c>
    </row>
    <row r="83" spans="1:2" ht="17.25" customHeight="1" x14ac:dyDescent="0.25">
      <c r="A83" t="s">
        <v>682</v>
      </c>
      <c r="B83">
        <v>5442438</v>
      </c>
    </row>
    <row r="84" spans="1:2" ht="17.25" customHeight="1" x14ac:dyDescent="0.25">
      <c r="A84" t="s">
        <v>682</v>
      </c>
      <c r="B84">
        <v>5442438</v>
      </c>
    </row>
    <row r="85" spans="1:2" ht="17.25" customHeight="1" x14ac:dyDescent="0.25">
      <c r="A85" t="s">
        <v>682</v>
      </c>
      <c r="B85">
        <v>5442438</v>
      </c>
    </row>
    <row r="86" spans="1:2" ht="17.25" customHeight="1" x14ac:dyDescent="0.25">
      <c r="A86" t="s">
        <v>682</v>
      </c>
      <c r="B86">
        <v>5442438</v>
      </c>
    </row>
    <row r="87" spans="1:2" ht="17.25" customHeight="1" x14ac:dyDescent="0.25">
      <c r="A87" t="s">
        <v>682</v>
      </c>
      <c r="B87">
        <v>5442438</v>
      </c>
    </row>
    <row r="88" spans="1:2" ht="17.25" customHeight="1" x14ac:dyDescent="0.25">
      <c r="A88" t="s">
        <v>682</v>
      </c>
      <c r="B88">
        <v>5442438</v>
      </c>
    </row>
    <row r="89" spans="1:2" ht="17.25" customHeight="1" x14ac:dyDescent="0.25">
      <c r="A89" t="s">
        <v>682</v>
      </c>
      <c r="B89">
        <v>5442438</v>
      </c>
    </row>
    <row r="90" spans="1:2" ht="17.25" customHeight="1" x14ac:dyDescent="0.25">
      <c r="A90" t="s">
        <v>682</v>
      </c>
      <c r="B90">
        <v>5442438</v>
      </c>
    </row>
    <row r="91" spans="1:2" ht="17.25" customHeight="1" x14ac:dyDescent="0.25">
      <c r="A91" t="s">
        <v>682</v>
      </c>
      <c r="B91">
        <v>5442438</v>
      </c>
    </row>
    <row r="92" spans="1:2" ht="17.25" customHeight="1" x14ac:dyDescent="0.25">
      <c r="A92" t="s">
        <v>682</v>
      </c>
      <c r="B92">
        <v>5442438</v>
      </c>
    </row>
    <row r="93" spans="1:2" ht="17.25" customHeight="1" x14ac:dyDescent="0.25">
      <c r="A93" t="s">
        <v>682</v>
      </c>
      <c r="B93">
        <v>5442438</v>
      </c>
    </row>
    <row r="94" spans="1:2" ht="17.25" customHeight="1" x14ac:dyDescent="0.25">
      <c r="A94" t="s">
        <v>682</v>
      </c>
      <c r="B94">
        <v>5442438</v>
      </c>
    </row>
    <row r="95" spans="1:2" ht="17.25" customHeight="1" x14ac:dyDescent="0.25">
      <c r="A95" t="s">
        <v>682</v>
      </c>
      <c r="B95">
        <v>5442438</v>
      </c>
    </row>
    <row r="96" spans="1:2" ht="17.25" customHeight="1" x14ac:dyDescent="0.25">
      <c r="A96" t="s">
        <v>682</v>
      </c>
      <c r="B96">
        <v>5442438</v>
      </c>
    </row>
    <row r="97" spans="1:2" ht="17.25" customHeight="1" x14ac:dyDescent="0.25">
      <c r="A97" t="s">
        <v>682</v>
      </c>
      <c r="B97">
        <v>5442438</v>
      </c>
    </row>
    <row r="98" spans="1:2" ht="17.25" customHeight="1" x14ac:dyDescent="0.25">
      <c r="A98" t="s">
        <v>682</v>
      </c>
      <c r="B98">
        <v>5442438</v>
      </c>
    </row>
    <row r="99" spans="1:2" ht="17.25" customHeight="1" x14ac:dyDescent="0.25">
      <c r="A99" t="s">
        <v>682</v>
      </c>
      <c r="B99">
        <v>5442438</v>
      </c>
    </row>
    <row r="100" spans="1:2" ht="17.25" customHeight="1" x14ac:dyDescent="0.25">
      <c r="A100" t="s">
        <v>682</v>
      </c>
      <c r="B100">
        <v>5442438</v>
      </c>
    </row>
    <row r="101" spans="1:2" ht="17.25" customHeight="1" x14ac:dyDescent="0.25">
      <c r="A101" t="s">
        <v>682</v>
      </c>
      <c r="B101">
        <v>5442438</v>
      </c>
    </row>
    <row r="102" spans="1:2" ht="17.25" customHeight="1" x14ac:dyDescent="0.25">
      <c r="A102" t="s">
        <v>682</v>
      </c>
      <c r="B102">
        <v>5442438</v>
      </c>
    </row>
    <row r="103" spans="1:2" ht="17.25" customHeight="1" x14ac:dyDescent="0.25">
      <c r="A103" t="s">
        <v>682</v>
      </c>
      <c r="B103">
        <v>5442438</v>
      </c>
    </row>
    <row r="104" spans="1:2" ht="17.25" customHeight="1" x14ac:dyDescent="0.25">
      <c r="A104" t="s">
        <v>682</v>
      </c>
      <c r="B104">
        <v>5442438</v>
      </c>
    </row>
    <row r="105" spans="1:2" ht="17.25" customHeight="1" x14ac:dyDescent="0.25">
      <c r="A105" t="s">
        <v>682</v>
      </c>
      <c r="B105">
        <v>5442438</v>
      </c>
    </row>
    <row r="106" spans="1:2" ht="17.25" customHeight="1" x14ac:dyDescent="0.25">
      <c r="A106" t="s">
        <v>682</v>
      </c>
      <c r="B106">
        <v>5442438</v>
      </c>
    </row>
    <row r="107" spans="1:2" ht="17.25" customHeight="1" x14ac:dyDescent="0.25">
      <c r="A107" t="s">
        <v>682</v>
      </c>
      <c r="B107">
        <v>5442438</v>
      </c>
    </row>
    <row r="108" spans="1:2" ht="17.25" customHeight="1" x14ac:dyDescent="0.25">
      <c r="A108" t="s">
        <v>682</v>
      </c>
      <c r="B108">
        <v>5442438</v>
      </c>
    </row>
    <row r="109" spans="1:2" ht="17.25" customHeight="1" x14ac:dyDescent="0.25">
      <c r="A109" t="s">
        <v>682</v>
      </c>
      <c r="B109">
        <v>5442438</v>
      </c>
    </row>
    <row r="110" spans="1:2" ht="17.25" customHeight="1" x14ac:dyDescent="0.25">
      <c r="A110" t="s">
        <v>682</v>
      </c>
      <c r="B110">
        <v>5442438</v>
      </c>
    </row>
    <row r="111" spans="1:2" ht="17.25" customHeight="1" x14ac:dyDescent="0.25">
      <c r="A111" t="s">
        <v>682</v>
      </c>
      <c r="B111">
        <v>5442438</v>
      </c>
    </row>
    <row r="112" spans="1:2" ht="17.25" customHeight="1" x14ac:dyDescent="0.25">
      <c r="A112" t="s">
        <v>682</v>
      </c>
      <c r="B112">
        <v>5442438</v>
      </c>
    </row>
    <row r="113" spans="1:2" ht="17.25" customHeight="1" x14ac:dyDescent="0.25">
      <c r="A113" t="s">
        <v>682</v>
      </c>
      <c r="B113">
        <v>5442438</v>
      </c>
    </row>
    <row r="114" spans="1:2" ht="17.25" customHeight="1" x14ac:dyDescent="0.25">
      <c r="A114" t="s">
        <v>682</v>
      </c>
      <c r="B114">
        <v>5442438</v>
      </c>
    </row>
    <row r="115" spans="1:2" ht="17.25" customHeight="1" x14ac:dyDescent="0.25">
      <c r="A115" t="s">
        <v>682</v>
      </c>
      <c r="B115">
        <v>5442438</v>
      </c>
    </row>
    <row r="116" spans="1:2" ht="17.25" customHeight="1" x14ac:dyDescent="0.25">
      <c r="A116" t="s">
        <v>682</v>
      </c>
      <c r="B116">
        <v>5442438</v>
      </c>
    </row>
    <row r="117" spans="1:2" ht="17.25" customHeight="1" x14ac:dyDescent="0.25">
      <c r="A117" t="s">
        <v>682</v>
      </c>
      <c r="B117">
        <v>5442438</v>
      </c>
    </row>
    <row r="118" spans="1:2" ht="17.25" customHeight="1" x14ac:dyDescent="0.25">
      <c r="A118" t="s">
        <v>682</v>
      </c>
      <c r="B118">
        <v>5442438</v>
      </c>
    </row>
    <row r="119" spans="1:2" ht="17.25" customHeight="1" x14ac:dyDescent="0.25">
      <c r="A119" t="s">
        <v>682</v>
      </c>
      <c r="B119">
        <v>5442438</v>
      </c>
    </row>
    <row r="120" spans="1:2" ht="17.25" customHeight="1" x14ac:dyDescent="0.25">
      <c r="A120" t="s">
        <v>682</v>
      </c>
      <c r="B120">
        <v>5442438</v>
      </c>
    </row>
    <row r="121" spans="1:2" ht="17.25" customHeight="1" x14ac:dyDescent="0.25">
      <c r="A121" t="s">
        <v>682</v>
      </c>
      <c r="B121">
        <v>5442438</v>
      </c>
    </row>
    <row r="122" spans="1:2" ht="17.25" customHeight="1" x14ac:dyDescent="0.25">
      <c r="A122" t="s">
        <v>682</v>
      </c>
      <c r="B122">
        <v>5442438</v>
      </c>
    </row>
    <row r="123" spans="1:2" ht="17.25" customHeight="1" x14ac:dyDescent="0.25">
      <c r="A123" t="s">
        <v>682</v>
      </c>
      <c r="B123">
        <v>5442438</v>
      </c>
    </row>
    <row r="124" spans="1:2" ht="17.25" customHeight="1" x14ac:dyDescent="0.25">
      <c r="A124" t="s">
        <v>682</v>
      </c>
      <c r="B124">
        <v>5442438</v>
      </c>
    </row>
    <row r="125" spans="1:2" ht="17.25" customHeight="1" x14ac:dyDescent="0.25">
      <c r="A125" t="s">
        <v>682</v>
      </c>
      <c r="B125">
        <v>5442438</v>
      </c>
    </row>
    <row r="126" spans="1:2" ht="17.25" customHeight="1" x14ac:dyDescent="0.25">
      <c r="A126" t="s">
        <v>682</v>
      </c>
      <c r="B126">
        <v>5442438</v>
      </c>
    </row>
    <row r="127" spans="1:2" ht="17.25" customHeight="1" x14ac:dyDescent="0.25">
      <c r="A127" t="s">
        <v>683</v>
      </c>
      <c r="B127">
        <v>17554531</v>
      </c>
    </row>
    <row r="128" spans="1:2" ht="17.25" customHeight="1" x14ac:dyDescent="0.25">
      <c r="A128" t="s">
        <v>683</v>
      </c>
      <c r="B128">
        <v>17554531</v>
      </c>
    </row>
    <row r="129" spans="1:2" ht="17.25" customHeight="1" x14ac:dyDescent="0.25">
      <c r="A129" t="s">
        <v>683</v>
      </c>
      <c r="B129">
        <v>17554531</v>
      </c>
    </row>
    <row r="130" spans="1:2" ht="17.25" customHeight="1" x14ac:dyDescent="0.25">
      <c r="A130" t="s">
        <v>683</v>
      </c>
      <c r="B130">
        <v>17554531</v>
      </c>
    </row>
    <row r="131" spans="1:2" ht="17.25" customHeight="1" x14ac:dyDescent="0.25">
      <c r="A131" t="s">
        <v>683</v>
      </c>
      <c r="B131">
        <v>17554531</v>
      </c>
    </row>
    <row r="132" spans="1:2" ht="17.25" customHeight="1" x14ac:dyDescent="0.25">
      <c r="A132" t="s">
        <v>683</v>
      </c>
      <c r="B132">
        <v>17554531</v>
      </c>
    </row>
    <row r="133" spans="1:2" ht="17.25" customHeight="1" x14ac:dyDescent="0.25">
      <c r="A133" t="s">
        <v>683</v>
      </c>
      <c r="B133">
        <v>17554531</v>
      </c>
    </row>
    <row r="134" spans="1:2" ht="17.25" customHeight="1" x14ac:dyDescent="0.25">
      <c r="A134" t="s">
        <v>683</v>
      </c>
      <c r="B134">
        <v>17554531</v>
      </c>
    </row>
    <row r="135" spans="1:2" ht="17.25" customHeight="1" x14ac:dyDescent="0.25">
      <c r="A135" t="s">
        <v>683</v>
      </c>
      <c r="B135">
        <v>17554531</v>
      </c>
    </row>
    <row r="136" spans="1:2" ht="17.25" customHeight="1" x14ac:dyDescent="0.25">
      <c r="A136" t="s">
        <v>683</v>
      </c>
      <c r="B136">
        <v>17554531</v>
      </c>
    </row>
    <row r="137" spans="1:2" ht="17.25" customHeight="1" x14ac:dyDescent="0.25">
      <c r="A137" t="s">
        <v>683</v>
      </c>
      <c r="B137">
        <v>17554531</v>
      </c>
    </row>
    <row r="138" spans="1:2" ht="17.25" customHeight="1" x14ac:dyDescent="0.25">
      <c r="A138" t="s">
        <v>684</v>
      </c>
      <c r="B138">
        <v>16912722</v>
      </c>
    </row>
    <row r="139" spans="1:2" ht="17.25" customHeight="1" x14ac:dyDescent="0.25">
      <c r="A139" t="s">
        <v>684</v>
      </c>
      <c r="B139">
        <v>16912722</v>
      </c>
    </row>
    <row r="140" spans="1:2" ht="17.25" customHeight="1" x14ac:dyDescent="0.25">
      <c r="A140" t="s">
        <v>684</v>
      </c>
      <c r="B140">
        <v>16912722</v>
      </c>
    </row>
    <row r="141" spans="1:2" ht="17.25" customHeight="1" x14ac:dyDescent="0.25">
      <c r="A141" t="s">
        <v>685</v>
      </c>
      <c r="B141">
        <v>9213293</v>
      </c>
    </row>
    <row r="142" spans="1:2" ht="17.25" customHeight="1" x14ac:dyDescent="0.25">
      <c r="A142" t="s">
        <v>685</v>
      </c>
      <c r="B142">
        <v>9213293</v>
      </c>
    </row>
    <row r="143" spans="1:2" ht="17.25" customHeight="1" x14ac:dyDescent="0.25">
      <c r="A143" t="s">
        <v>685</v>
      </c>
      <c r="B143">
        <v>9213293</v>
      </c>
    </row>
    <row r="144" spans="1:2" ht="17.25" customHeight="1" x14ac:dyDescent="0.25">
      <c r="A144" t="s">
        <v>685</v>
      </c>
      <c r="B144">
        <v>9213293</v>
      </c>
    </row>
    <row r="145" spans="1:2" ht="17.25" customHeight="1" x14ac:dyDescent="0.25">
      <c r="A145" t="s">
        <v>685</v>
      </c>
      <c r="B145">
        <v>9213293</v>
      </c>
    </row>
    <row r="146" spans="1:2" ht="17.25" customHeight="1" x14ac:dyDescent="0.25">
      <c r="A146" t="s">
        <v>685</v>
      </c>
      <c r="B146">
        <v>9213293</v>
      </c>
    </row>
    <row r="147" spans="1:2" ht="17.25" customHeight="1" x14ac:dyDescent="0.25">
      <c r="A147" t="s">
        <v>685</v>
      </c>
      <c r="B147">
        <v>9213293</v>
      </c>
    </row>
    <row r="148" spans="1:2" ht="17.25" customHeight="1" x14ac:dyDescent="0.25">
      <c r="A148" t="s">
        <v>685</v>
      </c>
      <c r="B148">
        <v>9213293</v>
      </c>
    </row>
    <row r="149" spans="1:2" ht="17.25" customHeight="1" x14ac:dyDescent="0.25">
      <c r="A149" t="s">
        <v>685</v>
      </c>
      <c r="B149">
        <v>9213293</v>
      </c>
    </row>
    <row r="150" spans="1:2" ht="17.25" customHeight="1" x14ac:dyDescent="0.25">
      <c r="A150" t="s">
        <v>685</v>
      </c>
      <c r="B150">
        <v>9213293</v>
      </c>
    </row>
    <row r="151" spans="1:2" ht="17.25" customHeight="1" x14ac:dyDescent="0.25">
      <c r="A151" t="s">
        <v>685</v>
      </c>
      <c r="B151">
        <v>9213293</v>
      </c>
    </row>
    <row r="152" spans="1:2" ht="17.25" customHeight="1" x14ac:dyDescent="0.25">
      <c r="A152" t="s">
        <v>685</v>
      </c>
      <c r="B152">
        <v>9213293</v>
      </c>
    </row>
    <row r="153" spans="1:2" ht="17.25" customHeight="1" x14ac:dyDescent="0.25">
      <c r="A153" t="s">
        <v>685</v>
      </c>
      <c r="B153">
        <v>9213293</v>
      </c>
    </row>
    <row r="154" spans="1:2" ht="17.25" customHeight="1" x14ac:dyDescent="0.25">
      <c r="A154" t="s">
        <v>685</v>
      </c>
      <c r="B154">
        <v>9213293</v>
      </c>
    </row>
    <row r="155" spans="1:2" ht="17.25" customHeight="1" x14ac:dyDescent="0.25">
      <c r="A155" t="s">
        <v>685</v>
      </c>
      <c r="B155">
        <v>9213293</v>
      </c>
    </row>
    <row r="156" spans="1:2" ht="17.25" customHeight="1" x14ac:dyDescent="0.25">
      <c r="A156" t="s">
        <v>686</v>
      </c>
      <c r="B156">
        <v>9079571</v>
      </c>
    </row>
    <row r="157" spans="1:2" ht="17.25" customHeight="1" x14ac:dyDescent="0.25">
      <c r="A157" t="s">
        <v>686</v>
      </c>
      <c r="B157">
        <v>9079571</v>
      </c>
    </row>
    <row r="158" spans="1:2" ht="17.25" customHeight="1" x14ac:dyDescent="0.25">
      <c r="A158" t="s">
        <v>686</v>
      </c>
      <c r="B158">
        <v>9079571</v>
      </c>
    </row>
    <row r="159" spans="1:2" ht="17.25" customHeight="1" x14ac:dyDescent="0.25">
      <c r="A159" t="s">
        <v>686</v>
      </c>
      <c r="B159">
        <v>9079571</v>
      </c>
    </row>
    <row r="160" spans="1:2" ht="17.25" customHeight="1" x14ac:dyDescent="0.25">
      <c r="A160" t="s">
        <v>686</v>
      </c>
      <c r="B160">
        <v>9079571</v>
      </c>
    </row>
    <row r="161" spans="1:2" ht="17.25" customHeight="1" x14ac:dyDescent="0.25">
      <c r="A161" t="s">
        <v>686</v>
      </c>
      <c r="B161">
        <v>9079571</v>
      </c>
    </row>
    <row r="162" spans="1:2" ht="17.25" customHeight="1" x14ac:dyDescent="0.25">
      <c r="A162" t="s">
        <v>686</v>
      </c>
      <c r="B162">
        <v>9079571</v>
      </c>
    </row>
    <row r="163" spans="1:2" ht="17.25" customHeight="1" x14ac:dyDescent="0.25">
      <c r="A163" t="s">
        <v>686</v>
      </c>
      <c r="B163">
        <v>9079571</v>
      </c>
    </row>
    <row r="164" spans="1:2" ht="17.25" customHeight="1" x14ac:dyDescent="0.25">
      <c r="A164" t="s">
        <v>686</v>
      </c>
      <c r="B164">
        <v>9079571</v>
      </c>
    </row>
    <row r="165" spans="1:2" ht="17.25" customHeight="1" x14ac:dyDescent="0.25">
      <c r="A165" t="s">
        <v>686</v>
      </c>
      <c r="B165">
        <v>9079571</v>
      </c>
    </row>
    <row r="166" spans="1:2" ht="17.25" customHeight="1" x14ac:dyDescent="0.25">
      <c r="A166" t="s">
        <v>686</v>
      </c>
      <c r="B166">
        <v>9079571</v>
      </c>
    </row>
    <row r="167" spans="1:2" ht="17.25" customHeight="1" x14ac:dyDescent="0.25">
      <c r="A167" t="s">
        <v>686</v>
      </c>
      <c r="B167">
        <v>9079571</v>
      </c>
    </row>
    <row r="168" spans="1:2" ht="17.25" customHeight="1" x14ac:dyDescent="0.25">
      <c r="A168" t="s">
        <v>686</v>
      </c>
      <c r="B168">
        <v>9079571</v>
      </c>
    </row>
    <row r="169" spans="1:2" ht="17.25" customHeight="1" x14ac:dyDescent="0.25">
      <c r="A169" t="s">
        <v>686</v>
      </c>
      <c r="B169">
        <v>9079571</v>
      </c>
    </row>
    <row r="170" spans="1:2" ht="17.25" customHeight="1" x14ac:dyDescent="0.25">
      <c r="A170" t="s">
        <v>686</v>
      </c>
      <c r="B170">
        <v>9079571</v>
      </c>
    </row>
    <row r="171" spans="1:2" ht="17.25" customHeight="1" x14ac:dyDescent="0.25">
      <c r="A171" t="s">
        <v>686</v>
      </c>
      <c r="B171">
        <v>9079571</v>
      </c>
    </row>
    <row r="172" spans="1:2" ht="17.25" customHeight="1" x14ac:dyDescent="0.25">
      <c r="A172" t="s">
        <v>686</v>
      </c>
      <c r="B172">
        <v>9079571</v>
      </c>
    </row>
    <row r="173" spans="1:2" ht="17.25" customHeight="1" x14ac:dyDescent="0.25">
      <c r="A173" t="s">
        <v>686</v>
      </c>
      <c r="B173">
        <v>9079571</v>
      </c>
    </row>
    <row r="174" spans="1:2" ht="17.25" customHeight="1" x14ac:dyDescent="0.25">
      <c r="A174" t="s">
        <v>686</v>
      </c>
      <c r="B174">
        <v>9079571</v>
      </c>
    </row>
    <row r="175" spans="1:2" ht="17.25" customHeight="1" x14ac:dyDescent="0.25">
      <c r="A175" t="s">
        <v>686</v>
      </c>
      <c r="B175">
        <v>9079571</v>
      </c>
    </row>
    <row r="176" spans="1:2" ht="17.25" customHeight="1" x14ac:dyDescent="0.25">
      <c r="A176" t="s">
        <v>686</v>
      </c>
      <c r="B176">
        <v>9079571</v>
      </c>
    </row>
    <row r="177" spans="1:2" ht="17.25" customHeight="1" x14ac:dyDescent="0.25">
      <c r="A177" t="s">
        <v>686</v>
      </c>
      <c r="B177">
        <v>9079571</v>
      </c>
    </row>
    <row r="178" spans="1:2" ht="17.25" customHeight="1" x14ac:dyDescent="0.25">
      <c r="A178" t="s">
        <v>686</v>
      </c>
      <c r="B178">
        <v>9079571</v>
      </c>
    </row>
    <row r="179" spans="1:2" ht="17.25" customHeight="1" x14ac:dyDescent="0.25">
      <c r="A179" t="s">
        <v>686</v>
      </c>
      <c r="B179">
        <v>9079571</v>
      </c>
    </row>
    <row r="180" spans="1:2" ht="17.25" customHeight="1" x14ac:dyDescent="0.25">
      <c r="A180" t="s">
        <v>686</v>
      </c>
      <c r="B180">
        <v>9079571</v>
      </c>
    </row>
    <row r="181" spans="1:2" ht="17.25" customHeight="1" x14ac:dyDescent="0.25">
      <c r="A181" t="s">
        <v>686</v>
      </c>
      <c r="B181">
        <v>9079571</v>
      </c>
    </row>
    <row r="182" spans="1:2" ht="17.25" customHeight="1" x14ac:dyDescent="0.25">
      <c r="A182" t="s">
        <v>686</v>
      </c>
      <c r="B182">
        <v>9079571</v>
      </c>
    </row>
    <row r="183" spans="1:2" ht="17.25" customHeight="1" x14ac:dyDescent="0.25">
      <c r="A183" t="s">
        <v>686</v>
      </c>
      <c r="B183">
        <v>9079571</v>
      </c>
    </row>
    <row r="184" spans="1:2" ht="17.25" customHeight="1" x14ac:dyDescent="0.25">
      <c r="A184" t="s">
        <v>686</v>
      </c>
      <c r="B184">
        <v>9079571</v>
      </c>
    </row>
    <row r="185" spans="1:2" ht="17.25" customHeight="1" x14ac:dyDescent="0.25">
      <c r="A185" t="s">
        <v>686</v>
      </c>
      <c r="B185">
        <v>9079571</v>
      </c>
    </row>
    <row r="186" spans="1:2" ht="17.25" customHeight="1" x14ac:dyDescent="0.25">
      <c r="A186" t="s">
        <v>686</v>
      </c>
      <c r="B186">
        <v>9079571</v>
      </c>
    </row>
    <row r="187" spans="1:2" ht="17.25" customHeight="1" x14ac:dyDescent="0.25">
      <c r="A187" t="s">
        <v>686</v>
      </c>
      <c r="B187">
        <v>9079571</v>
      </c>
    </row>
    <row r="188" spans="1:2" ht="17.25" customHeight="1" x14ac:dyDescent="0.25">
      <c r="A188" t="s">
        <v>686</v>
      </c>
      <c r="B188">
        <v>9079571</v>
      </c>
    </row>
    <row r="189" spans="1:2" ht="17.25" customHeight="1" x14ac:dyDescent="0.25">
      <c r="A189" t="s">
        <v>686</v>
      </c>
      <c r="B189">
        <v>9079571</v>
      </c>
    </row>
    <row r="190" spans="1:2" ht="17.25" customHeight="1" x14ac:dyDescent="0.25">
      <c r="A190" t="s">
        <v>686</v>
      </c>
      <c r="B190">
        <v>9079571</v>
      </c>
    </row>
    <row r="191" spans="1:2" ht="17.25" customHeight="1" x14ac:dyDescent="0.25">
      <c r="A191" t="s">
        <v>686</v>
      </c>
      <c r="B191">
        <v>9079571</v>
      </c>
    </row>
    <row r="192" spans="1:2" ht="17.25" customHeight="1" x14ac:dyDescent="0.25">
      <c r="A192" t="s">
        <v>686</v>
      </c>
      <c r="B192">
        <v>9079571</v>
      </c>
    </row>
    <row r="193" spans="1:2" ht="17.25" customHeight="1" x14ac:dyDescent="0.25">
      <c r="A193" t="s">
        <v>686</v>
      </c>
      <c r="B193">
        <v>9079571</v>
      </c>
    </row>
    <row r="194" spans="1:2" ht="17.25" customHeight="1" x14ac:dyDescent="0.25">
      <c r="A194" t="s">
        <v>686</v>
      </c>
      <c r="B194">
        <v>9079571</v>
      </c>
    </row>
    <row r="195" spans="1:2" ht="17.25" customHeight="1" x14ac:dyDescent="0.25">
      <c r="A195" t="s">
        <v>686</v>
      </c>
      <c r="B195">
        <v>9079571</v>
      </c>
    </row>
    <row r="196" spans="1:2" ht="17.25" customHeight="1" x14ac:dyDescent="0.25">
      <c r="A196" t="s">
        <v>686</v>
      </c>
      <c r="B196">
        <v>9079571</v>
      </c>
    </row>
    <row r="197" spans="1:2" ht="17.25" customHeight="1" x14ac:dyDescent="0.25">
      <c r="A197" t="s">
        <v>686</v>
      </c>
      <c r="B197">
        <v>9079571</v>
      </c>
    </row>
    <row r="198" spans="1:2" ht="17.25" customHeight="1" x14ac:dyDescent="0.25">
      <c r="A198" t="s">
        <v>686</v>
      </c>
      <c r="B198">
        <v>9079571</v>
      </c>
    </row>
    <row r="199" spans="1:2" ht="17.25" customHeight="1" x14ac:dyDescent="0.25">
      <c r="A199" t="s">
        <v>686</v>
      </c>
      <c r="B199">
        <v>9079571</v>
      </c>
    </row>
    <row r="200" spans="1:2" ht="17.25" customHeight="1" x14ac:dyDescent="0.25">
      <c r="A200" t="s">
        <v>686</v>
      </c>
      <c r="B200">
        <v>9079571</v>
      </c>
    </row>
    <row r="201" spans="1:2" ht="17.25" customHeight="1" x14ac:dyDescent="0.25">
      <c r="A201" t="s">
        <v>686</v>
      </c>
      <c r="B201">
        <v>9079571</v>
      </c>
    </row>
    <row r="202" spans="1:2" ht="17.25" customHeight="1" x14ac:dyDescent="0.25">
      <c r="A202" t="s">
        <v>686</v>
      </c>
      <c r="B202">
        <v>9079571</v>
      </c>
    </row>
    <row r="203" spans="1:2" ht="17.25" customHeight="1" x14ac:dyDescent="0.25">
      <c r="A203" t="s">
        <v>686</v>
      </c>
      <c r="B203">
        <v>9079571</v>
      </c>
    </row>
    <row r="204" spans="1:2" ht="17.25" customHeight="1" x14ac:dyDescent="0.25">
      <c r="A204" t="s">
        <v>686</v>
      </c>
      <c r="B204">
        <v>9079571</v>
      </c>
    </row>
    <row r="205" spans="1:2" ht="17.25" customHeight="1" x14ac:dyDescent="0.25">
      <c r="A205" t="s">
        <v>686</v>
      </c>
      <c r="B205">
        <v>9079571</v>
      </c>
    </row>
    <row r="206" spans="1:2" ht="17.25" customHeight="1" x14ac:dyDescent="0.25">
      <c r="A206" t="s">
        <v>686</v>
      </c>
      <c r="B206">
        <v>9079571</v>
      </c>
    </row>
    <row r="207" spans="1:2" ht="17.25" customHeight="1" x14ac:dyDescent="0.25">
      <c r="A207" t="s">
        <v>686</v>
      </c>
      <c r="B207">
        <v>9079571</v>
      </c>
    </row>
    <row r="208" spans="1:2" ht="17.25" customHeight="1" x14ac:dyDescent="0.25">
      <c r="A208" t="s">
        <v>686</v>
      </c>
      <c r="B208">
        <v>9079571</v>
      </c>
    </row>
    <row r="209" spans="1:2" ht="17.25" customHeight="1" x14ac:dyDescent="0.25">
      <c r="A209" t="s">
        <v>686</v>
      </c>
      <c r="B209">
        <v>9079571</v>
      </c>
    </row>
    <row r="210" spans="1:2" ht="17.25" customHeight="1" x14ac:dyDescent="0.25">
      <c r="A210" t="s">
        <v>686</v>
      </c>
      <c r="B210">
        <v>9079571</v>
      </c>
    </row>
    <row r="211" spans="1:2" ht="17.25" customHeight="1" x14ac:dyDescent="0.25">
      <c r="A211" t="s">
        <v>686</v>
      </c>
      <c r="B211">
        <v>9079571</v>
      </c>
    </row>
    <row r="212" spans="1:2" ht="17.25" customHeight="1" x14ac:dyDescent="0.25">
      <c r="A212" t="s">
        <v>686</v>
      </c>
      <c r="B212">
        <v>9079571</v>
      </c>
    </row>
    <row r="213" spans="1:2" ht="17.25" customHeight="1" x14ac:dyDescent="0.25">
      <c r="A213" t="s">
        <v>686</v>
      </c>
      <c r="B213">
        <v>9079571</v>
      </c>
    </row>
    <row r="214" spans="1:2" ht="17.25" customHeight="1" x14ac:dyDescent="0.25">
      <c r="A214" t="s">
        <v>686</v>
      </c>
      <c r="B214">
        <v>9079571</v>
      </c>
    </row>
    <row r="215" spans="1:2" ht="17.25" customHeight="1" x14ac:dyDescent="0.25">
      <c r="A215" t="s">
        <v>686</v>
      </c>
      <c r="B215">
        <v>9079571</v>
      </c>
    </row>
    <row r="216" spans="1:2" ht="17.25" customHeight="1" x14ac:dyDescent="0.25">
      <c r="A216" t="s">
        <v>686</v>
      </c>
      <c r="B216">
        <v>9079571</v>
      </c>
    </row>
    <row r="217" spans="1:2" ht="17.25" customHeight="1" x14ac:dyDescent="0.25">
      <c r="A217" t="s">
        <v>686</v>
      </c>
      <c r="B217">
        <v>9079571</v>
      </c>
    </row>
    <row r="218" spans="1:2" ht="17.25" customHeight="1" x14ac:dyDescent="0.25">
      <c r="A218" t="s">
        <v>686</v>
      </c>
      <c r="B218">
        <v>9079571</v>
      </c>
    </row>
    <row r="219" spans="1:2" ht="17.25" customHeight="1" x14ac:dyDescent="0.25">
      <c r="A219" t="s">
        <v>686</v>
      </c>
      <c r="B219">
        <v>9079571</v>
      </c>
    </row>
    <row r="220" spans="1:2" ht="17.25" customHeight="1" x14ac:dyDescent="0.25">
      <c r="A220" t="s">
        <v>686</v>
      </c>
      <c r="B220">
        <v>9079571</v>
      </c>
    </row>
    <row r="221" spans="1:2" ht="17.25" customHeight="1" x14ac:dyDescent="0.25">
      <c r="A221" t="s">
        <v>686</v>
      </c>
      <c r="B221">
        <v>9079571</v>
      </c>
    </row>
    <row r="222" spans="1:2" ht="17.25" customHeight="1" x14ac:dyDescent="0.25">
      <c r="A222" t="s">
        <v>686</v>
      </c>
      <c r="B222">
        <v>9079571</v>
      </c>
    </row>
    <row r="223" spans="1:2" ht="17.25" customHeight="1" x14ac:dyDescent="0.25">
      <c r="A223" t="s">
        <v>686</v>
      </c>
      <c r="B223">
        <v>9079571</v>
      </c>
    </row>
    <row r="224" spans="1:2" ht="17.25" customHeight="1" x14ac:dyDescent="0.25">
      <c r="A224" t="s">
        <v>686</v>
      </c>
      <c r="B224">
        <v>9079571</v>
      </c>
    </row>
    <row r="225" spans="1:2" ht="17.25" customHeight="1" x14ac:dyDescent="0.25">
      <c r="A225" t="s">
        <v>686</v>
      </c>
      <c r="B225">
        <v>9079571</v>
      </c>
    </row>
    <row r="226" spans="1:2" ht="17.25" customHeight="1" x14ac:dyDescent="0.25">
      <c r="A226" t="s">
        <v>686</v>
      </c>
      <c r="B226">
        <v>9079571</v>
      </c>
    </row>
    <row r="227" spans="1:2" ht="17.25" customHeight="1" x14ac:dyDescent="0.25">
      <c r="A227" t="s">
        <v>686</v>
      </c>
      <c r="B227">
        <v>9079571</v>
      </c>
    </row>
    <row r="228" spans="1:2" ht="17.25" customHeight="1" x14ac:dyDescent="0.25">
      <c r="A228" t="s">
        <v>686</v>
      </c>
      <c r="B228">
        <v>9079571</v>
      </c>
    </row>
    <row r="229" spans="1:2" ht="17.25" customHeight="1" x14ac:dyDescent="0.25">
      <c r="A229" t="s">
        <v>686</v>
      </c>
      <c r="B229">
        <v>9079571</v>
      </c>
    </row>
    <row r="230" spans="1:2" ht="17.25" customHeight="1" x14ac:dyDescent="0.25">
      <c r="A230" t="s">
        <v>686</v>
      </c>
      <c r="B230">
        <v>9079571</v>
      </c>
    </row>
    <row r="231" spans="1:2" ht="17.25" customHeight="1" x14ac:dyDescent="0.25">
      <c r="A231" t="s">
        <v>686</v>
      </c>
      <c r="B231">
        <v>9079571</v>
      </c>
    </row>
    <row r="232" spans="1:2" ht="17.25" customHeight="1" x14ac:dyDescent="0.25">
      <c r="A232" t="s">
        <v>686</v>
      </c>
      <c r="B232">
        <v>9079571</v>
      </c>
    </row>
    <row r="233" spans="1:2" ht="17.25" customHeight="1" x14ac:dyDescent="0.25">
      <c r="A233" t="s">
        <v>686</v>
      </c>
      <c r="B233">
        <v>9079571</v>
      </c>
    </row>
    <row r="234" spans="1:2" ht="17.25" customHeight="1" x14ac:dyDescent="0.25">
      <c r="A234" t="s">
        <v>686</v>
      </c>
      <c r="B234">
        <v>9079571</v>
      </c>
    </row>
    <row r="235" spans="1:2" ht="17.25" customHeight="1" x14ac:dyDescent="0.25">
      <c r="A235" t="s">
        <v>686</v>
      </c>
      <c r="B235">
        <v>9079571</v>
      </c>
    </row>
    <row r="236" spans="1:2" ht="17.25" customHeight="1" x14ac:dyDescent="0.25">
      <c r="A236" t="s">
        <v>686</v>
      </c>
      <c r="B236">
        <v>9079571</v>
      </c>
    </row>
    <row r="237" spans="1:2" ht="17.25" customHeight="1" x14ac:dyDescent="0.25">
      <c r="A237" t="s">
        <v>686</v>
      </c>
      <c r="B237">
        <v>9079571</v>
      </c>
    </row>
    <row r="238" spans="1:2" ht="17.25" customHeight="1" x14ac:dyDescent="0.25">
      <c r="A238" t="s">
        <v>686</v>
      </c>
      <c r="B238">
        <v>9079571</v>
      </c>
    </row>
    <row r="239" spans="1:2" ht="17.25" customHeight="1" x14ac:dyDescent="0.25">
      <c r="A239" t="s">
        <v>686</v>
      </c>
      <c r="B239">
        <v>9079571</v>
      </c>
    </row>
    <row r="240" spans="1:2" ht="17.25" customHeight="1" x14ac:dyDescent="0.25">
      <c r="A240" t="s">
        <v>686</v>
      </c>
      <c r="B240">
        <v>9079571</v>
      </c>
    </row>
    <row r="241" spans="1:2" ht="17.25" customHeight="1" x14ac:dyDescent="0.25">
      <c r="A241" t="s">
        <v>686</v>
      </c>
      <c r="B241">
        <v>9079571</v>
      </c>
    </row>
    <row r="242" spans="1:2" ht="17.25" customHeight="1" x14ac:dyDescent="0.25">
      <c r="A242" t="s">
        <v>686</v>
      </c>
      <c r="B242">
        <v>9079571</v>
      </c>
    </row>
    <row r="243" spans="1:2" ht="17.25" customHeight="1" x14ac:dyDescent="0.25">
      <c r="A243" t="s">
        <v>686</v>
      </c>
      <c r="B243">
        <v>9079571</v>
      </c>
    </row>
    <row r="244" spans="1:2" ht="17.25" customHeight="1" x14ac:dyDescent="0.25">
      <c r="A244" t="s">
        <v>686</v>
      </c>
      <c r="B244">
        <v>9079571</v>
      </c>
    </row>
    <row r="245" spans="1:2" ht="17.25" customHeight="1" x14ac:dyDescent="0.25">
      <c r="A245" t="s">
        <v>686</v>
      </c>
      <c r="B245">
        <v>9079571</v>
      </c>
    </row>
    <row r="246" spans="1:2" ht="17.25" customHeight="1" x14ac:dyDescent="0.25">
      <c r="A246" t="s">
        <v>686</v>
      </c>
      <c r="B246">
        <v>9079571</v>
      </c>
    </row>
    <row r="247" spans="1:2" ht="17.25" customHeight="1" x14ac:dyDescent="0.25">
      <c r="A247" t="s">
        <v>686</v>
      </c>
      <c r="B247">
        <v>9079571</v>
      </c>
    </row>
    <row r="248" spans="1:2" ht="17.25" customHeight="1" x14ac:dyDescent="0.25">
      <c r="A248" t="s">
        <v>686</v>
      </c>
      <c r="B248">
        <v>9079571</v>
      </c>
    </row>
    <row r="249" spans="1:2" ht="17.25" customHeight="1" x14ac:dyDescent="0.25">
      <c r="A249" t="s">
        <v>687</v>
      </c>
      <c r="B249">
        <v>6115727</v>
      </c>
    </row>
    <row r="250" spans="1:2" ht="17.25" customHeight="1" x14ac:dyDescent="0.25">
      <c r="A250" t="s">
        <v>688</v>
      </c>
      <c r="B250">
        <v>19200754</v>
      </c>
    </row>
    <row r="251" spans="1:2" ht="17.25" customHeight="1" x14ac:dyDescent="0.25">
      <c r="A251" t="s">
        <v>688</v>
      </c>
      <c r="B251">
        <v>19200754</v>
      </c>
    </row>
    <row r="252" spans="1:2" ht="17.25" customHeight="1" x14ac:dyDescent="0.25">
      <c r="A252" t="s">
        <v>688</v>
      </c>
      <c r="B252">
        <v>19200754</v>
      </c>
    </row>
    <row r="253" spans="1:2" ht="17.25" customHeight="1" x14ac:dyDescent="0.25">
      <c r="A253" t="s">
        <v>688</v>
      </c>
      <c r="B253">
        <v>19200754</v>
      </c>
    </row>
    <row r="254" spans="1:2" ht="17.25" customHeight="1" x14ac:dyDescent="0.25">
      <c r="A254" t="s">
        <v>688</v>
      </c>
      <c r="B254">
        <v>19200754</v>
      </c>
    </row>
    <row r="255" spans="1:2" ht="17.25" customHeight="1" x14ac:dyDescent="0.25">
      <c r="A255" t="s">
        <v>688</v>
      </c>
      <c r="B255">
        <v>19200754</v>
      </c>
    </row>
    <row r="256" spans="1:2" ht="17.25" customHeight="1" x14ac:dyDescent="0.25">
      <c r="A256" t="s">
        <v>688</v>
      </c>
      <c r="B256">
        <v>19200754</v>
      </c>
    </row>
    <row r="257" spans="1:2" ht="17.25" customHeight="1" x14ac:dyDescent="0.25">
      <c r="A257" t="s">
        <v>688</v>
      </c>
      <c r="B257">
        <v>19200754</v>
      </c>
    </row>
    <row r="258" spans="1:2" ht="17.25" customHeight="1" x14ac:dyDescent="0.25">
      <c r="A258" t="s">
        <v>688</v>
      </c>
      <c r="B258">
        <v>19200754</v>
      </c>
    </row>
    <row r="259" spans="1:2" ht="17.25" customHeight="1" x14ac:dyDescent="0.25">
      <c r="A259" t="s">
        <v>689</v>
      </c>
      <c r="B259">
        <v>19586992</v>
      </c>
    </row>
    <row r="260" spans="1:2" ht="17.25" customHeight="1" x14ac:dyDescent="0.25">
      <c r="A260" t="s">
        <v>690</v>
      </c>
      <c r="B260">
        <v>19681796</v>
      </c>
    </row>
    <row r="261" spans="1:2" ht="17.25" customHeight="1" x14ac:dyDescent="0.25">
      <c r="A261" t="s">
        <v>690</v>
      </c>
      <c r="B261">
        <v>19681796</v>
      </c>
    </row>
    <row r="262" spans="1:2" ht="17.25" customHeight="1" x14ac:dyDescent="0.25">
      <c r="A262" t="s">
        <v>690</v>
      </c>
      <c r="B262">
        <v>19681796</v>
      </c>
    </row>
    <row r="263" spans="1:2" ht="17.25" customHeight="1" x14ac:dyDescent="0.25">
      <c r="A263" t="s">
        <v>690</v>
      </c>
      <c r="B263">
        <v>19681796</v>
      </c>
    </row>
    <row r="264" spans="1:2" ht="17.25" customHeight="1" x14ac:dyDescent="0.25">
      <c r="A264" t="s">
        <v>690</v>
      </c>
      <c r="B264">
        <v>19681796</v>
      </c>
    </row>
    <row r="265" spans="1:2" ht="17.25" customHeight="1" x14ac:dyDescent="0.25">
      <c r="A265" t="s">
        <v>691</v>
      </c>
      <c r="B265">
        <v>20212926</v>
      </c>
    </row>
    <row r="266" spans="1:2" ht="17.25" customHeight="1" x14ac:dyDescent="0.25">
      <c r="A266" t="s">
        <v>692</v>
      </c>
      <c r="B266">
        <v>8325282</v>
      </c>
    </row>
    <row r="267" spans="1:2" ht="17.25" customHeight="1" x14ac:dyDescent="0.25">
      <c r="A267" t="s">
        <v>692</v>
      </c>
      <c r="B267">
        <v>8325282</v>
      </c>
    </row>
    <row r="268" spans="1:2" ht="17.25" customHeight="1" x14ac:dyDescent="0.25">
      <c r="A268" t="s">
        <v>693</v>
      </c>
      <c r="B268">
        <v>20003537</v>
      </c>
    </row>
    <row r="269" spans="1:2" ht="17.25" customHeight="1" x14ac:dyDescent="0.25">
      <c r="A269" t="s">
        <v>693</v>
      </c>
      <c r="B269">
        <v>20003537</v>
      </c>
    </row>
    <row r="270" spans="1:2" ht="17.25" customHeight="1" x14ac:dyDescent="0.25">
      <c r="A270" t="s">
        <v>694</v>
      </c>
      <c r="B270">
        <v>18754354</v>
      </c>
    </row>
    <row r="271" spans="1:2" ht="17.25" customHeight="1" x14ac:dyDescent="0.25">
      <c r="A271" t="s">
        <v>695</v>
      </c>
      <c r="B271">
        <v>16633294</v>
      </c>
    </row>
    <row r="272" spans="1:2" ht="17.25" customHeight="1" x14ac:dyDescent="0.25">
      <c r="A272" t="s">
        <v>695</v>
      </c>
      <c r="B272">
        <v>16633294</v>
      </c>
    </row>
    <row r="273" spans="1:2" ht="17.25" customHeight="1" x14ac:dyDescent="0.25">
      <c r="A273" t="s">
        <v>695</v>
      </c>
      <c r="B273">
        <v>16633294</v>
      </c>
    </row>
    <row r="274" spans="1:2" ht="17.25" customHeight="1" x14ac:dyDescent="0.25">
      <c r="A274" t="s">
        <v>695</v>
      </c>
      <c r="B274">
        <v>16633294</v>
      </c>
    </row>
    <row r="275" spans="1:2" ht="17.25" customHeight="1" x14ac:dyDescent="0.25">
      <c r="A275" t="s">
        <v>695</v>
      </c>
      <c r="B275">
        <v>16633294</v>
      </c>
    </row>
    <row r="276" spans="1:2" ht="17.25" customHeight="1" x14ac:dyDescent="0.25">
      <c r="A276" t="s">
        <v>695</v>
      </c>
      <c r="B276">
        <v>16633294</v>
      </c>
    </row>
    <row r="277" spans="1:2" ht="17.25" customHeight="1" x14ac:dyDescent="0.25">
      <c r="A277" t="s">
        <v>695</v>
      </c>
      <c r="B277">
        <v>16633294</v>
      </c>
    </row>
    <row r="278" spans="1:2" ht="17.25" customHeight="1" x14ac:dyDescent="0.25">
      <c r="A278" t="s">
        <v>695</v>
      </c>
      <c r="B278">
        <v>16633294</v>
      </c>
    </row>
    <row r="279" spans="1:2" ht="17.25" customHeight="1" x14ac:dyDescent="0.25">
      <c r="A279" t="s">
        <v>695</v>
      </c>
      <c r="B279">
        <v>16633294</v>
      </c>
    </row>
    <row r="280" spans="1:2" ht="17.25" customHeight="1" x14ac:dyDescent="0.25">
      <c r="A280" t="s">
        <v>695</v>
      </c>
      <c r="B280">
        <v>16633294</v>
      </c>
    </row>
    <row r="281" spans="1:2" ht="17.25" customHeight="1" x14ac:dyDescent="0.25">
      <c r="A281" t="s">
        <v>695</v>
      </c>
      <c r="B281">
        <v>16633294</v>
      </c>
    </row>
    <row r="282" spans="1:2" ht="17.25" customHeight="1" x14ac:dyDescent="0.25">
      <c r="A282" t="s">
        <v>695</v>
      </c>
      <c r="B282">
        <v>16633294</v>
      </c>
    </row>
    <row r="283" spans="1:2" ht="17.25" customHeight="1" x14ac:dyDescent="0.25">
      <c r="A283" t="s">
        <v>695</v>
      </c>
      <c r="B283">
        <v>16633294</v>
      </c>
    </row>
    <row r="284" spans="1:2" ht="17.25" customHeight="1" x14ac:dyDescent="0.25">
      <c r="A284" t="s">
        <v>696</v>
      </c>
      <c r="B284">
        <v>20220688</v>
      </c>
    </row>
    <row r="285" spans="1:2" ht="17.25" customHeight="1" x14ac:dyDescent="0.25">
      <c r="A285" t="s">
        <v>696</v>
      </c>
      <c r="B285">
        <v>20220688</v>
      </c>
    </row>
    <row r="286" spans="1:2" ht="17.25" customHeight="1" x14ac:dyDescent="0.25">
      <c r="A286" t="s">
        <v>696</v>
      </c>
      <c r="B286">
        <v>20220688</v>
      </c>
    </row>
    <row r="287" spans="1:2" ht="17.25" customHeight="1" x14ac:dyDescent="0.25">
      <c r="A287" t="s">
        <v>696</v>
      </c>
      <c r="B287">
        <v>20220688</v>
      </c>
    </row>
    <row r="288" spans="1:2" ht="17.25" customHeight="1" x14ac:dyDescent="0.25">
      <c r="A288" t="s">
        <v>696</v>
      </c>
      <c r="B288">
        <v>20220688</v>
      </c>
    </row>
    <row r="289" spans="1:2" ht="17.25" customHeight="1" x14ac:dyDescent="0.25">
      <c r="A289" t="s">
        <v>696</v>
      </c>
      <c r="B289">
        <v>20220688</v>
      </c>
    </row>
    <row r="290" spans="1:2" ht="17.25" customHeight="1" x14ac:dyDescent="0.25">
      <c r="A290" t="s">
        <v>696</v>
      </c>
      <c r="B290">
        <v>20220688</v>
      </c>
    </row>
    <row r="291" spans="1:2" ht="17.25" customHeight="1" x14ac:dyDescent="0.25">
      <c r="A291" t="s">
        <v>696</v>
      </c>
      <c r="B291">
        <v>20220688</v>
      </c>
    </row>
    <row r="292" spans="1:2" ht="17.25" customHeight="1" x14ac:dyDescent="0.25">
      <c r="A292" t="s">
        <v>696</v>
      </c>
      <c r="B292">
        <v>20220688</v>
      </c>
    </row>
    <row r="293" spans="1:2" ht="17.25" customHeight="1" x14ac:dyDescent="0.25">
      <c r="A293" t="s">
        <v>696</v>
      </c>
      <c r="B293">
        <v>20220688</v>
      </c>
    </row>
    <row r="294" spans="1:2" ht="17.25" customHeight="1" x14ac:dyDescent="0.25">
      <c r="A294" t="s">
        <v>696</v>
      </c>
      <c r="B294">
        <v>20220688</v>
      </c>
    </row>
    <row r="295" spans="1:2" ht="17.25" customHeight="1" x14ac:dyDescent="0.25">
      <c r="A295" t="s">
        <v>696</v>
      </c>
      <c r="B295">
        <v>20220688</v>
      </c>
    </row>
    <row r="296" spans="1:2" ht="17.25" customHeight="1" x14ac:dyDescent="0.25">
      <c r="A296" t="s">
        <v>696</v>
      </c>
      <c r="B296">
        <v>20220688</v>
      </c>
    </row>
    <row r="297" spans="1:2" ht="17.25" customHeight="1" x14ac:dyDescent="0.25">
      <c r="A297" t="s">
        <v>696</v>
      </c>
      <c r="B297">
        <v>20220688</v>
      </c>
    </row>
    <row r="298" spans="1:2" ht="17.25" customHeight="1" x14ac:dyDescent="0.25">
      <c r="A298" t="s">
        <v>696</v>
      </c>
      <c r="B298">
        <v>20220688</v>
      </c>
    </row>
    <row r="299" spans="1:2" ht="17.25" customHeight="1" x14ac:dyDescent="0.25">
      <c r="A299" t="s">
        <v>696</v>
      </c>
      <c r="B299">
        <v>20220688</v>
      </c>
    </row>
    <row r="300" spans="1:2" ht="17.25" customHeight="1" x14ac:dyDescent="0.25">
      <c r="A300" t="s">
        <v>696</v>
      </c>
      <c r="B300">
        <v>20220688</v>
      </c>
    </row>
    <row r="301" spans="1:2" ht="17.25" customHeight="1" x14ac:dyDescent="0.25">
      <c r="A301" t="s">
        <v>696</v>
      </c>
      <c r="B301">
        <v>20220688</v>
      </c>
    </row>
    <row r="302" spans="1:2" ht="17.25" customHeight="1" x14ac:dyDescent="0.25">
      <c r="A302" t="s">
        <v>696</v>
      </c>
      <c r="B302">
        <v>20220688</v>
      </c>
    </row>
    <row r="303" spans="1:2" ht="17.25" customHeight="1" x14ac:dyDescent="0.25">
      <c r="A303" t="s">
        <v>696</v>
      </c>
      <c r="B303">
        <v>20220688</v>
      </c>
    </row>
    <row r="304" spans="1:2" ht="17.25" customHeight="1" x14ac:dyDescent="0.25">
      <c r="A304" t="s">
        <v>696</v>
      </c>
      <c r="B304">
        <v>20220688</v>
      </c>
    </row>
    <row r="305" spans="1:2" ht="17.25" customHeight="1" x14ac:dyDescent="0.25">
      <c r="A305" t="s">
        <v>696</v>
      </c>
      <c r="B305">
        <v>20220688</v>
      </c>
    </row>
    <row r="306" spans="1:2" ht="17.25" customHeight="1" x14ac:dyDescent="0.25">
      <c r="A306" t="s">
        <v>696</v>
      </c>
      <c r="B306">
        <v>20220688</v>
      </c>
    </row>
    <row r="307" spans="1:2" ht="17.25" customHeight="1" x14ac:dyDescent="0.25">
      <c r="A307" t="s">
        <v>696</v>
      </c>
      <c r="B307">
        <v>20220688</v>
      </c>
    </row>
    <row r="308" spans="1:2" ht="17.25" customHeight="1" x14ac:dyDescent="0.25">
      <c r="A308" t="s">
        <v>696</v>
      </c>
      <c r="B308">
        <v>20220688</v>
      </c>
    </row>
    <row r="309" spans="1:2" ht="17.25" customHeight="1" x14ac:dyDescent="0.25">
      <c r="A309" t="s">
        <v>696</v>
      </c>
      <c r="B309">
        <v>20220688</v>
      </c>
    </row>
    <row r="310" spans="1:2" ht="17.25" customHeight="1" x14ac:dyDescent="0.25">
      <c r="A310" t="s">
        <v>696</v>
      </c>
      <c r="B310">
        <v>20220688</v>
      </c>
    </row>
    <row r="311" spans="1:2" ht="17.25" customHeight="1" x14ac:dyDescent="0.25">
      <c r="A311" t="s">
        <v>696</v>
      </c>
      <c r="B311">
        <v>20220688</v>
      </c>
    </row>
    <row r="312" spans="1:2" ht="17.25" customHeight="1" x14ac:dyDescent="0.25">
      <c r="A312" t="s">
        <v>696</v>
      </c>
      <c r="B312">
        <v>20220688</v>
      </c>
    </row>
    <row r="313" spans="1:2" ht="17.25" customHeight="1" x14ac:dyDescent="0.25">
      <c r="A313" t="s">
        <v>696</v>
      </c>
      <c r="B313">
        <v>20220688</v>
      </c>
    </row>
    <row r="314" spans="1:2" ht="17.25" customHeight="1" x14ac:dyDescent="0.25">
      <c r="A314" t="s">
        <v>696</v>
      </c>
      <c r="B314">
        <v>20220688</v>
      </c>
    </row>
    <row r="315" spans="1:2" ht="17.25" customHeight="1" x14ac:dyDescent="0.25">
      <c r="A315" t="s">
        <v>696</v>
      </c>
      <c r="B315">
        <v>20220688</v>
      </c>
    </row>
    <row r="316" spans="1:2" ht="17.25" customHeight="1" x14ac:dyDescent="0.25">
      <c r="A316" t="s">
        <v>696</v>
      </c>
      <c r="B316">
        <v>20220688</v>
      </c>
    </row>
    <row r="317" spans="1:2" ht="17.25" customHeight="1" x14ac:dyDescent="0.25">
      <c r="A317" t="s">
        <v>696</v>
      </c>
      <c r="B317">
        <v>20220688</v>
      </c>
    </row>
    <row r="318" spans="1:2" ht="17.25" customHeight="1" x14ac:dyDescent="0.25">
      <c r="A318" t="s">
        <v>696</v>
      </c>
      <c r="B318">
        <v>20220688</v>
      </c>
    </row>
    <row r="319" spans="1:2" ht="17.25" customHeight="1" x14ac:dyDescent="0.25">
      <c r="A319" t="s">
        <v>696</v>
      </c>
      <c r="B319">
        <v>20220688</v>
      </c>
    </row>
    <row r="320" spans="1:2" ht="17.25" customHeight="1" x14ac:dyDescent="0.25">
      <c r="A320" t="s">
        <v>696</v>
      </c>
      <c r="B320">
        <v>20220688</v>
      </c>
    </row>
    <row r="321" spans="1:2" ht="17.25" customHeight="1" x14ac:dyDescent="0.25">
      <c r="A321" t="s">
        <v>696</v>
      </c>
      <c r="B321">
        <v>20220688</v>
      </c>
    </row>
    <row r="322" spans="1:2" ht="17.25" customHeight="1" x14ac:dyDescent="0.25">
      <c r="A322" t="s">
        <v>696</v>
      </c>
      <c r="B322">
        <v>20220688</v>
      </c>
    </row>
    <row r="323" spans="1:2" ht="17.25" customHeight="1" x14ac:dyDescent="0.25">
      <c r="A323" t="s">
        <v>696</v>
      </c>
      <c r="B323">
        <v>20220688</v>
      </c>
    </row>
    <row r="324" spans="1:2" ht="17.25" customHeight="1" x14ac:dyDescent="0.25">
      <c r="A324" t="s">
        <v>696</v>
      </c>
      <c r="B324">
        <v>20220688</v>
      </c>
    </row>
    <row r="325" spans="1:2" ht="17.25" customHeight="1" x14ac:dyDescent="0.25">
      <c r="A325" t="s">
        <v>696</v>
      </c>
      <c r="B325">
        <v>20220688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Policy Details</vt:lpstr>
      <vt:lpstr>clean sheet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2025-09-02T14:41:44Z</dcterms:created>
  <dcterms:modified xsi:type="dcterms:W3CDTF">2025-09-04T03:18:35Z</dcterms:modified>
</cp:coreProperties>
</file>