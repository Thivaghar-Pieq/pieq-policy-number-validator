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0-17-25\"/>
    </mc:Choice>
  </mc:AlternateContent>
  <xr:revisionPtr revIDLastSave="0" documentId="13_ncr:1_{597BCF53-44B0-4A39-B61F-DBB23DEEB3F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2" i="2"/>
  <c r="P3" i="2"/>
  <c r="P2" i="2"/>
  <c r="O3" i="2"/>
  <c r="O2" i="2"/>
</calcChain>
</file>

<file path=xl/sharedStrings.xml><?xml version="1.0" encoding="utf-8"?>
<sst xmlns="http://schemas.openxmlformats.org/spreadsheetml/2006/main" count="85" uniqueCount="40">
  <si>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</si>
  <si>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</si>
  <si>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</si>
  <si>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</si>
  <si>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</si>
  <si>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</si>
  <si>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</si>
  <si>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</si>
  <si>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</si>
  <si>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</si>
  <si>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</si>
  <si>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</si>
  <si>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</si>
  <si>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</si>
  <si>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</si>
  <si>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</si>
  <si>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</si>
  <si>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</si>
  <si>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</si>
  <si>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</si>
  <si>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</si>
  <si>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</si>
  <si>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</si>
  <si>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</si>
  <si>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Mullins, Amy</t>
  </si>
  <si>
    <t>H</t>
  </si>
  <si>
    <t>Accident Insurance</t>
  </si>
  <si>
    <t>85</t>
  </si>
  <si>
    <t>Monthly</t>
  </si>
  <si>
    <t>FirstYear</t>
  </si>
  <si>
    <t>Portugal, Gary</t>
  </si>
  <si>
    <t>6LVU</t>
  </si>
  <si>
    <t>Gallimore, Nikeita</t>
  </si>
  <si>
    <t>L</t>
  </si>
  <si>
    <t>Term Life - 30 Year</t>
  </si>
  <si>
    <t xml:space="preserve">monthly premium </t>
  </si>
  <si>
    <t>monthly commission</t>
  </si>
  <si>
    <t>2024-20 and 30 Yr Term All States Where Applicable</t>
  </si>
  <si>
    <t>Accident Insurance CO/MN/SD/WA 85%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</si>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</sst>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opLeftCell="J1" workbookViewId="0">
      <selection activeCell="J1"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4151712906</v>
      </c>
      <c r="E2" t="s">
        <v>24</v>
      </c>
      <c r="F2" s="1">
        <v>45945</v>
      </c>
      <c r="G2" s="1"/>
      <c r="H2" s="1">
        <v>45947</v>
      </c>
      <c r="K2" t="s">
        <v>25</v>
      </c>
      <c r="L2" t="s">
        <v>26</v>
      </c>
      <c r="M2" t="s">
        <v>27</v>
      </c>
      <c r="N2" t="s">
        <v>28</v>
      </c>
      <c r="O2" s="2">
        <v>434.52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s="5">
        <v>4151712906</v>
      </c>
      <c r="E3" t="s">
        <v>24</v>
      </c>
      <c r="F3" s="1">
        <v>45945</v>
      </c>
      <c r="G3" s="1"/>
      <c r="H3" s="1">
        <v>45947</v>
      </c>
      <c r="K3" t="s">
        <v>25</v>
      </c>
      <c r="L3" t="s">
        <v>26</v>
      </c>
      <c r="M3" t="s">
        <v>27</v>
      </c>
      <c r="N3" t="s">
        <v>28</v>
      </c>
      <c r="O3" s="2">
        <v>434.52</v>
      </c>
      <c r="P3" t="s">
        <v>29</v>
      </c>
      <c r="Q3" s="4">
        <v>0.85</v>
      </c>
      <c r="S3" s="2">
        <v>277</v>
      </c>
      <c r="T3" s="2">
        <v>0</v>
      </c>
      <c r="U3" s="2">
        <v>277</v>
      </c>
    </row>
    <row r="4" spans="1:21" x14ac:dyDescent="0.25">
      <c r="A4" t="s">
        <v>21</v>
      </c>
      <c r="B4" t="s">
        <v>30</v>
      </c>
      <c r="C4" t="s">
        <v>31</v>
      </c>
      <c r="D4" s="5">
        <v>4351701731</v>
      </c>
      <c r="E4" t="s">
        <v>32</v>
      </c>
      <c r="F4" s="1">
        <v>45944</v>
      </c>
      <c r="G4" s="1"/>
      <c r="H4" s="1">
        <v>45947</v>
      </c>
      <c r="K4" t="s">
        <v>33</v>
      </c>
      <c r="L4" t="s">
        <v>34</v>
      </c>
      <c r="M4" t="s">
        <v>27</v>
      </c>
      <c r="N4" t="s">
        <v>28</v>
      </c>
      <c r="O4" s="2">
        <v>411.36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30</v>
      </c>
      <c r="C5" t="s">
        <v>31</v>
      </c>
      <c r="D5" s="5">
        <v>4351701731</v>
      </c>
      <c r="E5" t="s">
        <v>32</v>
      </c>
      <c r="F5" s="1">
        <v>45944</v>
      </c>
      <c r="G5" s="1"/>
      <c r="H5" s="1">
        <v>45947</v>
      </c>
      <c r="K5" t="s">
        <v>33</v>
      </c>
      <c r="L5" t="s">
        <v>34</v>
      </c>
      <c r="M5" t="s">
        <v>27</v>
      </c>
      <c r="N5" t="s">
        <v>28</v>
      </c>
      <c r="O5" s="2">
        <v>411.36</v>
      </c>
      <c r="P5" t="s">
        <v>29</v>
      </c>
      <c r="Q5" s="4">
        <v>1.3</v>
      </c>
      <c r="S5" s="2">
        <v>401.07</v>
      </c>
      <c r="T5" s="2">
        <v>0</v>
      </c>
      <c r="U5" s="2">
        <v>401.07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2090-E3DE-4AE6-92A9-ABB8850D9310}">
  <dimension ref="A1:Q3"/>
  <sheetViews>
    <sheetView tabSelected="1" topLeftCell="C1" workbookViewId="0">
      <selection activeCell="C2" sqref="C2"/>
    </sheetView>
  </sheetViews>
  <sheetFormatPr defaultRowHeight="15" x14ac:dyDescent="0.25"/>
  <cols>
    <col min="1" max="1" width="25.140625" style="7" bestFit="1" customWidth="1"/>
    <col min="2" max="2" width="28.140625" style="7" bestFit="1" customWidth="1"/>
    <col min="3" max="3" width="25.140625" style="7" bestFit="1" customWidth="1"/>
    <col min="4" max="4" width="27.140625" style="7" bestFit="1" customWidth="1"/>
    <col min="5" max="6" width="30.140625" style="7" bestFit="1" customWidth="1"/>
    <col min="7" max="7" width="31.140625" style="7" bestFit="1" customWidth="1"/>
    <col min="8" max="8" width="20.140625" style="7" bestFit="1" customWidth="1"/>
    <col min="9" max="9" width="16.140625" style="7" bestFit="1" customWidth="1"/>
    <col min="10" max="10" width="24.140625" style="7" bestFit="1" customWidth="1"/>
    <col min="11" max="12" width="27.140625" style="7" bestFit="1" customWidth="1"/>
    <col min="13" max="13" width="22.140625" style="7" bestFit="1" customWidth="1"/>
    <col min="14" max="14" width="26.140625" style="7" bestFit="1" customWidth="1"/>
    <col min="15" max="16384" width="9.140625" style="7"/>
  </cols>
  <sheetData>
    <row r="1" spans="1:17" ht="45" x14ac:dyDescent="0.25">
      <c r="A1" s="6" t="s">
        <v>1</v>
      </c>
      <c r="B1" s="6" t="s">
        <v>2</v>
      </c>
      <c r="C1" s="6" t="s">
        <v>3</v>
      </c>
      <c r="D1" s="6" t="s">
        <v>4</v>
      </c>
      <c r="E1" s="12" t="s">
        <v>39</v>
      </c>
      <c r="F1" s="6" t="s">
        <v>7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18</v>
      </c>
      <c r="N1" s="6" t="s">
        <v>20</v>
      </c>
      <c r="O1" s="7" t="s">
        <v>35</v>
      </c>
      <c r="P1" s="7" t="s">
        <v>36</v>
      </c>
    </row>
    <row r="2" spans="1:17" ht="30" x14ac:dyDescent="0.25">
      <c r="A2" s="7" t="s">
        <v>22</v>
      </c>
      <c r="B2" s="7" t="s">
        <v>23</v>
      </c>
      <c r="C2" s="8">
        <v>4151712906</v>
      </c>
      <c r="D2" s="7" t="s">
        <v>24</v>
      </c>
      <c r="E2" s="9">
        <v>45939</v>
      </c>
      <c r="F2" s="9">
        <v>45947</v>
      </c>
      <c r="G2" s="7" t="s">
        <v>38</v>
      </c>
      <c r="H2" s="8">
        <v>85</v>
      </c>
      <c r="I2" s="7" t="s">
        <v>28</v>
      </c>
      <c r="J2" s="10">
        <v>434.52</v>
      </c>
      <c r="K2" s="7" t="s">
        <v>29</v>
      </c>
      <c r="L2" s="11">
        <v>0.85</v>
      </c>
      <c r="M2" s="10">
        <v>277</v>
      </c>
      <c r="N2" s="10">
        <v>277</v>
      </c>
      <c r="O2" s="10">
        <f>SUM(J2/12)</f>
        <v>36.21</v>
      </c>
      <c r="P2" s="10">
        <f>SUM(M2/9)</f>
        <v>30.777777777777779</v>
      </c>
      <c r="Q2" s="10">
        <f>SUM(O2*9)</f>
        <v>325.89</v>
      </c>
    </row>
    <row r="3" spans="1:17" ht="30" x14ac:dyDescent="0.25">
      <c r="A3" s="7" t="s">
        <v>30</v>
      </c>
      <c r="B3" s="7" t="s">
        <v>31</v>
      </c>
      <c r="C3" s="8">
        <v>4351701731</v>
      </c>
      <c r="D3" s="7" t="s">
        <v>32</v>
      </c>
      <c r="E3" s="9">
        <v>45935</v>
      </c>
      <c r="F3" s="9">
        <v>45947</v>
      </c>
      <c r="G3" s="7" t="s">
        <v>37</v>
      </c>
      <c r="H3" s="8">
        <v>85</v>
      </c>
      <c r="I3" s="7" t="s">
        <v>28</v>
      </c>
      <c r="J3" s="10">
        <v>411.36</v>
      </c>
      <c r="K3" s="7" t="s">
        <v>29</v>
      </c>
      <c r="L3" s="11">
        <v>1.3</v>
      </c>
      <c r="M3" s="10">
        <v>401.07</v>
      </c>
      <c r="N3" s="10">
        <v>401.07</v>
      </c>
      <c r="O3" s="10">
        <f>SUM(J3/12)</f>
        <v>34.28</v>
      </c>
      <c r="P3" s="10">
        <f>SUM(M3/9)</f>
        <v>44.563333333333333</v>
      </c>
      <c r="Q3" s="10">
        <f>SUM(O3*9)</f>
        <v>308.52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2025-10-17T15:48:29Z</dcterms:created>
  <dcterms:modified xsi:type="dcterms:W3CDTF">2025-10-22T00:01:31Z</dcterms:modified>
</cp:coreProperties>
</file>