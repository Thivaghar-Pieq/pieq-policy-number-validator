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8-1-25\"/>
    </mc:Choice>
  </mc:AlternateContent>
  <xr:revisionPtr revIDLastSave="0" documentId="13_ncr:1_{B0BDCE94-921A-437C-A274-0AC421F0CF3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olicy Detail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" i="2"/>
  <c r="U9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3" i="2"/>
  <c r="U4" i="2"/>
  <c r="U5" i="2"/>
  <c r="U6" i="2"/>
  <c r="U7" i="2"/>
  <c r="U8" i="2"/>
  <c r="U2" i="2"/>
  <c r="Q3" i="2"/>
  <c r="P3" i="2" s="1"/>
  <c r="Q4" i="2"/>
  <c r="P4" i="2" s="1"/>
  <c r="Q5" i="2"/>
  <c r="P5" i="2" s="1"/>
  <c r="Q10" i="2"/>
  <c r="P10" i="2" s="1"/>
  <c r="Q11" i="2"/>
  <c r="P11" i="2" s="1"/>
  <c r="Q6" i="2"/>
  <c r="P6" i="2" s="1"/>
  <c r="Q12" i="2"/>
  <c r="P12" i="2" s="1"/>
  <c r="Q13" i="2"/>
  <c r="P13" i="2" s="1"/>
  <c r="Q14" i="2"/>
  <c r="P14" i="2" s="1"/>
  <c r="Q15" i="2"/>
  <c r="P15" i="2" s="1"/>
  <c r="Q16" i="2"/>
  <c r="P16" i="2" s="1"/>
  <c r="Q7" i="2"/>
  <c r="P7" i="2" s="1"/>
  <c r="Q17" i="2"/>
  <c r="P17" i="2" s="1"/>
  <c r="Q18" i="2"/>
  <c r="P18" i="2" s="1"/>
  <c r="Q19" i="2"/>
  <c r="P19" i="2" s="1"/>
  <c r="Q20" i="2"/>
  <c r="P20" i="2" s="1"/>
  <c r="Q21" i="2"/>
  <c r="P21" i="2" s="1"/>
  <c r="Q22" i="2"/>
  <c r="P22" i="2" s="1"/>
  <c r="Q23" i="2"/>
  <c r="P23" i="2" s="1"/>
  <c r="Q24" i="2"/>
  <c r="P24" i="2" s="1"/>
  <c r="Q25" i="2"/>
  <c r="P25" i="2" s="1"/>
  <c r="Q8" i="2"/>
  <c r="P8" i="2" s="1"/>
  <c r="Q2" i="2"/>
  <c r="P2" i="2" s="1"/>
  <c r="Y9" i="2"/>
  <c r="Z9" i="2" s="1"/>
</calcChain>
</file>

<file path=xl/sharedStrings.xml><?xml version="1.0" encoding="utf-8"?>
<sst xmlns="http://schemas.openxmlformats.org/spreadsheetml/2006/main" count="726" uniqueCount="105">
  <si>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</si>
  <si>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</si>
  <si>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</si>
  <si>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</si>
  <si>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</si>
  <si>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</si>
  <si>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</si>
  <si>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</si>
  <si>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</si>
  <si>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</si>
  <si>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</si>
  <si>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</si>
  <si>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</si>
  <si>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</si>
  <si>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</si>
  <si>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</si>
  <si>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</si>
  <si>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</si>
  <si>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</si>
  <si>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</si>
  <si>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</si>
  <si>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</si>
  <si>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</si>
  <si>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</si>
  <si>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4151575782</t>
  </si>
  <si>
    <t>Gruver, Antoine</t>
  </si>
  <si>
    <t>H</t>
  </si>
  <si>
    <t>85</t>
  </si>
  <si>
    <t>Unknown</t>
  </si>
  <si>
    <t>FirstYear</t>
  </si>
  <si>
    <t>UNSECURED ADVANCE RECOVERY</t>
  </si>
  <si>
    <t>4151577286</t>
  </si>
  <si>
    <t>Lisondra, Greza</t>
  </si>
  <si>
    <t>4151663275</t>
  </si>
  <si>
    <t>Bradford, Hunter</t>
  </si>
  <si>
    <t>Oliver, Brittany</t>
  </si>
  <si>
    <t>6EVF</t>
  </si>
  <si>
    <t>4151678939</t>
  </si>
  <si>
    <t>Farrell, Thomas</t>
  </si>
  <si>
    <t>Accident Insurance</t>
  </si>
  <si>
    <t>Monthly</t>
  </si>
  <si>
    <t>Kozacheck, Anne Marie</t>
  </si>
  <si>
    <t>6MEW</t>
  </si>
  <si>
    <t>4151680794</t>
  </si>
  <si>
    <t>Dean, Tanya</t>
  </si>
  <si>
    <t>Assurity Critical Illness</t>
  </si>
  <si>
    <t>4151683718</t>
  </si>
  <si>
    <t>Dailey, Victoria</t>
  </si>
  <si>
    <t>Porraz, Marissa</t>
  </si>
  <si>
    <t>6PYE</t>
  </si>
  <si>
    <t>4151684896</t>
  </si>
  <si>
    <t>Gomez, Leydy</t>
  </si>
  <si>
    <t>4151685271</t>
  </si>
  <si>
    <t>Nugent, Mackenzie</t>
  </si>
  <si>
    <t>4151685281</t>
  </si>
  <si>
    <t>Bostian, Joseph</t>
  </si>
  <si>
    <t>4151685527</t>
  </si>
  <si>
    <t>Bose, Andrew</t>
  </si>
  <si>
    <t>4151686069</t>
  </si>
  <si>
    <t>Broadway, Jeanell</t>
  </si>
  <si>
    <t>4151686233</t>
  </si>
  <si>
    <t>Chance, Kendra</t>
  </si>
  <si>
    <t>4151686357</t>
  </si>
  <si>
    <t>Tutin, Phyllis</t>
  </si>
  <si>
    <t>4151687180</t>
  </si>
  <si>
    <t>Stambaugh, Grace</t>
  </si>
  <si>
    <t>4151687575</t>
  </si>
  <si>
    <t>Green, Cherie</t>
  </si>
  <si>
    <t>4151687694</t>
  </si>
  <si>
    <t>Collins, Kendra</t>
  </si>
  <si>
    <t>4151687717</t>
  </si>
  <si>
    <t>Orlando, Laura</t>
  </si>
  <si>
    <t>Santos, Ricardo</t>
  </si>
  <si>
    <t>6LW6</t>
  </si>
  <si>
    <t>4151688039</t>
  </si>
  <si>
    <t>Haddock, Teresa</t>
  </si>
  <si>
    <t>Garnett, Michael</t>
  </si>
  <si>
    <t>6QHD</t>
  </si>
  <si>
    <t>4151688264</t>
  </si>
  <si>
    <t>Rettaliata, John</t>
  </si>
  <si>
    <t>4151688337</t>
  </si>
  <si>
    <t>Mosongo, Bryan</t>
  </si>
  <si>
    <t>4151688644</t>
  </si>
  <si>
    <t>Hawkins, Franswayn</t>
  </si>
  <si>
    <t>4151688924</t>
  </si>
  <si>
    <t>Atchison, Trevor</t>
  </si>
  <si>
    <t>4151688994</t>
  </si>
  <si>
    <t>Anderson, Gayle</t>
  </si>
  <si>
    <t>4151689383</t>
  </si>
  <si>
    <t>Mathews, Deana</t>
  </si>
  <si>
    <t>4151689822</t>
  </si>
  <si>
    <t>Gerber, Leslie</t>
  </si>
  <si>
    <t>4151689844</t>
  </si>
  <si>
    <t>Allen, Ronald</t>
  </si>
  <si>
    <t>2024-Accident Insurance- All States Applicable Except (CO/MN/SD/WA)100</t>
  </si>
  <si>
    <t>2024-Simplified Critical Illness ALL STATES (60%)</t>
  </si>
  <si>
    <t>1-3 2024- Accident Insurance All States Applicable Except (CO/MN/SD/WA) 95%</t>
  </si>
  <si>
    <t>All States Where Applicable except CT, MT</t>
  </si>
  <si>
    <t>NB</t>
  </si>
  <si>
    <t>AV</t>
  </si>
  <si>
    <t>RN</t>
  </si>
  <si>
    <t>AE</t>
  </si>
  <si>
    <t>17554531AV9</t>
  </si>
  <si>
    <t>19200754AV9</t>
  </si>
  <si>
    <t>21617661AV9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</si>
</sst>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b/>
      <sz val="11"/>
      <name val="Arial"/>
      <family val="2"/>
    </font>
    <font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0" xfId="0" applyNumberFormat="1" applyFill="1" applyAlignment="1">
      <alignment vertical="center" wrapText="1"/>
    </xf>
    <xf numFmtId="2" fontId="0" fillId="4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opLeftCell="L1" workbookViewId="0">
      <selection activeCell="U1" sqref="U1:U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0" customFormat="1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1">
        <v>45870</v>
      </c>
      <c r="G2" s="11"/>
      <c r="H2" s="11">
        <v>45870</v>
      </c>
      <c r="K2" s="10" t="s">
        <v>26</v>
      </c>
      <c r="M2" s="10" t="s">
        <v>27</v>
      </c>
      <c r="N2" s="10" t="s">
        <v>28</v>
      </c>
      <c r="O2" s="12">
        <v>0</v>
      </c>
      <c r="P2" s="10" t="s">
        <v>29</v>
      </c>
      <c r="Q2" s="13">
        <v>0</v>
      </c>
      <c r="R2" s="10" t="s">
        <v>30</v>
      </c>
      <c r="S2" s="12">
        <v>0</v>
      </c>
      <c r="T2" s="12">
        <v>0</v>
      </c>
      <c r="U2" s="12">
        <v>-0.01</v>
      </c>
    </row>
    <row r="3" spans="1:21" s="10" customFormat="1">
      <c r="A3" s="10" t="s">
        <v>21</v>
      </c>
      <c r="B3" s="10" t="s">
        <v>22</v>
      </c>
      <c r="C3" s="10" t="s">
        <v>23</v>
      </c>
      <c r="D3" s="10" t="s">
        <v>31</v>
      </c>
      <c r="E3" s="10" t="s">
        <v>32</v>
      </c>
      <c r="F3" s="11">
        <v>45870</v>
      </c>
      <c r="G3" s="11"/>
      <c r="H3" s="11">
        <v>45870</v>
      </c>
      <c r="K3" s="10" t="s">
        <v>26</v>
      </c>
      <c r="M3" s="10" t="s">
        <v>27</v>
      </c>
      <c r="N3" s="10" t="s">
        <v>28</v>
      </c>
      <c r="O3" s="12">
        <v>0</v>
      </c>
      <c r="P3" s="10" t="s">
        <v>29</v>
      </c>
      <c r="Q3" s="13">
        <v>0</v>
      </c>
      <c r="R3" s="10" t="s">
        <v>30</v>
      </c>
      <c r="S3" s="12">
        <v>0</v>
      </c>
      <c r="T3" s="12">
        <v>0</v>
      </c>
      <c r="U3" s="12">
        <v>-0.03</v>
      </c>
    </row>
    <row r="4" spans="1:21" s="10" customFormat="1">
      <c r="A4" s="10" t="s">
        <v>21</v>
      </c>
      <c r="B4" s="10" t="s">
        <v>22</v>
      </c>
      <c r="C4" s="10" t="s">
        <v>23</v>
      </c>
      <c r="D4" s="10" t="s">
        <v>33</v>
      </c>
      <c r="E4" s="10" t="s">
        <v>34</v>
      </c>
      <c r="F4" s="11">
        <v>45870</v>
      </c>
      <c r="G4" s="11"/>
      <c r="H4" s="11">
        <v>45870</v>
      </c>
      <c r="K4" s="10" t="s">
        <v>26</v>
      </c>
      <c r="M4" s="10" t="s">
        <v>27</v>
      </c>
      <c r="N4" s="10" t="s">
        <v>28</v>
      </c>
      <c r="O4" s="12">
        <v>0</v>
      </c>
      <c r="P4" s="10" t="s">
        <v>29</v>
      </c>
      <c r="Q4" s="13">
        <v>0</v>
      </c>
      <c r="R4" s="10" t="s">
        <v>30</v>
      </c>
      <c r="S4" s="12">
        <v>0</v>
      </c>
      <c r="T4" s="12">
        <v>0</v>
      </c>
      <c r="U4" s="12">
        <v>-323.12</v>
      </c>
    </row>
    <row r="5" spans="1:21">
      <c r="A5" t="s">
        <v>21</v>
      </c>
      <c r="B5" t="s">
        <v>35</v>
      </c>
      <c r="C5" t="s">
        <v>36</v>
      </c>
      <c r="D5" t="s">
        <v>37</v>
      </c>
      <c r="E5" t="s">
        <v>38</v>
      </c>
      <c r="F5" s="1">
        <v>45866</v>
      </c>
      <c r="G5" s="1"/>
      <c r="H5" s="1">
        <v>45870</v>
      </c>
      <c r="K5" t="s">
        <v>26</v>
      </c>
      <c r="L5" t="s">
        <v>39</v>
      </c>
      <c r="M5" t="s">
        <v>27</v>
      </c>
      <c r="N5" t="s">
        <v>40</v>
      </c>
      <c r="O5" s="2">
        <v>678.12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35</v>
      </c>
      <c r="C6" t="s">
        <v>36</v>
      </c>
      <c r="D6" t="s">
        <v>37</v>
      </c>
      <c r="E6" t="s">
        <v>38</v>
      </c>
      <c r="F6" s="1">
        <v>45866</v>
      </c>
      <c r="G6" s="1"/>
      <c r="H6" s="1">
        <v>45870</v>
      </c>
      <c r="K6" t="s">
        <v>26</v>
      </c>
      <c r="L6" t="s">
        <v>39</v>
      </c>
      <c r="M6" t="s">
        <v>27</v>
      </c>
      <c r="N6" t="s">
        <v>40</v>
      </c>
      <c r="O6" s="2">
        <v>678.12</v>
      </c>
      <c r="P6" t="s">
        <v>29</v>
      </c>
      <c r="Q6" s="4">
        <v>1</v>
      </c>
      <c r="S6" s="2">
        <v>508.59</v>
      </c>
      <c r="T6" s="2">
        <v>0</v>
      </c>
      <c r="U6" s="2">
        <v>508.59</v>
      </c>
    </row>
    <row r="7" spans="1:21">
      <c r="A7" t="s">
        <v>21</v>
      </c>
      <c r="B7" t="s">
        <v>41</v>
      </c>
      <c r="C7" t="s">
        <v>42</v>
      </c>
      <c r="D7" t="s">
        <v>43</v>
      </c>
      <c r="E7" t="s">
        <v>44</v>
      </c>
      <c r="F7" s="1">
        <v>45870</v>
      </c>
      <c r="G7" s="1"/>
      <c r="H7" s="1">
        <v>45870</v>
      </c>
      <c r="K7" t="s">
        <v>26</v>
      </c>
      <c r="L7" t="s">
        <v>45</v>
      </c>
      <c r="M7" t="s">
        <v>27</v>
      </c>
      <c r="N7" t="s">
        <v>40</v>
      </c>
      <c r="O7" s="2">
        <v>457.68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>
      <c r="A8" t="s">
        <v>21</v>
      </c>
      <c r="B8" t="s">
        <v>41</v>
      </c>
      <c r="C8" t="s">
        <v>42</v>
      </c>
      <c r="D8" t="s">
        <v>43</v>
      </c>
      <c r="E8" t="s">
        <v>44</v>
      </c>
      <c r="F8" s="1">
        <v>45870</v>
      </c>
      <c r="G8" s="1"/>
      <c r="H8" s="1">
        <v>45870</v>
      </c>
      <c r="K8" t="s">
        <v>26</v>
      </c>
      <c r="L8" t="s">
        <v>45</v>
      </c>
      <c r="M8" t="s">
        <v>27</v>
      </c>
      <c r="N8" t="s">
        <v>40</v>
      </c>
      <c r="O8" s="2">
        <v>457.68</v>
      </c>
      <c r="P8" t="s">
        <v>29</v>
      </c>
      <c r="Q8" s="4">
        <v>0.85</v>
      </c>
      <c r="S8" s="2">
        <v>291.77</v>
      </c>
      <c r="T8" s="2">
        <v>0</v>
      </c>
      <c r="U8" s="2">
        <v>291.77</v>
      </c>
    </row>
    <row r="9" spans="1:21">
      <c r="A9" t="s">
        <v>21</v>
      </c>
      <c r="B9" t="s">
        <v>22</v>
      </c>
      <c r="C9" t="s">
        <v>23</v>
      </c>
      <c r="D9" t="s">
        <v>46</v>
      </c>
      <c r="E9" t="s">
        <v>47</v>
      </c>
      <c r="F9" s="1">
        <v>45870</v>
      </c>
      <c r="G9" s="1"/>
      <c r="H9" s="1">
        <v>45870</v>
      </c>
      <c r="K9" t="s">
        <v>26</v>
      </c>
      <c r="L9" t="s">
        <v>39</v>
      </c>
      <c r="M9" t="s">
        <v>27</v>
      </c>
      <c r="N9" t="s">
        <v>40</v>
      </c>
      <c r="O9" s="2">
        <v>477.96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>
      <c r="A10" t="s">
        <v>21</v>
      </c>
      <c r="B10" t="s">
        <v>22</v>
      </c>
      <c r="C10" t="s">
        <v>23</v>
      </c>
      <c r="D10" t="s">
        <v>46</v>
      </c>
      <c r="E10" t="s">
        <v>47</v>
      </c>
      <c r="F10" s="1">
        <v>45870</v>
      </c>
      <c r="G10" s="1"/>
      <c r="H10" s="1">
        <v>45870</v>
      </c>
      <c r="K10" t="s">
        <v>26</v>
      </c>
      <c r="L10" t="s">
        <v>39</v>
      </c>
      <c r="M10" t="s">
        <v>27</v>
      </c>
      <c r="N10" t="s">
        <v>40</v>
      </c>
      <c r="O10" s="2">
        <v>477.96</v>
      </c>
      <c r="P10" t="s">
        <v>29</v>
      </c>
      <c r="Q10" s="4">
        <v>0.95</v>
      </c>
      <c r="S10" s="2">
        <v>340.54</v>
      </c>
      <c r="T10" s="2">
        <v>0</v>
      </c>
      <c r="U10" s="2">
        <v>340.54</v>
      </c>
    </row>
    <row r="11" spans="1:21">
      <c r="A11" t="s">
        <v>21</v>
      </c>
      <c r="B11" t="s">
        <v>48</v>
      </c>
      <c r="C11" t="s">
        <v>49</v>
      </c>
      <c r="D11" t="s">
        <v>50</v>
      </c>
      <c r="E11" t="s">
        <v>51</v>
      </c>
      <c r="F11" s="1">
        <v>45870</v>
      </c>
      <c r="G11" s="1"/>
      <c r="H11" s="1">
        <v>45870</v>
      </c>
      <c r="K11" t="s">
        <v>26</v>
      </c>
      <c r="L11" t="s">
        <v>39</v>
      </c>
      <c r="M11" t="s">
        <v>27</v>
      </c>
      <c r="N11" t="s">
        <v>40</v>
      </c>
      <c r="O11" s="2">
        <v>484.68</v>
      </c>
      <c r="P11" t="s">
        <v>29</v>
      </c>
      <c r="Q11" s="4">
        <v>0</v>
      </c>
      <c r="S11" s="2">
        <v>0</v>
      </c>
      <c r="T11" s="2">
        <v>0</v>
      </c>
      <c r="U11" s="2">
        <v>0</v>
      </c>
    </row>
    <row r="12" spans="1:21">
      <c r="A12" t="s">
        <v>21</v>
      </c>
      <c r="B12" t="s">
        <v>48</v>
      </c>
      <c r="C12" t="s">
        <v>49</v>
      </c>
      <c r="D12" t="s">
        <v>50</v>
      </c>
      <c r="E12" t="s">
        <v>51</v>
      </c>
      <c r="F12" s="1">
        <v>45870</v>
      </c>
      <c r="G12" s="1"/>
      <c r="H12" s="1">
        <v>45870</v>
      </c>
      <c r="K12" t="s">
        <v>26</v>
      </c>
      <c r="L12" t="s">
        <v>39</v>
      </c>
      <c r="M12" t="s">
        <v>27</v>
      </c>
      <c r="N12" t="s">
        <v>40</v>
      </c>
      <c r="O12" s="2">
        <v>484.68</v>
      </c>
      <c r="P12" t="s">
        <v>29</v>
      </c>
      <c r="Q12" s="4">
        <v>0.95</v>
      </c>
      <c r="S12" s="2">
        <v>345.33</v>
      </c>
      <c r="T12" s="2">
        <v>0</v>
      </c>
      <c r="U12" s="2">
        <v>345.33</v>
      </c>
    </row>
    <row r="13" spans="1:21">
      <c r="A13" t="s">
        <v>21</v>
      </c>
      <c r="B13" t="s">
        <v>35</v>
      </c>
      <c r="C13" t="s">
        <v>36</v>
      </c>
      <c r="D13" t="s">
        <v>52</v>
      </c>
      <c r="E13" t="s">
        <v>53</v>
      </c>
      <c r="F13" s="1">
        <v>45870</v>
      </c>
      <c r="G13" s="1"/>
      <c r="H13" s="1">
        <v>45870</v>
      </c>
      <c r="K13" t="s">
        <v>26</v>
      </c>
      <c r="L13" t="s">
        <v>45</v>
      </c>
      <c r="M13" t="s">
        <v>27</v>
      </c>
      <c r="N13" t="s">
        <v>40</v>
      </c>
      <c r="O13" s="2">
        <v>716.76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>
      <c r="A14" t="s">
        <v>21</v>
      </c>
      <c r="B14" t="s">
        <v>35</v>
      </c>
      <c r="C14" t="s">
        <v>36</v>
      </c>
      <c r="D14" t="s">
        <v>52</v>
      </c>
      <c r="E14" t="s">
        <v>53</v>
      </c>
      <c r="F14" s="1">
        <v>45870</v>
      </c>
      <c r="G14" s="1"/>
      <c r="H14" s="1">
        <v>45870</v>
      </c>
      <c r="K14" t="s">
        <v>26</v>
      </c>
      <c r="L14" t="s">
        <v>45</v>
      </c>
      <c r="M14" t="s">
        <v>27</v>
      </c>
      <c r="N14" t="s">
        <v>40</v>
      </c>
      <c r="O14" s="2">
        <v>716.76</v>
      </c>
      <c r="P14" t="s">
        <v>29</v>
      </c>
      <c r="Q14" s="4">
        <v>0.8</v>
      </c>
      <c r="S14" s="2">
        <v>430.05</v>
      </c>
      <c r="T14" s="2">
        <v>0</v>
      </c>
      <c r="U14" s="2">
        <v>430.05</v>
      </c>
    </row>
    <row r="15" spans="1:21">
      <c r="A15" t="s">
        <v>21</v>
      </c>
      <c r="B15" t="s">
        <v>35</v>
      </c>
      <c r="C15" t="s">
        <v>36</v>
      </c>
      <c r="D15" t="s">
        <v>54</v>
      </c>
      <c r="E15" t="s">
        <v>55</v>
      </c>
      <c r="F15" s="1">
        <v>45870</v>
      </c>
      <c r="G15" s="1"/>
      <c r="H15" s="1">
        <v>45870</v>
      </c>
      <c r="K15" t="s">
        <v>26</v>
      </c>
      <c r="L15" t="s">
        <v>39</v>
      </c>
      <c r="M15" t="s">
        <v>27</v>
      </c>
      <c r="N15" t="s">
        <v>40</v>
      </c>
      <c r="O15" s="2">
        <v>309.36</v>
      </c>
      <c r="P15" t="s">
        <v>29</v>
      </c>
      <c r="Q15" s="4">
        <v>0</v>
      </c>
      <c r="S15" s="2">
        <v>0</v>
      </c>
      <c r="T15" s="2">
        <v>0</v>
      </c>
      <c r="U15" s="2">
        <v>0</v>
      </c>
    </row>
    <row r="16" spans="1:21">
      <c r="A16" t="s">
        <v>21</v>
      </c>
      <c r="B16" t="s">
        <v>35</v>
      </c>
      <c r="C16" t="s">
        <v>36</v>
      </c>
      <c r="D16" t="s">
        <v>54</v>
      </c>
      <c r="E16" t="s">
        <v>55</v>
      </c>
      <c r="F16" s="1">
        <v>45870</v>
      </c>
      <c r="G16" s="1"/>
      <c r="H16" s="1">
        <v>45870</v>
      </c>
      <c r="K16" t="s">
        <v>26</v>
      </c>
      <c r="L16" t="s">
        <v>39</v>
      </c>
      <c r="M16" t="s">
        <v>27</v>
      </c>
      <c r="N16" t="s">
        <v>40</v>
      </c>
      <c r="O16" s="2">
        <v>309.36</v>
      </c>
      <c r="P16" t="s">
        <v>29</v>
      </c>
      <c r="Q16" s="4">
        <v>0.95</v>
      </c>
      <c r="S16" s="2">
        <v>220.41</v>
      </c>
      <c r="T16" s="2">
        <v>0</v>
      </c>
      <c r="U16" s="2">
        <v>220.41</v>
      </c>
    </row>
    <row r="17" spans="1:21">
      <c r="A17" t="s">
        <v>21</v>
      </c>
      <c r="B17" t="s">
        <v>22</v>
      </c>
      <c r="C17" t="s">
        <v>23</v>
      </c>
      <c r="D17" t="s">
        <v>56</v>
      </c>
      <c r="E17" t="s">
        <v>57</v>
      </c>
      <c r="F17" s="1">
        <v>45870</v>
      </c>
      <c r="G17" s="1"/>
      <c r="H17" s="1">
        <v>45870</v>
      </c>
      <c r="K17" t="s">
        <v>26</v>
      </c>
      <c r="L17" t="s">
        <v>39</v>
      </c>
      <c r="M17" t="s">
        <v>27</v>
      </c>
      <c r="N17" t="s">
        <v>40</v>
      </c>
      <c r="O17" s="2">
        <v>352.8</v>
      </c>
      <c r="P17" t="s">
        <v>29</v>
      </c>
      <c r="Q17" s="4">
        <v>0</v>
      </c>
      <c r="S17" s="2">
        <v>0</v>
      </c>
      <c r="T17" s="2">
        <v>0</v>
      </c>
      <c r="U17" s="2">
        <v>0</v>
      </c>
    </row>
    <row r="18" spans="1:21">
      <c r="A18" t="s">
        <v>21</v>
      </c>
      <c r="B18" t="s">
        <v>22</v>
      </c>
      <c r="C18" t="s">
        <v>23</v>
      </c>
      <c r="D18" t="s">
        <v>56</v>
      </c>
      <c r="E18" t="s">
        <v>57</v>
      </c>
      <c r="F18" s="1">
        <v>45870</v>
      </c>
      <c r="G18" s="1"/>
      <c r="H18" s="1">
        <v>45870</v>
      </c>
      <c r="K18" t="s">
        <v>26</v>
      </c>
      <c r="L18" t="s">
        <v>39</v>
      </c>
      <c r="M18" t="s">
        <v>27</v>
      </c>
      <c r="N18" t="s">
        <v>40</v>
      </c>
      <c r="O18" s="2">
        <v>352.8</v>
      </c>
      <c r="P18" t="s">
        <v>29</v>
      </c>
      <c r="Q18" s="4">
        <v>0.95</v>
      </c>
      <c r="S18" s="2">
        <v>251.37</v>
      </c>
      <c r="T18" s="2">
        <v>0</v>
      </c>
      <c r="U18" s="2">
        <v>251.37</v>
      </c>
    </row>
    <row r="19" spans="1:21">
      <c r="A19" t="s">
        <v>21</v>
      </c>
      <c r="B19" t="s">
        <v>22</v>
      </c>
      <c r="C19" t="s">
        <v>23</v>
      </c>
      <c r="D19" t="s">
        <v>58</v>
      </c>
      <c r="E19" t="s">
        <v>59</v>
      </c>
      <c r="F19" s="1">
        <v>45870</v>
      </c>
      <c r="G19" s="1"/>
      <c r="H19" s="1">
        <v>45870</v>
      </c>
      <c r="K19" t="s">
        <v>26</v>
      </c>
      <c r="L19" t="s">
        <v>39</v>
      </c>
      <c r="M19" t="s">
        <v>27</v>
      </c>
      <c r="N19" t="s">
        <v>40</v>
      </c>
      <c r="O19" s="2">
        <v>367.56</v>
      </c>
      <c r="P19" t="s">
        <v>29</v>
      </c>
      <c r="Q19" s="4">
        <v>0</v>
      </c>
      <c r="S19" s="2">
        <v>0</v>
      </c>
      <c r="T19" s="2">
        <v>0</v>
      </c>
      <c r="U19" s="2">
        <v>0</v>
      </c>
    </row>
    <row r="20" spans="1:21">
      <c r="A20" t="s">
        <v>21</v>
      </c>
      <c r="B20" t="s">
        <v>22</v>
      </c>
      <c r="C20" t="s">
        <v>23</v>
      </c>
      <c r="D20" t="s">
        <v>58</v>
      </c>
      <c r="E20" t="s">
        <v>59</v>
      </c>
      <c r="F20" s="1">
        <v>45870</v>
      </c>
      <c r="G20" s="1"/>
      <c r="H20" s="1">
        <v>45870</v>
      </c>
      <c r="K20" t="s">
        <v>26</v>
      </c>
      <c r="L20" t="s">
        <v>39</v>
      </c>
      <c r="M20" t="s">
        <v>27</v>
      </c>
      <c r="N20" t="s">
        <v>40</v>
      </c>
      <c r="O20" s="2">
        <v>367.56</v>
      </c>
      <c r="P20" t="s">
        <v>29</v>
      </c>
      <c r="Q20" s="4">
        <v>0.95</v>
      </c>
      <c r="S20" s="2">
        <v>261.88</v>
      </c>
      <c r="T20" s="2">
        <v>0</v>
      </c>
      <c r="U20" s="2">
        <v>261.88</v>
      </c>
    </row>
    <row r="21" spans="1:21">
      <c r="A21" t="s">
        <v>21</v>
      </c>
      <c r="B21" t="s">
        <v>22</v>
      </c>
      <c r="C21" t="s">
        <v>23</v>
      </c>
      <c r="D21" t="s">
        <v>60</v>
      </c>
      <c r="E21" t="s">
        <v>61</v>
      </c>
      <c r="F21" s="1">
        <v>45870</v>
      </c>
      <c r="G21" s="1"/>
      <c r="H21" s="1">
        <v>45870</v>
      </c>
      <c r="K21" t="s">
        <v>26</v>
      </c>
      <c r="L21" t="s">
        <v>39</v>
      </c>
      <c r="M21" t="s">
        <v>27</v>
      </c>
      <c r="N21" t="s">
        <v>40</v>
      </c>
      <c r="O21" s="2">
        <v>525.6</v>
      </c>
      <c r="P21" t="s">
        <v>29</v>
      </c>
      <c r="Q21" s="4">
        <v>0</v>
      </c>
      <c r="S21" s="2">
        <v>0</v>
      </c>
      <c r="T21" s="2">
        <v>0</v>
      </c>
      <c r="U21" s="2">
        <v>0</v>
      </c>
    </row>
    <row r="22" spans="1:21">
      <c r="A22" t="s">
        <v>21</v>
      </c>
      <c r="B22" t="s">
        <v>22</v>
      </c>
      <c r="C22" t="s">
        <v>23</v>
      </c>
      <c r="D22" t="s">
        <v>60</v>
      </c>
      <c r="E22" t="s">
        <v>61</v>
      </c>
      <c r="F22" s="1">
        <v>45870</v>
      </c>
      <c r="G22" s="1"/>
      <c r="H22" s="1">
        <v>45870</v>
      </c>
      <c r="K22" t="s">
        <v>26</v>
      </c>
      <c r="L22" t="s">
        <v>39</v>
      </c>
      <c r="M22" t="s">
        <v>27</v>
      </c>
      <c r="N22" t="s">
        <v>40</v>
      </c>
      <c r="O22" s="2">
        <v>525.6</v>
      </c>
      <c r="P22" t="s">
        <v>29</v>
      </c>
      <c r="Q22" s="4">
        <v>0.95</v>
      </c>
      <c r="S22" s="2">
        <v>374.49</v>
      </c>
      <c r="T22" s="2">
        <v>0</v>
      </c>
      <c r="U22" s="2">
        <v>374.49</v>
      </c>
    </row>
    <row r="23" spans="1:21">
      <c r="A23" t="s">
        <v>21</v>
      </c>
      <c r="B23" t="s">
        <v>22</v>
      </c>
      <c r="C23" t="s">
        <v>23</v>
      </c>
      <c r="D23" t="s">
        <v>62</v>
      </c>
      <c r="E23" t="s">
        <v>63</v>
      </c>
      <c r="F23" s="1">
        <v>45870</v>
      </c>
      <c r="G23" s="1"/>
      <c r="H23" s="1">
        <v>45870</v>
      </c>
      <c r="K23" t="s">
        <v>26</v>
      </c>
      <c r="L23" t="s">
        <v>39</v>
      </c>
      <c r="M23" t="s">
        <v>27</v>
      </c>
      <c r="N23" t="s">
        <v>40</v>
      </c>
      <c r="O23" s="2">
        <v>287.39999999999998</v>
      </c>
      <c r="P23" t="s">
        <v>29</v>
      </c>
      <c r="Q23" s="4">
        <v>0</v>
      </c>
      <c r="S23" s="2">
        <v>0</v>
      </c>
      <c r="T23" s="2">
        <v>0</v>
      </c>
      <c r="U23" s="2">
        <v>0</v>
      </c>
    </row>
    <row r="24" spans="1:21">
      <c r="A24" t="s">
        <v>21</v>
      </c>
      <c r="B24" t="s">
        <v>22</v>
      </c>
      <c r="C24" t="s">
        <v>23</v>
      </c>
      <c r="D24" t="s">
        <v>62</v>
      </c>
      <c r="E24" t="s">
        <v>63</v>
      </c>
      <c r="F24" s="1">
        <v>45870</v>
      </c>
      <c r="G24" s="1"/>
      <c r="H24" s="1">
        <v>45870</v>
      </c>
      <c r="K24" t="s">
        <v>26</v>
      </c>
      <c r="L24" t="s">
        <v>39</v>
      </c>
      <c r="M24" t="s">
        <v>27</v>
      </c>
      <c r="N24" t="s">
        <v>40</v>
      </c>
      <c r="O24" s="2">
        <v>287.39999999999998</v>
      </c>
      <c r="P24" t="s">
        <v>29</v>
      </c>
      <c r="Q24" s="4">
        <v>0.95</v>
      </c>
      <c r="S24" s="2">
        <v>204.77</v>
      </c>
      <c r="T24" s="2">
        <v>0</v>
      </c>
      <c r="U24" s="2">
        <v>204.77</v>
      </c>
    </row>
    <row r="25" spans="1:21">
      <c r="A25" t="s">
        <v>21</v>
      </c>
      <c r="B25" t="s">
        <v>35</v>
      </c>
      <c r="C25" t="s">
        <v>36</v>
      </c>
      <c r="D25" t="s">
        <v>64</v>
      </c>
      <c r="E25" t="s">
        <v>65</v>
      </c>
      <c r="F25" s="1">
        <v>45866</v>
      </c>
      <c r="G25" s="1"/>
      <c r="H25" s="1">
        <v>45870</v>
      </c>
      <c r="K25" t="s">
        <v>26</v>
      </c>
      <c r="L25" t="s">
        <v>45</v>
      </c>
      <c r="M25" t="s">
        <v>27</v>
      </c>
      <c r="N25" t="s">
        <v>40</v>
      </c>
      <c r="O25" s="2">
        <v>648.36</v>
      </c>
      <c r="P25" t="s">
        <v>29</v>
      </c>
      <c r="Q25" s="4">
        <v>0</v>
      </c>
      <c r="S25" s="2">
        <v>0</v>
      </c>
      <c r="T25" s="2">
        <v>0</v>
      </c>
      <c r="U25" s="2">
        <v>0</v>
      </c>
    </row>
    <row r="26" spans="1:21">
      <c r="A26" t="s">
        <v>21</v>
      </c>
      <c r="B26" t="s">
        <v>35</v>
      </c>
      <c r="C26" t="s">
        <v>36</v>
      </c>
      <c r="D26" t="s">
        <v>64</v>
      </c>
      <c r="E26" t="s">
        <v>65</v>
      </c>
      <c r="F26" s="1">
        <v>45866</v>
      </c>
      <c r="G26" s="1"/>
      <c r="H26" s="1">
        <v>45870</v>
      </c>
      <c r="K26" t="s">
        <v>26</v>
      </c>
      <c r="L26" t="s">
        <v>45</v>
      </c>
      <c r="M26" t="s">
        <v>27</v>
      </c>
      <c r="N26" t="s">
        <v>40</v>
      </c>
      <c r="O26" s="2">
        <v>648.36</v>
      </c>
      <c r="P26" t="s">
        <v>29</v>
      </c>
      <c r="Q26" s="4">
        <v>0.8</v>
      </c>
      <c r="S26" s="2">
        <v>389.01</v>
      </c>
      <c r="T26" s="2">
        <v>0</v>
      </c>
      <c r="U26" s="2">
        <v>389.01</v>
      </c>
    </row>
    <row r="27" spans="1:21">
      <c r="A27" t="s">
        <v>21</v>
      </c>
      <c r="B27" t="s">
        <v>22</v>
      </c>
      <c r="C27" t="s">
        <v>23</v>
      </c>
      <c r="D27" t="s">
        <v>66</v>
      </c>
      <c r="E27" t="s">
        <v>67</v>
      </c>
      <c r="F27" s="1">
        <v>45870</v>
      </c>
      <c r="G27" s="1"/>
      <c r="H27" s="1">
        <v>45870</v>
      </c>
      <c r="K27" t="s">
        <v>26</v>
      </c>
      <c r="L27" t="s">
        <v>39</v>
      </c>
      <c r="M27" t="s">
        <v>27</v>
      </c>
      <c r="N27" t="s">
        <v>40</v>
      </c>
      <c r="O27" s="2">
        <v>484.68</v>
      </c>
      <c r="P27" t="s">
        <v>29</v>
      </c>
      <c r="Q27" s="4">
        <v>0</v>
      </c>
      <c r="S27" s="2">
        <v>0</v>
      </c>
      <c r="T27" s="2">
        <v>0</v>
      </c>
      <c r="U27" s="2">
        <v>0</v>
      </c>
    </row>
    <row r="28" spans="1:21">
      <c r="A28" t="s">
        <v>21</v>
      </c>
      <c r="B28" t="s">
        <v>22</v>
      </c>
      <c r="C28" t="s">
        <v>23</v>
      </c>
      <c r="D28" t="s">
        <v>66</v>
      </c>
      <c r="E28" t="s">
        <v>67</v>
      </c>
      <c r="F28" s="1">
        <v>45870</v>
      </c>
      <c r="G28" s="1"/>
      <c r="H28" s="1">
        <v>45870</v>
      </c>
      <c r="K28" t="s">
        <v>26</v>
      </c>
      <c r="L28" t="s">
        <v>39</v>
      </c>
      <c r="M28" t="s">
        <v>27</v>
      </c>
      <c r="N28" t="s">
        <v>40</v>
      </c>
      <c r="O28" s="2">
        <v>484.68</v>
      </c>
      <c r="P28" t="s">
        <v>29</v>
      </c>
      <c r="Q28" s="4">
        <v>0.95</v>
      </c>
      <c r="S28" s="2">
        <v>345.33</v>
      </c>
      <c r="T28" s="2">
        <v>0</v>
      </c>
      <c r="U28" s="2">
        <v>345.33</v>
      </c>
    </row>
    <row r="29" spans="1:21">
      <c r="A29" t="s">
        <v>21</v>
      </c>
      <c r="B29" t="s">
        <v>22</v>
      </c>
      <c r="C29" t="s">
        <v>23</v>
      </c>
      <c r="D29" t="s">
        <v>68</v>
      </c>
      <c r="E29" t="s">
        <v>69</v>
      </c>
      <c r="F29" s="1">
        <v>45870</v>
      </c>
      <c r="G29" s="1"/>
      <c r="H29" s="1">
        <v>45870</v>
      </c>
      <c r="K29" t="s">
        <v>26</v>
      </c>
      <c r="L29" t="s">
        <v>39</v>
      </c>
      <c r="M29" t="s">
        <v>27</v>
      </c>
      <c r="N29" t="s">
        <v>40</v>
      </c>
      <c r="O29" s="2">
        <v>484.68</v>
      </c>
      <c r="P29" t="s">
        <v>29</v>
      </c>
      <c r="Q29" s="4">
        <v>0</v>
      </c>
      <c r="S29" s="2">
        <v>0</v>
      </c>
      <c r="T29" s="2">
        <v>0</v>
      </c>
      <c r="U29" s="2">
        <v>0</v>
      </c>
    </row>
    <row r="30" spans="1:21">
      <c r="A30" t="s">
        <v>21</v>
      </c>
      <c r="B30" t="s">
        <v>22</v>
      </c>
      <c r="C30" t="s">
        <v>23</v>
      </c>
      <c r="D30" t="s">
        <v>68</v>
      </c>
      <c r="E30" t="s">
        <v>69</v>
      </c>
      <c r="F30" s="1">
        <v>45870</v>
      </c>
      <c r="G30" s="1"/>
      <c r="H30" s="1">
        <v>45870</v>
      </c>
      <c r="K30" t="s">
        <v>26</v>
      </c>
      <c r="L30" t="s">
        <v>39</v>
      </c>
      <c r="M30" t="s">
        <v>27</v>
      </c>
      <c r="N30" t="s">
        <v>40</v>
      </c>
      <c r="O30" s="2">
        <v>484.68</v>
      </c>
      <c r="P30" t="s">
        <v>29</v>
      </c>
      <c r="Q30" s="4">
        <v>0.95</v>
      </c>
      <c r="S30" s="2">
        <v>345.33</v>
      </c>
      <c r="T30" s="2">
        <v>0</v>
      </c>
      <c r="U30" s="2">
        <v>345.33</v>
      </c>
    </row>
    <row r="31" spans="1:21">
      <c r="A31" t="s">
        <v>21</v>
      </c>
      <c r="B31" t="s">
        <v>22</v>
      </c>
      <c r="C31" t="s">
        <v>23</v>
      </c>
      <c r="D31" t="s">
        <v>70</v>
      </c>
      <c r="E31" t="s">
        <v>71</v>
      </c>
      <c r="F31" s="1">
        <v>45870</v>
      </c>
      <c r="G31" s="1"/>
      <c r="H31" s="1">
        <v>45870</v>
      </c>
      <c r="K31" t="s">
        <v>26</v>
      </c>
      <c r="L31" t="s">
        <v>39</v>
      </c>
      <c r="M31" t="s">
        <v>27</v>
      </c>
      <c r="N31" t="s">
        <v>40</v>
      </c>
      <c r="O31" s="2">
        <v>661.68</v>
      </c>
      <c r="P31" t="s">
        <v>29</v>
      </c>
      <c r="Q31" s="4">
        <v>0</v>
      </c>
      <c r="S31" s="2">
        <v>0</v>
      </c>
      <c r="T31" s="2">
        <v>0</v>
      </c>
      <c r="U31" s="2">
        <v>0</v>
      </c>
    </row>
    <row r="32" spans="1:21">
      <c r="A32" t="s">
        <v>21</v>
      </c>
      <c r="B32" t="s">
        <v>22</v>
      </c>
      <c r="C32" t="s">
        <v>23</v>
      </c>
      <c r="D32" t="s">
        <v>70</v>
      </c>
      <c r="E32" t="s">
        <v>71</v>
      </c>
      <c r="F32" s="1">
        <v>45870</v>
      </c>
      <c r="G32" s="1"/>
      <c r="H32" s="1">
        <v>45870</v>
      </c>
      <c r="K32" t="s">
        <v>26</v>
      </c>
      <c r="L32" t="s">
        <v>39</v>
      </c>
      <c r="M32" t="s">
        <v>27</v>
      </c>
      <c r="N32" t="s">
        <v>40</v>
      </c>
      <c r="O32" s="2">
        <v>661.68</v>
      </c>
      <c r="P32" t="s">
        <v>29</v>
      </c>
      <c r="Q32" s="4">
        <v>0.95</v>
      </c>
      <c r="S32" s="2">
        <v>471.45</v>
      </c>
      <c r="T32" s="2">
        <v>0</v>
      </c>
      <c r="U32" s="2">
        <v>471.45</v>
      </c>
    </row>
    <row r="33" spans="1:21">
      <c r="A33" t="s">
        <v>21</v>
      </c>
      <c r="B33" t="s">
        <v>72</v>
      </c>
      <c r="C33" t="s">
        <v>73</v>
      </c>
      <c r="D33" t="s">
        <v>74</v>
      </c>
      <c r="E33" t="s">
        <v>75</v>
      </c>
      <c r="F33" s="1">
        <v>45868</v>
      </c>
      <c r="G33" s="1"/>
      <c r="H33" s="1">
        <v>45870</v>
      </c>
      <c r="K33" t="s">
        <v>26</v>
      </c>
      <c r="L33" t="s">
        <v>39</v>
      </c>
      <c r="M33" t="s">
        <v>27</v>
      </c>
      <c r="N33" t="s">
        <v>40</v>
      </c>
      <c r="O33" s="2">
        <v>412.68</v>
      </c>
      <c r="P33" t="s">
        <v>29</v>
      </c>
      <c r="Q33" s="4">
        <v>0</v>
      </c>
      <c r="S33" s="2">
        <v>0</v>
      </c>
      <c r="T33" s="2">
        <v>0</v>
      </c>
      <c r="U33" s="2">
        <v>0</v>
      </c>
    </row>
    <row r="34" spans="1:21">
      <c r="A34" t="s">
        <v>21</v>
      </c>
      <c r="B34" t="s">
        <v>72</v>
      </c>
      <c r="C34" t="s">
        <v>73</v>
      </c>
      <c r="D34" t="s">
        <v>74</v>
      </c>
      <c r="E34" t="s">
        <v>75</v>
      </c>
      <c r="F34" s="1">
        <v>45868</v>
      </c>
      <c r="G34" s="1"/>
      <c r="H34" s="1">
        <v>45870</v>
      </c>
      <c r="K34" t="s">
        <v>26</v>
      </c>
      <c r="L34" t="s">
        <v>39</v>
      </c>
      <c r="M34" t="s">
        <v>27</v>
      </c>
      <c r="N34" t="s">
        <v>40</v>
      </c>
      <c r="O34" s="2">
        <v>412.68</v>
      </c>
      <c r="P34" t="s">
        <v>29</v>
      </c>
      <c r="Q34" s="4">
        <v>0.85</v>
      </c>
      <c r="S34" s="2">
        <v>263.08</v>
      </c>
      <c r="T34" s="2">
        <v>0</v>
      </c>
      <c r="U34" s="2">
        <v>263.08</v>
      </c>
    </row>
    <row r="35" spans="1:21">
      <c r="A35" t="s">
        <v>21</v>
      </c>
      <c r="B35" t="s">
        <v>76</v>
      </c>
      <c r="C35" t="s">
        <v>77</v>
      </c>
      <c r="D35" t="s">
        <v>78</v>
      </c>
      <c r="E35" t="s">
        <v>79</v>
      </c>
      <c r="F35" s="1">
        <v>45870</v>
      </c>
      <c r="G35" s="1"/>
      <c r="H35" s="1">
        <v>45870</v>
      </c>
      <c r="K35" t="s">
        <v>26</v>
      </c>
      <c r="L35" t="s">
        <v>39</v>
      </c>
      <c r="M35" t="s">
        <v>27</v>
      </c>
      <c r="N35" t="s">
        <v>40</v>
      </c>
      <c r="O35" s="2">
        <v>477.96</v>
      </c>
      <c r="P35" t="s">
        <v>29</v>
      </c>
      <c r="Q35" s="4">
        <v>0</v>
      </c>
      <c r="S35" s="2">
        <v>0</v>
      </c>
      <c r="T35" s="2">
        <v>0</v>
      </c>
      <c r="U35" s="2">
        <v>0</v>
      </c>
    </row>
    <row r="36" spans="1:21">
      <c r="A36" t="s">
        <v>21</v>
      </c>
      <c r="B36" t="s">
        <v>76</v>
      </c>
      <c r="C36" t="s">
        <v>77</v>
      </c>
      <c r="D36" t="s">
        <v>78</v>
      </c>
      <c r="E36" t="s">
        <v>79</v>
      </c>
      <c r="F36" s="1">
        <v>45870</v>
      </c>
      <c r="G36" s="1"/>
      <c r="H36" s="1">
        <v>45870</v>
      </c>
      <c r="K36" t="s">
        <v>26</v>
      </c>
      <c r="L36" t="s">
        <v>39</v>
      </c>
      <c r="M36" t="s">
        <v>27</v>
      </c>
      <c r="N36" t="s">
        <v>40</v>
      </c>
      <c r="O36" s="2">
        <v>477.96</v>
      </c>
      <c r="P36" t="s">
        <v>29</v>
      </c>
      <c r="Q36" s="4">
        <v>0.95</v>
      </c>
      <c r="S36" s="2">
        <v>340.54</v>
      </c>
      <c r="T36" s="2">
        <v>0</v>
      </c>
      <c r="U36" s="2">
        <v>340.54</v>
      </c>
    </row>
    <row r="37" spans="1:21">
      <c r="A37" t="s">
        <v>21</v>
      </c>
      <c r="B37" t="s">
        <v>22</v>
      </c>
      <c r="C37" t="s">
        <v>23</v>
      </c>
      <c r="D37" t="s">
        <v>80</v>
      </c>
      <c r="E37" t="s">
        <v>81</v>
      </c>
      <c r="F37" s="1">
        <v>45870</v>
      </c>
      <c r="G37" s="1"/>
      <c r="H37" s="1">
        <v>45870</v>
      </c>
      <c r="K37" t="s">
        <v>26</v>
      </c>
      <c r="L37" t="s">
        <v>39</v>
      </c>
      <c r="M37" t="s">
        <v>27</v>
      </c>
      <c r="N37" t="s">
        <v>40</v>
      </c>
      <c r="O37" s="2">
        <v>733.92</v>
      </c>
      <c r="P37" t="s">
        <v>29</v>
      </c>
      <c r="Q37" s="4">
        <v>0</v>
      </c>
      <c r="S37" s="2">
        <v>0</v>
      </c>
      <c r="T37" s="2">
        <v>0</v>
      </c>
      <c r="U37" s="2">
        <v>0</v>
      </c>
    </row>
    <row r="38" spans="1:21">
      <c r="A38" t="s">
        <v>21</v>
      </c>
      <c r="B38" t="s">
        <v>22</v>
      </c>
      <c r="C38" t="s">
        <v>23</v>
      </c>
      <c r="D38" t="s">
        <v>80</v>
      </c>
      <c r="E38" t="s">
        <v>81</v>
      </c>
      <c r="F38" s="1">
        <v>45870</v>
      </c>
      <c r="G38" s="1"/>
      <c r="H38" s="1">
        <v>45870</v>
      </c>
      <c r="K38" t="s">
        <v>26</v>
      </c>
      <c r="L38" t="s">
        <v>39</v>
      </c>
      <c r="M38" t="s">
        <v>27</v>
      </c>
      <c r="N38" t="s">
        <v>40</v>
      </c>
      <c r="O38" s="2">
        <v>733.92</v>
      </c>
      <c r="P38" t="s">
        <v>29</v>
      </c>
      <c r="Q38" s="4">
        <v>0.95</v>
      </c>
      <c r="S38" s="2">
        <v>522.91</v>
      </c>
      <c r="T38" s="2">
        <v>0</v>
      </c>
      <c r="U38" s="2">
        <v>522.91</v>
      </c>
    </row>
    <row r="39" spans="1:21">
      <c r="A39" t="s">
        <v>21</v>
      </c>
      <c r="B39" t="s">
        <v>22</v>
      </c>
      <c r="C39" t="s">
        <v>23</v>
      </c>
      <c r="D39" t="s">
        <v>82</v>
      </c>
      <c r="E39" t="s">
        <v>83</v>
      </c>
      <c r="F39" s="1">
        <v>45870</v>
      </c>
      <c r="G39" s="1"/>
      <c r="H39" s="1">
        <v>45870</v>
      </c>
      <c r="K39" t="s">
        <v>26</v>
      </c>
      <c r="L39" t="s">
        <v>39</v>
      </c>
      <c r="M39" t="s">
        <v>27</v>
      </c>
      <c r="N39" t="s">
        <v>40</v>
      </c>
      <c r="O39" s="2">
        <v>484.68</v>
      </c>
      <c r="P39" t="s">
        <v>29</v>
      </c>
      <c r="Q39" s="4">
        <v>0</v>
      </c>
      <c r="S39" s="2">
        <v>0</v>
      </c>
      <c r="T39" s="2">
        <v>0</v>
      </c>
      <c r="U39" s="2">
        <v>0</v>
      </c>
    </row>
    <row r="40" spans="1:21">
      <c r="A40" t="s">
        <v>21</v>
      </c>
      <c r="B40" t="s">
        <v>22</v>
      </c>
      <c r="C40" t="s">
        <v>23</v>
      </c>
      <c r="D40" t="s">
        <v>82</v>
      </c>
      <c r="E40" t="s">
        <v>83</v>
      </c>
      <c r="F40" s="1">
        <v>45870</v>
      </c>
      <c r="G40" s="1"/>
      <c r="H40" s="1">
        <v>45870</v>
      </c>
      <c r="K40" t="s">
        <v>26</v>
      </c>
      <c r="L40" t="s">
        <v>39</v>
      </c>
      <c r="M40" t="s">
        <v>27</v>
      </c>
      <c r="N40" t="s">
        <v>40</v>
      </c>
      <c r="O40" s="2">
        <v>484.68</v>
      </c>
      <c r="P40" t="s">
        <v>29</v>
      </c>
      <c r="Q40" s="4">
        <v>0.95</v>
      </c>
      <c r="S40" s="2">
        <v>345.33</v>
      </c>
      <c r="T40" s="2">
        <v>0</v>
      </c>
      <c r="U40" s="2">
        <v>345.33</v>
      </c>
    </row>
    <row r="41" spans="1:21">
      <c r="A41" t="s">
        <v>21</v>
      </c>
      <c r="B41" t="s">
        <v>72</v>
      </c>
      <c r="C41" t="s">
        <v>73</v>
      </c>
      <c r="D41" t="s">
        <v>84</v>
      </c>
      <c r="E41" t="s">
        <v>85</v>
      </c>
      <c r="F41" s="1">
        <v>45870</v>
      </c>
      <c r="G41" s="1"/>
      <c r="H41" s="1">
        <v>45870</v>
      </c>
      <c r="K41" t="s">
        <v>26</v>
      </c>
      <c r="L41" t="s">
        <v>39</v>
      </c>
      <c r="M41" t="s">
        <v>27</v>
      </c>
      <c r="N41" t="s">
        <v>40</v>
      </c>
      <c r="O41" s="2">
        <v>198.12</v>
      </c>
      <c r="P41" t="s">
        <v>29</v>
      </c>
      <c r="Q41" s="4">
        <v>0</v>
      </c>
      <c r="S41" s="2">
        <v>0</v>
      </c>
      <c r="T41" s="2">
        <v>0</v>
      </c>
      <c r="U41" s="2">
        <v>0</v>
      </c>
    </row>
    <row r="42" spans="1:21">
      <c r="A42" t="s">
        <v>21</v>
      </c>
      <c r="B42" t="s">
        <v>72</v>
      </c>
      <c r="C42" t="s">
        <v>73</v>
      </c>
      <c r="D42" t="s">
        <v>84</v>
      </c>
      <c r="E42" t="s">
        <v>85</v>
      </c>
      <c r="F42" s="1">
        <v>45870</v>
      </c>
      <c r="G42" s="1"/>
      <c r="H42" s="1">
        <v>45870</v>
      </c>
      <c r="K42" t="s">
        <v>26</v>
      </c>
      <c r="L42" t="s">
        <v>39</v>
      </c>
      <c r="M42" t="s">
        <v>27</v>
      </c>
      <c r="N42" t="s">
        <v>40</v>
      </c>
      <c r="O42" s="2">
        <v>198.12</v>
      </c>
      <c r="P42" t="s">
        <v>29</v>
      </c>
      <c r="Q42" s="4">
        <v>0.85</v>
      </c>
      <c r="S42" s="2">
        <v>126.3</v>
      </c>
      <c r="T42" s="2">
        <v>0</v>
      </c>
      <c r="U42" s="2">
        <v>126.3</v>
      </c>
    </row>
    <row r="43" spans="1:21">
      <c r="A43" t="s">
        <v>21</v>
      </c>
      <c r="B43" t="s">
        <v>22</v>
      </c>
      <c r="C43" t="s">
        <v>23</v>
      </c>
      <c r="D43" t="s">
        <v>86</v>
      </c>
      <c r="E43" t="s">
        <v>87</v>
      </c>
      <c r="F43" s="1">
        <v>45870</v>
      </c>
      <c r="G43" s="1"/>
      <c r="H43" s="1">
        <v>45870</v>
      </c>
      <c r="K43" t="s">
        <v>26</v>
      </c>
      <c r="L43" t="s">
        <v>39</v>
      </c>
      <c r="M43" t="s">
        <v>27</v>
      </c>
      <c r="N43" t="s">
        <v>40</v>
      </c>
      <c r="O43" s="2">
        <v>343.56</v>
      </c>
      <c r="P43" t="s">
        <v>29</v>
      </c>
      <c r="Q43" s="4">
        <v>0</v>
      </c>
      <c r="S43" s="2">
        <v>0</v>
      </c>
      <c r="T43" s="2">
        <v>0</v>
      </c>
      <c r="U43" s="2">
        <v>0</v>
      </c>
    </row>
    <row r="44" spans="1:21">
      <c r="A44" t="s">
        <v>21</v>
      </c>
      <c r="B44" t="s">
        <v>22</v>
      </c>
      <c r="C44" t="s">
        <v>23</v>
      </c>
      <c r="D44" t="s">
        <v>86</v>
      </c>
      <c r="E44" t="s">
        <v>87</v>
      </c>
      <c r="F44" s="1">
        <v>45870</v>
      </c>
      <c r="G44" s="1"/>
      <c r="H44" s="1">
        <v>45870</v>
      </c>
      <c r="K44" t="s">
        <v>26</v>
      </c>
      <c r="L44" t="s">
        <v>39</v>
      </c>
      <c r="M44" t="s">
        <v>27</v>
      </c>
      <c r="N44" t="s">
        <v>40</v>
      </c>
      <c r="O44" s="2">
        <v>343.56</v>
      </c>
      <c r="P44" t="s">
        <v>29</v>
      </c>
      <c r="Q44" s="4">
        <v>0.95</v>
      </c>
      <c r="S44" s="2">
        <v>244.78</v>
      </c>
      <c r="T44" s="2">
        <v>0</v>
      </c>
      <c r="U44" s="2">
        <v>244.78</v>
      </c>
    </row>
    <row r="45" spans="1:21">
      <c r="A45" t="s">
        <v>21</v>
      </c>
      <c r="B45" t="s">
        <v>22</v>
      </c>
      <c r="C45" t="s">
        <v>23</v>
      </c>
      <c r="D45" t="s">
        <v>88</v>
      </c>
      <c r="E45" t="s">
        <v>89</v>
      </c>
      <c r="F45" s="1">
        <v>45870</v>
      </c>
      <c r="G45" s="1"/>
      <c r="H45" s="1">
        <v>45870</v>
      </c>
      <c r="K45" t="s">
        <v>26</v>
      </c>
      <c r="L45" t="s">
        <v>39</v>
      </c>
      <c r="M45" t="s">
        <v>27</v>
      </c>
      <c r="N45" t="s">
        <v>40</v>
      </c>
      <c r="O45" s="2">
        <v>946.2</v>
      </c>
      <c r="P45" t="s">
        <v>29</v>
      </c>
      <c r="Q45" s="4">
        <v>0</v>
      </c>
      <c r="S45" s="2">
        <v>0</v>
      </c>
      <c r="T45" s="2">
        <v>0</v>
      </c>
      <c r="U45" s="2">
        <v>0</v>
      </c>
    </row>
    <row r="46" spans="1:21">
      <c r="A46" t="s">
        <v>21</v>
      </c>
      <c r="B46" t="s">
        <v>22</v>
      </c>
      <c r="C46" t="s">
        <v>23</v>
      </c>
      <c r="D46" t="s">
        <v>88</v>
      </c>
      <c r="E46" t="s">
        <v>89</v>
      </c>
      <c r="F46" s="1">
        <v>45870</v>
      </c>
      <c r="G46" s="1"/>
      <c r="H46" s="1">
        <v>45870</v>
      </c>
      <c r="K46" t="s">
        <v>26</v>
      </c>
      <c r="L46" t="s">
        <v>39</v>
      </c>
      <c r="M46" t="s">
        <v>27</v>
      </c>
      <c r="N46" t="s">
        <v>40</v>
      </c>
      <c r="O46" s="2">
        <v>946.2</v>
      </c>
      <c r="P46" t="s">
        <v>29</v>
      </c>
      <c r="Q46" s="4">
        <v>0.95</v>
      </c>
      <c r="S46" s="2">
        <v>674.16</v>
      </c>
      <c r="T46" s="2">
        <v>0</v>
      </c>
      <c r="U46" s="2">
        <v>674.16</v>
      </c>
    </row>
    <row r="47" spans="1:21">
      <c r="A47" t="s">
        <v>21</v>
      </c>
      <c r="B47" t="s">
        <v>22</v>
      </c>
      <c r="C47" t="s">
        <v>23</v>
      </c>
      <c r="D47" t="s">
        <v>90</v>
      </c>
      <c r="E47" t="s">
        <v>91</v>
      </c>
      <c r="F47" s="1">
        <v>45870</v>
      </c>
      <c r="G47" s="1"/>
      <c r="H47" s="1">
        <v>45870</v>
      </c>
      <c r="K47" t="s">
        <v>26</v>
      </c>
      <c r="L47" t="s">
        <v>39</v>
      </c>
      <c r="M47" t="s">
        <v>27</v>
      </c>
      <c r="N47" t="s">
        <v>40</v>
      </c>
      <c r="O47" s="2">
        <v>860.28</v>
      </c>
      <c r="P47" t="s">
        <v>29</v>
      </c>
      <c r="Q47" s="4">
        <v>0</v>
      </c>
      <c r="S47" s="2">
        <v>0</v>
      </c>
      <c r="T47" s="2">
        <v>0</v>
      </c>
      <c r="U47" s="2">
        <v>0</v>
      </c>
    </row>
    <row r="48" spans="1:21">
      <c r="A48" t="s">
        <v>21</v>
      </c>
      <c r="B48" t="s">
        <v>22</v>
      </c>
      <c r="C48" t="s">
        <v>23</v>
      </c>
      <c r="D48" t="s">
        <v>90</v>
      </c>
      <c r="E48" t="s">
        <v>91</v>
      </c>
      <c r="F48" s="1">
        <v>45870</v>
      </c>
      <c r="G48" s="1"/>
      <c r="H48" s="1">
        <v>45870</v>
      </c>
      <c r="K48" t="s">
        <v>26</v>
      </c>
      <c r="L48" t="s">
        <v>39</v>
      </c>
      <c r="M48" t="s">
        <v>27</v>
      </c>
      <c r="N48" t="s">
        <v>40</v>
      </c>
      <c r="O48" s="2">
        <v>860.28</v>
      </c>
      <c r="P48" t="s">
        <v>29</v>
      </c>
      <c r="Q48" s="4">
        <v>0.95</v>
      </c>
      <c r="S48" s="2">
        <v>612.95000000000005</v>
      </c>
      <c r="T48" s="2">
        <v>0</v>
      </c>
      <c r="U48" s="2">
        <v>612.95000000000005</v>
      </c>
    </row>
    <row r="49" spans="1:21">
      <c r="A49" t="s">
        <v>21</v>
      </c>
      <c r="B49" t="s">
        <v>22</v>
      </c>
      <c r="C49" t="s">
        <v>23</v>
      </c>
      <c r="D49" t="s">
        <v>92</v>
      </c>
      <c r="E49" t="s">
        <v>93</v>
      </c>
      <c r="F49" s="1">
        <v>45870</v>
      </c>
      <c r="G49" s="1"/>
      <c r="H49" s="1">
        <v>45870</v>
      </c>
      <c r="K49" t="s">
        <v>26</v>
      </c>
      <c r="L49" t="s">
        <v>39</v>
      </c>
      <c r="M49" t="s">
        <v>27</v>
      </c>
      <c r="N49" t="s">
        <v>40</v>
      </c>
      <c r="O49" s="2">
        <v>860.28</v>
      </c>
      <c r="P49" t="s">
        <v>29</v>
      </c>
      <c r="Q49" s="4">
        <v>0</v>
      </c>
      <c r="S49" s="2">
        <v>0</v>
      </c>
      <c r="T49" s="2">
        <v>0</v>
      </c>
      <c r="U49" s="2">
        <v>0</v>
      </c>
    </row>
    <row r="50" spans="1:21">
      <c r="A50" t="s">
        <v>21</v>
      </c>
      <c r="B50" t="s">
        <v>22</v>
      </c>
      <c r="C50" t="s">
        <v>23</v>
      </c>
      <c r="D50" t="s">
        <v>92</v>
      </c>
      <c r="E50" t="s">
        <v>93</v>
      </c>
      <c r="F50" s="1">
        <v>45870</v>
      </c>
      <c r="G50" s="1"/>
      <c r="H50" s="1">
        <v>45870</v>
      </c>
      <c r="K50" t="s">
        <v>26</v>
      </c>
      <c r="L50" t="s">
        <v>39</v>
      </c>
      <c r="M50" t="s">
        <v>27</v>
      </c>
      <c r="N50" t="s">
        <v>40</v>
      </c>
      <c r="O50" s="2">
        <v>860.28</v>
      </c>
      <c r="P50" t="s">
        <v>29</v>
      </c>
      <c r="Q50" s="4">
        <v>0.95</v>
      </c>
      <c r="S50" s="2">
        <v>612.95000000000005</v>
      </c>
      <c r="T50" s="2">
        <v>0</v>
      </c>
      <c r="U50" s="2">
        <v>612.95000000000005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2218-2ABB-4D46-95DF-1F24ADCEAFFB}">
  <dimension ref="A1:AA25"/>
  <sheetViews>
    <sheetView tabSelected="1" workbookViewId="0">
      <selection activeCell="D28" sqref="D28"/>
    </sheetView>
  </sheetViews>
  <sheetFormatPr defaultRowHeight="15"/>
  <cols>
    <col min="1" max="1" width="21.28515625" customWidth="1"/>
    <col min="2" max="2" width="13.5703125" customWidth="1"/>
    <col min="3" max="3" width="15.5703125" customWidth="1"/>
    <col min="4" max="4" width="19.140625" bestFit="1" customWidth="1"/>
    <col min="5" max="6" width="12.85546875" customWidth="1"/>
    <col min="7" max="7" width="13.28515625" customWidth="1"/>
    <col min="8" max="10" width="18.85546875" customWidth="1"/>
    <col min="11" max="11" width="7.140625" customWidth="1"/>
    <col min="12" max="12" width="11.85546875" customWidth="1"/>
    <col min="13" max="13" width="11.42578125" customWidth="1"/>
    <col min="14" max="14" width="9.85546875" customWidth="1"/>
    <col min="15" max="15" width="10.42578125" customWidth="1"/>
    <col min="16" max="18" width="11.140625" customWidth="1"/>
    <col min="19" max="19" width="11.28515625" customWidth="1"/>
    <col min="20" max="21" width="10.42578125" customWidth="1"/>
    <col min="22" max="22" width="10" customWidth="1"/>
    <col min="23" max="23" width="68.5703125" bestFit="1" customWidth="1"/>
    <col min="25" max="25" width="11.5703125" bestFit="1" customWidth="1"/>
  </cols>
  <sheetData>
    <row r="1" spans="1:27" ht="4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/>
      <c r="G1" s="3" t="s">
        <v>7</v>
      </c>
      <c r="H1" s="3" t="s">
        <v>11</v>
      </c>
      <c r="I1" s="3"/>
      <c r="J1" s="3"/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18"/>
      <c r="R1" s="18"/>
      <c r="S1" s="3" t="s">
        <v>18</v>
      </c>
      <c r="T1" s="3" t="s">
        <v>19</v>
      </c>
      <c r="U1" s="3"/>
      <c r="V1" s="3" t="s">
        <v>20</v>
      </c>
    </row>
    <row r="2" spans="1:27" ht="15" customHeight="1">
      <c r="A2" s="6" t="s">
        <v>35</v>
      </c>
      <c r="B2" s="14" t="s">
        <v>102</v>
      </c>
      <c r="C2" s="6">
        <v>4151687180</v>
      </c>
      <c r="D2" s="6" t="s">
        <v>65</v>
      </c>
      <c r="E2" s="7">
        <v>45866</v>
      </c>
      <c r="F2" s="7">
        <v>45866</v>
      </c>
      <c r="G2" s="7">
        <v>45870</v>
      </c>
      <c r="H2" s="6" t="s">
        <v>45</v>
      </c>
      <c r="I2" s="14" t="s">
        <v>98</v>
      </c>
      <c r="J2" s="14" t="s">
        <v>99</v>
      </c>
      <c r="K2" s="6">
        <v>85</v>
      </c>
      <c r="L2" s="6" t="s">
        <v>40</v>
      </c>
      <c r="M2" s="8">
        <v>648.36</v>
      </c>
      <c r="N2" s="6" t="s">
        <v>29</v>
      </c>
      <c r="O2" s="9">
        <v>0.8</v>
      </c>
      <c r="P2" s="8">
        <f>Q2*O2</f>
        <v>389.01</v>
      </c>
      <c r="Q2" s="19">
        <f>V2/O2</f>
        <v>486.26249999999999</v>
      </c>
      <c r="R2" s="19">
        <f>Q2/12</f>
        <v>40.521875000000001</v>
      </c>
      <c r="S2" s="8">
        <v>389.01</v>
      </c>
      <c r="T2" s="8">
        <v>0</v>
      </c>
      <c r="U2" s="8">
        <f>S2/12</f>
        <v>32.417499999999997</v>
      </c>
      <c r="V2" s="8">
        <v>389.01</v>
      </c>
      <c r="W2" s="6" t="s">
        <v>97</v>
      </c>
      <c r="X2" s="6"/>
      <c r="Y2" s="6"/>
      <c r="Z2" s="6"/>
      <c r="AA2" s="6"/>
    </row>
    <row r="3" spans="1:27" ht="15" customHeight="1">
      <c r="A3" s="6" t="s">
        <v>35</v>
      </c>
      <c r="B3" s="14" t="s">
        <v>102</v>
      </c>
      <c r="C3" s="6">
        <v>4151685271</v>
      </c>
      <c r="D3" s="6" t="s">
        <v>53</v>
      </c>
      <c r="E3" s="7">
        <v>45870</v>
      </c>
      <c r="F3" s="7">
        <v>45870</v>
      </c>
      <c r="G3" s="7">
        <v>45870</v>
      </c>
      <c r="H3" s="6" t="s">
        <v>45</v>
      </c>
      <c r="I3" s="14" t="s">
        <v>98</v>
      </c>
      <c r="J3" s="14" t="s">
        <v>99</v>
      </c>
      <c r="K3" s="6">
        <v>85</v>
      </c>
      <c r="L3" s="6" t="s">
        <v>40</v>
      </c>
      <c r="M3" s="8">
        <v>716.76</v>
      </c>
      <c r="N3" s="6" t="s">
        <v>29</v>
      </c>
      <c r="O3" s="9">
        <v>0.8</v>
      </c>
      <c r="P3" s="8">
        <f>Q3*O3</f>
        <v>430.05</v>
      </c>
      <c r="Q3" s="19">
        <f>V3/O3</f>
        <v>537.5625</v>
      </c>
      <c r="R3" s="19">
        <f t="shared" ref="R3:R25" si="0">Q3/12</f>
        <v>44.796875</v>
      </c>
      <c r="S3" s="8">
        <v>430.05</v>
      </c>
      <c r="T3" s="8">
        <v>0</v>
      </c>
      <c r="U3" s="8">
        <f t="shared" ref="U3:U25" si="1">S3/12</f>
        <v>35.837499999999999</v>
      </c>
      <c r="V3" s="8">
        <v>430.05</v>
      </c>
      <c r="W3" s="6" t="s">
        <v>97</v>
      </c>
      <c r="X3" s="6"/>
      <c r="Y3" s="6"/>
      <c r="Z3" s="6"/>
      <c r="AA3" s="6"/>
    </row>
    <row r="4" spans="1:27" ht="15" customHeight="1">
      <c r="A4" s="6" t="s">
        <v>72</v>
      </c>
      <c r="B4" s="14" t="s">
        <v>103</v>
      </c>
      <c r="C4" s="6">
        <v>4151688924</v>
      </c>
      <c r="D4" s="6" t="s">
        <v>85</v>
      </c>
      <c r="E4" s="7">
        <v>45870</v>
      </c>
      <c r="F4" s="7">
        <v>45870</v>
      </c>
      <c r="G4" s="7">
        <v>45870</v>
      </c>
      <c r="H4" s="6" t="s">
        <v>39</v>
      </c>
      <c r="I4" s="14" t="s">
        <v>98</v>
      </c>
      <c r="J4" s="14" t="s">
        <v>99</v>
      </c>
      <c r="K4" s="6">
        <v>85</v>
      </c>
      <c r="L4" s="6" t="s">
        <v>40</v>
      </c>
      <c r="M4" s="8">
        <v>198.12</v>
      </c>
      <c r="N4" s="6" t="s">
        <v>29</v>
      </c>
      <c r="O4" s="9">
        <v>0.85</v>
      </c>
      <c r="P4" s="8">
        <f>Q4*O4</f>
        <v>126.3</v>
      </c>
      <c r="Q4" s="19">
        <f>V4/O4</f>
        <v>148.58823529411765</v>
      </c>
      <c r="R4" s="19">
        <f t="shared" si="0"/>
        <v>12.382352941176471</v>
      </c>
      <c r="S4" s="8">
        <v>126.3</v>
      </c>
      <c r="T4" s="8">
        <v>0</v>
      </c>
      <c r="U4" s="8">
        <f t="shared" si="1"/>
        <v>10.525</v>
      </c>
      <c r="V4" s="8">
        <v>126.3</v>
      </c>
      <c r="W4" s="6" t="s">
        <v>95</v>
      </c>
      <c r="X4" s="6"/>
      <c r="Y4" s="6"/>
      <c r="Z4" s="6"/>
      <c r="AA4" s="6"/>
    </row>
    <row r="5" spans="1:27" ht="15" customHeight="1">
      <c r="A5" s="6" t="s">
        <v>72</v>
      </c>
      <c r="B5" s="14" t="s">
        <v>103</v>
      </c>
      <c r="C5" s="6">
        <v>4151688039</v>
      </c>
      <c r="D5" s="6" t="s">
        <v>75</v>
      </c>
      <c r="E5" s="7">
        <v>45868</v>
      </c>
      <c r="F5" s="7">
        <v>45866</v>
      </c>
      <c r="G5" s="7">
        <v>45870</v>
      </c>
      <c r="H5" s="6" t="s">
        <v>39</v>
      </c>
      <c r="I5" s="14" t="s">
        <v>98</v>
      </c>
      <c r="J5" s="14" t="s">
        <v>99</v>
      </c>
      <c r="K5" s="6">
        <v>85</v>
      </c>
      <c r="L5" s="6" t="s">
        <v>40</v>
      </c>
      <c r="M5" s="8">
        <v>412.68</v>
      </c>
      <c r="N5" s="6" t="s">
        <v>29</v>
      </c>
      <c r="O5" s="9">
        <v>0.85</v>
      </c>
      <c r="P5" s="8">
        <f>Q5*O5</f>
        <v>263.08</v>
      </c>
      <c r="Q5" s="19">
        <f>V5/O5</f>
        <v>309.50588235294117</v>
      </c>
      <c r="R5" s="19">
        <f t="shared" si="0"/>
        <v>25.792156862745099</v>
      </c>
      <c r="S5" s="8">
        <v>263.08</v>
      </c>
      <c r="T5" s="8">
        <v>0</v>
      </c>
      <c r="U5" s="8">
        <f t="shared" si="1"/>
        <v>21.923333333333332</v>
      </c>
      <c r="V5" s="8">
        <v>263.08</v>
      </c>
      <c r="W5" s="6" t="s">
        <v>95</v>
      </c>
      <c r="X5" s="6"/>
      <c r="Y5" s="6"/>
      <c r="Z5" s="6"/>
      <c r="AA5" s="6"/>
    </row>
    <row r="6" spans="1:27" ht="15" customHeight="1">
      <c r="A6" s="6" t="s">
        <v>35</v>
      </c>
      <c r="B6" s="14" t="s">
        <v>102</v>
      </c>
      <c r="C6" s="6">
        <v>4151685281</v>
      </c>
      <c r="D6" s="6" t="s">
        <v>55</v>
      </c>
      <c r="E6" s="7">
        <v>45870</v>
      </c>
      <c r="F6" s="7">
        <v>45870</v>
      </c>
      <c r="G6" s="7">
        <v>45870</v>
      </c>
      <c r="H6" s="6" t="s">
        <v>39</v>
      </c>
      <c r="I6" s="14" t="s">
        <v>98</v>
      </c>
      <c r="J6" s="14" t="s">
        <v>99</v>
      </c>
      <c r="K6" s="6">
        <v>85</v>
      </c>
      <c r="L6" s="6" t="s">
        <v>40</v>
      </c>
      <c r="M6" s="8">
        <v>309.36</v>
      </c>
      <c r="N6" s="6" t="s">
        <v>29</v>
      </c>
      <c r="O6" s="9">
        <v>0.95</v>
      </c>
      <c r="P6" s="8">
        <f>Q6*O6</f>
        <v>220.41</v>
      </c>
      <c r="Q6" s="19">
        <f>V6/O6</f>
        <v>232.01052631578949</v>
      </c>
      <c r="R6" s="19">
        <f t="shared" si="0"/>
        <v>19.33421052631579</v>
      </c>
      <c r="S6" s="8">
        <v>220.41</v>
      </c>
      <c r="T6" s="8">
        <v>0</v>
      </c>
      <c r="U6" s="8">
        <f t="shared" si="1"/>
        <v>18.3675</v>
      </c>
      <c r="V6" s="8">
        <v>220.41</v>
      </c>
      <c r="W6" t="s">
        <v>96</v>
      </c>
      <c r="X6" s="6"/>
      <c r="Y6" s="6"/>
      <c r="Z6" s="6"/>
      <c r="AA6" s="6"/>
    </row>
    <row r="7" spans="1:27" ht="15" customHeight="1">
      <c r="A7" s="6" t="s">
        <v>48</v>
      </c>
      <c r="B7" s="14" t="s">
        <v>104</v>
      </c>
      <c r="C7" s="6">
        <v>4151684896</v>
      </c>
      <c r="D7" s="6" t="s">
        <v>51</v>
      </c>
      <c r="E7" s="7">
        <v>45870</v>
      </c>
      <c r="F7" s="7">
        <v>45870</v>
      </c>
      <c r="G7" s="7">
        <v>45870</v>
      </c>
      <c r="H7" s="6" t="s">
        <v>39</v>
      </c>
      <c r="I7" s="14" t="s">
        <v>98</v>
      </c>
      <c r="J7" s="14" t="s">
        <v>99</v>
      </c>
      <c r="K7" s="6">
        <v>85</v>
      </c>
      <c r="L7" s="6" t="s">
        <v>40</v>
      </c>
      <c r="M7" s="8">
        <v>484.68</v>
      </c>
      <c r="N7" s="6" t="s">
        <v>29</v>
      </c>
      <c r="O7" s="9">
        <v>0.95</v>
      </c>
      <c r="P7" s="8">
        <f>Q7*O7</f>
        <v>345.33</v>
      </c>
      <c r="Q7" s="19">
        <f>V7/O7</f>
        <v>363.50526315789472</v>
      </c>
      <c r="R7" s="19">
        <f t="shared" si="0"/>
        <v>30.292105263157893</v>
      </c>
      <c r="S7" s="8">
        <v>345.33</v>
      </c>
      <c r="T7" s="8">
        <v>0</v>
      </c>
      <c r="U7" s="8">
        <f t="shared" si="1"/>
        <v>28.7775</v>
      </c>
      <c r="V7" s="8">
        <v>345.33</v>
      </c>
      <c r="W7" t="s">
        <v>96</v>
      </c>
      <c r="X7" s="6"/>
      <c r="Y7" s="6"/>
      <c r="Z7" s="6"/>
      <c r="AA7" s="6"/>
    </row>
    <row r="8" spans="1:27" ht="15" customHeight="1">
      <c r="A8" s="6" t="s">
        <v>35</v>
      </c>
      <c r="B8" s="14" t="s">
        <v>102</v>
      </c>
      <c r="C8" s="6">
        <v>4151678939</v>
      </c>
      <c r="D8" s="6" t="s">
        <v>38</v>
      </c>
      <c r="E8" s="7">
        <v>45866</v>
      </c>
      <c r="F8" s="7">
        <v>45866</v>
      </c>
      <c r="G8" s="7">
        <v>45870</v>
      </c>
      <c r="H8" s="6" t="s">
        <v>39</v>
      </c>
      <c r="I8" s="14" t="s">
        <v>98</v>
      </c>
      <c r="J8" s="14" t="s">
        <v>99</v>
      </c>
      <c r="K8" s="6">
        <v>85</v>
      </c>
      <c r="L8" s="6" t="s">
        <v>40</v>
      </c>
      <c r="M8" s="8">
        <v>678.12</v>
      </c>
      <c r="N8" s="6" t="s">
        <v>29</v>
      </c>
      <c r="O8" s="9">
        <v>1</v>
      </c>
      <c r="P8" s="8">
        <f>Q8*O8</f>
        <v>508.59</v>
      </c>
      <c r="Q8" s="19">
        <f>V8/O8</f>
        <v>508.59</v>
      </c>
      <c r="R8" s="19">
        <f t="shared" si="0"/>
        <v>42.3825</v>
      </c>
      <c r="S8" s="8">
        <v>508.59</v>
      </c>
      <c r="T8" s="8">
        <v>0</v>
      </c>
      <c r="U8" s="8">
        <f t="shared" si="1"/>
        <v>42.3825</v>
      </c>
      <c r="V8" s="8">
        <v>508.59</v>
      </c>
      <c r="W8" s="6" t="s">
        <v>94</v>
      </c>
      <c r="X8" s="6"/>
      <c r="Y8" s="6"/>
      <c r="Z8" s="6"/>
      <c r="AA8" s="6"/>
    </row>
    <row r="9" spans="1:27" ht="15" customHeight="1">
      <c r="A9" t="s">
        <v>22</v>
      </c>
      <c r="B9">
        <v>9079571</v>
      </c>
      <c r="C9">
        <v>4151663275</v>
      </c>
      <c r="D9" t="s">
        <v>34</v>
      </c>
      <c r="E9" s="1">
        <v>45870</v>
      </c>
      <c r="F9" s="1">
        <v>45439</v>
      </c>
      <c r="G9" s="1">
        <v>45870</v>
      </c>
      <c r="I9" s="15" t="s">
        <v>100</v>
      </c>
      <c r="J9" s="15" t="s">
        <v>101</v>
      </c>
      <c r="K9">
        <v>85</v>
      </c>
      <c r="L9" t="s">
        <v>28</v>
      </c>
      <c r="M9" s="2">
        <v>-323.12</v>
      </c>
      <c r="N9" t="s">
        <v>29</v>
      </c>
      <c r="O9" s="4">
        <v>0</v>
      </c>
      <c r="P9" t="s">
        <v>30</v>
      </c>
      <c r="Q9" s="17">
        <v>-2692.67</v>
      </c>
      <c r="R9" s="19">
        <f t="shared" si="0"/>
        <v>-224.38916666666668</v>
      </c>
      <c r="S9" s="2">
        <v>0</v>
      </c>
      <c r="T9" s="2">
        <v>0</v>
      </c>
      <c r="U9" s="8">
        <f>V9/12</f>
        <v>-26.926666666666666</v>
      </c>
      <c r="V9" s="2">
        <v>-323.12</v>
      </c>
      <c r="W9" t="s">
        <v>94</v>
      </c>
      <c r="Y9" s="17">
        <f>323.12/12%</f>
        <v>2692.666666666667</v>
      </c>
      <c r="Z9">
        <f>Y9*12%</f>
        <v>323.12</v>
      </c>
    </row>
    <row r="10" spans="1:27" ht="15" customHeight="1">
      <c r="A10" t="s">
        <v>41</v>
      </c>
      <c r="B10" s="5">
        <v>19278370</v>
      </c>
      <c r="C10">
        <v>4151680794</v>
      </c>
      <c r="D10" t="s">
        <v>44</v>
      </c>
      <c r="E10" s="1">
        <v>45870</v>
      </c>
      <c r="F10" s="1">
        <v>45870</v>
      </c>
      <c r="G10" s="1">
        <v>45870</v>
      </c>
      <c r="H10" t="s">
        <v>45</v>
      </c>
      <c r="I10" s="15" t="s">
        <v>100</v>
      </c>
      <c r="J10" s="15" t="s">
        <v>101</v>
      </c>
      <c r="K10">
        <v>85</v>
      </c>
      <c r="L10" t="s">
        <v>40</v>
      </c>
      <c r="M10" s="2">
        <v>457.68</v>
      </c>
      <c r="N10" t="s">
        <v>29</v>
      </c>
      <c r="O10" s="4">
        <v>0.85</v>
      </c>
      <c r="P10" s="8">
        <f>Q10*O10</f>
        <v>291.77</v>
      </c>
      <c r="Q10" s="19">
        <f>V10/O10</f>
        <v>343.25882352941176</v>
      </c>
      <c r="R10" s="19">
        <f t="shared" si="0"/>
        <v>28.604901960784314</v>
      </c>
      <c r="S10" s="2">
        <v>291.77</v>
      </c>
      <c r="T10" s="2">
        <v>0</v>
      </c>
      <c r="U10" s="8">
        <f t="shared" si="1"/>
        <v>24.314166666666665</v>
      </c>
      <c r="V10" s="2">
        <v>291.77</v>
      </c>
      <c r="W10" s="6" t="s">
        <v>95</v>
      </c>
    </row>
    <row r="11" spans="1:27" ht="15" customHeight="1">
      <c r="A11" t="s">
        <v>22</v>
      </c>
      <c r="B11">
        <v>9079571</v>
      </c>
      <c r="C11">
        <v>4151686357</v>
      </c>
      <c r="D11" t="s">
        <v>63</v>
      </c>
      <c r="E11" s="1">
        <v>45870</v>
      </c>
      <c r="F11" s="1">
        <v>45870</v>
      </c>
      <c r="G11" s="1">
        <v>45870</v>
      </c>
      <c r="H11" t="s">
        <v>39</v>
      </c>
      <c r="I11" s="15" t="s">
        <v>100</v>
      </c>
      <c r="J11" s="15" t="s">
        <v>101</v>
      </c>
      <c r="K11">
        <v>85</v>
      </c>
      <c r="L11" t="s">
        <v>40</v>
      </c>
      <c r="M11" s="2">
        <v>287.39999999999998</v>
      </c>
      <c r="N11" t="s">
        <v>29</v>
      </c>
      <c r="O11" s="4">
        <v>0.95</v>
      </c>
      <c r="P11" s="8">
        <f>Q11*O11</f>
        <v>204.77</v>
      </c>
      <c r="Q11" s="19">
        <f>V11/O11</f>
        <v>215.54736842105265</v>
      </c>
      <c r="R11" s="19">
        <f t="shared" si="0"/>
        <v>17.962280701754388</v>
      </c>
      <c r="S11" s="2">
        <v>204.77</v>
      </c>
      <c r="T11" s="2">
        <v>0</v>
      </c>
      <c r="U11" s="8">
        <f t="shared" si="1"/>
        <v>17.064166666666669</v>
      </c>
      <c r="V11" s="2">
        <v>204.77</v>
      </c>
      <c r="W11" t="s">
        <v>96</v>
      </c>
    </row>
    <row r="12" spans="1:27" ht="15" customHeight="1">
      <c r="A12" t="s">
        <v>22</v>
      </c>
      <c r="B12">
        <v>9079571</v>
      </c>
      <c r="C12">
        <v>4151688994</v>
      </c>
      <c r="D12" t="s">
        <v>87</v>
      </c>
      <c r="E12" s="1">
        <v>45870</v>
      </c>
      <c r="F12" s="1">
        <v>45870</v>
      </c>
      <c r="G12" s="1">
        <v>45870</v>
      </c>
      <c r="H12" t="s">
        <v>39</v>
      </c>
      <c r="I12" s="15" t="s">
        <v>100</v>
      </c>
      <c r="J12" s="15" t="s">
        <v>101</v>
      </c>
      <c r="K12">
        <v>85</v>
      </c>
      <c r="L12" t="s">
        <v>40</v>
      </c>
      <c r="M12" s="2">
        <v>343.56</v>
      </c>
      <c r="N12" t="s">
        <v>29</v>
      </c>
      <c r="O12" s="4">
        <v>0.95</v>
      </c>
      <c r="P12" s="8">
        <f>Q12*O12</f>
        <v>244.78</v>
      </c>
      <c r="Q12" s="19">
        <f>V12/O12</f>
        <v>257.66315789473686</v>
      </c>
      <c r="R12" s="19">
        <f t="shared" si="0"/>
        <v>21.471929824561403</v>
      </c>
      <c r="S12" s="2">
        <v>244.78</v>
      </c>
      <c r="T12" s="2">
        <v>0</v>
      </c>
      <c r="U12" s="8">
        <f t="shared" si="1"/>
        <v>20.398333333333333</v>
      </c>
      <c r="V12" s="2">
        <v>244.78</v>
      </c>
      <c r="W12" t="s">
        <v>96</v>
      </c>
    </row>
    <row r="13" spans="1:27" ht="15" customHeight="1">
      <c r="A13" t="s">
        <v>22</v>
      </c>
      <c r="B13">
        <v>9079571</v>
      </c>
      <c r="C13">
        <v>4151685527</v>
      </c>
      <c r="D13" t="s">
        <v>57</v>
      </c>
      <c r="E13" s="1">
        <v>45870</v>
      </c>
      <c r="F13" s="1">
        <v>45870</v>
      </c>
      <c r="G13" s="1">
        <v>45870</v>
      </c>
      <c r="H13" t="s">
        <v>39</v>
      </c>
      <c r="I13" s="15" t="s">
        <v>100</v>
      </c>
      <c r="J13" s="15" t="s">
        <v>101</v>
      </c>
      <c r="K13">
        <v>85</v>
      </c>
      <c r="L13" t="s">
        <v>40</v>
      </c>
      <c r="M13" s="2">
        <v>352.8</v>
      </c>
      <c r="N13" t="s">
        <v>29</v>
      </c>
      <c r="O13" s="4">
        <v>0.95</v>
      </c>
      <c r="P13" s="8">
        <f>Q13*O13</f>
        <v>251.37</v>
      </c>
      <c r="Q13" s="19">
        <f>V13/O13</f>
        <v>264.60000000000002</v>
      </c>
      <c r="R13" s="19">
        <f t="shared" si="0"/>
        <v>22.05</v>
      </c>
      <c r="S13" s="2">
        <v>251.37</v>
      </c>
      <c r="T13" s="2">
        <v>0</v>
      </c>
      <c r="U13" s="8">
        <f t="shared" si="1"/>
        <v>20.947500000000002</v>
      </c>
      <c r="V13" s="2">
        <v>251.37</v>
      </c>
      <c r="W13" t="s">
        <v>96</v>
      </c>
    </row>
    <row r="14" spans="1:27" ht="15" customHeight="1">
      <c r="A14" t="s">
        <v>22</v>
      </c>
      <c r="B14">
        <v>9079571</v>
      </c>
      <c r="C14">
        <v>4151686069</v>
      </c>
      <c r="D14" t="s">
        <v>59</v>
      </c>
      <c r="E14" s="1">
        <v>45870</v>
      </c>
      <c r="F14" s="1">
        <v>45870</v>
      </c>
      <c r="G14" s="1">
        <v>45870</v>
      </c>
      <c r="H14" t="s">
        <v>39</v>
      </c>
      <c r="I14" s="15" t="s">
        <v>100</v>
      </c>
      <c r="J14" s="15" t="s">
        <v>101</v>
      </c>
      <c r="K14">
        <v>85</v>
      </c>
      <c r="L14" t="s">
        <v>40</v>
      </c>
      <c r="M14" s="2">
        <v>367.56</v>
      </c>
      <c r="N14" t="s">
        <v>29</v>
      </c>
      <c r="O14" s="4">
        <v>0.95</v>
      </c>
      <c r="P14" s="8">
        <f>Q14*O14</f>
        <v>261.88</v>
      </c>
      <c r="Q14" s="19">
        <f>V14/O14</f>
        <v>275.66315789473686</v>
      </c>
      <c r="R14" s="19">
        <f t="shared" si="0"/>
        <v>22.971929824561403</v>
      </c>
      <c r="S14" s="2">
        <v>261.88</v>
      </c>
      <c r="T14" s="2">
        <v>0</v>
      </c>
      <c r="U14" s="8">
        <f t="shared" si="1"/>
        <v>21.823333333333334</v>
      </c>
      <c r="V14" s="2">
        <v>261.88</v>
      </c>
      <c r="W14" t="s">
        <v>96</v>
      </c>
    </row>
    <row r="15" spans="1:27" s="10" customFormat="1" ht="15" customHeight="1">
      <c r="A15" s="10" t="s">
        <v>76</v>
      </c>
      <c r="B15" s="10">
        <v>21222981</v>
      </c>
      <c r="C15" s="10">
        <v>4151688264</v>
      </c>
      <c r="D15" s="10" t="s">
        <v>79</v>
      </c>
      <c r="E15" s="11">
        <v>45870</v>
      </c>
      <c r="F15" s="11">
        <v>45870</v>
      </c>
      <c r="G15" s="11">
        <v>45870</v>
      </c>
      <c r="H15" s="10" t="s">
        <v>39</v>
      </c>
      <c r="I15" s="16" t="s">
        <v>100</v>
      </c>
      <c r="J15" s="16" t="s">
        <v>101</v>
      </c>
      <c r="K15" s="10">
        <v>85</v>
      </c>
      <c r="L15" s="10" t="s">
        <v>40</v>
      </c>
      <c r="M15" s="12">
        <v>477.96</v>
      </c>
      <c r="N15" s="10" t="s">
        <v>29</v>
      </c>
      <c r="O15" s="13">
        <v>0.95</v>
      </c>
      <c r="P15" s="12">
        <f>Q15*O15</f>
        <v>340.54</v>
      </c>
      <c r="Q15" s="20">
        <f>V15/O15</f>
        <v>358.46315789473687</v>
      </c>
      <c r="R15" s="19">
        <f t="shared" si="0"/>
        <v>29.871929824561406</v>
      </c>
      <c r="S15" s="12">
        <v>340.54</v>
      </c>
      <c r="T15" s="12">
        <v>0</v>
      </c>
      <c r="U15" s="8">
        <f t="shared" si="1"/>
        <v>28.378333333333334</v>
      </c>
      <c r="V15" s="12">
        <v>340.54</v>
      </c>
      <c r="W15" s="10" t="s">
        <v>96</v>
      </c>
    </row>
    <row r="16" spans="1:27" ht="15" customHeight="1">
      <c r="A16" t="s">
        <v>22</v>
      </c>
      <c r="B16">
        <v>9079571</v>
      </c>
      <c r="C16">
        <v>4151683718</v>
      </c>
      <c r="D16" t="s">
        <v>47</v>
      </c>
      <c r="E16" s="1">
        <v>45870</v>
      </c>
      <c r="F16" s="1">
        <v>45870</v>
      </c>
      <c r="G16" s="1">
        <v>45870</v>
      </c>
      <c r="H16" t="s">
        <v>39</v>
      </c>
      <c r="I16" s="15" t="s">
        <v>100</v>
      </c>
      <c r="J16" s="15" t="s">
        <v>101</v>
      </c>
      <c r="K16">
        <v>85</v>
      </c>
      <c r="L16" t="s">
        <v>40</v>
      </c>
      <c r="M16" s="2">
        <v>477.96</v>
      </c>
      <c r="N16" t="s">
        <v>29</v>
      </c>
      <c r="O16" s="4">
        <v>0.95</v>
      </c>
      <c r="P16" s="8">
        <f>Q16*O16</f>
        <v>340.54</v>
      </c>
      <c r="Q16" s="19">
        <f>V16/O16</f>
        <v>358.46315789473687</v>
      </c>
      <c r="R16" s="19">
        <f t="shared" si="0"/>
        <v>29.871929824561406</v>
      </c>
      <c r="S16" s="2">
        <v>340.54</v>
      </c>
      <c r="T16" s="2">
        <v>0</v>
      </c>
      <c r="U16" s="8">
        <f t="shared" si="1"/>
        <v>28.378333333333334</v>
      </c>
      <c r="V16" s="2">
        <v>340.54</v>
      </c>
      <c r="W16" t="s">
        <v>96</v>
      </c>
    </row>
    <row r="17" spans="1:27" ht="15" customHeight="1">
      <c r="A17" t="s">
        <v>22</v>
      </c>
      <c r="B17">
        <v>9079571</v>
      </c>
      <c r="C17">
        <v>4151687575</v>
      </c>
      <c r="D17" t="s">
        <v>67</v>
      </c>
      <c r="E17" s="1">
        <v>45870</v>
      </c>
      <c r="F17" s="1">
        <v>45870</v>
      </c>
      <c r="G17" s="1">
        <v>45870</v>
      </c>
      <c r="H17" t="s">
        <v>39</v>
      </c>
      <c r="I17" s="15" t="s">
        <v>100</v>
      </c>
      <c r="J17" s="15" t="s">
        <v>101</v>
      </c>
      <c r="K17">
        <v>85</v>
      </c>
      <c r="L17" t="s">
        <v>40</v>
      </c>
      <c r="M17" s="2">
        <v>484.68</v>
      </c>
      <c r="N17" t="s">
        <v>29</v>
      </c>
      <c r="O17" s="4">
        <v>0.95</v>
      </c>
      <c r="P17" s="8">
        <f>Q17*O17</f>
        <v>345.33</v>
      </c>
      <c r="Q17" s="19">
        <f>V17/O17</f>
        <v>363.50526315789472</v>
      </c>
      <c r="R17" s="19">
        <f t="shared" si="0"/>
        <v>30.292105263157893</v>
      </c>
      <c r="S17" s="2">
        <v>345.33</v>
      </c>
      <c r="T17" s="2">
        <v>0</v>
      </c>
      <c r="U17" s="8">
        <f t="shared" si="1"/>
        <v>28.7775</v>
      </c>
      <c r="V17" s="2">
        <v>345.33</v>
      </c>
      <c r="W17" t="s">
        <v>96</v>
      </c>
    </row>
    <row r="18" spans="1:27" ht="15" customHeight="1">
      <c r="A18" t="s">
        <v>22</v>
      </c>
      <c r="B18">
        <v>9079571</v>
      </c>
      <c r="C18">
        <v>4151687694</v>
      </c>
      <c r="D18" t="s">
        <v>69</v>
      </c>
      <c r="E18" s="1">
        <v>45870</v>
      </c>
      <c r="F18" s="1">
        <v>45870</v>
      </c>
      <c r="G18" s="1">
        <v>45870</v>
      </c>
      <c r="H18" t="s">
        <v>39</v>
      </c>
      <c r="I18" s="15" t="s">
        <v>100</v>
      </c>
      <c r="J18" s="15" t="s">
        <v>101</v>
      </c>
      <c r="K18">
        <v>85</v>
      </c>
      <c r="L18" t="s">
        <v>40</v>
      </c>
      <c r="M18" s="2">
        <v>484.68</v>
      </c>
      <c r="N18" t="s">
        <v>29</v>
      </c>
      <c r="O18" s="4">
        <v>0.95</v>
      </c>
      <c r="P18" s="8">
        <f>Q18*O18</f>
        <v>345.33</v>
      </c>
      <c r="Q18" s="19">
        <f>V18/O18</f>
        <v>363.50526315789472</v>
      </c>
      <c r="R18" s="19">
        <f t="shared" si="0"/>
        <v>30.292105263157893</v>
      </c>
      <c r="S18" s="2">
        <v>345.33</v>
      </c>
      <c r="T18" s="2">
        <v>0</v>
      </c>
      <c r="U18" s="8">
        <f t="shared" si="1"/>
        <v>28.7775</v>
      </c>
      <c r="V18" s="2">
        <v>345.33</v>
      </c>
      <c r="W18" t="s">
        <v>96</v>
      </c>
    </row>
    <row r="19" spans="1:27" ht="15" customHeight="1">
      <c r="A19" t="s">
        <v>22</v>
      </c>
      <c r="B19">
        <v>9079571</v>
      </c>
      <c r="C19">
        <v>4151688644</v>
      </c>
      <c r="D19" t="s">
        <v>83</v>
      </c>
      <c r="E19" s="1">
        <v>45870</v>
      </c>
      <c r="F19" s="1">
        <v>45870</v>
      </c>
      <c r="G19" s="1">
        <v>45870</v>
      </c>
      <c r="H19" t="s">
        <v>39</v>
      </c>
      <c r="I19" s="15" t="s">
        <v>100</v>
      </c>
      <c r="J19" s="15" t="s">
        <v>101</v>
      </c>
      <c r="K19">
        <v>85</v>
      </c>
      <c r="L19" t="s">
        <v>40</v>
      </c>
      <c r="M19" s="2">
        <v>484.68</v>
      </c>
      <c r="N19" t="s">
        <v>29</v>
      </c>
      <c r="O19" s="4">
        <v>0.95</v>
      </c>
      <c r="P19" s="8">
        <f>Q19*O19</f>
        <v>345.33</v>
      </c>
      <c r="Q19" s="19">
        <f>V19/O19</f>
        <v>363.50526315789472</v>
      </c>
      <c r="R19" s="19">
        <f t="shared" si="0"/>
        <v>30.292105263157893</v>
      </c>
      <c r="S19" s="2">
        <v>345.33</v>
      </c>
      <c r="T19" s="2">
        <v>0</v>
      </c>
      <c r="U19" s="8">
        <f t="shared" si="1"/>
        <v>28.7775</v>
      </c>
      <c r="V19" s="2">
        <v>345.33</v>
      </c>
      <c r="W19" t="s">
        <v>96</v>
      </c>
    </row>
    <row r="20" spans="1:27" ht="15" customHeight="1">
      <c r="A20" t="s">
        <v>22</v>
      </c>
      <c r="B20">
        <v>9079571</v>
      </c>
      <c r="C20">
        <v>4151686233</v>
      </c>
      <c r="D20" t="s">
        <v>61</v>
      </c>
      <c r="E20" s="1">
        <v>45870</v>
      </c>
      <c r="F20" s="1">
        <v>45870</v>
      </c>
      <c r="G20" s="1">
        <v>45870</v>
      </c>
      <c r="H20" t="s">
        <v>39</v>
      </c>
      <c r="I20" s="15" t="s">
        <v>100</v>
      </c>
      <c r="J20" s="15" t="s">
        <v>101</v>
      </c>
      <c r="K20">
        <v>85</v>
      </c>
      <c r="L20" t="s">
        <v>40</v>
      </c>
      <c r="M20" s="2">
        <v>525.6</v>
      </c>
      <c r="N20" t="s">
        <v>29</v>
      </c>
      <c r="O20" s="4">
        <v>0.95</v>
      </c>
      <c r="P20" s="8">
        <f>Q20*O20</f>
        <v>374.49</v>
      </c>
      <c r="Q20" s="19">
        <f>V20/O20</f>
        <v>394.20000000000005</v>
      </c>
      <c r="R20" s="19">
        <f t="shared" si="0"/>
        <v>32.85</v>
      </c>
      <c r="S20" s="2">
        <v>374.49</v>
      </c>
      <c r="T20" s="2">
        <v>0</v>
      </c>
      <c r="U20" s="8">
        <f t="shared" si="1"/>
        <v>31.2075</v>
      </c>
      <c r="V20" s="2">
        <v>374.49</v>
      </c>
      <c r="W20" t="s">
        <v>96</v>
      </c>
    </row>
    <row r="21" spans="1:27" ht="15" customHeight="1">
      <c r="A21" t="s">
        <v>22</v>
      </c>
      <c r="B21">
        <v>9079571</v>
      </c>
      <c r="C21">
        <v>4151687717</v>
      </c>
      <c r="D21" t="s">
        <v>71</v>
      </c>
      <c r="E21" s="1">
        <v>45870</v>
      </c>
      <c r="F21" s="1">
        <v>45870</v>
      </c>
      <c r="G21" s="1">
        <v>45870</v>
      </c>
      <c r="H21" t="s">
        <v>39</v>
      </c>
      <c r="I21" s="15" t="s">
        <v>100</v>
      </c>
      <c r="J21" s="15" t="s">
        <v>101</v>
      </c>
      <c r="K21">
        <v>85</v>
      </c>
      <c r="L21" t="s">
        <v>40</v>
      </c>
      <c r="M21" s="2">
        <v>661.68</v>
      </c>
      <c r="N21" t="s">
        <v>29</v>
      </c>
      <c r="O21" s="4">
        <v>0.95</v>
      </c>
      <c r="P21" s="8">
        <f>Q21*O21</f>
        <v>471.45</v>
      </c>
      <c r="Q21" s="19">
        <f>V21/O21</f>
        <v>496.26315789473688</v>
      </c>
      <c r="R21" s="19">
        <f t="shared" si="0"/>
        <v>41.35526315789474</v>
      </c>
      <c r="S21" s="2">
        <v>471.45</v>
      </c>
      <c r="T21" s="2">
        <v>0</v>
      </c>
      <c r="U21" s="8">
        <f t="shared" si="1"/>
        <v>39.287500000000001</v>
      </c>
      <c r="V21" s="2">
        <v>471.45</v>
      </c>
      <c r="W21" t="s">
        <v>96</v>
      </c>
    </row>
    <row r="22" spans="1:27" s="6" customFormat="1" ht="15" customHeight="1">
      <c r="A22" t="s">
        <v>22</v>
      </c>
      <c r="B22">
        <v>9079571</v>
      </c>
      <c r="C22">
        <v>4151688337</v>
      </c>
      <c r="D22" t="s">
        <v>81</v>
      </c>
      <c r="E22" s="1">
        <v>45870</v>
      </c>
      <c r="F22" s="1">
        <v>45870</v>
      </c>
      <c r="G22" s="1">
        <v>45870</v>
      </c>
      <c r="H22" t="s">
        <v>39</v>
      </c>
      <c r="I22" s="15" t="s">
        <v>100</v>
      </c>
      <c r="J22" s="15" t="s">
        <v>101</v>
      </c>
      <c r="K22">
        <v>85</v>
      </c>
      <c r="L22" t="s">
        <v>40</v>
      </c>
      <c r="M22" s="2">
        <v>733.92</v>
      </c>
      <c r="N22" t="s">
        <v>29</v>
      </c>
      <c r="O22" s="4">
        <v>0.95</v>
      </c>
      <c r="P22" s="8">
        <f>Q22*O22</f>
        <v>522.91</v>
      </c>
      <c r="Q22" s="19">
        <f>V22/O22</f>
        <v>550.43157894736839</v>
      </c>
      <c r="R22" s="19">
        <f t="shared" si="0"/>
        <v>45.869298245614033</v>
      </c>
      <c r="S22" s="2">
        <v>522.91</v>
      </c>
      <c r="T22" s="2">
        <v>0</v>
      </c>
      <c r="U22" s="8">
        <f t="shared" si="1"/>
        <v>43.575833333333328</v>
      </c>
      <c r="V22" s="2">
        <v>522.91</v>
      </c>
      <c r="W22" t="s">
        <v>96</v>
      </c>
      <c r="X22"/>
      <c r="Y22"/>
      <c r="Z22"/>
      <c r="AA22"/>
    </row>
    <row r="23" spans="1:27" s="6" customFormat="1" ht="15" customHeight="1">
      <c r="A23" t="s">
        <v>22</v>
      </c>
      <c r="B23">
        <v>9079571</v>
      </c>
      <c r="C23">
        <v>4151689822</v>
      </c>
      <c r="D23" t="s">
        <v>91</v>
      </c>
      <c r="E23" s="1">
        <v>45870</v>
      </c>
      <c r="F23" s="1">
        <v>45870</v>
      </c>
      <c r="G23" s="1">
        <v>45870</v>
      </c>
      <c r="H23" t="s">
        <v>39</v>
      </c>
      <c r="I23" s="15" t="s">
        <v>100</v>
      </c>
      <c r="J23" s="15" t="s">
        <v>101</v>
      </c>
      <c r="K23">
        <v>85</v>
      </c>
      <c r="L23" t="s">
        <v>40</v>
      </c>
      <c r="M23" s="2">
        <v>860.28</v>
      </c>
      <c r="N23" t="s">
        <v>29</v>
      </c>
      <c r="O23" s="4">
        <v>0.95</v>
      </c>
      <c r="P23" s="8">
        <f>Q23*O23</f>
        <v>612.95000000000005</v>
      </c>
      <c r="Q23" s="19">
        <f>V23/O23</f>
        <v>645.21052631578959</v>
      </c>
      <c r="R23" s="19">
        <f t="shared" si="0"/>
        <v>53.76754385964913</v>
      </c>
      <c r="S23" s="2">
        <v>612.95000000000005</v>
      </c>
      <c r="T23" s="2">
        <v>0</v>
      </c>
      <c r="U23" s="8">
        <f t="shared" si="1"/>
        <v>51.079166666666673</v>
      </c>
      <c r="V23" s="2">
        <v>612.95000000000005</v>
      </c>
      <c r="W23" t="s">
        <v>96</v>
      </c>
      <c r="X23"/>
      <c r="Y23"/>
      <c r="Z23"/>
      <c r="AA23"/>
    </row>
    <row r="24" spans="1:27" s="6" customFormat="1" ht="15" customHeight="1">
      <c r="A24" t="s">
        <v>22</v>
      </c>
      <c r="B24">
        <v>9079571</v>
      </c>
      <c r="C24">
        <v>4151689844</v>
      </c>
      <c r="D24" t="s">
        <v>93</v>
      </c>
      <c r="E24" s="1">
        <v>45870</v>
      </c>
      <c r="F24" s="1">
        <v>45870</v>
      </c>
      <c r="G24" s="1">
        <v>45870</v>
      </c>
      <c r="H24" t="s">
        <v>39</v>
      </c>
      <c r="I24" s="15" t="s">
        <v>100</v>
      </c>
      <c r="J24" s="15" t="s">
        <v>101</v>
      </c>
      <c r="K24">
        <v>85</v>
      </c>
      <c r="L24" t="s">
        <v>40</v>
      </c>
      <c r="M24" s="2">
        <v>860.28</v>
      </c>
      <c r="N24" t="s">
        <v>29</v>
      </c>
      <c r="O24" s="4">
        <v>0.95</v>
      </c>
      <c r="P24" s="8">
        <f>Q24*O24</f>
        <v>612.95000000000005</v>
      </c>
      <c r="Q24" s="19">
        <f>V24/O24</f>
        <v>645.21052631578959</v>
      </c>
      <c r="R24" s="19">
        <f t="shared" si="0"/>
        <v>53.76754385964913</v>
      </c>
      <c r="S24" s="2">
        <v>612.95000000000005</v>
      </c>
      <c r="T24" s="2">
        <v>0</v>
      </c>
      <c r="U24" s="8">
        <f t="shared" si="1"/>
        <v>51.079166666666673</v>
      </c>
      <c r="V24" s="2">
        <v>612.95000000000005</v>
      </c>
      <c r="W24" t="s">
        <v>96</v>
      </c>
      <c r="X24"/>
      <c r="Y24"/>
      <c r="Z24"/>
      <c r="AA24"/>
    </row>
    <row r="25" spans="1:27" s="6" customFormat="1" ht="15" customHeight="1">
      <c r="A25" t="s">
        <v>22</v>
      </c>
      <c r="B25">
        <v>9079571</v>
      </c>
      <c r="C25">
        <v>4151689383</v>
      </c>
      <c r="D25" t="s">
        <v>89</v>
      </c>
      <c r="E25" s="1">
        <v>45870</v>
      </c>
      <c r="F25" s="1">
        <v>45870</v>
      </c>
      <c r="G25" s="1">
        <v>45870</v>
      </c>
      <c r="H25" t="s">
        <v>39</v>
      </c>
      <c r="I25" s="15" t="s">
        <v>100</v>
      </c>
      <c r="J25" s="15" t="s">
        <v>101</v>
      </c>
      <c r="K25">
        <v>85</v>
      </c>
      <c r="L25" t="s">
        <v>40</v>
      </c>
      <c r="M25" s="2">
        <v>946.2</v>
      </c>
      <c r="N25" t="s">
        <v>29</v>
      </c>
      <c r="O25" s="4">
        <v>0.95</v>
      </c>
      <c r="P25" s="8">
        <f>Q25*O25</f>
        <v>674.16</v>
      </c>
      <c r="Q25" s="19">
        <f>V25/O25</f>
        <v>709.64210526315787</v>
      </c>
      <c r="R25" s="19">
        <f t="shared" si="0"/>
        <v>59.136842105263156</v>
      </c>
      <c r="S25" s="2">
        <v>674.16</v>
      </c>
      <c r="T25" s="2">
        <v>0</v>
      </c>
      <c r="U25" s="8">
        <f t="shared" si="1"/>
        <v>56.18</v>
      </c>
      <c r="V25" s="2">
        <v>674.16</v>
      </c>
      <c r="W25" t="s">
        <v>96</v>
      </c>
      <c r="X25"/>
      <c r="Y25"/>
      <c r="Z25"/>
      <c r="AA25"/>
    </row>
  </sheetData>
  <sortState xmlns:xlrd2="http://schemas.microsoft.com/office/spreadsheetml/2017/richdata2" ref="A2:AA25">
    <sortCondition ref="I2:I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2025-08-07T21:15:57Z</dcterms:created>
  <dcterms:modified xsi:type="dcterms:W3CDTF">2025-08-13T21:40:08Z</dcterms:modified>
</cp:coreProperties>
</file>