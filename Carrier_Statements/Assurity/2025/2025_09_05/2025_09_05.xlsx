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9-5-25\"/>
    </mc:Choice>
  </mc:AlternateContent>
  <xr:revisionPtr revIDLastSave="0" documentId="13_ncr:1_{44BF5378-7E58-4525-9B3D-D23E381FD651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</sheets>
  <definedNames>
    <definedName name="_xlnm._FilterDatabase" localSheetId="1" hidden="1">'clean sheet'!$A$1:$P$38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8" i="2"/>
</calcChain>
</file>

<file path=xl/sharedStrings.xml><?xml version="1.0" encoding="utf-8"?>
<sst xmlns="http://schemas.openxmlformats.org/spreadsheetml/2006/main" count="1039" uniqueCount="165">
  <si>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</si>
  <si>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</si>
  <si>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</si>
  <si>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</si>
  <si>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</si>
  <si>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</si>
  <si>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</si>
  <si>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</si>
  <si>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</si>
  <si>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</si>
  <si>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</si>
  <si>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</si>
  <si>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</si>
  <si>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</si>
  <si>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</si>
  <si>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</si>
  <si>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</si>
  <si>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</si>
  <si>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</si>
  <si>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</si>
  <si>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</si>
  <si>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</si>
  <si>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Petrungaro, Andrea</t>
  </si>
  <si>
    <t>6MCL</t>
  </si>
  <si>
    <t>4151580547</t>
  </si>
  <si>
    <t>Roberts, Breanne</t>
  </si>
  <si>
    <t>H</t>
  </si>
  <si>
    <t>85</t>
  </si>
  <si>
    <t>Unknown</t>
  </si>
  <si>
    <t>FirstYear</t>
  </si>
  <si>
    <t>UNSECURED ADVANCE RECOVERY</t>
  </si>
  <si>
    <t>Yale, Jacob</t>
  </si>
  <si>
    <t>4VFF</t>
  </si>
  <si>
    <t>4151580578</t>
  </si>
  <si>
    <t>Vaghela, Nikita</t>
  </si>
  <si>
    <t>Max, Ronald</t>
  </si>
  <si>
    <t>6NBL</t>
  </si>
  <si>
    <t>4151584294</t>
  </si>
  <si>
    <t>Anokye, Matilda</t>
  </si>
  <si>
    <t>Sandifer, Jessica</t>
  </si>
  <si>
    <t>67VY</t>
  </si>
  <si>
    <t>4151586242</t>
  </si>
  <si>
    <t>Gonzalez Ayala, Reyna</t>
  </si>
  <si>
    <t>Schaeffer, William</t>
  </si>
  <si>
    <t>6NNN</t>
  </si>
  <si>
    <t>4151586964</t>
  </si>
  <si>
    <t>Landis, Scott</t>
  </si>
  <si>
    <t>4151587107</t>
  </si>
  <si>
    <t>Light, Angela</t>
  </si>
  <si>
    <t>4151588848</t>
  </si>
  <si>
    <t>Snyder, Heather</t>
  </si>
  <si>
    <t>4151589157</t>
  </si>
  <si>
    <t>Heil, Andrew</t>
  </si>
  <si>
    <t>Kinyua, Jared</t>
  </si>
  <si>
    <t>6LN5</t>
  </si>
  <si>
    <t>4151589641</t>
  </si>
  <si>
    <t>Wani, Ashaq</t>
  </si>
  <si>
    <t>4151590525</t>
  </si>
  <si>
    <t>Mcaleer, Michelle</t>
  </si>
  <si>
    <t>4151592170</t>
  </si>
  <si>
    <t>Scharf, James</t>
  </si>
  <si>
    <t>Richter, Adam</t>
  </si>
  <si>
    <t>2BNY</t>
  </si>
  <si>
    <t>4151625325</t>
  </si>
  <si>
    <t>Hinton, Patricia</t>
  </si>
  <si>
    <t>4151643500</t>
  </si>
  <si>
    <t>Jackson, Andrelle</t>
  </si>
  <si>
    <t>4151654015</t>
  </si>
  <si>
    <t>Regulus, Anthony</t>
  </si>
  <si>
    <t>4151662017</t>
  </si>
  <si>
    <t>Earl, George</t>
  </si>
  <si>
    <t>4151672192</t>
  </si>
  <si>
    <t>Meszaros, Jennifer</t>
  </si>
  <si>
    <t>4151672193</t>
  </si>
  <si>
    <t>4151692399</t>
  </si>
  <si>
    <t>Foster, Keaira</t>
  </si>
  <si>
    <t>Accident Insurance</t>
  </si>
  <si>
    <t>Monthly</t>
  </si>
  <si>
    <t>4151692641</t>
  </si>
  <si>
    <t>Bright, Casherie</t>
  </si>
  <si>
    <t>4151692690</t>
  </si>
  <si>
    <t>Anderson, Gregory</t>
  </si>
  <si>
    <t>4151692712</t>
  </si>
  <si>
    <t>Anderson, Ethan</t>
  </si>
  <si>
    <t>4151692800</t>
  </si>
  <si>
    <t>Anderson, Katherine</t>
  </si>
  <si>
    <t>Oliver, Brittany</t>
  </si>
  <si>
    <t>6EVF</t>
  </si>
  <si>
    <t>4151693210</t>
  </si>
  <si>
    <t>Aza, Jacqueline</t>
  </si>
  <si>
    <t>Assurity Critical Illness</t>
  </si>
  <si>
    <t>4151693589</t>
  </si>
  <si>
    <t>Hartsock, Joanne</t>
  </si>
  <si>
    <t>4151694497</t>
  </si>
  <si>
    <t>Wise, David</t>
  </si>
  <si>
    <t>Inskipt, Deborah</t>
  </si>
  <si>
    <t>3B6E</t>
  </si>
  <si>
    <t>4151695628</t>
  </si>
  <si>
    <t>Milas, Nicholas</t>
  </si>
  <si>
    <t>Ferguson, Taliah</t>
  </si>
  <si>
    <t>6PYF</t>
  </si>
  <si>
    <t>4151695630</t>
  </si>
  <si>
    <t>Williams, Kim</t>
  </si>
  <si>
    <t>4151695683</t>
  </si>
  <si>
    <t>Akpabio, Emem</t>
  </si>
  <si>
    <t>4151695694</t>
  </si>
  <si>
    <t>Kwara, Adnan</t>
  </si>
  <si>
    <t>4151695701</t>
  </si>
  <si>
    <t>Erskine, Dorette</t>
  </si>
  <si>
    <t>4151695704</t>
  </si>
  <si>
    <t>Mckee, Susan</t>
  </si>
  <si>
    <t>4151697326</t>
  </si>
  <si>
    <t>Parham, Josiah</t>
  </si>
  <si>
    <t>4151697981</t>
  </si>
  <si>
    <t>Westerman, Kurt</t>
  </si>
  <si>
    <t>4151698042</t>
  </si>
  <si>
    <t>Rivas Vazquez, Jorge</t>
  </si>
  <si>
    <t>4151698054</t>
  </si>
  <si>
    <t>Senisse, Darlene</t>
  </si>
  <si>
    <t>Stocker, Ryan</t>
  </si>
  <si>
    <t>4H2T</t>
  </si>
  <si>
    <t>4151698363</t>
  </si>
  <si>
    <t>Mescavage, Bradley</t>
  </si>
  <si>
    <t>4151699715</t>
  </si>
  <si>
    <t>Abendroth, James</t>
  </si>
  <si>
    <t>4151700070</t>
  </si>
  <si>
    <t>Gist, Alexis</t>
  </si>
  <si>
    <t>4151700075</t>
  </si>
  <si>
    <t>Ellis, Angelina</t>
  </si>
  <si>
    <t>4151700088</t>
  </si>
  <si>
    <t>Okeke, Anthony</t>
  </si>
  <si>
    <t>4151700092</t>
  </si>
  <si>
    <t>Ellis, Christopher</t>
  </si>
  <si>
    <t>4151700096</t>
  </si>
  <si>
    <t>Martinez, Kromer</t>
  </si>
  <si>
    <t>4151700099</t>
  </si>
  <si>
    <t>Bowers, Nonie</t>
  </si>
  <si>
    <t>4151700103</t>
  </si>
  <si>
    <t>Davis, Denise</t>
  </si>
  <si>
    <t>4151700625</t>
  </si>
  <si>
    <t>Dubois, Glen</t>
  </si>
  <si>
    <t>Accidental Death &amp; Dismemberment</t>
  </si>
  <si>
    <t>4151701164</t>
  </si>
  <si>
    <t>James, Emoni</t>
  </si>
  <si>
    <t>4151701717</t>
  </si>
  <si>
    <t>Aquia, Patrick</t>
  </si>
  <si>
    <t>4151701718</t>
  </si>
  <si>
    <t>Wolfe, Terri</t>
  </si>
  <si>
    <t>4151701853</t>
  </si>
  <si>
    <t>Hobbie, Christina</t>
  </si>
  <si>
    <t>4351591431</t>
  </si>
  <si>
    <t>Hankle, Rhiannon</t>
  </si>
  <si>
    <t>L</t>
  </si>
  <si>
    <t>2024-Accident Insurance- All States Applicable Except (CO/MN/SD/WA)100</t>
  </si>
  <si>
    <t>2024-Accidental Death Insurance Plus - To Age 80</t>
  </si>
  <si>
    <t>1-3 2024- Accident Insurance All States Applicable Except (CO/MN/SD/WA) 95%</t>
  </si>
  <si>
    <t>All States Where Applicable except CT, MT</t>
  </si>
  <si>
    <t>Effective date</t>
  </si>
  <si>
    <t>paid to date</t>
  </si>
  <si>
    <t>months</t>
  </si>
  <si>
    <t>21561165AV9</t>
  </si>
  <si>
    <t>17554531AV9</t>
  </si>
  <si>
    <t>paymode</t>
  </si>
  <si>
    <t>AE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</si>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</sst>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NumberFormat="1" applyFill="1" applyAlignment="1">
      <alignment vertical="center" wrapText="1"/>
    </xf>
    <xf numFmtId="164" fontId="0" fillId="0" borderId="0" xfId="0" applyNumberFormat="1" applyFill="1" applyAlignment="1">
      <alignment vertical="center" wrapText="1"/>
    </xf>
    <xf numFmtId="10" fontId="0" fillId="0" borderId="0" xfId="0" applyNumberFormat="1" applyFill="1" applyAlignment="1">
      <alignment vertical="center" wrapText="1"/>
    </xf>
    <xf numFmtId="0" fontId="2" fillId="3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"/>
  <sheetViews>
    <sheetView topLeftCell="L1" workbookViewId="0">
      <selection activeCell="G28" sqref="A1:U82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8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45905</v>
      </c>
      <c r="G2" s="1"/>
      <c r="H2" s="1">
        <v>45905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-0.03</v>
      </c>
    </row>
    <row r="3" spans="1:21" x14ac:dyDescent="0.25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45905</v>
      </c>
      <c r="G3" s="1"/>
      <c r="H3" s="1">
        <v>45905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-0.03</v>
      </c>
    </row>
    <row r="4" spans="1:21" x14ac:dyDescent="0.25">
      <c r="A4" t="s">
        <v>21</v>
      </c>
      <c r="B4" t="s">
        <v>35</v>
      </c>
      <c r="C4" t="s">
        <v>36</v>
      </c>
      <c r="D4" t="s">
        <v>37</v>
      </c>
      <c r="E4" t="s">
        <v>38</v>
      </c>
      <c r="F4" s="1">
        <v>45905</v>
      </c>
      <c r="G4" s="1"/>
      <c r="H4" s="1">
        <v>45905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0</v>
      </c>
      <c r="U4" s="2">
        <v>-0.03</v>
      </c>
    </row>
    <row r="5" spans="1:21" x14ac:dyDescent="0.25">
      <c r="A5" t="s">
        <v>21</v>
      </c>
      <c r="B5" t="s">
        <v>39</v>
      </c>
      <c r="C5" t="s">
        <v>40</v>
      </c>
      <c r="D5" t="s">
        <v>41</v>
      </c>
      <c r="E5" t="s">
        <v>42</v>
      </c>
      <c r="F5" s="1">
        <v>45905</v>
      </c>
      <c r="G5" s="1"/>
      <c r="H5" s="1">
        <v>45905</v>
      </c>
      <c r="K5" t="s">
        <v>26</v>
      </c>
      <c r="M5" t="s">
        <v>27</v>
      </c>
      <c r="N5" t="s">
        <v>28</v>
      </c>
      <c r="O5" s="2">
        <v>0</v>
      </c>
      <c r="P5" t="s">
        <v>29</v>
      </c>
      <c r="Q5" s="4">
        <v>0</v>
      </c>
      <c r="R5" t="s">
        <v>30</v>
      </c>
      <c r="S5" s="2">
        <v>0</v>
      </c>
      <c r="T5" s="2">
        <v>0</v>
      </c>
      <c r="U5" s="2">
        <v>-0.03</v>
      </c>
    </row>
    <row r="6" spans="1:21" x14ac:dyDescent="0.25">
      <c r="A6" t="s">
        <v>21</v>
      </c>
      <c r="B6" t="s">
        <v>43</v>
      </c>
      <c r="C6" t="s">
        <v>44</v>
      </c>
      <c r="D6" t="s">
        <v>45</v>
      </c>
      <c r="E6" t="s">
        <v>46</v>
      </c>
      <c r="F6" s="1">
        <v>45905</v>
      </c>
      <c r="G6" s="1"/>
      <c r="H6" s="1">
        <v>45905</v>
      </c>
      <c r="K6" t="s">
        <v>26</v>
      </c>
      <c r="M6" t="s">
        <v>27</v>
      </c>
      <c r="N6" t="s">
        <v>28</v>
      </c>
      <c r="O6" s="2">
        <v>0</v>
      </c>
      <c r="P6" t="s">
        <v>29</v>
      </c>
      <c r="Q6" s="4">
        <v>0</v>
      </c>
      <c r="R6" t="s">
        <v>30</v>
      </c>
      <c r="S6" s="2">
        <v>0</v>
      </c>
      <c r="T6" s="2">
        <v>0</v>
      </c>
      <c r="U6" s="2">
        <v>-0.02</v>
      </c>
    </row>
    <row r="7" spans="1:21" x14ac:dyDescent="0.25">
      <c r="A7" t="s">
        <v>21</v>
      </c>
      <c r="B7" t="s">
        <v>43</v>
      </c>
      <c r="C7" t="s">
        <v>44</v>
      </c>
      <c r="D7" t="s">
        <v>47</v>
      </c>
      <c r="E7" t="s">
        <v>48</v>
      </c>
      <c r="F7" s="1">
        <v>45905</v>
      </c>
      <c r="G7" s="1"/>
      <c r="H7" s="1">
        <v>45905</v>
      </c>
      <c r="K7" t="s">
        <v>26</v>
      </c>
      <c r="M7" t="s">
        <v>27</v>
      </c>
      <c r="N7" t="s">
        <v>28</v>
      </c>
      <c r="O7" s="2">
        <v>0</v>
      </c>
      <c r="P7" t="s">
        <v>29</v>
      </c>
      <c r="Q7" s="4">
        <v>0</v>
      </c>
      <c r="R7" t="s">
        <v>30</v>
      </c>
      <c r="S7" s="2">
        <v>0</v>
      </c>
      <c r="T7" s="2">
        <v>0</v>
      </c>
      <c r="U7" s="2">
        <v>-0.02</v>
      </c>
    </row>
    <row r="8" spans="1:21" x14ac:dyDescent="0.25">
      <c r="A8" t="s">
        <v>21</v>
      </c>
      <c r="B8" t="s">
        <v>43</v>
      </c>
      <c r="C8" t="s">
        <v>44</v>
      </c>
      <c r="D8" t="s">
        <v>49</v>
      </c>
      <c r="E8" t="s">
        <v>50</v>
      </c>
      <c r="F8" s="1">
        <v>45905</v>
      </c>
      <c r="G8" s="1"/>
      <c r="H8" s="1">
        <v>45905</v>
      </c>
      <c r="K8" t="s">
        <v>26</v>
      </c>
      <c r="M8" t="s">
        <v>27</v>
      </c>
      <c r="N8" t="s">
        <v>28</v>
      </c>
      <c r="O8" s="2">
        <v>0</v>
      </c>
      <c r="P8" t="s">
        <v>29</v>
      </c>
      <c r="Q8" s="4">
        <v>0</v>
      </c>
      <c r="R8" t="s">
        <v>30</v>
      </c>
      <c r="S8" s="2">
        <v>0</v>
      </c>
      <c r="T8" s="2">
        <v>0</v>
      </c>
      <c r="U8" s="2">
        <v>-0.01</v>
      </c>
    </row>
    <row r="9" spans="1:21" x14ac:dyDescent="0.25">
      <c r="A9" t="s">
        <v>21</v>
      </c>
      <c r="B9" t="s">
        <v>43</v>
      </c>
      <c r="C9" t="s">
        <v>44</v>
      </c>
      <c r="D9" t="s">
        <v>51</v>
      </c>
      <c r="E9" t="s">
        <v>52</v>
      </c>
      <c r="F9" s="1">
        <v>45905</v>
      </c>
      <c r="G9" s="1"/>
      <c r="H9" s="1">
        <v>45905</v>
      </c>
      <c r="K9" t="s">
        <v>26</v>
      </c>
      <c r="M9" t="s">
        <v>27</v>
      </c>
      <c r="N9" t="s">
        <v>28</v>
      </c>
      <c r="O9" s="2">
        <v>0</v>
      </c>
      <c r="P9" t="s">
        <v>29</v>
      </c>
      <c r="Q9" s="4">
        <v>0</v>
      </c>
      <c r="R9" t="s">
        <v>30</v>
      </c>
      <c r="S9" s="2">
        <v>0</v>
      </c>
      <c r="T9" s="2">
        <v>0</v>
      </c>
      <c r="U9" s="2">
        <v>-0.03</v>
      </c>
    </row>
    <row r="10" spans="1:21" x14ac:dyDescent="0.25">
      <c r="A10" t="s">
        <v>21</v>
      </c>
      <c r="B10" t="s">
        <v>53</v>
      </c>
      <c r="C10" t="s">
        <v>54</v>
      </c>
      <c r="D10" t="s">
        <v>55</v>
      </c>
      <c r="E10" t="s">
        <v>56</v>
      </c>
      <c r="F10" s="1">
        <v>45905</v>
      </c>
      <c r="G10" s="1"/>
      <c r="H10" s="1">
        <v>45905</v>
      </c>
      <c r="K10" t="s">
        <v>26</v>
      </c>
      <c r="M10" t="s">
        <v>27</v>
      </c>
      <c r="N10" t="s">
        <v>28</v>
      </c>
      <c r="O10" s="2">
        <v>0</v>
      </c>
      <c r="P10" t="s">
        <v>29</v>
      </c>
      <c r="Q10" s="4">
        <v>0</v>
      </c>
      <c r="R10" t="s">
        <v>30</v>
      </c>
      <c r="S10" s="2">
        <v>0</v>
      </c>
      <c r="T10" s="2">
        <v>0</v>
      </c>
      <c r="U10" s="2">
        <v>-0.03</v>
      </c>
    </row>
    <row r="11" spans="1:21" x14ac:dyDescent="0.25">
      <c r="A11" t="s">
        <v>21</v>
      </c>
      <c r="B11" t="s">
        <v>43</v>
      </c>
      <c r="C11" t="s">
        <v>44</v>
      </c>
      <c r="D11" t="s">
        <v>57</v>
      </c>
      <c r="E11" t="s">
        <v>58</v>
      </c>
      <c r="F11" s="1">
        <v>45905</v>
      </c>
      <c r="G11" s="1"/>
      <c r="H11" s="1">
        <v>45905</v>
      </c>
      <c r="K11" t="s">
        <v>26</v>
      </c>
      <c r="M11" t="s">
        <v>27</v>
      </c>
      <c r="N11" t="s">
        <v>28</v>
      </c>
      <c r="O11" s="2">
        <v>0</v>
      </c>
      <c r="P11" t="s">
        <v>29</v>
      </c>
      <c r="Q11" s="4">
        <v>0</v>
      </c>
      <c r="R11" t="s">
        <v>30</v>
      </c>
      <c r="S11" s="2">
        <v>0</v>
      </c>
      <c r="T11" s="2">
        <v>0</v>
      </c>
      <c r="U11" s="2">
        <v>-0.03</v>
      </c>
    </row>
    <row r="12" spans="1:21" x14ac:dyDescent="0.25">
      <c r="A12" t="s">
        <v>21</v>
      </c>
      <c r="B12" t="s">
        <v>35</v>
      </c>
      <c r="C12" t="s">
        <v>36</v>
      </c>
      <c r="D12" t="s">
        <v>59</v>
      </c>
      <c r="E12" t="s">
        <v>60</v>
      </c>
      <c r="F12" s="1">
        <v>45905</v>
      </c>
      <c r="G12" s="1"/>
      <c r="H12" s="1">
        <v>45905</v>
      </c>
      <c r="K12" t="s">
        <v>26</v>
      </c>
      <c r="M12" t="s">
        <v>27</v>
      </c>
      <c r="N12" t="s">
        <v>28</v>
      </c>
      <c r="O12" s="2">
        <v>0</v>
      </c>
      <c r="P12" t="s">
        <v>29</v>
      </c>
      <c r="Q12" s="4">
        <v>0</v>
      </c>
      <c r="R12" t="s">
        <v>30</v>
      </c>
      <c r="S12" s="2">
        <v>0</v>
      </c>
      <c r="T12" s="2">
        <v>0</v>
      </c>
      <c r="U12" s="2">
        <v>-0.01</v>
      </c>
    </row>
    <row r="13" spans="1:21" x14ac:dyDescent="0.25">
      <c r="A13" t="s">
        <v>21</v>
      </c>
      <c r="B13" t="s">
        <v>61</v>
      </c>
      <c r="C13" t="s">
        <v>62</v>
      </c>
      <c r="D13" t="s">
        <v>63</v>
      </c>
      <c r="E13" t="s">
        <v>64</v>
      </c>
      <c r="F13" s="1">
        <v>45905</v>
      </c>
      <c r="G13" s="1"/>
      <c r="H13" s="1">
        <v>45905</v>
      </c>
      <c r="K13" t="s">
        <v>26</v>
      </c>
      <c r="M13" t="s">
        <v>27</v>
      </c>
      <c r="N13" t="s">
        <v>28</v>
      </c>
      <c r="O13" s="2">
        <v>0</v>
      </c>
      <c r="P13" t="s">
        <v>29</v>
      </c>
      <c r="Q13" s="4">
        <v>0</v>
      </c>
      <c r="R13" t="s">
        <v>30</v>
      </c>
      <c r="S13" s="2">
        <v>0</v>
      </c>
      <c r="T13" s="2">
        <v>0</v>
      </c>
      <c r="U13" s="2">
        <v>-157.02000000000001</v>
      </c>
    </row>
    <row r="14" spans="1:21" x14ac:dyDescent="0.25">
      <c r="A14" t="s">
        <v>21</v>
      </c>
      <c r="B14" t="s">
        <v>61</v>
      </c>
      <c r="C14" t="s">
        <v>62</v>
      </c>
      <c r="D14" t="s">
        <v>65</v>
      </c>
      <c r="E14" t="s">
        <v>66</v>
      </c>
      <c r="F14" s="1">
        <v>45905</v>
      </c>
      <c r="G14" s="1"/>
      <c r="H14" s="1">
        <v>45905</v>
      </c>
      <c r="K14" t="s">
        <v>26</v>
      </c>
      <c r="M14" t="s">
        <v>27</v>
      </c>
      <c r="N14" t="s">
        <v>28</v>
      </c>
      <c r="O14" s="2">
        <v>0</v>
      </c>
      <c r="P14" t="s">
        <v>29</v>
      </c>
      <c r="Q14" s="4">
        <v>0</v>
      </c>
      <c r="R14" t="s">
        <v>30</v>
      </c>
      <c r="S14" s="2">
        <v>0</v>
      </c>
      <c r="T14" s="2">
        <v>0</v>
      </c>
      <c r="U14" s="2">
        <v>-201.95</v>
      </c>
    </row>
    <row r="15" spans="1:21" x14ac:dyDescent="0.25">
      <c r="A15" t="s">
        <v>21</v>
      </c>
      <c r="B15" t="s">
        <v>61</v>
      </c>
      <c r="C15" t="s">
        <v>62</v>
      </c>
      <c r="D15" t="s">
        <v>67</v>
      </c>
      <c r="E15" t="s">
        <v>68</v>
      </c>
      <c r="F15" s="1">
        <v>45905</v>
      </c>
      <c r="G15" s="1"/>
      <c r="H15" s="1">
        <v>45905</v>
      </c>
      <c r="K15" t="s">
        <v>26</v>
      </c>
      <c r="M15" t="s">
        <v>27</v>
      </c>
      <c r="N15" t="s">
        <v>28</v>
      </c>
      <c r="O15" s="2">
        <v>0</v>
      </c>
      <c r="P15" t="s">
        <v>29</v>
      </c>
      <c r="Q15" s="4">
        <v>0</v>
      </c>
      <c r="R15" t="s">
        <v>30</v>
      </c>
      <c r="S15" s="2">
        <v>0</v>
      </c>
      <c r="T15" s="2">
        <v>0</v>
      </c>
      <c r="U15" s="2">
        <v>-108.96</v>
      </c>
    </row>
    <row r="16" spans="1:21" x14ac:dyDescent="0.25">
      <c r="A16" t="s">
        <v>21</v>
      </c>
      <c r="B16" t="s">
        <v>61</v>
      </c>
      <c r="C16" t="s">
        <v>62</v>
      </c>
      <c r="D16" t="s">
        <v>69</v>
      </c>
      <c r="E16" t="s">
        <v>70</v>
      </c>
      <c r="F16" s="1">
        <v>45905</v>
      </c>
      <c r="G16" s="1"/>
      <c r="H16" s="1">
        <v>45905</v>
      </c>
      <c r="K16" t="s">
        <v>26</v>
      </c>
      <c r="M16" t="s">
        <v>27</v>
      </c>
      <c r="N16" t="s">
        <v>28</v>
      </c>
      <c r="O16" s="2">
        <v>0</v>
      </c>
      <c r="P16" t="s">
        <v>29</v>
      </c>
      <c r="Q16" s="4">
        <v>0</v>
      </c>
      <c r="R16" t="s">
        <v>30</v>
      </c>
      <c r="S16" s="2">
        <v>0</v>
      </c>
      <c r="T16" s="2">
        <v>0</v>
      </c>
      <c r="U16" s="2">
        <v>-551.95000000000005</v>
      </c>
    </row>
    <row r="17" spans="1:21" x14ac:dyDescent="0.25">
      <c r="A17" t="s">
        <v>21</v>
      </c>
      <c r="B17" t="s">
        <v>35</v>
      </c>
      <c r="C17" t="s">
        <v>36</v>
      </c>
      <c r="D17" t="s">
        <v>71</v>
      </c>
      <c r="E17" t="s">
        <v>72</v>
      </c>
      <c r="F17" s="1">
        <v>45905</v>
      </c>
      <c r="G17" s="1"/>
      <c r="H17" s="1">
        <v>45905</v>
      </c>
      <c r="K17" t="s">
        <v>26</v>
      </c>
      <c r="M17" t="s">
        <v>27</v>
      </c>
      <c r="N17" t="s">
        <v>28</v>
      </c>
      <c r="O17" s="2">
        <v>0</v>
      </c>
      <c r="P17" t="s">
        <v>29</v>
      </c>
      <c r="Q17" s="4">
        <v>0</v>
      </c>
      <c r="R17" t="s">
        <v>30</v>
      </c>
      <c r="S17" s="2">
        <v>0</v>
      </c>
      <c r="T17" s="2">
        <v>0</v>
      </c>
      <c r="U17" s="2">
        <v>-589.12</v>
      </c>
    </row>
    <row r="18" spans="1:21" x14ac:dyDescent="0.25">
      <c r="A18" t="s">
        <v>21</v>
      </c>
      <c r="B18" t="s">
        <v>35</v>
      </c>
      <c r="C18" t="s">
        <v>36</v>
      </c>
      <c r="D18" t="s">
        <v>73</v>
      </c>
      <c r="E18" t="s">
        <v>72</v>
      </c>
      <c r="F18" s="1">
        <v>45905</v>
      </c>
      <c r="G18" s="1"/>
      <c r="H18" s="1">
        <v>45905</v>
      </c>
      <c r="K18" t="s">
        <v>26</v>
      </c>
      <c r="M18" t="s">
        <v>27</v>
      </c>
      <c r="N18" t="s">
        <v>28</v>
      </c>
      <c r="O18" s="2">
        <v>0</v>
      </c>
      <c r="P18" t="s">
        <v>29</v>
      </c>
      <c r="Q18" s="4">
        <v>0</v>
      </c>
      <c r="R18" t="s">
        <v>30</v>
      </c>
      <c r="S18" s="2">
        <v>0</v>
      </c>
      <c r="T18" s="2">
        <v>0</v>
      </c>
      <c r="U18" s="2">
        <v>-287.75</v>
      </c>
    </row>
    <row r="19" spans="1:21" x14ac:dyDescent="0.25">
      <c r="A19" t="s">
        <v>21</v>
      </c>
      <c r="B19" t="s">
        <v>61</v>
      </c>
      <c r="C19" t="s">
        <v>62</v>
      </c>
      <c r="D19" t="s">
        <v>74</v>
      </c>
      <c r="E19" t="s">
        <v>75</v>
      </c>
      <c r="F19" s="1">
        <v>45902</v>
      </c>
      <c r="G19" s="1"/>
      <c r="H19" s="1">
        <v>45905</v>
      </c>
      <c r="K19" t="s">
        <v>26</v>
      </c>
      <c r="L19" t="s">
        <v>76</v>
      </c>
      <c r="M19" t="s">
        <v>27</v>
      </c>
      <c r="N19" t="s">
        <v>77</v>
      </c>
      <c r="O19" s="2">
        <v>491.16</v>
      </c>
      <c r="P19" t="s">
        <v>29</v>
      </c>
      <c r="Q19" s="4">
        <v>0</v>
      </c>
      <c r="S19" s="2">
        <v>0</v>
      </c>
      <c r="T19" s="2">
        <v>0</v>
      </c>
      <c r="U19" s="2">
        <v>0</v>
      </c>
    </row>
    <row r="20" spans="1:21" x14ac:dyDescent="0.25">
      <c r="A20" t="s">
        <v>21</v>
      </c>
      <c r="B20" t="s">
        <v>61</v>
      </c>
      <c r="C20" t="s">
        <v>62</v>
      </c>
      <c r="D20" t="s">
        <v>74</v>
      </c>
      <c r="E20" t="s">
        <v>75</v>
      </c>
      <c r="F20" s="1">
        <v>45902</v>
      </c>
      <c r="G20" s="1"/>
      <c r="H20" s="1">
        <v>45905</v>
      </c>
      <c r="K20" t="s">
        <v>26</v>
      </c>
      <c r="L20" t="s">
        <v>76</v>
      </c>
      <c r="M20" t="s">
        <v>27</v>
      </c>
      <c r="N20" t="s">
        <v>77</v>
      </c>
      <c r="O20" s="2">
        <v>491.16</v>
      </c>
      <c r="P20" t="s">
        <v>29</v>
      </c>
      <c r="Q20" s="4">
        <v>0.95</v>
      </c>
      <c r="S20" s="2">
        <v>349.95</v>
      </c>
      <c r="T20" s="2">
        <v>0</v>
      </c>
      <c r="U20" s="2">
        <v>349.95</v>
      </c>
    </row>
    <row r="21" spans="1:21" x14ac:dyDescent="0.25">
      <c r="A21" t="s">
        <v>21</v>
      </c>
      <c r="B21" t="s">
        <v>61</v>
      </c>
      <c r="C21" t="s">
        <v>62</v>
      </c>
      <c r="D21" t="s">
        <v>78</v>
      </c>
      <c r="E21" t="s">
        <v>79</v>
      </c>
      <c r="F21" s="1">
        <v>45902</v>
      </c>
      <c r="G21" s="1"/>
      <c r="H21" s="1">
        <v>45905</v>
      </c>
      <c r="K21" t="s">
        <v>26</v>
      </c>
      <c r="L21" t="s">
        <v>76</v>
      </c>
      <c r="M21" t="s">
        <v>27</v>
      </c>
      <c r="N21" t="s">
        <v>77</v>
      </c>
      <c r="O21" s="2">
        <v>484.68</v>
      </c>
      <c r="P21" t="s">
        <v>29</v>
      </c>
      <c r="Q21" s="4">
        <v>0</v>
      </c>
      <c r="S21" s="2">
        <v>0</v>
      </c>
      <c r="T21" s="2">
        <v>0</v>
      </c>
      <c r="U21" s="2">
        <v>0</v>
      </c>
    </row>
    <row r="22" spans="1:21" x14ac:dyDescent="0.25">
      <c r="A22" t="s">
        <v>21</v>
      </c>
      <c r="B22" t="s">
        <v>61</v>
      </c>
      <c r="C22" t="s">
        <v>62</v>
      </c>
      <c r="D22" t="s">
        <v>78</v>
      </c>
      <c r="E22" t="s">
        <v>79</v>
      </c>
      <c r="F22" s="1">
        <v>45902</v>
      </c>
      <c r="G22" s="1"/>
      <c r="H22" s="1">
        <v>45905</v>
      </c>
      <c r="K22" t="s">
        <v>26</v>
      </c>
      <c r="L22" t="s">
        <v>76</v>
      </c>
      <c r="M22" t="s">
        <v>27</v>
      </c>
      <c r="N22" t="s">
        <v>77</v>
      </c>
      <c r="O22" s="2">
        <v>484.68</v>
      </c>
      <c r="P22" t="s">
        <v>29</v>
      </c>
      <c r="Q22" s="4">
        <v>0.95</v>
      </c>
      <c r="S22" s="2">
        <v>345.33</v>
      </c>
      <c r="T22" s="2">
        <v>0</v>
      </c>
      <c r="U22" s="2">
        <v>345.33</v>
      </c>
    </row>
    <row r="23" spans="1:21" x14ac:dyDescent="0.25">
      <c r="A23" t="s">
        <v>21</v>
      </c>
      <c r="B23" t="s">
        <v>61</v>
      </c>
      <c r="C23" t="s">
        <v>62</v>
      </c>
      <c r="D23" t="s">
        <v>80</v>
      </c>
      <c r="E23" t="s">
        <v>81</v>
      </c>
      <c r="F23" s="1">
        <v>45902</v>
      </c>
      <c r="G23" s="1"/>
      <c r="H23" s="1">
        <v>45905</v>
      </c>
      <c r="K23" t="s">
        <v>26</v>
      </c>
      <c r="L23" t="s">
        <v>76</v>
      </c>
      <c r="M23" t="s">
        <v>27</v>
      </c>
      <c r="N23" t="s">
        <v>77</v>
      </c>
      <c r="O23" s="2">
        <v>1236.96</v>
      </c>
      <c r="P23" t="s">
        <v>29</v>
      </c>
      <c r="Q23" s="4">
        <v>0</v>
      </c>
      <c r="S23" s="2">
        <v>0</v>
      </c>
      <c r="T23" s="2">
        <v>0</v>
      </c>
      <c r="U23" s="2">
        <v>0</v>
      </c>
    </row>
    <row r="24" spans="1:21" x14ac:dyDescent="0.25">
      <c r="A24" t="s">
        <v>21</v>
      </c>
      <c r="B24" t="s">
        <v>61</v>
      </c>
      <c r="C24" t="s">
        <v>62</v>
      </c>
      <c r="D24" t="s">
        <v>80</v>
      </c>
      <c r="E24" t="s">
        <v>81</v>
      </c>
      <c r="F24" s="1">
        <v>45902</v>
      </c>
      <c r="G24" s="1"/>
      <c r="H24" s="1">
        <v>45905</v>
      </c>
      <c r="K24" t="s">
        <v>26</v>
      </c>
      <c r="L24" t="s">
        <v>76</v>
      </c>
      <c r="M24" t="s">
        <v>27</v>
      </c>
      <c r="N24" t="s">
        <v>77</v>
      </c>
      <c r="O24" s="2">
        <v>1236.96</v>
      </c>
      <c r="P24" t="s">
        <v>29</v>
      </c>
      <c r="Q24" s="4">
        <v>0.95</v>
      </c>
      <c r="S24" s="2">
        <v>881.33</v>
      </c>
      <c r="T24" s="2">
        <v>0</v>
      </c>
      <c r="U24" s="2">
        <v>881.33</v>
      </c>
    </row>
    <row r="25" spans="1:21" x14ac:dyDescent="0.25">
      <c r="A25" t="s">
        <v>21</v>
      </c>
      <c r="B25" t="s">
        <v>61</v>
      </c>
      <c r="C25" t="s">
        <v>62</v>
      </c>
      <c r="D25" t="s">
        <v>82</v>
      </c>
      <c r="E25" t="s">
        <v>83</v>
      </c>
      <c r="F25" s="1">
        <v>45902</v>
      </c>
      <c r="G25" s="1"/>
      <c r="H25" s="1">
        <v>45905</v>
      </c>
      <c r="K25" t="s">
        <v>26</v>
      </c>
      <c r="L25" t="s">
        <v>76</v>
      </c>
      <c r="M25" t="s">
        <v>27</v>
      </c>
      <c r="N25" t="s">
        <v>77</v>
      </c>
      <c r="O25" s="2">
        <v>484.68</v>
      </c>
      <c r="P25" t="s">
        <v>29</v>
      </c>
      <c r="Q25" s="4">
        <v>0</v>
      </c>
      <c r="S25" s="2">
        <v>0</v>
      </c>
      <c r="T25" s="2">
        <v>0</v>
      </c>
      <c r="U25" s="2">
        <v>0</v>
      </c>
    </row>
    <row r="26" spans="1:21" x14ac:dyDescent="0.25">
      <c r="A26" t="s">
        <v>21</v>
      </c>
      <c r="B26" t="s">
        <v>61</v>
      </c>
      <c r="C26" t="s">
        <v>62</v>
      </c>
      <c r="D26" t="s">
        <v>82</v>
      </c>
      <c r="E26" t="s">
        <v>83</v>
      </c>
      <c r="F26" s="1">
        <v>45902</v>
      </c>
      <c r="G26" s="1"/>
      <c r="H26" s="1">
        <v>45905</v>
      </c>
      <c r="K26" t="s">
        <v>26</v>
      </c>
      <c r="L26" t="s">
        <v>76</v>
      </c>
      <c r="M26" t="s">
        <v>27</v>
      </c>
      <c r="N26" t="s">
        <v>77</v>
      </c>
      <c r="O26" s="2">
        <v>484.68</v>
      </c>
      <c r="P26" t="s">
        <v>29</v>
      </c>
      <c r="Q26" s="4">
        <v>0.95</v>
      </c>
      <c r="S26" s="2">
        <v>345.33</v>
      </c>
      <c r="T26" s="2">
        <v>0</v>
      </c>
      <c r="U26" s="2">
        <v>345.33</v>
      </c>
    </row>
    <row r="27" spans="1:21" x14ac:dyDescent="0.25">
      <c r="A27" t="s">
        <v>21</v>
      </c>
      <c r="B27" t="s">
        <v>61</v>
      </c>
      <c r="C27" t="s">
        <v>62</v>
      </c>
      <c r="D27" t="s">
        <v>84</v>
      </c>
      <c r="E27" t="s">
        <v>85</v>
      </c>
      <c r="F27" s="1">
        <v>45902</v>
      </c>
      <c r="G27" s="1"/>
      <c r="H27" s="1">
        <v>45905</v>
      </c>
      <c r="K27" t="s">
        <v>26</v>
      </c>
      <c r="L27" t="s">
        <v>76</v>
      </c>
      <c r="M27" t="s">
        <v>27</v>
      </c>
      <c r="N27" t="s">
        <v>77</v>
      </c>
      <c r="O27" s="2">
        <v>484.68</v>
      </c>
      <c r="P27" t="s">
        <v>29</v>
      </c>
      <c r="Q27" s="4">
        <v>0</v>
      </c>
      <c r="S27" s="2">
        <v>0</v>
      </c>
      <c r="T27" s="2">
        <v>0</v>
      </c>
      <c r="U27" s="2">
        <v>0</v>
      </c>
    </row>
    <row r="28" spans="1:21" x14ac:dyDescent="0.25">
      <c r="A28" t="s">
        <v>21</v>
      </c>
      <c r="B28" t="s">
        <v>61</v>
      </c>
      <c r="C28" t="s">
        <v>62</v>
      </c>
      <c r="D28" t="s">
        <v>84</v>
      </c>
      <c r="E28" t="s">
        <v>85</v>
      </c>
      <c r="F28" s="1">
        <v>45902</v>
      </c>
      <c r="G28" s="1"/>
      <c r="H28" s="1">
        <v>45905</v>
      </c>
      <c r="K28" t="s">
        <v>26</v>
      </c>
      <c r="L28" t="s">
        <v>76</v>
      </c>
      <c r="M28" t="s">
        <v>27</v>
      </c>
      <c r="N28" t="s">
        <v>77</v>
      </c>
      <c r="O28" s="2">
        <v>484.68</v>
      </c>
      <c r="P28" t="s">
        <v>29</v>
      </c>
      <c r="Q28" s="4">
        <v>0.95</v>
      </c>
      <c r="S28" s="2">
        <v>345.33</v>
      </c>
      <c r="T28" s="2">
        <v>0</v>
      </c>
      <c r="U28" s="2">
        <v>345.33</v>
      </c>
    </row>
    <row r="29" spans="1:21" x14ac:dyDescent="0.25">
      <c r="A29" t="s">
        <v>21</v>
      </c>
      <c r="B29" t="s">
        <v>86</v>
      </c>
      <c r="C29" t="s">
        <v>87</v>
      </c>
      <c r="D29" t="s">
        <v>88</v>
      </c>
      <c r="E29" t="s">
        <v>89</v>
      </c>
      <c r="F29" s="1">
        <v>45902</v>
      </c>
      <c r="G29" s="1"/>
      <c r="H29" s="1">
        <v>45905</v>
      </c>
      <c r="K29" t="s">
        <v>26</v>
      </c>
      <c r="L29" t="s">
        <v>90</v>
      </c>
      <c r="M29" t="s">
        <v>27</v>
      </c>
      <c r="N29" t="s">
        <v>77</v>
      </c>
      <c r="O29" s="2">
        <v>896.88</v>
      </c>
      <c r="P29" t="s">
        <v>29</v>
      </c>
      <c r="Q29" s="4">
        <v>0</v>
      </c>
      <c r="S29" s="2">
        <v>0</v>
      </c>
      <c r="T29" s="2">
        <v>0</v>
      </c>
      <c r="U29" s="2">
        <v>0</v>
      </c>
    </row>
    <row r="30" spans="1:21" x14ac:dyDescent="0.25">
      <c r="A30" t="s">
        <v>21</v>
      </c>
      <c r="B30" t="s">
        <v>86</v>
      </c>
      <c r="C30" t="s">
        <v>87</v>
      </c>
      <c r="D30" t="s">
        <v>88</v>
      </c>
      <c r="E30" t="s">
        <v>89</v>
      </c>
      <c r="F30" s="1">
        <v>45902</v>
      </c>
      <c r="G30" s="1"/>
      <c r="H30" s="1">
        <v>45905</v>
      </c>
      <c r="K30" t="s">
        <v>26</v>
      </c>
      <c r="L30" t="s">
        <v>90</v>
      </c>
      <c r="M30" t="s">
        <v>27</v>
      </c>
      <c r="N30" t="s">
        <v>77</v>
      </c>
      <c r="O30" s="2">
        <v>896.88</v>
      </c>
      <c r="P30" t="s">
        <v>29</v>
      </c>
      <c r="Q30" s="4">
        <v>0.8</v>
      </c>
      <c r="S30" s="2">
        <v>538.12</v>
      </c>
      <c r="T30" s="2">
        <v>0</v>
      </c>
      <c r="U30" s="2">
        <v>538.12</v>
      </c>
    </row>
    <row r="31" spans="1:21" x14ac:dyDescent="0.25">
      <c r="A31" t="s">
        <v>21</v>
      </c>
      <c r="B31" t="s">
        <v>61</v>
      </c>
      <c r="C31" t="s">
        <v>62</v>
      </c>
      <c r="D31" t="s">
        <v>91</v>
      </c>
      <c r="E31" t="s">
        <v>92</v>
      </c>
      <c r="F31" s="1">
        <v>45902</v>
      </c>
      <c r="G31" s="1"/>
      <c r="H31" s="1">
        <v>45905</v>
      </c>
      <c r="K31" t="s">
        <v>26</v>
      </c>
      <c r="L31" t="s">
        <v>76</v>
      </c>
      <c r="M31" t="s">
        <v>27</v>
      </c>
      <c r="N31" t="s">
        <v>77</v>
      </c>
      <c r="O31" s="2">
        <v>367.56</v>
      </c>
      <c r="P31" t="s">
        <v>29</v>
      </c>
      <c r="Q31" s="4">
        <v>0</v>
      </c>
      <c r="S31" s="2">
        <v>0</v>
      </c>
      <c r="T31" s="2">
        <v>0</v>
      </c>
      <c r="U31" s="2">
        <v>0</v>
      </c>
    </row>
    <row r="32" spans="1:21" x14ac:dyDescent="0.25">
      <c r="A32" t="s">
        <v>21</v>
      </c>
      <c r="B32" t="s">
        <v>61</v>
      </c>
      <c r="C32" t="s">
        <v>62</v>
      </c>
      <c r="D32" t="s">
        <v>91</v>
      </c>
      <c r="E32" t="s">
        <v>92</v>
      </c>
      <c r="F32" s="1">
        <v>45902</v>
      </c>
      <c r="G32" s="1"/>
      <c r="H32" s="1">
        <v>45905</v>
      </c>
      <c r="K32" t="s">
        <v>26</v>
      </c>
      <c r="L32" t="s">
        <v>76</v>
      </c>
      <c r="M32" t="s">
        <v>27</v>
      </c>
      <c r="N32" t="s">
        <v>77</v>
      </c>
      <c r="O32" s="2">
        <v>367.56</v>
      </c>
      <c r="P32" t="s">
        <v>29</v>
      </c>
      <c r="Q32" s="4">
        <v>0.95</v>
      </c>
      <c r="S32" s="2">
        <v>261.88</v>
      </c>
      <c r="T32" s="2">
        <v>0</v>
      </c>
      <c r="U32" s="2">
        <v>261.88</v>
      </c>
    </row>
    <row r="33" spans="1:21" x14ac:dyDescent="0.25">
      <c r="A33" t="s">
        <v>21</v>
      </c>
      <c r="B33" t="s">
        <v>61</v>
      </c>
      <c r="C33" t="s">
        <v>62</v>
      </c>
      <c r="D33" t="s">
        <v>93</v>
      </c>
      <c r="E33" t="s">
        <v>94</v>
      </c>
      <c r="F33" s="1">
        <v>45902</v>
      </c>
      <c r="G33" s="1"/>
      <c r="H33" s="1">
        <v>45905</v>
      </c>
      <c r="K33" t="s">
        <v>26</v>
      </c>
      <c r="L33" t="s">
        <v>76</v>
      </c>
      <c r="M33" t="s">
        <v>27</v>
      </c>
      <c r="N33" t="s">
        <v>77</v>
      </c>
      <c r="O33" s="2">
        <v>968.88</v>
      </c>
      <c r="P33" t="s">
        <v>29</v>
      </c>
      <c r="Q33" s="4">
        <v>0</v>
      </c>
      <c r="S33" s="2">
        <v>0</v>
      </c>
      <c r="T33" s="2">
        <v>0</v>
      </c>
      <c r="U33" s="2">
        <v>0</v>
      </c>
    </row>
    <row r="34" spans="1:21" x14ac:dyDescent="0.25">
      <c r="A34" t="s">
        <v>21</v>
      </c>
      <c r="B34" t="s">
        <v>61</v>
      </c>
      <c r="C34" t="s">
        <v>62</v>
      </c>
      <c r="D34" t="s">
        <v>93</v>
      </c>
      <c r="E34" t="s">
        <v>94</v>
      </c>
      <c r="F34" s="1">
        <v>45902</v>
      </c>
      <c r="G34" s="1"/>
      <c r="H34" s="1">
        <v>45905</v>
      </c>
      <c r="K34" t="s">
        <v>26</v>
      </c>
      <c r="L34" t="s">
        <v>76</v>
      </c>
      <c r="M34" t="s">
        <v>27</v>
      </c>
      <c r="N34" t="s">
        <v>77</v>
      </c>
      <c r="O34" s="2">
        <v>968.88</v>
      </c>
      <c r="P34" t="s">
        <v>29</v>
      </c>
      <c r="Q34" s="4">
        <v>0.95</v>
      </c>
      <c r="S34" s="2">
        <v>690.33</v>
      </c>
      <c r="T34" s="2">
        <v>0</v>
      </c>
      <c r="U34" s="2">
        <v>690.33</v>
      </c>
    </row>
    <row r="35" spans="1:21" x14ac:dyDescent="0.25">
      <c r="A35" t="s">
        <v>21</v>
      </c>
      <c r="B35" t="s">
        <v>95</v>
      </c>
      <c r="C35" t="s">
        <v>96</v>
      </c>
      <c r="D35" t="s">
        <v>97</v>
      </c>
      <c r="E35" t="s">
        <v>98</v>
      </c>
      <c r="F35" s="1">
        <v>45902</v>
      </c>
      <c r="G35" s="1"/>
      <c r="H35" s="1">
        <v>45905</v>
      </c>
      <c r="K35" t="s">
        <v>26</v>
      </c>
      <c r="L35" t="s">
        <v>76</v>
      </c>
      <c r="M35" t="s">
        <v>27</v>
      </c>
      <c r="N35" t="s">
        <v>77</v>
      </c>
      <c r="O35" s="2">
        <v>241.92</v>
      </c>
      <c r="P35" t="s">
        <v>29</v>
      </c>
      <c r="Q35" s="4">
        <v>0</v>
      </c>
      <c r="S35" s="2">
        <v>0</v>
      </c>
      <c r="T35" s="2">
        <v>0</v>
      </c>
      <c r="U35" s="2">
        <v>0</v>
      </c>
    </row>
    <row r="36" spans="1:21" x14ac:dyDescent="0.25">
      <c r="A36" t="s">
        <v>21</v>
      </c>
      <c r="B36" t="s">
        <v>95</v>
      </c>
      <c r="C36" t="s">
        <v>96</v>
      </c>
      <c r="D36" t="s">
        <v>97</v>
      </c>
      <c r="E36" t="s">
        <v>98</v>
      </c>
      <c r="F36" s="1">
        <v>45902</v>
      </c>
      <c r="G36" s="1"/>
      <c r="H36" s="1">
        <v>45905</v>
      </c>
      <c r="K36" t="s">
        <v>26</v>
      </c>
      <c r="L36" t="s">
        <v>76</v>
      </c>
      <c r="M36" t="s">
        <v>27</v>
      </c>
      <c r="N36" t="s">
        <v>77</v>
      </c>
      <c r="O36" s="2">
        <v>241.92</v>
      </c>
      <c r="P36" t="s">
        <v>29</v>
      </c>
      <c r="Q36" s="4">
        <v>0.95</v>
      </c>
      <c r="S36" s="2">
        <v>172.36</v>
      </c>
      <c r="T36" s="2">
        <v>0</v>
      </c>
      <c r="U36" s="2">
        <v>172.36</v>
      </c>
    </row>
    <row r="37" spans="1:21" x14ac:dyDescent="0.25">
      <c r="A37" t="s">
        <v>21</v>
      </c>
      <c r="B37" t="s">
        <v>99</v>
      </c>
      <c r="C37" t="s">
        <v>100</v>
      </c>
      <c r="D37" t="s">
        <v>101</v>
      </c>
      <c r="E37" t="s">
        <v>102</v>
      </c>
      <c r="F37" s="1">
        <v>45902</v>
      </c>
      <c r="G37" s="1"/>
      <c r="H37" s="1">
        <v>45905</v>
      </c>
      <c r="K37" t="s">
        <v>26</v>
      </c>
      <c r="L37" t="s">
        <v>76</v>
      </c>
      <c r="M37" t="s">
        <v>27</v>
      </c>
      <c r="N37" t="s">
        <v>77</v>
      </c>
      <c r="O37" s="2">
        <v>860.28</v>
      </c>
      <c r="P37" t="s">
        <v>29</v>
      </c>
      <c r="Q37" s="4">
        <v>0</v>
      </c>
      <c r="S37" s="2">
        <v>0</v>
      </c>
      <c r="T37" s="2">
        <v>0</v>
      </c>
      <c r="U37" s="2">
        <v>0</v>
      </c>
    </row>
    <row r="38" spans="1:21" x14ac:dyDescent="0.25">
      <c r="A38" t="s">
        <v>21</v>
      </c>
      <c r="B38" t="s">
        <v>99</v>
      </c>
      <c r="C38" t="s">
        <v>100</v>
      </c>
      <c r="D38" t="s">
        <v>101</v>
      </c>
      <c r="E38" t="s">
        <v>102</v>
      </c>
      <c r="F38" s="1">
        <v>45902</v>
      </c>
      <c r="G38" s="1"/>
      <c r="H38" s="1">
        <v>45905</v>
      </c>
      <c r="K38" t="s">
        <v>26</v>
      </c>
      <c r="L38" t="s">
        <v>76</v>
      </c>
      <c r="M38" t="s">
        <v>27</v>
      </c>
      <c r="N38" t="s">
        <v>77</v>
      </c>
      <c r="O38" s="2">
        <v>860.28</v>
      </c>
      <c r="P38" t="s">
        <v>29</v>
      </c>
      <c r="Q38" s="4">
        <v>0.95</v>
      </c>
      <c r="S38" s="2">
        <v>612.95000000000005</v>
      </c>
      <c r="T38" s="2">
        <v>0</v>
      </c>
      <c r="U38" s="2">
        <v>612.95000000000005</v>
      </c>
    </row>
    <row r="39" spans="1:21" x14ac:dyDescent="0.25">
      <c r="A39" t="s">
        <v>21</v>
      </c>
      <c r="B39" t="s">
        <v>61</v>
      </c>
      <c r="C39" t="s">
        <v>62</v>
      </c>
      <c r="D39" t="s">
        <v>103</v>
      </c>
      <c r="E39" t="s">
        <v>104</v>
      </c>
      <c r="F39" s="1">
        <v>45902</v>
      </c>
      <c r="G39" s="1"/>
      <c r="H39" s="1">
        <v>45905</v>
      </c>
      <c r="K39" t="s">
        <v>26</v>
      </c>
      <c r="L39" t="s">
        <v>76</v>
      </c>
      <c r="M39" t="s">
        <v>27</v>
      </c>
      <c r="N39" t="s">
        <v>77</v>
      </c>
      <c r="O39" s="2">
        <v>420.24</v>
      </c>
      <c r="P39" t="s">
        <v>29</v>
      </c>
      <c r="Q39" s="4">
        <v>0</v>
      </c>
      <c r="S39" s="2">
        <v>0</v>
      </c>
      <c r="T39" s="2">
        <v>0</v>
      </c>
      <c r="U39" s="2">
        <v>0</v>
      </c>
    </row>
    <row r="40" spans="1:21" x14ac:dyDescent="0.25">
      <c r="A40" t="s">
        <v>21</v>
      </c>
      <c r="B40" t="s">
        <v>61</v>
      </c>
      <c r="C40" t="s">
        <v>62</v>
      </c>
      <c r="D40" t="s">
        <v>103</v>
      </c>
      <c r="E40" t="s">
        <v>104</v>
      </c>
      <c r="F40" s="1">
        <v>45902</v>
      </c>
      <c r="G40" s="1"/>
      <c r="H40" s="1">
        <v>45905</v>
      </c>
      <c r="K40" t="s">
        <v>26</v>
      </c>
      <c r="L40" t="s">
        <v>76</v>
      </c>
      <c r="M40" t="s">
        <v>27</v>
      </c>
      <c r="N40" t="s">
        <v>77</v>
      </c>
      <c r="O40" s="2">
        <v>420.24</v>
      </c>
      <c r="P40" t="s">
        <v>29</v>
      </c>
      <c r="Q40" s="4">
        <v>0.95</v>
      </c>
      <c r="S40" s="2">
        <v>299.42</v>
      </c>
      <c r="T40" s="2">
        <v>0</v>
      </c>
      <c r="U40" s="2">
        <v>299.42</v>
      </c>
    </row>
    <row r="41" spans="1:21" x14ac:dyDescent="0.25">
      <c r="A41" t="s">
        <v>21</v>
      </c>
      <c r="B41" t="s">
        <v>61</v>
      </c>
      <c r="C41" t="s">
        <v>62</v>
      </c>
      <c r="D41" t="s">
        <v>105</v>
      </c>
      <c r="E41" t="s">
        <v>106</v>
      </c>
      <c r="F41" s="1">
        <v>45902</v>
      </c>
      <c r="G41" s="1"/>
      <c r="H41" s="1">
        <v>45905</v>
      </c>
      <c r="K41" t="s">
        <v>26</v>
      </c>
      <c r="L41" t="s">
        <v>76</v>
      </c>
      <c r="M41" t="s">
        <v>27</v>
      </c>
      <c r="N41" t="s">
        <v>77</v>
      </c>
      <c r="O41" s="2">
        <v>1151.76</v>
      </c>
      <c r="P41" t="s">
        <v>29</v>
      </c>
      <c r="Q41" s="4">
        <v>0</v>
      </c>
      <c r="S41" s="2">
        <v>0</v>
      </c>
      <c r="T41" s="2">
        <v>0</v>
      </c>
      <c r="U41" s="2">
        <v>0</v>
      </c>
    </row>
    <row r="42" spans="1:21" x14ac:dyDescent="0.25">
      <c r="A42" t="s">
        <v>21</v>
      </c>
      <c r="B42" t="s">
        <v>61</v>
      </c>
      <c r="C42" t="s">
        <v>62</v>
      </c>
      <c r="D42" t="s">
        <v>105</v>
      </c>
      <c r="E42" t="s">
        <v>106</v>
      </c>
      <c r="F42" s="1">
        <v>45902</v>
      </c>
      <c r="G42" s="1"/>
      <c r="H42" s="1">
        <v>45905</v>
      </c>
      <c r="K42" t="s">
        <v>26</v>
      </c>
      <c r="L42" t="s">
        <v>76</v>
      </c>
      <c r="M42" t="s">
        <v>27</v>
      </c>
      <c r="N42" t="s">
        <v>77</v>
      </c>
      <c r="O42" s="2">
        <v>1151.76</v>
      </c>
      <c r="P42" t="s">
        <v>29</v>
      </c>
      <c r="Q42" s="4">
        <v>0.95</v>
      </c>
      <c r="S42" s="2">
        <v>820.62</v>
      </c>
      <c r="T42" s="2">
        <v>0</v>
      </c>
      <c r="U42" s="2">
        <v>820.62</v>
      </c>
    </row>
    <row r="43" spans="1:21" x14ac:dyDescent="0.25">
      <c r="A43" t="s">
        <v>21</v>
      </c>
      <c r="B43" t="s">
        <v>61</v>
      </c>
      <c r="C43" t="s">
        <v>62</v>
      </c>
      <c r="D43" t="s">
        <v>107</v>
      </c>
      <c r="E43" t="s">
        <v>108</v>
      </c>
      <c r="F43" s="1">
        <v>45902</v>
      </c>
      <c r="G43" s="1"/>
      <c r="H43" s="1">
        <v>45905</v>
      </c>
      <c r="K43" t="s">
        <v>26</v>
      </c>
      <c r="L43" t="s">
        <v>76</v>
      </c>
      <c r="M43" t="s">
        <v>27</v>
      </c>
      <c r="N43" t="s">
        <v>77</v>
      </c>
      <c r="O43" s="2">
        <v>533.28</v>
      </c>
      <c r="P43" t="s">
        <v>29</v>
      </c>
      <c r="Q43" s="4">
        <v>0</v>
      </c>
      <c r="S43" s="2">
        <v>0</v>
      </c>
      <c r="T43" s="2">
        <v>0</v>
      </c>
      <c r="U43" s="2">
        <v>0</v>
      </c>
    </row>
    <row r="44" spans="1:21" x14ac:dyDescent="0.25">
      <c r="A44" t="s">
        <v>21</v>
      </c>
      <c r="B44" t="s">
        <v>61</v>
      </c>
      <c r="C44" t="s">
        <v>62</v>
      </c>
      <c r="D44" t="s">
        <v>109</v>
      </c>
      <c r="E44" t="s">
        <v>110</v>
      </c>
      <c r="F44" s="1">
        <v>45902</v>
      </c>
      <c r="G44" s="1"/>
      <c r="H44" s="1">
        <v>45905</v>
      </c>
      <c r="K44" t="s">
        <v>26</v>
      </c>
      <c r="L44" t="s">
        <v>76</v>
      </c>
      <c r="M44" t="s">
        <v>27</v>
      </c>
      <c r="N44" t="s">
        <v>77</v>
      </c>
      <c r="O44" s="2">
        <v>817.08</v>
      </c>
      <c r="P44" t="s">
        <v>29</v>
      </c>
      <c r="Q44" s="4">
        <v>0</v>
      </c>
      <c r="S44" s="2">
        <v>0</v>
      </c>
      <c r="T44" s="2">
        <v>0</v>
      </c>
      <c r="U44" s="2">
        <v>0</v>
      </c>
    </row>
    <row r="45" spans="1:21" x14ac:dyDescent="0.25">
      <c r="A45" t="s">
        <v>21</v>
      </c>
      <c r="B45" t="s">
        <v>61</v>
      </c>
      <c r="C45" t="s">
        <v>62</v>
      </c>
      <c r="D45" t="s">
        <v>109</v>
      </c>
      <c r="E45" t="s">
        <v>110</v>
      </c>
      <c r="F45" s="1">
        <v>45902</v>
      </c>
      <c r="G45" s="1"/>
      <c r="H45" s="1">
        <v>45905</v>
      </c>
      <c r="K45" t="s">
        <v>26</v>
      </c>
      <c r="L45" t="s">
        <v>76</v>
      </c>
      <c r="M45" t="s">
        <v>27</v>
      </c>
      <c r="N45" t="s">
        <v>77</v>
      </c>
      <c r="O45" s="2">
        <v>817.08</v>
      </c>
      <c r="P45" t="s">
        <v>29</v>
      </c>
      <c r="Q45" s="4">
        <v>0.95</v>
      </c>
      <c r="S45" s="2">
        <v>582.16999999999996</v>
      </c>
      <c r="T45" s="2">
        <v>0</v>
      </c>
      <c r="U45" s="2">
        <v>582.16999999999996</v>
      </c>
    </row>
    <row r="46" spans="1:21" x14ac:dyDescent="0.25">
      <c r="A46" t="s">
        <v>21</v>
      </c>
      <c r="B46" t="s">
        <v>61</v>
      </c>
      <c r="C46" t="s">
        <v>62</v>
      </c>
      <c r="D46" t="s">
        <v>111</v>
      </c>
      <c r="E46" t="s">
        <v>112</v>
      </c>
      <c r="F46" s="1">
        <v>45902</v>
      </c>
      <c r="G46" s="1"/>
      <c r="H46" s="1">
        <v>45905</v>
      </c>
      <c r="K46" t="s">
        <v>26</v>
      </c>
      <c r="L46" t="s">
        <v>76</v>
      </c>
      <c r="M46" t="s">
        <v>27</v>
      </c>
      <c r="N46" t="s">
        <v>77</v>
      </c>
      <c r="O46" s="2">
        <v>484.68</v>
      </c>
      <c r="P46" t="s">
        <v>29</v>
      </c>
      <c r="Q46" s="4">
        <v>0</v>
      </c>
      <c r="S46" s="2">
        <v>0</v>
      </c>
      <c r="T46" s="2">
        <v>0</v>
      </c>
      <c r="U46" s="2">
        <v>0</v>
      </c>
    </row>
    <row r="47" spans="1:21" x14ac:dyDescent="0.25">
      <c r="A47" t="s">
        <v>21</v>
      </c>
      <c r="B47" t="s">
        <v>61</v>
      </c>
      <c r="C47" t="s">
        <v>62</v>
      </c>
      <c r="D47" t="s">
        <v>111</v>
      </c>
      <c r="E47" t="s">
        <v>112</v>
      </c>
      <c r="F47" s="1">
        <v>45902</v>
      </c>
      <c r="G47" s="1"/>
      <c r="H47" s="1">
        <v>45905</v>
      </c>
      <c r="K47" t="s">
        <v>26</v>
      </c>
      <c r="L47" t="s">
        <v>76</v>
      </c>
      <c r="M47" t="s">
        <v>27</v>
      </c>
      <c r="N47" t="s">
        <v>77</v>
      </c>
      <c r="O47" s="2">
        <v>484.68</v>
      </c>
      <c r="P47" t="s">
        <v>29</v>
      </c>
      <c r="Q47" s="4">
        <v>0.95</v>
      </c>
      <c r="S47" s="2">
        <v>345.33</v>
      </c>
      <c r="T47" s="2">
        <v>0</v>
      </c>
      <c r="U47" s="2">
        <v>345.33</v>
      </c>
    </row>
    <row r="48" spans="1:21" x14ac:dyDescent="0.25">
      <c r="A48" t="s">
        <v>21</v>
      </c>
      <c r="B48" t="s">
        <v>61</v>
      </c>
      <c r="C48" t="s">
        <v>62</v>
      </c>
      <c r="D48" t="s">
        <v>113</v>
      </c>
      <c r="E48" t="s">
        <v>114</v>
      </c>
      <c r="F48" s="1">
        <v>45902</v>
      </c>
      <c r="G48" s="1"/>
      <c r="H48" s="1">
        <v>45905</v>
      </c>
      <c r="K48" t="s">
        <v>26</v>
      </c>
      <c r="L48" t="s">
        <v>76</v>
      </c>
      <c r="M48" t="s">
        <v>27</v>
      </c>
      <c r="N48" t="s">
        <v>77</v>
      </c>
      <c r="O48" s="2">
        <v>946.2</v>
      </c>
      <c r="P48" t="s">
        <v>29</v>
      </c>
      <c r="Q48" s="4">
        <v>0</v>
      </c>
      <c r="S48" s="2">
        <v>0</v>
      </c>
      <c r="T48" s="2">
        <v>0</v>
      </c>
      <c r="U48" s="2">
        <v>0</v>
      </c>
    </row>
    <row r="49" spans="1:21" x14ac:dyDescent="0.25">
      <c r="A49" t="s">
        <v>21</v>
      </c>
      <c r="B49" t="s">
        <v>61</v>
      </c>
      <c r="C49" t="s">
        <v>62</v>
      </c>
      <c r="D49" t="s">
        <v>113</v>
      </c>
      <c r="E49" t="s">
        <v>114</v>
      </c>
      <c r="F49" s="1">
        <v>45902</v>
      </c>
      <c r="G49" s="1"/>
      <c r="H49" s="1">
        <v>45905</v>
      </c>
      <c r="K49" t="s">
        <v>26</v>
      </c>
      <c r="L49" t="s">
        <v>76</v>
      </c>
      <c r="M49" t="s">
        <v>27</v>
      </c>
      <c r="N49" t="s">
        <v>77</v>
      </c>
      <c r="O49" s="2">
        <v>946.2</v>
      </c>
      <c r="P49" t="s">
        <v>29</v>
      </c>
      <c r="Q49" s="4">
        <v>0.95</v>
      </c>
      <c r="S49" s="2">
        <v>674.16</v>
      </c>
      <c r="T49" s="2">
        <v>0</v>
      </c>
      <c r="U49" s="2">
        <v>674.16</v>
      </c>
    </row>
    <row r="50" spans="1:21" x14ac:dyDescent="0.25">
      <c r="A50" t="s">
        <v>21</v>
      </c>
      <c r="B50" t="s">
        <v>61</v>
      </c>
      <c r="C50" t="s">
        <v>62</v>
      </c>
      <c r="D50" t="s">
        <v>115</v>
      </c>
      <c r="E50" t="s">
        <v>116</v>
      </c>
      <c r="F50" s="1">
        <v>45902</v>
      </c>
      <c r="G50" s="1"/>
      <c r="H50" s="1">
        <v>45905</v>
      </c>
      <c r="K50" t="s">
        <v>26</v>
      </c>
      <c r="L50" t="s">
        <v>76</v>
      </c>
      <c r="M50" t="s">
        <v>27</v>
      </c>
      <c r="N50" t="s">
        <v>77</v>
      </c>
      <c r="O50" s="2">
        <v>484.68</v>
      </c>
      <c r="P50" t="s">
        <v>29</v>
      </c>
      <c r="Q50" s="4">
        <v>0</v>
      </c>
      <c r="S50" s="2">
        <v>0</v>
      </c>
      <c r="T50" s="2">
        <v>0</v>
      </c>
      <c r="U50" s="2">
        <v>0</v>
      </c>
    </row>
    <row r="51" spans="1:21" x14ac:dyDescent="0.25">
      <c r="A51" t="s">
        <v>21</v>
      </c>
      <c r="B51" t="s">
        <v>61</v>
      </c>
      <c r="C51" t="s">
        <v>62</v>
      </c>
      <c r="D51" t="s">
        <v>115</v>
      </c>
      <c r="E51" t="s">
        <v>116</v>
      </c>
      <c r="F51" s="1">
        <v>45902</v>
      </c>
      <c r="G51" s="1"/>
      <c r="H51" s="1">
        <v>45905</v>
      </c>
      <c r="K51" t="s">
        <v>26</v>
      </c>
      <c r="L51" t="s">
        <v>76</v>
      </c>
      <c r="M51" t="s">
        <v>27</v>
      </c>
      <c r="N51" t="s">
        <v>77</v>
      </c>
      <c r="O51" s="2">
        <v>484.68</v>
      </c>
      <c r="P51" t="s">
        <v>29</v>
      </c>
      <c r="Q51" s="4">
        <v>0.95</v>
      </c>
      <c r="S51" s="2">
        <v>345.33</v>
      </c>
      <c r="T51" s="2">
        <v>0</v>
      </c>
      <c r="U51" s="2">
        <v>345.33</v>
      </c>
    </row>
    <row r="52" spans="1:21" x14ac:dyDescent="0.25">
      <c r="A52" t="s">
        <v>21</v>
      </c>
      <c r="B52" t="s">
        <v>61</v>
      </c>
      <c r="C52" t="s">
        <v>62</v>
      </c>
      <c r="D52" t="s">
        <v>117</v>
      </c>
      <c r="E52" t="s">
        <v>118</v>
      </c>
      <c r="F52" s="1">
        <v>45902</v>
      </c>
      <c r="G52" s="1"/>
      <c r="H52" s="1">
        <v>45905</v>
      </c>
      <c r="K52" t="s">
        <v>26</v>
      </c>
      <c r="L52" t="s">
        <v>76</v>
      </c>
      <c r="M52" t="s">
        <v>27</v>
      </c>
      <c r="N52" t="s">
        <v>77</v>
      </c>
      <c r="O52" s="2">
        <v>484.68</v>
      </c>
      <c r="P52" t="s">
        <v>29</v>
      </c>
      <c r="Q52" s="4">
        <v>0</v>
      </c>
      <c r="S52" s="2">
        <v>0</v>
      </c>
      <c r="T52" s="2">
        <v>0</v>
      </c>
      <c r="U52" s="2">
        <v>0</v>
      </c>
    </row>
    <row r="53" spans="1:21" x14ac:dyDescent="0.25">
      <c r="A53" t="s">
        <v>21</v>
      </c>
      <c r="B53" t="s">
        <v>61</v>
      </c>
      <c r="C53" t="s">
        <v>62</v>
      </c>
      <c r="D53" t="s">
        <v>117</v>
      </c>
      <c r="E53" t="s">
        <v>118</v>
      </c>
      <c r="F53" s="1">
        <v>45902</v>
      </c>
      <c r="G53" s="1"/>
      <c r="H53" s="1">
        <v>45905</v>
      </c>
      <c r="K53" t="s">
        <v>26</v>
      </c>
      <c r="L53" t="s">
        <v>76</v>
      </c>
      <c r="M53" t="s">
        <v>27</v>
      </c>
      <c r="N53" t="s">
        <v>77</v>
      </c>
      <c r="O53" s="2">
        <v>484.68</v>
      </c>
      <c r="P53" t="s">
        <v>29</v>
      </c>
      <c r="Q53" s="4">
        <v>0.95</v>
      </c>
      <c r="S53" s="2">
        <v>345.33</v>
      </c>
      <c r="T53" s="2">
        <v>0</v>
      </c>
      <c r="U53" s="2">
        <v>345.33</v>
      </c>
    </row>
    <row r="54" spans="1:21" x14ac:dyDescent="0.25">
      <c r="A54" t="s">
        <v>21</v>
      </c>
      <c r="B54" t="s">
        <v>119</v>
      </c>
      <c r="C54" t="s">
        <v>120</v>
      </c>
      <c r="D54" t="s">
        <v>121</v>
      </c>
      <c r="E54" t="s">
        <v>122</v>
      </c>
      <c r="F54" s="1">
        <v>45902</v>
      </c>
      <c r="G54" s="1"/>
      <c r="H54" s="1">
        <v>45905</v>
      </c>
      <c r="K54" t="s">
        <v>26</v>
      </c>
      <c r="L54" t="s">
        <v>90</v>
      </c>
      <c r="M54" t="s">
        <v>27</v>
      </c>
      <c r="N54" t="s">
        <v>77</v>
      </c>
      <c r="O54" s="2">
        <v>2148.48</v>
      </c>
      <c r="P54" t="s">
        <v>29</v>
      </c>
      <c r="Q54" s="4">
        <v>0</v>
      </c>
      <c r="S54" s="2">
        <v>0</v>
      </c>
      <c r="T54" s="2">
        <v>0</v>
      </c>
      <c r="U54" s="2">
        <v>0</v>
      </c>
    </row>
    <row r="55" spans="1:21" x14ac:dyDescent="0.25">
      <c r="A55" t="s">
        <v>21</v>
      </c>
      <c r="B55" t="s">
        <v>119</v>
      </c>
      <c r="C55" t="s">
        <v>120</v>
      </c>
      <c r="D55" t="s">
        <v>121</v>
      </c>
      <c r="E55" t="s">
        <v>122</v>
      </c>
      <c r="F55" s="1">
        <v>45902</v>
      </c>
      <c r="G55" s="1"/>
      <c r="H55" s="1">
        <v>45905</v>
      </c>
      <c r="K55" t="s">
        <v>26</v>
      </c>
      <c r="L55" t="s">
        <v>90</v>
      </c>
      <c r="M55" t="s">
        <v>27</v>
      </c>
      <c r="N55" t="s">
        <v>77</v>
      </c>
      <c r="O55" s="2">
        <v>2148.48</v>
      </c>
      <c r="P55" t="s">
        <v>29</v>
      </c>
      <c r="Q55" s="4">
        <v>0.8</v>
      </c>
      <c r="S55" s="2">
        <v>1289.08</v>
      </c>
      <c r="T55" s="2">
        <v>0</v>
      </c>
      <c r="U55" s="2">
        <v>1289.08</v>
      </c>
    </row>
    <row r="56" spans="1:21" x14ac:dyDescent="0.25">
      <c r="A56" t="s">
        <v>21</v>
      </c>
      <c r="B56" t="s">
        <v>61</v>
      </c>
      <c r="C56" t="s">
        <v>62</v>
      </c>
      <c r="D56" t="s">
        <v>123</v>
      </c>
      <c r="E56" t="s">
        <v>124</v>
      </c>
      <c r="F56" s="1">
        <v>45902</v>
      </c>
      <c r="G56" s="1"/>
      <c r="H56" s="1">
        <v>45905</v>
      </c>
      <c r="K56" t="s">
        <v>26</v>
      </c>
      <c r="L56" t="s">
        <v>76</v>
      </c>
      <c r="M56" t="s">
        <v>27</v>
      </c>
      <c r="N56" t="s">
        <v>77</v>
      </c>
      <c r="O56" s="2">
        <v>968.88</v>
      </c>
      <c r="P56" t="s">
        <v>29</v>
      </c>
      <c r="Q56" s="4">
        <v>0</v>
      </c>
      <c r="S56" s="2">
        <v>0</v>
      </c>
      <c r="T56" s="2">
        <v>0</v>
      </c>
      <c r="U56" s="2">
        <v>0</v>
      </c>
    </row>
    <row r="57" spans="1:21" x14ac:dyDescent="0.25">
      <c r="A57" t="s">
        <v>21</v>
      </c>
      <c r="B57" t="s">
        <v>61</v>
      </c>
      <c r="C57" t="s">
        <v>62</v>
      </c>
      <c r="D57" t="s">
        <v>123</v>
      </c>
      <c r="E57" t="s">
        <v>124</v>
      </c>
      <c r="F57" s="1">
        <v>45902</v>
      </c>
      <c r="G57" s="1"/>
      <c r="H57" s="1">
        <v>45905</v>
      </c>
      <c r="K57" t="s">
        <v>26</v>
      </c>
      <c r="L57" t="s">
        <v>76</v>
      </c>
      <c r="M57" t="s">
        <v>27</v>
      </c>
      <c r="N57" t="s">
        <v>77</v>
      </c>
      <c r="O57" s="2">
        <v>968.88</v>
      </c>
      <c r="P57" t="s">
        <v>29</v>
      </c>
      <c r="Q57" s="4">
        <v>0.95</v>
      </c>
      <c r="S57" s="2">
        <v>690.33</v>
      </c>
      <c r="T57" s="2">
        <v>0</v>
      </c>
      <c r="U57" s="2">
        <v>690.33</v>
      </c>
    </row>
    <row r="58" spans="1:21" x14ac:dyDescent="0.25">
      <c r="A58" t="s">
        <v>21</v>
      </c>
      <c r="B58" t="s">
        <v>61</v>
      </c>
      <c r="C58" t="s">
        <v>62</v>
      </c>
      <c r="D58" t="s">
        <v>125</v>
      </c>
      <c r="E58" t="s">
        <v>126</v>
      </c>
      <c r="F58" s="1">
        <v>45903</v>
      </c>
      <c r="G58" s="1"/>
      <c r="H58" s="1">
        <v>45905</v>
      </c>
      <c r="K58" t="s">
        <v>26</v>
      </c>
      <c r="L58" t="s">
        <v>76</v>
      </c>
      <c r="M58" t="s">
        <v>27</v>
      </c>
      <c r="N58" t="s">
        <v>77</v>
      </c>
      <c r="O58" s="2">
        <v>460.68</v>
      </c>
      <c r="P58" t="s">
        <v>29</v>
      </c>
      <c r="Q58" s="4">
        <v>0</v>
      </c>
      <c r="S58" s="2">
        <v>0</v>
      </c>
      <c r="T58" s="2">
        <v>0</v>
      </c>
      <c r="U58" s="2">
        <v>0</v>
      </c>
    </row>
    <row r="59" spans="1:21" x14ac:dyDescent="0.25">
      <c r="A59" t="s">
        <v>21</v>
      </c>
      <c r="B59" t="s">
        <v>61</v>
      </c>
      <c r="C59" t="s">
        <v>62</v>
      </c>
      <c r="D59" t="s">
        <v>125</v>
      </c>
      <c r="E59" t="s">
        <v>126</v>
      </c>
      <c r="F59" s="1">
        <v>45903</v>
      </c>
      <c r="G59" s="1"/>
      <c r="H59" s="1">
        <v>45905</v>
      </c>
      <c r="K59" t="s">
        <v>26</v>
      </c>
      <c r="L59" t="s">
        <v>76</v>
      </c>
      <c r="M59" t="s">
        <v>27</v>
      </c>
      <c r="N59" t="s">
        <v>77</v>
      </c>
      <c r="O59" s="2">
        <v>460.68</v>
      </c>
      <c r="P59" t="s">
        <v>29</v>
      </c>
      <c r="Q59" s="4">
        <v>0.95</v>
      </c>
      <c r="S59" s="2">
        <v>328.23</v>
      </c>
      <c r="T59" s="2">
        <v>0</v>
      </c>
      <c r="U59" s="2">
        <v>328.23</v>
      </c>
    </row>
    <row r="60" spans="1:21" x14ac:dyDescent="0.25">
      <c r="A60" t="s">
        <v>21</v>
      </c>
      <c r="B60" t="s">
        <v>61</v>
      </c>
      <c r="C60" t="s">
        <v>62</v>
      </c>
      <c r="D60" t="s">
        <v>127</v>
      </c>
      <c r="E60" t="s">
        <v>128</v>
      </c>
      <c r="F60" s="1">
        <v>45903</v>
      </c>
      <c r="G60" s="1"/>
      <c r="H60" s="1">
        <v>45905</v>
      </c>
      <c r="K60" t="s">
        <v>26</v>
      </c>
      <c r="L60" t="s">
        <v>76</v>
      </c>
      <c r="M60" t="s">
        <v>27</v>
      </c>
      <c r="N60" t="s">
        <v>77</v>
      </c>
      <c r="O60" s="2">
        <v>484.68</v>
      </c>
      <c r="P60" t="s">
        <v>29</v>
      </c>
      <c r="Q60" s="4">
        <v>0</v>
      </c>
      <c r="S60" s="2">
        <v>0</v>
      </c>
      <c r="T60" s="2">
        <v>0</v>
      </c>
      <c r="U60" s="2">
        <v>0</v>
      </c>
    </row>
    <row r="61" spans="1:21" x14ac:dyDescent="0.25">
      <c r="A61" t="s">
        <v>21</v>
      </c>
      <c r="B61" t="s">
        <v>61</v>
      </c>
      <c r="C61" t="s">
        <v>62</v>
      </c>
      <c r="D61" t="s">
        <v>127</v>
      </c>
      <c r="E61" t="s">
        <v>128</v>
      </c>
      <c r="F61" s="1">
        <v>45903</v>
      </c>
      <c r="G61" s="1"/>
      <c r="H61" s="1">
        <v>45905</v>
      </c>
      <c r="K61" t="s">
        <v>26</v>
      </c>
      <c r="L61" t="s">
        <v>76</v>
      </c>
      <c r="M61" t="s">
        <v>27</v>
      </c>
      <c r="N61" t="s">
        <v>77</v>
      </c>
      <c r="O61" s="2">
        <v>484.68</v>
      </c>
      <c r="P61" t="s">
        <v>29</v>
      </c>
      <c r="Q61" s="4">
        <v>0.95</v>
      </c>
      <c r="S61" s="2">
        <v>345.33</v>
      </c>
      <c r="T61" s="2">
        <v>0</v>
      </c>
      <c r="U61" s="2">
        <v>345.33</v>
      </c>
    </row>
    <row r="62" spans="1:21" x14ac:dyDescent="0.25">
      <c r="A62" t="s">
        <v>21</v>
      </c>
      <c r="B62" t="s">
        <v>61</v>
      </c>
      <c r="C62" t="s">
        <v>62</v>
      </c>
      <c r="D62" t="s">
        <v>129</v>
      </c>
      <c r="E62" t="s">
        <v>130</v>
      </c>
      <c r="F62" s="1">
        <v>45903</v>
      </c>
      <c r="G62" s="1"/>
      <c r="H62" s="1">
        <v>45905</v>
      </c>
      <c r="K62" t="s">
        <v>26</v>
      </c>
      <c r="L62" t="s">
        <v>76</v>
      </c>
      <c r="M62" t="s">
        <v>27</v>
      </c>
      <c r="N62" t="s">
        <v>77</v>
      </c>
      <c r="O62" s="2">
        <v>484.68</v>
      </c>
      <c r="P62" t="s">
        <v>29</v>
      </c>
      <c r="Q62" s="4">
        <v>0</v>
      </c>
      <c r="S62" s="2">
        <v>0</v>
      </c>
      <c r="T62" s="2">
        <v>0</v>
      </c>
      <c r="U62" s="2">
        <v>0</v>
      </c>
    </row>
    <row r="63" spans="1:21" x14ac:dyDescent="0.25">
      <c r="A63" t="s">
        <v>21</v>
      </c>
      <c r="B63" t="s">
        <v>61</v>
      </c>
      <c r="C63" t="s">
        <v>62</v>
      </c>
      <c r="D63" t="s">
        <v>129</v>
      </c>
      <c r="E63" t="s">
        <v>130</v>
      </c>
      <c r="F63" s="1">
        <v>45903</v>
      </c>
      <c r="G63" s="1"/>
      <c r="H63" s="1">
        <v>45905</v>
      </c>
      <c r="K63" t="s">
        <v>26</v>
      </c>
      <c r="L63" t="s">
        <v>76</v>
      </c>
      <c r="M63" t="s">
        <v>27</v>
      </c>
      <c r="N63" t="s">
        <v>77</v>
      </c>
      <c r="O63" s="2">
        <v>484.68</v>
      </c>
      <c r="P63" t="s">
        <v>29</v>
      </c>
      <c r="Q63" s="4">
        <v>0.95</v>
      </c>
      <c r="S63" s="2">
        <v>345.33</v>
      </c>
      <c r="T63" s="2">
        <v>0</v>
      </c>
      <c r="U63" s="2">
        <v>345.33</v>
      </c>
    </row>
    <row r="64" spans="1:21" x14ac:dyDescent="0.25">
      <c r="A64" t="s">
        <v>21</v>
      </c>
      <c r="B64" t="s">
        <v>61</v>
      </c>
      <c r="C64" t="s">
        <v>62</v>
      </c>
      <c r="D64" t="s">
        <v>131</v>
      </c>
      <c r="E64" t="s">
        <v>132</v>
      </c>
      <c r="F64" s="1">
        <v>45903</v>
      </c>
      <c r="G64" s="1"/>
      <c r="H64" s="1">
        <v>45905</v>
      </c>
      <c r="K64" t="s">
        <v>26</v>
      </c>
      <c r="L64" t="s">
        <v>76</v>
      </c>
      <c r="M64" t="s">
        <v>27</v>
      </c>
      <c r="N64" t="s">
        <v>77</v>
      </c>
      <c r="O64" s="2">
        <v>484.68</v>
      </c>
      <c r="P64" t="s">
        <v>29</v>
      </c>
      <c r="Q64" s="4">
        <v>0</v>
      </c>
      <c r="S64" s="2">
        <v>0</v>
      </c>
      <c r="T64" s="2">
        <v>0</v>
      </c>
      <c r="U64" s="2">
        <v>0</v>
      </c>
    </row>
    <row r="65" spans="1:21" x14ac:dyDescent="0.25">
      <c r="A65" t="s">
        <v>21</v>
      </c>
      <c r="B65" t="s">
        <v>61</v>
      </c>
      <c r="C65" t="s">
        <v>62</v>
      </c>
      <c r="D65" t="s">
        <v>131</v>
      </c>
      <c r="E65" t="s">
        <v>132</v>
      </c>
      <c r="F65" s="1">
        <v>45903</v>
      </c>
      <c r="G65" s="1"/>
      <c r="H65" s="1">
        <v>45905</v>
      </c>
      <c r="K65" t="s">
        <v>26</v>
      </c>
      <c r="L65" t="s">
        <v>76</v>
      </c>
      <c r="M65" t="s">
        <v>27</v>
      </c>
      <c r="N65" t="s">
        <v>77</v>
      </c>
      <c r="O65" s="2">
        <v>484.68</v>
      </c>
      <c r="P65" t="s">
        <v>29</v>
      </c>
      <c r="Q65" s="4">
        <v>0.95</v>
      </c>
      <c r="S65" s="2">
        <v>345.33</v>
      </c>
      <c r="T65" s="2">
        <v>0</v>
      </c>
      <c r="U65" s="2">
        <v>345.33</v>
      </c>
    </row>
    <row r="66" spans="1:21" x14ac:dyDescent="0.25">
      <c r="A66" t="s">
        <v>21</v>
      </c>
      <c r="B66" t="s">
        <v>61</v>
      </c>
      <c r="C66" t="s">
        <v>62</v>
      </c>
      <c r="D66" t="s">
        <v>133</v>
      </c>
      <c r="E66" t="s">
        <v>134</v>
      </c>
      <c r="F66" s="1">
        <v>45903</v>
      </c>
      <c r="G66" s="1"/>
      <c r="H66" s="1">
        <v>45905</v>
      </c>
      <c r="K66" t="s">
        <v>26</v>
      </c>
      <c r="L66" t="s">
        <v>76</v>
      </c>
      <c r="M66" t="s">
        <v>27</v>
      </c>
      <c r="N66" t="s">
        <v>77</v>
      </c>
      <c r="O66" s="2">
        <v>484.68</v>
      </c>
      <c r="P66" t="s">
        <v>29</v>
      </c>
      <c r="Q66" s="4">
        <v>0</v>
      </c>
      <c r="S66" s="2">
        <v>0</v>
      </c>
      <c r="T66" s="2">
        <v>0</v>
      </c>
      <c r="U66" s="2">
        <v>0</v>
      </c>
    </row>
    <row r="67" spans="1:21" x14ac:dyDescent="0.25">
      <c r="A67" t="s">
        <v>21</v>
      </c>
      <c r="B67" t="s">
        <v>61</v>
      </c>
      <c r="C67" t="s">
        <v>62</v>
      </c>
      <c r="D67" t="s">
        <v>133</v>
      </c>
      <c r="E67" t="s">
        <v>134</v>
      </c>
      <c r="F67" s="1">
        <v>45903</v>
      </c>
      <c r="G67" s="1"/>
      <c r="H67" s="1">
        <v>45905</v>
      </c>
      <c r="K67" t="s">
        <v>26</v>
      </c>
      <c r="L67" t="s">
        <v>76</v>
      </c>
      <c r="M67" t="s">
        <v>27</v>
      </c>
      <c r="N67" t="s">
        <v>77</v>
      </c>
      <c r="O67" s="2">
        <v>484.68</v>
      </c>
      <c r="P67" t="s">
        <v>29</v>
      </c>
      <c r="Q67" s="4">
        <v>0.95</v>
      </c>
      <c r="S67" s="2">
        <v>345.33</v>
      </c>
      <c r="T67" s="2">
        <v>0</v>
      </c>
      <c r="U67" s="2">
        <v>345.33</v>
      </c>
    </row>
    <row r="68" spans="1:21" x14ac:dyDescent="0.25">
      <c r="A68" t="s">
        <v>21</v>
      </c>
      <c r="B68" t="s">
        <v>61</v>
      </c>
      <c r="C68" t="s">
        <v>62</v>
      </c>
      <c r="D68" t="s">
        <v>135</v>
      </c>
      <c r="E68" t="s">
        <v>136</v>
      </c>
      <c r="F68" s="1">
        <v>45904</v>
      </c>
      <c r="G68" s="1"/>
      <c r="H68" s="1">
        <v>45905</v>
      </c>
      <c r="K68" t="s">
        <v>26</v>
      </c>
      <c r="L68" t="s">
        <v>76</v>
      </c>
      <c r="M68" t="s">
        <v>27</v>
      </c>
      <c r="N68" t="s">
        <v>77</v>
      </c>
      <c r="O68" s="2">
        <v>477.96</v>
      </c>
      <c r="P68" t="s">
        <v>29</v>
      </c>
      <c r="Q68" s="4">
        <v>0</v>
      </c>
      <c r="S68" s="2">
        <v>0</v>
      </c>
      <c r="T68" s="2">
        <v>0</v>
      </c>
      <c r="U68" s="2">
        <v>0</v>
      </c>
    </row>
    <row r="69" spans="1:21" x14ac:dyDescent="0.25">
      <c r="A69" t="s">
        <v>21</v>
      </c>
      <c r="B69" t="s">
        <v>61</v>
      </c>
      <c r="C69" t="s">
        <v>62</v>
      </c>
      <c r="D69" t="s">
        <v>135</v>
      </c>
      <c r="E69" t="s">
        <v>136</v>
      </c>
      <c r="F69" s="1">
        <v>45904</v>
      </c>
      <c r="G69" s="1"/>
      <c r="H69" s="1">
        <v>45905</v>
      </c>
      <c r="K69" t="s">
        <v>26</v>
      </c>
      <c r="L69" t="s">
        <v>76</v>
      </c>
      <c r="M69" t="s">
        <v>27</v>
      </c>
      <c r="N69" t="s">
        <v>77</v>
      </c>
      <c r="O69" s="2">
        <v>477.96</v>
      </c>
      <c r="P69" t="s">
        <v>29</v>
      </c>
      <c r="Q69" s="4">
        <v>0.95</v>
      </c>
      <c r="S69" s="2">
        <v>340.54</v>
      </c>
      <c r="T69" s="2">
        <v>0</v>
      </c>
      <c r="U69" s="2">
        <v>340.54</v>
      </c>
    </row>
    <row r="70" spans="1:21" x14ac:dyDescent="0.25">
      <c r="A70" t="s">
        <v>21</v>
      </c>
      <c r="B70" t="s">
        <v>61</v>
      </c>
      <c r="C70" t="s">
        <v>62</v>
      </c>
      <c r="D70" t="s">
        <v>137</v>
      </c>
      <c r="E70" t="s">
        <v>138</v>
      </c>
      <c r="F70" s="1">
        <v>45903</v>
      </c>
      <c r="G70" s="1"/>
      <c r="H70" s="1">
        <v>45905</v>
      </c>
      <c r="K70" t="s">
        <v>26</v>
      </c>
      <c r="L70" t="s">
        <v>76</v>
      </c>
      <c r="M70" t="s">
        <v>27</v>
      </c>
      <c r="N70" t="s">
        <v>77</v>
      </c>
      <c r="O70" s="2">
        <v>733.92</v>
      </c>
      <c r="P70" t="s">
        <v>29</v>
      </c>
      <c r="Q70" s="4">
        <v>0</v>
      </c>
      <c r="S70" s="2">
        <v>0</v>
      </c>
      <c r="T70" s="2">
        <v>0</v>
      </c>
      <c r="U70" s="2">
        <v>0</v>
      </c>
    </row>
    <row r="71" spans="1:21" x14ac:dyDescent="0.25">
      <c r="A71" t="s">
        <v>21</v>
      </c>
      <c r="B71" t="s">
        <v>61</v>
      </c>
      <c r="C71" t="s">
        <v>62</v>
      </c>
      <c r="D71" t="s">
        <v>137</v>
      </c>
      <c r="E71" t="s">
        <v>138</v>
      </c>
      <c r="F71" s="1">
        <v>45903</v>
      </c>
      <c r="G71" s="1"/>
      <c r="H71" s="1">
        <v>45905</v>
      </c>
      <c r="K71" t="s">
        <v>26</v>
      </c>
      <c r="L71" t="s">
        <v>76</v>
      </c>
      <c r="M71" t="s">
        <v>27</v>
      </c>
      <c r="N71" t="s">
        <v>77</v>
      </c>
      <c r="O71" s="2">
        <v>733.92</v>
      </c>
      <c r="P71" t="s">
        <v>29</v>
      </c>
      <c r="Q71" s="4">
        <v>0.95</v>
      </c>
      <c r="S71" s="2">
        <v>522.91</v>
      </c>
      <c r="T71" s="2">
        <v>0</v>
      </c>
      <c r="U71" s="2">
        <v>522.91</v>
      </c>
    </row>
    <row r="72" spans="1:21" x14ac:dyDescent="0.25">
      <c r="A72" t="s">
        <v>21</v>
      </c>
      <c r="B72" t="s">
        <v>35</v>
      </c>
      <c r="C72" t="s">
        <v>36</v>
      </c>
      <c r="D72" t="s">
        <v>139</v>
      </c>
      <c r="E72" t="s">
        <v>140</v>
      </c>
      <c r="F72" s="1">
        <v>45902</v>
      </c>
      <c r="G72" s="1"/>
      <c r="H72" s="1">
        <v>45905</v>
      </c>
      <c r="K72" t="s">
        <v>26</v>
      </c>
      <c r="L72" t="s">
        <v>141</v>
      </c>
      <c r="M72" t="s">
        <v>27</v>
      </c>
      <c r="N72" t="s">
        <v>77</v>
      </c>
      <c r="O72" s="2">
        <v>779.88</v>
      </c>
      <c r="P72" t="s">
        <v>29</v>
      </c>
      <c r="Q72" s="4">
        <v>0</v>
      </c>
      <c r="S72" s="2">
        <v>0</v>
      </c>
      <c r="T72" s="2">
        <v>0</v>
      </c>
      <c r="U72" s="2">
        <v>0</v>
      </c>
    </row>
    <row r="73" spans="1:21" x14ac:dyDescent="0.25">
      <c r="A73" t="s">
        <v>21</v>
      </c>
      <c r="B73" t="s">
        <v>35</v>
      </c>
      <c r="C73" t="s">
        <v>36</v>
      </c>
      <c r="D73" t="s">
        <v>139</v>
      </c>
      <c r="E73" t="s">
        <v>140</v>
      </c>
      <c r="F73" s="1">
        <v>45902</v>
      </c>
      <c r="G73" s="1"/>
      <c r="H73" s="1">
        <v>45905</v>
      </c>
      <c r="K73" t="s">
        <v>26</v>
      </c>
      <c r="L73" t="s">
        <v>141</v>
      </c>
      <c r="M73" t="s">
        <v>27</v>
      </c>
      <c r="N73" t="s">
        <v>77</v>
      </c>
      <c r="O73" s="2">
        <v>779.88</v>
      </c>
      <c r="P73" t="s">
        <v>29</v>
      </c>
      <c r="Q73" s="4">
        <v>0.95</v>
      </c>
      <c r="S73" s="2">
        <v>555.66</v>
      </c>
      <c r="T73" s="2">
        <v>0</v>
      </c>
      <c r="U73" s="2">
        <v>555.66</v>
      </c>
    </row>
    <row r="74" spans="1:21" x14ac:dyDescent="0.25">
      <c r="A74" t="s">
        <v>21</v>
      </c>
      <c r="B74" t="s">
        <v>61</v>
      </c>
      <c r="C74" t="s">
        <v>62</v>
      </c>
      <c r="D74" t="s">
        <v>142</v>
      </c>
      <c r="E74" t="s">
        <v>143</v>
      </c>
      <c r="F74" s="1">
        <v>45904</v>
      </c>
      <c r="G74" s="1"/>
      <c r="H74" s="1">
        <v>45905</v>
      </c>
      <c r="K74" t="s">
        <v>26</v>
      </c>
      <c r="L74" t="s">
        <v>76</v>
      </c>
      <c r="M74" t="s">
        <v>27</v>
      </c>
      <c r="N74" t="s">
        <v>77</v>
      </c>
      <c r="O74" s="2">
        <v>484.68</v>
      </c>
      <c r="P74" t="s">
        <v>29</v>
      </c>
      <c r="Q74" s="4">
        <v>0</v>
      </c>
      <c r="S74" s="2">
        <v>0</v>
      </c>
      <c r="T74" s="2">
        <v>0</v>
      </c>
      <c r="U74" s="2">
        <v>0</v>
      </c>
    </row>
    <row r="75" spans="1:21" x14ac:dyDescent="0.25">
      <c r="A75" t="s">
        <v>21</v>
      </c>
      <c r="B75" t="s">
        <v>61</v>
      </c>
      <c r="C75" t="s">
        <v>62</v>
      </c>
      <c r="D75" t="s">
        <v>142</v>
      </c>
      <c r="E75" t="s">
        <v>143</v>
      </c>
      <c r="F75" s="1">
        <v>45904</v>
      </c>
      <c r="G75" s="1"/>
      <c r="H75" s="1">
        <v>45905</v>
      </c>
      <c r="K75" t="s">
        <v>26</v>
      </c>
      <c r="L75" t="s">
        <v>76</v>
      </c>
      <c r="M75" t="s">
        <v>27</v>
      </c>
      <c r="N75" t="s">
        <v>77</v>
      </c>
      <c r="O75" s="2">
        <v>484.68</v>
      </c>
      <c r="P75" t="s">
        <v>29</v>
      </c>
      <c r="Q75" s="4">
        <v>0.95</v>
      </c>
      <c r="S75" s="2">
        <v>345.33</v>
      </c>
      <c r="T75" s="2">
        <v>0</v>
      </c>
      <c r="U75" s="2">
        <v>345.33</v>
      </c>
    </row>
    <row r="76" spans="1:21" x14ac:dyDescent="0.25">
      <c r="A76" t="s">
        <v>21</v>
      </c>
      <c r="B76" t="s">
        <v>61</v>
      </c>
      <c r="C76" t="s">
        <v>62</v>
      </c>
      <c r="D76" t="s">
        <v>144</v>
      </c>
      <c r="E76" t="s">
        <v>145</v>
      </c>
      <c r="F76" s="1">
        <v>45904</v>
      </c>
      <c r="G76" s="1"/>
      <c r="H76" s="1">
        <v>45905</v>
      </c>
      <c r="K76" t="s">
        <v>26</v>
      </c>
      <c r="L76" t="s">
        <v>76</v>
      </c>
      <c r="M76" t="s">
        <v>27</v>
      </c>
      <c r="N76" t="s">
        <v>77</v>
      </c>
      <c r="O76" s="2">
        <v>652.08000000000004</v>
      </c>
      <c r="P76" t="s">
        <v>29</v>
      </c>
      <c r="Q76" s="4">
        <v>0</v>
      </c>
      <c r="S76" s="2">
        <v>0</v>
      </c>
      <c r="T76" s="2">
        <v>0</v>
      </c>
      <c r="U76" s="2">
        <v>0</v>
      </c>
    </row>
    <row r="77" spans="1:21" x14ac:dyDescent="0.25">
      <c r="A77" t="s">
        <v>21</v>
      </c>
      <c r="B77" t="s">
        <v>61</v>
      </c>
      <c r="C77" t="s">
        <v>62</v>
      </c>
      <c r="D77" t="s">
        <v>144</v>
      </c>
      <c r="E77" t="s">
        <v>145</v>
      </c>
      <c r="F77" s="1">
        <v>45904</v>
      </c>
      <c r="G77" s="1"/>
      <c r="H77" s="1">
        <v>45905</v>
      </c>
      <c r="K77" t="s">
        <v>26</v>
      </c>
      <c r="L77" t="s">
        <v>76</v>
      </c>
      <c r="M77" t="s">
        <v>27</v>
      </c>
      <c r="N77" t="s">
        <v>77</v>
      </c>
      <c r="O77" s="2">
        <v>652.08000000000004</v>
      </c>
      <c r="P77" t="s">
        <v>29</v>
      </c>
      <c r="Q77" s="4">
        <v>0.95</v>
      </c>
      <c r="S77" s="2">
        <v>464.61</v>
      </c>
      <c r="T77" s="2">
        <v>0</v>
      </c>
      <c r="U77" s="2">
        <v>464.61</v>
      </c>
    </row>
    <row r="78" spans="1:21" x14ac:dyDescent="0.25">
      <c r="A78" t="s">
        <v>21</v>
      </c>
      <c r="B78" t="s">
        <v>86</v>
      </c>
      <c r="C78" t="s">
        <v>87</v>
      </c>
      <c r="D78" t="s">
        <v>146</v>
      </c>
      <c r="E78" t="s">
        <v>147</v>
      </c>
      <c r="F78" s="1">
        <v>45904</v>
      </c>
      <c r="G78" s="1"/>
      <c r="H78" s="1">
        <v>45905</v>
      </c>
      <c r="K78" t="s">
        <v>26</v>
      </c>
      <c r="L78" t="s">
        <v>76</v>
      </c>
      <c r="M78" t="s">
        <v>27</v>
      </c>
      <c r="N78" t="s">
        <v>77</v>
      </c>
      <c r="O78" s="2">
        <v>733.92</v>
      </c>
      <c r="P78" t="s">
        <v>29</v>
      </c>
      <c r="Q78" s="4">
        <v>0</v>
      </c>
      <c r="S78" s="2">
        <v>0</v>
      </c>
      <c r="T78" s="2">
        <v>0</v>
      </c>
      <c r="U78" s="2">
        <v>0</v>
      </c>
    </row>
    <row r="79" spans="1:21" x14ac:dyDescent="0.25">
      <c r="A79" t="s">
        <v>21</v>
      </c>
      <c r="B79" t="s">
        <v>86</v>
      </c>
      <c r="C79" t="s">
        <v>87</v>
      </c>
      <c r="D79" t="s">
        <v>146</v>
      </c>
      <c r="E79" t="s">
        <v>147</v>
      </c>
      <c r="F79" s="1">
        <v>45904</v>
      </c>
      <c r="G79" s="1"/>
      <c r="H79" s="1">
        <v>45905</v>
      </c>
      <c r="K79" t="s">
        <v>26</v>
      </c>
      <c r="L79" t="s">
        <v>76</v>
      </c>
      <c r="M79" t="s">
        <v>27</v>
      </c>
      <c r="N79" t="s">
        <v>77</v>
      </c>
      <c r="O79" s="2">
        <v>733.92</v>
      </c>
      <c r="P79" t="s">
        <v>29</v>
      </c>
      <c r="Q79" s="4">
        <v>0.95</v>
      </c>
      <c r="S79" s="2">
        <v>522.91</v>
      </c>
      <c r="T79" s="2">
        <v>0</v>
      </c>
      <c r="U79" s="2">
        <v>522.91</v>
      </c>
    </row>
    <row r="80" spans="1:21" x14ac:dyDescent="0.25">
      <c r="A80" t="s">
        <v>21</v>
      </c>
      <c r="B80" t="s">
        <v>61</v>
      </c>
      <c r="C80" t="s">
        <v>62</v>
      </c>
      <c r="D80" t="s">
        <v>148</v>
      </c>
      <c r="E80" t="s">
        <v>149</v>
      </c>
      <c r="F80" s="1">
        <v>45905</v>
      </c>
      <c r="G80" s="1"/>
      <c r="H80" s="1">
        <v>45905</v>
      </c>
      <c r="K80" t="s">
        <v>26</v>
      </c>
      <c r="L80" t="s">
        <v>76</v>
      </c>
      <c r="M80" t="s">
        <v>27</v>
      </c>
      <c r="N80" t="s">
        <v>77</v>
      </c>
      <c r="O80" s="2">
        <v>484.68</v>
      </c>
      <c r="P80" t="s">
        <v>29</v>
      </c>
      <c r="Q80" s="4">
        <v>0</v>
      </c>
      <c r="S80" s="2">
        <v>0</v>
      </c>
      <c r="T80" s="2">
        <v>0</v>
      </c>
      <c r="U80" s="2">
        <v>0</v>
      </c>
    </row>
    <row r="81" spans="1:21" x14ac:dyDescent="0.25">
      <c r="A81" t="s">
        <v>21</v>
      </c>
      <c r="B81" t="s">
        <v>61</v>
      </c>
      <c r="C81" t="s">
        <v>62</v>
      </c>
      <c r="D81" t="s">
        <v>148</v>
      </c>
      <c r="E81" t="s">
        <v>149</v>
      </c>
      <c r="F81" s="1">
        <v>45905</v>
      </c>
      <c r="G81" s="1"/>
      <c r="H81" s="1">
        <v>45905</v>
      </c>
      <c r="K81" t="s">
        <v>26</v>
      </c>
      <c r="L81" t="s">
        <v>76</v>
      </c>
      <c r="M81" t="s">
        <v>27</v>
      </c>
      <c r="N81" t="s">
        <v>77</v>
      </c>
      <c r="O81" s="2">
        <v>484.68</v>
      </c>
      <c r="P81" t="s">
        <v>29</v>
      </c>
      <c r="Q81" s="4">
        <v>0.95</v>
      </c>
      <c r="S81" s="2">
        <v>345.33</v>
      </c>
      <c r="T81" s="2">
        <v>0</v>
      </c>
      <c r="U81" s="2">
        <v>345.33</v>
      </c>
    </row>
    <row r="82" spans="1:21" x14ac:dyDescent="0.25">
      <c r="A82" t="s">
        <v>21</v>
      </c>
      <c r="B82" t="s">
        <v>35</v>
      </c>
      <c r="C82" t="s">
        <v>36</v>
      </c>
      <c r="D82" t="s">
        <v>150</v>
      </c>
      <c r="E82" t="s">
        <v>151</v>
      </c>
      <c r="F82" s="1">
        <v>45905</v>
      </c>
      <c r="G82" s="1"/>
      <c r="H82" s="1">
        <v>45905</v>
      </c>
      <c r="K82" t="s">
        <v>152</v>
      </c>
      <c r="M82" t="s">
        <v>27</v>
      </c>
      <c r="N82" t="s">
        <v>28</v>
      </c>
      <c r="O82" s="2">
        <v>0</v>
      </c>
      <c r="P82" t="s">
        <v>29</v>
      </c>
      <c r="Q82" s="4">
        <v>0</v>
      </c>
      <c r="R82" t="s">
        <v>30</v>
      </c>
      <c r="S82" s="2">
        <v>0</v>
      </c>
      <c r="T82" s="2">
        <v>0</v>
      </c>
      <c r="U82" s="2">
        <v>-0.03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14AE-209A-4002-AAD2-6CA0E5112F6C}">
  <dimension ref="A1:Q38"/>
  <sheetViews>
    <sheetView tabSelected="1" workbookViewId="0">
      <selection activeCell="C10" sqref="C10"/>
    </sheetView>
  </sheetViews>
  <sheetFormatPr defaultColWidth="30" defaultRowHeight="21.75" customHeight="1" x14ac:dyDescent="0.25"/>
  <cols>
    <col min="1" max="6" width="30" style="13"/>
    <col min="7" max="7" width="15.85546875" style="13" customWidth="1"/>
    <col min="8" max="8" width="50.7109375" style="13" customWidth="1"/>
    <col min="9" max="16384" width="30" style="13"/>
  </cols>
  <sheetData>
    <row r="1" spans="1:17" ht="21.75" customHeight="1" x14ac:dyDescent="0.25">
      <c r="A1" s="11" t="s">
        <v>1</v>
      </c>
      <c r="B1" s="11" t="s">
        <v>2</v>
      </c>
      <c r="C1" s="11" t="s">
        <v>3</v>
      </c>
      <c r="D1" s="11" t="s">
        <v>4</v>
      </c>
      <c r="E1" s="12" t="s">
        <v>157</v>
      </c>
      <c r="F1" s="12" t="s">
        <v>158</v>
      </c>
      <c r="G1" s="12" t="s">
        <v>159</v>
      </c>
      <c r="H1" s="11" t="s">
        <v>11</v>
      </c>
      <c r="I1" s="11" t="s">
        <v>14</v>
      </c>
      <c r="J1" s="11"/>
      <c r="K1" s="11" t="s">
        <v>18</v>
      </c>
      <c r="L1" s="11" t="s">
        <v>20</v>
      </c>
      <c r="M1" s="11"/>
      <c r="N1" s="11" t="s">
        <v>15</v>
      </c>
      <c r="O1" s="11" t="s">
        <v>16</v>
      </c>
      <c r="P1" s="11" t="s">
        <v>17</v>
      </c>
      <c r="Q1" s="12" t="s">
        <v>162</v>
      </c>
    </row>
    <row r="2" spans="1:17" ht="21.75" customHeight="1" x14ac:dyDescent="0.25">
      <c r="A2" s="13" t="s">
        <v>61</v>
      </c>
      <c r="B2" s="13">
        <v>9079571</v>
      </c>
      <c r="C2" s="14">
        <v>4151662017</v>
      </c>
      <c r="D2" s="13" t="s">
        <v>70</v>
      </c>
      <c r="E2" s="10">
        <v>45810</v>
      </c>
      <c r="F2" s="10">
        <v>45901</v>
      </c>
      <c r="G2" s="14">
        <v>1508</v>
      </c>
      <c r="H2" s="13" t="s">
        <v>153</v>
      </c>
      <c r="I2" s="15">
        <v>-236.55</v>
      </c>
      <c r="J2" s="15"/>
      <c r="K2" s="15"/>
      <c r="L2" s="15">
        <v>-236.55</v>
      </c>
      <c r="M2" s="15"/>
      <c r="N2" s="13" t="s">
        <v>29</v>
      </c>
      <c r="O2" s="16">
        <v>0</v>
      </c>
      <c r="P2" s="13" t="s">
        <v>30</v>
      </c>
      <c r="Q2" s="12" t="s">
        <v>163</v>
      </c>
    </row>
    <row r="3" spans="1:17" ht="21.75" customHeight="1" x14ac:dyDescent="0.25">
      <c r="A3" s="13" t="s">
        <v>61</v>
      </c>
      <c r="B3" s="13">
        <v>9079571</v>
      </c>
      <c r="C3" s="14">
        <v>4151643500</v>
      </c>
      <c r="D3" s="13" t="s">
        <v>66</v>
      </c>
      <c r="E3" s="10">
        <v>45748</v>
      </c>
      <c r="F3" s="10">
        <v>45901</v>
      </c>
      <c r="G3" s="14">
        <v>1508</v>
      </c>
      <c r="H3" s="13" t="s">
        <v>153</v>
      </c>
      <c r="I3" s="15">
        <v>-201.95</v>
      </c>
      <c r="J3" s="15"/>
      <c r="K3" s="15">
        <v>0</v>
      </c>
      <c r="L3" s="15">
        <v>-201.95</v>
      </c>
      <c r="M3" s="15"/>
      <c r="N3" s="13" t="s">
        <v>29</v>
      </c>
      <c r="O3" s="16">
        <v>0</v>
      </c>
      <c r="P3" s="13" t="s">
        <v>30</v>
      </c>
      <c r="Q3" s="12" t="s">
        <v>163</v>
      </c>
    </row>
    <row r="4" spans="1:17" ht="21.75" customHeight="1" x14ac:dyDescent="0.25">
      <c r="A4" s="13" t="s">
        <v>61</v>
      </c>
      <c r="B4" s="13">
        <v>9079571</v>
      </c>
      <c r="C4" s="14">
        <v>4151625325</v>
      </c>
      <c r="D4" s="13" t="s">
        <v>64</v>
      </c>
      <c r="E4" s="10">
        <v>45691</v>
      </c>
      <c r="F4" s="10">
        <v>45901</v>
      </c>
      <c r="G4" s="14">
        <v>1508</v>
      </c>
      <c r="H4" s="13" t="s">
        <v>153</v>
      </c>
      <c r="I4" s="15">
        <v>-157.02000000000001</v>
      </c>
      <c r="J4" s="15"/>
      <c r="K4" s="15">
        <v>0</v>
      </c>
      <c r="L4" s="15">
        <v>-157.02000000000001</v>
      </c>
      <c r="M4" s="15"/>
      <c r="N4" s="13" t="s">
        <v>29</v>
      </c>
      <c r="O4" s="16">
        <v>0</v>
      </c>
      <c r="P4" s="13" t="s">
        <v>30</v>
      </c>
      <c r="Q4" s="12" t="s">
        <v>163</v>
      </c>
    </row>
    <row r="5" spans="1:17" ht="21.75" customHeight="1" x14ac:dyDescent="0.25">
      <c r="A5" s="13" t="s">
        <v>35</v>
      </c>
      <c r="B5" s="13">
        <v>5442438</v>
      </c>
      <c r="C5" s="14">
        <v>4151672192</v>
      </c>
      <c r="D5" s="13" t="s">
        <v>72</v>
      </c>
      <c r="E5" s="10">
        <v>45839</v>
      </c>
      <c r="F5" s="10">
        <v>45901</v>
      </c>
      <c r="G5" s="14">
        <v>1508</v>
      </c>
      <c r="H5" s="13" t="s">
        <v>153</v>
      </c>
      <c r="I5" s="15">
        <v>-147.28</v>
      </c>
      <c r="J5" s="15"/>
      <c r="K5" s="15">
        <v>0</v>
      </c>
      <c r="L5" s="15">
        <v>-147.28</v>
      </c>
      <c r="M5" s="15"/>
      <c r="N5" s="13" t="s">
        <v>29</v>
      </c>
      <c r="O5" s="16">
        <v>0</v>
      </c>
      <c r="P5" s="13" t="s">
        <v>30</v>
      </c>
      <c r="Q5" s="12" t="s">
        <v>163</v>
      </c>
    </row>
    <row r="6" spans="1:17" ht="21.75" customHeight="1" x14ac:dyDescent="0.25">
      <c r="A6" s="13" t="s">
        <v>35</v>
      </c>
      <c r="B6" s="13">
        <v>5442438</v>
      </c>
      <c r="C6" s="14">
        <v>4151672193</v>
      </c>
      <c r="D6" s="13" t="s">
        <v>72</v>
      </c>
      <c r="E6" s="10">
        <v>45839</v>
      </c>
      <c r="F6" s="10">
        <v>45901</v>
      </c>
      <c r="G6" s="14">
        <v>1508</v>
      </c>
      <c r="H6" s="13" t="s">
        <v>154</v>
      </c>
      <c r="I6" s="15">
        <v>-72.3</v>
      </c>
      <c r="J6" s="15"/>
      <c r="K6" s="15">
        <v>0</v>
      </c>
      <c r="L6" s="15">
        <v>-71.94</v>
      </c>
      <c r="M6" s="15"/>
      <c r="N6" s="13" t="s">
        <v>29</v>
      </c>
      <c r="O6" s="16">
        <v>0</v>
      </c>
      <c r="P6" s="13" t="s">
        <v>30</v>
      </c>
      <c r="Q6" s="12" t="s">
        <v>163</v>
      </c>
    </row>
    <row r="7" spans="1:17" ht="21.75" customHeight="1" x14ac:dyDescent="0.25">
      <c r="A7" s="13" t="s">
        <v>61</v>
      </c>
      <c r="B7" s="13">
        <v>9079571</v>
      </c>
      <c r="C7" s="14">
        <v>4151654015</v>
      </c>
      <c r="D7" s="13" t="s">
        <v>68</v>
      </c>
      <c r="E7" s="10">
        <v>45805</v>
      </c>
      <c r="F7" s="10">
        <v>45901</v>
      </c>
      <c r="G7" s="14">
        <v>1508</v>
      </c>
      <c r="H7" s="13" t="s">
        <v>153</v>
      </c>
      <c r="I7" s="15">
        <v>-54.48</v>
      </c>
      <c r="J7" s="15"/>
      <c r="K7" s="15">
        <v>0</v>
      </c>
      <c r="L7" s="15">
        <v>-54.48</v>
      </c>
      <c r="M7" s="15"/>
      <c r="N7" s="13" t="s">
        <v>29</v>
      </c>
      <c r="O7" s="16">
        <v>0</v>
      </c>
      <c r="P7" s="13" t="s">
        <v>30</v>
      </c>
      <c r="Q7" s="12" t="s">
        <v>163</v>
      </c>
    </row>
    <row r="8" spans="1:17" ht="21.75" customHeight="1" x14ac:dyDescent="0.25">
      <c r="A8" s="13" t="s">
        <v>95</v>
      </c>
      <c r="B8" s="13">
        <v>17528908</v>
      </c>
      <c r="C8" s="14">
        <v>4151695628</v>
      </c>
      <c r="D8" s="13" t="s">
        <v>98</v>
      </c>
      <c r="E8" s="10">
        <v>45901</v>
      </c>
      <c r="F8" s="10">
        <v>45931</v>
      </c>
      <c r="G8" s="14">
        <v>1</v>
      </c>
      <c r="H8" s="13" t="s">
        <v>155</v>
      </c>
      <c r="I8" s="15">
        <v>241.92</v>
      </c>
      <c r="J8" s="15">
        <f>SUM(I8/12)</f>
        <v>20.16</v>
      </c>
      <c r="K8" s="15">
        <v>172.36</v>
      </c>
      <c r="L8" s="15">
        <v>172.36</v>
      </c>
      <c r="M8" s="15">
        <f>SUM(L8/12)</f>
        <v>14.363333333333335</v>
      </c>
      <c r="N8" s="13" t="s">
        <v>29</v>
      </c>
      <c r="O8" s="16">
        <v>0.95</v>
      </c>
      <c r="Q8" s="12" t="s">
        <v>163</v>
      </c>
    </row>
    <row r="9" spans="1:17" ht="21.75" customHeight="1" x14ac:dyDescent="0.25">
      <c r="A9" s="13" t="s">
        <v>61</v>
      </c>
      <c r="B9" s="13">
        <v>9079571</v>
      </c>
      <c r="C9" s="14">
        <v>4151693589</v>
      </c>
      <c r="D9" s="13" t="s">
        <v>92</v>
      </c>
      <c r="E9" s="10">
        <v>45901</v>
      </c>
      <c r="F9" s="10">
        <v>45931</v>
      </c>
      <c r="G9" s="14">
        <v>1</v>
      </c>
      <c r="H9" s="13" t="s">
        <v>155</v>
      </c>
      <c r="I9" s="15">
        <v>367.56</v>
      </c>
      <c r="J9" s="15">
        <f t="shared" ref="J9:J38" si="0">SUM(I9/12)</f>
        <v>30.63</v>
      </c>
      <c r="K9" s="15">
        <v>261.88</v>
      </c>
      <c r="L9" s="15">
        <v>261.88</v>
      </c>
      <c r="M9" s="15">
        <f t="shared" ref="M9:M38" si="1">SUM(L9/12)</f>
        <v>21.823333333333334</v>
      </c>
      <c r="N9" s="13" t="s">
        <v>29</v>
      </c>
      <c r="O9" s="16">
        <v>0.95</v>
      </c>
      <c r="Q9" s="12" t="s">
        <v>163</v>
      </c>
    </row>
    <row r="10" spans="1:17" ht="21.75" customHeight="1" x14ac:dyDescent="0.25">
      <c r="A10" s="13" t="s">
        <v>61</v>
      </c>
      <c r="B10" s="13">
        <v>9079571</v>
      </c>
      <c r="C10" s="14">
        <v>4151695683</v>
      </c>
      <c r="D10" s="13" t="s">
        <v>104</v>
      </c>
      <c r="E10" s="10">
        <v>45901</v>
      </c>
      <c r="F10" s="10">
        <v>45931</v>
      </c>
      <c r="G10" s="14">
        <v>1</v>
      </c>
      <c r="H10" s="13" t="s">
        <v>155</v>
      </c>
      <c r="I10" s="15">
        <v>420.24</v>
      </c>
      <c r="J10" s="15">
        <f t="shared" si="0"/>
        <v>35.020000000000003</v>
      </c>
      <c r="K10" s="15">
        <v>299.42</v>
      </c>
      <c r="L10" s="15">
        <v>299.42</v>
      </c>
      <c r="M10" s="15">
        <f t="shared" si="1"/>
        <v>24.951666666666668</v>
      </c>
      <c r="N10" s="13" t="s">
        <v>29</v>
      </c>
      <c r="O10" s="16">
        <v>0.95</v>
      </c>
      <c r="Q10" s="12" t="s">
        <v>163</v>
      </c>
    </row>
    <row r="11" spans="1:17" ht="21.75" customHeight="1" x14ac:dyDescent="0.25">
      <c r="A11" s="13" t="s">
        <v>61</v>
      </c>
      <c r="B11" s="13">
        <v>9079571</v>
      </c>
      <c r="C11" s="14">
        <v>4151700070</v>
      </c>
      <c r="D11" s="13" t="s">
        <v>126</v>
      </c>
      <c r="E11" s="10">
        <v>45901</v>
      </c>
      <c r="F11" s="10">
        <v>45931</v>
      </c>
      <c r="G11" s="14">
        <v>1</v>
      </c>
      <c r="H11" s="13" t="s">
        <v>155</v>
      </c>
      <c r="I11" s="15">
        <v>460.68</v>
      </c>
      <c r="J11" s="15">
        <f t="shared" si="0"/>
        <v>38.39</v>
      </c>
      <c r="K11" s="15">
        <v>328.23</v>
      </c>
      <c r="L11" s="15">
        <v>328.23</v>
      </c>
      <c r="M11" s="15">
        <f t="shared" si="1"/>
        <v>27.352500000000003</v>
      </c>
      <c r="N11" s="13" t="s">
        <v>29</v>
      </c>
      <c r="O11" s="16">
        <v>0.95</v>
      </c>
      <c r="Q11" s="12" t="s">
        <v>163</v>
      </c>
    </row>
    <row r="12" spans="1:17" ht="21.75" customHeight="1" x14ac:dyDescent="0.25">
      <c r="A12" s="13" t="s">
        <v>61</v>
      </c>
      <c r="B12" s="13">
        <v>9079571</v>
      </c>
      <c r="C12" s="14">
        <v>4151700099</v>
      </c>
      <c r="D12" s="13" t="s">
        <v>136</v>
      </c>
      <c r="E12" s="10">
        <v>45901</v>
      </c>
      <c r="F12" s="10">
        <v>45931</v>
      </c>
      <c r="G12" s="14">
        <v>1</v>
      </c>
      <c r="H12" s="13" t="s">
        <v>155</v>
      </c>
      <c r="I12" s="15">
        <v>477.96</v>
      </c>
      <c r="J12" s="15">
        <f t="shared" si="0"/>
        <v>39.83</v>
      </c>
      <c r="K12" s="15">
        <v>340.54</v>
      </c>
      <c r="L12" s="15">
        <v>340.54</v>
      </c>
      <c r="M12" s="15">
        <f t="shared" si="1"/>
        <v>28.378333333333334</v>
      </c>
      <c r="N12" s="13" t="s">
        <v>29</v>
      </c>
      <c r="O12" s="16">
        <v>0.95</v>
      </c>
      <c r="Q12" s="12" t="s">
        <v>163</v>
      </c>
    </row>
    <row r="13" spans="1:17" ht="21.75" customHeight="1" x14ac:dyDescent="0.25">
      <c r="A13" s="13" t="s">
        <v>61</v>
      </c>
      <c r="B13" s="13">
        <v>9079571</v>
      </c>
      <c r="C13" s="14">
        <v>4151692641</v>
      </c>
      <c r="D13" s="13" t="s">
        <v>79</v>
      </c>
      <c r="E13" s="10">
        <v>45901</v>
      </c>
      <c r="F13" s="10">
        <v>45931</v>
      </c>
      <c r="G13" s="14">
        <v>1</v>
      </c>
      <c r="H13" s="13" t="s">
        <v>155</v>
      </c>
      <c r="I13" s="15">
        <v>484.68</v>
      </c>
      <c r="J13" s="15">
        <f t="shared" si="0"/>
        <v>40.39</v>
      </c>
      <c r="K13" s="15">
        <v>345.33</v>
      </c>
      <c r="L13" s="15">
        <v>345.33</v>
      </c>
      <c r="M13" s="15">
        <f t="shared" si="1"/>
        <v>28.7775</v>
      </c>
      <c r="N13" s="13" t="s">
        <v>29</v>
      </c>
      <c r="O13" s="16">
        <v>0.95</v>
      </c>
      <c r="Q13" s="12" t="s">
        <v>163</v>
      </c>
    </row>
    <row r="14" spans="1:17" ht="21.75" customHeight="1" x14ac:dyDescent="0.25">
      <c r="A14" s="13" t="s">
        <v>61</v>
      </c>
      <c r="B14" s="13">
        <v>9079571</v>
      </c>
      <c r="C14" s="14">
        <v>4151692712</v>
      </c>
      <c r="D14" s="13" t="s">
        <v>83</v>
      </c>
      <c r="E14" s="10">
        <v>45901</v>
      </c>
      <c r="F14" s="10">
        <v>45931</v>
      </c>
      <c r="G14" s="14">
        <v>1</v>
      </c>
      <c r="H14" s="13" t="s">
        <v>155</v>
      </c>
      <c r="I14" s="15">
        <v>484.68</v>
      </c>
      <c r="J14" s="15">
        <f t="shared" si="0"/>
        <v>40.39</v>
      </c>
      <c r="K14" s="15">
        <v>345.33</v>
      </c>
      <c r="L14" s="15">
        <v>345.33</v>
      </c>
      <c r="M14" s="15">
        <f t="shared" si="1"/>
        <v>28.7775</v>
      </c>
      <c r="N14" s="13" t="s">
        <v>29</v>
      </c>
      <c r="O14" s="16">
        <v>0.95</v>
      </c>
      <c r="Q14" s="12" t="s">
        <v>163</v>
      </c>
    </row>
    <row r="15" spans="1:17" ht="21.75" customHeight="1" x14ac:dyDescent="0.25">
      <c r="A15" s="13" t="s">
        <v>61</v>
      </c>
      <c r="B15" s="13">
        <v>9079571</v>
      </c>
      <c r="C15" s="14">
        <v>4151692800</v>
      </c>
      <c r="D15" s="13" t="s">
        <v>85</v>
      </c>
      <c r="E15" s="10">
        <v>45901</v>
      </c>
      <c r="F15" s="10">
        <v>45931</v>
      </c>
      <c r="G15" s="14">
        <v>1</v>
      </c>
      <c r="H15" s="13" t="s">
        <v>155</v>
      </c>
      <c r="I15" s="15">
        <v>484.68</v>
      </c>
      <c r="J15" s="15">
        <f t="shared" si="0"/>
        <v>40.39</v>
      </c>
      <c r="K15" s="15">
        <v>345.33</v>
      </c>
      <c r="L15" s="15">
        <v>345.33</v>
      </c>
      <c r="M15" s="15">
        <f t="shared" si="1"/>
        <v>28.7775</v>
      </c>
      <c r="N15" s="13" t="s">
        <v>29</v>
      </c>
      <c r="O15" s="16">
        <v>0.95</v>
      </c>
      <c r="Q15" s="12" t="s">
        <v>163</v>
      </c>
    </row>
    <row r="16" spans="1:17" ht="21.75" customHeight="1" x14ac:dyDescent="0.25">
      <c r="A16" s="13" t="s">
        <v>61</v>
      </c>
      <c r="B16" s="13">
        <v>9079571</v>
      </c>
      <c r="C16" s="14">
        <v>4151697326</v>
      </c>
      <c r="D16" s="13" t="s">
        <v>112</v>
      </c>
      <c r="E16" s="10">
        <v>45901</v>
      </c>
      <c r="F16" s="10">
        <v>45931</v>
      </c>
      <c r="G16" s="14">
        <v>1</v>
      </c>
      <c r="H16" s="13" t="s">
        <v>155</v>
      </c>
      <c r="I16" s="15">
        <v>484.68</v>
      </c>
      <c r="J16" s="15">
        <f t="shared" si="0"/>
        <v>40.39</v>
      </c>
      <c r="K16" s="15">
        <v>345.33</v>
      </c>
      <c r="L16" s="15">
        <v>345.33</v>
      </c>
      <c r="M16" s="15">
        <f t="shared" si="1"/>
        <v>28.7775</v>
      </c>
      <c r="N16" s="13" t="s">
        <v>29</v>
      </c>
      <c r="O16" s="16">
        <v>0.95</v>
      </c>
      <c r="Q16" s="12" t="s">
        <v>163</v>
      </c>
    </row>
    <row r="17" spans="1:17" ht="21.75" customHeight="1" x14ac:dyDescent="0.25">
      <c r="A17" s="13" t="s">
        <v>61</v>
      </c>
      <c r="B17" s="13">
        <v>9079571</v>
      </c>
      <c r="C17" s="14">
        <v>4151698042</v>
      </c>
      <c r="D17" s="13" t="s">
        <v>116</v>
      </c>
      <c r="E17" s="10">
        <v>45901</v>
      </c>
      <c r="F17" s="10">
        <v>45931</v>
      </c>
      <c r="G17" s="14">
        <v>1</v>
      </c>
      <c r="H17" s="13" t="s">
        <v>155</v>
      </c>
      <c r="I17" s="15">
        <v>484.68</v>
      </c>
      <c r="J17" s="15">
        <f t="shared" si="0"/>
        <v>40.39</v>
      </c>
      <c r="K17" s="15">
        <v>345.33</v>
      </c>
      <c r="L17" s="15">
        <v>345.33</v>
      </c>
      <c r="M17" s="15">
        <f t="shared" si="1"/>
        <v>28.7775</v>
      </c>
      <c r="N17" s="13" t="s">
        <v>29</v>
      </c>
      <c r="O17" s="16">
        <v>0.95</v>
      </c>
      <c r="Q17" s="12" t="s">
        <v>163</v>
      </c>
    </row>
    <row r="18" spans="1:17" ht="21.75" customHeight="1" x14ac:dyDescent="0.25">
      <c r="A18" s="13" t="s">
        <v>61</v>
      </c>
      <c r="B18" s="13">
        <v>9079571</v>
      </c>
      <c r="C18" s="14">
        <v>4151698054</v>
      </c>
      <c r="D18" s="13" t="s">
        <v>118</v>
      </c>
      <c r="E18" s="10">
        <v>45901</v>
      </c>
      <c r="F18" s="10">
        <v>45931</v>
      </c>
      <c r="G18" s="14">
        <v>1</v>
      </c>
      <c r="H18" s="13" t="s">
        <v>155</v>
      </c>
      <c r="I18" s="15">
        <v>484.68</v>
      </c>
      <c r="J18" s="15">
        <f t="shared" si="0"/>
        <v>40.39</v>
      </c>
      <c r="K18" s="15">
        <v>345.33</v>
      </c>
      <c r="L18" s="15">
        <v>345.33</v>
      </c>
      <c r="M18" s="15">
        <f t="shared" si="1"/>
        <v>28.7775</v>
      </c>
      <c r="N18" s="13" t="s">
        <v>29</v>
      </c>
      <c r="O18" s="16">
        <v>0.95</v>
      </c>
      <c r="Q18" s="12" t="s">
        <v>163</v>
      </c>
    </row>
    <row r="19" spans="1:17" ht="21.75" customHeight="1" x14ac:dyDescent="0.25">
      <c r="A19" s="13" t="s">
        <v>61</v>
      </c>
      <c r="B19" s="13">
        <v>9079571</v>
      </c>
      <c r="C19" s="14">
        <v>4151700075</v>
      </c>
      <c r="D19" s="13" t="s">
        <v>128</v>
      </c>
      <c r="E19" s="10">
        <v>45901</v>
      </c>
      <c r="F19" s="10">
        <v>45931</v>
      </c>
      <c r="G19" s="14">
        <v>1</v>
      </c>
      <c r="H19" s="13" t="s">
        <v>155</v>
      </c>
      <c r="I19" s="15">
        <v>484.68</v>
      </c>
      <c r="J19" s="15">
        <f t="shared" si="0"/>
        <v>40.39</v>
      </c>
      <c r="K19" s="15">
        <v>345.33</v>
      </c>
      <c r="L19" s="15">
        <v>345.33</v>
      </c>
      <c r="M19" s="15">
        <f t="shared" si="1"/>
        <v>28.7775</v>
      </c>
      <c r="N19" s="13" t="s">
        <v>29</v>
      </c>
      <c r="O19" s="16">
        <v>0.95</v>
      </c>
      <c r="Q19" s="12" t="s">
        <v>163</v>
      </c>
    </row>
    <row r="20" spans="1:17" ht="21.75" customHeight="1" x14ac:dyDescent="0.25">
      <c r="A20" s="13" t="s">
        <v>61</v>
      </c>
      <c r="B20" s="13">
        <v>9079571</v>
      </c>
      <c r="C20" s="14">
        <v>4151700088</v>
      </c>
      <c r="D20" s="13" t="s">
        <v>130</v>
      </c>
      <c r="E20" s="10">
        <v>45901</v>
      </c>
      <c r="F20" s="10">
        <v>45931</v>
      </c>
      <c r="G20" s="14">
        <v>1</v>
      </c>
      <c r="H20" s="13" t="s">
        <v>155</v>
      </c>
      <c r="I20" s="15">
        <v>484.68</v>
      </c>
      <c r="J20" s="15">
        <f t="shared" si="0"/>
        <v>40.39</v>
      </c>
      <c r="K20" s="15">
        <v>345.33</v>
      </c>
      <c r="L20" s="15">
        <v>345.33</v>
      </c>
      <c r="M20" s="15">
        <f t="shared" si="1"/>
        <v>28.7775</v>
      </c>
      <c r="N20" s="13" t="s">
        <v>29</v>
      </c>
      <c r="O20" s="16">
        <v>0.95</v>
      </c>
      <c r="Q20" s="12" t="s">
        <v>163</v>
      </c>
    </row>
    <row r="21" spans="1:17" ht="21.75" customHeight="1" x14ac:dyDescent="0.25">
      <c r="A21" s="13" t="s">
        <v>61</v>
      </c>
      <c r="B21" s="13">
        <v>9079571</v>
      </c>
      <c r="C21" s="14">
        <v>4151700092</v>
      </c>
      <c r="D21" s="13" t="s">
        <v>132</v>
      </c>
      <c r="E21" s="10">
        <v>45901</v>
      </c>
      <c r="F21" s="10">
        <v>45931</v>
      </c>
      <c r="G21" s="14">
        <v>1</v>
      </c>
      <c r="H21" s="13" t="s">
        <v>155</v>
      </c>
      <c r="I21" s="15">
        <v>484.68</v>
      </c>
      <c r="J21" s="15">
        <f t="shared" si="0"/>
        <v>40.39</v>
      </c>
      <c r="K21" s="15">
        <v>345.33</v>
      </c>
      <c r="L21" s="15">
        <v>345.33</v>
      </c>
      <c r="M21" s="15">
        <f t="shared" si="1"/>
        <v>28.7775</v>
      </c>
      <c r="N21" s="13" t="s">
        <v>29</v>
      </c>
      <c r="O21" s="16">
        <v>0.95</v>
      </c>
      <c r="Q21" s="12" t="s">
        <v>163</v>
      </c>
    </row>
    <row r="22" spans="1:17" ht="21.75" customHeight="1" x14ac:dyDescent="0.25">
      <c r="A22" s="13" t="s">
        <v>61</v>
      </c>
      <c r="B22" s="13">
        <v>9079571</v>
      </c>
      <c r="C22" s="14">
        <v>4151700096</v>
      </c>
      <c r="D22" s="13" t="s">
        <v>134</v>
      </c>
      <c r="E22" s="10">
        <v>45901</v>
      </c>
      <c r="F22" s="10">
        <v>45931</v>
      </c>
      <c r="G22" s="14">
        <v>1</v>
      </c>
      <c r="H22" s="13" t="s">
        <v>155</v>
      </c>
      <c r="I22" s="15">
        <v>484.68</v>
      </c>
      <c r="J22" s="15">
        <f t="shared" si="0"/>
        <v>40.39</v>
      </c>
      <c r="K22" s="15">
        <v>345.33</v>
      </c>
      <c r="L22" s="15">
        <v>345.33</v>
      </c>
      <c r="M22" s="15">
        <f t="shared" si="1"/>
        <v>28.7775</v>
      </c>
      <c r="N22" s="13" t="s">
        <v>29</v>
      </c>
      <c r="O22" s="16">
        <v>0.95</v>
      </c>
      <c r="Q22" s="12" t="s">
        <v>163</v>
      </c>
    </row>
    <row r="23" spans="1:17" ht="21.75" customHeight="1" x14ac:dyDescent="0.25">
      <c r="A23" s="13" t="s">
        <v>61</v>
      </c>
      <c r="B23" s="13">
        <v>9079571</v>
      </c>
      <c r="C23" s="14">
        <v>4151701164</v>
      </c>
      <c r="D23" s="13" t="s">
        <v>143</v>
      </c>
      <c r="E23" s="10">
        <v>45903</v>
      </c>
      <c r="F23" s="10">
        <v>45931</v>
      </c>
      <c r="G23" s="14">
        <v>0</v>
      </c>
      <c r="H23" s="13" t="s">
        <v>155</v>
      </c>
      <c r="I23" s="15">
        <v>484.68</v>
      </c>
      <c r="J23" s="15">
        <f t="shared" si="0"/>
        <v>40.39</v>
      </c>
      <c r="K23" s="15">
        <v>345.33</v>
      </c>
      <c r="L23" s="15">
        <v>345.33</v>
      </c>
      <c r="M23" s="15">
        <f t="shared" si="1"/>
        <v>28.7775</v>
      </c>
      <c r="N23" s="13" t="s">
        <v>29</v>
      </c>
      <c r="O23" s="16">
        <v>0.95</v>
      </c>
      <c r="Q23" s="12" t="s">
        <v>163</v>
      </c>
    </row>
    <row r="24" spans="1:17" ht="21.75" customHeight="1" x14ac:dyDescent="0.25">
      <c r="A24" s="13" t="s">
        <v>61</v>
      </c>
      <c r="B24" s="13">
        <v>9079571</v>
      </c>
      <c r="C24" s="14">
        <v>4151701853</v>
      </c>
      <c r="D24" s="13" t="s">
        <v>149</v>
      </c>
      <c r="E24" s="10">
        <v>45905</v>
      </c>
      <c r="F24" s="10">
        <v>45931</v>
      </c>
      <c r="G24" s="14">
        <v>0</v>
      </c>
      <c r="H24" s="13" t="s">
        <v>155</v>
      </c>
      <c r="I24" s="15">
        <v>484.68</v>
      </c>
      <c r="J24" s="15">
        <f t="shared" si="0"/>
        <v>40.39</v>
      </c>
      <c r="K24" s="15">
        <v>345.33</v>
      </c>
      <c r="L24" s="15">
        <v>345.33</v>
      </c>
      <c r="M24" s="15">
        <f t="shared" si="1"/>
        <v>28.7775</v>
      </c>
      <c r="N24" s="13" t="s">
        <v>29</v>
      </c>
      <c r="O24" s="16">
        <v>0.95</v>
      </c>
      <c r="Q24" s="12" t="s">
        <v>163</v>
      </c>
    </row>
    <row r="25" spans="1:17" ht="21.75" customHeight="1" x14ac:dyDescent="0.25">
      <c r="A25" s="13" t="s">
        <v>61</v>
      </c>
      <c r="B25" s="13">
        <v>9079571</v>
      </c>
      <c r="C25" s="14">
        <v>4151692399</v>
      </c>
      <c r="D25" s="13" t="s">
        <v>75</v>
      </c>
      <c r="E25" s="10">
        <v>45901</v>
      </c>
      <c r="F25" s="10">
        <v>45931</v>
      </c>
      <c r="G25" s="14">
        <v>1</v>
      </c>
      <c r="H25" s="13" t="s">
        <v>155</v>
      </c>
      <c r="I25" s="15">
        <v>491.16</v>
      </c>
      <c r="J25" s="15">
        <f t="shared" si="0"/>
        <v>40.93</v>
      </c>
      <c r="K25" s="15">
        <v>349.95</v>
      </c>
      <c r="L25" s="15">
        <v>349.95</v>
      </c>
      <c r="M25" s="15">
        <f t="shared" si="1"/>
        <v>29.162499999999998</v>
      </c>
      <c r="N25" s="13" t="s">
        <v>29</v>
      </c>
      <c r="O25" s="16">
        <v>0.95</v>
      </c>
      <c r="Q25" s="12" t="s">
        <v>163</v>
      </c>
    </row>
    <row r="26" spans="1:17" ht="21.75" customHeight="1" x14ac:dyDescent="0.25">
      <c r="A26" s="13" t="s">
        <v>61</v>
      </c>
      <c r="B26" s="13">
        <v>9079571</v>
      </c>
      <c r="C26" s="14">
        <v>4151701717</v>
      </c>
      <c r="D26" s="13" t="s">
        <v>145</v>
      </c>
      <c r="E26" s="10">
        <v>45904</v>
      </c>
      <c r="F26" s="10">
        <v>45931</v>
      </c>
      <c r="G26" s="14">
        <v>0</v>
      </c>
      <c r="H26" s="13" t="s">
        <v>155</v>
      </c>
      <c r="I26" s="15">
        <v>652.08000000000004</v>
      </c>
      <c r="J26" s="15">
        <f t="shared" si="0"/>
        <v>54.34</v>
      </c>
      <c r="K26" s="15">
        <v>464.61</v>
      </c>
      <c r="L26" s="15">
        <v>464.61</v>
      </c>
      <c r="M26" s="15">
        <f t="shared" si="1"/>
        <v>38.717500000000001</v>
      </c>
      <c r="N26" s="13" t="s">
        <v>29</v>
      </c>
      <c r="O26" s="16">
        <v>0.95</v>
      </c>
      <c r="Q26" s="12" t="s">
        <v>163</v>
      </c>
    </row>
    <row r="27" spans="1:17" ht="21.75" customHeight="1" x14ac:dyDescent="0.25">
      <c r="A27" s="13" t="s">
        <v>86</v>
      </c>
      <c r="B27" s="13">
        <v>17554531</v>
      </c>
      <c r="C27" s="14">
        <v>4151701718</v>
      </c>
      <c r="D27" s="13" t="s">
        <v>147</v>
      </c>
      <c r="E27" s="10">
        <v>45904</v>
      </c>
      <c r="F27" s="10">
        <v>45931</v>
      </c>
      <c r="G27" s="14">
        <v>0</v>
      </c>
      <c r="H27" s="13" t="s">
        <v>155</v>
      </c>
      <c r="I27" s="15">
        <v>733.92</v>
      </c>
      <c r="J27" s="15">
        <f t="shared" si="0"/>
        <v>61.16</v>
      </c>
      <c r="K27" s="15">
        <v>522.91</v>
      </c>
      <c r="L27" s="15">
        <v>522.91</v>
      </c>
      <c r="M27" s="15">
        <f t="shared" si="1"/>
        <v>43.575833333333328</v>
      </c>
      <c r="N27" s="13" t="s">
        <v>29</v>
      </c>
      <c r="O27" s="16">
        <v>0.95</v>
      </c>
      <c r="Q27" s="12" t="s">
        <v>163</v>
      </c>
    </row>
    <row r="28" spans="1:17" ht="21.75" customHeight="1" x14ac:dyDescent="0.25">
      <c r="A28" s="13" t="s">
        <v>61</v>
      </c>
      <c r="B28" s="13">
        <v>9079571</v>
      </c>
      <c r="C28" s="14">
        <v>4151700103</v>
      </c>
      <c r="D28" s="13" t="s">
        <v>138</v>
      </c>
      <c r="E28" s="10">
        <v>45901</v>
      </c>
      <c r="F28" s="10">
        <v>45931</v>
      </c>
      <c r="G28" s="14">
        <v>1</v>
      </c>
      <c r="H28" s="13" t="s">
        <v>155</v>
      </c>
      <c r="I28" s="15">
        <v>733.92</v>
      </c>
      <c r="J28" s="15">
        <f t="shared" si="0"/>
        <v>61.16</v>
      </c>
      <c r="K28" s="15">
        <v>522.91</v>
      </c>
      <c r="L28" s="15">
        <v>522.91</v>
      </c>
      <c r="M28" s="15">
        <f t="shared" si="1"/>
        <v>43.575833333333328</v>
      </c>
      <c r="N28" s="13" t="s">
        <v>29</v>
      </c>
      <c r="O28" s="16">
        <v>0.95</v>
      </c>
      <c r="Q28" s="12" t="s">
        <v>163</v>
      </c>
    </row>
    <row r="29" spans="1:17" ht="21.75" customHeight="1" x14ac:dyDescent="0.25">
      <c r="A29" s="13" t="s">
        <v>35</v>
      </c>
      <c r="B29" s="13">
        <v>5442438</v>
      </c>
      <c r="C29" s="14">
        <v>4151700625</v>
      </c>
      <c r="D29" s="13" t="s">
        <v>140</v>
      </c>
      <c r="E29" s="10">
        <v>45902</v>
      </c>
      <c r="F29" s="10">
        <v>45931</v>
      </c>
      <c r="G29" s="14">
        <v>0</v>
      </c>
      <c r="H29" s="13" t="s">
        <v>141</v>
      </c>
      <c r="I29" s="15">
        <v>779.88</v>
      </c>
      <c r="J29" s="15">
        <f t="shared" si="0"/>
        <v>64.989999999999995</v>
      </c>
      <c r="K29" s="15">
        <v>555.66</v>
      </c>
      <c r="L29" s="15">
        <v>555.66</v>
      </c>
      <c r="M29" s="15">
        <f t="shared" si="1"/>
        <v>46.305</v>
      </c>
      <c r="N29" s="13" t="s">
        <v>29</v>
      </c>
      <c r="O29" s="16">
        <v>0.95</v>
      </c>
      <c r="Q29" s="12" t="s">
        <v>163</v>
      </c>
    </row>
    <row r="30" spans="1:17" ht="21.75" customHeight="1" x14ac:dyDescent="0.25">
      <c r="A30" s="13" t="s">
        <v>61</v>
      </c>
      <c r="B30" s="13">
        <v>9079571</v>
      </c>
      <c r="C30" s="14">
        <v>4151695704</v>
      </c>
      <c r="D30" s="13" t="s">
        <v>110</v>
      </c>
      <c r="E30" s="10">
        <v>45901</v>
      </c>
      <c r="F30" s="10">
        <v>45931</v>
      </c>
      <c r="G30" s="14">
        <v>1</v>
      </c>
      <c r="H30" s="13" t="s">
        <v>155</v>
      </c>
      <c r="I30" s="15">
        <v>817.08</v>
      </c>
      <c r="J30" s="15">
        <f t="shared" si="0"/>
        <v>68.09</v>
      </c>
      <c r="K30" s="15">
        <v>582.16999999999996</v>
      </c>
      <c r="L30" s="15">
        <v>582.16999999999996</v>
      </c>
      <c r="M30" s="15">
        <f t="shared" si="1"/>
        <v>48.514166666666661</v>
      </c>
      <c r="N30" s="13" t="s">
        <v>29</v>
      </c>
      <c r="O30" s="16">
        <v>0.95</v>
      </c>
      <c r="Q30" s="12" t="s">
        <v>163</v>
      </c>
    </row>
    <row r="31" spans="1:17" s="5" customFormat="1" ht="21.75" customHeight="1" x14ac:dyDescent="0.25">
      <c r="A31" s="5" t="s">
        <v>99</v>
      </c>
      <c r="B31" s="17" t="s">
        <v>160</v>
      </c>
      <c r="C31" s="6">
        <v>4151695630</v>
      </c>
      <c r="D31" s="5" t="s">
        <v>102</v>
      </c>
      <c r="E31" s="9">
        <v>45901</v>
      </c>
      <c r="F31" s="9">
        <v>45931</v>
      </c>
      <c r="G31" s="6">
        <v>1</v>
      </c>
      <c r="H31" s="5" t="s">
        <v>155</v>
      </c>
      <c r="I31" s="7">
        <v>860.28</v>
      </c>
      <c r="J31" s="15">
        <f t="shared" si="0"/>
        <v>71.69</v>
      </c>
      <c r="K31" s="7">
        <v>612.95000000000005</v>
      </c>
      <c r="L31" s="7">
        <v>612.95000000000005</v>
      </c>
      <c r="M31" s="15">
        <f t="shared" si="1"/>
        <v>51.079166666666673</v>
      </c>
      <c r="N31" s="5" t="s">
        <v>29</v>
      </c>
      <c r="O31" s="8">
        <v>0.95</v>
      </c>
      <c r="Q31" s="12" t="s">
        <v>164</v>
      </c>
    </row>
    <row r="32" spans="1:17" s="5" customFormat="1" ht="21.75" customHeight="1" x14ac:dyDescent="0.25">
      <c r="A32" s="5" t="s">
        <v>86</v>
      </c>
      <c r="B32" s="17" t="s">
        <v>161</v>
      </c>
      <c r="C32" s="6">
        <v>4151693210</v>
      </c>
      <c r="D32" s="5" t="s">
        <v>89</v>
      </c>
      <c r="E32" s="9">
        <v>45901</v>
      </c>
      <c r="F32" s="9">
        <v>45931</v>
      </c>
      <c r="G32" s="6">
        <v>1</v>
      </c>
      <c r="H32" s="5" t="s">
        <v>156</v>
      </c>
      <c r="I32" s="7">
        <v>896.88</v>
      </c>
      <c r="J32" s="15">
        <f t="shared" si="0"/>
        <v>74.739999999999995</v>
      </c>
      <c r="K32" s="7">
        <v>538.12</v>
      </c>
      <c r="L32" s="7">
        <v>538.12</v>
      </c>
      <c r="M32" s="15">
        <f t="shared" si="1"/>
        <v>44.843333333333334</v>
      </c>
      <c r="N32" s="5" t="s">
        <v>29</v>
      </c>
      <c r="O32" s="8">
        <v>0.8</v>
      </c>
      <c r="Q32" s="12" t="s">
        <v>164</v>
      </c>
    </row>
    <row r="33" spans="1:17" ht="21.75" customHeight="1" x14ac:dyDescent="0.25">
      <c r="A33" s="13" t="s">
        <v>61</v>
      </c>
      <c r="B33" s="13">
        <v>9079571</v>
      </c>
      <c r="C33" s="14">
        <v>4151697981</v>
      </c>
      <c r="D33" s="13" t="s">
        <v>114</v>
      </c>
      <c r="E33" s="10">
        <v>45901</v>
      </c>
      <c r="F33" s="10">
        <v>45931</v>
      </c>
      <c r="G33" s="14">
        <v>1</v>
      </c>
      <c r="H33" s="13" t="s">
        <v>155</v>
      </c>
      <c r="I33" s="15">
        <v>946.2</v>
      </c>
      <c r="J33" s="15">
        <f t="shared" si="0"/>
        <v>78.850000000000009</v>
      </c>
      <c r="K33" s="15">
        <v>674.16</v>
      </c>
      <c r="L33" s="15">
        <v>674.16</v>
      </c>
      <c r="M33" s="15">
        <f t="shared" si="1"/>
        <v>56.18</v>
      </c>
      <c r="N33" s="13" t="s">
        <v>29</v>
      </c>
      <c r="O33" s="16">
        <v>0.95</v>
      </c>
      <c r="Q33" s="12" t="s">
        <v>163</v>
      </c>
    </row>
    <row r="34" spans="1:17" ht="21.75" customHeight="1" x14ac:dyDescent="0.25">
      <c r="A34" s="13" t="s">
        <v>61</v>
      </c>
      <c r="B34" s="13">
        <v>9079571</v>
      </c>
      <c r="C34" s="14">
        <v>4151694497</v>
      </c>
      <c r="D34" s="13" t="s">
        <v>94</v>
      </c>
      <c r="E34" s="10">
        <v>45901</v>
      </c>
      <c r="F34" s="10">
        <v>45931</v>
      </c>
      <c r="G34" s="14">
        <v>1</v>
      </c>
      <c r="H34" s="13" t="s">
        <v>155</v>
      </c>
      <c r="I34" s="15">
        <v>968.88</v>
      </c>
      <c r="J34" s="15">
        <f t="shared" si="0"/>
        <v>80.739999999999995</v>
      </c>
      <c r="K34" s="15">
        <v>690.33</v>
      </c>
      <c r="L34" s="15">
        <v>690.33</v>
      </c>
      <c r="M34" s="15">
        <f t="shared" si="1"/>
        <v>57.527500000000003</v>
      </c>
      <c r="N34" s="13" t="s">
        <v>29</v>
      </c>
      <c r="O34" s="16">
        <v>0.95</v>
      </c>
      <c r="Q34" s="12" t="s">
        <v>163</v>
      </c>
    </row>
    <row r="35" spans="1:17" ht="21.75" customHeight="1" x14ac:dyDescent="0.25">
      <c r="A35" s="13" t="s">
        <v>61</v>
      </c>
      <c r="B35" s="13">
        <v>9079571</v>
      </c>
      <c r="C35" s="14">
        <v>4151699715</v>
      </c>
      <c r="D35" s="13" t="s">
        <v>124</v>
      </c>
      <c r="E35" s="10">
        <v>45901</v>
      </c>
      <c r="F35" s="10">
        <v>45931</v>
      </c>
      <c r="G35" s="14">
        <v>1</v>
      </c>
      <c r="H35" s="13" t="s">
        <v>155</v>
      </c>
      <c r="I35" s="15">
        <v>968.88</v>
      </c>
      <c r="J35" s="15">
        <f t="shared" si="0"/>
        <v>80.739999999999995</v>
      </c>
      <c r="K35" s="15">
        <v>690.33</v>
      </c>
      <c r="L35" s="15">
        <v>690.33</v>
      </c>
      <c r="M35" s="15">
        <f t="shared" si="1"/>
        <v>57.527500000000003</v>
      </c>
      <c r="N35" s="13" t="s">
        <v>29</v>
      </c>
      <c r="O35" s="16">
        <v>0.95</v>
      </c>
      <c r="Q35" s="12" t="s">
        <v>163</v>
      </c>
    </row>
    <row r="36" spans="1:17" ht="21.75" customHeight="1" x14ac:dyDescent="0.25">
      <c r="A36" s="13" t="s">
        <v>61</v>
      </c>
      <c r="B36" s="13">
        <v>9079571</v>
      </c>
      <c r="C36" s="14">
        <v>4151695694</v>
      </c>
      <c r="D36" s="13" t="s">
        <v>106</v>
      </c>
      <c r="E36" s="10">
        <v>45901</v>
      </c>
      <c r="F36" s="10">
        <v>45931</v>
      </c>
      <c r="G36" s="14">
        <v>1</v>
      </c>
      <c r="H36" s="13" t="s">
        <v>155</v>
      </c>
      <c r="I36" s="15">
        <v>1151.76</v>
      </c>
      <c r="J36" s="15">
        <f t="shared" si="0"/>
        <v>95.98</v>
      </c>
      <c r="K36" s="15">
        <v>820.62</v>
      </c>
      <c r="L36" s="15">
        <v>820.62</v>
      </c>
      <c r="M36" s="15">
        <f t="shared" si="1"/>
        <v>68.385000000000005</v>
      </c>
      <c r="N36" s="13" t="s">
        <v>29</v>
      </c>
      <c r="O36" s="16">
        <v>0.95</v>
      </c>
      <c r="Q36" s="12" t="s">
        <v>163</v>
      </c>
    </row>
    <row r="37" spans="1:17" ht="33.75" customHeight="1" x14ac:dyDescent="0.25">
      <c r="A37" s="13" t="s">
        <v>61</v>
      </c>
      <c r="B37" s="13">
        <v>9079571</v>
      </c>
      <c r="C37" s="14">
        <v>4151692690</v>
      </c>
      <c r="D37" s="13" t="s">
        <v>81</v>
      </c>
      <c r="E37" s="10">
        <v>45901</v>
      </c>
      <c r="F37" s="10">
        <v>45931</v>
      </c>
      <c r="G37" s="14">
        <v>1</v>
      </c>
      <c r="H37" s="13" t="s">
        <v>155</v>
      </c>
      <c r="I37" s="15">
        <v>1236.96</v>
      </c>
      <c r="J37" s="15">
        <f t="shared" si="0"/>
        <v>103.08</v>
      </c>
      <c r="K37" s="15">
        <v>881.33</v>
      </c>
      <c r="L37" s="15">
        <v>881.33</v>
      </c>
      <c r="M37" s="15">
        <f t="shared" si="1"/>
        <v>73.444166666666675</v>
      </c>
      <c r="N37" s="13" t="s">
        <v>29</v>
      </c>
      <c r="O37" s="16">
        <v>0.95</v>
      </c>
      <c r="Q37" s="12" t="s">
        <v>163</v>
      </c>
    </row>
    <row r="38" spans="1:17" ht="21.75" customHeight="1" x14ac:dyDescent="0.25">
      <c r="A38" s="13" t="s">
        <v>119</v>
      </c>
      <c r="B38" s="13">
        <v>15950276</v>
      </c>
      <c r="C38" s="14">
        <v>4151698363</v>
      </c>
      <c r="D38" s="13" t="s">
        <v>122</v>
      </c>
      <c r="E38" s="10">
        <v>45901</v>
      </c>
      <c r="F38" s="10">
        <v>45931</v>
      </c>
      <c r="G38" s="14">
        <v>1</v>
      </c>
      <c r="H38" s="13" t="s">
        <v>156</v>
      </c>
      <c r="I38" s="15">
        <v>2148.48</v>
      </c>
      <c r="J38" s="15">
        <f t="shared" si="0"/>
        <v>179.04</v>
      </c>
      <c r="K38" s="15">
        <v>1289.08</v>
      </c>
      <c r="L38" s="15">
        <v>1289.08</v>
      </c>
      <c r="M38" s="15">
        <f t="shared" si="1"/>
        <v>107.42333333333333</v>
      </c>
      <c r="N38" s="13" t="s">
        <v>29</v>
      </c>
      <c r="O38" s="16">
        <v>0.8</v>
      </c>
      <c r="Q38" s="12" t="s">
        <v>163</v>
      </c>
    </row>
  </sheetData>
  <autoFilter ref="A1:P38" xr:uid="{71A914AE-209A-4002-AAD2-6CA0E5112F6C}">
    <sortState xmlns:xlrd2="http://schemas.microsoft.com/office/spreadsheetml/2017/richdata2" ref="A2:P38">
      <sortCondition ref="I1:I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2025-09-07T20:25:50Z</dcterms:created>
  <dcterms:modified xsi:type="dcterms:W3CDTF">2025-09-10T22:55:45Z</dcterms:modified>
</cp:coreProperties>
</file>