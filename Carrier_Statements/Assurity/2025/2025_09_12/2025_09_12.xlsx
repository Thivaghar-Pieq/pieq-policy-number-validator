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9-12-25\"/>
    </mc:Choice>
  </mc:AlternateContent>
  <xr:revisionPtr revIDLastSave="0" documentId="13_ncr:1_{03061B12-4B7B-4576-B584-C2DDFB1CCDCE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clean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2" i="2"/>
  <c r="Q3" i="2"/>
  <c r="Q4" i="2"/>
  <c r="Q5" i="2"/>
  <c r="Q6" i="2"/>
  <c r="Q7" i="2"/>
  <c r="Q8" i="2"/>
  <c r="Q9" i="2"/>
  <c r="Q10" i="2"/>
  <c r="Q2" i="2"/>
</calcChain>
</file>

<file path=xl/sharedStrings.xml><?xml version="1.0" encoding="utf-8"?>
<sst xmlns="http://schemas.openxmlformats.org/spreadsheetml/2006/main" count="282" uniqueCount="58">
  <si>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</si>
  <si>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</si>
  <si>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</si>
  <si>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</si>
  <si>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</si>
  <si>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</si>
  <si>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</si>
  <si>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</si>
  <si>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</si>
  <si>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</si>
  <si>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</si>
  <si>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</si>
  <si>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</si>
  <si>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</si>
  <si>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</si>
  <si>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</si>
  <si>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</si>
  <si>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</si>
  <si>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</si>
  <si>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</si>
  <si>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</si>
  <si>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</si>
  <si>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</si>
  <si>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</si>
  <si>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4151701868</t>
  </si>
  <si>
    <t>Varghese, Hephza</t>
  </si>
  <si>
    <t>H</t>
  </si>
  <si>
    <t>Accident Insurance</t>
  </si>
  <si>
    <t>85</t>
  </si>
  <si>
    <t>Monthly</t>
  </si>
  <si>
    <t>FirstYear</t>
  </si>
  <si>
    <t>4151702151</t>
  </si>
  <si>
    <t>Spann, Jasmine</t>
  </si>
  <si>
    <t>4151702571</t>
  </si>
  <si>
    <t>Soukup, Sadie</t>
  </si>
  <si>
    <t>4151702589</t>
  </si>
  <si>
    <t>Berry, Matthew</t>
  </si>
  <si>
    <t>4151702902</t>
  </si>
  <si>
    <t>Fullerton, Sarah</t>
  </si>
  <si>
    <t>Oliver, Brittany</t>
  </si>
  <si>
    <t>6EVF</t>
  </si>
  <si>
    <t>4151703242</t>
  </si>
  <si>
    <t>Marks, Sean</t>
  </si>
  <si>
    <t>4151703620</t>
  </si>
  <si>
    <t>Johnson, Keith</t>
  </si>
  <si>
    <t>4151703712</t>
  </si>
  <si>
    <t>Parker, Rosalie</t>
  </si>
  <si>
    <t>Walenga, Dale</t>
  </si>
  <si>
    <t>0DG8</t>
  </si>
  <si>
    <t>4351696313</t>
  </si>
  <si>
    <t>Walenga, Ryan</t>
  </si>
  <si>
    <t>L</t>
  </si>
  <si>
    <t>WL Perform+ Pay to A65</t>
  </si>
  <si>
    <t>1-3 2024- Accident Insurance All States Applicable Except (CO/MN/SD/WA) 95%</t>
  </si>
  <si>
    <t>EFFECTIVE DATES</t>
  </si>
  <si>
    <t>2024-Accident Insurance (CO/MN/SD/WA) 90%</t>
  </si>
  <si>
    <t>PREMIUM MONTHLY</t>
  </si>
  <si>
    <t>COMM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</si>
</sst>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opLeftCell="H1" workbookViewId="0">
      <selection activeCell="L18" sqref="L18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1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29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45909</v>
      </c>
      <c r="G2" s="1"/>
      <c r="H2" s="1">
        <v>45912</v>
      </c>
      <c r="K2" t="s">
        <v>26</v>
      </c>
      <c r="L2" t="s">
        <v>27</v>
      </c>
      <c r="M2" t="s">
        <v>28</v>
      </c>
      <c r="N2" t="s">
        <v>29</v>
      </c>
      <c r="O2" s="2">
        <v>678.12</v>
      </c>
      <c r="P2" t="s">
        <v>30</v>
      </c>
      <c r="Q2" s="4">
        <v>0</v>
      </c>
      <c r="S2" s="2">
        <v>0</v>
      </c>
      <c r="T2" s="2">
        <v>0</v>
      </c>
      <c r="U2" s="2">
        <v>0</v>
      </c>
    </row>
    <row r="3" spans="1:2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s="1">
        <v>45909</v>
      </c>
      <c r="G3" s="1"/>
      <c r="H3" s="1">
        <v>45912</v>
      </c>
      <c r="K3" t="s">
        <v>26</v>
      </c>
      <c r="L3" t="s">
        <v>27</v>
      </c>
      <c r="M3" t="s">
        <v>28</v>
      </c>
      <c r="N3" t="s">
        <v>29</v>
      </c>
      <c r="O3" s="2">
        <v>678.12</v>
      </c>
      <c r="P3" t="s">
        <v>30</v>
      </c>
      <c r="Q3" s="4">
        <v>0.95</v>
      </c>
      <c r="S3" s="2">
        <v>483.15</v>
      </c>
      <c r="T3" s="2">
        <v>0</v>
      </c>
      <c r="U3" s="2">
        <v>483.15</v>
      </c>
    </row>
    <row r="4" spans="1:21" x14ac:dyDescent="0.25">
      <c r="A4" t="s">
        <v>21</v>
      </c>
      <c r="B4" t="s">
        <v>22</v>
      </c>
      <c r="C4" t="s">
        <v>23</v>
      </c>
      <c r="D4" t="s">
        <v>31</v>
      </c>
      <c r="E4" t="s">
        <v>32</v>
      </c>
      <c r="F4" s="1">
        <v>45908</v>
      </c>
      <c r="G4" s="1"/>
      <c r="H4" s="1">
        <v>45912</v>
      </c>
      <c r="K4" t="s">
        <v>26</v>
      </c>
      <c r="L4" t="s">
        <v>27</v>
      </c>
      <c r="M4" t="s">
        <v>28</v>
      </c>
      <c r="N4" t="s">
        <v>29</v>
      </c>
      <c r="O4" s="2">
        <v>484.68</v>
      </c>
      <c r="P4" t="s">
        <v>30</v>
      </c>
      <c r="Q4" s="4">
        <v>0</v>
      </c>
      <c r="S4" s="2">
        <v>0</v>
      </c>
      <c r="T4" s="2">
        <v>0</v>
      </c>
      <c r="U4" s="2">
        <v>0</v>
      </c>
    </row>
    <row r="5" spans="1:21" x14ac:dyDescent="0.25">
      <c r="A5" t="s">
        <v>21</v>
      </c>
      <c r="B5" t="s">
        <v>22</v>
      </c>
      <c r="C5" t="s">
        <v>23</v>
      </c>
      <c r="D5" t="s">
        <v>31</v>
      </c>
      <c r="E5" t="s">
        <v>32</v>
      </c>
      <c r="F5" s="1">
        <v>45908</v>
      </c>
      <c r="G5" s="1"/>
      <c r="H5" s="1">
        <v>45912</v>
      </c>
      <c r="K5" t="s">
        <v>26</v>
      </c>
      <c r="L5" t="s">
        <v>27</v>
      </c>
      <c r="M5" t="s">
        <v>28</v>
      </c>
      <c r="N5" t="s">
        <v>29</v>
      </c>
      <c r="O5" s="2">
        <v>484.68</v>
      </c>
      <c r="P5" t="s">
        <v>30</v>
      </c>
      <c r="Q5" s="4">
        <v>0.95</v>
      </c>
      <c r="S5" s="2">
        <v>345.33</v>
      </c>
      <c r="T5" s="2">
        <v>0</v>
      </c>
      <c r="U5" s="2">
        <v>345.33</v>
      </c>
    </row>
    <row r="6" spans="1:21" x14ac:dyDescent="0.25">
      <c r="A6" t="s">
        <v>21</v>
      </c>
      <c r="B6" t="s">
        <v>22</v>
      </c>
      <c r="C6" t="s">
        <v>23</v>
      </c>
      <c r="D6" t="s">
        <v>33</v>
      </c>
      <c r="E6" t="s">
        <v>34</v>
      </c>
      <c r="F6" s="1">
        <v>45910</v>
      </c>
      <c r="G6" s="1"/>
      <c r="H6" s="1">
        <v>45912</v>
      </c>
      <c r="K6" t="s">
        <v>26</v>
      </c>
      <c r="L6" t="s">
        <v>27</v>
      </c>
      <c r="M6" t="s">
        <v>28</v>
      </c>
      <c r="N6" t="s">
        <v>29</v>
      </c>
      <c r="O6" s="2">
        <v>484.68</v>
      </c>
      <c r="P6" t="s">
        <v>30</v>
      </c>
      <c r="Q6" s="4">
        <v>0</v>
      </c>
      <c r="S6" s="2">
        <v>0</v>
      </c>
      <c r="T6" s="2">
        <v>0</v>
      </c>
      <c r="U6" s="2">
        <v>0</v>
      </c>
    </row>
    <row r="7" spans="1:21" x14ac:dyDescent="0.25">
      <c r="A7" t="s">
        <v>21</v>
      </c>
      <c r="B7" t="s">
        <v>22</v>
      </c>
      <c r="C7" t="s">
        <v>23</v>
      </c>
      <c r="D7" t="s">
        <v>33</v>
      </c>
      <c r="E7" t="s">
        <v>34</v>
      </c>
      <c r="F7" s="1">
        <v>45910</v>
      </c>
      <c r="G7" s="1"/>
      <c r="H7" s="1">
        <v>45912</v>
      </c>
      <c r="K7" t="s">
        <v>26</v>
      </c>
      <c r="L7" t="s">
        <v>27</v>
      </c>
      <c r="M7" t="s">
        <v>28</v>
      </c>
      <c r="N7" t="s">
        <v>29</v>
      </c>
      <c r="O7" s="2">
        <v>484.68</v>
      </c>
      <c r="P7" t="s">
        <v>30</v>
      </c>
      <c r="Q7" s="4">
        <v>0.95</v>
      </c>
      <c r="S7" s="2">
        <v>345.33</v>
      </c>
      <c r="T7" s="2">
        <v>0</v>
      </c>
      <c r="U7" s="2">
        <v>345.33</v>
      </c>
    </row>
    <row r="8" spans="1:21" x14ac:dyDescent="0.25">
      <c r="A8" t="s">
        <v>21</v>
      </c>
      <c r="B8" t="s">
        <v>22</v>
      </c>
      <c r="C8" t="s">
        <v>23</v>
      </c>
      <c r="D8" t="s">
        <v>35</v>
      </c>
      <c r="E8" t="s">
        <v>36</v>
      </c>
      <c r="F8" s="1">
        <v>45909</v>
      </c>
      <c r="G8" s="1"/>
      <c r="H8" s="1">
        <v>45912</v>
      </c>
      <c r="K8" t="s">
        <v>26</v>
      </c>
      <c r="L8" t="s">
        <v>27</v>
      </c>
      <c r="M8" t="s">
        <v>28</v>
      </c>
      <c r="N8" t="s">
        <v>29</v>
      </c>
      <c r="O8" s="2">
        <v>484.68</v>
      </c>
      <c r="P8" t="s">
        <v>30</v>
      </c>
      <c r="Q8" s="4">
        <v>0</v>
      </c>
      <c r="S8" s="2">
        <v>0</v>
      </c>
      <c r="T8" s="2">
        <v>0</v>
      </c>
      <c r="U8" s="2">
        <v>0</v>
      </c>
    </row>
    <row r="9" spans="1:21" x14ac:dyDescent="0.25">
      <c r="A9" t="s">
        <v>21</v>
      </c>
      <c r="B9" t="s">
        <v>22</v>
      </c>
      <c r="C9" t="s">
        <v>23</v>
      </c>
      <c r="D9" t="s">
        <v>35</v>
      </c>
      <c r="E9" t="s">
        <v>36</v>
      </c>
      <c r="F9" s="1">
        <v>45909</v>
      </c>
      <c r="G9" s="1"/>
      <c r="H9" s="1">
        <v>45912</v>
      </c>
      <c r="K9" t="s">
        <v>26</v>
      </c>
      <c r="L9" t="s">
        <v>27</v>
      </c>
      <c r="M9" t="s">
        <v>28</v>
      </c>
      <c r="N9" t="s">
        <v>29</v>
      </c>
      <c r="O9" s="2">
        <v>484.68</v>
      </c>
      <c r="P9" t="s">
        <v>30</v>
      </c>
      <c r="Q9" s="4">
        <v>0.95</v>
      </c>
      <c r="S9" s="2">
        <v>345.33</v>
      </c>
      <c r="T9" s="2">
        <v>0</v>
      </c>
      <c r="U9" s="2">
        <v>345.33</v>
      </c>
    </row>
    <row r="10" spans="1:21" x14ac:dyDescent="0.25">
      <c r="A10" t="s">
        <v>21</v>
      </c>
      <c r="B10" t="s">
        <v>22</v>
      </c>
      <c r="C10" t="s">
        <v>23</v>
      </c>
      <c r="D10" t="s">
        <v>37</v>
      </c>
      <c r="E10" t="s">
        <v>38</v>
      </c>
      <c r="F10" s="1">
        <v>45910</v>
      </c>
      <c r="G10" s="1"/>
      <c r="H10" s="1">
        <v>45912</v>
      </c>
      <c r="K10" t="s">
        <v>26</v>
      </c>
      <c r="L10" t="s">
        <v>27</v>
      </c>
      <c r="M10" t="s">
        <v>28</v>
      </c>
      <c r="N10" t="s">
        <v>29</v>
      </c>
      <c r="O10" s="2">
        <v>484.68</v>
      </c>
      <c r="P10" t="s">
        <v>30</v>
      </c>
      <c r="Q10" s="4">
        <v>0</v>
      </c>
      <c r="S10" s="2">
        <v>0</v>
      </c>
      <c r="T10" s="2">
        <v>0</v>
      </c>
      <c r="U10" s="2">
        <v>0</v>
      </c>
    </row>
    <row r="11" spans="1:21" x14ac:dyDescent="0.25">
      <c r="A11" t="s">
        <v>21</v>
      </c>
      <c r="B11" t="s">
        <v>22</v>
      </c>
      <c r="C11" t="s">
        <v>23</v>
      </c>
      <c r="D11" t="s">
        <v>37</v>
      </c>
      <c r="E11" t="s">
        <v>38</v>
      </c>
      <c r="F11" s="1">
        <v>45910</v>
      </c>
      <c r="G11" s="1"/>
      <c r="H11" s="1">
        <v>45912</v>
      </c>
      <c r="K11" t="s">
        <v>26</v>
      </c>
      <c r="L11" t="s">
        <v>27</v>
      </c>
      <c r="M11" t="s">
        <v>28</v>
      </c>
      <c r="N11" t="s">
        <v>29</v>
      </c>
      <c r="O11" s="2">
        <v>484.68</v>
      </c>
      <c r="P11" t="s">
        <v>30</v>
      </c>
      <c r="Q11" s="4">
        <v>0.95</v>
      </c>
      <c r="S11" s="2">
        <v>345.33</v>
      </c>
      <c r="T11" s="2">
        <v>0</v>
      </c>
      <c r="U11" s="2">
        <v>345.33</v>
      </c>
    </row>
    <row r="12" spans="1:21" x14ac:dyDescent="0.25">
      <c r="A12" t="s">
        <v>21</v>
      </c>
      <c r="B12" t="s">
        <v>39</v>
      </c>
      <c r="C12" t="s">
        <v>40</v>
      </c>
      <c r="D12" t="s">
        <v>41</v>
      </c>
      <c r="E12" t="s">
        <v>42</v>
      </c>
      <c r="F12" s="1">
        <v>45910</v>
      </c>
      <c r="G12" s="1"/>
      <c r="H12" s="1">
        <v>45912</v>
      </c>
      <c r="K12" t="s">
        <v>26</v>
      </c>
      <c r="L12" t="s">
        <v>27</v>
      </c>
      <c r="M12" t="s">
        <v>28</v>
      </c>
      <c r="N12" t="s">
        <v>29</v>
      </c>
      <c r="O12" s="2">
        <v>484.68</v>
      </c>
      <c r="P12" t="s">
        <v>30</v>
      </c>
      <c r="Q12" s="4">
        <v>0</v>
      </c>
      <c r="S12" s="2">
        <v>0</v>
      </c>
      <c r="T12" s="2">
        <v>0</v>
      </c>
      <c r="U12" s="2">
        <v>0</v>
      </c>
    </row>
    <row r="13" spans="1:21" x14ac:dyDescent="0.25">
      <c r="A13" t="s">
        <v>21</v>
      </c>
      <c r="B13" t="s">
        <v>39</v>
      </c>
      <c r="C13" t="s">
        <v>40</v>
      </c>
      <c r="D13" t="s">
        <v>41</v>
      </c>
      <c r="E13" t="s">
        <v>42</v>
      </c>
      <c r="F13" s="1">
        <v>45910</v>
      </c>
      <c r="G13" s="1"/>
      <c r="H13" s="1">
        <v>45912</v>
      </c>
      <c r="K13" t="s">
        <v>26</v>
      </c>
      <c r="L13" t="s">
        <v>27</v>
      </c>
      <c r="M13" t="s">
        <v>28</v>
      </c>
      <c r="N13" t="s">
        <v>29</v>
      </c>
      <c r="O13" s="2">
        <v>484.68</v>
      </c>
      <c r="P13" t="s">
        <v>30</v>
      </c>
      <c r="Q13" s="4">
        <v>0.95</v>
      </c>
      <c r="S13" s="2">
        <v>345.33</v>
      </c>
      <c r="T13" s="2">
        <v>0</v>
      </c>
      <c r="U13" s="2">
        <v>345.33</v>
      </c>
    </row>
    <row r="14" spans="1:21" x14ac:dyDescent="0.25">
      <c r="A14" t="s">
        <v>21</v>
      </c>
      <c r="B14" t="s">
        <v>22</v>
      </c>
      <c r="C14" t="s">
        <v>23</v>
      </c>
      <c r="D14" t="s">
        <v>43</v>
      </c>
      <c r="E14" t="s">
        <v>44</v>
      </c>
      <c r="F14" s="1">
        <v>45911</v>
      </c>
      <c r="G14" s="1"/>
      <c r="H14" s="1">
        <v>45912</v>
      </c>
      <c r="K14" t="s">
        <v>26</v>
      </c>
      <c r="L14" t="s">
        <v>27</v>
      </c>
      <c r="M14" t="s">
        <v>28</v>
      </c>
      <c r="N14" t="s">
        <v>29</v>
      </c>
      <c r="O14" s="2">
        <v>652.08000000000004</v>
      </c>
      <c r="P14" t="s">
        <v>30</v>
      </c>
      <c r="Q14" s="4">
        <v>0</v>
      </c>
      <c r="S14" s="2">
        <v>0</v>
      </c>
      <c r="T14" s="2">
        <v>0</v>
      </c>
      <c r="U14" s="2">
        <v>0</v>
      </c>
    </row>
    <row r="15" spans="1:21" x14ac:dyDescent="0.25">
      <c r="A15" t="s">
        <v>21</v>
      </c>
      <c r="B15" t="s">
        <v>22</v>
      </c>
      <c r="C15" t="s">
        <v>23</v>
      </c>
      <c r="D15" t="s">
        <v>43</v>
      </c>
      <c r="E15" t="s">
        <v>44</v>
      </c>
      <c r="F15" s="1">
        <v>45911</v>
      </c>
      <c r="G15" s="1"/>
      <c r="H15" s="1">
        <v>45912</v>
      </c>
      <c r="K15" t="s">
        <v>26</v>
      </c>
      <c r="L15" t="s">
        <v>27</v>
      </c>
      <c r="M15" t="s">
        <v>28</v>
      </c>
      <c r="N15" t="s">
        <v>29</v>
      </c>
      <c r="O15" s="2">
        <v>652.08000000000004</v>
      </c>
      <c r="P15" t="s">
        <v>30</v>
      </c>
      <c r="Q15" s="4">
        <v>0.95</v>
      </c>
      <c r="S15" s="2">
        <v>464.61</v>
      </c>
      <c r="T15" s="2">
        <v>0</v>
      </c>
      <c r="U15" s="2">
        <v>464.61</v>
      </c>
    </row>
    <row r="16" spans="1:21" x14ac:dyDescent="0.25">
      <c r="A16" t="s">
        <v>21</v>
      </c>
      <c r="B16" t="s">
        <v>22</v>
      </c>
      <c r="C16" t="s">
        <v>23</v>
      </c>
      <c r="D16" t="s">
        <v>45</v>
      </c>
      <c r="E16" t="s">
        <v>46</v>
      </c>
      <c r="F16" s="1">
        <v>45911</v>
      </c>
      <c r="G16" s="1"/>
      <c r="H16" s="1">
        <v>45912</v>
      </c>
      <c r="K16" t="s">
        <v>26</v>
      </c>
      <c r="L16" t="s">
        <v>27</v>
      </c>
      <c r="M16" t="s">
        <v>28</v>
      </c>
      <c r="N16" t="s">
        <v>29</v>
      </c>
      <c r="O16" s="2">
        <v>484.68</v>
      </c>
      <c r="P16" t="s">
        <v>30</v>
      </c>
      <c r="Q16" s="4">
        <v>0</v>
      </c>
      <c r="S16" s="2">
        <v>0</v>
      </c>
      <c r="T16" s="2">
        <v>0</v>
      </c>
      <c r="U16" s="2">
        <v>0</v>
      </c>
    </row>
    <row r="17" spans="1:21" x14ac:dyDescent="0.25">
      <c r="A17" t="s">
        <v>21</v>
      </c>
      <c r="B17" t="s">
        <v>22</v>
      </c>
      <c r="C17" t="s">
        <v>23</v>
      </c>
      <c r="D17" t="s">
        <v>45</v>
      </c>
      <c r="E17" t="s">
        <v>46</v>
      </c>
      <c r="F17" s="1">
        <v>45911</v>
      </c>
      <c r="G17" s="1"/>
      <c r="H17" s="1">
        <v>45912</v>
      </c>
      <c r="K17" t="s">
        <v>26</v>
      </c>
      <c r="L17" t="s">
        <v>27</v>
      </c>
      <c r="M17" t="s">
        <v>28</v>
      </c>
      <c r="N17" t="s">
        <v>29</v>
      </c>
      <c r="O17" s="2">
        <v>484.68</v>
      </c>
      <c r="P17" t="s">
        <v>30</v>
      </c>
      <c r="Q17" s="4">
        <v>0.95</v>
      </c>
      <c r="S17" s="2">
        <v>345.33</v>
      </c>
      <c r="T17" s="2">
        <v>0</v>
      </c>
      <c r="U17" s="2">
        <v>345.33</v>
      </c>
    </row>
    <row r="18" spans="1:21" x14ac:dyDescent="0.25">
      <c r="A18" t="s">
        <v>21</v>
      </c>
      <c r="B18" t="s">
        <v>47</v>
      </c>
      <c r="C18" t="s">
        <v>48</v>
      </c>
      <c r="D18" t="s">
        <v>49</v>
      </c>
      <c r="E18" t="s">
        <v>50</v>
      </c>
      <c r="F18" s="1">
        <v>45910</v>
      </c>
      <c r="G18" s="1"/>
      <c r="H18" s="1">
        <v>45912</v>
      </c>
      <c r="K18" t="s">
        <v>51</v>
      </c>
      <c r="L18" t="s">
        <v>52</v>
      </c>
      <c r="M18" t="s">
        <v>28</v>
      </c>
      <c r="N18" t="s">
        <v>29</v>
      </c>
      <c r="O18" s="2">
        <v>836.76</v>
      </c>
      <c r="P18" t="s">
        <v>30</v>
      </c>
      <c r="Q18" s="4">
        <v>0</v>
      </c>
      <c r="S18" s="2">
        <v>0</v>
      </c>
      <c r="T18" s="2">
        <v>0</v>
      </c>
      <c r="U18" s="2">
        <v>0</v>
      </c>
    </row>
    <row r="19" spans="1:21" x14ac:dyDescent="0.25">
      <c r="A19" t="s">
        <v>21</v>
      </c>
      <c r="B19" t="s">
        <v>47</v>
      </c>
      <c r="C19" t="s">
        <v>48</v>
      </c>
      <c r="D19" t="s">
        <v>49</v>
      </c>
      <c r="E19" t="s">
        <v>50</v>
      </c>
      <c r="F19" s="1">
        <v>45910</v>
      </c>
      <c r="G19" s="1"/>
      <c r="H19" s="1">
        <v>45912</v>
      </c>
      <c r="K19" t="s">
        <v>51</v>
      </c>
      <c r="L19" t="s">
        <v>52</v>
      </c>
      <c r="M19" t="s">
        <v>28</v>
      </c>
      <c r="N19" t="s">
        <v>29</v>
      </c>
      <c r="O19" s="2">
        <v>836.76</v>
      </c>
      <c r="P19" t="s">
        <v>30</v>
      </c>
      <c r="Q19" s="4">
        <v>0.9</v>
      </c>
      <c r="S19" s="2">
        <v>564.80999999999995</v>
      </c>
      <c r="T19" s="2">
        <v>0</v>
      </c>
      <c r="U19" s="2">
        <v>564.80999999999995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2E73-22A1-4485-B205-C385619F25D5}">
  <dimension ref="A1:R10"/>
  <sheetViews>
    <sheetView tabSelected="1" topLeftCell="B1" workbookViewId="0">
      <selection activeCell="D10" sqref="D10"/>
    </sheetView>
  </sheetViews>
  <sheetFormatPr defaultColWidth="15" defaultRowHeight="37.5" customHeight="1" x14ac:dyDescent="0.25"/>
  <sheetData>
    <row r="1" spans="1:18" ht="37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7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20</v>
      </c>
      <c r="P1" s="11" t="s">
        <v>54</v>
      </c>
      <c r="Q1" s="11" t="s">
        <v>56</v>
      </c>
      <c r="R1" s="11" t="s">
        <v>57</v>
      </c>
    </row>
    <row r="2" spans="1:18" ht="37.5" customHeight="1" x14ac:dyDescent="0.25">
      <c r="A2" s="6" t="s">
        <v>21</v>
      </c>
      <c r="B2" s="6" t="s">
        <v>22</v>
      </c>
      <c r="C2" s="6">
        <v>9079571</v>
      </c>
      <c r="D2" s="7">
        <v>4151702151</v>
      </c>
      <c r="E2" s="6" t="s">
        <v>32</v>
      </c>
      <c r="F2" s="8">
        <v>45908</v>
      </c>
      <c r="G2" s="8">
        <v>45912</v>
      </c>
      <c r="H2" s="6" t="s">
        <v>26</v>
      </c>
      <c r="I2" s="6" t="s">
        <v>53</v>
      </c>
      <c r="J2" s="7">
        <v>85</v>
      </c>
      <c r="K2" s="6" t="s">
        <v>29</v>
      </c>
      <c r="L2" s="9">
        <v>484.68</v>
      </c>
      <c r="M2" s="6" t="s">
        <v>30</v>
      </c>
      <c r="N2" s="10">
        <v>0.95</v>
      </c>
      <c r="O2" s="9">
        <v>345.33</v>
      </c>
      <c r="P2" s="1">
        <v>45905</v>
      </c>
      <c r="Q2" s="2">
        <f>SUM(L2/12)</f>
        <v>40.39</v>
      </c>
      <c r="R2" s="2">
        <f>SUM(O2/9)</f>
        <v>38.369999999999997</v>
      </c>
    </row>
    <row r="3" spans="1:18" ht="37.5" customHeight="1" x14ac:dyDescent="0.25">
      <c r="A3" s="6" t="s">
        <v>21</v>
      </c>
      <c r="B3" s="6" t="s">
        <v>22</v>
      </c>
      <c r="C3" s="6">
        <v>9079571</v>
      </c>
      <c r="D3" s="7">
        <v>4151702571</v>
      </c>
      <c r="E3" s="6" t="s">
        <v>34</v>
      </c>
      <c r="F3" s="8">
        <v>45910</v>
      </c>
      <c r="G3" s="8">
        <v>45912</v>
      </c>
      <c r="H3" s="6" t="s">
        <v>26</v>
      </c>
      <c r="I3" s="6" t="s">
        <v>53</v>
      </c>
      <c r="J3" s="7">
        <v>85</v>
      </c>
      <c r="K3" s="6" t="s">
        <v>29</v>
      </c>
      <c r="L3" s="9">
        <v>484.68</v>
      </c>
      <c r="M3" s="6" t="s">
        <v>30</v>
      </c>
      <c r="N3" s="10">
        <v>0.95</v>
      </c>
      <c r="O3" s="9">
        <v>345.33</v>
      </c>
      <c r="P3" s="1">
        <v>45910</v>
      </c>
      <c r="Q3" s="2">
        <f t="shared" ref="Q3:Q10" si="0">SUM(L3/12)</f>
        <v>40.39</v>
      </c>
      <c r="R3" s="2">
        <f t="shared" ref="R3:R10" si="1">SUM(O3/9)</f>
        <v>38.369999999999997</v>
      </c>
    </row>
    <row r="4" spans="1:18" ht="37.5" customHeight="1" x14ac:dyDescent="0.25">
      <c r="A4" s="6" t="s">
        <v>21</v>
      </c>
      <c r="B4" s="6" t="s">
        <v>22</v>
      </c>
      <c r="C4" s="6">
        <v>9079571</v>
      </c>
      <c r="D4" s="7">
        <v>4151702589</v>
      </c>
      <c r="E4" s="6" t="s">
        <v>36</v>
      </c>
      <c r="F4" s="8">
        <v>45909</v>
      </c>
      <c r="G4" s="8">
        <v>45912</v>
      </c>
      <c r="H4" s="6" t="s">
        <v>26</v>
      </c>
      <c r="I4" s="6" t="s">
        <v>53</v>
      </c>
      <c r="J4" s="7">
        <v>85</v>
      </c>
      <c r="K4" s="6" t="s">
        <v>29</v>
      </c>
      <c r="L4" s="9">
        <v>484.68</v>
      </c>
      <c r="M4" s="6" t="s">
        <v>30</v>
      </c>
      <c r="N4" s="10">
        <v>0.95</v>
      </c>
      <c r="O4" s="9">
        <v>345.33</v>
      </c>
      <c r="P4" s="1">
        <v>45908</v>
      </c>
      <c r="Q4" s="2">
        <f t="shared" si="0"/>
        <v>40.39</v>
      </c>
      <c r="R4" s="2">
        <f t="shared" si="1"/>
        <v>38.369999999999997</v>
      </c>
    </row>
    <row r="5" spans="1:18" ht="37.5" customHeight="1" x14ac:dyDescent="0.25">
      <c r="A5" s="6" t="s">
        <v>21</v>
      </c>
      <c r="B5" s="6" t="s">
        <v>22</v>
      </c>
      <c r="C5" s="6">
        <v>9079571</v>
      </c>
      <c r="D5" s="7">
        <v>4151702902</v>
      </c>
      <c r="E5" s="6" t="s">
        <v>38</v>
      </c>
      <c r="F5" s="8">
        <v>45910</v>
      </c>
      <c r="G5" s="8">
        <v>45912</v>
      </c>
      <c r="H5" s="6" t="s">
        <v>26</v>
      </c>
      <c r="I5" s="6" t="s">
        <v>53</v>
      </c>
      <c r="J5" s="7">
        <v>85</v>
      </c>
      <c r="K5" s="6" t="s">
        <v>29</v>
      </c>
      <c r="L5" s="9">
        <v>484.68</v>
      </c>
      <c r="M5" s="6" t="s">
        <v>30</v>
      </c>
      <c r="N5" s="10">
        <v>0.95</v>
      </c>
      <c r="O5" s="9">
        <v>345.33</v>
      </c>
      <c r="P5" s="1">
        <v>45910</v>
      </c>
      <c r="Q5" s="2">
        <f t="shared" si="0"/>
        <v>40.39</v>
      </c>
      <c r="R5" s="2">
        <f t="shared" si="1"/>
        <v>38.369999999999997</v>
      </c>
    </row>
    <row r="6" spans="1:18" ht="37.5" customHeight="1" x14ac:dyDescent="0.25">
      <c r="A6" s="6" t="s">
        <v>21</v>
      </c>
      <c r="B6" s="6" t="s">
        <v>39</v>
      </c>
      <c r="C6" s="6">
        <v>17554531</v>
      </c>
      <c r="D6" s="7">
        <v>4151703242</v>
      </c>
      <c r="E6" s="6" t="s">
        <v>42</v>
      </c>
      <c r="F6" s="8">
        <v>45910</v>
      </c>
      <c r="G6" s="8">
        <v>45912</v>
      </c>
      <c r="H6" s="6" t="s">
        <v>26</v>
      </c>
      <c r="I6" s="6" t="s">
        <v>53</v>
      </c>
      <c r="J6" s="7">
        <v>85</v>
      </c>
      <c r="K6" s="6" t="s">
        <v>29</v>
      </c>
      <c r="L6" s="9">
        <v>484.68</v>
      </c>
      <c r="M6" s="6" t="s">
        <v>30</v>
      </c>
      <c r="N6" s="10">
        <v>0.95</v>
      </c>
      <c r="O6" s="9">
        <v>345.33</v>
      </c>
      <c r="P6" s="1">
        <v>45910</v>
      </c>
      <c r="Q6" s="2">
        <f t="shared" si="0"/>
        <v>40.39</v>
      </c>
      <c r="R6" s="2">
        <f t="shared" si="1"/>
        <v>38.369999999999997</v>
      </c>
    </row>
    <row r="7" spans="1:18" ht="37.5" customHeight="1" x14ac:dyDescent="0.25">
      <c r="A7" s="6" t="s">
        <v>21</v>
      </c>
      <c r="B7" s="6" t="s">
        <v>22</v>
      </c>
      <c r="C7" s="6">
        <v>9079571</v>
      </c>
      <c r="D7" s="7">
        <v>4151703712</v>
      </c>
      <c r="E7" s="6" t="s">
        <v>46</v>
      </c>
      <c r="F7" s="8">
        <v>45911</v>
      </c>
      <c r="G7" s="8">
        <v>45912</v>
      </c>
      <c r="H7" s="6" t="s">
        <v>26</v>
      </c>
      <c r="I7" s="6" t="s">
        <v>53</v>
      </c>
      <c r="J7" s="7">
        <v>85</v>
      </c>
      <c r="K7" s="6" t="s">
        <v>29</v>
      </c>
      <c r="L7" s="9">
        <v>484.68</v>
      </c>
      <c r="M7" s="6" t="s">
        <v>30</v>
      </c>
      <c r="N7" s="10">
        <v>0.95</v>
      </c>
      <c r="O7" s="9">
        <v>345.33</v>
      </c>
      <c r="P7" s="1">
        <v>45910</v>
      </c>
      <c r="Q7" s="2">
        <f t="shared" si="0"/>
        <v>40.39</v>
      </c>
      <c r="R7" s="2">
        <f t="shared" si="1"/>
        <v>38.369999999999997</v>
      </c>
    </row>
    <row r="8" spans="1:18" ht="37.5" customHeight="1" x14ac:dyDescent="0.25">
      <c r="A8" s="6" t="s">
        <v>21</v>
      </c>
      <c r="B8" s="6" t="s">
        <v>22</v>
      </c>
      <c r="C8" s="6">
        <v>9079571</v>
      </c>
      <c r="D8" s="7">
        <v>4151703620</v>
      </c>
      <c r="E8" s="6" t="s">
        <v>44</v>
      </c>
      <c r="F8" s="8">
        <v>45911</v>
      </c>
      <c r="G8" s="8">
        <v>45912</v>
      </c>
      <c r="H8" s="6" t="s">
        <v>26</v>
      </c>
      <c r="I8" s="6" t="s">
        <v>53</v>
      </c>
      <c r="J8" s="7">
        <v>85</v>
      </c>
      <c r="K8" s="6" t="s">
        <v>29</v>
      </c>
      <c r="L8" s="9">
        <v>652.08000000000004</v>
      </c>
      <c r="M8" s="6" t="s">
        <v>30</v>
      </c>
      <c r="N8" s="10">
        <v>0.95</v>
      </c>
      <c r="O8" s="9">
        <v>464.61</v>
      </c>
      <c r="P8" s="1">
        <v>45910</v>
      </c>
      <c r="Q8" s="2">
        <f t="shared" si="0"/>
        <v>54.34</v>
      </c>
      <c r="R8" s="2">
        <f t="shared" si="1"/>
        <v>51.623333333333335</v>
      </c>
    </row>
    <row r="9" spans="1:18" ht="37.5" customHeight="1" x14ac:dyDescent="0.25">
      <c r="A9" s="6" t="s">
        <v>21</v>
      </c>
      <c r="B9" s="6" t="s">
        <v>22</v>
      </c>
      <c r="C9" s="6">
        <v>9079571</v>
      </c>
      <c r="D9" s="7">
        <v>4151701868</v>
      </c>
      <c r="E9" s="6" t="s">
        <v>25</v>
      </c>
      <c r="F9" s="8">
        <v>45909</v>
      </c>
      <c r="G9" s="8">
        <v>45912</v>
      </c>
      <c r="H9" s="6" t="s">
        <v>26</v>
      </c>
      <c r="I9" s="6" t="s">
        <v>53</v>
      </c>
      <c r="J9" s="7">
        <v>85</v>
      </c>
      <c r="K9" s="6" t="s">
        <v>29</v>
      </c>
      <c r="L9" s="9">
        <v>678.12</v>
      </c>
      <c r="M9" s="6" t="s">
        <v>30</v>
      </c>
      <c r="N9" s="10">
        <v>0.95</v>
      </c>
      <c r="O9" s="9">
        <v>483.15</v>
      </c>
      <c r="P9" s="1">
        <v>45905</v>
      </c>
      <c r="Q9" s="2">
        <f t="shared" si="0"/>
        <v>56.51</v>
      </c>
      <c r="R9" s="2">
        <f t="shared" si="1"/>
        <v>53.68333333333333</v>
      </c>
    </row>
    <row r="10" spans="1:18" ht="37.5" customHeight="1" x14ac:dyDescent="0.25">
      <c r="A10" s="6" t="s">
        <v>21</v>
      </c>
      <c r="B10" s="6" t="s">
        <v>47</v>
      </c>
      <c r="C10" s="6">
        <v>8325282</v>
      </c>
      <c r="D10" s="7">
        <v>4351696313</v>
      </c>
      <c r="E10" s="6" t="s">
        <v>50</v>
      </c>
      <c r="F10" s="8">
        <v>45910</v>
      </c>
      <c r="G10" s="8">
        <v>45912</v>
      </c>
      <c r="H10" s="6" t="s">
        <v>51</v>
      </c>
      <c r="I10" s="6" t="s">
        <v>55</v>
      </c>
      <c r="J10" s="7">
        <v>85</v>
      </c>
      <c r="K10" s="6" t="s">
        <v>29</v>
      </c>
      <c r="L10" s="9">
        <v>836.76</v>
      </c>
      <c r="M10" s="6" t="s">
        <v>30</v>
      </c>
      <c r="N10" s="10">
        <v>0.9</v>
      </c>
      <c r="O10" s="9">
        <v>564.80999999999995</v>
      </c>
      <c r="P10" s="1">
        <v>45901</v>
      </c>
      <c r="Q10" s="2">
        <f t="shared" si="0"/>
        <v>69.73</v>
      </c>
      <c r="R10" s="2">
        <f t="shared" si="1"/>
        <v>62.756666666666661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2025-09-12T14:51:49Z</dcterms:created>
  <dcterms:modified xsi:type="dcterms:W3CDTF">2025-09-18T00:26:40Z</dcterms:modified>
</cp:coreProperties>
</file>