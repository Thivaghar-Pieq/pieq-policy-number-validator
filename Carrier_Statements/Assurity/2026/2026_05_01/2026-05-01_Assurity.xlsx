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ssurity\2026\2026-05-01\"/>
    </mc:Choice>
  </mc:AlternateContent>
  <xr:revisionPtr revIDLastSave="0" documentId="13_ncr:1_{7F94CF3D-B51F-4C77-9220-BA8BC4B60B58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olicy Details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P14" i="2" l="1"/>
  <c r="J14" i="2"/>
  <c r="P3" i="2"/>
  <c r="P4" i="2"/>
  <c r="P5" i="2"/>
  <c r="P6" i="2"/>
  <c r="P7" i="2"/>
  <c r="P8" i="2"/>
  <c r="P9" i="2"/>
  <c r="P10" i="2"/>
  <c r="P11" i="2"/>
  <c r="P12" i="2"/>
  <c r="P2" i="2"/>
  <c r="J12" i="2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<sst xmlns="http://schemas.openxmlformats.org/spreadsheetml/2006/main" count="486" uniqueCount="84">
  <si>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</si>
  <si>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</si>
  <si>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</si>
  <si>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</si>
  <si>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</si>
  <si>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</si>
  <si>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</si>
  <si>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</si>
  <si>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</si>
  <si>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</si>
  <si>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</si>
  <si>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</si>
  <si>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</si>
  <si>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</si>
  <si>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</si>
  <si>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</si>
  <si>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</si>
  <si>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</si>
  <si>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</si>
  <si>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</si>
  <si>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</si>
  <si>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</si>
  <si>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Oliver, Brittany</t>
  </si>
  <si>
    <t>6EVF</t>
  </si>
  <si>
    <t>4151685271</t>
  </si>
  <si>
    <t>Nugent, Mackenzie</t>
  </si>
  <si>
    <t>H</t>
  </si>
  <si>
    <t>85</t>
  </si>
  <si>
    <t>Unknown</t>
  </si>
  <si>
    <t>FirstYear</t>
  </si>
  <si>
    <t>UNSECURED ADVANCE RECOVERY</t>
  </si>
  <si>
    <t>Richter, Adam</t>
  </si>
  <si>
    <t>2BNY</t>
  </si>
  <si>
    <t>4151687717</t>
  </si>
  <si>
    <t>Orlando, Laura</t>
  </si>
  <si>
    <t>Santos, Ricardo</t>
  </si>
  <si>
    <t>6LW6</t>
  </si>
  <si>
    <t>4151688924</t>
  </si>
  <si>
    <t>Atchison, Trevor</t>
  </si>
  <si>
    <t>4151797965</t>
  </si>
  <si>
    <t>Mccarty, Karen</t>
  </si>
  <si>
    <t>Accident Insurance</t>
  </si>
  <si>
    <t>Monthly</t>
  </si>
  <si>
    <t>Evenson, Kara</t>
  </si>
  <si>
    <t>6S5X</t>
  </si>
  <si>
    <t>4151798830</t>
  </si>
  <si>
    <t>Inskipt, Deborah</t>
  </si>
  <si>
    <t>3B6E</t>
  </si>
  <si>
    <t>4151799034</t>
  </si>
  <si>
    <t>Novak, Ronald</t>
  </si>
  <si>
    <t>4151799037</t>
  </si>
  <si>
    <t>Assurity Critical Illness</t>
  </si>
  <si>
    <t>Yale, Jacob</t>
  </si>
  <si>
    <t>4VFF</t>
  </si>
  <si>
    <t>4151799251</t>
  </si>
  <si>
    <t>Burris, Jessica</t>
  </si>
  <si>
    <t>4151799743</t>
  </si>
  <si>
    <t>Mitchener, Jessica</t>
  </si>
  <si>
    <t>4151799792</t>
  </si>
  <si>
    <t>Hand, Alexandra</t>
  </si>
  <si>
    <t>4151801666</t>
  </si>
  <si>
    <t>Nathaniel, Jamel</t>
  </si>
  <si>
    <t>4151802853</t>
  </si>
  <si>
    <t>Michel, Zachary</t>
  </si>
  <si>
    <t>4151802925</t>
  </si>
  <si>
    <t>Messick, Jeffrey</t>
  </si>
  <si>
    <t>4151803367</t>
  </si>
  <si>
    <t>Forbes, Jennifer</t>
  </si>
  <si>
    <t>Rader, John</t>
  </si>
  <si>
    <t>6KC9</t>
  </si>
  <si>
    <t>4351798534</t>
  </si>
  <si>
    <t>Teti, Michael</t>
  </si>
  <si>
    <t>L</t>
  </si>
  <si>
    <t>Term Life - 20 Year</t>
  </si>
  <si>
    <t>Did not process</t>
  </si>
  <si>
    <t>Duplicate</t>
  </si>
  <si>
    <t>Agent not on APL</t>
  </si>
  <si>
    <t>17528908N</t>
  </si>
  <si>
    <t>critical illness(80)</t>
  </si>
  <si>
    <t>1-3 2024- Accident Insurance All States Applicable Except (CO/MN/SD/WA) 95%</t>
  </si>
  <si>
    <t>2024-20 and 30 Yr Term All States Where Applicable</t>
  </si>
  <si>
    <t>BOB EFF Date</t>
  </si>
  <si>
    <t>BOB Paid to Date</t>
  </si>
  <si>
    <t>17554531AV9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</si>
</sst>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>
      <selection sqref="A1:XFD1048576"/>
    </sheetView>
  </sheetViews>
  <sheetFormatPr defaultRowHeight="1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2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46143</v>
      </c>
      <c r="G2" s="1"/>
      <c r="H2" s="1">
        <v>46143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-0.03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46143</v>
      </c>
      <c r="G3" s="1"/>
      <c r="H3" s="1">
        <v>46143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-0.03</v>
      </c>
    </row>
    <row r="4" spans="1:21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46143</v>
      </c>
      <c r="G4" s="1"/>
      <c r="H4" s="1">
        <v>46143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-0.03</v>
      </c>
    </row>
    <row r="5" spans="1:21">
      <c r="A5" t="s">
        <v>21</v>
      </c>
      <c r="B5" t="s">
        <v>22</v>
      </c>
      <c r="C5" t="s">
        <v>23</v>
      </c>
      <c r="D5" t="s">
        <v>39</v>
      </c>
      <c r="E5" t="s">
        <v>40</v>
      </c>
      <c r="F5" s="1">
        <v>46143</v>
      </c>
      <c r="G5" s="1"/>
      <c r="H5" s="1">
        <v>46143</v>
      </c>
      <c r="K5" t="s">
        <v>26</v>
      </c>
      <c r="L5" t="s">
        <v>41</v>
      </c>
      <c r="M5" t="s">
        <v>27</v>
      </c>
      <c r="N5" t="s">
        <v>42</v>
      </c>
      <c r="O5" s="2">
        <v>217.92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>
      <c r="A6" t="s">
        <v>21</v>
      </c>
      <c r="B6" t="s">
        <v>22</v>
      </c>
      <c r="C6" t="s">
        <v>23</v>
      </c>
      <c r="D6" t="s">
        <v>39</v>
      </c>
      <c r="E6" t="s">
        <v>40</v>
      </c>
      <c r="F6" s="1">
        <v>46143</v>
      </c>
      <c r="G6" s="1"/>
      <c r="H6" s="1">
        <v>46143</v>
      </c>
      <c r="K6" t="s">
        <v>26</v>
      </c>
      <c r="L6" t="s">
        <v>41</v>
      </c>
      <c r="M6" t="s">
        <v>27</v>
      </c>
      <c r="N6" t="s">
        <v>42</v>
      </c>
      <c r="O6" s="2">
        <v>217.92</v>
      </c>
      <c r="P6" t="s">
        <v>29</v>
      </c>
      <c r="Q6" s="4">
        <v>0.95</v>
      </c>
      <c r="S6" s="2">
        <v>155.26</v>
      </c>
      <c r="T6" s="2">
        <v>0</v>
      </c>
      <c r="U6" s="2">
        <v>155.26</v>
      </c>
    </row>
    <row r="7" spans="1:21">
      <c r="A7" t="s">
        <v>21</v>
      </c>
      <c r="B7" t="s">
        <v>43</v>
      </c>
      <c r="C7" t="s">
        <v>44</v>
      </c>
      <c r="D7" t="s">
        <v>45</v>
      </c>
      <c r="E7" t="s">
        <v>43</v>
      </c>
      <c r="F7" s="1">
        <v>46143</v>
      </c>
      <c r="G7" s="1"/>
      <c r="H7" s="1">
        <v>46143</v>
      </c>
      <c r="K7" t="s">
        <v>26</v>
      </c>
      <c r="L7" t="s">
        <v>41</v>
      </c>
      <c r="M7" t="s">
        <v>27</v>
      </c>
      <c r="N7" t="s">
        <v>42</v>
      </c>
      <c r="O7" s="2">
        <v>217.92</v>
      </c>
      <c r="P7" t="s">
        <v>29</v>
      </c>
      <c r="Q7" s="4">
        <v>0</v>
      </c>
      <c r="S7" s="2">
        <v>0</v>
      </c>
      <c r="T7" s="2">
        <v>0</v>
      </c>
      <c r="U7" s="2">
        <v>0</v>
      </c>
    </row>
    <row r="8" spans="1:21">
      <c r="A8" t="s">
        <v>21</v>
      </c>
      <c r="B8" t="s">
        <v>43</v>
      </c>
      <c r="C8" t="s">
        <v>44</v>
      </c>
      <c r="D8" t="s">
        <v>45</v>
      </c>
      <c r="E8" t="s">
        <v>43</v>
      </c>
      <c r="F8" s="1">
        <v>46143</v>
      </c>
      <c r="G8" s="1"/>
      <c r="H8" s="1">
        <v>46143</v>
      </c>
      <c r="K8" t="s">
        <v>26</v>
      </c>
      <c r="L8" t="s">
        <v>41</v>
      </c>
      <c r="M8" t="s">
        <v>27</v>
      </c>
      <c r="N8" t="s">
        <v>42</v>
      </c>
      <c r="O8" s="2">
        <v>217.92</v>
      </c>
      <c r="P8" t="s">
        <v>29</v>
      </c>
      <c r="Q8" s="4">
        <v>0.95</v>
      </c>
      <c r="S8" s="2">
        <v>155.26</v>
      </c>
      <c r="T8" s="2">
        <v>0</v>
      </c>
      <c r="U8" s="2">
        <v>155.26</v>
      </c>
    </row>
    <row r="9" spans="1:21">
      <c r="A9" t="s">
        <v>21</v>
      </c>
      <c r="B9" t="s">
        <v>46</v>
      </c>
      <c r="C9" t="s">
        <v>47</v>
      </c>
      <c r="D9" t="s">
        <v>48</v>
      </c>
      <c r="E9" t="s">
        <v>49</v>
      </c>
      <c r="F9" s="1">
        <v>46143</v>
      </c>
      <c r="G9" s="1"/>
      <c r="H9" s="1">
        <v>46143</v>
      </c>
      <c r="K9" t="s">
        <v>26</v>
      </c>
      <c r="L9" t="s">
        <v>41</v>
      </c>
      <c r="M9" t="s">
        <v>27</v>
      </c>
      <c r="N9" t="s">
        <v>42</v>
      </c>
      <c r="O9" s="2">
        <v>343.56</v>
      </c>
      <c r="P9" t="s">
        <v>29</v>
      </c>
      <c r="Q9" s="4">
        <v>0</v>
      </c>
      <c r="S9" s="2">
        <v>0</v>
      </c>
      <c r="T9" s="2">
        <v>0</v>
      </c>
      <c r="U9" s="2">
        <v>0</v>
      </c>
    </row>
    <row r="10" spans="1:21">
      <c r="A10" t="s">
        <v>21</v>
      </c>
      <c r="B10" t="s">
        <v>46</v>
      </c>
      <c r="C10" t="s">
        <v>47</v>
      </c>
      <c r="D10" t="s">
        <v>48</v>
      </c>
      <c r="E10" t="s">
        <v>49</v>
      </c>
      <c r="F10" s="1">
        <v>46143</v>
      </c>
      <c r="G10" s="1"/>
      <c r="H10" s="1">
        <v>46143</v>
      </c>
      <c r="K10" t="s">
        <v>26</v>
      </c>
      <c r="L10" t="s">
        <v>41</v>
      </c>
      <c r="M10" t="s">
        <v>27</v>
      </c>
      <c r="N10" t="s">
        <v>42</v>
      </c>
      <c r="O10" s="2">
        <v>343.56</v>
      </c>
      <c r="P10" t="s">
        <v>29</v>
      </c>
      <c r="Q10" s="4">
        <v>0.95</v>
      </c>
      <c r="S10" s="2">
        <v>244.78</v>
      </c>
      <c r="T10" s="2">
        <v>0</v>
      </c>
      <c r="U10" s="2">
        <v>244.78</v>
      </c>
    </row>
    <row r="11" spans="1:21">
      <c r="A11" t="s">
        <v>21</v>
      </c>
      <c r="B11" t="s">
        <v>46</v>
      </c>
      <c r="C11" t="s">
        <v>47</v>
      </c>
      <c r="D11" t="s">
        <v>50</v>
      </c>
      <c r="E11" t="s">
        <v>49</v>
      </c>
      <c r="F11" s="1">
        <v>46143</v>
      </c>
      <c r="G11" s="1"/>
      <c r="H11" s="1">
        <v>46143</v>
      </c>
      <c r="K11" t="s">
        <v>26</v>
      </c>
      <c r="L11" t="s">
        <v>51</v>
      </c>
      <c r="M11" t="s">
        <v>27</v>
      </c>
      <c r="N11" t="s">
        <v>42</v>
      </c>
      <c r="O11" s="2">
        <v>973.8</v>
      </c>
      <c r="P11" t="s">
        <v>29</v>
      </c>
      <c r="Q11" s="4">
        <v>0</v>
      </c>
      <c r="S11" s="2">
        <v>0</v>
      </c>
      <c r="T11" s="2">
        <v>0</v>
      </c>
      <c r="U11" s="2">
        <v>0</v>
      </c>
    </row>
    <row r="12" spans="1:21">
      <c r="A12" t="s">
        <v>21</v>
      </c>
      <c r="B12" t="s">
        <v>46</v>
      </c>
      <c r="C12" t="s">
        <v>47</v>
      </c>
      <c r="D12" t="s">
        <v>50</v>
      </c>
      <c r="E12" t="s">
        <v>49</v>
      </c>
      <c r="F12" s="1">
        <v>46143</v>
      </c>
      <c r="G12" s="1"/>
      <c r="H12" s="1">
        <v>46143</v>
      </c>
      <c r="K12" t="s">
        <v>26</v>
      </c>
      <c r="L12" t="s">
        <v>51</v>
      </c>
      <c r="M12" t="s">
        <v>27</v>
      </c>
      <c r="N12" t="s">
        <v>42</v>
      </c>
      <c r="O12" s="2">
        <v>973.8</v>
      </c>
      <c r="P12" t="s">
        <v>29</v>
      </c>
      <c r="Q12" s="4">
        <v>0.8</v>
      </c>
      <c r="S12" s="2">
        <v>584.28</v>
      </c>
      <c r="T12" s="2">
        <v>0</v>
      </c>
      <c r="U12" s="2">
        <v>584.28</v>
      </c>
    </row>
    <row r="13" spans="1:21">
      <c r="A13" t="s">
        <v>21</v>
      </c>
      <c r="B13" t="s">
        <v>52</v>
      </c>
      <c r="C13" t="s">
        <v>53</v>
      </c>
      <c r="D13" t="s">
        <v>54</v>
      </c>
      <c r="E13" t="s">
        <v>55</v>
      </c>
      <c r="F13" s="1">
        <v>46143</v>
      </c>
      <c r="G13" s="1"/>
      <c r="H13" s="1">
        <v>46143</v>
      </c>
      <c r="K13" t="s">
        <v>26</v>
      </c>
      <c r="L13" t="s">
        <v>51</v>
      </c>
      <c r="M13" t="s">
        <v>27</v>
      </c>
      <c r="N13" t="s">
        <v>42</v>
      </c>
      <c r="O13" s="2">
        <v>978.84</v>
      </c>
      <c r="P13" t="s">
        <v>29</v>
      </c>
      <c r="Q13" s="4">
        <v>0</v>
      </c>
      <c r="S13" s="2">
        <v>0</v>
      </c>
      <c r="T13" s="2">
        <v>0</v>
      </c>
      <c r="U13" s="2">
        <v>0</v>
      </c>
    </row>
    <row r="14" spans="1:21">
      <c r="A14" t="s">
        <v>21</v>
      </c>
      <c r="B14" t="s">
        <v>52</v>
      </c>
      <c r="C14" t="s">
        <v>53</v>
      </c>
      <c r="D14" t="s">
        <v>54</v>
      </c>
      <c r="E14" t="s">
        <v>55</v>
      </c>
      <c r="F14" s="1">
        <v>46143</v>
      </c>
      <c r="G14" s="1"/>
      <c r="H14" s="1">
        <v>46143</v>
      </c>
      <c r="K14" t="s">
        <v>26</v>
      </c>
      <c r="L14" t="s">
        <v>51</v>
      </c>
      <c r="M14" t="s">
        <v>27</v>
      </c>
      <c r="N14" t="s">
        <v>42</v>
      </c>
      <c r="O14" s="2">
        <v>978.84</v>
      </c>
      <c r="P14" t="s">
        <v>29</v>
      </c>
      <c r="Q14" s="4">
        <v>0.8</v>
      </c>
      <c r="S14" s="2">
        <v>587.29999999999995</v>
      </c>
      <c r="T14" s="2">
        <v>0</v>
      </c>
      <c r="U14" s="2">
        <v>587.29999999999995</v>
      </c>
    </row>
    <row r="15" spans="1:21">
      <c r="A15" t="s">
        <v>21</v>
      </c>
      <c r="B15" t="s">
        <v>31</v>
      </c>
      <c r="C15" t="s">
        <v>32</v>
      </c>
      <c r="D15" t="s">
        <v>56</v>
      </c>
      <c r="E15" t="s">
        <v>57</v>
      </c>
      <c r="F15" s="1">
        <v>46143</v>
      </c>
      <c r="G15" s="1"/>
      <c r="H15" s="1">
        <v>46143</v>
      </c>
      <c r="K15" t="s">
        <v>26</v>
      </c>
      <c r="L15" t="s">
        <v>41</v>
      </c>
      <c r="M15" t="s">
        <v>27</v>
      </c>
      <c r="N15" t="s">
        <v>42</v>
      </c>
      <c r="O15" s="2">
        <v>484.68</v>
      </c>
      <c r="P15" t="s">
        <v>29</v>
      </c>
      <c r="Q15" s="4">
        <v>0</v>
      </c>
      <c r="S15" s="2">
        <v>0</v>
      </c>
      <c r="T15" s="2">
        <v>0</v>
      </c>
      <c r="U15" s="2">
        <v>0</v>
      </c>
    </row>
    <row r="16" spans="1:21">
      <c r="A16" t="s">
        <v>21</v>
      </c>
      <c r="B16" t="s">
        <v>31</v>
      </c>
      <c r="C16" t="s">
        <v>32</v>
      </c>
      <c r="D16" t="s">
        <v>56</v>
      </c>
      <c r="E16" t="s">
        <v>57</v>
      </c>
      <c r="F16" s="1">
        <v>46143</v>
      </c>
      <c r="G16" s="1"/>
      <c r="H16" s="1">
        <v>46143</v>
      </c>
      <c r="K16" t="s">
        <v>26</v>
      </c>
      <c r="L16" t="s">
        <v>41</v>
      </c>
      <c r="M16" t="s">
        <v>27</v>
      </c>
      <c r="N16" t="s">
        <v>42</v>
      </c>
      <c r="O16" s="2">
        <v>484.68</v>
      </c>
      <c r="P16" t="s">
        <v>29</v>
      </c>
      <c r="Q16" s="4">
        <v>0.95</v>
      </c>
      <c r="S16" s="2">
        <v>345.33</v>
      </c>
      <c r="T16" s="2">
        <v>0</v>
      </c>
      <c r="U16" s="2">
        <v>345.33</v>
      </c>
    </row>
    <row r="17" spans="1:21">
      <c r="A17" t="s">
        <v>21</v>
      </c>
      <c r="B17" t="s">
        <v>31</v>
      </c>
      <c r="C17" t="s">
        <v>32</v>
      </c>
      <c r="D17" t="s">
        <v>58</v>
      </c>
      <c r="E17" t="s">
        <v>59</v>
      </c>
      <c r="F17" s="1">
        <v>46143</v>
      </c>
      <c r="G17" s="1"/>
      <c r="H17" s="1">
        <v>46143</v>
      </c>
      <c r="K17" t="s">
        <v>26</v>
      </c>
      <c r="L17" t="s">
        <v>41</v>
      </c>
      <c r="M17" t="s">
        <v>27</v>
      </c>
      <c r="N17" t="s">
        <v>42</v>
      </c>
      <c r="O17" s="2">
        <v>484.68</v>
      </c>
      <c r="P17" t="s">
        <v>29</v>
      </c>
      <c r="Q17" s="4">
        <v>0</v>
      </c>
      <c r="S17" s="2">
        <v>0</v>
      </c>
      <c r="T17" s="2">
        <v>0</v>
      </c>
      <c r="U17" s="2">
        <v>0</v>
      </c>
    </row>
    <row r="18" spans="1:21">
      <c r="A18" t="s">
        <v>21</v>
      </c>
      <c r="B18" t="s">
        <v>31</v>
      </c>
      <c r="C18" t="s">
        <v>32</v>
      </c>
      <c r="D18" t="s">
        <v>58</v>
      </c>
      <c r="E18" t="s">
        <v>59</v>
      </c>
      <c r="F18" s="1">
        <v>46143</v>
      </c>
      <c r="G18" s="1"/>
      <c r="H18" s="1">
        <v>46143</v>
      </c>
      <c r="K18" t="s">
        <v>26</v>
      </c>
      <c r="L18" t="s">
        <v>41</v>
      </c>
      <c r="M18" t="s">
        <v>27</v>
      </c>
      <c r="N18" t="s">
        <v>42</v>
      </c>
      <c r="O18" s="2">
        <v>484.68</v>
      </c>
      <c r="P18" t="s">
        <v>29</v>
      </c>
      <c r="Q18" s="4">
        <v>0.95</v>
      </c>
      <c r="S18" s="2">
        <v>345.33</v>
      </c>
      <c r="T18" s="2">
        <v>0</v>
      </c>
      <c r="U18" s="2">
        <v>345.33</v>
      </c>
    </row>
    <row r="19" spans="1:21">
      <c r="A19" t="s">
        <v>21</v>
      </c>
      <c r="B19" t="s">
        <v>31</v>
      </c>
      <c r="C19" t="s">
        <v>32</v>
      </c>
      <c r="D19" t="s">
        <v>60</v>
      </c>
      <c r="E19" t="s">
        <v>61</v>
      </c>
      <c r="F19" s="1">
        <v>46143</v>
      </c>
      <c r="G19" s="1"/>
      <c r="H19" s="1">
        <v>46143</v>
      </c>
      <c r="K19" t="s">
        <v>26</v>
      </c>
      <c r="L19" t="s">
        <v>41</v>
      </c>
      <c r="M19" t="s">
        <v>27</v>
      </c>
      <c r="N19" t="s">
        <v>42</v>
      </c>
      <c r="O19" s="2">
        <v>733.92</v>
      </c>
      <c r="P19" t="s">
        <v>29</v>
      </c>
      <c r="Q19" s="4">
        <v>0</v>
      </c>
      <c r="S19" s="2">
        <v>0</v>
      </c>
      <c r="T19" s="2">
        <v>0</v>
      </c>
      <c r="U19" s="2">
        <v>0</v>
      </c>
    </row>
    <row r="20" spans="1:21">
      <c r="A20" t="s">
        <v>21</v>
      </c>
      <c r="B20" t="s">
        <v>31</v>
      </c>
      <c r="C20" t="s">
        <v>32</v>
      </c>
      <c r="D20" t="s">
        <v>60</v>
      </c>
      <c r="E20" t="s">
        <v>61</v>
      </c>
      <c r="F20" s="1">
        <v>46143</v>
      </c>
      <c r="G20" s="1"/>
      <c r="H20" s="1">
        <v>46143</v>
      </c>
      <c r="K20" t="s">
        <v>26</v>
      </c>
      <c r="L20" t="s">
        <v>41</v>
      </c>
      <c r="M20" t="s">
        <v>27</v>
      </c>
      <c r="N20" t="s">
        <v>42</v>
      </c>
      <c r="O20" s="2">
        <v>733.92</v>
      </c>
      <c r="P20" t="s">
        <v>29</v>
      </c>
      <c r="Q20" s="4">
        <v>0.95</v>
      </c>
      <c r="S20" s="2">
        <v>522.91</v>
      </c>
      <c r="T20" s="2">
        <v>0</v>
      </c>
      <c r="U20" s="2">
        <v>522.91</v>
      </c>
    </row>
    <row r="21" spans="1:21">
      <c r="A21" t="s">
        <v>21</v>
      </c>
      <c r="B21" t="s">
        <v>31</v>
      </c>
      <c r="C21" t="s">
        <v>32</v>
      </c>
      <c r="D21" t="s">
        <v>62</v>
      </c>
      <c r="E21" t="s">
        <v>63</v>
      </c>
      <c r="F21" s="1">
        <v>46143</v>
      </c>
      <c r="G21" s="1"/>
      <c r="H21" s="1">
        <v>46143</v>
      </c>
      <c r="K21" t="s">
        <v>26</v>
      </c>
      <c r="L21" t="s">
        <v>41</v>
      </c>
      <c r="M21" t="s">
        <v>27</v>
      </c>
      <c r="N21" t="s">
        <v>42</v>
      </c>
      <c r="O21" s="2">
        <v>484.68</v>
      </c>
      <c r="P21" t="s">
        <v>29</v>
      </c>
      <c r="Q21" s="4">
        <v>0</v>
      </c>
      <c r="S21" s="2">
        <v>0</v>
      </c>
      <c r="T21" s="2">
        <v>0</v>
      </c>
      <c r="U21" s="2">
        <v>0</v>
      </c>
    </row>
    <row r="22" spans="1:21">
      <c r="A22" t="s">
        <v>21</v>
      </c>
      <c r="B22" t="s">
        <v>31</v>
      </c>
      <c r="C22" t="s">
        <v>32</v>
      </c>
      <c r="D22" t="s">
        <v>62</v>
      </c>
      <c r="E22" t="s">
        <v>63</v>
      </c>
      <c r="F22" s="1">
        <v>46143</v>
      </c>
      <c r="G22" s="1"/>
      <c r="H22" s="1">
        <v>46143</v>
      </c>
      <c r="K22" t="s">
        <v>26</v>
      </c>
      <c r="L22" t="s">
        <v>41</v>
      </c>
      <c r="M22" t="s">
        <v>27</v>
      </c>
      <c r="N22" t="s">
        <v>42</v>
      </c>
      <c r="O22" s="2">
        <v>484.68</v>
      </c>
      <c r="P22" t="s">
        <v>29</v>
      </c>
      <c r="Q22" s="4">
        <v>0.95</v>
      </c>
      <c r="S22" s="2">
        <v>345.33</v>
      </c>
      <c r="T22" s="2">
        <v>0</v>
      </c>
      <c r="U22" s="2">
        <v>345.33</v>
      </c>
    </row>
    <row r="23" spans="1:21">
      <c r="A23" t="s">
        <v>21</v>
      </c>
      <c r="B23" t="s">
        <v>31</v>
      </c>
      <c r="C23" t="s">
        <v>32</v>
      </c>
      <c r="D23" t="s">
        <v>64</v>
      </c>
      <c r="E23" t="s">
        <v>65</v>
      </c>
      <c r="F23" s="1">
        <v>46143</v>
      </c>
      <c r="G23" s="1"/>
      <c r="H23" s="1">
        <v>46143</v>
      </c>
      <c r="K23" t="s">
        <v>26</v>
      </c>
      <c r="L23" t="s">
        <v>41</v>
      </c>
      <c r="M23" t="s">
        <v>27</v>
      </c>
      <c r="N23" t="s">
        <v>42</v>
      </c>
      <c r="O23" s="2">
        <v>652.08000000000004</v>
      </c>
      <c r="P23" t="s">
        <v>29</v>
      </c>
      <c r="Q23" s="4">
        <v>0</v>
      </c>
      <c r="S23" s="2">
        <v>0</v>
      </c>
      <c r="T23" s="2">
        <v>0</v>
      </c>
      <c r="U23" s="2">
        <v>0</v>
      </c>
    </row>
    <row r="24" spans="1:21">
      <c r="A24" t="s">
        <v>21</v>
      </c>
      <c r="B24" t="s">
        <v>31</v>
      </c>
      <c r="C24" t="s">
        <v>32</v>
      </c>
      <c r="D24" t="s">
        <v>64</v>
      </c>
      <c r="E24" t="s">
        <v>65</v>
      </c>
      <c r="F24" s="1">
        <v>46143</v>
      </c>
      <c r="G24" s="1"/>
      <c r="H24" s="1">
        <v>46143</v>
      </c>
      <c r="K24" t="s">
        <v>26</v>
      </c>
      <c r="L24" t="s">
        <v>41</v>
      </c>
      <c r="M24" t="s">
        <v>27</v>
      </c>
      <c r="N24" t="s">
        <v>42</v>
      </c>
      <c r="O24" s="2">
        <v>652.08000000000004</v>
      </c>
      <c r="P24" t="s">
        <v>29</v>
      </c>
      <c r="Q24" s="4">
        <v>0.95</v>
      </c>
      <c r="S24" s="2">
        <v>464.61</v>
      </c>
      <c r="T24" s="2">
        <v>0</v>
      </c>
      <c r="U24" s="2">
        <v>464.61</v>
      </c>
    </row>
    <row r="25" spans="1:21">
      <c r="A25" t="s">
        <v>21</v>
      </c>
      <c r="B25" t="s">
        <v>31</v>
      </c>
      <c r="C25" t="s">
        <v>32</v>
      </c>
      <c r="D25" t="s">
        <v>66</v>
      </c>
      <c r="E25" t="s">
        <v>67</v>
      </c>
      <c r="F25" s="1">
        <v>46143</v>
      </c>
      <c r="G25" s="1"/>
      <c r="H25" s="1">
        <v>46143</v>
      </c>
      <c r="K25" t="s">
        <v>26</v>
      </c>
      <c r="L25" t="s">
        <v>41</v>
      </c>
      <c r="M25" t="s">
        <v>27</v>
      </c>
      <c r="N25" t="s">
        <v>42</v>
      </c>
      <c r="O25" s="2">
        <v>484.68</v>
      </c>
      <c r="P25" t="s">
        <v>29</v>
      </c>
      <c r="Q25" s="4">
        <v>0</v>
      </c>
      <c r="S25" s="2">
        <v>0</v>
      </c>
      <c r="T25" s="2">
        <v>0</v>
      </c>
      <c r="U25" s="2">
        <v>0</v>
      </c>
    </row>
    <row r="26" spans="1:21">
      <c r="A26" t="s">
        <v>21</v>
      </c>
      <c r="B26" t="s">
        <v>31</v>
      </c>
      <c r="C26" t="s">
        <v>32</v>
      </c>
      <c r="D26" t="s">
        <v>66</v>
      </c>
      <c r="E26" t="s">
        <v>67</v>
      </c>
      <c r="F26" s="1">
        <v>46143</v>
      </c>
      <c r="G26" s="1"/>
      <c r="H26" s="1">
        <v>46143</v>
      </c>
      <c r="K26" t="s">
        <v>26</v>
      </c>
      <c r="L26" t="s">
        <v>41</v>
      </c>
      <c r="M26" t="s">
        <v>27</v>
      </c>
      <c r="N26" t="s">
        <v>42</v>
      </c>
      <c r="O26" s="2">
        <v>484.68</v>
      </c>
      <c r="P26" t="s">
        <v>29</v>
      </c>
      <c r="Q26" s="4">
        <v>0.95</v>
      </c>
      <c r="S26" s="2">
        <v>345.33</v>
      </c>
      <c r="T26" s="2">
        <v>0</v>
      </c>
      <c r="U26" s="2">
        <v>345.33</v>
      </c>
    </row>
    <row r="27" spans="1:21">
      <c r="A27" t="s">
        <v>21</v>
      </c>
      <c r="B27" t="s">
        <v>68</v>
      </c>
      <c r="C27" t="s">
        <v>69</v>
      </c>
      <c r="D27" t="s">
        <v>70</v>
      </c>
      <c r="E27" t="s">
        <v>71</v>
      </c>
      <c r="F27" s="1">
        <v>46143</v>
      </c>
      <c r="G27" s="1"/>
      <c r="H27" s="1">
        <v>46143</v>
      </c>
      <c r="K27" t="s">
        <v>72</v>
      </c>
      <c r="L27" t="s">
        <v>73</v>
      </c>
      <c r="M27" t="s">
        <v>27</v>
      </c>
      <c r="N27" t="s">
        <v>42</v>
      </c>
      <c r="O27" s="2">
        <v>354.48</v>
      </c>
      <c r="P27" t="s">
        <v>29</v>
      </c>
      <c r="Q27" s="4">
        <v>0</v>
      </c>
      <c r="S27" s="2">
        <v>0</v>
      </c>
      <c r="T27" s="2">
        <v>0</v>
      </c>
      <c r="U27" s="2">
        <v>0</v>
      </c>
    </row>
    <row r="28" spans="1:21">
      <c r="A28" t="s">
        <v>21</v>
      </c>
      <c r="B28" t="s">
        <v>68</v>
      </c>
      <c r="C28" t="s">
        <v>69</v>
      </c>
      <c r="D28" t="s">
        <v>70</v>
      </c>
      <c r="E28" t="s">
        <v>71</v>
      </c>
      <c r="F28" s="1">
        <v>46143</v>
      </c>
      <c r="G28" s="1"/>
      <c r="H28" s="1">
        <v>46143</v>
      </c>
      <c r="K28" t="s">
        <v>72</v>
      </c>
      <c r="L28" t="s">
        <v>73</v>
      </c>
      <c r="M28" t="s">
        <v>27</v>
      </c>
      <c r="N28" t="s">
        <v>42</v>
      </c>
      <c r="O28" s="2">
        <v>354.48</v>
      </c>
      <c r="P28" t="s">
        <v>29</v>
      </c>
      <c r="Q28" s="4">
        <v>1.3</v>
      </c>
      <c r="S28" s="2">
        <v>345.61</v>
      </c>
      <c r="T28" s="2">
        <v>0</v>
      </c>
      <c r="U28" s="2">
        <v>345.61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DFEA-C5D5-4014-B085-53243999DC63}">
  <dimension ref="A1:W31"/>
  <sheetViews>
    <sheetView tabSelected="1" workbookViewId="0">
      <selection activeCell="C14" sqref="C14"/>
    </sheetView>
  </sheetViews>
  <sheetFormatPr defaultRowHeight="15" customHeight="1"/>
  <cols>
    <col min="1" max="1" width="16.85546875" customWidth="1"/>
    <col min="2" max="2" width="17.5703125" bestFit="1" customWidth="1"/>
    <col min="3" max="3" width="14.28515625" customWidth="1"/>
    <col min="4" max="4" width="19.140625" customWidth="1"/>
    <col min="5" max="5" width="12.85546875" customWidth="1"/>
    <col min="6" max="6" width="13.28515625" customWidth="1"/>
    <col min="7" max="7" width="20" customWidth="1"/>
    <col min="8" max="8" width="12.7109375" customWidth="1"/>
    <col min="9" max="10" width="11.140625" customWidth="1"/>
    <col min="11" max="11" width="12.28515625" customWidth="1"/>
    <col min="12" max="12" width="11" customWidth="1"/>
    <col min="13" max="13" width="13.85546875" customWidth="1"/>
    <col min="14" max="14" width="11.28515625" customWidth="1"/>
    <col min="15" max="16" width="10.42578125" customWidth="1"/>
    <col min="17" max="17" width="72.5703125" bestFit="1" customWidth="1"/>
  </cols>
  <sheetData>
    <row r="1" spans="1:23" ht="15" customHeight="1">
      <c r="A1" s="3" t="s">
        <v>1</v>
      </c>
      <c r="B1" s="3" t="s">
        <v>2</v>
      </c>
      <c r="C1" s="3" t="s">
        <v>3</v>
      </c>
      <c r="D1" s="3" t="s">
        <v>4</v>
      </c>
      <c r="E1" s="21" t="s">
        <v>81</v>
      </c>
      <c r="F1" s="21" t="s">
        <v>82</v>
      </c>
      <c r="G1" s="3" t="s">
        <v>11</v>
      </c>
      <c r="H1" s="3" t="s">
        <v>13</v>
      </c>
      <c r="I1" s="3" t="s">
        <v>14</v>
      </c>
      <c r="J1" s="3"/>
      <c r="K1" s="3" t="s">
        <v>15</v>
      </c>
      <c r="L1" s="3" t="s">
        <v>16</v>
      </c>
      <c r="M1" s="3" t="s">
        <v>17</v>
      </c>
      <c r="N1" s="3" t="s">
        <v>18</v>
      </c>
      <c r="O1" s="3" t="s">
        <v>20</v>
      </c>
      <c r="P1" s="22"/>
    </row>
    <row r="2" spans="1:23" ht="15" customHeight="1">
      <c r="A2" t="s">
        <v>46</v>
      </c>
      <c r="B2" s="5" t="s">
        <v>77</v>
      </c>
      <c r="C2" s="5">
        <v>4151799037</v>
      </c>
      <c r="D2" t="s">
        <v>49</v>
      </c>
      <c r="E2" s="1">
        <v>46143</v>
      </c>
      <c r="F2" s="1">
        <v>46174</v>
      </c>
      <c r="G2" t="s">
        <v>51</v>
      </c>
      <c r="H2" t="s">
        <v>42</v>
      </c>
      <c r="I2" s="2">
        <v>973.8</v>
      </c>
      <c r="J2" s="2">
        <f>I2/12</f>
        <v>81.149999999999991</v>
      </c>
      <c r="K2" t="s">
        <v>29</v>
      </c>
      <c r="L2" s="4">
        <v>0.8</v>
      </c>
      <c r="N2" s="2">
        <v>584.28</v>
      </c>
      <c r="O2" s="2">
        <v>584.28</v>
      </c>
      <c r="P2" s="2">
        <f>O2/9</f>
        <v>64.92</v>
      </c>
      <c r="Q2" t="s">
        <v>78</v>
      </c>
    </row>
    <row r="3" spans="1:23" ht="15" customHeight="1">
      <c r="A3" t="s">
        <v>52</v>
      </c>
      <c r="B3" s="5">
        <v>18754354</v>
      </c>
      <c r="C3" s="5">
        <v>4151799251</v>
      </c>
      <c r="D3" t="s">
        <v>55</v>
      </c>
      <c r="E3" s="1">
        <v>46143</v>
      </c>
      <c r="F3" s="1">
        <v>46174</v>
      </c>
      <c r="G3" t="s">
        <v>51</v>
      </c>
      <c r="H3" t="s">
        <v>42</v>
      </c>
      <c r="I3" s="2">
        <v>978.84</v>
      </c>
      <c r="J3" s="2">
        <f t="shared" ref="J3:J14" si="0">I3/12</f>
        <v>81.570000000000007</v>
      </c>
      <c r="K3" t="s">
        <v>29</v>
      </c>
      <c r="L3" s="4">
        <v>0.8</v>
      </c>
      <c r="N3" s="2">
        <v>587.29999999999995</v>
      </c>
      <c r="O3" s="2">
        <v>587.29999999999995</v>
      </c>
      <c r="P3" s="2">
        <f t="shared" ref="P3:P14" si="1">O3/9</f>
        <v>65.255555555555546</v>
      </c>
      <c r="Q3" t="s">
        <v>78</v>
      </c>
    </row>
    <row r="4" spans="1:23" s="16" customFormat="1" ht="15" customHeight="1">
      <c r="A4" t="s">
        <v>46</v>
      </c>
      <c r="B4" s="5" t="s">
        <v>77</v>
      </c>
      <c r="C4" s="5">
        <v>4151799034</v>
      </c>
      <c r="D4" t="s">
        <v>49</v>
      </c>
      <c r="E4" s="1">
        <v>46143</v>
      </c>
      <c r="F4" s="1">
        <v>46174</v>
      </c>
      <c r="G4" t="s">
        <v>41</v>
      </c>
      <c r="H4" t="s">
        <v>42</v>
      </c>
      <c r="I4" s="2">
        <v>343.56</v>
      </c>
      <c r="J4" s="2">
        <f t="shared" si="0"/>
        <v>28.63</v>
      </c>
      <c r="K4" t="s">
        <v>29</v>
      </c>
      <c r="L4" s="4">
        <v>0.95</v>
      </c>
      <c r="M4"/>
      <c r="N4" s="2">
        <v>244.78</v>
      </c>
      <c r="O4" s="2">
        <v>244.78</v>
      </c>
      <c r="P4" s="2">
        <f t="shared" si="1"/>
        <v>27.197777777777777</v>
      </c>
      <c r="Q4" t="s">
        <v>79</v>
      </c>
      <c r="R4"/>
      <c r="S4"/>
      <c r="T4"/>
      <c r="U4"/>
      <c r="V4"/>
      <c r="W4"/>
    </row>
    <row r="5" spans="1:23" s="16" customFormat="1" ht="15" customHeight="1">
      <c r="A5" s="16" t="s">
        <v>22</v>
      </c>
      <c r="B5" s="23" t="s">
        <v>83</v>
      </c>
      <c r="C5" s="17">
        <v>4151797965</v>
      </c>
      <c r="D5" s="16" t="s">
        <v>40</v>
      </c>
      <c r="E5" s="18">
        <v>46143</v>
      </c>
      <c r="F5" s="18">
        <v>46174</v>
      </c>
      <c r="G5" s="16" t="s">
        <v>41</v>
      </c>
      <c r="H5" s="16" t="s">
        <v>42</v>
      </c>
      <c r="I5" s="19">
        <v>217.92</v>
      </c>
      <c r="J5" s="19">
        <f t="shared" si="0"/>
        <v>18.16</v>
      </c>
      <c r="K5" s="16" t="s">
        <v>29</v>
      </c>
      <c r="L5" s="20">
        <v>0.95</v>
      </c>
      <c r="N5" s="19">
        <v>155.26</v>
      </c>
      <c r="O5" s="19">
        <v>155.26</v>
      </c>
      <c r="P5" s="19">
        <f t="shared" si="1"/>
        <v>17.251111111111111</v>
      </c>
      <c r="Q5" s="16" t="s">
        <v>79</v>
      </c>
    </row>
    <row r="6" spans="1:23" ht="15" customHeight="1">
      <c r="A6" t="s">
        <v>31</v>
      </c>
      <c r="B6" s="5">
        <v>9079571</v>
      </c>
      <c r="C6" s="5">
        <v>4151799743</v>
      </c>
      <c r="D6" t="s">
        <v>57</v>
      </c>
      <c r="E6" s="1">
        <v>46143</v>
      </c>
      <c r="F6" s="1">
        <v>46174</v>
      </c>
      <c r="G6" t="s">
        <v>41</v>
      </c>
      <c r="H6" t="s">
        <v>42</v>
      </c>
      <c r="I6" s="2">
        <v>484.68</v>
      </c>
      <c r="J6" s="2">
        <f t="shared" si="0"/>
        <v>40.39</v>
      </c>
      <c r="K6" t="s">
        <v>29</v>
      </c>
      <c r="L6" s="4">
        <v>0.95</v>
      </c>
      <c r="N6" s="2">
        <v>345.33</v>
      </c>
      <c r="O6" s="2">
        <v>345.33</v>
      </c>
      <c r="P6" s="2">
        <f t="shared" si="1"/>
        <v>38.369999999999997</v>
      </c>
      <c r="Q6" t="s">
        <v>79</v>
      </c>
    </row>
    <row r="7" spans="1:23" ht="15" customHeight="1">
      <c r="A7" t="s">
        <v>31</v>
      </c>
      <c r="B7" s="5">
        <v>9079571</v>
      </c>
      <c r="C7" s="5">
        <v>4151799792</v>
      </c>
      <c r="D7" t="s">
        <v>59</v>
      </c>
      <c r="E7" s="1">
        <v>46143</v>
      </c>
      <c r="F7" s="1">
        <v>46174</v>
      </c>
      <c r="G7" t="s">
        <v>41</v>
      </c>
      <c r="H7" t="s">
        <v>42</v>
      </c>
      <c r="I7" s="2">
        <v>484.68</v>
      </c>
      <c r="J7" s="2">
        <f t="shared" si="0"/>
        <v>40.39</v>
      </c>
      <c r="K7" t="s">
        <v>29</v>
      </c>
      <c r="L7" s="4">
        <v>0.95</v>
      </c>
      <c r="N7" s="2">
        <v>345.33</v>
      </c>
      <c r="O7" s="2">
        <v>345.33</v>
      </c>
      <c r="P7" s="2">
        <f t="shared" si="1"/>
        <v>38.369999999999997</v>
      </c>
      <c r="Q7" t="s">
        <v>79</v>
      </c>
    </row>
    <row r="8" spans="1:23" ht="15" customHeight="1">
      <c r="A8" t="s">
        <v>31</v>
      </c>
      <c r="B8" s="5">
        <v>9079571</v>
      </c>
      <c r="C8" s="5">
        <v>4151802853</v>
      </c>
      <c r="D8" t="s">
        <v>63</v>
      </c>
      <c r="E8" s="1">
        <v>46143</v>
      </c>
      <c r="F8" s="1">
        <v>46174</v>
      </c>
      <c r="G8" t="s">
        <v>41</v>
      </c>
      <c r="H8" t="s">
        <v>42</v>
      </c>
      <c r="I8" s="2">
        <v>484.68</v>
      </c>
      <c r="J8" s="2">
        <f t="shared" si="0"/>
        <v>40.39</v>
      </c>
      <c r="K8" t="s">
        <v>29</v>
      </c>
      <c r="L8" s="4">
        <v>0.95</v>
      </c>
      <c r="N8" s="2">
        <v>345.33</v>
      </c>
      <c r="O8" s="2">
        <v>345.33</v>
      </c>
      <c r="P8" s="2">
        <f t="shared" si="1"/>
        <v>38.369999999999997</v>
      </c>
      <c r="Q8" t="s">
        <v>79</v>
      </c>
    </row>
    <row r="9" spans="1:23" ht="15" customHeight="1">
      <c r="A9" t="s">
        <v>31</v>
      </c>
      <c r="B9" s="5">
        <v>9079571</v>
      </c>
      <c r="C9" s="5">
        <v>4151803367</v>
      </c>
      <c r="D9" t="s">
        <v>67</v>
      </c>
      <c r="E9" s="1">
        <v>46143</v>
      </c>
      <c r="F9" s="1">
        <v>46174</v>
      </c>
      <c r="G9" t="s">
        <v>41</v>
      </c>
      <c r="H9" t="s">
        <v>42</v>
      </c>
      <c r="I9" s="2">
        <v>484.68</v>
      </c>
      <c r="J9" s="2">
        <f t="shared" si="0"/>
        <v>40.39</v>
      </c>
      <c r="K9" t="s">
        <v>29</v>
      </c>
      <c r="L9" s="4">
        <v>0.95</v>
      </c>
      <c r="N9" s="2">
        <v>345.33</v>
      </c>
      <c r="O9" s="2">
        <v>345.33</v>
      </c>
      <c r="P9" s="2">
        <f t="shared" si="1"/>
        <v>38.369999999999997</v>
      </c>
      <c r="Q9" t="s">
        <v>79</v>
      </c>
    </row>
    <row r="10" spans="1:23" ht="15" customHeight="1">
      <c r="A10" t="s">
        <v>31</v>
      </c>
      <c r="B10" s="5">
        <v>9079571</v>
      </c>
      <c r="C10" s="5">
        <v>4151802925</v>
      </c>
      <c r="D10" t="s">
        <v>65</v>
      </c>
      <c r="E10" s="1">
        <v>46143</v>
      </c>
      <c r="F10" s="1">
        <v>46174</v>
      </c>
      <c r="G10" t="s">
        <v>41</v>
      </c>
      <c r="H10" t="s">
        <v>42</v>
      </c>
      <c r="I10" s="2">
        <v>652.08000000000004</v>
      </c>
      <c r="J10" s="2">
        <f t="shared" si="0"/>
        <v>54.34</v>
      </c>
      <c r="K10" t="s">
        <v>29</v>
      </c>
      <c r="L10" s="4">
        <v>0.95</v>
      </c>
      <c r="N10" s="2">
        <v>464.61</v>
      </c>
      <c r="O10" s="2">
        <v>464.61</v>
      </c>
      <c r="P10" s="2">
        <f t="shared" si="1"/>
        <v>51.623333333333335</v>
      </c>
      <c r="Q10" t="s">
        <v>79</v>
      </c>
    </row>
    <row r="11" spans="1:23" ht="15" customHeight="1">
      <c r="A11" t="s">
        <v>31</v>
      </c>
      <c r="B11" s="5">
        <v>9079571</v>
      </c>
      <c r="C11" s="5">
        <v>4151801666</v>
      </c>
      <c r="D11" t="s">
        <v>61</v>
      </c>
      <c r="E11" s="1">
        <v>46143</v>
      </c>
      <c r="F11" s="1">
        <v>46143</v>
      </c>
      <c r="G11" t="s">
        <v>41</v>
      </c>
      <c r="H11" t="s">
        <v>42</v>
      </c>
      <c r="I11" s="2">
        <v>733.92</v>
      </c>
      <c r="J11" s="2">
        <f t="shared" si="0"/>
        <v>61.16</v>
      </c>
      <c r="K11" t="s">
        <v>29</v>
      </c>
      <c r="L11" s="4">
        <v>0.95</v>
      </c>
      <c r="N11" s="2">
        <v>522.91</v>
      </c>
      <c r="O11" s="2">
        <v>522.91</v>
      </c>
      <c r="P11" s="2">
        <f t="shared" si="1"/>
        <v>58.101111111111109</v>
      </c>
      <c r="Q11" t="s">
        <v>79</v>
      </c>
    </row>
    <row r="12" spans="1:23" ht="15" customHeight="1">
      <c r="A12" t="s">
        <v>68</v>
      </c>
      <c r="B12" s="5">
        <v>21758900</v>
      </c>
      <c r="C12" s="5">
        <v>4351798534</v>
      </c>
      <c r="D12" t="s">
        <v>71</v>
      </c>
      <c r="E12" s="1">
        <v>46143</v>
      </c>
      <c r="F12" s="1">
        <v>46174</v>
      </c>
      <c r="G12" t="s">
        <v>73</v>
      </c>
      <c r="H12" t="s">
        <v>42</v>
      </c>
      <c r="I12" s="2">
        <v>354.48</v>
      </c>
      <c r="J12" s="2">
        <f t="shared" si="0"/>
        <v>29.540000000000003</v>
      </c>
      <c r="K12" t="s">
        <v>29</v>
      </c>
      <c r="L12" s="4">
        <v>1.3</v>
      </c>
      <c r="N12" s="2">
        <v>345.61</v>
      </c>
      <c r="O12" s="2">
        <v>345.61</v>
      </c>
      <c r="P12" s="2">
        <f t="shared" si="1"/>
        <v>38.401111111111113</v>
      </c>
      <c r="Q12" t="s">
        <v>80</v>
      </c>
    </row>
    <row r="14" spans="1:23" s="11" customFormat="1" ht="15" customHeight="1">
      <c r="A14" s="11" t="s">
        <v>43</v>
      </c>
      <c r="B14" s="11" t="s">
        <v>44</v>
      </c>
      <c r="C14" s="12">
        <v>4151798830</v>
      </c>
      <c r="D14" s="11" t="s">
        <v>43</v>
      </c>
      <c r="E14" s="13">
        <v>46143</v>
      </c>
      <c r="F14" s="13">
        <v>46143</v>
      </c>
      <c r="G14" s="11" t="s">
        <v>41</v>
      </c>
      <c r="H14" s="11" t="s">
        <v>42</v>
      </c>
      <c r="I14" s="14">
        <v>217.92</v>
      </c>
      <c r="J14" s="14">
        <f t="shared" si="0"/>
        <v>18.16</v>
      </c>
      <c r="K14" s="11" t="s">
        <v>29</v>
      </c>
      <c r="L14" s="15">
        <v>0.95</v>
      </c>
      <c r="N14" s="14">
        <v>155.26</v>
      </c>
      <c r="O14" s="14">
        <v>155.26</v>
      </c>
      <c r="P14" s="14">
        <f t="shared" si="1"/>
        <v>17.251111111111111</v>
      </c>
      <c r="Q14" s="11" t="s">
        <v>76</v>
      </c>
    </row>
    <row r="16" spans="1:23" s="6" customFormat="1" ht="15" customHeight="1">
      <c r="A16" s="6" t="s">
        <v>22</v>
      </c>
      <c r="B16" s="6" t="s">
        <v>23</v>
      </c>
      <c r="C16" s="7">
        <v>4151685271</v>
      </c>
      <c r="D16" s="6" t="s">
        <v>25</v>
      </c>
      <c r="E16" s="8">
        <v>46143</v>
      </c>
      <c r="F16" s="8">
        <v>46143</v>
      </c>
      <c r="H16" s="6" t="s">
        <v>28</v>
      </c>
      <c r="I16" s="9">
        <v>0</v>
      </c>
      <c r="J16" s="9"/>
      <c r="K16" s="6" t="s">
        <v>29</v>
      </c>
      <c r="L16" s="10">
        <v>0</v>
      </c>
      <c r="M16" s="6" t="s">
        <v>30</v>
      </c>
      <c r="N16" s="9">
        <v>0</v>
      </c>
      <c r="O16" s="9">
        <v>-0.03</v>
      </c>
      <c r="P16" s="9"/>
      <c r="Q16" s="6" t="s">
        <v>74</v>
      </c>
    </row>
    <row r="17" spans="1:17" s="6" customFormat="1" ht="15" customHeight="1">
      <c r="A17" s="6" t="s">
        <v>31</v>
      </c>
      <c r="B17" s="6" t="s">
        <v>32</v>
      </c>
      <c r="C17" s="7">
        <v>4151687717</v>
      </c>
      <c r="D17" s="6" t="s">
        <v>34</v>
      </c>
      <c r="E17" s="8">
        <v>46143</v>
      </c>
      <c r="F17" s="8">
        <v>46143</v>
      </c>
      <c r="H17" s="6" t="s">
        <v>28</v>
      </c>
      <c r="I17" s="9">
        <v>0</v>
      </c>
      <c r="J17" s="9"/>
      <c r="K17" s="6" t="s">
        <v>29</v>
      </c>
      <c r="L17" s="10">
        <v>0</v>
      </c>
      <c r="M17" s="6" t="s">
        <v>30</v>
      </c>
      <c r="N17" s="9">
        <v>0</v>
      </c>
      <c r="O17" s="9">
        <v>-0.03</v>
      </c>
      <c r="P17" s="9"/>
      <c r="Q17" s="6" t="s">
        <v>74</v>
      </c>
    </row>
    <row r="18" spans="1:17" s="6" customFormat="1" ht="15" customHeight="1">
      <c r="A18" s="6" t="s">
        <v>35</v>
      </c>
      <c r="B18" s="6" t="s">
        <v>36</v>
      </c>
      <c r="C18" s="7">
        <v>4151688924</v>
      </c>
      <c r="D18" s="6" t="s">
        <v>38</v>
      </c>
      <c r="E18" s="8">
        <v>46143</v>
      </c>
      <c r="F18" s="8">
        <v>46143</v>
      </c>
      <c r="H18" s="6" t="s">
        <v>28</v>
      </c>
      <c r="I18" s="9">
        <v>0</v>
      </c>
      <c r="J18" s="9"/>
      <c r="K18" s="6" t="s">
        <v>29</v>
      </c>
      <c r="L18" s="10">
        <v>0</v>
      </c>
      <c r="M18" s="6" t="s">
        <v>30</v>
      </c>
      <c r="N18" s="9">
        <v>0</v>
      </c>
      <c r="O18" s="9">
        <v>-0.03</v>
      </c>
      <c r="P18" s="9"/>
      <c r="Q18" s="6" t="s">
        <v>74</v>
      </c>
    </row>
    <row r="20" spans="1:17" ht="15" customHeight="1">
      <c r="A20" t="s">
        <v>22</v>
      </c>
      <c r="B20" t="s">
        <v>23</v>
      </c>
      <c r="C20" s="5">
        <v>4151797965</v>
      </c>
      <c r="D20" t="s">
        <v>40</v>
      </c>
      <c r="E20" s="1">
        <v>46143</v>
      </c>
      <c r="F20" s="1">
        <v>46143</v>
      </c>
      <c r="G20" t="s">
        <v>41</v>
      </c>
      <c r="H20" t="s">
        <v>42</v>
      </c>
      <c r="I20" s="2">
        <v>217.92</v>
      </c>
      <c r="J20" s="2"/>
      <c r="K20" t="s">
        <v>29</v>
      </c>
      <c r="L20" s="4">
        <v>0</v>
      </c>
      <c r="N20" s="2">
        <v>0</v>
      </c>
      <c r="O20" s="2">
        <v>0</v>
      </c>
      <c r="P20" s="2"/>
      <c r="Q20" t="s">
        <v>75</v>
      </c>
    </row>
    <row r="21" spans="1:17" ht="15" customHeight="1">
      <c r="A21" t="s">
        <v>43</v>
      </c>
      <c r="B21" t="s">
        <v>44</v>
      </c>
      <c r="C21" s="5">
        <v>4151798830</v>
      </c>
      <c r="D21" t="s">
        <v>43</v>
      </c>
      <c r="E21" s="1">
        <v>46143</v>
      </c>
      <c r="F21" s="1">
        <v>46143</v>
      </c>
      <c r="G21" t="s">
        <v>41</v>
      </c>
      <c r="H21" t="s">
        <v>42</v>
      </c>
      <c r="I21" s="2">
        <v>217.92</v>
      </c>
      <c r="J21" s="2"/>
      <c r="K21" t="s">
        <v>29</v>
      </c>
      <c r="L21" s="4">
        <v>0</v>
      </c>
      <c r="N21" s="2">
        <v>0</v>
      </c>
      <c r="O21" s="2">
        <v>0</v>
      </c>
      <c r="P21" s="2"/>
      <c r="Q21" t="s">
        <v>75</v>
      </c>
    </row>
    <row r="22" spans="1:17" ht="15" customHeight="1">
      <c r="A22" t="s">
        <v>46</v>
      </c>
      <c r="B22" t="s">
        <v>47</v>
      </c>
      <c r="C22" s="5">
        <v>4151799034</v>
      </c>
      <c r="D22" t="s">
        <v>49</v>
      </c>
      <c r="E22" s="1">
        <v>46143</v>
      </c>
      <c r="F22" s="1">
        <v>46143</v>
      </c>
      <c r="G22" t="s">
        <v>41</v>
      </c>
      <c r="H22" t="s">
        <v>42</v>
      </c>
      <c r="I22" s="2">
        <v>343.56</v>
      </c>
      <c r="J22" s="2"/>
      <c r="K22" t="s">
        <v>29</v>
      </c>
      <c r="L22" s="4">
        <v>0</v>
      </c>
      <c r="N22" s="2">
        <v>0</v>
      </c>
      <c r="O22" s="2">
        <v>0</v>
      </c>
      <c r="P22" s="2"/>
      <c r="Q22" t="s">
        <v>75</v>
      </c>
    </row>
    <row r="23" spans="1:17" ht="15" customHeight="1">
      <c r="A23" t="s">
        <v>46</v>
      </c>
      <c r="B23" t="s">
        <v>47</v>
      </c>
      <c r="C23" s="5">
        <v>4151799037</v>
      </c>
      <c r="D23" t="s">
        <v>49</v>
      </c>
      <c r="E23" s="1">
        <v>46143</v>
      </c>
      <c r="F23" s="1">
        <v>46143</v>
      </c>
      <c r="G23" t="s">
        <v>51</v>
      </c>
      <c r="H23" t="s">
        <v>42</v>
      </c>
      <c r="I23" s="2">
        <v>973.8</v>
      </c>
      <c r="J23" s="2"/>
      <c r="K23" t="s">
        <v>29</v>
      </c>
      <c r="L23" s="4">
        <v>0</v>
      </c>
      <c r="N23" s="2">
        <v>0</v>
      </c>
      <c r="O23" s="2">
        <v>0</v>
      </c>
      <c r="P23" s="2"/>
      <c r="Q23" t="s">
        <v>75</v>
      </c>
    </row>
    <row r="24" spans="1:17" ht="15" customHeight="1">
      <c r="A24" t="s">
        <v>52</v>
      </c>
      <c r="B24" t="s">
        <v>53</v>
      </c>
      <c r="C24" s="5">
        <v>4151799251</v>
      </c>
      <c r="D24" t="s">
        <v>55</v>
      </c>
      <c r="E24" s="1">
        <v>46143</v>
      </c>
      <c r="F24" s="1">
        <v>46143</v>
      </c>
      <c r="G24" t="s">
        <v>51</v>
      </c>
      <c r="H24" t="s">
        <v>42</v>
      </c>
      <c r="I24" s="2">
        <v>978.84</v>
      </c>
      <c r="J24" s="2"/>
      <c r="K24" t="s">
        <v>29</v>
      </c>
      <c r="L24" s="4">
        <v>0</v>
      </c>
      <c r="N24" s="2">
        <v>0</v>
      </c>
      <c r="O24" s="2">
        <v>0</v>
      </c>
      <c r="P24" s="2"/>
      <c r="Q24" t="s">
        <v>75</v>
      </c>
    </row>
    <row r="25" spans="1:17" ht="15" customHeight="1">
      <c r="A25" t="s">
        <v>31</v>
      </c>
      <c r="B25" t="s">
        <v>32</v>
      </c>
      <c r="C25" s="5">
        <v>4151799743</v>
      </c>
      <c r="D25" t="s">
        <v>57</v>
      </c>
      <c r="E25" s="1">
        <v>46143</v>
      </c>
      <c r="F25" s="1">
        <v>46143</v>
      </c>
      <c r="G25" t="s">
        <v>41</v>
      </c>
      <c r="H25" t="s">
        <v>42</v>
      </c>
      <c r="I25" s="2">
        <v>484.68</v>
      </c>
      <c r="J25" s="2"/>
      <c r="K25" t="s">
        <v>29</v>
      </c>
      <c r="L25" s="4">
        <v>0</v>
      </c>
      <c r="N25" s="2">
        <v>0</v>
      </c>
      <c r="O25" s="2">
        <v>0</v>
      </c>
      <c r="P25" s="2"/>
      <c r="Q25" t="s">
        <v>75</v>
      </c>
    </row>
    <row r="26" spans="1:17" ht="15" customHeight="1">
      <c r="A26" t="s">
        <v>31</v>
      </c>
      <c r="B26" t="s">
        <v>32</v>
      </c>
      <c r="C26" s="5">
        <v>4151799792</v>
      </c>
      <c r="D26" t="s">
        <v>59</v>
      </c>
      <c r="E26" s="1">
        <v>46143</v>
      </c>
      <c r="F26" s="1">
        <v>46143</v>
      </c>
      <c r="G26" t="s">
        <v>41</v>
      </c>
      <c r="H26" t="s">
        <v>42</v>
      </c>
      <c r="I26" s="2">
        <v>484.68</v>
      </c>
      <c r="J26" s="2"/>
      <c r="K26" t="s">
        <v>29</v>
      </c>
      <c r="L26" s="4">
        <v>0</v>
      </c>
      <c r="N26" s="2">
        <v>0</v>
      </c>
      <c r="O26" s="2">
        <v>0</v>
      </c>
      <c r="P26" s="2"/>
      <c r="Q26" t="s">
        <v>75</v>
      </c>
    </row>
    <row r="27" spans="1:17" ht="15" customHeight="1">
      <c r="A27" t="s">
        <v>31</v>
      </c>
      <c r="B27" t="s">
        <v>32</v>
      </c>
      <c r="C27" s="5">
        <v>4151801666</v>
      </c>
      <c r="D27" t="s">
        <v>61</v>
      </c>
      <c r="E27" s="1">
        <v>46143</v>
      </c>
      <c r="F27" s="1">
        <v>46143</v>
      </c>
      <c r="G27" t="s">
        <v>41</v>
      </c>
      <c r="H27" t="s">
        <v>42</v>
      </c>
      <c r="I27" s="2">
        <v>733.92</v>
      </c>
      <c r="J27" s="2"/>
      <c r="K27" t="s">
        <v>29</v>
      </c>
      <c r="L27" s="4">
        <v>0</v>
      </c>
      <c r="N27" s="2">
        <v>0</v>
      </c>
      <c r="O27" s="2">
        <v>0</v>
      </c>
      <c r="P27" s="2"/>
      <c r="Q27" t="s">
        <v>75</v>
      </c>
    </row>
    <row r="28" spans="1:17" ht="15" customHeight="1">
      <c r="A28" t="s">
        <v>31</v>
      </c>
      <c r="B28" t="s">
        <v>32</v>
      </c>
      <c r="C28" s="5">
        <v>4151802853</v>
      </c>
      <c r="D28" t="s">
        <v>63</v>
      </c>
      <c r="E28" s="1">
        <v>46143</v>
      </c>
      <c r="F28" s="1">
        <v>46143</v>
      </c>
      <c r="G28" t="s">
        <v>41</v>
      </c>
      <c r="H28" t="s">
        <v>42</v>
      </c>
      <c r="I28" s="2">
        <v>484.68</v>
      </c>
      <c r="J28" s="2"/>
      <c r="K28" t="s">
        <v>29</v>
      </c>
      <c r="L28" s="4">
        <v>0</v>
      </c>
      <c r="N28" s="2">
        <v>0</v>
      </c>
      <c r="O28" s="2">
        <v>0</v>
      </c>
      <c r="P28" s="2"/>
      <c r="Q28" t="s">
        <v>75</v>
      </c>
    </row>
    <row r="29" spans="1:17" ht="15" customHeight="1">
      <c r="A29" t="s">
        <v>31</v>
      </c>
      <c r="B29" t="s">
        <v>32</v>
      </c>
      <c r="C29" s="5">
        <v>4151802925</v>
      </c>
      <c r="D29" t="s">
        <v>65</v>
      </c>
      <c r="E29" s="1">
        <v>46143</v>
      </c>
      <c r="F29" s="1">
        <v>46143</v>
      </c>
      <c r="G29" t="s">
        <v>41</v>
      </c>
      <c r="H29" t="s">
        <v>42</v>
      </c>
      <c r="I29" s="2">
        <v>652.08000000000004</v>
      </c>
      <c r="J29" s="2"/>
      <c r="K29" t="s">
        <v>29</v>
      </c>
      <c r="L29" s="4">
        <v>0</v>
      </c>
      <c r="N29" s="2">
        <v>0</v>
      </c>
      <c r="O29" s="2">
        <v>0</v>
      </c>
      <c r="P29" s="2"/>
      <c r="Q29" t="s">
        <v>75</v>
      </c>
    </row>
    <row r="30" spans="1:17" ht="15" customHeight="1">
      <c r="A30" t="s">
        <v>31</v>
      </c>
      <c r="B30" t="s">
        <v>32</v>
      </c>
      <c r="C30" s="5">
        <v>4151803367</v>
      </c>
      <c r="D30" t="s">
        <v>67</v>
      </c>
      <c r="E30" s="1">
        <v>46143</v>
      </c>
      <c r="F30" s="1">
        <v>46143</v>
      </c>
      <c r="G30" t="s">
        <v>41</v>
      </c>
      <c r="H30" t="s">
        <v>42</v>
      </c>
      <c r="I30" s="2">
        <v>484.68</v>
      </c>
      <c r="J30" s="2"/>
      <c r="K30" t="s">
        <v>29</v>
      </c>
      <c r="L30" s="4">
        <v>0</v>
      </c>
      <c r="N30" s="2">
        <v>0</v>
      </c>
      <c r="O30" s="2">
        <v>0</v>
      </c>
      <c r="P30" s="2"/>
      <c r="Q30" t="s">
        <v>75</v>
      </c>
    </row>
    <row r="31" spans="1:17" ht="15" customHeight="1">
      <c r="A31" t="s">
        <v>68</v>
      </c>
      <c r="B31" t="s">
        <v>69</v>
      </c>
      <c r="C31" s="5">
        <v>4351798534</v>
      </c>
      <c r="D31" t="s">
        <v>71</v>
      </c>
      <c r="E31" s="1">
        <v>46143</v>
      </c>
      <c r="F31" s="1">
        <v>46143</v>
      </c>
      <c r="G31" t="s">
        <v>73</v>
      </c>
      <c r="H31" t="s">
        <v>42</v>
      </c>
      <c r="I31" s="2">
        <v>354.48</v>
      </c>
      <c r="J31" s="2"/>
      <c r="K31" t="s">
        <v>29</v>
      </c>
      <c r="L31" s="4">
        <v>0</v>
      </c>
      <c r="N31" s="2">
        <v>0</v>
      </c>
      <c r="O31" s="2">
        <v>0</v>
      </c>
      <c r="P31" s="2"/>
      <c r="Q31" t="s">
        <v>75</v>
      </c>
    </row>
  </sheetData>
  <sortState xmlns:xlrd2="http://schemas.microsoft.com/office/spreadsheetml/2017/richdata2" ref="A2:W12">
    <sortCondition ref="L2:L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2026-05-07T08:45:54Z</dcterms:created>
  <dcterms:modified xsi:type="dcterms:W3CDTF">2026-05-18T15:46:57Z</dcterms:modified>
</cp:coreProperties>
</file>