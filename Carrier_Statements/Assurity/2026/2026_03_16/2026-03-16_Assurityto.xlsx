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3-16-26 to 3-22-26\"/>
    </mc:Choice>
  </mc:AlternateContent>
  <xr:revisionPtr revIDLastSave="0" documentId="13_ncr:1_{972F863F-6B70-4888-AB73-ABC96EB3F78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Sheet1" sheetId="2" r:id="rId2"/>
  </sheets>
  <definedNames>
    <definedName name="_xlnm._FilterDatabase" localSheetId="1" hidden="1">Sheet1!$A$1:$S$5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J5" i="2"/>
  <c r="J4" i="2"/>
</calcChain>
</file>

<file path=xl/sharedStrings.xml><?xml version="1.0" encoding="utf-8"?>
<sst xmlns="http://schemas.openxmlformats.org/spreadsheetml/2006/main" count="120" uniqueCount="45">
  <si>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</si>
  <si>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</si>
  <si>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</si>
  <si>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</si>
  <si>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</si>
  <si>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</si>
  <si>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</si>
  <si>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</si>
  <si>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</si>
  <si>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</si>
  <si>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</si>
  <si>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</si>
  <si>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</si>
  <si>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</si>
  <si>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</si>
  <si>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</si>
  <si>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</si>
  <si>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</si>
  <si>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</si>
  <si>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</si>
  <si>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</si>
  <si>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</si>
  <si>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</si>
  <si>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</si>
  <si>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Sturk, Emily</t>
  </si>
  <si>
    <t>H</t>
  </si>
  <si>
    <t>85</t>
  </si>
  <si>
    <t>Unknown</t>
  </si>
  <si>
    <t>FirstYear</t>
  </si>
  <si>
    <t>UNSECURED ADVANCE RECOVERY</t>
  </si>
  <si>
    <t>Richter, Adam</t>
  </si>
  <si>
    <t>2BNY</t>
  </si>
  <si>
    <t>Roberts, Marquis</t>
  </si>
  <si>
    <t>Accident Insurance</t>
  </si>
  <si>
    <t>Monthly</t>
  </si>
  <si>
    <t>Asral, Evern</t>
  </si>
  <si>
    <t>Rader, John</t>
  </si>
  <si>
    <t>6KC9</t>
  </si>
  <si>
    <t>Shire, Irena</t>
  </si>
  <si>
    <t>L</t>
  </si>
  <si>
    <t>1-3 2024- Accident Insurance All States Applicable Except (CO/MN/SD/WA) 95%</t>
  </si>
  <si>
    <t>effective date</t>
  </si>
  <si>
    <t>Accident Insurance internal replacement 13%</t>
  </si>
  <si>
    <t xml:space="preserve">comm </t>
  </si>
  <si>
    <t>comm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</si>
</sst>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sqref="A1:XFD1048576"/>
    </sheetView>
  </sheetViews>
  <sheetFormatPr defaultRowHeight="15" x14ac:dyDescent="0.25"/>
  <cols>
    <col min="1" max="2" width="14.7109375" bestFit="1" customWidth="1"/>
    <col min="3" max="3" width="17.5703125" bestFit="1" customWidth="1"/>
    <col min="4" max="4" width="15.7109375" bestFit="1" customWidth="1"/>
    <col min="5" max="5" width="17" bestFit="1" customWidth="1"/>
    <col min="6" max="6" width="18.5703125" bestFit="1" customWidth="1"/>
    <col min="7" max="7" width="20.140625" bestFit="1" customWidth="1"/>
    <col min="8" max="8" width="15" bestFit="1" customWidth="1"/>
    <col min="9" max="9" width="13.28515625" bestFit="1" customWidth="1"/>
    <col min="10" max="10" width="16.85546875" bestFit="1" customWidth="1"/>
    <col min="11" max="11" width="18.28515625" bestFit="1" customWidth="1"/>
    <col min="12" max="12" width="21.7109375" bestFit="1" customWidth="1"/>
    <col min="13" max="13" width="9.7109375" bestFit="1" customWidth="1"/>
    <col min="14" max="14" width="9.42578125" bestFit="1" customWidth="1"/>
    <col min="15" max="15" width="16.28515625" bestFit="1" customWidth="1"/>
    <col min="16" max="16" width="19.140625" bestFit="1" customWidth="1"/>
    <col min="17" max="17" width="18.85546875" bestFit="1" customWidth="1"/>
    <col min="18" max="18" width="31" bestFit="1" customWidth="1"/>
    <col min="19" max="19" width="13.42578125" bestFit="1" customWidth="1"/>
    <col min="20" max="20" width="20.28515625" bestFit="1" customWidth="1"/>
    <col min="21" max="21" width="17.710937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6">
        <v>4151711124</v>
      </c>
      <c r="E2" t="s">
        <v>24</v>
      </c>
      <c r="F2" s="1">
        <v>46101</v>
      </c>
      <c r="G2" s="1"/>
      <c r="H2" s="1">
        <v>46101</v>
      </c>
      <c r="K2" t="s">
        <v>25</v>
      </c>
      <c r="M2" t="s">
        <v>26</v>
      </c>
      <c r="N2" t="s">
        <v>27</v>
      </c>
      <c r="O2" s="2">
        <v>0</v>
      </c>
      <c r="P2" t="s">
        <v>28</v>
      </c>
      <c r="Q2" s="4">
        <v>0</v>
      </c>
      <c r="R2" t="s">
        <v>29</v>
      </c>
      <c r="S2" s="2">
        <v>0</v>
      </c>
      <c r="T2" s="2">
        <v>0</v>
      </c>
      <c r="U2" s="2">
        <v>-154.88999999999999</v>
      </c>
    </row>
    <row r="3" spans="1:21" x14ac:dyDescent="0.25">
      <c r="A3" t="s">
        <v>21</v>
      </c>
      <c r="B3" t="s">
        <v>30</v>
      </c>
      <c r="C3" t="s">
        <v>31</v>
      </c>
      <c r="D3" s="6">
        <v>4151777969</v>
      </c>
      <c r="E3" t="s">
        <v>32</v>
      </c>
      <c r="F3" s="1">
        <v>46101</v>
      </c>
      <c r="G3" s="1"/>
      <c r="H3" s="1">
        <v>46101</v>
      </c>
      <c r="K3" t="s">
        <v>25</v>
      </c>
      <c r="L3" t="s">
        <v>33</v>
      </c>
      <c r="M3" t="s">
        <v>26</v>
      </c>
      <c r="N3" t="s">
        <v>34</v>
      </c>
      <c r="O3" s="2">
        <v>484.68</v>
      </c>
      <c r="P3" t="s">
        <v>28</v>
      </c>
      <c r="Q3" s="4">
        <v>0</v>
      </c>
      <c r="S3" s="2">
        <v>0</v>
      </c>
      <c r="T3" s="2">
        <v>0</v>
      </c>
      <c r="U3" s="2">
        <v>0</v>
      </c>
    </row>
    <row r="4" spans="1:21" x14ac:dyDescent="0.25">
      <c r="A4" t="s">
        <v>21</v>
      </c>
      <c r="B4" t="s">
        <v>30</v>
      </c>
      <c r="C4" t="s">
        <v>31</v>
      </c>
      <c r="D4" s="6">
        <v>4151777969</v>
      </c>
      <c r="E4" t="s">
        <v>32</v>
      </c>
      <c r="F4" s="1">
        <v>46101</v>
      </c>
      <c r="G4" s="1"/>
      <c r="H4" s="1">
        <v>46101</v>
      </c>
      <c r="K4" t="s">
        <v>25</v>
      </c>
      <c r="L4" t="s">
        <v>33</v>
      </c>
      <c r="M4" t="s">
        <v>26</v>
      </c>
      <c r="N4" t="s">
        <v>34</v>
      </c>
      <c r="O4" s="2">
        <v>484.68</v>
      </c>
      <c r="P4" t="s">
        <v>28</v>
      </c>
      <c r="Q4" s="4">
        <v>0.95</v>
      </c>
      <c r="S4" s="2">
        <v>345.33</v>
      </c>
      <c r="T4" s="2">
        <v>0</v>
      </c>
      <c r="U4" s="2">
        <v>345.33</v>
      </c>
    </row>
    <row r="5" spans="1:21" x14ac:dyDescent="0.25">
      <c r="A5" t="s">
        <v>21</v>
      </c>
      <c r="B5" t="s">
        <v>30</v>
      </c>
      <c r="C5" t="s">
        <v>31</v>
      </c>
      <c r="D5" s="6">
        <v>4151785226</v>
      </c>
      <c r="E5" t="s">
        <v>35</v>
      </c>
      <c r="F5" s="1">
        <v>46097</v>
      </c>
      <c r="G5" s="1"/>
      <c r="H5" s="1">
        <v>46101</v>
      </c>
      <c r="K5" t="s">
        <v>25</v>
      </c>
      <c r="L5" t="s">
        <v>33</v>
      </c>
      <c r="M5" t="s">
        <v>26</v>
      </c>
      <c r="N5" t="s">
        <v>34</v>
      </c>
      <c r="O5" s="2">
        <v>418.8</v>
      </c>
      <c r="P5" t="s">
        <v>28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30</v>
      </c>
      <c r="C6" t="s">
        <v>31</v>
      </c>
      <c r="D6" s="6">
        <v>4151785226</v>
      </c>
      <c r="E6" t="s">
        <v>35</v>
      </c>
      <c r="F6" s="1">
        <v>46097</v>
      </c>
      <c r="G6" s="1"/>
      <c r="H6" s="1">
        <v>46101</v>
      </c>
      <c r="K6" t="s">
        <v>25</v>
      </c>
      <c r="L6" t="s">
        <v>33</v>
      </c>
      <c r="M6" t="s">
        <v>26</v>
      </c>
      <c r="N6" t="s">
        <v>34</v>
      </c>
      <c r="O6" s="2">
        <v>418.8</v>
      </c>
      <c r="P6" t="s">
        <v>28</v>
      </c>
      <c r="Q6" s="4">
        <v>0.13</v>
      </c>
      <c r="S6" s="2">
        <v>40.83</v>
      </c>
      <c r="T6" s="2">
        <v>0</v>
      </c>
      <c r="U6" s="2">
        <v>40.83</v>
      </c>
    </row>
    <row r="7" spans="1:21" x14ac:dyDescent="0.25">
      <c r="A7" t="s">
        <v>21</v>
      </c>
      <c r="B7" t="s">
        <v>36</v>
      </c>
      <c r="C7" t="s">
        <v>37</v>
      </c>
      <c r="D7" s="6">
        <v>4351775951</v>
      </c>
      <c r="E7" t="s">
        <v>38</v>
      </c>
      <c r="F7" s="1">
        <v>46101</v>
      </c>
      <c r="G7" s="1"/>
      <c r="H7" s="1">
        <v>46101</v>
      </c>
      <c r="K7" t="s">
        <v>39</v>
      </c>
      <c r="M7" t="s">
        <v>26</v>
      </c>
      <c r="N7" t="s">
        <v>27</v>
      </c>
      <c r="O7" s="2">
        <v>0</v>
      </c>
      <c r="P7" t="s">
        <v>28</v>
      </c>
      <c r="Q7" s="4">
        <v>0</v>
      </c>
      <c r="R7" t="s">
        <v>29</v>
      </c>
      <c r="S7" s="2">
        <v>0</v>
      </c>
      <c r="T7" s="2">
        <v>0</v>
      </c>
      <c r="U7" s="2">
        <v>-231.27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7528-0C94-4E5E-AB2C-FE3C86D8D1DC}">
  <dimension ref="A1:S5"/>
  <sheetViews>
    <sheetView tabSelected="1" workbookViewId="0">
      <selection activeCell="C4" sqref="C4"/>
    </sheetView>
  </sheetViews>
  <sheetFormatPr defaultRowHeight="15" x14ac:dyDescent="0.25"/>
  <cols>
    <col min="1" max="1" width="14.7109375" style="8" bestFit="1" customWidth="1"/>
    <col min="2" max="2" width="17.5703125" style="8" bestFit="1" customWidth="1"/>
    <col min="3" max="3" width="15.7109375" style="8" bestFit="1" customWidth="1"/>
    <col min="4" max="4" width="17" style="8" bestFit="1" customWidth="1"/>
    <col min="5" max="5" width="13.42578125" style="8" bestFit="1" customWidth="1"/>
    <col min="6" max="6" width="20.28515625" style="8" bestFit="1" customWidth="1"/>
    <col min="7" max="7" width="17.7109375" style="8" bestFit="1" customWidth="1"/>
    <col min="8" max="8" width="18.5703125" style="8" bestFit="1" customWidth="1"/>
    <col min="9" max="9" width="18.5703125" style="8" customWidth="1"/>
    <col min="10" max="11" width="18.5703125" style="6" customWidth="1"/>
    <col min="12" max="12" width="20.140625" style="8" bestFit="1" customWidth="1"/>
    <col min="13" max="13" width="15" style="8" bestFit="1" customWidth="1"/>
    <col min="14" max="14" width="21.7109375" style="8" bestFit="1" customWidth="1"/>
    <col min="15" max="15" width="9.42578125" style="8" bestFit="1" customWidth="1"/>
    <col min="16" max="16" width="16.28515625" style="8" bestFit="1" customWidth="1"/>
    <col min="17" max="17" width="19.140625" style="8" bestFit="1" customWidth="1"/>
    <col min="18" max="18" width="18.85546875" style="8" bestFit="1" customWidth="1"/>
    <col min="19" max="19" width="31" style="8" bestFit="1" customWidth="1"/>
    <col min="20" max="16384" width="9.140625" style="8"/>
  </cols>
  <sheetData>
    <row r="1" spans="1:19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18</v>
      </c>
      <c r="F1" s="7" t="s">
        <v>19</v>
      </c>
      <c r="G1" s="7" t="s">
        <v>20</v>
      </c>
      <c r="H1" s="7" t="s">
        <v>5</v>
      </c>
      <c r="I1" s="17" t="s">
        <v>41</v>
      </c>
      <c r="J1" s="18" t="s">
        <v>44</v>
      </c>
      <c r="K1" s="18" t="s">
        <v>43</v>
      </c>
      <c r="L1" s="7" t="s">
        <v>6</v>
      </c>
      <c r="M1" s="7" t="s">
        <v>7</v>
      </c>
      <c r="N1" s="7" t="s">
        <v>11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</row>
    <row r="2" spans="1:19" s="12" customFormat="1" x14ac:dyDescent="0.25">
      <c r="A2" s="12" t="s">
        <v>36</v>
      </c>
      <c r="B2" s="12" t="s">
        <v>37</v>
      </c>
      <c r="C2" s="13">
        <v>4351775951</v>
      </c>
      <c r="D2" s="12" t="s">
        <v>38</v>
      </c>
      <c r="E2" s="14">
        <v>0</v>
      </c>
      <c r="F2" s="14">
        <v>0</v>
      </c>
      <c r="G2" s="14">
        <v>-231.27</v>
      </c>
      <c r="H2" s="15">
        <v>46101</v>
      </c>
      <c r="I2" s="15"/>
      <c r="J2" s="13"/>
      <c r="K2" s="13"/>
      <c r="L2" s="15"/>
      <c r="M2" s="15">
        <v>46101</v>
      </c>
      <c r="O2" s="12" t="s">
        <v>27</v>
      </c>
      <c r="P2" s="14">
        <v>0</v>
      </c>
      <c r="Q2" s="12" t="s">
        <v>28</v>
      </c>
      <c r="R2" s="16">
        <v>0</v>
      </c>
      <c r="S2" s="12" t="s">
        <v>29</v>
      </c>
    </row>
    <row r="3" spans="1:19" s="12" customFormat="1" x14ac:dyDescent="0.25">
      <c r="A3" s="12" t="s">
        <v>22</v>
      </c>
      <c r="B3" s="12" t="s">
        <v>23</v>
      </c>
      <c r="C3" s="13">
        <v>4151711124</v>
      </c>
      <c r="D3" s="12" t="s">
        <v>24</v>
      </c>
      <c r="E3" s="14">
        <v>0</v>
      </c>
      <c r="F3" s="14">
        <v>0</v>
      </c>
      <c r="G3" s="14">
        <v>-154.88999999999999</v>
      </c>
      <c r="H3" s="15">
        <v>46101</v>
      </c>
      <c r="I3" s="15"/>
      <c r="J3" s="13"/>
      <c r="K3" s="13"/>
      <c r="L3" s="15"/>
      <c r="M3" s="15">
        <v>46101</v>
      </c>
      <c r="O3" s="12" t="s">
        <v>27</v>
      </c>
      <c r="P3" s="14">
        <v>0</v>
      </c>
      <c r="Q3" s="12" t="s">
        <v>28</v>
      </c>
      <c r="R3" s="16">
        <v>0</v>
      </c>
      <c r="S3" s="12" t="s">
        <v>29</v>
      </c>
    </row>
    <row r="4" spans="1:19" ht="30" x14ac:dyDescent="0.25">
      <c r="A4" s="8" t="s">
        <v>30</v>
      </c>
      <c r="B4" s="8" t="s">
        <v>31</v>
      </c>
      <c r="C4" s="6">
        <v>4151785226</v>
      </c>
      <c r="D4" s="8" t="s">
        <v>35</v>
      </c>
      <c r="E4" s="9">
        <v>40.83</v>
      </c>
      <c r="F4" s="9">
        <v>0</v>
      </c>
      <c r="G4" s="9">
        <v>40.83</v>
      </c>
      <c r="H4" s="10">
        <v>46097</v>
      </c>
      <c r="I4" s="1">
        <v>46096</v>
      </c>
      <c r="J4" s="5">
        <f>SUM(P4/12)</f>
        <v>34.9</v>
      </c>
      <c r="K4" s="19">
        <f>SUM(J4*R4)</f>
        <v>4.5369999999999999</v>
      </c>
      <c r="L4" s="10"/>
      <c r="M4" s="10">
        <v>46101</v>
      </c>
      <c r="N4" s="8" t="s">
        <v>33</v>
      </c>
      <c r="O4" s="8" t="s">
        <v>34</v>
      </c>
      <c r="P4" s="9">
        <v>418.8</v>
      </c>
      <c r="Q4" s="8" t="s">
        <v>28</v>
      </c>
      <c r="R4" s="11">
        <v>0.13</v>
      </c>
      <c r="S4" s="8" t="s">
        <v>42</v>
      </c>
    </row>
    <row r="5" spans="1:19" ht="45" x14ac:dyDescent="0.25">
      <c r="A5" s="8" t="s">
        <v>30</v>
      </c>
      <c r="B5" s="8" t="s">
        <v>31</v>
      </c>
      <c r="C5" s="6">
        <v>4151777969</v>
      </c>
      <c r="D5" s="8" t="s">
        <v>32</v>
      </c>
      <c r="E5" s="9">
        <v>345.33</v>
      </c>
      <c r="F5" s="9">
        <v>0</v>
      </c>
      <c r="G5" s="9">
        <v>345.33</v>
      </c>
      <c r="H5" s="10">
        <v>46101</v>
      </c>
      <c r="I5" s="1">
        <v>46101</v>
      </c>
      <c r="J5" s="5">
        <f>SUM(P5/12)</f>
        <v>40.39</v>
      </c>
      <c r="K5" s="19">
        <f>SUM(J5*R5)</f>
        <v>38.3705</v>
      </c>
      <c r="L5" s="10"/>
      <c r="M5" s="10">
        <v>46101</v>
      </c>
      <c r="N5" s="8" t="s">
        <v>33</v>
      </c>
      <c r="O5" s="8" t="s">
        <v>34</v>
      </c>
      <c r="P5" s="9">
        <v>484.68</v>
      </c>
      <c r="Q5" s="8" t="s">
        <v>28</v>
      </c>
      <c r="R5" s="11">
        <v>0.95</v>
      </c>
      <c r="S5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2026-03-23T09:58:08Z</dcterms:created>
  <dcterms:modified xsi:type="dcterms:W3CDTF">2026-03-25T16:50:24Z</dcterms:modified>
</cp:coreProperties>
</file>