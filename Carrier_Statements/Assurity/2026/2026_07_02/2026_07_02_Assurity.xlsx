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hared drives\Main Line Benefits Office\Commissions\Commission_Processing\Carrier_Statements\Assurity\2026\2026_07_02\"/>
    </mc:Choice>
  </mc:AlternateContent>
  <xr:revisionPtr revIDLastSave="0" documentId="13_ncr:1_{3E24F9E9-CF6C-488A-B2B7-FBAF661C4B0C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Policy Details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8" i="2" l="1"/>
  <c r="M3" i="2"/>
  <c r="N3" i="2" s="1"/>
  <c r="M4" i="2"/>
  <c r="N4" i="2" s="1"/>
  <c r="M5" i="2"/>
  <c r="N5" i="2" s="1"/>
  <c r="M6" i="2"/>
  <c r="N6" i="2" s="1"/>
  <c r="M7" i="2"/>
  <c r="N7" i="2" s="1"/>
  <c r="M8" i="2"/>
  <c r="M9" i="2"/>
  <c r="N9" i="2" s="1"/>
  <c r="M10" i="2"/>
  <c r="N10" i="2" s="1"/>
  <c r="M2" i="2"/>
  <c r="N2" i="2" s="1"/>
</calcChain>
</file>

<file path=xl/sharedStrings.xml><?xml version="1.0" encoding="utf-8"?>
<sst xmlns="http://schemas.openxmlformats.org/spreadsheetml/2006/main" count="446" uniqueCount="76">
  <si>
    <t>Agent ID Paid</t>
  </si>
  <si>
    <t>Writing Agent</t>
  </si>
  <si>
    <t>Writing Agent ID</t>
  </si>
  <si>
    <t>Policy Number</t>
  </si>
  <si>
    <t>Primary Insured</t>
  </si>
  <si>
    <t>Transaction Date</t>
  </si>
  <si>
    <t>Premium Due Date</t>
  </si>
  <si>
    <t>Payment Date</t>
  </si>
  <si>
    <t>Employer ID</t>
  </si>
  <si>
    <t>Employer Name</t>
  </si>
  <si>
    <t>Line of Business</t>
  </si>
  <si>
    <t>Product Description</t>
  </si>
  <si>
    <t>Contract</t>
  </si>
  <si>
    <t>Mode</t>
  </si>
  <si>
    <t>Mode Premium</t>
  </si>
  <si>
    <t>Commission Type</t>
  </si>
  <si>
    <t>Commission Rate</t>
  </si>
  <si>
    <t>Chargeback Reason</t>
  </si>
  <si>
    <t>Commission</t>
  </si>
  <si>
    <t>Advance Recovery</t>
  </si>
  <si>
    <t>Net Commission</t>
  </si>
  <si>
    <t>5TRR</t>
  </si>
  <si>
    <t>Richter, Adam</t>
  </si>
  <si>
    <t>2BNY</t>
  </si>
  <si>
    <t>4151701153</t>
  </si>
  <si>
    <t>Mitchell, Kenneth</t>
  </si>
  <si>
    <t>H</t>
  </si>
  <si>
    <t>85</t>
  </si>
  <si>
    <t>Unknown</t>
  </si>
  <si>
    <t>FirstYear</t>
  </si>
  <si>
    <t>UNSECURED ADVANCE RECOVERY</t>
  </si>
  <si>
    <t>4151709748</t>
  </si>
  <si>
    <t>Goldman, Judith</t>
  </si>
  <si>
    <t>4151709926</t>
  </si>
  <si>
    <t>Johnson, Christopher</t>
  </si>
  <si>
    <t>4151709932</t>
  </si>
  <si>
    <t>O'malley-Posada, Marigan</t>
  </si>
  <si>
    <t>Max, Ronald</t>
  </si>
  <si>
    <t>6NBL</t>
  </si>
  <si>
    <t>4151710328</t>
  </si>
  <si>
    <t>Lamarca, Robert</t>
  </si>
  <si>
    <t>Adcock, Robert</t>
  </si>
  <si>
    <t>6F9Z</t>
  </si>
  <si>
    <t>4151788791</t>
  </si>
  <si>
    <t>Lord, Natalie</t>
  </si>
  <si>
    <t>4151815063</t>
  </si>
  <si>
    <t>Lee, Jonathan</t>
  </si>
  <si>
    <t>Accident Insurance</t>
  </si>
  <si>
    <t>Monthly</t>
  </si>
  <si>
    <t>4151815376</t>
  </si>
  <si>
    <t>Bergman, Elizabeth</t>
  </si>
  <si>
    <t>4151820949</t>
  </si>
  <si>
    <t>Sharaby, Sar Shalom</t>
  </si>
  <si>
    <t>4151820956</t>
  </si>
  <si>
    <t>Fessel, Ezra</t>
  </si>
  <si>
    <t>4151820958</t>
  </si>
  <si>
    <t>Fessel, Nick</t>
  </si>
  <si>
    <t>4151821265</t>
  </si>
  <si>
    <t>Menasria, Youcef</t>
  </si>
  <si>
    <t>4151822565</t>
  </si>
  <si>
    <t>Shearn, Monique</t>
  </si>
  <si>
    <t>4151827318</t>
  </si>
  <si>
    <t>Schultz, Pamela</t>
  </si>
  <si>
    <t>4151828915</t>
  </si>
  <si>
    <t>Gillespie, Darchelle</t>
  </si>
  <si>
    <t>Eff Datw</t>
  </si>
  <si>
    <t>Paid to Date</t>
  </si>
  <si>
    <t>critical illness(80)</t>
  </si>
  <si>
    <t>1-3 2024- Accident Insurance All States Applicable Except (CO/MN/SD/WA) 95%</t>
  </si>
  <si>
    <t>17554531AV9O</t>
  </si>
  <si>
    <t>AE</t>
  </si>
  <si>
    <t>AV</t>
  </si>
  <si>
    <t>Duplicates</t>
  </si>
  <si>
    <t>1-3 replace Accident Insurance All States Applicable Except (CO/MN/SD/WA) 81%</t>
  </si>
  <si>
    <t>RN</t>
  </si>
  <si>
    <t>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</si>
</sst>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>
    <font>
      <sz val="11"/>
      <name val="Calibri"/>
    </font>
    <font>
      <b/>
      <sz val="11"/>
      <name val="Arial"/>
      <family val="2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5E4DB"/>
        <bgColor rgb="FFC5E4DB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8"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164" fontId="0" fillId="0" borderId="0" xfId="0" applyNumberFormat="1" applyAlignment="1">
      <alignment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10" fontId="0" fillId="0" borderId="0" xfId="0" applyNumberFormat="1" applyAlignment="1">
      <alignment vertical="center" wrapText="1"/>
    </xf>
    <xf numFmtId="0" fontId="0" fillId="0" borderId="0" xfId="0" applyNumberFormat="1" applyAlignment="1">
      <alignment vertical="center" wrapText="1"/>
    </xf>
    <xf numFmtId="0" fontId="0" fillId="3" borderId="0" xfId="0" applyFill="1" applyAlignment="1">
      <alignment vertical="center" wrapText="1"/>
    </xf>
    <xf numFmtId="0" fontId="0" fillId="3" borderId="0" xfId="0" applyNumberFormat="1" applyFill="1" applyAlignment="1">
      <alignment vertical="center" wrapText="1"/>
    </xf>
    <xf numFmtId="14" fontId="0" fillId="3" borderId="0" xfId="0" applyNumberFormat="1" applyFill="1" applyAlignment="1">
      <alignment vertical="center" wrapText="1"/>
    </xf>
    <xf numFmtId="164" fontId="0" fillId="3" borderId="0" xfId="0" applyNumberFormat="1" applyFill="1" applyAlignment="1">
      <alignment vertical="center" wrapText="1"/>
    </xf>
    <xf numFmtId="10" fontId="0" fillId="3" borderId="0" xfId="0" applyNumberFormat="1" applyFill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3" borderId="0" xfId="0" applyFill="1" applyAlignment="1">
      <alignment horizontal="left" vertical="center" wrapText="1"/>
    </xf>
    <xf numFmtId="0" fontId="0" fillId="4" borderId="0" xfId="0" applyFill="1" applyAlignment="1">
      <alignment vertical="center" wrapText="1"/>
    </xf>
    <xf numFmtId="0" fontId="0" fillId="4" borderId="0" xfId="0" applyFill="1" applyAlignment="1">
      <alignment horizontal="left" vertical="center" wrapText="1"/>
    </xf>
    <xf numFmtId="0" fontId="0" fillId="4" borderId="0" xfId="0" applyNumberFormat="1" applyFill="1" applyAlignment="1">
      <alignment vertical="center" wrapText="1"/>
    </xf>
    <xf numFmtId="14" fontId="0" fillId="4" borderId="0" xfId="0" applyNumberFormat="1" applyFill="1" applyAlignment="1">
      <alignment vertical="center" wrapText="1"/>
    </xf>
    <xf numFmtId="164" fontId="0" fillId="4" borderId="0" xfId="0" applyNumberFormat="1" applyFill="1" applyAlignment="1">
      <alignment vertical="center" wrapText="1"/>
    </xf>
    <xf numFmtId="10" fontId="0" fillId="4" borderId="0" xfId="0" applyNumberFormat="1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5" borderId="0" xfId="0" applyFill="1" applyAlignment="1">
      <alignment horizontal="left" vertical="center" wrapText="1"/>
    </xf>
    <xf numFmtId="0" fontId="0" fillId="5" borderId="0" xfId="0" applyNumberFormat="1" applyFill="1" applyAlignment="1">
      <alignment vertical="center" wrapText="1"/>
    </xf>
    <xf numFmtId="14" fontId="0" fillId="5" borderId="0" xfId="0" applyNumberFormat="1" applyFill="1" applyAlignment="1">
      <alignment vertical="center" wrapText="1"/>
    </xf>
    <xf numFmtId="164" fontId="0" fillId="5" borderId="0" xfId="0" applyNumberFormat="1" applyFill="1" applyAlignment="1">
      <alignment vertical="center" wrapText="1"/>
    </xf>
    <xf numFmtId="10" fontId="0" fillId="5" borderId="0" xfId="0" applyNumberFormat="1" applyFill="1" applyAlignment="1">
      <alignment vertical="center" wrapText="1"/>
    </xf>
    <xf numFmtId="0" fontId="2" fillId="5" borderId="0" xfId="0" applyFont="1" applyFill="1" applyAlignment="1">
      <alignment vertical="center" wrapText="1"/>
    </xf>
    <xf numFmtId="0" fontId="2" fillId="4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5"/>
  <sheetViews>
    <sheetView workbookViewId="0">
      <selection sqref="A1:XFD1048576"/>
    </sheetView>
  </sheetViews>
  <sheetFormatPr defaultRowHeight="15"/>
  <cols>
    <col min="1" max="2" width="25.140625" bestFit="1" customWidth="1"/>
    <col min="3" max="3" width="28.140625" bestFit="1" customWidth="1"/>
    <col min="4" max="4" width="25.140625" bestFit="1" customWidth="1"/>
    <col min="5" max="5" width="31.140625" bestFit="1" customWidth="1"/>
    <col min="6" max="6" width="30.140625" bestFit="1" customWidth="1"/>
    <col min="7" max="7" width="28.140625" bestFit="1" customWidth="1"/>
    <col min="8" max="8" width="30.140625" bestFit="1" customWidth="1"/>
    <col min="9" max="9" width="23.140625" bestFit="1" customWidth="1"/>
    <col min="10" max="10" width="25.140625" bestFit="1" customWidth="1"/>
    <col min="11" max="11" width="28.140625" bestFit="1" customWidth="1"/>
    <col min="12" max="12" width="31.140625" bestFit="1" customWidth="1"/>
    <col min="13" max="13" width="20.140625" bestFit="1" customWidth="1"/>
    <col min="14" max="14" width="16.140625" bestFit="1" customWidth="1"/>
    <col min="15" max="15" width="24.140625" bestFit="1" customWidth="1"/>
    <col min="16" max="17" width="27.140625" bestFit="1" customWidth="1"/>
    <col min="18" max="18" width="33.140625" bestFit="1" customWidth="1"/>
    <col min="19" max="19" width="22.140625" bestFit="1" customWidth="1"/>
    <col min="20" max="20" width="28.140625" bestFit="1" customWidth="1"/>
    <col min="21" max="21" width="26.140625" bestFit="1" customWidth="1"/>
  </cols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s="1">
        <v>46205</v>
      </c>
      <c r="G2" s="1"/>
      <c r="H2" s="1">
        <v>46206</v>
      </c>
      <c r="K2" t="s">
        <v>26</v>
      </c>
      <c r="M2" t="s">
        <v>27</v>
      </c>
      <c r="N2" t="s">
        <v>28</v>
      </c>
      <c r="O2" s="2">
        <v>0</v>
      </c>
      <c r="P2" t="s">
        <v>29</v>
      </c>
      <c r="Q2" s="4">
        <v>0</v>
      </c>
      <c r="R2" t="s">
        <v>30</v>
      </c>
      <c r="S2" s="2">
        <v>0</v>
      </c>
      <c r="T2" s="2">
        <v>0</v>
      </c>
      <c r="U2" s="2">
        <v>-0.01</v>
      </c>
    </row>
    <row r="3" spans="1:21">
      <c r="A3" t="s">
        <v>21</v>
      </c>
      <c r="B3" t="s">
        <v>22</v>
      </c>
      <c r="C3" t="s">
        <v>23</v>
      </c>
      <c r="D3" t="s">
        <v>31</v>
      </c>
      <c r="E3" t="s">
        <v>32</v>
      </c>
      <c r="F3" s="1">
        <v>46205</v>
      </c>
      <c r="G3" s="1"/>
      <c r="H3" s="1">
        <v>46206</v>
      </c>
      <c r="K3" t="s">
        <v>26</v>
      </c>
      <c r="M3" t="s">
        <v>27</v>
      </c>
      <c r="N3" t="s">
        <v>28</v>
      </c>
      <c r="O3" s="2">
        <v>0</v>
      </c>
      <c r="P3" t="s">
        <v>29</v>
      </c>
      <c r="Q3" s="4">
        <v>0</v>
      </c>
      <c r="R3" t="s">
        <v>30</v>
      </c>
      <c r="S3" s="2">
        <v>0</v>
      </c>
      <c r="T3" s="2">
        <v>0</v>
      </c>
      <c r="U3" s="2">
        <v>-0.03</v>
      </c>
    </row>
    <row r="4" spans="1:21">
      <c r="A4" t="s">
        <v>21</v>
      </c>
      <c r="B4" t="s">
        <v>22</v>
      </c>
      <c r="C4" t="s">
        <v>23</v>
      </c>
      <c r="D4" t="s">
        <v>33</v>
      </c>
      <c r="E4" t="s">
        <v>34</v>
      </c>
      <c r="F4" s="1">
        <v>46205</v>
      </c>
      <c r="G4" s="1"/>
      <c r="H4" s="1">
        <v>46206</v>
      </c>
      <c r="K4" t="s">
        <v>26</v>
      </c>
      <c r="M4" t="s">
        <v>27</v>
      </c>
      <c r="N4" t="s">
        <v>28</v>
      </c>
      <c r="O4" s="2">
        <v>0</v>
      </c>
      <c r="P4" t="s">
        <v>29</v>
      </c>
      <c r="Q4" s="4">
        <v>0</v>
      </c>
      <c r="R4" t="s">
        <v>30</v>
      </c>
      <c r="S4" s="2">
        <v>0</v>
      </c>
      <c r="T4" s="2">
        <v>0</v>
      </c>
      <c r="U4" s="2">
        <v>-0.01</v>
      </c>
    </row>
    <row r="5" spans="1:21">
      <c r="A5" t="s">
        <v>21</v>
      </c>
      <c r="B5" t="s">
        <v>22</v>
      </c>
      <c r="C5" t="s">
        <v>23</v>
      </c>
      <c r="D5" t="s">
        <v>35</v>
      </c>
      <c r="E5" t="s">
        <v>36</v>
      </c>
      <c r="F5" s="1">
        <v>46205</v>
      </c>
      <c r="G5" s="1"/>
      <c r="H5" s="1">
        <v>46206</v>
      </c>
      <c r="K5" t="s">
        <v>26</v>
      </c>
      <c r="M5" t="s">
        <v>27</v>
      </c>
      <c r="N5" t="s">
        <v>28</v>
      </c>
      <c r="O5" s="2">
        <v>0</v>
      </c>
      <c r="P5" t="s">
        <v>29</v>
      </c>
      <c r="Q5" s="4">
        <v>0</v>
      </c>
      <c r="R5" t="s">
        <v>30</v>
      </c>
      <c r="S5" s="2">
        <v>0</v>
      </c>
      <c r="T5" s="2">
        <v>0</v>
      </c>
      <c r="U5" s="2">
        <v>-0.03</v>
      </c>
    </row>
    <row r="6" spans="1:21">
      <c r="A6" t="s">
        <v>21</v>
      </c>
      <c r="B6" t="s">
        <v>37</v>
      </c>
      <c r="C6" t="s">
        <v>38</v>
      </c>
      <c r="D6" t="s">
        <v>39</v>
      </c>
      <c r="E6" t="s">
        <v>40</v>
      </c>
      <c r="F6" s="1">
        <v>46205</v>
      </c>
      <c r="G6" s="1"/>
      <c r="H6" s="1">
        <v>46206</v>
      </c>
      <c r="K6" t="s">
        <v>26</v>
      </c>
      <c r="M6" t="s">
        <v>27</v>
      </c>
      <c r="N6" t="s">
        <v>28</v>
      </c>
      <c r="O6" s="2">
        <v>0</v>
      </c>
      <c r="P6" t="s">
        <v>29</v>
      </c>
      <c r="Q6" s="4">
        <v>0</v>
      </c>
      <c r="R6" t="s">
        <v>30</v>
      </c>
      <c r="S6" s="2">
        <v>0</v>
      </c>
      <c r="T6" s="2">
        <v>0</v>
      </c>
      <c r="U6" s="2">
        <v>-0.03</v>
      </c>
    </row>
    <row r="7" spans="1:21">
      <c r="A7" t="s">
        <v>21</v>
      </c>
      <c r="B7" t="s">
        <v>41</v>
      </c>
      <c r="C7" t="s">
        <v>42</v>
      </c>
      <c r="D7" t="s">
        <v>43</v>
      </c>
      <c r="E7" t="s">
        <v>44</v>
      </c>
      <c r="F7" s="1">
        <v>46205</v>
      </c>
      <c r="G7" s="1"/>
      <c r="H7" s="1">
        <v>46206</v>
      </c>
      <c r="K7" t="s">
        <v>26</v>
      </c>
      <c r="M7" t="s">
        <v>27</v>
      </c>
      <c r="N7" t="s">
        <v>28</v>
      </c>
      <c r="O7" s="2">
        <v>0</v>
      </c>
      <c r="P7" t="s">
        <v>29</v>
      </c>
      <c r="Q7" s="4">
        <v>0</v>
      </c>
      <c r="R7" t="s">
        <v>30</v>
      </c>
      <c r="S7" s="2">
        <v>0</v>
      </c>
      <c r="T7" s="2">
        <v>0</v>
      </c>
      <c r="U7" s="2">
        <v>-656.36</v>
      </c>
    </row>
    <row r="8" spans="1:21">
      <c r="A8" t="s">
        <v>21</v>
      </c>
      <c r="B8" t="s">
        <v>22</v>
      </c>
      <c r="C8" t="s">
        <v>23</v>
      </c>
      <c r="D8" t="s">
        <v>45</v>
      </c>
      <c r="E8" t="s">
        <v>46</v>
      </c>
      <c r="F8" s="1">
        <v>46204</v>
      </c>
      <c r="G8" s="1"/>
      <c r="H8" s="1">
        <v>46206</v>
      </c>
      <c r="K8" t="s">
        <v>26</v>
      </c>
      <c r="L8" t="s">
        <v>47</v>
      </c>
      <c r="M8" t="s">
        <v>27</v>
      </c>
      <c r="N8" t="s">
        <v>48</v>
      </c>
      <c r="O8" s="2">
        <v>484.68</v>
      </c>
      <c r="P8" t="s">
        <v>29</v>
      </c>
      <c r="Q8" s="4">
        <v>0</v>
      </c>
      <c r="S8" s="2">
        <v>0</v>
      </c>
      <c r="T8" s="2">
        <v>0</v>
      </c>
      <c r="U8" s="2">
        <v>0</v>
      </c>
    </row>
    <row r="9" spans="1:21">
      <c r="A9" t="s">
        <v>21</v>
      </c>
      <c r="B9" t="s">
        <v>22</v>
      </c>
      <c r="C9" t="s">
        <v>23</v>
      </c>
      <c r="D9" t="s">
        <v>45</v>
      </c>
      <c r="E9" t="s">
        <v>46</v>
      </c>
      <c r="F9" s="1">
        <v>46204</v>
      </c>
      <c r="G9" s="1"/>
      <c r="H9" s="1">
        <v>46206</v>
      </c>
      <c r="K9" t="s">
        <v>26</v>
      </c>
      <c r="L9" t="s">
        <v>47</v>
      </c>
      <c r="M9" t="s">
        <v>27</v>
      </c>
      <c r="N9" t="s">
        <v>48</v>
      </c>
      <c r="O9" s="2">
        <v>484.68</v>
      </c>
      <c r="P9" t="s">
        <v>29</v>
      </c>
      <c r="Q9" s="4">
        <v>0.95</v>
      </c>
      <c r="S9" s="2">
        <v>345.33</v>
      </c>
      <c r="T9" s="2">
        <v>0</v>
      </c>
      <c r="U9" s="2">
        <v>345.33</v>
      </c>
    </row>
    <row r="10" spans="1:21">
      <c r="A10" t="s">
        <v>21</v>
      </c>
      <c r="B10" t="s">
        <v>22</v>
      </c>
      <c r="C10" t="s">
        <v>23</v>
      </c>
      <c r="D10" t="s">
        <v>49</v>
      </c>
      <c r="E10" t="s">
        <v>50</v>
      </c>
      <c r="F10" s="1">
        <v>46204</v>
      </c>
      <c r="G10" s="1"/>
      <c r="H10" s="1">
        <v>46206</v>
      </c>
      <c r="K10" t="s">
        <v>26</v>
      </c>
      <c r="L10" t="s">
        <v>47</v>
      </c>
      <c r="M10" t="s">
        <v>27</v>
      </c>
      <c r="N10" t="s">
        <v>48</v>
      </c>
      <c r="O10" s="2">
        <v>640.91999999999996</v>
      </c>
      <c r="P10" t="s">
        <v>29</v>
      </c>
      <c r="Q10" s="4">
        <v>0</v>
      </c>
      <c r="S10" s="2">
        <v>0</v>
      </c>
      <c r="T10" s="2">
        <v>0</v>
      </c>
      <c r="U10" s="2">
        <v>0</v>
      </c>
    </row>
    <row r="11" spans="1:21">
      <c r="A11" t="s">
        <v>21</v>
      </c>
      <c r="B11" t="s">
        <v>22</v>
      </c>
      <c r="C11" t="s">
        <v>23</v>
      </c>
      <c r="D11" t="s">
        <v>49</v>
      </c>
      <c r="E11" t="s">
        <v>50</v>
      </c>
      <c r="F11" s="1">
        <v>46204</v>
      </c>
      <c r="G11" s="1"/>
      <c r="H11" s="1">
        <v>46206</v>
      </c>
      <c r="K11" t="s">
        <v>26</v>
      </c>
      <c r="L11" t="s">
        <v>47</v>
      </c>
      <c r="M11" t="s">
        <v>27</v>
      </c>
      <c r="N11" t="s">
        <v>48</v>
      </c>
      <c r="O11" s="2">
        <v>640.91999999999996</v>
      </c>
      <c r="P11" t="s">
        <v>29</v>
      </c>
      <c r="Q11" s="4">
        <v>0.95</v>
      </c>
      <c r="S11" s="2">
        <v>456.65</v>
      </c>
      <c r="T11" s="2">
        <v>0</v>
      </c>
      <c r="U11" s="2">
        <v>456.65</v>
      </c>
    </row>
    <row r="12" spans="1:21">
      <c r="A12" t="s">
        <v>21</v>
      </c>
      <c r="B12" t="s">
        <v>22</v>
      </c>
      <c r="C12" t="s">
        <v>23</v>
      </c>
      <c r="D12" t="s">
        <v>51</v>
      </c>
      <c r="E12" t="s">
        <v>52</v>
      </c>
      <c r="F12" s="1">
        <v>46204</v>
      </c>
      <c r="G12" s="1"/>
      <c r="H12" s="1">
        <v>46206</v>
      </c>
      <c r="K12" t="s">
        <v>26</v>
      </c>
      <c r="L12" t="s">
        <v>47</v>
      </c>
      <c r="M12" t="s">
        <v>27</v>
      </c>
      <c r="N12" t="s">
        <v>48</v>
      </c>
      <c r="O12" s="2">
        <v>484.68</v>
      </c>
      <c r="P12" t="s">
        <v>29</v>
      </c>
      <c r="Q12" s="4">
        <v>0</v>
      </c>
      <c r="S12" s="2">
        <v>0</v>
      </c>
      <c r="T12" s="2">
        <v>0</v>
      </c>
      <c r="U12" s="2">
        <v>0</v>
      </c>
    </row>
    <row r="13" spans="1:21">
      <c r="A13" t="s">
        <v>21</v>
      </c>
      <c r="B13" t="s">
        <v>22</v>
      </c>
      <c r="C13" t="s">
        <v>23</v>
      </c>
      <c r="D13" t="s">
        <v>51</v>
      </c>
      <c r="E13" t="s">
        <v>52</v>
      </c>
      <c r="F13" s="1">
        <v>46204</v>
      </c>
      <c r="G13" s="1"/>
      <c r="H13" s="1">
        <v>46206</v>
      </c>
      <c r="K13" t="s">
        <v>26</v>
      </c>
      <c r="L13" t="s">
        <v>47</v>
      </c>
      <c r="M13" t="s">
        <v>27</v>
      </c>
      <c r="N13" t="s">
        <v>48</v>
      </c>
      <c r="O13" s="2">
        <v>484.68</v>
      </c>
      <c r="P13" t="s">
        <v>29</v>
      </c>
      <c r="Q13" s="4">
        <v>0.95</v>
      </c>
      <c r="S13" s="2">
        <v>345.33</v>
      </c>
      <c r="T13" s="2">
        <v>0</v>
      </c>
      <c r="U13" s="2">
        <v>345.33</v>
      </c>
    </row>
    <row r="14" spans="1:21">
      <c r="A14" t="s">
        <v>21</v>
      </c>
      <c r="B14" t="s">
        <v>22</v>
      </c>
      <c r="C14" t="s">
        <v>23</v>
      </c>
      <c r="D14" t="s">
        <v>53</v>
      </c>
      <c r="E14" t="s">
        <v>54</v>
      </c>
      <c r="F14" s="1">
        <v>46204</v>
      </c>
      <c r="G14" s="1"/>
      <c r="H14" s="1">
        <v>46206</v>
      </c>
      <c r="K14" t="s">
        <v>26</v>
      </c>
      <c r="L14" t="s">
        <v>47</v>
      </c>
      <c r="M14" t="s">
        <v>27</v>
      </c>
      <c r="N14" t="s">
        <v>48</v>
      </c>
      <c r="O14" s="2">
        <v>484.68</v>
      </c>
      <c r="P14" t="s">
        <v>29</v>
      </c>
      <c r="Q14" s="4">
        <v>0</v>
      </c>
      <c r="S14" s="2">
        <v>0</v>
      </c>
      <c r="T14" s="2">
        <v>0</v>
      </c>
      <c r="U14" s="2">
        <v>0</v>
      </c>
    </row>
    <row r="15" spans="1:21">
      <c r="A15" t="s">
        <v>21</v>
      </c>
      <c r="B15" t="s">
        <v>22</v>
      </c>
      <c r="C15" t="s">
        <v>23</v>
      </c>
      <c r="D15" t="s">
        <v>53</v>
      </c>
      <c r="E15" t="s">
        <v>54</v>
      </c>
      <c r="F15" s="1">
        <v>46204</v>
      </c>
      <c r="G15" s="1"/>
      <c r="H15" s="1">
        <v>46206</v>
      </c>
      <c r="K15" t="s">
        <v>26</v>
      </c>
      <c r="L15" t="s">
        <v>47</v>
      </c>
      <c r="M15" t="s">
        <v>27</v>
      </c>
      <c r="N15" t="s">
        <v>48</v>
      </c>
      <c r="O15" s="2">
        <v>484.68</v>
      </c>
      <c r="P15" t="s">
        <v>29</v>
      </c>
      <c r="Q15" s="4">
        <v>0.95</v>
      </c>
      <c r="S15" s="2">
        <v>345.33</v>
      </c>
      <c r="T15" s="2">
        <v>0</v>
      </c>
      <c r="U15" s="2">
        <v>345.33</v>
      </c>
    </row>
    <row r="16" spans="1:21">
      <c r="A16" t="s">
        <v>21</v>
      </c>
      <c r="B16" t="s">
        <v>22</v>
      </c>
      <c r="C16" t="s">
        <v>23</v>
      </c>
      <c r="D16" t="s">
        <v>55</v>
      </c>
      <c r="E16" t="s">
        <v>56</v>
      </c>
      <c r="F16" s="1">
        <v>46204</v>
      </c>
      <c r="G16" s="1"/>
      <c r="H16" s="1">
        <v>46206</v>
      </c>
      <c r="K16" t="s">
        <v>26</v>
      </c>
      <c r="L16" t="s">
        <v>47</v>
      </c>
      <c r="M16" t="s">
        <v>27</v>
      </c>
      <c r="N16" t="s">
        <v>48</v>
      </c>
      <c r="O16" s="2">
        <v>484.68</v>
      </c>
      <c r="P16" t="s">
        <v>29</v>
      </c>
      <c r="Q16" s="4">
        <v>0</v>
      </c>
      <c r="S16" s="2">
        <v>0</v>
      </c>
      <c r="T16" s="2">
        <v>0</v>
      </c>
      <c r="U16" s="2">
        <v>0</v>
      </c>
    </row>
    <row r="17" spans="1:21">
      <c r="A17" t="s">
        <v>21</v>
      </c>
      <c r="B17" t="s">
        <v>22</v>
      </c>
      <c r="C17" t="s">
        <v>23</v>
      </c>
      <c r="D17" t="s">
        <v>55</v>
      </c>
      <c r="E17" t="s">
        <v>56</v>
      </c>
      <c r="F17" s="1">
        <v>46204</v>
      </c>
      <c r="G17" s="1"/>
      <c r="H17" s="1">
        <v>46206</v>
      </c>
      <c r="K17" t="s">
        <v>26</v>
      </c>
      <c r="L17" t="s">
        <v>47</v>
      </c>
      <c r="M17" t="s">
        <v>27</v>
      </c>
      <c r="N17" t="s">
        <v>48</v>
      </c>
      <c r="O17" s="2">
        <v>484.68</v>
      </c>
      <c r="P17" t="s">
        <v>29</v>
      </c>
      <c r="Q17" s="4">
        <v>0.95</v>
      </c>
      <c r="S17" s="2">
        <v>345.33</v>
      </c>
      <c r="T17" s="2">
        <v>0</v>
      </c>
      <c r="U17" s="2">
        <v>345.33</v>
      </c>
    </row>
    <row r="18" spans="1:21">
      <c r="A18" t="s">
        <v>21</v>
      </c>
      <c r="B18" t="s">
        <v>22</v>
      </c>
      <c r="C18" t="s">
        <v>23</v>
      </c>
      <c r="D18" t="s">
        <v>57</v>
      </c>
      <c r="E18" t="s">
        <v>58</v>
      </c>
      <c r="F18" s="1">
        <v>46204</v>
      </c>
      <c r="G18" s="1"/>
      <c r="H18" s="1">
        <v>46206</v>
      </c>
      <c r="K18" t="s">
        <v>26</v>
      </c>
      <c r="L18" t="s">
        <v>47</v>
      </c>
      <c r="M18" t="s">
        <v>27</v>
      </c>
      <c r="N18" t="s">
        <v>48</v>
      </c>
      <c r="O18" s="2">
        <v>484.68</v>
      </c>
      <c r="P18" t="s">
        <v>29</v>
      </c>
      <c r="Q18" s="4">
        <v>0</v>
      </c>
      <c r="S18" s="2">
        <v>0</v>
      </c>
      <c r="T18" s="2">
        <v>0</v>
      </c>
      <c r="U18" s="2">
        <v>0</v>
      </c>
    </row>
    <row r="19" spans="1:21">
      <c r="A19" t="s">
        <v>21</v>
      </c>
      <c r="B19" t="s">
        <v>22</v>
      </c>
      <c r="C19" t="s">
        <v>23</v>
      </c>
      <c r="D19" t="s">
        <v>57</v>
      </c>
      <c r="E19" t="s">
        <v>58</v>
      </c>
      <c r="F19" s="1">
        <v>46204</v>
      </c>
      <c r="G19" s="1"/>
      <c r="H19" s="1">
        <v>46206</v>
      </c>
      <c r="K19" t="s">
        <v>26</v>
      </c>
      <c r="L19" t="s">
        <v>47</v>
      </c>
      <c r="M19" t="s">
        <v>27</v>
      </c>
      <c r="N19" t="s">
        <v>48</v>
      </c>
      <c r="O19" s="2">
        <v>484.68</v>
      </c>
      <c r="P19" t="s">
        <v>29</v>
      </c>
      <c r="Q19" s="4">
        <v>0.95</v>
      </c>
      <c r="S19" s="2">
        <v>345.33</v>
      </c>
      <c r="T19" s="2">
        <v>0</v>
      </c>
      <c r="U19" s="2">
        <v>345.33</v>
      </c>
    </row>
    <row r="20" spans="1:21">
      <c r="A20" t="s">
        <v>21</v>
      </c>
      <c r="B20" t="s">
        <v>22</v>
      </c>
      <c r="C20" t="s">
        <v>23</v>
      </c>
      <c r="D20" t="s">
        <v>59</v>
      </c>
      <c r="E20" t="s">
        <v>60</v>
      </c>
      <c r="F20" s="1">
        <v>46204</v>
      </c>
      <c r="G20" s="1"/>
      <c r="H20" s="1">
        <v>46206</v>
      </c>
      <c r="K20" t="s">
        <v>26</v>
      </c>
      <c r="L20" t="s">
        <v>47</v>
      </c>
      <c r="M20" t="s">
        <v>27</v>
      </c>
      <c r="N20" t="s">
        <v>48</v>
      </c>
      <c r="O20" s="2">
        <v>501.6</v>
      </c>
      <c r="P20" t="s">
        <v>29</v>
      </c>
      <c r="Q20" s="4">
        <v>0</v>
      </c>
      <c r="S20" s="2">
        <v>0</v>
      </c>
      <c r="T20" s="2">
        <v>0</v>
      </c>
      <c r="U20" s="2">
        <v>0</v>
      </c>
    </row>
    <row r="21" spans="1:21">
      <c r="A21" t="s">
        <v>21</v>
      </c>
      <c r="B21" t="s">
        <v>22</v>
      </c>
      <c r="C21" t="s">
        <v>23</v>
      </c>
      <c r="D21" t="s">
        <v>59</v>
      </c>
      <c r="E21" t="s">
        <v>60</v>
      </c>
      <c r="F21" s="1">
        <v>46204</v>
      </c>
      <c r="G21" s="1"/>
      <c r="H21" s="1">
        <v>46206</v>
      </c>
      <c r="K21" t="s">
        <v>26</v>
      </c>
      <c r="L21" t="s">
        <v>47</v>
      </c>
      <c r="M21" t="s">
        <v>27</v>
      </c>
      <c r="N21" t="s">
        <v>48</v>
      </c>
      <c r="O21" s="2">
        <v>501.6</v>
      </c>
      <c r="P21" t="s">
        <v>29</v>
      </c>
      <c r="Q21" s="4">
        <v>0.81</v>
      </c>
      <c r="S21" s="2">
        <v>304.72000000000003</v>
      </c>
      <c r="T21" s="2">
        <v>0</v>
      </c>
      <c r="U21" s="2">
        <v>304.72000000000003</v>
      </c>
    </row>
    <row r="22" spans="1:21">
      <c r="A22" t="s">
        <v>21</v>
      </c>
      <c r="B22" t="s">
        <v>22</v>
      </c>
      <c r="C22" t="s">
        <v>23</v>
      </c>
      <c r="D22" t="s">
        <v>61</v>
      </c>
      <c r="E22" t="s">
        <v>62</v>
      </c>
      <c r="F22" s="1">
        <v>46204</v>
      </c>
      <c r="G22" s="1"/>
      <c r="H22" s="1">
        <v>46206</v>
      </c>
      <c r="K22" t="s">
        <v>26</v>
      </c>
      <c r="L22" t="s">
        <v>47</v>
      </c>
      <c r="M22" t="s">
        <v>27</v>
      </c>
      <c r="N22" t="s">
        <v>48</v>
      </c>
      <c r="O22" s="2">
        <v>477.96</v>
      </c>
      <c r="P22" t="s">
        <v>29</v>
      </c>
      <c r="Q22" s="4">
        <v>0</v>
      </c>
      <c r="S22" s="2">
        <v>0</v>
      </c>
      <c r="T22" s="2">
        <v>0</v>
      </c>
      <c r="U22" s="2">
        <v>0</v>
      </c>
    </row>
    <row r="23" spans="1:21">
      <c r="A23" t="s">
        <v>21</v>
      </c>
      <c r="B23" t="s">
        <v>22</v>
      </c>
      <c r="C23" t="s">
        <v>23</v>
      </c>
      <c r="D23" t="s">
        <v>61</v>
      </c>
      <c r="E23" t="s">
        <v>62</v>
      </c>
      <c r="F23" s="1">
        <v>46204</v>
      </c>
      <c r="G23" s="1"/>
      <c r="H23" s="1">
        <v>46206</v>
      </c>
      <c r="K23" t="s">
        <v>26</v>
      </c>
      <c r="L23" t="s">
        <v>47</v>
      </c>
      <c r="M23" t="s">
        <v>27</v>
      </c>
      <c r="N23" t="s">
        <v>48</v>
      </c>
      <c r="O23" s="2">
        <v>477.96</v>
      </c>
      <c r="P23" t="s">
        <v>29</v>
      </c>
      <c r="Q23" s="4">
        <v>0.95</v>
      </c>
      <c r="S23" s="2">
        <v>340.54</v>
      </c>
      <c r="T23" s="2">
        <v>0</v>
      </c>
      <c r="U23" s="2">
        <v>340.54</v>
      </c>
    </row>
    <row r="24" spans="1:21">
      <c r="A24" t="s">
        <v>21</v>
      </c>
      <c r="B24" t="s">
        <v>22</v>
      </c>
      <c r="C24" t="s">
        <v>23</v>
      </c>
      <c r="D24" t="s">
        <v>63</v>
      </c>
      <c r="E24" t="s">
        <v>64</v>
      </c>
      <c r="F24" s="1">
        <v>46205</v>
      </c>
      <c r="G24" s="1"/>
      <c r="H24" s="1">
        <v>46206</v>
      </c>
      <c r="K24" t="s">
        <v>26</v>
      </c>
      <c r="L24" t="s">
        <v>47</v>
      </c>
      <c r="M24" t="s">
        <v>27</v>
      </c>
      <c r="N24" t="s">
        <v>48</v>
      </c>
      <c r="O24" s="2">
        <v>484.68</v>
      </c>
      <c r="P24" t="s">
        <v>29</v>
      </c>
      <c r="Q24" s="4">
        <v>0</v>
      </c>
      <c r="S24" s="2">
        <v>0</v>
      </c>
      <c r="T24" s="2">
        <v>0</v>
      </c>
      <c r="U24" s="2">
        <v>0</v>
      </c>
    </row>
    <row r="25" spans="1:21">
      <c r="A25" t="s">
        <v>21</v>
      </c>
      <c r="B25" t="s">
        <v>22</v>
      </c>
      <c r="C25" t="s">
        <v>23</v>
      </c>
      <c r="D25" t="s">
        <v>63</v>
      </c>
      <c r="E25" t="s">
        <v>64</v>
      </c>
      <c r="F25" s="1">
        <v>46205</v>
      </c>
      <c r="G25" s="1"/>
      <c r="H25" s="1">
        <v>46206</v>
      </c>
      <c r="K25" t="s">
        <v>26</v>
      </c>
      <c r="L25" t="s">
        <v>47</v>
      </c>
      <c r="M25" t="s">
        <v>27</v>
      </c>
      <c r="N25" t="s">
        <v>48</v>
      </c>
      <c r="O25" s="2">
        <v>484.68</v>
      </c>
      <c r="P25" t="s">
        <v>29</v>
      </c>
      <c r="Q25" s="4">
        <v>0.95</v>
      </c>
      <c r="S25" s="2">
        <v>345.33</v>
      </c>
      <c r="T25" s="2">
        <v>0</v>
      </c>
      <c r="U25" s="2">
        <v>345.33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D1D91-9072-458F-A3ED-97D2063EB76D}">
  <dimension ref="A1:V28"/>
  <sheetViews>
    <sheetView tabSelected="1" workbookViewId="0">
      <selection activeCell="E10" sqref="E10"/>
    </sheetView>
  </sheetViews>
  <sheetFormatPr defaultRowHeight="15" customHeight="1"/>
  <cols>
    <col min="1" max="1" width="18.42578125" customWidth="1"/>
    <col min="2" max="2" width="13.140625" customWidth="1"/>
    <col min="3" max="3" width="7.28515625" customWidth="1"/>
    <col min="4" max="4" width="7.5703125" customWidth="1"/>
    <col min="5" max="5" width="16.28515625" customWidth="1"/>
    <col min="6" max="6" width="17.85546875" customWidth="1"/>
    <col min="7" max="7" width="15" customWidth="1"/>
    <col min="8" max="8" width="16.7109375" customWidth="1"/>
    <col min="9" max="10" width="17.140625" customWidth="1"/>
    <col min="11" max="11" width="16.140625" bestFit="1" customWidth="1"/>
    <col min="12" max="12" width="10.7109375" customWidth="1"/>
    <col min="13" max="13" width="9.85546875" customWidth="1"/>
    <col min="14" max="14" width="10.85546875" customWidth="1"/>
    <col min="15" max="15" width="13.85546875" customWidth="1"/>
    <col min="16" max="16" width="11" customWidth="1"/>
    <col min="17" max="17" width="15.7109375" customWidth="1"/>
    <col min="18" max="18" width="11.7109375" customWidth="1"/>
    <col min="19" max="19" width="14.42578125" customWidth="1"/>
    <col min="20" max="20" width="15.42578125" customWidth="1"/>
    <col min="22" max="22" width="10.28515625" bestFit="1" customWidth="1"/>
  </cols>
  <sheetData>
    <row r="1" spans="1:21" ht="15" customHeight="1">
      <c r="A1" s="3" t="s">
        <v>1</v>
      </c>
      <c r="B1" s="3" t="s">
        <v>2</v>
      </c>
      <c r="C1" s="3"/>
      <c r="D1" s="3"/>
      <c r="E1" s="3" t="s">
        <v>3</v>
      </c>
      <c r="F1" s="3" t="s">
        <v>4</v>
      </c>
      <c r="G1" s="3" t="s">
        <v>65</v>
      </c>
      <c r="H1" s="3" t="s">
        <v>66</v>
      </c>
      <c r="I1" s="3" t="s">
        <v>11</v>
      </c>
      <c r="J1" s="3"/>
      <c r="K1" s="3" t="s">
        <v>13</v>
      </c>
      <c r="L1" s="3" t="s">
        <v>14</v>
      </c>
      <c r="M1" s="3"/>
      <c r="N1" s="3"/>
      <c r="O1" s="3" t="s">
        <v>15</v>
      </c>
      <c r="P1" s="3" t="s">
        <v>16</v>
      </c>
      <c r="Q1" s="3" t="s">
        <v>17</v>
      </c>
      <c r="R1" s="3" t="s">
        <v>18</v>
      </c>
      <c r="S1" s="3" t="s">
        <v>19</v>
      </c>
      <c r="T1" s="3" t="s">
        <v>20</v>
      </c>
    </row>
    <row r="2" spans="1:21" s="13" customFormat="1" ht="15" customHeight="1">
      <c r="A2" s="13" t="s">
        <v>22</v>
      </c>
      <c r="B2" s="14">
        <v>9079571</v>
      </c>
      <c r="C2" s="26" t="s">
        <v>74</v>
      </c>
      <c r="D2" s="26" t="s">
        <v>70</v>
      </c>
      <c r="E2" s="15">
        <v>4151822565</v>
      </c>
      <c r="F2" s="13" t="s">
        <v>60</v>
      </c>
      <c r="G2" s="16">
        <v>46204</v>
      </c>
      <c r="H2" s="16">
        <v>46235</v>
      </c>
      <c r="I2" s="13" t="s">
        <v>47</v>
      </c>
      <c r="J2" s="13" t="s">
        <v>73</v>
      </c>
      <c r="K2" s="13" t="s">
        <v>48</v>
      </c>
      <c r="L2" s="17">
        <v>501.6</v>
      </c>
      <c r="M2" s="17">
        <f>L2/12</f>
        <v>41.800000000000004</v>
      </c>
      <c r="N2" s="17">
        <f>M2*P2</f>
        <v>33.858000000000004</v>
      </c>
      <c r="O2" s="13" t="s">
        <v>29</v>
      </c>
      <c r="P2" s="18">
        <v>0.81</v>
      </c>
      <c r="R2" s="17">
        <v>304.72000000000003</v>
      </c>
      <c r="S2" s="17">
        <v>0</v>
      </c>
      <c r="T2" s="17">
        <v>304.72000000000003</v>
      </c>
      <c r="U2" s="13">
        <v>41.8</v>
      </c>
    </row>
    <row r="3" spans="1:21" s="13" customFormat="1" ht="15" customHeight="1">
      <c r="A3" s="13" t="s">
        <v>22</v>
      </c>
      <c r="B3" s="14">
        <v>9079571</v>
      </c>
      <c r="C3" s="26" t="s">
        <v>74</v>
      </c>
      <c r="D3" s="26" t="s">
        <v>70</v>
      </c>
      <c r="E3" s="15">
        <v>4151827318</v>
      </c>
      <c r="F3" s="13" t="s">
        <v>62</v>
      </c>
      <c r="G3" s="16">
        <v>46204</v>
      </c>
      <c r="H3" s="16">
        <v>46235</v>
      </c>
      <c r="I3" s="13" t="s">
        <v>47</v>
      </c>
      <c r="J3" s="13" t="s">
        <v>68</v>
      </c>
      <c r="K3" s="13" t="s">
        <v>48</v>
      </c>
      <c r="L3" s="17">
        <v>477.96</v>
      </c>
      <c r="M3" s="17">
        <f t="shared" ref="M3:M10" si="0">L3/12</f>
        <v>39.83</v>
      </c>
      <c r="N3" s="17">
        <f t="shared" ref="N3:N10" si="1">M3*P3</f>
        <v>37.838499999999996</v>
      </c>
      <c r="O3" s="13" t="s">
        <v>29</v>
      </c>
      <c r="P3" s="18">
        <v>0.95</v>
      </c>
      <c r="R3" s="17">
        <v>340.54</v>
      </c>
      <c r="S3" s="17">
        <v>0</v>
      </c>
      <c r="T3" s="17">
        <v>340.54</v>
      </c>
      <c r="U3" s="13">
        <v>39.83</v>
      </c>
    </row>
    <row r="4" spans="1:21" s="13" customFormat="1" ht="15" customHeight="1">
      <c r="A4" s="13" t="s">
        <v>22</v>
      </c>
      <c r="B4" s="14">
        <v>9079571</v>
      </c>
      <c r="C4" s="26" t="s">
        <v>74</v>
      </c>
      <c r="D4" s="26" t="s">
        <v>70</v>
      </c>
      <c r="E4" s="15">
        <v>4151815063</v>
      </c>
      <c r="F4" s="13" t="s">
        <v>46</v>
      </c>
      <c r="G4" s="16">
        <v>46204</v>
      </c>
      <c r="H4" s="16">
        <v>46235</v>
      </c>
      <c r="I4" s="13" t="s">
        <v>47</v>
      </c>
      <c r="J4" s="13" t="s">
        <v>68</v>
      </c>
      <c r="K4" s="13" t="s">
        <v>48</v>
      </c>
      <c r="L4" s="17">
        <v>484.68</v>
      </c>
      <c r="M4" s="17">
        <f t="shared" si="0"/>
        <v>40.39</v>
      </c>
      <c r="N4" s="17">
        <f t="shared" si="1"/>
        <v>38.3705</v>
      </c>
      <c r="O4" s="13" t="s">
        <v>29</v>
      </c>
      <c r="P4" s="18">
        <v>0.95</v>
      </c>
      <c r="R4" s="17">
        <v>345.33</v>
      </c>
      <c r="S4" s="17">
        <v>0</v>
      </c>
      <c r="T4" s="17">
        <v>345.33</v>
      </c>
      <c r="U4" s="13">
        <v>40.39</v>
      </c>
    </row>
    <row r="5" spans="1:21" s="13" customFormat="1" ht="15" customHeight="1">
      <c r="A5" s="13" t="s">
        <v>22</v>
      </c>
      <c r="B5" s="14">
        <v>9079571</v>
      </c>
      <c r="C5" s="26" t="s">
        <v>74</v>
      </c>
      <c r="D5" s="26" t="s">
        <v>70</v>
      </c>
      <c r="E5" s="15">
        <v>4151820949</v>
      </c>
      <c r="F5" s="13" t="s">
        <v>52</v>
      </c>
      <c r="G5" s="16">
        <v>46204</v>
      </c>
      <c r="H5" s="16">
        <v>46235</v>
      </c>
      <c r="I5" s="13" t="s">
        <v>47</v>
      </c>
      <c r="J5" s="13" t="s">
        <v>68</v>
      </c>
      <c r="K5" s="13" t="s">
        <v>48</v>
      </c>
      <c r="L5" s="17">
        <v>484.68</v>
      </c>
      <c r="M5" s="17">
        <f t="shared" si="0"/>
        <v>40.39</v>
      </c>
      <c r="N5" s="17">
        <f t="shared" si="1"/>
        <v>38.3705</v>
      </c>
      <c r="O5" s="13" t="s">
        <v>29</v>
      </c>
      <c r="P5" s="18">
        <v>0.95</v>
      </c>
      <c r="R5" s="17">
        <v>345.33</v>
      </c>
      <c r="S5" s="17">
        <v>0</v>
      </c>
      <c r="T5" s="17">
        <v>345.33</v>
      </c>
      <c r="U5" s="13">
        <v>40.39</v>
      </c>
    </row>
    <row r="6" spans="1:21" s="13" customFormat="1" ht="15" customHeight="1">
      <c r="A6" s="13" t="s">
        <v>22</v>
      </c>
      <c r="B6" s="14">
        <v>9079571</v>
      </c>
      <c r="C6" s="26" t="s">
        <v>74</v>
      </c>
      <c r="D6" s="26" t="s">
        <v>70</v>
      </c>
      <c r="E6" s="15">
        <v>4151820956</v>
      </c>
      <c r="F6" s="13" t="s">
        <v>54</v>
      </c>
      <c r="G6" s="16">
        <v>46204</v>
      </c>
      <c r="H6" s="16">
        <v>46235</v>
      </c>
      <c r="I6" s="13" t="s">
        <v>47</v>
      </c>
      <c r="J6" s="13" t="s">
        <v>68</v>
      </c>
      <c r="K6" s="13" t="s">
        <v>48</v>
      </c>
      <c r="L6" s="17">
        <v>484.68</v>
      </c>
      <c r="M6" s="17">
        <f t="shared" si="0"/>
        <v>40.39</v>
      </c>
      <c r="N6" s="17">
        <f t="shared" si="1"/>
        <v>38.3705</v>
      </c>
      <c r="O6" s="13" t="s">
        <v>29</v>
      </c>
      <c r="P6" s="18">
        <v>0.95</v>
      </c>
      <c r="R6" s="17">
        <v>345.33</v>
      </c>
      <c r="S6" s="17">
        <v>0</v>
      </c>
      <c r="T6" s="17">
        <v>345.33</v>
      </c>
      <c r="U6" s="13">
        <v>40.39</v>
      </c>
    </row>
    <row r="7" spans="1:21" s="13" customFormat="1" ht="15" customHeight="1">
      <c r="A7" s="13" t="s">
        <v>22</v>
      </c>
      <c r="B7" s="14">
        <v>9079571</v>
      </c>
      <c r="C7" s="26" t="s">
        <v>74</v>
      </c>
      <c r="D7" s="26" t="s">
        <v>70</v>
      </c>
      <c r="E7" s="15">
        <v>4151820958</v>
      </c>
      <c r="F7" s="13" t="s">
        <v>56</v>
      </c>
      <c r="G7" s="16">
        <v>46204</v>
      </c>
      <c r="H7" s="16">
        <v>46235</v>
      </c>
      <c r="I7" s="13" t="s">
        <v>47</v>
      </c>
      <c r="J7" s="13" t="s">
        <v>68</v>
      </c>
      <c r="K7" s="13" t="s">
        <v>48</v>
      </c>
      <c r="L7" s="17">
        <v>484.68</v>
      </c>
      <c r="M7" s="17">
        <f t="shared" si="0"/>
        <v>40.39</v>
      </c>
      <c r="N7" s="17">
        <f t="shared" si="1"/>
        <v>38.3705</v>
      </c>
      <c r="O7" s="13" t="s">
        <v>29</v>
      </c>
      <c r="P7" s="18">
        <v>0.95</v>
      </c>
      <c r="R7" s="17">
        <v>345.33</v>
      </c>
      <c r="S7" s="17">
        <v>0</v>
      </c>
      <c r="T7" s="17">
        <v>345.33</v>
      </c>
      <c r="U7" s="13">
        <v>40.39</v>
      </c>
    </row>
    <row r="8" spans="1:21" s="13" customFormat="1" ht="15" customHeight="1">
      <c r="A8" s="13" t="s">
        <v>22</v>
      </c>
      <c r="B8" s="14">
        <v>9079571</v>
      </c>
      <c r="C8" s="26" t="s">
        <v>74</v>
      </c>
      <c r="D8" s="26" t="s">
        <v>70</v>
      </c>
      <c r="E8" s="15">
        <v>4151821265</v>
      </c>
      <c r="F8" s="13" t="s">
        <v>58</v>
      </c>
      <c r="G8" s="16">
        <v>46204</v>
      </c>
      <c r="H8" s="16">
        <v>46235</v>
      </c>
      <c r="I8" s="13" t="s">
        <v>47</v>
      </c>
      <c r="J8" s="13" t="s">
        <v>68</v>
      </c>
      <c r="K8" s="13" t="s">
        <v>48</v>
      </c>
      <c r="L8" s="17">
        <v>484.68</v>
      </c>
      <c r="M8" s="17">
        <f t="shared" si="0"/>
        <v>40.39</v>
      </c>
      <c r="N8" s="17">
        <f t="shared" si="1"/>
        <v>38.3705</v>
      </c>
      <c r="O8" s="13" t="s">
        <v>29</v>
      </c>
      <c r="P8" s="18">
        <v>0.95</v>
      </c>
      <c r="R8" s="17">
        <v>345.33</v>
      </c>
      <c r="S8" s="17">
        <v>0</v>
      </c>
      <c r="T8" s="17">
        <v>345.33</v>
      </c>
      <c r="U8" s="13">
        <v>40.39</v>
      </c>
    </row>
    <row r="9" spans="1:21" s="13" customFormat="1" ht="15" customHeight="1">
      <c r="A9" s="13" t="s">
        <v>22</v>
      </c>
      <c r="B9" s="14">
        <v>9079571</v>
      </c>
      <c r="C9" s="26" t="s">
        <v>74</v>
      </c>
      <c r="D9" s="26" t="s">
        <v>70</v>
      </c>
      <c r="E9" s="15">
        <v>4151828915</v>
      </c>
      <c r="F9" s="13" t="s">
        <v>64</v>
      </c>
      <c r="G9" s="16">
        <v>46205</v>
      </c>
      <c r="H9" s="16">
        <v>46236</v>
      </c>
      <c r="I9" s="13" t="s">
        <v>47</v>
      </c>
      <c r="J9" s="13" t="s">
        <v>68</v>
      </c>
      <c r="K9" s="13" t="s">
        <v>48</v>
      </c>
      <c r="L9" s="17">
        <v>484.68</v>
      </c>
      <c r="M9" s="17">
        <f t="shared" si="0"/>
        <v>40.39</v>
      </c>
      <c r="N9" s="17">
        <f t="shared" si="1"/>
        <v>38.3705</v>
      </c>
      <c r="O9" s="13" t="s">
        <v>29</v>
      </c>
      <c r="P9" s="18">
        <v>0.95</v>
      </c>
      <c r="R9" s="17">
        <v>345.33</v>
      </c>
      <c r="S9" s="17">
        <v>0</v>
      </c>
      <c r="T9" s="17">
        <v>345.33</v>
      </c>
      <c r="U9" s="13">
        <v>40.39</v>
      </c>
    </row>
    <row r="10" spans="1:21" s="13" customFormat="1" ht="15" customHeight="1">
      <c r="A10" s="13" t="s">
        <v>22</v>
      </c>
      <c r="B10" s="14">
        <v>9079571</v>
      </c>
      <c r="C10" s="26" t="s">
        <v>74</v>
      </c>
      <c r="D10" s="26" t="s">
        <v>70</v>
      </c>
      <c r="E10" s="15">
        <v>4151815376</v>
      </c>
      <c r="F10" s="13" t="s">
        <v>50</v>
      </c>
      <c r="G10" s="16">
        <v>46204</v>
      </c>
      <c r="H10" s="16">
        <v>46235</v>
      </c>
      <c r="I10" s="13" t="s">
        <v>47</v>
      </c>
      <c r="J10" s="13" t="s">
        <v>68</v>
      </c>
      <c r="K10" s="13" t="s">
        <v>48</v>
      </c>
      <c r="L10" s="17">
        <v>640.91999999999996</v>
      </c>
      <c r="M10" s="17">
        <f t="shared" si="0"/>
        <v>53.41</v>
      </c>
      <c r="N10" s="17">
        <f t="shared" si="1"/>
        <v>50.739499999999992</v>
      </c>
      <c r="O10" s="13" t="s">
        <v>29</v>
      </c>
      <c r="P10" s="18">
        <v>0.95</v>
      </c>
      <c r="R10" s="17">
        <v>456.65</v>
      </c>
      <c r="S10" s="17">
        <v>0</v>
      </c>
      <c r="T10" s="17">
        <v>456.65</v>
      </c>
      <c r="U10" s="13">
        <v>53.41</v>
      </c>
    </row>
    <row r="14" spans="1:21" ht="15" customHeight="1">
      <c r="A14" t="s">
        <v>22</v>
      </c>
      <c r="B14" s="11">
        <v>9079571</v>
      </c>
      <c r="C14" s="11"/>
      <c r="D14" s="11" t="s">
        <v>70</v>
      </c>
      <c r="E14" s="5">
        <v>4151701153</v>
      </c>
      <c r="F14" t="s">
        <v>25</v>
      </c>
      <c r="G14" s="1">
        <v>45933</v>
      </c>
      <c r="H14" s="1">
        <v>46176</v>
      </c>
      <c r="J14" t="s">
        <v>67</v>
      </c>
      <c r="K14" t="s">
        <v>28</v>
      </c>
      <c r="L14" s="2">
        <v>0</v>
      </c>
      <c r="M14" s="2"/>
      <c r="N14" s="2"/>
      <c r="O14" t="s">
        <v>29</v>
      </c>
      <c r="P14" s="4">
        <v>0</v>
      </c>
      <c r="Q14" t="s">
        <v>30</v>
      </c>
      <c r="R14" s="2">
        <v>0</v>
      </c>
      <c r="S14" s="2">
        <v>0</v>
      </c>
      <c r="T14" s="2">
        <v>-0.01</v>
      </c>
      <c r="U14">
        <v>98.27</v>
      </c>
    </row>
    <row r="15" spans="1:21" ht="15" customHeight="1">
      <c r="A15" t="s">
        <v>22</v>
      </c>
      <c r="B15" s="11">
        <v>9079571</v>
      </c>
      <c r="C15" s="11"/>
      <c r="D15" s="11" t="s">
        <v>70</v>
      </c>
      <c r="E15" s="5">
        <v>4151709748</v>
      </c>
      <c r="F15" t="s">
        <v>32</v>
      </c>
      <c r="G15" s="1">
        <v>45931</v>
      </c>
      <c r="H15" s="1">
        <v>46204</v>
      </c>
      <c r="J15" t="s">
        <v>68</v>
      </c>
      <c r="K15" t="s">
        <v>28</v>
      </c>
      <c r="L15" s="2">
        <v>0</v>
      </c>
      <c r="M15" s="2"/>
      <c r="N15" s="2"/>
      <c r="O15" t="s">
        <v>29</v>
      </c>
      <c r="P15" s="4">
        <v>0</v>
      </c>
      <c r="Q15" t="s">
        <v>30</v>
      </c>
      <c r="R15" s="2">
        <v>0</v>
      </c>
      <c r="S15" s="2">
        <v>0</v>
      </c>
      <c r="T15" s="2">
        <v>-0.03</v>
      </c>
      <c r="U15">
        <v>54.34</v>
      </c>
    </row>
    <row r="16" spans="1:21" ht="15" customHeight="1">
      <c r="A16" t="s">
        <v>22</v>
      </c>
      <c r="B16" s="11">
        <v>9079571</v>
      </c>
      <c r="C16" s="11"/>
      <c r="D16" s="11" t="s">
        <v>70</v>
      </c>
      <c r="E16" s="5">
        <v>4151709926</v>
      </c>
      <c r="F16" t="s">
        <v>34</v>
      </c>
      <c r="G16" s="1">
        <v>45931</v>
      </c>
      <c r="H16" s="1">
        <v>46235</v>
      </c>
      <c r="J16" t="s">
        <v>68</v>
      </c>
      <c r="K16" t="s">
        <v>28</v>
      </c>
      <c r="L16" s="2">
        <v>0</v>
      </c>
      <c r="M16" s="2"/>
      <c r="N16" s="2"/>
      <c r="O16" t="s">
        <v>29</v>
      </c>
      <c r="P16" s="4">
        <v>0</v>
      </c>
      <c r="Q16" t="s">
        <v>30</v>
      </c>
      <c r="R16" s="2">
        <v>0</v>
      </c>
      <c r="S16" s="2">
        <v>0</v>
      </c>
      <c r="T16" s="2">
        <v>-0.01</v>
      </c>
      <c r="U16">
        <v>61.16</v>
      </c>
    </row>
    <row r="17" spans="1:22" ht="15" customHeight="1">
      <c r="A17" t="s">
        <v>22</v>
      </c>
      <c r="B17" s="11">
        <v>9079571</v>
      </c>
      <c r="C17" s="11"/>
      <c r="D17" s="11" t="s">
        <v>70</v>
      </c>
      <c r="E17" s="5">
        <v>4151709932</v>
      </c>
      <c r="F17" t="s">
        <v>36</v>
      </c>
      <c r="G17" s="1">
        <v>45931</v>
      </c>
      <c r="H17" s="1">
        <v>46204</v>
      </c>
      <c r="J17" t="s">
        <v>68</v>
      </c>
      <c r="K17" t="s">
        <v>28</v>
      </c>
      <c r="L17" s="2">
        <v>0</v>
      </c>
      <c r="M17" s="2"/>
      <c r="N17" s="2"/>
      <c r="O17" t="s">
        <v>29</v>
      </c>
      <c r="P17" s="4">
        <v>0</v>
      </c>
      <c r="Q17" t="s">
        <v>30</v>
      </c>
      <c r="R17" s="2">
        <v>0</v>
      </c>
      <c r="S17" s="2">
        <v>0</v>
      </c>
      <c r="T17" s="2">
        <v>-0.03</v>
      </c>
      <c r="U17">
        <v>54.34</v>
      </c>
    </row>
    <row r="18" spans="1:22" ht="15" customHeight="1">
      <c r="A18" t="s">
        <v>37</v>
      </c>
      <c r="B18" s="11" t="s">
        <v>69</v>
      </c>
      <c r="C18" s="11"/>
      <c r="D18" s="11" t="s">
        <v>71</v>
      </c>
      <c r="E18" s="5">
        <v>4151710328</v>
      </c>
      <c r="F18" t="s">
        <v>40</v>
      </c>
      <c r="G18" s="1">
        <v>45931</v>
      </c>
      <c r="H18" s="1">
        <v>46235</v>
      </c>
      <c r="J18" t="s">
        <v>68</v>
      </c>
      <c r="K18" t="s">
        <v>28</v>
      </c>
      <c r="L18" s="2">
        <v>0</v>
      </c>
      <c r="M18" s="2"/>
      <c r="N18" s="2"/>
      <c r="O18" t="s">
        <v>29</v>
      </c>
      <c r="P18" s="4">
        <v>0</v>
      </c>
      <c r="Q18" t="s">
        <v>30</v>
      </c>
      <c r="R18" s="2">
        <v>0</v>
      </c>
      <c r="S18" s="2">
        <v>0</v>
      </c>
      <c r="T18" s="2">
        <v>-0.03</v>
      </c>
      <c r="U18">
        <v>55.14</v>
      </c>
    </row>
    <row r="19" spans="1:22" s="19" customFormat="1" ht="15" customHeight="1">
      <c r="A19" s="19" t="s">
        <v>22</v>
      </c>
      <c r="B19" s="20" t="e">
        <v>#N/A</v>
      </c>
      <c r="C19" s="20"/>
      <c r="D19" s="20" t="e">
        <v>#N/A</v>
      </c>
      <c r="E19" s="21">
        <v>4151815063</v>
      </c>
      <c r="F19" s="19" t="s">
        <v>46</v>
      </c>
      <c r="G19" s="22">
        <v>46204</v>
      </c>
      <c r="H19" s="22">
        <v>46235</v>
      </c>
      <c r="I19" s="19" t="s">
        <v>47</v>
      </c>
      <c r="J19" s="19" t="e">
        <v>#N/A</v>
      </c>
      <c r="K19" s="19" t="s">
        <v>48</v>
      </c>
      <c r="L19" s="23">
        <v>484.68</v>
      </c>
      <c r="M19" s="23"/>
      <c r="N19" s="23"/>
      <c r="O19" s="19" t="s">
        <v>29</v>
      </c>
      <c r="P19" s="24">
        <v>0</v>
      </c>
      <c r="R19" s="23">
        <v>0</v>
      </c>
      <c r="S19" s="23">
        <v>0</v>
      </c>
      <c r="T19" s="23">
        <v>0</v>
      </c>
      <c r="U19" s="19">
        <v>40.39</v>
      </c>
      <c r="V19" s="25" t="s">
        <v>72</v>
      </c>
    </row>
    <row r="20" spans="1:22" s="19" customFormat="1" ht="15" customHeight="1">
      <c r="A20" s="19" t="s">
        <v>22</v>
      </c>
      <c r="B20" s="20" t="e">
        <v>#N/A</v>
      </c>
      <c r="C20" s="20"/>
      <c r="D20" s="20" t="e">
        <v>#N/A</v>
      </c>
      <c r="E20" s="21">
        <v>4151815376</v>
      </c>
      <c r="F20" s="19" t="s">
        <v>50</v>
      </c>
      <c r="G20" s="22">
        <v>46204</v>
      </c>
      <c r="H20" s="22">
        <v>46235</v>
      </c>
      <c r="I20" s="19" t="s">
        <v>47</v>
      </c>
      <c r="J20" s="19" t="e">
        <v>#N/A</v>
      </c>
      <c r="K20" s="19" t="s">
        <v>48</v>
      </c>
      <c r="L20" s="23">
        <v>640.91999999999996</v>
      </c>
      <c r="M20" s="23"/>
      <c r="N20" s="23"/>
      <c r="O20" s="19" t="s">
        <v>29</v>
      </c>
      <c r="P20" s="24">
        <v>0</v>
      </c>
      <c r="R20" s="23">
        <v>0</v>
      </c>
      <c r="S20" s="23">
        <v>0</v>
      </c>
      <c r="T20" s="23">
        <v>0</v>
      </c>
      <c r="U20" s="19">
        <v>53.41</v>
      </c>
      <c r="V20" s="25" t="s">
        <v>72</v>
      </c>
    </row>
    <row r="21" spans="1:22" s="19" customFormat="1" ht="15" customHeight="1">
      <c r="A21" s="19" t="s">
        <v>22</v>
      </c>
      <c r="B21" s="20" t="e">
        <v>#N/A</v>
      </c>
      <c r="C21" s="20"/>
      <c r="D21" s="20" t="e">
        <v>#N/A</v>
      </c>
      <c r="E21" s="21">
        <v>4151820949</v>
      </c>
      <c r="F21" s="19" t="s">
        <v>52</v>
      </c>
      <c r="G21" s="22">
        <v>46204</v>
      </c>
      <c r="H21" s="22">
        <v>46235</v>
      </c>
      <c r="I21" s="19" t="s">
        <v>47</v>
      </c>
      <c r="J21" s="19" t="e">
        <v>#N/A</v>
      </c>
      <c r="K21" s="19" t="s">
        <v>48</v>
      </c>
      <c r="L21" s="23">
        <v>484.68</v>
      </c>
      <c r="M21" s="23"/>
      <c r="N21" s="23"/>
      <c r="O21" s="19" t="s">
        <v>29</v>
      </c>
      <c r="P21" s="24">
        <v>0</v>
      </c>
      <c r="R21" s="23">
        <v>0</v>
      </c>
      <c r="S21" s="23">
        <v>0</v>
      </c>
      <c r="T21" s="23">
        <v>0</v>
      </c>
      <c r="U21" s="19">
        <v>40.39</v>
      </c>
      <c r="V21" s="25" t="s">
        <v>72</v>
      </c>
    </row>
    <row r="22" spans="1:22" s="19" customFormat="1" ht="15" customHeight="1">
      <c r="A22" s="19" t="s">
        <v>22</v>
      </c>
      <c r="B22" s="20" t="e">
        <v>#N/A</v>
      </c>
      <c r="C22" s="20"/>
      <c r="D22" s="20" t="e">
        <v>#N/A</v>
      </c>
      <c r="E22" s="21">
        <v>4151820956</v>
      </c>
      <c r="F22" s="19" t="s">
        <v>54</v>
      </c>
      <c r="G22" s="22">
        <v>46204</v>
      </c>
      <c r="H22" s="22">
        <v>46235</v>
      </c>
      <c r="I22" s="19" t="s">
        <v>47</v>
      </c>
      <c r="J22" s="19" t="e">
        <v>#N/A</v>
      </c>
      <c r="K22" s="19" t="s">
        <v>48</v>
      </c>
      <c r="L22" s="23">
        <v>484.68</v>
      </c>
      <c r="M22" s="23"/>
      <c r="N22" s="23"/>
      <c r="O22" s="19" t="s">
        <v>29</v>
      </c>
      <c r="P22" s="24">
        <v>0</v>
      </c>
      <c r="R22" s="23">
        <v>0</v>
      </c>
      <c r="S22" s="23">
        <v>0</v>
      </c>
      <c r="T22" s="23">
        <v>0</v>
      </c>
      <c r="U22" s="19">
        <v>40.39</v>
      </c>
      <c r="V22" s="25" t="s">
        <v>72</v>
      </c>
    </row>
    <row r="23" spans="1:22" s="19" customFormat="1" ht="15" customHeight="1">
      <c r="A23" s="19" t="s">
        <v>22</v>
      </c>
      <c r="B23" s="20" t="e">
        <v>#N/A</v>
      </c>
      <c r="C23" s="20"/>
      <c r="D23" s="20" t="e">
        <v>#N/A</v>
      </c>
      <c r="E23" s="21">
        <v>4151820958</v>
      </c>
      <c r="F23" s="19" t="s">
        <v>56</v>
      </c>
      <c r="G23" s="22">
        <v>46204</v>
      </c>
      <c r="H23" s="22">
        <v>46235</v>
      </c>
      <c r="I23" s="19" t="s">
        <v>47</v>
      </c>
      <c r="J23" s="19" t="e">
        <v>#N/A</v>
      </c>
      <c r="K23" s="19" t="s">
        <v>48</v>
      </c>
      <c r="L23" s="23">
        <v>484.68</v>
      </c>
      <c r="M23" s="23"/>
      <c r="N23" s="23"/>
      <c r="O23" s="19" t="s">
        <v>29</v>
      </c>
      <c r="P23" s="24">
        <v>0</v>
      </c>
      <c r="R23" s="23">
        <v>0</v>
      </c>
      <c r="S23" s="23">
        <v>0</v>
      </c>
      <c r="T23" s="23">
        <v>0</v>
      </c>
      <c r="U23" s="19">
        <v>40.39</v>
      </c>
      <c r="V23" s="25" t="s">
        <v>72</v>
      </c>
    </row>
    <row r="24" spans="1:22" s="19" customFormat="1" ht="15" customHeight="1">
      <c r="A24" s="19" t="s">
        <v>22</v>
      </c>
      <c r="B24" s="20" t="e">
        <v>#N/A</v>
      </c>
      <c r="C24" s="20"/>
      <c r="D24" s="20" t="e">
        <v>#N/A</v>
      </c>
      <c r="E24" s="21">
        <v>4151821265</v>
      </c>
      <c r="F24" s="19" t="s">
        <v>58</v>
      </c>
      <c r="G24" s="22">
        <v>46204</v>
      </c>
      <c r="H24" s="22">
        <v>46235</v>
      </c>
      <c r="I24" s="19" t="s">
        <v>47</v>
      </c>
      <c r="J24" s="19" t="e">
        <v>#N/A</v>
      </c>
      <c r="K24" s="19" t="s">
        <v>48</v>
      </c>
      <c r="L24" s="23">
        <v>484.68</v>
      </c>
      <c r="M24" s="23"/>
      <c r="N24" s="23"/>
      <c r="O24" s="19" t="s">
        <v>29</v>
      </c>
      <c r="P24" s="24">
        <v>0</v>
      </c>
      <c r="R24" s="23">
        <v>0</v>
      </c>
      <c r="S24" s="23">
        <v>0</v>
      </c>
      <c r="T24" s="23">
        <v>0</v>
      </c>
      <c r="U24" s="19">
        <v>40.39</v>
      </c>
      <c r="V24" s="25" t="s">
        <v>72</v>
      </c>
    </row>
    <row r="25" spans="1:22" s="19" customFormat="1" ht="15" customHeight="1">
      <c r="A25" s="19" t="s">
        <v>22</v>
      </c>
      <c r="B25" s="20" t="e">
        <v>#N/A</v>
      </c>
      <c r="C25" s="20"/>
      <c r="D25" s="20" t="e">
        <v>#N/A</v>
      </c>
      <c r="E25" s="21">
        <v>4151822565</v>
      </c>
      <c r="F25" s="19" t="s">
        <v>60</v>
      </c>
      <c r="G25" s="22">
        <v>46204</v>
      </c>
      <c r="H25" s="22">
        <v>46235</v>
      </c>
      <c r="I25" s="19" t="s">
        <v>47</v>
      </c>
      <c r="J25" s="19" t="e">
        <v>#N/A</v>
      </c>
      <c r="K25" s="19" t="s">
        <v>48</v>
      </c>
      <c r="L25" s="23">
        <v>501.6</v>
      </c>
      <c r="M25" s="23"/>
      <c r="N25" s="23"/>
      <c r="O25" s="19" t="s">
        <v>29</v>
      </c>
      <c r="P25" s="24">
        <v>0</v>
      </c>
      <c r="R25" s="23">
        <v>0</v>
      </c>
      <c r="S25" s="23">
        <v>0</v>
      </c>
      <c r="T25" s="23">
        <v>0</v>
      </c>
      <c r="U25" s="19">
        <v>41.8</v>
      </c>
      <c r="V25" s="25" t="s">
        <v>72</v>
      </c>
    </row>
    <row r="26" spans="1:22" s="19" customFormat="1" ht="15" customHeight="1">
      <c r="A26" s="19" t="s">
        <v>22</v>
      </c>
      <c r="B26" s="20" t="e">
        <v>#N/A</v>
      </c>
      <c r="C26" s="20"/>
      <c r="D26" s="20" t="e">
        <v>#N/A</v>
      </c>
      <c r="E26" s="21">
        <v>4151827318</v>
      </c>
      <c r="F26" s="19" t="s">
        <v>62</v>
      </c>
      <c r="G26" s="22">
        <v>46204</v>
      </c>
      <c r="H26" s="22">
        <v>46235</v>
      </c>
      <c r="I26" s="19" t="s">
        <v>47</v>
      </c>
      <c r="J26" s="19" t="e">
        <v>#N/A</v>
      </c>
      <c r="K26" s="19" t="s">
        <v>48</v>
      </c>
      <c r="L26" s="23">
        <v>477.96</v>
      </c>
      <c r="M26" s="23"/>
      <c r="N26" s="23"/>
      <c r="O26" s="19" t="s">
        <v>29</v>
      </c>
      <c r="P26" s="24">
        <v>0</v>
      </c>
      <c r="R26" s="23">
        <v>0</v>
      </c>
      <c r="S26" s="23">
        <v>0</v>
      </c>
      <c r="T26" s="23">
        <v>0</v>
      </c>
      <c r="U26" s="19">
        <v>39.83</v>
      </c>
      <c r="V26" s="25" t="s">
        <v>72</v>
      </c>
    </row>
    <row r="27" spans="1:22" s="19" customFormat="1" ht="15" customHeight="1">
      <c r="A27" s="19" t="s">
        <v>22</v>
      </c>
      <c r="B27" s="20" t="e">
        <v>#N/A</v>
      </c>
      <c r="C27" s="20"/>
      <c r="D27" s="20" t="e">
        <v>#N/A</v>
      </c>
      <c r="E27" s="21">
        <v>4151828915</v>
      </c>
      <c r="F27" s="19" t="s">
        <v>64</v>
      </c>
      <c r="G27" s="22">
        <v>46205</v>
      </c>
      <c r="H27" s="22">
        <v>46236</v>
      </c>
      <c r="I27" s="19" t="s">
        <v>47</v>
      </c>
      <c r="J27" s="19" t="e">
        <v>#N/A</v>
      </c>
      <c r="K27" s="19" t="s">
        <v>48</v>
      </c>
      <c r="L27" s="23">
        <v>484.68</v>
      </c>
      <c r="M27" s="23"/>
      <c r="N27" s="23"/>
      <c r="O27" s="19" t="s">
        <v>29</v>
      </c>
      <c r="P27" s="24">
        <v>0</v>
      </c>
      <c r="R27" s="23">
        <v>0</v>
      </c>
      <c r="S27" s="23">
        <v>0</v>
      </c>
      <c r="T27" s="23">
        <v>0</v>
      </c>
      <c r="U27" s="19">
        <v>40.39</v>
      </c>
      <c r="V27" s="25" t="s">
        <v>72</v>
      </c>
    </row>
    <row r="28" spans="1:22" s="6" customFormat="1" ht="15" customHeight="1">
      <c r="A28" s="6" t="s">
        <v>41</v>
      </c>
      <c r="B28" s="12">
        <v>20872981</v>
      </c>
      <c r="C28" s="12"/>
      <c r="D28" s="12" t="s">
        <v>70</v>
      </c>
      <c r="E28" s="7">
        <v>4151788791</v>
      </c>
      <c r="F28" s="6" t="s">
        <v>44</v>
      </c>
      <c r="G28" s="8">
        <v>46184</v>
      </c>
      <c r="H28" s="8">
        <v>46184</v>
      </c>
      <c r="J28" s="6" t="s">
        <v>67</v>
      </c>
      <c r="K28" s="6" t="s">
        <v>28</v>
      </c>
      <c r="L28" s="9">
        <v>0</v>
      </c>
      <c r="M28" s="9"/>
      <c r="N28" s="9"/>
      <c r="O28" s="6" t="s">
        <v>29</v>
      </c>
      <c r="P28" s="10">
        <v>0</v>
      </c>
      <c r="Q28" s="6" t="s">
        <v>30</v>
      </c>
      <c r="R28" s="9">
        <v>0</v>
      </c>
      <c r="S28" s="9">
        <v>0</v>
      </c>
      <c r="T28" s="9">
        <v>-656.36</v>
      </c>
      <c r="U28" s="6" t="e">
        <v>#N/A</v>
      </c>
      <c r="V28" s="27" t="s">
        <v>75</v>
      </c>
    </row>
  </sheetData>
  <sortState xmlns:xlrd2="http://schemas.microsoft.com/office/spreadsheetml/2017/richdata2" ref="A2:Z10">
    <sortCondition ref="R2:R1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Policy Details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Loula Irene Cabel</cp:lastModifiedBy>
  <dcterms:created xsi:type="dcterms:W3CDTF">2026-07-10T10:30:20Z</dcterms:created>
  <dcterms:modified xsi:type="dcterms:W3CDTF">2026-07-10T19:34:22Z</dcterms:modified>
</cp:coreProperties>
</file>