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ssurity\2026\2026_06_08\"/>
    </mc:Choice>
  </mc:AlternateContent>
  <xr:revisionPtr revIDLastSave="0" documentId="13_ncr:1_{573C5B45-B705-4D33-9293-DC421CBDA2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J10" i="2"/>
  <c r="K6" i="2"/>
  <c r="J6" i="2"/>
</calcChain>
</file>

<file path=xl/sharedStrings.xml><?xml version="1.0" encoding="utf-8"?>
<sst xmlns="http://schemas.openxmlformats.org/spreadsheetml/2006/main" count="182" uniqueCount="62">
  <si>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</si>
  <si>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</si>
  <si>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</si>
  <si>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</si>
  <si>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</si>
  <si>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</si>
  <si>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</si>
  <si>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</si>
  <si>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</si>
  <si>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</si>
  <si>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</si>
  <si>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</si>
  <si>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</si>
  <si>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</si>
  <si>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</si>
  <si>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</si>
  <si>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</si>
  <si>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</si>
  <si>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</si>
  <si>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</si>
  <si>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</si>
  <si>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</si>
  <si>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</si>
  <si>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</si>
  <si>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4151703620</t>
  </si>
  <si>
    <t>Johnson, Keith</t>
  </si>
  <si>
    <t>H</t>
  </si>
  <si>
    <t>85</t>
  </si>
  <si>
    <t>Unknown</t>
  </si>
  <si>
    <t>FirstYear</t>
  </si>
  <si>
    <t>UNSECURED ADVANCE RECOVERY</t>
  </si>
  <si>
    <t>4151704597</t>
  </si>
  <si>
    <t>Clarke, Sylvie</t>
  </si>
  <si>
    <t>4151732854</t>
  </si>
  <si>
    <t>Hauss, Esther</t>
  </si>
  <si>
    <t>Adcock, Robert</t>
  </si>
  <si>
    <t>6F9Z</t>
  </si>
  <si>
    <t>4151788791</t>
  </si>
  <si>
    <t>Lord, Natalie</t>
  </si>
  <si>
    <t>Assurity Critical Illness</t>
  </si>
  <si>
    <t>Monthly</t>
  </si>
  <si>
    <t>4151813585</t>
  </si>
  <si>
    <t>Hmaby, Luke</t>
  </si>
  <si>
    <t>Hoffmann, Jason</t>
  </si>
  <si>
    <t>25JE</t>
  </si>
  <si>
    <t>4351698780</t>
  </si>
  <si>
    <t>Karalis, Eugenia</t>
  </si>
  <si>
    <t>L</t>
  </si>
  <si>
    <t>Geske, Heather</t>
  </si>
  <si>
    <t>6LXH</t>
  </si>
  <si>
    <t>4351807208</t>
  </si>
  <si>
    <t>Grandbouche, Todd</t>
  </si>
  <si>
    <t>WL Protect+ Pay to A100</t>
  </si>
  <si>
    <t>Eff Date</t>
  </si>
  <si>
    <t>Paid to Date</t>
  </si>
  <si>
    <t>Termination Date</t>
  </si>
  <si>
    <t>Did not process</t>
  </si>
  <si>
    <t>BOB  Premium</t>
  </si>
  <si>
    <t>Dupicate</t>
  </si>
  <si>
    <t>critical illness(80)</t>
  </si>
  <si>
    <t>2024-Assurity Whole Life Pay for Life (8.5)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</si>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</sst>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NumberFormat="1" applyFill="1" applyAlignment="1">
      <alignment vertical="center" wrapText="1"/>
    </xf>
    <xf numFmtId="14" fontId="0" fillId="4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>
      <selection activeCell="C20" sqref="C20"/>
    </sheetView>
  </sheetViews>
  <sheetFormatPr defaultRowHeight="1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2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46185</v>
      </c>
      <c r="G2" s="1"/>
      <c r="H2" s="1">
        <v>46185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-51.65</v>
      </c>
    </row>
    <row r="3" spans="1:21">
      <c r="A3" t="s">
        <v>21</v>
      </c>
      <c r="B3" t="s">
        <v>22</v>
      </c>
      <c r="C3" t="s">
        <v>23</v>
      </c>
      <c r="D3" t="s">
        <v>31</v>
      </c>
      <c r="E3" t="s">
        <v>32</v>
      </c>
      <c r="F3" s="1">
        <v>46185</v>
      </c>
      <c r="G3" s="1"/>
      <c r="H3" s="1">
        <v>46185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-17.260000000000002</v>
      </c>
    </row>
    <row r="4" spans="1:21">
      <c r="A4" t="s">
        <v>21</v>
      </c>
      <c r="B4" t="s">
        <v>22</v>
      </c>
      <c r="C4" t="s">
        <v>23</v>
      </c>
      <c r="D4" t="s">
        <v>33</v>
      </c>
      <c r="E4" t="s">
        <v>34</v>
      </c>
      <c r="F4" s="1">
        <v>46185</v>
      </c>
      <c r="G4" s="1"/>
      <c r="H4" s="1">
        <v>46185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-115.11</v>
      </c>
    </row>
    <row r="5" spans="1:21">
      <c r="A5" t="s">
        <v>21</v>
      </c>
      <c r="B5" t="s">
        <v>35</v>
      </c>
      <c r="C5" t="s">
        <v>36</v>
      </c>
      <c r="D5" t="s">
        <v>37</v>
      </c>
      <c r="E5" t="s">
        <v>38</v>
      </c>
      <c r="F5" s="1">
        <v>46185</v>
      </c>
      <c r="G5" s="1"/>
      <c r="H5" s="1">
        <v>46185</v>
      </c>
      <c r="K5" t="s">
        <v>26</v>
      </c>
      <c r="L5" t="s">
        <v>39</v>
      </c>
      <c r="M5" t="s">
        <v>27</v>
      </c>
      <c r="N5" t="s">
        <v>40</v>
      </c>
      <c r="O5" s="2">
        <v>4129.32</v>
      </c>
      <c r="P5" t="s">
        <v>29</v>
      </c>
      <c r="Q5" s="4">
        <v>0</v>
      </c>
      <c r="S5" s="2">
        <v>0</v>
      </c>
      <c r="T5" s="2">
        <v>0</v>
      </c>
      <c r="U5" s="2">
        <v>0</v>
      </c>
    </row>
    <row r="6" spans="1:21">
      <c r="A6" t="s">
        <v>21</v>
      </c>
      <c r="B6" t="s">
        <v>35</v>
      </c>
      <c r="C6" t="s">
        <v>36</v>
      </c>
      <c r="D6" t="s">
        <v>37</v>
      </c>
      <c r="E6" t="s">
        <v>38</v>
      </c>
      <c r="F6" s="1">
        <v>46185</v>
      </c>
      <c r="G6" s="1"/>
      <c r="H6" s="1">
        <v>46185</v>
      </c>
      <c r="K6" t="s">
        <v>26</v>
      </c>
      <c r="L6" t="s">
        <v>39</v>
      </c>
      <c r="M6" t="s">
        <v>27</v>
      </c>
      <c r="N6" t="s">
        <v>40</v>
      </c>
      <c r="O6" s="2">
        <v>4129.32</v>
      </c>
      <c r="P6" t="s">
        <v>29</v>
      </c>
      <c r="Q6" s="4">
        <v>0.8</v>
      </c>
      <c r="S6" s="2">
        <v>2477.59</v>
      </c>
      <c r="T6" s="2">
        <v>0</v>
      </c>
      <c r="U6" s="2">
        <v>2477.59</v>
      </c>
    </row>
    <row r="7" spans="1:21">
      <c r="A7" t="s">
        <v>21</v>
      </c>
      <c r="B7" t="s">
        <v>22</v>
      </c>
      <c r="C7" t="s">
        <v>23</v>
      </c>
      <c r="D7" t="s">
        <v>41</v>
      </c>
      <c r="E7" t="s">
        <v>42</v>
      </c>
      <c r="F7" s="1">
        <v>46185</v>
      </c>
      <c r="G7" s="1"/>
      <c r="H7" s="1">
        <v>46185</v>
      </c>
      <c r="K7" t="s">
        <v>26</v>
      </c>
      <c r="M7" t="s">
        <v>27</v>
      </c>
      <c r="N7" t="s">
        <v>28</v>
      </c>
      <c r="O7" s="2">
        <v>0</v>
      </c>
      <c r="P7" t="s">
        <v>29</v>
      </c>
      <c r="Q7" s="4">
        <v>0</v>
      </c>
      <c r="R7" t="s">
        <v>30</v>
      </c>
      <c r="S7" s="2">
        <v>0</v>
      </c>
      <c r="T7" s="2">
        <v>0</v>
      </c>
      <c r="U7" s="2">
        <v>-690.33</v>
      </c>
    </row>
    <row r="8" spans="1:21">
      <c r="A8" t="s">
        <v>21</v>
      </c>
      <c r="B8" t="s">
        <v>43</v>
      </c>
      <c r="C8" t="s">
        <v>44</v>
      </c>
      <c r="D8" t="s">
        <v>45</v>
      </c>
      <c r="E8" t="s">
        <v>46</v>
      </c>
      <c r="F8" s="1">
        <v>46185</v>
      </c>
      <c r="G8" s="1"/>
      <c r="H8" s="1">
        <v>46185</v>
      </c>
      <c r="K8" t="s">
        <v>47</v>
      </c>
      <c r="M8" t="s">
        <v>27</v>
      </c>
      <c r="N8" t="s">
        <v>28</v>
      </c>
      <c r="O8" s="2">
        <v>0</v>
      </c>
      <c r="P8" t="s">
        <v>29</v>
      </c>
      <c r="Q8" s="4">
        <v>0</v>
      </c>
      <c r="R8" t="s">
        <v>30</v>
      </c>
      <c r="S8" s="2">
        <v>0</v>
      </c>
      <c r="T8" s="2">
        <v>0</v>
      </c>
      <c r="U8" s="2">
        <v>-0.01</v>
      </c>
    </row>
    <row r="9" spans="1:21">
      <c r="A9" t="s">
        <v>21</v>
      </c>
      <c r="B9" t="s">
        <v>48</v>
      </c>
      <c r="C9" t="s">
        <v>49</v>
      </c>
      <c r="D9" t="s">
        <v>50</v>
      </c>
      <c r="E9" t="s">
        <v>51</v>
      </c>
      <c r="F9" s="1">
        <v>46183</v>
      </c>
      <c r="G9" s="1"/>
      <c r="H9" s="1">
        <v>46185</v>
      </c>
      <c r="K9" t="s">
        <v>47</v>
      </c>
      <c r="L9" t="s">
        <v>52</v>
      </c>
      <c r="M9" t="s">
        <v>27</v>
      </c>
      <c r="N9" t="s">
        <v>40</v>
      </c>
      <c r="O9" s="2">
        <v>568.55999999999995</v>
      </c>
      <c r="P9" t="s">
        <v>29</v>
      </c>
      <c r="Q9" s="4">
        <v>0</v>
      </c>
      <c r="S9" s="2">
        <v>0</v>
      </c>
      <c r="T9" s="2">
        <v>0</v>
      </c>
      <c r="U9" s="2">
        <v>0</v>
      </c>
    </row>
    <row r="10" spans="1:21">
      <c r="A10" t="s">
        <v>21</v>
      </c>
      <c r="B10" t="s">
        <v>48</v>
      </c>
      <c r="C10" t="s">
        <v>49</v>
      </c>
      <c r="D10" t="s">
        <v>50</v>
      </c>
      <c r="E10" t="s">
        <v>51</v>
      </c>
      <c r="F10" s="1">
        <v>46183</v>
      </c>
      <c r="G10" s="1"/>
      <c r="H10" s="1">
        <v>46185</v>
      </c>
      <c r="K10" t="s">
        <v>47</v>
      </c>
      <c r="L10" t="s">
        <v>52</v>
      </c>
      <c r="M10" t="s">
        <v>27</v>
      </c>
      <c r="N10" t="s">
        <v>40</v>
      </c>
      <c r="O10" s="2">
        <v>568.55999999999995</v>
      </c>
      <c r="P10" t="s">
        <v>29</v>
      </c>
      <c r="Q10" s="4">
        <v>1.2</v>
      </c>
      <c r="S10" s="2">
        <v>511.7</v>
      </c>
      <c r="T10" s="2">
        <v>0</v>
      </c>
      <c r="U10" s="2">
        <v>511.7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7BD1-8B9F-4A33-8367-AF8CB94289D2}">
  <dimension ref="A1:S19"/>
  <sheetViews>
    <sheetView tabSelected="1" workbookViewId="0">
      <selection activeCell="E20" sqref="E20"/>
    </sheetView>
  </sheetViews>
  <sheetFormatPr defaultRowHeight="15" customHeight="1"/>
  <cols>
    <col min="1" max="1" width="19.140625" customWidth="1"/>
    <col min="2" max="2" width="13.7109375" customWidth="1"/>
    <col min="3" max="3" width="19.140625" customWidth="1"/>
    <col min="4" max="4" width="13.42578125" customWidth="1"/>
    <col min="5" max="5" width="13" customWidth="1"/>
    <col min="6" max="6" width="11.85546875" customWidth="1"/>
    <col min="7" max="7" width="15.85546875" customWidth="1"/>
    <col min="8" max="8" width="11" customWidth="1"/>
    <col min="9" max="9" width="11.140625" customWidth="1"/>
    <col min="10" max="10" width="10" customWidth="1"/>
    <col min="11" max="11" width="9.7109375" customWidth="1"/>
    <col min="12" max="12" width="9.42578125" customWidth="1"/>
    <col min="13" max="13" width="10.28515625" customWidth="1"/>
    <col min="14" max="14" width="11.28515625" customWidth="1"/>
    <col min="15" max="15" width="15.85546875" customWidth="1"/>
    <col min="16" max="16" width="12.28515625" customWidth="1"/>
    <col min="17" max="17" width="11.85546875" customWidth="1"/>
    <col min="18" max="18" width="14.7109375" bestFit="1" customWidth="1"/>
    <col min="19" max="19" width="38.5703125" bestFit="1" customWidth="1"/>
  </cols>
  <sheetData>
    <row r="1" spans="1:19" ht="15" customHeight="1">
      <c r="A1" s="3" t="s">
        <v>1</v>
      </c>
      <c r="B1" s="3" t="s">
        <v>3</v>
      </c>
      <c r="C1" s="3" t="s">
        <v>4</v>
      </c>
      <c r="D1" s="3" t="s">
        <v>53</v>
      </c>
      <c r="E1" s="3" t="s">
        <v>54</v>
      </c>
      <c r="F1" s="3" t="s">
        <v>55</v>
      </c>
      <c r="G1" s="3" t="s">
        <v>11</v>
      </c>
      <c r="H1" s="3" t="s">
        <v>13</v>
      </c>
      <c r="I1" s="3" t="s">
        <v>14</v>
      </c>
      <c r="J1" s="3"/>
      <c r="K1" s="3"/>
      <c r="L1" s="3" t="s">
        <v>57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20</v>
      </c>
    </row>
    <row r="2" spans="1:19" s="14" customFormat="1" ht="15" customHeight="1">
      <c r="A2" s="14" t="s">
        <v>22</v>
      </c>
      <c r="B2" s="15">
        <v>4151703620</v>
      </c>
      <c r="C2" s="14" t="s">
        <v>25</v>
      </c>
      <c r="D2" s="16">
        <v>45910</v>
      </c>
      <c r="E2" s="16">
        <v>46213</v>
      </c>
      <c r="H2" s="14" t="s">
        <v>28</v>
      </c>
      <c r="I2" s="17">
        <v>0</v>
      </c>
      <c r="J2" s="17"/>
      <c r="K2" s="17"/>
      <c r="L2" s="14">
        <v>54.34</v>
      </c>
      <c r="M2" s="14" t="s">
        <v>29</v>
      </c>
      <c r="N2" s="18">
        <v>0</v>
      </c>
      <c r="O2" s="14" t="s">
        <v>30</v>
      </c>
      <c r="P2" s="17">
        <v>0</v>
      </c>
      <c r="Q2" s="17">
        <v>-51.65</v>
      </c>
      <c r="R2" s="19" t="s">
        <v>56</v>
      </c>
    </row>
    <row r="3" spans="1:19" s="14" customFormat="1" ht="15" customHeight="1">
      <c r="A3" s="14" t="s">
        <v>22</v>
      </c>
      <c r="B3" s="15">
        <v>4151704597</v>
      </c>
      <c r="C3" s="14" t="s">
        <v>32</v>
      </c>
      <c r="D3" s="16">
        <v>45912</v>
      </c>
      <c r="E3" s="16">
        <v>46215</v>
      </c>
      <c r="H3" s="14" t="s">
        <v>28</v>
      </c>
      <c r="I3" s="17">
        <v>0</v>
      </c>
      <c r="J3" s="17"/>
      <c r="K3" s="17"/>
      <c r="L3" s="14">
        <v>18.16</v>
      </c>
      <c r="M3" s="14" t="s">
        <v>29</v>
      </c>
      <c r="N3" s="18">
        <v>0</v>
      </c>
      <c r="O3" s="14" t="s">
        <v>30</v>
      </c>
      <c r="P3" s="17">
        <v>0</v>
      </c>
      <c r="Q3" s="17">
        <v>-17.260000000000002</v>
      </c>
      <c r="R3" s="19" t="s">
        <v>56</v>
      </c>
    </row>
    <row r="4" spans="1:19" s="14" customFormat="1" ht="15" customHeight="1">
      <c r="A4" s="14" t="s">
        <v>22</v>
      </c>
      <c r="B4" s="15">
        <v>4151732854</v>
      </c>
      <c r="C4" s="14" t="s">
        <v>34</v>
      </c>
      <c r="D4" s="16">
        <v>45993</v>
      </c>
      <c r="E4" s="16">
        <v>46205</v>
      </c>
      <c r="F4" s="16">
        <v>46176</v>
      </c>
      <c r="H4" s="14" t="s">
        <v>28</v>
      </c>
      <c r="I4" s="17">
        <v>0</v>
      </c>
      <c r="J4" s="17"/>
      <c r="K4" s="17"/>
      <c r="L4" s="14">
        <v>40.39</v>
      </c>
      <c r="M4" s="14" t="s">
        <v>29</v>
      </c>
      <c r="N4" s="18">
        <v>0</v>
      </c>
      <c r="O4" s="14" t="s">
        <v>30</v>
      </c>
      <c r="P4" s="17">
        <v>0</v>
      </c>
      <c r="Q4" s="17">
        <v>-115.11</v>
      </c>
      <c r="R4" s="14" t="s">
        <v>56</v>
      </c>
    </row>
    <row r="5" spans="1:19" ht="15" customHeight="1">
      <c r="A5" t="s">
        <v>35</v>
      </c>
      <c r="B5" s="5">
        <v>4151788791</v>
      </c>
      <c r="C5" t="s">
        <v>38</v>
      </c>
      <c r="D5" s="1">
        <v>46184</v>
      </c>
      <c r="E5" s="1">
        <v>46214</v>
      </c>
      <c r="G5" t="s">
        <v>39</v>
      </c>
      <c r="H5" t="s">
        <v>40</v>
      </c>
      <c r="I5" s="2">
        <v>4129.32</v>
      </c>
      <c r="K5" s="2"/>
      <c r="L5">
        <v>346.29</v>
      </c>
      <c r="M5" t="s">
        <v>29</v>
      </c>
      <c r="N5" s="4">
        <v>0</v>
      </c>
      <c r="P5" s="2">
        <v>0</v>
      </c>
      <c r="Q5" s="2">
        <v>0</v>
      </c>
      <c r="R5" s="6" t="s">
        <v>58</v>
      </c>
    </row>
    <row r="6" spans="1:19" s="8" customFormat="1" ht="15" customHeight="1">
      <c r="A6" s="8" t="s">
        <v>35</v>
      </c>
      <c r="B6" s="9">
        <v>4151788791</v>
      </c>
      <c r="C6" s="10" t="s">
        <v>38</v>
      </c>
      <c r="D6" s="11">
        <v>46184</v>
      </c>
      <c r="E6" s="11">
        <v>46214</v>
      </c>
      <c r="G6" s="8" t="s">
        <v>39</v>
      </c>
      <c r="H6" s="8" t="s">
        <v>40</v>
      </c>
      <c r="I6" s="12">
        <v>4129.32</v>
      </c>
      <c r="J6" s="12">
        <f>I5/12</f>
        <v>344.10999999999996</v>
      </c>
      <c r="K6" s="12">
        <f>Q6/9</f>
        <v>275.28777777777782</v>
      </c>
      <c r="L6" s="8">
        <v>346.29</v>
      </c>
      <c r="M6" s="8" t="s">
        <v>29</v>
      </c>
      <c r="N6" s="13">
        <v>0.8</v>
      </c>
      <c r="P6" s="12">
        <v>2477.59</v>
      </c>
      <c r="Q6" s="12">
        <v>2477.59</v>
      </c>
      <c r="R6" s="10" t="s">
        <v>61</v>
      </c>
      <c r="S6" s="12" t="s">
        <v>59</v>
      </c>
    </row>
    <row r="7" spans="1:19" s="14" customFormat="1" ht="15" customHeight="1">
      <c r="A7" s="14" t="s">
        <v>22</v>
      </c>
      <c r="B7" s="15">
        <v>4151813585</v>
      </c>
      <c r="C7" s="14" t="s">
        <v>42</v>
      </c>
      <c r="D7" s="16">
        <v>46174</v>
      </c>
      <c r="E7" s="16">
        <v>46204</v>
      </c>
      <c r="F7" s="16">
        <v>46174</v>
      </c>
      <c r="H7" s="14" t="s">
        <v>28</v>
      </c>
      <c r="I7" s="17">
        <v>0</v>
      </c>
      <c r="J7" s="17"/>
      <c r="K7" s="17"/>
      <c r="L7" s="14">
        <v>245.03</v>
      </c>
      <c r="M7" s="14" t="s">
        <v>29</v>
      </c>
      <c r="N7" s="18">
        <v>0</v>
      </c>
      <c r="O7" s="14" t="s">
        <v>30</v>
      </c>
      <c r="P7" s="17">
        <v>0</v>
      </c>
      <c r="Q7" s="17">
        <v>-690.33</v>
      </c>
      <c r="R7" s="14" t="s">
        <v>56</v>
      </c>
    </row>
    <row r="8" spans="1:19" s="14" customFormat="1" ht="15" customHeight="1">
      <c r="A8" s="14" t="s">
        <v>43</v>
      </c>
      <c r="B8" s="15">
        <v>4351698780</v>
      </c>
      <c r="C8" s="14" t="s">
        <v>46</v>
      </c>
      <c r="D8" s="16">
        <v>45912</v>
      </c>
      <c r="E8" s="16">
        <v>46215</v>
      </c>
      <c r="H8" s="14" t="s">
        <v>28</v>
      </c>
      <c r="I8" s="17">
        <v>0</v>
      </c>
      <c r="J8" s="17"/>
      <c r="K8" s="17"/>
      <c r="L8" s="14">
        <v>42.63</v>
      </c>
      <c r="M8" s="14" t="s">
        <v>29</v>
      </c>
      <c r="N8" s="18">
        <v>0</v>
      </c>
      <c r="O8" s="14" t="s">
        <v>30</v>
      </c>
      <c r="P8" s="17">
        <v>0</v>
      </c>
      <c r="Q8" s="17">
        <v>-0.01</v>
      </c>
      <c r="R8" s="19" t="s">
        <v>56</v>
      </c>
    </row>
    <row r="9" spans="1:19" ht="15" customHeight="1">
      <c r="A9" t="s">
        <v>48</v>
      </c>
      <c r="B9" s="5">
        <v>4351807208</v>
      </c>
      <c r="C9" t="s">
        <v>51</v>
      </c>
      <c r="D9" s="1">
        <v>46183</v>
      </c>
      <c r="E9" s="1">
        <v>46213</v>
      </c>
      <c r="G9" t="s">
        <v>52</v>
      </c>
      <c r="H9" t="s">
        <v>40</v>
      </c>
      <c r="I9" s="2">
        <v>568.55999999999995</v>
      </c>
      <c r="J9" s="2"/>
      <c r="K9" s="2"/>
      <c r="L9">
        <v>47.38</v>
      </c>
      <c r="M9" t="s">
        <v>29</v>
      </c>
      <c r="N9" s="4">
        <v>0</v>
      </c>
      <c r="P9" s="2">
        <v>0</v>
      </c>
      <c r="Q9" s="2">
        <v>0</v>
      </c>
      <c r="R9" s="6" t="s">
        <v>58</v>
      </c>
    </row>
    <row r="10" spans="1:19" s="8" customFormat="1" ht="15" customHeight="1">
      <c r="A10" s="8" t="s">
        <v>48</v>
      </c>
      <c r="B10" s="9">
        <v>4351807208</v>
      </c>
      <c r="C10" s="8" t="s">
        <v>51</v>
      </c>
      <c r="D10" s="11">
        <v>46183</v>
      </c>
      <c r="E10" s="11">
        <v>46213</v>
      </c>
      <c r="G10" s="8" t="s">
        <v>52</v>
      </c>
      <c r="H10" s="8" t="s">
        <v>40</v>
      </c>
      <c r="I10" s="12">
        <v>568.55999999999995</v>
      </c>
      <c r="J10" s="12">
        <f>I10/12</f>
        <v>47.379999999999995</v>
      </c>
      <c r="K10" s="12">
        <f>Q10/9</f>
        <v>56.855555555555554</v>
      </c>
      <c r="L10" s="8">
        <v>47.38</v>
      </c>
      <c r="M10" s="8" t="s">
        <v>29</v>
      </c>
      <c r="N10" s="13">
        <v>1.2</v>
      </c>
      <c r="P10" s="12">
        <v>511.7</v>
      </c>
      <c r="Q10" s="12">
        <v>511.7</v>
      </c>
      <c r="R10" s="10" t="s">
        <v>61</v>
      </c>
      <c r="S10" s="8" t="s">
        <v>60</v>
      </c>
    </row>
    <row r="14" spans="1:19" ht="15" customHeight="1">
      <c r="K14" s="2"/>
    </row>
    <row r="17" spans="5:5" ht="15" customHeight="1">
      <c r="E17" s="7"/>
    </row>
    <row r="18" spans="5:5" ht="15" customHeight="1">
      <c r="E18" s="7"/>
    </row>
    <row r="19" spans="5:5" ht="15" customHeight="1">
      <c r="E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2026-06-15T05:54:14Z</dcterms:created>
  <dcterms:modified xsi:type="dcterms:W3CDTF">2026-06-16T16:33:53Z</dcterms:modified>
</cp:coreProperties>
</file>