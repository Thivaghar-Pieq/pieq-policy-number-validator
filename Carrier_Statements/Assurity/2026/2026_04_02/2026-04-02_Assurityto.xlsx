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4-2-26 to 4-12-26\"/>
    </mc:Choice>
  </mc:AlternateContent>
  <xr:revisionPtr revIDLastSave="0" documentId="13_ncr:1_{E7606C4F-BC5B-4E25-B9D3-31D0E8251EAD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9" i="2" l="1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38" i="2"/>
</calcChain>
</file>

<file path=xl/sharedStrings.xml><?xml version="1.0" encoding="utf-8"?>
<sst xmlns="http://schemas.openxmlformats.org/spreadsheetml/2006/main" count="876" uniqueCount="115">
  <si>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</si>
  <si>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</si>
  <si>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</si>
  <si>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</si>
  <si>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</si>
  <si>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</si>
  <si>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</si>
  <si>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</si>
  <si>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</si>
  <si>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</si>
  <si>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</si>
  <si>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</si>
  <si>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</si>
  <si>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</si>
  <si>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</si>
  <si>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</si>
  <si>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</si>
  <si>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</si>
  <si>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</si>
  <si>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</si>
  <si>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</si>
  <si>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</si>
  <si>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</si>
  <si>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</si>
  <si>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4151686357</t>
  </si>
  <si>
    <t>Tutin, Phyllis</t>
  </si>
  <si>
    <t>H</t>
  </si>
  <si>
    <t>85</t>
  </si>
  <si>
    <t>Unknown</t>
  </si>
  <si>
    <t>FirstYear</t>
  </si>
  <si>
    <t>UNSECURED ADVANCE RECOVERY</t>
  </si>
  <si>
    <t>4151695694</t>
  </si>
  <si>
    <t>Kwara, Adnan</t>
  </si>
  <si>
    <t>4151700103</t>
  </si>
  <si>
    <t>Davis, Denise</t>
  </si>
  <si>
    <t>4151716916</t>
  </si>
  <si>
    <t>Howze, Sharon</t>
  </si>
  <si>
    <t>Oliver, Brittany</t>
  </si>
  <si>
    <t>6EVF</t>
  </si>
  <si>
    <t>4151720664</t>
  </si>
  <si>
    <t>Delacruz, Kathy</t>
  </si>
  <si>
    <t>4151724727</t>
  </si>
  <si>
    <t>Black, Braylen</t>
  </si>
  <si>
    <t>4151738558</t>
  </si>
  <si>
    <t>Pickett, Priscilla</t>
  </si>
  <si>
    <t>4151754608</t>
  </si>
  <si>
    <t>Mvele, Auris</t>
  </si>
  <si>
    <t>4151771216</t>
  </si>
  <si>
    <t>Mayhew, Stephanie</t>
  </si>
  <si>
    <t>4151779830</t>
  </si>
  <si>
    <t>Sturgill, Margaret</t>
  </si>
  <si>
    <t>Accident Insurance</t>
  </si>
  <si>
    <t>Monthly</t>
  </si>
  <si>
    <t>Adcock, Robert</t>
  </si>
  <si>
    <t>6F9Z</t>
  </si>
  <si>
    <t>4151780712</t>
  </si>
  <si>
    <t>Sapp, Darryl</t>
  </si>
  <si>
    <t>4151783461</t>
  </si>
  <si>
    <t>Tatum, Kaihli</t>
  </si>
  <si>
    <t>4151786174</t>
  </si>
  <si>
    <t>Johnson, Alan</t>
  </si>
  <si>
    <t>4151787045</t>
  </si>
  <si>
    <t>Corley, William</t>
  </si>
  <si>
    <t>4151787931</t>
  </si>
  <si>
    <t>Schultz, Becarren</t>
  </si>
  <si>
    <t>4151788808</t>
  </si>
  <si>
    <t>Vesonder, Edwin</t>
  </si>
  <si>
    <t>4151788819</t>
  </si>
  <si>
    <t>Vesonder, Modesta</t>
  </si>
  <si>
    <t>Kinyua, Jared</t>
  </si>
  <si>
    <t>6LN5</t>
  </si>
  <si>
    <t>4151789968</t>
  </si>
  <si>
    <t>Okome, Sarah</t>
  </si>
  <si>
    <t>4151790586</t>
  </si>
  <si>
    <t>Mcganey, Darren</t>
  </si>
  <si>
    <t>4151790963</t>
  </si>
  <si>
    <t>Claros Moradel, Samuel</t>
  </si>
  <si>
    <t>4151791535</t>
  </si>
  <si>
    <t>Linke, Alycia</t>
  </si>
  <si>
    <t>4151791555</t>
  </si>
  <si>
    <t>Tomlin, Amiel</t>
  </si>
  <si>
    <t>4151791581</t>
  </si>
  <si>
    <t>Leavell, Floyd</t>
  </si>
  <si>
    <t>4151791628</t>
  </si>
  <si>
    <t>Hernandez, Manuel</t>
  </si>
  <si>
    <t>4151792642</t>
  </si>
  <si>
    <t>Miller, John</t>
  </si>
  <si>
    <t>Max, Ronald</t>
  </si>
  <si>
    <t>6NBL</t>
  </si>
  <si>
    <t>4351674059</t>
  </si>
  <si>
    <t>Abruzzo, Tiffany</t>
  </si>
  <si>
    <t>L</t>
  </si>
  <si>
    <t>Rader, John</t>
  </si>
  <si>
    <t>6KC9</t>
  </si>
  <si>
    <t>4351775951</t>
  </si>
  <si>
    <t>Shire, Irena</t>
  </si>
  <si>
    <t>4351789355</t>
  </si>
  <si>
    <t>Giedgowd, Jackson</t>
  </si>
  <si>
    <t>Term Life - 30 Year</t>
  </si>
  <si>
    <t>4151683235</t>
  </si>
  <si>
    <t>Caldwell, April</t>
  </si>
  <si>
    <t>4151791023</t>
  </si>
  <si>
    <t>Personal Disability Income</t>
  </si>
  <si>
    <t>1-3 2024- Accident Insurance All States Applicable Except (CO/MN/SD/WA) 95%</t>
  </si>
  <si>
    <t>critical illness(80)</t>
  </si>
  <si>
    <t>2024-20 and 30 Yr Term All States Where Applicable</t>
  </si>
  <si>
    <t>2024-Accident Insurance- All States Applicable Except (CO/MN/SD/WA)100</t>
  </si>
  <si>
    <t>Rescinded and pay AE months active</t>
  </si>
  <si>
    <t>Policy is lapsed, did not process</t>
  </si>
  <si>
    <t>NB</t>
  </si>
  <si>
    <t>AV</t>
  </si>
  <si>
    <t>RN</t>
  </si>
  <si>
    <t>AE</t>
  </si>
  <si>
    <t>19279958AV9</t>
  </si>
  <si>
    <t>Agent on AE did not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</si>
</sst>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NumberFormat="1" applyFill="1" applyAlignment="1">
      <alignment vertical="center"/>
    </xf>
    <xf numFmtId="14" fontId="0" fillId="3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10" fontId="0" fillId="3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NumberFormat="1" applyFill="1" applyAlignment="1">
      <alignment vertical="center"/>
    </xf>
    <xf numFmtId="14" fontId="0" fillId="0" borderId="0" xfId="0" applyNumberFormat="1" applyFill="1" applyAlignment="1">
      <alignment vertical="center"/>
    </xf>
    <xf numFmtId="164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NumberFormat="1" applyFill="1" applyAlignment="1">
      <alignment vertical="center"/>
    </xf>
    <xf numFmtId="14" fontId="0" fillId="4" borderId="0" xfId="0" applyNumberFormat="1" applyFill="1" applyAlignment="1">
      <alignment vertical="center"/>
    </xf>
    <xf numFmtId="164" fontId="0" fillId="4" borderId="0" xfId="0" applyNumberFormat="1" applyFill="1" applyAlignment="1">
      <alignment vertical="center"/>
    </xf>
    <xf numFmtId="10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NumberFormat="1" applyFill="1" applyAlignment="1">
      <alignment vertical="center"/>
    </xf>
    <xf numFmtId="14" fontId="0" fillId="5" borderId="0" xfId="0" applyNumberFormat="1" applyFill="1" applyAlignment="1">
      <alignment vertical="center"/>
    </xf>
    <xf numFmtId="164" fontId="0" fillId="5" borderId="0" xfId="0" applyNumberFormat="1" applyFill="1" applyAlignment="1">
      <alignment vertical="center"/>
    </xf>
    <xf numFmtId="10" fontId="0" fillId="5" borderId="0" xfId="0" applyNumberForma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>
      <selection activeCell="D37" sqref="D37"/>
    </sheetView>
  </sheetViews>
  <sheetFormatPr defaultRowHeight="14.4" x14ac:dyDescent="0.3"/>
  <cols>
    <col min="1" max="2" width="25.109375" bestFit="1" customWidth="1"/>
    <col min="3" max="3" width="28.109375" bestFit="1" customWidth="1"/>
    <col min="4" max="4" width="25.109375" bestFit="1" customWidth="1"/>
    <col min="5" max="5" width="29.109375" bestFit="1" customWidth="1"/>
    <col min="6" max="6" width="30.109375" bestFit="1" customWidth="1"/>
    <col min="7" max="7" width="28.109375" bestFit="1" customWidth="1"/>
    <col min="8" max="8" width="30.109375" bestFit="1" customWidth="1"/>
    <col min="9" max="9" width="23.109375" bestFit="1" customWidth="1"/>
    <col min="10" max="10" width="25.109375" bestFit="1" customWidth="1"/>
    <col min="11" max="11" width="28.109375" bestFit="1" customWidth="1"/>
    <col min="12" max="12" width="33.109375" bestFit="1" customWidth="1"/>
    <col min="13" max="13" width="20.109375" bestFit="1" customWidth="1"/>
    <col min="14" max="14" width="16.109375" bestFit="1" customWidth="1"/>
    <col min="15" max="15" width="24.109375" bestFit="1" customWidth="1"/>
    <col min="16" max="17" width="27.109375" bestFit="1" customWidth="1"/>
    <col min="18" max="18" width="33.109375" bestFit="1" customWidth="1"/>
    <col min="19" max="19" width="22.109375" bestFit="1" customWidth="1"/>
    <col min="20" max="20" width="28.109375" bestFit="1" customWidth="1"/>
    <col min="21" max="21" width="26.10937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46114</v>
      </c>
      <c r="G2" s="1"/>
      <c r="H2" s="1">
        <v>46115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-45.52</v>
      </c>
    </row>
    <row r="3" spans="1:21" x14ac:dyDescent="0.3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46114</v>
      </c>
      <c r="G3" s="1"/>
      <c r="H3" s="1">
        <v>46115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-5.87</v>
      </c>
    </row>
    <row r="4" spans="1:21" x14ac:dyDescent="0.3">
      <c r="A4" t="s">
        <v>21</v>
      </c>
      <c r="B4" t="s">
        <v>22</v>
      </c>
      <c r="C4" t="s">
        <v>23</v>
      </c>
      <c r="D4" t="s">
        <v>33</v>
      </c>
      <c r="E4" t="s">
        <v>34</v>
      </c>
      <c r="F4" s="1">
        <v>46114</v>
      </c>
      <c r="G4" s="1"/>
      <c r="H4" s="1">
        <v>46115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-116.21</v>
      </c>
    </row>
    <row r="5" spans="1:21" x14ac:dyDescent="0.3">
      <c r="A5" t="s">
        <v>21</v>
      </c>
      <c r="B5" t="s">
        <v>22</v>
      </c>
      <c r="C5" t="s">
        <v>23</v>
      </c>
      <c r="D5" t="s">
        <v>35</v>
      </c>
      <c r="E5" t="s">
        <v>36</v>
      </c>
      <c r="F5" s="1">
        <v>46114</v>
      </c>
      <c r="G5" s="1"/>
      <c r="H5" s="1">
        <v>46115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-189.18</v>
      </c>
    </row>
    <row r="6" spans="1:21" x14ac:dyDescent="0.3">
      <c r="A6" t="s">
        <v>21</v>
      </c>
      <c r="B6" t="s">
        <v>37</v>
      </c>
      <c r="C6" t="s">
        <v>38</v>
      </c>
      <c r="D6" t="s">
        <v>39</v>
      </c>
      <c r="E6" t="s">
        <v>40</v>
      </c>
      <c r="F6" s="1">
        <v>46114</v>
      </c>
      <c r="G6" s="1"/>
      <c r="H6" s="1">
        <v>46115</v>
      </c>
      <c r="K6" t="s">
        <v>26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-191.85</v>
      </c>
    </row>
    <row r="7" spans="1:21" x14ac:dyDescent="0.3">
      <c r="A7" t="s">
        <v>21</v>
      </c>
      <c r="B7" t="s">
        <v>37</v>
      </c>
      <c r="C7" t="s">
        <v>38</v>
      </c>
      <c r="D7" t="s">
        <v>41</v>
      </c>
      <c r="E7" t="s">
        <v>42</v>
      </c>
      <c r="F7" s="1">
        <v>46114</v>
      </c>
      <c r="G7" s="1"/>
      <c r="H7" s="1">
        <v>46115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-114.91</v>
      </c>
    </row>
    <row r="8" spans="1:21" x14ac:dyDescent="0.3">
      <c r="A8" t="s">
        <v>21</v>
      </c>
      <c r="B8" t="s">
        <v>37</v>
      </c>
      <c r="C8" t="s">
        <v>38</v>
      </c>
      <c r="D8" t="s">
        <v>43</v>
      </c>
      <c r="E8" t="s">
        <v>44</v>
      </c>
      <c r="F8" s="1">
        <v>46114</v>
      </c>
      <c r="G8" s="1"/>
      <c r="H8" s="1">
        <v>46115</v>
      </c>
      <c r="K8" t="s">
        <v>26</v>
      </c>
      <c r="M8" t="s">
        <v>27</v>
      </c>
      <c r="N8" t="s">
        <v>28</v>
      </c>
      <c r="O8" s="2">
        <v>0</v>
      </c>
      <c r="P8" t="s">
        <v>29</v>
      </c>
      <c r="Q8" s="4">
        <v>0</v>
      </c>
      <c r="R8" t="s">
        <v>30</v>
      </c>
      <c r="S8" s="2">
        <v>0</v>
      </c>
      <c r="T8" s="2">
        <v>0</v>
      </c>
      <c r="U8" s="2">
        <v>-103.67</v>
      </c>
    </row>
    <row r="9" spans="1:21" x14ac:dyDescent="0.3">
      <c r="A9" t="s">
        <v>21</v>
      </c>
      <c r="B9" t="s">
        <v>37</v>
      </c>
      <c r="C9" t="s">
        <v>38</v>
      </c>
      <c r="D9" t="s">
        <v>45</v>
      </c>
      <c r="E9" t="s">
        <v>46</v>
      </c>
      <c r="F9" s="1">
        <v>46114</v>
      </c>
      <c r="G9" s="1"/>
      <c r="H9" s="1">
        <v>46115</v>
      </c>
      <c r="K9" t="s">
        <v>26</v>
      </c>
      <c r="M9" t="s">
        <v>27</v>
      </c>
      <c r="N9" t="s">
        <v>28</v>
      </c>
      <c r="O9" s="2">
        <v>0</v>
      </c>
      <c r="P9" t="s">
        <v>29</v>
      </c>
      <c r="Q9" s="4">
        <v>0</v>
      </c>
      <c r="R9" t="s">
        <v>30</v>
      </c>
      <c r="S9" s="2">
        <v>0</v>
      </c>
      <c r="T9" s="2">
        <v>0</v>
      </c>
      <c r="U9" s="2">
        <v>-278.08999999999997</v>
      </c>
    </row>
    <row r="10" spans="1:21" x14ac:dyDescent="0.3">
      <c r="A10" t="s">
        <v>21</v>
      </c>
      <c r="B10" t="s">
        <v>22</v>
      </c>
      <c r="C10" t="s">
        <v>23</v>
      </c>
      <c r="D10" t="s">
        <v>47</v>
      </c>
      <c r="E10" t="s">
        <v>48</v>
      </c>
      <c r="F10" s="1">
        <v>46114</v>
      </c>
      <c r="G10" s="1"/>
      <c r="H10" s="1">
        <v>46115</v>
      </c>
      <c r="K10" t="s">
        <v>26</v>
      </c>
      <c r="M10" t="s">
        <v>27</v>
      </c>
      <c r="N10" t="s">
        <v>28</v>
      </c>
      <c r="O10" s="2">
        <v>0</v>
      </c>
      <c r="P10" t="s">
        <v>29</v>
      </c>
      <c r="Q10" s="4">
        <v>0</v>
      </c>
      <c r="R10" t="s">
        <v>30</v>
      </c>
      <c r="S10" s="2">
        <v>0</v>
      </c>
      <c r="T10" s="2">
        <v>0</v>
      </c>
      <c r="U10" s="2">
        <v>-306.95999999999998</v>
      </c>
    </row>
    <row r="11" spans="1:21" x14ac:dyDescent="0.3">
      <c r="A11" t="s">
        <v>21</v>
      </c>
      <c r="B11" t="s">
        <v>22</v>
      </c>
      <c r="C11" t="s">
        <v>23</v>
      </c>
      <c r="D11" t="s">
        <v>49</v>
      </c>
      <c r="E11" t="s">
        <v>50</v>
      </c>
      <c r="F11" s="1">
        <v>46113</v>
      </c>
      <c r="G11" s="1"/>
      <c r="H11" s="1">
        <v>46115</v>
      </c>
      <c r="K11" t="s">
        <v>26</v>
      </c>
      <c r="L11" t="s">
        <v>51</v>
      </c>
      <c r="M11" t="s">
        <v>27</v>
      </c>
      <c r="N11" t="s">
        <v>52</v>
      </c>
      <c r="O11" s="2">
        <v>477.96</v>
      </c>
      <c r="P11" t="s">
        <v>29</v>
      </c>
      <c r="Q11" s="4">
        <v>0</v>
      </c>
      <c r="S11" s="2">
        <v>0</v>
      </c>
      <c r="T11" s="2">
        <v>0</v>
      </c>
      <c r="U11" s="2">
        <v>0</v>
      </c>
    </row>
    <row r="12" spans="1:21" x14ac:dyDescent="0.3">
      <c r="A12" t="s">
        <v>21</v>
      </c>
      <c r="B12" t="s">
        <v>22</v>
      </c>
      <c r="C12" t="s">
        <v>23</v>
      </c>
      <c r="D12" t="s">
        <v>49</v>
      </c>
      <c r="E12" t="s">
        <v>50</v>
      </c>
      <c r="F12" s="1">
        <v>46113</v>
      </c>
      <c r="G12" s="1"/>
      <c r="H12" s="1">
        <v>46115</v>
      </c>
      <c r="K12" t="s">
        <v>26</v>
      </c>
      <c r="L12" t="s">
        <v>51</v>
      </c>
      <c r="M12" t="s">
        <v>27</v>
      </c>
      <c r="N12" t="s">
        <v>52</v>
      </c>
      <c r="O12" s="2">
        <v>477.96</v>
      </c>
      <c r="P12" t="s">
        <v>29</v>
      </c>
      <c r="Q12" s="4">
        <v>0.95</v>
      </c>
      <c r="S12" s="2">
        <v>340.54</v>
      </c>
      <c r="T12" s="2">
        <v>0</v>
      </c>
      <c r="U12" s="2">
        <v>340.54</v>
      </c>
    </row>
    <row r="13" spans="1:21" x14ac:dyDescent="0.3">
      <c r="A13" t="s">
        <v>21</v>
      </c>
      <c r="B13" t="s">
        <v>53</v>
      </c>
      <c r="C13" t="s">
        <v>54</v>
      </c>
      <c r="D13" t="s">
        <v>55</v>
      </c>
      <c r="E13" t="s">
        <v>56</v>
      </c>
      <c r="F13" s="1">
        <v>46113</v>
      </c>
      <c r="G13" s="1"/>
      <c r="H13" s="1">
        <v>46115</v>
      </c>
      <c r="K13" t="s">
        <v>26</v>
      </c>
      <c r="L13" t="s">
        <v>51</v>
      </c>
      <c r="M13" t="s">
        <v>27</v>
      </c>
      <c r="N13" t="s">
        <v>52</v>
      </c>
      <c r="O13" s="2">
        <v>139.91999999999999</v>
      </c>
      <c r="P13" t="s">
        <v>29</v>
      </c>
      <c r="Q13" s="4">
        <v>0</v>
      </c>
      <c r="S13" s="2">
        <v>0</v>
      </c>
      <c r="T13" s="2">
        <v>0</v>
      </c>
      <c r="U13" s="2">
        <v>0</v>
      </c>
    </row>
    <row r="14" spans="1:21" x14ac:dyDescent="0.3">
      <c r="A14" t="s">
        <v>21</v>
      </c>
      <c r="B14" t="s">
        <v>53</v>
      </c>
      <c r="C14" t="s">
        <v>54</v>
      </c>
      <c r="D14" t="s">
        <v>55</v>
      </c>
      <c r="E14" t="s">
        <v>56</v>
      </c>
      <c r="F14" s="1">
        <v>46113</v>
      </c>
      <c r="G14" s="1"/>
      <c r="H14" s="1">
        <v>46115</v>
      </c>
      <c r="K14" t="s">
        <v>26</v>
      </c>
      <c r="L14" t="s">
        <v>51</v>
      </c>
      <c r="M14" t="s">
        <v>27</v>
      </c>
      <c r="N14" t="s">
        <v>52</v>
      </c>
      <c r="O14" s="2">
        <v>139.91999999999999</v>
      </c>
      <c r="P14" t="s">
        <v>29</v>
      </c>
      <c r="Q14" s="4">
        <v>0.95</v>
      </c>
      <c r="S14" s="2">
        <v>99.69</v>
      </c>
      <c r="T14" s="2">
        <v>0</v>
      </c>
      <c r="U14" s="2">
        <v>99.69</v>
      </c>
    </row>
    <row r="15" spans="1:21" x14ac:dyDescent="0.3">
      <c r="A15" t="s">
        <v>21</v>
      </c>
      <c r="B15" t="s">
        <v>22</v>
      </c>
      <c r="C15" t="s">
        <v>23</v>
      </c>
      <c r="D15" t="s">
        <v>57</v>
      </c>
      <c r="E15" t="s">
        <v>58</v>
      </c>
      <c r="F15" s="1">
        <v>46113</v>
      </c>
      <c r="G15" s="1"/>
      <c r="H15" s="1">
        <v>46115</v>
      </c>
      <c r="K15" t="s">
        <v>26</v>
      </c>
      <c r="L15" t="s">
        <v>51</v>
      </c>
      <c r="M15" t="s">
        <v>27</v>
      </c>
      <c r="N15" t="s">
        <v>52</v>
      </c>
      <c r="O15" s="2">
        <v>484.68</v>
      </c>
      <c r="P15" t="s">
        <v>29</v>
      </c>
      <c r="Q15" s="4">
        <v>0</v>
      </c>
      <c r="S15" s="2">
        <v>0</v>
      </c>
      <c r="T15" s="2">
        <v>0</v>
      </c>
      <c r="U15" s="2">
        <v>0</v>
      </c>
    </row>
    <row r="16" spans="1:21" x14ac:dyDescent="0.3">
      <c r="A16" t="s">
        <v>21</v>
      </c>
      <c r="B16" t="s">
        <v>53</v>
      </c>
      <c r="C16" t="s">
        <v>54</v>
      </c>
      <c r="D16" t="s">
        <v>59</v>
      </c>
      <c r="E16" t="s">
        <v>60</v>
      </c>
      <c r="F16" s="1">
        <v>46113</v>
      </c>
      <c r="G16" s="1"/>
      <c r="H16" s="1">
        <v>46115</v>
      </c>
      <c r="K16" t="s">
        <v>26</v>
      </c>
      <c r="L16" t="s">
        <v>51</v>
      </c>
      <c r="M16" t="s">
        <v>27</v>
      </c>
      <c r="N16" t="s">
        <v>52</v>
      </c>
      <c r="O16" s="2">
        <v>295.2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3">
      <c r="A17" t="s">
        <v>21</v>
      </c>
      <c r="B17" t="s">
        <v>53</v>
      </c>
      <c r="C17" t="s">
        <v>54</v>
      </c>
      <c r="D17" t="s">
        <v>59</v>
      </c>
      <c r="E17" t="s">
        <v>60</v>
      </c>
      <c r="F17" s="1">
        <v>46113</v>
      </c>
      <c r="G17" s="1"/>
      <c r="H17" s="1">
        <v>46115</v>
      </c>
      <c r="K17" t="s">
        <v>26</v>
      </c>
      <c r="L17" t="s">
        <v>51</v>
      </c>
      <c r="M17" t="s">
        <v>27</v>
      </c>
      <c r="N17" t="s">
        <v>52</v>
      </c>
      <c r="O17" s="2">
        <v>295.2</v>
      </c>
      <c r="P17" t="s">
        <v>29</v>
      </c>
      <c r="Q17" s="4">
        <v>0.95</v>
      </c>
      <c r="S17" s="2">
        <v>210.33</v>
      </c>
      <c r="T17" s="2">
        <v>0</v>
      </c>
      <c r="U17" s="2">
        <v>210.33</v>
      </c>
    </row>
    <row r="18" spans="1:21" x14ac:dyDescent="0.3">
      <c r="A18" t="s">
        <v>21</v>
      </c>
      <c r="B18" t="s">
        <v>22</v>
      </c>
      <c r="C18" t="s">
        <v>23</v>
      </c>
      <c r="D18" t="s">
        <v>61</v>
      </c>
      <c r="E18" t="s">
        <v>62</v>
      </c>
      <c r="F18" s="1">
        <v>46111</v>
      </c>
      <c r="G18" s="1"/>
      <c r="H18" s="1">
        <v>46115</v>
      </c>
      <c r="K18" t="s">
        <v>26</v>
      </c>
      <c r="L18" t="s">
        <v>51</v>
      </c>
      <c r="M18" t="s">
        <v>27</v>
      </c>
      <c r="N18" t="s">
        <v>52</v>
      </c>
      <c r="O18" s="2">
        <v>652.08000000000004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3">
      <c r="A19" t="s">
        <v>21</v>
      </c>
      <c r="B19" t="s">
        <v>22</v>
      </c>
      <c r="C19" t="s">
        <v>23</v>
      </c>
      <c r="D19" t="s">
        <v>61</v>
      </c>
      <c r="E19" t="s">
        <v>62</v>
      </c>
      <c r="F19" s="1">
        <v>46111</v>
      </c>
      <c r="G19" s="1"/>
      <c r="H19" s="1">
        <v>46115</v>
      </c>
      <c r="K19" t="s">
        <v>26</v>
      </c>
      <c r="L19" t="s">
        <v>51</v>
      </c>
      <c r="M19" t="s">
        <v>27</v>
      </c>
      <c r="N19" t="s">
        <v>52</v>
      </c>
      <c r="O19" s="2">
        <v>652.08000000000004</v>
      </c>
      <c r="P19" t="s">
        <v>29</v>
      </c>
      <c r="Q19" s="4">
        <v>0.95</v>
      </c>
      <c r="S19" s="2">
        <v>464.61</v>
      </c>
      <c r="T19" s="2">
        <v>0</v>
      </c>
      <c r="U19" s="2">
        <v>464.61</v>
      </c>
    </row>
    <row r="20" spans="1:21" x14ac:dyDescent="0.3">
      <c r="A20" t="s">
        <v>21</v>
      </c>
      <c r="B20" t="s">
        <v>22</v>
      </c>
      <c r="C20" t="s">
        <v>23</v>
      </c>
      <c r="D20" t="s">
        <v>63</v>
      </c>
      <c r="E20" t="s">
        <v>64</v>
      </c>
      <c r="F20" s="1">
        <v>46113</v>
      </c>
      <c r="G20" s="1"/>
      <c r="H20" s="1">
        <v>46115</v>
      </c>
      <c r="K20" t="s">
        <v>26</v>
      </c>
      <c r="L20" t="s">
        <v>51</v>
      </c>
      <c r="M20" t="s">
        <v>27</v>
      </c>
      <c r="N20" t="s">
        <v>52</v>
      </c>
      <c r="O20" s="2">
        <v>628.08000000000004</v>
      </c>
      <c r="P20" t="s">
        <v>29</v>
      </c>
      <c r="Q20" s="4">
        <v>0</v>
      </c>
      <c r="S20" s="2">
        <v>0</v>
      </c>
      <c r="T20" s="2">
        <v>0</v>
      </c>
      <c r="U20" s="2">
        <v>0</v>
      </c>
    </row>
    <row r="21" spans="1:21" x14ac:dyDescent="0.3">
      <c r="A21" t="s">
        <v>21</v>
      </c>
      <c r="B21" t="s">
        <v>22</v>
      </c>
      <c r="C21" t="s">
        <v>23</v>
      </c>
      <c r="D21" t="s">
        <v>63</v>
      </c>
      <c r="E21" t="s">
        <v>64</v>
      </c>
      <c r="F21" s="1">
        <v>46113</v>
      </c>
      <c r="G21" s="1"/>
      <c r="H21" s="1">
        <v>46115</v>
      </c>
      <c r="K21" t="s">
        <v>26</v>
      </c>
      <c r="L21" t="s">
        <v>51</v>
      </c>
      <c r="M21" t="s">
        <v>27</v>
      </c>
      <c r="N21" t="s">
        <v>52</v>
      </c>
      <c r="O21" s="2">
        <v>628.08000000000004</v>
      </c>
      <c r="P21" t="s">
        <v>29</v>
      </c>
      <c r="Q21" s="4">
        <v>0.95</v>
      </c>
      <c r="S21" s="2">
        <v>447.51</v>
      </c>
      <c r="T21" s="2">
        <v>0</v>
      </c>
      <c r="U21" s="2">
        <v>447.51</v>
      </c>
    </row>
    <row r="22" spans="1:21" x14ac:dyDescent="0.3">
      <c r="A22" t="s">
        <v>21</v>
      </c>
      <c r="B22" t="s">
        <v>22</v>
      </c>
      <c r="C22" t="s">
        <v>23</v>
      </c>
      <c r="D22" t="s">
        <v>65</v>
      </c>
      <c r="E22" t="s">
        <v>66</v>
      </c>
      <c r="F22" s="1">
        <v>46113</v>
      </c>
      <c r="G22" s="1"/>
      <c r="H22" s="1">
        <v>46115</v>
      </c>
      <c r="K22" t="s">
        <v>26</v>
      </c>
      <c r="L22" t="s">
        <v>51</v>
      </c>
      <c r="M22" t="s">
        <v>27</v>
      </c>
      <c r="N22" t="s">
        <v>52</v>
      </c>
      <c r="O22" s="2">
        <v>484.68</v>
      </c>
      <c r="P22" t="s">
        <v>29</v>
      </c>
      <c r="Q22" s="4">
        <v>0</v>
      </c>
      <c r="S22" s="2">
        <v>0</v>
      </c>
      <c r="T22" s="2">
        <v>0</v>
      </c>
      <c r="U22" s="2">
        <v>0</v>
      </c>
    </row>
    <row r="23" spans="1:21" x14ac:dyDescent="0.3">
      <c r="A23" t="s">
        <v>21</v>
      </c>
      <c r="B23" t="s">
        <v>22</v>
      </c>
      <c r="C23" t="s">
        <v>23</v>
      </c>
      <c r="D23" t="s">
        <v>65</v>
      </c>
      <c r="E23" t="s">
        <v>66</v>
      </c>
      <c r="F23" s="1">
        <v>46113</v>
      </c>
      <c r="G23" s="1"/>
      <c r="H23" s="1">
        <v>46115</v>
      </c>
      <c r="K23" t="s">
        <v>26</v>
      </c>
      <c r="L23" t="s">
        <v>51</v>
      </c>
      <c r="M23" t="s">
        <v>27</v>
      </c>
      <c r="N23" t="s">
        <v>52</v>
      </c>
      <c r="O23" s="2">
        <v>484.68</v>
      </c>
      <c r="P23" t="s">
        <v>29</v>
      </c>
      <c r="Q23" s="4">
        <v>0.95</v>
      </c>
      <c r="S23" s="2">
        <v>345.33</v>
      </c>
      <c r="T23" s="2">
        <v>0</v>
      </c>
      <c r="U23" s="2">
        <v>345.33</v>
      </c>
    </row>
    <row r="24" spans="1:21" x14ac:dyDescent="0.3">
      <c r="A24" t="s">
        <v>21</v>
      </c>
      <c r="B24" t="s">
        <v>22</v>
      </c>
      <c r="C24" t="s">
        <v>23</v>
      </c>
      <c r="D24" t="s">
        <v>67</v>
      </c>
      <c r="E24" t="s">
        <v>68</v>
      </c>
      <c r="F24" s="1">
        <v>46113</v>
      </c>
      <c r="G24" s="1"/>
      <c r="H24" s="1">
        <v>46115</v>
      </c>
      <c r="K24" t="s">
        <v>26</v>
      </c>
      <c r="L24" t="s">
        <v>51</v>
      </c>
      <c r="M24" t="s">
        <v>27</v>
      </c>
      <c r="N24" t="s">
        <v>52</v>
      </c>
      <c r="O24" s="2">
        <v>1236.96</v>
      </c>
      <c r="P24" t="s">
        <v>29</v>
      </c>
      <c r="Q24" s="4">
        <v>0</v>
      </c>
      <c r="S24" s="2">
        <v>0</v>
      </c>
      <c r="T24" s="2">
        <v>0</v>
      </c>
      <c r="U24" s="2">
        <v>0</v>
      </c>
    </row>
    <row r="25" spans="1:21" x14ac:dyDescent="0.3">
      <c r="A25" t="s">
        <v>21</v>
      </c>
      <c r="B25" t="s">
        <v>22</v>
      </c>
      <c r="C25" t="s">
        <v>23</v>
      </c>
      <c r="D25" t="s">
        <v>67</v>
      </c>
      <c r="E25" t="s">
        <v>68</v>
      </c>
      <c r="F25" s="1">
        <v>46113</v>
      </c>
      <c r="G25" s="1"/>
      <c r="H25" s="1">
        <v>46115</v>
      </c>
      <c r="K25" t="s">
        <v>26</v>
      </c>
      <c r="L25" t="s">
        <v>51</v>
      </c>
      <c r="M25" t="s">
        <v>27</v>
      </c>
      <c r="N25" t="s">
        <v>52</v>
      </c>
      <c r="O25" s="2">
        <v>1236.96</v>
      </c>
      <c r="P25" t="s">
        <v>29</v>
      </c>
      <c r="Q25" s="4">
        <v>0.95</v>
      </c>
      <c r="S25" s="2">
        <v>881.33</v>
      </c>
      <c r="T25" s="2">
        <v>0</v>
      </c>
      <c r="U25" s="2">
        <v>881.33</v>
      </c>
    </row>
    <row r="26" spans="1:21" x14ac:dyDescent="0.3">
      <c r="A26" t="s">
        <v>21</v>
      </c>
      <c r="B26" t="s">
        <v>69</v>
      </c>
      <c r="C26" t="s">
        <v>70</v>
      </c>
      <c r="D26" t="s">
        <v>71</v>
      </c>
      <c r="E26" t="s">
        <v>72</v>
      </c>
      <c r="F26" s="1">
        <v>46113</v>
      </c>
      <c r="G26" s="1"/>
      <c r="H26" s="1">
        <v>46115</v>
      </c>
      <c r="K26" t="s">
        <v>26</v>
      </c>
      <c r="L26" t="s">
        <v>51</v>
      </c>
      <c r="M26" t="s">
        <v>27</v>
      </c>
      <c r="N26" t="s">
        <v>52</v>
      </c>
      <c r="O26" s="2">
        <v>241.92</v>
      </c>
      <c r="P26" t="s">
        <v>29</v>
      </c>
      <c r="Q26" s="4">
        <v>0</v>
      </c>
      <c r="S26" s="2">
        <v>0</v>
      </c>
      <c r="T26" s="2">
        <v>0</v>
      </c>
      <c r="U26" s="2">
        <v>0</v>
      </c>
    </row>
    <row r="27" spans="1:21" x14ac:dyDescent="0.3">
      <c r="A27" t="s">
        <v>21</v>
      </c>
      <c r="B27" t="s">
        <v>69</v>
      </c>
      <c r="C27" t="s">
        <v>70</v>
      </c>
      <c r="D27" t="s">
        <v>71</v>
      </c>
      <c r="E27" t="s">
        <v>72</v>
      </c>
      <c r="F27" s="1">
        <v>46113</v>
      </c>
      <c r="G27" s="1"/>
      <c r="H27" s="1">
        <v>46115</v>
      </c>
      <c r="K27" t="s">
        <v>26</v>
      </c>
      <c r="L27" t="s">
        <v>51</v>
      </c>
      <c r="M27" t="s">
        <v>27</v>
      </c>
      <c r="N27" t="s">
        <v>52</v>
      </c>
      <c r="O27" s="2">
        <v>241.92</v>
      </c>
      <c r="P27" t="s">
        <v>29</v>
      </c>
      <c r="Q27" s="4">
        <v>0.95</v>
      </c>
      <c r="S27" s="2">
        <v>172.36</v>
      </c>
      <c r="T27" s="2">
        <v>0</v>
      </c>
      <c r="U27" s="2">
        <v>172.36</v>
      </c>
    </row>
    <row r="28" spans="1:21" x14ac:dyDescent="0.3">
      <c r="A28" t="s">
        <v>21</v>
      </c>
      <c r="B28" t="s">
        <v>22</v>
      </c>
      <c r="C28" t="s">
        <v>23</v>
      </c>
      <c r="D28" t="s">
        <v>73</v>
      </c>
      <c r="E28" t="s">
        <v>74</v>
      </c>
      <c r="F28" s="1">
        <v>46113</v>
      </c>
      <c r="G28" s="1"/>
      <c r="H28" s="1">
        <v>46115</v>
      </c>
      <c r="K28" t="s">
        <v>26</v>
      </c>
      <c r="L28" t="s">
        <v>51</v>
      </c>
      <c r="M28" t="s">
        <v>27</v>
      </c>
      <c r="N28" t="s">
        <v>52</v>
      </c>
      <c r="O28" s="2">
        <v>484.68</v>
      </c>
      <c r="P28" t="s">
        <v>29</v>
      </c>
      <c r="Q28" s="4">
        <v>0</v>
      </c>
      <c r="S28" s="2">
        <v>0</v>
      </c>
      <c r="T28" s="2">
        <v>0</v>
      </c>
      <c r="U28" s="2">
        <v>0</v>
      </c>
    </row>
    <row r="29" spans="1:21" x14ac:dyDescent="0.3">
      <c r="A29" t="s">
        <v>21</v>
      </c>
      <c r="B29" t="s">
        <v>22</v>
      </c>
      <c r="C29" t="s">
        <v>23</v>
      </c>
      <c r="D29" t="s">
        <v>75</v>
      </c>
      <c r="E29" t="s">
        <v>76</v>
      </c>
      <c r="F29" s="1">
        <v>46113</v>
      </c>
      <c r="G29" s="1"/>
      <c r="H29" s="1">
        <v>46115</v>
      </c>
      <c r="K29" t="s">
        <v>26</v>
      </c>
      <c r="L29" t="s">
        <v>51</v>
      </c>
      <c r="M29" t="s">
        <v>27</v>
      </c>
      <c r="N29" t="s">
        <v>52</v>
      </c>
      <c r="O29" s="2">
        <v>901.44</v>
      </c>
      <c r="P29" t="s">
        <v>29</v>
      </c>
      <c r="Q29" s="4">
        <v>0</v>
      </c>
      <c r="S29" s="2">
        <v>0</v>
      </c>
      <c r="T29" s="2">
        <v>0</v>
      </c>
      <c r="U29" s="2">
        <v>0</v>
      </c>
    </row>
    <row r="30" spans="1:21" x14ac:dyDescent="0.3">
      <c r="A30" t="s">
        <v>21</v>
      </c>
      <c r="B30" t="s">
        <v>22</v>
      </c>
      <c r="C30" t="s">
        <v>23</v>
      </c>
      <c r="D30" t="s">
        <v>75</v>
      </c>
      <c r="E30" t="s">
        <v>76</v>
      </c>
      <c r="F30" s="1">
        <v>46113</v>
      </c>
      <c r="G30" s="1"/>
      <c r="H30" s="1">
        <v>46115</v>
      </c>
      <c r="K30" t="s">
        <v>26</v>
      </c>
      <c r="L30" t="s">
        <v>51</v>
      </c>
      <c r="M30" t="s">
        <v>27</v>
      </c>
      <c r="N30" t="s">
        <v>52</v>
      </c>
      <c r="O30" s="2">
        <v>901.44</v>
      </c>
      <c r="P30" t="s">
        <v>29</v>
      </c>
      <c r="Q30" s="4">
        <v>0.95</v>
      </c>
      <c r="S30" s="2">
        <v>642.27</v>
      </c>
      <c r="T30" s="2">
        <v>0</v>
      </c>
      <c r="U30" s="2">
        <v>642.27</v>
      </c>
    </row>
    <row r="31" spans="1:21" x14ac:dyDescent="0.3">
      <c r="A31" t="s">
        <v>21</v>
      </c>
      <c r="B31" t="s">
        <v>22</v>
      </c>
      <c r="C31" t="s">
        <v>23</v>
      </c>
      <c r="D31" t="s">
        <v>77</v>
      </c>
      <c r="E31" t="s">
        <v>78</v>
      </c>
      <c r="F31" s="1">
        <v>46113</v>
      </c>
      <c r="G31" s="1"/>
      <c r="H31" s="1">
        <v>46115</v>
      </c>
      <c r="K31" t="s">
        <v>26</v>
      </c>
      <c r="L31" t="s">
        <v>51</v>
      </c>
      <c r="M31" t="s">
        <v>27</v>
      </c>
      <c r="N31" t="s">
        <v>52</v>
      </c>
      <c r="O31" s="2">
        <v>733.92</v>
      </c>
      <c r="P31" t="s">
        <v>29</v>
      </c>
      <c r="Q31" s="4">
        <v>0</v>
      </c>
      <c r="S31" s="2">
        <v>0</v>
      </c>
      <c r="T31" s="2">
        <v>0</v>
      </c>
      <c r="U31" s="2">
        <v>0</v>
      </c>
    </row>
    <row r="32" spans="1:21" x14ac:dyDescent="0.3">
      <c r="A32" t="s">
        <v>21</v>
      </c>
      <c r="B32" t="s">
        <v>22</v>
      </c>
      <c r="C32" t="s">
        <v>23</v>
      </c>
      <c r="D32" t="s">
        <v>77</v>
      </c>
      <c r="E32" t="s">
        <v>78</v>
      </c>
      <c r="F32" s="1">
        <v>46113</v>
      </c>
      <c r="G32" s="1"/>
      <c r="H32" s="1">
        <v>46115</v>
      </c>
      <c r="K32" t="s">
        <v>26</v>
      </c>
      <c r="L32" t="s">
        <v>51</v>
      </c>
      <c r="M32" t="s">
        <v>27</v>
      </c>
      <c r="N32" t="s">
        <v>52</v>
      </c>
      <c r="O32" s="2">
        <v>733.92</v>
      </c>
      <c r="P32" t="s">
        <v>29</v>
      </c>
      <c r="Q32" s="4">
        <v>0.95</v>
      </c>
      <c r="S32" s="2">
        <v>522.91</v>
      </c>
      <c r="T32" s="2">
        <v>0</v>
      </c>
      <c r="U32" s="2">
        <v>522.91</v>
      </c>
    </row>
    <row r="33" spans="1:21" x14ac:dyDescent="0.3">
      <c r="A33" t="s">
        <v>21</v>
      </c>
      <c r="B33" t="s">
        <v>22</v>
      </c>
      <c r="C33" t="s">
        <v>23</v>
      </c>
      <c r="D33" t="s">
        <v>79</v>
      </c>
      <c r="E33" t="s">
        <v>80</v>
      </c>
      <c r="F33" s="1">
        <v>46113</v>
      </c>
      <c r="G33" s="1"/>
      <c r="H33" s="1">
        <v>46115</v>
      </c>
      <c r="K33" t="s">
        <v>26</v>
      </c>
      <c r="L33" t="s">
        <v>51</v>
      </c>
      <c r="M33" t="s">
        <v>27</v>
      </c>
      <c r="N33" t="s">
        <v>52</v>
      </c>
      <c r="O33" s="2">
        <v>241.92</v>
      </c>
      <c r="P33" t="s">
        <v>29</v>
      </c>
      <c r="Q33" s="4">
        <v>0</v>
      </c>
      <c r="S33" s="2">
        <v>0</v>
      </c>
      <c r="T33" s="2">
        <v>0</v>
      </c>
      <c r="U33" s="2">
        <v>0</v>
      </c>
    </row>
    <row r="34" spans="1:21" x14ac:dyDescent="0.3">
      <c r="A34" t="s">
        <v>21</v>
      </c>
      <c r="B34" t="s">
        <v>22</v>
      </c>
      <c r="C34" t="s">
        <v>23</v>
      </c>
      <c r="D34" t="s">
        <v>79</v>
      </c>
      <c r="E34" t="s">
        <v>80</v>
      </c>
      <c r="F34" s="1">
        <v>46113</v>
      </c>
      <c r="G34" s="1"/>
      <c r="H34" s="1">
        <v>46115</v>
      </c>
      <c r="K34" t="s">
        <v>26</v>
      </c>
      <c r="L34" t="s">
        <v>51</v>
      </c>
      <c r="M34" t="s">
        <v>27</v>
      </c>
      <c r="N34" t="s">
        <v>52</v>
      </c>
      <c r="O34" s="2">
        <v>241.92</v>
      </c>
      <c r="P34" t="s">
        <v>29</v>
      </c>
      <c r="Q34" s="4">
        <v>0.95</v>
      </c>
      <c r="S34" s="2">
        <v>172.36</v>
      </c>
      <c r="T34" s="2">
        <v>0</v>
      </c>
      <c r="U34" s="2">
        <v>172.36</v>
      </c>
    </row>
    <row r="35" spans="1:21" x14ac:dyDescent="0.3">
      <c r="A35" t="s">
        <v>21</v>
      </c>
      <c r="B35" t="s">
        <v>22</v>
      </c>
      <c r="C35" t="s">
        <v>23</v>
      </c>
      <c r="D35" t="s">
        <v>81</v>
      </c>
      <c r="E35" t="s">
        <v>82</v>
      </c>
      <c r="F35" s="1">
        <v>46113</v>
      </c>
      <c r="G35" s="1"/>
      <c r="H35" s="1">
        <v>46115</v>
      </c>
      <c r="K35" t="s">
        <v>26</v>
      </c>
      <c r="L35" t="s">
        <v>51</v>
      </c>
      <c r="M35" t="s">
        <v>27</v>
      </c>
      <c r="N35" t="s">
        <v>52</v>
      </c>
      <c r="O35" s="2">
        <v>968.88</v>
      </c>
      <c r="P35" t="s">
        <v>29</v>
      </c>
      <c r="Q35" s="4">
        <v>0</v>
      </c>
      <c r="S35" s="2">
        <v>0</v>
      </c>
      <c r="T35" s="2">
        <v>0</v>
      </c>
      <c r="U35" s="2">
        <v>0</v>
      </c>
    </row>
    <row r="36" spans="1:21" x14ac:dyDescent="0.3">
      <c r="A36" t="s">
        <v>21</v>
      </c>
      <c r="B36" t="s">
        <v>22</v>
      </c>
      <c r="C36" t="s">
        <v>23</v>
      </c>
      <c r="D36" t="s">
        <v>81</v>
      </c>
      <c r="E36" t="s">
        <v>82</v>
      </c>
      <c r="F36" s="1">
        <v>46113</v>
      </c>
      <c r="G36" s="1"/>
      <c r="H36" s="1">
        <v>46115</v>
      </c>
      <c r="K36" t="s">
        <v>26</v>
      </c>
      <c r="L36" t="s">
        <v>51</v>
      </c>
      <c r="M36" t="s">
        <v>27</v>
      </c>
      <c r="N36" t="s">
        <v>52</v>
      </c>
      <c r="O36" s="2">
        <v>968.88</v>
      </c>
      <c r="P36" t="s">
        <v>29</v>
      </c>
      <c r="Q36" s="4">
        <v>0.95</v>
      </c>
      <c r="S36" s="2">
        <v>690.33</v>
      </c>
      <c r="T36" s="2">
        <v>0</v>
      </c>
      <c r="U36" s="2">
        <v>690.33</v>
      </c>
    </row>
    <row r="37" spans="1:21" x14ac:dyDescent="0.3">
      <c r="A37" t="s">
        <v>21</v>
      </c>
      <c r="B37" t="s">
        <v>22</v>
      </c>
      <c r="C37" t="s">
        <v>23</v>
      </c>
      <c r="D37" t="s">
        <v>83</v>
      </c>
      <c r="E37" t="s">
        <v>84</v>
      </c>
      <c r="F37" s="1">
        <v>46113</v>
      </c>
      <c r="G37" s="1"/>
      <c r="H37" s="1">
        <v>46115</v>
      </c>
      <c r="K37" t="s">
        <v>26</v>
      </c>
      <c r="L37" t="s">
        <v>51</v>
      </c>
      <c r="M37" t="s">
        <v>27</v>
      </c>
      <c r="N37" t="s">
        <v>52</v>
      </c>
      <c r="O37" s="2">
        <v>484.68</v>
      </c>
      <c r="P37" t="s">
        <v>29</v>
      </c>
      <c r="Q37" s="4">
        <v>0</v>
      </c>
      <c r="S37" s="2">
        <v>0</v>
      </c>
      <c r="T37" s="2">
        <v>0</v>
      </c>
      <c r="U37" s="2">
        <v>0</v>
      </c>
    </row>
    <row r="38" spans="1:21" x14ac:dyDescent="0.3">
      <c r="A38" t="s">
        <v>21</v>
      </c>
      <c r="B38" t="s">
        <v>22</v>
      </c>
      <c r="C38" t="s">
        <v>23</v>
      </c>
      <c r="D38" t="s">
        <v>83</v>
      </c>
      <c r="E38" t="s">
        <v>84</v>
      </c>
      <c r="F38" s="1">
        <v>46113</v>
      </c>
      <c r="G38" s="1"/>
      <c r="H38" s="1">
        <v>46115</v>
      </c>
      <c r="K38" t="s">
        <v>26</v>
      </c>
      <c r="L38" t="s">
        <v>51</v>
      </c>
      <c r="M38" t="s">
        <v>27</v>
      </c>
      <c r="N38" t="s">
        <v>52</v>
      </c>
      <c r="O38" s="2">
        <v>484.68</v>
      </c>
      <c r="P38" t="s">
        <v>29</v>
      </c>
      <c r="Q38" s="4">
        <v>0.95</v>
      </c>
      <c r="S38" s="2">
        <v>345.33</v>
      </c>
      <c r="T38" s="2">
        <v>0</v>
      </c>
      <c r="U38" s="2">
        <v>345.33</v>
      </c>
    </row>
    <row r="39" spans="1:21" x14ac:dyDescent="0.3">
      <c r="A39" t="s">
        <v>21</v>
      </c>
      <c r="B39" t="s">
        <v>22</v>
      </c>
      <c r="C39" t="s">
        <v>23</v>
      </c>
      <c r="D39" t="s">
        <v>85</v>
      </c>
      <c r="E39" t="s">
        <v>86</v>
      </c>
      <c r="F39" s="1">
        <v>46114</v>
      </c>
      <c r="G39" s="1"/>
      <c r="H39" s="1">
        <v>46115</v>
      </c>
      <c r="K39" t="s">
        <v>26</v>
      </c>
      <c r="L39" t="s">
        <v>51</v>
      </c>
      <c r="M39" t="s">
        <v>27</v>
      </c>
      <c r="N39" t="s">
        <v>52</v>
      </c>
      <c r="O39" s="2">
        <v>652.08000000000004</v>
      </c>
      <c r="P39" t="s">
        <v>29</v>
      </c>
      <c r="Q39" s="4">
        <v>0</v>
      </c>
      <c r="S39" s="2">
        <v>0</v>
      </c>
      <c r="T39" s="2">
        <v>0</v>
      </c>
      <c r="U39" s="2">
        <v>0</v>
      </c>
    </row>
    <row r="40" spans="1:21" x14ac:dyDescent="0.3">
      <c r="A40" t="s">
        <v>21</v>
      </c>
      <c r="B40" t="s">
        <v>22</v>
      </c>
      <c r="C40" t="s">
        <v>23</v>
      </c>
      <c r="D40" t="s">
        <v>85</v>
      </c>
      <c r="E40" t="s">
        <v>86</v>
      </c>
      <c r="F40" s="1">
        <v>46114</v>
      </c>
      <c r="G40" s="1"/>
      <c r="H40" s="1">
        <v>46115</v>
      </c>
      <c r="K40" t="s">
        <v>26</v>
      </c>
      <c r="L40" t="s">
        <v>51</v>
      </c>
      <c r="M40" t="s">
        <v>27</v>
      </c>
      <c r="N40" t="s">
        <v>52</v>
      </c>
      <c r="O40" s="2">
        <v>652.08000000000004</v>
      </c>
      <c r="P40" t="s">
        <v>29</v>
      </c>
      <c r="Q40" s="4">
        <v>0.95</v>
      </c>
      <c r="S40" s="2">
        <v>464.61</v>
      </c>
      <c r="T40" s="2">
        <v>0</v>
      </c>
      <c r="U40" s="2">
        <v>464.61</v>
      </c>
    </row>
    <row r="41" spans="1:21" x14ac:dyDescent="0.3">
      <c r="A41" t="s">
        <v>21</v>
      </c>
      <c r="B41" t="s">
        <v>87</v>
      </c>
      <c r="C41" t="s">
        <v>88</v>
      </c>
      <c r="D41" t="s">
        <v>89</v>
      </c>
      <c r="E41" t="s">
        <v>90</v>
      </c>
      <c r="F41" s="1">
        <v>46114</v>
      </c>
      <c r="G41" s="1"/>
      <c r="H41" s="1">
        <v>46115</v>
      </c>
      <c r="K41" t="s">
        <v>91</v>
      </c>
      <c r="M41" t="s">
        <v>27</v>
      </c>
      <c r="N41" t="s">
        <v>28</v>
      </c>
      <c r="O41" s="2">
        <v>0</v>
      </c>
      <c r="P41" t="s">
        <v>29</v>
      </c>
      <c r="Q41" s="4">
        <v>0</v>
      </c>
      <c r="R41" t="s">
        <v>30</v>
      </c>
      <c r="S41" s="2">
        <v>0</v>
      </c>
      <c r="T41" s="2">
        <v>0</v>
      </c>
      <c r="U41" s="2">
        <v>-0.03</v>
      </c>
    </row>
    <row r="42" spans="1:21" x14ac:dyDescent="0.3">
      <c r="A42" t="s">
        <v>21</v>
      </c>
      <c r="B42" t="s">
        <v>92</v>
      </c>
      <c r="C42" t="s">
        <v>93</v>
      </c>
      <c r="D42" t="s">
        <v>94</v>
      </c>
      <c r="E42" t="s">
        <v>95</v>
      </c>
      <c r="F42" s="1">
        <v>46114</v>
      </c>
      <c r="G42" s="1"/>
      <c r="H42" s="1">
        <v>46115</v>
      </c>
      <c r="K42" t="s">
        <v>91</v>
      </c>
      <c r="M42" t="s">
        <v>27</v>
      </c>
      <c r="N42" t="s">
        <v>28</v>
      </c>
      <c r="O42" s="2">
        <v>0</v>
      </c>
      <c r="P42" t="s">
        <v>29</v>
      </c>
      <c r="Q42" s="4">
        <v>0</v>
      </c>
      <c r="R42" t="s">
        <v>30</v>
      </c>
      <c r="S42" s="2">
        <v>0</v>
      </c>
      <c r="T42" s="2">
        <v>0</v>
      </c>
      <c r="U42" s="2">
        <v>-613.11</v>
      </c>
    </row>
    <row r="43" spans="1:21" x14ac:dyDescent="0.3">
      <c r="A43" t="s">
        <v>21</v>
      </c>
      <c r="B43" t="s">
        <v>92</v>
      </c>
      <c r="C43" t="s">
        <v>93</v>
      </c>
      <c r="D43" t="s">
        <v>96</v>
      </c>
      <c r="E43" t="s">
        <v>97</v>
      </c>
      <c r="F43" s="1">
        <v>46113</v>
      </c>
      <c r="G43" s="1"/>
      <c r="H43" s="1">
        <v>46115</v>
      </c>
      <c r="K43" t="s">
        <v>91</v>
      </c>
      <c r="L43" t="s">
        <v>98</v>
      </c>
      <c r="M43" t="s">
        <v>27</v>
      </c>
      <c r="N43" t="s">
        <v>52</v>
      </c>
      <c r="O43" s="2">
        <v>908.28</v>
      </c>
      <c r="P43" t="s">
        <v>29</v>
      </c>
      <c r="Q43" s="4">
        <v>0</v>
      </c>
      <c r="S43" s="2">
        <v>0</v>
      </c>
      <c r="T43" s="2">
        <v>0</v>
      </c>
      <c r="U43" s="2">
        <v>0</v>
      </c>
    </row>
    <row r="44" spans="1:21" x14ac:dyDescent="0.3">
      <c r="A44" t="s">
        <v>21</v>
      </c>
      <c r="B44" t="s">
        <v>92</v>
      </c>
      <c r="C44" t="s">
        <v>93</v>
      </c>
      <c r="D44" t="s">
        <v>96</v>
      </c>
      <c r="E44" t="s">
        <v>97</v>
      </c>
      <c r="F44" s="1">
        <v>46113</v>
      </c>
      <c r="G44" s="1"/>
      <c r="H44" s="1">
        <v>46115</v>
      </c>
      <c r="K44" t="s">
        <v>91</v>
      </c>
      <c r="L44" t="s">
        <v>98</v>
      </c>
      <c r="M44" t="s">
        <v>27</v>
      </c>
      <c r="N44" t="s">
        <v>52</v>
      </c>
      <c r="O44" s="2">
        <v>908.28</v>
      </c>
      <c r="P44" t="s">
        <v>29</v>
      </c>
      <c r="Q44" s="4">
        <v>1.3</v>
      </c>
      <c r="S44" s="2">
        <v>885.57</v>
      </c>
      <c r="T44" s="2">
        <v>0</v>
      </c>
      <c r="U44" s="2">
        <v>885.57</v>
      </c>
    </row>
    <row r="45" spans="1:21" x14ac:dyDescent="0.3">
      <c r="A45" t="s">
        <v>21</v>
      </c>
      <c r="B45" t="s">
        <v>22</v>
      </c>
      <c r="C45" t="s">
        <v>23</v>
      </c>
      <c r="D45" t="s">
        <v>99</v>
      </c>
      <c r="E45" t="s">
        <v>100</v>
      </c>
      <c r="F45" s="1">
        <v>46122</v>
      </c>
      <c r="G45" s="1"/>
      <c r="H45" s="1">
        <v>46122</v>
      </c>
      <c r="K45" t="s">
        <v>26</v>
      </c>
      <c r="M45" t="s">
        <v>27</v>
      </c>
      <c r="N45" t="s">
        <v>28</v>
      </c>
      <c r="O45" s="2">
        <v>0</v>
      </c>
      <c r="P45" t="s">
        <v>29</v>
      </c>
      <c r="Q45" s="4">
        <v>0</v>
      </c>
      <c r="R45" t="s">
        <v>30</v>
      </c>
      <c r="S45" s="2">
        <v>0</v>
      </c>
      <c r="T45" s="2">
        <v>0</v>
      </c>
      <c r="U45" s="2">
        <v>-54.34</v>
      </c>
    </row>
    <row r="46" spans="1:21" x14ac:dyDescent="0.3">
      <c r="A46" t="s">
        <v>21</v>
      </c>
      <c r="B46" t="s">
        <v>22</v>
      </c>
      <c r="C46" t="s">
        <v>23</v>
      </c>
      <c r="D46" t="s">
        <v>101</v>
      </c>
      <c r="E46" t="s">
        <v>76</v>
      </c>
      <c r="F46" s="1">
        <v>46121</v>
      </c>
      <c r="G46" s="1"/>
      <c r="H46" s="1">
        <v>46122</v>
      </c>
      <c r="K46" t="s">
        <v>26</v>
      </c>
      <c r="L46" t="s">
        <v>102</v>
      </c>
      <c r="M46" t="s">
        <v>27</v>
      </c>
      <c r="N46" t="s">
        <v>52</v>
      </c>
      <c r="O46" s="2">
        <v>879.48</v>
      </c>
      <c r="P46" t="s">
        <v>29</v>
      </c>
      <c r="Q46" s="4">
        <v>0</v>
      </c>
      <c r="S46" s="2">
        <v>0</v>
      </c>
      <c r="T46" s="2">
        <v>0</v>
      </c>
      <c r="U46" s="2">
        <v>0</v>
      </c>
    </row>
    <row r="47" spans="1:21" x14ac:dyDescent="0.3">
      <c r="A47" t="s">
        <v>21</v>
      </c>
      <c r="B47" t="s">
        <v>22</v>
      </c>
      <c r="C47" t="s">
        <v>23</v>
      </c>
      <c r="D47" t="s">
        <v>101</v>
      </c>
      <c r="E47" t="s">
        <v>76</v>
      </c>
      <c r="F47" s="1">
        <v>46121</v>
      </c>
      <c r="G47" s="1"/>
      <c r="H47" s="1">
        <v>46122</v>
      </c>
      <c r="K47" t="s">
        <v>26</v>
      </c>
      <c r="L47" t="s">
        <v>102</v>
      </c>
      <c r="M47" t="s">
        <v>27</v>
      </c>
      <c r="N47" t="s">
        <v>52</v>
      </c>
      <c r="O47" s="2">
        <v>879.48</v>
      </c>
      <c r="P47" t="s">
        <v>29</v>
      </c>
      <c r="Q47" s="4">
        <v>0.9</v>
      </c>
      <c r="S47" s="2">
        <v>593.64</v>
      </c>
      <c r="T47" s="2">
        <v>0</v>
      </c>
      <c r="U47" s="2">
        <v>593.64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C16A-4EA1-450D-96BF-9A9B97A97252}">
  <dimension ref="A1:V53"/>
  <sheetViews>
    <sheetView tabSelected="1" topLeftCell="A22" workbookViewId="0">
      <selection activeCell="C53" sqref="C53"/>
    </sheetView>
  </sheetViews>
  <sheetFormatPr defaultRowHeight="14.4" x14ac:dyDescent="0.3"/>
  <cols>
    <col min="1" max="1" width="17.44140625" style="6" customWidth="1"/>
    <col min="2" max="2" width="14.21875" style="39" customWidth="1"/>
    <col min="3" max="3" width="13.44140625" style="6" customWidth="1"/>
    <col min="4" max="4" width="16.21875" style="6" customWidth="1"/>
    <col min="5" max="5" width="11.33203125" style="6" customWidth="1"/>
    <col min="6" max="6" width="11.88671875" style="6" customWidth="1"/>
    <col min="7" max="7" width="15.6640625" style="6" customWidth="1"/>
    <col min="8" max="8" width="6.6640625" style="6" customWidth="1"/>
    <col min="9" max="9" width="10" style="6" customWidth="1"/>
    <col min="10" max="10" width="10.109375" style="6" customWidth="1"/>
    <col min="11" max="11" width="9.5546875" style="6" customWidth="1"/>
    <col min="12" max="12" width="8.77734375" style="6" customWidth="1"/>
    <col min="13" max="13" width="8.5546875" style="6" customWidth="1"/>
    <col min="14" max="14" width="8.21875" style="6" customWidth="1"/>
    <col min="15" max="15" width="7" style="6" customWidth="1"/>
    <col min="16" max="16" width="8.44140625" style="6" customWidth="1"/>
    <col min="17" max="17" width="22.21875" style="6" customWidth="1"/>
    <col min="18" max="18" width="6.33203125" style="6" customWidth="1"/>
    <col min="19" max="19" width="8.21875" style="6" customWidth="1"/>
    <col min="20" max="16384" width="8.88671875" style="6"/>
  </cols>
  <sheetData>
    <row r="1" spans="1:21" x14ac:dyDescent="0.3">
      <c r="A1" s="8" t="s">
        <v>1</v>
      </c>
      <c r="B1" s="34" t="s">
        <v>2</v>
      </c>
      <c r="C1" s="8" t="s">
        <v>3</v>
      </c>
      <c r="D1" s="8" t="s">
        <v>4</v>
      </c>
      <c r="E1" s="8" t="s">
        <v>5</v>
      </c>
      <c r="F1" s="8" t="s">
        <v>7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  <c r="O1" s="8" t="s">
        <v>19</v>
      </c>
      <c r="P1" s="8" t="s">
        <v>20</v>
      </c>
    </row>
    <row r="2" spans="1:21" ht="15" customHeight="1" x14ac:dyDescent="0.3">
      <c r="A2" s="5" t="s">
        <v>92</v>
      </c>
      <c r="B2" s="35" t="s">
        <v>93</v>
      </c>
      <c r="C2" s="9">
        <v>4351775951</v>
      </c>
      <c r="D2" s="5" t="s">
        <v>95</v>
      </c>
      <c r="E2" s="10">
        <v>46114</v>
      </c>
      <c r="F2" s="10">
        <v>46115</v>
      </c>
      <c r="G2" s="5"/>
      <c r="H2" s="5" t="s">
        <v>27</v>
      </c>
      <c r="I2" s="5" t="s">
        <v>28</v>
      </c>
      <c r="J2" s="11">
        <v>0</v>
      </c>
      <c r="K2" s="5" t="s">
        <v>29</v>
      </c>
      <c r="L2" s="12">
        <v>0</v>
      </c>
      <c r="M2" s="5" t="s">
        <v>30</v>
      </c>
      <c r="N2" s="11">
        <v>0</v>
      </c>
      <c r="O2" s="11">
        <v>0</v>
      </c>
      <c r="P2" s="11">
        <v>-613.11</v>
      </c>
      <c r="Q2" s="5" t="e">
        <v>#N/A</v>
      </c>
      <c r="R2" s="33" t="s">
        <v>108</v>
      </c>
      <c r="S2" s="5"/>
      <c r="T2" s="5"/>
      <c r="U2" s="5"/>
    </row>
    <row r="3" spans="1:21" s="21" customFormat="1" ht="15" customHeight="1" x14ac:dyDescent="0.3">
      <c r="A3" s="21" t="s">
        <v>87</v>
      </c>
      <c r="B3" s="36" t="s">
        <v>88</v>
      </c>
      <c r="C3" s="22">
        <v>4351674059</v>
      </c>
      <c r="D3" s="21" t="s">
        <v>90</v>
      </c>
      <c r="E3" s="23">
        <v>46114</v>
      </c>
      <c r="F3" s="23">
        <v>46115</v>
      </c>
      <c r="H3" s="21" t="s">
        <v>27</v>
      </c>
      <c r="I3" s="21" t="s">
        <v>28</v>
      </c>
      <c r="J3" s="24">
        <v>0</v>
      </c>
      <c r="K3" s="21" t="s">
        <v>29</v>
      </c>
      <c r="L3" s="25">
        <v>0</v>
      </c>
      <c r="M3" s="21" t="s">
        <v>30</v>
      </c>
      <c r="N3" s="24">
        <v>0</v>
      </c>
      <c r="O3" s="24">
        <v>0</v>
      </c>
      <c r="P3" s="24">
        <v>-0.03</v>
      </c>
      <c r="Q3" s="21" t="s">
        <v>105</v>
      </c>
      <c r="R3" s="31" t="s">
        <v>114</v>
      </c>
    </row>
    <row r="4" spans="1:21" s="26" customFormat="1" ht="15" customHeight="1" x14ac:dyDescent="0.3">
      <c r="A4" s="26" t="s">
        <v>37</v>
      </c>
      <c r="B4" s="37" t="s">
        <v>38</v>
      </c>
      <c r="C4" s="27">
        <v>4151754608</v>
      </c>
      <c r="D4" s="26" t="s">
        <v>46</v>
      </c>
      <c r="E4" s="28">
        <v>46114</v>
      </c>
      <c r="F4" s="28">
        <v>46115</v>
      </c>
      <c r="H4" s="26" t="s">
        <v>27</v>
      </c>
      <c r="I4" s="26" t="s">
        <v>28</v>
      </c>
      <c r="J4" s="29">
        <v>0</v>
      </c>
      <c r="K4" s="26" t="s">
        <v>29</v>
      </c>
      <c r="L4" s="30">
        <v>0</v>
      </c>
      <c r="M4" s="26" t="s">
        <v>30</v>
      </c>
      <c r="N4" s="29">
        <v>0</v>
      </c>
      <c r="O4" s="29">
        <v>0</v>
      </c>
      <c r="P4" s="29">
        <v>-278.08999999999997</v>
      </c>
      <c r="Q4" s="26" t="s">
        <v>104</v>
      </c>
      <c r="R4" s="32" t="s">
        <v>107</v>
      </c>
    </row>
    <row r="5" spans="1:21" s="26" customFormat="1" ht="15" customHeight="1" x14ac:dyDescent="0.3">
      <c r="A5" s="26" t="s">
        <v>37</v>
      </c>
      <c r="B5" s="37" t="s">
        <v>38</v>
      </c>
      <c r="C5" s="27">
        <v>4151720664</v>
      </c>
      <c r="D5" s="26" t="s">
        <v>40</v>
      </c>
      <c r="E5" s="28">
        <v>46114</v>
      </c>
      <c r="F5" s="28">
        <v>46115</v>
      </c>
      <c r="H5" s="26" t="s">
        <v>27</v>
      </c>
      <c r="I5" s="26" t="s">
        <v>28</v>
      </c>
      <c r="J5" s="29">
        <v>0</v>
      </c>
      <c r="K5" s="26" t="s">
        <v>29</v>
      </c>
      <c r="L5" s="30">
        <v>0</v>
      </c>
      <c r="M5" s="26" t="s">
        <v>30</v>
      </c>
      <c r="N5" s="29">
        <v>0</v>
      </c>
      <c r="O5" s="29">
        <v>0</v>
      </c>
      <c r="P5" s="29">
        <v>-191.85</v>
      </c>
      <c r="Q5" s="26" t="s">
        <v>103</v>
      </c>
      <c r="R5" s="32" t="s">
        <v>107</v>
      </c>
    </row>
    <row r="6" spans="1:21" s="26" customFormat="1" ht="15" customHeight="1" x14ac:dyDescent="0.3">
      <c r="A6" s="26" t="s">
        <v>37</v>
      </c>
      <c r="B6" s="37" t="s">
        <v>38</v>
      </c>
      <c r="C6" s="27">
        <v>4151724727</v>
      </c>
      <c r="D6" s="26" t="s">
        <v>42</v>
      </c>
      <c r="E6" s="28">
        <v>46114</v>
      </c>
      <c r="F6" s="28">
        <v>46115</v>
      </c>
      <c r="H6" s="26" t="s">
        <v>27</v>
      </c>
      <c r="I6" s="26" t="s">
        <v>28</v>
      </c>
      <c r="J6" s="29">
        <v>0</v>
      </c>
      <c r="K6" s="26" t="s">
        <v>29</v>
      </c>
      <c r="L6" s="30">
        <v>0</v>
      </c>
      <c r="M6" s="26" t="s">
        <v>30</v>
      </c>
      <c r="N6" s="29">
        <v>0</v>
      </c>
      <c r="O6" s="29">
        <v>0</v>
      </c>
      <c r="P6" s="29">
        <v>-114.91</v>
      </c>
      <c r="Q6" s="26" t="s">
        <v>103</v>
      </c>
      <c r="R6" s="32" t="s">
        <v>107</v>
      </c>
    </row>
    <row r="7" spans="1:21" s="26" customFormat="1" ht="15" customHeight="1" x14ac:dyDescent="0.3">
      <c r="A7" s="26" t="s">
        <v>37</v>
      </c>
      <c r="B7" s="37" t="s">
        <v>38</v>
      </c>
      <c r="C7" s="27">
        <v>4151738558</v>
      </c>
      <c r="D7" s="26" t="s">
        <v>44</v>
      </c>
      <c r="E7" s="28">
        <v>46114</v>
      </c>
      <c r="F7" s="28">
        <v>46115</v>
      </c>
      <c r="H7" s="26" t="s">
        <v>27</v>
      </c>
      <c r="I7" s="26" t="s">
        <v>28</v>
      </c>
      <c r="J7" s="29">
        <v>0</v>
      </c>
      <c r="K7" s="26" t="s">
        <v>29</v>
      </c>
      <c r="L7" s="30">
        <v>0</v>
      </c>
      <c r="M7" s="26" t="s">
        <v>30</v>
      </c>
      <c r="N7" s="29">
        <v>0</v>
      </c>
      <c r="O7" s="29">
        <v>0</v>
      </c>
      <c r="P7" s="29">
        <v>-103.67</v>
      </c>
      <c r="Q7" s="26" t="s">
        <v>103</v>
      </c>
      <c r="R7" s="32" t="s">
        <v>107</v>
      </c>
    </row>
    <row r="8" spans="1:21" s="21" customFormat="1" ht="15" customHeight="1" x14ac:dyDescent="0.3">
      <c r="A8" s="21" t="s">
        <v>22</v>
      </c>
      <c r="B8" s="36" t="s">
        <v>23</v>
      </c>
      <c r="C8" s="22">
        <v>4151771216</v>
      </c>
      <c r="D8" s="21" t="s">
        <v>48</v>
      </c>
      <c r="E8" s="23">
        <v>46114</v>
      </c>
      <c r="F8" s="23">
        <v>46115</v>
      </c>
      <c r="H8" s="21" t="s">
        <v>27</v>
      </c>
      <c r="I8" s="21" t="s">
        <v>28</v>
      </c>
      <c r="J8" s="24">
        <v>0</v>
      </c>
      <c r="K8" s="21" t="s">
        <v>29</v>
      </c>
      <c r="L8" s="25">
        <v>0</v>
      </c>
      <c r="M8" s="21" t="s">
        <v>30</v>
      </c>
      <c r="N8" s="24">
        <v>0</v>
      </c>
      <c r="O8" s="24">
        <v>0</v>
      </c>
      <c r="P8" s="24">
        <v>-306.95999999999998</v>
      </c>
      <c r="Q8" s="21" t="s">
        <v>103</v>
      </c>
      <c r="R8" s="31" t="s">
        <v>114</v>
      </c>
    </row>
    <row r="9" spans="1:21" s="21" customFormat="1" ht="15" customHeight="1" x14ac:dyDescent="0.3">
      <c r="A9" s="21" t="s">
        <v>22</v>
      </c>
      <c r="B9" s="36" t="s">
        <v>23</v>
      </c>
      <c r="C9" s="22">
        <v>4151716916</v>
      </c>
      <c r="D9" s="21" t="s">
        <v>36</v>
      </c>
      <c r="E9" s="23">
        <v>46114</v>
      </c>
      <c r="F9" s="23">
        <v>46115</v>
      </c>
      <c r="H9" s="21" t="s">
        <v>27</v>
      </c>
      <c r="I9" s="21" t="s">
        <v>28</v>
      </c>
      <c r="J9" s="24">
        <v>0</v>
      </c>
      <c r="K9" s="21" t="s">
        <v>29</v>
      </c>
      <c r="L9" s="25">
        <v>0</v>
      </c>
      <c r="M9" s="21" t="s">
        <v>30</v>
      </c>
      <c r="N9" s="24">
        <v>0</v>
      </c>
      <c r="O9" s="24">
        <v>0</v>
      </c>
      <c r="P9" s="24">
        <v>-189.18</v>
      </c>
      <c r="Q9" s="21" t="s">
        <v>103</v>
      </c>
      <c r="R9" s="31" t="s">
        <v>114</v>
      </c>
    </row>
    <row r="10" spans="1:21" s="21" customFormat="1" ht="15" customHeight="1" x14ac:dyDescent="0.3">
      <c r="A10" s="21" t="s">
        <v>22</v>
      </c>
      <c r="B10" s="36" t="s">
        <v>23</v>
      </c>
      <c r="C10" s="22">
        <v>4151700103</v>
      </c>
      <c r="D10" s="21" t="s">
        <v>34</v>
      </c>
      <c r="E10" s="23">
        <v>46114</v>
      </c>
      <c r="F10" s="23">
        <v>46115</v>
      </c>
      <c r="H10" s="21" t="s">
        <v>27</v>
      </c>
      <c r="I10" s="21" t="s">
        <v>28</v>
      </c>
      <c r="J10" s="24">
        <v>0</v>
      </c>
      <c r="K10" s="21" t="s">
        <v>29</v>
      </c>
      <c r="L10" s="25">
        <v>0</v>
      </c>
      <c r="M10" s="21" t="s">
        <v>30</v>
      </c>
      <c r="N10" s="24">
        <v>0</v>
      </c>
      <c r="O10" s="24">
        <v>0</v>
      </c>
      <c r="P10" s="24">
        <v>-116.21</v>
      </c>
      <c r="Q10" s="21" t="s">
        <v>103</v>
      </c>
      <c r="R10" s="31" t="s">
        <v>114</v>
      </c>
    </row>
    <row r="11" spans="1:21" s="21" customFormat="1" ht="15" customHeight="1" x14ac:dyDescent="0.3">
      <c r="A11" s="21" t="s">
        <v>22</v>
      </c>
      <c r="B11" s="36" t="s">
        <v>23</v>
      </c>
      <c r="C11" s="22">
        <v>4151683235</v>
      </c>
      <c r="D11" s="21" t="s">
        <v>100</v>
      </c>
      <c r="E11" s="23">
        <v>46122</v>
      </c>
      <c r="F11" s="23">
        <v>46122</v>
      </c>
      <c r="H11" s="21" t="s">
        <v>27</v>
      </c>
      <c r="I11" s="21" t="s">
        <v>28</v>
      </c>
      <c r="J11" s="24">
        <v>0</v>
      </c>
      <c r="K11" s="21" t="s">
        <v>29</v>
      </c>
      <c r="L11" s="25">
        <v>0</v>
      </c>
      <c r="M11" s="21" t="s">
        <v>30</v>
      </c>
      <c r="N11" s="24">
        <v>0</v>
      </c>
      <c r="O11" s="24">
        <v>0</v>
      </c>
      <c r="P11" s="24">
        <v>-54.34</v>
      </c>
      <c r="Q11" s="21" t="s">
        <v>106</v>
      </c>
      <c r="R11" s="31" t="s">
        <v>114</v>
      </c>
    </row>
    <row r="12" spans="1:21" s="21" customFormat="1" ht="15" customHeight="1" x14ac:dyDescent="0.3">
      <c r="A12" s="21" t="s">
        <v>22</v>
      </c>
      <c r="B12" s="36" t="s">
        <v>23</v>
      </c>
      <c r="C12" s="22">
        <v>4151686357</v>
      </c>
      <c r="D12" s="21" t="s">
        <v>25</v>
      </c>
      <c r="E12" s="23">
        <v>46114</v>
      </c>
      <c r="F12" s="23">
        <v>46115</v>
      </c>
      <c r="H12" s="21" t="s">
        <v>27</v>
      </c>
      <c r="I12" s="21" t="s">
        <v>28</v>
      </c>
      <c r="J12" s="24">
        <v>0</v>
      </c>
      <c r="K12" s="21" t="s">
        <v>29</v>
      </c>
      <c r="L12" s="25">
        <v>0</v>
      </c>
      <c r="M12" s="21" t="s">
        <v>30</v>
      </c>
      <c r="N12" s="24">
        <v>0</v>
      </c>
      <c r="O12" s="24">
        <v>0</v>
      </c>
      <c r="P12" s="24">
        <v>-45.52</v>
      </c>
      <c r="Q12" s="21" t="s">
        <v>103</v>
      </c>
      <c r="R12" s="31" t="s">
        <v>114</v>
      </c>
    </row>
    <row r="13" spans="1:21" s="21" customFormat="1" ht="15" customHeight="1" x14ac:dyDescent="0.3">
      <c r="A13" s="21" t="s">
        <v>22</v>
      </c>
      <c r="B13" s="36" t="s">
        <v>23</v>
      </c>
      <c r="C13" s="22">
        <v>4151695694</v>
      </c>
      <c r="D13" s="21" t="s">
        <v>32</v>
      </c>
      <c r="E13" s="23">
        <v>46114</v>
      </c>
      <c r="F13" s="23">
        <v>46115</v>
      </c>
      <c r="H13" s="21" t="s">
        <v>27</v>
      </c>
      <c r="I13" s="21" t="s">
        <v>28</v>
      </c>
      <c r="J13" s="24">
        <v>0</v>
      </c>
      <c r="K13" s="21" t="s">
        <v>29</v>
      </c>
      <c r="L13" s="25">
        <v>0</v>
      </c>
      <c r="M13" s="21" t="s">
        <v>30</v>
      </c>
      <c r="N13" s="24">
        <v>0</v>
      </c>
      <c r="O13" s="24">
        <v>0</v>
      </c>
      <c r="P13" s="24">
        <v>-5.87</v>
      </c>
      <c r="Q13" s="21" t="s">
        <v>103</v>
      </c>
      <c r="R13" s="31" t="s">
        <v>114</v>
      </c>
    </row>
    <row r="14" spans="1:21" s="7" customFormat="1" ht="15" customHeight="1" x14ac:dyDescent="0.3">
      <c r="B14" s="38"/>
      <c r="C14" s="17"/>
      <c r="E14" s="18"/>
      <c r="F14" s="18"/>
      <c r="J14" s="19"/>
      <c r="L14" s="20"/>
      <c r="N14" s="19"/>
      <c r="O14" s="19"/>
      <c r="P14" s="19"/>
    </row>
    <row r="15" spans="1:21" s="7" customFormat="1" ht="15" customHeight="1" x14ac:dyDescent="0.3">
      <c r="B15" s="38"/>
      <c r="C15" s="17"/>
      <c r="E15" s="18"/>
      <c r="F15" s="18"/>
      <c r="J15" s="19"/>
      <c r="L15" s="20"/>
      <c r="N15" s="19"/>
      <c r="O15" s="19"/>
      <c r="P15" s="19"/>
    </row>
    <row r="16" spans="1:21" s="7" customFormat="1" ht="15" customHeight="1" x14ac:dyDescent="0.3">
      <c r="B16" s="38"/>
      <c r="C16" s="17"/>
      <c r="E16" s="18"/>
      <c r="F16" s="18"/>
      <c r="J16" s="19"/>
      <c r="L16" s="20"/>
      <c r="N16" s="19"/>
      <c r="O16" s="19"/>
      <c r="P16" s="19"/>
    </row>
    <row r="17" spans="1:21" s="5" customFormat="1" ht="15" customHeight="1" x14ac:dyDescent="0.3">
      <c r="A17" s="5" t="s">
        <v>22</v>
      </c>
      <c r="B17" s="35" t="s">
        <v>23</v>
      </c>
      <c r="C17" s="9">
        <v>4151790963</v>
      </c>
      <c r="D17" s="5" t="s">
        <v>76</v>
      </c>
      <c r="E17" s="10">
        <v>46113</v>
      </c>
      <c r="F17" s="10">
        <v>46115</v>
      </c>
      <c r="G17" s="5" t="s">
        <v>51</v>
      </c>
      <c r="H17" s="5" t="s">
        <v>27</v>
      </c>
      <c r="I17" s="5" t="s">
        <v>52</v>
      </c>
      <c r="J17" s="11">
        <v>901.44</v>
      </c>
      <c r="K17" s="5" t="s">
        <v>29</v>
      </c>
      <c r="L17" s="12">
        <v>0</v>
      </c>
      <c r="N17" s="11">
        <v>0</v>
      </c>
      <c r="O17" s="11">
        <v>0</v>
      </c>
      <c r="P17" s="11">
        <v>0</v>
      </c>
      <c r="Q17" s="5" t="e">
        <v>#N/A</v>
      </c>
    </row>
    <row r="18" spans="1:21" s="5" customFormat="1" ht="15" customHeight="1" x14ac:dyDescent="0.3">
      <c r="A18" s="5" t="s">
        <v>22</v>
      </c>
      <c r="B18" s="35" t="s">
        <v>23</v>
      </c>
      <c r="C18" s="9">
        <v>4151791023</v>
      </c>
      <c r="D18" s="5" t="s">
        <v>76</v>
      </c>
      <c r="E18" s="10">
        <v>46121</v>
      </c>
      <c r="F18" s="10">
        <v>46122</v>
      </c>
      <c r="G18" s="5" t="s">
        <v>102</v>
      </c>
      <c r="H18" s="5" t="s">
        <v>27</v>
      </c>
      <c r="I18" s="5" t="s">
        <v>52</v>
      </c>
      <c r="J18" s="11">
        <v>879.48</v>
      </c>
      <c r="K18" s="5" t="s">
        <v>29</v>
      </c>
      <c r="L18" s="12">
        <v>0</v>
      </c>
      <c r="N18" s="11">
        <v>0</v>
      </c>
      <c r="O18" s="11">
        <v>0</v>
      </c>
      <c r="P18" s="11">
        <v>0</v>
      </c>
      <c r="Q18" s="5" t="e">
        <v>#N/A</v>
      </c>
    </row>
    <row r="19" spans="1:21" s="5" customFormat="1" ht="15" customHeight="1" x14ac:dyDescent="0.3">
      <c r="A19" s="6" t="s">
        <v>22</v>
      </c>
      <c r="B19" s="39" t="s">
        <v>23</v>
      </c>
      <c r="C19" s="13">
        <v>4151787045</v>
      </c>
      <c r="D19" s="6" t="s">
        <v>62</v>
      </c>
      <c r="E19" s="14">
        <v>46111</v>
      </c>
      <c r="F19" s="14">
        <v>46115</v>
      </c>
      <c r="G19" s="6" t="s">
        <v>51</v>
      </c>
      <c r="H19" s="6" t="s">
        <v>27</v>
      </c>
      <c r="I19" s="6" t="s">
        <v>52</v>
      </c>
      <c r="J19" s="15">
        <v>652.08000000000004</v>
      </c>
      <c r="K19" s="6" t="s">
        <v>29</v>
      </c>
      <c r="L19" s="16">
        <v>0</v>
      </c>
      <c r="M19" s="6"/>
      <c r="N19" s="15">
        <v>0</v>
      </c>
      <c r="O19" s="15">
        <v>0</v>
      </c>
      <c r="P19" s="15">
        <v>0</v>
      </c>
      <c r="Q19" s="6" t="s">
        <v>103</v>
      </c>
      <c r="R19" s="6"/>
      <c r="S19" s="6"/>
      <c r="T19" s="6"/>
      <c r="U19" s="6"/>
    </row>
    <row r="20" spans="1:21" s="5" customFormat="1" ht="15" customHeight="1" x14ac:dyDescent="0.3">
      <c r="A20" s="5" t="s">
        <v>92</v>
      </c>
      <c r="B20" s="35" t="s">
        <v>93</v>
      </c>
      <c r="C20" s="9">
        <v>4351789355</v>
      </c>
      <c r="D20" s="5" t="s">
        <v>97</v>
      </c>
      <c r="E20" s="10">
        <v>46113</v>
      </c>
      <c r="F20" s="10">
        <v>46115</v>
      </c>
      <c r="G20" s="5" t="s">
        <v>98</v>
      </c>
      <c r="H20" s="5" t="s">
        <v>27</v>
      </c>
      <c r="I20" s="5" t="s">
        <v>52</v>
      </c>
      <c r="J20" s="11">
        <v>908.28</v>
      </c>
      <c r="K20" s="5" t="s">
        <v>29</v>
      </c>
      <c r="L20" s="12">
        <v>0</v>
      </c>
      <c r="N20" s="11">
        <v>0</v>
      </c>
      <c r="O20" s="11">
        <v>0</v>
      </c>
      <c r="P20" s="11">
        <v>0</v>
      </c>
      <c r="Q20" s="5" t="e">
        <v>#N/A</v>
      </c>
    </row>
    <row r="21" spans="1:21" ht="15" customHeight="1" x14ac:dyDescent="0.3">
      <c r="A21" s="5" t="s">
        <v>22</v>
      </c>
      <c r="B21" s="35" t="s">
        <v>23</v>
      </c>
      <c r="C21" s="9">
        <v>4151791628</v>
      </c>
      <c r="D21" s="5" t="s">
        <v>84</v>
      </c>
      <c r="E21" s="10">
        <v>46113</v>
      </c>
      <c r="F21" s="10">
        <v>46115</v>
      </c>
      <c r="G21" s="5" t="s">
        <v>51</v>
      </c>
      <c r="H21" s="5" t="s">
        <v>27</v>
      </c>
      <c r="I21" s="5" t="s">
        <v>52</v>
      </c>
      <c r="J21" s="11">
        <v>484.68</v>
      </c>
      <c r="K21" s="5" t="s">
        <v>29</v>
      </c>
      <c r="L21" s="12">
        <v>0</v>
      </c>
      <c r="M21" s="5"/>
      <c r="N21" s="11">
        <v>0</v>
      </c>
      <c r="O21" s="11">
        <v>0</v>
      </c>
      <c r="P21" s="11">
        <v>0</v>
      </c>
      <c r="Q21" s="5" t="e">
        <v>#N/A</v>
      </c>
      <c r="R21" s="5"/>
      <c r="S21" s="5"/>
      <c r="T21" s="5"/>
      <c r="U21" s="5"/>
    </row>
    <row r="22" spans="1:21" s="7" customFormat="1" ht="15" customHeight="1" x14ac:dyDescent="0.3">
      <c r="A22" s="5" t="s">
        <v>53</v>
      </c>
      <c r="B22" s="35" t="s">
        <v>54</v>
      </c>
      <c r="C22" s="9">
        <v>4151786174</v>
      </c>
      <c r="D22" s="5" t="s">
        <v>60</v>
      </c>
      <c r="E22" s="10">
        <v>46113</v>
      </c>
      <c r="F22" s="10">
        <v>46115</v>
      </c>
      <c r="G22" s="5" t="s">
        <v>51</v>
      </c>
      <c r="H22" s="5" t="s">
        <v>27</v>
      </c>
      <c r="I22" s="5" t="s">
        <v>52</v>
      </c>
      <c r="J22" s="11">
        <v>295.2</v>
      </c>
      <c r="K22" s="5" t="s">
        <v>29</v>
      </c>
      <c r="L22" s="12">
        <v>0</v>
      </c>
      <c r="M22" s="5"/>
      <c r="N22" s="11">
        <v>0</v>
      </c>
      <c r="O22" s="11">
        <v>0</v>
      </c>
      <c r="P22" s="11">
        <v>0</v>
      </c>
      <c r="Q22" s="5" t="e">
        <v>#N/A</v>
      </c>
      <c r="R22" s="5"/>
      <c r="S22" s="5"/>
      <c r="T22" s="5"/>
      <c r="U22" s="5"/>
    </row>
    <row r="23" spans="1:21" s="5" customFormat="1" ht="15" customHeight="1" x14ac:dyDescent="0.3">
      <c r="A23" s="5" t="s">
        <v>22</v>
      </c>
      <c r="B23" s="35" t="s">
        <v>23</v>
      </c>
      <c r="C23" s="9">
        <v>4151791581</v>
      </c>
      <c r="D23" s="5" t="s">
        <v>82</v>
      </c>
      <c r="E23" s="10">
        <v>46113</v>
      </c>
      <c r="F23" s="10">
        <v>46115</v>
      </c>
      <c r="G23" s="5" t="s">
        <v>51</v>
      </c>
      <c r="H23" s="5" t="s">
        <v>27</v>
      </c>
      <c r="I23" s="5" t="s">
        <v>52</v>
      </c>
      <c r="J23" s="11">
        <v>968.88</v>
      </c>
      <c r="K23" s="5" t="s">
        <v>29</v>
      </c>
      <c r="L23" s="12">
        <v>0</v>
      </c>
      <c r="N23" s="11">
        <v>0</v>
      </c>
      <c r="O23" s="11">
        <v>0</v>
      </c>
      <c r="P23" s="11">
        <v>0</v>
      </c>
      <c r="Q23" s="5" t="e">
        <v>#N/A</v>
      </c>
    </row>
    <row r="24" spans="1:21" s="5" customFormat="1" ht="15" customHeight="1" x14ac:dyDescent="0.3">
      <c r="A24" s="5" t="s">
        <v>22</v>
      </c>
      <c r="B24" s="35" t="s">
        <v>23</v>
      </c>
      <c r="C24" s="9">
        <v>4151791535</v>
      </c>
      <c r="D24" s="5" t="s">
        <v>78</v>
      </c>
      <c r="E24" s="10">
        <v>46113</v>
      </c>
      <c r="F24" s="10">
        <v>46115</v>
      </c>
      <c r="G24" s="5" t="s">
        <v>51</v>
      </c>
      <c r="H24" s="5" t="s">
        <v>27</v>
      </c>
      <c r="I24" s="5" t="s">
        <v>52</v>
      </c>
      <c r="J24" s="11">
        <v>733.92</v>
      </c>
      <c r="K24" s="5" t="s">
        <v>29</v>
      </c>
      <c r="L24" s="12">
        <v>0</v>
      </c>
      <c r="N24" s="11">
        <v>0</v>
      </c>
      <c r="O24" s="11">
        <v>0</v>
      </c>
      <c r="P24" s="11">
        <v>0</v>
      </c>
      <c r="Q24" s="5" t="e">
        <v>#N/A</v>
      </c>
    </row>
    <row r="25" spans="1:21" s="5" customFormat="1" ht="15" customHeight="1" x14ac:dyDescent="0.3">
      <c r="A25" s="5" t="s">
        <v>22</v>
      </c>
      <c r="B25" s="35" t="s">
        <v>23</v>
      </c>
      <c r="C25" s="9">
        <v>4151790586</v>
      </c>
      <c r="D25" s="5" t="s">
        <v>74</v>
      </c>
      <c r="E25" s="10">
        <v>46113</v>
      </c>
      <c r="F25" s="10">
        <v>46115</v>
      </c>
      <c r="G25" s="5" t="s">
        <v>51</v>
      </c>
      <c r="H25" s="5" t="s">
        <v>27</v>
      </c>
      <c r="I25" s="5" t="s">
        <v>52</v>
      </c>
      <c r="J25" s="11">
        <v>484.68</v>
      </c>
      <c r="K25" s="5" t="s">
        <v>29</v>
      </c>
      <c r="L25" s="12">
        <v>0</v>
      </c>
      <c r="N25" s="11">
        <v>0</v>
      </c>
      <c r="O25" s="11">
        <v>0</v>
      </c>
      <c r="P25" s="11">
        <v>0</v>
      </c>
      <c r="Q25" s="5" t="e">
        <v>#N/A</v>
      </c>
    </row>
    <row r="26" spans="1:21" s="5" customFormat="1" ht="15" customHeight="1" x14ac:dyDescent="0.3">
      <c r="A26" s="5" t="s">
        <v>22</v>
      </c>
      <c r="B26" s="35" t="s">
        <v>23</v>
      </c>
      <c r="C26" s="9">
        <v>4151792642</v>
      </c>
      <c r="D26" s="5" t="s">
        <v>86</v>
      </c>
      <c r="E26" s="10">
        <v>46114</v>
      </c>
      <c r="F26" s="10">
        <v>46115</v>
      </c>
      <c r="G26" s="5" t="s">
        <v>51</v>
      </c>
      <c r="H26" s="5" t="s">
        <v>27</v>
      </c>
      <c r="I26" s="5" t="s">
        <v>52</v>
      </c>
      <c r="J26" s="11">
        <v>652.08000000000004</v>
      </c>
      <c r="K26" s="5" t="s">
        <v>29</v>
      </c>
      <c r="L26" s="12">
        <v>0</v>
      </c>
      <c r="N26" s="11">
        <v>0</v>
      </c>
      <c r="O26" s="11">
        <v>0</v>
      </c>
      <c r="P26" s="11">
        <v>0</v>
      </c>
      <c r="Q26" s="5" t="e">
        <v>#N/A</v>
      </c>
    </row>
    <row r="27" spans="1:21" s="5" customFormat="1" ht="15" customHeight="1" x14ac:dyDescent="0.3">
      <c r="A27" s="5" t="s">
        <v>69</v>
      </c>
      <c r="B27" s="35" t="s">
        <v>70</v>
      </c>
      <c r="C27" s="9">
        <v>4151789968</v>
      </c>
      <c r="D27" s="5" t="s">
        <v>72</v>
      </c>
      <c r="E27" s="10">
        <v>46113</v>
      </c>
      <c r="F27" s="10">
        <v>46115</v>
      </c>
      <c r="G27" s="5" t="s">
        <v>51</v>
      </c>
      <c r="H27" s="5" t="s">
        <v>27</v>
      </c>
      <c r="I27" s="5" t="s">
        <v>52</v>
      </c>
      <c r="J27" s="11">
        <v>241.92</v>
      </c>
      <c r="K27" s="5" t="s">
        <v>29</v>
      </c>
      <c r="L27" s="12">
        <v>0</v>
      </c>
      <c r="N27" s="11">
        <v>0</v>
      </c>
      <c r="O27" s="11">
        <v>0</v>
      </c>
      <c r="P27" s="11">
        <v>0</v>
      </c>
      <c r="Q27" s="5" t="e">
        <v>#N/A</v>
      </c>
    </row>
    <row r="28" spans="1:21" s="5" customFormat="1" ht="15" customHeight="1" x14ac:dyDescent="0.3">
      <c r="A28" s="5" t="s">
        <v>53</v>
      </c>
      <c r="B28" s="35" t="s">
        <v>54</v>
      </c>
      <c r="C28" s="9">
        <v>4151780712</v>
      </c>
      <c r="D28" s="5" t="s">
        <v>56</v>
      </c>
      <c r="E28" s="10">
        <v>46113</v>
      </c>
      <c r="F28" s="10">
        <v>46115</v>
      </c>
      <c r="G28" s="5" t="s">
        <v>51</v>
      </c>
      <c r="H28" s="5" t="s">
        <v>27</v>
      </c>
      <c r="I28" s="5" t="s">
        <v>52</v>
      </c>
      <c r="J28" s="11">
        <v>139.91999999999999</v>
      </c>
      <c r="K28" s="5" t="s">
        <v>29</v>
      </c>
      <c r="L28" s="12">
        <v>0</v>
      </c>
      <c r="N28" s="11">
        <v>0</v>
      </c>
      <c r="O28" s="11">
        <v>0</v>
      </c>
      <c r="P28" s="11">
        <v>0</v>
      </c>
      <c r="Q28" s="5" t="e">
        <v>#N/A</v>
      </c>
    </row>
    <row r="29" spans="1:21" s="5" customFormat="1" ht="15" customHeight="1" x14ac:dyDescent="0.3">
      <c r="A29" s="5" t="s">
        <v>22</v>
      </c>
      <c r="B29" s="35" t="s">
        <v>23</v>
      </c>
      <c r="C29" s="9">
        <v>4151787931</v>
      </c>
      <c r="D29" s="5" t="s">
        <v>64</v>
      </c>
      <c r="E29" s="10">
        <v>46113</v>
      </c>
      <c r="F29" s="10">
        <v>46115</v>
      </c>
      <c r="G29" s="5" t="s">
        <v>51</v>
      </c>
      <c r="H29" s="5" t="s">
        <v>27</v>
      </c>
      <c r="I29" s="5" t="s">
        <v>52</v>
      </c>
      <c r="J29" s="11">
        <v>628.08000000000004</v>
      </c>
      <c r="K29" s="5" t="s">
        <v>29</v>
      </c>
      <c r="L29" s="12">
        <v>0</v>
      </c>
      <c r="N29" s="11">
        <v>0</v>
      </c>
      <c r="O29" s="11">
        <v>0</v>
      </c>
      <c r="P29" s="11">
        <v>0</v>
      </c>
      <c r="Q29" s="5" t="e">
        <v>#N/A</v>
      </c>
    </row>
    <row r="30" spans="1:21" s="5" customFormat="1" ht="15" customHeight="1" x14ac:dyDescent="0.3">
      <c r="A30" s="5" t="s">
        <v>22</v>
      </c>
      <c r="B30" s="35" t="s">
        <v>23</v>
      </c>
      <c r="C30" s="9">
        <v>4151779830</v>
      </c>
      <c r="D30" s="5" t="s">
        <v>50</v>
      </c>
      <c r="E30" s="10">
        <v>46113</v>
      </c>
      <c r="F30" s="10">
        <v>46115</v>
      </c>
      <c r="G30" s="5" t="s">
        <v>51</v>
      </c>
      <c r="H30" s="5" t="s">
        <v>27</v>
      </c>
      <c r="I30" s="5" t="s">
        <v>52</v>
      </c>
      <c r="J30" s="11">
        <v>477.96</v>
      </c>
      <c r="K30" s="5" t="s">
        <v>29</v>
      </c>
      <c r="L30" s="12">
        <v>0</v>
      </c>
      <c r="N30" s="11">
        <v>0</v>
      </c>
      <c r="O30" s="11">
        <v>0</v>
      </c>
      <c r="P30" s="11">
        <v>0</v>
      </c>
      <c r="Q30" s="5" t="e">
        <v>#N/A</v>
      </c>
    </row>
    <row r="31" spans="1:21" s="5" customFormat="1" ht="15" customHeight="1" x14ac:dyDescent="0.3">
      <c r="A31" s="5" t="s">
        <v>22</v>
      </c>
      <c r="B31" s="35" t="s">
        <v>23</v>
      </c>
      <c r="C31" s="9">
        <v>4151783461</v>
      </c>
      <c r="D31" s="5" t="s">
        <v>58</v>
      </c>
      <c r="E31" s="10">
        <v>46113</v>
      </c>
      <c r="F31" s="10">
        <v>46115</v>
      </c>
      <c r="G31" s="5" t="s">
        <v>51</v>
      </c>
      <c r="H31" s="5" t="s">
        <v>27</v>
      </c>
      <c r="I31" s="5" t="s">
        <v>52</v>
      </c>
      <c r="J31" s="11">
        <v>484.68</v>
      </c>
      <c r="K31" s="5" t="s">
        <v>29</v>
      </c>
      <c r="L31" s="12">
        <v>0</v>
      </c>
      <c r="N31" s="11">
        <v>0</v>
      </c>
      <c r="O31" s="11">
        <v>0</v>
      </c>
      <c r="P31" s="11">
        <v>0</v>
      </c>
      <c r="Q31" s="5" t="e">
        <v>#N/A</v>
      </c>
    </row>
    <row r="32" spans="1:21" s="5" customFormat="1" ht="15" customHeight="1" x14ac:dyDescent="0.3">
      <c r="A32" s="5" t="s">
        <v>22</v>
      </c>
      <c r="B32" s="35" t="s">
        <v>23</v>
      </c>
      <c r="C32" s="9">
        <v>4151791555</v>
      </c>
      <c r="D32" s="5" t="s">
        <v>80</v>
      </c>
      <c r="E32" s="10">
        <v>46113</v>
      </c>
      <c r="F32" s="10">
        <v>46115</v>
      </c>
      <c r="G32" s="5" t="s">
        <v>51</v>
      </c>
      <c r="H32" s="5" t="s">
        <v>27</v>
      </c>
      <c r="I32" s="5" t="s">
        <v>52</v>
      </c>
      <c r="J32" s="11">
        <v>241.92</v>
      </c>
      <c r="K32" s="5" t="s">
        <v>29</v>
      </c>
      <c r="L32" s="12">
        <v>0</v>
      </c>
      <c r="N32" s="11">
        <v>0</v>
      </c>
      <c r="O32" s="11">
        <v>0</v>
      </c>
      <c r="P32" s="11">
        <v>0</v>
      </c>
      <c r="Q32" s="5" t="e">
        <v>#N/A</v>
      </c>
    </row>
    <row r="33" spans="1:22" s="5" customFormat="1" ht="15" customHeight="1" x14ac:dyDescent="0.3">
      <c r="A33" s="5" t="s">
        <v>22</v>
      </c>
      <c r="B33" s="35" t="s">
        <v>23</v>
      </c>
      <c r="C33" s="9">
        <v>4151788808</v>
      </c>
      <c r="D33" s="5" t="s">
        <v>66</v>
      </c>
      <c r="E33" s="10">
        <v>46113</v>
      </c>
      <c r="F33" s="10">
        <v>46115</v>
      </c>
      <c r="G33" s="5" t="s">
        <v>51</v>
      </c>
      <c r="H33" s="5" t="s">
        <v>27</v>
      </c>
      <c r="I33" s="5" t="s">
        <v>52</v>
      </c>
      <c r="J33" s="11">
        <v>484.68</v>
      </c>
      <c r="K33" s="5" t="s">
        <v>29</v>
      </c>
      <c r="L33" s="12">
        <v>0</v>
      </c>
      <c r="N33" s="11">
        <v>0</v>
      </c>
      <c r="O33" s="11">
        <v>0</v>
      </c>
      <c r="P33" s="11">
        <v>0</v>
      </c>
      <c r="Q33" s="5" t="e">
        <v>#N/A</v>
      </c>
    </row>
    <row r="34" spans="1:22" s="5" customFormat="1" ht="15" customHeight="1" x14ac:dyDescent="0.3">
      <c r="A34" s="5" t="s">
        <v>22</v>
      </c>
      <c r="B34" s="35" t="s">
        <v>23</v>
      </c>
      <c r="C34" s="9">
        <v>4151788819</v>
      </c>
      <c r="D34" s="5" t="s">
        <v>68</v>
      </c>
      <c r="E34" s="10">
        <v>46113</v>
      </c>
      <c r="F34" s="10">
        <v>46115</v>
      </c>
      <c r="G34" s="5" t="s">
        <v>51</v>
      </c>
      <c r="H34" s="5" t="s">
        <v>27</v>
      </c>
      <c r="I34" s="5" t="s">
        <v>52</v>
      </c>
      <c r="J34" s="11">
        <v>1236.96</v>
      </c>
      <c r="K34" s="5" t="s">
        <v>29</v>
      </c>
      <c r="L34" s="12">
        <v>0</v>
      </c>
      <c r="N34" s="11">
        <v>0</v>
      </c>
      <c r="O34" s="11">
        <v>0</v>
      </c>
      <c r="P34" s="11">
        <v>0</v>
      </c>
      <c r="Q34" s="5" t="e">
        <v>#N/A</v>
      </c>
    </row>
    <row r="35" spans="1:22" s="7" customFormat="1" ht="15" customHeight="1" x14ac:dyDescent="0.3">
      <c r="B35" s="38"/>
      <c r="C35" s="17"/>
      <c r="E35" s="18"/>
      <c r="F35" s="18"/>
      <c r="J35" s="19"/>
      <c r="L35" s="20"/>
      <c r="N35" s="19"/>
      <c r="O35" s="19"/>
      <c r="P35" s="19"/>
    </row>
    <row r="36" spans="1:22" s="7" customFormat="1" ht="15" customHeight="1" x14ac:dyDescent="0.3">
      <c r="B36" s="38"/>
      <c r="C36" s="17"/>
      <c r="E36" s="18"/>
      <c r="F36" s="18"/>
      <c r="J36" s="19"/>
      <c r="L36" s="20"/>
      <c r="N36" s="19"/>
      <c r="O36" s="19"/>
      <c r="P36" s="19"/>
    </row>
    <row r="37" spans="1:22" s="7" customFormat="1" ht="15" customHeight="1" x14ac:dyDescent="0.3">
      <c r="B37" s="38"/>
      <c r="C37" s="17"/>
      <c r="E37" s="18"/>
      <c r="F37" s="18"/>
      <c r="J37" s="19"/>
      <c r="L37" s="20"/>
      <c r="N37" s="19"/>
      <c r="O37" s="19"/>
      <c r="P37" s="19"/>
    </row>
    <row r="38" spans="1:22" s="5" customFormat="1" ht="15" customHeight="1" x14ac:dyDescent="0.3">
      <c r="A38" s="5" t="s">
        <v>53</v>
      </c>
      <c r="B38" s="35">
        <v>20872981</v>
      </c>
      <c r="C38" s="9">
        <v>4151780712</v>
      </c>
      <c r="D38" s="5" t="s">
        <v>56</v>
      </c>
      <c r="E38" s="10">
        <v>46113</v>
      </c>
      <c r="F38" s="10">
        <v>46143</v>
      </c>
      <c r="G38" s="5" t="s">
        <v>51</v>
      </c>
      <c r="H38" s="5" t="s">
        <v>27</v>
      </c>
      <c r="I38" s="5" t="s">
        <v>52</v>
      </c>
      <c r="J38" s="11">
        <v>139.91999999999999</v>
      </c>
      <c r="K38" s="5" t="s">
        <v>29</v>
      </c>
      <c r="L38" s="12">
        <v>0.95</v>
      </c>
      <c r="N38" s="11">
        <v>99.69</v>
      </c>
      <c r="O38" s="11">
        <v>0</v>
      </c>
      <c r="P38" s="11">
        <v>99.69</v>
      </c>
      <c r="Q38" s="5" t="s">
        <v>103</v>
      </c>
      <c r="R38" s="33" t="s">
        <v>111</v>
      </c>
      <c r="S38" s="33" t="s">
        <v>112</v>
      </c>
      <c r="T38" s="11">
        <f>J38/12</f>
        <v>11.659999999999998</v>
      </c>
      <c r="U38" s="11">
        <f>T38*L38</f>
        <v>11.076999999999998</v>
      </c>
      <c r="V38" s="11">
        <f>P38/9</f>
        <v>11.076666666666666</v>
      </c>
    </row>
    <row r="39" spans="1:22" s="5" customFormat="1" ht="15" customHeight="1" x14ac:dyDescent="0.3">
      <c r="A39" s="5" t="s">
        <v>53</v>
      </c>
      <c r="B39" s="35">
        <v>20872981</v>
      </c>
      <c r="C39" s="9">
        <v>4151786174</v>
      </c>
      <c r="D39" s="5" t="s">
        <v>60</v>
      </c>
      <c r="E39" s="10">
        <v>46113</v>
      </c>
      <c r="F39" s="10">
        <v>46143</v>
      </c>
      <c r="G39" s="5" t="s">
        <v>51</v>
      </c>
      <c r="H39" s="5" t="s">
        <v>27</v>
      </c>
      <c r="I39" s="5" t="s">
        <v>52</v>
      </c>
      <c r="J39" s="11">
        <v>295.2</v>
      </c>
      <c r="K39" s="5" t="s">
        <v>29</v>
      </c>
      <c r="L39" s="12">
        <v>0.95</v>
      </c>
      <c r="N39" s="11">
        <v>210.33</v>
      </c>
      <c r="O39" s="11">
        <v>0</v>
      </c>
      <c r="P39" s="11">
        <v>210.33</v>
      </c>
      <c r="Q39" s="5" t="s">
        <v>103</v>
      </c>
      <c r="R39" s="33" t="s">
        <v>111</v>
      </c>
      <c r="S39" s="33" t="s">
        <v>112</v>
      </c>
      <c r="T39" s="11">
        <f t="shared" ref="T39:T53" si="0">J39/12</f>
        <v>24.599999999999998</v>
      </c>
      <c r="U39" s="11">
        <f t="shared" ref="U39:U53" si="1">T39*L39</f>
        <v>23.369999999999997</v>
      </c>
      <c r="V39" s="11">
        <f t="shared" ref="V39:V53" si="2">P39/9</f>
        <v>23.37</v>
      </c>
    </row>
    <row r="40" spans="1:22" s="5" customFormat="1" ht="15" customHeight="1" x14ac:dyDescent="0.3">
      <c r="A40" s="5" t="s">
        <v>69</v>
      </c>
      <c r="B40" s="40" t="s">
        <v>113</v>
      </c>
      <c r="C40" s="9">
        <v>4151789968</v>
      </c>
      <c r="D40" s="5" t="s">
        <v>72</v>
      </c>
      <c r="E40" s="10">
        <v>46113</v>
      </c>
      <c r="F40" s="10">
        <v>46143</v>
      </c>
      <c r="G40" s="5" t="s">
        <v>51</v>
      </c>
      <c r="H40" s="5" t="s">
        <v>27</v>
      </c>
      <c r="I40" s="5" t="s">
        <v>52</v>
      </c>
      <c r="J40" s="11">
        <v>241.92</v>
      </c>
      <c r="K40" s="5" t="s">
        <v>29</v>
      </c>
      <c r="L40" s="12">
        <v>0.95</v>
      </c>
      <c r="N40" s="11">
        <v>172.36</v>
      </c>
      <c r="O40" s="11">
        <v>0</v>
      </c>
      <c r="P40" s="11">
        <v>172.36</v>
      </c>
      <c r="Q40" s="5" t="s">
        <v>103</v>
      </c>
      <c r="R40" s="33" t="s">
        <v>109</v>
      </c>
      <c r="S40" s="33" t="s">
        <v>110</v>
      </c>
      <c r="T40" s="11">
        <f t="shared" si="0"/>
        <v>20.16</v>
      </c>
      <c r="U40" s="11">
        <f t="shared" si="1"/>
        <v>19.151999999999997</v>
      </c>
      <c r="V40" s="11">
        <f t="shared" si="2"/>
        <v>19.151111111111113</v>
      </c>
    </row>
    <row r="41" spans="1:22" s="5" customFormat="1" ht="15" customHeight="1" x14ac:dyDescent="0.3">
      <c r="A41" s="5" t="s">
        <v>92</v>
      </c>
      <c r="B41" s="35">
        <v>21758900</v>
      </c>
      <c r="C41" s="9">
        <v>4351789355</v>
      </c>
      <c r="D41" s="5" t="s">
        <v>97</v>
      </c>
      <c r="E41" s="10">
        <v>46113</v>
      </c>
      <c r="F41" s="10">
        <v>46143</v>
      </c>
      <c r="G41" s="5" t="s">
        <v>98</v>
      </c>
      <c r="H41" s="5" t="s">
        <v>27</v>
      </c>
      <c r="I41" s="5" t="s">
        <v>52</v>
      </c>
      <c r="J41" s="11">
        <v>908.28</v>
      </c>
      <c r="K41" s="5" t="s">
        <v>29</v>
      </c>
      <c r="L41" s="12">
        <v>1.3</v>
      </c>
      <c r="N41" s="11">
        <v>885.57</v>
      </c>
      <c r="O41" s="11">
        <v>0</v>
      </c>
      <c r="P41" s="11">
        <v>885.57</v>
      </c>
      <c r="Q41" s="5" t="s">
        <v>105</v>
      </c>
      <c r="R41" s="5" t="s">
        <v>111</v>
      </c>
      <c r="S41" s="5" t="s">
        <v>112</v>
      </c>
      <c r="T41" s="11">
        <f t="shared" si="0"/>
        <v>75.69</v>
      </c>
      <c r="U41" s="11">
        <f t="shared" si="1"/>
        <v>98.397000000000006</v>
      </c>
      <c r="V41" s="11">
        <f t="shared" si="2"/>
        <v>98.396666666666675</v>
      </c>
    </row>
    <row r="42" spans="1:22" s="5" customFormat="1" ht="15" customHeight="1" x14ac:dyDescent="0.3">
      <c r="A42" s="5" t="s">
        <v>22</v>
      </c>
      <c r="B42" s="35">
        <v>9079571</v>
      </c>
      <c r="C42" s="9">
        <v>4151791555</v>
      </c>
      <c r="D42" s="5" t="s">
        <v>80</v>
      </c>
      <c r="E42" s="10">
        <v>46113</v>
      </c>
      <c r="F42" s="10">
        <v>46143</v>
      </c>
      <c r="G42" s="5" t="s">
        <v>51</v>
      </c>
      <c r="H42" s="5" t="s">
        <v>27</v>
      </c>
      <c r="I42" s="5" t="s">
        <v>52</v>
      </c>
      <c r="J42" s="11">
        <v>241.92</v>
      </c>
      <c r="K42" s="5" t="s">
        <v>29</v>
      </c>
      <c r="L42" s="12">
        <v>0.95</v>
      </c>
      <c r="N42" s="11">
        <v>172.36</v>
      </c>
      <c r="O42" s="11">
        <v>0</v>
      </c>
      <c r="P42" s="11">
        <v>172.36</v>
      </c>
      <c r="Q42" s="5" t="s">
        <v>103</v>
      </c>
      <c r="R42" s="5" t="s">
        <v>111</v>
      </c>
      <c r="S42" s="5" t="s">
        <v>112</v>
      </c>
      <c r="T42" s="11">
        <f t="shared" si="0"/>
        <v>20.16</v>
      </c>
      <c r="U42" s="11">
        <f t="shared" si="1"/>
        <v>19.151999999999997</v>
      </c>
      <c r="V42" s="11">
        <f t="shared" si="2"/>
        <v>19.151111111111113</v>
      </c>
    </row>
    <row r="43" spans="1:22" s="5" customFormat="1" ht="15" customHeight="1" x14ac:dyDescent="0.3">
      <c r="A43" s="5" t="s">
        <v>22</v>
      </c>
      <c r="B43" s="35">
        <v>9079571</v>
      </c>
      <c r="C43" s="9">
        <v>4151779830</v>
      </c>
      <c r="D43" s="5" t="s">
        <v>50</v>
      </c>
      <c r="E43" s="10">
        <v>46113</v>
      </c>
      <c r="F43" s="10">
        <v>46143</v>
      </c>
      <c r="G43" s="5" t="s">
        <v>51</v>
      </c>
      <c r="H43" s="5" t="s">
        <v>27</v>
      </c>
      <c r="I43" s="5" t="s">
        <v>52</v>
      </c>
      <c r="J43" s="11">
        <v>477.96</v>
      </c>
      <c r="K43" s="5" t="s">
        <v>29</v>
      </c>
      <c r="L43" s="12">
        <v>0.95</v>
      </c>
      <c r="N43" s="11">
        <v>340.54</v>
      </c>
      <c r="O43" s="11">
        <v>0</v>
      </c>
      <c r="P43" s="11">
        <v>340.54</v>
      </c>
      <c r="Q43" s="5" t="s">
        <v>103</v>
      </c>
      <c r="R43" s="5" t="s">
        <v>111</v>
      </c>
      <c r="S43" s="5" t="s">
        <v>112</v>
      </c>
      <c r="T43" s="11">
        <f t="shared" si="0"/>
        <v>39.83</v>
      </c>
      <c r="U43" s="11">
        <f t="shared" si="1"/>
        <v>37.838499999999996</v>
      </c>
      <c r="V43" s="11">
        <f t="shared" si="2"/>
        <v>37.837777777777781</v>
      </c>
    </row>
    <row r="44" spans="1:22" s="5" customFormat="1" ht="15" customHeight="1" x14ac:dyDescent="0.3">
      <c r="A44" s="5" t="s">
        <v>22</v>
      </c>
      <c r="B44" s="35">
        <v>9079571</v>
      </c>
      <c r="C44" s="9">
        <v>4151791628</v>
      </c>
      <c r="D44" s="5" t="s">
        <v>84</v>
      </c>
      <c r="E44" s="10">
        <v>46113</v>
      </c>
      <c r="F44" s="10">
        <v>46143</v>
      </c>
      <c r="G44" s="5" t="s">
        <v>51</v>
      </c>
      <c r="H44" s="5" t="s">
        <v>27</v>
      </c>
      <c r="I44" s="5" t="s">
        <v>52</v>
      </c>
      <c r="J44" s="11">
        <v>484.68</v>
      </c>
      <c r="K44" s="5" t="s">
        <v>29</v>
      </c>
      <c r="L44" s="12">
        <v>0.95</v>
      </c>
      <c r="N44" s="11">
        <v>345.33</v>
      </c>
      <c r="O44" s="11">
        <v>0</v>
      </c>
      <c r="P44" s="11">
        <v>345.33</v>
      </c>
      <c r="Q44" s="5" t="s">
        <v>103</v>
      </c>
      <c r="R44" s="5" t="s">
        <v>111</v>
      </c>
      <c r="S44" s="5" t="s">
        <v>112</v>
      </c>
      <c r="T44" s="11">
        <f t="shared" si="0"/>
        <v>40.39</v>
      </c>
      <c r="U44" s="11">
        <f t="shared" si="1"/>
        <v>38.3705</v>
      </c>
      <c r="V44" s="11">
        <f t="shared" si="2"/>
        <v>38.369999999999997</v>
      </c>
    </row>
    <row r="45" spans="1:22" s="5" customFormat="1" ht="15" customHeight="1" x14ac:dyDescent="0.3">
      <c r="A45" s="5" t="s">
        <v>22</v>
      </c>
      <c r="B45" s="35">
        <v>9079571</v>
      </c>
      <c r="C45" s="9">
        <v>4151788808</v>
      </c>
      <c r="D45" s="5" t="s">
        <v>66</v>
      </c>
      <c r="E45" s="10">
        <v>46113</v>
      </c>
      <c r="F45" s="10">
        <v>46143</v>
      </c>
      <c r="G45" s="5" t="s">
        <v>51</v>
      </c>
      <c r="H45" s="5" t="s">
        <v>27</v>
      </c>
      <c r="I45" s="5" t="s">
        <v>52</v>
      </c>
      <c r="J45" s="11">
        <v>484.68</v>
      </c>
      <c r="K45" s="5" t="s">
        <v>29</v>
      </c>
      <c r="L45" s="12">
        <v>0.95</v>
      </c>
      <c r="N45" s="11">
        <v>345.33</v>
      </c>
      <c r="O45" s="11">
        <v>0</v>
      </c>
      <c r="P45" s="11">
        <v>345.33</v>
      </c>
      <c r="Q45" s="5" t="s">
        <v>103</v>
      </c>
      <c r="R45" s="5" t="s">
        <v>111</v>
      </c>
      <c r="S45" s="5" t="s">
        <v>112</v>
      </c>
      <c r="T45" s="11">
        <f t="shared" si="0"/>
        <v>40.39</v>
      </c>
      <c r="U45" s="11">
        <f t="shared" si="1"/>
        <v>38.3705</v>
      </c>
      <c r="V45" s="11">
        <f t="shared" si="2"/>
        <v>38.369999999999997</v>
      </c>
    </row>
    <row r="46" spans="1:22" s="5" customFormat="1" ht="15" customHeight="1" x14ac:dyDescent="0.3">
      <c r="A46" s="5" t="s">
        <v>22</v>
      </c>
      <c r="B46" s="35">
        <v>9079571</v>
      </c>
      <c r="C46" s="9">
        <v>4151787931</v>
      </c>
      <c r="D46" s="5" t="s">
        <v>64</v>
      </c>
      <c r="E46" s="10">
        <v>46113</v>
      </c>
      <c r="F46" s="10">
        <v>46143</v>
      </c>
      <c r="G46" s="5" t="s">
        <v>51</v>
      </c>
      <c r="H46" s="5" t="s">
        <v>27</v>
      </c>
      <c r="I46" s="5" t="s">
        <v>52</v>
      </c>
      <c r="J46" s="11">
        <v>628.08000000000004</v>
      </c>
      <c r="K46" s="5" t="s">
        <v>29</v>
      </c>
      <c r="L46" s="12">
        <v>0.95</v>
      </c>
      <c r="N46" s="11">
        <v>447.51</v>
      </c>
      <c r="O46" s="11">
        <v>0</v>
      </c>
      <c r="P46" s="11">
        <v>447.51</v>
      </c>
      <c r="Q46" s="5" t="s">
        <v>103</v>
      </c>
      <c r="R46" s="5" t="s">
        <v>111</v>
      </c>
      <c r="S46" s="5" t="s">
        <v>112</v>
      </c>
      <c r="T46" s="11">
        <f t="shared" si="0"/>
        <v>52.34</v>
      </c>
      <c r="U46" s="11">
        <f t="shared" si="1"/>
        <v>49.722999999999999</v>
      </c>
      <c r="V46" s="11">
        <f t="shared" si="2"/>
        <v>49.723333333333329</v>
      </c>
    </row>
    <row r="47" spans="1:22" s="7" customFormat="1" ht="15" customHeight="1" x14ac:dyDescent="0.3">
      <c r="A47" s="7" t="s">
        <v>22</v>
      </c>
      <c r="B47" s="38">
        <v>9079571</v>
      </c>
      <c r="C47" s="17">
        <v>4151787045</v>
      </c>
      <c r="D47" s="7" t="s">
        <v>62</v>
      </c>
      <c r="E47" s="18">
        <v>46109</v>
      </c>
      <c r="F47" s="18">
        <v>46140</v>
      </c>
      <c r="G47" s="7" t="s">
        <v>51</v>
      </c>
      <c r="H47" s="7" t="s">
        <v>27</v>
      </c>
      <c r="I47" s="7" t="s">
        <v>52</v>
      </c>
      <c r="J47" s="19">
        <v>652.08000000000004</v>
      </c>
      <c r="K47" s="7" t="s">
        <v>29</v>
      </c>
      <c r="L47" s="20">
        <v>0.95</v>
      </c>
      <c r="N47" s="19">
        <v>464.61</v>
      </c>
      <c r="O47" s="19">
        <v>0</v>
      </c>
      <c r="P47" s="19">
        <v>464.61</v>
      </c>
      <c r="Q47" s="7" t="s">
        <v>103</v>
      </c>
      <c r="R47" s="7" t="s">
        <v>111</v>
      </c>
      <c r="S47" s="7" t="s">
        <v>112</v>
      </c>
      <c r="T47" s="19">
        <f t="shared" si="0"/>
        <v>54.34</v>
      </c>
      <c r="U47" s="19">
        <f t="shared" si="1"/>
        <v>51.622999999999998</v>
      </c>
      <c r="V47" s="19">
        <f t="shared" si="2"/>
        <v>51.623333333333335</v>
      </c>
    </row>
    <row r="48" spans="1:22" s="5" customFormat="1" ht="15" customHeight="1" x14ac:dyDescent="0.3">
      <c r="A48" s="5" t="s">
        <v>22</v>
      </c>
      <c r="B48" s="35">
        <v>9079571</v>
      </c>
      <c r="C48" s="9">
        <v>4151792642</v>
      </c>
      <c r="D48" s="5" t="s">
        <v>86</v>
      </c>
      <c r="E48" s="10">
        <v>46114</v>
      </c>
      <c r="F48" s="10">
        <v>46144</v>
      </c>
      <c r="G48" s="5" t="s">
        <v>51</v>
      </c>
      <c r="H48" s="5" t="s">
        <v>27</v>
      </c>
      <c r="I48" s="5" t="s">
        <v>52</v>
      </c>
      <c r="J48" s="11">
        <v>652.08000000000004</v>
      </c>
      <c r="K48" s="5" t="s">
        <v>29</v>
      </c>
      <c r="L48" s="12">
        <v>0.95</v>
      </c>
      <c r="N48" s="11">
        <v>464.61</v>
      </c>
      <c r="O48" s="11">
        <v>0</v>
      </c>
      <c r="P48" s="11">
        <v>464.61</v>
      </c>
      <c r="Q48" s="5" t="s">
        <v>103</v>
      </c>
      <c r="R48" s="5" t="s">
        <v>111</v>
      </c>
      <c r="S48" s="5" t="s">
        <v>112</v>
      </c>
      <c r="T48" s="11">
        <f t="shared" si="0"/>
        <v>54.34</v>
      </c>
      <c r="U48" s="11">
        <f t="shared" si="1"/>
        <v>51.622999999999998</v>
      </c>
      <c r="V48" s="11">
        <f t="shared" si="2"/>
        <v>51.623333333333335</v>
      </c>
    </row>
    <row r="49" spans="1:22" s="5" customFormat="1" ht="15" customHeight="1" x14ac:dyDescent="0.3">
      <c r="A49" s="5" t="s">
        <v>22</v>
      </c>
      <c r="B49" s="35">
        <v>9079571</v>
      </c>
      <c r="C49" s="9">
        <v>4151791535</v>
      </c>
      <c r="D49" s="5" t="s">
        <v>78</v>
      </c>
      <c r="E49" s="10">
        <v>46113</v>
      </c>
      <c r="F49" s="10">
        <v>46143</v>
      </c>
      <c r="G49" s="5" t="s">
        <v>51</v>
      </c>
      <c r="H49" s="5" t="s">
        <v>27</v>
      </c>
      <c r="I49" s="5" t="s">
        <v>52</v>
      </c>
      <c r="J49" s="11">
        <v>733.92</v>
      </c>
      <c r="K49" s="5" t="s">
        <v>29</v>
      </c>
      <c r="L49" s="12">
        <v>0.95</v>
      </c>
      <c r="N49" s="11">
        <v>522.91</v>
      </c>
      <c r="O49" s="11">
        <v>0</v>
      </c>
      <c r="P49" s="11">
        <v>522.91</v>
      </c>
      <c r="Q49" s="5" t="s">
        <v>103</v>
      </c>
      <c r="R49" s="5" t="s">
        <v>111</v>
      </c>
      <c r="S49" s="5" t="s">
        <v>112</v>
      </c>
      <c r="T49" s="11">
        <f t="shared" si="0"/>
        <v>61.16</v>
      </c>
      <c r="U49" s="11">
        <f t="shared" si="1"/>
        <v>58.101999999999997</v>
      </c>
      <c r="V49" s="11">
        <f t="shared" si="2"/>
        <v>58.101111111111109</v>
      </c>
    </row>
    <row r="50" spans="1:22" s="5" customFormat="1" ht="15" customHeight="1" x14ac:dyDescent="0.3">
      <c r="A50" s="5" t="s">
        <v>22</v>
      </c>
      <c r="B50" s="35">
        <v>9079571</v>
      </c>
      <c r="C50" s="9">
        <v>4151791023</v>
      </c>
      <c r="D50" s="5" t="s">
        <v>76</v>
      </c>
      <c r="E50" s="10">
        <v>46113</v>
      </c>
      <c r="F50" s="10">
        <v>46143</v>
      </c>
      <c r="G50" s="5" t="s">
        <v>102</v>
      </c>
      <c r="H50" s="5" t="s">
        <v>27</v>
      </c>
      <c r="I50" s="5" t="s">
        <v>52</v>
      </c>
      <c r="J50" s="11">
        <v>879.48</v>
      </c>
      <c r="K50" s="5" t="s">
        <v>29</v>
      </c>
      <c r="L50" s="12">
        <v>0.9</v>
      </c>
      <c r="N50" s="11">
        <v>593.64</v>
      </c>
      <c r="O50" s="11">
        <v>0</v>
      </c>
      <c r="P50" s="11">
        <v>593.64</v>
      </c>
      <c r="Q50" s="5" t="s">
        <v>103</v>
      </c>
      <c r="R50" s="5" t="s">
        <v>111</v>
      </c>
      <c r="S50" s="5" t="s">
        <v>112</v>
      </c>
      <c r="T50" s="11">
        <f t="shared" si="0"/>
        <v>73.290000000000006</v>
      </c>
      <c r="U50" s="11">
        <f t="shared" si="1"/>
        <v>65.961000000000013</v>
      </c>
      <c r="V50" s="11">
        <f t="shared" si="2"/>
        <v>65.959999999999994</v>
      </c>
    </row>
    <row r="51" spans="1:22" ht="15" customHeight="1" x14ac:dyDescent="0.3">
      <c r="A51" s="5" t="s">
        <v>22</v>
      </c>
      <c r="B51" s="35">
        <v>9079571</v>
      </c>
      <c r="C51" s="9">
        <v>4151790963</v>
      </c>
      <c r="D51" s="5" t="s">
        <v>76</v>
      </c>
      <c r="E51" s="10">
        <v>46113</v>
      </c>
      <c r="F51" s="10">
        <v>46143</v>
      </c>
      <c r="G51" s="5" t="s">
        <v>51</v>
      </c>
      <c r="H51" s="5" t="s">
        <v>27</v>
      </c>
      <c r="I51" s="5" t="s">
        <v>52</v>
      </c>
      <c r="J51" s="11">
        <v>901.44</v>
      </c>
      <c r="K51" s="5" t="s">
        <v>29</v>
      </c>
      <c r="L51" s="12">
        <v>0.95</v>
      </c>
      <c r="M51" s="5"/>
      <c r="N51" s="11">
        <v>642.27</v>
      </c>
      <c r="O51" s="11">
        <v>0</v>
      </c>
      <c r="P51" s="11">
        <v>642.27</v>
      </c>
      <c r="Q51" s="5" t="s">
        <v>103</v>
      </c>
      <c r="R51" s="5" t="s">
        <v>111</v>
      </c>
      <c r="S51" s="5" t="s">
        <v>112</v>
      </c>
      <c r="T51" s="11">
        <f t="shared" si="0"/>
        <v>75.12</v>
      </c>
      <c r="U51" s="11">
        <f t="shared" si="1"/>
        <v>71.364000000000004</v>
      </c>
      <c r="V51" s="11">
        <f t="shared" si="2"/>
        <v>71.36333333333333</v>
      </c>
    </row>
    <row r="52" spans="1:22" s="5" customFormat="1" ht="15" customHeight="1" x14ac:dyDescent="0.3">
      <c r="A52" s="5" t="s">
        <v>22</v>
      </c>
      <c r="B52" s="35">
        <v>9079571</v>
      </c>
      <c r="C52" s="9">
        <v>4151791581</v>
      </c>
      <c r="D52" s="5" t="s">
        <v>82</v>
      </c>
      <c r="E52" s="10">
        <v>46113</v>
      </c>
      <c r="F52" s="10">
        <v>46143</v>
      </c>
      <c r="G52" s="5" t="s">
        <v>51</v>
      </c>
      <c r="H52" s="5" t="s">
        <v>27</v>
      </c>
      <c r="I52" s="5" t="s">
        <v>52</v>
      </c>
      <c r="J52" s="11">
        <v>968.88</v>
      </c>
      <c r="K52" s="5" t="s">
        <v>29</v>
      </c>
      <c r="L52" s="12">
        <v>0.95</v>
      </c>
      <c r="N52" s="11">
        <v>690.33</v>
      </c>
      <c r="O52" s="11">
        <v>0</v>
      </c>
      <c r="P52" s="11">
        <v>690.33</v>
      </c>
      <c r="Q52" s="5" t="s">
        <v>103</v>
      </c>
      <c r="R52" s="5" t="s">
        <v>111</v>
      </c>
      <c r="S52" s="5" t="s">
        <v>112</v>
      </c>
      <c r="T52" s="11">
        <f t="shared" si="0"/>
        <v>80.739999999999995</v>
      </c>
      <c r="U52" s="11">
        <f t="shared" si="1"/>
        <v>76.702999999999989</v>
      </c>
      <c r="V52" s="11">
        <f t="shared" si="2"/>
        <v>76.703333333333333</v>
      </c>
    </row>
    <row r="53" spans="1:22" s="5" customFormat="1" ht="15" customHeight="1" x14ac:dyDescent="0.3">
      <c r="A53" s="5" t="s">
        <v>22</v>
      </c>
      <c r="B53" s="35">
        <v>9079571</v>
      </c>
      <c r="C53" s="9">
        <v>4151788819</v>
      </c>
      <c r="D53" s="5" t="s">
        <v>68</v>
      </c>
      <c r="E53" s="10">
        <v>46113</v>
      </c>
      <c r="F53" s="10">
        <v>46143</v>
      </c>
      <c r="G53" s="5" t="s">
        <v>51</v>
      </c>
      <c r="H53" s="5" t="s">
        <v>27</v>
      </c>
      <c r="I53" s="5" t="s">
        <v>52</v>
      </c>
      <c r="J53" s="11">
        <v>1236.96</v>
      </c>
      <c r="K53" s="5" t="s">
        <v>29</v>
      </c>
      <c r="L53" s="12">
        <v>0.95</v>
      </c>
      <c r="N53" s="11">
        <v>881.33</v>
      </c>
      <c r="O53" s="11">
        <v>0</v>
      </c>
      <c r="P53" s="11">
        <v>881.33</v>
      </c>
      <c r="Q53" s="5" t="s">
        <v>103</v>
      </c>
      <c r="R53" s="5" t="s">
        <v>111</v>
      </c>
      <c r="S53" s="5" t="s">
        <v>112</v>
      </c>
      <c r="T53" s="11">
        <f t="shared" si="0"/>
        <v>103.08</v>
      </c>
      <c r="U53" s="11">
        <f t="shared" si="1"/>
        <v>97.925999999999988</v>
      </c>
      <c r="V53" s="11">
        <f t="shared" si="2"/>
        <v>97.925555555555562</v>
      </c>
    </row>
  </sheetData>
  <sortState xmlns:xlrd2="http://schemas.microsoft.com/office/spreadsheetml/2017/richdata2" ref="A38:U53">
    <sortCondition ref="A38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2026-04-13T14:27:23Z</dcterms:created>
  <dcterms:modified xsi:type="dcterms:W3CDTF">2026-04-14T13:25:20Z</dcterms:modified>
</cp:coreProperties>
</file>