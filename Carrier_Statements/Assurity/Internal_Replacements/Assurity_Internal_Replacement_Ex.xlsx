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<sst xmlns="http://schemas.openxmlformats.org/spreadsheetml/2006/main" count="55" uniqueCount="43">
  <si>
    <t>Agent Last Name</t>
  </si>
  <si>
    <t>Agent First Name</t>
  </si>
  <si>
    <t>Agent ID</t>
  </si>
  <si>
    <t>Policy Number</t>
  </si>
  <si>
    <t>Primary Insured Last Name</t>
  </si>
  <si>
    <t>Primary Insured First Name</t>
  </si>
  <si>
    <t>Product Type</t>
  </si>
  <si>
    <t>Product Description</t>
  </si>
  <si>
    <t>Termination Date</t>
  </si>
  <si>
    <t>Termination Reason</t>
  </si>
  <si>
    <t>Paid To Date</t>
  </si>
  <si>
    <t>Billing Mode</t>
  </si>
  <si>
    <t>Mode Premium</t>
  </si>
  <si>
    <t>Annual Premium</t>
  </si>
  <si>
    <t>Face Amount</t>
  </si>
  <si>
    <t>Issue State</t>
  </si>
  <si>
    <t>Application Signed Date</t>
  </si>
  <si>
    <t>Issue Date</t>
  </si>
  <si>
    <t>Monthly Premium</t>
  </si>
  <si>
    <t>Original Commission Paid (9 month advance)</t>
  </si>
  <si>
    <t>NEW commission rate</t>
  </si>
  <si>
    <t>Earned Comm</t>
  </si>
  <si>
    <t>Annual Commission</t>
  </si>
  <si>
    <t xml:space="preserve">Minus Commission paid </t>
  </si>
  <si>
    <t>New Commission 9 month advance</t>
  </si>
  <si>
    <t>RICHTER</t>
  </si>
  <si>
    <t>ADAM</t>
  </si>
  <si>
    <t>2BNY</t>
  </si>
  <si>
    <t>HARRIS</t>
  </si>
  <si>
    <t>ALEXIS</t>
  </si>
  <si>
    <t>Critical Illness</t>
  </si>
  <si>
    <t>Assurity Critical Illness</t>
  </si>
  <si>
    <t>Lapsed</t>
  </si>
  <si>
    <t>Quarterly</t>
  </si>
  <si>
    <t>Maryland</t>
  </si>
  <si>
    <t xml:space="preserve">Accident </t>
  </si>
  <si>
    <t>Tyson Channer</t>
  </si>
  <si>
    <t>James</t>
  </si>
  <si>
    <t>Accident Insurance</t>
  </si>
  <si>
    <t>Hall</t>
  </si>
  <si>
    <t>Jina</t>
  </si>
  <si>
    <t>Monthly</t>
  </si>
  <si>
    <t>Jina hall - commissions that were paid on original policy up to lapse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</si>
</sst>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&quot;$&quot;#,##0.00"/>
  </numFmts>
  <fonts count="5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sz val="12.0"/>
      <color rgb="FF4A4A4A"/>
      <name val="&quot;Amsi Pro&quot;"/>
    </font>
  </fonts>
  <fills count="6">
    <fill>
      <patternFill patternType="none"/>
    </fill>
    <fill>
      <patternFill patternType="lightGray"/>
    </fill>
    <fill>
      <patternFill patternType="solid">
        <fgColor rgb="FFC5E4DB"/>
        <bgColor rgb="FFC5E4DB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1F7F9"/>
        <bgColor rgb="FFF1F7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right" readingOrder="0"/>
    </xf>
    <xf borderId="0" fillId="0" fontId="2" numFmtId="165" xfId="0" applyAlignment="1" applyFont="1" applyNumberFormat="1">
      <alignment horizontal="right" readingOrder="0"/>
    </xf>
    <xf borderId="0" fillId="0" fontId="3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0" fillId="0" fontId="2" numFmtId="165" xfId="0" applyFont="1" applyNumberFormat="1"/>
    <xf borderId="0" fillId="0" fontId="2" numFmtId="0" xfId="0" applyFont="1"/>
    <xf borderId="0" fillId="0" fontId="3" numFmtId="165" xfId="0" applyAlignment="1" applyFont="1" applyNumberFormat="1">
      <alignment readingOrder="0"/>
    </xf>
    <xf borderId="0" fillId="0" fontId="3" numFmtId="165" xfId="0" applyFont="1" applyNumberFormat="1"/>
    <xf borderId="0" fillId="3" fontId="2" numFmtId="0" xfId="0" applyAlignment="1" applyFill="1" applyFont="1">
      <alignment readingOrder="0"/>
    </xf>
    <xf borderId="0" fillId="0" fontId="3" numFmtId="10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4" fontId="2" numFmtId="165" xfId="0" applyAlignment="1" applyFont="1" applyNumberFormat="1">
      <alignment horizontal="right" readingOrder="0"/>
    </xf>
    <xf borderId="0" fillId="4" fontId="2" numFmtId="10" xfId="0" applyAlignment="1" applyFont="1" applyNumberFormat="1">
      <alignment horizontal="right" readingOrder="0"/>
    </xf>
    <xf borderId="0" fillId="4" fontId="2" numFmtId="164" xfId="0" applyAlignment="1" applyFont="1" applyNumberFormat="1">
      <alignment horizontal="right" readingOrder="0"/>
    </xf>
    <xf borderId="0" fillId="5" fontId="4" numFmtId="9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17.75"/>
    <col customWidth="1" min="12" max="12" width="26.25"/>
    <col customWidth="1" min="19" max="19" width="22.5"/>
    <col customWidth="1" min="20" max="20" width="19.88"/>
    <col customWidth="1" min="21" max="21" width="37.88"/>
    <col customWidth="1" min="22" max="22" width="21.75"/>
    <col customWidth="1" min="23" max="23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13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/>
      <c r="AB1" s="3"/>
      <c r="AC1" s="3"/>
    </row>
    <row r="2">
      <c r="A2" s="4" t="s">
        <v>25</v>
      </c>
      <c r="B2" s="4" t="s">
        <v>26</v>
      </c>
      <c r="C2" s="4" t="s">
        <v>27</v>
      </c>
      <c r="D2" s="4">
        <v>4.151552168E9</v>
      </c>
      <c r="E2" s="4" t="s">
        <v>28</v>
      </c>
      <c r="F2" s="4" t="s">
        <v>29</v>
      </c>
      <c r="G2" s="4" t="s">
        <v>30</v>
      </c>
      <c r="H2" s="4" t="s">
        <v>31</v>
      </c>
      <c r="I2" s="5">
        <v>45562.0</v>
      </c>
      <c r="J2" s="4" t="s">
        <v>32</v>
      </c>
      <c r="K2" s="5">
        <v>45562.0</v>
      </c>
      <c r="L2" s="4" t="s">
        <v>33</v>
      </c>
      <c r="M2" s="6">
        <v>144.34</v>
      </c>
      <c r="N2" s="6">
        <v>546.73</v>
      </c>
      <c r="O2" s="6">
        <v>50000.0</v>
      </c>
      <c r="P2" s="4" t="s">
        <v>34</v>
      </c>
      <c r="Q2" s="5">
        <v>45531.0</v>
      </c>
      <c r="R2" s="5">
        <v>45531.0</v>
      </c>
      <c r="S2" s="6">
        <f t="shared" ref="S2:S3" si="1">T2/12</f>
        <v>45.37</v>
      </c>
      <c r="T2" s="7">
        <v>544.44</v>
      </c>
      <c r="U2" s="6">
        <v>347.07</v>
      </c>
      <c r="V2" s="8">
        <v>0.85</v>
      </c>
      <c r="W2" s="9">
        <f>S2*V2</f>
        <v>38.5645</v>
      </c>
      <c r="X2" s="10"/>
      <c r="Y2" s="10"/>
      <c r="Z2" s="10"/>
      <c r="AA2" s="10"/>
      <c r="AB2" s="10"/>
      <c r="AC2" s="10"/>
    </row>
    <row r="3">
      <c r="A3" s="4" t="s">
        <v>25</v>
      </c>
      <c r="B3" s="4" t="s">
        <v>26</v>
      </c>
      <c r="D3" s="7">
        <v>4.151599086E9</v>
      </c>
      <c r="E3" s="4" t="s">
        <v>28</v>
      </c>
      <c r="F3" s="4" t="s">
        <v>29</v>
      </c>
      <c r="G3" s="4" t="s">
        <v>35</v>
      </c>
      <c r="S3" s="6">
        <f t="shared" si="1"/>
        <v>28.46</v>
      </c>
      <c r="T3" s="11">
        <v>341.52</v>
      </c>
      <c r="U3" s="11">
        <v>192.1</v>
      </c>
      <c r="V3" s="8">
        <v>0.75</v>
      </c>
      <c r="X3" s="7">
        <v>290.92</v>
      </c>
      <c r="Y3" s="12">
        <f>X3-W2</f>
        <v>252.3555</v>
      </c>
      <c r="Z3" s="12">
        <f>Y3*0.75</f>
        <v>189.266625</v>
      </c>
    </row>
    <row r="4">
      <c r="A4" s="4" t="s">
        <v>25</v>
      </c>
      <c r="B4" s="4" t="s">
        <v>26</v>
      </c>
      <c r="D4" s="7">
        <v>4.151615335E9</v>
      </c>
      <c r="E4" s="7" t="s">
        <v>36</v>
      </c>
      <c r="F4" s="7" t="s">
        <v>37</v>
      </c>
      <c r="G4" s="13" t="s">
        <v>38</v>
      </c>
      <c r="M4" s="11">
        <v>38.39</v>
      </c>
      <c r="V4" s="14">
        <v>0.93</v>
      </c>
    </row>
    <row r="9">
      <c r="A9" s="15" t="s">
        <v>25</v>
      </c>
      <c r="B9" s="15" t="s">
        <v>26</v>
      </c>
      <c r="C9" s="15" t="s">
        <v>27</v>
      </c>
      <c r="D9" s="15">
        <v>4.151619352E9</v>
      </c>
      <c r="E9" s="15" t="s">
        <v>39</v>
      </c>
      <c r="F9" s="7" t="s">
        <v>40</v>
      </c>
      <c r="G9" s="4" t="s">
        <v>30</v>
      </c>
      <c r="H9" s="15" t="s">
        <v>31</v>
      </c>
      <c r="I9" s="16"/>
      <c r="J9" s="16"/>
      <c r="K9" s="15"/>
      <c r="L9" s="4" t="s">
        <v>41</v>
      </c>
      <c r="M9" s="15"/>
      <c r="N9" s="15"/>
      <c r="O9" s="17"/>
      <c r="P9" s="15"/>
      <c r="Q9" s="18"/>
      <c r="R9" s="19">
        <v>45679.0</v>
      </c>
      <c r="S9" s="6">
        <f>T9/12</f>
        <v>95.52</v>
      </c>
      <c r="T9" s="17">
        <v>1146.24</v>
      </c>
      <c r="U9" s="17">
        <v>343.87</v>
      </c>
      <c r="V9" s="20">
        <v>0.4</v>
      </c>
    </row>
    <row r="15">
      <c r="C15" s="7" t="s">
        <v>42</v>
      </c>
    </row>
  </sheetData>
  <drawing r:id="rId1"/>
</worksheet>
</file>