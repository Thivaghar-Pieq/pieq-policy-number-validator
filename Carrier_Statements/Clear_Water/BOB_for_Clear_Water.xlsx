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ear water\"/>
    </mc:Choice>
  </mc:AlternateContent>
  <xr:revisionPtr revIDLastSave="0" documentId="13_ncr:1_{0C7C7D47-8CB4-48EF-A108-8EB46E2CFBAE}" xr6:coauthVersionLast="47" xr6:coauthVersionMax="47" xr10:uidLastSave="{00000000-0000-0000-0000-000000000000}"/>
  <bookViews>
    <workbookView xWindow="-28920" yWindow="-120" windowWidth="29040" windowHeight="15720" activeTab="1" xr2:uid="{3FE261D7-339E-E545-ABD2-9FD6B958D5C6}"/>
  </bookViews>
  <sheets>
    <sheet name="Pivot" sheetId="2" r:id="rId1"/>
    <sheet name="Commission Details" sheetId="1" r:id="rId2"/>
  </sheets>
  <definedNames>
    <definedName name="_xlnm._FilterDatabase" localSheetId="1" hidden="1">'Commission Details'!$A$1:$AE$13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<sst xmlns="http://schemas.openxmlformats.org/spreadsheetml/2006/main" count="339" uniqueCount="100">
  <si>
    <t>partner_name</t>
  </si>
  <si>
    <t>commission_order</t>
  </si>
  <si>
    <t>commission_type</t>
  </si>
  <si>
    <t>commission_value</t>
  </si>
  <si>
    <t>eligibility_start_date</t>
  </si>
  <si>
    <t>eligibility_end_date</t>
  </si>
  <si>
    <t>months_since_patient_creation</t>
  </si>
  <si>
    <t>policy_status</t>
  </si>
  <si>
    <t>plan_name</t>
  </si>
  <si>
    <t>plan_type</t>
  </si>
  <si>
    <t>plan_price</t>
  </si>
  <si>
    <t>affiliate</t>
  </si>
  <si>
    <t>person_code</t>
  </si>
  <si>
    <t>sales_type</t>
  </si>
  <si>
    <t>vendor_id</t>
  </si>
  <si>
    <t>enrollment_type</t>
  </si>
  <si>
    <t>referral_code</t>
  </si>
  <si>
    <t>broker</t>
  </si>
  <si>
    <t>broker_code</t>
  </si>
  <si>
    <t>group_company</t>
  </si>
  <si>
    <t>copartner_id</t>
  </si>
  <si>
    <t>patient_email</t>
  </si>
  <si>
    <t>patient_full_name</t>
  </si>
  <si>
    <t>coverage_type</t>
  </si>
  <si>
    <t>payment_status</t>
  </si>
  <si>
    <t>policy_commission_category</t>
  </si>
  <si>
    <t>contribution</t>
  </si>
  <si>
    <t>invoice_id_list</t>
  </si>
  <si>
    <t>invoice_paid_date</t>
  </si>
  <si>
    <t>tier_list</t>
  </si>
  <si>
    <t>Main Line Benefits LLC</t>
  </si>
  <si>
    <t>base</t>
  </si>
  <si>
    <t>percentage</t>
  </si>
  <si>
    <t>active</t>
  </si>
  <si>
    <t>MM HSA 5000 RBP</t>
  </si>
  <si>
    <t>Major Medical</t>
  </si>
  <si>
    <t>Main Line Benefits</t>
  </si>
  <si>
    <t>Primary</t>
  </si>
  <si>
    <t>individual</t>
  </si>
  <si>
    <t>BH7620343801</t>
  </si>
  <si>
    <t>new</t>
  </si>
  <si>
    <t>null</t>
  </si>
  <si>
    <t>Dale Walenga</t>
  </si>
  <si>
    <t>MLNE-004</t>
  </si>
  <si>
    <t>DAYNELEVESQUE@GMAIL.COM</t>
  </si>
  <si>
    <t>DAYNE J LEVESQUE</t>
  </si>
  <si>
    <t>SINGLE</t>
  </si>
  <si>
    <t>paid_on_time</t>
  </si>
  <si>
    <t>paid</t>
  </si>
  <si>
    <t>["INV440870"]</t>
  </si>
  <si>
    <t>["EE"]</t>
  </si>
  <si>
    <t>["INV475508"]</t>
  </si>
  <si>
    <t>MM Copay 8000 RBP</t>
  </si>
  <si>
    <t>BH8402972901</t>
  </si>
  <si>
    <t>MLNE-010</t>
  </si>
  <si>
    <t>Nasandelger Zana</t>
  </si>
  <si>
    <t>TUTUNAILSTUDIO@GMAIL.COM</t>
  </si>
  <si>
    <t>AMARTUVSHIN GANBAATAR</t>
  </si>
  <si>
    <t>MARRIED</t>
  </si>
  <si>
    <t>["INV423365"]</t>
  </si>
  <si>
    <t>["ES"]</t>
  </si>
  <si>
    <t>BH2161997301</t>
  </si>
  <si>
    <t>renew</t>
  </si>
  <si>
    <t>MLNE-013</t>
  </si>
  <si>
    <t>Arnold Aloff</t>
  </si>
  <si>
    <t>AALOFF@GMAIL.COM</t>
  </si>
  <si>
    <t>ARNOLD ALOFF</t>
  </si>
  <si>
    <t>["INV415493"]</t>
  </si>
  <si>
    <t>["INV474882"]</t>
  </si>
  <si>
    <t>["INV440138"]</t>
  </si>
  <si>
    <t>["INV474788"]</t>
  </si>
  <si>
    <t>["INV424052"]</t>
  </si>
  <si>
    <t>["INV415721"]</t>
  </si>
  <si>
    <t>["INV415265"]</t>
  </si>
  <si>
    <t>["INV440234"]</t>
  </si>
  <si>
    <t>["INV423593"]</t>
  </si>
  <si>
    <t>MONTH</t>
  </si>
  <si>
    <t>Grand Total</t>
  </si>
  <si>
    <t>Sum of commission_value</t>
  </si>
  <si>
    <t>Month</t>
  </si>
  <si>
    <t>tier</t>
  </si>
  <si>
    <t>period_start_date</t>
  </si>
  <si>
    <t>employer_name</t>
  </si>
  <si>
    <t>employer_id</t>
  </si>
  <si>
    <t>invoice_date</t>
  </si>
  <si>
    <t>subscriber_id</t>
  </si>
  <si>
    <t>invoice_no</t>
  </si>
  <si>
    <t>vendor_name</t>
  </si>
  <si>
    <t>Vendor_ID</t>
  </si>
  <si>
    <t>veridy_type</t>
  </si>
  <si>
    <t>amount</t>
  </si>
  <si>
    <t>notes</t>
  </si>
  <si>
    <t>ES</t>
  </si>
  <si>
    <t>TRIDNT</t>
  </si>
  <si>
    <t>BH3457108701</t>
  </si>
  <si>
    <t>INV638307</t>
  </si>
  <si>
    <t>Legacy ClearShare</t>
  </si>
  <si>
    <t>January 2026 Commission</t>
  </si>
  <si>
    <t>MLNE-019</t>
  </si>
  <si>
    <t>Brian Strohman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</si>
</sst>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mm/yyyy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165" fontId="0" fillId="0" borderId="0" xfId="0" applyNumberFormat="1" applyAlignment="1">
      <alignment horizontal="left"/>
    </xf>
    <xf numFmtId="44" fontId="0" fillId="0" borderId="0" xfId="1" applyFont="1"/>
    <xf numFmtId="44" fontId="2" fillId="2" borderId="0" xfId="1" applyFont="1" applyFill="1"/>
    <xf numFmtId="44" fontId="0" fillId="2" borderId="0" xfId="1" applyFont="1" applyFill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44" fontId="3" fillId="2" borderId="0" xfId="1" applyFont="1" applyFill="1"/>
    <xf numFmtId="0" fontId="3" fillId="2" borderId="0" xfId="0" applyFont="1" applyFill="1"/>
    <xf numFmtId="0" fontId="4" fillId="0" borderId="0" xfId="0" applyFont="1"/>
    <xf numFmtId="165" fontId="3" fillId="2" borderId="0" xfId="0" applyNumberFormat="1" applyFont="1" applyFill="1"/>
    <xf numFmtId="165" fontId="2" fillId="2" borderId="0" xfId="0" applyNumberFormat="1" applyFont="1" applyFill="1"/>
    <xf numFmtId="165" fontId="0" fillId="2" borderId="0" xfId="0" applyNumberFormat="1" applyFill="1"/>
    <xf numFmtId="0" fontId="5" fillId="0" borderId="0" xfId="0" applyFont="1"/>
    <xf numFmtId="0" fontId="6" fillId="0" borderId="0" xfId="0" applyFont="1"/>
    <xf numFmtId="14" fontId="6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ssenia Rodriguez" refreshedDate="45856.530165277778" createdVersion="8" refreshedVersion="8" minRefreshableVersion="3" recordCount="12" xr:uid="{7A81C664-198D-C64C-8834-EDAAACF4D5FF}">
  <cacheSource type="worksheet">
    <worksheetSource ref="A1:AE13" sheet="Commission Details"/>
  </cacheSource>
  <cacheFields count="33">
    <cacheField name="MONTH" numFmtId="165">
      <sharedItems containsSemiMixedTypes="0" containsNonDate="0" containsDate="1" containsString="0" minDate="2025-03-25T00:00:00" maxDate="2025-06-26T00:00:00" count="4">
        <d v="2025-03-25T00:00:00"/>
        <d v="2025-04-25T00:00:00"/>
        <d v="2025-05-25T00:00:00"/>
        <d v="2025-06-25T00:00:00"/>
      </sharedItems>
      <fieldGroup par="32"/>
    </cacheField>
    <cacheField name="partner_name" numFmtId="0">
      <sharedItems/>
    </cacheField>
    <cacheField name="commission_order" numFmtId="0">
      <sharedItems/>
    </cacheField>
    <cacheField name="commission_type" numFmtId="0">
      <sharedItems/>
    </cacheField>
    <cacheField name="commission_value" numFmtId="0">
      <sharedItems containsSemiMixedTypes="0" containsString="0" containsNumber="1" minValue="24.55" maxValue="46.53"/>
    </cacheField>
    <cacheField name="eligibility_start_date" numFmtId="164">
      <sharedItems containsSemiMixedTypes="0" containsNonDate="0" containsDate="1" containsString="0" minDate="2025-01-01T00:00:00" maxDate="2025-02-02T00:00:00"/>
    </cacheField>
    <cacheField name="eligibility_end_date" numFmtId="164">
      <sharedItems containsSemiMixedTypes="0" containsNonDate="0" containsDate="1" containsString="0" minDate="2025-12-31T00:00:00" maxDate="2026-01-01T00:00:00"/>
    </cacheField>
    <cacheField name="months_since_patient_creation" numFmtId="0">
      <sharedItems containsSemiMixedTypes="0" containsString="0" containsNumber="1" minValue="2.33" maxValue="6.3"/>
    </cacheField>
    <cacheField name="policy_status" numFmtId="0">
      <sharedItems/>
    </cacheField>
    <cacheField name="plan_name" numFmtId="0">
      <sharedItems/>
    </cacheField>
    <cacheField name="plan_type" numFmtId="0">
      <sharedItems/>
    </cacheField>
    <cacheField name="plan_price" numFmtId="0">
      <sharedItems containsSemiMixedTypes="0" containsString="0" containsNumber="1" minValue="446.37" maxValue="845.94"/>
    </cacheField>
    <cacheField name="affiliate" numFmtId="0">
      <sharedItems/>
    </cacheField>
    <cacheField name="person_code" numFmtId="0">
      <sharedItems/>
    </cacheField>
    <cacheField name="sales_type" numFmtId="0">
      <sharedItems/>
    </cacheField>
    <cacheField name="vendor_id" numFmtId="0">
      <sharedItems/>
    </cacheField>
    <cacheField name="enrollment_type" numFmtId="0">
      <sharedItems/>
    </cacheField>
    <cacheField name="referral_code" numFmtId="0">
      <sharedItems/>
    </cacheField>
    <cacheField name="broker" numFmtId="0">
      <sharedItems/>
    </cacheField>
    <cacheField name="broker_code" numFmtId="0">
      <sharedItems/>
    </cacheField>
    <cacheField name="group_company" numFmtId="0">
      <sharedItems/>
    </cacheField>
    <cacheField name="copartner_id" numFmtId="0">
      <sharedItems/>
    </cacheField>
    <cacheField name="patient_email" numFmtId="0">
      <sharedItems/>
    </cacheField>
    <cacheField name="patient_full_name" numFmtId="0">
      <sharedItems/>
    </cacheField>
    <cacheField name="coverage_type" numFmtId="0">
      <sharedItems/>
    </cacheField>
    <cacheField name="payment_status" numFmtId="0">
      <sharedItems/>
    </cacheField>
    <cacheField name="policy_commission_category" numFmtId="0">
      <sharedItems/>
    </cacheField>
    <cacheField name="contribution" numFmtId="0">
      <sharedItems containsSemiMixedTypes="0" containsString="0" containsNumber="1" minValue="446.37" maxValue="845.94"/>
    </cacheField>
    <cacheField name="invoice_id_list" numFmtId="0">
      <sharedItems/>
    </cacheField>
    <cacheField name="invoice_paid_date" numFmtId="164">
      <sharedItems containsSemiMixedTypes="0" containsNonDate="0" containsDate="1" containsString="0" minDate="2025-03-06T00:00:00" maxDate="2025-06-17T00:00:00"/>
    </cacheField>
    <cacheField name="tier_list" numFmtId="0">
      <sharedItems/>
    </cacheField>
    <cacheField name="Days (MONTH)" numFmtId="0" databaseField="0">
      <fieldGroup base="0">
        <rangePr groupBy="days" startDate="2025-03-25T00:00:00" endDate="2025-06-26T00:00:00"/>
        <groupItems count="368">
          <s v="&lt;3/25/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6/25"/>
        </groupItems>
      </fieldGroup>
    </cacheField>
    <cacheField name="Months (MONTH)" numFmtId="0" databaseField="0">
      <fieldGroup base="0">
        <rangePr groupBy="months" startDate="2025-03-25T00:00:00" endDate="2025-06-26T00:00:00"/>
        <groupItems count="14">
          <s v="&lt;3/25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6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Main Line Benefits LLC"/>
    <s v="base"/>
    <s v="percentage"/>
    <n v="46.53"/>
    <d v="2025-01-01T00:00:00"/>
    <d v="2025-12-31T00:00:00"/>
    <n v="2.93"/>
    <s v="active"/>
    <s v="MM HSA 5000 RBP"/>
    <s v="Major Medical"/>
    <n v="845.94"/>
    <s v="Main Line Benefits"/>
    <s v="Primary"/>
    <s v="individual"/>
    <s v="BH2161997301"/>
    <s v="renew"/>
    <s v="MLNE-013"/>
    <s v="Arnold Aloff"/>
    <s v="MLNE-013"/>
    <s v="null"/>
    <s v="null"/>
    <s v="AALOFF@GMAIL.COM"/>
    <s v="ARNOLD ALOFF"/>
    <s v="SINGLE"/>
    <s v="paid_on_time"/>
    <s v="paid"/>
    <n v="845.94"/>
    <s v="[&quot;INV415493&quot;]"/>
    <d v="2025-03-06T00:00:00"/>
    <s v="[&quot;EE&quot;]"/>
  </r>
  <r>
    <x v="0"/>
    <s v="Main Line Benefits LLC"/>
    <s v="base"/>
    <s v="percentage"/>
    <n v="24.55"/>
    <d v="2025-02-01T00:00:00"/>
    <d v="2025-12-31T00:00:00"/>
    <n v="2.33"/>
    <s v="active"/>
    <s v="MM HSA 5000 RBP"/>
    <s v="Major Medical"/>
    <n v="446.37"/>
    <s v="Main Line Benefits"/>
    <s v="Primary"/>
    <s v="individual"/>
    <s v="BH7620343801"/>
    <s v="new"/>
    <s v="null"/>
    <s v="Dale Walenga"/>
    <s v="MLNE-004"/>
    <s v="null"/>
    <s v="null"/>
    <s v="DAYNELEVESQUE@GMAIL.COM"/>
    <s v="DAYNE J LEVESQUE"/>
    <s v="SINGLE"/>
    <s v="paid_on_time"/>
    <s v="paid"/>
    <n v="446.37"/>
    <s v="[&quot;INV415721&quot;]"/>
    <d v="2025-03-06T00:00:00"/>
    <s v="[&quot;EE&quot;]"/>
  </r>
  <r>
    <x v="0"/>
    <s v="Main Line Benefits LLC"/>
    <s v="base"/>
    <s v="percentage"/>
    <n v="37.659999999999997"/>
    <d v="2025-01-01T00:00:00"/>
    <d v="2025-12-31T00:00:00"/>
    <n v="3.23"/>
    <s v="active"/>
    <s v="MM Copay 8000 RBP"/>
    <s v="Major Medical"/>
    <n v="684.81"/>
    <s v="Main Line Benefits"/>
    <s v="Primary"/>
    <s v="individual"/>
    <s v="BH8402972901"/>
    <s v="new"/>
    <s v="MLNE-010"/>
    <s v="Nasandelger Zana"/>
    <s v="MLNE-010"/>
    <s v="null"/>
    <s v="null"/>
    <s v="TUTUNAILSTUDIO@GMAIL.COM"/>
    <s v="AMARTUVSHIN GANBAATAR"/>
    <s v="MARRIED"/>
    <s v="paid_on_time"/>
    <s v="paid"/>
    <n v="684.81"/>
    <s v="[&quot;INV415265&quot;]"/>
    <d v="2025-03-06T00:00:00"/>
    <s v="[&quot;ES&quot;]"/>
  </r>
  <r>
    <x v="1"/>
    <s v="Main Line Benefits LLC"/>
    <s v="base"/>
    <s v="percentage"/>
    <n v="37.659999999999997"/>
    <d v="2025-01-01T00:00:00"/>
    <d v="2025-12-31T00:00:00"/>
    <n v="4.2699999999999996"/>
    <s v="active"/>
    <s v="MM Copay 8000 RBP"/>
    <s v="Major Medical"/>
    <n v="684.81"/>
    <s v="Main Line Benefits"/>
    <s v="Primary"/>
    <s v="individual"/>
    <s v="BH8402972901"/>
    <s v="new"/>
    <s v="MLNE-010"/>
    <s v="Nasandelger Zana"/>
    <s v="MLNE-010"/>
    <s v="null"/>
    <s v="null"/>
    <s v="TUTUNAILSTUDIO@GMAIL.COM"/>
    <s v="AMARTUVSHIN GANBAATAR"/>
    <s v="MARRIED"/>
    <s v="paid_on_time"/>
    <s v="paid"/>
    <n v="684.81"/>
    <s v="[&quot;INV423365&quot;]"/>
    <d v="2025-04-07T00:00:00"/>
    <s v="[&quot;ES&quot;]"/>
  </r>
  <r>
    <x v="1"/>
    <s v="Main Line Benefits LLC"/>
    <s v="base"/>
    <s v="percentage"/>
    <n v="24.55"/>
    <d v="2025-02-01T00:00:00"/>
    <d v="2025-12-31T00:00:00"/>
    <n v="3.37"/>
    <s v="active"/>
    <s v="MM HSA 5000 RBP"/>
    <s v="Major Medical"/>
    <n v="446.37"/>
    <s v="Main Line Benefits"/>
    <s v="Primary"/>
    <s v="individual"/>
    <s v="BH7620343801"/>
    <s v="new"/>
    <s v="null"/>
    <s v="Dale Walenga"/>
    <s v="MLNE-004"/>
    <s v="null"/>
    <s v="null"/>
    <s v="DAYNELEVESQUE@GMAIL.COM"/>
    <s v="DAYNE J LEVESQUE"/>
    <s v="SINGLE"/>
    <s v="paid_on_time"/>
    <s v="paid"/>
    <n v="446.37"/>
    <s v="[&quot;INV424052&quot;]"/>
    <d v="2025-04-07T00:00:00"/>
    <s v="[&quot;EE&quot;]"/>
  </r>
  <r>
    <x v="1"/>
    <s v="Main Line Benefits LLC"/>
    <s v="base"/>
    <s v="percentage"/>
    <n v="46.53"/>
    <d v="2025-01-01T00:00:00"/>
    <d v="2025-12-31T00:00:00"/>
    <n v="3.97"/>
    <s v="active"/>
    <s v="MM HSA 5000 RBP"/>
    <s v="Major Medical"/>
    <n v="845.94"/>
    <s v="Main Line Benefits"/>
    <s v="Primary"/>
    <s v="individual"/>
    <s v="BH2161997301"/>
    <s v="renew"/>
    <s v="MLNE-013"/>
    <s v="Arnold Aloff"/>
    <s v="MLNE-013"/>
    <s v="null"/>
    <s v="null"/>
    <s v="AALOFF@GMAIL.COM"/>
    <s v="ARNOLD ALOFF"/>
    <s v="SINGLE"/>
    <s v="paid_on_time"/>
    <s v="paid"/>
    <n v="845.94"/>
    <s v="[&quot;INV423593&quot;]"/>
    <d v="2025-04-07T00:00:00"/>
    <s v="[&quot;EE&quot;]"/>
  </r>
  <r>
    <x v="2"/>
    <s v="Main Line Benefits LLC"/>
    <s v="base"/>
    <s v="percentage"/>
    <n v="24.55"/>
    <d v="2025-02-01T00:00:00"/>
    <d v="2025-12-31T00:00:00"/>
    <n v="4.37"/>
    <s v="active"/>
    <s v="MM HSA 5000 RBP"/>
    <s v="Major Medical"/>
    <n v="446.37"/>
    <s v="Main Line Benefits"/>
    <s v="Primary"/>
    <s v="individual"/>
    <s v="BH7620343801"/>
    <s v="new"/>
    <s v="null"/>
    <s v="Dale Walenga"/>
    <s v="MLNE-004"/>
    <s v="null"/>
    <s v="null"/>
    <s v="DAYNELEVESQUE@GMAIL.COM"/>
    <s v="DAYNE J LEVESQUE"/>
    <s v="SINGLE"/>
    <s v="paid_on_time"/>
    <s v="paid"/>
    <n v="446.37"/>
    <s v="[&quot;INV440870&quot;]"/>
    <d v="2025-05-20T00:00:00"/>
    <s v="[&quot;EE&quot;]"/>
  </r>
  <r>
    <x v="2"/>
    <s v="Main Line Benefits LLC"/>
    <s v="base"/>
    <s v="percentage"/>
    <n v="37.659999999999997"/>
    <d v="2025-01-01T00:00:00"/>
    <d v="2025-12-31T00:00:00"/>
    <n v="5.27"/>
    <s v="active"/>
    <s v="MM Copay 8000 RBP"/>
    <s v="Major Medical"/>
    <n v="684.81"/>
    <s v="Main Line Benefits"/>
    <s v="Primary"/>
    <s v="individual"/>
    <s v="BH8402972901"/>
    <s v="new"/>
    <s v="MLNE-010"/>
    <s v="Nasandelger Zana"/>
    <s v="MLNE-010"/>
    <s v="null"/>
    <s v="null"/>
    <s v="TUTUNAILSTUDIO@GMAIL.COM"/>
    <s v="AMARTUVSHIN GANBAATAR"/>
    <s v="MARRIED"/>
    <s v="paid_on_time"/>
    <s v="paid"/>
    <n v="684.81"/>
    <s v="[&quot;INV440138&quot;]"/>
    <d v="2025-05-20T00:00:00"/>
    <s v="[&quot;ES&quot;]"/>
  </r>
  <r>
    <x v="2"/>
    <s v="Main Line Benefits LLC"/>
    <s v="base"/>
    <s v="percentage"/>
    <n v="46.53"/>
    <d v="2025-01-01T00:00:00"/>
    <d v="2025-12-31T00:00:00"/>
    <n v="4.97"/>
    <s v="active"/>
    <s v="MM HSA 5000 RBP"/>
    <s v="Major Medical"/>
    <n v="845.94"/>
    <s v="Main Line Benefits"/>
    <s v="Primary"/>
    <s v="individual"/>
    <s v="BH2161997301"/>
    <s v="renew"/>
    <s v="MLNE-013"/>
    <s v="Arnold Aloff"/>
    <s v="MLNE-013"/>
    <s v="null"/>
    <s v="null"/>
    <s v="AALOFF@GMAIL.COM"/>
    <s v="ARNOLD ALOFF"/>
    <s v="SINGLE"/>
    <s v="paid_on_time"/>
    <s v="paid"/>
    <n v="845.94"/>
    <s v="[&quot;INV440234&quot;]"/>
    <d v="2025-05-20T00:00:00"/>
    <s v="[&quot;EE&quot;]"/>
  </r>
  <r>
    <x v="3"/>
    <s v="Main Line Benefits LLC"/>
    <s v="base"/>
    <s v="percentage"/>
    <n v="24.55"/>
    <d v="2025-02-01T00:00:00"/>
    <d v="2025-12-31T00:00:00"/>
    <n v="5.4"/>
    <s v="active"/>
    <s v="MM HSA 5000 RBP"/>
    <s v="Major Medical"/>
    <n v="446.37"/>
    <s v="Main Line Benefits"/>
    <s v="Primary"/>
    <s v="individual"/>
    <s v="BH7620343801"/>
    <s v="new"/>
    <s v="null"/>
    <s v="Dale Walenga"/>
    <s v="MLNE-004"/>
    <s v="null"/>
    <s v="null"/>
    <s v="DAYNELEVESQUE@GMAIL.COM"/>
    <s v="DAYNE J LEVESQUE"/>
    <s v="SINGLE"/>
    <s v="paid_on_time"/>
    <s v="paid"/>
    <n v="446.37"/>
    <s v="[&quot;INV475508&quot;]"/>
    <d v="2025-06-16T00:00:00"/>
    <s v="[&quot;EE&quot;]"/>
  </r>
  <r>
    <x v="3"/>
    <s v="Main Line Benefits LLC"/>
    <s v="base"/>
    <s v="percentage"/>
    <n v="46.53"/>
    <d v="2025-01-01T00:00:00"/>
    <d v="2025-12-31T00:00:00"/>
    <n v="6"/>
    <s v="active"/>
    <s v="MM HSA 5000 RBP"/>
    <s v="Major Medical"/>
    <n v="845.94"/>
    <s v="Main Line Benefits"/>
    <s v="Primary"/>
    <s v="individual"/>
    <s v="BH2161997301"/>
    <s v="renew"/>
    <s v="MLNE-013"/>
    <s v="Arnold Aloff"/>
    <s v="MLNE-013"/>
    <s v="null"/>
    <s v="null"/>
    <s v="AALOFF@GMAIL.COM"/>
    <s v="ARNOLD ALOFF"/>
    <s v="SINGLE"/>
    <s v="paid_on_time"/>
    <s v="paid"/>
    <n v="845.94"/>
    <s v="[&quot;INV474882&quot;]"/>
    <d v="2025-06-16T00:00:00"/>
    <s v="[&quot;EE&quot;]"/>
  </r>
  <r>
    <x v="3"/>
    <s v="Main Line Benefits LLC"/>
    <s v="base"/>
    <s v="percentage"/>
    <n v="37.659999999999997"/>
    <d v="2025-01-01T00:00:00"/>
    <d v="2025-12-31T00:00:00"/>
    <n v="6.3"/>
    <s v="active"/>
    <s v="MM Copay 8000 RBP"/>
    <s v="Major Medical"/>
    <n v="684.81"/>
    <s v="Main Line Benefits"/>
    <s v="Primary"/>
    <s v="individual"/>
    <s v="BH8402972901"/>
    <s v="new"/>
    <s v="MLNE-010"/>
    <s v="Nasandelger Zana"/>
    <s v="MLNE-010"/>
    <s v="null"/>
    <s v="null"/>
    <s v="TUTUNAILSTUDIO@GMAIL.COM"/>
    <s v="AMARTUVSHIN GANBAATAR"/>
    <s v="MARRIED"/>
    <s v="paid_on_time"/>
    <s v="paid"/>
    <n v="684.81"/>
    <s v="[&quot;INV474788&quot;]"/>
    <d v="2025-06-16T00:00:00"/>
    <s v="[&quot;ES&quot;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AE53E-0B04-A14C-AF06-13D81F1E9D4D}" name="PivotTable3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B8" firstHeaderRow="1" firstDataRow="1" firstDataCol="1"/>
  <pivotFields count="33">
    <pivotField axis="axisRow" numFmtId="165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mmission_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E93D-D632-BB4D-81D3-5EFA720C6AAC}">
  <dimension ref="A3:B8"/>
  <sheetViews>
    <sheetView workbookViewId="0">
      <selection activeCell="F10" sqref="F10"/>
    </sheetView>
  </sheetViews>
  <sheetFormatPr defaultColWidth="11" defaultRowHeight="15.75" x14ac:dyDescent="0.25"/>
  <cols>
    <col min="1" max="1" width="21.5" customWidth="1"/>
    <col min="2" max="2" width="23" style="5" bestFit="1" customWidth="1"/>
  </cols>
  <sheetData>
    <row r="3" spans="1:2" x14ac:dyDescent="0.25">
      <c r="A3" s="3" t="s">
        <v>79</v>
      </c>
      <c r="B3" s="5" t="s">
        <v>78</v>
      </c>
    </row>
    <row r="4" spans="1:2" x14ac:dyDescent="0.25">
      <c r="A4" s="4">
        <v>45741</v>
      </c>
      <c r="B4" s="5">
        <v>108.74</v>
      </c>
    </row>
    <row r="5" spans="1:2" x14ac:dyDescent="0.25">
      <c r="A5" s="4">
        <v>45772</v>
      </c>
      <c r="B5" s="5">
        <v>108.74</v>
      </c>
    </row>
    <row r="6" spans="1:2" x14ac:dyDescent="0.25">
      <c r="A6" s="4">
        <v>45802</v>
      </c>
      <c r="B6" s="5">
        <v>108.74</v>
      </c>
    </row>
    <row r="7" spans="1:2" x14ac:dyDescent="0.25">
      <c r="A7" s="4">
        <v>45833</v>
      </c>
      <c r="B7" s="5">
        <v>108.74</v>
      </c>
    </row>
    <row r="8" spans="1:2" x14ac:dyDescent="0.25">
      <c r="A8" s="4" t="s">
        <v>77</v>
      </c>
      <c r="B8" s="5">
        <v>434.96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BBDD-6145-8C42-83F6-0818E7D21B2B}">
  <dimension ref="A1:AE15"/>
  <sheetViews>
    <sheetView tabSelected="1" workbookViewId="0">
      <pane ySplit="1" topLeftCell="A2" activePane="bottomLeft" state="frozen"/>
      <selection activeCell="E1" sqref="E1"/>
      <selection pane="bottomLeft" activeCell="C21" sqref="C21"/>
    </sheetView>
  </sheetViews>
  <sheetFormatPr defaultColWidth="11" defaultRowHeight="15.75" x14ac:dyDescent="0.25"/>
  <cols>
    <col min="1" max="1" width="6.625" style="16" bestFit="1" customWidth="1"/>
    <col min="2" max="2" width="15.5" bestFit="1" customWidth="1"/>
    <col min="3" max="3" width="14.75" bestFit="1" customWidth="1"/>
    <col min="4" max="4" width="14.375" bestFit="1" customWidth="1"/>
    <col min="5" max="5" width="14.5" style="7" bestFit="1" customWidth="1"/>
    <col min="6" max="6" width="14.5" bestFit="1" customWidth="1"/>
    <col min="7" max="7" width="14.125" bestFit="1" customWidth="1"/>
    <col min="8" max="8" width="22.125" bestFit="1" customWidth="1"/>
    <col min="9" max="9" width="14.75" bestFit="1" customWidth="1"/>
    <col min="10" max="10" width="17.875" bestFit="1" customWidth="1"/>
    <col min="11" max="11" width="9.75" bestFit="1" customWidth="1"/>
    <col min="12" max="12" width="10" bestFit="1" customWidth="1"/>
    <col min="13" max="13" width="12.625" bestFit="1" customWidth="1"/>
    <col min="14" max="14" width="20.25" bestFit="1" customWidth="1"/>
    <col min="15" max="15" width="10.75" bestFit="1" customWidth="1"/>
    <col min="16" max="16" width="11.5" bestFit="1" customWidth="1"/>
    <col min="17" max="17" width="12.125" bestFit="1" customWidth="1"/>
    <col min="18" max="18" width="9.875" style="9" bestFit="1" customWidth="1"/>
    <col min="19" max="19" width="12.375" style="9" bestFit="1" customWidth="1"/>
    <col min="20" max="20" width="9.25" bestFit="1" customWidth="1"/>
    <col min="21" max="21" width="11.5" bestFit="1" customWidth="1"/>
    <col min="22" max="22" width="9.25" bestFit="1" customWidth="1"/>
    <col min="23" max="23" width="22" bestFit="1" customWidth="1"/>
    <col min="24" max="24" width="19" bestFit="1" customWidth="1"/>
    <col min="25" max="25" width="10.625" bestFit="1" customWidth="1"/>
    <col min="26" max="26" width="11.5" bestFit="1" customWidth="1"/>
    <col min="27" max="27" width="20.375" bestFit="1" customWidth="1"/>
    <col min="28" max="28" width="9.125" bestFit="1" customWidth="1"/>
    <col min="29" max="29" width="10.375" bestFit="1" customWidth="1"/>
    <col min="30" max="30" width="13" bestFit="1" customWidth="1"/>
    <col min="31" max="31" width="5.875" bestFit="1" customWidth="1"/>
  </cols>
  <sheetData>
    <row r="1" spans="1:31" s="13" customFormat="1" ht="15.75" customHeight="1" x14ac:dyDescent="0.25">
      <c r="A1" s="14" t="s">
        <v>76</v>
      </c>
      <c r="B1" s="10" t="s">
        <v>0</v>
      </c>
      <c r="C1" s="10" t="s">
        <v>1</v>
      </c>
      <c r="D1" s="10" t="s">
        <v>2</v>
      </c>
      <c r="E1" s="11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2" t="s">
        <v>16</v>
      </c>
      <c r="S1" s="12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</row>
    <row r="2" spans="1:31" x14ac:dyDescent="0.25">
      <c r="A2" s="15">
        <v>45741</v>
      </c>
      <c r="B2" s="1" t="s">
        <v>30</v>
      </c>
      <c r="C2" s="1" t="s">
        <v>31</v>
      </c>
      <c r="D2" s="1" t="s">
        <v>32</v>
      </c>
      <c r="E2" s="6">
        <v>37.659999999999997</v>
      </c>
      <c r="F2" s="2">
        <v>45658</v>
      </c>
      <c r="G2" s="2">
        <v>46022</v>
      </c>
      <c r="H2" s="1">
        <v>3.23</v>
      </c>
      <c r="I2" s="1" t="s">
        <v>33</v>
      </c>
      <c r="J2" s="1" t="s">
        <v>52</v>
      </c>
      <c r="K2" s="1" t="s">
        <v>35</v>
      </c>
      <c r="L2" s="1">
        <v>684.81</v>
      </c>
      <c r="M2" s="1" t="s">
        <v>36</v>
      </c>
      <c r="N2" s="1" t="s">
        <v>37</v>
      </c>
      <c r="O2" s="1" t="s">
        <v>38</v>
      </c>
      <c r="P2" s="1" t="s">
        <v>53</v>
      </c>
      <c r="Q2" s="1" t="s">
        <v>40</v>
      </c>
      <c r="R2" s="8" t="s">
        <v>54</v>
      </c>
      <c r="S2" s="8" t="s">
        <v>55</v>
      </c>
      <c r="T2" s="1" t="s">
        <v>54</v>
      </c>
      <c r="U2" s="1" t="s">
        <v>41</v>
      </c>
      <c r="V2" s="1" t="s">
        <v>41</v>
      </c>
      <c r="W2" s="1" t="s">
        <v>56</v>
      </c>
      <c r="X2" s="1" t="s">
        <v>57</v>
      </c>
      <c r="Y2" s="1" t="s">
        <v>58</v>
      </c>
      <c r="Z2" s="1" t="s">
        <v>47</v>
      </c>
      <c r="AA2" s="1" t="s">
        <v>48</v>
      </c>
      <c r="AB2" s="1">
        <v>684.81</v>
      </c>
      <c r="AC2" s="1" t="s">
        <v>73</v>
      </c>
      <c r="AD2" s="2">
        <v>45722</v>
      </c>
      <c r="AE2" s="1" t="s">
        <v>60</v>
      </c>
    </row>
    <row r="3" spans="1:31" x14ac:dyDescent="0.25">
      <c r="A3" s="15">
        <v>45772</v>
      </c>
      <c r="B3" s="1" t="s">
        <v>30</v>
      </c>
      <c r="C3" s="1" t="s">
        <v>31</v>
      </c>
      <c r="D3" s="1" t="s">
        <v>32</v>
      </c>
      <c r="E3" s="6">
        <v>37.659999999999997</v>
      </c>
      <c r="F3" s="2">
        <v>45658</v>
      </c>
      <c r="G3" s="2">
        <v>46022</v>
      </c>
      <c r="H3" s="1">
        <v>4.2699999999999996</v>
      </c>
      <c r="I3" s="1" t="s">
        <v>33</v>
      </c>
      <c r="J3" s="1" t="s">
        <v>52</v>
      </c>
      <c r="K3" s="1" t="s">
        <v>35</v>
      </c>
      <c r="L3" s="1">
        <v>684.81</v>
      </c>
      <c r="M3" s="1" t="s">
        <v>36</v>
      </c>
      <c r="N3" s="1" t="s">
        <v>37</v>
      </c>
      <c r="O3" s="1" t="s">
        <v>38</v>
      </c>
      <c r="P3" s="1" t="s">
        <v>53</v>
      </c>
      <c r="Q3" s="1" t="s">
        <v>40</v>
      </c>
      <c r="R3" s="8" t="s">
        <v>54</v>
      </c>
      <c r="S3" s="8" t="s">
        <v>55</v>
      </c>
      <c r="T3" s="1" t="s">
        <v>54</v>
      </c>
      <c r="U3" s="1" t="s">
        <v>41</v>
      </c>
      <c r="V3" s="1" t="s">
        <v>41</v>
      </c>
      <c r="W3" s="1" t="s">
        <v>56</v>
      </c>
      <c r="X3" s="1" t="s">
        <v>57</v>
      </c>
      <c r="Y3" s="1" t="s">
        <v>58</v>
      </c>
      <c r="Z3" s="1" t="s">
        <v>47</v>
      </c>
      <c r="AA3" s="1" t="s">
        <v>48</v>
      </c>
      <c r="AB3" s="1">
        <v>684.81</v>
      </c>
      <c r="AC3" s="1" t="s">
        <v>59</v>
      </c>
      <c r="AD3" s="2">
        <v>45754</v>
      </c>
      <c r="AE3" s="1" t="s">
        <v>60</v>
      </c>
    </row>
    <row r="4" spans="1:31" x14ac:dyDescent="0.25">
      <c r="A4" s="15">
        <v>45802</v>
      </c>
      <c r="B4" s="1" t="s">
        <v>30</v>
      </c>
      <c r="C4" s="1" t="s">
        <v>31</v>
      </c>
      <c r="D4" s="1" t="s">
        <v>32</v>
      </c>
      <c r="E4" s="6">
        <v>37.659999999999997</v>
      </c>
      <c r="F4" s="2">
        <v>45658</v>
      </c>
      <c r="G4" s="2">
        <v>46022</v>
      </c>
      <c r="H4" s="1">
        <v>5.27</v>
      </c>
      <c r="I4" s="1" t="s">
        <v>33</v>
      </c>
      <c r="J4" s="1" t="s">
        <v>52</v>
      </c>
      <c r="K4" s="1" t="s">
        <v>35</v>
      </c>
      <c r="L4" s="1">
        <v>684.81</v>
      </c>
      <c r="M4" s="1" t="s">
        <v>36</v>
      </c>
      <c r="N4" s="1" t="s">
        <v>37</v>
      </c>
      <c r="O4" s="1" t="s">
        <v>38</v>
      </c>
      <c r="P4" s="1" t="s">
        <v>53</v>
      </c>
      <c r="Q4" s="1" t="s">
        <v>40</v>
      </c>
      <c r="R4" s="8" t="s">
        <v>54</v>
      </c>
      <c r="S4" s="8" t="s">
        <v>55</v>
      </c>
      <c r="T4" s="1" t="s">
        <v>54</v>
      </c>
      <c r="U4" s="1" t="s">
        <v>41</v>
      </c>
      <c r="V4" s="1" t="s">
        <v>41</v>
      </c>
      <c r="W4" s="1" t="s">
        <v>56</v>
      </c>
      <c r="X4" s="1" t="s">
        <v>57</v>
      </c>
      <c r="Y4" s="1" t="s">
        <v>58</v>
      </c>
      <c r="Z4" s="1" t="s">
        <v>47</v>
      </c>
      <c r="AA4" s="1" t="s">
        <v>48</v>
      </c>
      <c r="AB4" s="1">
        <v>684.81</v>
      </c>
      <c r="AC4" s="1" t="s">
        <v>69</v>
      </c>
      <c r="AD4" s="2">
        <v>45797</v>
      </c>
      <c r="AE4" s="1" t="s">
        <v>60</v>
      </c>
    </row>
    <row r="5" spans="1:31" x14ac:dyDescent="0.25">
      <c r="A5" s="15">
        <v>45833</v>
      </c>
      <c r="B5" s="1" t="s">
        <v>30</v>
      </c>
      <c r="C5" s="1" t="s">
        <v>31</v>
      </c>
      <c r="D5" s="1" t="s">
        <v>32</v>
      </c>
      <c r="E5" s="6">
        <v>37.659999999999997</v>
      </c>
      <c r="F5" s="2">
        <v>45658</v>
      </c>
      <c r="G5" s="2">
        <v>46022</v>
      </c>
      <c r="H5" s="1">
        <v>6.3</v>
      </c>
      <c r="I5" s="1" t="s">
        <v>33</v>
      </c>
      <c r="J5" s="1" t="s">
        <v>52</v>
      </c>
      <c r="K5" s="1" t="s">
        <v>35</v>
      </c>
      <c r="L5" s="1">
        <v>684.81</v>
      </c>
      <c r="M5" s="1" t="s">
        <v>36</v>
      </c>
      <c r="N5" s="1" t="s">
        <v>37</v>
      </c>
      <c r="O5" s="1" t="s">
        <v>38</v>
      </c>
      <c r="P5" s="1" t="s">
        <v>53</v>
      </c>
      <c r="Q5" s="1" t="s">
        <v>40</v>
      </c>
      <c r="R5" s="8" t="s">
        <v>54</v>
      </c>
      <c r="S5" s="8" t="s">
        <v>55</v>
      </c>
      <c r="T5" s="1" t="s">
        <v>54</v>
      </c>
      <c r="U5" s="1" t="s">
        <v>41</v>
      </c>
      <c r="V5" s="1" t="s">
        <v>41</v>
      </c>
      <c r="W5" s="1" t="s">
        <v>56</v>
      </c>
      <c r="X5" s="1" t="s">
        <v>57</v>
      </c>
      <c r="Y5" s="1" t="s">
        <v>58</v>
      </c>
      <c r="Z5" s="1" t="s">
        <v>47</v>
      </c>
      <c r="AA5" s="1" t="s">
        <v>48</v>
      </c>
      <c r="AB5" s="1">
        <v>684.81</v>
      </c>
      <c r="AC5" s="1" t="s">
        <v>70</v>
      </c>
      <c r="AD5" s="2">
        <v>45824</v>
      </c>
      <c r="AE5" s="1" t="s">
        <v>60</v>
      </c>
    </row>
    <row r="6" spans="1:31" x14ac:dyDescent="0.25">
      <c r="A6" s="15">
        <v>45741</v>
      </c>
      <c r="B6" s="1" t="s">
        <v>30</v>
      </c>
      <c r="C6" s="1" t="s">
        <v>31</v>
      </c>
      <c r="D6" s="1" t="s">
        <v>32</v>
      </c>
      <c r="E6" s="6">
        <v>46.53</v>
      </c>
      <c r="F6" s="2">
        <v>45658</v>
      </c>
      <c r="G6" s="2">
        <v>46022</v>
      </c>
      <c r="H6" s="1">
        <v>2.93</v>
      </c>
      <c r="I6" s="1" t="s">
        <v>33</v>
      </c>
      <c r="J6" s="1" t="s">
        <v>34</v>
      </c>
      <c r="K6" s="1" t="s">
        <v>35</v>
      </c>
      <c r="L6" s="1">
        <v>845.94</v>
      </c>
      <c r="M6" s="1" t="s">
        <v>36</v>
      </c>
      <c r="N6" s="1" t="s">
        <v>37</v>
      </c>
      <c r="O6" s="1" t="s">
        <v>38</v>
      </c>
      <c r="P6" s="1" t="s">
        <v>61</v>
      </c>
      <c r="Q6" s="1" t="s">
        <v>62</v>
      </c>
      <c r="R6" s="8" t="s">
        <v>63</v>
      </c>
      <c r="S6" s="8" t="s">
        <v>64</v>
      </c>
      <c r="T6" s="1" t="s">
        <v>63</v>
      </c>
      <c r="U6" s="1" t="s">
        <v>41</v>
      </c>
      <c r="V6" s="1" t="s">
        <v>41</v>
      </c>
      <c r="W6" s="1" t="s">
        <v>65</v>
      </c>
      <c r="X6" s="1" t="s">
        <v>66</v>
      </c>
      <c r="Y6" s="1" t="s">
        <v>46</v>
      </c>
      <c r="Z6" s="1" t="s">
        <v>47</v>
      </c>
      <c r="AA6" s="1" t="s">
        <v>48</v>
      </c>
      <c r="AB6" s="1">
        <v>845.94</v>
      </c>
      <c r="AC6" s="1" t="s">
        <v>67</v>
      </c>
      <c r="AD6" s="2">
        <v>45722</v>
      </c>
      <c r="AE6" s="1" t="s">
        <v>50</v>
      </c>
    </row>
    <row r="7" spans="1:31" x14ac:dyDescent="0.25">
      <c r="A7" s="15">
        <v>45772</v>
      </c>
      <c r="B7" s="1" t="s">
        <v>30</v>
      </c>
      <c r="C7" s="1" t="s">
        <v>31</v>
      </c>
      <c r="D7" s="1" t="s">
        <v>32</v>
      </c>
      <c r="E7" s="6">
        <v>46.53</v>
      </c>
      <c r="F7" s="2">
        <v>45658</v>
      </c>
      <c r="G7" s="2">
        <v>46022</v>
      </c>
      <c r="H7" s="1">
        <v>3.97</v>
      </c>
      <c r="I7" s="1" t="s">
        <v>33</v>
      </c>
      <c r="J7" s="1" t="s">
        <v>34</v>
      </c>
      <c r="K7" s="1" t="s">
        <v>35</v>
      </c>
      <c r="L7" s="1">
        <v>845.94</v>
      </c>
      <c r="M7" s="1" t="s">
        <v>36</v>
      </c>
      <c r="N7" s="1" t="s">
        <v>37</v>
      </c>
      <c r="O7" s="1" t="s">
        <v>38</v>
      </c>
      <c r="P7" s="1" t="s">
        <v>61</v>
      </c>
      <c r="Q7" s="1" t="s">
        <v>62</v>
      </c>
      <c r="R7" s="8" t="s">
        <v>63</v>
      </c>
      <c r="S7" s="8" t="s">
        <v>64</v>
      </c>
      <c r="T7" s="1" t="s">
        <v>63</v>
      </c>
      <c r="U7" s="1" t="s">
        <v>41</v>
      </c>
      <c r="V7" s="1" t="s">
        <v>41</v>
      </c>
      <c r="W7" s="1" t="s">
        <v>65</v>
      </c>
      <c r="X7" s="1" t="s">
        <v>66</v>
      </c>
      <c r="Y7" s="1" t="s">
        <v>46</v>
      </c>
      <c r="Z7" s="1" t="s">
        <v>47</v>
      </c>
      <c r="AA7" s="1" t="s">
        <v>48</v>
      </c>
      <c r="AB7" s="1">
        <v>845.94</v>
      </c>
      <c r="AC7" s="1" t="s">
        <v>75</v>
      </c>
      <c r="AD7" s="2">
        <v>45754</v>
      </c>
      <c r="AE7" s="1" t="s">
        <v>50</v>
      </c>
    </row>
    <row r="8" spans="1:31" x14ac:dyDescent="0.25">
      <c r="A8" s="15">
        <v>45802</v>
      </c>
      <c r="B8" s="1" t="s">
        <v>30</v>
      </c>
      <c r="C8" s="1" t="s">
        <v>31</v>
      </c>
      <c r="D8" s="1" t="s">
        <v>32</v>
      </c>
      <c r="E8" s="6">
        <v>46.53</v>
      </c>
      <c r="F8" s="2">
        <v>45658</v>
      </c>
      <c r="G8" s="2">
        <v>46022</v>
      </c>
      <c r="H8" s="1">
        <v>4.97</v>
      </c>
      <c r="I8" s="1" t="s">
        <v>33</v>
      </c>
      <c r="J8" s="1" t="s">
        <v>34</v>
      </c>
      <c r="K8" s="1" t="s">
        <v>35</v>
      </c>
      <c r="L8" s="1">
        <v>845.94</v>
      </c>
      <c r="M8" s="1" t="s">
        <v>36</v>
      </c>
      <c r="N8" s="1" t="s">
        <v>37</v>
      </c>
      <c r="O8" s="1" t="s">
        <v>38</v>
      </c>
      <c r="P8" s="1" t="s">
        <v>61</v>
      </c>
      <c r="Q8" s="1" t="s">
        <v>62</v>
      </c>
      <c r="R8" s="8" t="s">
        <v>63</v>
      </c>
      <c r="S8" s="8" t="s">
        <v>64</v>
      </c>
      <c r="T8" s="1" t="s">
        <v>63</v>
      </c>
      <c r="U8" s="1" t="s">
        <v>41</v>
      </c>
      <c r="V8" s="1" t="s">
        <v>41</v>
      </c>
      <c r="W8" s="1" t="s">
        <v>65</v>
      </c>
      <c r="X8" s="1" t="s">
        <v>66</v>
      </c>
      <c r="Y8" s="1" t="s">
        <v>46</v>
      </c>
      <c r="Z8" s="1" t="s">
        <v>47</v>
      </c>
      <c r="AA8" s="1" t="s">
        <v>48</v>
      </c>
      <c r="AB8" s="1">
        <v>845.94</v>
      </c>
      <c r="AC8" s="1" t="s">
        <v>74</v>
      </c>
      <c r="AD8" s="2">
        <v>45797</v>
      </c>
      <c r="AE8" s="1" t="s">
        <v>50</v>
      </c>
    </row>
    <row r="9" spans="1:31" x14ac:dyDescent="0.25">
      <c r="A9" s="15">
        <v>45833</v>
      </c>
      <c r="B9" s="1" t="s">
        <v>30</v>
      </c>
      <c r="C9" s="1" t="s">
        <v>31</v>
      </c>
      <c r="D9" s="1" t="s">
        <v>32</v>
      </c>
      <c r="E9" s="6">
        <v>46.53</v>
      </c>
      <c r="F9" s="2">
        <v>45658</v>
      </c>
      <c r="G9" s="2">
        <v>46022</v>
      </c>
      <c r="H9" s="1">
        <v>6</v>
      </c>
      <c r="I9" s="1" t="s">
        <v>33</v>
      </c>
      <c r="J9" s="1" t="s">
        <v>34</v>
      </c>
      <c r="K9" s="1" t="s">
        <v>35</v>
      </c>
      <c r="L9" s="1">
        <v>845.94</v>
      </c>
      <c r="M9" s="1" t="s">
        <v>36</v>
      </c>
      <c r="N9" s="1" t="s">
        <v>37</v>
      </c>
      <c r="O9" s="1" t="s">
        <v>38</v>
      </c>
      <c r="P9" s="1" t="s">
        <v>61</v>
      </c>
      <c r="Q9" s="1" t="s">
        <v>62</v>
      </c>
      <c r="R9" s="8" t="s">
        <v>63</v>
      </c>
      <c r="S9" s="8" t="s">
        <v>64</v>
      </c>
      <c r="T9" s="1" t="s">
        <v>63</v>
      </c>
      <c r="U9" s="1" t="s">
        <v>41</v>
      </c>
      <c r="V9" s="1" t="s">
        <v>41</v>
      </c>
      <c r="W9" s="1" t="s">
        <v>65</v>
      </c>
      <c r="X9" s="1" t="s">
        <v>66</v>
      </c>
      <c r="Y9" s="1" t="s">
        <v>46</v>
      </c>
      <c r="Z9" s="1" t="s">
        <v>47</v>
      </c>
      <c r="AA9" s="1" t="s">
        <v>48</v>
      </c>
      <c r="AB9" s="1">
        <v>845.94</v>
      </c>
      <c r="AC9" s="1" t="s">
        <v>68</v>
      </c>
      <c r="AD9" s="2">
        <v>45824</v>
      </c>
      <c r="AE9" s="1" t="s">
        <v>50</v>
      </c>
    </row>
    <row r="10" spans="1:31" x14ac:dyDescent="0.25">
      <c r="A10" s="15">
        <v>45741</v>
      </c>
      <c r="B10" s="1" t="s">
        <v>30</v>
      </c>
      <c r="C10" s="1" t="s">
        <v>31</v>
      </c>
      <c r="D10" s="1" t="s">
        <v>32</v>
      </c>
      <c r="E10" s="6">
        <v>24.55</v>
      </c>
      <c r="F10" s="2">
        <v>45689</v>
      </c>
      <c r="G10" s="2">
        <v>46022</v>
      </c>
      <c r="H10" s="1">
        <v>2.33</v>
      </c>
      <c r="I10" s="1" t="s">
        <v>33</v>
      </c>
      <c r="J10" s="1" t="s">
        <v>34</v>
      </c>
      <c r="K10" s="1" t="s">
        <v>35</v>
      </c>
      <c r="L10" s="1">
        <v>446.37</v>
      </c>
      <c r="M10" s="1" t="s">
        <v>36</v>
      </c>
      <c r="N10" s="1" t="s">
        <v>37</v>
      </c>
      <c r="O10" s="1" t="s">
        <v>38</v>
      </c>
      <c r="P10" s="1" t="s">
        <v>39</v>
      </c>
      <c r="Q10" s="1" t="s">
        <v>40</v>
      </c>
      <c r="R10" s="8" t="s">
        <v>41</v>
      </c>
      <c r="S10" s="8" t="s">
        <v>42</v>
      </c>
      <c r="T10" s="1" t="s">
        <v>43</v>
      </c>
      <c r="U10" s="1" t="s">
        <v>41</v>
      </c>
      <c r="V10" s="1" t="s">
        <v>41</v>
      </c>
      <c r="W10" s="1" t="s">
        <v>44</v>
      </c>
      <c r="X10" s="1" t="s">
        <v>45</v>
      </c>
      <c r="Y10" s="1" t="s">
        <v>46</v>
      </c>
      <c r="Z10" s="1" t="s">
        <v>47</v>
      </c>
      <c r="AA10" s="1" t="s">
        <v>48</v>
      </c>
      <c r="AB10" s="1">
        <v>446.37</v>
      </c>
      <c r="AC10" s="1" t="s">
        <v>72</v>
      </c>
      <c r="AD10" s="2">
        <v>45722</v>
      </c>
      <c r="AE10" s="1" t="s">
        <v>50</v>
      </c>
    </row>
    <row r="11" spans="1:31" x14ac:dyDescent="0.25">
      <c r="A11" s="15">
        <v>45772</v>
      </c>
      <c r="B11" s="1" t="s">
        <v>30</v>
      </c>
      <c r="C11" s="1" t="s">
        <v>31</v>
      </c>
      <c r="D11" s="1" t="s">
        <v>32</v>
      </c>
      <c r="E11" s="6">
        <v>24.55</v>
      </c>
      <c r="F11" s="2">
        <v>45689</v>
      </c>
      <c r="G11" s="2">
        <v>46022</v>
      </c>
      <c r="H11" s="1">
        <v>3.37</v>
      </c>
      <c r="I11" s="1" t="s">
        <v>33</v>
      </c>
      <c r="J11" s="1" t="s">
        <v>34</v>
      </c>
      <c r="K11" s="1" t="s">
        <v>35</v>
      </c>
      <c r="L11" s="1">
        <v>446.37</v>
      </c>
      <c r="M11" s="1" t="s">
        <v>36</v>
      </c>
      <c r="N11" s="1" t="s">
        <v>37</v>
      </c>
      <c r="O11" s="1" t="s">
        <v>38</v>
      </c>
      <c r="P11" s="1" t="s">
        <v>39</v>
      </c>
      <c r="Q11" s="1" t="s">
        <v>40</v>
      </c>
      <c r="R11" s="8" t="s">
        <v>41</v>
      </c>
      <c r="S11" s="8" t="s">
        <v>42</v>
      </c>
      <c r="T11" s="1" t="s">
        <v>43</v>
      </c>
      <c r="U11" s="1" t="s">
        <v>41</v>
      </c>
      <c r="V11" s="1" t="s">
        <v>41</v>
      </c>
      <c r="W11" s="1" t="s">
        <v>44</v>
      </c>
      <c r="X11" s="1" t="s">
        <v>45</v>
      </c>
      <c r="Y11" s="1" t="s">
        <v>46</v>
      </c>
      <c r="Z11" s="1" t="s">
        <v>47</v>
      </c>
      <c r="AA11" s="1" t="s">
        <v>48</v>
      </c>
      <c r="AB11" s="1">
        <v>446.37</v>
      </c>
      <c r="AC11" s="1" t="s">
        <v>71</v>
      </c>
      <c r="AD11" s="2">
        <v>45754</v>
      </c>
      <c r="AE11" s="1" t="s">
        <v>50</v>
      </c>
    </row>
    <row r="12" spans="1:31" x14ac:dyDescent="0.25">
      <c r="A12" s="15">
        <v>45802</v>
      </c>
      <c r="B12" s="1" t="s">
        <v>30</v>
      </c>
      <c r="C12" s="1" t="s">
        <v>31</v>
      </c>
      <c r="D12" s="1" t="s">
        <v>32</v>
      </c>
      <c r="E12" s="6">
        <v>24.55</v>
      </c>
      <c r="F12" s="2">
        <v>45689</v>
      </c>
      <c r="G12" s="2">
        <v>46022</v>
      </c>
      <c r="H12" s="1">
        <v>4.37</v>
      </c>
      <c r="I12" s="1" t="s">
        <v>33</v>
      </c>
      <c r="J12" s="1" t="s">
        <v>34</v>
      </c>
      <c r="K12" s="1" t="s">
        <v>35</v>
      </c>
      <c r="L12" s="1">
        <v>446.37</v>
      </c>
      <c r="M12" s="1" t="s">
        <v>36</v>
      </c>
      <c r="N12" s="1" t="s">
        <v>37</v>
      </c>
      <c r="O12" s="1" t="s">
        <v>38</v>
      </c>
      <c r="P12" s="1" t="s">
        <v>39</v>
      </c>
      <c r="Q12" s="1" t="s">
        <v>40</v>
      </c>
      <c r="R12" s="8" t="s">
        <v>41</v>
      </c>
      <c r="S12" s="8" t="s">
        <v>42</v>
      </c>
      <c r="T12" s="1" t="s">
        <v>43</v>
      </c>
      <c r="U12" s="1" t="s">
        <v>41</v>
      </c>
      <c r="V12" s="1" t="s">
        <v>41</v>
      </c>
      <c r="W12" s="1" t="s">
        <v>44</v>
      </c>
      <c r="X12" s="1" t="s">
        <v>45</v>
      </c>
      <c r="Y12" s="1" t="s">
        <v>46</v>
      </c>
      <c r="Z12" s="1" t="s">
        <v>47</v>
      </c>
      <c r="AA12" s="1" t="s">
        <v>48</v>
      </c>
      <c r="AB12" s="1">
        <v>446.37</v>
      </c>
      <c r="AC12" s="1" t="s">
        <v>49</v>
      </c>
      <c r="AD12" s="2">
        <v>45797</v>
      </c>
      <c r="AE12" s="1" t="s">
        <v>50</v>
      </c>
    </row>
    <row r="13" spans="1:31" x14ac:dyDescent="0.25">
      <c r="A13" s="15">
        <v>45833</v>
      </c>
      <c r="B13" s="1" t="s">
        <v>30</v>
      </c>
      <c r="C13" s="1" t="s">
        <v>31</v>
      </c>
      <c r="D13" s="1" t="s">
        <v>32</v>
      </c>
      <c r="E13" s="6">
        <v>24.55</v>
      </c>
      <c r="F13" s="2">
        <v>45689</v>
      </c>
      <c r="G13" s="2">
        <v>46022</v>
      </c>
      <c r="H13" s="1">
        <v>5.4</v>
      </c>
      <c r="I13" s="1" t="s">
        <v>33</v>
      </c>
      <c r="J13" s="1" t="s">
        <v>34</v>
      </c>
      <c r="K13" s="1" t="s">
        <v>35</v>
      </c>
      <c r="L13" s="1">
        <v>446.37</v>
      </c>
      <c r="M13" s="1" t="s">
        <v>36</v>
      </c>
      <c r="N13" s="1" t="s">
        <v>37</v>
      </c>
      <c r="O13" s="1" t="s">
        <v>38</v>
      </c>
      <c r="P13" s="1" t="s">
        <v>39</v>
      </c>
      <c r="Q13" s="1" t="s">
        <v>40</v>
      </c>
      <c r="R13" s="8" t="s">
        <v>41</v>
      </c>
      <c r="S13" s="8" t="s">
        <v>42</v>
      </c>
      <c r="T13" s="1" t="s">
        <v>43</v>
      </c>
      <c r="U13" s="1" t="s">
        <v>41</v>
      </c>
      <c r="V13" s="1" t="s">
        <v>41</v>
      </c>
      <c r="W13" s="1" t="s">
        <v>44</v>
      </c>
      <c r="X13" s="1" t="s">
        <v>45</v>
      </c>
      <c r="Y13" s="1" t="s">
        <v>46</v>
      </c>
      <c r="Z13" s="1" t="s">
        <v>47</v>
      </c>
      <c r="AA13" s="1" t="s">
        <v>48</v>
      </c>
      <c r="AB13" s="1">
        <v>446.37</v>
      </c>
      <c r="AC13" s="1" t="s">
        <v>51</v>
      </c>
      <c r="AD13" s="2">
        <v>45824</v>
      </c>
      <c r="AE13" s="1" t="s">
        <v>50</v>
      </c>
    </row>
    <row r="14" spans="1:31" x14ac:dyDescent="0.25">
      <c r="A14" s="17" t="s">
        <v>80</v>
      </c>
      <c r="B14" s="17" t="s">
        <v>26</v>
      </c>
      <c r="C14" s="17" t="s">
        <v>81</v>
      </c>
      <c r="D14" s="17" t="s">
        <v>82</v>
      </c>
      <c r="E14" s="17" t="s">
        <v>83</v>
      </c>
      <c r="F14" s="17" t="s">
        <v>84</v>
      </c>
      <c r="G14" s="17" t="s">
        <v>85</v>
      </c>
      <c r="H14" s="17" t="s">
        <v>86</v>
      </c>
      <c r="I14" s="17" t="s">
        <v>8</v>
      </c>
      <c r="J14" s="17" t="s">
        <v>87</v>
      </c>
      <c r="K14" s="17" t="s">
        <v>88</v>
      </c>
      <c r="L14" s="17" t="s">
        <v>89</v>
      </c>
      <c r="M14" s="17" t="s">
        <v>90</v>
      </c>
      <c r="N14" s="17" t="s">
        <v>91</v>
      </c>
      <c r="O14" s="17" t="s">
        <v>18</v>
      </c>
      <c r="P14" s="17" t="s">
        <v>16</v>
      </c>
      <c r="Q14" s="17" t="s">
        <v>17</v>
      </c>
      <c r="R14"/>
      <c r="S14"/>
    </row>
    <row r="15" spans="1:31" x14ac:dyDescent="0.25">
      <c r="A15" s="18" t="s">
        <v>92</v>
      </c>
      <c r="B15" s="18">
        <v>753</v>
      </c>
      <c r="C15" s="19">
        <v>46023</v>
      </c>
      <c r="D15" s="18" t="s">
        <v>36</v>
      </c>
      <c r="E15" s="18" t="s">
        <v>93</v>
      </c>
      <c r="F15" s="19">
        <v>46016</v>
      </c>
      <c r="G15" s="18" t="s">
        <v>94</v>
      </c>
      <c r="H15" s="18" t="s">
        <v>95</v>
      </c>
      <c r="I15" s="18" t="s">
        <v>96</v>
      </c>
      <c r="J15" s="18" t="s">
        <v>30</v>
      </c>
      <c r="K15" s="18">
        <v>2401</v>
      </c>
      <c r="L15" s="18" t="s">
        <v>40</v>
      </c>
      <c r="M15" s="18">
        <v>30</v>
      </c>
      <c r="N15" s="18" t="s">
        <v>97</v>
      </c>
      <c r="O15" s="18" t="s">
        <v>98</v>
      </c>
      <c r="P15" s="18" t="s">
        <v>98</v>
      </c>
      <c r="Q15" s="18" t="s">
        <v>99</v>
      </c>
      <c r="R15"/>
      <c r="S15"/>
    </row>
  </sheetData>
  <sortState xmlns:xlrd2="http://schemas.microsoft.com/office/spreadsheetml/2017/richdata2" ref="A2:AE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Commission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Yessenia Rodriguez</dc:creator>
  <cp:lastModifiedBy>Janki Patel</cp:lastModifiedBy>
  <dcterms:created xsi:type="dcterms:W3CDTF">2025-07-18T17:42:48Z</dcterms:created>
  <dcterms:modified xsi:type="dcterms:W3CDTF">2026-03-04T13:26:49Z</dcterms:modified>
</cp:coreProperties>
</file>