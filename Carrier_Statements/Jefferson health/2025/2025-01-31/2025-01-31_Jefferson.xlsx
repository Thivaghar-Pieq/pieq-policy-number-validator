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Jefferson health\2025\1-31-25\"/>
    </mc:Choice>
  </mc:AlternateContent>
  <xr:revisionPtr revIDLastSave="0" documentId="13_ncr:1_{20C6E104-1DC1-40EC-9CF1-C411718CE7E9}" xr6:coauthVersionLast="47" xr6:coauthVersionMax="47" xr10:uidLastSave="{00000000-0000-0000-0000-000000000000}"/>
  <bookViews>
    <workbookView xWindow="-28920" yWindow="1800" windowWidth="29040" windowHeight="15720" xr2:uid="{55A861B5-C1A5-6D46-ADBB-01FF558347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6" i="1"/>
  <c r="F5" i="1"/>
  <c r="F8" i="1"/>
  <c r="F7" i="1"/>
  <c r="F4" i="1"/>
  <c r="F2" i="1"/>
</calcChain>
</file>

<file path=xl/sharedStrings.xml><?xml version="1.0" encoding="utf-8"?>
<sst xmlns="http://schemas.openxmlformats.org/spreadsheetml/2006/main" count="53" uniqueCount="39">
  <si>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</si>
  <si>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</si>
  <si>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</si>
  <si>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</si>
  <si>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</si>
  <si>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</si>
  <si>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</si>
  <si>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</si>
  <si>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</si>
  <si>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</si>
  <si>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</si>
  <si>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Chad Bender</t>
  </si>
  <si>
    <t>Elizabeth</t>
  </si>
  <si>
    <t>Donovan</t>
  </si>
  <si>
    <t>Jefferson Health 2025 Replacement PA</t>
  </si>
  <si>
    <t>Helen</t>
  </si>
  <si>
    <t>Mitchell</t>
  </si>
  <si>
    <t>Roger</t>
  </si>
  <si>
    <t>Jebara Sr</t>
  </si>
  <si>
    <t>Richard</t>
  </si>
  <si>
    <t>Carol Foley</t>
  </si>
  <si>
    <t>Robert</t>
  </si>
  <si>
    <t>Papile</t>
  </si>
  <si>
    <t>J000004844</t>
  </si>
  <si>
    <t>Jefferson Health Plans U65</t>
  </si>
  <si>
    <t>Jefferson Health U65 2024 - 2025 Full (ProRata: 1) Premium Period: 1/1/2025</t>
  </si>
  <si>
    <t>Marybeth</t>
  </si>
  <si>
    <t>Hucker</t>
  </si>
  <si>
    <t>J000008552</t>
  </si>
  <si>
    <t>Jason Hoffmann</t>
  </si>
  <si>
    <t>Michael</t>
  </si>
  <si>
    <t>Fabiano</t>
  </si>
  <si>
    <t>J000015139</t>
  </si>
  <si>
    <t>Jefferson Health U65 2024 - 2025 Full (ProRata: 5) Premium Period: 1/1/2025</t>
  </si>
  <si>
    <t>JH MAPD OVR</t>
  </si>
  <si>
    <t>5726726O</t>
  </si>
  <si>
    <t>5360579O</t>
  </si>
  <si>
    <t>5323629O</t>
  </si>
  <si>
    <t>5588846O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</si>
</sst>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D07B-C50E-EB4D-B781-BE85C8613DF5}">
  <dimension ref="A1:L8"/>
  <sheetViews>
    <sheetView tabSelected="1" workbookViewId="0">
      <selection activeCell="G2" sqref="G2:G6"/>
    </sheetView>
  </sheetViews>
  <sheetFormatPr defaultColWidth="11" defaultRowHeight="15.75" x14ac:dyDescent="0.25"/>
  <cols>
    <col min="1" max="1" width="13.75" bestFit="1" customWidth="1"/>
    <col min="2" max="2" width="13.625" bestFit="1" customWidth="1"/>
    <col min="3" max="3" width="9.375" bestFit="1" customWidth="1"/>
    <col min="4" max="4" width="9.75" bestFit="1" customWidth="1"/>
    <col min="5" max="5" width="9.5" bestFit="1" customWidth="1"/>
    <col min="6" max="6" width="15.875" bestFit="1" customWidth="1"/>
    <col min="7" max="7" width="10.5" bestFit="1" customWidth="1"/>
    <col min="8" max="8" width="10.875" bestFit="1" customWidth="1"/>
    <col min="9" max="9" width="13.625" bestFit="1" customWidth="1"/>
    <col min="10" max="10" width="22.5" bestFit="1" customWidth="1"/>
    <col min="11" max="11" width="63.375" bestFit="1" customWidth="1"/>
    <col min="12" max="12" width="14.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</v>
      </c>
      <c r="C2">
        <v>18598357</v>
      </c>
      <c r="D2" t="s">
        <v>12</v>
      </c>
      <c r="E2" t="s">
        <v>13</v>
      </c>
      <c r="F2" t="str">
        <f>CONCATENATE(D2, " ",E2)</f>
        <v>Elizabeth Donovan</v>
      </c>
      <c r="G2" t="s">
        <v>35</v>
      </c>
      <c r="H2" s="1">
        <v>45658</v>
      </c>
      <c r="I2" s="1">
        <v>45688</v>
      </c>
      <c r="J2" t="s">
        <v>34</v>
      </c>
      <c r="K2" t="s">
        <v>14</v>
      </c>
      <c r="L2">
        <v>140</v>
      </c>
    </row>
    <row r="3" spans="1:12" x14ac:dyDescent="0.25">
      <c r="A3" t="s">
        <v>11</v>
      </c>
      <c r="C3">
        <v>18598357</v>
      </c>
      <c r="D3" t="s">
        <v>15</v>
      </c>
      <c r="E3" t="s">
        <v>16</v>
      </c>
      <c r="F3" t="str">
        <f>CONCATENATE(D3, " ",E3)</f>
        <v>Helen Mitchell</v>
      </c>
      <c r="G3" t="s">
        <v>36</v>
      </c>
      <c r="H3" s="1">
        <v>45658</v>
      </c>
      <c r="I3" s="1">
        <v>45688</v>
      </c>
      <c r="J3" t="s">
        <v>34</v>
      </c>
      <c r="K3" t="s">
        <v>14</v>
      </c>
      <c r="L3">
        <v>140</v>
      </c>
    </row>
    <row r="4" spans="1:12" x14ac:dyDescent="0.25">
      <c r="A4" t="s">
        <v>29</v>
      </c>
      <c r="C4">
        <v>15278437</v>
      </c>
      <c r="D4" t="s">
        <v>30</v>
      </c>
      <c r="E4" t="s">
        <v>31</v>
      </c>
      <c r="F4" t="str">
        <f>CONCATENATE(D4, " ",E4)</f>
        <v>Michael Fabiano</v>
      </c>
      <c r="G4" t="s">
        <v>32</v>
      </c>
      <c r="H4" s="1">
        <v>45658</v>
      </c>
      <c r="I4" s="1">
        <v>45688</v>
      </c>
      <c r="J4" t="s">
        <v>24</v>
      </c>
      <c r="K4" t="s">
        <v>33</v>
      </c>
      <c r="L4">
        <v>115</v>
      </c>
    </row>
    <row r="5" spans="1:12" x14ac:dyDescent="0.25">
      <c r="A5" t="s">
        <v>11</v>
      </c>
      <c r="C5">
        <v>18598357</v>
      </c>
      <c r="D5" t="s">
        <v>19</v>
      </c>
      <c r="E5" t="s">
        <v>13</v>
      </c>
      <c r="F5" t="str">
        <f>CONCATENATE(D5, " ",E5)</f>
        <v>Richard Donovan</v>
      </c>
      <c r="G5" t="s">
        <v>37</v>
      </c>
      <c r="H5" s="1">
        <v>45658</v>
      </c>
      <c r="I5" s="1">
        <v>45688</v>
      </c>
      <c r="J5" t="s">
        <v>34</v>
      </c>
      <c r="K5" t="s">
        <v>14</v>
      </c>
      <c r="L5">
        <v>140</v>
      </c>
    </row>
    <row r="6" spans="1:12" x14ac:dyDescent="0.25">
      <c r="A6" t="s">
        <v>11</v>
      </c>
      <c r="C6">
        <v>18598357</v>
      </c>
      <c r="D6" t="s">
        <v>17</v>
      </c>
      <c r="E6" t="s">
        <v>18</v>
      </c>
      <c r="F6" t="str">
        <f>CONCATENATE(D6, " ",E6)</f>
        <v>Roger Jebara Sr</v>
      </c>
      <c r="G6" t="s">
        <v>38</v>
      </c>
      <c r="H6" s="1">
        <v>45658</v>
      </c>
      <c r="I6" s="1">
        <v>45688</v>
      </c>
      <c r="J6" t="s">
        <v>34</v>
      </c>
      <c r="K6" t="s">
        <v>14</v>
      </c>
      <c r="L6">
        <v>140</v>
      </c>
    </row>
    <row r="7" spans="1:12" s="2" customFormat="1" x14ac:dyDescent="0.25">
      <c r="A7" s="2" t="s">
        <v>20</v>
      </c>
      <c r="C7" s="2">
        <v>17425766</v>
      </c>
      <c r="D7" s="2" t="s">
        <v>26</v>
      </c>
      <c r="E7" s="2" t="s">
        <v>27</v>
      </c>
      <c r="F7" s="2" t="str">
        <f>CONCATENATE(D7, " ",E7)</f>
        <v>Marybeth Hucker</v>
      </c>
      <c r="G7" s="2" t="s">
        <v>28</v>
      </c>
      <c r="H7" s="3">
        <v>45658</v>
      </c>
      <c r="I7" s="3">
        <v>45688</v>
      </c>
      <c r="J7" s="2" t="s">
        <v>24</v>
      </c>
      <c r="K7" s="2" t="s">
        <v>25</v>
      </c>
      <c r="L7" s="2">
        <v>23</v>
      </c>
    </row>
    <row r="8" spans="1:12" s="2" customFormat="1" x14ac:dyDescent="0.25">
      <c r="A8" s="2" t="s">
        <v>20</v>
      </c>
      <c r="C8" s="2">
        <v>17425766</v>
      </c>
      <c r="D8" s="2" t="s">
        <v>21</v>
      </c>
      <c r="E8" s="2" t="s">
        <v>22</v>
      </c>
      <c r="F8" s="2" t="str">
        <f>CONCATENATE(D8, " ",E8)</f>
        <v>Robert Papile</v>
      </c>
      <c r="G8" s="2" t="s">
        <v>23</v>
      </c>
      <c r="H8" s="3">
        <v>45658</v>
      </c>
      <c r="I8" s="3">
        <v>45688</v>
      </c>
      <c r="J8" s="2" t="s">
        <v>24</v>
      </c>
      <c r="K8" s="2" t="s">
        <v>25</v>
      </c>
      <c r="L8" s="2">
        <v>23</v>
      </c>
    </row>
  </sheetData>
  <sortState xmlns:xlrd2="http://schemas.microsoft.com/office/spreadsheetml/2017/richdata2" ref="A2:L8">
    <sortCondition ref="F2:F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2025-01-31T19:48:49Z</dcterms:created>
  <dcterms:modified xsi:type="dcterms:W3CDTF">2025-01-31T21:17:25Z</dcterms:modified>
</cp:coreProperties>
</file>