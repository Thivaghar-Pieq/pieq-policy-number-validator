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Jefferson health\2025\05-30-25\"/>
    </mc:Choice>
  </mc:AlternateContent>
  <xr:revisionPtr revIDLastSave="0" documentId="13_ncr:1_{5690B9EB-DBB8-40E9-863A-5653FC35B6F3}" xr6:coauthVersionLast="47" xr6:coauthVersionMax="47" xr10:uidLastSave="{00000000-0000-0000-0000-000000000000}"/>
  <bookViews>
    <workbookView xWindow="28680" yWindow="-120" windowWidth="29040" windowHeight="16440" activeTab="1" xr2:uid="{E776BF9B-2150-4859-AE0F-EAEA387F1F9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<sst xmlns="http://schemas.openxmlformats.org/spreadsheetml/2006/main" count="100" uniqueCount="36">
  <si>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</si>
  <si>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</si>
  <si>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</si>
  <si>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</si>
  <si>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</si>
  <si>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</si>
  <si>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</si>
  <si>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</si>
  <si>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</si>
  <si>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</si>
  <si>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</si>
  <si>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</si>
  <si>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Pamela</t>
  </si>
  <si>
    <t>Martin</t>
  </si>
  <si>
    <t>J000021448</t>
  </si>
  <si>
    <t>Jefferson Health Plans U65</t>
  </si>
  <si>
    <t>Jefferson Health U65 2024 - 2025 Full (ProRata: 1) Premium Period: 5/1/2025</t>
  </si>
  <si>
    <t>Jason Hoffmann</t>
  </si>
  <si>
    <t>Michael</t>
  </si>
  <si>
    <t>Fabiano</t>
  </si>
  <si>
    <t>J000015139</t>
  </si>
  <si>
    <t>Jefferson Health U65 2024 - 2025 Full (ProRata: 5) Premium Period: 5/1/2025</t>
  </si>
  <si>
    <t>Diane</t>
  </si>
  <si>
    <t>Didonato</t>
  </si>
  <si>
    <t>J000023216</t>
  </si>
  <si>
    <t>Marybeth</t>
  </si>
  <si>
    <t>Hucker</t>
  </si>
  <si>
    <t>J000008552</t>
  </si>
  <si>
    <t>Annvy</t>
  </si>
  <si>
    <t>Washington</t>
  </si>
  <si>
    <t>J000013343</t>
  </si>
  <si>
    <t>Robert</t>
  </si>
  <si>
    <t>Papile</t>
  </si>
  <si>
    <t>J000004844</t>
  </si>
  <si>
    <t>Jefferson Health</t>
  </si>
  <si>
    <t>[PMPM=5]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</si>
</sst>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866DA-1772-4B5F-A060-A7B0A64DC756}">
  <dimension ref="A1:K7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17425766</v>
      </c>
      <c r="D2" t="s">
        <v>12</v>
      </c>
      <c r="E2" t="s">
        <v>13</v>
      </c>
      <c r="F2" t="s">
        <v>14</v>
      </c>
      <c r="G2" s="1">
        <v>45689</v>
      </c>
      <c r="H2" s="1">
        <v>45807</v>
      </c>
      <c r="I2" t="s">
        <v>15</v>
      </c>
      <c r="J2" t="s">
        <v>16</v>
      </c>
      <c r="K2" s="2">
        <v>23</v>
      </c>
    </row>
    <row r="3" spans="1:11" x14ac:dyDescent="0.25">
      <c r="A3" t="s">
        <v>17</v>
      </c>
      <c r="C3">
        <v>15278437</v>
      </c>
      <c r="D3" t="s">
        <v>18</v>
      </c>
      <c r="E3" t="s">
        <v>19</v>
      </c>
      <c r="F3" t="s">
        <v>20</v>
      </c>
      <c r="G3" s="1">
        <v>45717</v>
      </c>
      <c r="H3" s="1">
        <v>45807</v>
      </c>
      <c r="I3" t="s">
        <v>15</v>
      </c>
      <c r="J3" t="s">
        <v>21</v>
      </c>
      <c r="K3" s="2">
        <v>115</v>
      </c>
    </row>
    <row r="4" spans="1:11" x14ac:dyDescent="0.25">
      <c r="A4" t="s">
        <v>11</v>
      </c>
      <c r="C4">
        <v>17425766</v>
      </c>
      <c r="D4" t="s">
        <v>22</v>
      </c>
      <c r="E4" t="s">
        <v>23</v>
      </c>
      <c r="F4" t="s">
        <v>24</v>
      </c>
      <c r="G4" s="1">
        <v>45778</v>
      </c>
      <c r="H4" s="1">
        <v>45807</v>
      </c>
      <c r="I4" t="s">
        <v>15</v>
      </c>
      <c r="J4" t="s">
        <v>16</v>
      </c>
      <c r="K4" s="2">
        <v>23</v>
      </c>
    </row>
    <row r="5" spans="1:11" x14ac:dyDescent="0.25">
      <c r="A5" t="s">
        <v>11</v>
      </c>
      <c r="C5">
        <v>17425766</v>
      </c>
      <c r="D5" t="s">
        <v>25</v>
      </c>
      <c r="E5" t="s">
        <v>26</v>
      </c>
      <c r="F5" t="s">
        <v>27</v>
      </c>
      <c r="G5" s="1">
        <v>45658</v>
      </c>
      <c r="H5" s="1">
        <v>45807</v>
      </c>
      <c r="I5" t="s">
        <v>15</v>
      </c>
      <c r="J5" t="s">
        <v>16</v>
      </c>
      <c r="K5" s="2">
        <v>23</v>
      </c>
    </row>
    <row r="6" spans="1:11" x14ac:dyDescent="0.25">
      <c r="A6" t="s">
        <v>11</v>
      </c>
      <c r="C6">
        <v>17425766</v>
      </c>
      <c r="D6" t="s">
        <v>28</v>
      </c>
      <c r="E6" t="s">
        <v>29</v>
      </c>
      <c r="F6" t="s">
        <v>30</v>
      </c>
      <c r="G6" s="1">
        <v>45658</v>
      </c>
      <c r="H6" s="1">
        <v>45807</v>
      </c>
      <c r="I6" t="s">
        <v>15</v>
      </c>
      <c r="J6" t="s">
        <v>16</v>
      </c>
      <c r="K6" s="2">
        <v>23</v>
      </c>
    </row>
    <row r="7" spans="1:11" x14ac:dyDescent="0.25">
      <c r="A7" t="s">
        <v>11</v>
      </c>
      <c r="C7">
        <v>17425766</v>
      </c>
      <c r="D7" t="s">
        <v>31</v>
      </c>
      <c r="E7" t="s">
        <v>32</v>
      </c>
      <c r="F7" t="s">
        <v>33</v>
      </c>
      <c r="G7" s="1">
        <v>45658</v>
      </c>
      <c r="H7" s="1">
        <v>45807</v>
      </c>
      <c r="I7" t="s">
        <v>15</v>
      </c>
      <c r="J7" t="s">
        <v>16</v>
      </c>
      <c r="K7" s="2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985E-4355-4D4A-AE9A-8C573E4E126F}">
  <dimension ref="A1:N7"/>
  <sheetViews>
    <sheetView tabSelected="1" workbookViewId="0">
      <selection activeCell="G2" sqref="G2:G7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1.5703125" bestFit="1" customWidth="1"/>
    <col min="5" max="5" width="14" bestFit="1" customWidth="1"/>
    <col min="6" max="6" width="10.85546875" bestFit="1" customWidth="1"/>
    <col min="7" max="7" width="11.7109375" bestFit="1" customWidth="1"/>
    <col min="8" max="8" width="11.85546875" bestFit="1" customWidth="1"/>
    <col min="9" max="9" width="14.7109375" bestFit="1" customWidth="1"/>
    <col min="10" max="10" width="24.85546875" bestFit="1" customWidth="1"/>
    <col min="11" max="11" width="69.28515625" bestFit="1" customWidth="1"/>
    <col min="12" max="13" width="15.710937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11</v>
      </c>
      <c r="B2">
        <v>17425766</v>
      </c>
      <c r="C2" t="s">
        <v>12</v>
      </c>
      <c r="D2" t="s">
        <v>13</v>
      </c>
      <c r="E2" t="str">
        <f>CONCATENATE(C2, " ",D2)</f>
        <v>Pamela Martin</v>
      </c>
      <c r="F2" t="s">
        <v>14</v>
      </c>
      <c r="G2" t="str">
        <f>CONCATENATE(F2,1)</f>
        <v>J0000214481</v>
      </c>
      <c r="H2" s="1">
        <v>45689</v>
      </c>
      <c r="I2" s="1">
        <v>45807</v>
      </c>
      <c r="J2" t="s">
        <v>15</v>
      </c>
      <c r="K2" t="s">
        <v>16</v>
      </c>
      <c r="L2" s="2">
        <v>23</v>
      </c>
      <c r="M2" t="s">
        <v>34</v>
      </c>
    </row>
    <row r="3" spans="1:14" x14ac:dyDescent="0.25">
      <c r="A3" t="s">
        <v>17</v>
      </c>
      <c r="B3">
        <v>15278437</v>
      </c>
      <c r="C3" t="s">
        <v>18</v>
      </c>
      <c r="D3" t="s">
        <v>19</v>
      </c>
      <c r="E3" t="str">
        <f t="shared" ref="E3:E7" si="0">CONCATENATE(C3, " ",D3)</f>
        <v>Michael Fabiano</v>
      </c>
      <c r="F3" t="s">
        <v>20</v>
      </c>
      <c r="G3" t="str">
        <f t="shared" ref="G3:G7" si="1">CONCATENATE(F3,1)</f>
        <v>J0000151391</v>
      </c>
      <c r="H3" s="1">
        <v>45717</v>
      </c>
      <c r="I3" s="1">
        <v>45807</v>
      </c>
      <c r="J3" t="s">
        <v>15</v>
      </c>
      <c r="K3" t="s">
        <v>21</v>
      </c>
      <c r="L3" s="2">
        <v>115</v>
      </c>
      <c r="M3" t="s">
        <v>34</v>
      </c>
      <c r="N3" t="s">
        <v>35</v>
      </c>
    </row>
    <row r="4" spans="1:14" x14ac:dyDescent="0.25">
      <c r="A4" t="s">
        <v>11</v>
      </c>
      <c r="B4">
        <v>17425766</v>
      </c>
      <c r="C4" t="s">
        <v>22</v>
      </c>
      <c r="D4" t="s">
        <v>23</v>
      </c>
      <c r="E4" t="str">
        <f t="shared" si="0"/>
        <v>Diane Didonato</v>
      </c>
      <c r="F4" t="s">
        <v>24</v>
      </c>
      <c r="G4" t="str">
        <f t="shared" si="1"/>
        <v>J0000232161</v>
      </c>
      <c r="H4" s="1">
        <v>45778</v>
      </c>
      <c r="I4" s="1">
        <v>45807</v>
      </c>
      <c r="J4" t="s">
        <v>15</v>
      </c>
      <c r="K4" t="s">
        <v>16</v>
      </c>
      <c r="L4" s="2">
        <v>23</v>
      </c>
      <c r="M4" t="s">
        <v>34</v>
      </c>
    </row>
    <row r="5" spans="1:14" x14ac:dyDescent="0.25">
      <c r="A5" t="s">
        <v>11</v>
      </c>
      <c r="B5">
        <v>17425766</v>
      </c>
      <c r="C5" t="s">
        <v>25</v>
      </c>
      <c r="D5" t="s">
        <v>26</v>
      </c>
      <c r="E5" t="str">
        <f t="shared" si="0"/>
        <v>Marybeth Hucker</v>
      </c>
      <c r="F5" t="s">
        <v>27</v>
      </c>
      <c r="G5" t="str">
        <f t="shared" si="1"/>
        <v>J0000085521</v>
      </c>
      <c r="H5" s="1">
        <v>45658</v>
      </c>
      <c r="I5" s="1">
        <v>45807</v>
      </c>
      <c r="J5" t="s">
        <v>15</v>
      </c>
      <c r="K5" t="s">
        <v>16</v>
      </c>
      <c r="L5" s="2">
        <v>23</v>
      </c>
      <c r="M5" t="s">
        <v>34</v>
      </c>
    </row>
    <row r="6" spans="1:14" x14ac:dyDescent="0.25">
      <c r="A6" t="s">
        <v>11</v>
      </c>
      <c r="B6">
        <v>17425766</v>
      </c>
      <c r="C6" t="s">
        <v>28</v>
      </c>
      <c r="D6" t="s">
        <v>29</v>
      </c>
      <c r="E6" t="str">
        <f t="shared" si="0"/>
        <v>Annvy Washington</v>
      </c>
      <c r="F6" t="s">
        <v>30</v>
      </c>
      <c r="G6" t="str">
        <f t="shared" si="1"/>
        <v>J0000133431</v>
      </c>
      <c r="H6" s="1">
        <v>45658</v>
      </c>
      <c r="I6" s="1">
        <v>45807</v>
      </c>
      <c r="J6" t="s">
        <v>15</v>
      </c>
      <c r="K6" t="s">
        <v>16</v>
      </c>
      <c r="L6" s="2">
        <v>23</v>
      </c>
      <c r="M6" t="s">
        <v>34</v>
      </c>
    </row>
    <row r="7" spans="1:14" x14ac:dyDescent="0.25">
      <c r="A7" t="s">
        <v>11</v>
      </c>
      <c r="B7">
        <v>17425766</v>
      </c>
      <c r="C7" t="s">
        <v>31</v>
      </c>
      <c r="D7" t="s">
        <v>32</v>
      </c>
      <c r="E7" t="str">
        <f t="shared" si="0"/>
        <v>Robert Papile</v>
      </c>
      <c r="F7" t="s">
        <v>33</v>
      </c>
      <c r="G7" t="str">
        <f t="shared" si="1"/>
        <v>J0000048441</v>
      </c>
      <c r="H7" s="1">
        <v>45658</v>
      </c>
      <c r="I7" s="1">
        <v>45807</v>
      </c>
      <c r="J7" t="s">
        <v>15</v>
      </c>
      <c r="K7" t="s">
        <v>16</v>
      </c>
      <c r="L7" s="2">
        <v>23</v>
      </c>
      <c r="M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2025-05-30T15:57:48Z</dcterms:created>
  <dcterms:modified xsi:type="dcterms:W3CDTF">2025-05-30T19:25:24Z</dcterms:modified>
</cp:coreProperties>
</file>