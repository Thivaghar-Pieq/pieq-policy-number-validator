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6\Jefferson Mapd 2-6-26\"/>
    </mc:Choice>
  </mc:AlternateContent>
  <xr:revisionPtr revIDLastSave="0" documentId="13_ncr:1_{8B172312-3C1A-4E96-9471-58C3AB4FF17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uri="GoogleSheetsCustomDataVersion2">
      <go:sheetsCustomData xmlns:go="http://customooxmlschemas.google.com/" r:id="rId5" roundtripDataChecksum="BHPbrbp7ubitFGABFBSAZFULZKC+u5j+owjrZe2ETws=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H3" i="2"/>
  <c r="H4" i="2"/>
  <c r="H5" i="2"/>
  <c r="H6" i="2"/>
  <c r="H2" i="2"/>
</calcChain>
</file>

<file path=xl/sharedStrings.xml><?xml version="1.0" encoding="utf-8"?>
<sst xmlns="http://schemas.openxmlformats.org/spreadsheetml/2006/main" count="77" uniqueCount="26">
  <si>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</si>
  <si>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</si>
  <si>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</si>
  <si>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</si>
  <si>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</si>
  <si>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</si>
  <si>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</si>
  <si>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</si>
  <si>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</si>
  <si>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</si>
  <si>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</si>
  <si>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</si>
  <si>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Helen</t>
  </si>
  <si>
    <t>Mitchell</t>
  </si>
  <si>
    <t>Jefferson Health Plans</t>
  </si>
  <si>
    <t>Jefferson Health 2026 Renewal PA (ProRata: 1)</t>
  </si>
  <si>
    <t>Elizabeth</t>
  </si>
  <si>
    <t>Donovan</t>
  </si>
  <si>
    <t>Richard</t>
  </si>
  <si>
    <t>Roger Sr</t>
  </si>
  <si>
    <t>Jebara</t>
  </si>
  <si>
    <t>Susan</t>
  </si>
  <si>
    <t>Nasri</t>
  </si>
  <si>
    <t>Jefferson Health 2026 Replacement PA</t>
  </si>
  <si>
    <t>Main Line Benefits</t>
  </si>
  <si>
    <t>Jefferson Health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</si>
</sst>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>
      <selection activeCell="J11" sqref="J11"/>
    </sheetView>
  </sheetViews>
  <sheetFormatPr defaultColWidth="14.42578125" defaultRowHeight="15" customHeight="1" x14ac:dyDescent="0.25"/>
  <cols>
    <col min="1" max="1" width="12.85546875" customWidth="1"/>
    <col min="2" max="2" width="14.85546875" customWidth="1"/>
    <col min="3" max="3" width="10.42578125" customWidth="1"/>
    <col min="4" max="4" width="10.28515625" customWidth="1"/>
    <col min="5" max="5" width="10" customWidth="1"/>
    <col min="6" max="6" width="10.85546875" customWidth="1"/>
    <col min="7" max="7" width="11.5703125" customWidth="1"/>
    <col min="8" max="8" width="14.140625" customWidth="1"/>
    <col min="9" max="9" width="19.85546875" customWidth="1"/>
    <col min="10" max="10" width="44.5703125" customWidth="1"/>
    <col min="11" max="11" width="15.140625" customWidth="1"/>
    <col min="12" max="25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C2" s="1">
        <v>18598357</v>
      </c>
      <c r="D2" s="1" t="s">
        <v>12</v>
      </c>
      <c r="E2" s="1" t="s">
        <v>13</v>
      </c>
      <c r="F2" s="1">
        <v>5360579</v>
      </c>
      <c r="G2" s="2">
        <v>45658</v>
      </c>
      <c r="H2" s="2">
        <v>46059</v>
      </c>
      <c r="I2" s="1" t="s">
        <v>14</v>
      </c>
      <c r="J2" s="1" t="s">
        <v>15</v>
      </c>
      <c r="K2" s="3">
        <v>5</v>
      </c>
    </row>
    <row r="3" spans="1:11" x14ac:dyDescent="0.25">
      <c r="A3" s="1" t="s">
        <v>11</v>
      </c>
      <c r="C3" s="1">
        <v>18598357</v>
      </c>
      <c r="D3" s="1" t="s">
        <v>16</v>
      </c>
      <c r="E3" s="1" t="s">
        <v>17</v>
      </c>
      <c r="F3" s="1">
        <v>5726726</v>
      </c>
      <c r="G3" s="2">
        <v>45658</v>
      </c>
      <c r="H3" s="2">
        <v>46059</v>
      </c>
      <c r="I3" s="1" t="s">
        <v>14</v>
      </c>
      <c r="J3" s="1" t="s">
        <v>15</v>
      </c>
      <c r="K3" s="3">
        <v>5</v>
      </c>
    </row>
    <row r="4" spans="1:11" x14ac:dyDescent="0.25">
      <c r="A4" s="1" t="s">
        <v>11</v>
      </c>
      <c r="C4" s="1">
        <v>18598357</v>
      </c>
      <c r="D4" s="1" t="s">
        <v>18</v>
      </c>
      <c r="E4" s="1" t="s">
        <v>17</v>
      </c>
      <c r="F4" s="1">
        <v>5323629</v>
      </c>
      <c r="G4" s="2">
        <v>45658</v>
      </c>
      <c r="H4" s="2">
        <v>46059</v>
      </c>
      <c r="I4" s="1" t="s">
        <v>14</v>
      </c>
      <c r="J4" s="1" t="s">
        <v>15</v>
      </c>
      <c r="K4" s="3">
        <v>5</v>
      </c>
    </row>
    <row r="5" spans="1:11" x14ac:dyDescent="0.25">
      <c r="A5" s="1" t="s">
        <v>11</v>
      </c>
      <c r="C5" s="1">
        <v>18598357</v>
      </c>
      <c r="D5" s="1" t="s">
        <v>19</v>
      </c>
      <c r="E5" s="1" t="s">
        <v>20</v>
      </c>
      <c r="F5" s="1">
        <v>5588846</v>
      </c>
      <c r="G5" s="2">
        <v>45658</v>
      </c>
      <c r="H5" s="2">
        <v>46059</v>
      </c>
      <c r="I5" s="1" t="s">
        <v>14</v>
      </c>
      <c r="J5" s="1" t="s">
        <v>15</v>
      </c>
      <c r="K5" s="3">
        <v>5</v>
      </c>
    </row>
    <row r="6" spans="1:11" x14ac:dyDescent="0.25">
      <c r="A6" s="1" t="s">
        <v>11</v>
      </c>
      <c r="C6" s="1">
        <v>18598357</v>
      </c>
      <c r="D6" s="1" t="s">
        <v>21</v>
      </c>
      <c r="E6" s="1" t="s">
        <v>22</v>
      </c>
      <c r="F6" s="1">
        <v>5480845</v>
      </c>
      <c r="G6" s="2">
        <v>46023</v>
      </c>
      <c r="H6" s="2">
        <v>46059</v>
      </c>
      <c r="I6" s="1" t="s">
        <v>14</v>
      </c>
      <c r="J6" s="1" t="s">
        <v>23</v>
      </c>
      <c r="K6" s="3">
        <v>140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29FA-6FCF-49D4-945B-DBD470D1722F}">
  <dimension ref="A1:N1000"/>
  <sheetViews>
    <sheetView tabSelected="1" workbookViewId="0">
      <selection activeCell="M2" sqref="M2:M6"/>
    </sheetView>
  </sheetViews>
  <sheetFormatPr defaultColWidth="14.42578125" defaultRowHeight="15" x14ac:dyDescent="0.25"/>
  <cols>
    <col min="1" max="1" width="12.85546875" customWidth="1"/>
    <col min="2" max="2" width="14.85546875" customWidth="1"/>
    <col min="3" max="3" width="10.42578125" customWidth="1"/>
    <col min="4" max="4" width="10.28515625" customWidth="1"/>
    <col min="5" max="5" width="10" customWidth="1"/>
    <col min="6" max="6" width="14.140625" bestFit="1" customWidth="1"/>
    <col min="7" max="7" width="10.85546875" customWidth="1"/>
    <col min="8" max="8" width="11.85546875" bestFit="1" customWidth="1"/>
    <col min="9" max="9" width="11.5703125" customWidth="1"/>
    <col min="10" max="10" width="14.140625" customWidth="1"/>
    <col min="11" max="11" width="19.85546875" customWidth="1"/>
    <col min="12" max="12" width="44.5703125" customWidth="1"/>
    <col min="13" max="13" width="15.140625" customWidth="1"/>
    <col min="14" max="28" width="8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4" x14ac:dyDescent="0.25">
      <c r="A2" s="4" t="s">
        <v>24</v>
      </c>
      <c r="C2" s="1">
        <v>20411454</v>
      </c>
      <c r="D2" s="1" t="s">
        <v>12</v>
      </c>
      <c r="E2" s="1" t="s">
        <v>13</v>
      </c>
      <c r="F2" s="1" t="str">
        <f>CONCATENATE(D2," ",E2)</f>
        <v>Helen Mitchell</v>
      </c>
      <c r="G2" s="1">
        <v>5360579</v>
      </c>
      <c r="H2" s="1" t="str">
        <f>CONCATENATE(G2,"OVR")</f>
        <v>5360579OVR</v>
      </c>
      <c r="I2" s="2">
        <v>45658</v>
      </c>
      <c r="J2" s="2">
        <v>46059</v>
      </c>
      <c r="K2" s="1" t="s">
        <v>14</v>
      </c>
      <c r="L2" s="1" t="s">
        <v>15</v>
      </c>
      <c r="M2" s="3">
        <v>5</v>
      </c>
      <c r="N2" t="s">
        <v>25</v>
      </c>
    </row>
    <row r="3" spans="1:14" x14ac:dyDescent="0.25">
      <c r="A3" s="4" t="s">
        <v>24</v>
      </c>
      <c r="C3" s="1">
        <v>20411454</v>
      </c>
      <c r="D3" s="1" t="s">
        <v>16</v>
      </c>
      <c r="E3" s="1" t="s">
        <v>17</v>
      </c>
      <c r="F3" s="1" t="str">
        <f t="shared" ref="F3:F6" si="0">CONCATENATE(D3," ",E3)</f>
        <v>Elizabeth Donovan</v>
      </c>
      <c r="G3" s="1">
        <v>5726726</v>
      </c>
      <c r="H3" s="1" t="str">
        <f t="shared" ref="H3:H6" si="1">CONCATENATE(G3,"OVR")</f>
        <v>5726726OVR</v>
      </c>
      <c r="I3" s="2">
        <v>45658</v>
      </c>
      <c r="J3" s="2">
        <v>46059</v>
      </c>
      <c r="K3" s="1" t="s">
        <v>14</v>
      </c>
      <c r="L3" s="1" t="s">
        <v>15</v>
      </c>
      <c r="M3" s="3">
        <v>5</v>
      </c>
      <c r="N3" t="s">
        <v>25</v>
      </c>
    </row>
    <row r="4" spans="1:14" x14ac:dyDescent="0.25">
      <c r="A4" s="4" t="s">
        <v>24</v>
      </c>
      <c r="C4" s="1">
        <v>20411454</v>
      </c>
      <c r="D4" s="1" t="s">
        <v>18</v>
      </c>
      <c r="E4" s="1" t="s">
        <v>17</v>
      </c>
      <c r="F4" s="1" t="str">
        <f t="shared" si="0"/>
        <v>Richard Donovan</v>
      </c>
      <c r="G4" s="1">
        <v>5323629</v>
      </c>
      <c r="H4" s="1" t="str">
        <f t="shared" si="1"/>
        <v>5323629OVR</v>
      </c>
      <c r="I4" s="2">
        <v>45658</v>
      </c>
      <c r="J4" s="2">
        <v>46059</v>
      </c>
      <c r="K4" s="1" t="s">
        <v>14</v>
      </c>
      <c r="L4" s="1" t="s">
        <v>15</v>
      </c>
      <c r="M4" s="3">
        <v>5</v>
      </c>
      <c r="N4" t="s">
        <v>25</v>
      </c>
    </row>
    <row r="5" spans="1:14" x14ac:dyDescent="0.25">
      <c r="A5" s="4" t="s">
        <v>24</v>
      </c>
      <c r="C5" s="1">
        <v>20411454</v>
      </c>
      <c r="D5" s="1" t="s">
        <v>19</v>
      </c>
      <c r="E5" s="1" t="s">
        <v>20</v>
      </c>
      <c r="F5" s="1" t="str">
        <f t="shared" si="0"/>
        <v>Roger Sr Jebara</v>
      </c>
      <c r="G5" s="1">
        <v>5588846</v>
      </c>
      <c r="H5" s="1" t="str">
        <f t="shared" si="1"/>
        <v>5588846OVR</v>
      </c>
      <c r="I5" s="2">
        <v>45658</v>
      </c>
      <c r="J5" s="2">
        <v>46059</v>
      </c>
      <c r="K5" s="1" t="s">
        <v>14</v>
      </c>
      <c r="L5" s="1" t="s">
        <v>15</v>
      </c>
      <c r="M5" s="3">
        <v>5</v>
      </c>
      <c r="N5" t="s">
        <v>25</v>
      </c>
    </row>
    <row r="6" spans="1:14" x14ac:dyDescent="0.25">
      <c r="A6" s="4" t="s">
        <v>24</v>
      </c>
      <c r="C6" s="1">
        <v>20411454</v>
      </c>
      <c r="D6" s="1" t="s">
        <v>21</v>
      </c>
      <c r="E6" s="1" t="s">
        <v>22</v>
      </c>
      <c r="F6" s="1" t="str">
        <f t="shared" si="0"/>
        <v>Susan Nasri</v>
      </c>
      <c r="G6" s="1">
        <v>5480845</v>
      </c>
      <c r="H6" s="1" t="str">
        <f t="shared" si="1"/>
        <v>5480845OVR</v>
      </c>
      <c r="I6" s="2">
        <v>46023</v>
      </c>
      <c r="J6" s="2">
        <v>46059</v>
      </c>
      <c r="K6" s="1" t="s">
        <v>14</v>
      </c>
      <c r="L6" s="1" t="s">
        <v>23</v>
      </c>
      <c r="M6" s="3">
        <v>140</v>
      </c>
      <c r="N6" t="s">
        <v>25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2026-02-06T17:16:12Z</dcterms:created>
  <dcterms:modified xsi:type="dcterms:W3CDTF">2026-02-12T14:52:11Z</dcterms:modified>
</cp:coreProperties>
</file>