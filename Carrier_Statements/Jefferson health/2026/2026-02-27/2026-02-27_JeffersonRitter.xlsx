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Sheet2!$A$1:$AB$1000</definedName>
  </definedNames>
  <calcPr/>
  <extLst>
    <ext uri="GoogleSheetsCustomDataVersion2">
      <go:sheetsCustomData xmlns:go="http://customooxmlschemas.google.com/" r:id="rId6" roundtripDataChecksum="XPG6avF+rVvX0YC3GlwYG/qviJf2h2EJ6uieOK/NrlY="/>
    </ext>
  </extLst>
</workbook>
</file>

<file path=xl/sharedStrings.xml><?xml version="1.0" encoding="utf-8"?>
<sst xmlns="http://schemas.openxmlformats.org/spreadsheetml/2006/main" count="865" uniqueCount="204">
  <si>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</si>
  <si>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</si>
  <si>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</si>
  <si>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</si>
  <si>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</si>
  <si>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</si>
  <si>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</si>
  <si>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</si>
  <si>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</si>
  <si>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</si>
  <si>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</si>
  <si>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</si>
  <si>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Pamela</t>
  </si>
  <si>
    <t>Martin</t>
  </si>
  <si>
    <t>J000021448</t>
  </si>
  <si>
    <t>Jefferson Health Plans U65</t>
  </si>
  <si>
    <t>Jefferson Health U65 2024 - 2026 Full (ProRata: 1) Premium Period: 1/1/2026</t>
  </si>
  <si>
    <t>Bryan Krobath</t>
  </si>
  <si>
    <t>Erica</t>
  </si>
  <si>
    <t>Fitzsimons</t>
  </si>
  <si>
    <t>J000048241</t>
  </si>
  <si>
    <t>Jason Hoffmann</t>
  </si>
  <si>
    <t>Ryan</t>
  </si>
  <si>
    <t>Leckie</t>
  </si>
  <si>
    <t>J000051334</t>
  </si>
  <si>
    <t>Abigail</t>
  </si>
  <si>
    <t>Nice</t>
  </si>
  <si>
    <t>J000024499</t>
  </si>
  <si>
    <t>Jefferson Health U65 2024 - 2026 Full (ProRata: 1) Premium Period: 2/1/2026</t>
  </si>
  <si>
    <t>Annvy</t>
  </si>
  <si>
    <t>Washington</t>
  </si>
  <si>
    <t>J000013343</t>
  </si>
  <si>
    <t>Benjamin</t>
  </si>
  <si>
    <t>Holland</t>
  </si>
  <si>
    <t>J000046422</t>
  </si>
  <si>
    <t>Christina</t>
  </si>
  <si>
    <t>Sparrow</t>
  </si>
  <si>
    <t>J000041321</t>
  </si>
  <si>
    <t>Patricia Long</t>
  </si>
  <si>
    <t>Dalvinder</t>
  </si>
  <si>
    <t>Matharu</t>
  </si>
  <si>
    <t>J000041484</t>
  </si>
  <si>
    <t>Diane</t>
  </si>
  <si>
    <t>Didonato</t>
  </si>
  <si>
    <t>J000023216</t>
  </si>
  <si>
    <t>Dylan</t>
  </si>
  <si>
    <t>Fritzinger</t>
  </si>
  <si>
    <t>J000045995</t>
  </si>
  <si>
    <t>Edwin</t>
  </si>
  <si>
    <t>Shavers</t>
  </si>
  <si>
    <t>J000041244</t>
  </si>
  <si>
    <t>Fatma</t>
  </si>
  <si>
    <t>Ahmed</t>
  </si>
  <si>
    <t>J000046717</t>
  </si>
  <si>
    <t>Erica Solivan</t>
  </si>
  <si>
    <t>Gail</t>
  </si>
  <si>
    <t>Graham</t>
  </si>
  <si>
    <t>J000028538</t>
  </si>
  <si>
    <t>Chad Bender</t>
  </si>
  <si>
    <t>Gayatria</t>
  </si>
  <si>
    <t>Jones</t>
  </si>
  <si>
    <t>J000043618</t>
  </si>
  <si>
    <t>Hilary</t>
  </si>
  <si>
    <t>Chentow</t>
  </si>
  <si>
    <t>J000044966</t>
  </si>
  <si>
    <t>Jacob</t>
  </si>
  <si>
    <t>Leschinsky</t>
  </si>
  <si>
    <t>J000046267</t>
  </si>
  <si>
    <t>Diana Zimmerman</t>
  </si>
  <si>
    <t>Jose</t>
  </si>
  <si>
    <t>Ferrufino</t>
  </si>
  <si>
    <t>J000035289</t>
  </si>
  <si>
    <t>Kayden</t>
  </si>
  <si>
    <t>Walschburger</t>
  </si>
  <si>
    <t>J000045736</t>
  </si>
  <si>
    <t>Kelsey</t>
  </si>
  <si>
    <t>Shappell</t>
  </si>
  <si>
    <t>J000041139</t>
  </si>
  <si>
    <t>Lisa</t>
  </si>
  <si>
    <t>Blassingale</t>
  </si>
  <si>
    <t>J000032039</t>
  </si>
  <si>
    <t>Marcellus</t>
  </si>
  <si>
    <t>Pegram</t>
  </si>
  <si>
    <t>J000037913</t>
  </si>
  <si>
    <t>Mark</t>
  </si>
  <si>
    <t>Swartley</t>
  </si>
  <si>
    <t>J000042017</t>
  </si>
  <si>
    <t>Michelle</t>
  </si>
  <si>
    <t>Lightcap</t>
  </si>
  <si>
    <t>J000044858</t>
  </si>
  <si>
    <t>Monica</t>
  </si>
  <si>
    <t>Ramos</t>
  </si>
  <si>
    <t>J000046344</t>
  </si>
  <si>
    <t>Wagner</t>
  </si>
  <si>
    <t>J000042272</t>
  </si>
  <si>
    <t>Paul</t>
  </si>
  <si>
    <t>Marwah</t>
  </si>
  <si>
    <t>J000034146</t>
  </si>
  <si>
    <t>Robert</t>
  </si>
  <si>
    <t>Papile</t>
  </si>
  <si>
    <t>J000004844</t>
  </si>
  <si>
    <t>Shamani</t>
  </si>
  <si>
    <t>Mohottige</t>
  </si>
  <si>
    <t>J000046741</t>
  </si>
  <si>
    <t>Shannon</t>
  </si>
  <si>
    <t>Dundore</t>
  </si>
  <si>
    <t>J000035498</t>
  </si>
  <si>
    <t>Sharon</t>
  </si>
  <si>
    <t>Sherene Robinson Stewart</t>
  </si>
  <si>
    <t>J000034392</t>
  </si>
  <si>
    <t>Tara</t>
  </si>
  <si>
    <t>Owens</t>
  </si>
  <si>
    <t>J000028588</t>
  </si>
  <si>
    <t>Yaisa</t>
  </si>
  <si>
    <t>Ugas</t>
  </si>
  <si>
    <t>J000036974</t>
  </si>
  <si>
    <t>India</t>
  </si>
  <si>
    <t>Neal</t>
  </si>
  <si>
    <t>J000053052</t>
  </si>
  <si>
    <t>Kirsten</t>
  </si>
  <si>
    <t>Boran</t>
  </si>
  <si>
    <t>J000050267</t>
  </si>
  <si>
    <t>Myles</t>
  </si>
  <si>
    <t>Bloomfield</t>
  </si>
  <si>
    <t>J000050082</t>
  </si>
  <si>
    <t>Ava</t>
  </si>
  <si>
    <t>J000050083</t>
  </si>
  <si>
    <t>Molly</t>
  </si>
  <si>
    <t>Hoogendoorn</t>
  </si>
  <si>
    <t>J000051796</t>
  </si>
  <si>
    <t>Jill</t>
  </si>
  <si>
    <t>Wakefield</t>
  </si>
  <si>
    <t>J000051557</t>
  </si>
  <si>
    <t>Yun</t>
  </si>
  <si>
    <t>Lin Chen</t>
  </si>
  <si>
    <t>J000052638</t>
  </si>
  <si>
    <t>Jefferson Health U65 2024 - 2026 Full (ProRata: 2) Premium Period: 1/1/2026</t>
  </si>
  <si>
    <t>Bret</t>
  </si>
  <si>
    <t>Wirth</t>
  </si>
  <si>
    <t>J000031791</t>
  </si>
  <si>
    <t>Jefferson Health U65 2024 - 2026 Full (ProRata: 2) Premium Period: 2/1/2026</t>
  </si>
  <si>
    <t>Brian</t>
  </si>
  <si>
    <t>J000045720</t>
  </si>
  <si>
    <t>Geraldine</t>
  </si>
  <si>
    <t>Strouphar</t>
  </si>
  <si>
    <t>J000040530</t>
  </si>
  <si>
    <t>Janssen</t>
  </si>
  <si>
    <t>Seidel</t>
  </si>
  <si>
    <t>J000041528</t>
  </si>
  <si>
    <t>K</t>
  </si>
  <si>
    <t>Michael Hodges</t>
  </si>
  <si>
    <t>J000043616</t>
  </si>
  <si>
    <t>Miguel</t>
  </si>
  <si>
    <t>Meneses</t>
  </si>
  <si>
    <t>J000028808</t>
  </si>
  <si>
    <t>Ralph</t>
  </si>
  <si>
    <t>Rosa</t>
  </si>
  <si>
    <t>J000037147</t>
  </si>
  <si>
    <t>Trung</t>
  </si>
  <si>
    <t>Pham</t>
  </si>
  <si>
    <t>J000052045</t>
  </si>
  <si>
    <t>Adam</t>
  </si>
  <si>
    <t>Wilkins</t>
  </si>
  <si>
    <t>J000052071</t>
  </si>
  <si>
    <t>Jefferson Health U65 2024 - 2026 Full (ProRata: 3) Premium Period: 1/1/2026</t>
  </si>
  <si>
    <t>Devon</t>
  </si>
  <si>
    <t>Swasey</t>
  </si>
  <si>
    <t>J000048131</t>
  </si>
  <si>
    <t>Sheila Koser</t>
  </si>
  <si>
    <t>Ian</t>
  </si>
  <si>
    <t>Snyder</t>
  </si>
  <si>
    <t>J000032614</t>
  </si>
  <si>
    <t>Jefferson Health U65 2024 - 2026 Full (ProRata: 3) Premium Period: 2/1/2026</t>
  </si>
  <si>
    <t>Dominic</t>
  </si>
  <si>
    <t>Bavaro</t>
  </si>
  <si>
    <t>J000027475</t>
  </si>
  <si>
    <t>Jefferson Health U65 2024 - 2026 Full (ProRata: 4) Premium Period: 1/1/2026</t>
  </si>
  <si>
    <t>Jefferson Health U65 2024 - 2026 Full (ProRata: 4) Premium Period: 2/1/2026</t>
  </si>
  <si>
    <t>Karl</t>
  </si>
  <si>
    <t>Yearde</t>
  </si>
  <si>
    <t>J000036688</t>
  </si>
  <si>
    <t>John Rader</t>
  </si>
  <si>
    <t>Malathi</t>
  </si>
  <si>
    <t>Bojja</t>
  </si>
  <si>
    <t>J000046218</t>
  </si>
  <si>
    <t>Michael</t>
  </si>
  <si>
    <t>Pascal</t>
  </si>
  <si>
    <t>J000047786</t>
  </si>
  <si>
    <t>Jefferson Health U65 2024 - 2026 Full (ProRata: 5) Premium Period: 1/1/2026</t>
  </si>
  <si>
    <t>Vikas</t>
  </si>
  <si>
    <t>Rathod</t>
  </si>
  <si>
    <t>J000052732</t>
  </si>
  <si>
    <t>David</t>
  </si>
  <si>
    <t>Femia</t>
  </si>
  <si>
    <t>J000033579</t>
  </si>
  <si>
    <t>Jefferson Health U65 2024 - 2026 Full (ProRata: 5) Premium Period: 2/1/2026</t>
  </si>
  <si>
    <t>pro</t>
  </si>
  <si>
    <t>Jefferson Health</t>
  </si>
  <si>
    <t>Main Line Benefits</t>
  </si>
  <si>
    <t>Jefferson Health Ovr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</si>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</sst>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43"/>
    <col customWidth="1" min="3" max="3" width="10.71"/>
    <col customWidth="1" min="4" max="4" width="10.57"/>
    <col customWidth="1" min="5" max="5" width="24.86"/>
    <col customWidth="1" min="6" max="6" width="10.86"/>
    <col customWidth="1" min="7" max="7" width="11.86"/>
    <col customWidth="1" min="8" max="8" width="14.71"/>
    <col customWidth="1" min="9" max="9" width="24.86"/>
    <col customWidth="1" min="10" max="10" width="69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46080.0</v>
      </c>
      <c r="I2" s="1" t="s">
        <v>15</v>
      </c>
      <c r="J2" s="1" t="s">
        <v>16</v>
      </c>
      <c r="K2" s="3">
        <v>24.0</v>
      </c>
    </row>
    <row r="3">
      <c r="A3" s="1" t="s">
        <v>17</v>
      </c>
      <c r="C3" s="1">
        <v>1.7429706E7</v>
      </c>
      <c r="D3" s="1" t="s">
        <v>18</v>
      </c>
      <c r="E3" s="1" t="s">
        <v>19</v>
      </c>
      <c r="F3" s="1" t="s">
        <v>20</v>
      </c>
      <c r="G3" s="2">
        <v>46023.0</v>
      </c>
      <c r="H3" s="2">
        <v>46080.0</v>
      </c>
      <c r="I3" s="1" t="s">
        <v>15</v>
      </c>
      <c r="J3" s="1" t="s">
        <v>16</v>
      </c>
      <c r="K3" s="3">
        <v>4.0</v>
      </c>
    </row>
    <row r="4">
      <c r="A4" s="1" t="s">
        <v>21</v>
      </c>
      <c r="C4" s="1">
        <v>1.5278437E7</v>
      </c>
      <c r="D4" s="1" t="s">
        <v>22</v>
      </c>
      <c r="E4" s="1" t="s">
        <v>23</v>
      </c>
      <c r="F4" s="1" t="s">
        <v>24</v>
      </c>
      <c r="G4" s="2">
        <v>46023.0</v>
      </c>
      <c r="H4" s="2">
        <v>46080.0</v>
      </c>
      <c r="I4" s="1" t="s">
        <v>15</v>
      </c>
      <c r="J4" s="1" t="s">
        <v>16</v>
      </c>
      <c r="K4" s="3">
        <v>24.0</v>
      </c>
    </row>
    <row r="5">
      <c r="A5" s="1" t="s">
        <v>21</v>
      </c>
      <c r="C5" s="1">
        <v>1.5278437E7</v>
      </c>
      <c r="D5" s="1" t="s">
        <v>25</v>
      </c>
      <c r="E5" s="1" t="s">
        <v>26</v>
      </c>
      <c r="F5" s="1" t="s">
        <v>27</v>
      </c>
      <c r="G5" s="2">
        <v>46023.0</v>
      </c>
      <c r="H5" s="2">
        <v>46080.0</v>
      </c>
      <c r="I5" s="1" t="s">
        <v>15</v>
      </c>
      <c r="J5" s="1" t="s">
        <v>28</v>
      </c>
      <c r="K5" s="3">
        <v>24.0</v>
      </c>
    </row>
    <row r="6">
      <c r="A6" s="1" t="s">
        <v>11</v>
      </c>
      <c r="C6" s="1">
        <v>1.7425766E7</v>
      </c>
      <c r="D6" s="1" t="s">
        <v>29</v>
      </c>
      <c r="E6" s="1" t="s">
        <v>30</v>
      </c>
      <c r="F6" s="1" t="s">
        <v>31</v>
      </c>
      <c r="G6" s="2">
        <v>46023.0</v>
      </c>
      <c r="H6" s="2">
        <v>46080.0</v>
      </c>
      <c r="I6" s="1" t="s">
        <v>15</v>
      </c>
      <c r="J6" s="1" t="s">
        <v>28</v>
      </c>
      <c r="K6" s="3">
        <v>24.0</v>
      </c>
    </row>
    <row r="7">
      <c r="A7" s="1" t="s">
        <v>17</v>
      </c>
      <c r="C7" s="1">
        <v>1.7429706E7</v>
      </c>
      <c r="D7" s="1" t="s">
        <v>32</v>
      </c>
      <c r="E7" s="1" t="s">
        <v>33</v>
      </c>
      <c r="F7" s="1" t="s">
        <v>34</v>
      </c>
      <c r="G7" s="2">
        <v>46023.0</v>
      </c>
      <c r="H7" s="2">
        <v>46080.0</v>
      </c>
      <c r="I7" s="1" t="s">
        <v>15</v>
      </c>
      <c r="J7" s="1" t="s">
        <v>28</v>
      </c>
      <c r="K7" s="3">
        <v>4.0</v>
      </c>
    </row>
    <row r="8">
      <c r="A8" s="1" t="s">
        <v>21</v>
      </c>
      <c r="C8" s="1">
        <v>1.5278437E7</v>
      </c>
      <c r="D8" s="1" t="s">
        <v>35</v>
      </c>
      <c r="E8" s="1" t="s">
        <v>36</v>
      </c>
      <c r="F8" s="1" t="s">
        <v>37</v>
      </c>
      <c r="G8" s="2">
        <v>46023.0</v>
      </c>
      <c r="H8" s="2">
        <v>46080.0</v>
      </c>
      <c r="I8" s="1" t="s">
        <v>15</v>
      </c>
      <c r="J8" s="1" t="s">
        <v>28</v>
      </c>
      <c r="K8" s="3">
        <v>24.0</v>
      </c>
    </row>
    <row r="9">
      <c r="A9" s="1" t="s">
        <v>38</v>
      </c>
      <c r="C9" s="1">
        <v>1.879474E7</v>
      </c>
      <c r="D9" s="1" t="s">
        <v>39</v>
      </c>
      <c r="E9" s="1" t="s">
        <v>40</v>
      </c>
      <c r="F9" s="1" t="s">
        <v>41</v>
      </c>
      <c r="G9" s="2">
        <v>46023.0</v>
      </c>
      <c r="H9" s="2">
        <v>46080.0</v>
      </c>
      <c r="I9" s="1" t="s">
        <v>15</v>
      </c>
      <c r="J9" s="1" t="s">
        <v>28</v>
      </c>
      <c r="K9" s="3">
        <v>24.0</v>
      </c>
    </row>
    <row r="10">
      <c r="A10" s="1" t="s">
        <v>11</v>
      </c>
      <c r="C10" s="1">
        <v>1.7425766E7</v>
      </c>
      <c r="D10" s="1" t="s">
        <v>42</v>
      </c>
      <c r="E10" s="1" t="s">
        <v>43</v>
      </c>
      <c r="F10" s="1" t="s">
        <v>44</v>
      </c>
      <c r="G10" s="2">
        <v>46023.0</v>
      </c>
      <c r="H10" s="2">
        <v>46080.0</v>
      </c>
      <c r="I10" s="1" t="s">
        <v>15</v>
      </c>
      <c r="J10" s="1" t="s">
        <v>28</v>
      </c>
      <c r="K10" s="3">
        <v>24.0</v>
      </c>
    </row>
    <row r="11">
      <c r="A11" s="1" t="s">
        <v>21</v>
      </c>
      <c r="C11" s="1">
        <v>1.5278437E7</v>
      </c>
      <c r="D11" s="1" t="s">
        <v>45</v>
      </c>
      <c r="E11" s="1" t="s">
        <v>46</v>
      </c>
      <c r="F11" s="1" t="s">
        <v>47</v>
      </c>
      <c r="G11" s="2">
        <v>46023.0</v>
      </c>
      <c r="H11" s="2">
        <v>46080.0</v>
      </c>
      <c r="I11" s="1" t="s">
        <v>15</v>
      </c>
      <c r="J11" s="1" t="s">
        <v>28</v>
      </c>
      <c r="K11" s="3">
        <v>24.0</v>
      </c>
    </row>
    <row r="12">
      <c r="A12" s="1" t="s">
        <v>17</v>
      </c>
      <c r="C12" s="1">
        <v>1.7429706E7</v>
      </c>
      <c r="D12" s="1" t="s">
        <v>48</v>
      </c>
      <c r="E12" s="1" t="s">
        <v>49</v>
      </c>
      <c r="F12" s="1" t="s">
        <v>50</v>
      </c>
      <c r="G12" s="2">
        <v>46023.0</v>
      </c>
      <c r="H12" s="2">
        <v>46080.0</v>
      </c>
      <c r="I12" s="1" t="s">
        <v>15</v>
      </c>
      <c r="J12" s="1" t="s">
        <v>28</v>
      </c>
      <c r="K12" s="3">
        <v>4.0</v>
      </c>
    </row>
    <row r="13">
      <c r="A13" s="1" t="s">
        <v>21</v>
      </c>
      <c r="C13" s="1">
        <v>1.5278437E7</v>
      </c>
      <c r="D13" s="1" t="s">
        <v>51</v>
      </c>
      <c r="E13" s="1" t="s">
        <v>52</v>
      </c>
      <c r="F13" s="1" t="s">
        <v>53</v>
      </c>
      <c r="G13" s="2">
        <v>46023.0</v>
      </c>
      <c r="H13" s="2">
        <v>46080.0</v>
      </c>
      <c r="I13" s="1" t="s">
        <v>15</v>
      </c>
      <c r="J13" s="1" t="s">
        <v>28</v>
      </c>
      <c r="K13" s="3">
        <v>24.0</v>
      </c>
    </row>
    <row r="14">
      <c r="A14" s="1" t="s">
        <v>54</v>
      </c>
      <c r="C14" s="1">
        <v>2.1605264E7</v>
      </c>
      <c r="D14" s="1" t="s">
        <v>55</v>
      </c>
      <c r="E14" s="1" t="s">
        <v>56</v>
      </c>
      <c r="F14" s="1" t="s">
        <v>57</v>
      </c>
      <c r="G14" s="2">
        <v>46023.0</v>
      </c>
      <c r="H14" s="2">
        <v>46080.0</v>
      </c>
      <c r="I14" s="1" t="s">
        <v>15</v>
      </c>
      <c r="J14" s="1" t="s">
        <v>28</v>
      </c>
      <c r="K14" s="3">
        <v>24.0</v>
      </c>
    </row>
    <row r="15">
      <c r="A15" s="1" t="s">
        <v>58</v>
      </c>
      <c r="C15" s="1">
        <v>1.8598357E7</v>
      </c>
      <c r="D15" s="1" t="s">
        <v>59</v>
      </c>
      <c r="E15" s="1" t="s">
        <v>60</v>
      </c>
      <c r="F15" s="1" t="s">
        <v>61</v>
      </c>
      <c r="G15" s="2">
        <v>46023.0</v>
      </c>
      <c r="H15" s="2">
        <v>46080.0</v>
      </c>
      <c r="I15" s="1" t="s">
        <v>15</v>
      </c>
      <c r="J15" s="1" t="s">
        <v>28</v>
      </c>
      <c r="K15" s="3">
        <v>24.0</v>
      </c>
    </row>
    <row r="16">
      <c r="A16" s="1" t="s">
        <v>21</v>
      </c>
      <c r="C16" s="1">
        <v>1.5278437E7</v>
      </c>
      <c r="D16" s="1" t="s">
        <v>62</v>
      </c>
      <c r="E16" s="1" t="s">
        <v>63</v>
      </c>
      <c r="F16" s="1" t="s">
        <v>64</v>
      </c>
      <c r="G16" s="2">
        <v>46023.0</v>
      </c>
      <c r="H16" s="2">
        <v>46080.0</v>
      </c>
      <c r="I16" s="1" t="s">
        <v>15</v>
      </c>
      <c r="J16" s="1" t="s">
        <v>28</v>
      </c>
      <c r="K16" s="3">
        <v>24.0</v>
      </c>
    </row>
    <row r="17">
      <c r="A17" s="1" t="s">
        <v>17</v>
      </c>
      <c r="C17" s="1">
        <v>1.7429706E7</v>
      </c>
      <c r="D17" s="1" t="s">
        <v>65</v>
      </c>
      <c r="E17" s="1" t="s">
        <v>66</v>
      </c>
      <c r="F17" s="1" t="s">
        <v>67</v>
      </c>
      <c r="G17" s="2">
        <v>46023.0</v>
      </c>
      <c r="H17" s="2">
        <v>46080.0</v>
      </c>
      <c r="I17" s="1" t="s">
        <v>15</v>
      </c>
      <c r="J17" s="1" t="s">
        <v>28</v>
      </c>
      <c r="K17" s="3">
        <v>4.0</v>
      </c>
    </row>
    <row r="18">
      <c r="A18" s="1" t="s">
        <v>68</v>
      </c>
      <c r="C18" s="1">
        <v>1.7640026E7</v>
      </c>
      <c r="D18" s="1" t="s">
        <v>69</v>
      </c>
      <c r="E18" s="1" t="s">
        <v>70</v>
      </c>
      <c r="F18" s="1" t="s">
        <v>71</v>
      </c>
      <c r="G18" s="2">
        <v>46023.0</v>
      </c>
      <c r="H18" s="2">
        <v>46080.0</v>
      </c>
      <c r="I18" s="1" t="s">
        <v>15</v>
      </c>
      <c r="J18" s="1" t="s">
        <v>28</v>
      </c>
      <c r="K18" s="3">
        <v>4.0</v>
      </c>
    </row>
    <row r="19">
      <c r="A19" s="1" t="s">
        <v>38</v>
      </c>
      <c r="C19" s="1">
        <v>1.879474E7</v>
      </c>
      <c r="D19" s="1" t="s">
        <v>72</v>
      </c>
      <c r="E19" s="1" t="s">
        <v>73</v>
      </c>
      <c r="F19" s="1" t="s">
        <v>74</v>
      </c>
      <c r="G19" s="2">
        <v>46023.0</v>
      </c>
      <c r="H19" s="2">
        <v>46080.0</v>
      </c>
      <c r="I19" s="1" t="s">
        <v>15</v>
      </c>
      <c r="J19" s="1" t="s">
        <v>28</v>
      </c>
      <c r="K19" s="3">
        <v>24.0</v>
      </c>
    </row>
    <row r="20">
      <c r="A20" s="1" t="s">
        <v>17</v>
      </c>
      <c r="C20" s="1">
        <v>1.7429706E7</v>
      </c>
      <c r="D20" s="1" t="s">
        <v>75</v>
      </c>
      <c r="E20" s="1" t="s">
        <v>76</v>
      </c>
      <c r="F20" s="1" t="s">
        <v>77</v>
      </c>
      <c r="G20" s="2">
        <v>46023.0</v>
      </c>
      <c r="H20" s="2">
        <v>46080.0</v>
      </c>
      <c r="I20" s="1" t="s">
        <v>15</v>
      </c>
      <c r="J20" s="1" t="s">
        <v>28</v>
      </c>
      <c r="K20" s="3">
        <v>4.0</v>
      </c>
    </row>
    <row r="21" ht="15.75" customHeight="1">
      <c r="A21" s="1" t="s">
        <v>11</v>
      </c>
      <c r="C21" s="1">
        <v>1.7425766E7</v>
      </c>
      <c r="D21" s="1" t="s">
        <v>78</v>
      </c>
      <c r="E21" s="1" t="s">
        <v>79</v>
      </c>
      <c r="F21" s="1" t="s">
        <v>80</v>
      </c>
      <c r="G21" s="2">
        <v>46023.0</v>
      </c>
      <c r="H21" s="2">
        <v>46080.0</v>
      </c>
      <c r="I21" s="1" t="s">
        <v>15</v>
      </c>
      <c r="J21" s="1" t="s">
        <v>28</v>
      </c>
      <c r="K21" s="3">
        <v>24.0</v>
      </c>
    </row>
    <row r="22" ht="15.75" customHeight="1">
      <c r="A22" s="1" t="s">
        <v>11</v>
      </c>
      <c r="C22" s="1">
        <v>1.7425766E7</v>
      </c>
      <c r="D22" s="1" t="s">
        <v>81</v>
      </c>
      <c r="E22" s="1" t="s">
        <v>82</v>
      </c>
      <c r="F22" s="1" t="s">
        <v>83</v>
      </c>
      <c r="G22" s="2">
        <v>46023.0</v>
      </c>
      <c r="H22" s="2">
        <v>46080.0</v>
      </c>
      <c r="I22" s="1" t="s">
        <v>15</v>
      </c>
      <c r="J22" s="1" t="s">
        <v>28</v>
      </c>
      <c r="K22" s="3">
        <v>24.0</v>
      </c>
    </row>
    <row r="23" ht="15.75" customHeight="1">
      <c r="A23" s="1" t="s">
        <v>21</v>
      </c>
      <c r="C23" s="1">
        <v>1.5278437E7</v>
      </c>
      <c r="D23" s="1" t="s">
        <v>84</v>
      </c>
      <c r="E23" s="1" t="s">
        <v>85</v>
      </c>
      <c r="F23" s="1" t="s">
        <v>86</v>
      </c>
      <c r="G23" s="2">
        <v>46023.0</v>
      </c>
      <c r="H23" s="2">
        <v>46080.0</v>
      </c>
      <c r="I23" s="1" t="s">
        <v>15</v>
      </c>
      <c r="J23" s="1" t="s">
        <v>28</v>
      </c>
      <c r="K23" s="3">
        <v>24.0</v>
      </c>
    </row>
    <row r="24" ht="15.75" customHeight="1">
      <c r="A24" s="1" t="s">
        <v>21</v>
      </c>
      <c r="C24" s="1">
        <v>1.5278437E7</v>
      </c>
      <c r="D24" s="1" t="s">
        <v>87</v>
      </c>
      <c r="E24" s="1" t="s">
        <v>88</v>
      </c>
      <c r="F24" s="1" t="s">
        <v>89</v>
      </c>
      <c r="G24" s="2">
        <v>46023.0</v>
      </c>
      <c r="H24" s="2">
        <v>46080.0</v>
      </c>
      <c r="I24" s="1" t="s">
        <v>15</v>
      </c>
      <c r="J24" s="1" t="s">
        <v>28</v>
      </c>
      <c r="K24" s="3">
        <v>24.0</v>
      </c>
    </row>
    <row r="25" ht="15.75" customHeight="1">
      <c r="A25" s="1" t="s">
        <v>21</v>
      </c>
      <c r="C25" s="1">
        <v>1.5278437E7</v>
      </c>
      <c r="D25" s="1" t="s">
        <v>90</v>
      </c>
      <c r="E25" s="1" t="s">
        <v>91</v>
      </c>
      <c r="F25" s="1" t="s">
        <v>92</v>
      </c>
      <c r="G25" s="2">
        <v>46023.0</v>
      </c>
      <c r="H25" s="2">
        <v>46080.0</v>
      </c>
      <c r="I25" s="1" t="s">
        <v>15</v>
      </c>
      <c r="J25" s="1" t="s">
        <v>28</v>
      </c>
      <c r="K25" s="3">
        <v>24.0</v>
      </c>
    </row>
    <row r="26" ht="15.75" customHeight="1">
      <c r="A26" s="1" t="s">
        <v>54</v>
      </c>
      <c r="C26" s="1">
        <v>2.1605264E7</v>
      </c>
      <c r="D26" s="1" t="s">
        <v>12</v>
      </c>
      <c r="E26" s="1" t="s">
        <v>93</v>
      </c>
      <c r="F26" s="1" t="s">
        <v>94</v>
      </c>
      <c r="G26" s="2">
        <v>46023.0</v>
      </c>
      <c r="H26" s="2">
        <v>46080.0</v>
      </c>
      <c r="I26" s="1" t="s">
        <v>15</v>
      </c>
      <c r="J26" s="1" t="s">
        <v>28</v>
      </c>
      <c r="K26" s="3">
        <v>24.0</v>
      </c>
    </row>
    <row r="27" ht="15.75" customHeight="1">
      <c r="A27" s="1" t="s">
        <v>11</v>
      </c>
      <c r="C27" s="1">
        <v>1.7425766E7</v>
      </c>
      <c r="D27" s="1" t="s">
        <v>95</v>
      </c>
      <c r="E27" s="1" t="s">
        <v>96</v>
      </c>
      <c r="F27" s="1" t="s">
        <v>97</v>
      </c>
      <c r="G27" s="2">
        <v>46023.0</v>
      </c>
      <c r="H27" s="2">
        <v>46080.0</v>
      </c>
      <c r="I27" s="1" t="s">
        <v>15</v>
      </c>
      <c r="J27" s="1" t="s">
        <v>28</v>
      </c>
      <c r="K27" s="3">
        <v>24.0</v>
      </c>
    </row>
    <row r="28" ht="15.75" customHeight="1">
      <c r="A28" s="1" t="s">
        <v>11</v>
      </c>
      <c r="C28" s="1">
        <v>1.7425766E7</v>
      </c>
      <c r="D28" s="1" t="s">
        <v>98</v>
      </c>
      <c r="E28" s="1" t="s">
        <v>99</v>
      </c>
      <c r="F28" s="1" t="s">
        <v>100</v>
      </c>
      <c r="G28" s="2">
        <v>46023.0</v>
      </c>
      <c r="H28" s="2">
        <v>46080.0</v>
      </c>
      <c r="I28" s="1" t="s">
        <v>15</v>
      </c>
      <c r="J28" s="1" t="s">
        <v>28</v>
      </c>
      <c r="K28" s="3">
        <v>24.0</v>
      </c>
    </row>
    <row r="29" ht="15.75" customHeight="1">
      <c r="A29" s="1" t="s">
        <v>58</v>
      </c>
      <c r="C29" s="1">
        <v>1.8598357E7</v>
      </c>
      <c r="D29" s="1" t="s">
        <v>101</v>
      </c>
      <c r="E29" s="1" t="s">
        <v>102</v>
      </c>
      <c r="F29" s="1" t="s">
        <v>103</v>
      </c>
      <c r="G29" s="2">
        <v>46023.0</v>
      </c>
      <c r="H29" s="2">
        <v>46080.0</v>
      </c>
      <c r="I29" s="1" t="s">
        <v>15</v>
      </c>
      <c r="J29" s="1" t="s">
        <v>28</v>
      </c>
      <c r="K29" s="3">
        <v>24.0</v>
      </c>
    </row>
    <row r="30" ht="15.75" customHeight="1">
      <c r="A30" s="1" t="s">
        <v>38</v>
      </c>
      <c r="C30" s="1">
        <v>1.879474E7</v>
      </c>
      <c r="D30" s="1" t="s">
        <v>104</v>
      </c>
      <c r="E30" s="1" t="s">
        <v>105</v>
      </c>
      <c r="F30" s="1" t="s">
        <v>106</v>
      </c>
      <c r="G30" s="2">
        <v>46023.0</v>
      </c>
      <c r="H30" s="2">
        <v>46080.0</v>
      </c>
      <c r="I30" s="1" t="s">
        <v>15</v>
      </c>
      <c r="J30" s="1" t="s">
        <v>28</v>
      </c>
      <c r="K30" s="3">
        <v>24.0</v>
      </c>
    </row>
    <row r="31" ht="15.75" customHeight="1">
      <c r="A31" s="1" t="s">
        <v>58</v>
      </c>
      <c r="C31" s="1">
        <v>1.8598357E7</v>
      </c>
      <c r="D31" s="1" t="s">
        <v>107</v>
      </c>
      <c r="E31" s="1" t="s">
        <v>108</v>
      </c>
      <c r="F31" s="1" t="s">
        <v>109</v>
      </c>
      <c r="G31" s="2">
        <v>46023.0</v>
      </c>
      <c r="H31" s="2">
        <v>46080.0</v>
      </c>
      <c r="I31" s="1" t="s">
        <v>15</v>
      </c>
      <c r="J31" s="1" t="s">
        <v>28</v>
      </c>
      <c r="K31" s="3">
        <v>24.0</v>
      </c>
    </row>
    <row r="32" ht="15.75" customHeight="1">
      <c r="A32" s="1" t="s">
        <v>21</v>
      </c>
      <c r="C32" s="1">
        <v>1.5278437E7</v>
      </c>
      <c r="D32" s="1" t="s">
        <v>110</v>
      </c>
      <c r="E32" s="1" t="s">
        <v>111</v>
      </c>
      <c r="F32" s="1" t="s">
        <v>112</v>
      </c>
      <c r="G32" s="2">
        <v>46023.0</v>
      </c>
      <c r="H32" s="2">
        <v>46080.0</v>
      </c>
      <c r="I32" s="1" t="s">
        <v>15</v>
      </c>
      <c r="J32" s="1" t="s">
        <v>28</v>
      </c>
      <c r="K32" s="3">
        <v>24.0</v>
      </c>
    </row>
    <row r="33" ht="15.75" customHeight="1">
      <c r="A33" s="1" t="s">
        <v>11</v>
      </c>
      <c r="C33" s="1">
        <v>1.7425766E7</v>
      </c>
      <c r="D33" s="1" t="s">
        <v>113</v>
      </c>
      <c r="E33" s="1" t="s">
        <v>114</v>
      </c>
      <c r="F33" s="1" t="s">
        <v>115</v>
      </c>
      <c r="G33" s="2">
        <v>46054.0</v>
      </c>
      <c r="H33" s="2">
        <v>46080.0</v>
      </c>
      <c r="I33" s="1" t="s">
        <v>15</v>
      </c>
      <c r="J33" s="1" t="s">
        <v>28</v>
      </c>
      <c r="K33" s="3">
        <v>24.0</v>
      </c>
    </row>
    <row r="34" ht="15.75" customHeight="1">
      <c r="A34" s="1" t="s">
        <v>17</v>
      </c>
      <c r="C34" s="1">
        <v>1.7429706E7</v>
      </c>
      <c r="D34" s="1" t="s">
        <v>116</v>
      </c>
      <c r="E34" s="1" t="s">
        <v>117</v>
      </c>
      <c r="F34" s="1" t="s">
        <v>118</v>
      </c>
      <c r="G34" s="2">
        <v>46054.0</v>
      </c>
      <c r="H34" s="2">
        <v>46080.0</v>
      </c>
      <c r="I34" s="1" t="s">
        <v>15</v>
      </c>
      <c r="J34" s="1" t="s">
        <v>28</v>
      </c>
      <c r="K34" s="3">
        <v>4.0</v>
      </c>
    </row>
    <row r="35" ht="15.75" customHeight="1">
      <c r="A35" s="1" t="s">
        <v>21</v>
      </c>
      <c r="C35" s="1">
        <v>1.5278437E7</v>
      </c>
      <c r="D35" s="1" t="s">
        <v>22</v>
      </c>
      <c r="E35" s="1" t="s">
        <v>23</v>
      </c>
      <c r="F35" s="1" t="s">
        <v>24</v>
      </c>
      <c r="G35" s="2">
        <v>46023.0</v>
      </c>
      <c r="H35" s="2">
        <v>46080.0</v>
      </c>
      <c r="I35" s="1" t="s">
        <v>15</v>
      </c>
      <c r="J35" s="1" t="s">
        <v>28</v>
      </c>
      <c r="K35" s="3">
        <v>24.0</v>
      </c>
    </row>
    <row r="36" ht="15.75" customHeight="1">
      <c r="A36" s="1" t="s">
        <v>17</v>
      </c>
      <c r="C36" s="1">
        <v>1.7429706E7</v>
      </c>
      <c r="D36" s="1" t="s">
        <v>119</v>
      </c>
      <c r="E36" s="1" t="s">
        <v>120</v>
      </c>
      <c r="F36" s="1" t="s">
        <v>121</v>
      </c>
      <c r="G36" s="2">
        <v>46054.0</v>
      </c>
      <c r="H36" s="2">
        <v>46080.0</v>
      </c>
      <c r="I36" s="1" t="s">
        <v>15</v>
      </c>
      <c r="J36" s="1" t="s">
        <v>28</v>
      </c>
      <c r="K36" s="3">
        <v>4.0</v>
      </c>
    </row>
    <row r="37" ht="15.75" customHeight="1">
      <c r="A37" s="1" t="s">
        <v>38</v>
      </c>
      <c r="C37" s="1">
        <v>1.879474E7</v>
      </c>
      <c r="D37" s="1" t="s">
        <v>122</v>
      </c>
      <c r="E37" s="1" t="s">
        <v>123</v>
      </c>
      <c r="F37" s="1" t="s">
        <v>124</v>
      </c>
      <c r="G37" s="2">
        <v>46054.0</v>
      </c>
      <c r="H37" s="2">
        <v>46080.0</v>
      </c>
      <c r="I37" s="1" t="s">
        <v>15</v>
      </c>
      <c r="J37" s="1" t="s">
        <v>28</v>
      </c>
      <c r="K37" s="3">
        <v>24.0</v>
      </c>
    </row>
    <row r="38" ht="15.75" customHeight="1">
      <c r="A38" s="1" t="s">
        <v>38</v>
      </c>
      <c r="C38" s="1">
        <v>1.879474E7</v>
      </c>
      <c r="D38" s="1" t="s">
        <v>125</v>
      </c>
      <c r="E38" s="1" t="s">
        <v>123</v>
      </c>
      <c r="F38" s="1" t="s">
        <v>126</v>
      </c>
      <c r="G38" s="2">
        <v>46054.0</v>
      </c>
      <c r="H38" s="2">
        <v>46080.0</v>
      </c>
      <c r="I38" s="1" t="s">
        <v>15</v>
      </c>
      <c r="J38" s="1" t="s">
        <v>28</v>
      </c>
      <c r="K38" s="3">
        <v>24.0</v>
      </c>
    </row>
    <row r="39" ht="15.75" customHeight="1">
      <c r="A39" s="1" t="s">
        <v>21</v>
      </c>
      <c r="C39" s="1">
        <v>1.5278437E7</v>
      </c>
      <c r="D39" s="1" t="s">
        <v>127</v>
      </c>
      <c r="E39" s="1" t="s">
        <v>128</v>
      </c>
      <c r="F39" s="1" t="s">
        <v>129</v>
      </c>
      <c r="G39" s="2">
        <v>46054.0</v>
      </c>
      <c r="H39" s="2">
        <v>46080.0</v>
      </c>
      <c r="I39" s="1" t="s">
        <v>15</v>
      </c>
      <c r="J39" s="1" t="s">
        <v>28</v>
      </c>
      <c r="K39" s="3">
        <v>24.0</v>
      </c>
    </row>
    <row r="40" ht="15.75" customHeight="1">
      <c r="A40" s="1" t="s">
        <v>54</v>
      </c>
      <c r="C40" s="1">
        <v>2.1605264E7</v>
      </c>
      <c r="D40" s="1" t="s">
        <v>130</v>
      </c>
      <c r="E40" s="1" t="s">
        <v>131</v>
      </c>
      <c r="F40" s="1" t="s">
        <v>132</v>
      </c>
      <c r="G40" s="2">
        <v>46054.0</v>
      </c>
      <c r="H40" s="2">
        <v>46080.0</v>
      </c>
      <c r="I40" s="1" t="s">
        <v>15</v>
      </c>
      <c r="J40" s="1" t="s">
        <v>28</v>
      </c>
      <c r="K40" s="3">
        <v>24.0</v>
      </c>
    </row>
    <row r="41" ht="15.75" customHeight="1">
      <c r="A41" s="1" t="s">
        <v>11</v>
      </c>
      <c r="C41" s="1">
        <v>1.7425766E7</v>
      </c>
      <c r="D41" s="1" t="s">
        <v>133</v>
      </c>
      <c r="E41" s="1" t="s">
        <v>134</v>
      </c>
      <c r="F41" s="1" t="s">
        <v>135</v>
      </c>
      <c r="G41" s="2">
        <v>46023.0</v>
      </c>
      <c r="H41" s="2">
        <v>46080.0</v>
      </c>
      <c r="I41" s="1" t="s">
        <v>15</v>
      </c>
      <c r="J41" s="1" t="s">
        <v>136</v>
      </c>
      <c r="K41" s="3">
        <v>48.0</v>
      </c>
    </row>
    <row r="42" ht="15.75" customHeight="1">
      <c r="A42" s="1" t="s">
        <v>54</v>
      </c>
      <c r="C42" s="1">
        <v>2.1605264E7</v>
      </c>
      <c r="D42" s="1" t="s">
        <v>137</v>
      </c>
      <c r="E42" s="1" t="s">
        <v>138</v>
      </c>
      <c r="F42" s="1" t="s">
        <v>139</v>
      </c>
      <c r="G42" s="2">
        <v>46023.0</v>
      </c>
      <c r="H42" s="2">
        <v>46080.0</v>
      </c>
      <c r="I42" s="1" t="s">
        <v>15</v>
      </c>
      <c r="J42" s="1" t="s">
        <v>140</v>
      </c>
      <c r="K42" s="3">
        <v>48.0</v>
      </c>
    </row>
    <row r="43" ht="15.75" customHeight="1">
      <c r="A43" s="1" t="s">
        <v>38</v>
      </c>
      <c r="C43" s="1">
        <v>1.879474E7</v>
      </c>
      <c r="D43" s="1" t="s">
        <v>141</v>
      </c>
      <c r="E43" s="1" t="s">
        <v>73</v>
      </c>
      <c r="F43" s="1" t="s">
        <v>142</v>
      </c>
      <c r="G43" s="2">
        <v>46023.0</v>
      </c>
      <c r="H43" s="2">
        <v>46080.0</v>
      </c>
      <c r="I43" s="1" t="s">
        <v>15</v>
      </c>
      <c r="J43" s="1" t="s">
        <v>140</v>
      </c>
      <c r="K43" s="3">
        <v>48.0</v>
      </c>
    </row>
    <row r="44" ht="15.75" customHeight="1">
      <c r="A44" s="1" t="s">
        <v>21</v>
      </c>
      <c r="C44" s="1">
        <v>1.5278437E7</v>
      </c>
      <c r="D44" s="1" t="s">
        <v>143</v>
      </c>
      <c r="E44" s="1" t="s">
        <v>144</v>
      </c>
      <c r="F44" s="1" t="s">
        <v>145</v>
      </c>
      <c r="G44" s="2">
        <v>46023.0</v>
      </c>
      <c r="H44" s="2">
        <v>46080.0</v>
      </c>
      <c r="I44" s="1" t="s">
        <v>15</v>
      </c>
      <c r="J44" s="1" t="s">
        <v>140</v>
      </c>
      <c r="K44" s="3">
        <v>48.0</v>
      </c>
    </row>
    <row r="45" ht="15.75" customHeight="1">
      <c r="A45" s="1" t="s">
        <v>38</v>
      </c>
      <c r="C45" s="1">
        <v>1.879474E7</v>
      </c>
      <c r="D45" s="1" t="s">
        <v>146</v>
      </c>
      <c r="E45" s="1" t="s">
        <v>147</v>
      </c>
      <c r="F45" s="1" t="s">
        <v>148</v>
      </c>
      <c r="G45" s="2">
        <v>46023.0</v>
      </c>
      <c r="H45" s="2">
        <v>46080.0</v>
      </c>
      <c r="I45" s="1" t="s">
        <v>15</v>
      </c>
      <c r="J45" s="1" t="s">
        <v>140</v>
      </c>
      <c r="K45" s="3">
        <v>48.0</v>
      </c>
    </row>
    <row r="46" ht="15.75" customHeight="1">
      <c r="A46" s="1" t="s">
        <v>21</v>
      </c>
      <c r="C46" s="1">
        <v>1.5278437E7</v>
      </c>
      <c r="D46" s="1" t="s">
        <v>149</v>
      </c>
      <c r="E46" s="1" t="s">
        <v>150</v>
      </c>
      <c r="F46" s="1" t="s">
        <v>151</v>
      </c>
      <c r="G46" s="2">
        <v>46023.0</v>
      </c>
      <c r="H46" s="2">
        <v>46080.0</v>
      </c>
      <c r="I46" s="1" t="s">
        <v>15</v>
      </c>
      <c r="J46" s="1" t="s">
        <v>140</v>
      </c>
      <c r="K46" s="3">
        <v>48.0</v>
      </c>
    </row>
    <row r="47" ht="15.75" customHeight="1">
      <c r="A47" s="1" t="s">
        <v>21</v>
      </c>
      <c r="C47" s="1">
        <v>1.5278437E7</v>
      </c>
      <c r="D47" s="1" t="s">
        <v>152</v>
      </c>
      <c r="E47" s="1" t="s">
        <v>153</v>
      </c>
      <c r="F47" s="1" t="s">
        <v>154</v>
      </c>
      <c r="G47" s="2">
        <v>46023.0</v>
      </c>
      <c r="H47" s="2">
        <v>46080.0</v>
      </c>
      <c r="I47" s="1" t="s">
        <v>15</v>
      </c>
      <c r="J47" s="1" t="s">
        <v>140</v>
      </c>
      <c r="K47" s="3">
        <v>48.0</v>
      </c>
    </row>
    <row r="48" ht="15.75" customHeight="1">
      <c r="A48" s="1" t="s">
        <v>21</v>
      </c>
      <c r="C48" s="1">
        <v>1.5278437E7</v>
      </c>
      <c r="D48" s="1" t="s">
        <v>155</v>
      </c>
      <c r="E48" s="1" t="s">
        <v>156</v>
      </c>
      <c r="F48" s="1" t="s">
        <v>157</v>
      </c>
      <c r="G48" s="2">
        <v>46023.0</v>
      </c>
      <c r="H48" s="2">
        <v>46080.0</v>
      </c>
      <c r="I48" s="1" t="s">
        <v>15</v>
      </c>
      <c r="J48" s="1" t="s">
        <v>140</v>
      </c>
      <c r="K48" s="3">
        <v>48.0</v>
      </c>
    </row>
    <row r="49" ht="15.75" customHeight="1">
      <c r="A49" s="1" t="s">
        <v>21</v>
      </c>
      <c r="C49" s="1">
        <v>1.5278437E7</v>
      </c>
      <c r="D49" s="1" t="s">
        <v>158</v>
      </c>
      <c r="E49" s="1" t="s">
        <v>159</v>
      </c>
      <c r="F49" s="1" t="s">
        <v>160</v>
      </c>
      <c r="G49" s="2">
        <v>46054.0</v>
      </c>
      <c r="H49" s="2">
        <v>46080.0</v>
      </c>
      <c r="I49" s="1" t="s">
        <v>15</v>
      </c>
      <c r="J49" s="1" t="s">
        <v>140</v>
      </c>
      <c r="K49" s="3">
        <v>48.0</v>
      </c>
    </row>
    <row r="50" ht="15.75" customHeight="1">
      <c r="A50" s="1" t="s">
        <v>11</v>
      </c>
      <c r="C50" s="1">
        <v>1.7425766E7</v>
      </c>
      <c r="D50" s="1" t="s">
        <v>133</v>
      </c>
      <c r="E50" s="1" t="s">
        <v>134</v>
      </c>
      <c r="F50" s="1" t="s">
        <v>135</v>
      </c>
      <c r="G50" s="2">
        <v>46023.0</v>
      </c>
      <c r="H50" s="2">
        <v>46080.0</v>
      </c>
      <c r="I50" s="1" t="s">
        <v>15</v>
      </c>
      <c r="J50" s="1" t="s">
        <v>140</v>
      </c>
      <c r="K50" s="3">
        <v>48.0</v>
      </c>
    </row>
    <row r="51" ht="15.75" customHeight="1">
      <c r="A51" s="1" t="s">
        <v>21</v>
      </c>
      <c r="C51" s="1">
        <v>1.5278437E7</v>
      </c>
      <c r="D51" s="1" t="s">
        <v>161</v>
      </c>
      <c r="E51" s="1" t="s">
        <v>162</v>
      </c>
      <c r="F51" s="1" t="s">
        <v>163</v>
      </c>
      <c r="G51" s="2">
        <v>46023.0</v>
      </c>
      <c r="H51" s="2">
        <v>46080.0</v>
      </c>
      <c r="I51" s="1" t="s">
        <v>15</v>
      </c>
      <c r="J51" s="1" t="s">
        <v>164</v>
      </c>
      <c r="K51" s="3">
        <v>72.0</v>
      </c>
    </row>
    <row r="52" ht="15.75" customHeight="1">
      <c r="A52" s="1" t="s">
        <v>21</v>
      </c>
      <c r="C52" s="1">
        <v>1.5278437E7</v>
      </c>
      <c r="D52" s="1" t="s">
        <v>165</v>
      </c>
      <c r="E52" s="1" t="s">
        <v>166</v>
      </c>
      <c r="F52" s="1" t="s">
        <v>167</v>
      </c>
      <c r="G52" s="2">
        <v>46023.0</v>
      </c>
      <c r="H52" s="2">
        <v>46080.0</v>
      </c>
      <c r="I52" s="1" t="s">
        <v>15</v>
      </c>
      <c r="J52" s="1" t="s">
        <v>164</v>
      </c>
      <c r="K52" s="3">
        <v>72.0</v>
      </c>
    </row>
    <row r="53" ht="15.75" customHeight="1">
      <c r="A53" s="1" t="s">
        <v>168</v>
      </c>
      <c r="C53" s="1">
        <v>2.1740129E7</v>
      </c>
      <c r="D53" s="1" t="s">
        <v>169</v>
      </c>
      <c r="E53" s="1" t="s">
        <v>170</v>
      </c>
      <c r="F53" s="1" t="s">
        <v>171</v>
      </c>
      <c r="G53" s="2">
        <v>46023.0</v>
      </c>
      <c r="H53" s="2">
        <v>46080.0</v>
      </c>
      <c r="I53" s="1" t="s">
        <v>15</v>
      </c>
      <c r="J53" s="1" t="s">
        <v>172</v>
      </c>
      <c r="K53" s="3">
        <v>12.0</v>
      </c>
    </row>
    <row r="54" ht="15.75" customHeight="1">
      <c r="A54" s="1" t="s">
        <v>21</v>
      </c>
      <c r="C54" s="1">
        <v>1.5278437E7</v>
      </c>
      <c r="D54" s="1" t="s">
        <v>161</v>
      </c>
      <c r="E54" s="1" t="s">
        <v>162</v>
      </c>
      <c r="F54" s="1" t="s">
        <v>163</v>
      </c>
      <c r="G54" s="2">
        <v>46023.0</v>
      </c>
      <c r="H54" s="2">
        <v>46080.0</v>
      </c>
      <c r="I54" s="1" t="s">
        <v>15</v>
      </c>
      <c r="J54" s="1" t="s">
        <v>172</v>
      </c>
      <c r="K54" s="3">
        <v>72.0</v>
      </c>
    </row>
    <row r="55" ht="15.75" customHeight="1">
      <c r="A55" s="1" t="s">
        <v>21</v>
      </c>
      <c r="C55" s="1">
        <v>1.5278437E7</v>
      </c>
      <c r="D55" s="1" t="s">
        <v>165</v>
      </c>
      <c r="E55" s="1" t="s">
        <v>166</v>
      </c>
      <c r="F55" s="1" t="s">
        <v>167</v>
      </c>
      <c r="G55" s="2">
        <v>46023.0</v>
      </c>
      <c r="H55" s="2">
        <v>46080.0</v>
      </c>
      <c r="I55" s="1" t="s">
        <v>15</v>
      </c>
      <c r="J55" s="1" t="s">
        <v>172</v>
      </c>
      <c r="K55" s="3">
        <v>72.0</v>
      </c>
    </row>
    <row r="56" ht="15.75" customHeight="1">
      <c r="A56" s="1" t="s">
        <v>11</v>
      </c>
      <c r="C56" s="1">
        <v>1.7425766E7</v>
      </c>
      <c r="D56" s="1" t="s">
        <v>173</v>
      </c>
      <c r="E56" s="1" t="s">
        <v>174</v>
      </c>
      <c r="F56" s="1" t="s">
        <v>175</v>
      </c>
      <c r="G56" s="2">
        <v>46023.0</v>
      </c>
      <c r="H56" s="2">
        <v>46080.0</v>
      </c>
      <c r="I56" s="1" t="s">
        <v>15</v>
      </c>
      <c r="J56" s="1" t="s">
        <v>176</v>
      </c>
      <c r="K56" s="3">
        <v>96.0</v>
      </c>
    </row>
    <row r="57" ht="15.75" customHeight="1">
      <c r="A57" s="1" t="s">
        <v>11</v>
      </c>
      <c r="C57" s="1">
        <v>1.7425766E7</v>
      </c>
      <c r="D57" s="1" t="s">
        <v>173</v>
      </c>
      <c r="E57" s="1" t="s">
        <v>174</v>
      </c>
      <c r="F57" s="1" t="s">
        <v>175</v>
      </c>
      <c r="G57" s="2">
        <v>46023.0</v>
      </c>
      <c r="H57" s="2">
        <v>46080.0</v>
      </c>
      <c r="I57" s="1" t="s">
        <v>15</v>
      </c>
      <c r="J57" s="1" t="s">
        <v>177</v>
      </c>
      <c r="K57" s="3">
        <v>96.0</v>
      </c>
    </row>
    <row r="58" ht="15.75" customHeight="1">
      <c r="A58" s="1" t="s">
        <v>58</v>
      </c>
      <c r="C58" s="1">
        <v>1.8598357E7</v>
      </c>
      <c r="D58" s="1" t="s">
        <v>178</v>
      </c>
      <c r="E58" s="1" t="s">
        <v>179</v>
      </c>
      <c r="F58" s="1" t="s">
        <v>180</v>
      </c>
      <c r="G58" s="2">
        <v>46023.0</v>
      </c>
      <c r="H58" s="2">
        <v>46080.0</v>
      </c>
      <c r="I58" s="1" t="s">
        <v>15</v>
      </c>
      <c r="J58" s="1" t="s">
        <v>177</v>
      </c>
      <c r="K58" s="3">
        <v>96.0</v>
      </c>
    </row>
    <row r="59" ht="15.75" customHeight="1">
      <c r="A59" s="1" t="s">
        <v>181</v>
      </c>
      <c r="C59" s="1">
        <v>2.17589E7</v>
      </c>
      <c r="D59" s="1" t="s">
        <v>182</v>
      </c>
      <c r="E59" s="1" t="s">
        <v>183</v>
      </c>
      <c r="F59" s="1" t="s">
        <v>184</v>
      </c>
      <c r="G59" s="2">
        <v>46054.0</v>
      </c>
      <c r="H59" s="2">
        <v>46080.0</v>
      </c>
      <c r="I59" s="1" t="s">
        <v>15</v>
      </c>
      <c r="J59" s="1" t="s">
        <v>177</v>
      </c>
      <c r="K59" s="3">
        <v>96.0</v>
      </c>
    </row>
    <row r="60" ht="15.75" customHeight="1">
      <c r="A60" s="1" t="s">
        <v>21</v>
      </c>
      <c r="C60" s="1">
        <v>1.5278437E7</v>
      </c>
      <c r="D60" s="1" t="s">
        <v>185</v>
      </c>
      <c r="E60" s="1" t="s">
        <v>186</v>
      </c>
      <c r="F60" s="1" t="s">
        <v>187</v>
      </c>
      <c r="G60" s="2">
        <v>46023.0</v>
      </c>
      <c r="H60" s="2">
        <v>46080.0</v>
      </c>
      <c r="I60" s="1" t="s">
        <v>15</v>
      </c>
      <c r="J60" s="1" t="s">
        <v>188</v>
      </c>
      <c r="K60" s="3">
        <v>120.0</v>
      </c>
    </row>
    <row r="61" ht="15.75" customHeight="1">
      <c r="A61" s="1" t="s">
        <v>21</v>
      </c>
      <c r="C61" s="1">
        <v>1.5278437E7</v>
      </c>
      <c r="D61" s="1" t="s">
        <v>189</v>
      </c>
      <c r="E61" s="1" t="s">
        <v>190</v>
      </c>
      <c r="F61" s="1" t="s">
        <v>191</v>
      </c>
      <c r="G61" s="2">
        <v>46023.0</v>
      </c>
      <c r="H61" s="2">
        <v>46080.0</v>
      </c>
      <c r="I61" s="1" t="s">
        <v>15</v>
      </c>
      <c r="J61" s="1" t="s">
        <v>188</v>
      </c>
      <c r="K61" s="3">
        <v>120.0</v>
      </c>
    </row>
    <row r="62" ht="15.75" customHeight="1">
      <c r="A62" s="1" t="s">
        <v>11</v>
      </c>
      <c r="C62" s="1">
        <v>1.7425766E7</v>
      </c>
      <c r="D62" s="1" t="s">
        <v>192</v>
      </c>
      <c r="E62" s="1" t="s">
        <v>193</v>
      </c>
      <c r="F62" s="1" t="s">
        <v>194</v>
      </c>
      <c r="G62" s="2">
        <v>46023.0</v>
      </c>
      <c r="H62" s="2">
        <v>46080.0</v>
      </c>
      <c r="I62" s="1" t="s">
        <v>15</v>
      </c>
      <c r="J62" s="1" t="s">
        <v>195</v>
      </c>
      <c r="K62" s="3">
        <v>120.0</v>
      </c>
    </row>
    <row r="63" ht="15.75" customHeight="1">
      <c r="A63" s="1" t="s">
        <v>21</v>
      </c>
      <c r="C63" s="1">
        <v>1.5278437E7</v>
      </c>
      <c r="D63" s="1" t="s">
        <v>185</v>
      </c>
      <c r="E63" s="1" t="s">
        <v>186</v>
      </c>
      <c r="F63" s="1" t="s">
        <v>187</v>
      </c>
      <c r="G63" s="2">
        <v>46023.0</v>
      </c>
      <c r="H63" s="2">
        <v>46080.0</v>
      </c>
      <c r="I63" s="1" t="s">
        <v>15</v>
      </c>
      <c r="J63" s="1" t="s">
        <v>195</v>
      </c>
      <c r="K63" s="3">
        <v>120.0</v>
      </c>
    </row>
    <row r="64" ht="15.75" customHeight="1">
      <c r="A64" s="1" t="s">
        <v>21</v>
      </c>
      <c r="C64" s="1">
        <v>1.5278437E7</v>
      </c>
      <c r="D64" s="1" t="s">
        <v>189</v>
      </c>
      <c r="E64" s="1" t="s">
        <v>190</v>
      </c>
      <c r="F64" s="1" t="s">
        <v>191</v>
      </c>
      <c r="G64" s="2">
        <v>46023.0</v>
      </c>
      <c r="H64" s="2">
        <v>46080.0</v>
      </c>
      <c r="I64" s="1" t="s">
        <v>15</v>
      </c>
      <c r="J64" s="1" t="s">
        <v>195</v>
      </c>
      <c r="K64" s="3">
        <v>120.0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6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O1" s="4" t="s">
        <v>196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tr">
        <f t="shared" ref="F2:F64" si="1">concatenate(D2," ",E2)</f>
        <v>Pamela Martin</v>
      </c>
      <c r="G2" s="1" t="s">
        <v>14</v>
      </c>
      <c r="H2" s="1" t="str">
        <f>concat(G2,1)</f>
        <v>J0000214481</v>
      </c>
      <c r="I2" s="2">
        <v>46023.0</v>
      </c>
      <c r="J2" s="2">
        <v>46080.0</v>
      </c>
      <c r="K2" s="1" t="s">
        <v>15</v>
      </c>
      <c r="L2" s="1" t="s">
        <v>16</v>
      </c>
      <c r="M2" s="5">
        <v>24.0</v>
      </c>
      <c r="N2" s="1" t="str">
        <f t="shared" ref="N2:N64" si="2">MID(L2, FIND("Premium Period: ", L2)+LEN("Premium Period: "), 10)</f>
        <v>1/1/2026</v>
      </c>
      <c r="O2" s="4" t="s">
        <v>197</v>
      </c>
    </row>
    <row r="3">
      <c r="A3" s="4" t="s">
        <v>198</v>
      </c>
      <c r="C3" s="1">
        <v>1.7429706E7</v>
      </c>
      <c r="D3" s="1" t="s">
        <v>18</v>
      </c>
      <c r="E3" s="1" t="s">
        <v>19</v>
      </c>
      <c r="F3" s="1" t="str">
        <f t="shared" si="1"/>
        <v>Erica Fitzsimons</v>
      </c>
      <c r="G3" s="1" t="s">
        <v>20</v>
      </c>
      <c r="H3" s="1" t="str">
        <f>concat(G3,"OVR")</f>
        <v>J000048241OVR</v>
      </c>
      <c r="I3" s="2">
        <v>46023.0</v>
      </c>
      <c r="J3" s="2">
        <v>46080.0</v>
      </c>
      <c r="K3" s="1" t="s">
        <v>15</v>
      </c>
      <c r="L3" s="1" t="s">
        <v>16</v>
      </c>
      <c r="M3" s="5">
        <v>4.0</v>
      </c>
      <c r="N3" s="1" t="str">
        <f t="shared" si="2"/>
        <v>1/1/2026</v>
      </c>
      <c r="O3" s="4" t="s">
        <v>199</v>
      </c>
    </row>
    <row r="4">
      <c r="A4" s="1" t="s">
        <v>21</v>
      </c>
      <c r="C4" s="1">
        <v>1.5278437E7</v>
      </c>
      <c r="D4" s="1" t="s">
        <v>22</v>
      </c>
      <c r="E4" s="1" t="s">
        <v>23</v>
      </c>
      <c r="F4" s="1" t="str">
        <f t="shared" si="1"/>
        <v>Ryan Leckie</v>
      </c>
      <c r="G4" s="1" t="s">
        <v>24</v>
      </c>
      <c r="H4" s="1" t="str">
        <f t="shared" ref="H4:H6" si="3">concat(G4,1)</f>
        <v>J0000513341</v>
      </c>
      <c r="I4" s="2">
        <v>46023.0</v>
      </c>
      <c r="J4" s="2">
        <v>46080.0</v>
      </c>
      <c r="K4" s="1" t="s">
        <v>15</v>
      </c>
      <c r="L4" s="1" t="s">
        <v>16</v>
      </c>
      <c r="M4" s="5">
        <v>24.0</v>
      </c>
      <c r="N4" s="1" t="str">
        <f t="shared" si="2"/>
        <v>1/1/2026</v>
      </c>
      <c r="O4" s="4" t="s">
        <v>197</v>
      </c>
    </row>
    <row r="5">
      <c r="A5" s="1" t="s">
        <v>21</v>
      </c>
      <c r="C5" s="1">
        <v>1.5278437E7</v>
      </c>
      <c r="D5" s="1" t="s">
        <v>25</v>
      </c>
      <c r="E5" s="1" t="s">
        <v>26</v>
      </c>
      <c r="F5" s="1" t="str">
        <f t="shared" si="1"/>
        <v>Abigail Nice</v>
      </c>
      <c r="G5" s="1" t="s">
        <v>27</v>
      </c>
      <c r="H5" s="1" t="str">
        <f t="shared" si="3"/>
        <v>J0000244991</v>
      </c>
      <c r="I5" s="2">
        <v>46023.0</v>
      </c>
      <c r="J5" s="2">
        <v>46080.0</v>
      </c>
      <c r="K5" s="1" t="s">
        <v>15</v>
      </c>
      <c r="L5" s="1" t="s">
        <v>28</v>
      </c>
      <c r="M5" s="5">
        <v>24.0</v>
      </c>
      <c r="N5" s="1" t="str">
        <f t="shared" si="2"/>
        <v>2/1/2026</v>
      </c>
      <c r="O5" s="4" t="s">
        <v>197</v>
      </c>
    </row>
    <row r="6">
      <c r="A6" s="1" t="s">
        <v>11</v>
      </c>
      <c r="C6" s="1">
        <v>1.7425766E7</v>
      </c>
      <c r="D6" s="1" t="s">
        <v>29</v>
      </c>
      <c r="E6" s="1" t="s">
        <v>30</v>
      </c>
      <c r="F6" s="1" t="str">
        <f t="shared" si="1"/>
        <v>Annvy Washington</v>
      </c>
      <c r="G6" s="1" t="s">
        <v>31</v>
      </c>
      <c r="H6" s="1" t="str">
        <f t="shared" si="3"/>
        <v>J0000133431</v>
      </c>
      <c r="I6" s="2">
        <v>46023.0</v>
      </c>
      <c r="J6" s="2">
        <v>46080.0</v>
      </c>
      <c r="K6" s="1" t="s">
        <v>15</v>
      </c>
      <c r="L6" s="1" t="s">
        <v>28</v>
      </c>
      <c r="M6" s="5">
        <v>24.0</v>
      </c>
      <c r="N6" s="1" t="str">
        <f t="shared" si="2"/>
        <v>2/1/2026</v>
      </c>
      <c r="O6" s="4" t="s">
        <v>197</v>
      </c>
    </row>
    <row r="7">
      <c r="A7" s="4" t="s">
        <v>198</v>
      </c>
      <c r="C7" s="1">
        <v>1.7429706E7</v>
      </c>
      <c r="D7" s="1" t="s">
        <v>32</v>
      </c>
      <c r="E7" s="1" t="s">
        <v>33</v>
      </c>
      <c r="F7" s="1" t="str">
        <f t="shared" si="1"/>
        <v>Benjamin Holland</v>
      </c>
      <c r="G7" s="1" t="s">
        <v>34</v>
      </c>
      <c r="H7" s="1" t="str">
        <f>concat(G7,"OVR")</f>
        <v>J000046422OVR</v>
      </c>
      <c r="I7" s="2">
        <v>46023.0</v>
      </c>
      <c r="J7" s="2">
        <v>46080.0</v>
      </c>
      <c r="K7" s="1" t="s">
        <v>15</v>
      </c>
      <c r="L7" s="1" t="s">
        <v>28</v>
      </c>
      <c r="M7" s="5">
        <v>4.0</v>
      </c>
      <c r="N7" s="1" t="str">
        <f t="shared" si="2"/>
        <v>2/1/2026</v>
      </c>
      <c r="O7" s="4" t="s">
        <v>199</v>
      </c>
    </row>
    <row r="8">
      <c r="A8" s="1" t="s">
        <v>21</v>
      </c>
      <c r="C8" s="1">
        <v>1.5278437E7</v>
      </c>
      <c r="D8" s="1" t="s">
        <v>35</v>
      </c>
      <c r="E8" s="1" t="s">
        <v>36</v>
      </c>
      <c r="F8" s="1" t="str">
        <f t="shared" si="1"/>
        <v>Christina Sparrow</v>
      </c>
      <c r="G8" s="1" t="s">
        <v>37</v>
      </c>
      <c r="H8" s="1" t="str">
        <f t="shared" ref="H8:H11" si="4">concat(G8,1)</f>
        <v>J0000413211</v>
      </c>
      <c r="I8" s="2">
        <v>46023.0</v>
      </c>
      <c r="J8" s="2">
        <v>46080.0</v>
      </c>
      <c r="K8" s="1" t="s">
        <v>15</v>
      </c>
      <c r="L8" s="1" t="s">
        <v>28</v>
      </c>
      <c r="M8" s="5">
        <v>24.0</v>
      </c>
      <c r="N8" s="1" t="str">
        <f t="shared" si="2"/>
        <v>2/1/2026</v>
      </c>
      <c r="O8" s="4" t="s">
        <v>197</v>
      </c>
    </row>
    <row r="9">
      <c r="A9" s="1" t="s">
        <v>38</v>
      </c>
      <c r="C9" s="1">
        <v>1.879474E7</v>
      </c>
      <c r="D9" s="1" t="s">
        <v>39</v>
      </c>
      <c r="E9" s="1" t="s">
        <v>40</v>
      </c>
      <c r="F9" s="1" t="str">
        <f t="shared" si="1"/>
        <v>Dalvinder Matharu</v>
      </c>
      <c r="G9" s="1" t="s">
        <v>41</v>
      </c>
      <c r="H9" s="1" t="str">
        <f t="shared" si="4"/>
        <v>J0000414841</v>
      </c>
      <c r="I9" s="2">
        <v>46023.0</v>
      </c>
      <c r="J9" s="2">
        <v>46080.0</v>
      </c>
      <c r="K9" s="1" t="s">
        <v>15</v>
      </c>
      <c r="L9" s="1" t="s">
        <v>28</v>
      </c>
      <c r="M9" s="5">
        <v>24.0</v>
      </c>
      <c r="N9" s="1" t="str">
        <f t="shared" si="2"/>
        <v>2/1/2026</v>
      </c>
      <c r="O9" s="4" t="s">
        <v>197</v>
      </c>
    </row>
    <row r="10">
      <c r="A10" s="1" t="s">
        <v>11</v>
      </c>
      <c r="C10" s="1">
        <v>1.7425766E7</v>
      </c>
      <c r="D10" s="1" t="s">
        <v>42</v>
      </c>
      <c r="E10" s="1" t="s">
        <v>43</v>
      </c>
      <c r="F10" s="1" t="str">
        <f t="shared" si="1"/>
        <v>Diane Didonato</v>
      </c>
      <c r="G10" s="1" t="s">
        <v>44</v>
      </c>
      <c r="H10" s="1" t="str">
        <f t="shared" si="4"/>
        <v>J0000232161</v>
      </c>
      <c r="I10" s="2">
        <v>46023.0</v>
      </c>
      <c r="J10" s="2">
        <v>46080.0</v>
      </c>
      <c r="K10" s="1" t="s">
        <v>15</v>
      </c>
      <c r="L10" s="1" t="s">
        <v>28</v>
      </c>
      <c r="M10" s="5">
        <v>24.0</v>
      </c>
      <c r="N10" s="1" t="str">
        <f t="shared" si="2"/>
        <v>2/1/2026</v>
      </c>
      <c r="O10" s="4" t="s">
        <v>197</v>
      </c>
    </row>
    <row r="11">
      <c r="A11" s="1" t="s">
        <v>21</v>
      </c>
      <c r="C11" s="1">
        <v>1.5278437E7</v>
      </c>
      <c r="D11" s="1" t="s">
        <v>45</v>
      </c>
      <c r="E11" s="1" t="s">
        <v>46</v>
      </c>
      <c r="F11" s="1" t="str">
        <f t="shared" si="1"/>
        <v>Dylan Fritzinger</v>
      </c>
      <c r="G11" s="1" t="s">
        <v>47</v>
      </c>
      <c r="H11" s="1" t="str">
        <f t="shared" si="4"/>
        <v>J0000459951</v>
      </c>
      <c r="I11" s="2">
        <v>46023.0</v>
      </c>
      <c r="J11" s="2">
        <v>46080.0</v>
      </c>
      <c r="K11" s="1" t="s">
        <v>15</v>
      </c>
      <c r="L11" s="1" t="s">
        <v>28</v>
      </c>
      <c r="M11" s="5">
        <v>24.0</v>
      </c>
      <c r="N11" s="1" t="str">
        <f t="shared" si="2"/>
        <v>2/1/2026</v>
      </c>
      <c r="O11" s="4" t="s">
        <v>197</v>
      </c>
    </row>
    <row r="12">
      <c r="A12" s="4" t="s">
        <v>198</v>
      </c>
      <c r="C12" s="1">
        <v>1.7429706E7</v>
      </c>
      <c r="D12" s="1" t="s">
        <v>48</v>
      </c>
      <c r="E12" s="1" t="s">
        <v>49</v>
      </c>
      <c r="F12" s="1" t="str">
        <f t="shared" si="1"/>
        <v>Edwin Shavers</v>
      </c>
      <c r="G12" s="1" t="s">
        <v>50</v>
      </c>
      <c r="H12" s="1" t="str">
        <f>concat(G12,"OVR")</f>
        <v>J000041244OVR</v>
      </c>
      <c r="I12" s="2">
        <v>46023.0</v>
      </c>
      <c r="J12" s="2">
        <v>46080.0</v>
      </c>
      <c r="K12" s="1" t="s">
        <v>15</v>
      </c>
      <c r="L12" s="1" t="s">
        <v>28</v>
      </c>
      <c r="M12" s="5">
        <v>4.0</v>
      </c>
      <c r="N12" s="1" t="str">
        <f t="shared" si="2"/>
        <v>2/1/2026</v>
      </c>
      <c r="O12" s="4" t="s">
        <v>199</v>
      </c>
    </row>
    <row r="13">
      <c r="A13" s="1" t="s">
        <v>21</v>
      </c>
      <c r="C13" s="1">
        <v>1.5278437E7</v>
      </c>
      <c r="D13" s="1" t="s">
        <v>51</v>
      </c>
      <c r="E13" s="1" t="s">
        <v>52</v>
      </c>
      <c r="F13" s="1" t="str">
        <f t="shared" si="1"/>
        <v>Fatma Ahmed</v>
      </c>
      <c r="G13" s="1" t="s">
        <v>53</v>
      </c>
      <c r="H13" s="1" t="str">
        <f t="shared" ref="H13:H16" si="5">concat(G13,1)</f>
        <v>J0000467171</v>
      </c>
      <c r="I13" s="2">
        <v>46023.0</v>
      </c>
      <c r="J13" s="2">
        <v>46080.0</v>
      </c>
      <c r="K13" s="1" t="s">
        <v>15</v>
      </c>
      <c r="L13" s="1" t="s">
        <v>28</v>
      </c>
      <c r="M13" s="5">
        <v>24.0</v>
      </c>
      <c r="N13" s="1" t="str">
        <f t="shared" si="2"/>
        <v>2/1/2026</v>
      </c>
      <c r="O13" s="4" t="s">
        <v>197</v>
      </c>
    </row>
    <row r="14">
      <c r="A14" s="1" t="s">
        <v>54</v>
      </c>
      <c r="C14" s="1">
        <v>2.1605264E7</v>
      </c>
      <c r="D14" s="1" t="s">
        <v>55</v>
      </c>
      <c r="E14" s="1" t="s">
        <v>56</v>
      </c>
      <c r="F14" s="1" t="str">
        <f t="shared" si="1"/>
        <v>Gail Graham</v>
      </c>
      <c r="G14" s="1" t="s">
        <v>57</v>
      </c>
      <c r="H14" s="1" t="str">
        <f t="shared" si="5"/>
        <v>J0000285381</v>
      </c>
      <c r="I14" s="2">
        <v>46023.0</v>
      </c>
      <c r="J14" s="2">
        <v>46080.0</v>
      </c>
      <c r="K14" s="1" t="s">
        <v>15</v>
      </c>
      <c r="L14" s="1" t="s">
        <v>28</v>
      </c>
      <c r="M14" s="5">
        <v>24.0</v>
      </c>
      <c r="N14" s="1" t="str">
        <f t="shared" si="2"/>
        <v>2/1/2026</v>
      </c>
      <c r="O14" s="4" t="s">
        <v>197</v>
      </c>
    </row>
    <row r="15">
      <c r="A15" s="1" t="s">
        <v>58</v>
      </c>
      <c r="C15" s="1">
        <v>1.8598357E7</v>
      </c>
      <c r="D15" s="1" t="s">
        <v>59</v>
      </c>
      <c r="E15" s="1" t="s">
        <v>60</v>
      </c>
      <c r="F15" s="1" t="str">
        <f t="shared" si="1"/>
        <v>Gayatria Jones</v>
      </c>
      <c r="G15" s="1" t="s">
        <v>61</v>
      </c>
      <c r="H15" s="1" t="str">
        <f t="shared" si="5"/>
        <v>J0000436181</v>
      </c>
      <c r="I15" s="2">
        <v>46023.0</v>
      </c>
      <c r="J15" s="2">
        <v>46080.0</v>
      </c>
      <c r="K15" s="1" t="s">
        <v>15</v>
      </c>
      <c r="L15" s="1" t="s">
        <v>28</v>
      </c>
      <c r="M15" s="5">
        <v>24.0</v>
      </c>
      <c r="N15" s="1" t="str">
        <f t="shared" si="2"/>
        <v>2/1/2026</v>
      </c>
      <c r="O15" s="4" t="s">
        <v>197</v>
      </c>
    </row>
    <row r="16">
      <c r="A16" s="1" t="s">
        <v>21</v>
      </c>
      <c r="C16" s="1">
        <v>1.5278437E7</v>
      </c>
      <c r="D16" s="1" t="s">
        <v>62</v>
      </c>
      <c r="E16" s="1" t="s">
        <v>63</v>
      </c>
      <c r="F16" s="1" t="str">
        <f t="shared" si="1"/>
        <v>Hilary Chentow</v>
      </c>
      <c r="G16" s="1" t="s">
        <v>64</v>
      </c>
      <c r="H16" s="1" t="str">
        <f t="shared" si="5"/>
        <v>J0000449661</v>
      </c>
      <c r="I16" s="2">
        <v>46023.0</v>
      </c>
      <c r="J16" s="2">
        <v>46080.0</v>
      </c>
      <c r="K16" s="1" t="s">
        <v>15</v>
      </c>
      <c r="L16" s="1" t="s">
        <v>28</v>
      </c>
      <c r="M16" s="5">
        <v>24.0</v>
      </c>
      <c r="N16" s="1" t="str">
        <f t="shared" si="2"/>
        <v>2/1/2026</v>
      </c>
      <c r="O16" s="4" t="s">
        <v>197</v>
      </c>
    </row>
    <row r="17">
      <c r="A17" s="4" t="s">
        <v>198</v>
      </c>
      <c r="C17" s="1">
        <v>1.7429706E7</v>
      </c>
      <c r="D17" s="1" t="s">
        <v>65</v>
      </c>
      <c r="E17" s="1" t="s">
        <v>66</v>
      </c>
      <c r="F17" s="1" t="str">
        <f t="shared" si="1"/>
        <v>Jacob Leschinsky</v>
      </c>
      <c r="G17" s="1" t="s">
        <v>67</v>
      </c>
      <c r="H17" s="1" t="str">
        <f t="shared" ref="H17:H18" si="6">concat(G17,"OVR")</f>
        <v>J000046267OVR</v>
      </c>
      <c r="I17" s="2">
        <v>46023.0</v>
      </c>
      <c r="J17" s="2">
        <v>46080.0</v>
      </c>
      <c r="K17" s="1" t="s">
        <v>15</v>
      </c>
      <c r="L17" s="1" t="s">
        <v>28</v>
      </c>
      <c r="M17" s="5">
        <v>4.0</v>
      </c>
      <c r="N17" s="1" t="str">
        <f t="shared" si="2"/>
        <v>2/1/2026</v>
      </c>
      <c r="O17" s="4" t="s">
        <v>199</v>
      </c>
    </row>
    <row r="18">
      <c r="A18" s="4" t="s">
        <v>198</v>
      </c>
      <c r="C18" s="1">
        <v>1.7640026E7</v>
      </c>
      <c r="D18" s="1" t="s">
        <v>69</v>
      </c>
      <c r="E18" s="1" t="s">
        <v>70</v>
      </c>
      <c r="F18" s="1" t="str">
        <f t="shared" si="1"/>
        <v>Jose Ferrufino</v>
      </c>
      <c r="G18" s="1" t="s">
        <v>71</v>
      </c>
      <c r="H18" s="1" t="str">
        <f t="shared" si="6"/>
        <v>J000035289OVR</v>
      </c>
      <c r="I18" s="2">
        <v>46023.0</v>
      </c>
      <c r="J18" s="2">
        <v>46080.0</v>
      </c>
      <c r="K18" s="1" t="s">
        <v>15</v>
      </c>
      <c r="L18" s="1" t="s">
        <v>28</v>
      </c>
      <c r="M18" s="5">
        <v>4.0</v>
      </c>
      <c r="N18" s="1" t="str">
        <f t="shared" si="2"/>
        <v>2/1/2026</v>
      </c>
      <c r="O18" s="4" t="s">
        <v>199</v>
      </c>
    </row>
    <row r="19">
      <c r="A19" s="1" t="s">
        <v>38</v>
      </c>
      <c r="C19" s="1">
        <v>1.879474E7</v>
      </c>
      <c r="D19" s="1" t="s">
        <v>72</v>
      </c>
      <c r="E19" s="1" t="s">
        <v>73</v>
      </c>
      <c r="F19" s="1" t="str">
        <f t="shared" si="1"/>
        <v>Kayden Walschburger</v>
      </c>
      <c r="G19" s="1" t="s">
        <v>74</v>
      </c>
      <c r="H19" s="1" t="str">
        <f>concat(G19,1)</f>
        <v>J0000457361</v>
      </c>
      <c r="I19" s="2">
        <v>46023.0</v>
      </c>
      <c r="J19" s="2">
        <v>46080.0</v>
      </c>
      <c r="K19" s="1" t="s">
        <v>15</v>
      </c>
      <c r="L19" s="1" t="s">
        <v>28</v>
      </c>
      <c r="M19" s="5">
        <v>24.0</v>
      </c>
      <c r="N19" s="1" t="str">
        <f t="shared" si="2"/>
        <v>2/1/2026</v>
      </c>
      <c r="O19" s="4" t="s">
        <v>197</v>
      </c>
    </row>
    <row r="20">
      <c r="A20" s="4" t="s">
        <v>198</v>
      </c>
      <c r="C20" s="1">
        <v>1.7429706E7</v>
      </c>
      <c r="D20" s="1" t="s">
        <v>75</v>
      </c>
      <c r="E20" s="1" t="s">
        <v>76</v>
      </c>
      <c r="F20" s="1" t="str">
        <f t="shared" si="1"/>
        <v>Kelsey Shappell</v>
      </c>
      <c r="G20" s="1" t="s">
        <v>77</v>
      </c>
      <c r="H20" s="1" t="str">
        <f>concat(G20,"OVR")</f>
        <v>J000041139OVR</v>
      </c>
      <c r="I20" s="2">
        <v>46023.0</v>
      </c>
      <c r="J20" s="2">
        <v>46080.0</v>
      </c>
      <c r="K20" s="1" t="s">
        <v>15</v>
      </c>
      <c r="L20" s="1" t="s">
        <v>28</v>
      </c>
      <c r="M20" s="5">
        <v>4.0</v>
      </c>
      <c r="N20" s="1" t="str">
        <f t="shared" si="2"/>
        <v>2/1/2026</v>
      </c>
      <c r="O20" s="4" t="s">
        <v>199</v>
      </c>
    </row>
    <row r="21">
      <c r="A21" s="1" t="s">
        <v>11</v>
      </c>
      <c r="C21" s="1">
        <v>1.7425766E7</v>
      </c>
      <c r="D21" s="1" t="s">
        <v>78</v>
      </c>
      <c r="E21" s="1" t="s">
        <v>79</v>
      </c>
      <c r="F21" s="1" t="str">
        <f t="shared" si="1"/>
        <v>Lisa Blassingale</v>
      </c>
      <c r="G21" s="1" t="s">
        <v>80</v>
      </c>
      <c r="H21" s="1" t="str">
        <f t="shared" ref="H21:H33" si="7">concat(G21,1)</f>
        <v>J0000320391</v>
      </c>
      <c r="I21" s="2">
        <v>46023.0</v>
      </c>
      <c r="J21" s="2">
        <v>46080.0</v>
      </c>
      <c r="K21" s="1" t="s">
        <v>15</v>
      </c>
      <c r="L21" s="1" t="s">
        <v>28</v>
      </c>
      <c r="M21" s="5">
        <v>24.0</v>
      </c>
      <c r="N21" s="1" t="str">
        <f t="shared" si="2"/>
        <v>2/1/2026</v>
      </c>
      <c r="O21" s="4" t="s">
        <v>197</v>
      </c>
    </row>
    <row r="22">
      <c r="A22" s="1" t="s">
        <v>11</v>
      </c>
      <c r="C22" s="1">
        <v>1.7425766E7</v>
      </c>
      <c r="D22" s="1" t="s">
        <v>81</v>
      </c>
      <c r="E22" s="1" t="s">
        <v>82</v>
      </c>
      <c r="F22" s="1" t="str">
        <f t="shared" si="1"/>
        <v>Marcellus Pegram</v>
      </c>
      <c r="G22" s="1" t="s">
        <v>83</v>
      </c>
      <c r="H22" s="1" t="str">
        <f t="shared" si="7"/>
        <v>J0000379131</v>
      </c>
      <c r="I22" s="2">
        <v>46023.0</v>
      </c>
      <c r="J22" s="2">
        <v>46080.0</v>
      </c>
      <c r="K22" s="1" t="s">
        <v>15</v>
      </c>
      <c r="L22" s="1" t="s">
        <v>28</v>
      </c>
      <c r="M22" s="5">
        <v>24.0</v>
      </c>
      <c r="N22" s="1" t="str">
        <f t="shared" si="2"/>
        <v>2/1/2026</v>
      </c>
      <c r="O22" s="4" t="s">
        <v>197</v>
      </c>
    </row>
    <row r="23">
      <c r="A23" s="1" t="s">
        <v>21</v>
      </c>
      <c r="C23" s="1">
        <v>1.5278437E7</v>
      </c>
      <c r="D23" s="1" t="s">
        <v>84</v>
      </c>
      <c r="E23" s="1" t="s">
        <v>85</v>
      </c>
      <c r="F23" s="1" t="str">
        <f t="shared" si="1"/>
        <v>Mark Swartley</v>
      </c>
      <c r="G23" s="1" t="s">
        <v>86</v>
      </c>
      <c r="H23" s="1" t="str">
        <f t="shared" si="7"/>
        <v>J0000420171</v>
      </c>
      <c r="I23" s="2">
        <v>46023.0</v>
      </c>
      <c r="J23" s="2">
        <v>46080.0</v>
      </c>
      <c r="K23" s="1" t="s">
        <v>15</v>
      </c>
      <c r="L23" s="1" t="s">
        <v>28</v>
      </c>
      <c r="M23" s="5">
        <v>24.0</v>
      </c>
      <c r="N23" s="1" t="str">
        <f t="shared" si="2"/>
        <v>2/1/2026</v>
      </c>
      <c r="O23" s="4" t="s">
        <v>197</v>
      </c>
    </row>
    <row r="24">
      <c r="A24" s="1" t="s">
        <v>21</v>
      </c>
      <c r="C24" s="1">
        <v>1.5278437E7</v>
      </c>
      <c r="D24" s="1" t="s">
        <v>87</v>
      </c>
      <c r="E24" s="1" t="s">
        <v>88</v>
      </c>
      <c r="F24" s="1" t="str">
        <f t="shared" si="1"/>
        <v>Michelle Lightcap</v>
      </c>
      <c r="G24" s="1" t="s">
        <v>89</v>
      </c>
      <c r="H24" s="1" t="str">
        <f t="shared" si="7"/>
        <v>J0000448581</v>
      </c>
      <c r="I24" s="2">
        <v>46023.0</v>
      </c>
      <c r="J24" s="2">
        <v>46080.0</v>
      </c>
      <c r="K24" s="1" t="s">
        <v>15</v>
      </c>
      <c r="L24" s="1" t="s">
        <v>28</v>
      </c>
      <c r="M24" s="5">
        <v>24.0</v>
      </c>
      <c r="N24" s="1" t="str">
        <f t="shared" si="2"/>
        <v>2/1/2026</v>
      </c>
      <c r="O24" s="4" t="s">
        <v>197</v>
      </c>
    </row>
    <row r="25">
      <c r="A25" s="1" t="s">
        <v>21</v>
      </c>
      <c r="C25" s="1">
        <v>1.5278437E7</v>
      </c>
      <c r="D25" s="1" t="s">
        <v>90</v>
      </c>
      <c r="E25" s="1" t="s">
        <v>91</v>
      </c>
      <c r="F25" s="1" t="str">
        <f t="shared" si="1"/>
        <v>Monica Ramos</v>
      </c>
      <c r="G25" s="1" t="s">
        <v>92</v>
      </c>
      <c r="H25" s="1" t="str">
        <f t="shared" si="7"/>
        <v>J0000463441</v>
      </c>
      <c r="I25" s="2">
        <v>46023.0</v>
      </c>
      <c r="J25" s="2">
        <v>46080.0</v>
      </c>
      <c r="K25" s="1" t="s">
        <v>15</v>
      </c>
      <c r="L25" s="1" t="s">
        <v>28</v>
      </c>
      <c r="M25" s="5">
        <v>24.0</v>
      </c>
      <c r="N25" s="1" t="str">
        <f t="shared" si="2"/>
        <v>2/1/2026</v>
      </c>
      <c r="O25" s="4" t="s">
        <v>197</v>
      </c>
    </row>
    <row r="26">
      <c r="A26" s="1" t="s">
        <v>54</v>
      </c>
      <c r="C26" s="1">
        <v>2.1605264E7</v>
      </c>
      <c r="D26" s="1" t="s">
        <v>12</v>
      </c>
      <c r="E26" s="1" t="s">
        <v>93</v>
      </c>
      <c r="F26" s="1" t="str">
        <f t="shared" si="1"/>
        <v>Pamela Wagner</v>
      </c>
      <c r="G26" s="1" t="s">
        <v>94</v>
      </c>
      <c r="H26" s="1" t="str">
        <f t="shared" si="7"/>
        <v>J0000422721</v>
      </c>
      <c r="I26" s="2">
        <v>46023.0</v>
      </c>
      <c r="J26" s="2">
        <v>46080.0</v>
      </c>
      <c r="K26" s="1" t="s">
        <v>15</v>
      </c>
      <c r="L26" s="1" t="s">
        <v>28</v>
      </c>
      <c r="M26" s="5">
        <v>24.0</v>
      </c>
      <c r="N26" s="1" t="str">
        <f t="shared" si="2"/>
        <v>2/1/2026</v>
      </c>
      <c r="O26" s="4" t="s">
        <v>197</v>
      </c>
    </row>
    <row r="27">
      <c r="A27" s="1" t="s">
        <v>11</v>
      </c>
      <c r="C27" s="1">
        <v>1.7425766E7</v>
      </c>
      <c r="D27" s="1" t="s">
        <v>95</v>
      </c>
      <c r="E27" s="1" t="s">
        <v>96</v>
      </c>
      <c r="F27" s="1" t="str">
        <f t="shared" si="1"/>
        <v>Paul Marwah</v>
      </c>
      <c r="G27" s="1" t="s">
        <v>97</v>
      </c>
      <c r="H27" s="1" t="str">
        <f t="shared" si="7"/>
        <v>J0000341461</v>
      </c>
      <c r="I27" s="2">
        <v>46023.0</v>
      </c>
      <c r="J27" s="2">
        <v>46080.0</v>
      </c>
      <c r="K27" s="1" t="s">
        <v>15</v>
      </c>
      <c r="L27" s="1" t="s">
        <v>28</v>
      </c>
      <c r="M27" s="5">
        <v>24.0</v>
      </c>
      <c r="N27" s="1" t="str">
        <f t="shared" si="2"/>
        <v>2/1/2026</v>
      </c>
      <c r="O27" s="4" t="s">
        <v>197</v>
      </c>
    </row>
    <row r="28">
      <c r="A28" s="1" t="s">
        <v>11</v>
      </c>
      <c r="C28" s="1">
        <v>1.7425766E7</v>
      </c>
      <c r="D28" s="1" t="s">
        <v>98</v>
      </c>
      <c r="E28" s="1" t="s">
        <v>99</v>
      </c>
      <c r="F28" s="1" t="str">
        <f t="shared" si="1"/>
        <v>Robert Papile</v>
      </c>
      <c r="G28" s="1" t="s">
        <v>100</v>
      </c>
      <c r="H28" s="1" t="str">
        <f t="shared" si="7"/>
        <v>J0000048441</v>
      </c>
      <c r="I28" s="2">
        <v>46023.0</v>
      </c>
      <c r="J28" s="2">
        <v>46080.0</v>
      </c>
      <c r="K28" s="1" t="s">
        <v>15</v>
      </c>
      <c r="L28" s="1" t="s">
        <v>28</v>
      </c>
      <c r="M28" s="5">
        <v>24.0</v>
      </c>
      <c r="N28" s="1" t="str">
        <f t="shared" si="2"/>
        <v>2/1/2026</v>
      </c>
      <c r="O28" s="4" t="s">
        <v>197</v>
      </c>
    </row>
    <row r="29">
      <c r="A29" s="1" t="s">
        <v>58</v>
      </c>
      <c r="C29" s="1">
        <v>1.8598357E7</v>
      </c>
      <c r="D29" s="1" t="s">
        <v>101</v>
      </c>
      <c r="E29" s="1" t="s">
        <v>102</v>
      </c>
      <c r="F29" s="1" t="str">
        <f t="shared" si="1"/>
        <v>Shamani Mohottige</v>
      </c>
      <c r="G29" s="1" t="s">
        <v>103</v>
      </c>
      <c r="H29" s="1" t="str">
        <f t="shared" si="7"/>
        <v>J0000467411</v>
      </c>
      <c r="I29" s="2">
        <v>46023.0</v>
      </c>
      <c r="J29" s="2">
        <v>46080.0</v>
      </c>
      <c r="K29" s="1" t="s">
        <v>15</v>
      </c>
      <c r="L29" s="1" t="s">
        <v>28</v>
      </c>
      <c r="M29" s="5">
        <v>24.0</v>
      </c>
      <c r="N29" s="1" t="str">
        <f t="shared" si="2"/>
        <v>2/1/2026</v>
      </c>
      <c r="O29" s="4" t="s">
        <v>197</v>
      </c>
    </row>
    <row r="30">
      <c r="A30" s="1" t="s">
        <v>38</v>
      </c>
      <c r="C30" s="1">
        <v>1.879474E7</v>
      </c>
      <c r="D30" s="1" t="s">
        <v>104</v>
      </c>
      <c r="E30" s="1" t="s">
        <v>105</v>
      </c>
      <c r="F30" s="1" t="str">
        <f t="shared" si="1"/>
        <v>Shannon Dundore</v>
      </c>
      <c r="G30" s="1" t="s">
        <v>106</v>
      </c>
      <c r="H30" s="1" t="str">
        <f t="shared" si="7"/>
        <v>J0000354981</v>
      </c>
      <c r="I30" s="2">
        <v>46023.0</v>
      </c>
      <c r="J30" s="2">
        <v>46080.0</v>
      </c>
      <c r="K30" s="1" t="s">
        <v>15</v>
      </c>
      <c r="L30" s="1" t="s">
        <v>28</v>
      </c>
      <c r="M30" s="5">
        <v>24.0</v>
      </c>
      <c r="N30" s="1" t="str">
        <f t="shared" si="2"/>
        <v>2/1/2026</v>
      </c>
      <c r="O30" s="4" t="s">
        <v>197</v>
      </c>
    </row>
    <row r="31">
      <c r="A31" s="1" t="s">
        <v>58</v>
      </c>
      <c r="C31" s="1">
        <v>1.8598357E7</v>
      </c>
      <c r="D31" s="1" t="s">
        <v>107</v>
      </c>
      <c r="E31" s="1" t="s">
        <v>108</v>
      </c>
      <c r="F31" s="1" t="str">
        <f t="shared" si="1"/>
        <v>Sharon Sherene Robinson Stewart</v>
      </c>
      <c r="G31" s="1" t="s">
        <v>109</v>
      </c>
      <c r="H31" s="1" t="str">
        <f t="shared" si="7"/>
        <v>J0000343921</v>
      </c>
      <c r="I31" s="2">
        <v>46023.0</v>
      </c>
      <c r="J31" s="2">
        <v>46080.0</v>
      </c>
      <c r="K31" s="1" t="s">
        <v>15</v>
      </c>
      <c r="L31" s="1" t="s">
        <v>28</v>
      </c>
      <c r="M31" s="5">
        <v>24.0</v>
      </c>
      <c r="N31" s="1" t="str">
        <f t="shared" si="2"/>
        <v>2/1/2026</v>
      </c>
      <c r="O31" s="4" t="s">
        <v>197</v>
      </c>
    </row>
    <row r="32">
      <c r="A32" s="1" t="s">
        <v>21</v>
      </c>
      <c r="C32" s="1">
        <v>1.5278437E7</v>
      </c>
      <c r="D32" s="1" t="s">
        <v>110</v>
      </c>
      <c r="E32" s="1" t="s">
        <v>111</v>
      </c>
      <c r="F32" s="1" t="str">
        <f t="shared" si="1"/>
        <v>Tara Owens</v>
      </c>
      <c r="G32" s="1" t="s">
        <v>112</v>
      </c>
      <c r="H32" s="1" t="str">
        <f t="shared" si="7"/>
        <v>J0000285881</v>
      </c>
      <c r="I32" s="2">
        <v>46023.0</v>
      </c>
      <c r="J32" s="2">
        <v>46080.0</v>
      </c>
      <c r="K32" s="1" t="s">
        <v>15</v>
      </c>
      <c r="L32" s="1" t="s">
        <v>28</v>
      </c>
      <c r="M32" s="5">
        <v>24.0</v>
      </c>
      <c r="N32" s="1" t="str">
        <f t="shared" si="2"/>
        <v>2/1/2026</v>
      </c>
      <c r="O32" s="4" t="s">
        <v>197</v>
      </c>
    </row>
    <row r="33">
      <c r="A33" s="1" t="s">
        <v>11</v>
      </c>
      <c r="C33" s="1">
        <v>1.7425766E7</v>
      </c>
      <c r="D33" s="1" t="s">
        <v>113</v>
      </c>
      <c r="E33" s="1" t="s">
        <v>114</v>
      </c>
      <c r="F33" s="1" t="str">
        <f t="shared" si="1"/>
        <v>Yaisa Ugas</v>
      </c>
      <c r="G33" s="1" t="s">
        <v>115</v>
      </c>
      <c r="H33" s="1" t="str">
        <f t="shared" si="7"/>
        <v>J0000369741</v>
      </c>
      <c r="I33" s="2">
        <v>46054.0</v>
      </c>
      <c r="J33" s="2">
        <v>46080.0</v>
      </c>
      <c r="K33" s="1" t="s">
        <v>15</v>
      </c>
      <c r="L33" s="1" t="s">
        <v>28</v>
      </c>
      <c r="M33" s="5">
        <v>24.0</v>
      </c>
      <c r="N33" s="1" t="str">
        <f t="shared" si="2"/>
        <v>2/1/2026</v>
      </c>
      <c r="O33" s="4" t="s">
        <v>197</v>
      </c>
    </row>
    <row r="34">
      <c r="A34" s="4" t="s">
        <v>198</v>
      </c>
      <c r="C34" s="1">
        <v>1.7429706E7</v>
      </c>
      <c r="D34" s="1" t="s">
        <v>116</v>
      </c>
      <c r="E34" s="1" t="s">
        <v>117</v>
      </c>
      <c r="F34" s="1" t="str">
        <f t="shared" si="1"/>
        <v>India Neal</v>
      </c>
      <c r="G34" s="1" t="s">
        <v>118</v>
      </c>
      <c r="H34" s="1" t="str">
        <f>concat(G34,"OVR")</f>
        <v>J000053052OVR</v>
      </c>
      <c r="I34" s="2">
        <v>46054.0</v>
      </c>
      <c r="J34" s="2">
        <v>46080.0</v>
      </c>
      <c r="K34" s="1" t="s">
        <v>15</v>
      </c>
      <c r="L34" s="1" t="s">
        <v>28</v>
      </c>
      <c r="M34" s="5">
        <v>4.0</v>
      </c>
      <c r="N34" s="1" t="str">
        <f t="shared" si="2"/>
        <v>2/1/2026</v>
      </c>
      <c r="O34" s="4" t="s">
        <v>199</v>
      </c>
    </row>
    <row r="35">
      <c r="A35" s="1" t="s">
        <v>21</v>
      </c>
      <c r="C35" s="1">
        <v>1.5278437E7</v>
      </c>
      <c r="D35" s="1" t="s">
        <v>22</v>
      </c>
      <c r="E35" s="1" t="s">
        <v>23</v>
      </c>
      <c r="F35" s="1" t="str">
        <f t="shared" si="1"/>
        <v>Ryan Leckie</v>
      </c>
      <c r="G35" s="1" t="s">
        <v>24</v>
      </c>
      <c r="H35" s="1" t="str">
        <f>concat(G35,1)</f>
        <v>J0000513341</v>
      </c>
      <c r="I35" s="2">
        <v>46023.0</v>
      </c>
      <c r="J35" s="2">
        <v>46080.0</v>
      </c>
      <c r="K35" s="1" t="s">
        <v>15</v>
      </c>
      <c r="L35" s="1" t="s">
        <v>28</v>
      </c>
      <c r="M35" s="5">
        <v>24.0</v>
      </c>
      <c r="N35" s="1" t="str">
        <f t="shared" si="2"/>
        <v>2/1/2026</v>
      </c>
      <c r="O35" s="4" t="s">
        <v>197</v>
      </c>
    </row>
    <row r="36">
      <c r="A36" s="4" t="s">
        <v>198</v>
      </c>
      <c r="C36" s="1">
        <v>1.7429706E7</v>
      </c>
      <c r="D36" s="1" t="s">
        <v>119</v>
      </c>
      <c r="E36" s="1" t="s">
        <v>120</v>
      </c>
      <c r="F36" s="1" t="str">
        <f t="shared" si="1"/>
        <v>Kirsten Boran</v>
      </c>
      <c r="G36" s="1" t="s">
        <v>121</v>
      </c>
      <c r="H36" s="1" t="str">
        <f>concat(G36,"OVR")</f>
        <v>J000050267OVR</v>
      </c>
      <c r="I36" s="2">
        <v>46054.0</v>
      </c>
      <c r="J36" s="2">
        <v>46080.0</v>
      </c>
      <c r="K36" s="1" t="s">
        <v>15</v>
      </c>
      <c r="L36" s="1" t="s">
        <v>28</v>
      </c>
      <c r="M36" s="5">
        <v>4.0</v>
      </c>
      <c r="N36" s="1" t="str">
        <f t="shared" si="2"/>
        <v>2/1/2026</v>
      </c>
      <c r="O36" s="4" t="s">
        <v>199</v>
      </c>
    </row>
    <row r="37">
      <c r="A37" s="1" t="s">
        <v>38</v>
      </c>
      <c r="C37" s="1">
        <v>1.879474E7</v>
      </c>
      <c r="D37" s="1" t="s">
        <v>122</v>
      </c>
      <c r="E37" s="1" t="s">
        <v>123</v>
      </c>
      <c r="F37" s="1" t="str">
        <f t="shared" si="1"/>
        <v>Myles Bloomfield</v>
      </c>
      <c r="G37" s="1" t="s">
        <v>124</v>
      </c>
      <c r="H37" s="1" t="str">
        <f t="shared" ref="H37:H52" si="8">concat(G37,1)</f>
        <v>J0000500821</v>
      </c>
      <c r="I37" s="2">
        <v>46054.0</v>
      </c>
      <c r="J37" s="2">
        <v>46080.0</v>
      </c>
      <c r="K37" s="1" t="s">
        <v>15</v>
      </c>
      <c r="L37" s="1" t="s">
        <v>28</v>
      </c>
      <c r="M37" s="5">
        <v>24.0</v>
      </c>
      <c r="N37" s="1" t="str">
        <f t="shared" si="2"/>
        <v>2/1/2026</v>
      </c>
      <c r="O37" s="4" t="s">
        <v>197</v>
      </c>
    </row>
    <row r="38">
      <c r="A38" s="1" t="s">
        <v>38</v>
      </c>
      <c r="C38" s="1">
        <v>1.879474E7</v>
      </c>
      <c r="D38" s="1" t="s">
        <v>125</v>
      </c>
      <c r="E38" s="1" t="s">
        <v>123</v>
      </c>
      <c r="F38" s="1" t="str">
        <f t="shared" si="1"/>
        <v>Ava Bloomfield</v>
      </c>
      <c r="G38" s="1" t="s">
        <v>126</v>
      </c>
      <c r="H38" s="1" t="str">
        <f t="shared" si="8"/>
        <v>J0000500831</v>
      </c>
      <c r="I38" s="2">
        <v>46054.0</v>
      </c>
      <c r="J38" s="2">
        <v>46080.0</v>
      </c>
      <c r="K38" s="1" t="s">
        <v>15</v>
      </c>
      <c r="L38" s="1" t="s">
        <v>28</v>
      </c>
      <c r="M38" s="5">
        <v>24.0</v>
      </c>
      <c r="N38" s="1" t="str">
        <f t="shared" si="2"/>
        <v>2/1/2026</v>
      </c>
      <c r="O38" s="4" t="s">
        <v>197</v>
      </c>
    </row>
    <row r="39">
      <c r="A39" s="1" t="s">
        <v>21</v>
      </c>
      <c r="C39" s="1">
        <v>1.5278437E7</v>
      </c>
      <c r="D39" s="1" t="s">
        <v>127</v>
      </c>
      <c r="E39" s="1" t="s">
        <v>128</v>
      </c>
      <c r="F39" s="1" t="str">
        <f t="shared" si="1"/>
        <v>Molly Hoogendoorn</v>
      </c>
      <c r="G39" s="1" t="s">
        <v>129</v>
      </c>
      <c r="H39" s="1" t="str">
        <f t="shared" si="8"/>
        <v>J0000517961</v>
      </c>
      <c r="I39" s="2">
        <v>46054.0</v>
      </c>
      <c r="J39" s="2">
        <v>46080.0</v>
      </c>
      <c r="K39" s="1" t="s">
        <v>15</v>
      </c>
      <c r="L39" s="1" t="s">
        <v>28</v>
      </c>
      <c r="M39" s="5">
        <v>24.0</v>
      </c>
      <c r="N39" s="1" t="str">
        <f t="shared" si="2"/>
        <v>2/1/2026</v>
      </c>
      <c r="O39" s="4" t="s">
        <v>197</v>
      </c>
    </row>
    <row r="40">
      <c r="A40" s="1" t="s">
        <v>54</v>
      </c>
      <c r="C40" s="1">
        <v>2.1605264E7</v>
      </c>
      <c r="D40" s="1" t="s">
        <v>130</v>
      </c>
      <c r="E40" s="1" t="s">
        <v>131</v>
      </c>
      <c r="F40" s="1" t="str">
        <f t="shared" si="1"/>
        <v>Jill Wakefield</v>
      </c>
      <c r="G40" s="1" t="s">
        <v>132</v>
      </c>
      <c r="H40" s="1" t="str">
        <f t="shared" si="8"/>
        <v>J0000515571</v>
      </c>
      <c r="I40" s="2">
        <v>46054.0</v>
      </c>
      <c r="J40" s="2">
        <v>46080.0</v>
      </c>
      <c r="K40" s="1" t="s">
        <v>15</v>
      </c>
      <c r="L40" s="1" t="s">
        <v>28</v>
      </c>
      <c r="M40" s="5">
        <v>24.0</v>
      </c>
      <c r="N40" s="1" t="str">
        <f t="shared" si="2"/>
        <v>2/1/2026</v>
      </c>
      <c r="O40" s="4" t="s">
        <v>197</v>
      </c>
    </row>
    <row r="41">
      <c r="A41" s="1" t="s">
        <v>11</v>
      </c>
      <c r="C41" s="1">
        <v>1.7425766E7</v>
      </c>
      <c r="D41" s="1" t="s">
        <v>133</v>
      </c>
      <c r="E41" s="1" t="s">
        <v>134</v>
      </c>
      <c r="F41" s="1" t="str">
        <f t="shared" si="1"/>
        <v>Yun Lin Chen</v>
      </c>
      <c r="G41" s="1" t="s">
        <v>135</v>
      </c>
      <c r="H41" s="1" t="str">
        <f t="shared" si="8"/>
        <v>J0000526381</v>
      </c>
      <c r="I41" s="2">
        <v>46023.0</v>
      </c>
      <c r="J41" s="2">
        <v>46080.0</v>
      </c>
      <c r="K41" s="1" t="s">
        <v>15</v>
      </c>
      <c r="L41" s="1" t="s">
        <v>136</v>
      </c>
      <c r="M41" s="5">
        <v>48.0</v>
      </c>
      <c r="N41" s="1" t="str">
        <f t="shared" si="2"/>
        <v>1/1/2026</v>
      </c>
      <c r="O41" s="4" t="s">
        <v>197</v>
      </c>
      <c r="P41" s="4" t="s">
        <v>200</v>
      </c>
    </row>
    <row r="42">
      <c r="A42" s="1" t="s">
        <v>54</v>
      </c>
      <c r="C42" s="1">
        <v>2.1605264E7</v>
      </c>
      <c r="D42" s="1" t="s">
        <v>137</v>
      </c>
      <c r="E42" s="1" t="s">
        <v>138</v>
      </c>
      <c r="F42" s="1" t="str">
        <f t="shared" si="1"/>
        <v>Bret Wirth</v>
      </c>
      <c r="G42" s="1" t="s">
        <v>139</v>
      </c>
      <c r="H42" s="1" t="str">
        <f t="shared" si="8"/>
        <v>J0000317911</v>
      </c>
      <c r="I42" s="2">
        <v>46023.0</v>
      </c>
      <c r="J42" s="2">
        <v>46080.0</v>
      </c>
      <c r="K42" s="1" t="s">
        <v>15</v>
      </c>
      <c r="L42" s="1" t="s">
        <v>140</v>
      </c>
      <c r="M42" s="5">
        <v>48.0</v>
      </c>
      <c r="N42" s="1" t="str">
        <f t="shared" si="2"/>
        <v>2/1/2026</v>
      </c>
      <c r="O42" s="4" t="s">
        <v>197</v>
      </c>
      <c r="P42" s="4" t="s">
        <v>200</v>
      </c>
    </row>
    <row r="43">
      <c r="A43" s="1" t="s">
        <v>38</v>
      </c>
      <c r="C43" s="1">
        <v>1.879474E7</v>
      </c>
      <c r="D43" s="1" t="s">
        <v>141</v>
      </c>
      <c r="E43" s="1" t="s">
        <v>73</v>
      </c>
      <c r="F43" s="1" t="str">
        <f t="shared" si="1"/>
        <v>Brian Walschburger</v>
      </c>
      <c r="G43" s="1" t="s">
        <v>142</v>
      </c>
      <c r="H43" s="1" t="str">
        <f t="shared" si="8"/>
        <v>J0000457201</v>
      </c>
      <c r="I43" s="2">
        <v>46023.0</v>
      </c>
      <c r="J43" s="2">
        <v>46080.0</v>
      </c>
      <c r="K43" s="1" t="s">
        <v>15</v>
      </c>
      <c r="L43" s="1" t="s">
        <v>140</v>
      </c>
      <c r="M43" s="5">
        <v>48.0</v>
      </c>
      <c r="N43" s="1" t="str">
        <f t="shared" si="2"/>
        <v>2/1/2026</v>
      </c>
      <c r="O43" s="4" t="s">
        <v>197</v>
      </c>
      <c r="P43" s="4" t="s">
        <v>200</v>
      </c>
    </row>
    <row r="44">
      <c r="A44" s="1" t="s">
        <v>21</v>
      </c>
      <c r="C44" s="1">
        <v>1.5278437E7</v>
      </c>
      <c r="D44" s="1" t="s">
        <v>143</v>
      </c>
      <c r="E44" s="1" t="s">
        <v>144</v>
      </c>
      <c r="F44" s="1" t="str">
        <f t="shared" si="1"/>
        <v>Geraldine Strouphar</v>
      </c>
      <c r="G44" s="1" t="s">
        <v>145</v>
      </c>
      <c r="H44" s="1" t="str">
        <f t="shared" si="8"/>
        <v>J0000405301</v>
      </c>
      <c r="I44" s="2">
        <v>46023.0</v>
      </c>
      <c r="J44" s="2">
        <v>46080.0</v>
      </c>
      <c r="K44" s="1" t="s">
        <v>15</v>
      </c>
      <c r="L44" s="1" t="s">
        <v>140</v>
      </c>
      <c r="M44" s="5">
        <v>48.0</v>
      </c>
      <c r="N44" s="1" t="str">
        <f t="shared" si="2"/>
        <v>2/1/2026</v>
      </c>
      <c r="O44" s="4" t="s">
        <v>197</v>
      </c>
      <c r="P44" s="4" t="s">
        <v>200</v>
      </c>
    </row>
    <row r="45">
      <c r="A45" s="1" t="s">
        <v>38</v>
      </c>
      <c r="C45" s="1">
        <v>1.879474E7</v>
      </c>
      <c r="D45" s="1" t="s">
        <v>146</v>
      </c>
      <c r="E45" s="1" t="s">
        <v>147</v>
      </c>
      <c r="F45" s="1" t="str">
        <f t="shared" si="1"/>
        <v>Janssen Seidel</v>
      </c>
      <c r="G45" s="1" t="s">
        <v>148</v>
      </c>
      <c r="H45" s="1" t="str">
        <f t="shared" si="8"/>
        <v>J0000415281</v>
      </c>
      <c r="I45" s="2">
        <v>46023.0</v>
      </c>
      <c r="J45" s="2">
        <v>46080.0</v>
      </c>
      <c r="K45" s="1" t="s">
        <v>15</v>
      </c>
      <c r="L45" s="1" t="s">
        <v>140</v>
      </c>
      <c r="M45" s="5">
        <v>48.0</v>
      </c>
      <c r="N45" s="1" t="str">
        <f t="shared" si="2"/>
        <v>2/1/2026</v>
      </c>
      <c r="O45" s="4" t="s">
        <v>197</v>
      </c>
      <c r="P45" s="4" t="s">
        <v>200</v>
      </c>
    </row>
    <row r="46">
      <c r="A46" s="1" t="s">
        <v>21</v>
      </c>
      <c r="C46" s="1">
        <v>1.5278437E7</v>
      </c>
      <c r="D46" s="1" t="s">
        <v>149</v>
      </c>
      <c r="E46" s="1" t="s">
        <v>150</v>
      </c>
      <c r="F46" s="1" t="str">
        <f t="shared" si="1"/>
        <v>K Michael Hodges</v>
      </c>
      <c r="G46" s="1" t="s">
        <v>151</v>
      </c>
      <c r="H46" s="1" t="str">
        <f t="shared" si="8"/>
        <v>J0000436161</v>
      </c>
      <c r="I46" s="2">
        <v>46023.0</v>
      </c>
      <c r="J46" s="2">
        <v>46080.0</v>
      </c>
      <c r="K46" s="1" t="s">
        <v>15</v>
      </c>
      <c r="L46" s="1" t="s">
        <v>140</v>
      </c>
      <c r="M46" s="5">
        <v>48.0</v>
      </c>
      <c r="N46" s="1" t="str">
        <f t="shared" si="2"/>
        <v>2/1/2026</v>
      </c>
      <c r="O46" s="4" t="s">
        <v>197</v>
      </c>
      <c r="P46" s="4" t="s">
        <v>200</v>
      </c>
    </row>
    <row r="47">
      <c r="A47" s="1" t="s">
        <v>21</v>
      </c>
      <c r="C47" s="1">
        <v>1.5278437E7</v>
      </c>
      <c r="D47" s="1" t="s">
        <v>152</v>
      </c>
      <c r="E47" s="1" t="s">
        <v>153</v>
      </c>
      <c r="F47" s="1" t="str">
        <f t="shared" si="1"/>
        <v>Miguel Meneses</v>
      </c>
      <c r="G47" s="1" t="s">
        <v>154</v>
      </c>
      <c r="H47" s="1" t="str">
        <f t="shared" si="8"/>
        <v>J0000288081</v>
      </c>
      <c r="I47" s="2">
        <v>46023.0</v>
      </c>
      <c r="J47" s="2">
        <v>46080.0</v>
      </c>
      <c r="K47" s="1" t="s">
        <v>15</v>
      </c>
      <c r="L47" s="1" t="s">
        <v>140</v>
      </c>
      <c r="M47" s="5">
        <v>48.0</v>
      </c>
      <c r="N47" s="1" t="str">
        <f t="shared" si="2"/>
        <v>2/1/2026</v>
      </c>
      <c r="O47" s="4" t="s">
        <v>197</v>
      </c>
      <c r="P47" s="4" t="s">
        <v>200</v>
      </c>
    </row>
    <row r="48">
      <c r="A48" s="1" t="s">
        <v>21</v>
      </c>
      <c r="C48" s="1">
        <v>1.5278437E7</v>
      </c>
      <c r="D48" s="1" t="s">
        <v>155</v>
      </c>
      <c r="E48" s="1" t="s">
        <v>156</v>
      </c>
      <c r="F48" s="1" t="str">
        <f t="shared" si="1"/>
        <v>Ralph Rosa</v>
      </c>
      <c r="G48" s="1" t="s">
        <v>157</v>
      </c>
      <c r="H48" s="1" t="str">
        <f t="shared" si="8"/>
        <v>J0000371471</v>
      </c>
      <c r="I48" s="2">
        <v>46023.0</v>
      </c>
      <c r="J48" s="2">
        <v>46080.0</v>
      </c>
      <c r="K48" s="1" t="s">
        <v>15</v>
      </c>
      <c r="L48" s="1" t="s">
        <v>140</v>
      </c>
      <c r="M48" s="5">
        <v>48.0</v>
      </c>
      <c r="N48" s="1" t="str">
        <f t="shared" si="2"/>
        <v>2/1/2026</v>
      </c>
      <c r="O48" s="4" t="s">
        <v>197</v>
      </c>
      <c r="P48" s="4" t="s">
        <v>200</v>
      </c>
    </row>
    <row r="49">
      <c r="A49" s="1" t="s">
        <v>21</v>
      </c>
      <c r="C49" s="1">
        <v>1.5278437E7</v>
      </c>
      <c r="D49" s="1" t="s">
        <v>158</v>
      </c>
      <c r="E49" s="1" t="s">
        <v>159</v>
      </c>
      <c r="F49" s="1" t="str">
        <f t="shared" si="1"/>
        <v>Trung Pham</v>
      </c>
      <c r="G49" s="1" t="s">
        <v>160</v>
      </c>
      <c r="H49" s="1" t="str">
        <f t="shared" si="8"/>
        <v>J0000520451</v>
      </c>
      <c r="I49" s="2">
        <v>46054.0</v>
      </c>
      <c r="J49" s="2">
        <v>46080.0</v>
      </c>
      <c r="K49" s="1" t="s">
        <v>15</v>
      </c>
      <c r="L49" s="1" t="s">
        <v>140</v>
      </c>
      <c r="M49" s="5">
        <v>48.0</v>
      </c>
      <c r="N49" s="1" t="str">
        <f t="shared" si="2"/>
        <v>2/1/2026</v>
      </c>
      <c r="O49" s="4" t="s">
        <v>197</v>
      </c>
      <c r="P49" s="4" t="s">
        <v>200</v>
      </c>
    </row>
    <row r="50">
      <c r="A50" s="1" t="s">
        <v>11</v>
      </c>
      <c r="C50" s="1">
        <v>1.7425766E7</v>
      </c>
      <c r="D50" s="1" t="s">
        <v>133</v>
      </c>
      <c r="E50" s="1" t="s">
        <v>134</v>
      </c>
      <c r="F50" s="1" t="str">
        <f t="shared" si="1"/>
        <v>Yun Lin Chen</v>
      </c>
      <c r="G50" s="1" t="s">
        <v>135</v>
      </c>
      <c r="H50" s="1" t="str">
        <f t="shared" si="8"/>
        <v>J0000526381</v>
      </c>
      <c r="I50" s="2">
        <v>46023.0</v>
      </c>
      <c r="J50" s="2">
        <v>46080.0</v>
      </c>
      <c r="K50" s="1" t="s">
        <v>15</v>
      </c>
      <c r="L50" s="1" t="s">
        <v>140</v>
      </c>
      <c r="M50" s="5">
        <v>48.0</v>
      </c>
      <c r="N50" s="1" t="str">
        <f t="shared" si="2"/>
        <v>2/1/2026</v>
      </c>
      <c r="O50" s="4" t="s">
        <v>197</v>
      </c>
      <c r="P50" s="4" t="s">
        <v>200</v>
      </c>
    </row>
    <row r="51">
      <c r="A51" s="1" t="s">
        <v>21</v>
      </c>
      <c r="C51" s="1">
        <v>1.5278437E7</v>
      </c>
      <c r="D51" s="1" t="s">
        <v>161</v>
      </c>
      <c r="E51" s="1" t="s">
        <v>162</v>
      </c>
      <c r="F51" s="1" t="str">
        <f t="shared" si="1"/>
        <v>Adam Wilkins</v>
      </c>
      <c r="G51" s="1" t="s">
        <v>163</v>
      </c>
      <c r="H51" s="1" t="str">
        <f t="shared" si="8"/>
        <v>J0000520711</v>
      </c>
      <c r="I51" s="2">
        <v>46023.0</v>
      </c>
      <c r="J51" s="2">
        <v>46080.0</v>
      </c>
      <c r="K51" s="1" t="s">
        <v>15</v>
      </c>
      <c r="L51" s="1" t="s">
        <v>164</v>
      </c>
      <c r="M51" s="5">
        <v>72.0</v>
      </c>
      <c r="N51" s="1" t="str">
        <f t="shared" si="2"/>
        <v>1/1/2026</v>
      </c>
      <c r="O51" s="4" t="s">
        <v>197</v>
      </c>
      <c r="P51" s="4" t="s">
        <v>201</v>
      </c>
    </row>
    <row r="52">
      <c r="A52" s="1" t="s">
        <v>21</v>
      </c>
      <c r="C52" s="1">
        <v>1.5278437E7</v>
      </c>
      <c r="D52" s="1" t="s">
        <v>165</v>
      </c>
      <c r="E52" s="1" t="s">
        <v>166</v>
      </c>
      <c r="F52" s="1" t="str">
        <f t="shared" si="1"/>
        <v>Devon Swasey</v>
      </c>
      <c r="G52" s="1" t="s">
        <v>167</v>
      </c>
      <c r="H52" s="1" t="str">
        <f t="shared" si="8"/>
        <v>J0000481311</v>
      </c>
      <c r="I52" s="2">
        <v>46023.0</v>
      </c>
      <c r="J52" s="2">
        <v>46080.0</v>
      </c>
      <c r="K52" s="1" t="s">
        <v>15</v>
      </c>
      <c r="L52" s="1" t="s">
        <v>164</v>
      </c>
      <c r="M52" s="5">
        <v>72.0</v>
      </c>
      <c r="N52" s="1" t="str">
        <f t="shared" si="2"/>
        <v>1/1/2026</v>
      </c>
      <c r="O52" s="4" t="s">
        <v>197</v>
      </c>
      <c r="P52" s="4" t="s">
        <v>201</v>
      </c>
    </row>
    <row r="53">
      <c r="A53" s="4" t="s">
        <v>198</v>
      </c>
      <c r="C53" s="1">
        <v>2.1740129E7</v>
      </c>
      <c r="D53" s="1" t="s">
        <v>169</v>
      </c>
      <c r="E53" s="1" t="s">
        <v>170</v>
      </c>
      <c r="F53" s="1" t="str">
        <f t="shared" si="1"/>
        <v>Ian Snyder</v>
      </c>
      <c r="G53" s="1" t="s">
        <v>171</v>
      </c>
      <c r="H53" s="1" t="str">
        <f>concat(G53,"OVR")</f>
        <v>J000032614OVR</v>
      </c>
      <c r="I53" s="2">
        <v>46023.0</v>
      </c>
      <c r="J53" s="2">
        <v>46080.0</v>
      </c>
      <c r="K53" s="1" t="s">
        <v>15</v>
      </c>
      <c r="L53" s="1" t="s">
        <v>172</v>
      </c>
      <c r="M53" s="5">
        <v>12.0</v>
      </c>
      <c r="N53" s="1" t="str">
        <f t="shared" si="2"/>
        <v>2/1/2026</v>
      </c>
      <c r="O53" s="4" t="s">
        <v>199</v>
      </c>
    </row>
    <row r="54">
      <c r="A54" s="1" t="s">
        <v>21</v>
      </c>
      <c r="C54" s="1">
        <v>1.5278437E7</v>
      </c>
      <c r="D54" s="1" t="s">
        <v>161</v>
      </c>
      <c r="E54" s="1" t="s">
        <v>162</v>
      </c>
      <c r="F54" s="1" t="str">
        <f t="shared" si="1"/>
        <v>Adam Wilkins</v>
      </c>
      <c r="G54" s="1" t="s">
        <v>163</v>
      </c>
      <c r="H54" s="1" t="str">
        <f t="shared" ref="H54:H64" si="9">concat(G54,1)</f>
        <v>J0000520711</v>
      </c>
      <c r="I54" s="2">
        <v>46023.0</v>
      </c>
      <c r="J54" s="2">
        <v>46080.0</v>
      </c>
      <c r="K54" s="1" t="s">
        <v>15</v>
      </c>
      <c r="L54" s="1" t="s">
        <v>172</v>
      </c>
      <c r="M54" s="5">
        <v>72.0</v>
      </c>
      <c r="N54" s="1" t="str">
        <f t="shared" si="2"/>
        <v>2/1/2026</v>
      </c>
      <c r="O54" s="4" t="s">
        <v>197</v>
      </c>
      <c r="P54" s="4" t="s">
        <v>201</v>
      </c>
    </row>
    <row r="55">
      <c r="A55" s="1" t="s">
        <v>21</v>
      </c>
      <c r="C55" s="1">
        <v>1.5278437E7</v>
      </c>
      <c r="D55" s="1" t="s">
        <v>165</v>
      </c>
      <c r="E55" s="1" t="s">
        <v>166</v>
      </c>
      <c r="F55" s="1" t="str">
        <f t="shared" si="1"/>
        <v>Devon Swasey</v>
      </c>
      <c r="G55" s="1" t="s">
        <v>167</v>
      </c>
      <c r="H55" s="1" t="str">
        <f t="shared" si="9"/>
        <v>J0000481311</v>
      </c>
      <c r="I55" s="2">
        <v>46023.0</v>
      </c>
      <c r="J55" s="2">
        <v>46080.0</v>
      </c>
      <c r="K55" s="1" t="s">
        <v>15</v>
      </c>
      <c r="L55" s="1" t="s">
        <v>172</v>
      </c>
      <c r="M55" s="5">
        <v>72.0</v>
      </c>
      <c r="N55" s="1" t="str">
        <f t="shared" si="2"/>
        <v>2/1/2026</v>
      </c>
      <c r="O55" s="4" t="s">
        <v>197</v>
      </c>
      <c r="P55" s="4" t="s">
        <v>201</v>
      </c>
    </row>
    <row r="56">
      <c r="A56" s="1" t="s">
        <v>11</v>
      </c>
      <c r="C56" s="1">
        <v>1.7425766E7</v>
      </c>
      <c r="D56" s="1" t="s">
        <v>173</v>
      </c>
      <c r="E56" s="1" t="s">
        <v>174</v>
      </c>
      <c r="F56" s="1" t="str">
        <f t="shared" si="1"/>
        <v>Dominic Bavaro</v>
      </c>
      <c r="G56" s="1" t="s">
        <v>175</v>
      </c>
      <c r="H56" s="1" t="str">
        <f t="shared" si="9"/>
        <v>J0000274751</v>
      </c>
      <c r="I56" s="2">
        <v>46023.0</v>
      </c>
      <c r="J56" s="2">
        <v>46080.0</v>
      </c>
      <c r="K56" s="1" t="s">
        <v>15</v>
      </c>
      <c r="L56" s="1" t="s">
        <v>176</v>
      </c>
      <c r="M56" s="5">
        <v>96.0</v>
      </c>
      <c r="N56" s="1" t="str">
        <f t="shared" si="2"/>
        <v>1/1/2026</v>
      </c>
      <c r="O56" s="4" t="s">
        <v>197</v>
      </c>
      <c r="P56" s="4" t="s">
        <v>202</v>
      </c>
    </row>
    <row r="57">
      <c r="A57" s="1" t="s">
        <v>11</v>
      </c>
      <c r="C57" s="1">
        <v>1.7425766E7</v>
      </c>
      <c r="D57" s="1" t="s">
        <v>173</v>
      </c>
      <c r="E57" s="1" t="s">
        <v>174</v>
      </c>
      <c r="F57" s="1" t="str">
        <f t="shared" si="1"/>
        <v>Dominic Bavaro</v>
      </c>
      <c r="G57" s="1" t="s">
        <v>175</v>
      </c>
      <c r="H57" s="1" t="str">
        <f t="shared" si="9"/>
        <v>J0000274751</v>
      </c>
      <c r="I57" s="2">
        <v>46023.0</v>
      </c>
      <c r="J57" s="2">
        <v>46080.0</v>
      </c>
      <c r="K57" s="1" t="s">
        <v>15</v>
      </c>
      <c r="L57" s="1" t="s">
        <v>177</v>
      </c>
      <c r="M57" s="5">
        <v>96.0</v>
      </c>
      <c r="N57" s="1" t="str">
        <f t="shared" si="2"/>
        <v>2/1/2026</v>
      </c>
      <c r="O57" s="4" t="s">
        <v>197</v>
      </c>
      <c r="P57" s="4" t="s">
        <v>202</v>
      </c>
    </row>
    <row r="58">
      <c r="A58" s="1" t="s">
        <v>58</v>
      </c>
      <c r="C58" s="1">
        <v>1.8598357E7</v>
      </c>
      <c r="D58" s="1" t="s">
        <v>178</v>
      </c>
      <c r="E58" s="1" t="s">
        <v>179</v>
      </c>
      <c r="F58" s="1" t="str">
        <f t="shared" si="1"/>
        <v>Karl Yearde</v>
      </c>
      <c r="G58" s="1" t="s">
        <v>180</v>
      </c>
      <c r="H58" s="1" t="str">
        <f t="shared" si="9"/>
        <v>J0000366881</v>
      </c>
      <c r="I58" s="2">
        <v>46023.0</v>
      </c>
      <c r="J58" s="2">
        <v>46080.0</v>
      </c>
      <c r="K58" s="1" t="s">
        <v>15</v>
      </c>
      <c r="L58" s="1" t="s">
        <v>177</v>
      </c>
      <c r="M58" s="5">
        <v>96.0</v>
      </c>
      <c r="N58" s="1" t="str">
        <f t="shared" si="2"/>
        <v>2/1/2026</v>
      </c>
      <c r="O58" s="4" t="s">
        <v>197</v>
      </c>
      <c r="P58" s="4" t="s">
        <v>202</v>
      </c>
    </row>
    <row r="59">
      <c r="A59" s="1" t="s">
        <v>181</v>
      </c>
      <c r="C59" s="1">
        <v>2.17589E7</v>
      </c>
      <c r="D59" s="1" t="s">
        <v>182</v>
      </c>
      <c r="E59" s="1" t="s">
        <v>183</v>
      </c>
      <c r="F59" s="1" t="str">
        <f t="shared" si="1"/>
        <v>Malathi Bojja</v>
      </c>
      <c r="G59" s="1" t="s">
        <v>184</v>
      </c>
      <c r="H59" s="1" t="str">
        <f t="shared" si="9"/>
        <v>J0000462181</v>
      </c>
      <c r="I59" s="2">
        <v>46054.0</v>
      </c>
      <c r="J59" s="2">
        <v>46080.0</v>
      </c>
      <c r="K59" s="1" t="s">
        <v>15</v>
      </c>
      <c r="L59" s="1" t="s">
        <v>177</v>
      </c>
      <c r="M59" s="5">
        <v>96.0</v>
      </c>
      <c r="N59" s="1" t="str">
        <f t="shared" si="2"/>
        <v>2/1/2026</v>
      </c>
      <c r="O59" s="4" t="s">
        <v>197</v>
      </c>
      <c r="P59" s="4" t="s">
        <v>202</v>
      </c>
    </row>
    <row r="60">
      <c r="A60" s="1" t="s">
        <v>21</v>
      </c>
      <c r="C60" s="1">
        <v>1.5278437E7</v>
      </c>
      <c r="D60" s="1" t="s">
        <v>185</v>
      </c>
      <c r="E60" s="1" t="s">
        <v>186</v>
      </c>
      <c r="F60" s="1" t="str">
        <f t="shared" si="1"/>
        <v>Michael Pascal</v>
      </c>
      <c r="G60" s="1" t="s">
        <v>187</v>
      </c>
      <c r="H60" s="1" t="str">
        <f t="shared" si="9"/>
        <v>J0000477861</v>
      </c>
      <c r="I60" s="2">
        <v>46023.0</v>
      </c>
      <c r="J60" s="2">
        <v>46080.0</v>
      </c>
      <c r="K60" s="1" t="s">
        <v>15</v>
      </c>
      <c r="L60" s="1" t="s">
        <v>188</v>
      </c>
      <c r="M60" s="5">
        <v>120.0</v>
      </c>
      <c r="N60" s="1" t="str">
        <f t="shared" si="2"/>
        <v>1/1/2026</v>
      </c>
      <c r="O60" s="4" t="s">
        <v>197</v>
      </c>
      <c r="P60" s="4" t="s">
        <v>203</v>
      </c>
    </row>
    <row r="61">
      <c r="A61" s="1" t="s">
        <v>21</v>
      </c>
      <c r="C61" s="1">
        <v>1.5278437E7</v>
      </c>
      <c r="D61" s="1" t="s">
        <v>189</v>
      </c>
      <c r="E61" s="1" t="s">
        <v>190</v>
      </c>
      <c r="F61" s="1" t="str">
        <f t="shared" si="1"/>
        <v>Vikas Rathod</v>
      </c>
      <c r="G61" s="1" t="s">
        <v>191</v>
      </c>
      <c r="H61" s="1" t="str">
        <f t="shared" si="9"/>
        <v>J0000527321</v>
      </c>
      <c r="I61" s="2">
        <v>46023.0</v>
      </c>
      <c r="J61" s="2">
        <v>46080.0</v>
      </c>
      <c r="K61" s="1" t="s">
        <v>15</v>
      </c>
      <c r="L61" s="1" t="s">
        <v>188</v>
      </c>
      <c r="M61" s="5">
        <v>120.0</v>
      </c>
      <c r="N61" s="1" t="str">
        <f t="shared" si="2"/>
        <v>1/1/2026</v>
      </c>
      <c r="O61" s="4" t="s">
        <v>197</v>
      </c>
      <c r="P61" s="4" t="s">
        <v>203</v>
      </c>
    </row>
    <row r="62">
      <c r="A62" s="1" t="s">
        <v>11</v>
      </c>
      <c r="C62" s="1">
        <v>1.7425766E7</v>
      </c>
      <c r="D62" s="1" t="s">
        <v>192</v>
      </c>
      <c r="E62" s="1" t="s">
        <v>193</v>
      </c>
      <c r="F62" s="1" t="str">
        <f t="shared" si="1"/>
        <v>David Femia</v>
      </c>
      <c r="G62" s="1" t="s">
        <v>194</v>
      </c>
      <c r="H62" s="1" t="str">
        <f t="shared" si="9"/>
        <v>J0000335791</v>
      </c>
      <c r="I62" s="2">
        <v>46023.0</v>
      </c>
      <c r="J62" s="2">
        <v>46080.0</v>
      </c>
      <c r="K62" s="1" t="s">
        <v>15</v>
      </c>
      <c r="L62" s="1" t="s">
        <v>195</v>
      </c>
      <c r="M62" s="5">
        <v>120.0</v>
      </c>
      <c r="N62" s="1" t="str">
        <f t="shared" si="2"/>
        <v>2/1/2026</v>
      </c>
      <c r="O62" s="4" t="s">
        <v>197</v>
      </c>
      <c r="P62" s="4" t="s">
        <v>203</v>
      </c>
    </row>
    <row r="63">
      <c r="A63" s="1" t="s">
        <v>21</v>
      </c>
      <c r="C63" s="1">
        <v>1.5278437E7</v>
      </c>
      <c r="D63" s="1" t="s">
        <v>185</v>
      </c>
      <c r="E63" s="1" t="s">
        <v>186</v>
      </c>
      <c r="F63" s="1" t="str">
        <f t="shared" si="1"/>
        <v>Michael Pascal</v>
      </c>
      <c r="G63" s="1" t="s">
        <v>187</v>
      </c>
      <c r="H63" s="1" t="str">
        <f t="shared" si="9"/>
        <v>J0000477861</v>
      </c>
      <c r="I63" s="2">
        <v>46023.0</v>
      </c>
      <c r="J63" s="2">
        <v>46080.0</v>
      </c>
      <c r="K63" s="1" t="s">
        <v>15</v>
      </c>
      <c r="L63" s="1" t="s">
        <v>195</v>
      </c>
      <c r="M63" s="5">
        <v>120.0</v>
      </c>
      <c r="N63" s="1" t="str">
        <f t="shared" si="2"/>
        <v>2/1/2026</v>
      </c>
      <c r="O63" s="4" t="s">
        <v>197</v>
      </c>
      <c r="P63" s="4" t="s">
        <v>203</v>
      </c>
    </row>
    <row r="64">
      <c r="A64" s="1" t="s">
        <v>21</v>
      </c>
      <c r="C64" s="1">
        <v>1.5278437E7</v>
      </c>
      <c r="D64" s="1" t="s">
        <v>189</v>
      </c>
      <c r="E64" s="1" t="s">
        <v>190</v>
      </c>
      <c r="F64" s="1" t="str">
        <f t="shared" si="1"/>
        <v>Vikas Rathod</v>
      </c>
      <c r="G64" s="1" t="s">
        <v>191</v>
      </c>
      <c r="H64" s="1" t="str">
        <f t="shared" si="9"/>
        <v>J0000527321</v>
      </c>
      <c r="I64" s="2">
        <v>46023.0</v>
      </c>
      <c r="J64" s="2">
        <v>46080.0</v>
      </c>
      <c r="K64" s="1" t="s">
        <v>15</v>
      </c>
      <c r="L64" s="1" t="s">
        <v>195</v>
      </c>
      <c r="M64" s="5">
        <v>120.0</v>
      </c>
      <c r="N64" s="1" t="str">
        <f t="shared" si="2"/>
        <v>2/1/2026</v>
      </c>
      <c r="O64" s="4" t="s">
        <v>197</v>
      </c>
      <c r="P64" s="4" t="s">
        <v>203</v>
      </c>
    </row>
  </sheetData>
  <autoFilter ref="$A$1:$AB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2026-02-28T09:09:53Z</dcterms:created>
  <dc:creator>paras69</dc:creator>
</cp:coreProperties>
</file>