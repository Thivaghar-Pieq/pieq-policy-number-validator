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Jefferson health/Jefferson 12-27-24 from Ritter/"/>
    </mc:Choice>
  </mc:AlternateContent>
  <xr:revisionPtr revIDLastSave="0" documentId="13_ncr:1_{879A6CAD-9874-1741-A27B-0C293538B8AF}" xr6:coauthVersionLast="47" xr6:coauthVersionMax="47" xr10:uidLastSave="{00000000-0000-0000-0000-000000000000}"/>
  <bookViews>
    <workbookView xWindow="0" yWindow="500" windowWidth="19200" windowHeight="19340" activeTab="1" xr2:uid="{DEBE0B7C-5173-F34E-97E1-35A898196B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H3" i="2"/>
  <c r="H4" i="2"/>
  <c r="H5" i="2"/>
  <c r="H2" i="2"/>
  <c r="F3" i="2"/>
  <c r="F4" i="2"/>
  <c r="F5" i="2"/>
</calcChain>
</file>

<file path=xl/sharedStrings.xml><?xml version="1.0" encoding="utf-8"?>
<sst xmlns="http://schemas.openxmlformats.org/spreadsheetml/2006/main" count="72" uniqueCount="27">
  <si>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</si>
  <si>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</si>
  <si>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</si>
  <si>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</si>
  <si>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</si>
  <si>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</si>
  <si>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</si>
  <si>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</si>
  <si>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</si>
  <si>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</si>
  <si>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</si>
  <si>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</si>
  <si>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Marybeth</t>
  </si>
  <si>
    <t>Hucker</t>
  </si>
  <si>
    <t>J000008552</t>
  </si>
  <si>
    <t>Jefferson Health Plans U65</t>
  </si>
  <si>
    <t>Jefferson Health U65 2024 Full (ProRata: 1) Premium Period: 12/1/2024</t>
  </si>
  <si>
    <t>Robert</t>
  </si>
  <si>
    <t>Papile</t>
  </si>
  <si>
    <t>J000004844</t>
  </si>
  <si>
    <t>Annvy</t>
  </si>
  <si>
    <t>Washington</t>
  </si>
  <si>
    <t>J000013343</t>
  </si>
  <si>
    <t>Michael</t>
  </si>
  <si>
    <t>Figueroa</t>
  </si>
  <si>
    <t>J000010460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</si>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</sst>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5E7E-42EB-104C-920C-0194E4F0F039}">
  <dimension ref="A1:K5"/>
  <sheetViews>
    <sheetView workbookViewId="0">
      <selection sqref="A1:XFD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45383</v>
      </c>
      <c r="H2" s="1">
        <v>45653</v>
      </c>
      <c r="I2" t="s">
        <v>15</v>
      </c>
      <c r="J2" t="s">
        <v>16</v>
      </c>
      <c r="K2">
        <v>23</v>
      </c>
    </row>
    <row r="3" spans="1:11" x14ac:dyDescent="0.2">
      <c r="A3" t="s">
        <v>11</v>
      </c>
      <c r="C3">
        <v>17425766</v>
      </c>
      <c r="D3" t="s">
        <v>17</v>
      </c>
      <c r="E3" t="s">
        <v>18</v>
      </c>
      <c r="F3" t="s">
        <v>19</v>
      </c>
      <c r="G3" s="1">
        <v>45292</v>
      </c>
      <c r="H3" s="1">
        <v>45653</v>
      </c>
      <c r="I3" t="s">
        <v>15</v>
      </c>
      <c r="J3" t="s">
        <v>16</v>
      </c>
      <c r="K3">
        <v>23</v>
      </c>
    </row>
    <row r="4" spans="1:11" x14ac:dyDescent="0.2">
      <c r="A4" t="s">
        <v>11</v>
      </c>
      <c r="C4">
        <v>17425766</v>
      </c>
      <c r="D4" t="s">
        <v>20</v>
      </c>
      <c r="E4" t="s">
        <v>21</v>
      </c>
      <c r="F4" t="s">
        <v>22</v>
      </c>
      <c r="G4" s="1">
        <v>45566</v>
      </c>
      <c r="H4" s="1">
        <v>45653</v>
      </c>
      <c r="I4" t="s">
        <v>15</v>
      </c>
      <c r="J4" t="s">
        <v>16</v>
      </c>
      <c r="K4">
        <v>23</v>
      </c>
    </row>
    <row r="5" spans="1:11" x14ac:dyDescent="0.2">
      <c r="A5" t="s">
        <v>11</v>
      </c>
      <c r="C5">
        <v>17425766</v>
      </c>
      <c r="D5" t="s">
        <v>23</v>
      </c>
      <c r="E5" t="s">
        <v>24</v>
      </c>
      <c r="F5" t="s">
        <v>25</v>
      </c>
      <c r="G5" s="1">
        <v>45474</v>
      </c>
      <c r="H5" s="1">
        <v>45653</v>
      </c>
      <c r="I5" t="s">
        <v>15</v>
      </c>
      <c r="J5" t="s">
        <v>16</v>
      </c>
      <c r="K5">
        <v>23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5070-527A-ED44-B26B-8DB5A7E0A6D0}">
  <dimension ref="A1:M5"/>
  <sheetViews>
    <sheetView tabSelected="1" topLeftCell="G1" workbookViewId="0">
      <selection activeCell="M2" sqref="M2:M5"/>
    </sheetView>
  </sheetViews>
  <sheetFormatPr baseColWidth="10" defaultRowHeight="16" x14ac:dyDescent="0.2"/>
  <cols>
    <col min="6" max="6" width="15.6640625" bestFit="1" customWidth="1"/>
    <col min="8" max="8" width="11.83203125" bestFit="1" customWidth="1"/>
    <col min="11" max="11" width="22.6640625" bestFit="1" customWidth="1"/>
    <col min="12" max="12" width="59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11</v>
      </c>
      <c r="C2" t="s">
        <v>26</v>
      </c>
      <c r="D2" t="s">
        <v>12</v>
      </c>
      <c r="E2" t="s">
        <v>13</v>
      </c>
      <c r="F2" t="str">
        <f>CONCATENATE(D2, " ", E2)</f>
        <v>Marybeth Hucker</v>
      </c>
      <c r="G2" t="s">
        <v>14</v>
      </c>
      <c r="H2" t="str">
        <f>CONCATENATE(G2,1)</f>
        <v>J0000085521</v>
      </c>
      <c r="I2" s="1">
        <v>45383</v>
      </c>
      <c r="J2" s="1">
        <v>45653</v>
      </c>
      <c r="K2" t="s">
        <v>15</v>
      </c>
      <c r="L2" t="s">
        <v>16</v>
      </c>
      <c r="M2">
        <v>23</v>
      </c>
    </row>
    <row r="3" spans="1:13" x14ac:dyDescent="0.2">
      <c r="A3" t="s">
        <v>11</v>
      </c>
      <c r="C3" t="s">
        <v>26</v>
      </c>
      <c r="D3" t="s">
        <v>17</v>
      </c>
      <c r="E3" t="s">
        <v>18</v>
      </c>
      <c r="F3" t="str">
        <f t="shared" ref="F3:F5" si="0">CONCATENATE(D3, " ", E3)</f>
        <v>Robert Papile</v>
      </c>
      <c r="G3" t="s">
        <v>19</v>
      </c>
      <c r="H3" t="str">
        <f t="shared" ref="H3:H5" si="1">CONCATENATE(G3,1)</f>
        <v>J0000048441</v>
      </c>
      <c r="I3" s="1">
        <v>45292</v>
      </c>
      <c r="J3" s="1">
        <v>45653</v>
      </c>
      <c r="K3" t="s">
        <v>15</v>
      </c>
      <c r="L3" t="s">
        <v>16</v>
      </c>
      <c r="M3">
        <v>23</v>
      </c>
    </row>
    <row r="4" spans="1:13" x14ac:dyDescent="0.2">
      <c r="A4" t="s">
        <v>11</v>
      </c>
      <c r="C4">
        <v>17425766</v>
      </c>
      <c r="D4" t="s">
        <v>20</v>
      </c>
      <c r="E4" t="s">
        <v>21</v>
      </c>
      <c r="F4" t="str">
        <f t="shared" si="0"/>
        <v>Annvy Washington</v>
      </c>
      <c r="G4" t="s">
        <v>22</v>
      </c>
      <c r="H4" t="str">
        <f t="shared" si="1"/>
        <v>J0000133431</v>
      </c>
      <c r="I4" s="1">
        <v>45566</v>
      </c>
      <c r="J4" s="1">
        <v>45653</v>
      </c>
      <c r="K4" t="s">
        <v>15</v>
      </c>
      <c r="L4" t="s">
        <v>16</v>
      </c>
      <c r="M4">
        <v>23</v>
      </c>
    </row>
    <row r="5" spans="1:13" x14ac:dyDescent="0.2">
      <c r="A5" t="s">
        <v>11</v>
      </c>
      <c r="C5">
        <v>17425766</v>
      </c>
      <c r="D5" t="s">
        <v>23</v>
      </c>
      <c r="E5" t="s">
        <v>24</v>
      </c>
      <c r="F5" t="str">
        <f t="shared" si="0"/>
        <v>Michael Figueroa</v>
      </c>
      <c r="G5" t="s">
        <v>25</v>
      </c>
      <c r="H5" t="str">
        <f t="shared" si="1"/>
        <v>J0000104601</v>
      </c>
      <c r="I5" s="1">
        <v>45474</v>
      </c>
      <c r="J5" s="1">
        <v>45653</v>
      </c>
      <c r="K5" t="s">
        <v>15</v>
      </c>
      <c r="L5" t="s">
        <v>16</v>
      </c>
      <c r="M5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2025-01-02T15:24:48Z</dcterms:created>
  <dcterms:modified xsi:type="dcterms:W3CDTF">2025-01-06T16:07:01Z</dcterms:modified>
</cp:coreProperties>
</file>