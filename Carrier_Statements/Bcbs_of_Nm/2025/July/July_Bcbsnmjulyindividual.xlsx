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BCBS of NM\July\"/>
    </mc:Choice>
  </mc:AlternateContent>
  <xr:revisionPtr revIDLastSave="0" documentId="13_ncr:1_{119AE601-9F2F-4F92-88CB-393ACDF146F7}" xr6:coauthVersionLast="47" xr6:coauthVersionMax="47" xr10:uidLastSave="{00000000-0000-0000-0000-000000000000}"/>
  <bookViews>
    <workbookView xWindow="-57720" yWindow="-45" windowWidth="29040" windowHeight="15720" activeTab="1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" i="2" l="1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" i="2"/>
</calcChain>
</file>

<file path=xl/sharedStrings.xml><?xml version="1.0" encoding="utf-8"?>
<sst xmlns="http://schemas.openxmlformats.org/spreadsheetml/2006/main" count="1061" uniqueCount="162">
  <si>
    <t>Health Care Service Corporation</t>
  </si>
  <si>
    <t>Name:</t>
  </si>
  <si>
    <t>MAIN LINE BENEFITS LLC</t>
  </si>
  <si>
    <t xml:space="preserve">       300 East Randolph Street
     Chicago, Illinois 60601 - 5099</t>
  </si>
  <si>
    <t>PR Number:</t>
  </si>
  <si>
    <t>107881851</t>
  </si>
  <si>
    <t>State:</t>
  </si>
  <si>
    <t>NM</t>
  </si>
  <si>
    <r>
      <t>Producer Commission Data - Individual</t>
    </r>
    <r>
      <rPr>
        <sz val="18"/>
        <color rgb="FFFFFFFF"/>
        <rFont val="Arial"/>
        <family val="2"/>
      </rPr>
      <t xml:space="preserve">
For Period: July 2025</t>
    </r>
  </si>
  <si>
    <t>Client Key</t>
  </si>
  <si>
    <t xml:space="preserve">Calc Method
</t>
  </si>
  <si>
    <t>CreditProducer Type</t>
  </si>
  <si>
    <t xml:space="preserve">Producer  Name
</t>
  </si>
  <si>
    <t>Line of Business</t>
  </si>
  <si>
    <t xml:space="preserve">Group
</t>
  </si>
  <si>
    <t>Contracts/Members</t>
  </si>
  <si>
    <t xml:space="preserve">Subscriber
</t>
  </si>
  <si>
    <t>Group Subname</t>
  </si>
  <si>
    <t>Payment Type</t>
  </si>
  <si>
    <t>Collection Amount</t>
  </si>
  <si>
    <t>Paid To Date</t>
  </si>
  <si>
    <t>Effective Date</t>
  </si>
  <si>
    <t>Month Policy</t>
  </si>
  <si>
    <t>Product</t>
  </si>
  <si>
    <t>Split Indicator</t>
  </si>
  <si>
    <t>Split Percentage</t>
  </si>
  <si>
    <t>Commission Rate</t>
  </si>
  <si>
    <t>Commission Paid</t>
  </si>
  <si>
    <t>Service 
Rate</t>
  </si>
  <si>
    <t>Service Fee</t>
  </si>
  <si>
    <t>SubProducer  Number</t>
  </si>
  <si>
    <t>0001000101</t>
  </si>
  <si>
    <t>Zero_Flat</t>
  </si>
  <si>
    <t>PR</t>
  </si>
  <si>
    <t>107928718-SU-FRANK E LISKOVEC</t>
  </si>
  <si>
    <t>H</t>
  </si>
  <si>
    <t>0NM136</t>
  </si>
  <si>
    <t>1</t>
  </si>
  <si>
    <t>000804473464</t>
  </si>
  <si>
    <t>SHIPLETT, LAURA</t>
  </si>
  <si>
    <t>P</t>
  </si>
  <si>
    <t>000,000.00</t>
  </si>
  <si>
    <t>20250901</t>
  </si>
  <si>
    <t>20250101</t>
  </si>
  <si>
    <t>008</t>
  </si>
  <si>
    <t>MM4</t>
  </si>
  <si>
    <t>N</t>
  </si>
  <si>
    <t>$01.00</t>
  </si>
  <si>
    <t>0.0000</t>
  </si>
  <si>
    <t>107928718</t>
  </si>
  <si>
    <t>107928854-SU-BARRY L SCHUMANN</t>
  </si>
  <si>
    <t>0NM309</t>
  </si>
  <si>
    <t>000804175217</t>
  </si>
  <si>
    <t>DELOREY, ELIZABETH</t>
  </si>
  <si>
    <t>MM5</t>
  </si>
  <si>
    <t>107928854</t>
  </si>
  <si>
    <t>000804498097</t>
  </si>
  <si>
    <t>TAYLOR, BRIAN</t>
  </si>
  <si>
    <t>20250201</t>
  </si>
  <si>
    <t>007</t>
  </si>
  <si>
    <t>% Premium Flat</t>
  </si>
  <si>
    <t>107957973-SU-THOMAS PARDUE</t>
  </si>
  <si>
    <t>NG1800</t>
  </si>
  <si>
    <t>000926755746</t>
  </si>
  <si>
    <t>SHULTS, MONTY</t>
  </si>
  <si>
    <t>001,052.15</t>
  </si>
  <si>
    <t>20251001</t>
  </si>
  <si>
    <t>20250601</t>
  </si>
  <si>
    <t>004</t>
  </si>
  <si>
    <t>COMMUNITY^</t>
  </si>
  <si>
    <t>100.00</t>
  </si>
  <si>
    <t>0.0400</t>
  </si>
  <si>
    <t>000,042.09</t>
  </si>
  <si>
    <t>107957973</t>
  </si>
  <si>
    <t>003</t>
  </si>
  <si>
    <t>000926804496</t>
  </si>
  <si>
    <t>PADILLA, KACEY</t>
  </si>
  <si>
    <t>000,572.38</t>
  </si>
  <si>
    <t>20250301</t>
  </si>
  <si>
    <t>000,022.90</t>
  </si>
  <si>
    <t>006</t>
  </si>
  <si>
    <t>NG1302</t>
  </si>
  <si>
    <t>000926804771</t>
  </si>
  <si>
    <t>HUGAR, CHRISTOPHER</t>
  </si>
  <si>
    <t>001,146.36</t>
  </si>
  <si>
    <t>000,045.85</t>
  </si>
  <si>
    <t>NS1801</t>
  </si>
  <si>
    <t>000926805539</t>
  </si>
  <si>
    <t>NAICHE, TERESA</t>
  </si>
  <si>
    <t>000,666.01</t>
  </si>
  <si>
    <t>20250501</t>
  </si>
  <si>
    <t>005</t>
  </si>
  <si>
    <t>000,026.64</t>
  </si>
  <si>
    <t>000926805543</t>
  </si>
  <si>
    <t>JOHNSON, JAY</t>
  </si>
  <si>
    <t>000,360.54</t>
  </si>
  <si>
    <t>20250401</t>
  </si>
  <si>
    <t>000,014.42</t>
  </si>
  <si>
    <t>000926806737</t>
  </si>
  <si>
    <t>BITSUI, CASH</t>
  </si>
  <si>
    <t>000,211.84</t>
  </si>
  <si>
    <t>000,008.47</t>
  </si>
  <si>
    <t>000926806756</t>
  </si>
  <si>
    <t>GUERRO, MONICA</t>
  </si>
  <si>
    <t>000,581.51</t>
  </si>
  <si>
    <t>000,023.26</t>
  </si>
  <si>
    <t>000926806773</t>
  </si>
  <si>
    <t>BITSUI, TRINIDY</t>
  </si>
  <si>
    <t>000,252.82</t>
  </si>
  <si>
    <t>000,010.11</t>
  </si>
  <si>
    <t>000926807060</t>
  </si>
  <si>
    <t>KEMP, ANGENI</t>
  </si>
  <si>
    <t>000,387.67</t>
  </si>
  <si>
    <t>000,015.51</t>
  </si>
  <si>
    <t>000926807377</t>
  </si>
  <si>
    <t>ANTONIO, THERESA</t>
  </si>
  <si>
    <t>20250701</t>
  </si>
  <si>
    <t>002</t>
  </si>
  <si>
    <t>NG1401</t>
  </si>
  <si>
    <t>000926807940</t>
  </si>
  <si>
    <t>MARTINEZ, JOSEPH</t>
  </si>
  <si>
    <t>000,336.96</t>
  </si>
  <si>
    <t>000,013.48</t>
  </si>
  <si>
    <t>000926808082</t>
  </si>
  <si>
    <t>WILLIS, REYCITA</t>
  </si>
  <si>
    <t>000,720.80</t>
  </si>
  <si>
    <t>20250801</t>
  </si>
  <si>
    <t>000,028.83</t>
  </si>
  <si>
    <t>000926808229</t>
  </si>
  <si>
    <t>JARNAGIN, KIMBERLY</t>
  </si>
  <si>
    <t>000,646.03</t>
  </si>
  <si>
    <t>000,025.84</t>
  </si>
  <si>
    <t>001</t>
  </si>
  <si>
    <t>000926808233</t>
  </si>
  <si>
    <t>BESSELENTE, SHAWN</t>
  </si>
  <si>
    <t>000,432.81</t>
  </si>
  <si>
    <t>000,017.31</t>
  </si>
  <si>
    <t>000926808241</t>
  </si>
  <si>
    <t>GONZALEZ, MICHELE</t>
  </si>
  <si>
    <t>000,495.45</t>
  </si>
  <si>
    <t>000,019.82</t>
  </si>
  <si>
    <t>000926808447</t>
  </si>
  <si>
    <t>BETSUIE, ADRIANA</t>
  </si>
  <si>
    <t>000,376.04</t>
  </si>
  <si>
    <t>000,015.04</t>
  </si>
  <si>
    <t>000926808509</t>
  </si>
  <si>
    <t>YAZZIE, FERNIE</t>
  </si>
  <si>
    <t>000,516.44</t>
  </si>
  <si>
    <t>000,020.66</t>
  </si>
  <si>
    <t>000926808799</t>
  </si>
  <si>
    <t>YAZZIE, ELERINA</t>
  </si>
  <si>
    <t>000926808988</t>
  </si>
  <si>
    <t>SMITH, URSULA</t>
  </si>
  <si>
    <t>000,483.04</t>
  </si>
  <si>
    <t>000,019.32</t>
  </si>
  <si>
    <t>NS1301</t>
  </si>
  <si>
    <t>000944219413</t>
  </si>
  <si>
    <t>GRIMSLEY, JANA</t>
  </si>
  <si>
    <t>001,385.44</t>
  </si>
  <si>
    <t>000,055.42</t>
  </si>
  <si>
    <t>THOMAS PARDUE</t>
  </si>
  <si>
    <t>BCBS of NM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</si>
</sst>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  <charset val="1"/>
    </font>
    <font>
      <b/>
      <sz val="11"/>
      <color rgb="FF808080"/>
      <name val="Arial"/>
      <family val="16"/>
      <charset val="1"/>
    </font>
    <font>
      <b/>
      <sz val="10"/>
      <color rgb="FF808080"/>
      <name val="Arial"/>
      <family val="16"/>
      <charset val="1"/>
    </font>
    <font>
      <sz val="11"/>
      <color rgb="FF808080"/>
      <name val="Arial"/>
      <family val="16"/>
      <charset val="1"/>
    </font>
    <font>
      <b/>
      <sz val="18"/>
      <color rgb="FFFFFFFF"/>
      <name val="Arial"/>
      <family val="16"/>
      <charset val="1"/>
    </font>
    <font>
      <b/>
      <sz val="9"/>
      <color rgb="FFFFFFFF"/>
      <name val="Arial"/>
      <family val="16"/>
      <charset val="1"/>
    </font>
    <font>
      <sz val="9"/>
      <color rgb="FF000000"/>
      <name val="ARIAL"/>
      <family val="16"/>
      <charset val="1"/>
    </font>
    <font>
      <sz val="18"/>
      <color rgb="FFFFFFFF"/>
      <name val="Arial"/>
      <family val="2"/>
    </font>
    <font>
      <sz val="10"/>
      <color rgb="FF00000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0066FF"/>
      </patternFill>
    </fill>
    <fill>
      <patternFill patternType="solid">
        <fgColor rgb="FF808080"/>
      </patternFill>
    </fill>
  </fills>
  <borders count="2">
    <border>
      <left/>
      <right/>
      <top/>
      <bottom/>
      <diagonal/>
    </border>
    <border>
      <left/>
      <right style="thin">
        <color auto="1"/>
      </right>
      <top/>
      <bottom/>
      <diagonal/>
    </border>
  </borders>
  <cellStyleXfs count="2">
    <xf numFmtId="0" fontId="0" fillId="0" borderId="0"/>
    <xf numFmtId="9" fontId="8" fillId="0" borderId="0" applyFont="0" applyFill="0" applyBorder="0" applyAlignment="0" applyProtection="0"/>
  </cellStyleXfs>
  <cellXfs count="20">
    <xf numFmtId="0" fontId="0" fillId="0" borderId="0" xfId="0"/>
    <xf numFmtId="0" fontId="2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horizontal="center" vertical="top"/>
    </xf>
    <xf numFmtId="0" fontId="6" fillId="0" borderId="0" xfId="0" applyFont="1" applyAlignment="1">
      <alignment horizontal="right" vertical="top"/>
    </xf>
    <xf numFmtId="0" fontId="5" fillId="3" borderId="1" xfId="0" applyFont="1" applyFill="1" applyBorder="1" applyAlignment="1">
      <alignment horizontal="left" vertical="top" wrapText="1"/>
    </xf>
    <xf numFmtId="0" fontId="0" fillId="0" borderId="0" xfId="0" applyAlignment="1">
      <alignment horizontal="left"/>
    </xf>
    <xf numFmtId="4" fontId="6" fillId="0" borderId="0" xfId="0" applyNumberFormat="1" applyFont="1" applyAlignment="1">
      <alignment horizontal="left" vertical="top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0" fontId="5" fillId="3" borderId="1" xfId="0" applyFont="1" applyFill="1" applyBorder="1" applyAlignment="1">
      <alignment horizontal="center" vertical="top" wrapText="1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horizontal="center" vertical="top"/>
    </xf>
    <xf numFmtId="0" fontId="6" fillId="0" borderId="0" xfId="0" applyFont="1" applyAlignment="1">
      <alignment horizontal="right" vertical="top"/>
    </xf>
    <xf numFmtId="9" fontId="5" fillId="3" borderId="1" xfId="1" applyFont="1" applyFill="1" applyBorder="1" applyAlignment="1">
      <alignment horizontal="left" vertical="top" wrapText="1"/>
    </xf>
    <xf numFmtId="9" fontId="0" fillId="0" borderId="0" xfId="1" applyFont="1" applyAlignment="1">
      <alignment horizontal="left"/>
    </xf>
    <xf numFmtId="9" fontId="6" fillId="0" borderId="0" xfId="1" applyFont="1" applyAlignment="1">
      <alignment horizontal="left" vertical="top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G61"/>
  <sheetViews>
    <sheetView showGridLines="0" workbookViewId="0">
      <selection sqref="A1:XFD1048576"/>
    </sheetView>
  </sheetViews>
  <sheetFormatPr defaultColWidth="6.85546875" defaultRowHeight="12.75" customHeight="1" x14ac:dyDescent="0.2"/>
  <cols>
    <col min="1" max="1" width="10.42578125" customWidth="1"/>
    <col min="2" max="2" width="2.140625" customWidth="1"/>
    <col min="3" max="3" width="9.42578125" customWidth="1"/>
    <col min="4" max="4" width="2" customWidth="1"/>
    <col min="5" max="5" width="10.140625" customWidth="1"/>
    <col min="6" max="6" width="1.140625" customWidth="1"/>
    <col min="7" max="7" width="1.5703125" customWidth="1"/>
    <col min="8" max="8" width="27.140625" customWidth="1"/>
    <col min="9" max="9" width="22" customWidth="1"/>
    <col min="10" max="10" width="8.7109375" customWidth="1"/>
    <col min="11" max="11" width="10.28515625" customWidth="1"/>
    <col min="12" max="12" width="10.5703125" customWidth="1"/>
    <col min="13" max="14" width="1.140625" customWidth="1"/>
    <col min="15" max="15" width="11.7109375" customWidth="1"/>
    <col min="16" max="16" width="20.7109375" customWidth="1"/>
    <col min="17" max="17" width="2.28515625" customWidth="1"/>
    <col min="18" max="18" width="18.85546875" customWidth="1"/>
    <col min="19" max="19" width="10" customWidth="1"/>
    <col min="20" max="20" width="5" customWidth="1"/>
    <col min="21" max="21" width="8.5703125" customWidth="1"/>
    <col min="22" max="22" width="13.140625" customWidth="1"/>
    <col min="23" max="23" width="14.140625" customWidth="1"/>
    <col min="24" max="24" width="11.7109375" customWidth="1"/>
    <col min="25" max="25" width="5" customWidth="1"/>
    <col min="26" max="26" width="20.5703125" customWidth="1"/>
    <col min="27" max="27" width="13.5703125" customWidth="1"/>
    <col min="28" max="29" width="13.42578125" customWidth="1"/>
    <col min="30" max="31" width="13.5703125" customWidth="1"/>
    <col min="32" max="32" width="13.42578125" customWidth="1"/>
    <col min="33" max="33" width="13.5703125" customWidth="1"/>
    <col min="34" max="34" width="6.85546875" customWidth="1"/>
  </cols>
  <sheetData>
    <row r="1" spans="1:33" ht="11.25" customHeight="1" x14ac:dyDescent="0.2"/>
    <row r="2" spans="1:33" ht="6" customHeight="1" x14ac:dyDescent="0.2"/>
    <row r="3" spans="1:33" ht="6.75" customHeight="1" x14ac:dyDescent="0.2">
      <c r="R3" s="8" t="s">
        <v>0</v>
      </c>
      <c r="S3" s="8"/>
      <c r="T3" s="8"/>
    </row>
    <row r="4" spans="1:33" ht="6.75" customHeight="1" x14ac:dyDescent="0.2">
      <c r="A4" s="9" t="s">
        <v>1</v>
      </c>
      <c r="C4" s="10" t="s">
        <v>2</v>
      </c>
      <c r="D4" s="10"/>
      <c r="E4" s="10"/>
      <c r="F4" s="10"/>
      <c r="G4" s="10"/>
      <c r="H4" s="10"/>
      <c r="R4" s="8"/>
      <c r="S4" s="8"/>
      <c r="T4" s="8"/>
    </row>
    <row r="5" spans="1:33" ht="6.75" customHeight="1" x14ac:dyDescent="0.2">
      <c r="A5" s="9"/>
      <c r="C5" s="10"/>
      <c r="D5" s="10"/>
      <c r="E5" s="10"/>
      <c r="F5" s="10"/>
      <c r="G5" s="10"/>
      <c r="H5" s="10"/>
      <c r="R5" s="8"/>
      <c r="S5" s="8"/>
      <c r="T5" s="8"/>
    </row>
    <row r="6" spans="1:33" ht="33.75" customHeight="1" x14ac:dyDescent="0.2">
      <c r="Q6" s="11" t="s">
        <v>3</v>
      </c>
      <c r="R6" s="11"/>
      <c r="S6" s="11"/>
      <c r="T6" s="11"/>
    </row>
    <row r="7" spans="1:33" ht="7.5" customHeight="1" x14ac:dyDescent="0.2">
      <c r="A7" s="9" t="s">
        <v>4</v>
      </c>
      <c r="C7" s="10" t="s">
        <v>5</v>
      </c>
      <c r="D7" s="10"/>
      <c r="E7" s="10"/>
      <c r="F7" s="10"/>
      <c r="G7" s="10"/>
    </row>
    <row r="8" spans="1:33" ht="6" customHeight="1" x14ac:dyDescent="0.2">
      <c r="A8" s="9"/>
      <c r="C8" s="10"/>
      <c r="D8" s="10"/>
      <c r="E8" s="10"/>
      <c r="F8" s="10"/>
      <c r="G8" s="10"/>
    </row>
    <row r="9" spans="1:33" ht="13.5" customHeight="1" x14ac:dyDescent="0.2">
      <c r="A9" s="1" t="s">
        <v>6</v>
      </c>
      <c r="C9" s="10" t="s">
        <v>7</v>
      </c>
      <c r="D9" s="10"/>
    </row>
    <row r="10" spans="1:33" ht="12" customHeight="1" x14ac:dyDescent="0.2"/>
    <row r="11" spans="1:33" ht="25.5" customHeight="1" x14ac:dyDescent="0.2">
      <c r="A11" s="12" t="s">
        <v>8</v>
      </c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</row>
    <row r="12" spans="1:33" ht="28.5" customHeight="1" x14ac:dyDescent="0.2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</row>
    <row r="13" spans="1:33" ht="12.75" customHeight="1" x14ac:dyDescent="0.2">
      <c r="A13" s="13" t="s">
        <v>9</v>
      </c>
      <c r="B13" s="13" t="s">
        <v>10</v>
      </c>
      <c r="C13" s="13"/>
      <c r="D13" s="13" t="s">
        <v>11</v>
      </c>
      <c r="E13" s="13"/>
      <c r="F13" s="13" t="s">
        <v>12</v>
      </c>
      <c r="G13" s="13"/>
      <c r="H13" s="13"/>
      <c r="I13" s="13"/>
      <c r="J13" s="13" t="s">
        <v>13</v>
      </c>
      <c r="K13" s="13" t="s">
        <v>14</v>
      </c>
      <c r="L13" s="13" t="s">
        <v>15</v>
      </c>
      <c r="N13" s="13" t="s">
        <v>16</v>
      </c>
      <c r="O13" s="13"/>
      <c r="P13" s="13" t="s">
        <v>17</v>
      </c>
      <c r="Q13" s="13"/>
      <c r="R13" s="13"/>
      <c r="S13" s="13" t="s">
        <v>18</v>
      </c>
      <c r="T13" s="13" t="s">
        <v>19</v>
      </c>
      <c r="U13" s="13"/>
      <c r="V13" s="13" t="s">
        <v>20</v>
      </c>
      <c r="W13" s="13" t="s">
        <v>21</v>
      </c>
      <c r="X13" s="13" t="s">
        <v>22</v>
      </c>
      <c r="Y13" s="13" t="s">
        <v>23</v>
      </c>
      <c r="Z13" s="13"/>
      <c r="AA13" s="13" t="s">
        <v>24</v>
      </c>
      <c r="AB13" s="13" t="s">
        <v>25</v>
      </c>
      <c r="AC13" s="13" t="s">
        <v>26</v>
      </c>
      <c r="AD13" s="13" t="s">
        <v>27</v>
      </c>
      <c r="AE13" s="13" t="s">
        <v>28</v>
      </c>
      <c r="AF13" s="13" t="s">
        <v>29</v>
      </c>
      <c r="AG13" s="13" t="s">
        <v>30</v>
      </c>
    </row>
    <row r="14" spans="1:33" ht="14.25" customHeight="1" x14ac:dyDescent="0.2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</row>
    <row r="15" spans="1:33" ht="0.75" customHeight="1" x14ac:dyDescent="0.2">
      <c r="L15" s="13"/>
      <c r="N15" s="13"/>
      <c r="O15" s="13"/>
    </row>
    <row r="16" spans="1:33" ht="12.75" customHeight="1" x14ac:dyDescent="0.2">
      <c r="A16" s="2" t="s">
        <v>31</v>
      </c>
      <c r="B16" s="14" t="s">
        <v>32</v>
      </c>
      <c r="C16" s="14"/>
      <c r="D16" s="14"/>
      <c r="E16" s="15" t="s">
        <v>33</v>
      </c>
      <c r="F16" s="15"/>
      <c r="G16" s="16" t="s">
        <v>34</v>
      </c>
      <c r="H16" s="16"/>
      <c r="I16" s="16"/>
      <c r="J16" s="3" t="s">
        <v>35</v>
      </c>
      <c r="K16" s="4" t="s">
        <v>36</v>
      </c>
      <c r="L16" s="4" t="s">
        <v>37</v>
      </c>
      <c r="N16" s="16" t="s">
        <v>38</v>
      </c>
      <c r="O16" s="16"/>
      <c r="P16" s="16" t="s">
        <v>39</v>
      </c>
      <c r="Q16" s="16"/>
      <c r="R16" s="16"/>
      <c r="S16" s="3" t="s">
        <v>40</v>
      </c>
      <c r="T16" s="16" t="s">
        <v>41</v>
      </c>
      <c r="U16" s="16"/>
      <c r="V16" s="4" t="s">
        <v>42</v>
      </c>
      <c r="W16" s="4" t="s">
        <v>43</v>
      </c>
      <c r="X16" s="4" t="s">
        <v>44</v>
      </c>
      <c r="Y16" s="16" t="s">
        <v>45</v>
      </c>
      <c r="Z16" s="16"/>
      <c r="AA16" s="4" t="s">
        <v>46</v>
      </c>
      <c r="AB16" s="4" t="s">
        <v>47</v>
      </c>
      <c r="AD16" s="4" t="s">
        <v>41</v>
      </c>
      <c r="AE16" s="4" t="s">
        <v>48</v>
      </c>
      <c r="AF16" s="4" t="s">
        <v>41</v>
      </c>
      <c r="AG16" s="4" t="s">
        <v>49</v>
      </c>
    </row>
    <row r="17" spans="1:33" ht="14.25" customHeight="1" x14ac:dyDescent="0.2"/>
    <row r="18" spans="1:33" ht="16.5" customHeight="1" x14ac:dyDescent="0.2">
      <c r="A18" s="2" t="s">
        <v>31</v>
      </c>
      <c r="B18" s="14" t="s">
        <v>32</v>
      </c>
      <c r="C18" s="14"/>
      <c r="D18" s="14"/>
      <c r="E18" s="15" t="s">
        <v>33</v>
      </c>
      <c r="F18" s="15"/>
      <c r="G18" s="16" t="s">
        <v>50</v>
      </c>
      <c r="H18" s="16"/>
      <c r="I18" s="16"/>
      <c r="J18" s="3" t="s">
        <v>35</v>
      </c>
      <c r="K18" s="4" t="s">
        <v>51</v>
      </c>
      <c r="L18" s="4" t="s">
        <v>37</v>
      </c>
      <c r="N18" s="16" t="s">
        <v>52</v>
      </c>
      <c r="O18" s="16"/>
      <c r="P18" s="16" t="s">
        <v>53</v>
      </c>
      <c r="Q18" s="16"/>
      <c r="R18" s="16"/>
      <c r="S18" s="3" t="s">
        <v>40</v>
      </c>
      <c r="T18" s="16" t="s">
        <v>41</v>
      </c>
      <c r="U18" s="16"/>
      <c r="V18" s="4" t="s">
        <v>42</v>
      </c>
      <c r="W18" s="4" t="s">
        <v>43</v>
      </c>
      <c r="X18" s="4" t="s">
        <v>44</v>
      </c>
      <c r="Y18" s="16" t="s">
        <v>54</v>
      </c>
      <c r="Z18" s="16"/>
      <c r="AA18" s="4" t="s">
        <v>46</v>
      </c>
      <c r="AB18" s="4" t="s">
        <v>47</v>
      </c>
      <c r="AD18" s="4" t="s">
        <v>41</v>
      </c>
      <c r="AE18" s="4" t="s">
        <v>48</v>
      </c>
      <c r="AF18" s="4" t="s">
        <v>41</v>
      </c>
      <c r="AG18" s="4" t="s">
        <v>55</v>
      </c>
    </row>
    <row r="19" spans="1:33" ht="16.5" customHeight="1" x14ac:dyDescent="0.2">
      <c r="A19" s="2" t="s">
        <v>31</v>
      </c>
      <c r="B19" s="14" t="s">
        <v>32</v>
      </c>
      <c r="C19" s="14"/>
      <c r="D19" s="14"/>
      <c r="E19" s="15" t="s">
        <v>33</v>
      </c>
      <c r="F19" s="15"/>
      <c r="G19" s="16" t="s">
        <v>50</v>
      </c>
      <c r="H19" s="16"/>
      <c r="I19" s="16"/>
      <c r="J19" s="3" t="s">
        <v>35</v>
      </c>
      <c r="K19" s="4" t="s">
        <v>51</v>
      </c>
      <c r="L19" s="4" t="s">
        <v>37</v>
      </c>
      <c r="N19" s="16" t="s">
        <v>56</v>
      </c>
      <c r="O19" s="16"/>
      <c r="P19" s="16" t="s">
        <v>57</v>
      </c>
      <c r="Q19" s="16"/>
      <c r="R19" s="16"/>
      <c r="S19" s="3" t="s">
        <v>40</v>
      </c>
      <c r="T19" s="16" t="s">
        <v>41</v>
      </c>
      <c r="U19" s="16"/>
      <c r="V19" s="4" t="s">
        <v>42</v>
      </c>
      <c r="W19" s="4" t="s">
        <v>58</v>
      </c>
      <c r="X19" s="4" t="s">
        <v>59</v>
      </c>
      <c r="Y19" s="16" t="s">
        <v>54</v>
      </c>
      <c r="Z19" s="16"/>
      <c r="AA19" s="4" t="s">
        <v>46</v>
      </c>
      <c r="AB19" s="4" t="s">
        <v>47</v>
      </c>
      <c r="AD19" s="4" t="s">
        <v>41</v>
      </c>
      <c r="AE19" s="4" t="s">
        <v>48</v>
      </c>
      <c r="AF19" s="4" t="s">
        <v>41</v>
      </c>
      <c r="AG19" s="4" t="s">
        <v>55</v>
      </c>
    </row>
    <row r="20" spans="1:33" ht="16.5" customHeight="1" x14ac:dyDescent="0.2">
      <c r="A20" s="2" t="s">
        <v>31</v>
      </c>
      <c r="B20" s="14" t="s">
        <v>60</v>
      </c>
      <c r="C20" s="14"/>
      <c r="D20" s="14"/>
      <c r="E20" s="15" t="s">
        <v>33</v>
      </c>
      <c r="F20" s="15"/>
      <c r="G20" s="16" t="s">
        <v>61</v>
      </c>
      <c r="H20" s="16"/>
      <c r="I20" s="16"/>
      <c r="J20" s="3" t="s">
        <v>35</v>
      </c>
      <c r="K20" s="4" t="s">
        <v>62</v>
      </c>
      <c r="N20" s="16" t="s">
        <v>63</v>
      </c>
      <c r="O20" s="16"/>
      <c r="P20" s="16" t="s">
        <v>64</v>
      </c>
      <c r="Q20" s="16"/>
      <c r="R20" s="16"/>
      <c r="S20" s="3" t="s">
        <v>40</v>
      </c>
      <c r="T20" s="16" t="s">
        <v>65</v>
      </c>
      <c r="U20" s="16"/>
      <c r="V20" s="4" t="s">
        <v>66</v>
      </c>
      <c r="W20" s="4" t="s">
        <v>67</v>
      </c>
      <c r="X20" s="4" t="s">
        <v>68</v>
      </c>
      <c r="Y20" s="16" t="s">
        <v>69</v>
      </c>
      <c r="Z20" s="16"/>
      <c r="AA20" s="4" t="s">
        <v>46</v>
      </c>
      <c r="AB20" s="4" t="s">
        <v>70</v>
      </c>
      <c r="AC20" s="4" t="s">
        <v>71</v>
      </c>
      <c r="AD20" s="4" t="s">
        <v>72</v>
      </c>
      <c r="AE20" s="4" t="s">
        <v>48</v>
      </c>
      <c r="AF20" s="4" t="s">
        <v>41</v>
      </c>
      <c r="AG20" s="4" t="s">
        <v>73</v>
      </c>
    </row>
    <row r="21" spans="1:33" ht="16.5" customHeight="1" x14ac:dyDescent="0.2">
      <c r="A21" s="2" t="s">
        <v>31</v>
      </c>
      <c r="B21" s="14" t="s">
        <v>60</v>
      </c>
      <c r="C21" s="14"/>
      <c r="D21" s="14"/>
      <c r="E21" s="15" t="s">
        <v>33</v>
      </c>
      <c r="F21" s="15"/>
      <c r="G21" s="16" t="s">
        <v>61</v>
      </c>
      <c r="H21" s="16"/>
      <c r="I21" s="16"/>
      <c r="J21" s="3" t="s">
        <v>35</v>
      </c>
      <c r="K21" s="4" t="s">
        <v>62</v>
      </c>
      <c r="N21" s="16" t="s">
        <v>63</v>
      </c>
      <c r="O21" s="16"/>
      <c r="P21" s="16" t="s">
        <v>64</v>
      </c>
      <c r="Q21" s="16"/>
      <c r="R21" s="16"/>
      <c r="S21" s="3" t="s">
        <v>40</v>
      </c>
      <c r="T21" s="16" t="s">
        <v>65</v>
      </c>
      <c r="U21" s="16"/>
      <c r="V21" s="4" t="s">
        <v>42</v>
      </c>
      <c r="W21" s="4" t="s">
        <v>67</v>
      </c>
      <c r="X21" s="4" t="s">
        <v>74</v>
      </c>
      <c r="Y21" s="16" t="s">
        <v>69</v>
      </c>
      <c r="Z21" s="16"/>
      <c r="AA21" s="4" t="s">
        <v>46</v>
      </c>
      <c r="AB21" s="4" t="s">
        <v>70</v>
      </c>
      <c r="AC21" s="4" t="s">
        <v>71</v>
      </c>
      <c r="AD21" s="4" t="s">
        <v>72</v>
      </c>
      <c r="AE21" s="4" t="s">
        <v>48</v>
      </c>
      <c r="AF21" s="4" t="s">
        <v>41</v>
      </c>
      <c r="AG21" s="4" t="s">
        <v>73</v>
      </c>
    </row>
    <row r="22" spans="1:33" ht="16.5" customHeight="1" x14ac:dyDescent="0.2">
      <c r="A22" s="2" t="s">
        <v>31</v>
      </c>
      <c r="B22" s="14" t="s">
        <v>60</v>
      </c>
      <c r="C22" s="14"/>
      <c r="D22" s="14"/>
      <c r="E22" s="15" t="s">
        <v>33</v>
      </c>
      <c r="F22" s="15"/>
      <c r="G22" s="16" t="s">
        <v>61</v>
      </c>
      <c r="H22" s="16"/>
      <c r="I22" s="16"/>
      <c r="J22" s="3" t="s">
        <v>35</v>
      </c>
      <c r="K22" s="4" t="s">
        <v>62</v>
      </c>
      <c r="N22" s="16" t="s">
        <v>75</v>
      </c>
      <c r="O22" s="16"/>
      <c r="P22" s="16" t="s">
        <v>76</v>
      </c>
      <c r="Q22" s="16"/>
      <c r="R22" s="16"/>
      <c r="S22" s="3" t="s">
        <v>40</v>
      </c>
      <c r="T22" s="16" t="s">
        <v>77</v>
      </c>
      <c r="U22" s="16"/>
      <c r="V22" s="4" t="s">
        <v>66</v>
      </c>
      <c r="W22" s="4" t="s">
        <v>78</v>
      </c>
      <c r="X22" s="4" t="s">
        <v>59</v>
      </c>
      <c r="Y22" s="16" t="s">
        <v>69</v>
      </c>
      <c r="Z22" s="16"/>
      <c r="AA22" s="4" t="s">
        <v>46</v>
      </c>
      <c r="AB22" s="4" t="s">
        <v>70</v>
      </c>
      <c r="AC22" s="4" t="s">
        <v>71</v>
      </c>
      <c r="AD22" s="4" t="s">
        <v>79</v>
      </c>
      <c r="AE22" s="4" t="s">
        <v>48</v>
      </c>
      <c r="AF22" s="4" t="s">
        <v>41</v>
      </c>
      <c r="AG22" s="4" t="s">
        <v>73</v>
      </c>
    </row>
    <row r="23" spans="1:33" ht="16.5" customHeight="1" x14ac:dyDescent="0.2">
      <c r="A23" s="2" t="s">
        <v>31</v>
      </c>
      <c r="B23" s="14" t="s">
        <v>60</v>
      </c>
      <c r="C23" s="14"/>
      <c r="D23" s="14"/>
      <c r="E23" s="15" t="s">
        <v>33</v>
      </c>
      <c r="F23" s="15"/>
      <c r="G23" s="16" t="s">
        <v>61</v>
      </c>
      <c r="H23" s="16"/>
      <c r="I23" s="16"/>
      <c r="J23" s="3" t="s">
        <v>35</v>
      </c>
      <c r="K23" s="4" t="s">
        <v>62</v>
      </c>
      <c r="N23" s="16" t="s">
        <v>75</v>
      </c>
      <c r="O23" s="16"/>
      <c r="P23" s="16" t="s">
        <v>76</v>
      </c>
      <c r="Q23" s="16"/>
      <c r="R23" s="16"/>
      <c r="S23" s="3" t="s">
        <v>40</v>
      </c>
      <c r="T23" s="16" t="s">
        <v>77</v>
      </c>
      <c r="U23" s="16"/>
      <c r="V23" s="4" t="s">
        <v>42</v>
      </c>
      <c r="W23" s="4" t="s">
        <v>78</v>
      </c>
      <c r="X23" s="4" t="s">
        <v>80</v>
      </c>
      <c r="Y23" s="16" t="s">
        <v>69</v>
      </c>
      <c r="Z23" s="16"/>
      <c r="AA23" s="4" t="s">
        <v>46</v>
      </c>
      <c r="AB23" s="4" t="s">
        <v>70</v>
      </c>
      <c r="AC23" s="4" t="s">
        <v>71</v>
      </c>
      <c r="AD23" s="4" t="s">
        <v>79</v>
      </c>
      <c r="AE23" s="4" t="s">
        <v>48</v>
      </c>
      <c r="AF23" s="4" t="s">
        <v>41</v>
      </c>
      <c r="AG23" s="4" t="s">
        <v>73</v>
      </c>
    </row>
    <row r="24" spans="1:33" ht="16.5" customHeight="1" x14ac:dyDescent="0.2">
      <c r="A24" s="2" t="s">
        <v>31</v>
      </c>
      <c r="B24" s="14" t="s">
        <v>60</v>
      </c>
      <c r="C24" s="14"/>
      <c r="D24" s="14"/>
      <c r="E24" s="15" t="s">
        <v>33</v>
      </c>
      <c r="F24" s="15"/>
      <c r="G24" s="16" t="s">
        <v>61</v>
      </c>
      <c r="H24" s="16"/>
      <c r="I24" s="16"/>
      <c r="J24" s="3" t="s">
        <v>35</v>
      </c>
      <c r="K24" s="4" t="s">
        <v>81</v>
      </c>
      <c r="N24" s="16" t="s">
        <v>82</v>
      </c>
      <c r="O24" s="16"/>
      <c r="P24" s="16" t="s">
        <v>83</v>
      </c>
      <c r="Q24" s="16"/>
      <c r="R24" s="16"/>
      <c r="S24" s="3" t="s">
        <v>40</v>
      </c>
      <c r="T24" s="16" t="s">
        <v>84</v>
      </c>
      <c r="U24" s="16"/>
      <c r="V24" s="4" t="s">
        <v>66</v>
      </c>
      <c r="W24" s="4" t="s">
        <v>78</v>
      </c>
      <c r="X24" s="4" t="s">
        <v>59</v>
      </c>
      <c r="Y24" s="16" t="s">
        <v>69</v>
      </c>
      <c r="Z24" s="16"/>
      <c r="AA24" s="4" t="s">
        <v>46</v>
      </c>
      <c r="AB24" s="4" t="s">
        <v>70</v>
      </c>
      <c r="AC24" s="4" t="s">
        <v>71</v>
      </c>
      <c r="AD24" s="4" t="s">
        <v>85</v>
      </c>
      <c r="AE24" s="4" t="s">
        <v>48</v>
      </c>
      <c r="AF24" s="4" t="s">
        <v>41</v>
      </c>
      <c r="AG24" s="4" t="s">
        <v>73</v>
      </c>
    </row>
    <row r="25" spans="1:33" ht="16.5" customHeight="1" x14ac:dyDescent="0.2">
      <c r="A25" s="2" t="s">
        <v>31</v>
      </c>
      <c r="B25" s="14" t="s">
        <v>60</v>
      </c>
      <c r="C25" s="14"/>
      <c r="D25" s="14"/>
      <c r="E25" s="15" t="s">
        <v>33</v>
      </c>
      <c r="F25" s="15"/>
      <c r="G25" s="16" t="s">
        <v>61</v>
      </c>
      <c r="H25" s="16"/>
      <c r="I25" s="16"/>
      <c r="J25" s="3" t="s">
        <v>35</v>
      </c>
      <c r="K25" s="4" t="s">
        <v>81</v>
      </c>
      <c r="N25" s="16" t="s">
        <v>82</v>
      </c>
      <c r="O25" s="16"/>
      <c r="P25" s="16" t="s">
        <v>83</v>
      </c>
      <c r="Q25" s="16"/>
      <c r="R25" s="16"/>
      <c r="S25" s="3" t="s">
        <v>40</v>
      </c>
      <c r="T25" s="16" t="s">
        <v>84</v>
      </c>
      <c r="U25" s="16"/>
      <c r="V25" s="4" t="s">
        <v>42</v>
      </c>
      <c r="W25" s="4" t="s">
        <v>78</v>
      </c>
      <c r="X25" s="4" t="s">
        <v>80</v>
      </c>
      <c r="Y25" s="16" t="s">
        <v>69</v>
      </c>
      <c r="Z25" s="16"/>
      <c r="AA25" s="4" t="s">
        <v>46</v>
      </c>
      <c r="AB25" s="4" t="s">
        <v>70</v>
      </c>
      <c r="AC25" s="4" t="s">
        <v>71</v>
      </c>
      <c r="AD25" s="4" t="s">
        <v>85</v>
      </c>
      <c r="AE25" s="4" t="s">
        <v>48</v>
      </c>
      <c r="AF25" s="4" t="s">
        <v>41</v>
      </c>
      <c r="AG25" s="4" t="s">
        <v>73</v>
      </c>
    </row>
    <row r="26" spans="1:33" ht="16.5" customHeight="1" x14ac:dyDescent="0.2">
      <c r="A26" s="2" t="s">
        <v>31</v>
      </c>
      <c r="B26" s="14" t="s">
        <v>60</v>
      </c>
      <c r="C26" s="14"/>
      <c r="D26" s="14"/>
      <c r="E26" s="15" t="s">
        <v>33</v>
      </c>
      <c r="F26" s="15"/>
      <c r="G26" s="16" t="s">
        <v>61</v>
      </c>
      <c r="H26" s="16"/>
      <c r="I26" s="16"/>
      <c r="J26" s="3" t="s">
        <v>35</v>
      </c>
      <c r="K26" s="4" t="s">
        <v>86</v>
      </c>
      <c r="N26" s="16" t="s">
        <v>87</v>
      </c>
      <c r="O26" s="16"/>
      <c r="P26" s="16" t="s">
        <v>88</v>
      </c>
      <c r="Q26" s="16"/>
      <c r="R26" s="16"/>
      <c r="S26" s="3" t="s">
        <v>40</v>
      </c>
      <c r="T26" s="16" t="s">
        <v>89</v>
      </c>
      <c r="U26" s="16"/>
      <c r="V26" s="4" t="s">
        <v>66</v>
      </c>
      <c r="W26" s="4" t="s">
        <v>90</v>
      </c>
      <c r="X26" s="4" t="s">
        <v>91</v>
      </c>
      <c r="Y26" s="16" t="s">
        <v>69</v>
      </c>
      <c r="Z26" s="16"/>
      <c r="AA26" s="4" t="s">
        <v>46</v>
      </c>
      <c r="AB26" s="4" t="s">
        <v>70</v>
      </c>
      <c r="AC26" s="4" t="s">
        <v>71</v>
      </c>
      <c r="AD26" s="4" t="s">
        <v>92</v>
      </c>
      <c r="AE26" s="4" t="s">
        <v>48</v>
      </c>
      <c r="AF26" s="4" t="s">
        <v>41</v>
      </c>
      <c r="AG26" s="4" t="s">
        <v>73</v>
      </c>
    </row>
    <row r="27" spans="1:33" ht="16.5" customHeight="1" x14ac:dyDescent="0.2">
      <c r="A27" s="2" t="s">
        <v>31</v>
      </c>
      <c r="B27" s="14" t="s">
        <v>60</v>
      </c>
      <c r="C27" s="14"/>
      <c r="D27" s="14"/>
      <c r="E27" s="15" t="s">
        <v>33</v>
      </c>
      <c r="F27" s="15"/>
      <c r="G27" s="16" t="s">
        <v>61</v>
      </c>
      <c r="H27" s="16"/>
      <c r="I27" s="16"/>
      <c r="J27" s="3" t="s">
        <v>35</v>
      </c>
      <c r="K27" s="4" t="s">
        <v>86</v>
      </c>
      <c r="N27" s="16" t="s">
        <v>87</v>
      </c>
      <c r="O27" s="16"/>
      <c r="P27" s="16" t="s">
        <v>88</v>
      </c>
      <c r="Q27" s="16"/>
      <c r="R27" s="16"/>
      <c r="S27" s="3" t="s">
        <v>40</v>
      </c>
      <c r="T27" s="16" t="s">
        <v>89</v>
      </c>
      <c r="U27" s="16"/>
      <c r="V27" s="4" t="s">
        <v>42</v>
      </c>
      <c r="W27" s="4" t="s">
        <v>90</v>
      </c>
      <c r="X27" s="4" t="s">
        <v>68</v>
      </c>
      <c r="Y27" s="16" t="s">
        <v>69</v>
      </c>
      <c r="Z27" s="16"/>
      <c r="AA27" s="4" t="s">
        <v>46</v>
      </c>
      <c r="AB27" s="4" t="s">
        <v>70</v>
      </c>
      <c r="AC27" s="4" t="s">
        <v>71</v>
      </c>
      <c r="AD27" s="4" t="s">
        <v>92</v>
      </c>
      <c r="AE27" s="4" t="s">
        <v>48</v>
      </c>
      <c r="AF27" s="4" t="s">
        <v>41</v>
      </c>
      <c r="AG27" s="4" t="s">
        <v>73</v>
      </c>
    </row>
    <row r="28" spans="1:33" ht="16.5" customHeight="1" x14ac:dyDescent="0.2">
      <c r="A28" s="2" t="s">
        <v>31</v>
      </c>
      <c r="B28" s="14" t="s">
        <v>60</v>
      </c>
      <c r="C28" s="14"/>
      <c r="D28" s="14"/>
      <c r="E28" s="15" t="s">
        <v>33</v>
      </c>
      <c r="F28" s="15"/>
      <c r="G28" s="16" t="s">
        <v>61</v>
      </c>
      <c r="H28" s="16"/>
      <c r="I28" s="16"/>
      <c r="J28" s="3" t="s">
        <v>35</v>
      </c>
      <c r="K28" s="4" t="s">
        <v>62</v>
      </c>
      <c r="N28" s="16" t="s">
        <v>93</v>
      </c>
      <c r="O28" s="16"/>
      <c r="P28" s="16" t="s">
        <v>94</v>
      </c>
      <c r="Q28" s="16"/>
      <c r="R28" s="16"/>
      <c r="S28" s="3" t="s">
        <v>40</v>
      </c>
      <c r="T28" s="16" t="s">
        <v>95</v>
      </c>
      <c r="U28" s="16"/>
      <c r="V28" s="4" t="s">
        <v>66</v>
      </c>
      <c r="W28" s="4" t="s">
        <v>96</v>
      </c>
      <c r="X28" s="4" t="s">
        <v>80</v>
      </c>
      <c r="Y28" s="16" t="s">
        <v>69</v>
      </c>
      <c r="Z28" s="16"/>
      <c r="AA28" s="4" t="s">
        <v>46</v>
      </c>
      <c r="AB28" s="4" t="s">
        <v>70</v>
      </c>
      <c r="AC28" s="4" t="s">
        <v>71</v>
      </c>
      <c r="AD28" s="4" t="s">
        <v>97</v>
      </c>
      <c r="AE28" s="4" t="s">
        <v>48</v>
      </c>
      <c r="AF28" s="4" t="s">
        <v>41</v>
      </c>
      <c r="AG28" s="4" t="s">
        <v>73</v>
      </c>
    </row>
    <row r="29" spans="1:33" ht="16.5" customHeight="1" x14ac:dyDescent="0.2">
      <c r="A29" s="2" t="s">
        <v>31</v>
      </c>
      <c r="B29" s="14" t="s">
        <v>60</v>
      </c>
      <c r="C29" s="14"/>
      <c r="D29" s="14"/>
      <c r="E29" s="15" t="s">
        <v>33</v>
      </c>
      <c r="F29" s="15"/>
      <c r="G29" s="16" t="s">
        <v>61</v>
      </c>
      <c r="H29" s="16"/>
      <c r="I29" s="16"/>
      <c r="J29" s="3" t="s">
        <v>35</v>
      </c>
      <c r="K29" s="4" t="s">
        <v>62</v>
      </c>
      <c r="N29" s="16" t="s">
        <v>93</v>
      </c>
      <c r="O29" s="16"/>
      <c r="P29" s="16" t="s">
        <v>94</v>
      </c>
      <c r="Q29" s="16"/>
      <c r="R29" s="16"/>
      <c r="S29" s="3" t="s">
        <v>40</v>
      </c>
      <c r="T29" s="16" t="s">
        <v>95</v>
      </c>
      <c r="U29" s="16"/>
      <c r="V29" s="4" t="s">
        <v>42</v>
      </c>
      <c r="W29" s="4" t="s">
        <v>96</v>
      </c>
      <c r="X29" s="4" t="s">
        <v>91</v>
      </c>
      <c r="Y29" s="16" t="s">
        <v>69</v>
      </c>
      <c r="Z29" s="16"/>
      <c r="AA29" s="4" t="s">
        <v>46</v>
      </c>
      <c r="AB29" s="4" t="s">
        <v>70</v>
      </c>
      <c r="AC29" s="4" t="s">
        <v>71</v>
      </c>
      <c r="AD29" s="4" t="s">
        <v>97</v>
      </c>
      <c r="AE29" s="4" t="s">
        <v>48</v>
      </c>
      <c r="AF29" s="4" t="s">
        <v>41</v>
      </c>
      <c r="AG29" s="4" t="s">
        <v>73</v>
      </c>
    </row>
    <row r="30" spans="1:33" ht="16.5" customHeight="1" x14ac:dyDescent="0.2">
      <c r="A30" s="2" t="s">
        <v>31</v>
      </c>
      <c r="B30" s="14" t="s">
        <v>60</v>
      </c>
      <c r="C30" s="14"/>
      <c r="D30" s="14"/>
      <c r="E30" s="15" t="s">
        <v>33</v>
      </c>
      <c r="F30" s="15"/>
      <c r="G30" s="16" t="s">
        <v>61</v>
      </c>
      <c r="H30" s="16"/>
      <c r="I30" s="16"/>
      <c r="J30" s="3" t="s">
        <v>35</v>
      </c>
      <c r="K30" s="4" t="s">
        <v>62</v>
      </c>
      <c r="N30" s="16" t="s">
        <v>98</v>
      </c>
      <c r="O30" s="16"/>
      <c r="P30" s="16" t="s">
        <v>99</v>
      </c>
      <c r="Q30" s="16"/>
      <c r="R30" s="16"/>
      <c r="S30" s="3" t="s">
        <v>40</v>
      </c>
      <c r="T30" s="16" t="s">
        <v>100</v>
      </c>
      <c r="U30" s="16"/>
      <c r="V30" s="4" t="s">
        <v>66</v>
      </c>
      <c r="W30" s="4" t="s">
        <v>67</v>
      </c>
      <c r="X30" s="4" t="s">
        <v>68</v>
      </c>
      <c r="Y30" s="16" t="s">
        <v>69</v>
      </c>
      <c r="Z30" s="16"/>
      <c r="AA30" s="4" t="s">
        <v>46</v>
      </c>
      <c r="AB30" s="4" t="s">
        <v>70</v>
      </c>
      <c r="AC30" s="4" t="s">
        <v>71</v>
      </c>
      <c r="AD30" s="4" t="s">
        <v>101</v>
      </c>
      <c r="AE30" s="4" t="s">
        <v>48</v>
      </c>
      <c r="AF30" s="4" t="s">
        <v>41</v>
      </c>
      <c r="AG30" s="4" t="s">
        <v>73</v>
      </c>
    </row>
    <row r="31" spans="1:33" ht="16.5" customHeight="1" x14ac:dyDescent="0.2">
      <c r="A31" s="2" t="s">
        <v>31</v>
      </c>
      <c r="B31" s="14" t="s">
        <v>60</v>
      </c>
      <c r="C31" s="14"/>
      <c r="D31" s="14"/>
      <c r="E31" s="15" t="s">
        <v>33</v>
      </c>
      <c r="F31" s="15"/>
      <c r="G31" s="16" t="s">
        <v>61</v>
      </c>
      <c r="H31" s="16"/>
      <c r="I31" s="16"/>
      <c r="J31" s="3" t="s">
        <v>35</v>
      </c>
      <c r="K31" s="4" t="s">
        <v>62</v>
      </c>
      <c r="N31" s="16" t="s">
        <v>98</v>
      </c>
      <c r="O31" s="16"/>
      <c r="P31" s="16" t="s">
        <v>99</v>
      </c>
      <c r="Q31" s="16"/>
      <c r="R31" s="16"/>
      <c r="S31" s="3" t="s">
        <v>40</v>
      </c>
      <c r="T31" s="16" t="s">
        <v>100</v>
      </c>
      <c r="U31" s="16"/>
      <c r="V31" s="4" t="s">
        <v>42</v>
      </c>
      <c r="W31" s="4" t="s">
        <v>67</v>
      </c>
      <c r="X31" s="4" t="s">
        <v>74</v>
      </c>
      <c r="Y31" s="16" t="s">
        <v>69</v>
      </c>
      <c r="Z31" s="16"/>
      <c r="AA31" s="4" t="s">
        <v>46</v>
      </c>
      <c r="AB31" s="4" t="s">
        <v>70</v>
      </c>
      <c r="AC31" s="4" t="s">
        <v>71</v>
      </c>
      <c r="AD31" s="4" t="s">
        <v>101</v>
      </c>
      <c r="AE31" s="4" t="s">
        <v>48</v>
      </c>
      <c r="AF31" s="4" t="s">
        <v>41</v>
      </c>
      <c r="AG31" s="4" t="s">
        <v>73</v>
      </c>
    </row>
    <row r="32" spans="1:33" ht="16.5" customHeight="1" x14ac:dyDescent="0.2">
      <c r="A32" s="2" t="s">
        <v>31</v>
      </c>
      <c r="B32" s="14" t="s">
        <v>60</v>
      </c>
      <c r="C32" s="14"/>
      <c r="D32" s="14"/>
      <c r="E32" s="15" t="s">
        <v>33</v>
      </c>
      <c r="F32" s="15"/>
      <c r="G32" s="16" t="s">
        <v>61</v>
      </c>
      <c r="H32" s="16"/>
      <c r="I32" s="16"/>
      <c r="J32" s="3" t="s">
        <v>35</v>
      </c>
      <c r="K32" s="4" t="s">
        <v>62</v>
      </c>
      <c r="N32" s="16" t="s">
        <v>102</v>
      </c>
      <c r="O32" s="16"/>
      <c r="P32" s="16" t="s">
        <v>103</v>
      </c>
      <c r="Q32" s="16"/>
      <c r="R32" s="16"/>
      <c r="S32" s="3" t="s">
        <v>40</v>
      </c>
      <c r="T32" s="16" t="s">
        <v>104</v>
      </c>
      <c r="U32" s="16"/>
      <c r="V32" s="4" t="s">
        <v>66</v>
      </c>
      <c r="W32" s="4" t="s">
        <v>90</v>
      </c>
      <c r="X32" s="4" t="s">
        <v>91</v>
      </c>
      <c r="Y32" s="16" t="s">
        <v>69</v>
      </c>
      <c r="Z32" s="16"/>
      <c r="AA32" s="4" t="s">
        <v>46</v>
      </c>
      <c r="AB32" s="4" t="s">
        <v>70</v>
      </c>
      <c r="AC32" s="4" t="s">
        <v>71</v>
      </c>
      <c r="AD32" s="4" t="s">
        <v>105</v>
      </c>
      <c r="AE32" s="4" t="s">
        <v>48</v>
      </c>
      <c r="AF32" s="4" t="s">
        <v>41</v>
      </c>
      <c r="AG32" s="4" t="s">
        <v>73</v>
      </c>
    </row>
    <row r="33" spans="1:33" ht="16.5" customHeight="1" x14ac:dyDescent="0.2">
      <c r="A33" s="2" t="s">
        <v>31</v>
      </c>
      <c r="B33" s="14" t="s">
        <v>60</v>
      </c>
      <c r="C33" s="14"/>
      <c r="D33" s="14"/>
      <c r="E33" s="15" t="s">
        <v>33</v>
      </c>
      <c r="F33" s="15"/>
      <c r="G33" s="16" t="s">
        <v>61</v>
      </c>
      <c r="H33" s="16"/>
      <c r="I33" s="16"/>
      <c r="J33" s="3" t="s">
        <v>35</v>
      </c>
      <c r="K33" s="4" t="s">
        <v>62</v>
      </c>
      <c r="N33" s="16" t="s">
        <v>102</v>
      </c>
      <c r="O33" s="16"/>
      <c r="P33" s="16" t="s">
        <v>103</v>
      </c>
      <c r="Q33" s="16"/>
      <c r="R33" s="16"/>
      <c r="S33" s="3" t="s">
        <v>40</v>
      </c>
      <c r="T33" s="16" t="s">
        <v>104</v>
      </c>
      <c r="U33" s="16"/>
      <c r="V33" s="4" t="s">
        <v>42</v>
      </c>
      <c r="W33" s="4" t="s">
        <v>90</v>
      </c>
      <c r="X33" s="4" t="s">
        <v>68</v>
      </c>
      <c r="Y33" s="16" t="s">
        <v>69</v>
      </c>
      <c r="Z33" s="16"/>
      <c r="AA33" s="4" t="s">
        <v>46</v>
      </c>
      <c r="AB33" s="4" t="s">
        <v>70</v>
      </c>
      <c r="AC33" s="4" t="s">
        <v>71</v>
      </c>
      <c r="AD33" s="4" t="s">
        <v>105</v>
      </c>
      <c r="AE33" s="4" t="s">
        <v>48</v>
      </c>
      <c r="AF33" s="4" t="s">
        <v>41</v>
      </c>
      <c r="AG33" s="4" t="s">
        <v>73</v>
      </c>
    </row>
    <row r="34" spans="1:33" ht="16.5" customHeight="1" x14ac:dyDescent="0.2">
      <c r="A34" s="2" t="s">
        <v>31</v>
      </c>
      <c r="B34" s="14" t="s">
        <v>60</v>
      </c>
      <c r="C34" s="14"/>
      <c r="D34" s="14"/>
      <c r="E34" s="15" t="s">
        <v>33</v>
      </c>
      <c r="F34" s="15"/>
      <c r="G34" s="16" t="s">
        <v>61</v>
      </c>
      <c r="H34" s="16"/>
      <c r="I34" s="16"/>
      <c r="J34" s="3" t="s">
        <v>35</v>
      </c>
      <c r="K34" s="4" t="s">
        <v>62</v>
      </c>
      <c r="N34" s="16" t="s">
        <v>106</v>
      </c>
      <c r="O34" s="16"/>
      <c r="P34" s="16" t="s">
        <v>107</v>
      </c>
      <c r="Q34" s="16"/>
      <c r="R34" s="16"/>
      <c r="S34" s="3" t="s">
        <v>40</v>
      </c>
      <c r="T34" s="16" t="s">
        <v>108</v>
      </c>
      <c r="U34" s="16"/>
      <c r="V34" s="4" t="s">
        <v>66</v>
      </c>
      <c r="W34" s="4" t="s">
        <v>67</v>
      </c>
      <c r="X34" s="4" t="s">
        <v>68</v>
      </c>
      <c r="Y34" s="16" t="s">
        <v>69</v>
      </c>
      <c r="Z34" s="16"/>
      <c r="AA34" s="4" t="s">
        <v>46</v>
      </c>
      <c r="AB34" s="4" t="s">
        <v>70</v>
      </c>
      <c r="AC34" s="4" t="s">
        <v>71</v>
      </c>
      <c r="AD34" s="4" t="s">
        <v>109</v>
      </c>
      <c r="AE34" s="4" t="s">
        <v>48</v>
      </c>
      <c r="AF34" s="4" t="s">
        <v>41</v>
      </c>
      <c r="AG34" s="4" t="s">
        <v>73</v>
      </c>
    </row>
    <row r="35" spans="1:33" ht="16.5" customHeight="1" x14ac:dyDescent="0.2">
      <c r="A35" s="2" t="s">
        <v>31</v>
      </c>
      <c r="B35" s="14" t="s">
        <v>60</v>
      </c>
      <c r="C35" s="14"/>
      <c r="D35" s="14"/>
      <c r="E35" s="15" t="s">
        <v>33</v>
      </c>
      <c r="F35" s="15"/>
      <c r="G35" s="16" t="s">
        <v>61</v>
      </c>
      <c r="H35" s="16"/>
      <c r="I35" s="16"/>
      <c r="J35" s="3" t="s">
        <v>35</v>
      </c>
      <c r="K35" s="4" t="s">
        <v>62</v>
      </c>
      <c r="N35" s="16" t="s">
        <v>106</v>
      </c>
      <c r="O35" s="16"/>
      <c r="P35" s="16" t="s">
        <v>107</v>
      </c>
      <c r="Q35" s="16"/>
      <c r="R35" s="16"/>
      <c r="S35" s="3" t="s">
        <v>40</v>
      </c>
      <c r="T35" s="16" t="s">
        <v>108</v>
      </c>
      <c r="U35" s="16"/>
      <c r="V35" s="4" t="s">
        <v>42</v>
      </c>
      <c r="W35" s="4" t="s">
        <v>67</v>
      </c>
      <c r="X35" s="4" t="s">
        <v>74</v>
      </c>
      <c r="Y35" s="16" t="s">
        <v>69</v>
      </c>
      <c r="Z35" s="16"/>
      <c r="AA35" s="4" t="s">
        <v>46</v>
      </c>
      <c r="AB35" s="4" t="s">
        <v>70</v>
      </c>
      <c r="AC35" s="4" t="s">
        <v>71</v>
      </c>
      <c r="AD35" s="4" t="s">
        <v>109</v>
      </c>
      <c r="AE35" s="4" t="s">
        <v>48</v>
      </c>
      <c r="AF35" s="4" t="s">
        <v>41</v>
      </c>
      <c r="AG35" s="4" t="s">
        <v>73</v>
      </c>
    </row>
    <row r="36" spans="1:33" ht="16.5" customHeight="1" x14ac:dyDescent="0.2">
      <c r="A36" s="2" t="s">
        <v>31</v>
      </c>
      <c r="B36" s="14" t="s">
        <v>60</v>
      </c>
      <c r="C36" s="14"/>
      <c r="D36" s="14"/>
      <c r="E36" s="15" t="s">
        <v>33</v>
      </c>
      <c r="F36" s="15"/>
      <c r="G36" s="16" t="s">
        <v>61</v>
      </c>
      <c r="H36" s="16"/>
      <c r="I36" s="16"/>
      <c r="J36" s="3" t="s">
        <v>35</v>
      </c>
      <c r="K36" s="4" t="s">
        <v>62</v>
      </c>
      <c r="N36" s="16" t="s">
        <v>110</v>
      </c>
      <c r="O36" s="16"/>
      <c r="P36" s="16" t="s">
        <v>111</v>
      </c>
      <c r="Q36" s="16"/>
      <c r="R36" s="16"/>
      <c r="S36" s="3" t="s">
        <v>40</v>
      </c>
      <c r="T36" s="16" t="s">
        <v>112</v>
      </c>
      <c r="U36" s="16"/>
      <c r="V36" s="4" t="s">
        <v>66</v>
      </c>
      <c r="W36" s="4" t="s">
        <v>67</v>
      </c>
      <c r="X36" s="4" t="s">
        <v>68</v>
      </c>
      <c r="Y36" s="16" t="s">
        <v>69</v>
      </c>
      <c r="Z36" s="16"/>
      <c r="AA36" s="4" t="s">
        <v>46</v>
      </c>
      <c r="AB36" s="4" t="s">
        <v>70</v>
      </c>
      <c r="AC36" s="4" t="s">
        <v>71</v>
      </c>
      <c r="AD36" s="4" t="s">
        <v>113</v>
      </c>
      <c r="AE36" s="4" t="s">
        <v>48</v>
      </c>
      <c r="AF36" s="4" t="s">
        <v>41</v>
      </c>
      <c r="AG36" s="4" t="s">
        <v>73</v>
      </c>
    </row>
    <row r="37" spans="1:33" ht="16.5" customHeight="1" x14ac:dyDescent="0.2">
      <c r="A37" s="2" t="s">
        <v>31</v>
      </c>
      <c r="B37" s="14" t="s">
        <v>60</v>
      </c>
      <c r="C37" s="14"/>
      <c r="D37" s="14"/>
      <c r="E37" s="15" t="s">
        <v>33</v>
      </c>
      <c r="F37" s="15"/>
      <c r="G37" s="16" t="s">
        <v>61</v>
      </c>
      <c r="H37" s="16"/>
      <c r="I37" s="16"/>
      <c r="J37" s="3" t="s">
        <v>35</v>
      </c>
      <c r="K37" s="4" t="s">
        <v>62</v>
      </c>
      <c r="N37" s="16" t="s">
        <v>110</v>
      </c>
      <c r="O37" s="16"/>
      <c r="P37" s="16" t="s">
        <v>111</v>
      </c>
      <c r="Q37" s="16"/>
      <c r="R37" s="16"/>
      <c r="S37" s="3" t="s">
        <v>40</v>
      </c>
      <c r="T37" s="16" t="s">
        <v>112</v>
      </c>
      <c r="U37" s="16"/>
      <c r="V37" s="4" t="s">
        <v>42</v>
      </c>
      <c r="W37" s="4" t="s">
        <v>67</v>
      </c>
      <c r="X37" s="4" t="s">
        <v>74</v>
      </c>
      <c r="Y37" s="16" t="s">
        <v>69</v>
      </c>
      <c r="Z37" s="16"/>
      <c r="AA37" s="4" t="s">
        <v>46</v>
      </c>
      <c r="AB37" s="4" t="s">
        <v>70</v>
      </c>
      <c r="AC37" s="4" t="s">
        <v>71</v>
      </c>
      <c r="AD37" s="4" t="s">
        <v>113</v>
      </c>
      <c r="AE37" s="4" t="s">
        <v>48</v>
      </c>
      <c r="AF37" s="4" t="s">
        <v>41</v>
      </c>
      <c r="AG37" s="4" t="s">
        <v>73</v>
      </c>
    </row>
    <row r="38" spans="1:33" ht="16.5" customHeight="1" x14ac:dyDescent="0.2">
      <c r="A38" s="2" t="s">
        <v>31</v>
      </c>
      <c r="B38" s="14" t="s">
        <v>60</v>
      </c>
      <c r="C38" s="14"/>
      <c r="D38" s="14"/>
      <c r="E38" s="15" t="s">
        <v>33</v>
      </c>
      <c r="F38" s="15"/>
      <c r="G38" s="16" t="s">
        <v>61</v>
      </c>
      <c r="H38" s="16"/>
      <c r="I38" s="16"/>
      <c r="J38" s="3" t="s">
        <v>35</v>
      </c>
      <c r="K38" s="4" t="s">
        <v>62</v>
      </c>
      <c r="N38" s="16" t="s">
        <v>114</v>
      </c>
      <c r="O38" s="16"/>
      <c r="P38" s="16" t="s">
        <v>115</v>
      </c>
      <c r="Q38" s="16"/>
      <c r="R38" s="16"/>
      <c r="S38" s="3" t="s">
        <v>40</v>
      </c>
      <c r="T38" s="16" t="s">
        <v>65</v>
      </c>
      <c r="U38" s="16"/>
      <c r="V38" s="4" t="s">
        <v>66</v>
      </c>
      <c r="W38" s="4" t="s">
        <v>116</v>
      </c>
      <c r="X38" s="4" t="s">
        <v>74</v>
      </c>
      <c r="Y38" s="16" t="s">
        <v>69</v>
      </c>
      <c r="Z38" s="16"/>
      <c r="AA38" s="4" t="s">
        <v>46</v>
      </c>
      <c r="AB38" s="4" t="s">
        <v>70</v>
      </c>
      <c r="AC38" s="4" t="s">
        <v>71</v>
      </c>
      <c r="AD38" s="4" t="s">
        <v>72</v>
      </c>
      <c r="AE38" s="4" t="s">
        <v>48</v>
      </c>
      <c r="AF38" s="4" t="s">
        <v>41</v>
      </c>
      <c r="AG38" s="4" t="s">
        <v>73</v>
      </c>
    </row>
    <row r="39" spans="1:33" ht="16.5" customHeight="1" x14ac:dyDescent="0.2">
      <c r="A39" s="2" t="s">
        <v>31</v>
      </c>
      <c r="B39" s="14" t="s">
        <v>60</v>
      </c>
      <c r="C39" s="14"/>
      <c r="D39" s="14"/>
      <c r="E39" s="15" t="s">
        <v>33</v>
      </c>
      <c r="F39" s="15"/>
      <c r="G39" s="16" t="s">
        <v>61</v>
      </c>
      <c r="H39" s="16"/>
      <c r="I39" s="16"/>
      <c r="J39" s="3" t="s">
        <v>35</v>
      </c>
      <c r="K39" s="4" t="s">
        <v>62</v>
      </c>
      <c r="N39" s="16" t="s">
        <v>114</v>
      </c>
      <c r="O39" s="16"/>
      <c r="P39" s="16" t="s">
        <v>115</v>
      </c>
      <c r="Q39" s="16"/>
      <c r="R39" s="16"/>
      <c r="S39" s="3" t="s">
        <v>40</v>
      </c>
      <c r="T39" s="16" t="s">
        <v>65</v>
      </c>
      <c r="U39" s="16"/>
      <c r="V39" s="4" t="s">
        <v>42</v>
      </c>
      <c r="W39" s="4" t="s">
        <v>116</v>
      </c>
      <c r="X39" s="4" t="s">
        <v>117</v>
      </c>
      <c r="Y39" s="16" t="s">
        <v>69</v>
      </c>
      <c r="Z39" s="16"/>
      <c r="AA39" s="4" t="s">
        <v>46</v>
      </c>
      <c r="AB39" s="4" t="s">
        <v>70</v>
      </c>
      <c r="AC39" s="4" t="s">
        <v>71</v>
      </c>
      <c r="AD39" s="4" t="s">
        <v>72</v>
      </c>
      <c r="AE39" s="4" t="s">
        <v>48</v>
      </c>
      <c r="AF39" s="4" t="s">
        <v>41</v>
      </c>
      <c r="AG39" s="4" t="s">
        <v>73</v>
      </c>
    </row>
    <row r="40" spans="1:33" ht="16.5" customHeight="1" x14ac:dyDescent="0.2">
      <c r="A40" s="2" t="s">
        <v>31</v>
      </c>
      <c r="B40" s="14" t="s">
        <v>60</v>
      </c>
      <c r="C40" s="14"/>
      <c r="D40" s="14"/>
      <c r="E40" s="15" t="s">
        <v>33</v>
      </c>
      <c r="F40" s="15"/>
      <c r="G40" s="16" t="s">
        <v>61</v>
      </c>
      <c r="H40" s="16"/>
      <c r="I40" s="16"/>
      <c r="J40" s="3" t="s">
        <v>35</v>
      </c>
      <c r="K40" s="4" t="s">
        <v>118</v>
      </c>
      <c r="N40" s="16" t="s">
        <v>119</v>
      </c>
      <c r="O40" s="16"/>
      <c r="P40" s="16" t="s">
        <v>120</v>
      </c>
      <c r="Q40" s="16"/>
      <c r="R40" s="16"/>
      <c r="S40" s="3" t="s">
        <v>40</v>
      </c>
      <c r="T40" s="16" t="s">
        <v>121</v>
      </c>
      <c r="U40" s="16"/>
      <c r="V40" s="4" t="s">
        <v>66</v>
      </c>
      <c r="W40" s="4" t="s">
        <v>67</v>
      </c>
      <c r="X40" s="4" t="s">
        <v>68</v>
      </c>
      <c r="Y40" s="16" t="s">
        <v>69</v>
      </c>
      <c r="Z40" s="16"/>
      <c r="AA40" s="4" t="s">
        <v>46</v>
      </c>
      <c r="AB40" s="4" t="s">
        <v>70</v>
      </c>
      <c r="AC40" s="4" t="s">
        <v>71</v>
      </c>
      <c r="AD40" s="4" t="s">
        <v>122</v>
      </c>
      <c r="AE40" s="4" t="s">
        <v>48</v>
      </c>
      <c r="AF40" s="4" t="s">
        <v>41</v>
      </c>
      <c r="AG40" s="4" t="s">
        <v>73</v>
      </c>
    </row>
    <row r="41" spans="1:33" ht="16.5" customHeight="1" x14ac:dyDescent="0.2">
      <c r="A41" s="2" t="s">
        <v>31</v>
      </c>
      <c r="B41" s="14" t="s">
        <v>60</v>
      </c>
      <c r="C41" s="14"/>
      <c r="D41" s="14"/>
      <c r="E41" s="15" t="s">
        <v>33</v>
      </c>
      <c r="F41" s="15"/>
      <c r="G41" s="16" t="s">
        <v>61</v>
      </c>
      <c r="H41" s="16"/>
      <c r="I41" s="16"/>
      <c r="J41" s="3" t="s">
        <v>35</v>
      </c>
      <c r="K41" s="4" t="s">
        <v>118</v>
      </c>
      <c r="N41" s="16" t="s">
        <v>119</v>
      </c>
      <c r="O41" s="16"/>
      <c r="P41" s="16" t="s">
        <v>120</v>
      </c>
      <c r="Q41" s="16"/>
      <c r="R41" s="16"/>
      <c r="S41" s="3" t="s">
        <v>40</v>
      </c>
      <c r="T41" s="16" t="s">
        <v>121</v>
      </c>
      <c r="U41" s="16"/>
      <c r="V41" s="4" t="s">
        <v>42</v>
      </c>
      <c r="W41" s="4" t="s">
        <v>67</v>
      </c>
      <c r="X41" s="4" t="s">
        <v>74</v>
      </c>
      <c r="Y41" s="16" t="s">
        <v>69</v>
      </c>
      <c r="Z41" s="16"/>
      <c r="AA41" s="4" t="s">
        <v>46</v>
      </c>
      <c r="AB41" s="4" t="s">
        <v>70</v>
      </c>
      <c r="AC41" s="4" t="s">
        <v>71</v>
      </c>
      <c r="AD41" s="4" t="s">
        <v>122</v>
      </c>
      <c r="AE41" s="4" t="s">
        <v>48</v>
      </c>
      <c r="AF41" s="4" t="s">
        <v>41</v>
      </c>
      <c r="AG41" s="4" t="s">
        <v>73</v>
      </c>
    </row>
    <row r="42" spans="1:33" ht="16.5" customHeight="1" x14ac:dyDescent="0.2">
      <c r="A42" s="2" t="s">
        <v>31</v>
      </c>
      <c r="B42" s="14" t="s">
        <v>60</v>
      </c>
      <c r="C42" s="14"/>
      <c r="D42" s="14"/>
      <c r="E42" s="15" t="s">
        <v>33</v>
      </c>
      <c r="F42" s="15"/>
      <c r="G42" s="16" t="s">
        <v>61</v>
      </c>
      <c r="H42" s="16"/>
      <c r="I42" s="16"/>
      <c r="J42" s="3" t="s">
        <v>35</v>
      </c>
      <c r="K42" s="4" t="s">
        <v>62</v>
      </c>
      <c r="N42" s="16" t="s">
        <v>123</v>
      </c>
      <c r="O42" s="16"/>
      <c r="P42" s="16" t="s">
        <v>124</v>
      </c>
      <c r="Q42" s="16"/>
      <c r="R42" s="16"/>
      <c r="S42" s="3" t="s">
        <v>40</v>
      </c>
      <c r="T42" s="16" t="s">
        <v>125</v>
      </c>
      <c r="U42" s="16"/>
      <c r="V42" s="4" t="s">
        <v>66</v>
      </c>
      <c r="W42" s="4" t="s">
        <v>126</v>
      </c>
      <c r="X42" s="4" t="s">
        <v>117</v>
      </c>
      <c r="Y42" s="16" t="s">
        <v>69</v>
      </c>
      <c r="Z42" s="16"/>
      <c r="AA42" s="4" t="s">
        <v>46</v>
      </c>
      <c r="AB42" s="4" t="s">
        <v>70</v>
      </c>
      <c r="AC42" s="4" t="s">
        <v>71</v>
      </c>
      <c r="AD42" s="4" t="s">
        <v>127</v>
      </c>
      <c r="AE42" s="4" t="s">
        <v>48</v>
      </c>
      <c r="AF42" s="4" t="s">
        <v>41</v>
      </c>
      <c r="AG42" s="4" t="s">
        <v>73</v>
      </c>
    </row>
    <row r="43" spans="1:33" ht="16.5" customHeight="1" x14ac:dyDescent="0.2">
      <c r="A43" s="2" t="s">
        <v>31</v>
      </c>
      <c r="B43" s="14" t="s">
        <v>60</v>
      </c>
      <c r="C43" s="14"/>
      <c r="D43" s="14"/>
      <c r="E43" s="15" t="s">
        <v>33</v>
      </c>
      <c r="F43" s="15"/>
      <c r="G43" s="16" t="s">
        <v>61</v>
      </c>
      <c r="H43" s="16"/>
      <c r="I43" s="16"/>
      <c r="J43" s="3" t="s">
        <v>35</v>
      </c>
      <c r="K43" s="4" t="s">
        <v>62</v>
      </c>
      <c r="N43" s="16" t="s">
        <v>128</v>
      </c>
      <c r="O43" s="16"/>
      <c r="P43" s="16" t="s">
        <v>129</v>
      </c>
      <c r="Q43" s="16"/>
      <c r="R43" s="16"/>
      <c r="S43" s="3" t="s">
        <v>40</v>
      </c>
      <c r="T43" s="16" t="s">
        <v>130</v>
      </c>
      <c r="U43" s="16"/>
      <c r="V43" s="4" t="s">
        <v>66</v>
      </c>
      <c r="W43" s="4" t="s">
        <v>126</v>
      </c>
      <c r="X43" s="4" t="s">
        <v>117</v>
      </c>
      <c r="Y43" s="16" t="s">
        <v>69</v>
      </c>
      <c r="Z43" s="16"/>
      <c r="AA43" s="4" t="s">
        <v>46</v>
      </c>
      <c r="AB43" s="4" t="s">
        <v>70</v>
      </c>
      <c r="AC43" s="4" t="s">
        <v>71</v>
      </c>
      <c r="AD43" s="4" t="s">
        <v>131</v>
      </c>
      <c r="AE43" s="4" t="s">
        <v>48</v>
      </c>
      <c r="AF43" s="4" t="s">
        <v>41</v>
      </c>
      <c r="AG43" s="4" t="s">
        <v>73</v>
      </c>
    </row>
    <row r="44" spans="1:33" ht="16.5" customHeight="1" x14ac:dyDescent="0.2">
      <c r="A44" s="2" t="s">
        <v>31</v>
      </c>
      <c r="B44" s="14" t="s">
        <v>60</v>
      </c>
      <c r="C44" s="14"/>
      <c r="D44" s="14"/>
      <c r="E44" s="15" t="s">
        <v>33</v>
      </c>
      <c r="F44" s="15"/>
      <c r="G44" s="16" t="s">
        <v>61</v>
      </c>
      <c r="H44" s="16"/>
      <c r="I44" s="16"/>
      <c r="J44" s="3" t="s">
        <v>35</v>
      </c>
      <c r="K44" s="4" t="s">
        <v>62</v>
      </c>
      <c r="N44" s="16" t="s">
        <v>128</v>
      </c>
      <c r="O44" s="16"/>
      <c r="P44" s="16" t="s">
        <v>129</v>
      </c>
      <c r="Q44" s="16"/>
      <c r="R44" s="16"/>
      <c r="S44" s="3" t="s">
        <v>40</v>
      </c>
      <c r="T44" s="16" t="s">
        <v>130</v>
      </c>
      <c r="U44" s="16"/>
      <c r="V44" s="4" t="s">
        <v>42</v>
      </c>
      <c r="W44" s="4" t="s">
        <v>126</v>
      </c>
      <c r="X44" s="4" t="s">
        <v>132</v>
      </c>
      <c r="Y44" s="16" t="s">
        <v>69</v>
      </c>
      <c r="Z44" s="16"/>
      <c r="AA44" s="4" t="s">
        <v>46</v>
      </c>
      <c r="AB44" s="4" t="s">
        <v>70</v>
      </c>
      <c r="AC44" s="4" t="s">
        <v>71</v>
      </c>
      <c r="AD44" s="4" t="s">
        <v>131</v>
      </c>
      <c r="AE44" s="4" t="s">
        <v>48</v>
      </c>
      <c r="AF44" s="4" t="s">
        <v>41</v>
      </c>
      <c r="AG44" s="4" t="s">
        <v>73</v>
      </c>
    </row>
    <row r="45" spans="1:33" ht="16.5" customHeight="1" x14ac:dyDescent="0.2">
      <c r="A45" s="2" t="s">
        <v>31</v>
      </c>
      <c r="B45" s="14" t="s">
        <v>60</v>
      </c>
      <c r="C45" s="14"/>
      <c r="D45" s="14"/>
      <c r="E45" s="15" t="s">
        <v>33</v>
      </c>
      <c r="F45" s="15"/>
      <c r="G45" s="16" t="s">
        <v>61</v>
      </c>
      <c r="H45" s="16"/>
      <c r="I45" s="16"/>
      <c r="J45" s="3" t="s">
        <v>35</v>
      </c>
      <c r="K45" s="4" t="s">
        <v>62</v>
      </c>
      <c r="N45" s="16" t="s">
        <v>133</v>
      </c>
      <c r="O45" s="16"/>
      <c r="P45" s="16" t="s">
        <v>134</v>
      </c>
      <c r="Q45" s="16"/>
      <c r="R45" s="16"/>
      <c r="S45" s="3" t="s">
        <v>40</v>
      </c>
      <c r="T45" s="16" t="s">
        <v>135</v>
      </c>
      <c r="U45" s="16"/>
      <c r="V45" s="4" t="s">
        <v>66</v>
      </c>
      <c r="W45" s="4" t="s">
        <v>116</v>
      </c>
      <c r="X45" s="4" t="s">
        <v>74</v>
      </c>
      <c r="Y45" s="16" t="s">
        <v>69</v>
      </c>
      <c r="Z45" s="16"/>
      <c r="AA45" s="4" t="s">
        <v>46</v>
      </c>
      <c r="AB45" s="4" t="s">
        <v>70</v>
      </c>
      <c r="AC45" s="4" t="s">
        <v>71</v>
      </c>
      <c r="AD45" s="4" t="s">
        <v>136</v>
      </c>
      <c r="AE45" s="4" t="s">
        <v>48</v>
      </c>
      <c r="AF45" s="4" t="s">
        <v>41</v>
      </c>
      <c r="AG45" s="4" t="s">
        <v>73</v>
      </c>
    </row>
    <row r="46" spans="1:33" ht="16.5" customHeight="1" x14ac:dyDescent="0.2">
      <c r="A46" s="2" t="s">
        <v>31</v>
      </c>
      <c r="B46" s="14" t="s">
        <v>60</v>
      </c>
      <c r="C46" s="14"/>
      <c r="D46" s="14"/>
      <c r="E46" s="15" t="s">
        <v>33</v>
      </c>
      <c r="F46" s="15"/>
      <c r="G46" s="16" t="s">
        <v>61</v>
      </c>
      <c r="H46" s="16"/>
      <c r="I46" s="16"/>
      <c r="J46" s="3" t="s">
        <v>35</v>
      </c>
      <c r="K46" s="4" t="s">
        <v>62</v>
      </c>
      <c r="N46" s="16" t="s">
        <v>133</v>
      </c>
      <c r="O46" s="16"/>
      <c r="P46" s="16" t="s">
        <v>134</v>
      </c>
      <c r="Q46" s="16"/>
      <c r="R46" s="16"/>
      <c r="S46" s="3" t="s">
        <v>40</v>
      </c>
      <c r="T46" s="16" t="s">
        <v>135</v>
      </c>
      <c r="U46" s="16"/>
      <c r="V46" s="4" t="s">
        <v>42</v>
      </c>
      <c r="W46" s="4" t="s">
        <v>116</v>
      </c>
      <c r="X46" s="4" t="s">
        <v>117</v>
      </c>
      <c r="Y46" s="16" t="s">
        <v>69</v>
      </c>
      <c r="Z46" s="16"/>
      <c r="AA46" s="4" t="s">
        <v>46</v>
      </c>
      <c r="AB46" s="4" t="s">
        <v>70</v>
      </c>
      <c r="AC46" s="4" t="s">
        <v>71</v>
      </c>
      <c r="AD46" s="4" t="s">
        <v>136</v>
      </c>
      <c r="AE46" s="4" t="s">
        <v>48</v>
      </c>
      <c r="AF46" s="4" t="s">
        <v>41</v>
      </c>
      <c r="AG46" s="4" t="s">
        <v>73</v>
      </c>
    </row>
    <row r="47" spans="1:33" ht="16.5" customHeight="1" x14ac:dyDescent="0.2">
      <c r="A47" s="2" t="s">
        <v>31</v>
      </c>
      <c r="B47" s="14" t="s">
        <v>60</v>
      </c>
      <c r="C47" s="14"/>
      <c r="D47" s="14"/>
      <c r="E47" s="15" t="s">
        <v>33</v>
      </c>
      <c r="F47" s="15"/>
      <c r="G47" s="16" t="s">
        <v>61</v>
      </c>
      <c r="H47" s="16"/>
      <c r="I47" s="16"/>
      <c r="J47" s="3" t="s">
        <v>35</v>
      </c>
      <c r="K47" s="4" t="s">
        <v>62</v>
      </c>
      <c r="N47" s="16" t="s">
        <v>133</v>
      </c>
      <c r="O47" s="16"/>
      <c r="P47" s="16" t="s">
        <v>134</v>
      </c>
      <c r="Q47" s="16"/>
      <c r="R47" s="16"/>
      <c r="S47" s="3" t="s">
        <v>40</v>
      </c>
      <c r="T47" s="16" t="s">
        <v>135</v>
      </c>
      <c r="U47" s="16"/>
      <c r="V47" s="4" t="s">
        <v>126</v>
      </c>
      <c r="W47" s="4" t="s">
        <v>116</v>
      </c>
      <c r="X47" s="4" t="s">
        <v>132</v>
      </c>
      <c r="Y47" s="16" t="s">
        <v>69</v>
      </c>
      <c r="Z47" s="16"/>
      <c r="AA47" s="4" t="s">
        <v>46</v>
      </c>
      <c r="AB47" s="4" t="s">
        <v>70</v>
      </c>
      <c r="AC47" s="4" t="s">
        <v>71</v>
      </c>
      <c r="AD47" s="4" t="s">
        <v>136</v>
      </c>
      <c r="AE47" s="4" t="s">
        <v>48</v>
      </c>
      <c r="AF47" s="4" t="s">
        <v>41</v>
      </c>
      <c r="AG47" s="4" t="s">
        <v>73</v>
      </c>
    </row>
    <row r="48" spans="1:33" ht="16.5" customHeight="1" x14ac:dyDescent="0.2">
      <c r="A48" s="2" t="s">
        <v>31</v>
      </c>
      <c r="B48" s="14" t="s">
        <v>60</v>
      </c>
      <c r="C48" s="14"/>
      <c r="D48" s="14"/>
      <c r="E48" s="15" t="s">
        <v>33</v>
      </c>
      <c r="F48" s="15"/>
      <c r="G48" s="16" t="s">
        <v>61</v>
      </c>
      <c r="H48" s="16"/>
      <c r="I48" s="16"/>
      <c r="J48" s="3" t="s">
        <v>35</v>
      </c>
      <c r="K48" s="4" t="s">
        <v>62</v>
      </c>
      <c r="N48" s="16" t="s">
        <v>137</v>
      </c>
      <c r="O48" s="16"/>
      <c r="P48" s="16" t="s">
        <v>138</v>
      </c>
      <c r="Q48" s="16"/>
      <c r="R48" s="16"/>
      <c r="S48" s="3" t="s">
        <v>40</v>
      </c>
      <c r="T48" s="16" t="s">
        <v>139</v>
      </c>
      <c r="U48" s="16"/>
      <c r="V48" s="4" t="s">
        <v>66</v>
      </c>
      <c r="W48" s="4" t="s">
        <v>126</v>
      </c>
      <c r="X48" s="4" t="s">
        <v>117</v>
      </c>
      <c r="Y48" s="16" t="s">
        <v>69</v>
      </c>
      <c r="Z48" s="16"/>
      <c r="AA48" s="4" t="s">
        <v>46</v>
      </c>
      <c r="AB48" s="4" t="s">
        <v>70</v>
      </c>
      <c r="AC48" s="4" t="s">
        <v>71</v>
      </c>
      <c r="AD48" s="4" t="s">
        <v>140</v>
      </c>
      <c r="AE48" s="4" t="s">
        <v>48</v>
      </c>
      <c r="AF48" s="4" t="s">
        <v>41</v>
      </c>
      <c r="AG48" s="4" t="s">
        <v>73</v>
      </c>
    </row>
    <row r="49" spans="1:33" ht="16.5" customHeight="1" x14ac:dyDescent="0.2">
      <c r="A49" s="2" t="s">
        <v>31</v>
      </c>
      <c r="B49" s="14" t="s">
        <v>60</v>
      </c>
      <c r="C49" s="14"/>
      <c r="D49" s="14"/>
      <c r="E49" s="15" t="s">
        <v>33</v>
      </c>
      <c r="F49" s="15"/>
      <c r="G49" s="16" t="s">
        <v>61</v>
      </c>
      <c r="H49" s="16"/>
      <c r="I49" s="16"/>
      <c r="J49" s="3" t="s">
        <v>35</v>
      </c>
      <c r="K49" s="4" t="s">
        <v>62</v>
      </c>
      <c r="N49" s="16" t="s">
        <v>137</v>
      </c>
      <c r="O49" s="16"/>
      <c r="P49" s="16" t="s">
        <v>138</v>
      </c>
      <c r="Q49" s="16"/>
      <c r="R49" s="16"/>
      <c r="S49" s="3" t="s">
        <v>40</v>
      </c>
      <c r="T49" s="16" t="s">
        <v>139</v>
      </c>
      <c r="U49" s="16"/>
      <c r="V49" s="4" t="s">
        <v>42</v>
      </c>
      <c r="W49" s="4" t="s">
        <v>126</v>
      </c>
      <c r="X49" s="4" t="s">
        <v>132</v>
      </c>
      <c r="Y49" s="16" t="s">
        <v>69</v>
      </c>
      <c r="Z49" s="16"/>
      <c r="AA49" s="4" t="s">
        <v>46</v>
      </c>
      <c r="AB49" s="4" t="s">
        <v>70</v>
      </c>
      <c r="AC49" s="4" t="s">
        <v>71</v>
      </c>
      <c r="AD49" s="4" t="s">
        <v>140</v>
      </c>
      <c r="AE49" s="4" t="s">
        <v>48</v>
      </c>
      <c r="AF49" s="4" t="s">
        <v>41</v>
      </c>
      <c r="AG49" s="4" t="s">
        <v>73</v>
      </c>
    </row>
    <row r="50" spans="1:33" ht="16.5" customHeight="1" x14ac:dyDescent="0.2">
      <c r="A50" s="2" t="s">
        <v>31</v>
      </c>
      <c r="B50" s="14" t="s">
        <v>60</v>
      </c>
      <c r="C50" s="14"/>
      <c r="D50" s="14"/>
      <c r="E50" s="15" t="s">
        <v>33</v>
      </c>
      <c r="F50" s="15"/>
      <c r="G50" s="16" t="s">
        <v>61</v>
      </c>
      <c r="H50" s="16"/>
      <c r="I50" s="16"/>
      <c r="J50" s="3" t="s">
        <v>35</v>
      </c>
      <c r="K50" s="4" t="s">
        <v>62</v>
      </c>
      <c r="N50" s="16" t="s">
        <v>141</v>
      </c>
      <c r="O50" s="16"/>
      <c r="P50" s="16" t="s">
        <v>142</v>
      </c>
      <c r="Q50" s="16"/>
      <c r="R50" s="16"/>
      <c r="S50" s="3" t="s">
        <v>40</v>
      </c>
      <c r="T50" s="16" t="s">
        <v>143</v>
      </c>
      <c r="U50" s="16"/>
      <c r="V50" s="4" t="s">
        <v>66</v>
      </c>
      <c r="W50" s="4" t="s">
        <v>116</v>
      </c>
      <c r="X50" s="4" t="s">
        <v>74</v>
      </c>
      <c r="Y50" s="16" t="s">
        <v>69</v>
      </c>
      <c r="Z50" s="16"/>
      <c r="AA50" s="4" t="s">
        <v>46</v>
      </c>
      <c r="AB50" s="4" t="s">
        <v>70</v>
      </c>
      <c r="AC50" s="4" t="s">
        <v>71</v>
      </c>
      <c r="AD50" s="4" t="s">
        <v>144</v>
      </c>
      <c r="AE50" s="4" t="s">
        <v>48</v>
      </c>
      <c r="AF50" s="4" t="s">
        <v>41</v>
      </c>
      <c r="AG50" s="4" t="s">
        <v>73</v>
      </c>
    </row>
    <row r="51" spans="1:33" ht="16.5" customHeight="1" x14ac:dyDescent="0.2">
      <c r="A51" s="2" t="s">
        <v>31</v>
      </c>
      <c r="B51" s="14" t="s">
        <v>60</v>
      </c>
      <c r="C51" s="14"/>
      <c r="D51" s="14"/>
      <c r="E51" s="15" t="s">
        <v>33</v>
      </c>
      <c r="F51" s="15"/>
      <c r="G51" s="16" t="s">
        <v>61</v>
      </c>
      <c r="H51" s="16"/>
      <c r="I51" s="16"/>
      <c r="J51" s="3" t="s">
        <v>35</v>
      </c>
      <c r="K51" s="4" t="s">
        <v>62</v>
      </c>
      <c r="N51" s="16" t="s">
        <v>141</v>
      </c>
      <c r="O51" s="16"/>
      <c r="P51" s="16" t="s">
        <v>142</v>
      </c>
      <c r="Q51" s="16"/>
      <c r="R51" s="16"/>
      <c r="S51" s="3" t="s">
        <v>40</v>
      </c>
      <c r="T51" s="16" t="s">
        <v>143</v>
      </c>
      <c r="U51" s="16"/>
      <c r="V51" s="4" t="s">
        <v>42</v>
      </c>
      <c r="W51" s="4" t="s">
        <v>116</v>
      </c>
      <c r="X51" s="4" t="s">
        <v>117</v>
      </c>
      <c r="Y51" s="16" t="s">
        <v>69</v>
      </c>
      <c r="Z51" s="16"/>
      <c r="AA51" s="4" t="s">
        <v>46</v>
      </c>
      <c r="AB51" s="4" t="s">
        <v>70</v>
      </c>
      <c r="AC51" s="4" t="s">
        <v>71</v>
      </c>
      <c r="AD51" s="4" t="s">
        <v>144</v>
      </c>
      <c r="AE51" s="4" t="s">
        <v>48</v>
      </c>
      <c r="AF51" s="4" t="s">
        <v>41</v>
      </c>
      <c r="AG51" s="4" t="s">
        <v>73</v>
      </c>
    </row>
    <row r="52" spans="1:33" ht="16.5" customHeight="1" x14ac:dyDescent="0.2">
      <c r="A52" s="2" t="s">
        <v>31</v>
      </c>
      <c r="B52" s="14" t="s">
        <v>60</v>
      </c>
      <c r="C52" s="14"/>
      <c r="D52" s="14"/>
      <c r="E52" s="15" t="s">
        <v>33</v>
      </c>
      <c r="F52" s="15"/>
      <c r="G52" s="16" t="s">
        <v>61</v>
      </c>
      <c r="H52" s="16"/>
      <c r="I52" s="16"/>
      <c r="J52" s="3" t="s">
        <v>35</v>
      </c>
      <c r="K52" s="4" t="s">
        <v>62</v>
      </c>
      <c r="N52" s="16" t="s">
        <v>141</v>
      </c>
      <c r="O52" s="16"/>
      <c r="P52" s="16" t="s">
        <v>142</v>
      </c>
      <c r="Q52" s="16"/>
      <c r="R52" s="16"/>
      <c r="S52" s="3" t="s">
        <v>40</v>
      </c>
      <c r="T52" s="16" t="s">
        <v>143</v>
      </c>
      <c r="U52" s="16"/>
      <c r="V52" s="4" t="s">
        <v>126</v>
      </c>
      <c r="W52" s="4" t="s">
        <v>116</v>
      </c>
      <c r="X52" s="4" t="s">
        <v>132</v>
      </c>
      <c r="Y52" s="16" t="s">
        <v>69</v>
      </c>
      <c r="Z52" s="16"/>
      <c r="AA52" s="4" t="s">
        <v>46</v>
      </c>
      <c r="AB52" s="4" t="s">
        <v>70</v>
      </c>
      <c r="AC52" s="4" t="s">
        <v>71</v>
      </c>
      <c r="AD52" s="4" t="s">
        <v>144</v>
      </c>
      <c r="AE52" s="4" t="s">
        <v>48</v>
      </c>
      <c r="AF52" s="4" t="s">
        <v>41</v>
      </c>
      <c r="AG52" s="4" t="s">
        <v>73</v>
      </c>
    </row>
    <row r="53" spans="1:33" ht="16.5" customHeight="1" x14ac:dyDescent="0.2">
      <c r="A53" s="2" t="s">
        <v>31</v>
      </c>
      <c r="B53" s="14" t="s">
        <v>60</v>
      </c>
      <c r="C53" s="14"/>
      <c r="D53" s="14"/>
      <c r="E53" s="15" t="s">
        <v>33</v>
      </c>
      <c r="F53" s="15"/>
      <c r="G53" s="16" t="s">
        <v>61</v>
      </c>
      <c r="H53" s="16"/>
      <c r="I53" s="16"/>
      <c r="J53" s="3" t="s">
        <v>35</v>
      </c>
      <c r="K53" s="4" t="s">
        <v>62</v>
      </c>
      <c r="N53" s="16" t="s">
        <v>145</v>
      </c>
      <c r="O53" s="16"/>
      <c r="P53" s="16" t="s">
        <v>146</v>
      </c>
      <c r="Q53" s="16"/>
      <c r="R53" s="16"/>
      <c r="S53" s="3" t="s">
        <v>40</v>
      </c>
      <c r="T53" s="16" t="s">
        <v>147</v>
      </c>
      <c r="U53" s="16"/>
      <c r="V53" s="4" t="s">
        <v>66</v>
      </c>
      <c r="W53" s="4" t="s">
        <v>126</v>
      </c>
      <c r="X53" s="4" t="s">
        <v>117</v>
      </c>
      <c r="Y53" s="16" t="s">
        <v>69</v>
      </c>
      <c r="Z53" s="16"/>
      <c r="AA53" s="4" t="s">
        <v>46</v>
      </c>
      <c r="AB53" s="4" t="s">
        <v>70</v>
      </c>
      <c r="AC53" s="4" t="s">
        <v>71</v>
      </c>
      <c r="AD53" s="4" t="s">
        <v>148</v>
      </c>
      <c r="AE53" s="4" t="s">
        <v>48</v>
      </c>
      <c r="AF53" s="4" t="s">
        <v>41</v>
      </c>
      <c r="AG53" s="4" t="s">
        <v>73</v>
      </c>
    </row>
    <row r="54" spans="1:33" ht="16.5" customHeight="1" x14ac:dyDescent="0.2">
      <c r="A54" s="2" t="s">
        <v>31</v>
      </c>
      <c r="B54" s="14" t="s">
        <v>60</v>
      </c>
      <c r="C54" s="14"/>
      <c r="D54" s="14"/>
      <c r="E54" s="15" t="s">
        <v>33</v>
      </c>
      <c r="F54" s="15"/>
      <c r="G54" s="16" t="s">
        <v>61</v>
      </c>
      <c r="H54" s="16"/>
      <c r="I54" s="16"/>
      <c r="J54" s="3" t="s">
        <v>35</v>
      </c>
      <c r="K54" s="4" t="s">
        <v>62</v>
      </c>
      <c r="N54" s="16" t="s">
        <v>145</v>
      </c>
      <c r="O54" s="16"/>
      <c r="P54" s="16" t="s">
        <v>146</v>
      </c>
      <c r="Q54" s="16"/>
      <c r="R54" s="16"/>
      <c r="S54" s="3" t="s">
        <v>40</v>
      </c>
      <c r="T54" s="16" t="s">
        <v>147</v>
      </c>
      <c r="U54" s="16"/>
      <c r="V54" s="4" t="s">
        <v>42</v>
      </c>
      <c r="W54" s="4" t="s">
        <v>126</v>
      </c>
      <c r="X54" s="4" t="s">
        <v>132</v>
      </c>
      <c r="Y54" s="16" t="s">
        <v>69</v>
      </c>
      <c r="Z54" s="16"/>
      <c r="AA54" s="4" t="s">
        <v>46</v>
      </c>
      <c r="AB54" s="4" t="s">
        <v>70</v>
      </c>
      <c r="AC54" s="4" t="s">
        <v>71</v>
      </c>
      <c r="AD54" s="4" t="s">
        <v>148</v>
      </c>
      <c r="AE54" s="4" t="s">
        <v>48</v>
      </c>
      <c r="AF54" s="4" t="s">
        <v>41</v>
      </c>
      <c r="AG54" s="4" t="s">
        <v>73</v>
      </c>
    </row>
    <row r="55" spans="1:33" ht="16.5" customHeight="1" x14ac:dyDescent="0.2">
      <c r="A55" s="2" t="s">
        <v>31</v>
      </c>
      <c r="B55" s="14" t="s">
        <v>60</v>
      </c>
      <c r="C55" s="14"/>
      <c r="D55" s="14"/>
      <c r="E55" s="15" t="s">
        <v>33</v>
      </c>
      <c r="F55" s="15"/>
      <c r="G55" s="16" t="s">
        <v>61</v>
      </c>
      <c r="H55" s="16"/>
      <c r="I55" s="16"/>
      <c r="J55" s="3" t="s">
        <v>35</v>
      </c>
      <c r="K55" s="4" t="s">
        <v>62</v>
      </c>
      <c r="N55" s="16" t="s">
        <v>149</v>
      </c>
      <c r="O55" s="16"/>
      <c r="P55" s="16" t="s">
        <v>150</v>
      </c>
      <c r="Q55" s="16"/>
      <c r="R55" s="16"/>
      <c r="S55" s="3" t="s">
        <v>40</v>
      </c>
      <c r="T55" s="16" t="s">
        <v>95</v>
      </c>
      <c r="U55" s="16"/>
      <c r="V55" s="4" t="s">
        <v>66</v>
      </c>
      <c r="W55" s="4" t="s">
        <v>126</v>
      </c>
      <c r="X55" s="4" t="s">
        <v>117</v>
      </c>
      <c r="Y55" s="16" t="s">
        <v>69</v>
      </c>
      <c r="Z55" s="16"/>
      <c r="AA55" s="4" t="s">
        <v>46</v>
      </c>
      <c r="AB55" s="4" t="s">
        <v>70</v>
      </c>
      <c r="AC55" s="4" t="s">
        <v>71</v>
      </c>
      <c r="AD55" s="4" t="s">
        <v>97</v>
      </c>
      <c r="AE55" s="4" t="s">
        <v>48</v>
      </c>
      <c r="AF55" s="4" t="s">
        <v>41</v>
      </c>
      <c r="AG55" s="4" t="s">
        <v>73</v>
      </c>
    </row>
    <row r="56" spans="1:33" ht="16.5" customHeight="1" x14ac:dyDescent="0.2">
      <c r="A56" s="2" t="s">
        <v>31</v>
      </c>
      <c r="B56" s="14" t="s">
        <v>60</v>
      </c>
      <c r="C56" s="14"/>
      <c r="D56" s="14"/>
      <c r="E56" s="15" t="s">
        <v>33</v>
      </c>
      <c r="F56" s="15"/>
      <c r="G56" s="16" t="s">
        <v>61</v>
      </c>
      <c r="H56" s="16"/>
      <c r="I56" s="16"/>
      <c r="J56" s="3" t="s">
        <v>35</v>
      </c>
      <c r="K56" s="4" t="s">
        <v>62</v>
      </c>
      <c r="N56" s="16" t="s">
        <v>149</v>
      </c>
      <c r="O56" s="16"/>
      <c r="P56" s="16" t="s">
        <v>150</v>
      </c>
      <c r="Q56" s="16"/>
      <c r="R56" s="16"/>
      <c r="S56" s="3" t="s">
        <v>40</v>
      </c>
      <c r="T56" s="16" t="s">
        <v>95</v>
      </c>
      <c r="U56" s="16"/>
      <c r="V56" s="4" t="s">
        <v>42</v>
      </c>
      <c r="W56" s="4" t="s">
        <v>126</v>
      </c>
      <c r="X56" s="4" t="s">
        <v>132</v>
      </c>
      <c r="Y56" s="16" t="s">
        <v>69</v>
      </c>
      <c r="Z56" s="16"/>
      <c r="AA56" s="4" t="s">
        <v>46</v>
      </c>
      <c r="AB56" s="4" t="s">
        <v>70</v>
      </c>
      <c r="AC56" s="4" t="s">
        <v>71</v>
      </c>
      <c r="AD56" s="4" t="s">
        <v>97</v>
      </c>
      <c r="AE56" s="4" t="s">
        <v>48</v>
      </c>
      <c r="AF56" s="4" t="s">
        <v>41</v>
      </c>
      <c r="AG56" s="4" t="s">
        <v>73</v>
      </c>
    </row>
    <row r="57" spans="1:33" ht="16.5" customHeight="1" x14ac:dyDescent="0.2">
      <c r="A57" s="2" t="s">
        <v>31</v>
      </c>
      <c r="B57" s="14" t="s">
        <v>60</v>
      </c>
      <c r="C57" s="14"/>
      <c r="D57" s="14"/>
      <c r="E57" s="15" t="s">
        <v>33</v>
      </c>
      <c r="F57" s="15"/>
      <c r="G57" s="16" t="s">
        <v>61</v>
      </c>
      <c r="H57" s="16"/>
      <c r="I57" s="16"/>
      <c r="J57" s="3" t="s">
        <v>35</v>
      </c>
      <c r="K57" s="4" t="s">
        <v>62</v>
      </c>
      <c r="N57" s="16" t="s">
        <v>151</v>
      </c>
      <c r="O57" s="16"/>
      <c r="P57" s="16" t="s">
        <v>152</v>
      </c>
      <c r="Q57" s="16"/>
      <c r="R57" s="16"/>
      <c r="S57" s="3" t="s">
        <v>40</v>
      </c>
      <c r="T57" s="16" t="s">
        <v>153</v>
      </c>
      <c r="U57" s="16"/>
      <c r="V57" s="4" t="s">
        <v>66</v>
      </c>
      <c r="W57" s="4" t="s">
        <v>42</v>
      </c>
      <c r="X57" s="4" t="s">
        <v>132</v>
      </c>
      <c r="Y57" s="16" t="s">
        <v>69</v>
      </c>
      <c r="Z57" s="16"/>
      <c r="AA57" s="4" t="s">
        <v>46</v>
      </c>
      <c r="AB57" s="4" t="s">
        <v>70</v>
      </c>
      <c r="AC57" s="4" t="s">
        <v>71</v>
      </c>
      <c r="AD57" s="4" t="s">
        <v>154</v>
      </c>
      <c r="AE57" s="4" t="s">
        <v>48</v>
      </c>
      <c r="AF57" s="4" t="s">
        <v>41</v>
      </c>
      <c r="AG57" s="4" t="s">
        <v>73</v>
      </c>
    </row>
    <row r="58" spans="1:33" ht="16.5" customHeight="1" x14ac:dyDescent="0.2">
      <c r="A58" s="2" t="s">
        <v>31</v>
      </c>
      <c r="B58" s="14" t="s">
        <v>60</v>
      </c>
      <c r="C58" s="14"/>
      <c r="D58" s="14"/>
      <c r="E58" s="15" t="s">
        <v>33</v>
      </c>
      <c r="F58" s="15"/>
      <c r="G58" s="16" t="s">
        <v>61</v>
      </c>
      <c r="H58" s="16"/>
      <c r="I58" s="16"/>
      <c r="J58" s="3" t="s">
        <v>35</v>
      </c>
      <c r="K58" s="4" t="s">
        <v>155</v>
      </c>
      <c r="N58" s="16" t="s">
        <v>156</v>
      </c>
      <c r="O58" s="16"/>
      <c r="P58" s="16" t="s">
        <v>157</v>
      </c>
      <c r="Q58" s="16"/>
      <c r="R58" s="16"/>
      <c r="S58" s="3" t="s">
        <v>40</v>
      </c>
      <c r="T58" s="16" t="s">
        <v>158</v>
      </c>
      <c r="U58" s="16"/>
      <c r="V58" s="4" t="s">
        <v>66</v>
      </c>
      <c r="W58" s="4" t="s">
        <v>67</v>
      </c>
      <c r="X58" s="4" t="s">
        <v>68</v>
      </c>
      <c r="Y58" s="16" t="s">
        <v>69</v>
      </c>
      <c r="Z58" s="16"/>
      <c r="AA58" s="4" t="s">
        <v>46</v>
      </c>
      <c r="AB58" s="4" t="s">
        <v>70</v>
      </c>
      <c r="AC58" s="4" t="s">
        <v>71</v>
      </c>
      <c r="AD58" s="4" t="s">
        <v>159</v>
      </c>
      <c r="AE58" s="4" t="s">
        <v>48</v>
      </c>
      <c r="AF58" s="4" t="s">
        <v>41</v>
      </c>
      <c r="AG58" s="4" t="s">
        <v>73</v>
      </c>
    </row>
    <row r="59" spans="1:33" ht="16.5" customHeight="1" x14ac:dyDescent="0.2">
      <c r="A59" s="2" t="s">
        <v>31</v>
      </c>
      <c r="B59" s="14" t="s">
        <v>60</v>
      </c>
      <c r="C59" s="14"/>
      <c r="D59" s="14"/>
      <c r="E59" s="15" t="s">
        <v>33</v>
      </c>
      <c r="F59" s="15"/>
      <c r="G59" s="16" t="s">
        <v>61</v>
      </c>
      <c r="H59" s="16"/>
      <c r="I59" s="16"/>
      <c r="J59" s="3" t="s">
        <v>35</v>
      </c>
      <c r="K59" s="4" t="s">
        <v>155</v>
      </c>
      <c r="N59" s="16" t="s">
        <v>156</v>
      </c>
      <c r="O59" s="16"/>
      <c r="P59" s="16" t="s">
        <v>157</v>
      </c>
      <c r="Q59" s="16"/>
      <c r="R59" s="16"/>
      <c r="S59" s="3" t="s">
        <v>40</v>
      </c>
      <c r="T59" s="16" t="s">
        <v>158</v>
      </c>
      <c r="U59" s="16"/>
      <c r="V59" s="4" t="s">
        <v>42</v>
      </c>
      <c r="W59" s="4" t="s">
        <v>67</v>
      </c>
      <c r="X59" s="4" t="s">
        <v>74</v>
      </c>
      <c r="Y59" s="16" t="s">
        <v>69</v>
      </c>
      <c r="Z59" s="16"/>
      <c r="AA59" s="4" t="s">
        <v>46</v>
      </c>
      <c r="AB59" s="4" t="s">
        <v>70</v>
      </c>
      <c r="AC59" s="4" t="s">
        <v>71</v>
      </c>
      <c r="AD59" s="4" t="s">
        <v>159</v>
      </c>
      <c r="AE59" s="4" t="s">
        <v>48</v>
      </c>
      <c r="AF59" s="4" t="s">
        <v>41</v>
      </c>
      <c r="AG59" s="4" t="s">
        <v>73</v>
      </c>
    </row>
    <row r="60" spans="1:33" ht="390.75" customHeight="1" x14ac:dyDescent="0.2"/>
    <row r="61" spans="1:33" ht="12" customHeight="1" x14ac:dyDescent="0.2"/>
  </sheetData>
  <mergeCells count="331">
    <mergeCell ref="B58:D58"/>
    <mergeCell ref="E58:F58"/>
    <mergeCell ref="G58:I58"/>
    <mergeCell ref="N58:O58"/>
    <mergeCell ref="P58:R58"/>
    <mergeCell ref="T58:U58"/>
    <mergeCell ref="Y58:Z58"/>
    <mergeCell ref="B59:D59"/>
    <mergeCell ref="E59:F59"/>
    <mergeCell ref="G59:I59"/>
    <mergeCell ref="N59:O59"/>
    <mergeCell ref="P59:R59"/>
    <mergeCell ref="T59:U59"/>
    <mergeCell ref="Y59:Z59"/>
    <mergeCell ref="B56:D56"/>
    <mergeCell ref="E56:F56"/>
    <mergeCell ref="G56:I56"/>
    <mergeCell ref="N56:O56"/>
    <mergeCell ref="P56:R56"/>
    <mergeCell ref="T56:U56"/>
    <mergeCell ref="Y56:Z56"/>
    <mergeCell ref="B57:D57"/>
    <mergeCell ref="E57:F57"/>
    <mergeCell ref="G57:I57"/>
    <mergeCell ref="N57:O57"/>
    <mergeCell ref="P57:R57"/>
    <mergeCell ref="T57:U57"/>
    <mergeCell ref="Y57:Z57"/>
    <mergeCell ref="B54:D54"/>
    <mergeCell ref="E54:F54"/>
    <mergeCell ref="G54:I54"/>
    <mergeCell ref="N54:O54"/>
    <mergeCell ref="P54:R54"/>
    <mergeCell ref="T54:U54"/>
    <mergeCell ref="Y54:Z54"/>
    <mergeCell ref="B55:D55"/>
    <mergeCell ref="E55:F55"/>
    <mergeCell ref="G55:I55"/>
    <mergeCell ref="N55:O55"/>
    <mergeCell ref="P55:R55"/>
    <mergeCell ref="T55:U55"/>
    <mergeCell ref="Y55:Z55"/>
    <mergeCell ref="B52:D52"/>
    <mergeCell ref="E52:F52"/>
    <mergeCell ref="G52:I52"/>
    <mergeCell ref="N52:O52"/>
    <mergeCell ref="P52:R52"/>
    <mergeCell ref="T52:U52"/>
    <mergeCell ref="Y52:Z52"/>
    <mergeCell ref="B53:D53"/>
    <mergeCell ref="E53:F53"/>
    <mergeCell ref="G53:I53"/>
    <mergeCell ref="N53:O53"/>
    <mergeCell ref="P53:R53"/>
    <mergeCell ref="T53:U53"/>
    <mergeCell ref="Y53:Z53"/>
    <mergeCell ref="B50:D50"/>
    <mergeCell ref="E50:F50"/>
    <mergeCell ref="G50:I50"/>
    <mergeCell ref="N50:O50"/>
    <mergeCell ref="P50:R50"/>
    <mergeCell ref="T50:U50"/>
    <mergeCell ref="Y50:Z50"/>
    <mergeCell ref="B51:D51"/>
    <mergeCell ref="E51:F51"/>
    <mergeCell ref="G51:I51"/>
    <mergeCell ref="N51:O51"/>
    <mergeCell ref="P51:R51"/>
    <mergeCell ref="T51:U51"/>
    <mergeCell ref="Y51:Z51"/>
    <mergeCell ref="B48:D48"/>
    <mergeCell ref="E48:F48"/>
    <mergeCell ref="G48:I48"/>
    <mergeCell ref="N48:O48"/>
    <mergeCell ref="P48:R48"/>
    <mergeCell ref="T48:U48"/>
    <mergeCell ref="Y48:Z48"/>
    <mergeCell ref="B49:D49"/>
    <mergeCell ref="E49:F49"/>
    <mergeCell ref="G49:I49"/>
    <mergeCell ref="N49:O49"/>
    <mergeCell ref="P49:R49"/>
    <mergeCell ref="T49:U49"/>
    <mergeCell ref="Y49:Z49"/>
    <mergeCell ref="B46:D46"/>
    <mergeCell ref="E46:F46"/>
    <mergeCell ref="G46:I46"/>
    <mergeCell ref="N46:O46"/>
    <mergeCell ref="P46:R46"/>
    <mergeCell ref="T46:U46"/>
    <mergeCell ref="Y46:Z46"/>
    <mergeCell ref="B47:D47"/>
    <mergeCell ref="E47:F47"/>
    <mergeCell ref="G47:I47"/>
    <mergeCell ref="N47:O47"/>
    <mergeCell ref="P47:R47"/>
    <mergeCell ref="T47:U47"/>
    <mergeCell ref="Y47:Z47"/>
    <mergeCell ref="B44:D44"/>
    <mergeCell ref="E44:F44"/>
    <mergeCell ref="G44:I44"/>
    <mergeCell ref="N44:O44"/>
    <mergeCell ref="P44:R44"/>
    <mergeCell ref="T44:U44"/>
    <mergeCell ref="Y44:Z44"/>
    <mergeCell ref="B45:D45"/>
    <mergeCell ref="E45:F45"/>
    <mergeCell ref="G45:I45"/>
    <mergeCell ref="N45:O45"/>
    <mergeCell ref="P45:R45"/>
    <mergeCell ref="T45:U45"/>
    <mergeCell ref="Y45:Z45"/>
    <mergeCell ref="B42:D42"/>
    <mergeCell ref="E42:F42"/>
    <mergeCell ref="G42:I42"/>
    <mergeCell ref="N42:O42"/>
    <mergeCell ref="P42:R42"/>
    <mergeCell ref="T42:U42"/>
    <mergeCell ref="Y42:Z42"/>
    <mergeCell ref="B43:D43"/>
    <mergeCell ref="E43:F43"/>
    <mergeCell ref="G43:I43"/>
    <mergeCell ref="N43:O43"/>
    <mergeCell ref="P43:R43"/>
    <mergeCell ref="T43:U43"/>
    <mergeCell ref="Y43:Z43"/>
    <mergeCell ref="B40:D40"/>
    <mergeCell ref="E40:F40"/>
    <mergeCell ref="G40:I40"/>
    <mergeCell ref="N40:O40"/>
    <mergeCell ref="P40:R40"/>
    <mergeCell ref="T40:U40"/>
    <mergeCell ref="Y40:Z40"/>
    <mergeCell ref="B41:D41"/>
    <mergeCell ref="E41:F41"/>
    <mergeCell ref="G41:I41"/>
    <mergeCell ref="N41:O41"/>
    <mergeCell ref="P41:R41"/>
    <mergeCell ref="T41:U41"/>
    <mergeCell ref="Y41:Z41"/>
    <mergeCell ref="B38:D38"/>
    <mergeCell ref="E38:F38"/>
    <mergeCell ref="G38:I38"/>
    <mergeCell ref="N38:O38"/>
    <mergeCell ref="P38:R38"/>
    <mergeCell ref="T38:U38"/>
    <mergeCell ref="Y38:Z38"/>
    <mergeCell ref="B39:D39"/>
    <mergeCell ref="E39:F39"/>
    <mergeCell ref="G39:I39"/>
    <mergeCell ref="N39:O39"/>
    <mergeCell ref="P39:R39"/>
    <mergeCell ref="T39:U39"/>
    <mergeCell ref="Y39:Z39"/>
    <mergeCell ref="B36:D36"/>
    <mergeCell ref="E36:F36"/>
    <mergeCell ref="G36:I36"/>
    <mergeCell ref="N36:O36"/>
    <mergeCell ref="P36:R36"/>
    <mergeCell ref="T36:U36"/>
    <mergeCell ref="Y36:Z36"/>
    <mergeCell ref="B37:D37"/>
    <mergeCell ref="E37:F37"/>
    <mergeCell ref="G37:I37"/>
    <mergeCell ref="N37:O37"/>
    <mergeCell ref="P37:R37"/>
    <mergeCell ref="T37:U37"/>
    <mergeCell ref="Y37:Z37"/>
    <mergeCell ref="B34:D34"/>
    <mergeCell ref="E34:F34"/>
    <mergeCell ref="G34:I34"/>
    <mergeCell ref="N34:O34"/>
    <mergeCell ref="P34:R34"/>
    <mergeCell ref="T34:U34"/>
    <mergeCell ref="Y34:Z34"/>
    <mergeCell ref="B35:D35"/>
    <mergeCell ref="E35:F35"/>
    <mergeCell ref="G35:I35"/>
    <mergeCell ref="N35:O35"/>
    <mergeCell ref="P35:R35"/>
    <mergeCell ref="T35:U35"/>
    <mergeCell ref="Y35:Z35"/>
    <mergeCell ref="B32:D32"/>
    <mergeCell ref="E32:F32"/>
    <mergeCell ref="G32:I32"/>
    <mergeCell ref="N32:O32"/>
    <mergeCell ref="P32:R32"/>
    <mergeCell ref="T32:U32"/>
    <mergeCell ref="Y32:Z32"/>
    <mergeCell ref="B33:D33"/>
    <mergeCell ref="E33:F33"/>
    <mergeCell ref="G33:I33"/>
    <mergeCell ref="N33:O33"/>
    <mergeCell ref="P33:R33"/>
    <mergeCell ref="T33:U33"/>
    <mergeCell ref="Y33:Z33"/>
    <mergeCell ref="B30:D30"/>
    <mergeCell ref="E30:F30"/>
    <mergeCell ref="G30:I30"/>
    <mergeCell ref="N30:O30"/>
    <mergeCell ref="P30:R30"/>
    <mergeCell ref="T30:U30"/>
    <mergeCell ref="Y30:Z30"/>
    <mergeCell ref="B31:D31"/>
    <mergeCell ref="E31:F31"/>
    <mergeCell ref="G31:I31"/>
    <mergeCell ref="N31:O31"/>
    <mergeCell ref="P31:R31"/>
    <mergeCell ref="T31:U31"/>
    <mergeCell ref="Y31:Z31"/>
    <mergeCell ref="B28:D28"/>
    <mergeCell ref="E28:F28"/>
    <mergeCell ref="G28:I28"/>
    <mergeCell ref="N28:O28"/>
    <mergeCell ref="P28:R28"/>
    <mergeCell ref="T28:U28"/>
    <mergeCell ref="Y28:Z28"/>
    <mergeCell ref="B29:D29"/>
    <mergeCell ref="E29:F29"/>
    <mergeCell ref="G29:I29"/>
    <mergeCell ref="N29:O29"/>
    <mergeCell ref="P29:R29"/>
    <mergeCell ref="T29:U29"/>
    <mergeCell ref="Y29:Z29"/>
    <mergeCell ref="B26:D26"/>
    <mergeCell ref="E26:F26"/>
    <mergeCell ref="G26:I26"/>
    <mergeCell ref="N26:O26"/>
    <mergeCell ref="P26:R26"/>
    <mergeCell ref="T26:U26"/>
    <mergeCell ref="Y26:Z26"/>
    <mergeCell ref="B27:D27"/>
    <mergeCell ref="E27:F27"/>
    <mergeCell ref="G27:I27"/>
    <mergeCell ref="N27:O27"/>
    <mergeCell ref="P27:R27"/>
    <mergeCell ref="T27:U27"/>
    <mergeCell ref="Y27:Z27"/>
    <mergeCell ref="B24:D24"/>
    <mergeCell ref="E24:F24"/>
    <mergeCell ref="G24:I24"/>
    <mergeCell ref="N24:O24"/>
    <mergeCell ref="P24:R24"/>
    <mergeCell ref="T24:U24"/>
    <mergeCell ref="Y24:Z24"/>
    <mergeCell ref="B25:D25"/>
    <mergeCell ref="E25:F25"/>
    <mergeCell ref="G25:I25"/>
    <mergeCell ref="N25:O25"/>
    <mergeCell ref="P25:R25"/>
    <mergeCell ref="T25:U25"/>
    <mergeCell ref="Y25:Z25"/>
    <mergeCell ref="B22:D22"/>
    <mergeCell ref="E22:F22"/>
    <mergeCell ref="G22:I22"/>
    <mergeCell ref="N22:O22"/>
    <mergeCell ref="P22:R22"/>
    <mergeCell ref="T22:U22"/>
    <mergeCell ref="Y22:Z22"/>
    <mergeCell ref="B23:D23"/>
    <mergeCell ref="E23:F23"/>
    <mergeCell ref="G23:I23"/>
    <mergeCell ref="N23:O23"/>
    <mergeCell ref="P23:R23"/>
    <mergeCell ref="T23:U23"/>
    <mergeCell ref="Y23:Z23"/>
    <mergeCell ref="B20:D20"/>
    <mergeCell ref="E20:F20"/>
    <mergeCell ref="G20:I20"/>
    <mergeCell ref="N20:O20"/>
    <mergeCell ref="P20:R20"/>
    <mergeCell ref="T20:U20"/>
    <mergeCell ref="Y20:Z20"/>
    <mergeCell ref="B21:D21"/>
    <mergeCell ref="E21:F21"/>
    <mergeCell ref="G21:I21"/>
    <mergeCell ref="N21:O21"/>
    <mergeCell ref="P21:R21"/>
    <mergeCell ref="T21:U21"/>
    <mergeCell ref="Y21:Z21"/>
    <mergeCell ref="B18:D18"/>
    <mergeCell ref="E18:F18"/>
    <mergeCell ref="G18:I18"/>
    <mergeCell ref="N18:O18"/>
    <mergeCell ref="P18:R18"/>
    <mergeCell ref="T18:U18"/>
    <mergeCell ref="Y18:Z18"/>
    <mergeCell ref="B19:D19"/>
    <mergeCell ref="E19:F19"/>
    <mergeCell ref="G19:I19"/>
    <mergeCell ref="N19:O19"/>
    <mergeCell ref="P19:R19"/>
    <mergeCell ref="T19:U19"/>
    <mergeCell ref="Y19:Z19"/>
    <mergeCell ref="AB13:AB14"/>
    <mergeCell ref="AC13:AC14"/>
    <mergeCell ref="AD13:AD14"/>
    <mergeCell ref="AE13:AE14"/>
    <mergeCell ref="AF13:AF14"/>
    <mergeCell ref="AG13:AG14"/>
    <mergeCell ref="B16:D16"/>
    <mergeCell ref="E16:F16"/>
    <mergeCell ref="G16:I16"/>
    <mergeCell ref="N16:O16"/>
    <mergeCell ref="P16:R16"/>
    <mergeCell ref="T16:U16"/>
    <mergeCell ref="Y16:Z16"/>
    <mergeCell ref="R3:T5"/>
    <mergeCell ref="A4:A5"/>
    <mergeCell ref="C4:H5"/>
    <mergeCell ref="Q6:T6"/>
    <mergeCell ref="A7:A8"/>
    <mergeCell ref="C7:G8"/>
    <mergeCell ref="C9:D9"/>
    <mergeCell ref="A11:AG12"/>
    <mergeCell ref="A13:A14"/>
    <mergeCell ref="B13:C14"/>
    <mergeCell ref="D13:E14"/>
    <mergeCell ref="F13:I14"/>
    <mergeCell ref="J13:J14"/>
    <mergeCell ref="K13:K14"/>
    <mergeCell ref="L13:L15"/>
    <mergeCell ref="N13:O15"/>
    <mergeCell ref="P13:R14"/>
    <mergeCell ref="S13:S14"/>
    <mergeCell ref="T13:U14"/>
    <mergeCell ref="V13:V14"/>
    <mergeCell ref="W13:W14"/>
    <mergeCell ref="X13:X14"/>
    <mergeCell ref="Y13:Z14"/>
    <mergeCell ref="AA13:AA14"/>
  </mergeCells>
  <pageMargins left="0.25" right="0.33333333333333298" top="0.33333333333333298" bottom="0.25" header="0" footer="0"/>
  <pageSetup paperSize="0" scale="0" fitToWidth="0" fitToHeight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72901-1C09-42C3-902D-FF303E49B2A2}">
  <dimension ref="A1:L44"/>
  <sheetViews>
    <sheetView tabSelected="1" topLeftCell="A21" workbookViewId="0">
      <selection activeCell="C43" sqref="C43"/>
    </sheetView>
  </sheetViews>
  <sheetFormatPr defaultColWidth="6.85546875" defaultRowHeight="12.75" x14ac:dyDescent="0.2"/>
  <cols>
    <col min="1" max="2" width="22" style="6" customWidth="1"/>
    <col min="3" max="3" width="13.140625" style="6" bestFit="1" customWidth="1"/>
    <col min="4" max="4" width="20.7109375" style="6" customWidth="1"/>
    <col min="5" max="5" width="15.85546875" style="6" bestFit="1" customWidth="1"/>
    <col min="6" max="7" width="13.140625" style="6" customWidth="1"/>
    <col min="8" max="9" width="14.140625" style="6" customWidth="1"/>
    <col min="10" max="10" width="13.42578125" style="18" customWidth="1"/>
    <col min="11" max="11" width="13.5703125" style="6" customWidth="1"/>
    <col min="12" max="16384" width="6.85546875" style="6"/>
  </cols>
  <sheetData>
    <row r="1" spans="1:12" ht="12.75" customHeight="1" x14ac:dyDescent="0.2">
      <c r="A1" s="5"/>
      <c r="B1" s="5"/>
      <c r="C1" s="5" t="s">
        <v>16</v>
      </c>
      <c r="D1" s="5" t="s">
        <v>17</v>
      </c>
      <c r="E1" s="5" t="s">
        <v>19</v>
      </c>
      <c r="F1" s="5" t="s">
        <v>20</v>
      </c>
      <c r="G1" s="5"/>
      <c r="H1" s="5" t="s">
        <v>21</v>
      </c>
      <c r="I1" s="5"/>
      <c r="J1" s="17" t="s">
        <v>26</v>
      </c>
      <c r="K1" s="5" t="s">
        <v>27</v>
      </c>
    </row>
    <row r="2" spans="1:12" ht="14.25" customHeight="1" x14ac:dyDescent="0.2">
      <c r="A2" s="5"/>
      <c r="B2" s="5"/>
      <c r="C2" s="5"/>
      <c r="D2" s="5"/>
      <c r="E2" s="5"/>
      <c r="F2" s="5"/>
      <c r="G2" s="5"/>
      <c r="H2" s="5"/>
      <c r="I2" s="5"/>
      <c r="J2" s="17"/>
      <c r="K2" s="5"/>
    </row>
    <row r="3" spans="1:12" ht="0.75" customHeight="1" x14ac:dyDescent="0.2">
      <c r="C3" s="5"/>
    </row>
    <row r="4" spans="1:12" ht="16.5" customHeight="1" x14ac:dyDescent="0.2">
      <c r="A4" s="2" t="s">
        <v>160</v>
      </c>
      <c r="B4" s="2">
        <v>371819</v>
      </c>
      <c r="C4" s="2">
        <v>926755746</v>
      </c>
      <c r="D4" s="2" t="s">
        <v>64</v>
      </c>
      <c r="E4" s="7">
        <v>1052.1500000000001</v>
      </c>
      <c r="F4" s="2">
        <v>20251001</v>
      </c>
      <c r="G4" s="2" t="str">
        <f>TEXT(DATE(LEFT(F4,4), MID(F4,5,2), RIGHT(F4,2)), "M/d/yyyy")</f>
        <v>10/1/2025</v>
      </c>
      <c r="H4" s="2">
        <v>20250601</v>
      </c>
      <c r="I4" s="2" t="str">
        <f>TEXT(DATE(LEFT(H4,4), MID(H4,5,2), RIGHT(H4,2)), "M/d/yyyy")</f>
        <v>6/1/2025</v>
      </c>
      <c r="J4" s="19">
        <v>0.04</v>
      </c>
      <c r="K4" s="2">
        <v>42.09</v>
      </c>
      <c r="L4" s="6" t="s">
        <v>161</v>
      </c>
    </row>
    <row r="5" spans="1:12" ht="16.5" customHeight="1" x14ac:dyDescent="0.2">
      <c r="A5" s="2" t="s">
        <v>160</v>
      </c>
      <c r="B5" s="2">
        <v>371819</v>
      </c>
      <c r="C5" s="2">
        <v>926755746</v>
      </c>
      <c r="D5" s="2" t="s">
        <v>64</v>
      </c>
      <c r="E5" s="7">
        <v>1052.1500000000001</v>
      </c>
      <c r="F5" s="2">
        <v>20250901</v>
      </c>
      <c r="G5" s="2" t="str">
        <f t="shared" ref="G5:G43" si="0">TEXT(DATE(LEFT(F5,4), MID(F5,5,2), RIGHT(F5,2)), "M/d/yyyy")</f>
        <v>9/1/2025</v>
      </c>
      <c r="H5" s="2">
        <v>20250601</v>
      </c>
      <c r="I5" s="2" t="str">
        <f t="shared" ref="I5:I43" si="1">TEXT(DATE(LEFT(H5,4), MID(H5,5,2), RIGHT(H5,2)), "M/d/yyyy")</f>
        <v>6/1/2025</v>
      </c>
      <c r="J5" s="19">
        <v>0.04</v>
      </c>
      <c r="K5" s="2">
        <v>42.09</v>
      </c>
      <c r="L5" s="6" t="s">
        <v>161</v>
      </c>
    </row>
    <row r="6" spans="1:12" ht="16.5" customHeight="1" x14ac:dyDescent="0.2">
      <c r="A6" s="2" t="s">
        <v>160</v>
      </c>
      <c r="B6" s="2">
        <v>371819</v>
      </c>
      <c r="C6" s="2">
        <v>926804496</v>
      </c>
      <c r="D6" s="2" t="s">
        <v>76</v>
      </c>
      <c r="E6" s="2">
        <v>572.38</v>
      </c>
      <c r="F6" s="2">
        <v>20251001</v>
      </c>
      <c r="G6" s="2" t="str">
        <f t="shared" si="0"/>
        <v>10/1/2025</v>
      </c>
      <c r="H6" s="2">
        <v>20250301</v>
      </c>
      <c r="I6" s="2" t="str">
        <f t="shared" si="1"/>
        <v>3/1/2025</v>
      </c>
      <c r="J6" s="19">
        <v>0.04</v>
      </c>
      <c r="K6" s="2">
        <v>22.9</v>
      </c>
      <c r="L6" s="6" t="s">
        <v>161</v>
      </c>
    </row>
    <row r="7" spans="1:12" ht="16.5" customHeight="1" x14ac:dyDescent="0.2">
      <c r="A7" s="2" t="s">
        <v>160</v>
      </c>
      <c r="B7" s="2">
        <v>371819</v>
      </c>
      <c r="C7" s="2">
        <v>926804496</v>
      </c>
      <c r="D7" s="2" t="s">
        <v>76</v>
      </c>
      <c r="E7" s="2">
        <v>572.38</v>
      </c>
      <c r="F7" s="2">
        <v>20250901</v>
      </c>
      <c r="G7" s="2" t="str">
        <f t="shared" si="0"/>
        <v>9/1/2025</v>
      </c>
      <c r="H7" s="2">
        <v>20250301</v>
      </c>
      <c r="I7" s="2" t="str">
        <f t="shared" si="1"/>
        <v>3/1/2025</v>
      </c>
      <c r="J7" s="19">
        <v>0.04</v>
      </c>
      <c r="K7" s="2">
        <v>22.9</v>
      </c>
      <c r="L7" s="6" t="s">
        <v>161</v>
      </c>
    </row>
    <row r="8" spans="1:12" ht="16.5" customHeight="1" x14ac:dyDescent="0.2">
      <c r="A8" s="2" t="s">
        <v>160</v>
      </c>
      <c r="B8" s="2">
        <v>371819</v>
      </c>
      <c r="C8" s="2">
        <v>926804771</v>
      </c>
      <c r="D8" s="2" t="s">
        <v>83</v>
      </c>
      <c r="E8" s="7">
        <v>1146.3599999999999</v>
      </c>
      <c r="F8" s="2">
        <v>20251001</v>
      </c>
      <c r="G8" s="2" t="str">
        <f t="shared" si="0"/>
        <v>10/1/2025</v>
      </c>
      <c r="H8" s="2">
        <v>20250301</v>
      </c>
      <c r="I8" s="2" t="str">
        <f t="shared" si="1"/>
        <v>3/1/2025</v>
      </c>
      <c r="J8" s="19">
        <v>0.04</v>
      </c>
      <c r="K8" s="2">
        <v>45.85</v>
      </c>
      <c r="L8" s="6" t="s">
        <v>161</v>
      </c>
    </row>
    <row r="9" spans="1:12" ht="16.5" customHeight="1" x14ac:dyDescent="0.2">
      <c r="A9" s="2" t="s">
        <v>160</v>
      </c>
      <c r="B9" s="2">
        <v>371819</v>
      </c>
      <c r="C9" s="2">
        <v>926804771</v>
      </c>
      <c r="D9" s="2" t="s">
        <v>83</v>
      </c>
      <c r="E9" s="7">
        <v>1146.3599999999999</v>
      </c>
      <c r="F9" s="2">
        <v>20250901</v>
      </c>
      <c r="G9" s="2" t="str">
        <f t="shared" si="0"/>
        <v>9/1/2025</v>
      </c>
      <c r="H9" s="2">
        <v>20250301</v>
      </c>
      <c r="I9" s="2" t="str">
        <f t="shared" si="1"/>
        <v>3/1/2025</v>
      </c>
      <c r="J9" s="19">
        <v>0.04</v>
      </c>
      <c r="K9" s="2">
        <v>45.85</v>
      </c>
      <c r="L9" s="6" t="s">
        <v>161</v>
      </c>
    </row>
    <row r="10" spans="1:12" ht="16.5" customHeight="1" x14ac:dyDescent="0.2">
      <c r="A10" s="2" t="s">
        <v>160</v>
      </c>
      <c r="B10" s="2">
        <v>371819</v>
      </c>
      <c r="C10" s="2">
        <v>926805539</v>
      </c>
      <c r="D10" s="2" t="s">
        <v>88</v>
      </c>
      <c r="E10" s="2">
        <v>666.01</v>
      </c>
      <c r="F10" s="2">
        <v>20251001</v>
      </c>
      <c r="G10" s="2" t="str">
        <f t="shared" si="0"/>
        <v>10/1/2025</v>
      </c>
      <c r="H10" s="2">
        <v>20250501</v>
      </c>
      <c r="I10" s="2" t="str">
        <f t="shared" si="1"/>
        <v>5/1/2025</v>
      </c>
      <c r="J10" s="19">
        <v>0.04</v>
      </c>
      <c r="K10" s="2">
        <v>26.64</v>
      </c>
      <c r="L10" s="6" t="s">
        <v>161</v>
      </c>
    </row>
    <row r="11" spans="1:12" ht="16.5" customHeight="1" x14ac:dyDescent="0.2">
      <c r="A11" s="2" t="s">
        <v>160</v>
      </c>
      <c r="B11" s="2">
        <v>371819</v>
      </c>
      <c r="C11" s="2">
        <v>926805539</v>
      </c>
      <c r="D11" s="2" t="s">
        <v>88</v>
      </c>
      <c r="E11" s="2">
        <v>666.01</v>
      </c>
      <c r="F11" s="2">
        <v>20250901</v>
      </c>
      <c r="G11" s="2" t="str">
        <f t="shared" si="0"/>
        <v>9/1/2025</v>
      </c>
      <c r="H11" s="2">
        <v>20250501</v>
      </c>
      <c r="I11" s="2" t="str">
        <f t="shared" si="1"/>
        <v>5/1/2025</v>
      </c>
      <c r="J11" s="19">
        <v>0.04</v>
      </c>
      <c r="K11" s="2">
        <v>26.64</v>
      </c>
      <c r="L11" s="6" t="s">
        <v>161</v>
      </c>
    </row>
    <row r="12" spans="1:12" ht="16.5" customHeight="1" x14ac:dyDescent="0.2">
      <c r="A12" s="2" t="s">
        <v>160</v>
      </c>
      <c r="B12" s="2">
        <v>371819</v>
      </c>
      <c r="C12" s="2">
        <v>926805543</v>
      </c>
      <c r="D12" s="2" t="s">
        <v>94</v>
      </c>
      <c r="E12" s="2">
        <v>360.54</v>
      </c>
      <c r="F12" s="2">
        <v>20251001</v>
      </c>
      <c r="G12" s="2" t="str">
        <f t="shared" si="0"/>
        <v>10/1/2025</v>
      </c>
      <c r="H12" s="2">
        <v>20250401</v>
      </c>
      <c r="I12" s="2" t="str">
        <f t="shared" si="1"/>
        <v>4/1/2025</v>
      </c>
      <c r="J12" s="19">
        <v>0.04</v>
      </c>
      <c r="K12" s="2">
        <v>14.42</v>
      </c>
      <c r="L12" s="6" t="s">
        <v>161</v>
      </c>
    </row>
    <row r="13" spans="1:12" ht="16.5" customHeight="1" x14ac:dyDescent="0.2">
      <c r="A13" s="2" t="s">
        <v>160</v>
      </c>
      <c r="B13" s="2">
        <v>371819</v>
      </c>
      <c r="C13" s="2">
        <v>926805543</v>
      </c>
      <c r="D13" s="2" t="s">
        <v>94</v>
      </c>
      <c r="E13" s="2">
        <v>360.54</v>
      </c>
      <c r="F13" s="2">
        <v>20250901</v>
      </c>
      <c r="G13" s="2" t="str">
        <f t="shared" si="0"/>
        <v>9/1/2025</v>
      </c>
      <c r="H13" s="2">
        <v>20250401</v>
      </c>
      <c r="I13" s="2" t="str">
        <f t="shared" si="1"/>
        <v>4/1/2025</v>
      </c>
      <c r="J13" s="19">
        <v>0.04</v>
      </c>
      <c r="K13" s="2">
        <v>14.42</v>
      </c>
      <c r="L13" s="6" t="s">
        <v>161</v>
      </c>
    </row>
    <row r="14" spans="1:12" ht="16.5" customHeight="1" x14ac:dyDescent="0.2">
      <c r="A14" s="2" t="s">
        <v>160</v>
      </c>
      <c r="B14" s="2">
        <v>371819</v>
      </c>
      <c r="C14" s="2">
        <v>926806737</v>
      </c>
      <c r="D14" s="2" t="s">
        <v>99</v>
      </c>
      <c r="E14" s="2">
        <v>211.84</v>
      </c>
      <c r="F14" s="2">
        <v>20251001</v>
      </c>
      <c r="G14" s="2" t="str">
        <f t="shared" si="0"/>
        <v>10/1/2025</v>
      </c>
      <c r="H14" s="2">
        <v>20250601</v>
      </c>
      <c r="I14" s="2" t="str">
        <f t="shared" si="1"/>
        <v>6/1/2025</v>
      </c>
      <c r="J14" s="19">
        <v>0.04</v>
      </c>
      <c r="K14" s="2">
        <v>8.4700000000000006</v>
      </c>
      <c r="L14" s="6" t="s">
        <v>161</v>
      </c>
    </row>
    <row r="15" spans="1:12" ht="16.5" customHeight="1" x14ac:dyDescent="0.2">
      <c r="A15" s="2" t="s">
        <v>160</v>
      </c>
      <c r="B15" s="2">
        <v>371819</v>
      </c>
      <c r="C15" s="2">
        <v>926806737</v>
      </c>
      <c r="D15" s="2" t="s">
        <v>99</v>
      </c>
      <c r="E15" s="2">
        <v>211.84</v>
      </c>
      <c r="F15" s="2">
        <v>20250901</v>
      </c>
      <c r="G15" s="2" t="str">
        <f t="shared" si="0"/>
        <v>9/1/2025</v>
      </c>
      <c r="H15" s="2">
        <v>20250601</v>
      </c>
      <c r="I15" s="2" t="str">
        <f t="shared" si="1"/>
        <v>6/1/2025</v>
      </c>
      <c r="J15" s="19">
        <v>0.04</v>
      </c>
      <c r="K15" s="2">
        <v>8.4700000000000006</v>
      </c>
      <c r="L15" s="6" t="s">
        <v>161</v>
      </c>
    </row>
    <row r="16" spans="1:12" ht="16.5" customHeight="1" x14ac:dyDescent="0.2">
      <c r="A16" s="2" t="s">
        <v>160</v>
      </c>
      <c r="B16" s="2">
        <v>371819</v>
      </c>
      <c r="C16" s="2">
        <v>926806756</v>
      </c>
      <c r="D16" s="2" t="s">
        <v>103</v>
      </c>
      <c r="E16" s="2">
        <v>581.51</v>
      </c>
      <c r="F16" s="2">
        <v>20251001</v>
      </c>
      <c r="G16" s="2" t="str">
        <f t="shared" si="0"/>
        <v>10/1/2025</v>
      </c>
      <c r="H16" s="2">
        <v>20250501</v>
      </c>
      <c r="I16" s="2" t="str">
        <f t="shared" si="1"/>
        <v>5/1/2025</v>
      </c>
      <c r="J16" s="19">
        <v>0.04</v>
      </c>
      <c r="K16" s="2">
        <v>23.26</v>
      </c>
      <c r="L16" s="6" t="s">
        <v>161</v>
      </c>
    </row>
    <row r="17" spans="1:12" ht="16.5" customHeight="1" x14ac:dyDescent="0.2">
      <c r="A17" s="2" t="s">
        <v>160</v>
      </c>
      <c r="B17" s="2">
        <v>371819</v>
      </c>
      <c r="C17" s="2">
        <v>926806756</v>
      </c>
      <c r="D17" s="2" t="s">
        <v>103</v>
      </c>
      <c r="E17" s="2">
        <v>581.51</v>
      </c>
      <c r="F17" s="2">
        <v>20250901</v>
      </c>
      <c r="G17" s="2" t="str">
        <f t="shared" si="0"/>
        <v>9/1/2025</v>
      </c>
      <c r="H17" s="2">
        <v>20250501</v>
      </c>
      <c r="I17" s="2" t="str">
        <f t="shared" si="1"/>
        <v>5/1/2025</v>
      </c>
      <c r="J17" s="19">
        <v>0.04</v>
      </c>
      <c r="K17" s="2">
        <v>23.26</v>
      </c>
      <c r="L17" s="6" t="s">
        <v>161</v>
      </c>
    </row>
    <row r="18" spans="1:12" ht="16.5" customHeight="1" x14ac:dyDescent="0.2">
      <c r="A18" s="2" t="s">
        <v>160</v>
      </c>
      <c r="B18" s="2">
        <v>371819</v>
      </c>
      <c r="C18" s="2">
        <v>926806773</v>
      </c>
      <c r="D18" s="2" t="s">
        <v>107</v>
      </c>
      <c r="E18" s="2">
        <v>252.82</v>
      </c>
      <c r="F18" s="2">
        <v>20251001</v>
      </c>
      <c r="G18" s="2" t="str">
        <f t="shared" si="0"/>
        <v>10/1/2025</v>
      </c>
      <c r="H18" s="2">
        <v>20250601</v>
      </c>
      <c r="I18" s="2" t="str">
        <f t="shared" si="1"/>
        <v>6/1/2025</v>
      </c>
      <c r="J18" s="19">
        <v>0.04</v>
      </c>
      <c r="K18" s="2">
        <v>10.11</v>
      </c>
      <c r="L18" s="6" t="s">
        <v>161</v>
      </c>
    </row>
    <row r="19" spans="1:12" ht="16.5" customHeight="1" x14ac:dyDescent="0.2">
      <c r="A19" s="2" t="s">
        <v>160</v>
      </c>
      <c r="B19" s="2">
        <v>371819</v>
      </c>
      <c r="C19" s="2">
        <v>926806773</v>
      </c>
      <c r="D19" s="2" t="s">
        <v>107</v>
      </c>
      <c r="E19" s="2">
        <v>252.82</v>
      </c>
      <c r="F19" s="2">
        <v>20250901</v>
      </c>
      <c r="G19" s="2" t="str">
        <f t="shared" si="0"/>
        <v>9/1/2025</v>
      </c>
      <c r="H19" s="2">
        <v>20250601</v>
      </c>
      <c r="I19" s="2" t="str">
        <f t="shared" si="1"/>
        <v>6/1/2025</v>
      </c>
      <c r="J19" s="19">
        <v>0.04</v>
      </c>
      <c r="K19" s="2">
        <v>10.11</v>
      </c>
      <c r="L19" s="6" t="s">
        <v>161</v>
      </c>
    </row>
    <row r="20" spans="1:12" ht="16.5" customHeight="1" x14ac:dyDescent="0.2">
      <c r="A20" s="2" t="s">
        <v>160</v>
      </c>
      <c r="B20" s="2">
        <v>371819</v>
      </c>
      <c r="C20" s="2">
        <v>926807060</v>
      </c>
      <c r="D20" s="2" t="s">
        <v>111</v>
      </c>
      <c r="E20" s="2">
        <v>387.67</v>
      </c>
      <c r="F20" s="2">
        <v>20251001</v>
      </c>
      <c r="G20" s="2" t="str">
        <f t="shared" si="0"/>
        <v>10/1/2025</v>
      </c>
      <c r="H20" s="2">
        <v>20250601</v>
      </c>
      <c r="I20" s="2" t="str">
        <f t="shared" si="1"/>
        <v>6/1/2025</v>
      </c>
      <c r="J20" s="19">
        <v>0.04</v>
      </c>
      <c r="K20" s="2">
        <v>15.51</v>
      </c>
      <c r="L20" s="6" t="s">
        <v>161</v>
      </c>
    </row>
    <row r="21" spans="1:12" ht="16.5" customHeight="1" x14ac:dyDescent="0.2">
      <c r="A21" s="2" t="s">
        <v>160</v>
      </c>
      <c r="B21" s="2">
        <v>371819</v>
      </c>
      <c r="C21" s="2">
        <v>926807060</v>
      </c>
      <c r="D21" s="2" t="s">
        <v>111</v>
      </c>
      <c r="E21" s="2">
        <v>387.67</v>
      </c>
      <c r="F21" s="2">
        <v>20250901</v>
      </c>
      <c r="G21" s="2" t="str">
        <f t="shared" si="0"/>
        <v>9/1/2025</v>
      </c>
      <c r="H21" s="2">
        <v>20250601</v>
      </c>
      <c r="I21" s="2" t="str">
        <f t="shared" si="1"/>
        <v>6/1/2025</v>
      </c>
      <c r="J21" s="19">
        <v>0.04</v>
      </c>
      <c r="K21" s="2">
        <v>15.51</v>
      </c>
      <c r="L21" s="6" t="s">
        <v>161</v>
      </c>
    </row>
    <row r="22" spans="1:12" ht="16.5" customHeight="1" x14ac:dyDescent="0.2">
      <c r="A22" s="2" t="s">
        <v>160</v>
      </c>
      <c r="B22" s="2">
        <v>371819</v>
      </c>
      <c r="C22" s="2">
        <v>926807377</v>
      </c>
      <c r="D22" s="2" t="s">
        <v>115</v>
      </c>
      <c r="E22" s="7">
        <v>1052.1500000000001</v>
      </c>
      <c r="F22" s="2">
        <v>20251001</v>
      </c>
      <c r="G22" s="2" t="str">
        <f t="shared" si="0"/>
        <v>10/1/2025</v>
      </c>
      <c r="H22" s="2">
        <v>20250701</v>
      </c>
      <c r="I22" s="2" t="str">
        <f t="shared" si="1"/>
        <v>7/1/2025</v>
      </c>
      <c r="J22" s="19">
        <v>0.04</v>
      </c>
      <c r="K22" s="2">
        <v>42.09</v>
      </c>
      <c r="L22" s="6" t="s">
        <v>161</v>
      </c>
    </row>
    <row r="23" spans="1:12" ht="16.5" customHeight="1" x14ac:dyDescent="0.2">
      <c r="A23" s="2" t="s">
        <v>160</v>
      </c>
      <c r="B23" s="2">
        <v>371819</v>
      </c>
      <c r="C23" s="2">
        <v>926807377</v>
      </c>
      <c r="D23" s="2" t="s">
        <v>115</v>
      </c>
      <c r="E23" s="7">
        <v>1052.1500000000001</v>
      </c>
      <c r="F23" s="2">
        <v>20250901</v>
      </c>
      <c r="G23" s="2" t="str">
        <f t="shared" si="0"/>
        <v>9/1/2025</v>
      </c>
      <c r="H23" s="2">
        <v>20250701</v>
      </c>
      <c r="I23" s="2" t="str">
        <f t="shared" si="1"/>
        <v>7/1/2025</v>
      </c>
      <c r="J23" s="19">
        <v>0.04</v>
      </c>
      <c r="K23" s="2">
        <v>42.09</v>
      </c>
      <c r="L23" s="6" t="s">
        <v>161</v>
      </c>
    </row>
    <row r="24" spans="1:12" ht="16.5" customHeight="1" x14ac:dyDescent="0.2">
      <c r="A24" s="2" t="s">
        <v>160</v>
      </c>
      <c r="B24" s="2">
        <v>371819</v>
      </c>
      <c r="C24" s="2">
        <v>926807940</v>
      </c>
      <c r="D24" s="2" t="s">
        <v>120</v>
      </c>
      <c r="E24" s="2">
        <v>336.96</v>
      </c>
      <c r="F24" s="2">
        <v>20251001</v>
      </c>
      <c r="G24" s="2" t="str">
        <f t="shared" si="0"/>
        <v>10/1/2025</v>
      </c>
      <c r="H24" s="2">
        <v>20250601</v>
      </c>
      <c r="I24" s="2" t="str">
        <f t="shared" si="1"/>
        <v>6/1/2025</v>
      </c>
      <c r="J24" s="19">
        <v>0.04</v>
      </c>
      <c r="K24" s="2">
        <v>13.48</v>
      </c>
      <c r="L24" s="6" t="s">
        <v>161</v>
      </c>
    </row>
    <row r="25" spans="1:12" ht="16.5" customHeight="1" x14ac:dyDescent="0.2">
      <c r="A25" s="2" t="s">
        <v>160</v>
      </c>
      <c r="B25" s="2">
        <v>371819</v>
      </c>
      <c r="C25" s="2">
        <v>926807940</v>
      </c>
      <c r="D25" s="2" t="s">
        <v>120</v>
      </c>
      <c r="E25" s="2">
        <v>336.96</v>
      </c>
      <c r="F25" s="2">
        <v>20250901</v>
      </c>
      <c r="G25" s="2" t="str">
        <f t="shared" si="0"/>
        <v>9/1/2025</v>
      </c>
      <c r="H25" s="2">
        <v>20250601</v>
      </c>
      <c r="I25" s="2" t="str">
        <f t="shared" si="1"/>
        <v>6/1/2025</v>
      </c>
      <c r="J25" s="19">
        <v>0.04</v>
      </c>
      <c r="K25" s="2">
        <v>13.48</v>
      </c>
      <c r="L25" s="6" t="s">
        <v>161</v>
      </c>
    </row>
    <row r="26" spans="1:12" ht="16.5" customHeight="1" x14ac:dyDescent="0.2">
      <c r="A26" s="2" t="s">
        <v>160</v>
      </c>
      <c r="B26" s="2">
        <v>371819</v>
      </c>
      <c r="C26" s="2">
        <v>926808082</v>
      </c>
      <c r="D26" s="2" t="s">
        <v>124</v>
      </c>
      <c r="E26" s="2">
        <v>720.8</v>
      </c>
      <c r="F26" s="2">
        <v>20251001</v>
      </c>
      <c r="G26" s="2" t="str">
        <f t="shared" si="0"/>
        <v>10/1/2025</v>
      </c>
      <c r="H26" s="2">
        <v>20250801</v>
      </c>
      <c r="I26" s="2" t="str">
        <f t="shared" si="1"/>
        <v>8/1/2025</v>
      </c>
      <c r="J26" s="19">
        <v>0.04</v>
      </c>
      <c r="K26" s="2">
        <v>28.83</v>
      </c>
      <c r="L26" s="6" t="s">
        <v>161</v>
      </c>
    </row>
    <row r="27" spans="1:12" ht="16.5" customHeight="1" x14ac:dyDescent="0.2">
      <c r="A27" s="2" t="s">
        <v>160</v>
      </c>
      <c r="B27" s="2">
        <v>371819</v>
      </c>
      <c r="C27" s="2">
        <v>926808229</v>
      </c>
      <c r="D27" s="2" t="s">
        <v>129</v>
      </c>
      <c r="E27" s="2">
        <v>646.03</v>
      </c>
      <c r="F27" s="2">
        <v>20251001</v>
      </c>
      <c r="G27" s="2" t="str">
        <f t="shared" si="0"/>
        <v>10/1/2025</v>
      </c>
      <c r="H27" s="2">
        <v>20250801</v>
      </c>
      <c r="I27" s="2" t="str">
        <f t="shared" si="1"/>
        <v>8/1/2025</v>
      </c>
      <c r="J27" s="19">
        <v>0.04</v>
      </c>
      <c r="K27" s="2">
        <v>25.84</v>
      </c>
      <c r="L27" s="6" t="s">
        <v>161</v>
      </c>
    </row>
    <row r="28" spans="1:12" ht="16.5" customHeight="1" x14ac:dyDescent="0.2">
      <c r="A28" s="2" t="s">
        <v>160</v>
      </c>
      <c r="B28" s="2">
        <v>371819</v>
      </c>
      <c r="C28" s="2">
        <v>926808229</v>
      </c>
      <c r="D28" s="2" t="s">
        <v>129</v>
      </c>
      <c r="E28" s="2">
        <v>646.03</v>
      </c>
      <c r="F28" s="2">
        <v>20250901</v>
      </c>
      <c r="G28" s="2" t="str">
        <f t="shared" si="0"/>
        <v>9/1/2025</v>
      </c>
      <c r="H28" s="2">
        <v>20250801</v>
      </c>
      <c r="I28" s="2" t="str">
        <f t="shared" si="1"/>
        <v>8/1/2025</v>
      </c>
      <c r="J28" s="19">
        <v>0.04</v>
      </c>
      <c r="K28" s="2">
        <v>25.84</v>
      </c>
      <c r="L28" s="6" t="s">
        <v>161</v>
      </c>
    </row>
    <row r="29" spans="1:12" ht="16.5" customHeight="1" x14ac:dyDescent="0.2">
      <c r="A29" s="2" t="s">
        <v>160</v>
      </c>
      <c r="B29" s="2">
        <v>371819</v>
      </c>
      <c r="C29" s="2">
        <v>926808233</v>
      </c>
      <c r="D29" s="2" t="s">
        <v>134</v>
      </c>
      <c r="E29" s="2">
        <v>432.81</v>
      </c>
      <c r="F29" s="2">
        <v>20251001</v>
      </c>
      <c r="G29" s="2" t="str">
        <f t="shared" si="0"/>
        <v>10/1/2025</v>
      </c>
      <c r="H29" s="2">
        <v>20250701</v>
      </c>
      <c r="I29" s="2" t="str">
        <f t="shared" si="1"/>
        <v>7/1/2025</v>
      </c>
      <c r="J29" s="19">
        <v>0.04</v>
      </c>
      <c r="K29" s="2">
        <v>17.309999999999999</v>
      </c>
      <c r="L29" s="6" t="s">
        <v>161</v>
      </c>
    </row>
    <row r="30" spans="1:12" ht="16.5" customHeight="1" x14ac:dyDescent="0.2">
      <c r="A30" s="2" t="s">
        <v>160</v>
      </c>
      <c r="B30" s="2">
        <v>371819</v>
      </c>
      <c r="C30" s="2">
        <v>926808233</v>
      </c>
      <c r="D30" s="2" t="s">
        <v>134</v>
      </c>
      <c r="E30" s="2">
        <v>432.81</v>
      </c>
      <c r="F30" s="2">
        <v>20250901</v>
      </c>
      <c r="G30" s="2" t="str">
        <f t="shared" si="0"/>
        <v>9/1/2025</v>
      </c>
      <c r="H30" s="2">
        <v>20250701</v>
      </c>
      <c r="I30" s="2" t="str">
        <f t="shared" si="1"/>
        <v>7/1/2025</v>
      </c>
      <c r="J30" s="19">
        <v>0.04</v>
      </c>
      <c r="K30" s="2">
        <v>17.309999999999999</v>
      </c>
      <c r="L30" s="6" t="s">
        <v>161</v>
      </c>
    </row>
    <row r="31" spans="1:12" ht="16.5" customHeight="1" x14ac:dyDescent="0.2">
      <c r="A31" s="2" t="s">
        <v>160</v>
      </c>
      <c r="B31" s="2">
        <v>371819</v>
      </c>
      <c r="C31" s="2">
        <v>926808233</v>
      </c>
      <c r="D31" s="2" t="s">
        <v>134</v>
      </c>
      <c r="E31" s="2">
        <v>432.81</v>
      </c>
      <c r="F31" s="2">
        <v>20250801</v>
      </c>
      <c r="G31" s="2" t="str">
        <f t="shared" si="0"/>
        <v>8/1/2025</v>
      </c>
      <c r="H31" s="2">
        <v>20250701</v>
      </c>
      <c r="I31" s="2" t="str">
        <f t="shared" si="1"/>
        <v>7/1/2025</v>
      </c>
      <c r="J31" s="19">
        <v>0.04</v>
      </c>
      <c r="K31" s="2">
        <v>17.309999999999999</v>
      </c>
      <c r="L31" s="6" t="s">
        <v>161</v>
      </c>
    </row>
    <row r="32" spans="1:12" ht="16.5" customHeight="1" x14ac:dyDescent="0.2">
      <c r="A32" s="2" t="s">
        <v>160</v>
      </c>
      <c r="B32" s="2">
        <v>371819</v>
      </c>
      <c r="C32" s="2">
        <v>926808241</v>
      </c>
      <c r="D32" s="2" t="s">
        <v>138</v>
      </c>
      <c r="E32" s="2">
        <v>495.45</v>
      </c>
      <c r="F32" s="2">
        <v>20251001</v>
      </c>
      <c r="G32" s="2" t="str">
        <f t="shared" si="0"/>
        <v>10/1/2025</v>
      </c>
      <c r="H32" s="2">
        <v>20250801</v>
      </c>
      <c r="I32" s="2" t="str">
        <f t="shared" si="1"/>
        <v>8/1/2025</v>
      </c>
      <c r="J32" s="19">
        <v>0.04</v>
      </c>
      <c r="K32" s="2">
        <v>19.82</v>
      </c>
      <c r="L32" s="6" t="s">
        <v>161</v>
      </c>
    </row>
    <row r="33" spans="1:12" ht="16.5" customHeight="1" x14ac:dyDescent="0.2">
      <c r="A33" s="2" t="s">
        <v>160</v>
      </c>
      <c r="B33" s="2">
        <v>371819</v>
      </c>
      <c r="C33" s="2">
        <v>926808241</v>
      </c>
      <c r="D33" s="2" t="s">
        <v>138</v>
      </c>
      <c r="E33" s="2">
        <v>495.45</v>
      </c>
      <c r="F33" s="2">
        <v>20250901</v>
      </c>
      <c r="G33" s="2" t="str">
        <f t="shared" si="0"/>
        <v>9/1/2025</v>
      </c>
      <c r="H33" s="2">
        <v>20250801</v>
      </c>
      <c r="I33" s="2" t="str">
        <f t="shared" si="1"/>
        <v>8/1/2025</v>
      </c>
      <c r="J33" s="19">
        <v>0.04</v>
      </c>
      <c r="K33" s="2">
        <v>19.82</v>
      </c>
      <c r="L33" s="6" t="s">
        <v>161</v>
      </c>
    </row>
    <row r="34" spans="1:12" ht="16.5" customHeight="1" x14ac:dyDescent="0.2">
      <c r="A34" s="2" t="s">
        <v>160</v>
      </c>
      <c r="B34" s="2">
        <v>371819</v>
      </c>
      <c r="C34" s="2">
        <v>926808447</v>
      </c>
      <c r="D34" s="2" t="s">
        <v>142</v>
      </c>
      <c r="E34" s="2">
        <v>376.04</v>
      </c>
      <c r="F34" s="2">
        <v>20251001</v>
      </c>
      <c r="G34" s="2" t="str">
        <f t="shared" si="0"/>
        <v>10/1/2025</v>
      </c>
      <c r="H34" s="2">
        <v>20250701</v>
      </c>
      <c r="I34" s="2" t="str">
        <f t="shared" si="1"/>
        <v>7/1/2025</v>
      </c>
      <c r="J34" s="19">
        <v>0.04</v>
      </c>
      <c r="K34" s="2">
        <v>15.04</v>
      </c>
      <c r="L34" s="6" t="s">
        <v>161</v>
      </c>
    </row>
    <row r="35" spans="1:12" ht="16.5" customHeight="1" x14ac:dyDescent="0.2">
      <c r="A35" s="2" t="s">
        <v>160</v>
      </c>
      <c r="B35" s="2">
        <v>371819</v>
      </c>
      <c r="C35" s="2">
        <v>926808447</v>
      </c>
      <c r="D35" s="2" t="s">
        <v>142</v>
      </c>
      <c r="E35" s="2">
        <v>376.04</v>
      </c>
      <c r="F35" s="2">
        <v>20250901</v>
      </c>
      <c r="G35" s="2" t="str">
        <f t="shared" si="0"/>
        <v>9/1/2025</v>
      </c>
      <c r="H35" s="2">
        <v>20250701</v>
      </c>
      <c r="I35" s="2" t="str">
        <f t="shared" si="1"/>
        <v>7/1/2025</v>
      </c>
      <c r="J35" s="19">
        <v>0.04</v>
      </c>
      <c r="K35" s="2">
        <v>15.04</v>
      </c>
      <c r="L35" s="6" t="s">
        <v>161</v>
      </c>
    </row>
    <row r="36" spans="1:12" ht="16.5" customHeight="1" x14ac:dyDescent="0.2">
      <c r="A36" s="2" t="s">
        <v>160</v>
      </c>
      <c r="B36" s="2">
        <v>371819</v>
      </c>
      <c r="C36" s="2">
        <v>926808447</v>
      </c>
      <c r="D36" s="2" t="s">
        <v>142</v>
      </c>
      <c r="E36" s="2">
        <v>376.04</v>
      </c>
      <c r="F36" s="2">
        <v>20250801</v>
      </c>
      <c r="G36" s="2" t="str">
        <f t="shared" si="0"/>
        <v>8/1/2025</v>
      </c>
      <c r="H36" s="2">
        <v>20250701</v>
      </c>
      <c r="I36" s="2" t="str">
        <f t="shared" si="1"/>
        <v>7/1/2025</v>
      </c>
      <c r="J36" s="19">
        <v>0.04</v>
      </c>
      <c r="K36" s="2">
        <v>15.04</v>
      </c>
      <c r="L36" s="6" t="s">
        <v>161</v>
      </c>
    </row>
    <row r="37" spans="1:12" ht="16.5" customHeight="1" x14ac:dyDescent="0.2">
      <c r="A37" s="2" t="s">
        <v>160</v>
      </c>
      <c r="B37" s="2">
        <v>371819</v>
      </c>
      <c r="C37" s="2">
        <v>926808509</v>
      </c>
      <c r="D37" s="2" t="s">
        <v>146</v>
      </c>
      <c r="E37" s="2">
        <v>516.44000000000005</v>
      </c>
      <c r="F37" s="2">
        <v>20251001</v>
      </c>
      <c r="G37" s="2" t="str">
        <f t="shared" si="0"/>
        <v>10/1/2025</v>
      </c>
      <c r="H37" s="2">
        <v>20250801</v>
      </c>
      <c r="I37" s="2" t="str">
        <f t="shared" si="1"/>
        <v>8/1/2025</v>
      </c>
      <c r="J37" s="19">
        <v>0.04</v>
      </c>
      <c r="K37" s="2">
        <v>20.66</v>
      </c>
      <c r="L37" s="6" t="s">
        <v>161</v>
      </c>
    </row>
    <row r="38" spans="1:12" ht="16.5" customHeight="1" x14ac:dyDescent="0.2">
      <c r="A38" s="2" t="s">
        <v>160</v>
      </c>
      <c r="B38" s="2">
        <v>371819</v>
      </c>
      <c r="C38" s="2">
        <v>926808509</v>
      </c>
      <c r="D38" s="2" t="s">
        <v>146</v>
      </c>
      <c r="E38" s="2">
        <v>516.44000000000005</v>
      </c>
      <c r="F38" s="2">
        <v>20250901</v>
      </c>
      <c r="G38" s="2" t="str">
        <f t="shared" si="0"/>
        <v>9/1/2025</v>
      </c>
      <c r="H38" s="2">
        <v>20250801</v>
      </c>
      <c r="I38" s="2" t="str">
        <f t="shared" si="1"/>
        <v>8/1/2025</v>
      </c>
      <c r="J38" s="19">
        <v>0.04</v>
      </c>
      <c r="K38" s="2">
        <v>20.66</v>
      </c>
      <c r="L38" s="6" t="s">
        <v>161</v>
      </c>
    </row>
    <row r="39" spans="1:12" ht="16.5" customHeight="1" x14ac:dyDescent="0.2">
      <c r="A39" s="2" t="s">
        <v>160</v>
      </c>
      <c r="B39" s="2">
        <v>371819</v>
      </c>
      <c r="C39" s="2">
        <v>926808799</v>
      </c>
      <c r="D39" s="2" t="s">
        <v>150</v>
      </c>
      <c r="E39" s="2">
        <v>360.54</v>
      </c>
      <c r="F39" s="2">
        <v>20251001</v>
      </c>
      <c r="G39" s="2" t="str">
        <f t="shared" si="0"/>
        <v>10/1/2025</v>
      </c>
      <c r="H39" s="2">
        <v>20250801</v>
      </c>
      <c r="I39" s="2" t="str">
        <f t="shared" si="1"/>
        <v>8/1/2025</v>
      </c>
      <c r="J39" s="19">
        <v>0.04</v>
      </c>
      <c r="K39" s="2">
        <v>14.42</v>
      </c>
      <c r="L39" s="6" t="s">
        <v>161</v>
      </c>
    </row>
    <row r="40" spans="1:12" ht="16.5" customHeight="1" x14ac:dyDescent="0.2">
      <c r="A40" s="2" t="s">
        <v>160</v>
      </c>
      <c r="B40" s="2">
        <v>371819</v>
      </c>
      <c r="C40" s="2">
        <v>926808799</v>
      </c>
      <c r="D40" s="2" t="s">
        <v>150</v>
      </c>
      <c r="E40" s="2">
        <v>360.54</v>
      </c>
      <c r="F40" s="2">
        <v>20250901</v>
      </c>
      <c r="G40" s="2" t="str">
        <f t="shared" si="0"/>
        <v>9/1/2025</v>
      </c>
      <c r="H40" s="2">
        <v>20250801</v>
      </c>
      <c r="I40" s="2" t="str">
        <f t="shared" si="1"/>
        <v>8/1/2025</v>
      </c>
      <c r="J40" s="19">
        <v>0.04</v>
      </c>
      <c r="K40" s="2">
        <v>14.42</v>
      </c>
      <c r="L40" s="6" t="s">
        <v>161</v>
      </c>
    </row>
    <row r="41" spans="1:12" ht="16.5" customHeight="1" x14ac:dyDescent="0.2">
      <c r="A41" s="2" t="s">
        <v>160</v>
      </c>
      <c r="B41" s="2">
        <v>371819</v>
      </c>
      <c r="C41" s="2">
        <v>926808988</v>
      </c>
      <c r="D41" s="2" t="s">
        <v>152</v>
      </c>
      <c r="E41" s="2">
        <v>483.04</v>
      </c>
      <c r="F41" s="2">
        <v>20251001</v>
      </c>
      <c r="G41" s="2" t="str">
        <f t="shared" si="0"/>
        <v>10/1/2025</v>
      </c>
      <c r="H41" s="2">
        <v>20250901</v>
      </c>
      <c r="I41" s="2" t="str">
        <f t="shared" si="1"/>
        <v>9/1/2025</v>
      </c>
      <c r="J41" s="19">
        <v>0.04</v>
      </c>
      <c r="K41" s="2">
        <v>19.32</v>
      </c>
      <c r="L41" s="6" t="s">
        <v>161</v>
      </c>
    </row>
    <row r="42" spans="1:12" ht="16.5" customHeight="1" x14ac:dyDescent="0.2">
      <c r="A42" s="2" t="s">
        <v>160</v>
      </c>
      <c r="B42" s="2">
        <v>371819</v>
      </c>
      <c r="C42" s="2">
        <v>944219413</v>
      </c>
      <c r="D42" s="2" t="s">
        <v>157</v>
      </c>
      <c r="E42" s="7">
        <v>1385.44</v>
      </c>
      <c r="F42" s="2">
        <v>20251001</v>
      </c>
      <c r="G42" s="2" t="str">
        <f t="shared" si="0"/>
        <v>10/1/2025</v>
      </c>
      <c r="H42" s="2">
        <v>20250601</v>
      </c>
      <c r="I42" s="2" t="str">
        <f t="shared" si="1"/>
        <v>6/1/2025</v>
      </c>
      <c r="J42" s="19">
        <v>0.04</v>
      </c>
      <c r="K42" s="2">
        <v>55.42</v>
      </c>
      <c r="L42" s="6" t="s">
        <v>161</v>
      </c>
    </row>
    <row r="43" spans="1:12" ht="16.5" customHeight="1" x14ac:dyDescent="0.2">
      <c r="A43" s="2" t="s">
        <v>160</v>
      </c>
      <c r="B43" s="2">
        <v>371819</v>
      </c>
      <c r="C43" s="2">
        <v>944219413</v>
      </c>
      <c r="D43" s="2" t="s">
        <v>157</v>
      </c>
      <c r="E43" s="7">
        <v>1385.44</v>
      </c>
      <c r="F43" s="2">
        <v>20250901</v>
      </c>
      <c r="G43" s="2" t="str">
        <f t="shared" si="0"/>
        <v>9/1/2025</v>
      </c>
      <c r="H43" s="2">
        <v>20250601</v>
      </c>
      <c r="I43" s="2" t="str">
        <f t="shared" si="1"/>
        <v>6/1/2025</v>
      </c>
      <c r="J43" s="19">
        <v>0.04</v>
      </c>
      <c r="K43" s="2">
        <v>55.42</v>
      </c>
      <c r="L43" s="6" t="s">
        <v>161</v>
      </c>
    </row>
    <row r="44" spans="1:12" ht="12" customHeight="1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Individual_Extract Producer_Commission</dc:title>
  <dc:creator>Crystal Decisions</dc:creator>
  <dc:description>Powered by Crystal</dc:description>
  <cp:lastModifiedBy>Janki Patel</cp:lastModifiedBy>
  <dcterms:created xsi:type="dcterms:W3CDTF">2025-08-21T16:44:22Z</dcterms:created>
  <dcterms:modified xsi:type="dcterms:W3CDTF">2025-08-28T15:08:25Z</dcterms:modified>
</cp:coreProperties>
</file>