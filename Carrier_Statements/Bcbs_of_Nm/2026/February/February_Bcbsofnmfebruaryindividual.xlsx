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2026\February\"/>
    </mc:Choice>
  </mc:AlternateContent>
  <xr:revisionPtr revIDLastSave="0" documentId="13_ncr:1_{82A003A0-A9B7-4D42-B220-1C76445C8FD9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Sheet2!$A$1:$R$944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6zORVl1K/V5Tu46XQzO3KzpAD8WPv+lG1thGAaHWsZc="/>
    </ext>
  </extLst>
</workbook>
</file>

<file path=xl/calcChain.xml><?xml version="1.0" encoding="utf-8"?>
<calcChain xmlns="http://schemas.openxmlformats.org/spreadsheetml/2006/main">
  <c r="M45" i="2" l="1"/>
  <c r="K45" i="2"/>
  <c r="G45" i="2"/>
  <c r="C45" i="2"/>
  <c r="M44" i="2"/>
  <c r="K44" i="2"/>
  <c r="G44" i="2"/>
  <c r="C44" i="2"/>
  <c r="M43" i="2"/>
  <c r="K43" i="2"/>
  <c r="G43" i="2"/>
  <c r="C43" i="2"/>
  <c r="M42" i="2"/>
  <c r="K42" i="2"/>
  <c r="G42" i="2"/>
  <c r="C42" i="2"/>
  <c r="M41" i="2"/>
  <c r="K41" i="2"/>
  <c r="G41" i="2"/>
  <c r="C41" i="2"/>
  <c r="M40" i="2"/>
  <c r="K40" i="2"/>
  <c r="G40" i="2"/>
  <c r="C40" i="2"/>
  <c r="M39" i="2"/>
  <c r="K39" i="2"/>
  <c r="G39" i="2"/>
  <c r="C39" i="2"/>
  <c r="M38" i="2"/>
  <c r="K38" i="2"/>
  <c r="G38" i="2"/>
  <c r="C38" i="2"/>
  <c r="M37" i="2"/>
  <c r="K37" i="2"/>
  <c r="G37" i="2"/>
  <c r="C37" i="2"/>
  <c r="M36" i="2"/>
  <c r="K36" i="2"/>
  <c r="G36" i="2"/>
  <c r="C36" i="2"/>
  <c r="M35" i="2"/>
  <c r="K35" i="2"/>
  <c r="G35" i="2"/>
  <c r="C35" i="2"/>
  <c r="M34" i="2"/>
  <c r="K34" i="2"/>
  <c r="G34" i="2"/>
  <c r="C34" i="2"/>
  <c r="M33" i="2"/>
  <c r="K33" i="2"/>
  <c r="G33" i="2"/>
  <c r="C33" i="2"/>
  <c r="M32" i="2"/>
  <c r="K32" i="2"/>
  <c r="G32" i="2"/>
  <c r="C32" i="2"/>
  <c r="M31" i="2"/>
  <c r="K31" i="2"/>
  <c r="G31" i="2"/>
  <c r="C31" i="2"/>
  <c r="M30" i="2"/>
  <c r="K30" i="2"/>
  <c r="G30" i="2"/>
  <c r="C30" i="2"/>
  <c r="M29" i="2"/>
  <c r="K29" i="2"/>
  <c r="G29" i="2"/>
  <c r="C29" i="2"/>
  <c r="M28" i="2"/>
  <c r="K28" i="2"/>
  <c r="G28" i="2"/>
  <c r="C28" i="2"/>
  <c r="M27" i="2"/>
  <c r="K27" i="2"/>
  <c r="G27" i="2"/>
  <c r="C27" i="2"/>
  <c r="M26" i="2"/>
  <c r="K26" i="2"/>
  <c r="G26" i="2"/>
  <c r="C26" i="2"/>
  <c r="M25" i="2"/>
  <c r="K25" i="2"/>
  <c r="G25" i="2"/>
  <c r="C25" i="2"/>
  <c r="M24" i="2"/>
  <c r="K24" i="2"/>
  <c r="G24" i="2"/>
  <c r="E24" i="2"/>
  <c r="C24" i="2"/>
  <c r="M23" i="2"/>
  <c r="K23" i="2"/>
  <c r="G23" i="2"/>
  <c r="C23" i="2"/>
  <c r="M22" i="2"/>
  <c r="K22" i="2"/>
  <c r="G22" i="2"/>
  <c r="C22" i="2"/>
  <c r="M21" i="2"/>
  <c r="K21" i="2"/>
  <c r="G21" i="2"/>
  <c r="E21" i="2"/>
  <c r="C21" i="2"/>
  <c r="M20" i="2"/>
  <c r="K20" i="2"/>
  <c r="G20" i="2"/>
  <c r="C20" i="2"/>
  <c r="M19" i="2"/>
  <c r="K19" i="2"/>
  <c r="G19" i="2"/>
  <c r="C19" i="2"/>
  <c r="M18" i="2"/>
  <c r="K18" i="2"/>
  <c r="G18" i="2"/>
  <c r="C18" i="2"/>
  <c r="M17" i="2"/>
  <c r="K17" i="2"/>
  <c r="G17" i="2"/>
  <c r="C17" i="2"/>
  <c r="M16" i="2"/>
  <c r="K16" i="2"/>
  <c r="G16" i="2"/>
  <c r="C16" i="2"/>
  <c r="M15" i="2"/>
  <c r="K15" i="2"/>
  <c r="G15" i="2"/>
  <c r="C15" i="2"/>
  <c r="M14" i="2"/>
  <c r="K14" i="2"/>
  <c r="G14" i="2"/>
  <c r="C14" i="2"/>
  <c r="M13" i="2"/>
  <c r="K13" i="2"/>
  <c r="G13" i="2"/>
  <c r="C13" i="2"/>
  <c r="M12" i="2"/>
  <c r="K12" i="2"/>
  <c r="G12" i="2"/>
  <c r="C12" i="2"/>
  <c r="M11" i="2"/>
  <c r="K11" i="2"/>
  <c r="G11" i="2"/>
  <c r="C11" i="2"/>
  <c r="M10" i="2"/>
  <c r="K10" i="2"/>
  <c r="G10" i="2"/>
  <c r="C10" i="2"/>
  <c r="M9" i="2"/>
  <c r="K9" i="2"/>
  <c r="G9" i="2"/>
  <c r="C9" i="2"/>
  <c r="M8" i="2"/>
  <c r="K8" i="2"/>
  <c r="G8" i="2"/>
  <c r="C8" i="2"/>
  <c r="M7" i="2"/>
  <c r="K7" i="2"/>
  <c r="G7" i="2"/>
  <c r="C7" i="2"/>
  <c r="M6" i="2"/>
  <c r="K6" i="2"/>
  <c r="G6" i="2"/>
  <c r="E6" i="2"/>
  <c r="C6" i="2"/>
  <c r="M5" i="2"/>
  <c r="K5" i="2"/>
  <c r="G5" i="2"/>
  <c r="C5" i="2"/>
  <c r="M4" i="2"/>
  <c r="K4" i="2"/>
  <c r="G4" i="2"/>
  <c r="C4" i="2"/>
  <c r="M3" i="2"/>
  <c r="K3" i="2"/>
  <c r="G3" i="2"/>
  <c r="C3" i="2"/>
  <c r="M2" i="2"/>
  <c r="K2" i="2"/>
  <c r="C2" i="2"/>
</calcChain>
</file>

<file path=xl/sharedStrings.xml><?xml version="1.0" encoding="utf-8"?>
<sst xmlns="http://schemas.openxmlformats.org/spreadsheetml/2006/main" count="1448" uniqueCount="163">
  <si>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</si>
  <si>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</si>
  <si>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</si>
  <si>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</si>
  <si>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</si>
  <si>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</si>
  <si>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</si>
  <si>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</si>
  <si>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rPr>
        <b/>
        <sz val="18"/>
        <color rgb="FFFFFFFF"/>
        <rFont val="Arial"/>
        <family val="2"/>
      </rPr>
      <t>Producer Commission Data - Individual</t>
    </r>
    <r>
      <rPr>
        <sz val="18"/>
        <color rgb="FFFFFFFF"/>
        <rFont val="Arial"/>
        <family val="2"/>
      </rPr>
      <t xml:space="preserve">
For Period: February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</si>
  <si>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</si>
  <si>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</si>
  <si>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</si>
  <si>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</si>
  <si>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</si>
  <si>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</si>
  <si>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</si>
  <si>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</si>
  <si>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</si>
  <si>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</si>
  <si>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</si>
  <si>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</si>
  <si>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</si>
  <si>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</si>
  <si>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</si>
  <si>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</si>
  <si>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</si>
  <si>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</si>
  <si>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</si>
  <si>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</si>
  <si>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</si>
  <si>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</si>
  <si>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</si>
  <si>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Renew 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</si>
  <si>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</si>
  <si>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</si>
  <si>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</si>
  <si>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</si>
  <si>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</si>
  <si>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</si>
  <si>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</si>
  <si>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</si>
  <si>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</si>
  <si>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20260201</t>
  </si>
  <si>
    <t>20250101</t>
  </si>
  <si>
    <t>013</t>
  </si>
  <si>
    <t>MM5</t>
  </si>
  <si>
    <t>N</t>
  </si>
  <si>
    <t>$01.00</t>
  </si>
  <si>
    <t>000,026.08</t>
  </si>
  <si>
    <t>0.0000</t>
  </si>
  <si>
    <t>107928854</t>
  </si>
  <si>
    <t>$/Member</t>
  </si>
  <si>
    <t>107957973-SU-THOMAS PARDUE</t>
  </si>
  <si>
    <t>NG1800</t>
  </si>
  <si>
    <t>1-</t>
  </si>
  <si>
    <t>000926755746</t>
  </si>
  <si>
    <t>SHULTS, MONTY</t>
  </si>
  <si>
    <t>20260301</t>
  </si>
  <si>
    <t>20250601</t>
  </si>
  <si>
    <t>009</t>
  </si>
  <si>
    <t>COMMUNITY^</t>
  </si>
  <si>
    <t>023.00</t>
  </si>
  <si>
    <t>000,023.00-</t>
  </si>
  <si>
    <t>107957973</t>
  </si>
  <si>
    <t>000,023.00</t>
  </si>
  <si>
    <t>NB1200</t>
  </si>
  <si>
    <t>000926769781</t>
  </si>
  <si>
    <t>DRAPER, WENDY</t>
  </si>
  <si>
    <t>20260401</t>
  </si>
  <si>
    <t>20260101</t>
  </si>
  <si>
    <t>003</t>
  </si>
  <si>
    <t>NG1401</t>
  </si>
  <si>
    <t>2</t>
  </si>
  <si>
    <t>000926804632</t>
  </si>
  <si>
    <t>CHARLEY, KIERRA</t>
  </si>
  <si>
    <t>20250201</t>
  </si>
  <si>
    <t>014</t>
  </si>
  <si>
    <t>000,046.00</t>
  </si>
  <si>
    <t>NG1302</t>
  </si>
  <si>
    <t>000926805539</t>
  </si>
  <si>
    <t>NAICHE, TERESA</t>
  </si>
  <si>
    <t>20250501</t>
  </si>
  <si>
    <t>011</t>
  </si>
  <si>
    <t>000926805543</t>
  </si>
  <si>
    <t>JOHNSON, JAY</t>
  </si>
  <si>
    <t>20250401</t>
  </si>
  <si>
    <t>012</t>
  </si>
  <si>
    <t>000926807060</t>
  </si>
  <si>
    <t>KEMP, ANGENI</t>
  </si>
  <si>
    <t>010</t>
  </si>
  <si>
    <t>000926807377</t>
  </si>
  <si>
    <t>ANTONIO, THERESA</t>
  </si>
  <si>
    <t>20250701</t>
  </si>
  <si>
    <t>000926807940</t>
  </si>
  <si>
    <t>MARTINEZ, JOSEPH</t>
  </si>
  <si>
    <t>000926808082</t>
  </si>
  <si>
    <t>WILLIS, REYCITA</t>
  </si>
  <si>
    <t>20250801</t>
  </si>
  <si>
    <t>008</t>
  </si>
  <si>
    <t>000926808229</t>
  </si>
  <si>
    <t>JARNAGIN, KIMBERLY</t>
  </si>
  <si>
    <t>000926808233</t>
  </si>
  <si>
    <t>BESSELENTE, SHAWN</t>
  </si>
  <si>
    <t>20251101</t>
  </si>
  <si>
    <t>005</t>
  </si>
  <si>
    <t>000926808241</t>
  </si>
  <si>
    <t>GONZALEZ, MICHELE</t>
  </si>
  <si>
    <t>000926808447</t>
  </si>
  <si>
    <t>BETSUIE, ADRIANA</t>
  </si>
  <si>
    <t>000926808509</t>
  </si>
  <si>
    <t>YAZZIE, FERNIE</t>
  </si>
  <si>
    <t>007</t>
  </si>
  <si>
    <t>006</t>
  </si>
  <si>
    <t>000926808799</t>
  </si>
  <si>
    <t>YAZZIE, ELERINA</t>
  </si>
  <si>
    <t>000926808988</t>
  </si>
  <si>
    <t>SMITH, URSULA</t>
  </si>
  <si>
    <t>20250901</t>
  </si>
  <si>
    <t>4</t>
  </si>
  <si>
    <t>000926809204</t>
  </si>
  <si>
    <t>CAVAZONE, AUDREY</t>
  </si>
  <si>
    <t>000,092.00</t>
  </si>
  <si>
    <t>000926810965</t>
  </si>
  <si>
    <t>HAYES, DONOVAN</t>
  </si>
  <si>
    <t>20251001</t>
  </si>
  <si>
    <t>000926811146</t>
  </si>
  <si>
    <t>ALEX, CLINT</t>
  </si>
  <si>
    <t>000926811428</t>
  </si>
  <si>
    <t>BENALLY, BERNADINE</t>
  </si>
  <si>
    <t>000926811535</t>
  </si>
  <si>
    <t>BROWN, BENJAMIN</t>
  </si>
  <si>
    <t>000926811766</t>
  </si>
  <si>
    <t>LIEB, MATTHEW</t>
  </si>
  <si>
    <t>000926812257</t>
  </si>
  <si>
    <t>CONCHO, GARY</t>
  </si>
  <si>
    <t>20251201</t>
  </si>
  <si>
    <t>004</t>
  </si>
  <si>
    <t>000926815924</t>
  </si>
  <si>
    <t>ROBERTSON, LATHAN</t>
  </si>
  <si>
    <t>002</t>
  </si>
  <si>
    <t>NB1800</t>
  </si>
  <si>
    <t>001</t>
  </si>
  <si>
    <t>000926816239</t>
  </si>
  <si>
    <t>ROMERO, MELISSA</t>
  </si>
  <si>
    <t>000926816335</t>
  </si>
  <si>
    <t>JOHNHAT, TINARITA</t>
  </si>
  <si>
    <t>000926816902</t>
  </si>
  <si>
    <t>SPENCER, VASHTI</t>
  </si>
  <si>
    <t>000926816920</t>
  </si>
  <si>
    <t>SUMKA, GARY</t>
  </si>
  <si>
    <t>000926817174</t>
  </si>
  <si>
    <t>HARRISON, RAFER</t>
  </si>
  <si>
    <t>000926817372</t>
  </si>
  <si>
    <t>MOFFITT, LAURA</t>
  </si>
  <si>
    <t>000926817472</t>
  </si>
  <si>
    <t>YEPA, MARCELLA</t>
  </si>
  <si>
    <t>000926817886</t>
  </si>
  <si>
    <t>VALLO, DANIEL</t>
  </si>
  <si>
    <t>000926818170</t>
  </si>
  <si>
    <t>WOOD, SHANAHAN</t>
  </si>
  <si>
    <t>NS1301</t>
  </si>
  <si>
    <t>000944219413</t>
  </si>
  <si>
    <t>GRIMSLEY, 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</si>
</sst>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808080"/>
      <name val="Arial"/>
      <family val="2"/>
    </font>
    <font>
      <b/>
      <sz val="10"/>
      <color rgb="FF808080"/>
      <name val="Arial"/>
      <family val="2"/>
    </font>
    <font>
      <sz val="11"/>
      <color rgb="FF808080"/>
      <name val="Arial"/>
      <family val="2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scheme val="minor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8" fillId="4" borderId="0" xfId="0" applyFont="1" applyFill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3" borderId="8" xfId="0" applyFont="1" applyFill="1" applyBorder="1" applyAlignment="1">
      <alignment horizontal="center" vertical="top"/>
    </xf>
    <xf numFmtId="1" fontId="6" fillId="3" borderId="1" xfId="0" applyNumberFormat="1" applyFont="1" applyFill="1" applyBorder="1" applyAlignment="1">
      <alignment horizontal="center" vertical="top"/>
    </xf>
    <xf numFmtId="1" fontId="6" fillId="3" borderId="2" xfId="0" applyNumberFormat="1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 vertical="top"/>
    </xf>
    <xf numFmtId="4" fontId="6" fillId="3" borderId="8" xfId="0" applyNumberFormat="1" applyFont="1" applyFill="1" applyBorder="1" applyAlignment="1">
      <alignment horizontal="center" vertical="top"/>
    </xf>
    <xf numFmtId="1" fontId="7" fillId="4" borderId="0" xfId="0" applyNumberFormat="1" applyFont="1" applyFill="1" applyAlignment="1">
      <alignment horizontal="right" vertical="top"/>
    </xf>
    <xf numFmtId="4" fontId="7" fillId="4" borderId="0" xfId="0" applyNumberFormat="1" applyFont="1" applyFill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4" fontId="7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11" xfId="0" applyFont="1" applyBorder="1"/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3</xdr:row>
      <xdr:rowOff>0</xdr:rowOff>
    </xdr:from>
    <xdr:ext cx="2095500" cy="371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showGridLines="0" topLeftCell="A4" workbookViewId="0"/>
  </sheetViews>
  <sheetFormatPr defaultColWidth="12.6640625" defaultRowHeight="15" customHeight="1" x14ac:dyDescent="0.25"/>
  <cols>
    <col min="1" max="1" width="10.33203125" customWidth="1"/>
    <col min="2" max="2" width="2.109375" customWidth="1"/>
    <col min="3" max="3" width="9.33203125" customWidth="1"/>
    <col min="4" max="4" width="2" customWidth="1"/>
    <col min="5" max="5" width="10.109375" customWidth="1"/>
    <col min="6" max="6" width="1.109375" customWidth="1"/>
    <col min="7" max="7" width="1.6640625" customWidth="1"/>
    <col min="8" max="8" width="27.109375" customWidth="1"/>
    <col min="9" max="9" width="22" customWidth="1"/>
    <col min="10" max="10" width="8.77734375" customWidth="1"/>
    <col min="11" max="11" width="10.21875" customWidth="1"/>
    <col min="12" max="12" width="10.6640625" customWidth="1"/>
    <col min="13" max="14" width="1.109375" customWidth="1"/>
    <col min="15" max="15" width="11.77734375" customWidth="1"/>
    <col min="16" max="16" width="20.77734375" customWidth="1"/>
    <col min="17" max="17" width="2.21875" customWidth="1"/>
    <col min="18" max="18" width="18.88671875" customWidth="1"/>
    <col min="19" max="19" width="10" customWidth="1"/>
    <col min="20" max="20" width="5" customWidth="1"/>
    <col min="21" max="21" width="8.6640625" customWidth="1"/>
    <col min="22" max="22" width="13.109375" customWidth="1"/>
    <col min="23" max="23" width="14.109375" customWidth="1"/>
    <col min="24" max="24" width="11.77734375" customWidth="1"/>
    <col min="25" max="25" width="5" customWidth="1"/>
    <col min="26" max="26" width="20.6640625" customWidth="1"/>
    <col min="27" max="27" width="13.6640625" customWidth="1"/>
    <col min="28" max="29" width="13.33203125" customWidth="1"/>
    <col min="30" max="30" width="13.6640625" customWidth="1"/>
    <col min="31" max="31" width="11" customWidth="1"/>
    <col min="32" max="32" width="2.6640625" customWidth="1"/>
    <col min="33" max="33" width="13.33203125" customWidth="1"/>
    <col min="34" max="34" width="13.21875" customWidth="1"/>
  </cols>
  <sheetData>
    <row r="1" spans="1:34" ht="11.25" customHeight="1" x14ac:dyDescent="0.25"/>
    <row r="2" spans="1:34" ht="6" customHeight="1" x14ac:dyDescent="0.25"/>
    <row r="3" spans="1:34" ht="10.5" customHeight="1" x14ac:dyDescent="0.25">
      <c r="R3" s="20" t="s">
        <v>0</v>
      </c>
      <c r="S3" s="21"/>
      <c r="T3" s="21"/>
    </row>
    <row r="4" spans="1:34" ht="3" customHeight="1" x14ac:dyDescent="0.25">
      <c r="A4" s="22" t="s">
        <v>1</v>
      </c>
      <c r="C4" s="23" t="s">
        <v>2</v>
      </c>
      <c r="D4" s="21"/>
      <c r="E4" s="21"/>
      <c r="F4" s="21"/>
      <c r="G4" s="21"/>
      <c r="H4" s="21"/>
      <c r="R4" s="21"/>
      <c r="S4" s="21"/>
      <c r="T4" s="21"/>
    </row>
    <row r="5" spans="1:34" ht="6.75" customHeight="1" x14ac:dyDescent="0.25">
      <c r="A5" s="21"/>
      <c r="C5" s="21"/>
      <c r="D5" s="21"/>
      <c r="E5" s="21"/>
      <c r="F5" s="21"/>
      <c r="G5" s="21"/>
      <c r="H5" s="21"/>
      <c r="R5" s="21"/>
      <c r="S5" s="21"/>
      <c r="T5" s="21"/>
    </row>
    <row r="6" spans="1:34" ht="3.75" customHeight="1" x14ac:dyDescent="0.25">
      <c r="A6" s="21"/>
      <c r="C6" s="21"/>
      <c r="D6" s="21"/>
      <c r="E6" s="21"/>
      <c r="F6" s="21"/>
      <c r="G6" s="21"/>
      <c r="H6" s="21"/>
      <c r="Q6" s="24" t="s">
        <v>3</v>
      </c>
      <c r="R6" s="21"/>
      <c r="S6" s="21"/>
      <c r="T6" s="21"/>
    </row>
    <row r="7" spans="1:34" ht="19.5" customHeight="1" x14ac:dyDescent="0.25">
      <c r="Q7" s="21"/>
      <c r="R7" s="21"/>
      <c r="S7" s="21"/>
      <c r="T7" s="21"/>
    </row>
    <row r="8" spans="1:34" ht="9.75" customHeight="1" x14ac:dyDescent="0.25">
      <c r="Q8" s="21"/>
      <c r="R8" s="21"/>
      <c r="S8" s="21"/>
      <c r="T8" s="21"/>
    </row>
    <row r="9" spans="1:34" ht="7.5" customHeight="1" x14ac:dyDescent="0.25">
      <c r="A9" s="22" t="s">
        <v>4</v>
      </c>
      <c r="C9" s="23" t="s">
        <v>5</v>
      </c>
      <c r="D9" s="21"/>
      <c r="E9" s="21"/>
      <c r="F9" s="21"/>
      <c r="G9" s="21"/>
    </row>
    <row r="10" spans="1:34" ht="6" customHeight="1" x14ac:dyDescent="0.25">
      <c r="A10" s="21"/>
      <c r="C10" s="21"/>
      <c r="D10" s="21"/>
      <c r="E10" s="21"/>
      <c r="F10" s="21"/>
      <c r="G10" s="21"/>
    </row>
    <row r="11" spans="1:34" ht="13.5" customHeight="1" x14ac:dyDescent="0.25">
      <c r="A11" s="1" t="s">
        <v>6</v>
      </c>
      <c r="C11" s="23" t="s">
        <v>7</v>
      </c>
      <c r="D11" s="21"/>
    </row>
    <row r="12" spans="1:34" ht="12" customHeight="1" x14ac:dyDescent="0.25"/>
    <row r="13" spans="1:34" ht="25.5" customHeight="1" x14ac:dyDescent="0.25">
      <c r="A13" s="25" t="s">
        <v>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7"/>
    </row>
    <row r="14" spans="1:34" ht="28.5" customHeight="1" x14ac:dyDescent="0.2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30"/>
    </row>
    <row r="15" spans="1:34" ht="12.75" customHeight="1" x14ac:dyDescent="0.25">
      <c r="A15" s="31" t="s">
        <v>9</v>
      </c>
      <c r="B15" s="34" t="s">
        <v>10</v>
      </c>
      <c r="C15" s="35"/>
      <c r="D15" s="34" t="s">
        <v>11</v>
      </c>
      <c r="E15" s="35"/>
      <c r="F15" s="34" t="s">
        <v>12</v>
      </c>
      <c r="G15" s="26"/>
      <c r="H15" s="26"/>
      <c r="I15" s="35"/>
      <c r="J15" s="31" t="s">
        <v>13</v>
      </c>
      <c r="K15" s="31" t="s">
        <v>14</v>
      </c>
      <c r="L15" s="31" t="s">
        <v>15</v>
      </c>
      <c r="N15" s="34" t="s">
        <v>16</v>
      </c>
      <c r="O15" s="35"/>
      <c r="P15" s="34" t="s">
        <v>17</v>
      </c>
      <c r="Q15" s="26"/>
      <c r="R15" s="35"/>
      <c r="S15" s="31" t="s">
        <v>18</v>
      </c>
      <c r="T15" s="34" t="s">
        <v>19</v>
      </c>
      <c r="U15" s="35"/>
      <c r="V15" s="31" t="s">
        <v>20</v>
      </c>
      <c r="W15" s="31" t="s">
        <v>21</v>
      </c>
      <c r="X15" s="31" t="s">
        <v>22</v>
      </c>
      <c r="Y15" s="34" t="s">
        <v>23</v>
      </c>
      <c r="Z15" s="35"/>
      <c r="AA15" s="31" t="s">
        <v>24</v>
      </c>
      <c r="AB15" s="31" t="s">
        <v>25</v>
      </c>
      <c r="AC15" s="31" t="s">
        <v>26</v>
      </c>
      <c r="AD15" s="31" t="s">
        <v>27</v>
      </c>
      <c r="AE15" s="34" t="s">
        <v>28</v>
      </c>
      <c r="AF15" s="35"/>
      <c r="AG15" s="31" t="s">
        <v>29</v>
      </c>
      <c r="AH15" s="31" t="s">
        <v>30</v>
      </c>
    </row>
    <row r="16" spans="1:34" ht="14.25" customHeight="1" x14ac:dyDescent="0.25">
      <c r="A16" s="33"/>
      <c r="B16" s="28"/>
      <c r="C16" s="38"/>
      <c r="D16" s="28"/>
      <c r="E16" s="38"/>
      <c r="F16" s="28"/>
      <c r="G16" s="29"/>
      <c r="H16" s="29"/>
      <c r="I16" s="38"/>
      <c r="J16" s="33"/>
      <c r="K16" s="33"/>
      <c r="L16" s="32"/>
      <c r="N16" s="36"/>
      <c r="O16" s="37"/>
      <c r="P16" s="28"/>
      <c r="Q16" s="29"/>
      <c r="R16" s="38"/>
      <c r="S16" s="33"/>
      <c r="T16" s="28"/>
      <c r="U16" s="38"/>
      <c r="V16" s="33"/>
      <c r="W16" s="33"/>
      <c r="X16" s="33"/>
      <c r="Y16" s="28"/>
      <c r="Z16" s="38"/>
      <c r="AA16" s="33"/>
      <c r="AB16" s="33"/>
      <c r="AC16" s="33"/>
      <c r="AD16" s="33"/>
      <c r="AE16" s="28"/>
      <c r="AF16" s="38"/>
      <c r="AG16" s="33"/>
      <c r="AH16" s="33"/>
    </row>
    <row r="17" spans="1:34" ht="0.75" customHeight="1" x14ac:dyDescent="0.25">
      <c r="L17" s="33"/>
      <c r="N17" s="28"/>
      <c r="O17" s="38"/>
    </row>
    <row r="18" spans="1:34" ht="12.75" customHeight="1" x14ac:dyDescent="0.25">
      <c r="A18" s="2" t="s">
        <v>31</v>
      </c>
      <c r="B18" s="39" t="s">
        <v>32</v>
      </c>
      <c r="C18" s="21"/>
      <c r="D18" s="21"/>
      <c r="E18" s="40" t="s">
        <v>33</v>
      </c>
      <c r="F18" s="21"/>
      <c r="G18" s="41" t="s">
        <v>34</v>
      </c>
      <c r="H18" s="21"/>
      <c r="I18" s="21"/>
      <c r="J18" s="3" t="s">
        <v>35</v>
      </c>
      <c r="K18" s="4" t="s">
        <v>36</v>
      </c>
      <c r="L18" s="4" t="s">
        <v>37</v>
      </c>
      <c r="M18" s="5"/>
      <c r="N18" s="41" t="s">
        <v>38</v>
      </c>
      <c r="O18" s="21"/>
      <c r="P18" s="41" t="s">
        <v>39</v>
      </c>
      <c r="Q18" s="21"/>
      <c r="R18" s="21"/>
      <c r="S18" s="3" t="s">
        <v>40</v>
      </c>
      <c r="T18" s="41" t="s">
        <v>41</v>
      </c>
      <c r="U18" s="21"/>
      <c r="V18" s="4" t="s">
        <v>42</v>
      </c>
      <c r="W18" s="4" t="s">
        <v>43</v>
      </c>
      <c r="X18" s="4" t="s">
        <v>44</v>
      </c>
      <c r="Y18" s="41" t="s">
        <v>45</v>
      </c>
      <c r="Z18" s="21"/>
      <c r="AA18" s="4" t="s">
        <v>46</v>
      </c>
      <c r="AB18" s="4" t="s">
        <v>47</v>
      </c>
      <c r="AC18" s="5"/>
      <c r="AD18" s="4" t="s">
        <v>48</v>
      </c>
      <c r="AE18" s="41" t="s">
        <v>49</v>
      </c>
      <c r="AF18" s="21"/>
      <c r="AG18" s="4" t="s">
        <v>41</v>
      </c>
      <c r="AH18" s="4" t="s">
        <v>50</v>
      </c>
    </row>
    <row r="19" spans="1:34" ht="14.25" customHeight="1" x14ac:dyDescent="0.25"/>
    <row r="20" spans="1:34" ht="16.5" customHeight="1" x14ac:dyDescent="0.25">
      <c r="A20" s="6" t="s">
        <v>31</v>
      </c>
      <c r="B20" s="44" t="s">
        <v>51</v>
      </c>
      <c r="C20" s="21"/>
      <c r="D20" s="21"/>
      <c r="E20" s="43" t="s">
        <v>33</v>
      </c>
      <c r="F20" s="21"/>
      <c r="G20" s="42" t="s">
        <v>52</v>
      </c>
      <c r="H20" s="21"/>
      <c r="I20" s="21"/>
      <c r="J20" s="7" t="s">
        <v>35</v>
      </c>
      <c r="K20" s="8" t="s">
        <v>53</v>
      </c>
      <c r="L20" s="8" t="s">
        <v>54</v>
      </c>
      <c r="N20" s="42" t="s">
        <v>55</v>
      </c>
      <c r="O20" s="21"/>
      <c r="P20" s="42" t="s">
        <v>56</v>
      </c>
      <c r="Q20" s="21"/>
      <c r="R20" s="21"/>
      <c r="S20" s="7" t="s">
        <v>40</v>
      </c>
      <c r="T20" s="42" t="s">
        <v>41</v>
      </c>
      <c r="U20" s="21"/>
      <c r="V20" s="8" t="s">
        <v>57</v>
      </c>
      <c r="W20" s="8" t="s">
        <v>58</v>
      </c>
      <c r="X20" s="8" t="s">
        <v>59</v>
      </c>
      <c r="Y20" s="42" t="s">
        <v>60</v>
      </c>
      <c r="Z20" s="21"/>
      <c r="AA20" s="8" t="s">
        <v>46</v>
      </c>
      <c r="AB20" s="8" t="s">
        <v>47</v>
      </c>
      <c r="AC20" s="8" t="s">
        <v>61</v>
      </c>
      <c r="AD20" s="8" t="s">
        <v>62</v>
      </c>
      <c r="AE20" s="42" t="s">
        <v>49</v>
      </c>
      <c r="AF20" s="21"/>
      <c r="AG20" s="8" t="s">
        <v>41</v>
      </c>
      <c r="AH20" s="8" t="s">
        <v>63</v>
      </c>
    </row>
    <row r="21" spans="1:34" ht="16.5" customHeight="1" x14ac:dyDescent="0.25">
      <c r="A21" s="6" t="s">
        <v>31</v>
      </c>
      <c r="B21" s="44" t="s">
        <v>51</v>
      </c>
      <c r="C21" s="21"/>
      <c r="D21" s="21"/>
      <c r="E21" s="43" t="s">
        <v>33</v>
      </c>
      <c r="F21" s="21"/>
      <c r="G21" s="42" t="s">
        <v>52</v>
      </c>
      <c r="H21" s="21"/>
      <c r="I21" s="21"/>
      <c r="J21" s="7" t="s">
        <v>35</v>
      </c>
      <c r="K21" s="8" t="s">
        <v>53</v>
      </c>
      <c r="L21" s="8" t="s">
        <v>37</v>
      </c>
      <c r="N21" s="42" t="s">
        <v>55</v>
      </c>
      <c r="O21" s="21"/>
      <c r="P21" s="42" t="s">
        <v>56</v>
      </c>
      <c r="Q21" s="21"/>
      <c r="R21" s="21"/>
      <c r="S21" s="7" t="s">
        <v>40</v>
      </c>
      <c r="T21" s="42" t="s">
        <v>41</v>
      </c>
      <c r="U21" s="21"/>
      <c r="V21" s="8" t="s">
        <v>57</v>
      </c>
      <c r="W21" s="8" t="s">
        <v>58</v>
      </c>
      <c r="X21" s="8" t="s">
        <v>59</v>
      </c>
      <c r="Y21" s="42" t="s">
        <v>60</v>
      </c>
      <c r="Z21" s="21"/>
      <c r="AA21" s="8" t="s">
        <v>46</v>
      </c>
      <c r="AB21" s="8" t="s">
        <v>47</v>
      </c>
      <c r="AC21" s="8" t="s">
        <v>61</v>
      </c>
      <c r="AD21" s="8" t="s">
        <v>64</v>
      </c>
      <c r="AE21" s="42" t="s">
        <v>49</v>
      </c>
      <c r="AF21" s="21"/>
      <c r="AG21" s="8" t="s">
        <v>41</v>
      </c>
      <c r="AH21" s="8" t="s">
        <v>63</v>
      </c>
    </row>
    <row r="22" spans="1:34" ht="16.5" customHeight="1" x14ac:dyDescent="0.25">
      <c r="A22" s="6" t="s">
        <v>31</v>
      </c>
      <c r="B22" s="44" t="s">
        <v>51</v>
      </c>
      <c r="C22" s="21"/>
      <c r="D22" s="21"/>
      <c r="E22" s="43" t="s">
        <v>33</v>
      </c>
      <c r="F22" s="21"/>
      <c r="G22" s="42" t="s">
        <v>52</v>
      </c>
      <c r="H22" s="21"/>
      <c r="I22" s="21"/>
      <c r="J22" s="7" t="s">
        <v>35</v>
      </c>
      <c r="K22" s="8" t="s">
        <v>65</v>
      </c>
      <c r="L22" s="8" t="s">
        <v>37</v>
      </c>
      <c r="N22" s="42" t="s">
        <v>66</v>
      </c>
      <c r="O22" s="21"/>
      <c r="P22" s="42" t="s">
        <v>67</v>
      </c>
      <c r="Q22" s="21"/>
      <c r="R22" s="21"/>
      <c r="S22" s="7" t="s">
        <v>40</v>
      </c>
      <c r="T22" s="42" t="s">
        <v>41</v>
      </c>
      <c r="U22" s="21"/>
      <c r="V22" s="8" t="s">
        <v>68</v>
      </c>
      <c r="W22" s="8" t="s">
        <v>69</v>
      </c>
      <c r="X22" s="8" t="s">
        <v>70</v>
      </c>
      <c r="Y22" s="42" t="s">
        <v>60</v>
      </c>
      <c r="Z22" s="21"/>
      <c r="AA22" s="8" t="s">
        <v>46</v>
      </c>
      <c r="AB22" s="8" t="s">
        <v>47</v>
      </c>
      <c r="AC22" s="8" t="s">
        <v>61</v>
      </c>
      <c r="AD22" s="8" t="s">
        <v>64</v>
      </c>
      <c r="AE22" s="42" t="s">
        <v>49</v>
      </c>
      <c r="AF22" s="21"/>
      <c r="AG22" s="8" t="s">
        <v>41</v>
      </c>
      <c r="AH22" s="8" t="s">
        <v>63</v>
      </c>
    </row>
    <row r="23" spans="1:34" ht="16.5" customHeight="1" x14ac:dyDescent="0.25">
      <c r="A23" s="6" t="s">
        <v>31</v>
      </c>
      <c r="B23" s="44" t="s">
        <v>51</v>
      </c>
      <c r="C23" s="21"/>
      <c r="D23" s="21"/>
      <c r="E23" s="43" t="s">
        <v>33</v>
      </c>
      <c r="F23" s="21"/>
      <c r="G23" s="42" t="s">
        <v>52</v>
      </c>
      <c r="H23" s="21"/>
      <c r="I23" s="21"/>
      <c r="J23" s="7" t="s">
        <v>35</v>
      </c>
      <c r="K23" s="8" t="s">
        <v>71</v>
      </c>
      <c r="L23" s="8" t="s">
        <v>72</v>
      </c>
      <c r="N23" s="42" t="s">
        <v>73</v>
      </c>
      <c r="O23" s="21"/>
      <c r="P23" s="42" t="s">
        <v>74</v>
      </c>
      <c r="Q23" s="21"/>
      <c r="R23" s="21"/>
      <c r="S23" s="7" t="s">
        <v>40</v>
      </c>
      <c r="T23" s="42" t="s">
        <v>41</v>
      </c>
      <c r="U23" s="21"/>
      <c r="V23" s="8" t="s">
        <v>68</v>
      </c>
      <c r="W23" s="8" t="s">
        <v>75</v>
      </c>
      <c r="X23" s="8" t="s">
        <v>76</v>
      </c>
      <c r="Y23" s="42" t="s">
        <v>60</v>
      </c>
      <c r="Z23" s="21"/>
      <c r="AA23" s="8" t="s">
        <v>46</v>
      </c>
      <c r="AB23" s="8" t="s">
        <v>47</v>
      </c>
      <c r="AC23" s="8" t="s">
        <v>61</v>
      </c>
      <c r="AD23" s="8" t="s">
        <v>77</v>
      </c>
      <c r="AE23" s="42" t="s">
        <v>49</v>
      </c>
      <c r="AF23" s="21"/>
      <c r="AG23" s="8" t="s">
        <v>41</v>
      </c>
      <c r="AH23" s="8" t="s">
        <v>63</v>
      </c>
    </row>
    <row r="24" spans="1:34" ht="16.5" customHeight="1" x14ac:dyDescent="0.25">
      <c r="A24" s="6" t="s">
        <v>31</v>
      </c>
      <c r="B24" s="44" t="s">
        <v>51</v>
      </c>
      <c r="C24" s="21"/>
      <c r="D24" s="21"/>
      <c r="E24" s="43" t="s">
        <v>33</v>
      </c>
      <c r="F24" s="21"/>
      <c r="G24" s="42" t="s">
        <v>52</v>
      </c>
      <c r="H24" s="21"/>
      <c r="I24" s="21"/>
      <c r="J24" s="7" t="s">
        <v>35</v>
      </c>
      <c r="K24" s="8" t="s">
        <v>78</v>
      </c>
      <c r="L24" s="8" t="s">
        <v>37</v>
      </c>
      <c r="N24" s="42" t="s">
        <v>79</v>
      </c>
      <c r="O24" s="21"/>
      <c r="P24" s="42" t="s">
        <v>80</v>
      </c>
      <c r="Q24" s="21"/>
      <c r="R24" s="21"/>
      <c r="S24" s="7" t="s">
        <v>40</v>
      </c>
      <c r="T24" s="42" t="s">
        <v>41</v>
      </c>
      <c r="U24" s="21"/>
      <c r="V24" s="8" t="s">
        <v>68</v>
      </c>
      <c r="W24" s="8" t="s">
        <v>81</v>
      </c>
      <c r="X24" s="8" t="s">
        <v>82</v>
      </c>
      <c r="Y24" s="42" t="s">
        <v>60</v>
      </c>
      <c r="Z24" s="21"/>
      <c r="AA24" s="8" t="s">
        <v>46</v>
      </c>
      <c r="AB24" s="8" t="s">
        <v>47</v>
      </c>
      <c r="AC24" s="8" t="s">
        <v>61</v>
      </c>
      <c r="AD24" s="8" t="s">
        <v>64</v>
      </c>
      <c r="AE24" s="42" t="s">
        <v>49</v>
      </c>
      <c r="AF24" s="21"/>
      <c r="AG24" s="8" t="s">
        <v>41</v>
      </c>
      <c r="AH24" s="8" t="s">
        <v>63</v>
      </c>
    </row>
    <row r="25" spans="1:34" ht="16.5" customHeight="1" x14ac:dyDescent="0.25">
      <c r="A25" s="6" t="s">
        <v>31</v>
      </c>
      <c r="B25" s="44" t="s">
        <v>51</v>
      </c>
      <c r="C25" s="21"/>
      <c r="D25" s="21"/>
      <c r="E25" s="43" t="s">
        <v>33</v>
      </c>
      <c r="F25" s="21"/>
      <c r="G25" s="42" t="s">
        <v>52</v>
      </c>
      <c r="H25" s="21"/>
      <c r="I25" s="21"/>
      <c r="J25" s="7" t="s">
        <v>35</v>
      </c>
      <c r="K25" s="8" t="s">
        <v>53</v>
      </c>
      <c r="L25" s="8" t="s">
        <v>37</v>
      </c>
      <c r="N25" s="42" t="s">
        <v>83</v>
      </c>
      <c r="O25" s="21"/>
      <c r="P25" s="42" t="s">
        <v>84</v>
      </c>
      <c r="Q25" s="21"/>
      <c r="R25" s="21"/>
      <c r="S25" s="7" t="s">
        <v>40</v>
      </c>
      <c r="T25" s="42" t="s">
        <v>41</v>
      </c>
      <c r="U25" s="21"/>
      <c r="V25" s="8" t="s">
        <v>68</v>
      </c>
      <c r="W25" s="8" t="s">
        <v>85</v>
      </c>
      <c r="X25" s="8" t="s">
        <v>86</v>
      </c>
      <c r="Y25" s="42" t="s">
        <v>60</v>
      </c>
      <c r="Z25" s="21"/>
      <c r="AA25" s="8" t="s">
        <v>46</v>
      </c>
      <c r="AB25" s="8" t="s">
        <v>47</v>
      </c>
      <c r="AC25" s="8" t="s">
        <v>61</v>
      </c>
      <c r="AD25" s="8" t="s">
        <v>64</v>
      </c>
      <c r="AE25" s="42" t="s">
        <v>49</v>
      </c>
      <c r="AF25" s="21"/>
      <c r="AG25" s="8" t="s">
        <v>41</v>
      </c>
      <c r="AH25" s="8" t="s">
        <v>63</v>
      </c>
    </row>
    <row r="26" spans="1:34" ht="16.5" customHeight="1" x14ac:dyDescent="0.25">
      <c r="A26" s="6" t="s">
        <v>31</v>
      </c>
      <c r="B26" s="44" t="s">
        <v>51</v>
      </c>
      <c r="C26" s="21"/>
      <c r="D26" s="21"/>
      <c r="E26" s="43" t="s">
        <v>33</v>
      </c>
      <c r="F26" s="21"/>
      <c r="G26" s="42" t="s">
        <v>52</v>
      </c>
      <c r="H26" s="21"/>
      <c r="I26" s="21"/>
      <c r="J26" s="7" t="s">
        <v>35</v>
      </c>
      <c r="K26" s="8" t="s">
        <v>53</v>
      </c>
      <c r="L26" s="8" t="s">
        <v>37</v>
      </c>
      <c r="N26" s="42" t="s">
        <v>87</v>
      </c>
      <c r="O26" s="21"/>
      <c r="P26" s="42" t="s">
        <v>88</v>
      </c>
      <c r="Q26" s="21"/>
      <c r="R26" s="21"/>
      <c r="S26" s="7" t="s">
        <v>40</v>
      </c>
      <c r="T26" s="42" t="s">
        <v>41</v>
      </c>
      <c r="U26" s="21"/>
      <c r="V26" s="8" t="s">
        <v>68</v>
      </c>
      <c r="W26" s="8" t="s">
        <v>58</v>
      </c>
      <c r="X26" s="8" t="s">
        <v>89</v>
      </c>
      <c r="Y26" s="42" t="s">
        <v>60</v>
      </c>
      <c r="Z26" s="21"/>
      <c r="AA26" s="8" t="s">
        <v>46</v>
      </c>
      <c r="AB26" s="8" t="s">
        <v>47</v>
      </c>
      <c r="AC26" s="8" t="s">
        <v>61</v>
      </c>
      <c r="AD26" s="8" t="s">
        <v>64</v>
      </c>
      <c r="AE26" s="42" t="s">
        <v>49</v>
      </c>
      <c r="AF26" s="21"/>
      <c r="AG26" s="8" t="s">
        <v>41</v>
      </c>
      <c r="AH26" s="8" t="s">
        <v>63</v>
      </c>
    </row>
    <row r="27" spans="1:34" ht="16.5" customHeight="1" x14ac:dyDescent="0.25">
      <c r="A27" s="6" t="s">
        <v>31</v>
      </c>
      <c r="B27" s="44" t="s">
        <v>51</v>
      </c>
      <c r="C27" s="21"/>
      <c r="D27" s="21"/>
      <c r="E27" s="43" t="s">
        <v>33</v>
      </c>
      <c r="F27" s="21"/>
      <c r="G27" s="42" t="s">
        <v>52</v>
      </c>
      <c r="H27" s="21"/>
      <c r="I27" s="21"/>
      <c r="J27" s="7" t="s">
        <v>35</v>
      </c>
      <c r="K27" s="8" t="s">
        <v>53</v>
      </c>
      <c r="L27" s="8" t="s">
        <v>37</v>
      </c>
      <c r="N27" s="42" t="s">
        <v>90</v>
      </c>
      <c r="O27" s="21"/>
      <c r="P27" s="42" t="s">
        <v>91</v>
      </c>
      <c r="Q27" s="21"/>
      <c r="R27" s="21"/>
      <c r="S27" s="7" t="s">
        <v>40</v>
      </c>
      <c r="T27" s="42" t="s">
        <v>41</v>
      </c>
      <c r="U27" s="21"/>
      <c r="V27" s="8" t="s">
        <v>68</v>
      </c>
      <c r="W27" s="8" t="s">
        <v>92</v>
      </c>
      <c r="X27" s="8" t="s">
        <v>59</v>
      </c>
      <c r="Y27" s="42" t="s">
        <v>60</v>
      </c>
      <c r="Z27" s="21"/>
      <c r="AA27" s="8" t="s">
        <v>46</v>
      </c>
      <c r="AB27" s="8" t="s">
        <v>47</v>
      </c>
      <c r="AC27" s="8" t="s">
        <v>61</v>
      </c>
      <c r="AD27" s="8" t="s">
        <v>64</v>
      </c>
      <c r="AE27" s="42" t="s">
        <v>49</v>
      </c>
      <c r="AF27" s="21"/>
      <c r="AG27" s="8" t="s">
        <v>41</v>
      </c>
      <c r="AH27" s="8" t="s">
        <v>63</v>
      </c>
    </row>
    <row r="28" spans="1:34" ht="16.5" customHeight="1" x14ac:dyDescent="0.25">
      <c r="A28" s="6" t="s">
        <v>31</v>
      </c>
      <c r="B28" s="44" t="s">
        <v>51</v>
      </c>
      <c r="C28" s="21"/>
      <c r="D28" s="21"/>
      <c r="E28" s="43" t="s">
        <v>33</v>
      </c>
      <c r="F28" s="21"/>
      <c r="G28" s="42" t="s">
        <v>52</v>
      </c>
      <c r="H28" s="21"/>
      <c r="I28" s="21"/>
      <c r="J28" s="7" t="s">
        <v>35</v>
      </c>
      <c r="K28" s="8" t="s">
        <v>71</v>
      </c>
      <c r="L28" s="8" t="s">
        <v>37</v>
      </c>
      <c r="N28" s="42" t="s">
        <v>93</v>
      </c>
      <c r="O28" s="21"/>
      <c r="P28" s="42" t="s">
        <v>94</v>
      </c>
      <c r="Q28" s="21"/>
      <c r="R28" s="21"/>
      <c r="S28" s="7" t="s">
        <v>40</v>
      </c>
      <c r="T28" s="42" t="s">
        <v>41</v>
      </c>
      <c r="U28" s="21"/>
      <c r="V28" s="8" t="s">
        <v>68</v>
      </c>
      <c r="W28" s="8" t="s">
        <v>58</v>
      </c>
      <c r="X28" s="8" t="s">
        <v>89</v>
      </c>
      <c r="Y28" s="42" t="s">
        <v>60</v>
      </c>
      <c r="Z28" s="21"/>
      <c r="AA28" s="8" t="s">
        <v>46</v>
      </c>
      <c r="AB28" s="8" t="s">
        <v>47</v>
      </c>
      <c r="AC28" s="8" t="s">
        <v>61</v>
      </c>
      <c r="AD28" s="8" t="s">
        <v>64</v>
      </c>
      <c r="AE28" s="42" t="s">
        <v>49</v>
      </c>
      <c r="AF28" s="21"/>
      <c r="AG28" s="8" t="s">
        <v>41</v>
      </c>
      <c r="AH28" s="8" t="s">
        <v>63</v>
      </c>
    </row>
    <row r="29" spans="1:34" ht="16.5" customHeight="1" x14ac:dyDescent="0.25">
      <c r="A29" s="6" t="s">
        <v>31</v>
      </c>
      <c r="B29" s="44" t="s">
        <v>51</v>
      </c>
      <c r="C29" s="21"/>
      <c r="D29" s="21"/>
      <c r="E29" s="43" t="s">
        <v>33</v>
      </c>
      <c r="F29" s="21"/>
      <c r="G29" s="42" t="s">
        <v>52</v>
      </c>
      <c r="H29" s="21"/>
      <c r="I29" s="21"/>
      <c r="J29" s="7" t="s">
        <v>35</v>
      </c>
      <c r="K29" s="8" t="s">
        <v>53</v>
      </c>
      <c r="L29" s="8" t="s">
        <v>37</v>
      </c>
      <c r="N29" s="42" t="s">
        <v>95</v>
      </c>
      <c r="O29" s="21"/>
      <c r="P29" s="42" t="s">
        <v>96</v>
      </c>
      <c r="Q29" s="21"/>
      <c r="R29" s="21"/>
      <c r="S29" s="7" t="s">
        <v>40</v>
      </c>
      <c r="T29" s="42" t="s">
        <v>41</v>
      </c>
      <c r="U29" s="21"/>
      <c r="V29" s="8" t="s">
        <v>68</v>
      </c>
      <c r="W29" s="8" t="s">
        <v>97</v>
      </c>
      <c r="X29" s="8" t="s">
        <v>98</v>
      </c>
      <c r="Y29" s="42" t="s">
        <v>60</v>
      </c>
      <c r="Z29" s="21"/>
      <c r="AA29" s="8" t="s">
        <v>46</v>
      </c>
      <c r="AB29" s="8" t="s">
        <v>47</v>
      </c>
      <c r="AC29" s="8" t="s">
        <v>61</v>
      </c>
      <c r="AD29" s="8" t="s">
        <v>64</v>
      </c>
      <c r="AE29" s="42" t="s">
        <v>49</v>
      </c>
      <c r="AF29" s="21"/>
      <c r="AG29" s="8" t="s">
        <v>41</v>
      </c>
      <c r="AH29" s="8" t="s">
        <v>63</v>
      </c>
    </row>
    <row r="30" spans="1:34" ht="16.5" customHeight="1" x14ac:dyDescent="0.25">
      <c r="A30" s="6" t="s">
        <v>31</v>
      </c>
      <c r="B30" s="44" t="s">
        <v>51</v>
      </c>
      <c r="C30" s="21"/>
      <c r="D30" s="21"/>
      <c r="E30" s="43" t="s">
        <v>33</v>
      </c>
      <c r="F30" s="21"/>
      <c r="G30" s="42" t="s">
        <v>52</v>
      </c>
      <c r="H30" s="21"/>
      <c r="I30" s="21"/>
      <c r="J30" s="7" t="s">
        <v>35</v>
      </c>
      <c r="K30" s="8" t="s">
        <v>53</v>
      </c>
      <c r="L30" s="8" t="s">
        <v>37</v>
      </c>
      <c r="N30" s="42" t="s">
        <v>99</v>
      </c>
      <c r="O30" s="21"/>
      <c r="P30" s="42" t="s">
        <v>100</v>
      </c>
      <c r="Q30" s="21"/>
      <c r="R30" s="21"/>
      <c r="S30" s="7" t="s">
        <v>40</v>
      </c>
      <c r="T30" s="42" t="s">
        <v>41</v>
      </c>
      <c r="U30" s="21"/>
      <c r="V30" s="8" t="s">
        <v>68</v>
      </c>
      <c r="W30" s="8" t="s">
        <v>97</v>
      </c>
      <c r="X30" s="8" t="s">
        <v>98</v>
      </c>
      <c r="Y30" s="42" t="s">
        <v>60</v>
      </c>
      <c r="Z30" s="21"/>
      <c r="AA30" s="8" t="s">
        <v>46</v>
      </c>
      <c r="AB30" s="8" t="s">
        <v>47</v>
      </c>
      <c r="AC30" s="8" t="s">
        <v>61</v>
      </c>
      <c r="AD30" s="8" t="s">
        <v>64</v>
      </c>
      <c r="AE30" s="42" t="s">
        <v>49</v>
      </c>
      <c r="AF30" s="21"/>
      <c r="AG30" s="8" t="s">
        <v>41</v>
      </c>
      <c r="AH30" s="8" t="s">
        <v>63</v>
      </c>
    </row>
    <row r="31" spans="1:34" ht="16.5" customHeight="1" x14ac:dyDescent="0.25">
      <c r="A31" s="6" t="s">
        <v>31</v>
      </c>
      <c r="B31" s="44" t="s">
        <v>51</v>
      </c>
      <c r="C31" s="21"/>
      <c r="D31" s="21"/>
      <c r="E31" s="43" t="s">
        <v>33</v>
      </c>
      <c r="F31" s="21"/>
      <c r="G31" s="42" t="s">
        <v>52</v>
      </c>
      <c r="H31" s="21"/>
      <c r="I31" s="21"/>
      <c r="J31" s="7" t="s">
        <v>35</v>
      </c>
      <c r="K31" s="8" t="s">
        <v>53</v>
      </c>
      <c r="L31" s="8" t="s">
        <v>37</v>
      </c>
      <c r="N31" s="42" t="s">
        <v>101</v>
      </c>
      <c r="O31" s="21"/>
      <c r="P31" s="42" t="s">
        <v>102</v>
      </c>
      <c r="Q31" s="21"/>
      <c r="R31" s="21"/>
      <c r="S31" s="7" t="s">
        <v>40</v>
      </c>
      <c r="T31" s="42" t="s">
        <v>41</v>
      </c>
      <c r="U31" s="21"/>
      <c r="V31" s="8" t="s">
        <v>68</v>
      </c>
      <c r="W31" s="8" t="s">
        <v>103</v>
      </c>
      <c r="X31" s="8" t="s">
        <v>104</v>
      </c>
      <c r="Y31" s="42" t="s">
        <v>60</v>
      </c>
      <c r="Z31" s="21"/>
      <c r="AA31" s="8" t="s">
        <v>46</v>
      </c>
      <c r="AB31" s="8" t="s">
        <v>47</v>
      </c>
      <c r="AC31" s="8" t="s">
        <v>61</v>
      </c>
      <c r="AD31" s="8" t="s">
        <v>64</v>
      </c>
      <c r="AE31" s="42" t="s">
        <v>49</v>
      </c>
      <c r="AF31" s="21"/>
      <c r="AG31" s="8" t="s">
        <v>41</v>
      </c>
      <c r="AH31" s="8" t="s">
        <v>63</v>
      </c>
    </row>
    <row r="32" spans="1:34" ht="16.5" customHeight="1" x14ac:dyDescent="0.25">
      <c r="A32" s="6" t="s">
        <v>31</v>
      </c>
      <c r="B32" s="44" t="s">
        <v>51</v>
      </c>
      <c r="C32" s="21"/>
      <c r="D32" s="21"/>
      <c r="E32" s="43" t="s">
        <v>33</v>
      </c>
      <c r="F32" s="21"/>
      <c r="G32" s="42" t="s">
        <v>52</v>
      </c>
      <c r="H32" s="21"/>
      <c r="I32" s="21"/>
      <c r="J32" s="7" t="s">
        <v>35</v>
      </c>
      <c r="K32" s="8" t="s">
        <v>53</v>
      </c>
      <c r="L32" s="8" t="s">
        <v>37</v>
      </c>
      <c r="N32" s="42" t="s">
        <v>105</v>
      </c>
      <c r="O32" s="21"/>
      <c r="P32" s="42" t="s">
        <v>106</v>
      </c>
      <c r="Q32" s="21"/>
      <c r="R32" s="21"/>
      <c r="S32" s="7" t="s">
        <v>40</v>
      </c>
      <c r="T32" s="42" t="s">
        <v>41</v>
      </c>
      <c r="U32" s="21"/>
      <c r="V32" s="8" t="s">
        <v>68</v>
      </c>
      <c r="W32" s="8" t="s">
        <v>97</v>
      </c>
      <c r="X32" s="8" t="s">
        <v>98</v>
      </c>
      <c r="Y32" s="42" t="s">
        <v>60</v>
      </c>
      <c r="Z32" s="21"/>
      <c r="AA32" s="8" t="s">
        <v>46</v>
      </c>
      <c r="AB32" s="8" t="s">
        <v>47</v>
      </c>
      <c r="AC32" s="8" t="s">
        <v>61</v>
      </c>
      <c r="AD32" s="8" t="s">
        <v>64</v>
      </c>
      <c r="AE32" s="42" t="s">
        <v>49</v>
      </c>
      <c r="AF32" s="21"/>
      <c r="AG32" s="8" t="s">
        <v>41</v>
      </c>
      <c r="AH32" s="8" t="s">
        <v>63</v>
      </c>
    </row>
    <row r="33" spans="1:34" ht="16.5" customHeight="1" x14ac:dyDescent="0.25">
      <c r="A33" s="6" t="s">
        <v>31</v>
      </c>
      <c r="B33" s="44" t="s">
        <v>51</v>
      </c>
      <c r="C33" s="21"/>
      <c r="D33" s="21"/>
      <c r="E33" s="43" t="s">
        <v>33</v>
      </c>
      <c r="F33" s="21"/>
      <c r="G33" s="42" t="s">
        <v>52</v>
      </c>
      <c r="H33" s="21"/>
      <c r="I33" s="21"/>
      <c r="J33" s="7" t="s">
        <v>35</v>
      </c>
      <c r="K33" s="8" t="s">
        <v>53</v>
      </c>
      <c r="L33" s="8" t="s">
        <v>37</v>
      </c>
      <c r="N33" s="42" t="s">
        <v>107</v>
      </c>
      <c r="O33" s="21"/>
      <c r="P33" s="42" t="s">
        <v>108</v>
      </c>
      <c r="Q33" s="21"/>
      <c r="R33" s="21"/>
      <c r="S33" s="7" t="s">
        <v>40</v>
      </c>
      <c r="T33" s="42" t="s">
        <v>41</v>
      </c>
      <c r="U33" s="21"/>
      <c r="V33" s="8" t="s">
        <v>68</v>
      </c>
      <c r="W33" s="8" t="s">
        <v>92</v>
      </c>
      <c r="X33" s="8" t="s">
        <v>59</v>
      </c>
      <c r="Y33" s="42" t="s">
        <v>60</v>
      </c>
      <c r="Z33" s="21"/>
      <c r="AA33" s="8" t="s">
        <v>46</v>
      </c>
      <c r="AB33" s="8" t="s">
        <v>47</v>
      </c>
      <c r="AC33" s="8" t="s">
        <v>61</v>
      </c>
      <c r="AD33" s="8" t="s">
        <v>64</v>
      </c>
      <c r="AE33" s="42" t="s">
        <v>49</v>
      </c>
      <c r="AF33" s="21"/>
      <c r="AG33" s="8" t="s">
        <v>41</v>
      </c>
      <c r="AH33" s="8" t="s">
        <v>63</v>
      </c>
    </row>
    <row r="34" spans="1:34" ht="16.5" customHeight="1" x14ac:dyDescent="0.25">
      <c r="A34" s="6" t="s">
        <v>31</v>
      </c>
      <c r="B34" s="44" t="s">
        <v>51</v>
      </c>
      <c r="C34" s="21"/>
      <c r="D34" s="21"/>
      <c r="E34" s="43" t="s">
        <v>33</v>
      </c>
      <c r="F34" s="21"/>
      <c r="G34" s="42" t="s">
        <v>52</v>
      </c>
      <c r="H34" s="21"/>
      <c r="I34" s="21"/>
      <c r="J34" s="7" t="s">
        <v>35</v>
      </c>
      <c r="K34" s="8" t="s">
        <v>53</v>
      </c>
      <c r="L34" s="8" t="s">
        <v>54</v>
      </c>
      <c r="N34" s="42" t="s">
        <v>109</v>
      </c>
      <c r="O34" s="21"/>
      <c r="P34" s="42" t="s">
        <v>110</v>
      </c>
      <c r="Q34" s="21"/>
      <c r="R34" s="21"/>
      <c r="S34" s="7" t="s">
        <v>40</v>
      </c>
      <c r="T34" s="42" t="s">
        <v>41</v>
      </c>
      <c r="U34" s="21"/>
      <c r="V34" s="8" t="s">
        <v>57</v>
      </c>
      <c r="W34" s="8" t="s">
        <v>97</v>
      </c>
      <c r="X34" s="8" t="s">
        <v>111</v>
      </c>
      <c r="Y34" s="42" t="s">
        <v>60</v>
      </c>
      <c r="Z34" s="21"/>
      <c r="AA34" s="8" t="s">
        <v>46</v>
      </c>
      <c r="AB34" s="8" t="s">
        <v>47</v>
      </c>
      <c r="AC34" s="8" t="s">
        <v>61</v>
      </c>
      <c r="AD34" s="8" t="s">
        <v>62</v>
      </c>
      <c r="AE34" s="42" t="s">
        <v>49</v>
      </c>
      <c r="AF34" s="21"/>
      <c r="AG34" s="8" t="s">
        <v>41</v>
      </c>
      <c r="AH34" s="8" t="s">
        <v>63</v>
      </c>
    </row>
    <row r="35" spans="1:34" ht="16.5" customHeight="1" x14ac:dyDescent="0.25">
      <c r="A35" s="6" t="s">
        <v>31</v>
      </c>
      <c r="B35" s="44" t="s">
        <v>51</v>
      </c>
      <c r="C35" s="21"/>
      <c r="D35" s="21"/>
      <c r="E35" s="43" t="s">
        <v>33</v>
      </c>
      <c r="F35" s="21"/>
      <c r="G35" s="42" t="s">
        <v>52</v>
      </c>
      <c r="H35" s="21"/>
      <c r="I35" s="21"/>
      <c r="J35" s="7" t="s">
        <v>35</v>
      </c>
      <c r="K35" s="8" t="s">
        <v>53</v>
      </c>
      <c r="L35" s="8" t="s">
        <v>54</v>
      </c>
      <c r="N35" s="42" t="s">
        <v>109</v>
      </c>
      <c r="O35" s="21"/>
      <c r="P35" s="42" t="s">
        <v>110</v>
      </c>
      <c r="Q35" s="21"/>
      <c r="R35" s="21"/>
      <c r="S35" s="7" t="s">
        <v>40</v>
      </c>
      <c r="T35" s="42" t="s">
        <v>41</v>
      </c>
      <c r="U35" s="21"/>
      <c r="V35" s="8" t="s">
        <v>42</v>
      </c>
      <c r="W35" s="8" t="s">
        <v>97</v>
      </c>
      <c r="X35" s="8" t="s">
        <v>112</v>
      </c>
      <c r="Y35" s="42" t="s">
        <v>60</v>
      </c>
      <c r="Z35" s="21"/>
      <c r="AA35" s="8" t="s">
        <v>46</v>
      </c>
      <c r="AB35" s="8" t="s">
        <v>47</v>
      </c>
      <c r="AC35" s="8" t="s">
        <v>61</v>
      </c>
      <c r="AD35" s="8" t="s">
        <v>62</v>
      </c>
      <c r="AE35" s="42" t="s">
        <v>49</v>
      </c>
      <c r="AF35" s="21"/>
      <c r="AG35" s="8" t="s">
        <v>41</v>
      </c>
      <c r="AH35" s="8" t="s">
        <v>63</v>
      </c>
    </row>
    <row r="36" spans="1:34" ht="16.5" customHeight="1" x14ac:dyDescent="0.25">
      <c r="A36" s="6" t="s">
        <v>31</v>
      </c>
      <c r="B36" s="44" t="s">
        <v>51</v>
      </c>
      <c r="C36" s="21"/>
      <c r="D36" s="21"/>
      <c r="E36" s="43" t="s">
        <v>33</v>
      </c>
      <c r="F36" s="21"/>
      <c r="G36" s="42" t="s">
        <v>52</v>
      </c>
      <c r="H36" s="21"/>
      <c r="I36" s="21"/>
      <c r="J36" s="7" t="s">
        <v>35</v>
      </c>
      <c r="K36" s="8" t="s">
        <v>53</v>
      </c>
      <c r="L36" s="8" t="s">
        <v>37</v>
      </c>
      <c r="N36" s="42" t="s">
        <v>113</v>
      </c>
      <c r="O36" s="21"/>
      <c r="P36" s="42" t="s">
        <v>114</v>
      </c>
      <c r="Q36" s="21"/>
      <c r="R36" s="21"/>
      <c r="S36" s="7" t="s">
        <v>40</v>
      </c>
      <c r="T36" s="42" t="s">
        <v>41</v>
      </c>
      <c r="U36" s="21"/>
      <c r="V36" s="8" t="s">
        <v>68</v>
      </c>
      <c r="W36" s="8" t="s">
        <v>97</v>
      </c>
      <c r="X36" s="8" t="s">
        <v>98</v>
      </c>
      <c r="Y36" s="42" t="s">
        <v>60</v>
      </c>
      <c r="Z36" s="21"/>
      <c r="AA36" s="8" t="s">
        <v>46</v>
      </c>
      <c r="AB36" s="8" t="s">
        <v>47</v>
      </c>
      <c r="AC36" s="8" t="s">
        <v>61</v>
      </c>
      <c r="AD36" s="8" t="s">
        <v>64</v>
      </c>
      <c r="AE36" s="42" t="s">
        <v>49</v>
      </c>
      <c r="AF36" s="21"/>
      <c r="AG36" s="8" t="s">
        <v>41</v>
      </c>
      <c r="AH36" s="8" t="s">
        <v>63</v>
      </c>
    </row>
    <row r="37" spans="1:34" ht="16.5" customHeight="1" x14ac:dyDescent="0.25">
      <c r="A37" s="6" t="s">
        <v>31</v>
      </c>
      <c r="B37" s="44" t="s">
        <v>51</v>
      </c>
      <c r="C37" s="21"/>
      <c r="D37" s="21"/>
      <c r="E37" s="43" t="s">
        <v>33</v>
      </c>
      <c r="F37" s="21"/>
      <c r="G37" s="42" t="s">
        <v>52</v>
      </c>
      <c r="H37" s="21"/>
      <c r="I37" s="21"/>
      <c r="J37" s="7" t="s">
        <v>35</v>
      </c>
      <c r="K37" s="8" t="s">
        <v>53</v>
      </c>
      <c r="L37" s="8" t="s">
        <v>37</v>
      </c>
      <c r="N37" s="42" t="s">
        <v>115</v>
      </c>
      <c r="O37" s="21"/>
      <c r="P37" s="42" t="s">
        <v>116</v>
      </c>
      <c r="Q37" s="21"/>
      <c r="R37" s="21"/>
      <c r="S37" s="7" t="s">
        <v>40</v>
      </c>
      <c r="T37" s="42" t="s">
        <v>41</v>
      </c>
      <c r="U37" s="21"/>
      <c r="V37" s="8" t="s">
        <v>68</v>
      </c>
      <c r="W37" s="8" t="s">
        <v>117</v>
      </c>
      <c r="X37" s="8" t="s">
        <v>111</v>
      </c>
      <c r="Y37" s="42" t="s">
        <v>60</v>
      </c>
      <c r="Z37" s="21"/>
      <c r="AA37" s="8" t="s">
        <v>46</v>
      </c>
      <c r="AB37" s="8" t="s">
        <v>47</v>
      </c>
      <c r="AC37" s="8" t="s">
        <v>61</v>
      </c>
      <c r="AD37" s="8" t="s">
        <v>64</v>
      </c>
      <c r="AE37" s="42" t="s">
        <v>49</v>
      </c>
      <c r="AF37" s="21"/>
      <c r="AG37" s="8" t="s">
        <v>41</v>
      </c>
      <c r="AH37" s="8" t="s">
        <v>63</v>
      </c>
    </row>
    <row r="38" spans="1:34" ht="16.5" customHeight="1" x14ac:dyDescent="0.25">
      <c r="A38" s="6" t="s">
        <v>31</v>
      </c>
      <c r="B38" s="44" t="s">
        <v>51</v>
      </c>
      <c r="C38" s="21"/>
      <c r="D38" s="21"/>
      <c r="E38" s="43" t="s">
        <v>33</v>
      </c>
      <c r="F38" s="21"/>
      <c r="G38" s="42" t="s">
        <v>52</v>
      </c>
      <c r="H38" s="21"/>
      <c r="I38" s="21"/>
      <c r="J38" s="7" t="s">
        <v>35</v>
      </c>
      <c r="K38" s="8" t="s">
        <v>53</v>
      </c>
      <c r="L38" s="8" t="s">
        <v>118</v>
      </c>
      <c r="N38" s="42" t="s">
        <v>119</v>
      </c>
      <c r="O38" s="21"/>
      <c r="P38" s="42" t="s">
        <v>120</v>
      </c>
      <c r="Q38" s="21"/>
      <c r="R38" s="21"/>
      <c r="S38" s="7" t="s">
        <v>40</v>
      </c>
      <c r="T38" s="42" t="s">
        <v>41</v>
      </c>
      <c r="U38" s="21"/>
      <c r="V38" s="8" t="s">
        <v>68</v>
      </c>
      <c r="W38" s="8" t="s">
        <v>117</v>
      </c>
      <c r="X38" s="8" t="s">
        <v>111</v>
      </c>
      <c r="Y38" s="42" t="s">
        <v>60</v>
      </c>
      <c r="Z38" s="21"/>
      <c r="AA38" s="8" t="s">
        <v>46</v>
      </c>
      <c r="AB38" s="8" t="s">
        <v>47</v>
      </c>
      <c r="AC38" s="8" t="s">
        <v>61</v>
      </c>
      <c r="AD38" s="8" t="s">
        <v>121</v>
      </c>
      <c r="AE38" s="42" t="s">
        <v>49</v>
      </c>
      <c r="AF38" s="21"/>
      <c r="AG38" s="8" t="s">
        <v>41</v>
      </c>
      <c r="AH38" s="8" t="s">
        <v>63</v>
      </c>
    </row>
    <row r="39" spans="1:34" ht="16.5" customHeight="1" x14ac:dyDescent="0.25">
      <c r="A39" s="6" t="s">
        <v>31</v>
      </c>
      <c r="B39" s="44" t="s">
        <v>51</v>
      </c>
      <c r="C39" s="21"/>
      <c r="D39" s="21"/>
      <c r="E39" s="43" t="s">
        <v>33</v>
      </c>
      <c r="F39" s="21"/>
      <c r="G39" s="42" t="s">
        <v>52</v>
      </c>
      <c r="H39" s="21"/>
      <c r="I39" s="21"/>
      <c r="J39" s="7" t="s">
        <v>35</v>
      </c>
      <c r="K39" s="8" t="s">
        <v>53</v>
      </c>
      <c r="L39" s="8" t="s">
        <v>37</v>
      </c>
      <c r="N39" s="42" t="s">
        <v>122</v>
      </c>
      <c r="O39" s="21"/>
      <c r="P39" s="42" t="s">
        <v>123</v>
      </c>
      <c r="Q39" s="21"/>
      <c r="R39" s="21"/>
      <c r="S39" s="7" t="s">
        <v>40</v>
      </c>
      <c r="T39" s="42" t="s">
        <v>41</v>
      </c>
      <c r="U39" s="21"/>
      <c r="V39" s="8" t="s">
        <v>68</v>
      </c>
      <c r="W39" s="8" t="s">
        <v>124</v>
      </c>
      <c r="X39" s="8" t="s">
        <v>112</v>
      </c>
      <c r="Y39" s="42" t="s">
        <v>60</v>
      </c>
      <c r="Z39" s="21"/>
      <c r="AA39" s="8" t="s">
        <v>46</v>
      </c>
      <c r="AB39" s="8" t="s">
        <v>47</v>
      </c>
      <c r="AC39" s="8" t="s">
        <v>61</v>
      </c>
      <c r="AD39" s="8" t="s">
        <v>64</v>
      </c>
      <c r="AE39" s="42" t="s">
        <v>49</v>
      </c>
      <c r="AF39" s="21"/>
      <c r="AG39" s="8" t="s">
        <v>41</v>
      </c>
      <c r="AH39" s="8" t="s">
        <v>63</v>
      </c>
    </row>
    <row r="40" spans="1:34" ht="16.5" customHeight="1" x14ac:dyDescent="0.25">
      <c r="A40" s="6" t="s">
        <v>31</v>
      </c>
      <c r="B40" s="44" t="s">
        <v>51</v>
      </c>
      <c r="C40" s="21"/>
      <c r="D40" s="21"/>
      <c r="E40" s="43" t="s">
        <v>33</v>
      </c>
      <c r="F40" s="21"/>
      <c r="G40" s="42" t="s">
        <v>52</v>
      </c>
      <c r="H40" s="21"/>
      <c r="I40" s="21"/>
      <c r="J40" s="7" t="s">
        <v>35</v>
      </c>
      <c r="K40" s="8" t="s">
        <v>53</v>
      </c>
      <c r="L40" s="8" t="s">
        <v>37</v>
      </c>
      <c r="N40" s="42" t="s">
        <v>125</v>
      </c>
      <c r="O40" s="21"/>
      <c r="P40" s="42" t="s">
        <v>126</v>
      </c>
      <c r="Q40" s="21"/>
      <c r="R40" s="21"/>
      <c r="S40" s="7" t="s">
        <v>40</v>
      </c>
      <c r="T40" s="42" t="s">
        <v>41</v>
      </c>
      <c r="U40" s="21"/>
      <c r="V40" s="8" t="s">
        <v>68</v>
      </c>
      <c r="W40" s="8" t="s">
        <v>103</v>
      </c>
      <c r="X40" s="8" t="s">
        <v>104</v>
      </c>
      <c r="Y40" s="42" t="s">
        <v>60</v>
      </c>
      <c r="Z40" s="21"/>
      <c r="AA40" s="8" t="s">
        <v>46</v>
      </c>
      <c r="AB40" s="8" t="s">
        <v>47</v>
      </c>
      <c r="AC40" s="8" t="s">
        <v>61</v>
      </c>
      <c r="AD40" s="8" t="s">
        <v>64</v>
      </c>
      <c r="AE40" s="42" t="s">
        <v>49</v>
      </c>
      <c r="AF40" s="21"/>
      <c r="AG40" s="8" t="s">
        <v>41</v>
      </c>
      <c r="AH40" s="8" t="s">
        <v>63</v>
      </c>
    </row>
    <row r="41" spans="1:34" ht="16.5" customHeight="1" x14ac:dyDescent="0.25">
      <c r="A41" s="6" t="s">
        <v>31</v>
      </c>
      <c r="B41" s="44" t="s">
        <v>51</v>
      </c>
      <c r="C41" s="21"/>
      <c r="D41" s="21"/>
      <c r="E41" s="43" t="s">
        <v>33</v>
      </c>
      <c r="F41" s="21"/>
      <c r="G41" s="42" t="s">
        <v>52</v>
      </c>
      <c r="H41" s="21"/>
      <c r="I41" s="21"/>
      <c r="J41" s="7" t="s">
        <v>35</v>
      </c>
      <c r="K41" s="8" t="s">
        <v>53</v>
      </c>
      <c r="L41" s="8" t="s">
        <v>72</v>
      </c>
      <c r="N41" s="42" t="s">
        <v>127</v>
      </c>
      <c r="O41" s="21"/>
      <c r="P41" s="42" t="s">
        <v>128</v>
      </c>
      <c r="Q41" s="21"/>
      <c r="R41" s="21"/>
      <c r="S41" s="7" t="s">
        <v>40</v>
      </c>
      <c r="T41" s="42" t="s">
        <v>41</v>
      </c>
      <c r="U41" s="21"/>
      <c r="V41" s="8" t="s">
        <v>68</v>
      </c>
      <c r="W41" s="8" t="s">
        <v>103</v>
      </c>
      <c r="X41" s="8" t="s">
        <v>104</v>
      </c>
      <c r="Y41" s="42" t="s">
        <v>60</v>
      </c>
      <c r="Z41" s="21"/>
      <c r="AA41" s="8" t="s">
        <v>46</v>
      </c>
      <c r="AB41" s="8" t="s">
        <v>47</v>
      </c>
      <c r="AC41" s="8" t="s">
        <v>61</v>
      </c>
      <c r="AD41" s="8" t="s">
        <v>77</v>
      </c>
      <c r="AE41" s="42" t="s">
        <v>49</v>
      </c>
      <c r="AF41" s="21"/>
      <c r="AG41" s="8" t="s">
        <v>41</v>
      </c>
      <c r="AH41" s="8" t="s">
        <v>63</v>
      </c>
    </row>
    <row r="42" spans="1:34" ht="16.5" customHeight="1" x14ac:dyDescent="0.25">
      <c r="A42" s="6" t="s">
        <v>31</v>
      </c>
      <c r="B42" s="44" t="s">
        <v>51</v>
      </c>
      <c r="C42" s="21"/>
      <c r="D42" s="21"/>
      <c r="E42" s="43" t="s">
        <v>33</v>
      </c>
      <c r="F42" s="21"/>
      <c r="G42" s="42" t="s">
        <v>52</v>
      </c>
      <c r="H42" s="21"/>
      <c r="I42" s="21"/>
      <c r="J42" s="7" t="s">
        <v>35</v>
      </c>
      <c r="K42" s="8" t="s">
        <v>53</v>
      </c>
      <c r="L42" s="8" t="s">
        <v>37</v>
      </c>
      <c r="N42" s="42" t="s">
        <v>129</v>
      </c>
      <c r="O42" s="21"/>
      <c r="P42" s="42" t="s">
        <v>130</v>
      </c>
      <c r="Q42" s="21"/>
      <c r="R42" s="21"/>
      <c r="S42" s="7" t="s">
        <v>40</v>
      </c>
      <c r="T42" s="42" t="s">
        <v>41</v>
      </c>
      <c r="U42" s="21"/>
      <c r="V42" s="8" t="s">
        <v>68</v>
      </c>
      <c r="W42" s="8" t="s">
        <v>124</v>
      </c>
      <c r="X42" s="8" t="s">
        <v>112</v>
      </c>
      <c r="Y42" s="42" t="s">
        <v>60</v>
      </c>
      <c r="Z42" s="21"/>
      <c r="AA42" s="8" t="s">
        <v>46</v>
      </c>
      <c r="AB42" s="8" t="s">
        <v>47</v>
      </c>
      <c r="AC42" s="8" t="s">
        <v>61</v>
      </c>
      <c r="AD42" s="8" t="s">
        <v>64</v>
      </c>
      <c r="AE42" s="42" t="s">
        <v>49</v>
      </c>
      <c r="AF42" s="21"/>
      <c r="AG42" s="8" t="s">
        <v>41</v>
      </c>
      <c r="AH42" s="8" t="s">
        <v>63</v>
      </c>
    </row>
    <row r="43" spans="1:34" ht="16.5" customHeight="1" x14ac:dyDescent="0.25">
      <c r="A43" s="6" t="s">
        <v>31</v>
      </c>
      <c r="B43" s="44" t="s">
        <v>51</v>
      </c>
      <c r="C43" s="21"/>
      <c r="D43" s="21"/>
      <c r="E43" s="43" t="s">
        <v>33</v>
      </c>
      <c r="F43" s="21"/>
      <c r="G43" s="42" t="s">
        <v>52</v>
      </c>
      <c r="H43" s="21"/>
      <c r="I43" s="21"/>
      <c r="J43" s="7" t="s">
        <v>35</v>
      </c>
      <c r="K43" s="8" t="s">
        <v>53</v>
      </c>
      <c r="L43" s="8" t="s">
        <v>37</v>
      </c>
      <c r="N43" s="42" t="s">
        <v>131</v>
      </c>
      <c r="O43" s="21"/>
      <c r="P43" s="42" t="s">
        <v>132</v>
      </c>
      <c r="Q43" s="21"/>
      <c r="R43" s="21"/>
      <c r="S43" s="7" t="s">
        <v>40</v>
      </c>
      <c r="T43" s="42" t="s">
        <v>41</v>
      </c>
      <c r="U43" s="21"/>
      <c r="V43" s="8" t="s">
        <v>68</v>
      </c>
      <c r="W43" s="8" t="s">
        <v>103</v>
      </c>
      <c r="X43" s="8" t="s">
        <v>104</v>
      </c>
      <c r="Y43" s="42" t="s">
        <v>60</v>
      </c>
      <c r="Z43" s="21"/>
      <c r="AA43" s="8" t="s">
        <v>46</v>
      </c>
      <c r="AB43" s="8" t="s">
        <v>47</v>
      </c>
      <c r="AC43" s="8" t="s">
        <v>61</v>
      </c>
      <c r="AD43" s="8" t="s">
        <v>64</v>
      </c>
      <c r="AE43" s="42" t="s">
        <v>49</v>
      </c>
      <c r="AF43" s="21"/>
      <c r="AG43" s="8" t="s">
        <v>41</v>
      </c>
      <c r="AH43" s="8" t="s">
        <v>63</v>
      </c>
    </row>
    <row r="44" spans="1:34" ht="16.5" customHeight="1" x14ac:dyDescent="0.25">
      <c r="A44" s="6" t="s">
        <v>31</v>
      </c>
      <c r="B44" s="44" t="s">
        <v>51</v>
      </c>
      <c r="C44" s="21"/>
      <c r="D44" s="21"/>
      <c r="E44" s="43" t="s">
        <v>33</v>
      </c>
      <c r="F44" s="21"/>
      <c r="G44" s="42" t="s">
        <v>52</v>
      </c>
      <c r="H44" s="21"/>
      <c r="I44" s="21"/>
      <c r="J44" s="7" t="s">
        <v>35</v>
      </c>
      <c r="K44" s="8" t="s">
        <v>53</v>
      </c>
      <c r="L44" s="8" t="s">
        <v>37</v>
      </c>
      <c r="N44" s="42" t="s">
        <v>133</v>
      </c>
      <c r="O44" s="21"/>
      <c r="P44" s="42" t="s">
        <v>134</v>
      </c>
      <c r="Q44" s="21"/>
      <c r="R44" s="21"/>
      <c r="S44" s="7" t="s">
        <v>40</v>
      </c>
      <c r="T44" s="42" t="s">
        <v>41</v>
      </c>
      <c r="U44" s="21"/>
      <c r="V44" s="8" t="s">
        <v>68</v>
      </c>
      <c r="W44" s="8" t="s">
        <v>135</v>
      </c>
      <c r="X44" s="8" t="s">
        <v>136</v>
      </c>
      <c r="Y44" s="42" t="s">
        <v>60</v>
      </c>
      <c r="Z44" s="21"/>
      <c r="AA44" s="8" t="s">
        <v>46</v>
      </c>
      <c r="AB44" s="8" t="s">
        <v>47</v>
      </c>
      <c r="AC44" s="8" t="s">
        <v>61</v>
      </c>
      <c r="AD44" s="8" t="s">
        <v>64</v>
      </c>
      <c r="AE44" s="42" t="s">
        <v>49</v>
      </c>
      <c r="AF44" s="21"/>
      <c r="AG44" s="8" t="s">
        <v>41</v>
      </c>
      <c r="AH44" s="8" t="s">
        <v>63</v>
      </c>
    </row>
    <row r="45" spans="1:34" ht="16.5" customHeight="1" x14ac:dyDescent="0.25">
      <c r="A45" s="6" t="s">
        <v>31</v>
      </c>
      <c r="B45" s="44" t="s">
        <v>51</v>
      </c>
      <c r="C45" s="21"/>
      <c r="D45" s="21"/>
      <c r="E45" s="43" t="s">
        <v>33</v>
      </c>
      <c r="F45" s="21"/>
      <c r="G45" s="42" t="s">
        <v>52</v>
      </c>
      <c r="H45" s="21"/>
      <c r="I45" s="21"/>
      <c r="J45" s="7" t="s">
        <v>35</v>
      </c>
      <c r="K45" s="8" t="s">
        <v>65</v>
      </c>
      <c r="L45" s="8" t="s">
        <v>37</v>
      </c>
      <c r="N45" s="42" t="s">
        <v>137</v>
      </c>
      <c r="O45" s="21"/>
      <c r="P45" s="42" t="s">
        <v>138</v>
      </c>
      <c r="Q45" s="21"/>
      <c r="R45" s="21"/>
      <c r="S45" s="7" t="s">
        <v>40</v>
      </c>
      <c r="T45" s="42" t="s">
        <v>41</v>
      </c>
      <c r="U45" s="21"/>
      <c r="V45" s="8" t="s">
        <v>68</v>
      </c>
      <c r="W45" s="8" t="s">
        <v>42</v>
      </c>
      <c r="X45" s="8" t="s">
        <v>139</v>
      </c>
      <c r="Y45" s="42" t="s">
        <v>60</v>
      </c>
      <c r="Z45" s="21"/>
      <c r="AA45" s="8" t="s">
        <v>46</v>
      </c>
      <c r="AB45" s="8" t="s">
        <v>47</v>
      </c>
      <c r="AC45" s="8" t="s">
        <v>61</v>
      </c>
      <c r="AD45" s="8" t="s">
        <v>64</v>
      </c>
      <c r="AE45" s="42" t="s">
        <v>49</v>
      </c>
      <c r="AF45" s="21"/>
      <c r="AG45" s="8" t="s">
        <v>41</v>
      </c>
      <c r="AH45" s="8" t="s">
        <v>63</v>
      </c>
    </row>
    <row r="46" spans="1:34" ht="16.5" customHeight="1" x14ac:dyDescent="0.25">
      <c r="A46" s="6" t="s">
        <v>31</v>
      </c>
      <c r="B46" s="44" t="s">
        <v>51</v>
      </c>
      <c r="C46" s="21"/>
      <c r="D46" s="21"/>
      <c r="E46" s="43" t="s">
        <v>33</v>
      </c>
      <c r="F46" s="21"/>
      <c r="G46" s="42" t="s">
        <v>52</v>
      </c>
      <c r="H46" s="21"/>
      <c r="I46" s="21"/>
      <c r="J46" s="7" t="s">
        <v>35</v>
      </c>
      <c r="K46" s="8" t="s">
        <v>140</v>
      </c>
      <c r="L46" s="8" t="s">
        <v>37</v>
      </c>
      <c r="N46" s="42" t="s">
        <v>137</v>
      </c>
      <c r="O46" s="21"/>
      <c r="P46" s="42" t="s">
        <v>138</v>
      </c>
      <c r="Q46" s="21"/>
      <c r="R46" s="21"/>
      <c r="S46" s="7" t="s">
        <v>40</v>
      </c>
      <c r="T46" s="42" t="s">
        <v>41</v>
      </c>
      <c r="U46" s="21"/>
      <c r="V46" s="8" t="s">
        <v>57</v>
      </c>
      <c r="W46" s="8" t="s">
        <v>42</v>
      </c>
      <c r="X46" s="8" t="s">
        <v>141</v>
      </c>
      <c r="Y46" s="42" t="s">
        <v>60</v>
      </c>
      <c r="Z46" s="21"/>
      <c r="AA46" s="8" t="s">
        <v>46</v>
      </c>
      <c r="AB46" s="8" t="s">
        <v>47</v>
      </c>
      <c r="AC46" s="8" t="s">
        <v>61</v>
      </c>
      <c r="AD46" s="8" t="s">
        <v>64</v>
      </c>
      <c r="AE46" s="42" t="s">
        <v>49</v>
      </c>
      <c r="AF46" s="21"/>
      <c r="AG46" s="8" t="s">
        <v>41</v>
      </c>
      <c r="AH46" s="8" t="s">
        <v>63</v>
      </c>
    </row>
    <row r="47" spans="1:34" ht="16.5" customHeight="1" x14ac:dyDescent="0.25">
      <c r="A47" s="6" t="s">
        <v>31</v>
      </c>
      <c r="B47" s="44" t="s">
        <v>51</v>
      </c>
      <c r="C47" s="21"/>
      <c r="D47" s="21"/>
      <c r="E47" s="43" t="s">
        <v>33</v>
      </c>
      <c r="F47" s="21"/>
      <c r="G47" s="42" t="s">
        <v>52</v>
      </c>
      <c r="H47" s="21"/>
      <c r="I47" s="21"/>
      <c r="J47" s="7" t="s">
        <v>35</v>
      </c>
      <c r="K47" s="8" t="s">
        <v>65</v>
      </c>
      <c r="L47" s="8" t="s">
        <v>37</v>
      </c>
      <c r="N47" s="42" t="s">
        <v>142</v>
      </c>
      <c r="O47" s="21"/>
      <c r="P47" s="42" t="s">
        <v>143</v>
      </c>
      <c r="Q47" s="21"/>
      <c r="R47" s="21"/>
      <c r="S47" s="7" t="s">
        <v>40</v>
      </c>
      <c r="T47" s="42" t="s">
        <v>41</v>
      </c>
      <c r="U47" s="21"/>
      <c r="V47" s="8" t="s">
        <v>68</v>
      </c>
      <c r="W47" s="8" t="s">
        <v>42</v>
      </c>
      <c r="X47" s="8" t="s">
        <v>139</v>
      </c>
      <c r="Y47" s="42" t="s">
        <v>60</v>
      </c>
      <c r="Z47" s="21"/>
      <c r="AA47" s="8" t="s">
        <v>46</v>
      </c>
      <c r="AB47" s="8" t="s">
        <v>47</v>
      </c>
      <c r="AC47" s="8" t="s">
        <v>61</v>
      </c>
      <c r="AD47" s="8" t="s">
        <v>64</v>
      </c>
      <c r="AE47" s="42" t="s">
        <v>49</v>
      </c>
      <c r="AF47" s="21"/>
      <c r="AG47" s="8" t="s">
        <v>41</v>
      </c>
      <c r="AH47" s="8" t="s">
        <v>63</v>
      </c>
    </row>
    <row r="48" spans="1:34" ht="16.5" customHeight="1" x14ac:dyDescent="0.25">
      <c r="A48" s="6" t="s">
        <v>31</v>
      </c>
      <c r="B48" s="44" t="s">
        <v>51</v>
      </c>
      <c r="C48" s="21"/>
      <c r="D48" s="21"/>
      <c r="E48" s="43" t="s">
        <v>33</v>
      </c>
      <c r="F48" s="21"/>
      <c r="G48" s="42" t="s">
        <v>52</v>
      </c>
      <c r="H48" s="21"/>
      <c r="I48" s="21"/>
      <c r="J48" s="7" t="s">
        <v>35</v>
      </c>
      <c r="K48" s="8" t="s">
        <v>140</v>
      </c>
      <c r="L48" s="8" t="s">
        <v>37</v>
      </c>
      <c r="N48" s="42" t="s">
        <v>142</v>
      </c>
      <c r="O48" s="21"/>
      <c r="P48" s="42" t="s">
        <v>143</v>
      </c>
      <c r="Q48" s="21"/>
      <c r="R48" s="21"/>
      <c r="S48" s="7" t="s">
        <v>40</v>
      </c>
      <c r="T48" s="42" t="s">
        <v>41</v>
      </c>
      <c r="U48" s="21"/>
      <c r="V48" s="8" t="s">
        <v>57</v>
      </c>
      <c r="W48" s="8" t="s">
        <v>42</v>
      </c>
      <c r="X48" s="8" t="s">
        <v>141</v>
      </c>
      <c r="Y48" s="42" t="s">
        <v>60</v>
      </c>
      <c r="Z48" s="21"/>
      <c r="AA48" s="8" t="s">
        <v>46</v>
      </c>
      <c r="AB48" s="8" t="s">
        <v>47</v>
      </c>
      <c r="AC48" s="8" t="s">
        <v>61</v>
      </c>
      <c r="AD48" s="8" t="s">
        <v>64</v>
      </c>
      <c r="AE48" s="42" t="s">
        <v>49</v>
      </c>
      <c r="AF48" s="21"/>
      <c r="AG48" s="8" t="s">
        <v>41</v>
      </c>
      <c r="AH48" s="8" t="s">
        <v>63</v>
      </c>
    </row>
    <row r="49" spans="1:34" ht="16.5" customHeight="1" x14ac:dyDescent="0.25">
      <c r="A49" s="6" t="s">
        <v>31</v>
      </c>
      <c r="B49" s="44" t="s">
        <v>51</v>
      </c>
      <c r="C49" s="21"/>
      <c r="D49" s="21"/>
      <c r="E49" s="43" t="s">
        <v>33</v>
      </c>
      <c r="F49" s="21"/>
      <c r="G49" s="42" t="s">
        <v>52</v>
      </c>
      <c r="H49" s="21"/>
      <c r="I49" s="21"/>
      <c r="J49" s="7" t="s">
        <v>35</v>
      </c>
      <c r="K49" s="8" t="s">
        <v>65</v>
      </c>
      <c r="L49" s="8" t="s">
        <v>37</v>
      </c>
      <c r="N49" s="42" t="s">
        <v>144</v>
      </c>
      <c r="O49" s="21"/>
      <c r="P49" s="42" t="s">
        <v>145</v>
      </c>
      <c r="Q49" s="21"/>
      <c r="R49" s="21"/>
      <c r="S49" s="7" t="s">
        <v>40</v>
      </c>
      <c r="T49" s="42" t="s">
        <v>41</v>
      </c>
      <c r="U49" s="21"/>
      <c r="V49" s="8" t="s">
        <v>68</v>
      </c>
      <c r="W49" s="8" t="s">
        <v>42</v>
      </c>
      <c r="X49" s="8" t="s">
        <v>139</v>
      </c>
      <c r="Y49" s="42" t="s">
        <v>60</v>
      </c>
      <c r="Z49" s="21"/>
      <c r="AA49" s="8" t="s">
        <v>46</v>
      </c>
      <c r="AB49" s="8" t="s">
        <v>47</v>
      </c>
      <c r="AC49" s="8" t="s">
        <v>61</v>
      </c>
      <c r="AD49" s="8" t="s">
        <v>64</v>
      </c>
      <c r="AE49" s="42" t="s">
        <v>49</v>
      </c>
      <c r="AF49" s="21"/>
      <c r="AG49" s="8" t="s">
        <v>41</v>
      </c>
      <c r="AH49" s="8" t="s">
        <v>63</v>
      </c>
    </row>
    <row r="50" spans="1:34" ht="16.5" customHeight="1" x14ac:dyDescent="0.25">
      <c r="A50" s="6" t="s">
        <v>31</v>
      </c>
      <c r="B50" s="44" t="s">
        <v>51</v>
      </c>
      <c r="C50" s="21"/>
      <c r="D50" s="21"/>
      <c r="E50" s="43" t="s">
        <v>33</v>
      </c>
      <c r="F50" s="21"/>
      <c r="G50" s="42" t="s">
        <v>52</v>
      </c>
      <c r="H50" s="21"/>
      <c r="I50" s="21"/>
      <c r="J50" s="7" t="s">
        <v>35</v>
      </c>
      <c r="K50" s="8" t="s">
        <v>140</v>
      </c>
      <c r="L50" s="8" t="s">
        <v>37</v>
      </c>
      <c r="N50" s="42" t="s">
        <v>144</v>
      </c>
      <c r="O50" s="21"/>
      <c r="P50" s="42" t="s">
        <v>145</v>
      </c>
      <c r="Q50" s="21"/>
      <c r="R50" s="21"/>
      <c r="S50" s="7" t="s">
        <v>40</v>
      </c>
      <c r="T50" s="42" t="s">
        <v>41</v>
      </c>
      <c r="U50" s="21"/>
      <c r="V50" s="8" t="s">
        <v>57</v>
      </c>
      <c r="W50" s="8" t="s">
        <v>42</v>
      </c>
      <c r="X50" s="8" t="s">
        <v>141</v>
      </c>
      <c r="Y50" s="42" t="s">
        <v>60</v>
      </c>
      <c r="Z50" s="21"/>
      <c r="AA50" s="8" t="s">
        <v>46</v>
      </c>
      <c r="AB50" s="8" t="s">
        <v>47</v>
      </c>
      <c r="AC50" s="8" t="s">
        <v>61</v>
      </c>
      <c r="AD50" s="8" t="s">
        <v>64</v>
      </c>
      <c r="AE50" s="42" t="s">
        <v>49</v>
      </c>
      <c r="AF50" s="21"/>
      <c r="AG50" s="8" t="s">
        <v>41</v>
      </c>
      <c r="AH50" s="8" t="s">
        <v>63</v>
      </c>
    </row>
    <row r="51" spans="1:34" ht="16.5" customHeight="1" x14ac:dyDescent="0.25">
      <c r="A51" s="6" t="s">
        <v>31</v>
      </c>
      <c r="B51" s="44" t="s">
        <v>51</v>
      </c>
      <c r="C51" s="21"/>
      <c r="D51" s="21"/>
      <c r="E51" s="43" t="s">
        <v>33</v>
      </c>
      <c r="F51" s="21"/>
      <c r="G51" s="42" t="s">
        <v>52</v>
      </c>
      <c r="H51" s="21"/>
      <c r="I51" s="21"/>
      <c r="J51" s="7" t="s">
        <v>35</v>
      </c>
      <c r="K51" s="8" t="s">
        <v>65</v>
      </c>
      <c r="L51" s="8" t="s">
        <v>37</v>
      </c>
      <c r="N51" s="42" t="s">
        <v>146</v>
      </c>
      <c r="O51" s="21"/>
      <c r="P51" s="42" t="s">
        <v>147</v>
      </c>
      <c r="Q51" s="21"/>
      <c r="R51" s="21"/>
      <c r="S51" s="7" t="s">
        <v>40</v>
      </c>
      <c r="T51" s="42" t="s">
        <v>41</v>
      </c>
      <c r="U51" s="21"/>
      <c r="V51" s="8" t="s">
        <v>68</v>
      </c>
      <c r="W51" s="8" t="s">
        <v>42</v>
      </c>
      <c r="X51" s="8" t="s">
        <v>139</v>
      </c>
      <c r="Y51" s="42" t="s">
        <v>60</v>
      </c>
      <c r="Z51" s="21"/>
      <c r="AA51" s="8" t="s">
        <v>46</v>
      </c>
      <c r="AB51" s="8" t="s">
        <v>47</v>
      </c>
      <c r="AC51" s="8" t="s">
        <v>61</v>
      </c>
      <c r="AD51" s="8" t="s">
        <v>64</v>
      </c>
      <c r="AE51" s="42" t="s">
        <v>49</v>
      </c>
      <c r="AF51" s="21"/>
      <c r="AG51" s="8" t="s">
        <v>41</v>
      </c>
      <c r="AH51" s="8" t="s">
        <v>63</v>
      </c>
    </row>
    <row r="52" spans="1:34" ht="16.5" customHeight="1" x14ac:dyDescent="0.25">
      <c r="A52" s="6" t="s">
        <v>31</v>
      </c>
      <c r="B52" s="44" t="s">
        <v>51</v>
      </c>
      <c r="C52" s="21"/>
      <c r="D52" s="21"/>
      <c r="E52" s="43" t="s">
        <v>33</v>
      </c>
      <c r="F52" s="21"/>
      <c r="G52" s="42" t="s">
        <v>52</v>
      </c>
      <c r="H52" s="21"/>
      <c r="I52" s="21"/>
      <c r="J52" s="7" t="s">
        <v>35</v>
      </c>
      <c r="K52" s="8" t="s">
        <v>140</v>
      </c>
      <c r="L52" s="8" t="s">
        <v>37</v>
      </c>
      <c r="N52" s="42" t="s">
        <v>146</v>
      </c>
      <c r="O52" s="21"/>
      <c r="P52" s="42" t="s">
        <v>147</v>
      </c>
      <c r="Q52" s="21"/>
      <c r="R52" s="21"/>
      <c r="S52" s="7" t="s">
        <v>40</v>
      </c>
      <c r="T52" s="42" t="s">
        <v>41</v>
      </c>
      <c r="U52" s="21"/>
      <c r="V52" s="8" t="s">
        <v>57</v>
      </c>
      <c r="W52" s="8" t="s">
        <v>42</v>
      </c>
      <c r="X52" s="8" t="s">
        <v>141</v>
      </c>
      <c r="Y52" s="42" t="s">
        <v>60</v>
      </c>
      <c r="Z52" s="21"/>
      <c r="AA52" s="8" t="s">
        <v>46</v>
      </c>
      <c r="AB52" s="8" t="s">
        <v>47</v>
      </c>
      <c r="AC52" s="8" t="s">
        <v>61</v>
      </c>
      <c r="AD52" s="8" t="s">
        <v>64</v>
      </c>
      <c r="AE52" s="42" t="s">
        <v>49</v>
      </c>
      <c r="AF52" s="21"/>
      <c r="AG52" s="8" t="s">
        <v>41</v>
      </c>
      <c r="AH52" s="8" t="s">
        <v>63</v>
      </c>
    </row>
    <row r="53" spans="1:34" ht="16.5" customHeight="1" x14ac:dyDescent="0.25">
      <c r="A53" s="6" t="s">
        <v>31</v>
      </c>
      <c r="B53" s="44" t="s">
        <v>51</v>
      </c>
      <c r="C53" s="21"/>
      <c r="D53" s="21"/>
      <c r="E53" s="43" t="s">
        <v>33</v>
      </c>
      <c r="F53" s="21"/>
      <c r="G53" s="42" t="s">
        <v>52</v>
      </c>
      <c r="H53" s="21"/>
      <c r="I53" s="21"/>
      <c r="J53" s="7" t="s">
        <v>35</v>
      </c>
      <c r="K53" s="8" t="s">
        <v>140</v>
      </c>
      <c r="L53" s="8" t="s">
        <v>37</v>
      </c>
      <c r="N53" s="42" t="s">
        <v>148</v>
      </c>
      <c r="O53" s="21"/>
      <c r="P53" s="42" t="s">
        <v>149</v>
      </c>
      <c r="Q53" s="21"/>
      <c r="R53" s="21"/>
      <c r="S53" s="7" t="s">
        <v>40</v>
      </c>
      <c r="T53" s="42" t="s">
        <v>41</v>
      </c>
      <c r="U53" s="21"/>
      <c r="V53" s="8" t="s">
        <v>57</v>
      </c>
      <c r="W53" s="8" t="s">
        <v>42</v>
      </c>
      <c r="X53" s="8" t="s">
        <v>141</v>
      </c>
      <c r="Y53" s="42" t="s">
        <v>60</v>
      </c>
      <c r="Z53" s="21"/>
      <c r="AA53" s="8" t="s">
        <v>46</v>
      </c>
      <c r="AB53" s="8" t="s">
        <v>47</v>
      </c>
      <c r="AC53" s="8" t="s">
        <v>61</v>
      </c>
      <c r="AD53" s="8" t="s">
        <v>64</v>
      </c>
      <c r="AE53" s="42" t="s">
        <v>49</v>
      </c>
      <c r="AF53" s="21"/>
      <c r="AG53" s="8" t="s">
        <v>41</v>
      </c>
      <c r="AH53" s="8" t="s">
        <v>63</v>
      </c>
    </row>
    <row r="54" spans="1:34" ht="16.5" customHeight="1" x14ac:dyDescent="0.25">
      <c r="A54" s="6" t="s">
        <v>31</v>
      </c>
      <c r="B54" s="44" t="s">
        <v>51</v>
      </c>
      <c r="C54" s="21"/>
      <c r="D54" s="21"/>
      <c r="E54" s="43" t="s">
        <v>33</v>
      </c>
      <c r="F54" s="21"/>
      <c r="G54" s="42" t="s">
        <v>52</v>
      </c>
      <c r="H54" s="21"/>
      <c r="I54" s="21"/>
      <c r="J54" s="7" t="s">
        <v>35</v>
      </c>
      <c r="K54" s="8" t="s">
        <v>65</v>
      </c>
      <c r="L54" s="8" t="s">
        <v>37</v>
      </c>
      <c r="N54" s="42" t="s">
        <v>150</v>
      </c>
      <c r="O54" s="21"/>
      <c r="P54" s="42" t="s">
        <v>151</v>
      </c>
      <c r="Q54" s="21"/>
      <c r="R54" s="21"/>
      <c r="S54" s="7" t="s">
        <v>40</v>
      </c>
      <c r="T54" s="42" t="s">
        <v>41</v>
      </c>
      <c r="U54" s="21"/>
      <c r="V54" s="8" t="s">
        <v>68</v>
      </c>
      <c r="W54" s="8" t="s">
        <v>42</v>
      </c>
      <c r="X54" s="8" t="s">
        <v>139</v>
      </c>
      <c r="Y54" s="42" t="s">
        <v>60</v>
      </c>
      <c r="Z54" s="21"/>
      <c r="AA54" s="8" t="s">
        <v>46</v>
      </c>
      <c r="AB54" s="8" t="s">
        <v>47</v>
      </c>
      <c r="AC54" s="8" t="s">
        <v>61</v>
      </c>
      <c r="AD54" s="8" t="s">
        <v>64</v>
      </c>
      <c r="AE54" s="42" t="s">
        <v>49</v>
      </c>
      <c r="AF54" s="21"/>
      <c r="AG54" s="8" t="s">
        <v>41</v>
      </c>
      <c r="AH54" s="8" t="s">
        <v>63</v>
      </c>
    </row>
    <row r="55" spans="1:34" ht="16.5" customHeight="1" x14ac:dyDescent="0.25">
      <c r="A55" s="6" t="s">
        <v>31</v>
      </c>
      <c r="B55" s="44" t="s">
        <v>51</v>
      </c>
      <c r="C55" s="21"/>
      <c r="D55" s="21"/>
      <c r="E55" s="43" t="s">
        <v>33</v>
      </c>
      <c r="F55" s="21"/>
      <c r="G55" s="42" t="s">
        <v>52</v>
      </c>
      <c r="H55" s="21"/>
      <c r="I55" s="21"/>
      <c r="J55" s="7" t="s">
        <v>35</v>
      </c>
      <c r="K55" s="8" t="s">
        <v>140</v>
      </c>
      <c r="L55" s="8" t="s">
        <v>37</v>
      </c>
      <c r="N55" s="42" t="s">
        <v>150</v>
      </c>
      <c r="O55" s="21"/>
      <c r="P55" s="42" t="s">
        <v>151</v>
      </c>
      <c r="Q55" s="21"/>
      <c r="R55" s="21"/>
      <c r="S55" s="7" t="s">
        <v>40</v>
      </c>
      <c r="T55" s="42" t="s">
        <v>41</v>
      </c>
      <c r="U55" s="21"/>
      <c r="V55" s="8" t="s">
        <v>57</v>
      </c>
      <c r="W55" s="8" t="s">
        <v>42</v>
      </c>
      <c r="X55" s="8" t="s">
        <v>141</v>
      </c>
      <c r="Y55" s="42" t="s">
        <v>60</v>
      </c>
      <c r="Z55" s="21"/>
      <c r="AA55" s="8" t="s">
        <v>46</v>
      </c>
      <c r="AB55" s="8" t="s">
        <v>47</v>
      </c>
      <c r="AC55" s="8" t="s">
        <v>61</v>
      </c>
      <c r="AD55" s="8" t="s">
        <v>64</v>
      </c>
      <c r="AE55" s="42" t="s">
        <v>49</v>
      </c>
      <c r="AF55" s="21"/>
      <c r="AG55" s="8" t="s">
        <v>41</v>
      </c>
      <c r="AH55" s="8" t="s">
        <v>63</v>
      </c>
    </row>
    <row r="56" spans="1:34" ht="16.5" customHeight="1" x14ac:dyDescent="0.25">
      <c r="A56" s="6" t="s">
        <v>31</v>
      </c>
      <c r="B56" s="44" t="s">
        <v>51</v>
      </c>
      <c r="C56" s="21"/>
      <c r="D56" s="21"/>
      <c r="E56" s="43" t="s">
        <v>33</v>
      </c>
      <c r="F56" s="21"/>
      <c r="G56" s="42" t="s">
        <v>52</v>
      </c>
      <c r="H56" s="21"/>
      <c r="I56" s="21"/>
      <c r="J56" s="7" t="s">
        <v>35</v>
      </c>
      <c r="K56" s="8" t="s">
        <v>65</v>
      </c>
      <c r="L56" s="8" t="s">
        <v>37</v>
      </c>
      <c r="N56" s="42" t="s">
        <v>152</v>
      </c>
      <c r="O56" s="21"/>
      <c r="P56" s="42" t="s">
        <v>153</v>
      </c>
      <c r="Q56" s="21"/>
      <c r="R56" s="21"/>
      <c r="S56" s="7" t="s">
        <v>40</v>
      </c>
      <c r="T56" s="42" t="s">
        <v>41</v>
      </c>
      <c r="U56" s="21"/>
      <c r="V56" s="8" t="s">
        <v>68</v>
      </c>
      <c r="W56" s="8" t="s">
        <v>42</v>
      </c>
      <c r="X56" s="8" t="s">
        <v>139</v>
      </c>
      <c r="Y56" s="42" t="s">
        <v>60</v>
      </c>
      <c r="Z56" s="21"/>
      <c r="AA56" s="8" t="s">
        <v>46</v>
      </c>
      <c r="AB56" s="8" t="s">
        <v>47</v>
      </c>
      <c r="AC56" s="8" t="s">
        <v>61</v>
      </c>
      <c r="AD56" s="8" t="s">
        <v>64</v>
      </c>
      <c r="AE56" s="42" t="s">
        <v>49</v>
      </c>
      <c r="AF56" s="21"/>
      <c r="AG56" s="8" t="s">
        <v>41</v>
      </c>
      <c r="AH56" s="8" t="s">
        <v>63</v>
      </c>
    </row>
    <row r="57" spans="1:34" ht="16.5" customHeight="1" x14ac:dyDescent="0.25">
      <c r="A57" s="6" t="s">
        <v>31</v>
      </c>
      <c r="B57" s="44" t="s">
        <v>51</v>
      </c>
      <c r="C57" s="21"/>
      <c r="D57" s="21"/>
      <c r="E57" s="43" t="s">
        <v>33</v>
      </c>
      <c r="F57" s="21"/>
      <c r="G57" s="42" t="s">
        <v>52</v>
      </c>
      <c r="H57" s="21"/>
      <c r="I57" s="21"/>
      <c r="J57" s="7" t="s">
        <v>35</v>
      </c>
      <c r="K57" s="8" t="s">
        <v>140</v>
      </c>
      <c r="L57" s="8" t="s">
        <v>37</v>
      </c>
      <c r="N57" s="42" t="s">
        <v>152</v>
      </c>
      <c r="O57" s="21"/>
      <c r="P57" s="42" t="s">
        <v>153</v>
      </c>
      <c r="Q57" s="21"/>
      <c r="R57" s="21"/>
      <c r="S57" s="7" t="s">
        <v>40</v>
      </c>
      <c r="T57" s="42" t="s">
        <v>41</v>
      </c>
      <c r="U57" s="21"/>
      <c r="V57" s="8" t="s">
        <v>57</v>
      </c>
      <c r="W57" s="8" t="s">
        <v>42</v>
      </c>
      <c r="X57" s="8" t="s">
        <v>141</v>
      </c>
      <c r="Y57" s="42" t="s">
        <v>60</v>
      </c>
      <c r="Z57" s="21"/>
      <c r="AA57" s="8" t="s">
        <v>46</v>
      </c>
      <c r="AB57" s="8" t="s">
        <v>47</v>
      </c>
      <c r="AC57" s="8" t="s">
        <v>61</v>
      </c>
      <c r="AD57" s="8" t="s">
        <v>64</v>
      </c>
      <c r="AE57" s="42" t="s">
        <v>49</v>
      </c>
      <c r="AF57" s="21"/>
      <c r="AG57" s="8" t="s">
        <v>41</v>
      </c>
      <c r="AH57" s="8" t="s">
        <v>63</v>
      </c>
    </row>
    <row r="58" spans="1:34" ht="16.5" customHeight="1" x14ac:dyDescent="0.25">
      <c r="A58" s="6" t="s">
        <v>31</v>
      </c>
      <c r="B58" s="44" t="s">
        <v>51</v>
      </c>
      <c r="C58" s="21"/>
      <c r="D58" s="21"/>
      <c r="E58" s="43" t="s">
        <v>33</v>
      </c>
      <c r="F58" s="21"/>
      <c r="G58" s="42" t="s">
        <v>52</v>
      </c>
      <c r="H58" s="21"/>
      <c r="I58" s="21"/>
      <c r="J58" s="7" t="s">
        <v>35</v>
      </c>
      <c r="K58" s="8" t="s">
        <v>78</v>
      </c>
      <c r="L58" s="8" t="s">
        <v>37</v>
      </c>
      <c r="N58" s="42" t="s">
        <v>154</v>
      </c>
      <c r="O58" s="21"/>
      <c r="P58" s="42" t="s">
        <v>155</v>
      </c>
      <c r="Q58" s="21"/>
      <c r="R58" s="21"/>
      <c r="S58" s="7" t="s">
        <v>40</v>
      </c>
      <c r="T58" s="42" t="s">
        <v>41</v>
      </c>
      <c r="U58" s="21"/>
      <c r="V58" s="8" t="s">
        <v>68</v>
      </c>
      <c r="W58" s="8" t="s">
        <v>42</v>
      </c>
      <c r="X58" s="8" t="s">
        <v>139</v>
      </c>
      <c r="Y58" s="42" t="s">
        <v>60</v>
      </c>
      <c r="Z58" s="21"/>
      <c r="AA58" s="8" t="s">
        <v>46</v>
      </c>
      <c r="AB58" s="8" t="s">
        <v>47</v>
      </c>
      <c r="AC58" s="8" t="s">
        <v>61</v>
      </c>
      <c r="AD58" s="8" t="s">
        <v>64</v>
      </c>
      <c r="AE58" s="42" t="s">
        <v>49</v>
      </c>
      <c r="AF58" s="21"/>
      <c r="AG58" s="8" t="s">
        <v>41</v>
      </c>
      <c r="AH58" s="8" t="s">
        <v>63</v>
      </c>
    </row>
    <row r="59" spans="1:34" ht="16.5" customHeight="1" x14ac:dyDescent="0.25">
      <c r="A59" s="6" t="s">
        <v>31</v>
      </c>
      <c r="B59" s="44" t="s">
        <v>51</v>
      </c>
      <c r="C59" s="21"/>
      <c r="D59" s="21"/>
      <c r="E59" s="43" t="s">
        <v>33</v>
      </c>
      <c r="F59" s="21"/>
      <c r="G59" s="42" t="s">
        <v>52</v>
      </c>
      <c r="H59" s="21"/>
      <c r="I59" s="21"/>
      <c r="J59" s="7" t="s">
        <v>35</v>
      </c>
      <c r="K59" s="8" t="s">
        <v>78</v>
      </c>
      <c r="L59" s="8" t="s">
        <v>37</v>
      </c>
      <c r="N59" s="42" t="s">
        <v>154</v>
      </c>
      <c r="O59" s="21"/>
      <c r="P59" s="42" t="s">
        <v>155</v>
      </c>
      <c r="Q59" s="21"/>
      <c r="R59" s="21"/>
      <c r="S59" s="7" t="s">
        <v>40</v>
      </c>
      <c r="T59" s="42" t="s">
        <v>41</v>
      </c>
      <c r="U59" s="21"/>
      <c r="V59" s="8" t="s">
        <v>57</v>
      </c>
      <c r="W59" s="8" t="s">
        <v>42</v>
      </c>
      <c r="X59" s="8" t="s">
        <v>141</v>
      </c>
      <c r="Y59" s="42" t="s">
        <v>60</v>
      </c>
      <c r="Z59" s="21"/>
      <c r="AA59" s="8" t="s">
        <v>46</v>
      </c>
      <c r="AB59" s="8" t="s">
        <v>47</v>
      </c>
      <c r="AC59" s="8" t="s">
        <v>61</v>
      </c>
      <c r="AD59" s="8" t="s">
        <v>64</v>
      </c>
      <c r="AE59" s="42" t="s">
        <v>49</v>
      </c>
      <c r="AF59" s="21"/>
      <c r="AG59" s="8" t="s">
        <v>41</v>
      </c>
      <c r="AH59" s="8" t="s">
        <v>63</v>
      </c>
    </row>
    <row r="60" spans="1:34" ht="16.5" customHeight="1" x14ac:dyDescent="0.25">
      <c r="A60" s="6" t="s">
        <v>31</v>
      </c>
      <c r="B60" s="44" t="s">
        <v>51</v>
      </c>
      <c r="C60" s="21"/>
      <c r="D60" s="21"/>
      <c r="E60" s="43" t="s">
        <v>33</v>
      </c>
      <c r="F60" s="21"/>
      <c r="G60" s="42" t="s">
        <v>52</v>
      </c>
      <c r="H60" s="21"/>
      <c r="I60" s="21"/>
      <c r="J60" s="7" t="s">
        <v>35</v>
      </c>
      <c r="K60" s="8" t="s">
        <v>65</v>
      </c>
      <c r="L60" s="8" t="s">
        <v>37</v>
      </c>
      <c r="N60" s="42" t="s">
        <v>156</v>
      </c>
      <c r="O60" s="21"/>
      <c r="P60" s="42" t="s">
        <v>157</v>
      </c>
      <c r="Q60" s="21"/>
      <c r="R60" s="21"/>
      <c r="S60" s="7" t="s">
        <v>40</v>
      </c>
      <c r="T60" s="42" t="s">
        <v>41</v>
      </c>
      <c r="U60" s="21"/>
      <c r="V60" s="8" t="s">
        <v>68</v>
      </c>
      <c r="W60" s="8" t="s">
        <v>57</v>
      </c>
      <c r="X60" s="8" t="s">
        <v>141</v>
      </c>
      <c r="Y60" s="42" t="s">
        <v>60</v>
      </c>
      <c r="Z60" s="21"/>
      <c r="AA60" s="8" t="s">
        <v>46</v>
      </c>
      <c r="AB60" s="8" t="s">
        <v>47</v>
      </c>
      <c r="AC60" s="8" t="s">
        <v>61</v>
      </c>
      <c r="AD60" s="8" t="s">
        <v>64</v>
      </c>
      <c r="AE60" s="42" t="s">
        <v>49</v>
      </c>
      <c r="AF60" s="21"/>
      <c r="AG60" s="8" t="s">
        <v>41</v>
      </c>
      <c r="AH60" s="8" t="s">
        <v>63</v>
      </c>
    </row>
    <row r="61" spans="1:34" ht="16.5" customHeight="1" x14ac:dyDescent="0.25">
      <c r="A61" s="6" t="s">
        <v>31</v>
      </c>
      <c r="B61" s="44" t="s">
        <v>51</v>
      </c>
      <c r="C61" s="21"/>
      <c r="D61" s="21"/>
      <c r="E61" s="43" t="s">
        <v>33</v>
      </c>
      <c r="F61" s="21"/>
      <c r="G61" s="42" t="s">
        <v>52</v>
      </c>
      <c r="H61" s="21"/>
      <c r="I61" s="21"/>
      <c r="J61" s="7" t="s">
        <v>35</v>
      </c>
      <c r="K61" s="8" t="s">
        <v>65</v>
      </c>
      <c r="L61" s="8" t="s">
        <v>37</v>
      </c>
      <c r="N61" s="42" t="s">
        <v>158</v>
      </c>
      <c r="O61" s="21"/>
      <c r="P61" s="42" t="s">
        <v>159</v>
      </c>
      <c r="Q61" s="21"/>
      <c r="R61" s="21"/>
      <c r="S61" s="7" t="s">
        <v>40</v>
      </c>
      <c r="T61" s="42" t="s">
        <v>41</v>
      </c>
      <c r="U61" s="21"/>
      <c r="V61" s="8" t="s">
        <v>68</v>
      </c>
      <c r="W61" s="8" t="s">
        <v>57</v>
      </c>
      <c r="X61" s="8" t="s">
        <v>141</v>
      </c>
      <c r="Y61" s="42" t="s">
        <v>60</v>
      </c>
      <c r="Z61" s="21"/>
      <c r="AA61" s="8" t="s">
        <v>46</v>
      </c>
      <c r="AB61" s="8" t="s">
        <v>47</v>
      </c>
      <c r="AC61" s="8" t="s">
        <v>61</v>
      </c>
      <c r="AD61" s="8" t="s">
        <v>64</v>
      </c>
      <c r="AE61" s="42" t="s">
        <v>49</v>
      </c>
      <c r="AF61" s="21"/>
      <c r="AG61" s="8" t="s">
        <v>41</v>
      </c>
      <c r="AH61" s="8" t="s">
        <v>63</v>
      </c>
    </row>
    <row r="62" spans="1:34" ht="16.5" customHeight="1" x14ac:dyDescent="0.25">
      <c r="A62" s="6" t="s">
        <v>31</v>
      </c>
      <c r="B62" s="44" t="s">
        <v>51</v>
      </c>
      <c r="C62" s="21"/>
      <c r="D62" s="21"/>
      <c r="E62" s="43" t="s">
        <v>33</v>
      </c>
      <c r="F62" s="21"/>
      <c r="G62" s="42" t="s">
        <v>52</v>
      </c>
      <c r="H62" s="21"/>
      <c r="I62" s="21"/>
      <c r="J62" s="7" t="s">
        <v>35</v>
      </c>
      <c r="K62" s="8" t="s">
        <v>160</v>
      </c>
      <c r="L62" s="8" t="s">
        <v>37</v>
      </c>
      <c r="N62" s="42" t="s">
        <v>161</v>
      </c>
      <c r="O62" s="21"/>
      <c r="P62" s="42" t="s">
        <v>162</v>
      </c>
      <c r="Q62" s="21"/>
      <c r="R62" s="21"/>
      <c r="S62" s="7" t="s">
        <v>40</v>
      </c>
      <c r="T62" s="42" t="s">
        <v>41</v>
      </c>
      <c r="U62" s="21"/>
      <c r="V62" s="8" t="s">
        <v>68</v>
      </c>
      <c r="W62" s="8" t="s">
        <v>58</v>
      </c>
      <c r="X62" s="8" t="s">
        <v>89</v>
      </c>
      <c r="Y62" s="42" t="s">
        <v>60</v>
      </c>
      <c r="Z62" s="21"/>
      <c r="AA62" s="8" t="s">
        <v>46</v>
      </c>
      <c r="AB62" s="8" t="s">
        <v>47</v>
      </c>
      <c r="AC62" s="8" t="s">
        <v>61</v>
      </c>
      <c r="AD62" s="8" t="s">
        <v>64</v>
      </c>
      <c r="AE62" s="42" t="s">
        <v>49</v>
      </c>
      <c r="AF62" s="21"/>
      <c r="AG62" s="8" t="s">
        <v>41</v>
      </c>
      <c r="AH62" s="8" t="s">
        <v>63</v>
      </c>
    </row>
    <row r="63" spans="1:34" ht="375.75" customHeight="1" x14ac:dyDescent="0.25"/>
    <row r="64" spans="1:34" ht="12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82"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B58:D58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B56:D56"/>
    <mergeCell ref="B53:D53"/>
    <mergeCell ref="E53:F53"/>
    <mergeCell ref="G53:I53"/>
    <mergeCell ref="N53:O53"/>
    <mergeCell ref="P53:R53"/>
    <mergeCell ref="T53:U53"/>
    <mergeCell ref="E54:F54"/>
    <mergeCell ref="G54:I54"/>
    <mergeCell ref="N54:O54"/>
    <mergeCell ref="P54:R54"/>
    <mergeCell ref="T54:U54"/>
    <mergeCell ref="B54:D54"/>
    <mergeCell ref="Y25:Z25"/>
    <mergeCell ref="AE25:AF25"/>
    <mergeCell ref="B62:D62"/>
    <mergeCell ref="E62:F62"/>
    <mergeCell ref="G62:I62"/>
    <mergeCell ref="N62:O62"/>
    <mergeCell ref="P62:R62"/>
    <mergeCell ref="T62:U62"/>
    <mergeCell ref="Y62:Z62"/>
    <mergeCell ref="AE62:AF6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B60:D60"/>
    <mergeCell ref="B61:D61"/>
    <mergeCell ref="E61:F61"/>
    <mergeCell ref="G61:I61"/>
    <mergeCell ref="N61:O61"/>
    <mergeCell ref="P61:R61"/>
    <mergeCell ref="T61:U61"/>
    <mergeCell ref="E20:F20"/>
    <mergeCell ref="G20:I20"/>
    <mergeCell ref="N20:O20"/>
    <mergeCell ref="P20:R20"/>
    <mergeCell ref="T20:U20"/>
    <mergeCell ref="E22:F22"/>
    <mergeCell ref="G22:I22"/>
    <mergeCell ref="N22:O22"/>
    <mergeCell ref="P22:R22"/>
    <mergeCell ref="T22:U22"/>
    <mergeCell ref="B22:D22"/>
    <mergeCell ref="B23:D23"/>
    <mergeCell ref="E23:F23"/>
    <mergeCell ref="G23:I23"/>
    <mergeCell ref="N23:O23"/>
    <mergeCell ref="P23:R23"/>
    <mergeCell ref="T23:U23"/>
    <mergeCell ref="AE51:AF51"/>
    <mergeCell ref="E52:F52"/>
    <mergeCell ref="G52:I52"/>
    <mergeCell ref="N52:O52"/>
    <mergeCell ref="P52:R52"/>
    <mergeCell ref="T52:U52"/>
    <mergeCell ref="AE52:AF52"/>
    <mergeCell ref="Y61:Z61"/>
    <mergeCell ref="AE61:AF61"/>
    <mergeCell ref="Y53:Z53"/>
    <mergeCell ref="AE53:AF53"/>
    <mergeCell ref="Y54:Z54"/>
    <mergeCell ref="AE54:AF54"/>
    <mergeCell ref="Y57:Z57"/>
    <mergeCell ref="AE57:AF57"/>
    <mergeCell ref="Y58:Z58"/>
    <mergeCell ref="AE58:AF58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B52:D52"/>
    <mergeCell ref="Y48:Z48"/>
    <mergeCell ref="AE47:AF47"/>
    <mergeCell ref="E48:F48"/>
    <mergeCell ref="G48:I48"/>
    <mergeCell ref="N48:O48"/>
    <mergeCell ref="P48:R48"/>
    <mergeCell ref="T48:U48"/>
    <mergeCell ref="AE48:AF48"/>
    <mergeCell ref="Y49:Z49"/>
    <mergeCell ref="AE49:AF49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Y38:Z38"/>
    <mergeCell ref="AE38:AF38"/>
    <mergeCell ref="B38:D38"/>
    <mergeCell ref="B39:D39"/>
    <mergeCell ref="E39:F39"/>
    <mergeCell ref="G39:I39"/>
    <mergeCell ref="N39:O39"/>
    <mergeCell ref="P39:R39"/>
    <mergeCell ref="T39:U39"/>
    <mergeCell ref="Y39:Z39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B32:D32"/>
    <mergeCell ref="B33:D33"/>
    <mergeCell ref="E33:F33"/>
    <mergeCell ref="G33:I33"/>
    <mergeCell ref="N33:O33"/>
    <mergeCell ref="P33:R33"/>
    <mergeCell ref="T33:U33"/>
    <mergeCell ref="E34:F34"/>
    <mergeCell ref="G34:I34"/>
    <mergeCell ref="N34:O34"/>
    <mergeCell ref="P34:R34"/>
    <mergeCell ref="T34:U34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28:Z28"/>
    <mergeCell ref="AE27:AF27"/>
    <mergeCell ref="E28:F28"/>
    <mergeCell ref="G28:I28"/>
    <mergeCell ref="N28:O28"/>
    <mergeCell ref="P28:R28"/>
    <mergeCell ref="T28:U28"/>
    <mergeCell ref="AE28:AF28"/>
    <mergeCell ref="Y29:Z29"/>
    <mergeCell ref="AE29:AF29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Y22:Z22"/>
    <mergeCell ref="AE22:AF22"/>
    <mergeCell ref="Y23:Z23"/>
    <mergeCell ref="AE23:AF23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</mergeCells>
  <pageMargins left="0.25" right="0.33333333333333298" top="0.33333333333333298" bottom="0.25" header="0" footer="0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944"/>
  <sheetViews>
    <sheetView tabSelected="1" topLeftCell="B13" workbookViewId="0">
      <selection activeCell="F39" sqref="F39"/>
    </sheetView>
  </sheetViews>
  <sheetFormatPr defaultColWidth="12.6640625" defaultRowHeight="15" customHeight="1" x14ac:dyDescent="0.25"/>
  <cols>
    <col min="1" max="1" width="10.88671875" customWidth="1"/>
    <col min="2" max="2" width="27.109375" customWidth="1"/>
    <col min="3" max="3" width="16.44140625" customWidth="1"/>
    <col min="4" max="5" width="17.44140625" customWidth="1"/>
    <col min="6" max="7" width="11.33203125" customWidth="1"/>
    <col min="8" max="8" width="17.21875" customWidth="1"/>
    <col min="9" max="9" width="16.88671875" customWidth="1"/>
    <col min="10" max="11" width="12.44140625" customWidth="1"/>
    <col min="12" max="13" width="13.33203125" customWidth="1"/>
    <col min="14" max="14" width="11" customWidth="1"/>
    <col min="15" max="15" width="9.33203125" customWidth="1"/>
    <col min="16" max="16" width="15.21875" customWidth="1"/>
    <col min="17" max="18" width="16.109375" customWidth="1"/>
  </cols>
  <sheetData>
    <row r="1" spans="1:18" ht="13.2" x14ac:dyDescent="0.25">
      <c r="A1" s="9" t="s">
        <v>9</v>
      </c>
      <c r="B1" s="10"/>
      <c r="C1" s="10"/>
      <c r="D1" s="11" t="s">
        <v>15</v>
      </c>
      <c r="E1" s="10"/>
      <c r="F1" s="12" t="s">
        <v>16</v>
      </c>
      <c r="G1" s="13"/>
      <c r="H1" s="10" t="s">
        <v>17</v>
      </c>
      <c r="I1" s="10" t="s">
        <v>19</v>
      </c>
      <c r="J1" s="10" t="s">
        <v>20</v>
      </c>
      <c r="K1" s="10"/>
      <c r="L1" s="14" t="s">
        <v>21</v>
      </c>
      <c r="M1" s="10"/>
      <c r="N1" s="10" t="s">
        <v>23</v>
      </c>
      <c r="O1" s="11"/>
      <c r="P1" s="11" t="s">
        <v>25</v>
      </c>
      <c r="Q1" s="11" t="s">
        <v>26</v>
      </c>
      <c r="R1" s="15" t="s">
        <v>27</v>
      </c>
    </row>
    <row r="2" spans="1:18" ht="13.2" x14ac:dyDescent="0.25">
      <c r="A2" s="2" t="s">
        <v>31</v>
      </c>
      <c r="B2" s="4" t="s">
        <v>34</v>
      </c>
      <c r="C2" s="4" t="str">
        <f t="shared" ref="C2:C45" si="0">MID(B2, FIND("-SU-", B2) + 4, LEN(B2))</f>
        <v>BARRY L SCHUMANN</v>
      </c>
      <c r="D2" s="4" t="s">
        <v>37</v>
      </c>
      <c r="E2" s="4"/>
      <c r="F2" s="16">
        <v>804175217</v>
      </c>
      <c r="G2" s="16"/>
      <c r="H2" s="4" t="s">
        <v>39</v>
      </c>
      <c r="I2" s="4" t="s">
        <v>41</v>
      </c>
      <c r="J2" s="4" t="s">
        <v>42</v>
      </c>
      <c r="K2" s="4" t="str">
        <f t="shared" ref="K2:K45" si="1">TEXT(DATE(LEFT(J2,4), MID(J2,5,2), RIGHT(J2,2)), "M/d/yyyy")</f>
        <v>2/1/2026</v>
      </c>
      <c r="L2" s="4" t="s">
        <v>43</v>
      </c>
      <c r="M2" s="4" t="str">
        <f t="shared" ref="M2:M45" si="2">TEXT(DATE(LEFT(L2,4), MID(L2,5,2), RIGHT(L2,2)), "M/d/yyyy")</f>
        <v>1/1/2025</v>
      </c>
      <c r="N2" s="4" t="s">
        <v>45</v>
      </c>
      <c r="O2" s="4"/>
      <c r="P2" s="4" t="s">
        <v>47</v>
      </c>
      <c r="Q2" s="5"/>
      <c r="R2" s="17">
        <v>26.08</v>
      </c>
    </row>
    <row r="3" spans="1:18" ht="13.2" x14ac:dyDescent="0.25">
      <c r="A3" s="6" t="s">
        <v>31</v>
      </c>
      <c r="B3" s="8" t="s">
        <v>52</v>
      </c>
      <c r="C3" s="8" t="str">
        <f t="shared" si="0"/>
        <v>THOMAS PARDUE</v>
      </c>
      <c r="D3" s="8" t="s">
        <v>54</v>
      </c>
      <c r="E3" s="8"/>
      <c r="F3" s="18">
        <v>926755746</v>
      </c>
      <c r="G3" s="18" t="e">
        <f t="shared" ref="G3:G45" ca="1" si="3">_xludf.concat(F3,1)</f>
        <v>#NAME?</v>
      </c>
      <c r="H3" s="8" t="s">
        <v>56</v>
      </c>
      <c r="I3" s="8" t="s">
        <v>41</v>
      </c>
      <c r="J3" s="8" t="s">
        <v>57</v>
      </c>
      <c r="K3" s="8" t="str">
        <f t="shared" si="1"/>
        <v>3/1/2026</v>
      </c>
      <c r="L3" s="8" t="s">
        <v>58</v>
      </c>
      <c r="M3" s="8" t="str">
        <f t="shared" si="2"/>
        <v>6/1/2025</v>
      </c>
      <c r="N3" s="8" t="s">
        <v>60</v>
      </c>
      <c r="O3" s="8"/>
      <c r="P3" s="8" t="s">
        <v>47</v>
      </c>
      <c r="Q3" s="8" t="s">
        <v>61</v>
      </c>
      <c r="R3" s="19">
        <v>-23</v>
      </c>
    </row>
    <row r="4" spans="1:18" ht="13.2" x14ac:dyDescent="0.25">
      <c r="A4" s="6" t="s">
        <v>31</v>
      </c>
      <c r="B4" s="8" t="s">
        <v>52</v>
      </c>
      <c r="C4" s="8" t="str">
        <f t="shared" si="0"/>
        <v>THOMAS PARDUE</v>
      </c>
      <c r="D4" s="8" t="s">
        <v>37</v>
      </c>
      <c r="E4" s="8"/>
      <c r="F4" s="18">
        <v>926755746</v>
      </c>
      <c r="G4" s="18" t="e">
        <f t="shared" ca="1" si="3"/>
        <v>#NAME?</v>
      </c>
      <c r="H4" s="8" t="s">
        <v>56</v>
      </c>
      <c r="I4" s="8" t="s">
        <v>41</v>
      </c>
      <c r="J4" s="8" t="s">
        <v>57</v>
      </c>
      <c r="K4" s="8" t="str">
        <f t="shared" si="1"/>
        <v>3/1/2026</v>
      </c>
      <c r="L4" s="8" t="s">
        <v>58</v>
      </c>
      <c r="M4" s="8" t="str">
        <f t="shared" si="2"/>
        <v>6/1/2025</v>
      </c>
      <c r="N4" s="8" t="s">
        <v>60</v>
      </c>
      <c r="O4" s="8"/>
      <c r="P4" s="8" t="s">
        <v>47</v>
      </c>
      <c r="Q4" s="8" t="s">
        <v>61</v>
      </c>
      <c r="R4" s="19">
        <v>23</v>
      </c>
    </row>
    <row r="5" spans="1:18" ht="13.2" x14ac:dyDescent="0.25">
      <c r="A5" s="6" t="s">
        <v>31</v>
      </c>
      <c r="B5" s="8" t="s">
        <v>52</v>
      </c>
      <c r="C5" s="8" t="str">
        <f t="shared" si="0"/>
        <v>THOMAS PARDUE</v>
      </c>
      <c r="D5" s="8" t="s">
        <v>37</v>
      </c>
      <c r="E5" s="8"/>
      <c r="F5" s="18">
        <v>926769781</v>
      </c>
      <c r="G5" s="18" t="e">
        <f t="shared" ca="1" si="3"/>
        <v>#NAME?</v>
      </c>
      <c r="H5" s="8" t="s">
        <v>67</v>
      </c>
      <c r="I5" s="8" t="s">
        <v>41</v>
      </c>
      <c r="J5" s="8" t="s">
        <v>68</v>
      </c>
      <c r="K5" s="8" t="str">
        <f t="shared" si="1"/>
        <v>4/1/2026</v>
      </c>
      <c r="L5" s="8" t="s">
        <v>69</v>
      </c>
      <c r="M5" s="8" t="str">
        <f t="shared" si="2"/>
        <v>1/1/2026</v>
      </c>
      <c r="N5" s="8" t="s">
        <v>60</v>
      </c>
      <c r="O5" s="8"/>
      <c r="P5" s="8" t="s">
        <v>47</v>
      </c>
      <c r="Q5" s="8" t="s">
        <v>61</v>
      </c>
      <c r="R5" s="19">
        <v>23</v>
      </c>
    </row>
    <row r="6" spans="1:18" ht="13.2" x14ac:dyDescent="0.25">
      <c r="A6" s="6" t="s">
        <v>31</v>
      </c>
      <c r="B6" s="8" t="s">
        <v>52</v>
      </c>
      <c r="C6" s="8" t="str">
        <f t="shared" si="0"/>
        <v>THOMAS PARDUE</v>
      </c>
      <c r="D6" s="8" t="s">
        <v>72</v>
      </c>
      <c r="E6" s="8" t="str">
        <f>IF(D6&gt;1,"[PMPM="&amp;D6&amp;"]","")</f>
        <v>[PMPM=2]</v>
      </c>
      <c r="F6" s="18">
        <v>926804632</v>
      </c>
      <c r="G6" s="18" t="e">
        <f t="shared" ca="1" si="3"/>
        <v>#NAME?</v>
      </c>
      <c r="H6" s="8" t="s">
        <v>74</v>
      </c>
      <c r="I6" s="8" t="s">
        <v>41</v>
      </c>
      <c r="J6" s="8" t="s">
        <v>68</v>
      </c>
      <c r="K6" s="8" t="str">
        <f t="shared" si="1"/>
        <v>4/1/2026</v>
      </c>
      <c r="L6" s="8" t="s">
        <v>75</v>
      </c>
      <c r="M6" s="8" t="str">
        <f t="shared" si="2"/>
        <v>2/1/2025</v>
      </c>
      <c r="N6" s="8" t="s">
        <v>60</v>
      </c>
      <c r="O6" s="8"/>
      <c r="P6" s="8" t="s">
        <v>47</v>
      </c>
      <c r="Q6" s="8" t="s">
        <v>61</v>
      </c>
      <c r="R6" s="19">
        <v>46</v>
      </c>
    </row>
    <row r="7" spans="1:18" ht="13.2" x14ac:dyDescent="0.25">
      <c r="A7" s="6" t="s">
        <v>31</v>
      </c>
      <c r="B7" s="8" t="s">
        <v>52</v>
      </c>
      <c r="C7" s="8" t="str">
        <f t="shared" si="0"/>
        <v>THOMAS PARDUE</v>
      </c>
      <c r="D7" s="8" t="s">
        <v>37</v>
      </c>
      <c r="E7" s="8"/>
      <c r="F7" s="18">
        <v>926805539</v>
      </c>
      <c r="G7" s="18" t="e">
        <f t="shared" ca="1" si="3"/>
        <v>#NAME?</v>
      </c>
      <c r="H7" s="8" t="s">
        <v>80</v>
      </c>
      <c r="I7" s="8" t="s">
        <v>41</v>
      </c>
      <c r="J7" s="8" t="s">
        <v>68</v>
      </c>
      <c r="K7" s="8" t="str">
        <f t="shared" si="1"/>
        <v>4/1/2026</v>
      </c>
      <c r="L7" s="8" t="s">
        <v>81</v>
      </c>
      <c r="M7" s="8" t="str">
        <f t="shared" si="2"/>
        <v>5/1/2025</v>
      </c>
      <c r="N7" s="8" t="s">
        <v>60</v>
      </c>
      <c r="O7" s="8"/>
      <c r="P7" s="8" t="s">
        <v>47</v>
      </c>
      <c r="Q7" s="8" t="s">
        <v>61</v>
      </c>
      <c r="R7" s="19">
        <v>23</v>
      </c>
    </row>
    <row r="8" spans="1:18" ht="13.2" x14ac:dyDescent="0.25">
      <c r="A8" s="6" t="s">
        <v>31</v>
      </c>
      <c r="B8" s="8" t="s">
        <v>52</v>
      </c>
      <c r="C8" s="8" t="str">
        <f t="shared" si="0"/>
        <v>THOMAS PARDUE</v>
      </c>
      <c r="D8" s="8" t="s">
        <v>37</v>
      </c>
      <c r="E8" s="8"/>
      <c r="F8" s="18">
        <v>926805543</v>
      </c>
      <c r="G8" s="18" t="e">
        <f t="shared" ca="1" si="3"/>
        <v>#NAME?</v>
      </c>
      <c r="H8" s="8" t="s">
        <v>84</v>
      </c>
      <c r="I8" s="8" t="s">
        <v>41</v>
      </c>
      <c r="J8" s="8" t="s">
        <v>68</v>
      </c>
      <c r="K8" s="8" t="str">
        <f t="shared" si="1"/>
        <v>4/1/2026</v>
      </c>
      <c r="L8" s="8" t="s">
        <v>85</v>
      </c>
      <c r="M8" s="8" t="str">
        <f t="shared" si="2"/>
        <v>4/1/2025</v>
      </c>
      <c r="N8" s="8" t="s">
        <v>60</v>
      </c>
      <c r="O8" s="8"/>
      <c r="P8" s="8" t="s">
        <v>47</v>
      </c>
      <c r="Q8" s="8" t="s">
        <v>61</v>
      </c>
      <c r="R8" s="19">
        <v>23</v>
      </c>
    </row>
    <row r="9" spans="1:18" ht="13.2" x14ac:dyDescent="0.25">
      <c r="A9" s="6" t="s">
        <v>31</v>
      </c>
      <c r="B9" s="8" t="s">
        <v>52</v>
      </c>
      <c r="C9" s="8" t="str">
        <f t="shared" si="0"/>
        <v>THOMAS PARDUE</v>
      </c>
      <c r="D9" s="8" t="s">
        <v>37</v>
      </c>
      <c r="E9" s="8"/>
      <c r="F9" s="18">
        <v>926807060</v>
      </c>
      <c r="G9" s="18" t="e">
        <f t="shared" ca="1" si="3"/>
        <v>#NAME?</v>
      </c>
      <c r="H9" s="8" t="s">
        <v>88</v>
      </c>
      <c r="I9" s="8" t="s">
        <v>41</v>
      </c>
      <c r="J9" s="8" t="s">
        <v>68</v>
      </c>
      <c r="K9" s="8" t="str">
        <f t="shared" si="1"/>
        <v>4/1/2026</v>
      </c>
      <c r="L9" s="8" t="s">
        <v>58</v>
      </c>
      <c r="M9" s="8" t="str">
        <f t="shared" si="2"/>
        <v>6/1/2025</v>
      </c>
      <c r="N9" s="8" t="s">
        <v>60</v>
      </c>
      <c r="O9" s="8"/>
      <c r="P9" s="8" t="s">
        <v>47</v>
      </c>
      <c r="Q9" s="8" t="s">
        <v>61</v>
      </c>
      <c r="R9" s="19">
        <v>23</v>
      </c>
    </row>
    <row r="10" spans="1:18" ht="13.2" x14ac:dyDescent="0.25">
      <c r="A10" s="6" t="s">
        <v>31</v>
      </c>
      <c r="B10" s="8" t="s">
        <v>52</v>
      </c>
      <c r="C10" s="8" t="str">
        <f t="shared" si="0"/>
        <v>THOMAS PARDUE</v>
      </c>
      <c r="D10" s="8" t="s">
        <v>37</v>
      </c>
      <c r="E10" s="8"/>
      <c r="F10" s="18">
        <v>926807377</v>
      </c>
      <c r="G10" s="18" t="e">
        <f t="shared" ca="1" si="3"/>
        <v>#NAME?</v>
      </c>
      <c r="H10" s="8" t="s">
        <v>91</v>
      </c>
      <c r="I10" s="8" t="s">
        <v>41</v>
      </c>
      <c r="J10" s="8" t="s">
        <v>68</v>
      </c>
      <c r="K10" s="8" t="str">
        <f t="shared" si="1"/>
        <v>4/1/2026</v>
      </c>
      <c r="L10" s="8" t="s">
        <v>92</v>
      </c>
      <c r="M10" s="8" t="str">
        <f t="shared" si="2"/>
        <v>7/1/2025</v>
      </c>
      <c r="N10" s="8" t="s">
        <v>60</v>
      </c>
      <c r="O10" s="8"/>
      <c r="P10" s="8" t="s">
        <v>47</v>
      </c>
      <c r="Q10" s="8" t="s">
        <v>61</v>
      </c>
      <c r="R10" s="19">
        <v>23</v>
      </c>
    </row>
    <row r="11" spans="1:18" ht="13.2" x14ac:dyDescent="0.25">
      <c r="A11" s="6" t="s">
        <v>31</v>
      </c>
      <c r="B11" s="8" t="s">
        <v>52</v>
      </c>
      <c r="C11" s="8" t="str">
        <f t="shared" si="0"/>
        <v>THOMAS PARDUE</v>
      </c>
      <c r="D11" s="8" t="s">
        <v>37</v>
      </c>
      <c r="E11" s="8"/>
      <c r="F11" s="18">
        <v>926807940</v>
      </c>
      <c r="G11" s="18" t="e">
        <f t="shared" ca="1" si="3"/>
        <v>#NAME?</v>
      </c>
      <c r="H11" s="8" t="s">
        <v>94</v>
      </c>
      <c r="I11" s="8" t="s">
        <v>41</v>
      </c>
      <c r="J11" s="8" t="s">
        <v>68</v>
      </c>
      <c r="K11" s="8" t="str">
        <f t="shared" si="1"/>
        <v>4/1/2026</v>
      </c>
      <c r="L11" s="8" t="s">
        <v>58</v>
      </c>
      <c r="M11" s="8" t="str">
        <f t="shared" si="2"/>
        <v>6/1/2025</v>
      </c>
      <c r="N11" s="8" t="s">
        <v>60</v>
      </c>
      <c r="O11" s="8"/>
      <c r="P11" s="8" t="s">
        <v>47</v>
      </c>
      <c r="Q11" s="8" t="s">
        <v>61</v>
      </c>
      <c r="R11" s="19">
        <v>23</v>
      </c>
    </row>
    <row r="12" spans="1:18" ht="13.2" x14ac:dyDescent="0.25">
      <c r="A12" s="6" t="s">
        <v>31</v>
      </c>
      <c r="B12" s="8" t="s">
        <v>52</v>
      </c>
      <c r="C12" s="8" t="str">
        <f t="shared" si="0"/>
        <v>THOMAS PARDUE</v>
      </c>
      <c r="D12" s="8" t="s">
        <v>37</v>
      </c>
      <c r="E12" s="8"/>
      <c r="F12" s="18">
        <v>926808082</v>
      </c>
      <c r="G12" s="18" t="e">
        <f t="shared" ca="1" si="3"/>
        <v>#NAME?</v>
      </c>
      <c r="H12" s="8" t="s">
        <v>96</v>
      </c>
      <c r="I12" s="8" t="s">
        <v>41</v>
      </c>
      <c r="J12" s="8" t="s">
        <v>68</v>
      </c>
      <c r="K12" s="8" t="str">
        <f t="shared" si="1"/>
        <v>4/1/2026</v>
      </c>
      <c r="L12" s="8" t="s">
        <v>97</v>
      </c>
      <c r="M12" s="8" t="str">
        <f t="shared" si="2"/>
        <v>8/1/2025</v>
      </c>
      <c r="N12" s="8" t="s">
        <v>60</v>
      </c>
      <c r="O12" s="8"/>
      <c r="P12" s="8" t="s">
        <v>47</v>
      </c>
      <c r="Q12" s="8" t="s">
        <v>61</v>
      </c>
      <c r="R12" s="19">
        <v>23</v>
      </c>
    </row>
    <row r="13" spans="1:18" ht="13.2" x14ac:dyDescent="0.25">
      <c r="A13" s="6" t="s">
        <v>31</v>
      </c>
      <c r="B13" s="8" t="s">
        <v>52</v>
      </c>
      <c r="C13" s="8" t="str">
        <f t="shared" si="0"/>
        <v>THOMAS PARDUE</v>
      </c>
      <c r="D13" s="8" t="s">
        <v>37</v>
      </c>
      <c r="E13" s="8"/>
      <c r="F13" s="18">
        <v>926808229</v>
      </c>
      <c r="G13" s="18" t="e">
        <f t="shared" ca="1" si="3"/>
        <v>#NAME?</v>
      </c>
      <c r="H13" s="8" t="s">
        <v>100</v>
      </c>
      <c r="I13" s="8" t="s">
        <v>41</v>
      </c>
      <c r="J13" s="8" t="s">
        <v>68</v>
      </c>
      <c r="K13" s="8" t="str">
        <f t="shared" si="1"/>
        <v>4/1/2026</v>
      </c>
      <c r="L13" s="8" t="s">
        <v>97</v>
      </c>
      <c r="M13" s="8" t="str">
        <f t="shared" si="2"/>
        <v>8/1/2025</v>
      </c>
      <c r="N13" s="8" t="s">
        <v>60</v>
      </c>
      <c r="O13" s="8"/>
      <c r="P13" s="8" t="s">
        <v>47</v>
      </c>
      <c r="Q13" s="8" t="s">
        <v>61</v>
      </c>
      <c r="R13" s="19">
        <v>23</v>
      </c>
    </row>
    <row r="14" spans="1:18" ht="13.2" x14ac:dyDescent="0.25">
      <c r="A14" s="6" t="s">
        <v>31</v>
      </c>
      <c r="B14" s="8" t="s">
        <v>52</v>
      </c>
      <c r="C14" s="8" t="str">
        <f t="shared" si="0"/>
        <v>THOMAS PARDUE</v>
      </c>
      <c r="D14" s="8" t="s">
        <v>37</v>
      </c>
      <c r="E14" s="8"/>
      <c r="F14" s="18">
        <v>926808233</v>
      </c>
      <c r="G14" s="18" t="e">
        <f t="shared" ca="1" si="3"/>
        <v>#NAME?</v>
      </c>
      <c r="H14" s="8" t="s">
        <v>102</v>
      </c>
      <c r="I14" s="8" t="s">
        <v>41</v>
      </c>
      <c r="J14" s="8" t="s">
        <v>68</v>
      </c>
      <c r="K14" s="8" t="str">
        <f t="shared" si="1"/>
        <v>4/1/2026</v>
      </c>
      <c r="L14" s="8" t="s">
        <v>103</v>
      </c>
      <c r="M14" s="8" t="str">
        <f t="shared" si="2"/>
        <v>11/1/2025</v>
      </c>
      <c r="N14" s="8" t="s">
        <v>60</v>
      </c>
      <c r="O14" s="8"/>
      <c r="P14" s="8" t="s">
        <v>47</v>
      </c>
      <c r="Q14" s="8" t="s">
        <v>61</v>
      </c>
      <c r="R14" s="19">
        <v>23</v>
      </c>
    </row>
    <row r="15" spans="1:18" ht="13.2" x14ac:dyDescent="0.25">
      <c r="A15" s="6" t="s">
        <v>31</v>
      </c>
      <c r="B15" s="8" t="s">
        <v>52</v>
      </c>
      <c r="C15" s="8" t="str">
        <f t="shared" si="0"/>
        <v>THOMAS PARDUE</v>
      </c>
      <c r="D15" s="8" t="s">
        <v>37</v>
      </c>
      <c r="E15" s="8"/>
      <c r="F15" s="18">
        <v>926808241</v>
      </c>
      <c r="G15" s="18" t="e">
        <f t="shared" ca="1" si="3"/>
        <v>#NAME?</v>
      </c>
      <c r="H15" s="8" t="s">
        <v>106</v>
      </c>
      <c r="I15" s="8" t="s">
        <v>41</v>
      </c>
      <c r="J15" s="8" t="s">
        <v>68</v>
      </c>
      <c r="K15" s="8" t="str">
        <f t="shared" si="1"/>
        <v>4/1/2026</v>
      </c>
      <c r="L15" s="8" t="s">
        <v>97</v>
      </c>
      <c r="M15" s="8" t="str">
        <f t="shared" si="2"/>
        <v>8/1/2025</v>
      </c>
      <c r="N15" s="8" t="s">
        <v>60</v>
      </c>
      <c r="O15" s="8"/>
      <c r="P15" s="8" t="s">
        <v>47</v>
      </c>
      <c r="Q15" s="8" t="s">
        <v>61</v>
      </c>
      <c r="R15" s="19">
        <v>23</v>
      </c>
    </row>
    <row r="16" spans="1:18" ht="13.2" x14ac:dyDescent="0.25">
      <c r="A16" s="6" t="s">
        <v>31</v>
      </c>
      <c r="B16" s="8" t="s">
        <v>52</v>
      </c>
      <c r="C16" s="8" t="str">
        <f t="shared" si="0"/>
        <v>THOMAS PARDUE</v>
      </c>
      <c r="D16" s="8" t="s">
        <v>37</v>
      </c>
      <c r="E16" s="8"/>
      <c r="F16" s="18">
        <v>926808447</v>
      </c>
      <c r="G16" s="18" t="e">
        <f t="shared" ca="1" si="3"/>
        <v>#NAME?</v>
      </c>
      <c r="H16" s="8" t="s">
        <v>108</v>
      </c>
      <c r="I16" s="8" t="s">
        <v>41</v>
      </c>
      <c r="J16" s="8" t="s">
        <v>68</v>
      </c>
      <c r="K16" s="8" t="str">
        <f t="shared" si="1"/>
        <v>4/1/2026</v>
      </c>
      <c r="L16" s="8" t="s">
        <v>92</v>
      </c>
      <c r="M16" s="8" t="str">
        <f t="shared" si="2"/>
        <v>7/1/2025</v>
      </c>
      <c r="N16" s="8" t="s">
        <v>60</v>
      </c>
      <c r="O16" s="8"/>
      <c r="P16" s="8" t="s">
        <v>47</v>
      </c>
      <c r="Q16" s="8" t="s">
        <v>61</v>
      </c>
      <c r="R16" s="19">
        <v>23</v>
      </c>
    </row>
    <row r="17" spans="1:18" ht="13.2" x14ac:dyDescent="0.25">
      <c r="A17" s="6" t="s">
        <v>31</v>
      </c>
      <c r="B17" s="8" t="s">
        <v>52</v>
      </c>
      <c r="C17" s="8" t="str">
        <f t="shared" si="0"/>
        <v>THOMAS PARDUE</v>
      </c>
      <c r="D17" s="8" t="s">
        <v>54</v>
      </c>
      <c r="E17" s="8"/>
      <c r="F17" s="18">
        <v>926808509</v>
      </c>
      <c r="G17" s="18" t="e">
        <f t="shared" ca="1" si="3"/>
        <v>#NAME?</v>
      </c>
      <c r="H17" s="8" t="s">
        <v>110</v>
      </c>
      <c r="I17" s="8" t="s">
        <v>41</v>
      </c>
      <c r="J17" s="8" t="s">
        <v>57</v>
      </c>
      <c r="K17" s="8" t="str">
        <f t="shared" si="1"/>
        <v>3/1/2026</v>
      </c>
      <c r="L17" s="8" t="s">
        <v>97</v>
      </c>
      <c r="M17" s="8" t="str">
        <f t="shared" si="2"/>
        <v>8/1/2025</v>
      </c>
      <c r="N17" s="8" t="s">
        <v>60</v>
      </c>
      <c r="O17" s="8"/>
      <c r="P17" s="8" t="s">
        <v>47</v>
      </c>
      <c r="Q17" s="8" t="s">
        <v>61</v>
      </c>
      <c r="R17" s="19">
        <v>-23</v>
      </c>
    </row>
    <row r="18" spans="1:18" ht="13.2" x14ac:dyDescent="0.25">
      <c r="A18" s="6" t="s">
        <v>31</v>
      </c>
      <c r="B18" s="8" t="s">
        <v>52</v>
      </c>
      <c r="C18" s="8" t="str">
        <f t="shared" si="0"/>
        <v>THOMAS PARDUE</v>
      </c>
      <c r="D18" s="8" t="s">
        <v>54</v>
      </c>
      <c r="E18" s="8"/>
      <c r="F18" s="18">
        <v>926808509</v>
      </c>
      <c r="G18" s="18" t="e">
        <f t="shared" ca="1" si="3"/>
        <v>#NAME?</v>
      </c>
      <c r="H18" s="8" t="s">
        <v>110</v>
      </c>
      <c r="I18" s="8" t="s">
        <v>41</v>
      </c>
      <c r="J18" s="8" t="s">
        <v>42</v>
      </c>
      <c r="K18" s="8" t="str">
        <f t="shared" si="1"/>
        <v>2/1/2026</v>
      </c>
      <c r="L18" s="8" t="s">
        <v>97</v>
      </c>
      <c r="M18" s="8" t="str">
        <f t="shared" si="2"/>
        <v>8/1/2025</v>
      </c>
      <c r="N18" s="8" t="s">
        <v>60</v>
      </c>
      <c r="O18" s="8"/>
      <c r="P18" s="8" t="s">
        <v>47</v>
      </c>
      <c r="Q18" s="8" t="s">
        <v>61</v>
      </c>
      <c r="R18" s="19">
        <v>-23</v>
      </c>
    </row>
    <row r="19" spans="1:18" ht="13.2" x14ac:dyDescent="0.25">
      <c r="A19" s="6" t="s">
        <v>31</v>
      </c>
      <c r="B19" s="8" t="s">
        <v>52</v>
      </c>
      <c r="C19" s="8" t="str">
        <f t="shared" si="0"/>
        <v>THOMAS PARDUE</v>
      </c>
      <c r="D19" s="8" t="s">
        <v>37</v>
      </c>
      <c r="E19" s="8"/>
      <c r="F19" s="18">
        <v>926808799</v>
      </c>
      <c r="G19" s="18" t="e">
        <f t="shared" ca="1" si="3"/>
        <v>#NAME?</v>
      </c>
      <c r="H19" s="8" t="s">
        <v>114</v>
      </c>
      <c r="I19" s="8" t="s">
        <v>41</v>
      </c>
      <c r="J19" s="8" t="s">
        <v>68</v>
      </c>
      <c r="K19" s="8" t="str">
        <f t="shared" si="1"/>
        <v>4/1/2026</v>
      </c>
      <c r="L19" s="8" t="s">
        <v>97</v>
      </c>
      <c r="M19" s="8" t="str">
        <f t="shared" si="2"/>
        <v>8/1/2025</v>
      </c>
      <c r="N19" s="8" t="s">
        <v>60</v>
      </c>
      <c r="O19" s="8"/>
      <c r="P19" s="8" t="s">
        <v>47</v>
      </c>
      <c r="Q19" s="8" t="s">
        <v>61</v>
      </c>
      <c r="R19" s="19">
        <v>23</v>
      </c>
    </row>
    <row r="20" spans="1:18" ht="13.2" x14ac:dyDescent="0.25">
      <c r="A20" s="6" t="s">
        <v>31</v>
      </c>
      <c r="B20" s="8" t="s">
        <v>52</v>
      </c>
      <c r="C20" s="8" t="str">
        <f t="shared" si="0"/>
        <v>THOMAS PARDUE</v>
      </c>
      <c r="D20" s="8" t="s">
        <v>37</v>
      </c>
      <c r="E20" s="8"/>
      <c r="F20" s="18">
        <v>926808988</v>
      </c>
      <c r="G20" s="18" t="e">
        <f t="shared" ca="1" si="3"/>
        <v>#NAME?</v>
      </c>
      <c r="H20" s="8" t="s">
        <v>116</v>
      </c>
      <c r="I20" s="8" t="s">
        <v>41</v>
      </c>
      <c r="J20" s="8" t="s">
        <v>68</v>
      </c>
      <c r="K20" s="8" t="str">
        <f t="shared" si="1"/>
        <v>4/1/2026</v>
      </c>
      <c r="L20" s="8" t="s">
        <v>117</v>
      </c>
      <c r="M20" s="8" t="str">
        <f t="shared" si="2"/>
        <v>9/1/2025</v>
      </c>
      <c r="N20" s="8" t="s">
        <v>60</v>
      </c>
      <c r="O20" s="8"/>
      <c r="P20" s="8" t="s">
        <v>47</v>
      </c>
      <c r="Q20" s="8" t="s">
        <v>61</v>
      </c>
      <c r="R20" s="19">
        <v>23</v>
      </c>
    </row>
    <row r="21" spans="1:18" ht="13.2" x14ac:dyDescent="0.25">
      <c r="A21" s="6" t="s">
        <v>31</v>
      </c>
      <c r="B21" s="8" t="s">
        <v>52</v>
      </c>
      <c r="C21" s="8" t="str">
        <f t="shared" si="0"/>
        <v>THOMAS PARDUE</v>
      </c>
      <c r="D21" s="8" t="s">
        <v>118</v>
      </c>
      <c r="E21" s="8" t="str">
        <f>IF(D21&gt;1,"[PMPM="&amp;D21&amp;"]","")</f>
        <v>[PMPM=4]</v>
      </c>
      <c r="F21" s="18">
        <v>926809204</v>
      </c>
      <c r="G21" s="18" t="e">
        <f t="shared" ca="1" si="3"/>
        <v>#NAME?</v>
      </c>
      <c r="H21" s="8" t="s">
        <v>120</v>
      </c>
      <c r="I21" s="8" t="s">
        <v>41</v>
      </c>
      <c r="J21" s="8" t="s">
        <v>68</v>
      </c>
      <c r="K21" s="8" t="str">
        <f t="shared" si="1"/>
        <v>4/1/2026</v>
      </c>
      <c r="L21" s="8" t="s">
        <v>117</v>
      </c>
      <c r="M21" s="8" t="str">
        <f t="shared" si="2"/>
        <v>9/1/2025</v>
      </c>
      <c r="N21" s="8" t="s">
        <v>60</v>
      </c>
      <c r="O21" s="8"/>
      <c r="P21" s="8" t="s">
        <v>47</v>
      </c>
      <c r="Q21" s="8" t="s">
        <v>61</v>
      </c>
      <c r="R21" s="19">
        <v>92</v>
      </c>
    </row>
    <row r="22" spans="1:18" ht="13.2" x14ac:dyDescent="0.25">
      <c r="A22" s="6" t="s">
        <v>31</v>
      </c>
      <c r="B22" s="8" t="s">
        <v>52</v>
      </c>
      <c r="C22" s="8" t="str">
        <f t="shared" si="0"/>
        <v>THOMAS PARDUE</v>
      </c>
      <c r="D22" s="8" t="s">
        <v>37</v>
      </c>
      <c r="E22" s="8"/>
      <c r="F22" s="18">
        <v>926810965</v>
      </c>
      <c r="G22" s="18" t="e">
        <f t="shared" ca="1" si="3"/>
        <v>#NAME?</v>
      </c>
      <c r="H22" s="8" t="s">
        <v>123</v>
      </c>
      <c r="I22" s="8" t="s">
        <v>41</v>
      </c>
      <c r="J22" s="8" t="s">
        <v>68</v>
      </c>
      <c r="K22" s="8" t="str">
        <f t="shared" si="1"/>
        <v>4/1/2026</v>
      </c>
      <c r="L22" s="8" t="s">
        <v>124</v>
      </c>
      <c r="M22" s="8" t="str">
        <f t="shared" si="2"/>
        <v>10/1/2025</v>
      </c>
      <c r="N22" s="8" t="s">
        <v>60</v>
      </c>
      <c r="O22" s="8"/>
      <c r="P22" s="8" t="s">
        <v>47</v>
      </c>
      <c r="Q22" s="8" t="s">
        <v>61</v>
      </c>
      <c r="R22" s="19">
        <v>23</v>
      </c>
    </row>
    <row r="23" spans="1:18" ht="13.2" x14ac:dyDescent="0.25">
      <c r="A23" s="6" t="s">
        <v>31</v>
      </c>
      <c r="B23" s="8" t="s">
        <v>52</v>
      </c>
      <c r="C23" s="8" t="str">
        <f t="shared" si="0"/>
        <v>THOMAS PARDUE</v>
      </c>
      <c r="D23" s="8" t="s">
        <v>37</v>
      </c>
      <c r="E23" s="8"/>
      <c r="F23" s="18">
        <v>926811146</v>
      </c>
      <c r="G23" s="18" t="e">
        <f t="shared" ca="1" si="3"/>
        <v>#NAME?</v>
      </c>
      <c r="H23" s="8" t="s">
        <v>126</v>
      </c>
      <c r="I23" s="8" t="s">
        <v>41</v>
      </c>
      <c r="J23" s="8" t="s">
        <v>68</v>
      </c>
      <c r="K23" s="8" t="str">
        <f t="shared" si="1"/>
        <v>4/1/2026</v>
      </c>
      <c r="L23" s="8" t="s">
        <v>103</v>
      </c>
      <c r="M23" s="8" t="str">
        <f t="shared" si="2"/>
        <v>11/1/2025</v>
      </c>
      <c r="N23" s="8" t="s">
        <v>60</v>
      </c>
      <c r="O23" s="8"/>
      <c r="P23" s="8" t="s">
        <v>47</v>
      </c>
      <c r="Q23" s="8" t="s">
        <v>61</v>
      </c>
      <c r="R23" s="19">
        <v>23</v>
      </c>
    </row>
    <row r="24" spans="1:18" ht="13.2" x14ac:dyDescent="0.25">
      <c r="A24" s="6" t="s">
        <v>31</v>
      </c>
      <c r="B24" s="8" t="s">
        <v>52</v>
      </c>
      <c r="C24" s="8" t="str">
        <f t="shared" si="0"/>
        <v>THOMAS PARDUE</v>
      </c>
      <c r="D24" s="8" t="s">
        <v>72</v>
      </c>
      <c r="E24" s="8" t="str">
        <f>IF(D24&gt;1,"[PMPM="&amp;D24&amp;"]","")</f>
        <v>[PMPM=2]</v>
      </c>
      <c r="F24" s="18">
        <v>926811428</v>
      </c>
      <c r="G24" s="18" t="e">
        <f t="shared" ca="1" si="3"/>
        <v>#NAME?</v>
      </c>
      <c r="H24" s="8" t="s">
        <v>128</v>
      </c>
      <c r="I24" s="8" t="s">
        <v>41</v>
      </c>
      <c r="J24" s="8" t="s">
        <v>68</v>
      </c>
      <c r="K24" s="8" t="str">
        <f t="shared" si="1"/>
        <v>4/1/2026</v>
      </c>
      <c r="L24" s="8" t="s">
        <v>103</v>
      </c>
      <c r="M24" s="8" t="str">
        <f t="shared" si="2"/>
        <v>11/1/2025</v>
      </c>
      <c r="N24" s="8" t="s">
        <v>60</v>
      </c>
      <c r="O24" s="8"/>
      <c r="P24" s="8" t="s">
        <v>47</v>
      </c>
      <c r="Q24" s="8" t="s">
        <v>61</v>
      </c>
      <c r="R24" s="19">
        <v>46</v>
      </c>
    </row>
    <row r="25" spans="1:18" ht="13.2" x14ac:dyDescent="0.25">
      <c r="A25" s="6" t="s">
        <v>31</v>
      </c>
      <c r="B25" s="8" t="s">
        <v>52</v>
      </c>
      <c r="C25" s="8" t="str">
        <f t="shared" si="0"/>
        <v>THOMAS PARDUE</v>
      </c>
      <c r="D25" s="8" t="s">
        <v>37</v>
      </c>
      <c r="E25" s="8"/>
      <c r="F25" s="18">
        <v>926811535</v>
      </c>
      <c r="G25" s="18" t="e">
        <f t="shared" ca="1" si="3"/>
        <v>#NAME?</v>
      </c>
      <c r="H25" s="8" t="s">
        <v>130</v>
      </c>
      <c r="I25" s="8" t="s">
        <v>41</v>
      </c>
      <c r="J25" s="8" t="s">
        <v>68</v>
      </c>
      <c r="K25" s="8" t="str">
        <f t="shared" si="1"/>
        <v>4/1/2026</v>
      </c>
      <c r="L25" s="8" t="s">
        <v>124</v>
      </c>
      <c r="M25" s="8" t="str">
        <f t="shared" si="2"/>
        <v>10/1/2025</v>
      </c>
      <c r="N25" s="8" t="s">
        <v>60</v>
      </c>
      <c r="O25" s="8"/>
      <c r="P25" s="8" t="s">
        <v>47</v>
      </c>
      <c r="Q25" s="8" t="s">
        <v>61</v>
      </c>
      <c r="R25" s="19">
        <v>23</v>
      </c>
    </row>
    <row r="26" spans="1:18" ht="13.2" x14ac:dyDescent="0.25">
      <c r="A26" s="6" t="s">
        <v>31</v>
      </c>
      <c r="B26" s="8" t="s">
        <v>52</v>
      </c>
      <c r="C26" s="8" t="str">
        <f t="shared" si="0"/>
        <v>THOMAS PARDUE</v>
      </c>
      <c r="D26" s="8" t="s">
        <v>37</v>
      </c>
      <c r="E26" s="8"/>
      <c r="F26" s="18">
        <v>926811766</v>
      </c>
      <c r="G26" s="18" t="e">
        <f t="shared" ca="1" si="3"/>
        <v>#NAME?</v>
      </c>
      <c r="H26" s="8" t="s">
        <v>132</v>
      </c>
      <c r="I26" s="8" t="s">
        <v>41</v>
      </c>
      <c r="J26" s="8" t="s">
        <v>68</v>
      </c>
      <c r="K26" s="8" t="str">
        <f t="shared" si="1"/>
        <v>4/1/2026</v>
      </c>
      <c r="L26" s="8" t="s">
        <v>103</v>
      </c>
      <c r="M26" s="8" t="str">
        <f t="shared" si="2"/>
        <v>11/1/2025</v>
      </c>
      <c r="N26" s="8" t="s">
        <v>60</v>
      </c>
      <c r="O26" s="8"/>
      <c r="P26" s="8" t="s">
        <v>47</v>
      </c>
      <c r="Q26" s="8" t="s">
        <v>61</v>
      </c>
      <c r="R26" s="19">
        <v>23</v>
      </c>
    </row>
    <row r="27" spans="1:18" ht="13.2" x14ac:dyDescent="0.25">
      <c r="A27" s="6" t="s">
        <v>31</v>
      </c>
      <c r="B27" s="8" t="s">
        <v>52</v>
      </c>
      <c r="C27" s="8" t="str">
        <f t="shared" si="0"/>
        <v>THOMAS PARDUE</v>
      </c>
      <c r="D27" s="8" t="s">
        <v>37</v>
      </c>
      <c r="E27" s="8"/>
      <c r="F27" s="18">
        <v>926812257</v>
      </c>
      <c r="G27" s="18" t="e">
        <f t="shared" ca="1" si="3"/>
        <v>#NAME?</v>
      </c>
      <c r="H27" s="8" t="s">
        <v>134</v>
      </c>
      <c r="I27" s="8" t="s">
        <v>41</v>
      </c>
      <c r="J27" s="8" t="s">
        <v>68</v>
      </c>
      <c r="K27" s="8" t="str">
        <f t="shared" si="1"/>
        <v>4/1/2026</v>
      </c>
      <c r="L27" s="8" t="s">
        <v>135</v>
      </c>
      <c r="M27" s="8" t="str">
        <f t="shared" si="2"/>
        <v>12/1/2025</v>
      </c>
      <c r="N27" s="8" t="s">
        <v>60</v>
      </c>
      <c r="O27" s="8"/>
      <c r="P27" s="8" t="s">
        <v>47</v>
      </c>
      <c r="Q27" s="8" t="s">
        <v>61</v>
      </c>
      <c r="R27" s="19">
        <v>23</v>
      </c>
    </row>
    <row r="28" spans="1:18" ht="13.2" x14ac:dyDescent="0.25">
      <c r="A28" s="6" t="s">
        <v>31</v>
      </c>
      <c r="B28" s="8" t="s">
        <v>52</v>
      </c>
      <c r="C28" s="8" t="str">
        <f t="shared" si="0"/>
        <v>THOMAS PARDUE</v>
      </c>
      <c r="D28" s="8" t="s">
        <v>37</v>
      </c>
      <c r="E28" s="8"/>
      <c r="F28" s="18">
        <v>926815924</v>
      </c>
      <c r="G28" s="18" t="e">
        <f t="shared" ca="1" si="3"/>
        <v>#NAME?</v>
      </c>
      <c r="H28" s="8" t="s">
        <v>138</v>
      </c>
      <c r="I28" s="8" t="s">
        <v>41</v>
      </c>
      <c r="J28" s="8" t="s">
        <v>68</v>
      </c>
      <c r="K28" s="8" t="str">
        <f t="shared" si="1"/>
        <v>4/1/2026</v>
      </c>
      <c r="L28" s="8" t="s">
        <v>42</v>
      </c>
      <c r="M28" s="8" t="str">
        <f t="shared" si="2"/>
        <v>2/1/2026</v>
      </c>
      <c r="N28" s="8" t="s">
        <v>60</v>
      </c>
      <c r="O28" s="8"/>
      <c r="P28" s="8" t="s">
        <v>47</v>
      </c>
      <c r="Q28" s="8" t="s">
        <v>61</v>
      </c>
      <c r="R28" s="19">
        <v>23</v>
      </c>
    </row>
    <row r="29" spans="1:18" ht="13.2" x14ac:dyDescent="0.25">
      <c r="A29" s="6" t="s">
        <v>31</v>
      </c>
      <c r="B29" s="8" t="s">
        <v>52</v>
      </c>
      <c r="C29" s="8" t="str">
        <f t="shared" si="0"/>
        <v>THOMAS PARDUE</v>
      </c>
      <c r="D29" s="8" t="s">
        <v>37</v>
      </c>
      <c r="E29" s="8"/>
      <c r="F29" s="18">
        <v>926815924</v>
      </c>
      <c r="G29" s="18" t="e">
        <f t="shared" ca="1" si="3"/>
        <v>#NAME?</v>
      </c>
      <c r="H29" s="8" t="s">
        <v>138</v>
      </c>
      <c r="I29" s="8" t="s">
        <v>41</v>
      </c>
      <c r="J29" s="8" t="s">
        <v>57</v>
      </c>
      <c r="K29" s="8" t="str">
        <f t="shared" si="1"/>
        <v>3/1/2026</v>
      </c>
      <c r="L29" s="8" t="s">
        <v>42</v>
      </c>
      <c r="M29" s="8" t="str">
        <f t="shared" si="2"/>
        <v>2/1/2026</v>
      </c>
      <c r="N29" s="8" t="s">
        <v>60</v>
      </c>
      <c r="O29" s="8"/>
      <c r="P29" s="8" t="s">
        <v>47</v>
      </c>
      <c r="Q29" s="8" t="s">
        <v>61</v>
      </c>
      <c r="R29" s="19">
        <v>23</v>
      </c>
    </row>
    <row r="30" spans="1:18" ht="13.2" x14ac:dyDescent="0.25">
      <c r="A30" s="6" t="s">
        <v>31</v>
      </c>
      <c r="B30" s="8" t="s">
        <v>52</v>
      </c>
      <c r="C30" s="8" t="str">
        <f t="shared" si="0"/>
        <v>THOMAS PARDUE</v>
      </c>
      <c r="D30" s="8" t="s">
        <v>37</v>
      </c>
      <c r="E30" s="8"/>
      <c r="F30" s="18">
        <v>926816239</v>
      </c>
      <c r="G30" s="18" t="e">
        <f t="shared" ca="1" si="3"/>
        <v>#NAME?</v>
      </c>
      <c r="H30" s="8" t="s">
        <v>143</v>
      </c>
      <c r="I30" s="8" t="s">
        <v>41</v>
      </c>
      <c r="J30" s="8" t="s">
        <v>68</v>
      </c>
      <c r="K30" s="8" t="str">
        <f t="shared" si="1"/>
        <v>4/1/2026</v>
      </c>
      <c r="L30" s="8" t="s">
        <v>42</v>
      </c>
      <c r="M30" s="8" t="str">
        <f t="shared" si="2"/>
        <v>2/1/2026</v>
      </c>
      <c r="N30" s="8" t="s">
        <v>60</v>
      </c>
      <c r="O30" s="8"/>
      <c r="P30" s="8" t="s">
        <v>47</v>
      </c>
      <c r="Q30" s="8" t="s">
        <v>61</v>
      </c>
      <c r="R30" s="19">
        <v>23</v>
      </c>
    </row>
    <row r="31" spans="1:18" ht="13.2" x14ac:dyDescent="0.25">
      <c r="A31" s="6" t="s">
        <v>31</v>
      </c>
      <c r="B31" s="8" t="s">
        <v>52</v>
      </c>
      <c r="C31" s="8" t="str">
        <f t="shared" si="0"/>
        <v>THOMAS PARDUE</v>
      </c>
      <c r="D31" s="8" t="s">
        <v>37</v>
      </c>
      <c r="E31" s="8"/>
      <c r="F31" s="18">
        <v>926816239</v>
      </c>
      <c r="G31" s="18" t="e">
        <f t="shared" ca="1" si="3"/>
        <v>#NAME?</v>
      </c>
      <c r="H31" s="8" t="s">
        <v>143</v>
      </c>
      <c r="I31" s="8" t="s">
        <v>41</v>
      </c>
      <c r="J31" s="8" t="s">
        <v>57</v>
      </c>
      <c r="K31" s="8" t="str">
        <f t="shared" si="1"/>
        <v>3/1/2026</v>
      </c>
      <c r="L31" s="8" t="s">
        <v>42</v>
      </c>
      <c r="M31" s="8" t="str">
        <f t="shared" si="2"/>
        <v>2/1/2026</v>
      </c>
      <c r="N31" s="8" t="s">
        <v>60</v>
      </c>
      <c r="O31" s="8"/>
      <c r="P31" s="8" t="s">
        <v>47</v>
      </c>
      <c r="Q31" s="8" t="s">
        <v>61</v>
      </c>
      <c r="R31" s="19">
        <v>23</v>
      </c>
    </row>
    <row r="32" spans="1:18" ht="13.2" x14ac:dyDescent="0.25">
      <c r="A32" s="6" t="s">
        <v>31</v>
      </c>
      <c r="B32" s="8" t="s">
        <v>52</v>
      </c>
      <c r="C32" s="8" t="str">
        <f t="shared" si="0"/>
        <v>THOMAS PARDUE</v>
      </c>
      <c r="D32" s="8" t="s">
        <v>37</v>
      </c>
      <c r="E32" s="8"/>
      <c r="F32" s="18">
        <v>926816335</v>
      </c>
      <c r="G32" s="18" t="e">
        <f t="shared" ca="1" si="3"/>
        <v>#NAME?</v>
      </c>
      <c r="H32" s="8" t="s">
        <v>145</v>
      </c>
      <c r="I32" s="8" t="s">
        <v>41</v>
      </c>
      <c r="J32" s="8" t="s">
        <v>68</v>
      </c>
      <c r="K32" s="8" t="str">
        <f t="shared" si="1"/>
        <v>4/1/2026</v>
      </c>
      <c r="L32" s="8" t="s">
        <v>42</v>
      </c>
      <c r="M32" s="8" t="str">
        <f t="shared" si="2"/>
        <v>2/1/2026</v>
      </c>
      <c r="N32" s="8" t="s">
        <v>60</v>
      </c>
      <c r="O32" s="8"/>
      <c r="P32" s="8" t="s">
        <v>47</v>
      </c>
      <c r="Q32" s="8" t="s">
        <v>61</v>
      </c>
      <c r="R32" s="19">
        <v>23</v>
      </c>
    </row>
    <row r="33" spans="1:18" ht="13.2" x14ac:dyDescent="0.25">
      <c r="A33" s="6" t="s">
        <v>31</v>
      </c>
      <c r="B33" s="8" t="s">
        <v>52</v>
      </c>
      <c r="C33" s="8" t="str">
        <f t="shared" si="0"/>
        <v>THOMAS PARDUE</v>
      </c>
      <c r="D33" s="8" t="s">
        <v>37</v>
      </c>
      <c r="E33" s="8"/>
      <c r="F33" s="18">
        <v>926816335</v>
      </c>
      <c r="G33" s="18" t="e">
        <f t="shared" ca="1" si="3"/>
        <v>#NAME?</v>
      </c>
      <c r="H33" s="8" t="s">
        <v>145</v>
      </c>
      <c r="I33" s="8" t="s">
        <v>41</v>
      </c>
      <c r="J33" s="8" t="s">
        <v>57</v>
      </c>
      <c r="K33" s="8" t="str">
        <f t="shared" si="1"/>
        <v>3/1/2026</v>
      </c>
      <c r="L33" s="8" t="s">
        <v>42</v>
      </c>
      <c r="M33" s="8" t="str">
        <f t="shared" si="2"/>
        <v>2/1/2026</v>
      </c>
      <c r="N33" s="8" t="s">
        <v>60</v>
      </c>
      <c r="O33" s="8"/>
      <c r="P33" s="8" t="s">
        <v>47</v>
      </c>
      <c r="Q33" s="8" t="s">
        <v>61</v>
      </c>
      <c r="R33" s="19">
        <v>23</v>
      </c>
    </row>
    <row r="34" spans="1:18" ht="13.2" x14ac:dyDescent="0.25">
      <c r="A34" s="6" t="s">
        <v>31</v>
      </c>
      <c r="B34" s="8" t="s">
        <v>52</v>
      </c>
      <c r="C34" s="8" t="str">
        <f t="shared" si="0"/>
        <v>THOMAS PARDUE</v>
      </c>
      <c r="D34" s="8" t="s">
        <v>37</v>
      </c>
      <c r="E34" s="8"/>
      <c r="F34" s="18">
        <v>926816902</v>
      </c>
      <c r="G34" s="18" t="e">
        <f t="shared" ca="1" si="3"/>
        <v>#NAME?</v>
      </c>
      <c r="H34" s="8" t="s">
        <v>147</v>
      </c>
      <c r="I34" s="8" t="s">
        <v>41</v>
      </c>
      <c r="J34" s="8" t="s">
        <v>68</v>
      </c>
      <c r="K34" s="8" t="str">
        <f t="shared" si="1"/>
        <v>4/1/2026</v>
      </c>
      <c r="L34" s="8" t="s">
        <v>42</v>
      </c>
      <c r="M34" s="8" t="str">
        <f t="shared" si="2"/>
        <v>2/1/2026</v>
      </c>
      <c r="N34" s="8" t="s">
        <v>60</v>
      </c>
      <c r="O34" s="8"/>
      <c r="P34" s="8" t="s">
        <v>47</v>
      </c>
      <c r="Q34" s="8" t="s">
        <v>61</v>
      </c>
      <c r="R34" s="19">
        <v>23</v>
      </c>
    </row>
    <row r="35" spans="1:18" ht="13.2" x14ac:dyDescent="0.25">
      <c r="A35" s="6" t="s">
        <v>31</v>
      </c>
      <c r="B35" s="8" t="s">
        <v>52</v>
      </c>
      <c r="C35" s="8" t="str">
        <f t="shared" si="0"/>
        <v>THOMAS PARDUE</v>
      </c>
      <c r="D35" s="8" t="s">
        <v>37</v>
      </c>
      <c r="E35" s="8"/>
      <c r="F35" s="18">
        <v>926816902</v>
      </c>
      <c r="G35" s="18" t="e">
        <f t="shared" ca="1" si="3"/>
        <v>#NAME?</v>
      </c>
      <c r="H35" s="8" t="s">
        <v>147</v>
      </c>
      <c r="I35" s="8" t="s">
        <v>41</v>
      </c>
      <c r="J35" s="8" t="s">
        <v>57</v>
      </c>
      <c r="K35" s="8" t="str">
        <f t="shared" si="1"/>
        <v>3/1/2026</v>
      </c>
      <c r="L35" s="8" t="s">
        <v>42</v>
      </c>
      <c r="M35" s="8" t="str">
        <f t="shared" si="2"/>
        <v>2/1/2026</v>
      </c>
      <c r="N35" s="8" t="s">
        <v>60</v>
      </c>
      <c r="O35" s="8"/>
      <c r="P35" s="8" t="s">
        <v>47</v>
      </c>
      <c r="Q35" s="8" t="s">
        <v>61</v>
      </c>
      <c r="R35" s="19">
        <v>23</v>
      </c>
    </row>
    <row r="36" spans="1:18" ht="13.2" x14ac:dyDescent="0.25">
      <c r="A36" s="6" t="s">
        <v>31</v>
      </c>
      <c r="B36" s="8" t="s">
        <v>52</v>
      </c>
      <c r="C36" s="8" t="str">
        <f t="shared" si="0"/>
        <v>THOMAS PARDUE</v>
      </c>
      <c r="D36" s="8" t="s">
        <v>37</v>
      </c>
      <c r="E36" s="8"/>
      <c r="F36" s="18">
        <v>926816920</v>
      </c>
      <c r="G36" s="18" t="e">
        <f t="shared" ca="1" si="3"/>
        <v>#NAME?</v>
      </c>
      <c r="H36" s="8" t="s">
        <v>149</v>
      </c>
      <c r="I36" s="8" t="s">
        <v>41</v>
      </c>
      <c r="J36" s="8" t="s">
        <v>57</v>
      </c>
      <c r="K36" s="8" t="str">
        <f t="shared" si="1"/>
        <v>3/1/2026</v>
      </c>
      <c r="L36" s="8" t="s">
        <v>42</v>
      </c>
      <c r="M36" s="8" t="str">
        <f t="shared" si="2"/>
        <v>2/1/2026</v>
      </c>
      <c r="N36" s="8" t="s">
        <v>60</v>
      </c>
      <c r="O36" s="8"/>
      <c r="P36" s="8" t="s">
        <v>47</v>
      </c>
      <c r="Q36" s="8" t="s">
        <v>61</v>
      </c>
      <c r="R36" s="19">
        <v>23</v>
      </c>
    </row>
    <row r="37" spans="1:18" ht="13.2" x14ac:dyDescent="0.25">
      <c r="A37" s="6" t="s">
        <v>31</v>
      </c>
      <c r="B37" s="8" t="s">
        <v>52</v>
      </c>
      <c r="C37" s="8" t="str">
        <f t="shared" si="0"/>
        <v>THOMAS PARDUE</v>
      </c>
      <c r="D37" s="8" t="s">
        <v>37</v>
      </c>
      <c r="E37" s="8"/>
      <c r="F37" s="18">
        <v>926817174</v>
      </c>
      <c r="G37" s="18" t="e">
        <f t="shared" ca="1" si="3"/>
        <v>#NAME?</v>
      </c>
      <c r="H37" s="8" t="s">
        <v>151</v>
      </c>
      <c r="I37" s="8" t="s">
        <v>41</v>
      </c>
      <c r="J37" s="8" t="s">
        <v>68</v>
      </c>
      <c r="K37" s="8" t="str">
        <f t="shared" si="1"/>
        <v>4/1/2026</v>
      </c>
      <c r="L37" s="8" t="s">
        <v>42</v>
      </c>
      <c r="M37" s="8" t="str">
        <f t="shared" si="2"/>
        <v>2/1/2026</v>
      </c>
      <c r="N37" s="8" t="s">
        <v>60</v>
      </c>
      <c r="O37" s="8"/>
      <c r="P37" s="8" t="s">
        <v>47</v>
      </c>
      <c r="Q37" s="8" t="s">
        <v>61</v>
      </c>
      <c r="R37" s="19">
        <v>23</v>
      </c>
    </row>
    <row r="38" spans="1:18" ht="13.2" x14ac:dyDescent="0.25">
      <c r="A38" s="6" t="s">
        <v>31</v>
      </c>
      <c r="B38" s="8" t="s">
        <v>52</v>
      </c>
      <c r="C38" s="8" t="str">
        <f t="shared" si="0"/>
        <v>THOMAS PARDUE</v>
      </c>
      <c r="D38" s="8" t="s">
        <v>37</v>
      </c>
      <c r="E38" s="8"/>
      <c r="F38" s="18">
        <v>926817174</v>
      </c>
      <c r="G38" s="18" t="e">
        <f t="shared" ca="1" si="3"/>
        <v>#NAME?</v>
      </c>
      <c r="H38" s="8" t="s">
        <v>151</v>
      </c>
      <c r="I38" s="8" t="s">
        <v>41</v>
      </c>
      <c r="J38" s="8" t="s">
        <v>57</v>
      </c>
      <c r="K38" s="8" t="str">
        <f t="shared" si="1"/>
        <v>3/1/2026</v>
      </c>
      <c r="L38" s="8" t="s">
        <v>42</v>
      </c>
      <c r="M38" s="8" t="str">
        <f t="shared" si="2"/>
        <v>2/1/2026</v>
      </c>
      <c r="N38" s="8" t="s">
        <v>60</v>
      </c>
      <c r="O38" s="8"/>
      <c r="P38" s="8" t="s">
        <v>47</v>
      </c>
      <c r="Q38" s="8" t="s">
        <v>61</v>
      </c>
      <c r="R38" s="19">
        <v>23</v>
      </c>
    </row>
    <row r="39" spans="1:18" ht="13.2" x14ac:dyDescent="0.25">
      <c r="A39" s="6" t="s">
        <v>31</v>
      </c>
      <c r="B39" s="8" t="s">
        <v>52</v>
      </c>
      <c r="C39" s="8" t="str">
        <f t="shared" si="0"/>
        <v>THOMAS PARDUE</v>
      </c>
      <c r="D39" s="8" t="s">
        <v>37</v>
      </c>
      <c r="E39" s="8"/>
      <c r="F39" s="18">
        <v>926817372</v>
      </c>
      <c r="G39" s="18" t="e">
        <f t="shared" ca="1" si="3"/>
        <v>#NAME?</v>
      </c>
      <c r="H39" s="8" t="s">
        <v>153</v>
      </c>
      <c r="I39" s="8" t="s">
        <v>41</v>
      </c>
      <c r="J39" s="8" t="s">
        <v>68</v>
      </c>
      <c r="K39" s="8" t="str">
        <f t="shared" si="1"/>
        <v>4/1/2026</v>
      </c>
      <c r="L39" s="8" t="s">
        <v>42</v>
      </c>
      <c r="M39" s="8" t="str">
        <f t="shared" si="2"/>
        <v>2/1/2026</v>
      </c>
      <c r="N39" s="8" t="s">
        <v>60</v>
      </c>
      <c r="O39" s="8"/>
      <c r="P39" s="8" t="s">
        <v>47</v>
      </c>
      <c r="Q39" s="8" t="s">
        <v>61</v>
      </c>
      <c r="R39" s="19">
        <v>23</v>
      </c>
    </row>
    <row r="40" spans="1:18" ht="13.2" x14ac:dyDescent="0.25">
      <c r="A40" s="6" t="s">
        <v>31</v>
      </c>
      <c r="B40" s="8" t="s">
        <v>52</v>
      </c>
      <c r="C40" s="8" t="str">
        <f t="shared" si="0"/>
        <v>THOMAS PARDUE</v>
      </c>
      <c r="D40" s="8" t="s">
        <v>37</v>
      </c>
      <c r="E40" s="8"/>
      <c r="F40" s="18">
        <v>926817372</v>
      </c>
      <c r="G40" s="18" t="e">
        <f t="shared" ca="1" si="3"/>
        <v>#NAME?</v>
      </c>
      <c r="H40" s="8" t="s">
        <v>153</v>
      </c>
      <c r="I40" s="8" t="s">
        <v>41</v>
      </c>
      <c r="J40" s="8" t="s">
        <v>57</v>
      </c>
      <c r="K40" s="8" t="str">
        <f t="shared" si="1"/>
        <v>3/1/2026</v>
      </c>
      <c r="L40" s="8" t="s">
        <v>42</v>
      </c>
      <c r="M40" s="8" t="str">
        <f t="shared" si="2"/>
        <v>2/1/2026</v>
      </c>
      <c r="N40" s="8" t="s">
        <v>60</v>
      </c>
      <c r="O40" s="8"/>
      <c r="P40" s="8" t="s">
        <v>47</v>
      </c>
      <c r="Q40" s="8" t="s">
        <v>61</v>
      </c>
      <c r="R40" s="19">
        <v>23</v>
      </c>
    </row>
    <row r="41" spans="1:18" ht="13.2" x14ac:dyDescent="0.25">
      <c r="A41" s="6" t="s">
        <v>31</v>
      </c>
      <c r="B41" s="8" t="s">
        <v>52</v>
      </c>
      <c r="C41" s="8" t="str">
        <f t="shared" si="0"/>
        <v>THOMAS PARDUE</v>
      </c>
      <c r="D41" s="8" t="s">
        <v>37</v>
      </c>
      <c r="E41" s="8"/>
      <c r="F41" s="18">
        <v>926817472</v>
      </c>
      <c r="G41" s="18" t="e">
        <f t="shared" ca="1" si="3"/>
        <v>#NAME?</v>
      </c>
      <c r="H41" s="8" t="s">
        <v>155</v>
      </c>
      <c r="I41" s="8" t="s">
        <v>41</v>
      </c>
      <c r="J41" s="8" t="s">
        <v>68</v>
      </c>
      <c r="K41" s="8" t="str">
        <f t="shared" si="1"/>
        <v>4/1/2026</v>
      </c>
      <c r="L41" s="8" t="s">
        <v>42</v>
      </c>
      <c r="M41" s="8" t="str">
        <f t="shared" si="2"/>
        <v>2/1/2026</v>
      </c>
      <c r="N41" s="8" t="s">
        <v>60</v>
      </c>
      <c r="O41" s="8"/>
      <c r="P41" s="8" t="s">
        <v>47</v>
      </c>
      <c r="Q41" s="8" t="s">
        <v>61</v>
      </c>
      <c r="R41" s="19">
        <v>23</v>
      </c>
    </row>
    <row r="42" spans="1:18" ht="13.2" x14ac:dyDescent="0.25">
      <c r="A42" s="6" t="s">
        <v>31</v>
      </c>
      <c r="B42" s="8" t="s">
        <v>52</v>
      </c>
      <c r="C42" s="8" t="str">
        <f t="shared" si="0"/>
        <v>THOMAS PARDUE</v>
      </c>
      <c r="D42" s="8" t="s">
        <v>37</v>
      </c>
      <c r="E42" s="8"/>
      <c r="F42" s="18">
        <v>926817472</v>
      </c>
      <c r="G42" s="18" t="e">
        <f t="shared" ca="1" si="3"/>
        <v>#NAME?</v>
      </c>
      <c r="H42" s="8" t="s">
        <v>155</v>
      </c>
      <c r="I42" s="8" t="s">
        <v>41</v>
      </c>
      <c r="J42" s="8" t="s">
        <v>57</v>
      </c>
      <c r="K42" s="8" t="str">
        <f t="shared" si="1"/>
        <v>3/1/2026</v>
      </c>
      <c r="L42" s="8" t="s">
        <v>42</v>
      </c>
      <c r="M42" s="8" t="str">
        <f t="shared" si="2"/>
        <v>2/1/2026</v>
      </c>
      <c r="N42" s="8" t="s">
        <v>60</v>
      </c>
      <c r="O42" s="8"/>
      <c r="P42" s="8" t="s">
        <v>47</v>
      </c>
      <c r="Q42" s="8" t="s">
        <v>61</v>
      </c>
      <c r="R42" s="19">
        <v>23</v>
      </c>
    </row>
    <row r="43" spans="1:18" ht="13.2" x14ac:dyDescent="0.25">
      <c r="A43" s="6" t="s">
        <v>31</v>
      </c>
      <c r="B43" s="8" t="s">
        <v>52</v>
      </c>
      <c r="C43" s="8" t="str">
        <f t="shared" si="0"/>
        <v>THOMAS PARDUE</v>
      </c>
      <c r="D43" s="8" t="s">
        <v>37</v>
      </c>
      <c r="E43" s="8"/>
      <c r="F43" s="18">
        <v>926817886</v>
      </c>
      <c r="G43" s="18" t="e">
        <f t="shared" ca="1" si="3"/>
        <v>#NAME?</v>
      </c>
      <c r="H43" s="8" t="s">
        <v>157</v>
      </c>
      <c r="I43" s="8" t="s">
        <v>41</v>
      </c>
      <c r="J43" s="8" t="s">
        <v>68</v>
      </c>
      <c r="K43" s="8" t="str">
        <f t="shared" si="1"/>
        <v>4/1/2026</v>
      </c>
      <c r="L43" s="8" t="s">
        <v>57</v>
      </c>
      <c r="M43" s="8" t="str">
        <f t="shared" si="2"/>
        <v>3/1/2026</v>
      </c>
      <c r="N43" s="8" t="s">
        <v>60</v>
      </c>
      <c r="O43" s="8"/>
      <c r="P43" s="8" t="s">
        <v>47</v>
      </c>
      <c r="Q43" s="8" t="s">
        <v>61</v>
      </c>
      <c r="R43" s="19">
        <v>23</v>
      </c>
    </row>
    <row r="44" spans="1:18" ht="13.2" x14ac:dyDescent="0.25">
      <c r="A44" s="6" t="s">
        <v>31</v>
      </c>
      <c r="B44" s="8" t="s">
        <v>52</v>
      </c>
      <c r="C44" s="8" t="str">
        <f t="shared" si="0"/>
        <v>THOMAS PARDUE</v>
      </c>
      <c r="D44" s="8" t="s">
        <v>37</v>
      </c>
      <c r="E44" s="8"/>
      <c r="F44" s="18">
        <v>926818170</v>
      </c>
      <c r="G44" s="18" t="e">
        <f t="shared" ca="1" si="3"/>
        <v>#NAME?</v>
      </c>
      <c r="H44" s="8" t="s">
        <v>159</v>
      </c>
      <c r="I44" s="8" t="s">
        <v>41</v>
      </c>
      <c r="J44" s="8" t="s">
        <v>68</v>
      </c>
      <c r="K44" s="8" t="str">
        <f t="shared" si="1"/>
        <v>4/1/2026</v>
      </c>
      <c r="L44" s="8" t="s">
        <v>57</v>
      </c>
      <c r="M44" s="8" t="str">
        <f t="shared" si="2"/>
        <v>3/1/2026</v>
      </c>
      <c r="N44" s="8" t="s">
        <v>60</v>
      </c>
      <c r="O44" s="8"/>
      <c r="P44" s="8" t="s">
        <v>47</v>
      </c>
      <c r="Q44" s="8" t="s">
        <v>61</v>
      </c>
      <c r="R44" s="19">
        <v>23</v>
      </c>
    </row>
    <row r="45" spans="1:18" ht="13.2" x14ac:dyDescent="0.25">
      <c r="A45" s="6" t="s">
        <v>31</v>
      </c>
      <c r="B45" s="8" t="s">
        <v>52</v>
      </c>
      <c r="C45" s="8" t="str">
        <f t="shared" si="0"/>
        <v>THOMAS PARDUE</v>
      </c>
      <c r="D45" s="8" t="s">
        <v>37</v>
      </c>
      <c r="E45" s="8"/>
      <c r="F45" s="18">
        <v>944219413</v>
      </c>
      <c r="G45" s="18" t="e">
        <f t="shared" ca="1" si="3"/>
        <v>#NAME?</v>
      </c>
      <c r="H45" s="8" t="s">
        <v>162</v>
      </c>
      <c r="I45" s="8" t="s">
        <v>41</v>
      </c>
      <c r="J45" s="8" t="s">
        <v>68</v>
      </c>
      <c r="K45" s="8" t="str">
        <f t="shared" si="1"/>
        <v>4/1/2026</v>
      </c>
      <c r="L45" s="8" t="s">
        <v>58</v>
      </c>
      <c r="M45" s="8" t="str">
        <f t="shared" si="2"/>
        <v>6/1/2025</v>
      </c>
      <c r="N45" s="8" t="s">
        <v>60</v>
      </c>
      <c r="O45" s="8"/>
      <c r="P45" s="8" t="s">
        <v>47</v>
      </c>
      <c r="Q45" s="8" t="s">
        <v>61</v>
      </c>
      <c r="R45" s="19">
        <v>23</v>
      </c>
    </row>
    <row r="46" spans="1:18" ht="13.2" hidden="1" x14ac:dyDescent="0.25"/>
    <row r="47" spans="1:18" ht="13.2" hidden="1" x14ac:dyDescent="0.25"/>
    <row r="48" spans="1:18" ht="13.2" hidden="1" x14ac:dyDescent="0.25"/>
    <row r="49" ht="13.2" hidden="1" x14ac:dyDescent="0.25"/>
    <row r="50" ht="13.2" hidden="1" x14ac:dyDescent="0.25"/>
    <row r="51" ht="13.2" hidden="1" x14ac:dyDescent="0.25"/>
    <row r="52" ht="13.2" hidden="1" x14ac:dyDescent="0.25"/>
    <row r="53" ht="13.2" hidden="1" x14ac:dyDescent="0.25"/>
    <row r="54" ht="13.2" hidden="1" x14ac:dyDescent="0.25"/>
    <row r="55" ht="13.2" hidden="1" x14ac:dyDescent="0.25"/>
    <row r="56" ht="13.2" hidden="1" x14ac:dyDescent="0.25"/>
    <row r="57" ht="13.2" hidden="1" x14ac:dyDescent="0.25"/>
    <row r="58" ht="13.2" hidden="1" x14ac:dyDescent="0.25"/>
    <row r="59" ht="13.2" hidden="1" x14ac:dyDescent="0.25"/>
    <row r="60" ht="13.2" hidden="1" x14ac:dyDescent="0.25"/>
    <row r="61" ht="13.2" hidden="1" x14ac:dyDescent="0.25"/>
    <row r="62" ht="13.2" hidden="1" x14ac:dyDescent="0.25"/>
    <row r="63" ht="13.2" hidden="1" x14ac:dyDescent="0.25"/>
    <row r="64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  <row r="76" ht="13.2" hidden="1" x14ac:dyDescent="0.25"/>
    <row r="77" ht="13.2" hidden="1" x14ac:dyDescent="0.25"/>
    <row r="78" ht="13.2" hidden="1" x14ac:dyDescent="0.25"/>
    <row r="79" ht="13.2" hidden="1" x14ac:dyDescent="0.25"/>
    <row r="80" ht="13.2" hidden="1" x14ac:dyDescent="0.25"/>
    <row r="81" ht="13.2" hidden="1" x14ac:dyDescent="0.25"/>
    <row r="82" ht="13.2" hidden="1" x14ac:dyDescent="0.25"/>
    <row r="83" ht="13.2" hidden="1" x14ac:dyDescent="0.25"/>
    <row r="84" ht="13.2" hidden="1" x14ac:dyDescent="0.25"/>
    <row r="85" ht="13.2" hidden="1" x14ac:dyDescent="0.25"/>
    <row r="86" ht="13.2" hidden="1" x14ac:dyDescent="0.25"/>
    <row r="87" ht="13.2" hidden="1" x14ac:dyDescent="0.25"/>
    <row r="88" ht="13.2" hidden="1" x14ac:dyDescent="0.25"/>
    <row r="89" ht="13.2" hidden="1" x14ac:dyDescent="0.25"/>
    <row r="90" ht="13.2" hidden="1" x14ac:dyDescent="0.25"/>
    <row r="91" ht="13.2" hidden="1" x14ac:dyDescent="0.25"/>
    <row r="92" ht="13.2" hidden="1" x14ac:dyDescent="0.25"/>
    <row r="93" ht="13.2" hidden="1" x14ac:dyDescent="0.25"/>
    <row r="94" ht="13.2" hidden="1" x14ac:dyDescent="0.25"/>
    <row r="95" ht="13.2" hidden="1" x14ac:dyDescent="0.25"/>
    <row r="96" ht="13.2" hidden="1" x14ac:dyDescent="0.25"/>
    <row r="97" ht="13.2" hidden="1" x14ac:dyDescent="0.25"/>
    <row r="98" ht="13.2" hidden="1" x14ac:dyDescent="0.25"/>
    <row r="99" ht="13.2" hidden="1" x14ac:dyDescent="0.25"/>
    <row r="100" ht="13.2" hidden="1" x14ac:dyDescent="0.25"/>
    <row r="101" ht="13.2" hidden="1" x14ac:dyDescent="0.25"/>
    <row r="102" ht="13.2" hidden="1" x14ac:dyDescent="0.25"/>
    <row r="103" ht="13.2" hidden="1" x14ac:dyDescent="0.25"/>
    <row r="104" ht="13.2" hidden="1" x14ac:dyDescent="0.25"/>
    <row r="105" ht="13.2" hidden="1" x14ac:dyDescent="0.25"/>
    <row r="106" ht="13.2" hidden="1" x14ac:dyDescent="0.25"/>
    <row r="107" ht="13.2" hidden="1" x14ac:dyDescent="0.25"/>
    <row r="108" ht="13.2" hidden="1" x14ac:dyDescent="0.25"/>
    <row r="109" ht="13.2" hidden="1" x14ac:dyDescent="0.25"/>
    <row r="110" ht="13.2" hidden="1" x14ac:dyDescent="0.25"/>
    <row r="111" ht="13.2" hidden="1" x14ac:dyDescent="0.25"/>
    <row r="112" ht="13.2" hidden="1" x14ac:dyDescent="0.25"/>
    <row r="113" ht="13.2" hidden="1" x14ac:dyDescent="0.25"/>
    <row r="114" ht="13.2" hidden="1" x14ac:dyDescent="0.25"/>
    <row r="115" ht="13.2" hidden="1" x14ac:dyDescent="0.25"/>
    <row r="116" ht="13.2" hidden="1" x14ac:dyDescent="0.25"/>
    <row r="117" ht="13.2" hidden="1" x14ac:dyDescent="0.25"/>
    <row r="118" ht="13.2" hidden="1" x14ac:dyDescent="0.25"/>
    <row r="119" ht="13.2" hidden="1" x14ac:dyDescent="0.25"/>
    <row r="120" ht="13.2" hidden="1" x14ac:dyDescent="0.25"/>
    <row r="121" ht="13.2" hidden="1" x14ac:dyDescent="0.25"/>
    <row r="122" ht="13.2" hidden="1" x14ac:dyDescent="0.25"/>
    <row r="123" ht="13.2" hidden="1" x14ac:dyDescent="0.25"/>
    <row r="124" ht="13.2" hidden="1" x14ac:dyDescent="0.25"/>
    <row r="125" ht="13.2" hidden="1" x14ac:dyDescent="0.25"/>
    <row r="126" ht="13.2" hidden="1" x14ac:dyDescent="0.25"/>
    <row r="127" ht="13.2" hidden="1" x14ac:dyDescent="0.25"/>
    <row r="128" ht="13.2" hidden="1" x14ac:dyDescent="0.25"/>
    <row r="129" ht="13.2" hidden="1" x14ac:dyDescent="0.25"/>
    <row r="130" ht="13.2" hidden="1" x14ac:dyDescent="0.25"/>
    <row r="131" ht="13.2" hidden="1" x14ac:dyDescent="0.25"/>
    <row r="132" ht="13.2" hidden="1" x14ac:dyDescent="0.25"/>
    <row r="133" ht="13.2" hidden="1" x14ac:dyDescent="0.25"/>
    <row r="134" ht="13.2" hidden="1" x14ac:dyDescent="0.25"/>
    <row r="135" ht="13.2" hidden="1" x14ac:dyDescent="0.25"/>
    <row r="136" ht="13.2" hidden="1" x14ac:dyDescent="0.25"/>
    <row r="137" ht="13.2" hidden="1" x14ac:dyDescent="0.25"/>
    <row r="138" ht="13.2" hidden="1" x14ac:dyDescent="0.25"/>
    <row r="139" ht="13.2" hidden="1" x14ac:dyDescent="0.25"/>
    <row r="140" ht="13.2" hidden="1" x14ac:dyDescent="0.25"/>
    <row r="141" ht="13.2" hidden="1" x14ac:dyDescent="0.25"/>
    <row r="142" ht="13.2" hidden="1" x14ac:dyDescent="0.25"/>
    <row r="143" ht="13.2" hidden="1" x14ac:dyDescent="0.25"/>
    <row r="144" ht="13.2" hidden="1" x14ac:dyDescent="0.25"/>
    <row r="145" ht="13.2" hidden="1" x14ac:dyDescent="0.25"/>
    <row r="146" ht="13.2" hidden="1" x14ac:dyDescent="0.25"/>
    <row r="147" ht="13.2" hidden="1" x14ac:dyDescent="0.25"/>
    <row r="148" ht="13.2" hidden="1" x14ac:dyDescent="0.25"/>
    <row r="149" ht="13.2" hidden="1" x14ac:dyDescent="0.25"/>
    <row r="150" ht="13.2" hidden="1" x14ac:dyDescent="0.25"/>
    <row r="151" ht="13.2" hidden="1" x14ac:dyDescent="0.25"/>
    <row r="152" ht="13.2" hidden="1" x14ac:dyDescent="0.25"/>
    <row r="153" ht="13.2" hidden="1" x14ac:dyDescent="0.25"/>
    <row r="154" ht="13.2" hidden="1" x14ac:dyDescent="0.25"/>
    <row r="155" ht="13.2" hidden="1" x14ac:dyDescent="0.25"/>
    <row r="156" ht="13.2" hidden="1" x14ac:dyDescent="0.25"/>
    <row r="157" ht="13.2" hidden="1" x14ac:dyDescent="0.25"/>
    <row r="158" ht="13.2" hidden="1" x14ac:dyDescent="0.25"/>
    <row r="159" ht="13.2" hidden="1" x14ac:dyDescent="0.25"/>
    <row r="160" ht="13.2" hidden="1" x14ac:dyDescent="0.25"/>
    <row r="161" ht="13.2" hidden="1" x14ac:dyDescent="0.25"/>
    <row r="162" ht="13.2" hidden="1" x14ac:dyDescent="0.25"/>
    <row r="163" ht="13.2" hidden="1" x14ac:dyDescent="0.25"/>
    <row r="164" ht="13.2" hidden="1" x14ac:dyDescent="0.25"/>
    <row r="165" ht="13.2" hidden="1" x14ac:dyDescent="0.25"/>
    <row r="166" ht="13.2" hidden="1" x14ac:dyDescent="0.25"/>
    <row r="167" ht="13.2" hidden="1" x14ac:dyDescent="0.25"/>
    <row r="168" ht="13.2" hidden="1" x14ac:dyDescent="0.25"/>
    <row r="169" ht="13.2" hidden="1" x14ac:dyDescent="0.25"/>
    <row r="170" ht="13.2" hidden="1" x14ac:dyDescent="0.25"/>
    <row r="171" ht="13.2" hidden="1" x14ac:dyDescent="0.25"/>
    <row r="172" ht="13.2" hidden="1" x14ac:dyDescent="0.25"/>
    <row r="173" ht="13.2" hidden="1" x14ac:dyDescent="0.25"/>
    <row r="174" ht="13.2" hidden="1" x14ac:dyDescent="0.25"/>
    <row r="175" ht="13.2" hidden="1" x14ac:dyDescent="0.25"/>
    <row r="176" ht="13.2" hidden="1" x14ac:dyDescent="0.25"/>
    <row r="177" ht="13.2" hidden="1" x14ac:dyDescent="0.25"/>
    <row r="178" ht="13.2" hidden="1" x14ac:dyDescent="0.25"/>
    <row r="179" ht="13.2" hidden="1" x14ac:dyDescent="0.25"/>
    <row r="180" ht="13.2" hidden="1" x14ac:dyDescent="0.25"/>
    <row r="181" ht="13.2" hidden="1" x14ac:dyDescent="0.25"/>
    <row r="182" ht="13.2" hidden="1" x14ac:dyDescent="0.25"/>
    <row r="183" ht="13.2" hidden="1" x14ac:dyDescent="0.25"/>
    <row r="184" ht="13.2" hidden="1" x14ac:dyDescent="0.25"/>
    <row r="185" ht="13.2" hidden="1" x14ac:dyDescent="0.25"/>
    <row r="186" ht="13.2" hidden="1" x14ac:dyDescent="0.25"/>
    <row r="187" ht="13.2" hidden="1" x14ac:dyDescent="0.25"/>
    <row r="188" ht="13.2" hidden="1" x14ac:dyDescent="0.25"/>
    <row r="189" ht="13.2" hidden="1" x14ac:dyDescent="0.25"/>
    <row r="190" ht="13.2" hidden="1" x14ac:dyDescent="0.25"/>
    <row r="191" ht="13.2" hidden="1" x14ac:dyDescent="0.25"/>
    <row r="192" ht="13.2" hidden="1" x14ac:dyDescent="0.25"/>
    <row r="193" ht="13.2" hidden="1" x14ac:dyDescent="0.25"/>
    <row r="194" ht="13.2" hidden="1" x14ac:dyDescent="0.25"/>
    <row r="195" ht="13.2" hidden="1" x14ac:dyDescent="0.25"/>
    <row r="196" ht="13.2" hidden="1" x14ac:dyDescent="0.25"/>
    <row r="197" ht="13.2" hidden="1" x14ac:dyDescent="0.25"/>
    <row r="198" ht="13.2" hidden="1" x14ac:dyDescent="0.25"/>
    <row r="199" ht="13.2" hidden="1" x14ac:dyDescent="0.25"/>
    <row r="200" ht="13.2" hidden="1" x14ac:dyDescent="0.25"/>
    <row r="201" ht="13.2" hidden="1" x14ac:dyDescent="0.25"/>
    <row r="202" ht="13.2" hidden="1" x14ac:dyDescent="0.25"/>
    <row r="203" ht="13.2" hidden="1" x14ac:dyDescent="0.25"/>
    <row r="204" ht="13.2" hidden="1" x14ac:dyDescent="0.25"/>
    <row r="205" ht="13.2" hidden="1" x14ac:dyDescent="0.25"/>
    <row r="206" ht="13.2" hidden="1" x14ac:dyDescent="0.25"/>
    <row r="207" ht="13.2" hidden="1" x14ac:dyDescent="0.25"/>
    <row r="208" ht="13.2" hidden="1" x14ac:dyDescent="0.25"/>
    <row r="209" ht="13.2" hidden="1" x14ac:dyDescent="0.25"/>
    <row r="210" ht="13.2" hidden="1" x14ac:dyDescent="0.25"/>
    <row r="211" ht="13.2" hidden="1" x14ac:dyDescent="0.25"/>
    <row r="212" ht="13.2" hidden="1" x14ac:dyDescent="0.25"/>
    <row r="213" ht="13.2" hidden="1" x14ac:dyDescent="0.25"/>
    <row r="214" ht="13.2" hidden="1" x14ac:dyDescent="0.25"/>
    <row r="215" ht="13.2" hidden="1" x14ac:dyDescent="0.25"/>
    <row r="216" ht="13.2" hidden="1" x14ac:dyDescent="0.25"/>
    <row r="217" ht="13.2" hidden="1" x14ac:dyDescent="0.25"/>
    <row r="218" ht="13.2" hidden="1" x14ac:dyDescent="0.25"/>
    <row r="219" ht="13.2" hidden="1" x14ac:dyDescent="0.25"/>
    <row r="220" ht="13.2" hidden="1" x14ac:dyDescent="0.25"/>
    <row r="221" ht="13.2" hidden="1" x14ac:dyDescent="0.25"/>
    <row r="222" ht="13.2" hidden="1" x14ac:dyDescent="0.25"/>
    <row r="223" ht="13.2" hidden="1" x14ac:dyDescent="0.25"/>
    <row r="224" ht="13.2" hidden="1" x14ac:dyDescent="0.25"/>
    <row r="225" ht="13.2" hidden="1" x14ac:dyDescent="0.25"/>
    <row r="226" ht="13.2" hidden="1" x14ac:dyDescent="0.25"/>
    <row r="227" ht="13.2" hidden="1" x14ac:dyDescent="0.25"/>
    <row r="228" ht="13.2" hidden="1" x14ac:dyDescent="0.25"/>
    <row r="229" ht="13.2" hidden="1" x14ac:dyDescent="0.25"/>
    <row r="230" ht="13.2" hidden="1" x14ac:dyDescent="0.25"/>
    <row r="231" ht="13.2" hidden="1" x14ac:dyDescent="0.25"/>
    <row r="232" ht="13.2" hidden="1" x14ac:dyDescent="0.25"/>
    <row r="233" ht="13.2" hidden="1" x14ac:dyDescent="0.25"/>
    <row r="234" ht="13.2" hidden="1" x14ac:dyDescent="0.25"/>
    <row r="235" ht="13.2" hidden="1" x14ac:dyDescent="0.25"/>
    <row r="236" ht="13.2" hidden="1" x14ac:dyDescent="0.25"/>
    <row r="237" ht="13.2" hidden="1" x14ac:dyDescent="0.25"/>
    <row r="238" ht="13.2" hidden="1" x14ac:dyDescent="0.25"/>
    <row r="239" ht="13.2" hidden="1" x14ac:dyDescent="0.25"/>
    <row r="240" ht="13.2" hidden="1" x14ac:dyDescent="0.25"/>
    <row r="241" ht="13.2" hidden="1" x14ac:dyDescent="0.25"/>
    <row r="242" ht="13.2" hidden="1" x14ac:dyDescent="0.25"/>
    <row r="243" ht="13.2" hidden="1" x14ac:dyDescent="0.25"/>
    <row r="244" ht="13.2" hidden="1" x14ac:dyDescent="0.25"/>
    <row r="245" ht="13.2" hidden="1" x14ac:dyDescent="0.25"/>
    <row r="246" ht="13.2" hidden="1" x14ac:dyDescent="0.25"/>
    <row r="247" ht="13.2" hidden="1" x14ac:dyDescent="0.25"/>
    <row r="248" ht="13.2" hidden="1" x14ac:dyDescent="0.25"/>
    <row r="249" ht="13.2" hidden="1" x14ac:dyDescent="0.25"/>
    <row r="250" ht="13.2" hidden="1" x14ac:dyDescent="0.25"/>
    <row r="251" ht="13.2" hidden="1" x14ac:dyDescent="0.25"/>
    <row r="252" ht="13.2" hidden="1" x14ac:dyDescent="0.25"/>
    <row r="253" ht="13.2" hidden="1" x14ac:dyDescent="0.25"/>
    <row r="254" ht="13.2" hidden="1" x14ac:dyDescent="0.25"/>
    <row r="255" ht="13.2" hidden="1" x14ac:dyDescent="0.25"/>
    <row r="256" ht="13.2" hidden="1" x14ac:dyDescent="0.25"/>
    <row r="257" ht="13.2" hidden="1" x14ac:dyDescent="0.25"/>
    <row r="258" ht="13.2" hidden="1" x14ac:dyDescent="0.25"/>
    <row r="259" ht="13.2" hidden="1" x14ac:dyDescent="0.25"/>
    <row r="260" ht="13.2" hidden="1" x14ac:dyDescent="0.25"/>
    <row r="261" ht="13.2" hidden="1" x14ac:dyDescent="0.25"/>
    <row r="262" ht="13.2" hidden="1" x14ac:dyDescent="0.25"/>
    <row r="263" ht="13.2" hidden="1" x14ac:dyDescent="0.25"/>
    <row r="264" ht="13.2" hidden="1" x14ac:dyDescent="0.25"/>
    <row r="265" ht="13.2" hidden="1" x14ac:dyDescent="0.25"/>
    <row r="266" ht="13.2" hidden="1" x14ac:dyDescent="0.25"/>
    <row r="267" ht="13.2" hidden="1" x14ac:dyDescent="0.25"/>
    <row r="268" ht="13.2" hidden="1" x14ac:dyDescent="0.25"/>
    <row r="269" ht="13.2" hidden="1" x14ac:dyDescent="0.25"/>
    <row r="270" ht="13.2" hidden="1" x14ac:dyDescent="0.25"/>
    <row r="271" ht="13.2" hidden="1" x14ac:dyDescent="0.25"/>
    <row r="272" ht="13.2" hidden="1" x14ac:dyDescent="0.25"/>
    <row r="273" ht="13.2" hidden="1" x14ac:dyDescent="0.25"/>
    <row r="274" ht="13.2" hidden="1" x14ac:dyDescent="0.25"/>
    <row r="275" ht="13.2" hidden="1" x14ac:dyDescent="0.25"/>
    <row r="276" ht="13.2" hidden="1" x14ac:dyDescent="0.25"/>
    <row r="277" ht="13.2" hidden="1" x14ac:dyDescent="0.25"/>
    <row r="278" ht="13.2" hidden="1" x14ac:dyDescent="0.25"/>
    <row r="279" ht="13.2" hidden="1" x14ac:dyDescent="0.25"/>
    <row r="280" ht="13.2" hidden="1" x14ac:dyDescent="0.25"/>
    <row r="281" ht="13.2" hidden="1" x14ac:dyDescent="0.25"/>
    <row r="282" ht="13.2" hidden="1" x14ac:dyDescent="0.25"/>
    <row r="283" ht="13.2" hidden="1" x14ac:dyDescent="0.25"/>
    <row r="284" ht="13.2" hidden="1" x14ac:dyDescent="0.25"/>
    <row r="285" ht="13.2" hidden="1" x14ac:dyDescent="0.25"/>
    <row r="286" ht="13.2" hidden="1" x14ac:dyDescent="0.25"/>
    <row r="287" ht="13.2" hidden="1" x14ac:dyDescent="0.25"/>
    <row r="288" ht="13.2" hidden="1" x14ac:dyDescent="0.25"/>
    <row r="289" ht="13.2" hidden="1" x14ac:dyDescent="0.25"/>
    <row r="290" ht="13.2" hidden="1" x14ac:dyDescent="0.25"/>
    <row r="291" ht="13.2" hidden="1" x14ac:dyDescent="0.25"/>
    <row r="292" ht="13.2" hidden="1" x14ac:dyDescent="0.25"/>
    <row r="293" ht="13.2" hidden="1" x14ac:dyDescent="0.25"/>
    <row r="294" ht="13.2" hidden="1" x14ac:dyDescent="0.25"/>
    <row r="295" ht="13.2" hidden="1" x14ac:dyDescent="0.25"/>
    <row r="296" ht="13.2" hidden="1" x14ac:dyDescent="0.25"/>
    <row r="297" ht="13.2" hidden="1" x14ac:dyDescent="0.25"/>
    <row r="298" ht="13.2" hidden="1" x14ac:dyDescent="0.25"/>
    <row r="299" ht="13.2" hidden="1" x14ac:dyDescent="0.25"/>
    <row r="300" ht="13.2" hidden="1" x14ac:dyDescent="0.25"/>
    <row r="301" ht="13.2" hidden="1" x14ac:dyDescent="0.25"/>
    <row r="302" ht="13.2" hidden="1" x14ac:dyDescent="0.25"/>
    <row r="303" ht="13.2" hidden="1" x14ac:dyDescent="0.25"/>
    <row r="304" ht="13.2" hidden="1" x14ac:dyDescent="0.25"/>
    <row r="305" ht="13.2" hidden="1" x14ac:dyDescent="0.25"/>
    <row r="306" ht="13.2" hidden="1" x14ac:dyDescent="0.25"/>
    <row r="307" ht="13.2" hidden="1" x14ac:dyDescent="0.25"/>
    <row r="308" ht="13.2" hidden="1" x14ac:dyDescent="0.25"/>
    <row r="309" ht="13.2" hidden="1" x14ac:dyDescent="0.25"/>
    <row r="310" ht="13.2" hidden="1" x14ac:dyDescent="0.25"/>
    <row r="311" ht="13.2" hidden="1" x14ac:dyDescent="0.25"/>
    <row r="312" ht="13.2" hidden="1" x14ac:dyDescent="0.25"/>
    <row r="313" ht="13.2" hidden="1" x14ac:dyDescent="0.25"/>
    <row r="314" ht="13.2" hidden="1" x14ac:dyDescent="0.25"/>
    <row r="315" ht="13.2" hidden="1" x14ac:dyDescent="0.25"/>
    <row r="316" ht="13.2" hidden="1" x14ac:dyDescent="0.25"/>
    <row r="317" ht="13.2" hidden="1" x14ac:dyDescent="0.25"/>
    <row r="318" ht="13.2" hidden="1" x14ac:dyDescent="0.25"/>
    <row r="319" ht="13.2" hidden="1" x14ac:dyDescent="0.25"/>
    <row r="320" ht="13.2" hidden="1" x14ac:dyDescent="0.25"/>
    <row r="321" ht="13.2" hidden="1" x14ac:dyDescent="0.25"/>
    <row r="322" ht="13.2" hidden="1" x14ac:dyDescent="0.25"/>
    <row r="323" ht="13.2" hidden="1" x14ac:dyDescent="0.25"/>
    <row r="324" ht="13.2" hidden="1" x14ac:dyDescent="0.25"/>
    <row r="325" ht="13.2" hidden="1" x14ac:dyDescent="0.25"/>
    <row r="326" ht="13.2" hidden="1" x14ac:dyDescent="0.25"/>
    <row r="327" ht="13.2" hidden="1" x14ac:dyDescent="0.25"/>
    <row r="328" ht="13.2" hidden="1" x14ac:dyDescent="0.25"/>
    <row r="329" ht="13.2" hidden="1" x14ac:dyDescent="0.25"/>
    <row r="330" ht="13.2" hidden="1" x14ac:dyDescent="0.25"/>
    <row r="331" ht="13.2" hidden="1" x14ac:dyDescent="0.25"/>
    <row r="332" ht="13.2" hidden="1" x14ac:dyDescent="0.25"/>
    <row r="333" ht="13.2" hidden="1" x14ac:dyDescent="0.25"/>
    <row r="334" ht="13.2" hidden="1" x14ac:dyDescent="0.25"/>
    <row r="335" ht="13.2" hidden="1" x14ac:dyDescent="0.25"/>
    <row r="336" ht="13.2" hidden="1" x14ac:dyDescent="0.25"/>
    <row r="337" ht="13.2" hidden="1" x14ac:dyDescent="0.25"/>
    <row r="338" ht="13.2" hidden="1" x14ac:dyDescent="0.25"/>
    <row r="339" ht="13.2" hidden="1" x14ac:dyDescent="0.25"/>
    <row r="340" ht="13.2" hidden="1" x14ac:dyDescent="0.25"/>
    <row r="341" ht="13.2" hidden="1" x14ac:dyDescent="0.25"/>
    <row r="342" ht="13.2" hidden="1" x14ac:dyDescent="0.25"/>
    <row r="343" ht="13.2" hidden="1" x14ac:dyDescent="0.25"/>
    <row r="344" ht="13.2" hidden="1" x14ac:dyDescent="0.25"/>
    <row r="345" ht="13.2" hidden="1" x14ac:dyDescent="0.25"/>
    <row r="346" ht="13.2" hidden="1" x14ac:dyDescent="0.25"/>
    <row r="347" ht="13.2" hidden="1" x14ac:dyDescent="0.25"/>
    <row r="348" ht="13.2" hidden="1" x14ac:dyDescent="0.25"/>
    <row r="349" ht="13.2" hidden="1" x14ac:dyDescent="0.25"/>
    <row r="350" ht="13.2" hidden="1" x14ac:dyDescent="0.25"/>
    <row r="351" ht="13.2" hidden="1" x14ac:dyDescent="0.25"/>
    <row r="352" ht="13.2" hidden="1" x14ac:dyDescent="0.25"/>
    <row r="353" ht="13.2" hidden="1" x14ac:dyDescent="0.25"/>
    <row r="354" ht="13.2" hidden="1" x14ac:dyDescent="0.25"/>
    <row r="355" ht="13.2" hidden="1" x14ac:dyDescent="0.25"/>
    <row r="356" ht="13.2" hidden="1" x14ac:dyDescent="0.25"/>
    <row r="357" ht="13.2" hidden="1" x14ac:dyDescent="0.25"/>
    <row r="358" ht="13.2" hidden="1" x14ac:dyDescent="0.25"/>
    <row r="359" ht="13.2" hidden="1" x14ac:dyDescent="0.25"/>
    <row r="360" ht="13.2" hidden="1" x14ac:dyDescent="0.25"/>
    <row r="361" ht="13.2" hidden="1" x14ac:dyDescent="0.25"/>
    <row r="362" ht="13.2" hidden="1" x14ac:dyDescent="0.25"/>
    <row r="363" ht="13.2" hidden="1" x14ac:dyDescent="0.25"/>
    <row r="364" ht="13.2" hidden="1" x14ac:dyDescent="0.25"/>
    <row r="365" ht="13.2" hidden="1" x14ac:dyDescent="0.25"/>
    <row r="366" ht="13.2" hidden="1" x14ac:dyDescent="0.25"/>
    <row r="367" ht="13.2" hidden="1" x14ac:dyDescent="0.25"/>
    <row r="368" ht="13.2" hidden="1" x14ac:dyDescent="0.25"/>
    <row r="369" ht="13.2" hidden="1" x14ac:dyDescent="0.25"/>
    <row r="370" ht="13.2" hidden="1" x14ac:dyDescent="0.25"/>
    <row r="371" ht="13.2" hidden="1" x14ac:dyDescent="0.25"/>
    <row r="372" ht="13.2" hidden="1" x14ac:dyDescent="0.25"/>
    <row r="373" ht="13.2" hidden="1" x14ac:dyDescent="0.25"/>
    <row r="374" ht="13.2" hidden="1" x14ac:dyDescent="0.25"/>
    <row r="375" ht="13.2" hidden="1" x14ac:dyDescent="0.25"/>
    <row r="376" ht="13.2" hidden="1" x14ac:dyDescent="0.25"/>
    <row r="377" ht="13.2" hidden="1" x14ac:dyDescent="0.25"/>
    <row r="378" ht="13.2" hidden="1" x14ac:dyDescent="0.25"/>
    <row r="379" ht="13.2" hidden="1" x14ac:dyDescent="0.25"/>
    <row r="380" ht="13.2" hidden="1" x14ac:dyDescent="0.25"/>
    <row r="381" ht="13.2" hidden="1" x14ac:dyDescent="0.25"/>
    <row r="382" ht="13.2" hidden="1" x14ac:dyDescent="0.25"/>
    <row r="383" ht="13.2" hidden="1" x14ac:dyDescent="0.25"/>
    <row r="384" ht="13.2" hidden="1" x14ac:dyDescent="0.25"/>
    <row r="385" ht="13.2" hidden="1" x14ac:dyDescent="0.25"/>
    <row r="386" ht="13.2" hidden="1" x14ac:dyDescent="0.25"/>
    <row r="387" ht="13.2" hidden="1" x14ac:dyDescent="0.25"/>
    <row r="388" ht="13.2" hidden="1" x14ac:dyDescent="0.25"/>
    <row r="389" ht="13.2" hidden="1" x14ac:dyDescent="0.25"/>
    <row r="390" ht="13.2" hidden="1" x14ac:dyDescent="0.25"/>
    <row r="391" ht="13.2" hidden="1" x14ac:dyDescent="0.25"/>
    <row r="392" ht="13.2" hidden="1" x14ac:dyDescent="0.25"/>
    <row r="393" ht="13.2" hidden="1" x14ac:dyDescent="0.25"/>
    <row r="394" ht="13.2" hidden="1" x14ac:dyDescent="0.25"/>
    <row r="395" ht="13.2" hidden="1" x14ac:dyDescent="0.25"/>
    <row r="396" ht="13.2" hidden="1" x14ac:dyDescent="0.25"/>
    <row r="397" ht="13.2" hidden="1" x14ac:dyDescent="0.25"/>
    <row r="398" ht="13.2" hidden="1" x14ac:dyDescent="0.25"/>
    <row r="399" ht="13.2" hidden="1" x14ac:dyDescent="0.25"/>
    <row r="400" ht="13.2" hidden="1" x14ac:dyDescent="0.25"/>
    <row r="401" ht="13.2" hidden="1" x14ac:dyDescent="0.25"/>
    <row r="402" ht="13.2" hidden="1" x14ac:dyDescent="0.25"/>
    <row r="403" ht="13.2" hidden="1" x14ac:dyDescent="0.25"/>
    <row r="404" ht="13.2" hidden="1" x14ac:dyDescent="0.25"/>
    <row r="405" ht="13.2" hidden="1" x14ac:dyDescent="0.25"/>
    <row r="406" ht="13.2" hidden="1" x14ac:dyDescent="0.25"/>
    <row r="407" ht="13.2" hidden="1" x14ac:dyDescent="0.25"/>
    <row r="408" ht="13.2" hidden="1" x14ac:dyDescent="0.25"/>
    <row r="409" ht="13.2" hidden="1" x14ac:dyDescent="0.25"/>
    <row r="410" ht="13.2" hidden="1" x14ac:dyDescent="0.25"/>
    <row r="411" ht="13.2" hidden="1" x14ac:dyDescent="0.25"/>
    <row r="412" ht="13.2" hidden="1" x14ac:dyDescent="0.25"/>
    <row r="413" ht="13.2" hidden="1" x14ac:dyDescent="0.25"/>
    <row r="414" ht="13.2" hidden="1" x14ac:dyDescent="0.25"/>
    <row r="415" ht="13.2" hidden="1" x14ac:dyDescent="0.25"/>
    <row r="416" ht="13.2" hidden="1" x14ac:dyDescent="0.25"/>
    <row r="417" ht="13.2" hidden="1" x14ac:dyDescent="0.25"/>
    <row r="418" ht="13.2" hidden="1" x14ac:dyDescent="0.25"/>
    <row r="419" ht="13.2" hidden="1" x14ac:dyDescent="0.25"/>
    <row r="420" ht="13.2" hidden="1" x14ac:dyDescent="0.25"/>
    <row r="421" ht="13.2" hidden="1" x14ac:dyDescent="0.25"/>
    <row r="422" ht="13.2" hidden="1" x14ac:dyDescent="0.25"/>
    <row r="423" ht="13.2" hidden="1" x14ac:dyDescent="0.25"/>
    <row r="424" ht="13.2" hidden="1" x14ac:dyDescent="0.25"/>
    <row r="425" ht="13.2" hidden="1" x14ac:dyDescent="0.25"/>
    <row r="426" ht="13.2" hidden="1" x14ac:dyDescent="0.25"/>
    <row r="427" ht="13.2" hidden="1" x14ac:dyDescent="0.25"/>
    <row r="428" ht="13.2" hidden="1" x14ac:dyDescent="0.25"/>
    <row r="429" ht="13.2" hidden="1" x14ac:dyDescent="0.25"/>
    <row r="430" ht="13.2" hidden="1" x14ac:dyDescent="0.25"/>
    <row r="431" ht="13.2" hidden="1" x14ac:dyDescent="0.25"/>
    <row r="432" ht="13.2" hidden="1" x14ac:dyDescent="0.25"/>
    <row r="433" ht="13.2" hidden="1" x14ac:dyDescent="0.25"/>
    <row r="434" ht="13.2" hidden="1" x14ac:dyDescent="0.25"/>
    <row r="435" ht="13.2" hidden="1" x14ac:dyDescent="0.25"/>
    <row r="436" ht="13.2" hidden="1" x14ac:dyDescent="0.25"/>
    <row r="437" ht="13.2" hidden="1" x14ac:dyDescent="0.25"/>
    <row r="438" ht="13.2" hidden="1" x14ac:dyDescent="0.25"/>
    <row r="439" ht="13.2" hidden="1" x14ac:dyDescent="0.25"/>
    <row r="440" ht="13.2" hidden="1" x14ac:dyDescent="0.25"/>
    <row r="441" ht="13.2" hidden="1" x14ac:dyDescent="0.25"/>
    <row r="442" ht="13.2" hidden="1" x14ac:dyDescent="0.25"/>
    <row r="443" ht="13.2" hidden="1" x14ac:dyDescent="0.25"/>
    <row r="444" ht="13.2" hidden="1" x14ac:dyDescent="0.25"/>
    <row r="445" ht="13.2" hidden="1" x14ac:dyDescent="0.25"/>
    <row r="446" ht="13.2" hidden="1" x14ac:dyDescent="0.25"/>
    <row r="447" ht="13.2" hidden="1" x14ac:dyDescent="0.25"/>
    <row r="448" ht="13.2" hidden="1" x14ac:dyDescent="0.25"/>
    <row r="449" ht="13.2" hidden="1" x14ac:dyDescent="0.25"/>
    <row r="450" ht="13.2" hidden="1" x14ac:dyDescent="0.25"/>
    <row r="451" ht="13.2" hidden="1" x14ac:dyDescent="0.25"/>
    <row r="452" ht="13.2" hidden="1" x14ac:dyDescent="0.25"/>
    <row r="453" ht="13.2" hidden="1" x14ac:dyDescent="0.25"/>
    <row r="454" ht="13.2" hidden="1" x14ac:dyDescent="0.25"/>
    <row r="455" ht="13.2" hidden="1" x14ac:dyDescent="0.25"/>
    <row r="456" ht="13.2" hidden="1" x14ac:dyDescent="0.25"/>
    <row r="457" ht="13.2" hidden="1" x14ac:dyDescent="0.25"/>
    <row r="458" ht="13.2" hidden="1" x14ac:dyDescent="0.25"/>
    <row r="459" ht="13.2" hidden="1" x14ac:dyDescent="0.25"/>
    <row r="460" ht="13.2" hidden="1" x14ac:dyDescent="0.25"/>
    <row r="461" ht="13.2" hidden="1" x14ac:dyDescent="0.25"/>
    <row r="462" ht="13.2" hidden="1" x14ac:dyDescent="0.25"/>
    <row r="463" ht="13.2" hidden="1" x14ac:dyDescent="0.25"/>
    <row r="464" ht="13.2" hidden="1" x14ac:dyDescent="0.25"/>
    <row r="465" ht="13.2" hidden="1" x14ac:dyDescent="0.25"/>
    <row r="466" ht="13.2" hidden="1" x14ac:dyDescent="0.25"/>
    <row r="467" ht="13.2" hidden="1" x14ac:dyDescent="0.25"/>
    <row r="468" ht="13.2" hidden="1" x14ac:dyDescent="0.25"/>
    <row r="469" ht="13.2" hidden="1" x14ac:dyDescent="0.25"/>
    <row r="470" ht="13.2" hidden="1" x14ac:dyDescent="0.25"/>
    <row r="471" ht="13.2" hidden="1" x14ac:dyDescent="0.25"/>
    <row r="472" ht="13.2" hidden="1" x14ac:dyDescent="0.25"/>
    <row r="473" ht="13.2" hidden="1" x14ac:dyDescent="0.25"/>
    <row r="474" ht="13.2" hidden="1" x14ac:dyDescent="0.25"/>
    <row r="475" ht="13.2" hidden="1" x14ac:dyDescent="0.25"/>
    <row r="476" ht="13.2" hidden="1" x14ac:dyDescent="0.25"/>
    <row r="477" ht="13.2" hidden="1" x14ac:dyDescent="0.25"/>
    <row r="478" ht="13.2" hidden="1" x14ac:dyDescent="0.25"/>
    <row r="479" ht="13.2" hidden="1" x14ac:dyDescent="0.25"/>
    <row r="480" ht="13.2" hidden="1" x14ac:dyDescent="0.25"/>
    <row r="481" ht="13.2" hidden="1" x14ac:dyDescent="0.25"/>
    <row r="482" ht="13.2" hidden="1" x14ac:dyDescent="0.25"/>
    <row r="483" ht="13.2" hidden="1" x14ac:dyDescent="0.25"/>
    <row r="484" ht="13.2" hidden="1" x14ac:dyDescent="0.25"/>
    <row r="485" ht="13.2" hidden="1" x14ac:dyDescent="0.25"/>
    <row r="486" ht="13.2" hidden="1" x14ac:dyDescent="0.25"/>
    <row r="487" ht="13.2" hidden="1" x14ac:dyDescent="0.25"/>
    <row r="488" ht="13.2" hidden="1" x14ac:dyDescent="0.25"/>
    <row r="489" ht="13.2" hidden="1" x14ac:dyDescent="0.25"/>
    <row r="490" ht="13.2" hidden="1" x14ac:dyDescent="0.25"/>
    <row r="491" ht="13.2" hidden="1" x14ac:dyDescent="0.25"/>
    <row r="492" ht="13.2" hidden="1" x14ac:dyDescent="0.25"/>
    <row r="493" ht="13.2" hidden="1" x14ac:dyDescent="0.25"/>
    <row r="494" ht="13.2" hidden="1" x14ac:dyDescent="0.25"/>
    <row r="495" ht="13.2" hidden="1" x14ac:dyDescent="0.25"/>
    <row r="496" ht="13.2" hidden="1" x14ac:dyDescent="0.25"/>
    <row r="497" ht="13.2" hidden="1" x14ac:dyDescent="0.25"/>
    <row r="498" ht="13.2" hidden="1" x14ac:dyDescent="0.25"/>
    <row r="499" ht="13.2" hidden="1" x14ac:dyDescent="0.25"/>
    <row r="500" ht="13.2" hidden="1" x14ac:dyDescent="0.25"/>
    <row r="501" ht="13.2" hidden="1" x14ac:dyDescent="0.25"/>
    <row r="502" ht="13.2" hidden="1" x14ac:dyDescent="0.25"/>
    <row r="503" ht="13.2" hidden="1" x14ac:dyDescent="0.25"/>
    <row r="504" ht="13.2" hidden="1" x14ac:dyDescent="0.25"/>
    <row r="505" ht="13.2" hidden="1" x14ac:dyDescent="0.25"/>
    <row r="506" ht="13.2" hidden="1" x14ac:dyDescent="0.25"/>
    <row r="507" ht="13.2" hidden="1" x14ac:dyDescent="0.25"/>
    <row r="508" ht="13.2" hidden="1" x14ac:dyDescent="0.25"/>
    <row r="509" ht="13.2" hidden="1" x14ac:dyDescent="0.25"/>
    <row r="510" ht="13.2" hidden="1" x14ac:dyDescent="0.25"/>
    <row r="511" ht="13.2" hidden="1" x14ac:dyDescent="0.25"/>
    <row r="512" ht="13.2" hidden="1" x14ac:dyDescent="0.25"/>
    <row r="513" ht="13.2" hidden="1" x14ac:dyDescent="0.25"/>
    <row r="514" ht="13.2" hidden="1" x14ac:dyDescent="0.25"/>
    <row r="515" ht="13.2" hidden="1" x14ac:dyDescent="0.25"/>
    <row r="516" ht="13.2" hidden="1" x14ac:dyDescent="0.25"/>
    <row r="517" ht="13.2" hidden="1" x14ac:dyDescent="0.25"/>
    <row r="518" ht="13.2" hidden="1" x14ac:dyDescent="0.25"/>
    <row r="519" ht="13.2" hidden="1" x14ac:dyDescent="0.25"/>
    <row r="520" ht="13.2" hidden="1" x14ac:dyDescent="0.25"/>
    <row r="521" ht="13.2" hidden="1" x14ac:dyDescent="0.25"/>
    <row r="522" ht="13.2" hidden="1" x14ac:dyDescent="0.25"/>
    <row r="523" ht="13.2" hidden="1" x14ac:dyDescent="0.25"/>
    <row r="524" ht="13.2" hidden="1" x14ac:dyDescent="0.25"/>
    <row r="525" ht="13.2" hidden="1" x14ac:dyDescent="0.25"/>
    <row r="526" ht="13.2" hidden="1" x14ac:dyDescent="0.25"/>
    <row r="527" ht="13.2" hidden="1" x14ac:dyDescent="0.25"/>
    <row r="528" ht="13.2" hidden="1" x14ac:dyDescent="0.25"/>
    <row r="529" ht="13.2" hidden="1" x14ac:dyDescent="0.25"/>
    <row r="530" ht="13.2" hidden="1" x14ac:dyDescent="0.25"/>
    <row r="531" ht="13.2" hidden="1" x14ac:dyDescent="0.25"/>
    <row r="532" ht="13.2" hidden="1" x14ac:dyDescent="0.25"/>
    <row r="533" ht="13.2" hidden="1" x14ac:dyDescent="0.25"/>
    <row r="534" ht="13.2" hidden="1" x14ac:dyDescent="0.25"/>
    <row r="535" ht="13.2" hidden="1" x14ac:dyDescent="0.25"/>
    <row r="536" ht="13.2" hidden="1" x14ac:dyDescent="0.25"/>
    <row r="537" ht="13.2" hidden="1" x14ac:dyDescent="0.25"/>
    <row r="538" ht="13.2" hidden="1" x14ac:dyDescent="0.25"/>
    <row r="539" ht="13.2" hidden="1" x14ac:dyDescent="0.25"/>
    <row r="540" ht="13.2" hidden="1" x14ac:dyDescent="0.25"/>
    <row r="541" ht="13.2" hidden="1" x14ac:dyDescent="0.25"/>
    <row r="542" ht="13.2" hidden="1" x14ac:dyDescent="0.25"/>
    <row r="543" ht="13.2" hidden="1" x14ac:dyDescent="0.25"/>
    <row r="544" ht="13.2" hidden="1" x14ac:dyDescent="0.25"/>
    <row r="545" ht="13.2" hidden="1" x14ac:dyDescent="0.25"/>
    <row r="546" ht="13.2" hidden="1" x14ac:dyDescent="0.25"/>
    <row r="547" ht="13.2" hidden="1" x14ac:dyDescent="0.25"/>
    <row r="548" ht="13.2" hidden="1" x14ac:dyDescent="0.25"/>
    <row r="549" ht="13.2" hidden="1" x14ac:dyDescent="0.25"/>
    <row r="550" ht="13.2" hidden="1" x14ac:dyDescent="0.25"/>
    <row r="551" ht="13.2" hidden="1" x14ac:dyDescent="0.25"/>
    <row r="552" ht="13.2" hidden="1" x14ac:dyDescent="0.25"/>
    <row r="553" ht="13.2" hidden="1" x14ac:dyDescent="0.25"/>
    <row r="554" ht="13.2" hidden="1" x14ac:dyDescent="0.25"/>
    <row r="555" ht="13.2" hidden="1" x14ac:dyDescent="0.25"/>
    <row r="556" ht="13.2" hidden="1" x14ac:dyDescent="0.25"/>
    <row r="557" ht="13.2" hidden="1" x14ac:dyDescent="0.25"/>
    <row r="558" ht="13.2" hidden="1" x14ac:dyDescent="0.25"/>
    <row r="559" ht="13.2" hidden="1" x14ac:dyDescent="0.25"/>
    <row r="560" ht="13.2" hidden="1" x14ac:dyDescent="0.25"/>
    <row r="561" ht="13.2" hidden="1" x14ac:dyDescent="0.25"/>
    <row r="562" ht="13.2" hidden="1" x14ac:dyDescent="0.25"/>
    <row r="563" ht="13.2" hidden="1" x14ac:dyDescent="0.25"/>
    <row r="564" ht="13.2" hidden="1" x14ac:dyDescent="0.25"/>
    <row r="565" ht="13.2" hidden="1" x14ac:dyDescent="0.25"/>
    <row r="566" ht="13.2" hidden="1" x14ac:dyDescent="0.25"/>
    <row r="567" ht="13.2" hidden="1" x14ac:dyDescent="0.25"/>
    <row r="568" ht="13.2" hidden="1" x14ac:dyDescent="0.25"/>
    <row r="569" ht="13.2" hidden="1" x14ac:dyDescent="0.25"/>
    <row r="570" ht="13.2" hidden="1" x14ac:dyDescent="0.25"/>
    <row r="571" ht="13.2" hidden="1" x14ac:dyDescent="0.25"/>
    <row r="572" ht="13.2" hidden="1" x14ac:dyDescent="0.25"/>
    <row r="573" ht="13.2" hidden="1" x14ac:dyDescent="0.25"/>
    <row r="574" ht="13.2" hidden="1" x14ac:dyDescent="0.25"/>
    <row r="575" ht="13.2" hidden="1" x14ac:dyDescent="0.25"/>
    <row r="576" ht="13.2" hidden="1" x14ac:dyDescent="0.25"/>
    <row r="577" ht="13.2" hidden="1" x14ac:dyDescent="0.25"/>
    <row r="578" ht="13.2" hidden="1" x14ac:dyDescent="0.25"/>
    <row r="579" ht="13.2" hidden="1" x14ac:dyDescent="0.25"/>
    <row r="580" ht="13.2" hidden="1" x14ac:dyDescent="0.25"/>
    <row r="581" ht="13.2" hidden="1" x14ac:dyDescent="0.25"/>
    <row r="582" ht="13.2" hidden="1" x14ac:dyDescent="0.25"/>
    <row r="583" ht="13.2" hidden="1" x14ac:dyDescent="0.25"/>
    <row r="584" ht="13.2" hidden="1" x14ac:dyDescent="0.25"/>
    <row r="585" ht="13.2" hidden="1" x14ac:dyDescent="0.25"/>
    <row r="586" ht="13.2" hidden="1" x14ac:dyDescent="0.25"/>
    <row r="587" ht="13.2" hidden="1" x14ac:dyDescent="0.25"/>
    <row r="588" ht="13.2" hidden="1" x14ac:dyDescent="0.25"/>
    <row r="589" ht="13.2" hidden="1" x14ac:dyDescent="0.25"/>
    <row r="590" ht="13.2" hidden="1" x14ac:dyDescent="0.25"/>
    <row r="591" ht="13.2" hidden="1" x14ac:dyDescent="0.25"/>
    <row r="592" ht="13.2" hidden="1" x14ac:dyDescent="0.25"/>
    <row r="593" ht="13.2" hidden="1" x14ac:dyDescent="0.25"/>
    <row r="594" ht="13.2" hidden="1" x14ac:dyDescent="0.25"/>
    <row r="595" ht="13.2" hidden="1" x14ac:dyDescent="0.25"/>
    <row r="596" ht="13.2" hidden="1" x14ac:dyDescent="0.25"/>
    <row r="597" ht="13.2" hidden="1" x14ac:dyDescent="0.25"/>
    <row r="598" ht="13.2" hidden="1" x14ac:dyDescent="0.25"/>
    <row r="599" ht="13.2" hidden="1" x14ac:dyDescent="0.25"/>
    <row r="600" ht="13.2" hidden="1" x14ac:dyDescent="0.25"/>
    <row r="601" ht="13.2" hidden="1" x14ac:dyDescent="0.25"/>
    <row r="602" ht="13.2" hidden="1" x14ac:dyDescent="0.25"/>
    <row r="603" ht="13.2" hidden="1" x14ac:dyDescent="0.25"/>
    <row r="604" ht="13.2" hidden="1" x14ac:dyDescent="0.25"/>
    <row r="605" ht="13.2" hidden="1" x14ac:dyDescent="0.25"/>
    <row r="606" ht="13.2" hidden="1" x14ac:dyDescent="0.25"/>
    <row r="607" ht="13.2" hidden="1" x14ac:dyDescent="0.25"/>
    <row r="608" ht="13.2" hidden="1" x14ac:dyDescent="0.25"/>
    <row r="609" ht="13.2" hidden="1" x14ac:dyDescent="0.25"/>
    <row r="610" ht="13.2" hidden="1" x14ac:dyDescent="0.25"/>
    <row r="611" ht="13.2" hidden="1" x14ac:dyDescent="0.25"/>
    <row r="612" ht="13.2" hidden="1" x14ac:dyDescent="0.25"/>
    <row r="613" ht="13.2" hidden="1" x14ac:dyDescent="0.25"/>
    <row r="614" ht="13.2" hidden="1" x14ac:dyDescent="0.25"/>
    <row r="615" ht="13.2" hidden="1" x14ac:dyDescent="0.25"/>
    <row r="616" ht="13.2" hidden="1" x14ac:dyDescent="0.25"/>
    <row r="617" ht="13.2" hidden="1" x14ac:dyDescent="0.25"/>
    <row r="618" ht="13.2" hidden="1" x14ac:dyDescent="0.25"/>
    <row r="619" ht="13.2" hidden="1" x14ac:dyDescent="0.25"/>
    <row r="620" ht="13.2" hidden="1" x14ac:dyDescent="0.25"/>
    <row r="621" ht="13.2" hidden="1" x14ac:dyDescent="0.25"/>
    <row r="622" ht="13.2" hidden="1" x14ac:dyDescent="0.25"/>
    <row r="623" ht="13.2" hidden="1" x14ac:dyDescent="0.25"/>
    <row r="624" ht="13.2" hidden="1" x14ac:dyDescent="0.25"/>
    <row r="625" ht="13.2" hidden="1" x14ac:dyDescent="0.25"/>
    <row r="626" ht="13.2" hidden="1" x14ac:dyDescent="0.25"/>
    <row r="627" ht="13.2" hidden="1" x14ac:dyDescent="0.25"/>
    <row r="628" ht="13.2" hidden="1" x14ac:dyDescent="0.25"/>
    <row r="629" ht="13.2" hidden="1" x14ac:dyDescent="0.25"/>
    <row r="630" ht="13.2" hidden="1" x14ac:dyDescent="0.25"/>
    <row r="631" ht="13.2" hidden="1" x14ac:dyDescent="0.25"/>
    <row r="632" ht="13.2" hidden="1" x14ac:dyDescent="0.25"/>
    <row r="633" ht="13.2" hidden="1" x14ac:dyDescent="0.25"/>
    <row r="634" ht="13.2" hidden="1" x14ac:dyDescent="0.25"/>
    <row r="635" ht="13.2" hidden="1" x14ac:dyDescent="0.25"/>
    <row r="636" ht="13.2" hidden="1" x14ac:dyDescent="0.25"/>
    <row r="637" ht="13.2" hidden="1" x14ac:dyDescent="0.25"/>
    <row r="638" ht="13.2" hidden="1" x14ac:dyDescent="0.25"/>
    <row r="639" ht="13.2" hidden="1" x14ac:dyDescent="0.25"/>
    <row r="640" ht="13.2" hidden="1" x14ac:dyDescent="0.25"/>
    <row r="641" ht="13.2" hidden="1" x14ac:dyDescent="0.25"/>
    <row r="642" ht="13.2" hidden="1" x14ac:dyDescent="0.25"/>
    <row r="643" ht="13.2" hidden="1" x14ac:dyDescent="0.25"/>
    <row r="644" ht="13.2" hidden="1" x14ac:dyDescent="0.25"/>
    <row r="645" ht="13.2" hidden="1" x14ac:dyDescent="0.25"/>
    <row r="646" ht="13.2" hidden="1" x14ac:dyDescent="0.25"/>
    <row r="647" ht="13.2" hidden="1" x14ac:dyDescent="0.25"/>
    <row r="648" ht="13.2" hidden="1" x14ac:dyDescent="0.25"/>
    <row r="649" ht="13.2" hidden="1" x14ac:dyDescent="0.25"/>
    <row r="650" ht="13.2" hidden="1" x14ac:dyDescent="0.25"/>
    <row r="651" ht="13.2" hidden="1" x14ac:dyDescent="0.25"/>
    <row r="652" ht="13.2" hidden="1" x14ac:dyDescent="0.25"/>
    <row r="653" ht="13.2" hidden="1" x14ac:dyDescent="0.25"/>
    <row r="654" ht="13.2" hidden="1" x14ac:dyDescent="0.25"/>
    <row r="655" ht="13.2" hidden="1" x14ac:dyDescent="0.25"/>
    <row r="656" ht="13.2" hidden="1" x14ac:dyDescent="0.25"/>
    <row r="657" ht="13.2" hidden="1" x14ac:dyDescent="0.25"/>
    <row r="658" ht="13.2" hidden="1" x14ac:dyDescent="0.25"/>
    <row r="659" ht="13.2" hidden="1" x14ac:dyDescent="0.25"/>
    <row r="660" ht="13.2" hidden="1" x14ac:dyDescent="0.25"/>
    <row r="661" ht="13.2" hidden="1" x14ac:dyDescent="0.25"/>
    <row r="662" ht="13.2" hidden="1" x14ac:dyDescent="0.25"/>
    <row r="663" ht="13.2" hidden="1" x14ac:dyDescent="0.25"/>
    <row r="664" ht="13.2" hidden="1" x14ac:dyDescent="0.25"/>
    <row r="665" ht="13.2" hidden="1" x14ac:dyDescent="0.25"/>
    <row r="666" ht="13.2" hidden="1" x14ac:dyDescent="0.25"/>
    <row r="667" ht="13.2" hidden="1" x14ac:dyDescent="0.25"/>
    <row r="668" ht="13.2" hidden="1" x14ac:dyDescent="0.25"/>
    <row r="669" ht="13.2" hidden="1" x14ac:dyDescent="0.25"/>
    <row r="670" ht="13.2" hidden="1" x14ac:dyDescent="0.25"/>
    <row r="671" ht="13.2" hidden="1" x14ac:dyDescent="0.25"/>
    <row r="672" ht="13.2" hidden="1" x14ac:dyDescent="0.25"/>
    <row r="673" ht="13.2" hidden="1" x14ac:dyDescent="0.25"/>
    <row r="674" ht="13.2" hidden="1" x14ac:dyDescent="0.25"/>
    <row r="675" ht="13.2" hidden="1" x14ac:dyDescent="0.25"/>
    <row r="676" ht="13.2" hidden="1" x14ac:dyDescent="0.25"/>
    <row r="677" ht="13.2" hidden="1" x14ac:dyDescent="0.25"/>
    <row r="678" ht="13.2" hidden="1" x14ac:dyDescent="0.25"/>
    <row r="679" ht="13.2" hidden="1" x14ac:dyDescent="0.25"/>
    <row r="680" ht="13.2" hidden="1" x14ac:dyDescent="0.25"/>
    <row r="681" ht="13.2" hidden="1" x14ac:dyDescent="0.25"/>
    <row r="682" ht="13.2" hidden="1" x14ac:dyDescent="0.25"/>
    <row r="683" ht="13.2" hidden="1" x14ac:dyDescent="0.25"/>
    <row r="684" ht="13.2" hidden="1" x14ac:dyDescent="0.25"/>
    <row r="685" ht="13.2" hidden="1" x14ac:dyDescent="0.25"/>
    <row r="686" ht="13.2" hidden="1" x14ac:dyDescent="0.25"/>
    <row r="687" ht="13.2" hidden="1" x14ac:dyDescent="0.25"/>
    <row r="688" ht="13.2" hidden="1" x14ac:dyDescent="0.25"/>
    <row r="689" ht="13.2" hidden="1" x14ac:dyDescent="0.25"/>
    <row r="690" ht="13.2" hidden="1" x14ac:dyDescent="0.25"/>
    <row r="691" ht="13.2" hidden="1" x14ac:dyDescent="0.25"/>
    <row r="692" ht="13.2" hidden="1" x14ac:dyDescent="0.25"/>
    <row r="693" ht="13.2" hidden="1" x14ac:dyDescent="0.25"/>
    <row r="694" ht="13.2" hidden="1" x14ac:dyDescent="0.25"/>
    <row r="695" ht="13.2" hidden="1" x14ac:dyDescent="0.25"/>
    <row r="696" ht="13.2" hidden="1" x14ac:dyDescent="0.25"/>
    <row r="697" ht="13.2" hidden="1" x14ac:dyDescent="0.25"/>
    <row r="698" ht="13.2" hidden="1" x14ac:dyDescent="0.25"/>
    <row r="699" ht="13.2" hidden="1" x14ac:dyDescent="0.25"/>
    <row r="700" ht="13.2" hidden="1" x14ac:dyDescent="0.25"/>
    <row r="701" ht="13.2" hidden="1" x14ac:dyDescent="0.25"/>
    <row r="702" ht="13.2" hidden="1" x14ac:dyDescent="0.25"/>
    <row r="703" ht="13.2" hidden="1" x14ac:dyDescent="0.25"/>
    <row r="704" ht="13.2" hidden="1" x14ac:dyDescent="0.25"/>
    <row r="705" ht="13.2" hidden="1" x14ac:dyDescent="0.25"/>
    <row r="706" ht="13.2" hidden="1" x14ac:dyDescent="0.25"/>
    <row r="707" ht="13.2" hidden="1" x14ac:dyDescent="0.25"/>
    <row r="708" ht="13.2" hidden="1" x14ac:dyDescent="0.25"/>
    <row r="709" ht="13.2" hidden="1" x14ac:dyDescent="0.25"/>
    <row r="710" ht="13.2" hidden="1" x14ac:dyDescent="0.25"/>
    <row r="711" ht="13.2" hidden="1" x14ac:dyDescent="0.25"/>
    <row r="712" ht="13.2" hidden="1" x14ac:dyDescent="0.25"/>
    <row r="713" ht="13.2" hidden="1" x14ac:dyDescent="0.25"/>
    <row r="714" ht="13.2" hidden="1" x14ac:dyDescent="0.25"/>
    <row r="715" ht="13.2" hidden="1" x14ac:dyDescent="0.25"/>
    <row r="716" ht="13.2" hidden="1" x14ac:dyDescent="0.25"/>
    <row r="717" ht="13.2" hidden="1" x14ac:dyDescent="0.25"/>
    <row r="718" ht="13.2" hidden="1" x14ac:dyDescent="0.25"/>
    <row r="719" ht="13.2" hidden="1" x14ac:dyDescent="0.25"/>
    <row r="720" ht="13.2" hidden="1" x14ac:dyDescent="0.25"/>
    <row r="721" ht="13.2" hidden="1" x14ac:dyDescent="0.25"/>
    <row r="722" ht="13.2" hidden="1" x14ac:dyDescent="0.25"/>
    <row r="723" ht="13.2" hidden="1" x14ac:dyDescent="0.25"/>
    <row r="724" ht="13.2" hidden="1" x14ac:dyDescent="0.25"/>
    <row r="725" ht="13.2" hidden="1" x14ac:dyDescent="0.25"/>
    <row r="726" ht="13.2" hidden="1" x14ac:dyDescent="0.25"/>
    <row r="727" ht="13.2" hidden="1" x14ac:dyDescent="0.25"/>
    <row r="728" ht="13.2" hidden="1" x14ac:dyDescent="0.25"/>
    <row r="729" ht="13.2" hidden="1" x14ac:dyDescent="0.25"/>
    <row r="730" ht="13.2" hidden="1" x14ac:dyDescent="0.25"/>
    <row r="731" ht="13.2" hidden="1" x14ac:dyDescent="0.25"/>
    <row r="732" ht="13.2" hidden="1" x14ac:dyDescent="0.25"/>
    <row r="733" ht="13.2" hidden="1" x14ac:dyDescent="0.25"/>
    <row r="734" ht="13.2" hidden="1" x14ac:dyDescent="0.25"/>
    <row r="735" ht="13.2" hidden="1" x14ac:dyDescent="0.25"/>
    <row r="736" ht="13.2" hidden="1" x14ac:dyDescent="0.25"/>
    <row r="737" ht="13.2" hidden="1" x14ac:dyDescent="0.25"/>
    <row r="738" ht="13.2" hidden="1" x14ac:dyDescent="0.25"/>
    <row r="739" ht="13.2" hidden="1" x14ac:dyDescent="0.25"/>
    <row r="740" ht="13.2" hidden="1" x14ac:dyDescent="0.25"/>
    <row r="741" ht="13.2" hidden="1" x14ac:dyDescent="0.25"/>
    <row r="742" ht="13.2" hidden="1" x14ac:dyDescent="0.25"/>
    <row r="743" ht="13.2" hidden="1" x14ac:dyDescent="0.25"/>
    <row r="744" ht="13.2" hidden="1" x14ac:dyDescent="0.25"/>
    <row r="745" ht="13.2" hidden="1" x14ac:dyDescent="0.25"/>
    <row r="746" ht="13.2" hidden="1" x14ac:dyDescent="0.25"/>
    <row r="747" ht="13.2" hidden="1" x14ac:dyDescent="0.25"/>
    <row r="748" ht="13.2" hidden="1" x14ac:dyDescent="0.25"/>
    <row r="749" ht="13.2" hidden="1" x14ac:dyDescent="0.25"/>
    <row r="750" ht="13.2" hidden="1" x14ac:dyDescent="0.25"/>
    <row r="751" ht="13.2" hidden="1" x14ac:dyDescent="0.25"/>
    <row r="752" ht="13.2" hidden="1" x14ac:dyDescent="0.25"/>
    <row r="753" ht="13.2" hidden="1" x14ac:dyDescent="0.25"/>
    <row r="754" ht="13.2" hidden="1" x14ac:dyDescent="0.25"/>
    <row r="755" ht="13.2" hidden="1" x14ac:dyDescent="0.25"/>
    <row r="756" ht="13.2" hidden="1" x14ac:dyDescent="0.25"/>
    <row r="757" ht="13.2" hidden="1" x14ac:dyDescent="0.25"/>
    <row r="758" ht="13.2" hidden="1" x14ac:dyDescent="0.25"/>
    <row r="759" ht="13.2" hidden="1" x14ac:dyDescent="0.25"/>
    <row r="760" ht="13.2" hidden="1" x14ac:dyDescent="0.25"/>
    <row r="761" ht="13.2" hidden="1" x14ac:dyDescent="0.25"/>
    <row r="762" ht="13.2" hidden="1" x14ac:dyDescent="0.25"/>
    <row r="763" ht="13.2" hidden="1" x14ac:dyDescent="0.25"/>
    <row r="764" ht="13.2" hidden="1" x14ac:dyDescent="0.25"/>
    <row r="765" ht="13.2" hidden="1" x14ac:dyDescent="0.25"/>
    <row r="766" ht="13.2" hidden="1" x14ac:dyDescent="0.25"/>
    <row r="767" ht="13.2" hidden="1" x14ac:dyDescent="0.25"/>
    <row r="768" ht="13.2" hidden="1" x14ac:dyDescent="0.25"/>
    <row r="769" ht="13.2" hidden="1" x14ac:dyDescent="0.25"/>
    <row r="770" ht="13.2" hidden="1" x14ac:dyDescent="0.25"/>
    <row r="771" ht="13.2" hidden="1" x14ac:dyDescent="0.25"/>
    <row r="772" ht="13.2" hidden="1" x14ac:dyDescent="0.25"/>
    <row r="773" ht="13.2" hidden="1" x14ac:dyDescent="0.25"/>
    <row r="774" ht="13.2" hidden="1" x14ac:dyDescent="0.25"/>
    <row r="775" ht="13.2" hidden="1" x14ac:dyDescent="0.25"/>
    <row r="776" ht="13.2" hidden="1" x14ac:dyDescent="0.25"/>
    <row r="777" ht="13.2" hidden="1" x14ac:dyDescent="0.25"/>
    <row r="778" ht="13.2" hidden="1" x14ac:dyDescent="0.25"/>
    <row r="779" ht="13.2" hidden="1" x14ac:dyDescent="0.25"/>
    <row r="780" ht="13.2" hidden="1" x14ac:dyDescent="0.25"/>
    <row r="781" ht="13.2" hidden="1" x14ac:dyDescent="0.25"/>
    <row r="782" ht="13.2" hidden="1" x14ac:dyDescent="0.25"/>
    <row r="783" ht="13.2" hidden="1" x14ac:dyDescent="0.25"/>
    <row r="784" ht="13.2" hidden="1" x14ac:dyDescent="0.25"/>
    <row r="785" ht="13.2" hidden="1" x14ac:dyDescent="0.25"/>
    <row r="786" ht="13.2" hidden="1" x14ac:dyDescent="0.25"/>
    <row r="787" ht="13.2" hidden="1" x14ac:dyDescent="0.25"/>
    <row r="788" ht="13.2" hidden="1" x14ac:dyDescent="0.25"/>
    <row r="789" ht="13.2" hidden="1" x14ac:dyDescent="0.25"/>
    <row r="790" ht="13.2" hidden="1" x14ac:dyDescent="0.25"/>
    <row r="791" ht="13.2" hidden="1" x14ac:dyDescent="0.25"/>
    <row r="792" ht="13.2" hidden="1" x14ac:dyDescent="0.25"/>
    <row r="793" ht="13.2" hidden="1" x14ac:dyDescent="0.25"/>
    <row r="794" ht="13.2" hidden="1" x14ac:dyDescent="0.25"/>
    <row r="795" ht="13.2" hidden="1" x14ac:dyDescent="0.25"/>
    <row r="796" ht="13.2" hidden="1" x14ac:dyDescent="0.25"/>
    <row r="797" ht="13.2" hidden="1" x14ac:dyDescent="0.25"/>
    <row r="798" ht="13.2" hidden="1" x14ac:dyDescent="0.25"/>
    <row r="799" ht="13.2" hidden="1" x14ac:dyDescent="0.25"/>
    <row r="800" ht="13.2" hidden="1" x14ac:dyDescent="0.25"/>
    <row r="801" ht="13.2" hidden="1" x14ac:dyDescent="0.25"/>
    <row r="802" ht="13.2" hidden="1" x14ac:dyDescent="0.25"/>
    <row r="803" ht="13.2" hidden="1" x14ac:dyDescent="0.25"/>
    <row r="804" ht="13.2" hidden="1" x14ac:dyDescent="0.25"/>
    <row r="805" ht="13.2" hidden="1" x14ac:dyDescent="0.25"/>
    <row r="806" ht="13.2" hidden="1" x14ac:dyDescent="0.25"/>
    <row r="807" ht="13.2" hidden="1" x14ac:dyDescent="0.25"/>
    <row r="808" ht="13.2" hidden="1" x14ac:dyDescent="0.25"/>
    <row r="809" ht="13.2" hidden="1" x14ac:dyDescent="0.25"/>
    <row r="810" ht="13.2" hidden="1" x14ac:dyDescent="0.25"/>
    <row r="811" ht="13.2" hidden="1" x14ac:dyDescent="0.25"/>
    <row r="812" ht="13.2" hidden="1" x14ac:dyDescent="0.25"/>
    <row r="813" ht="13.2" hidden="1" x14ac:dyDescent="0.25"/>
    <row r="814" ht="13.2" hidden="1" x14ac:dyDescent="0.25"/>
    <row r="815" ht="13.2" hidden="1" x14ac:dyDescent="0.25"/>
    <row r="816" ht="13.2" hidden="1" x14ac:dyDescent="0.25"/>
    <row r="817" ht="13.2" hidden="1" x14ac:dyDescent="0.25"/>
    <row r="818" ht="13.2" hidden="1" x14ac:dyDescent="0.25"/>
    <row r="819" ht="13.2" hidden="1" x14ac:dyDescent="0.25"/>
    <row r="820" ht="13.2" hidden="1" x14ac:dyDescent="0.25"/>
    <row r="821" ht="13.2" hidden="1" x14ac:dyDescent="0.25"/>
    <row r="822" ht="13.2" hidden="1" x14ac:dyDescent="0.25"/>
    <row r="823" ht="13.2" hidden="1" x14ac:dyDescent="0.25"/>
    <row r="824" ht="13.2" hidden="1" x14ac:dyDescent="0.25"/>
    <row r="825" ht="13.2" hidden="1" x14ac:dyDescent="0.25"/>
    <row r="826" ht="13.2" hidden="1" x14ac:dyDescent="0.25"/>
    <row r="827" ht="13.2" hidden="1" x14ac:dyDescent="0.25"/>
    <row r="828" ht="13.2" hidden="1" x14ac:dyDescent="0.25"/>
    <row r="829" ht="13.2" hidden="1" x14ac:dyDescent="0.25"/>
    <row r="830" ht="13.2" hidden="1" x14ac:dyDescent="0.25"/>
    <row r="831" ht="13.2" hidden="1" x14ac:dyDescent="0.25"/>
    <row r="832" ht="13.2" hidden="1" x14ac:dyDescent="0.25"/>
    <row r="833" ht="13.2" hidden="1" x14ac:dyDescent="0.25"/>
    <row r="834" ht="13.2" hidden="1" x14ac:dyDescent="0.25"/>
    <row r="835" ht="13.2" hidden="1" x14ac:dyDescent="0.25"/>
    <row r="836" ht="13.2" hidden="1" x14ac:dyDescent="0.25"/>
    <row r="837" ht="13.2" hidden="1" x14ac:dyDescent="0.25"/>
    <row r="838" ht="13.2" hidden="1" x14ac:dyDescent="0.25"/>
    <row r="839" ht="13.2" hidden="1" x14ac:dyDescent="0.25"/>
    <row r="840" ht="13.2" hidden="1" x14ac:dyDescent="0.25"/>
    <row r="841" ht="13.2" hidden="1" x14ac:dyDescent="0.25"/>
    <row r="842" ht="13.2" hidden="1" x14ac:dyDescent="0.25"/>
    <row r="843" ht="13.2" hidden="1" x14ac:dyDescent="0.25"/>
    <row r="844" ht="13.2" hidden="1" x14ac:dyDescent="0.25"/>
    <row r="845" ht="13.2" hidden="1" x14ac:dyDescent="0.25"/>
    <row r="846" ht="13.2" hidden="1" x14ac:dyDescent="0.25"/>
    <row r="847" ht="13.2" hidden="1" x14ac:dyDescent="0.25"/>
    <row r="848" ht="13.2" hidden="1" x14ac:dyDescent="0.25"/>
    <row r="849" ht="13.2" hidden="1" x14ac:dyDescent="0.25"/>
    <row r="850" ht="13.2" hidden="1" x14ac:dyDescent="0.25"/>
    <row r="851" ht="13.2" hidden="1" x14ac:dyDescent="0.25"/>
    <row r="852" ht="13.2" hidden="1" x14ac:dyDescent="0.25"/>
    <row r="853" ht="13.2" hidden="1" x14ac:dyDescent="0.25"/>
    <row r="854" ht="13.2" hidden="1" x14ac:dyDescent="0.25"/>
    <row r="855" ht="13.2" hidden="1" x14ac:dyDescent="0.25"/>
    <row r="856" ht="13.2" hidden="1" x14ac:dyDescent="0.25"/>
    <row r="857" ht="13.2" hidden="1" x14ac:dyDescent="0.25"/>
    <row r="858" ht="13.2" hidden="1" x14ac:dyDescent="0.25"/>
    <row r="859" ht="13.2" hidden="1" x14ac:dyDescent="0.25"/>
    <row r="860" ht="13.2" hidden="1" x14ac:dyDescent="0.25"/>
    <row r="861" ht="13.2" hidden="1" x14ac:dyDescent="0.25"/>
    <row r="862" ht="13.2" hidden="1" x14ac:dyDescent="0.25"/>
    <row r="863" ht="13.2" hidden="1" x14ac:dyDescent="0.25"/>
    <row r="864" ht="13.2" hidden="1" x14ac:dyDescent="0.25"/>
    <row r="865" ht="13.2" hidden="1" x14ac:dyDescent="0.25"/>
    <row r="866" ht="13.2" hidden="1" x14ac:dyDescent="0.25"/>
    <row r="867" ht="13.2" hidden="1" x14ac:dyDescent="0.25"/>
    <row r="868" ht="13.2" hidden="1" x14ac:dyDescent="0.25"/>
    <row r="869" ht="13.2" hidden="1" x14ac:dyDescent="0.25"/>
    <row r="870" ht="13.2" hidden="1" x14ac:dyDescent="0.25"/>
    <row r="871" ht="13.2" hidden="1" x14ac:dyDescent="0.25"/>
    <row r="872" ht="13.2" hidden="1" x14ac:dyDescent="0.25"/>
    <row r="873" ht="13.2" hidden="1" x14ac:dyDescent="0.25"/>
    <row r="874" ht="13.2" hidden="1" x14ac:dyDescent="0.25"/>
    <row r="875" ht="13.2" hidden="1" x14ac:dyDescent="0.25"/>
    <row r="876" ht="13.2" hidden="1" x14ac:dyDescent="0.25"/>
    <row r="877" ht="13.2" hidden="1" x14ac:dyDescent="0.25"/>
    <row r="878" ht="13.2" hidden="1" x14ac:dyDescent="0.25"/>
    <row r="879" ht="13.2" hidden="1" x14ac:dyDescent="0.25"/>
    <row r="880" ht="13.2" hidden="1" x14ac:dyDescent="0.25"/>
    <row r="881" ht="13.2" hidden="1" x14ac:dyDescent="0.25"/>
    <row r="882" ht="13.2" hidden="1" x14ac:dyDescent="0.25"/>
    <row r="883" ht="13.2" hidden="1" x14ac:dyDescent="0.25"/>
    <row r="884" ht="13.2" hidden="1" x14ac:dyDescent="0.25"/>
    <row r="885" ht="13.2" hidden="1" x14ac:dyDescent="0.25"/>
    <row r="886" ht="13.2" hidden="1" x14ac:dyDescent="0.25"/>
    <row r="887" ht="13.2" hidden="1" x14ac:dyDescent="0.25"/>
    <row r="888" ht="13.2" hidden="1" x14ac:dyDescent="0.25"/>
    <row r="889" ht="13.2" hidden="1" x14ac:dyDescent="0.25"/>
    <row r="890" ht="13.2" hidden="1" x14ac:dyDescent="0.25"/>
    <row r="891" ht="13.2" hidden="1" x14ac:dyDescent="0.25"/>
    <row r="892" ht="13.2" hidden="1" x14ac:dyDescent="0.25"/>
    <row r="893" ht="13.2" hidden="1" x14ac:dyDescent="0.25"/>
    <row r="894" ht="13.2" hidden="1" x14ac:dyDescent="0.25"/>
    <row r="895" ht="13.2" hidden="1" x14ac:dyDescent="0.25"/>
    <row r="896" ht="13.2" hidden="1" x14ac:dyDescent="0.25"/>
    <row r="897" ht="13.2" hidden="1" x14ac:dyDescent="0.25"/>
    <row r="898" ht="13.2" hidden="1" x14ac:dyDescent="0.25"/>
    <row r="899" ht="13.2" hidden="1" x14ac:dyDescent="0.25"/>
    <row r="900" ht="13.2" hidden="1" x14ac:dyDescent="0.25"/>
    <row r="901" ht="13.2" hidden="1" x14ac:dyDescent="0.25"/>
    <row r="902" ht="13.2" hidden="1" x14ac:dyDescent="0.25"/>
    <row r="903" ht="13.2" hidden="1" x14ac:dyDescent="0.25"/>
    <row r="904" ht="13.2" hidden="1" x14ac:dyDescent="0.25"/>
    <row r="905" ht="13.2" hidden="1" x14ac:dyDescent="0.25"/>
    <row r="906" ht="13.2" hidden="1" x14ac:dyDescent="0.25"/>
    <row r="907" ht="13.2" hidden="1" x14ac:dyDescent="0.25"/>
    <row r="908" ht="13.2" hidden="1" x14ac:dyDescent="0.25"/>
    <row r="909" ht="13.2" hidden="1" x14ac:dyDescent="0.25"/>
    <row r="910" ht="13.2" hidden="1" x14ac:dyDescent="0.25"/>
    <row r="911" ht="13.2" hidden="1" x14ac:dyDescent="0.25"/>
    <row r="912" ht="13.2" hidden="1" x14ac:dyDescent="0.25"/>
    <row r="913" ht="13.2" hidden="1" x14ac:dyDescent="0.25"/>
    <row r="914" ht="13.2" hidden="1" x14ac:dyDescent="0.25"/>
    <row r="915" ht="13.2" hidden="1" x14ac:dyDescent="0.25"/>
    <row r="916" ht="13.2" hidden="1" x14ac:dyDescent="0.25"/>
    <row r="917" ht="13.2" hidden="1" x14ac:dyDescent="0.25"/>
    <row r="918" ht="13.2" hidden="1" x14ac:dyDescent="0.25"/>
    <row r="919" ht="13.2" hidden="1" x14ac:dyDescent="0.25"/>
    <row r="920" ht="13.2" hidden="1" x14ac:dyDescent="0.25"/>
    <row r="921" ht="13.2" hidden="1" x14ac:dyDescent="0.25"/>
    <row r="922" ht="13.2" hidden="1" x14ac:dyDescent="0.25"/>
    <row r="923" ht="13.2" hidden="1" x14ac:dyDescent="0.25"/>
    <row r="924" ht="13.2" hidden="1" x14ac:dyDescent="0.25"/>
    <row r="925" ht="13.2" hidden="1" x14ac:dyDescent="0.25"/>
    <row r="926" ht="13.2" hidden="1" x14ac:dyDescent="0.25"/>
    <row r="927" ht="13.2" hidden="1" x14ac:dyDescent="0.25"/>
    <row r="928" ht="13.2" hidden="1" x14ac:dyDescent="0.25"/>
    <row r="929" ht="13.2" hidden="1" x14ac:dyDescent="0.25"/>
    <row r="930" ht="13.2" hidden="1" x14ac:dyDescent="0.25"/>
    <row r="931" ht="13.2" hidden="1" x14ac:dyDescent="0.25"/>
    <row r="932" ht="13.2" hidden="1" x14ac:dyDescent="0.25"/>
    <row r="933" ht="13.2" hidden="1" x14ac:dyDescent="0.25"/>
    <row r="934" ht="13.2" hidden="1" x14ac:dyDescent="0.25"/>
    <row r="935" ht="13.2" hidden="1" x14ac:dyDescent="0.25"/>
    <row r="936" ht="13.2" hidden="1" x14ac:dyDescent="0.25"/>
    <row r="937" ht="13.2" hidden="1" x14ac:dyDescent="0.25"/>
    <row r="938" ht="13.2" hidden="1" x14ac:dyDescent="0.25"/>
    <row r="939" ht="13.2" hidden="1" x14ac:dyDescent="0.25"/>
    <row r="940" ht="13.2" hidden="1" x14ac:dyDescent="0.25"/>
    <row r="941" ht="13.2" hidden="1" x14ac:dyDescent="0.25"/>
    <row r="942" ht="13.2" hidden="1" x14ac:dyDescent="0.25"/>
    <row r="943" ht="13.2" hidden="1" x14ac:dyDescent="0.25"/>
    <row r="944" ht="13.2" hidden="1" x14ac:dyDescent="0.25"/>
  </sheetData>
  <autoFilter ref="A1:R944" xr:uid="{00000000-0009-0000-0000-000001000000}">
    <filterColumn colId="0">
      <filters>
        <filter val="00010001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</cp:lastModifiedBy>
  <dcterms:created xsi:type="dcterms:W3CDTF">2026-03-18T12:43:29Z</dcterms:created>
  <dcterms:modified xsi:type="dcterms:W3CDTF">2026-03-24T14:01:37Z</dcterms:modified>
</cp:coreProperties>
</file>