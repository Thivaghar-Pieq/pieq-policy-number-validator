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4-17-25\"/>
    </mc:Choice>
  </mc:AlternateContent>
  <xr:revisionPtr revIDLastSave="0" documentId="13_ncr:1_{0C7F72B9-7DA9-4BE5-BDC2-2DF4F02E6E01}" xr6:coauthVersionLast="47" xr6:coauthVersionMax="47" xr10:uidLastSave="{00000000-0000-0000-0000-000000000000}"/>
  <bookViews>
    <workbookView xWindow="-57720" yWindow="-45" windowWidth="29040" windowHeight="15720" tabRatio="500" activeTab="1" xr2:uid="{00000000-000D-0000-FFFF-FFFF00000000}"/>
  </bookViews>
  <sheets>
    <sheet name="20250417_018056" sheetId="1" r:id="rId1"/>
    <sheet name="clean sheet" sheetId="2" r:id="rId2"/>
  </sheets>
  <definedNames>
    <definedName name="_xlnm._FilterDatabase" localSheetId="1" hidden="1">'clean sheet'!$A$1:$Q$82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2" l="1"/>
  <c r="L43" i="2"/>
  <c r="L54" i="2"/>
  <c r="L62" i="2"/>
  <c r="L58" i="2"/>
  <c r="L6" i="2"/>
  <c r="L55" i="2"/>
  <c r="L63" i="2"/>
  <c r="L59" i="2"/>
  <c r="L48" i="2"/>
  <c r="L44" i="2"/>
  <c r="L49" i="2"/>
  <c r="L12" i="2"/>
  <c r="L20" i="2"/>
  <c r="L18" i="2"/>
  <c r="L45" i="2"/>
  <c r="L13" i="2"/>
  <c r="L19" i="2"/>
  <c r="L8" i="2"/>
  <c r="L14" i="2"/>
  <c r="L21" i="2"/>
  <c r="L56" i="2"/>
  <c r="L64" i="2"/>
  <c r="L60" i="2"/>
  <c r="L81" i="2"/>
  <c r="L57" i="2"/>
  <c r="L65" i="2"/>
  <c r="L61" i="2"/>
  <c r="L7" i="2"/>
  <c r="L9" i="2"/>
  <c r="L15" i="2"/>
  <c r="L22" i="2"/>
  <c r="L23" i="2"/>
  <c r="L16" i="2"/>
  <c r="L24" i="2"/>
  <c r="L17" i="2"/>
  <c r="L25" i="2"/>
  <c r="L82" i="2"/>
  <c r="L4" i="2"/>
  <c r="L5" i="2"/>
  <c r="L47" i="2"/>
  <c r="L50" i="2"/>
  <c r="L51" i="2"/>
  <c r="L46" i="2"/>
  <c r="L11" i="2"/>
  <c r="L37" i="2"/>
  <c r="L35" i="2"/>
  <c r="L53" i="2"/>
  <c r="L52" i="2"/>
  <c r="L71" i="2"/>
  <c r="L66" i="2"/>
  <c r="L72" i="2"/>
  <c r="L67" i="2"/>
  <c r="L77" i="2"/>
  <c r="L32" i="2"/>
  <c r="L34" i="2"/>
  <c r="L73" i="2"/>
  <c r="L30" i="2"/>
  <c r="L74" i="2"/>
  <c r="L68" i="2"/>
  <c r="L78" i="2"/>
  <c r="L75" i="2"/>
  <c r="L69" i="2"/>
  <c r="L79" i="2"/>
  <c r="L40" i="2"/>
  <c r="L38" i="2"/>
  <c r="L10" i="2"/>
  <c r="L76" i="2"/>
  <c r="L70" i="2"/>
  <c r="L80" i="2"/>
  <c r="L39" i="2"/>
  <c r="L36" i="2"/>
  <c r="L41" i="2"/>
  <c r="L27" i="2"/>
  <c r="L2" i="2"/>
  <c r="L3" i="2"/>
  <c r="L33" i="2"/>
  <c r="L26" i="2"/>
  <c r="L28" i="2"/>
  <c r="L31" i="2"/>
  <c r="L29" i="2"/>
</calcChain>
</file>

<file path=xl/sharedStrings.xml><?xml version="1.0" encoding="utf-8"?>
<sst xmlns="http://schemas.openxmlformats.org/spreadsheetml/2006/main" count="2796" uniqueCount="581">
  <si>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</si>
  <si>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</si>
  <si>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</si>
  <si>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</si>
  <si>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</si>
  <si>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</si>
  <si>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</si>
  <si>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</si>
  <si>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</si>
  <si>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</si>
  <si>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</si>
  <si>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</si>
  <si>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</si>
  <si>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</si>
  <si>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</si>
  <si>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</si>
  <si>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</si>
  <si>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</si>
  <si>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</si>
  <si>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</si>
  <si>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</si>
  <si>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</si>
  <si>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</si>
  <si>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</si>
  <si>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</si>
  <si>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</si>
  <si>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</si>
  <si>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</si>
  <si>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</si>
  <si>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</si>
  <si>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</si>
  <si>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</si>
  <si>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</si>
  <si>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</si>
  <si>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04/17/2025</t>
  </si>
  <si>
    <t>LS00165670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</si>
  <si>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</si>
  <si>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</si>
  <si>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</si>
  <si>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</si>
  <si>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</si>
  <si>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</si>
  <si>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12/03/2023</t>
  </si>
  <si>
    <t>05/03/2025</t>
  </si>
  <si>
    <t>04/14/2025</t>
  </si>
  <si>
    <t>04/03/2025</t>
  </si>
  <si>
    <t>$ 38.25</t>
  </si>
  <si>
    <t>$ 2.68</t>
  </si>
  <si>
    <t>PA</t>
  </si>
  <si>
    <t>JASON  MITCHELL</t>
  </si>
  <si>
    <t>M</t>
  </si>
  <si>
    <t>516 JEFFERSON SCHOOL RD</t>
  </si>
  <si>
    <t>LIGONIER</t>
  </si>
  <si>
    <t>15658-2036</t>
  </si>
  <si>
    <t>LS00170715</t>
  </si>
  <si>
    <t>First Year</t>
  </si>
  <si>
    <t>Personal Accident Product III</t>
  </si>
  <si>
    <t>Nasandelger Zana</t>
  </si>
  <si>
    <t>019208AC01</t>
  </si>
  <si>
    <t>05/02/2024</t>
  </si>
  <si>
    <t>05/02/2025</t>
  </si>
  <si>
    <t>04/15/2025</t>
  </si>
  <si>
    <t>04/02/2025</t>
  </si>
  <si>
    <t>$ 43.77</t>
  </si>
  <si>
    <t>$ 21.89</t>
  </si>
  <si>
    <t>IL</t>
  </si>
  <si>
    <t>BAYARAA  OYUNDELGER</t>
  </si>
  <si>
    <t>3626 SALEM WALK</t>
  </si>
  <si>
    <t>A1</t>
  </si>
  <si>
    <t>NORTHBROOK</t>
  </si>
  <si>
    <t>60062-8456</t>
  </si>
  <si>
    <t>LS00170716</t>
  </si>
  <si>
    <t>019208CI01</t>
  </si>
  <si>
    <t>05/03/2024</t>
  </si>
  <si>
    <t>$ 98.75</t>
  </si>
  <si>
    <t>$ 59.25</t>
  </si>
  <si>
    <t>LS00173167</t>
  </si>
  <si>
    <t>Ronald Max</t>
  </si>
  <si>
    <t>019324AC01</t>
  </si>
  <si>
    <t>08/13/2024</t>
  </si>
  <si>
    <t>05/13/2025</t>
  </si>
  <si>
    <t>04/13/2025</t>
  </si>
  <si>
    <t>$ 32.65</t>
  </si>
  <si>
    <t>$ 16.33</t>
  </si>
  <si>
    <t>GA</t>
  </si>
  <si>
    <t>ROSS  THRASH</t>
  </si>
  <si>
    <t>3776 DOGWOOD FARM RD</t>
  </si>
  <si>
    <t>DECATUR</t>
  </si>
  <si>
    <t>30034-6410</t>
  </si>
  <si>
    <t>LS00173390</t>
  </si>
  <si>
    <t>Gary Portugal</t>
  </si>
  <si>
    <t>019237AC01</t>
  </si>
  <si>
    <t>08/21/2024</t>
  </si>
  <si>
    <t>05/21/2025</t>
  </si>
  <si>
    <t>04/21/2025</t>
  </si>
  <si>
    <t>$ 29.36</t>
  </si>
  <si>
    <t>$ 14.68</t>
  </si>
  <si>
    <t>JANICE  PIETRUCHA</t>
  </si>
  <si>
    <t>F</t>
  </si>
  <si>
    <t>191 S CENTRAL AVE</t>
  </si>
  <si>
    <t>WOOD DALE</t>
  </si>
  <si>
    <t>60191-2433</t>
  </si>
  <si>
    <t>LS00173778</t>
  </si>
  <si>
    <t>09/16/2024</t>
  </si>
  <si>
    <t>05/16/2025</t>
  </si>
  <si>
    <t>04/16/2025</t>
  </si>
  <si>
    <t>$ 78.48</t>
  </si>
  <si>
    <t>$ 39.25</t>
  </si>
  <si>
    <t>MD</t>
  </si>
  <si>
    <t>THUHA  GIANG</t>
  </si>
  <si>
    <t>24 BURLWOOD DR</t>
  </si>
  <si>
    <t>MILLERSVILLE</t>
  </si>
  <si>
    <t>LS00173779</t>
  </si>
  <si>
    <t>019324CI01</t>
  </si>
  <si>
    <t>$ 38.48</t>
  </si>
  <si>
    <t>$ 16.55</t>
  </si>
  <si>
    <t>LS00173780</t>
  </si>
  <si>
    <t>Hospital Indemnity Product IV</t>
  </si>
  <si>
    <t>019324HR01</t>
  </si>
  <si>
    <t>$ 125.71</t>
  </si>
  <si>
    <t>$ 69.14</t>
  </si>
  <si>
    <t>LS00173820</t>
  </si>
  <si>
    <t>09/06/2024</t>
  </si>
  <si>
    <t>05/06/2025</t>
  </si>
  <si>
    <t>04/06/2025</t>
  </si>
  <si>
    <t>$ 48.17</t>
  </si>
  <si>
    <t>$ 24.09</t>
  </si>
  <si>
    <t>BEATRIX  EDELENBOS</t>
  </si>
  <si>
    <t>4017 PARKSIDE DR</t>
  </si>
  <si>
    <t>BALTIMORE</t>
  </si>
  <si>
    <t>21206-6329</t>
  </si>
  <si>
    <t>LS00173821</t>
  </si>
  <si>
    <t>$ 8.78</t>
  </si>
  <si>
    <t>$ 3.78</t>
  </si>
  <si>
    <t>LS00173822</t>
  </si>
  <si>
    <t>$ 27.40</t>
  </si>
  <si>
    <t>$ 15.08</t>
  </si>
  <si>
    <t>LS00174063</t>
  </si>
  <si>
    <t>Dale Walenga</t>
  </si>
  <si>
    <t>019350AC01</t>
  </si>
  <si>
    <t>09/17/2024</t>
  </si>
  <si>
    <t>05/17/2025</t>
  </si>
  <si>
    <t>DEMETRI  SEPSIS</t>
  </si>
  <si>
    <t>6 WOODLAND CT</t>
  </si>
  <si>
    <t>LOMBARD</t>
  </si>
  <si>
    <t>LS00174064</t>
  </si>
  <si>
    <t>019350CI01</t>
  </si>
  <si>
    <t>$ 10.05</t>
  </si>
  <si>
    <t>$ 6.03</t>
  </si>
  <si>
    <t>LS00174065</t>
  </si>
  <si>
    <t>019350HR01</t>
  </si>
  <si>
    <t>$ 10.79</t>
  </si>
  <si>
    <t>$ 5.93</t>
  </si>
  <si>
    <t>LS00174121</t>
  </si>
  <si>
    <t>Jared Kinyua</t>
  </si>
  <si>
    <t>019214HR01</t>
  </si>
  <si>
    <t>$ 24.70</t>
  </si>
  <si>
    <t>$ 13.59</t>
  </si>
  <si>
    <t>JOSEPH  OWUSU-SARFO</t>
  </si>
  <si>
    <t>7404 CEDAR GROVE LN</t>
  </si>
  <si>
    <t>ELKRIDGE</t>
  </si>
  <si>
    <t>21075-7916</t>
  </si>
  <si>
    <t>LS00174789</t>
  </si>
  <si>
    <t>019214AC01</t>
  </si>
  <si>
    <t>10/04/2024</t>
  </si>
  <si>
    <t>05/04/2025</t>
  </si>
  <si>
    <t>04/04/2025</t>
  </si>
  <si>
    <t>$ 32.32</t>
  </si>
  <si>
    <t>$ 16.16</t>
  </si>
  <si>
    <t>LORETTA  MONROE</t>
  </si>
  <si>
    <t>2809 KEATING ST</t>
  </si>
  <si>
    <t>TEMPLE HILLS</t>
  </si>
  <si>
    <t>20748-1513</t>
  </si>
  <si>
    <t>LS00174834</t>
  </si>
  <si>
    <t>Cathy Lemon</t>
  </si>
  <si>
    <t>018427HR01</t>
  </si>
  <si>
    <t>10/05/2024</t>
  </si>
  <si>
    <t>05/05/2025</t>
  </si>
  <si>
    <t>04/05/2025</t>
  </si>
  <si>
    <t>$ 46.07</t>
  </si>
  <si>
    <t>$ 25.33</t>
  </si>
  <si>
    <t>PAMELA  EVANS</t>
  </si>
  <si>
    <t>15647 MEWS CT</t>
  </si>
  <si>
    <t>LAUREL</t>
  </si>
  <si>
    <t>20707-3309</t>
  </si>
  <si>
    <t>LS00174873</t>
  </si>
  <si>
    <t>019208HR01</t>
  </si>
  <si>
    <t>10/08/2024</t>
  </si>
  <si>
    <t>05/08/2025</t>
  </si>
  <si>
    <t>04/08/2025</t>
  </si>
  <si>
    <t>$ 45.83</t>
  </si>
  <si>
    <t>$ 25.21</t>
  </si>
  <si>
    <t>MUNKHNASAN  MIJIDDORJ</t>
  </si>
  <si>
    <t>8300 CALLIE AVE</t>
  </si>
  <si>
    <t>MORTON GROVE</t>
  </si>
  <si>
    <t>60053-3721</t>
  </si>
  <si>
    <t>LS00174874</t>
  </si>
  <si>
    <t>$ 56.28</t>
  </si>
  <si>
    <t>$ 30.96</t>
  </si>
  <si>
    <t>MUNKHJARGAL  CHULUUNBAT</t>
  </si>
  <si>
    <t>LS00174981</t>
  </si>
  <si>
    <t>10/15/2024</t>
  </si>
  <si>
    <t>05/15/2025</t>
  </si>
  <si>
    <t>JADA  MCKENNA</t>
  </si>
  <si>
    <t>708 COUNTRY VILLAGE DR</t>
  </si>
  <si>
    <t>2C</t>
  </si>
  <si>
    <t>BEL AIR</t>
  </si>
  <si>
    <t>LS00174982</t>
  </si>
  <si>
    <t>$ 22.98</t>
  </si>
  <si>
    <t>$ 9.88</t>
  </si>
  <si>
    <t>LS00174983</t>
  </si>
  <si>
    <t>$ 51.33</t>
  </si>
  <si>
    <t>$ 28.24</t>
  </si>
  <si>
    <t>LS00174985</t>
  </si>
  <si>
    <t>10/12/2024</t>
  </si>
  <si>
    <t>05/12/2025</t>
  </si>
  <si>
    <t>04/12/2025</t>
  </si>
  <si>
    <t>$ 38.07</t>
  </si>
  <si>
    <t>$ 19.04</t>
  </si>
  <si>
    <t>ROBIN  CHRIST</t>
  </si>
  <si>
    <t>9337 KIMMEL CT</t>
  </si>
  <si>
    <t>TINLEY PARK</t>
  </si>
  <si>
    <t>60487-8448</t>
  </si>
  <si>
    <t>LS00174986</t>
  </si>
  <si>
    <t>$ 22.66</t>
  </si>
  <si>
    <t>$ 12.46</t>
  </si>
  <si>
    <t>LS00175247</t>
  </si>
  <si>
    <t>019237HR01</t>
  </si>
  <si>
    <t>11/15/2024</t>
  </si>
  <si>
    <t>$ 85.25</t>
  </si>
  <si>
    <t>$ 46.89</t>
  </si>
  <si>
    <t>VINDIA  SIMINGTON</t>
  </si>
  <si>
    <t>999 S YATES AVE</t>
  </si>
  <si>
    <t>KANKAKEE</t>
  </si>
  <si>
    <t>60901-4550</t>
  </si>
  <si>
    <t>LS00175361</t>
  </si>
  <si>
    <t>10/26/2024</t>
  </si>
  <si>
    <t>04/26/2025</t>
  </si>
  <si>
    <t>03/26/2025</t>
  </si>
  <si>
    <t>$ 52.53</t>
  </si>
  <si>
    <t>$ 26.27</t>
  </si>
  <si>
    <t>EDITH  SCHOTT</t>
  </si>
  <si>
    <t>45 S HAWTHORNE RD</t>
  </si>
  <si>
    <t>MIDDLE RIVER</t>
  </si>
  <si>
    <t>21220-4833</t>
  </si>
  <si>
    <t>LS00175362</t>
  </si>
  <si>
    <t>019214CI01</t>
  </si>
  <si>
    <t>$ 35.78</t>
  </si>
  <si>
    <t>$ 15.39</t>
  </si>
  <si>
    <t>LS00175363</t>
  </si>
  <si>
    <t>$ 47.48</t>
  </si>
  <si>
    <t>$ 26.12</t>
  </si>
  <si>
    <t>LS00175691</t>
  </si>
  <si>
    <t>Anthony Hunsberger</t>
  </si>
  <si>
    <t>019282HR01</t>
  </si>
  <si>
    <t>11/05/2024</t>
  </si>
  <si>
    <t>$ 45.11</t>
  </si>
  <si>
    <t>$ 24.81</t>
  </si>
  <si>
    <t>ROBERT  MAESTRO</t>
  </si>
  <si>
    <t>442 E WASHINGTON BLVD</t>
  </si>
  <si>
    <t>60148-2833</t>
  </si>
  <si>
    <t>LS00175693</t>
  </si>
  <si>
    <t>019282AC01</t>
  </si>
  <si>
    <t>12/01/2024</t>
  </si>
  <si>
    <t>06/01/2025</t>
  </si>
  <si>
    <t>05/01/2025</t>
  </si>
  <si>
    <t>FAITH  MAESTRO</t>
  </si>
  <si>
    <t>LS00175694</t>
  </si>
  <si>
    <t>019282CI01</t>
  </si>
  <si>
    <t>$ 80.50</t>
  </si>
  <si>
    <t>$ 48.30</t>
  </si>
  <si>
    <t>LS00175704</t>
  </si>
  <si>
    <t>THERESA  LEGAN</t>
  </si>
  <si>
    <t>32836 DEER RIDGE DR</t>
  </si>
  <si>
    <t>WILMINGTON</t>
  </si>
  <si>
    <t>60481-8739</t>
  </si>
  <si>
    <t>LS00175705</t>
  </si>
  <si>
    <t>$ 33.95</t>
  </si>
  <si>
    <t>$ 20.37</t>
  </si>
  <si>
    <t>LS00175724</t>
  </si>
  <si>
    <t>04/01/2025</t>
  </si>
  <si>
    <t>$ -32.65</t>
  </si>
  <si>
    <t>$ -16.33</t>
  </si>
  <si>
    <t>KIM  HANOVER</t>
  </si>
  <si>
    <t>2015 ASPEN DR</t>
  </si>
  <si>
    <t>WOODSTOCK</t>
  </si>
  <si>
    <t>60098-6908</t>
  </si>
  <si>
    <t>LS00175725</t>
  </si>
  <si>
    <t>$ -31.35</t>
  </si>
  <si>
    <t>$ -18.81</t>
  </si>
  <si>
    <t>LS00175802</t>
  </si>
  <si>
    <t>RICHARD YALE</t>
  </si>
  <si>
    <t>019254AC01</t>
  </si>
  <si>
    <t>11/07/2024</t>
  </si>
  <si>
    <t>05/07/2025</t>
  </si>
  <si>
    <t>04/07/2025</t>
  </si>
  <si>
    <t>$ 22.71</t>
  </si>
  <si>
    <t>$ 11.36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</si>
  <si>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</si>
  <si>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</si>
  <si>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</si>
  <si>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</si>
  <si>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</si>
  <si>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</si>
  <si>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</si>
  <si>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LS00175804</t>
  </si>
  <si>
    <t>019254HR01</t>
  </si>
  <si>
    <t>$ 87.29</t>
  </si>
  <si>
    <t>$ 48.01</t>
  </si>
  <si>
    <t>LS00175919</t>
  </si>
  <si>
    <t>11/09/2024</t>
  </si>
  <si>
    <t>05/09/2025</t>
  </si>
  <si>
    <t>04/09/2025</t>
  </si>
  <si>
    <t>$ 54.75</t>
  </si>
  <si>
    <t>$ 32.85</t>
  </si>
  <si>
    <t>ANDREW  EGLI</t>
  </si>
  <si>
    <t>2101 ENGLISH TURN DR</t>
  </si>
  <si>
    <t>PRESTO</t>
  </si>
  <si>
    <t>15142-1039</t>
  </si>
  <si>
    <t>LS00176128</t>
  </si>
  <si>
    <t>Adam Richter</t>
  </si>
  <si>
    <t>018104AC01</t>
  </si>
  <si>
    <t>RICHARD  MILTON</t>
  </si>
  <si>
    <t>1905 TILGHMAN DR</t>
  </si>
  <si>
    <t>CROFTON</t>
  </si>
  <si>
    <t>21114-1847</t>
  </si>
  <si>
    <t>LS00176130</t>
  </si>
  <si>
    <t>018104HR01</t>
  </si>
  <si>
    <t>LS00176194</t>
  </si>
  <si>
    <t>Thomas Kucan</t>
  </si>
  <si>
    <t>018174AC01</t>
  </si>
  <si>
    <t>RACHEAL  ROTH</t>
  </si>
  <si>
    <t>5512 DRUMMER DR</t>
  </si>
  <si>
    <t>PRESTON</t>
  </si>
  <si>
    <t>21655-1761</t>
  </si>
  <si>
    <t>LS00176897</t>
  </si>
  <si>
    <t>11/26/2024</t>
  </si>
  <si>
    <t>$ -34.93</t>
  </si>
  <si>
    <t>$ -17.47</t>
  </si>
  <si>
    <t>EDWARD  SWIETEK</t>
  </si>
  <si>
    <t>1930 SKYRIDGE DR</t>
  </si>
  <si>
    <t>CRYSTAL LAKE</t>
  </si>
  <si>
    <t>LS00176898</t>
  </si>
  <si>
    <t>$ -18.00</t>
  </si>
  <si>
    <t>$ -10.80</t>
  </si>
  <si>
    <t>LS00176899</t>
  </si>
  <si>
    <t>$ -65.97</t>
  </si>
  <si>
    <t>$ -36.29</t>
  </si>
  <si>
    <t>LS00177210</t>
  </si>
  <si>
    <t>01/01/2025</t>
  </si>
  <si>
    <t>$ 35.56</t>
  </si>
  <si>
    <t>$ 17.78</t>
  </si>
  <si>
    <t>ARMANDO  SUAREZ JR</t>
  </si>
  <si>
    <t>19598 W MARTIN DR</t>
  </si>
  <si>
    <t>MUNDELEIN</t>
  </si>
  <si>
    <t>60060-3406</t>
  </si>
  <si>
    <t>LS00177211</t>
  </si>
  <si>
    <t>$ 47.95</t>
  </si>
  <si>
    <t>$ 28.77</t>
  </si>
  <si>
    <t>LS00177212</t>
  </si>
  <si>
    <t>$ 84.54</t>
  </si>
  <si>
    <t>$ 46.50</t>
  </si>
  <si>
    <t>LS00177252</t>
  </si>
  <si>
    <t>12/13/2024</t>
  </si>
  <si>
    <t>$ 53.80</t>
  </si>
  <si>
    <t>$ 32.28</t>
  </si>
  <si>
    <t>SANDY  FARRELL</t>
  </si>
  <si>
    <t>1010 MARGARITE DR</t>
  </si>
  <si>
    <t>APT A</t>
  </si>
  <si>
    <t>PITTSBURGH</t>
  </si>
  <si>
    <t>15216-1065</t>
  </si>
  <si>
    <t>LS00177263</t>
  </si>
  <si>
    <t>12/04/2024</t>
  </si>
  <si>
    <t>$ 56.20</t>
  </si>
  <si>
    <t>$ 33.72</t>
  </si>
  <si>
    <t>JILL  APOSTAL</t>
  </si>
  <si>
    <t>9617 WOODS LN</t>
  </si>
  <si>
    <t>HEBRON</t>
  </si>
  <si>
    <t>60034-9515</t>
  </si>
  <si>
    <t>LS00177413</t>
  </si>
  <si>
    <t>Frank Liskovec</t>
  </si>
  <si>
    <t>019644CI01</t>
  </si>
  <si>
    <t>PAULA  ZIEGLER</t>
  </si>
  <si>
    <t>354 N LARCH AVE</t>
  </si>
  <si>
    <t>ELMHURST</t>
  </si>
  <si>
    <t>60126-2314</t>
  </si>
  <si>
    <t>LS00177418</t>
  </si>
  <si>
    <t>Jonathan Aloff</t>
  </si>
  <si>
    <t>019245AC01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</si>
  <si>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</si>
  <si>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</si>
  <si>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</si>
  <si>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</si>
  <si>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</si>
  <si>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</si>
  <si>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</si>
  <si>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$ 230.25</t>
  </si>
  <si>
    <t>LS00177455</t>
  </si>
  <si>
    <t>Personal Accident Product II</t>
  </si>
  <si>
    <t>$ 38.41</t>
  </si>
  <si>
    <t>$ 19.21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</si>
  <si>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</si>
  <si>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</si>
  <si>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</si>
  <si>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</si>
  <si>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</si>
  <si>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</si>
  <si>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</si>
  <si>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$ 36.61</t>
  </si>
  <si>
    <t>LS00177504</t>
  </si>
  <si>
    <t>12/06/2024</t>
  </si>
  <si>
    <t>ARACELIS  SEPSEY</t>
  </si>
  <si>
    <t>11311 DOUGLAS AVE</t>
  </si>
  <si>
    <t>B</t>
  </si>
  <si>
    <t>HUNTLEY</t>
  </si>
  <si>
    <t>60142-7150</t>
  </si>
  <si>
    <t>LS00177505</t>
  </si>
  <si>
    <t>$ 30.25</t>
  </si>
  <si>
    <t>$ 18.15</t>
  </si>
  <si>
    <t>LS00177529</t>
  </si>
  <si>
    <t>12/07/2024</t>
  </si>
  <si>
    <t>DENNIS  NEVA</t>
  </si>
  <si>
    <t>400 S GREEN ST</t>
  </si>
  <si>
    <t>CHICAGO</t>
  </si>
  <si>
    <t>60607-3533</t>
  </si>
  <si>
    <t>LS00177530</t>
  </si>
  <si>
    <t>$ 17.15</t>
  </si>
  <si>
    <t>$ 10.29</t>
  </si>
  <si>
    <t>LS00177738</t>
  </si>
  <si>
    <t>12/11/2024</t>
  </si>
  <si>
    <t>05/11/2025</t>
  </si>
  <si>
    <t>04/11/2025</t>
  </si>
  <si>
    <t>$ 41.89</t>
  </si>
  <si>
    <t>$ 20.95</t>
  </si>
  <si>
    <t>TYLER  FORTNEY</t>
  </si>
  <si>
    <t>46353 COLUMBUS DR</t>
  </si>
  <si>
    <t>LEXINGTON PARK</t>
  </si>
  <si>
    <t>20653-2833</t>
  </si>
  <si>
    <t>LS00177739</t>
  </si>
  <si>
    <t>Chad Yale</t>
  </si>
  <si>
    <t>019696AC01</t>
  </si>
  <si>
    <t>$ 52.21</t>
  </si>
  <si>
    <t>$ 26.11</t>
  </si>
  <si>
    <t>PAUL  FARLEY</t>
  </si>
  <si>
    <t>3547 N GRAND AVE E</t>
  </si>
  <si>
    <t>SPRINGFIELD</t>
  </si>
  <si>
    <t>62702-4551</t>
  </si>
  <si>
    <t>LS00178102</t>
  </si>
  <si>
    <t>12/17/2024</t>
  </si>
  <si>
    <t>TN</t>
  </si>
  <si>
    <t>KATHERINE  PERKINS</t>
  </si>
  <si>
    <t>239 COBLE RD</t>
  </si>
  <si>
    <t>HOHENWALD</t>
  </si>
  <si>
    <t>38462-5390</t>
  </si>
  <si>
    <t>LS00178118</t>
  </si>
  <si>
    <t>Richard Wuensch</t>
  </si>
  <si>
    <t>019725CI01</t>
  </si>
  <si>
    <t>$ 29.75</t>
  </si>
  <si>
    <t>$ 17.85</t>
  </si>
  <si>
    <t>MELANIE  BOWDEN</t>
  </si>
  <si>
    <t>8718 REESE RD</t>
  </si>
  <si>
    <t>HARVARD</t>
  </si>
  <si>
    <t>60033-9125</t>
  </si>
  <si>
    <t>LS00178119</t>
  </si>
  <si>
    <t>019725HR01</t>
  </si>
  <si>
    <t>$ 61.70</t>
  </si>
  <si>
    <t>$ 33.93</t>
  </si>
  <si>
    <t>LS00178432</t>
  </si>
  <si>
    <t>Andrea Petrungaro</t>
  </si>
  <si>
    <t>019269AC01</t>
  </si>
  <si>
    <t>12/21/2024</t>
  </si>
  <si>
    <t>03/21/2025</t>
  </si>
  <si>
    <t>DAVID  SAXON</t>
  </si>
  <si>
    <t>1979 N HICKS RD</t>
  </si>
  <si>
    <t>PALATINE</t>
  </si>
  <si>
    <t>LS00178433</t>
  </si>
  <si>
    <t>019269CI01</t>
  </si>
  <si>
    <t>01/04/2025</t>
  </si>
  <si>
    <t>$ 91.35</t>
  </si>
  <si>
    <t>$ 54.81</t>
  </si>
  <si>
    <t>LS00178434</t>
  </si>
  <si>
    <t>019269HR01</t>
  </si>
  <si>
    <t>$ 96.77</t>
  </si>
  <si>
    <t>$ 53.21</t>
  </si>
  <si>
    <t>LS00179304</t>
  </si>
  <si>
    <t>01/03/2025</t>
  </si>
  <si>
    <t>KEITH  BEAUDET</t>
  </si>
  <si>
    <t>6709 MALLARD RD</t>
  </si>
  <si>
    <t>21220-1225</t>
  </si>
  <si>
    <t>LS00179305</t>
  </si>
  <si>
    <t>$ 351.48</t>
  </si>
  <si>
    <t>$ 151.14</t>
  </si>
  <si>
    <t>LS00179726</t>
  </si>
  <si>
    <t>01/14/2025</t>
  </si>
  <si>
    <t>05/14/2025</t>
  </si>
  <si>
    <t>$ 43.19</t>
  </si>
  <si>
    <t>$ 21.60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</si>
  <si>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</si>
  <si>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</si>
  <si>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</si>
  <si>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</si>
  <si>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</si>
  <si>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</si>
  <si>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</si>
  <si>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$ 18.48</t>
  </si>
  <si>
    <t>LS00179728</t>
  </si>
  <si>
    <t>$ 80.64</t>
  </si>
  <si>
    <t>$ 44.35</t>
  </si>
  <si>
    <t>LS00179858</t>
  </si>
  <si>
    <t>01/16/2025</t>
  </si>
  <si>
    <t>ROSEMARY  MACKLIN</t>
  </si>
  <si>
    <t>734 WOODSIDE DR</t>
  </si>
  <si>
    <t>WESTMINSTER</t>
  </si>
  <si>
    <t>21157-6244</t>
  </si>
  <si>
    <t>LS00179859</t>
  </si>
  <si>
    <t>$ 109.78</t>
  </si>
  <si>
    <t>$ 47.21</t>
  </si>
  <si>
    <t>LS00179860</t>
  </si>
  <si>
    <t>$ 27.34</t>
  </si>
  <si>
    <t>$ 15.04</t>
  </si>
  <si>
    <t>LS00180398</t>
  </si>
  <si>
    <t>02/05/2025</t>
  </si>
  <si>
    <t>$ 36.85</t>
  </si>
  <si>
    <t>$ 22.11</t>
  </si>
  <si>
    <t>ODMAA  DORJ</t>
  </si>
  <si>
    <t>4926 CONRAD ST</t>
  </si>
  <si>
    <t>GK</t>
  </si>
  <si>
    <t>SKOKIE</t>
  </si>
  <si>
    <t>LS00180953</t>
  </si>
  <si>
    <t>03/07/2025</t>
  </si>
  <si>
    <t>$ 42.86</t>
  </si>
  <si>
    <t>$ 23.58</t>
  </si>
  <si>
    <t>KY</t>
  </si>
  <si>
    <t>RENEE  FITZPATRICK</t>
  </si>
  <si>
    <t>512 KINCAID LN</t>
  </si>
  <si>
    <t>RICHMOND</t>
  </si>
  <si>
    <t>40475-7580</t>
  </si>
  <si>
    <t>LS00181561</t>
  </si>
  <si>
    <t>Initial</t>
  </si>
  <si>
    <t>019237HR02</t>
  </si>
  <si>
    <t>$ 80.36</t>
  </si>
  <si>
    <t>$ 56.25</t>
  </si>
  <si>
    <t>MARCIA  DALEY</t>
  </si>
  <si>
    <t>1026 JACKSON STREET</t>
  </si>
  <si>
    <t>NORTH CHICAGO</t>
  </si>
  <si>
    <t>LS00181564</t>
  </si>
  <si>
    <t>019208CI02</t>
  </si>
  <si>
    <t>$ 54.78</t>
  </si>
  <si>
    <t>$ 31.77</t>
  </si>
  <si>
    <t>CO</t>
  </si>
  <si>
    <t>BUYANNEMEKH  BALDRASH</t>
  </si>
  <si>
    <t>15452 E 7TH AVE</t>
  </si>
  <si>
    <t>AURORA</t>
  </si>
  <si>
    <t>80011-7159</t>
  </si>
  <si>
    <t>LS00181576</t>
  </si>
  <si>
    <t>odmaa enkhtur</t>
  </si>
  <si>
    <t>019261AC02</t>
  </si>
  <si>
    <t>$ 12.49</t>
  </si>
  <si>
    <t>ALTANSUVD  ULZIIKHUTAG</t>
  </si>
  <si>
    <t>1197 EVERGREEN AVE</t>
  </si>
  <si>
    <t>DES PLAINES</t>
  </si>
  <si>
    <t>60016-4542</t>
  </si>
  <si>
    <t>LS00181577</t>
  </si>
  <si>
    <t>019261HR02</t>
  </si>
  <si>
    <t>$ 33.53</t>
  </si>
  <si>
    <t>$ 23.47</t>
  </si>
  <si>
    <t>AV</t>
  </si>
  <si>
    <t>AV1</t>
  </si>
  <si>
    <t>AE</t>
  </si>
  <si>
    <t>LS Critical Illness age 18-70 75</t>
  </si>
  <si>
    <t>LS Hospital Recovery Age18-65 CA VA</t>
  </si>
  <si>
    <t>LS Critical Illness age18-70 MD, NJ, CA</t>
  </si>
  <si>
    <t>LS Personal Accident Age18-74 All State</t>
  </si>
  <si>
    <t>LS Hospital Recovery Age18-85</t>
  </si>
  <si>
    <t>LS Critical Illness age18-70 MD, NJ, CA58</t>
  </si>
  <si>
    <t>LS Critical Illness age 18-70</t>
  </si>
  <si>
    <t>LS Hospital Recovery 4.0 Age18-65 All state70</t>
  </si>
  <si>
    <t>20220688AV6</t>
  </si>
  <si>
    <t>20999157AV6</t>
  </si>
  <si>
    <t>RN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</si>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</sst>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8" fontId="0" fillId="3" borderId="0" xfId="0" applyNumberFormat="1" applyFill="1" applyAlignment="1">
      <alignment horizontal="right"/>
    </xf>
    <xf numFmtId="0" fontId="0" fillId="0" borderId="0" xfId="0" applyFill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8" fontId="0" fillId="4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0" fontId="2" fillId="4" borderId="0" xfId="0" applyFont="1" applyFill="1" applyAlignment="1">
      <alignment horizontal="right"/>
    </xf>
    <xf numFmtId="0" fontId="0" fillId="0" borderId="0" xfId="0" applyFill="1" applyAlignment="1">
      <alignment horizontal="left"/>
    </xf>
    <xf numFmtId="8" fontId="0" fillId="0" borderId="0" xfId="0" applyNumberForma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right"/>
    </xf>
    <xf numFmtId="8" fontId="0" fillId="5" borderId="0" xfId="0" applyNumberFormat="1" applyFill="1" applyAlignment="1">
      <alignment horizontal="righ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6"/>
  <sheetViews>
    <sheetView topLeftCell="A52" workbookViewId="0">
      <selection activeCell="A5" sqref="A5:XFD86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1" customWidth="1"/>
    <col min="26" max="26" width="21.5703125" customWidth="1"/>
    <col min="27" max="27" width="24.28515625" customWidth="1"/>
    <col min="28" max="28" width="20.28515625" customWidth="1"/>
    <col min="29" max="29" width="6.7109375" customWidth="1"/>
    <col min="30" max="30" width="13.42578125" customWidth="1"/>
  </cols>
  <sheetData>
    <row r="1" spans="1:30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25">
      <c r="A4" s="8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7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 x14ac:dyDescent="0.25">
      <c r="A7" s="4" t="s">
        <v>34</v>
      </c>
      <c r="B7" s="2" t="s">
        <v>54</v>
      </c>
      <c r="C7" s="2" t="s">
        <v>36</v>
      </c>
      <c r="D7" s="2" t="s">
        <v>37</v>
      </c>
      <c r="E7" s="2" t="s">
        <v>55</v>
      </c>
      <c r="F7" s="2" t="s">
        <v>56</v>
      </c>
      <c r="G7" s="4">
        <v>19208</v>
      </c>
      <c r="H7" s="2" t="s">
        <v>57</v>
      </c>
      <c r="I7" s="4" t="s">
        <v>58</v>
      </c>
      <c r="J7" s="4" t="s">
        <v>59</v>
      </c>
      <c r="K7" s="4" t="s">
        <v>60</v>
      </c>
      <c r="L7" s="4" t="s">
        <v>61</v>
      </c>
      <c r="M7" s="4" t="s">
        <v>62</v>
      </c>
      <c r="N7" s="4">
        <v>1</v>
      </c>
      <c r="O7" s="4" t="s">
        <v>63</v>
      </c>
      <c r="P7" s="4">
        <v>50</v>
      </c>
      <c r="Q7" s="4" t="s">
        <v>64</v>
      </c>
      <c r="R7" s="4"/>
      <c r="S7" s="4" t="s">
        <v>64</v>
      </c>
      <c r="T7" s="4"/>
      <c r="U7" s="2"/>
      <c r="V7" s="2" t="s">
        <v>65</v>
      </c>
      <c r="W7" s="2" t="s">
        <v>66</v>
      </c>
      <c r="X7" s="2" t="s">
        <v>50</v>
      </c>
      <c r="Y7" s="2" t="s">
        <v>67</v>
      </c>
      <c r="Z7" s="2" t="s">
        <v>68</v>
      </c>
      <c r="AA7" s="2"/>
      <c r="AB7" s="2" t="s">
        <v>69</v>
      </c>
      <c r="AC7" s="2" t="s">
        <v>65</v>
      </c>
      <c r="AD7" s="3" t="s">
        <v>70</v>
      </c>
    </row>
    <row r="8" spans="1:30" x14ac:dyDescent="0.25">
      <c r="A8" s="4" t="s">
        <v>34</v>
      </c>
      <c r="B8" s="2" t="s">
        <v>71</v>
      </c>
      <c r="C8" s="2" t="s">
        <v>36</v>
      </c>
      <c r="D8" s="2" t="s">
        <v>37</v>
      </c>
      <c r="E8" s="2" t="s">
        <v>55</v>
      </c>
      <c r="F8" s="2" t="s">
        <v>39</v>
      </c>
      <c r="G8" s="4">
        <v>19208</v>
      </c>
      <c r="H8" s="2" t="s">
        <v>57</v>
      </c>
      <c r="I8" s="4" t="s">
        <v>72</v>
      </c>
      <c r="J8" s="4" t="s">
        <v>73</v>
      </c>
      <c r="K8" s="4" t="s">
        <v>43</v>
      </c>
      <c r="L8" s="4" t="s">
        <v>61</v>
      </c>
      <c r="M8" s="4" t="s">
        <v>45</v>
      </c>
      <c r="N8" s="4">
        <v>1</v>
      </c>
      <c r="O8" s="4" t="s">
        <v>74</v>
      </c>
      <c r="P8" s="4">
        <v>60</v>
      </c>
      <c r="Q8" s="4" t="s">
        <v>75</v>
      </c>
      <c r="R8" s="4"/>
      <c r="S8" s="4" t="s">
        <v>75</v>
      </c>
      <c r="T8" s="4"/>
      <c r="U8" s="2"/>
      <c r="V8" s="2" t="s">
        <v>65</v>
      </c>
      <c r="W8" s="2" t="s">
        <v>66</v>
      </c>
      <c r="X8" s="2" t="s">
        <v>50</v>
      </c>
      <c r="Y8" s="2" t="s">
        <v>67</v>
      </c>
      <c r="Z8" s="2" t="s">
        <v>68</v>
      </c>
      <c r="AA8" s="2"/>
      <c r="AB8" s="2" t="s">
        <v>69</v>
      </c>
      <c r="AC8" s="2" t="s">
        <v>65</v>
      </c>
      <c r="AD8" s="3" t="s">
        <v>70</v>
      </c>
    </row>
    <row r="9" spans="1:30" x14ac:dyDescent="0.25">
      <c r="A9" s="4" t="s">
        <v>34</v>
      </c>
      <c r="B9" s="2" t="s">
        <v>76</v>
      </c>
      <c r="C9" s="2" t="s">
        <v>36</v>
      </c>
      <c r="D9" s="2" t="s">
        <v>37</v>
      </c>
      <c r="E9" s="2" t="s">
        <v>55</v>
      </c>
      <c r="F9" s="2" t="s">
        <v>56</v>
      </c>
      <c r="G9" s="4">
        <v>19324</v>
      </c>
      <c r="H9" s="2" t="s">
        <v>77</v>
      </c>
      <c r="I9" s="4" t="s">
        <v>78</v>
      </c>
      <c r="J9" s="4" t="s">
        <v>79</v>
      </c>
      <c r="K9" s="4" t="s">
        <v>80</v>
      </c>
      <c r="L9" s="4" t="s">
        <v>44</v>
      </c>
      <c r="M9" s="4" t="s">
        <v>81</v>
      </c>
      <c r="N9" s="4">
        <v>1</v>
      </c>
      <c r="O9" s="4" t="s">
        <v>82</v>
      </c>
      <c r="P9" s="4">
        <v>50</v>
      </c>
      <c r="Q9" s="4" t="s">
        <v>83</v>
      </c>
      <c r="R9" s="4"/>
      <c r="S9" s="4" t="s">
        <v>83</v>
      </c>
      <c r="T9" s="4"/>
      <c r="U9" s="2"/>
      <c r="V9" s="2" t="s">
        <v>84</v>
      </c>
      <c r="W9" s="2" t="s">
        <v>85</v>
      </c>
      <c r="X9" s="2" t="s">
        <v>50</v>
      </c>
      <c r="Y9" s="2" t="s">
        <v>86</v>
      </c>
      <c r="Z9" s="2"/>
      <c r="AA9" s="2"/>
      <c r="AB9" s="2" t="s">
        <v>87</v>
      </c>
      <c r="AC9" s="2" t="s">
        <v>84</v>
      </c>
      <c r="AD9" s="3" t="s">
        <v>88</v>
      </c>
    </row>
    <row r="10" spans="1:30" x14ac:dyDescent="0.25">
      <c r="A10" s="4" t="s">
        <v>34</v>
      </c>
      <c r="B10" s="2" t="s">
        <v>89</v>
      </c>
      <c r="C10" s="2" t="s">
        <v>36</v>
      </c>
      <c r="D10" s="2" t="s">
        <v>37</v>
      </c>
      <c r="E10" s="2" t="s">
        <v>55</v>
      </c>
      <c r="F10" s="2" t="s">
        <v>56</v>
      </c>
      <c r="G10" s="4">
        <v>19237</v>
      </c>
      <c r="H10" s="2" t="s">
        <v>90</v>
      </c>
      <c r="I10" s="4" t="s">
        <v>91</v>
      </c>
      <c r="J10" s="4" t="s">
        <v>92</v>
      </c>
      <c r="K10" s="4" t="s">
        <v>93</v>
      </c>
      <c r="L10" s="4" t="s">
        <v>61</v>
      </c>
      <c r="M10" s="4" t="s">
        <v>94</v>
      </c>
      <c r="N10" s="4">
        <v>1</v>
      </c>
      <c r="O10" s="4" t="s">
        <v>95</v>
      </c>
      <c r="P10" s="4">
        <v>50</v>
      </c>
      <c r="Q10" s="4" t="s">
        <v>96</v>
      </c>
      <c r="R10" s="4"/>
      <c r="S10" s="4" t="s">
        <v>96</v>
      </c>
      <c r="T10" s="4"/>
      <c r="U10" s="2"/>
      <c r="V10" s="2" t="s">
        <v>65</v>
      </c>
      <c r="W10" s="2" t="s">
        <v>97</v>
      </c>
      <c r="X10" s="2" t="s">
        <v>98</v>
      </c>
      <c r="Y10" s="2" t="s">
        <v>99</v>
      </c>
      <c r="Z10" s="2"/>
      <c r="AA10" s="2"/>
      <c r="AB10" s="2" t="s">
        <v>100</v>
      </c>
      <c r="AC10" s="2" t="s">
        <v>65</v>
      </c>
      <c r="AD10" s="3" t="s">
        <v>101</v>
      </c>
    </row>
    <row r="11" spans="1:30" x14ac:dyDescent="0.25">
      <c r="A11" s="4" t="s">
        <v>34</v>
      </c>
      <c r="B11" s="2" t="s">
        <v>102</v>
      </c>
      <c r="C11" s="2" t="s">
        <v>36</v>
      </c>
      <c r="D11" s="2" t="s">
        <v>37</v>
      </c>
      <c r="E11" s="2" t="s">
        <v>55</v>
      </c>
      <c r="F11" s="2" t="s">
        <v>56</v>
      </c>
      <c r="G11" s="4">
        <v>19324</v>
      </c>
      <c r="H11" s="2" t="s">
        <v>77</v>
      </c>
      <c r="I11" s="4" t="s">
        <v>78</v>
      </c>
      <c r="J11" s="4" t="s">
        <v>103</v>
      </c>
      <c r="K11" s="4" t="s">
        <v>104</v>
      </c>
      <c r="L11" s="4" t="s">
        <v>105</v>
      </c>
      <c r="M11" s="4" t="s">
        <v>105</v>
      </c>
      <c r="N11" s="4">
        <v>1</v>
      </c>
      <c r="O11" s="4" t="s">
        <v>106</v>
      </c>
      <c r="P11" s="4">
        <v>50</v>
      </c>
      <c r="Q11" s="4" t="s">
        <v>107</v>
      </c>
      <c r="R11" s="4"/>
      <c r="S11" s="4" t="s">
        <v>107</v>
      </c>
      <c r="T11" s="4"/>
      <c r="U11" s="2"/>
      <c r="V11" s="2" t="s">
        <v>108</v>
      </c>
      <c r="W11" s="2" t="s">
        <v>109</v>
      </c>
      <c r="X11" s="2" t="s">
        <v>98</v>
      </c>
      <c r="Y11" s="2" t="s">
        <v>110</v>
      </c>
      <c r="Z11" s="2"/>
      <c r="AA11" s="2"/>
      <c r="AB11" s="2" t="s">
        <v>111</v>
      </c>
      <c r="AC11" s="2" t="s">
        <v>108</v>
      </c>
      <c r="AD11" s="3">
        <v>21108</v>
      </c>
    </row>
    <row r="12" spans="1:30" x14ac:dyDescent="0.25">
      <c r="A12" s="4" t="s">
        <v>34</v>
      </c>
      <c r="B12" s="2" t="s">
        <v>112</v>
      </c>
      <c r="C12" s="2" t="s">
        <v>36</v>
      </c>
      <c r="D12" s="2" t="s">
        <v>37</v>
      </c>
      <c r="E12" s="2" t="s">
        <v>55</v>
      </c>
      <c r="F12" s="2" t="s">
        <v>39</v>
      </c>
      <c r="G12" s="4">
        <v>19324</v>
      </c>
      <c r="H12" s="2" t="s">
        <v>77</v>
      </c>
      <c r="I12" s="4" t="s">
        <v>113</v>
      </c>
      <c r="J12" s="4" t="s">
        <v>103</v>
      </c>
      <c r="K12" s="4" t="s">
        <v>104</v>
      </c>
      <c r="L12" s="4" t="s">
        <v>105</v>
      </c>
      <c r="M12" s="4" t="s">
        <v>105</v>
      </c>
      <c r="N12" s="4">
        <v>1</v>
      </c>
      <c r="O12" s="4" t="s">
        <v>114</v>
      </c>
      <c r="P12" s="4">
        <v>43</v>
      </c>
      <c r="Q12" s="4" t="s">
        <v>115</v>
      </c>
      <c r="R12" s="4"/>
      <c r="S12" s="4" t="s">
        <v>115</v>
      </c>
      <c r="T12" s="4"/>
      <c r="U12" s="2"/>
      <c r="V12" s="2" t="s">
        <v>108</v>
      </c>
      <c r="W12" s="2" t="s">
        <v>109</v>
      </c>
      <c r="X12" s="2" t="s">
        <v>98</v>
      </c>
      <c r="Y12" s="2" t="s">
        <v>110</v>
      </c>
      <c r="Z12" s="2"/>
      <c r="AA12" s="2"/>
      <c r="AB12" s="2" t="s">
        <v>111</v>
      </c>
      <c r="AC12" s="2" t="s">
        <v>108</v>
      </c>
      <c r="AD12" s="3">
        <v>21108</v>
      </c>
    </row>
    <row r="13" spans="1:30" x14ac:dyDescent="0.25">
      <c r="A13" s="4" t="s">
        <v>34</v>
      </c>
      <c r="B13" s="2" t="s">
        <v>116</v>
      </c>
      <c r="C13" s="2" t="s">
        <v>36</v>
      </c>
      <c r="D13" s="2" t="s">
        <v>37</v>
      </c>
      <c r="E13" s="2" t="s">
        <v>55</v>
      </c>
      <c r="F13" s="2" t="s">
        <v>117</v>
      </c>
      <c r="G13" s="4">
        <v>19324</v>
      </c>
      <c r="H13" s="2" t="s">
        <v>77</v>
      </c>
      <c r="I13" s="4" t="s">
        <v>118</v>
      </c>
      <c r="J13" s="4" t="s">
        <v>103</v>
      </c>
      <c r="K13" s="4" t="s">
        <v>104</v>
      </c>
      <c r="L13" s="4" t="s">
        <v>105</v>
      </c>
      <c r="M13" s="4" t="s">
        <v>105</v>
      </c>
      <c r="N13" s="4">
        <v>1</v>
      </c>
      <c r="O13" s="4" t="s">
        <v>119</v>
      </c>
      <c r="P13" s="4">
        <v>55</v>
      </c>
      <c r="Q13" s="4" t="s">
        <v>120</v>
      </c>
      <c r="R13" s="4"/>
      <c r="S13" s="4" t="s">
        <v>120</v>
      </c>
      <c r="T13" s="4"/>
      <c r="U13" s="2"/>
      <c r="V13" s="2" t="s">
        <v>108</v>
      </c>
      <c r="W13" s="2" t="s">
        <v>109</v>
      </c>
      <c r="X13" s="2" t="s">
        <v>98</v>
      </c>
      <c r="Y13" s="2" t="s">
        <v>110</v>
      </c>
      <c r="Z13" s="2"/>
      <c r="AA13" s="2"/>
      <c r="AB13" s="2" t="s">
        <v>111</v>
      </c>
      <c r="AC13" s="2" t="s">
        <v>108</v>
      </c>
      <c r="AD13" s="3">
        <v>21108</v>
      </c>
    </row>
    <row r="14" spans="1:30" x14ac:dyDescent="0.25">
      <c r="A14" s="4" t="s">
        <v>34</v>
      </c>
      <c r="B14" s="2" t="s">
        <v>121</v>
      </c>
      <c r="C14" s="2" t="s">
        <v>36</v>
      </c>
      <c r="D14" s="2" t="s">
        <v>37</v>
      </c>
      <c r="E14" s="2" t="s">
        <v>55</v>
      </c>
      <c r="F14" s="2" t="s">
        <v>56</v>
      </c>
      <c r="G14" s="4">
        <v>19324</v>
      </c>
      <c r="H14" s="2" t="s">
        <v>77</v>
      </c>
      <c r="I14" s="4" t="s">
        <v>78</v>
      </c>
      <c r="J14" s="4" t="s">
        <v>122</v>
      </c>
      <c r="K14" s="4" t="s">
        <v>123</v>
      </c>
      <c r="L14" s="4" t="s">
        <v>61</v>
      </c>
      <c r="M14" s="4" t="s">
        <v>124</v>
      </c>
      <c r="N14" s="4">
        <v>1</v>
      </c>
      <c r="O14" s="4" t="s">
        <v>125</v>
      </c>
      <c r="P14" s="4">
        <v>50</v>
      </c>
      <c r="Q14" s="4" t="s">
        <v>126</v>
      </c>
      <c r="R14" s="4"/>
      <c r="S14" s="4" t="s">
        <v>126</v>
      </c>
      <c r="T14" s="4"/>
      <c r="U14" s="2"/>
      <c r="V14" s="2" t="s">
        <v>108</v>
      </c>
      <c r="W14" s="2" t="s">
        <v>127</v>
      </c>
      <c r="X14" s="2" t="s">
        <v>98</v>
      </c>
      <c r="Y14" s="2" t="s">
        <v>128</v>
      </c>
      <c r="Z14" s="2"/>
      <c r="AA14" s="2"/>
      <c r="AB14" s="2" t="s">
        <v>129</v>
      </c>
      <c r="AC14" s="2" t="s">
        <v>108</v>
      </c>
      <c r="AD14" s="3" t="s">
        <v>130</v>
      </c>
    </row>
    <row r="15" spans="1:30" x14ac:dyDescent="0.25">
      <c r="A15" s="4" t="s">
        <v>34</v>
      </c>
      <c r="B15" s="2" t="s">
        <v>131</v>
      </c>
      <c r="C15" s="2" t="s">
        <v>36</v>
      </c>
      <c r="D15" s="2" t="s">
        <v>37</v>
      </c>
      <c r="E15" s="2" t="s">
        <v>55</v>
      </c>
      <c r="F15" s="2" t="s">
        <v>39</v>
      </c>
      <c r="G15" s="4">
        <v>19324</v>
      </c>
      <c r="H15" s="2" t="s">
        <v>77</v>
      </c>
      <c r="I15" s="4" t="s">
        <v>113</v>
      </c>
      <c r="J15" s="4" t="s">
        <v>122</v>
      </c>
      <c r="K15" s="4" t="s">
        <v>123</v>
      </c>
      <c r="L15" s="4" t="s">
        <v>61</v>
      </c>
      <c r="M15" s="4" t="s">
        <v>124</v>
      </c>
      <c r="N15" s="4">
        <v>1</v>
      </c>
      <c r="O15" s="4" t="s">
        <v>132</v>
      </c>
      <c r="P15" s="4">
        <v>43</v>
      </c>
      <c r="Q15" s="4" t="s">
        <v>133</v>
      </c>
      <c r="R15" s="4"/>
      <c r="S15" s="4" t="s">
        <v>133</v>
      </c>
      <c r="T15" s="4"/>
      <c r="U15" s="2"/>
      <c r="V15" s="2" t="s">
        <v>108</v>
      </c>
      <c r="W15" s="2" t="s">
        <v>127</v>
      </c>
      <c r="X15" s="2" t="s">
        <v>98</v>
      </c>
      <c r="Y15" s="2" t="s">
        <v>128</v>
      </c>
      <c r="Z15" s="2"/>
      <c r="AA15" s="2"/>
      <c r="AB15" s="2" t="s">
        <v>129</v>
      </c>
      <c r="AC15" s="2" t="s">
        <v>108</v>
      </c>
      <c r="AD15" s="3" t="s">
        <v>130</v>
      </c>
    </row>
    <row r="16" spans="1:30" x14ac:dyDescent="0.25">
      <c r="A16" s="4" t="s">
        <v>34</v>
      </c>
      <c r="B16" s="2" t="s">
        <v>134</v>
      </c>
      <c r="C16" s="2" t="s">
        <v>36</v>
      </c>
      <c r="D16" s="2" t="s">
        <v>37</v>
      </c>
      <c r="E16" s="2" t="s">
        <v>55</v>
      </c>
      <c r="F16" s="2" t="s">
        <v>117</v>
      </c>
      <c r="G16" s="4">
        <v>19324</v>
      </c>
      <c r="H16" s="2" t="s">
        <v>77</v>
      </c>
      <c r="I16" s="4" t="s">
        <v>118</v>
      </c>
      <c r="J16" s="4" t="s">
        <v>122</v>
      </c>
      <c r="K16" s="4" t="s">
        <v>123</v>
      </c>
      <c r="L16" s="4" t="s">
        <v>61</v>
      </c>
      <c r="M16" s="4" t="s">
        <v>124</v>
      </c>
      <c r="N16" s="4">
        <v>1</v>
      </c>
      <c r="O16" s="4" t="s">
        <v>135</v>
      </c>
      <c r="P16" s="4">
        <v>55</v>
      </c>
      <c r="Q16" s="4" t="s">
        <v>136</v>
      </c>
      <c r="R16" s="4"/>
      <c r="S16" s="4" t="s">
        <v>136</v>
      </c>
      <c r="T16" s="4"/>
      <c r="U16" s="2"/>
      <c r="V16" s="2" t="s">
        <v>108</v>
      </c>
      <c r="W16" s="2" t="s">
        <v>127</v>
      </c>
      <c r="X16" s="2" t="s">
        <v>98</v>
      </c>
      <c r="Y16" s="2" t="s">
        <v>128</v>
      </c>
      <c r="Z16" s="2"/>
      <c r="AA16" s="2"/>
      <c r="AB16" s="2" t="s">
        <v>129</v>
      </c>
      <c r="AC16" s="2" t="s">
        <v>108</v>
      </c>
      <c r="AD16" s="3" t="s">
        <v>130</v>
      </c>
    </row>
    <row r="17" spans="1:30" x14ac:dyDescent="0.25">
      <c r="A17" s="4" t="s">
        <v>34</v>
      </c>
      <c r="B17" s="2" t="s">
        <v>137</v>
      </c>
      <c r="C17" s="2" t="s">
        <v>36</v>
      </c>
      <c r="D17" s="2" t="s">
        <v>37</v>
      </c>
      <c r="E17" s="2" t="s">
        <v>55</v>
      </c>
      <c r="F17" s="2" t="s">
        <v>56</v>
      </c>
      <c r="G17" s="4">
        <v>19350</v>
      </c>
      <c r="H17" s="2" t="s">
        <v>138</v>
      </c>
      <c r="I17" s="4" t="s">
        <v>139</v>
      </c>
      <c r="J17" s="4" t="s">
        <v>140</v>
      </c>
      <c r="K17" s="4" t="s">
        <v>141</v>
      </c>
      <c r="L17" s="4" t="s">
        <v>61</v>
      </c>
      <c r="M17" s="4" t="s">
        <v>34</v>
      </c>
      <c r="N17" s="4">
        <v>1</v>
      </c>
      <c r="O17" s="4" t="s">
        <v>95</v>
      </c>
      <c r="P17" s="4">
        <v>50</v>
      </c>
      <c r="Q17" s="4" t="s">
        <v>96</v>
      </c>
      <c r="R17" s="4"/>
      <c r="S17" s="4" t="s">
        <v>96</v>
      </c>
      <c r="T17" s="4"/>
      <c r="U17" s="2"/>
      <c r="V17" s="2" t="s">
        <v>65</v>
      </c>
      <c r="W17" s="2" t="s">
        <v>142</v>
      </c>
      <c r="X17" s="2" t="s">
        <v>50</v>
      </c>
      <c r="Y17" s="2" t="s">
        <v>143</v>
      </c>
      <c r="Z17" s="2"/>
      <c r="AA17" s="2"/>
      <c r="AB17" s="2" t="s">
        <v>144</v>
      </c>
      <c r="AC17" s="2" t="s">
        <v>65</v>
      </c>
      <c r="AD17" s="3">
        <v>60148</v>
      </c>
    </row>
    <row r="18" spans="1:30" x14ac:dyDescent="0.25">
      <c r="A18" s="4" t="s">
        <v>34</v>
      </c>
      <c r="B18" s="2" t="s">
        <v>145</v>
      </c>
      <c r="C18" s="2" t="s">
        <v>36</v>
      </c>
      <c r="D18" s="2" t="s">
        <v>37</v>
      </c>
      <c r="E18" s="2" t="s">
        <v>55</v>
      </c>
      <c r="F18" s="2" t="s">
        <v>39</v>
      </c>
      <c r="G18" s="4">
        <v>19350</v>
      </c>
      <c r="H18" s="2" t="s">
        <v>138</v>
      </c>
      <c r="I18" s="4" t="s">
        <v>146</v>
      </c>
      <c r="J18" s="4" t="s">
        <v>140</v>
      </c>
      <c r="K18" s="4" t="s">
        <v>141</v>
      </c>
      <c r="L18" s="4" t="s">
        <v>61</v>
      </c>
      <c r="M18" s="4" t="s">
        <v>34</v>
      </c>
      <c r="N18" s="4">
        <v>1</v>
      </c>
      <c r="O18" s="4" t="s">
        <v>147</v>
      </c>
      <c r="P18" s="4">
        <v>60</v>
      </c>
      <c r="Q18" s="4" t="s">
        <v>148</v>
      </c>
      <c r="R18" s="4"/>
      <c r="S18" s="4" t="s">
        <v>148</v>
      </c>
      <c r="T18" s="4"/>
      <c r="U18" s="2"/>
      <c r="V18" s="2" t="s">
        <v>65</v>
      </c>
      <c r="W18" s="2" t="s">
        <v>142</v>
      </c>
      <c r="X18" s="2" t="s">
        <v>50</v>
      </c>
      <c r="Y18" s="2" t="s">
        <v>143</v>
      </c>
      <c r="Z18" s="2"/>
      <c r="AA18" s="2"/>
      <c r="AB18" s="2" t="s">
        <v>144</v>
      </c>
      <c r="AC18" s="2" t="s">
        <v>65</v>
      </c>
      <c r="AD18" s="3">
        <v>60148</v>
      </c>
    </row>
    <row r="19" spans="1:30" x14ac:dyDescent="0.25">
      <c r="A19" s="4" t="s">
        <v>34</v>
      </c>
      <c r="B19" s="2" t="s">
        <v>149</v>
      </c>
      <c r="C19" s="2" t="s">
        <v>36</v>
      </c>
      <c r="D19" s="2" t="s">
        <v>37</v>
      </c>
      <c r="E19" s="2" t="s">
        <v>55</v>
      </c>
      <c r="F19" s="2" t="s">
        <v>117</v>
      </c>
      <c r="G19" s="4">
        <v>19350</v>
      </c>
      <c r="H19" s="2" t="s">
        <v>138</v>
      </c>
      <c r="I19" s="4" t="s">
        <v>150</v>
      </c>
      <c r="J19" s="4" t="s">
        <v>140</v>
      </c>
      <c r="K19" s="4" t="s">
        <v>141</v>
      </c>
      <c r="L19" s="4" t="s">
        <v>61</v>
      </c>
      <c r="M19" s="4" t="s">
        <v>34</v>
      </c>
      <c r="N19" s="4">
        <v>1</v>
      </c>
      <c r="O19" s="4" t="s">
        <v>151</v>
      </c>
      <c r="P19" s="4">
        <v>55</v>
      </c>
      <c r="Q19" s="4" t="s">
        <v>152</v>
      </c>
      <c r="R19" s="4"/>
      <c r="S19" s="4" t="s">
        <v>152</v>
      </c>
      <c r="T19" s="4"/>
      <c r="U19" s="2"/>
      <c r="V19" s="2" t="s">
        <v>65</v>
      </c>
      <c r="W19" s="2" t="s">
        <v>142</v>
      </c>
      <c r="X19" s="2" t="s">
        <v>50</v>
      </c>
      <c r="Y19" s="2" t="s">
        <v>143</v>
      </c>
      <c r="Z19" s="2"/>
      <c r="AA19" s="2"/>
      <c r="AB19" s="2" t="s">
        <v>144</v>
      </c>
      <c r="AC19" s="2" t="s">
        <v>65</v>
      </c>
      <c r="AD19" s="3">
        <v>60148</v>
      </c>
    </row>
    <row r="20" spans="1:30" x14ac:dyDescent="0.25">
      <c r="A20" s="4" t="s">
        <v>34</v>
      </c>
      <c r="B20" s="2" t="s">
        <v>153</v>
      </c>
      <c r="C20" s="2" t="s">
        <v>36</v>
      </c>
      <c r="D20" s="2" t="s">
        <v>37</v>
      </c>
      <c r="E20" s="2" t="s">
        <v>55</v>
      </c>
      <c r="F20" s="2" t="s">
        <v>117</v>
      </c>
      <c r="G20" s="4">
        <v>19214</v>
      </c>
      <c r="H20" s="2" t="s">
        <v>154</v>
      </c>
      <c r="I20" s="4" t="s">
        <v>155</v>
      </c>
      <c r="J20" s="4" t="s">
        <v>140</v>
      </c>
      <c r="K20" s="4" t="s">
        <v>141</v>
      </c>
      <c r="L20" s="4" t="s">
        <v>61</v>
      </c>
      <c r="M20" s="4" t="s">
        <v>34</v>
      </c>
      <c r="N20" s="4">
        <v>1</v>
      </c>
      <c r="O20" s="4" t="s">
        <v>156</v>
      </c>
      <c r="P20" s="4">
        <v>55</v>
      </c>
      <c r="Q20" s="4" t="s">
        <v>157</v>
      </c>
      <c r="R20" s="4"/>
      <c r="S20" s="4" t="s">
        <v>157</v>
      </c>
      <c r="T20" s="4"/>
      <c r="U20" s="2"/>
      <c r="V20" s="2" t="s">
        <v>108</v>
      </c>
      <c r="W20" s="2" t="s">
        <v>158</v>
      </c>
      <c r="X20" s="2" t="s">
        <v>50</v>
      </c>
      <c r="Y20" s="2" t="s">
        <v>159</v>
      </c>
      <c r="Z20" s="2"/>
      <c r="AA20" s="2"/>
      <c r="AB20" s="2" t="s">
        <v>160</v>
      </c>
      <c r="AC20" s="2" t="s">
        <v>108</v>
      </c>
      <c r="AD20" s="3" t="s">
        <v>161</v>
      </c>
    </row>
    <row r="21" spans="1:30" x14ac:dyDescent="0.25">
      <c r="A21" s="4" t="s">
        <v>34</v>
      </c>
      <c r="B21" s="2" t="s">
        <v>162</v>
      </c>
      <c r="C21" s="2" t="s">
        <v>36</v>
      </c>
      <c r="D21" s="2" t="s">
        <v>37</v>
      </c>
      <c r="E21" s="2" t="s">
        <v>55</v>
      </c>
      <c r="F21" s="2" t="s">
        <v>56</v>
      </c>
      <c r="G21" s="4">
        <v>19214</v>
      </c>
      <c r="H21" s="2" t="s">
        <v>154</v>
      </c>
      <c r="I21" s="4" t="s">
        <v>163</v>
      </c>
      <c r="J21" s="4" t="s">
        <v>164</v>
      </c>
      <c r="K21" s="4" t="s">
        <v>165</v>
      </c>
      <c r="L21" s="4" t="s">
        <v>61</v>
      </c>
      <c r="M21" s="4" t="s">
        <v>166</v>
      </c>
      <c r="N21" s="4">
        <v>1</v>
      </c>
      <c r="O21" s="4" t="s">
        <v>167</v>
      </c>
      <c r="P21" s="4">
        <v>50</v>
      </c>
      <c r="Q21" s="4" t="s">
        <v>168</v>
      </c>
      <c r="R21" s="4"/>
      <c r="S21" s="4" t="s">
        <v>168</v>
      </c>
      <c r="T21" s="4"/>
      <c r="U21" s="2"/>
      <c r="V21" s="2" t="s">
        <v>108</v>
      </c>
      <c r="W21" s="2" t="s">
        <v>169</v>
      </c>
      <c r="X21" s="2" t="s">
        <v>98</v>
      </c>
      <c r="Y21" s="2" t="s">
        <v>170</v>
      </c>
      <c r="Z21" s="2"/>
      <c r="AA21" s="2"/>
      <c r="AB21" s="2" t="s">
        <v>171</v>
      </c>
      <c r="AC21" s="2" t="s">
        <v>108</v>
      </c>
      <c r="AD21" s="3" t="s">
        <v>172</v>
      </c>
    </row>
    <row r="22" spans="1:30" x14ac:dyDescent="0.25">
      <c r="A22" s="4" t="s">
        <v>34</v>
      </c>
      <c r="B22" s="2" t="s">
        <v>173</v>
      </c>
      <c r="C22" s="2" t="s">
        <v>36</v>
      </c>
      <c r="D22" s="2" t="s">
        <v>37</v>
      </c>
      <c r="E22" s="2" t="s">
        <v>55</v>
      </c>
      <c r="F22" s="2" t="s">
        <v>117</v>
      </c>
      <c r="G22" s="4">
        <v>18427</v>
      </c>
      <c r="H22" s="2" t="s">
        <v>174</v>
      </c>
      <c r="I22" s="4" t="s">
        <v>175</v>
      </c>
      <c r="J22" s="4" t="s">
        <v>176</v>
      </c>
      <c r="K22" s="4" t="s">
        <v>177</v>
      </c>
      <c r="L22" s="4" t="s">
        <v>44</v>
      </c>
      <c r="M22" s="4" t="s">
        <v>178</v>
      </c>
      <c r="N22" s="4">
        <v>1</v>
      </c>
      <c r="O22" s="4" t="s">
        <v>179</v>
      </c>
      <c r="P22" s="4">
        <v>55</v>
      </c>
      <c r="Q22" s="4" t="s">
        <v>180</v>
      </c>
      <c r="R22" s="4"/>
      <c r="S22" s="4" t="s">
        <v>180</v>
      </c>
      <c r="T22" s="4"/>
      <c r="U22" s="2"/>
      <c r="V22" s="2" t="s">
        <v>108</v>
      </c>
      <c r="W22" s="2" t="s">
        <v>181</v>
      </c>
      <c r="X22" s="2" t="s">
        <v>98</v>
      </c>
      <c r="Y22" s="2" t="s">
        <v>182</v>
      </c>
      <c r="Z22" s="2"/>
      <c r="AA22" s="2"/>
      <c r="AB22" s="2" t="s">
        <v>183</v>
      </c>
      <c r="AC22" s="2" t="s">
        <v>108</v>
      </c>
      <c r="AD22" s="3" t="s">
        <v>184</v>
      </c>
    </row>
    <row r="23" spans="1:30" x14ac:dyDescent="0.25">
      <c r="A23" s="4" t="s">
        <v>34</v>
      </c>
      <c r="B23" s="2" t="s">
        <v>185</v>
      </c>
      <c r="C23" s="2" t="s">
        <v>36</v>
      </c>
      <c r="D23" s="2" t="s">
        <v>37</v>
      </c>
      <c r="E23" s="2" t="s">
        <v>55</v>
      </c>
      <c r="F23" s="2" t="s">
        <v>117</v>
      </c>
      <c r="G23" s="4">
        <v>19208</v>
      </c>
      <c r="H23" s="2" t="s">
        <v>57</v>
      </c>
      <c r="I23" s="4" t="s">
        <v>186</v>
      </c>
      <c r="J23" s="4" t="s">
        <v>187</v>
      </c>
      <c r="K23" s="4" t="s">
        <v>188</v>
      </c>
      <c r="L23" s="4" t="s">
        <v>34</v>
      </c>
      <c r="M23" s="4" t="s">
        <v>189</v>
      </c>
      <c r="N23" s="4">
        <v>1</v>
      </c>
      <c r="O23" s="4" t="s">
        <v>190</v>
      </c>
      <c r="P23" s="4">
        <v>55</v>
      </c>
      <c r="Q23" s="4" t="s">
        <v>191</v>
      </c>
      <c r="R23" s="4"/>
      <c r="S23" s="4" t="s">
        <v>191</v>
      </c>
      <c r="T23" s="4"/>
      <c r="U23" s="2"/>
      <c r="V23" s="2" t="s">
        <v>65</v>
      </c>
      <c r="W23" s="2" t="s">
        <v>192</v>
      </c>
      <c r="X23" s="2" t="s">
        <v>98</v>
      </c>
      <c r="Y23" s="2" t="s">
        <v>193</v>
      </c>
      <c r="Z23" s="2">
        <v>412</v>
      </c>
      <c r="AA23" s="2"/>
      <c r="AB23" s="2" t="s">
        <v>194</v>
      </c>
      <c r="AC23" s="2" t="s">
        <v>65</v>
      </c>
      <c r="AD23" s="3" t="s">
        <v>195</v>
      </c>
    </row>
    <row r="24" spans="1:30" x14ac:dyDescent="0.25">
      <c r="A24" s="4" t="s">
        <v>34</v>
      </c>
      <c r="B24" s="2" t="s">
        <v>196</v>
      </c>
      <c r="C24" s="2" t="s">
        <v>36</v>
      </c>
      <c r="D24" s="2" t="s">
        <v>37</v>
      </c>
      <c r="E24" s="2" t="s">
        <v>55</v>
      </c>
      <c r="F24" s="2" t="s">
        <v>117</v>
      </c>
      <c r="G24" s="4">
        <v>19208</v>
      </c>
      <c r="H24" s="2" t="s">
        <v>57</v>
      </c>
      <c r="I24" s="4" t="s">
        <v>186</v>
      </c>
      <c r="J24" s="4" t="s">
        <v>187</v>
      </c>
      <c r="K24" s="4" t="s">
        <v>188</v>
      </c>
      <c r="L24" s="4" t="s">
        <v>34</v>
      </c>
      <c r="M24" s="4" t="s">
        <v>189</v>
      </c>
      <c r="N24" s="4">
        <v>1</v>
      </c>
      <c r="O24" s="4" t="s">
        <v>197</v>
      </c>
      <c r="P24" s="4">
        <v>55</v>
      </c>
      <c r="Q24" s="4" t="s">
        <v>198</v>
      </c>
      <c r="R24" s="4"/>
      <c r="S24" s="4" t="s">
        <v>198</v>
      </c>
      <c r="T24" s="4"/>
      <c r="U24" s="2"/>
      <c r="V24" s="2" t="s">
        <v>65</v>
      </c>
      <c r="W24" s="2" t="s">
        <v>199</v>
      </c>
      <c r="X24" s="2" t="s">
        <v>50</v>
      </c>
      <c r="Y24" s="2" t="s">
        <v>193</v>
      </c>
      <c r="Z24" s="2">
        <v>412</v>
      </c>
      <c r="AA24" s="2"/>
      <c r="AB24" s="2" t="s">
        <v>194</v>
      </c>
      <c r="AC24" s="2" t="s">
        <v>65</v>
      </c>
      <c r="AD24" s="3" t="s">
        <v>195</v>
      </c>
    </row>
    <row r="25" spans="1:30" x14ac:dyDescent="0.25">
      <c r="A25" s="4" t="s">
        <v>34</v>
      </c>
      <c r="B25" s="2" t="s">
        <v>200</v>
      </c>
      <c r="C25" s="2" t="s">
        <v>36</v>
      </c>
      <c r="D25" s="2" t="s">
        <v>37</v>
      </c>
      <c r="E25" s="2" t="s">
        <v>55</v>
      </c>
      <c r="F25" s="2" t="s">
        <v>56</v>
      </c>
      <c r="G25" s="4">
        <v>19324</v>
      </c>
      <c r="H25" s="2" t="s">
        <v>77</v>
      </c>
      <c r="I25" s="4" t="s">
        <v>78</v>
      </c>
      <c r="J25" s="4" t="s">
        <v>201</v>
      </c>
      <c r="K25" s="4" t="s">
        <v>202</v>
      </c>
      <c r="L25" s="4" t="s">
        <v>61</v>
      </c>
      <c r="M25" s="4" t="s">
        <v>61</v>
      </c>
      <c r="N25" s="4">
        <v>1</v>
      </c>
      <c r="O25" s="4" t="s">
        <v>125</v>
      </c>
      <c r="P25" s="4">
        <v>50</v>
      </c>
      <c r="Q25" s="4" t="s">
        <v>126</v>
      </c>
      <c r="R25" s="4"/>
      <c r="S25" s="4" t="s">
        <v>126</v>
      </c>
      <c r="T25" s="4"/>
      <c r="U25" s="2"/>
      <c r="V25" s="2" t="s">
        <v>108</v>
      </c>
      <c r="W25" s="2" t="s">
        <v>203</v>
      </c>
      <c r="X25" s="2" t="s">
        <v>98</v>
      </c>
      <c r="Y25" s="2" t="s">
        <v>204</v>
      </c>
      <c r="Z25" s="2" t="s">
        <v>205</v>
      </c>
      <c r="AA25" s="2"/>
      <c r="AB25" s="2" t="s">
        <v>206</v>
      </c>
      <c r="AC25" s="2" t="s">
        <v>108</v>
      </c>
      <c r="AD25" s="3">
        <v>21014</v>
      </c>
    </row>
    <row r="26" spans="1:30" x14ac:dyDescent="0.25">
      <c r="A26" s="4" t="s">
        <v>34</v>
      </c>
      <c r="B26" s="2" t="s">
        <v>207</v>
      </c>
      <c r="C26" s="2" t="s">
        <v>36</v>
      </c>
      <c r="D26" s="2" t="s">
        <v>37</v>
      </c>
      <c r="E26" s="2" t="s">
        <v>55</v>
      </c>
      <c r="F26" s="2" t="s">
        <v>39</v>
      </c>
      <c r="G26" s="4">
        <v>19324</v>
      </c>
      <c r="H26" s="2" t="s">
        <v>77</v>
      </c>
      <c r="I26" s="4" t="s">
        <v>113</v>
      </c>
      <c r="J26" s="4" t="s">
        <v>201</v>
      </c>
      <c r="K26" s="4" t="s">
        <v>202</v>
      </c>
      <c r="L26" s="4" t="s">
        <v>61</v>
      </c>
      <c r="M26" s="4" t="s">
        <v>61</v>
      </c>
      <c r="N26" s="4">
        <v>1</v>
      </c>
      <c r="O26" s="4" t="s">
        <v>208</v>
      </c>
      <c r="P26" s="4">
        <v>43</v>
      </c>
      <c r="Q26" s="4" t="s">
        <v>209</v>
      </c>
      <c r="R26" s="4"/>
      <c r="S26" s="4" t="s">
        <v>209</v>
      </c>
      <c r="T26" s="4"/>
      <c r="U26" s="2"/>
      <c r="V26" s="2" t="s">
        <v>108</v>
      </c>
      <c r="W26" s="2" t="s">
        <v>203</v>
      </c>
      <c r="X26" s="2" t="s">
        <v>98</v>
      </c>
      <c r="Y26" s="2" t="s">
        <v>204</v>
      </c>
      <c r="Z26" s="2" t="s">
        <v>205</v>
      </c>
      <c r="AA26" s="2"/>
      <c r="AB26" s="2" t="s">
        <v>206</v>
      </c>
      <c r="AC26" s="2" t="s">
        <v>108</v>
      </c>
      <c r="AD26" s="3">
        <v>21014</v>
      </c>
    </row>
    <row r="27" spans="1:30" x14ac:dyDescent="0.25">
      <c r="A27" s="4" t="s">
        <v>34</v>
      </c>
      <c r="B27" s="2" t="s">
        <v>210</v>
      </c>
      <c r="C27" s="2" t="s">
        <v>36</v>
      </c>
      <c r="D27" s="2" t="s">
        <v>37</v>
      </c>
      <c r="E27" s="2" t="s">
        <v>55</v>
      </c>
      <c r="F27" s="2" t="s">
        <v>117</v>
      </c>
      <c r="G27" s="4">
        <v>19324</v>
      </c>
      <c r="H27" s="2" t="s">
        <v>77</v>
      </c>
      <c r="I27" s="4" t="s">
        <v>118</v>
      </c>
      <c r="J27" s="4" t="s">
        <v>201</v>
      </c>
      <c r="K27" s="4" t="s">
        <v>202</v>
      </c>
      <c r="L27" s="4" t="s">
        <v>61</v>
      </c>
      <c r="M27" s="4" t="s">
        <v>61</v>
      </c>
      <c r="N27" s="4">
        <v>1</v>
      </c>
      <c r="O27" s="4" t="s">
        <v>211</v>
      </c>
      <c r="P27" s="4">
        <v>55</v>
      </c>
      <c r="Q27" s="4" t="s">
        <v>212</v>
      </c>
      <c r="R27" s="4"/>
      <c r="S27" s="4" t="s">
        <v>212</v>
      </c>
      <c r="T27" s="4"/>
      <c r="U27" s="2"/>
      <c r="V27" s="2" t="s">
        <v>108</v>
      </c>
      <c r="W27" s="2" t="s">
        <v>203</v>
      </c>
      <c r="X27" s="2" t="s">
        <v>98</v>
      </c>
      <c r="Y27" s="2" t="s">
        <v>204</v>
      </c>
      <c r="Z27" s="2" t="s">
        <v>205</v>
      </c>
      <c r="AA27" s="2"/>
      <c r="AB27" s="2" t="s">
        <v>206</v>
      </c>
      <c r="AC27" s="2" t="s">
        <v>108</v>
      </c>
      <c r="AD27" s="3">
        <v>21014</v>
      </c>
    </row>
    <row r="28" spans="1:30" x14ac:dyDescent="0.25">
      <c r="A28" s="4" t="s">
        <v>34</v>
      </c>
      <c r="B28" s="2" t="s">
        <v>213</v>
      </c>
      <c r="C28" s="2" t="s">
        <v>36</v>
      </c>
      <c r="D28" s="2" t="s">
        <v>37</v>
      </c>
      <c r="E28" s="2" t="s">
        <v>55</v>
      </c>
      <c r="F28" s="2" t="s">
        <v>56</v>
      </c>
      <c r="G28" s="4">
        <v>19350</v>
      </c>
      <c r="H28" s="2" t="s">
        <v>138</v>
      </c>
      <c r="I28" s="4" t="s">
        <v>139</v>
      </c>
      <c r="J28" s="4" t="s">
        <v>214</v>
      </c>
      <c r="K28" s="4" t="s">
        <v>215</v>
      </c>
      <c r="L28" s="4" t="s">
        <v>44</v>
      </c>
      <c r="M28" s="4" t="s">
        <v>216</v>
      </c>
      <c r="N28" s="4">
        <v>1</v>
      </c>
      <c r="O28" s="4" t="s">
        <v>217</v>
      </c>
      <c r="P28" s="4">
        <v>50</v>
      </c>
      <c r="Q28" s="4" t="s">
        <v>218</v>
      </c>
      <c r="R28" s="4"/>
      <c r="S28" s="4" t="s">
        <v>218</v>
      </c>
      <c r="T28" s="4"/>
      <c r="U28" s="2"/>
      <c r="V28" s="2" t="s">
        <v>65</v>
      </c>
      <c r="W28" s="2" t="s">
        <v>219</v>
      </c>
      <c r="X28" s="2" t="s">
        <v>98</v>
      </c>
      <c r="Y28" s="2" t="s">
        <v>220</v>
      </c>
      <c r="Z28" s="2"/>
      <c r="AA28" s="2"/>
      <c r="AB28" s="2" t="s">
        <v>221</v>
      </c>
      <c r="AC28" s="2" t="s">
        <v>65</v>
      </c>
      <c r="AD28" s="3" t="s">
        <v>222</v>
      </c>
    </row>
    <row r="29" spans="1:30" x14ac:dyDescent="0.25">
      <c r="A29" s="4" t="s">
        <v>34</v>
      </c>
      <c r="B29" s="2" t="s">
        <v>223</v>
      </c>
      <c r="C29" s="2" t="s">
        <v>36</v>
      </c>
      <c r="D29" s="2" t="s">
        <v>37</v>
      </c>
      <c r="E29" s="2" t="s">
        <v>55</v>
      </c>
      <c r="F29" s="2" t="s">
        <v>117</v>
      </c>
      <c r="G29" s="4">
        <v>19350</v>
      </c>
      <c r="H29" s="2" t="s">
        <v>138</v>
      </c>
      <c r="I29" s="4" t="s">
        <v>150</v>
      </c>
      <c r="J29" s="4" t="s">
        <v>214</v>
      </c>
      <c r="K29" s="4" t="s">
        <v>215</v>
      </c>
      <c r="L29" s="4" t="s">
        <v>44</v>
      </c>
      <c r="M29" s="4" t="s">
        <v>216</v>
      </c>
      <c r="N29" s="4">
        <v>1</v>
      </c>
      <c r="O29" s="4" t="s">
        <v>224</v>
      </c>
      <c r="P29" s="4">
        <v>55</v>
      </c>
      <c r="Q29" s="4" t="s">
        <v>225</v>
      </c>
      <c r="R29" s="4"/>
      <c r="S29" s="4" t="s">
        <v>225</v>
      </c>
      <c r="T29" s="4"/>
      <c r="U29" s="2"/>
      <c r="V29" s="2" t="s">
        <v>65</v>
      </c>
      <c r="W29" s="2" t="s">
        <v>219</v>
      </c>
      <c r="X29" s="2" t="s">
        <v>98</v>
      </c>
      <c r="Y29" s="2" t="s">
        <v>220</v>
      </c>
      <c r="Z29" s="2"/>
      <c r="AA29" s="2"/>
      <c r="AB29" s="2" t="s">
        <v>221</v>
      </c>
      <c r="AC29" s="2" t="s">
        <v>65</v>
      </c>
      <c r="AD29" s="3" t="s">
        <v>222</v>
      </c>
    </row>
    <row r="30" spans="1:30" x14ac:dyDescent="0.25">
      <c r="A30" s="4" t="s">
        <v>34</v>
      </c>
      <c r="B30" s="2" t="s">
        <v>226</v>
      </c>
      <c r="C30" s="2" t="s">
        <v>36</v>
      </c>
      <c r="D30" s="2" t="s">
        <v>37</v>
      </c>
      <c r="E30" s="2" t="s">
        <v>55</v>
      </c>
      <c r="F30" s="2" t="s">
        <v>117</v>
      </c>
      <c r="G30" s="4">
        <v>19237</v>
      </c>
      <c r="H30" s="2" t="s">
        <v>90</v>
      </c>
      <c r="I30" s="4" t="s">
        <v>227</v>
      </c>
      <c r="J30" s="4" t="s">
        <v>228</v>
      </c>
      <c r="K30" s="4" t="s">
        <v>202</v>
      </c>
      <c r="L30" s="4" t="s">
        <v>61</v>
      </c>
      <c r="M30" s="4" t="s">
        <v>61</v>
      </c>
      <c r="N30" s="4">
        <v>1</v>
      </c>
      <c r="O30" s="4" t="s">
        <v>229</v>
      </c>
      <c r="P30" s="4">
        <v>55</v>
      </c>
      <c r="Q30" s="4" t="s">
        <v>230</v>
      </c>
      <c r="R30" s="4"/>
      <c r="S30" s="4" t="s">
        <v>230</v>
      </c>
      <c r="T30" s="4"/>
      <c r="U30" s="2"/>
      <c r="V30" s="2" t="s">
        <v>65</v>
      </c>
      <c r="W30" s="2" t="s">
        <v>231</v>
      </c>
      <c r="X30" s="2" t="s">
        <v>98</v>
      </c>
      <c r="Y30" s="2" t="s">
        <v>232</v>
      </c>
      <c r="Z30" s="2"/>
      <c r="AA30" s="2"/>
      <c r="AB30" s="2" t="s">
        <v>233</v>
      </c>
      <c r="AC30" s="2" t="s">
        <v>65</v>
      </c>
      <c r="AD30" s="3" t="s">
        <v>234</v>
      </c>
    </row>
    <row r="31" spans="1:30" x14ac:dyDescent="0.25">
      <c r="A31" s="4" t="s">
        <v>34</v>
      </c>
      <c r="B31" s="2" t="s">
        <v>235</v>
      </c>
      <c r="C31" s="2" t="s">
        <v>36</v>
      </c>
      <c r="D31" s="2" t="s">
        <v>37</v>
      </c>
      <c r="E31" s="2" t="s">
        <v>55</v>
      </c>
      <c r="F31" s="2" t="s">
        <v>56</v>
      </c>
      <c r="G31" s="4">
        <v>19214</v>
      </c>
      <c r="H31" s="2" t="s">
        <v>154</v>
      </c>
      <c r="I31" s="4" t="s">
        <v>163</v>
      </c>
      <c r="J31" s="4" t="s">
        <v>236</v>
      </c>
      <c r="K31" s="4" t="s">
        <v>237</v>
      </c>
      <c r="L31" s="4" t="s">
        <v>61</v>
      </c>
      <c r="M31" s="4" t="s">
        <v>238</v>
      </c>
      <c r="N31" s="4">
        <v>1</v>
      </c>
      <c r="O31" s="4" t="s">
        <v>239</v>
      </c>
      <c r="P31" s="4">
        <v>50</v>
      </c>
      <c r="Q31" s="4" t="s">
        <v>240</v>
      </c>
      <c r="R31" s="4"/>
      <c r="S31" s="4" t="s">
        <v>240</v>
      </c>
      <c r="T31" s="4"/>
      <c r="U31" s="2"/>
      <c r="V31" s="2" t="s">
        <v>108</v>
      </c>
      <c r="W31" s="2" t="s">
        <v>241</v>
      </c>
      <c r="X31" s="2" t="s">
        <v>98</v>
      </c>
      <c r="Y31" s="2" t="s">
        <v>242</v>
      </c>
      <c r="Z31" s="2"/>
      <c r="AA31" s="2"/>
      <c r="AB31" s="2" t="s">
        <v>243</v>
      </c>
      <c r="AC31" s="2" t="s">
        <v>108</v>
      </c>
      <c r="AD31" s="3" t="s">
        <v>244</v>
      </c>
    </row>
    <row r="32" spans="1:30" x14ac:dyDescent="0.25">
      <c r="A32" s="4" t="s">
        <v>34</v>
      </c>
      <c r="B32" s="2" t="s">
        <v>245</v>
      </c>
      <c r="C32" s="2" t="s">
        <v>36</v>
      </c>
      <c r="D32" s="2" t="s">
        <v>37</v>
      </c>
      <c r="E32" s="2" t="s">
        <v>55</v>
      </c>
      <c r="F32" s="2" t="s">
        <v>39</v>
      </c>
      <c r="G32" s="4">
        <v>19214</v>
      </c>
      <c r="H32" s="2" t="s">
        <v>154</v>
      </c>
      <c r="I32" s="4" t="s">
        <v>246</v>
      </c>
      <c r="J32" s="4" t="s">
        <v>236</v>
      </c>
      <c r="K32" s="4" t="s">
        <v>237</v>
      </c>
      <c r="L32" s="4" t="s">
        <v>61</v>
      </c>
      <c r="M32" s="4" t="s">
        <v>238</v>
      </c>
      <c r="N32" s="4">
        <v>1</v>
      </c>
      <c r="O32" s="4" t="s">
        <v>247</v>
      </c>
      <c r="P32" s="4">
        <v>43</v>
      </c>
      <c r="Q32" s="4" t="s">
        <v>248</v>
      </c>
      <c r="R32" s="4"/>
      <c r="S32" s="4" t="s">
        <v>248</v>
      </c>
      <c r="T32" s="4"/>
      <c r="U32" s="2"/>
      <c r="V32" s="2" t="s">
        <v>108</v>
      </c>
      <c r="W32" s="2" t="s">
        <v>241</v>
      </c>
      <c r="X32" s="2" t="s">
        <v>98</v>
      </c>
      <c r="Y32" s="2" t="s">
        <v>242</v>
      </c>
      <c r="Z32" s="2"/>
      <c r="AA32" s="2"/>
      <c r="AB32" s="2" t="s">
        <v>243</v>
      </c>
      <c r="AC32" s="2" t="s">
        <v>108</v>
      </c>
      <c r="AD32" s="3" t="s">
        <v>244</v>
      </c>
    </row>
    <row r="33" spans="1:30" x14ac:dyDescent="0.25">
      <c r="A33" s="4" t="s">
        <v>34</v>
      </c>
      <c r="B33" s="2" t="s">
        <v>249</v>
      </c>
      <c r="C33" s="2" t="s">
        <v>36</v>
      </c>
      <c r="D33" s="2" t="s">
        <v>37</v>
      </c>
      <c r="E33" s="2" t="s">
        <v>55</v>
      </c>
      <c r="F33" s="2" t="s">
        <v>117</v>
      </c>
      <c r="G33" s="4">
        <v>19214</v>
      </c>
      <c r="H33" s="2" t="s">
        <v>154</v>
      </c>
      <c r="I33" s="4" t="s">
        <v>155</v>
      </c>
      <c r="J33" s="4" t="s">
        <v>236</v>
      </c>
      <c r="K33" s="4" t="s">
        <v>237</v>
      </c>
      <c r="L33" s="4" t="s">
        <v>61</v>
      </c>
      <c r="M33" s="4" t="s">
        <v>238</v>
      </c>
      <c r="N33" s="4">
        <v>1</v>
      </c>
      <c r="O33" s="4" t="s">
        <v>250</v>
      </c>
      <c r="P33" s="4">
        <v>55</v>
      </c>
      <c r="Q33" s="4" t="s">
        <v>251</v>
      </c>
      <c r="R33" s="4"/>
      <c r="S33" s="4" t="s">
        <v>251</v>
      </c>
      <c r="T33" s="4"/>
      <c r="U33" s="2"/>
      <c r="V33" s="2" t="s">
        <v>108</v>
      </c>
      <c r="W33" s="2" t="s">
        <v>241</v>
      </c>
      <c r="X33" s="2" t="s">
        <v>98</v>
      </c>
      <c r="Y33" s="2" t="s">
        <v>242</v>
      </c>
      <c r="Z33" s="2"/>
      <c r="AA33" s="2"/>
      <c r="AB33" s="2" t="s">
        <v>243</v>
      </c>
      <c r="AC33" s="2" t="s">
        <v>108</v>
      </c>
      <c r="AD33" s="3" t="s">
        <v>244</v>
      </c>
    </row>
    <row r="34" spans="1:30" x14ac:dyDescent="0.25">
      <c r="A34" s="4" t="s">
        <v>34</v>
      </c>
      <c r="B34" s="2" t="s">
        <v>252</v>
      </c>
      <c r="C34" s="2" t="s">
        <v>36</v>
      </c>
      <c r="D34" s="2" t="s">
        <v>37</v>
      </c>
      <c r="E34" s="2" t="s">
        <v>55</v>
      </c>
      <c r="F34" s="2" t="s">
        <v>117</v>
      </c>
      <c r="G34" s="4">
        <v>19282</v>
      </c>
      <c r="H34" s="2" t="s">
        <v>253</v>
      </c>
      <c r="I34" s="4" t="s">
        <v>254</v>
      </c>
      <c r="J34" s="4" t="s">
        <v>255</v>
      </c>
      <c r="K34" s="4" t="s">
        <v>177</v>
      </c>
      <c r="L34" s="4" t="s">
        <v>61</v>
      </c>
      <c r="M34" s="4" t="s">
        <v>178</v>
      </c>
      <c r="N34" s="4">
        <v>1</v>
      </c>
      <c r="O34" s="4" t="s">
        <v>256</v>
      </c>
      <c r="P34" s="4">
        <v>55</v>
      </c>
      <c r="Q34" s="4" t="s">
        <v>257</v>
      </c>
      <c r="R34" s="4"/>
      <c r="S34" s="4" t="s">
        <v>257</v>
      </c>
      <c r="T34" s="4"/>
      <c r="U34" s="2"/>
      <c r="V34" s="2" t="s">
        <v>65</v>
      </c>
      <c r="W34" s="2" t="s">
        <v>258</v>
      </c>
      <c r="X34" s="2" t="s">
        <v>50</v>
      </c>
      <c r="Y34" s="2" t="s">
        <v>259</v>
      </c>
      <c r="Z34" s="2"/>
      <c r="AA34" s="2"/>
      <c r="AB34" s="2" t="s">
        <v>144</v>
      </c>
      <c r="AC34" s="2" t="s">
        <v>65</v>
      </c>
      <c r="AD34" s="3" t="s">
        <v>260</v>
      </c>
    </row>
    <row r="35" spans="1:30" x14ac:dyDescent="0.25">
      <c r="A35" s="4" t="s">
        <v>34</v>
      </c>
      <c r="B35" s="2" t="s">
        <v>261</v>
      </c>
      <c r="C35" s="2" t="s">
        <v>36</v>
      </c>
      <c r="D35" s="2" t="s">
        <v>37</v>
      </c>
      <c r="E35" s="2" t="s">
        <v>55</v>
      </c>
      <c r="F35" s="2" t="s">
        <v>56</v>
      </c>
      <c r="G35" s="4">
        <v>19282</v>
      </c>
      <c r="H35" s="2" t="s">
        <v>253</v>
      </c>
      <c r="I35" s="4" t="s">
        <v>262</v>
      </c>
      <c r="J35" s="4" t="s">
        <v>263</v>
      </c>
      <c r="K35" s="4" t="s">
        <v>264</v>
      </c>
      <c r="L35" s="4" t="s">
        <v>61</v>
      </c>
      <c r="M35" s="4" t="s">
        <v>265</v>
      </c>
      <c r="N35" s="4">
        <v>1</v>
      </c>
      <c r="O35" s="4" t="s">
        <v>217</v>
      </c>
      <c r="P35" s="4">
        <v>50</v>
      </c>
      <c r="Q35" s="4" t="s">
        <v>218</v>
      </c>
      <c r="R35" s="4"/>
      <c r="S35" s="4" t="s">
        <v>218</v>
      </c>
      <c r="T35" s="4"/>
      <c r="U35" s="2"/>
      <c r="V35" s="2" t="s">
        <v>65</v>
      </c>
      <c r="W35" s="2" t="s">
        <v>266</v>
      </c>
      <c r="X35" s="2" t="s">
        <v>98</v>
      </c>
      <c r="Y35" s="2" t="s">
        <v>259</v>
      </c>
      <c r="Z35" s="2"/>
      <c r="AA35" s="2"/>
      <c r="AB35" s="2" t="s">
        <v>144</v>
      </c>
      <c r="AC35" s="2" t="s">
        <v>65</v>
      </c>
      <c r="AD35" s="3" t="s">
        <v>260</v>
      </c>
    </row>
    <row r="36" spans="1:30" x14ac:dyDescent="0.25">
      <c r="A36" s="4" t="s">
        <v>34</v>
      </c>
      <c r="B36" s="2" t="s">
        <v>267</v>
      </c>
      <c r="C36" s="2" t="s">
        <v>36</v>
      </c>
      <c r="D36" s="2" t="s">
        <v>37</v>
      </c>
      <c r="E36" s="2" t="s">
        <v>55</v>
      </c>
      <c r="F36" s="2" t="s">
        <v>39</v>
      </c>
      <c r="G36" s="4">
        <v>19282</v>
      </c>
      <c r="H36" s="2" t="s">
        <v>253</v>
      </c>
      <c r="I36" s="4" t="s">
        <v>268</v>
      </c>
      <c r="J36" s="4" t="s">
        <v>263</v>
      </c>
      <c r="K36" s="4" t="s">
        <v>264</v>
      </c>
      <c r="L36" s="4" t="s">
        <v>61</v>
      </c>
      <c r="M36" s="4" t="s">
        <v>265</v>
      </c>
      <c r="N36" s="4">
        <v>1</v>
      </c>
      <c r="O36" s="4" t="s">
        <v>269</v>
      </c>
      <c r="P36" s="4">
        <v>60</v>
      </c>
      <c r="Q36" s="4" t="s">
        <v>270</v>
      </c>
      <c r="R36" s="4"/>
      <c r="S36" s="4" t="s">
        <v>270</v>
      </c>
      <c r="T36" s="4"/>
      <c r="U36" s="2"/>
      <c r="V36" s="2" t="s">
        <v>65</v>
      </c>
      <c r="W36" s="2" t="s">
        <v>266</v>
      </c>
      <c r="X36" s="2" t="s">
        <v>98</v>
      </c>
      <c r="Y36" s="2" t="s">
        <v>259</v>
      </c>
      <c r="Z36" s="2"/>
      <c r="AA36" s="2"/>
      <c r="AB36" s="2" t="s">
        <v>144</v>
      </c>
      <c r="AC36" s="2" t="s">
        <v>65</v>
      </c>
      <c r="AD36" s="3" t="s">
        <v>260</v>
      </c>
    </row>
    <row r="37" spans="1:30" x14ac:dyDescent="0.25">
      <c r="A37" s="4" t="s">
        <v>34</v>
      </c>
      <c r="B37" s="2" t="s">
        <v>271</v>
      </c>
      <c r="C37" s="2" t="s">
        <v>36</v>
      </c>
      <c r="D37" s="2" t="s">
        <v>37</v>
      </c>
      <c r="E37" s="2" t="s">
        <v>55</v>
      </c>
      <c r="F37" s="2" t="s">
        <v>56</v>
      </c>
      <c r="G37" s="4">
        <v>19350</v>
      </c>
      <c r="H37" s="2" t="s">
        <v>138</v>
      </c>
      <c r="I37" s="4" t="s">
        <v>139</v>
      </c>
      <c r="J37" s="4" t="s">
        <v>255</v>
      </c>
      <c r="K37" s="4" t="s">
        <v>177</v>
      </c>
      <c r="L37" s="4" t="s">
        <v>44</v>
      </c>
      <c r="M37" s="4" t="s">
        <v>178</v>
      </c>
      <c r="N37" s="4">
        <v>1</v>
      </c>
      <c r="O37" s="4" t="s">
        <v>82</v>
      </c>
      <c r="P37" s="4">
        <v>50</v>
      </c>
      <c r="Q37" s="4" t="s">
        <v>83</v>
      </c>
      <c r="R37" s="4"/>
      <c r="S37" s="4" t="s">
        <v>83</v>
      </c>
      <c r="T37" s="4"/>
      <c r="U37" s="2"/>
      <c r="V37" s="2" t="s">
        <v>65</v>
      </c>
      <c r="W37" s="2" t="s">
        <v>272</v>
      </c>
      <c r="X37" s="2" t="s">
        <v>98</v>
      </c>
      <c r="Y37" s="2" t="s">
        <v>273</v>
      </c>
      <c r="Z37" s="2"/>
      <c r="AA37" s="2"/>
      <c r="AB37" s="2" t="s">
        <v>274</v>
      </c>
      <c r="AC37" s="2" t="s">
        <v>65</v>
      </c>
      <c r="AD37" s="3" t="s">
        <v>275</v>
      </c>
    </row>
    <row r="38" spans="1:30" x14ac:dyDescent="0.25">
      <c r="A38" s="4" t="s">
        <v>34</v>
      </c>
      <c r="B38" s="2" t="s">
        <v>276</v>
      </c>
      <c r="C38" s="2" t="s">
        <v>36</v>
      </c>
      <c r="D38" s="2" t="s">
        <v>37</v>
      </c>
      <c r="E38" s="2" t="s">
        <v>55</v>
      </c>
      <c r="F38" s="2" t="s">
        <v>39</v>
      </c>
      <c r="G38" s="4">
        <v>19350</v>
      </c>
      <c r="H38" s="2" t="s">
        <v>138</v>
      </c>
      <c r="I38" s="4" t="s">
        <v>146</v>
      </c>
      <c r="J38" s="4" t="s">
        <v>255</v>
      </c>
      <c r="K38" s="4" t="s">
        <v>177</v>
      </c>
      <c r="L38" s="4" t="s">
        <v>44</v>
      </c>
      <c r="M38" s="4" t="s">
        <v>178</v>
      </c>
      <c r="N38" s="4">
        <v>1</v>
      </c>
      <c r="O38" s="4" t="s">
        <v>277</v>
      </c>
      <c r="P38" s="4">
        <v>60</v>
      </c>
      <c r="Q38" s="4" t="s">
        <v>278</v>
      </c>
      <c r="R38" s="4"/>
      <c r="S38" s="4" t="s">
        <v>278</v>
      </c>
      <c r="T38" s="4"/>
      <c r="U38" s="2"/>
      <c r="V38" s="2" t="s">
        <v>65</v>
      </c>
      <c r="W38" s="2" t="s">
        <v>272</v>
      </c>
      <c r="X38" s="2" t="s">
        <v>98</v>
      </c>
      <c r="Y38" s="2" t="s">
        <v>273</v>
      </c>
      <c r="Z38" s="2"/>
      <c r="AA38" s="2"/>
      <c r="AB38" s="2" t="s">
        <v>274</v>
      </c>
      <c r="AC38" s="2" t="s">
        <v>65</v>
      </c>
      <c r="AD38" s="3" t="s">
        <v>275</v>
      </c>
    </row>
    <row r="39" spans="1:30" x14ac:dyDescent="0.25">
      <c r="A39" s="4" t="s">
        <v>34</v>
      </c>
      <c r="B39" s="2" t="s">
        <v>279</v>
      </c>
      <c r="C39" s="2" t="s">
        <v>36</v>
      </c>
      <c r="D39" s="2" t="s">
        <v>37</v>
      </c>
      <c r="E39" s="2" t="s">
        <v>55</v>
      </c>
      <c r="F39" s="2" t="s">
        <v>56</v>
      </c>
      <c r="G39" s="4">
        <v>19350</v>
      </c>
      <c r="H39" s="2" t="s">
        <v>138</v>
      </c>
      <c r="I39" s="4" t="s">
        <v>139</v>
      </c>
      <c r="J39" s="4" t="s">
        <v>263</v>
      </c>
      <c r="K39" s="4" t="s">
        <v>280</v>
      </c>
      <c r="L39" s="4" t="s">
        <v>44</v>
      </c>
      <c r="M39" s="4" t="s">
        <v>265</v>
      </c>
      <c r="N39" s="4">
        <v>1</v>
      </c>
      <c r="O39" s="4" t="s">
        <v>281</v>
      </c>
      <c r="P39" s="4">
        <v>50</v>
      </c>
      <c r="Q39" s="4" t="s">
        <v>282</v>
      </c>
      <c r="R39" s="4"/>
      <c r="S39" s="4" t="s">
        <v>282</v>
      </c>
      <c r="T39" s="4"/>
      <c r="U39" s="2"/>
      <c r="V39" s="2" t="s">
        <v>65</v>
      </c>
      <c r="W39" s="2" t="s">
        <v>283</v>
      </c>
      <c r="X39" s="2" t="s">
        <v>98</v>
      </c>
      <c r="Y39" s="2" t="s">
        <v>284</v>
      </c>
      <c r="Z39" s="2"/>
      <c r="AA39" s="2"/>
      <c r="AB39" s="2" t="s">
        <v>285</v>
      </c>
      <c r="AC39" s="2" t="s">
        <v>65</v>
      </c>
      <c r="AD39" s="3" t="s">
        <v>286</v>
      </c>
    </row>
    <row r="40" spans="1:30" x14ac:dyDescent="0.25">
      <c r="A40" s="4" t="s">
        <v>34</v>
      </c>
      <c r="B40" s="2" t="s">
        <v>287</v>
      </c>
      <c r="C40" s="2" t="s">
        <v>36</v>
      </c>
      <c r="D40" s="2" t="s">
        <v>37</v>
      </c>
      <c r="E40" s="2" t="s">
        <v>55</v>
      </c>
      <c r="F40" s="2" t="s">
        <v>39</v>
      </c>
      <c r="G40" s="4">
        <v>19350</v>
      </c>
      <c r="H40" s="2" t="s">
        <v>138</v>
      </c>
      <c r="I40" s="4" t="s">
        <v>146</v>
      </c>
      <c r="J40" s="4" t="s">
        <v>263</v>
      </c>
      <c r="K40" s="4" t="s">
        <v>280</v>
      </c>
      <c r="L40" s="4" t="s">
        <v>44</v>
      </c>
      <c r="M40" s="4" t="s">
        <v>265</v>
      </c>
      <c r="N40" s="4">
        <v>1</v>
      </c>
      <c r="O40" s="4" t="s">
        <v>288</v>
      </c>
      <c r="P40" s="4">
        <v>60</v>
      </c>
      <c r="Q40" s="4" t="s">
        <v>289</v>
      </c>
      <c r="R40" s="4"/>
      <c r="S40" s="4" t="s">
        <v>289</v>
      </c>
      <c r="T40" s="4"/>
      <c r="U40" s="2"/>
      <c r="V40" s="2" t="s">
        <v>65</v>
      </c>
      <c r="W40" s="2" t="s">
        <v>283</v>
      </c>
      <c r="X40" s="2" t="s">
        <v>98</v>
      </c>
      <c r="Y40" s="2" t="s">
        <v>284</v>
      </c>
      <c r="Z40" s="2"/>
      <c r="AA40" s="2"/>
      <c r="AB40" s="2" t="s">
        <v>285</v>
      </c>
      <c r="AC40" s="2" t="s">
        <v>65</v>
      </c>
      <c r="AD40" s="3" t="s">
        <v>286</v>
      </c>
    </row>
    <row r="41" spans="1:30" x14ac:dyDescent="0.25">
      <c r="A41" s="4" t="s">
        <v>34</v>
      </c>
      <c r="B41" s="2" t="s">
        <v>290</v>
      </c>
      <c r="C41" s="2" t="s">
        <v>36</v>
      </c>
      <c r="D41" s="2" t="s">
        <v>37</v>
      </c>
      <c r="E41" s="2" t="s">
        <v>55</v>
      </c>
      <c r="F41" s="2" t="s">
        <v>56</v>
      </c>
      <c r="G41" s="4">
        <v>19254</v>
      </c>
      <c r="H41" s="2" t="s">
        <v>291</v>
      </c>
      <c r="I41" s="4" t="s">
        <v>292</v>
      </c>
      <c r="J41" s="4" t="s">
        <v>293</v>
      </c>
      <c r="K41" s="4" t="s">
        <v>294</v>
      </c>
      <c r="L41" s="4" t="s">
        <v>61</v>
      </c>
      <c r="M41" s="4" t="s">
        <v>295</v>
      </c>
      <c r="N41" s="4">
        <v>1</v>
      </c>
      <c r="O41" s="4" t="s">
        <v>296</v>
      </c>
      <c r="P41" s="4">
        <v>50</v>
      </c>
      <c r="Q41" s="4" t="s">
        <v>297</v>
      </c>
      <c r="R41" s="4"/>
      <c r="S41" s="4" t="s">
        <v>297</v>
      </c>
      <c r="T41" s="4"/>
      <c r="U41" s="2"/>
      <c r="V41" s="2" t="s">
        <v>65</v>
      </c>
      <c r="W41" s="2" t="s">
        <v>298</v>
      </c>
      <c r="X41" s="2" t="s">
        <v>98</v>
      </c>
      <c r="Y41" s="2" t="s">
        <v>299</v>
      </c>
      <c r="Z41" s="2"/>
      <c r="AA41" s="2"/>
      <c r="AB41" s="2" t="s">
        <v>300</v>
      </c>
      <c r="AC41" s="2" t="s">
        <v>65</v>
      </c>
      <c r="AD41" s="3" t="s">
        <v>301</v>
      </c>
    </row>
    <row r="42" spans="1:30" x14ac:dyDescent="0.25">
      <c r="A42" s="4" t="s">
        <v>34</v>
      </c>
      <c r="B42" s="2" t="s">
        <v>302</v>
      </c>
      <c r="C42" s="2" t="s">
        <v>36</v>
      </c>
      <c r="D42" s="2" t="s">
        <v>37</v>
      </c>
      <c r="E42" s="2" t="s">
        <v>55</v>
      </c>
      <c r="F42" s="2" t="s">
        <v>39</v>
      </c>
      <c r="G42" s="4">
        <v>19254</v>
      </c>
      <c r="H42" s="2" t="s">
        <v>291</v>
      </c>
      <c r="I42" s="4" t="s">
        <v>303</v>
      </c>
      <c r="J42" s="4" t="s">
        <v>293</v>
      </c>
      <c r="K42" s="4" t="s">
        <v>294</v>
      </c>
      <c r="L42" s="4" t="s">
        <v>61</v>
      </c>
      <c r="M42" s="4" t="s">
        <v>295</v>
      </c>
      <c r="N42" s="4">
        <v>1</v>
      </c>
      <c r="O42" s="4" t="s">
        <v>304</v>
      </c>
      <c r="P42" s="4">
        <v>60</v>
      </c>
      <c r="Q42" s="4" t="s">
        <v>248</v>
      </c>
      <c r="R42" s="4"/>
      <c r="S42" s="4" t="s">
        <v>248</v>
      </c>
      <c r="T42" s="4"/>
      <c r="U42" s="2"/>
      <c r="V42" s="2" t="s">
        <v>65</v>
      </c>
      <c r="W42" s="2" t="s">
        <v>298</v>
      </c>
      <c r="X42" s="2" t="s">
        <v>98</v>
      </c>
      <c r="Y42" s="2" t="s">
        <v>299</v>
      </c>
      <c r="Z42" s="2"/>
      <c r="AA42" s="2"/>
      <c r="AB42" s="2" t="s">
        <v>300</v>
      </c>
      <c r="AC42" s="2" t="s">
        <v>65</v>
      </c>
      <c r="AD42" s="3" t="s">
        <v>301</v>
      </c>
    </row>
    <row r="43" spans="1:30" x14ac:dyDescent="0.25">
      <c r="A43" s="4" t="s">
        <v>34</v>
      </c>
      <c r="B43" s="2" t="s">
        <v>305</v>
      </c>
      <c r="C43" s="2" t="s">
        <v>36</v>
      </c>
      <c r="D43" s="2" t="s">
        <v>37</v>
      </c>
      <c r="E43" s="2" t="s">
        <v>55</v>
      </c>
      <c r="F43" s="2" t="s">
        <v>117</v>
      </c>
      <c r="G43" s="4">
        <v>19254</v>
      </c>
      <c r="H43" s="2" t="s">
        <v>291</v>
      </c>
      <c r="I43" s="4" t="s">
        <v>306</v>
      </c>
      <c r="J43" s="4" t="s">
        <v>293</v>
      </c>
      <c r="K43" s="4" t="s">
        <v>294</v>
      </c>
      <c r="L43" s="4" t="s">
        <v>61</v>
      </c>
      <c r="M43" s="4" t="s">
        <v>295</v>
      </c>
      <c r="N43" s="4">
        <v>1</v>
      </c>
      <c r="O43" s="4" t="s">
        <v>307</v>
      </c>
      <c r="P43" s="4">
        <v>55</v>
      </c>
      <c r="Q43" s="4" t="s">
        <v>308</v>
      </c>
      <c r="R43" s="4"/>
      <c r="S43" s="4" t="s">
        <v>308</v>
      </c>
      <c r="T43" s="4"/>
      <c r="U43" s="2"/>
      <c r="V43" s="2" t="s">
        <v>65</v>
      </c>
      <c r="W43" s="2" t="s">
        <v>298</v>
      </c>
      <c r="X43" s="2" t="s">
        <v>98</v>
      </c>
      <c r="Y43" s="2" t="s">
        <v>299</v>
      </c>
      <c r="Z43" s="2"/>
      <c r="AA43" s="2"/>
      <c r="AB43" s="2" t="s">
        <v>300</v>
      </c>
      <c r="AC43" s="2" t="s">
        <v>65</v>
      </c>
      <c r="AD43" s="3" t="s">
        <v>301</v>
      </c>
    </row>
    <row r="44" spans="1:30" x14ac:dyDescent="0.25">
      <c r="A44" s="4" t="s">
        <v>34</v>
      </c>
      <c r="B44" s="2" t="s">
        <v>309</v>
      </c>
      <c r="C44" s="2" t="s">
        <v>36</v>
      </c>
      <c r="D44" s="2" t="s">
        <v>37</v>
      </c>
      <c r="E44" s="2" t="s">
        <v>55</v>
      </c>
      <c r="F44" s="2" t="s">
        <v>39</v>
      </c>
      <c r="G44" s="4">
        <v>18144</v>
      </c>
      <c r="H44" s="2" t="s">
        <v>40</v>
      </c>
      <c r="I44" s="4" t="s">
        <v>41</v>
      </c>
      <c r="J44" s="4" t="s">
        <v>310</v>
      </c>
      <c r="K44" s="4" t="s">
        <v>311</v>
      </c>
      <c r="L44" s="4" t="s">
        <v>34</v>
      </c>
      <c r="M44" s="4" t="s">
        <v>312</v>
      </c>
      <c r="N44" s="4">
        <v>1</v>
      </c>
      <c r="O44" s="4" t="s">
        <v>313</v>
      </c>
      <c r="P44" s="4">
        <v>60</v>
      </c>
      <c r="Q44" s="4" t="s">
        <v>314</v>
      </c>
      <c r="R44" s="4"/>
      <c r="S44" s="4" t="s">
        <v>314</v>
      </c>
      <c r="T44" s="4"/>
      <c r="U44" s="2"/>
      <c r="V44" s="2" t="s">
        <v>48</v>
      </c>
      <c r="W44" s="2" t="s">
        <v>315</v>
      </c>
      <c r="X44" s="2" t="s">
        <v>50</v>
      </c>
      <c r="Y44" s="2" t="s">
        <v>316</v>
      </c>
      <c r="Z44" s="2"/>
      <c r="AA44" s="2"/>
      <c r="AB44" s="2" t="s">
        <v>317</v>
      </c>
      <c r="AC44" s="2" t="s">
        <v>48</v>
      </c>
      <c r="AD44" s="3" t="s">
        <v>318</v>
      </c>
    </row>
    <row r="45" spans="1:30" x14ac:dyDescent="0.25">
      <c r="A45" s="4" t="s">
        <v>34</v>
      </c>
      <c r="B45" s="2" t="s">
        <v>319</v>
      </c>
      <c r="C45" s="2" t="s">
        <v>36</v>
      </c>
      <c r="D45" s="2" t="s">
        <v>37</v>
      </c>
      <c r="E45" s="2" t="s">
        <v>55</v>
      </c>
      <c r="F45" s="2" t="s">
        <v>56</v>
      </c>
      <c r="G45" s="4">
        <v>18104</v>
      </c>
      <c r="H45" s="2" t="s">
        <v>320</v>
      </c>
      <c r="I45" s="4" t="s">
        <v>321</v>
      </c>
      <c r="J45" s="4" t="s">
        <v>228</v>
      </c>
      <c r="K45" s="4" t="s">
        <v>202</v>
      </c>
      <c r="L45" s="4" t="s">
        <v>61</v>
      </c>
      <c r="M45" s="4" t="s">
        <v>61</v>
      </c>
      <c r="N45" s="4">
        <v>1</v>
      </c>
      <c r="O45" s="4" t="s">
        <v>125</v>
      </c>
      <c r="P45" s="4">
        <v>50</v>
      </c>
      <c r="Q45" s="4" t="s">
        <v>126</v>
      </c>
      <c r="R45" s="4"/>
      <c r="S45" s="4" t="s">
        <v>126</v>
      </c>
      <c r="T45" s="4"/>
      <c r="U45" s="2"/>
      <c r="V45" s="2" t="s">
        <v>108</v>
      </c>
      <c r="W45" s="2" t="s">
        <v>322</v>
      </c>
      <c r="X45" s="2" t="s">
        <v>50</v>
      </c>
      <c r="Y45" s="2" t="s">
        <v>323</v>
      </c>
      <c r="Z45" s="2"/>
      <c r="AA45" s="2"/>
      <c r="AB45" s="2" t="s">
        <v>324</v>
      </c>
      <c r="AC45" s="2" t="s">
        <v>108</v>
      </c>
      <c r="AD45" s="3" t="s">
        <v>325</v>
      </c>
    </row>
    <row r="46" spans="1:30" x14ac:dyDescent="0.25">
      <c r="A46" s="4" t="s">
        <v>34</v>
      </c>
      <c r="B46" s="2" t="s">
        <v>326</v>
      </c>
      <c r="C46" s="2" t="s">
        <v>36</v>
      </c>
      <c r="D46" s="2" t="s">
        <v>37</v>
      </c>
      <c r="E46" s="2" t="s">
        <v>55</v>
      </c>
      <c r="F46" s="2" t="s">
        <v>117</v>
      </c>
      <c r="G46" s="4">
        <v>18104</v>
      </c>
      <c r="H46" s="2" t="s">
        <v>320</v>
      </c>
      <c r="I46" s="4" t="s">
        <v>327</v>
      </c>
      <c r="J46" s="4" t="s">
        <v>228</v>
      </c>
      <c r="K46" s="4" t="s">
        <v>202</v>
      </c>
      <c r="L46" s="4" t="s">
        <v>61</v>
      </c>
      <c r="M46" s="4" t="s">
        <v>61</v>
      </c>
      <c r="N46" s="4">
        <v>1</v>
      </c>
      <c r="O46" s="4" t="s">
        <v>135</v>
      </c>
      <c r="P46" s="4">
        <v>55</v>
      </c>
      <c r="Q46" s="4" t="s">
        <v>136</v>
      </c>
      <c r="R46" s="4"/>
      <c r="S46" s="4" t="s">
        <v>136</v>
      </c>
      <c r="T46" s="4"/>
      <c r="U46" s="2"/>
      <c r="V46" s="2" t="s">
        <v>108</v>
      </c>
      <c r="W46" s="2" t="s">
        <v>322</v>
      </c>
      <c r="X46" s="2" t="s">
        <v>50</v>
      </c>
      <c r="Y46" s="2" t="s">
        <v>323</v>
      </c>
      <c r="Z46" s="2"/>
      <c r="AA46" s="2"/>
      <c r="AB46" s="2" t="s">
        <v>324</v>
      </c>
      <c r="AC46" s="2" t="s">
        <v>108</v>
      </c>
      <c r="AD46" s="3" t="s">
        <v>325</v>
      </c>
    </row>
    <row r="47" spans="1:30" x14ac:dyDescent="0.25">
      <c r="A47" s="4" t="s">
        <v>34</v>
      </c>
      <c r="B47" s="2" t="s">
        <v>328</v>
      </c>
      <c r="C47" s="2" t="s">
        <v>36</v>
      </c>
      <c r="D47" s="2" t="s">
        <v>37</v>
      </c>
      <c r="E47" s="2" t="s">
        <v>55</v>
      </c>
      <c r="F47" s="2" t="s">
        <v>56</v>
      </c>
      <c r="G47" s="4">
        <v>18174</v>
      </c>
      <c r="H47" s="2" t="s">
        <v>329</v>
      </c>
      <c r="I47" s="4" t="s">
        <v>330</v>
      </c>
      <c r="J47" s="4" t="s">
        <v>228</v>
      </c>
      <c r="K47" s="4" t="s">
        <v>202</v>
      </c>
      <c r="L47" s="4" t="s">
        <v>61</v>
      </c>
      <c r="M47" s="4" t="s">
        <v>61</v>
      </c>
      <c r="N47" s="4">
        <v>1</v>
      </c>
      <c r="O47" s="4" t="s">
        <v>167</v>
      </c>
      <c r="P47" s="4">
        <v>50</v>
      </c>
      <c r="Q47" s="4" t="s">
        <v>168</v>
      </c>
      <c r="R47" s="4"/>
      <c r="S47" s="4" t="s">
        <v>168</v>
      </c>
      <c r="T47" s="4"/>
      <c r="U47" s="2"/>
      <c r="V47" s="2" t="s">
        <v>108</v>
      </c>
      <c r="W47" s="2" t="s">
        <v>331</v>
      </c>
      <c r="X47" s="2" t="s">
        <v>98</v>
      </c>
      <c r="Y47" s="2" t="s">
        <v>332</v>
      </c>
      <c r="Z47" s="2"/>
      <c r="AA47" s="2"/>
      <c r="AB47" s="2" t="s">
        <v>333</v>
      </c>
      <c r="AC47" s="2" t="s">
        <v>108</v>
      </c>
      <c r="AD47" s="3" t="s">
        <v>334</v>
      </c>
    </row>
    <row r="48" spans="1:30" x14ac:dyDescent="0.25">
      <c r="A48" s="4" t="s">
        <v>34</v>
      </c>
      <c r="B48" s="2" t="s">
        <v>335</v>
      </c>
      <c r="C48" s="2" t="s">
        <v>36</v>
      </c>
      <c r="D48" s="2" t="s">
        <v>37</v>
      </c>
      <c r="E48" s="2" t="s">
        <v>55</v>
      </c>
      <c r="F48" s="2" t="s">
        <v>56</v>
      </c>
      <c r="G48" s="4">
        <v>19254</v>
      </c>
      <c r="H48" s="2" t="s">
        <v>291</v>
      </c>
      <c r="I48" s="4" t="s">
        <v>292</v>
      </c>
      <c r="J48" s="4" t="s">
        <v>336</v>
      </c>
      <c r="K48" s="4" t="s">
        <v>238</v>
      </c>
      <c r="L48" s="4" t="s">
        <v>44</v>
      </c>
      <c r="M48" s="4" t="s">
        <v>237</v>
      </c>
      <c r="N48" s="4">
        <v>1</v>
      </c>
      <c r="O48" s="4" t="s">
        <v>337</v>
      </c>
      <c r="P48" s="4">
        <v>50</v>
      </c>
      <c r="Q48" s="4" t="s">
        <v>338</v>
      </c>
      <c r="R48" s="4"/>
      <c r="S48" s="4" t="s">
        <v>338</v>
      </c>
      <c r="T48" s="4"/>
      <c r="U48" s="2"/>
      <c r="V48" s="2" t="s">
        <v>65</v>
      </c>
      <c r="W48" s="2" t="s">
        <v>339</v>
      </c>
      <c r="X48" s="2" t="s">
        <v>50</v>
      </c>
      <c r="Y48" s="2" t="s">
        <v>340</v>
      </c>
      <c r="Z48" s="2">
        <v>1</v>
      </c>
      <c r="AA48" s="2"/>
      <c r="AB48" s="2" t="s">
        <v>341</v>
      </c>
      <c r="AC48" s="2" t="s">
        <v>65</v>
      </c>
      <c r="AD48" s="3">
        <v>60014</v>
      </c>
    </row>
    <row r="49" spans="1:30" x14ac:dyDescent="0.25">
      <c r="A49" s="4" t="s">
        <v>34</v>
      </c>
      <c r="B49" s="2" t="s">
        <v>342</v>
      </c>
      <c r="C49" s="2" t="s">
        <v>36</v>
      </c>
      <c r="D49" s="2" t="s">
        <v>37</v>
      </c>
      <c r="E49" s="2" t="s">
        <v>55</v>
      </c>
      <c r="F49" s="2" t="s">
        <v>39</v>
      </c>
      <c r="G49" s="4">
        <v>19254</v>
      </c>
      <c r="H49" s="2" t="s">
        <v>291</v>
      </c>
      <c r="I49" s="4" t="s">
        <v>303</v>
      </c>
      <c r="J49" s="4" t="s">
        <v>336</v>
      </c>
      <c r="K49" s="4" t="s">
        <v>238</v>
      </c>
      <c r="L49" s="4" t="s">
        <v>44</v>
      </c>
      <c r="M49" s="4" t="s">
        <v>237</v>
      </c>
      <c r="N49" s="4">
        <v>1</v>
      </c>
      <c r="O49" s="4" t="s">
        <v>343</v>
      </c>
      <c r="P49" s="4">
        <v>60</v>
      </c>
      <c r="Q49" s="4" t="s">
        <v>344</v>
      </c>
      <c r="R49" s="4"/>
      <c r="S49" s="4" t="s">
        <v>344</v>
      </c>
      <c r="T49" s="4"/>
      <c r="U49" s="2"/>
      <c r="V49" s="2" t="s">
        <v>65</v>
      </c>
      <c r="W49" s="2" t="s">
        <v>339</v>
      </c>
      <c r="X49" s="2" t="s">
        <v>50</v>
      </c>
      <c r="Y49" s="2" t="s">
        <v>340</v>
      </c>
      <c r="Z49" s="2">
        <v>1</v>
      </c>
      <c r="AA49" s="2"/>
      <c r="AB49" s="2" t="s">
        <v>341</v>
      </c>
      <c r="AC49" s="2" t="s">
        <v>65</v>
      </c>
      <c r="AD49" s="3">
        <v>60014</v>
      </c>
    </row>
    <row r="50" spans="1:30" x14ac:dyDescent="0.25">
      <c r="A50" s="4" t="s">
        <v>34</v>
      </c>
      <c r="B50" s="2" t="s">
        <v>345</v>
      </c>
      <c r="C50" s="2" t="s">
        <v>36</v>
      </c>
      <c r="D50" s="2" t="s">
        <v>37</v>
      </c>
      <c r="E50" s="2" t="s">
        <v>55</v>
      </c>
      <c r="F50" s="2" t="s">
        <v>117</v>
      </c>
      <c r="G50" s="4">
        <v>19254</v>
      </c>
      <c r="H50" s="2" t="s">
        <v>291</v>
      </c>
      <c r="I50" s="4" t="s">
        <v>306</v>
      </c>
      <c r="J50" s="4" t="s">
        <v>336</v>
      </c>
      <c r="K50" s="4" t="s">
        <v>238</v>
      </c>
      <c r="L50" s="4" t="s">
        <v>44</v>
      </c>
      <c r="M50" s="4" t="s">
        <v>237</v>
      </c>
      <c r="N50" s="4">
        <v>1</v>
      </c>
      <c r="O50" s="4" t="s">
        <v>346</v>
      </c>
      <c r="P50" s="4">
        <v>55</v>
      </c>
      <c r="Q50" s="4" t="s">
        <v>347</v>
      </c>
      <c r="R50" s="4"/>
      <c r="S50" s="4" t="s">
        <v>347</v>
      </c>
      <c r="T50" s="4"/>
      <c r="U50" s="2"/>
      <c r="V50" s="2" t="s">
        <v>65</v>
      </c>
      <c r="W50" s="2" t="s">
        <v>339</v>
      </c>
      <c r="X50" s="2" t="s">
        <v>50</v>
      </c>
      <c r="Y50" s="2" t="s">
        <v>340</v>
      </c>
      <c r="Z50" s="2">
        <v>1</v>
      </c>
      <c r="AA50" s="2"/>
      <c r="AB50" s="2" t="s">
        <v>341</v>
      </c>
      <c r="AC50" s="2" t="s">
        <v>65</v>
      </c>
      <c r="AD50" s="3">
        <v>60014</v>
      </c>
    </row>
    <row r="51" spans="1:30" x14ac:dyDescent="0.25">
      <c r="A51" s="4" t="s">
        <v>34</v>
      </c>
      <c r="B51" s="2" t="s">
        <v>348</v>
      </c>
      <c r="C51" s="2" t="s">
        <v>36</v>
      </c>
      <c r="D51" s="2" t="s">
        <v>37</v>
      </c>
      <c r="E51" s="2" t="s">
        <v>55</v>
      </c>
      <c r="F51" s="2" t="s">
        <v>56</v>
      </c>
      <c r="G51" s="4">
        <v>19254</v>
      </c>
      <c r="H51" s="2" t="s">
        <v>291</v>
      </c>
      <c r="I51" s="4" t="s">
        <v>292</v>
      </c>
      <c r="J51" s="4" t="s">
        <v>349</v>
      </c>
      <c r="K51" s="4" t="s">
        <v>264</v>
      </c>
      <c r="L51" s="4" t="s">
        <v>44</v>
      </c>
      <c r="M51" s="4" t="s">
        <v>265</v>
      </c>
      <c r="N51" s="4">
        <v>1</v>
      </c>
      <c r="O51" s="4" t="s">
        <v>350</v>
      </c>
      <c r="P51" s="4">
        <v>50</v>
      </c>
      <c r="Q51" s="4" t="s">
        <v>351</v>
      </c>
      <c r="R51" s="4"/>
      <c r="S51" s="4" t="s">
        <v>351</v>
      </c>
      <c r="T51" s="4"/>
      <c r="U51" s="2"/>
      <c r="V51" s="2" t="s">
        <v>65</v>
      </c>
      <c r="W51" s="2" t="s">
        <v>352</v>
      </c>
      <c r="X51" s="2" t="s">
        <v>50</v>
      </c>
      <c r="Y51" s="2" t="s">
        <v>353</v>
      </c>
      <c r="Z51" s="2"/>
      <c r="AA51" s="2"/>
      <c r="AB51" s="2" t="s">
        <v>354</v>
      </c>
      <c r="AC51" s="2" t="s">
        <v>65</v>
      </c>
      <c r="AD51" s="3" t="s">
        <v>355</v>
      </c>
    </row>
    <row r="52" spans="1:30" x14ac:dyDescent="0.25">
      <c r="A52" s="4" t="s">
        <v>34</v>
      </c>
      <c r="B52" s="2" t="s">
        <v>356</v>
      </c>
      <c r="C52" s="2" t="s">
        <v>36</v>
      </c>
      <c r="D52" s="2" t="s">
        <v>37</v>
      </c>
      <c r="E52" s="2" t="s">
        <v>55</v>
      </c>
      <c r="F52" s="2" t="s">
        <v>39</v>
      </c>
      <c r="G52" s="4">
        <v>19254</v>
      </c>
      <c r="H52" s="2" t="s">
        <v>291</v>
      </c>
      <c r="I52" s="4" t="s">
        <v>303</v>
      </c>
      <c r="J52" s="4" t="s">
        <v>349</v>
      </c>
      <c r="K52" s="4" t="s">
        <v>264</v>
      </c>
      <c r="L52" s="4" t="s">
        <v>44</v>
      </c>
      <c r="M52" s="4" t="s">
        <v>265</v>
      </c>
      <c r="N52" s="4">
        <v>1</v>
      </c>
      <c r="O52" s="4" t="s">
        <v>357</v>
      </c>
      <c r="P52" s="4">
        <v>60</v>
      </c>
      <c r="Q52" s="4" t="s">
        <v>358</v>
      </c>
      <c r="R52" s="4"/>
      <c r="S52" s="4" t="s">
        <v>358</v>
      </c>
      <c r="T52" s="4"/>
      <c r="U52" s="2"/>
      <c r="V52" s="2" t="s">
        <v>65</v>
      </c>
      <c r="W52" s="2" t="s">
        <v>352</v>
      </c>
      <c r="X52" s="2" t="s">
        <v>50</v>
      </c>
      <c r="Y52" s="2" t="s">
        <v>353</v>
      </c>
      <c r="Z52" s="2"/>
      <c r="AA52" s="2"/>
      <c r="AB52" s="2" t="s">
        <v>354</v>
      </c>
      <c r="AC52" s="2" t="s">
        <v>65</v>
      </c>
      <c r="AD52" s="3" t="s">
        <v>355</v>
      </c>
    </row>
    <row r="53" spans="1:30" x14ac:dyDescent="0.25">
      <c r="A53" s="4" t="s">
        <v>34</v>
      </c>
      <c r="B53" s="2" t="s">
        <v>359</v>
      </c>
      <c r="C53" s="2" t="s">
        <v>36</v>
      </c>
      <c r="D53" s="2" t="s">
        <v>37</v>
      </c>
      <c r="E53" s="2" t="s">
        <v>55</v>
      </c>
      <c r="F53" s="2" t="s">
        <v>117</v>
      </c>
      <c r="G53" s="4">
        <v>19254</v>
      </c>
      <c r="H53" s="2" t="s">
        <v>291</v>
      </c>
      <c r="I53" s="4" t="s">
        <v>306</v>
      </c>
      <c r="J53" s="4" t="s">
        <v>349</v>
      </c>
      <c r="K53" s="4" t="s">
        <v>264</v>
      </c>
      <c r="L53" s="4" t="s">
        <v>44</v>
      </c>
      <c r="M53" s="4" t="s">
        <v>265</v>
      </c>
      <c r="N53" s="4">
        <v>1</v>
      </c>
      <c r="O53" s="4" t="s">
        <v>360</v>
      </c>
      <c r="P53" s="4">
        <v>55</v>
      </c>
      <c r="Q53" s="4" t="s">
        <v>361</v>
      </c>
      <c r="R53" s="4"/>
      <c r="S53" s="4" t="s">
        <v>361</v>
      </c>
      <c r="T53" s="4"/>
      <c r="U53" s="2"/>
      <c r="V53" s="2" t="s">
        <v>65</v>
      </c>
      <c r="W53" s="2" t="s">
        <v>352</v>
      </c>
      <c r="X53" s="2" t="s">
        <v>50</v>
      </c>
      <c r="Y53" s="2" t="s">
        <v>353</v>
      </c>
      <c r="Z53" s="2"/>
      <c r="AA53" s="2"/>
      <c r="AB53" s="2" t="s">
        <v>354</v>
      </c>
      <c r="AC53" s="2" t="s">
        <v>65</v>
      </c>
      <c r="AD53" s="3" t="s">
        <v>355</v>
      </c>
    </row>
    <row r="54" spans="1:30" x14ac:dyDescent="0.25">
      <c r="A54" s="4" t="s">
        <v>34</v>
      </c>
      <c r="B54" s="2" t="s">
        <v>362</v>
      </c>
      <c r="C54" s="2" t="s">
        <v>36</v>
      </c>
      <c r="D54" s="2" t="s">
        <v>37</v>
      </c>
      <c r="E54" s="2" t="s">
        <v>55</v>
      </c>
      <c r="F54" s="2" t="s">
        <v>39</v>
      </c>
      <c r="G54" s="4">
        <v>18144</v>
      </c>
      <c r="H54" s="2" t="s">
        <v>40</v>
      </c>
      <c r="I54" s="4" t="s">
        <v>41</v>
      </c>
      <c r="J54" s="4" t="s">
        <v>363</v>
      </c>
      <c r="K54" s="4" t="s">
        <v>80</v>
      </c>
      <c r="L54" s="4" t="s">
        <v>44</v>
      </c>
      <c r="M54" s="4" t="s">
        <v>81</v>
      </c>
      <c r="N54" s="4">
        <v>1</v>
      </c>
      <c r="O54" s="4" t="s">
        <v>364</v>
      </c>
      <c r="P54" s="4">
        <v>60</v>
      </c>
      <c r="Q54" s="4" t="s">
        <v>365</v>
      </c>
      <c r="R54" s="4"/>
      <c r="S54" s="4" t="s">
        <v>365</v>
      </c>
      <c r="T54" s="4"/>
      <c r="U54" s="2"/>
      <c r="V54" s="2" t="s">
        <v>48</v>
      </c>
      <c r="W54" s="2" t="s">
        <v>366</v>
      </c>
      <c r="X54" s="2" t="s">
        <v>98</v>
      </c>
      <c r="Y54" s="2" t="s">
        <v>367</v>
      </c>
      <c r="Z54" s="2" t="s">
        <v>368</v>
      </c>
      <c r="AA54" s="2"/>
      <c r="AB54" s="2" t="s">
        <v>369</v>
      </c>
      <c r="AC54" s="2" t="s">
        <v>48</v>
      </c>
      <c r="AD54" s="3" t="s">
        <v>370</v>
      </c>
    </row>
    <row r="55" spans="1:30" x14ac:dyDescent="0.25">
      <c r="A55" s="4" t="s">
        <v>34</v>
      </c>
      <c r="B55" s="2" t="s">
        <v>371</v>
      </c>
      <c r="C55" s="2" t="s">
        <v>36</v>
      </c>
      <c r="D55" s="2" t="s">
        <v>37</v>
      </c>
      <c r="E55" s="2" t="s">
        <v>55</v>
      </c>
      <c r="F55" s="2" t="s">
        <v>39</v>
      </c>
      <c r="G55" s="4">
        <v>19350</v>
      </c>
      <c r="H55" s="2" t="s">
        <v>138</v>
      </c>
      <c r="I55" s="4" t="s">
        <v>146</v>
      </c>
      <c r="J55" s="4" t="s">
        <v>372</v>
      </c>
      <c r="K55" s="4" t="s">
        <v>165</v>
      </c>
      <c r="L55" s="4" t="s">
        <v>44</v>
      </c>
      <c r="M55" s="4" t="s">
        <v>166</v>
      </c>
      <c r="N55" s="4">
        <v>1</v>
      </c>
      <c r="O55" s="4" t="s">
        <v>373</v>
      </c>
      <c r="P55" s="4">
        <v>60</v>
      </c>
      <c r="Q55" s="4" t="s">
        <v>374</v>
      </c>
      <c r="R55" s="4"/>
      <c r="S55" s="4" t="s">
        <v>374</v>
      </c>
      <c r="T55" s="4"/>
      <c r="U55" s="2"/>
      <c r="V55" s="2" t="s">
        <v>65</v>
      </c>
      <c r="W55" s="2" t="s">
        <v>375</v>
      </c>
      <c r="X55" s="2" t="s">
        <v>98</v>
      </c>
      <c r="Y55" s="2" t="s">
        <v>376</v>
      </c>
      <c r="Z55" s="2"/>
      <c r="AA55" s="2"/>
      <c r="AB55" s="2" t="s">
        <v>377</v>
      </c>
      <c r="AC55" s="2" t="s">
        <v>65</v>
      </c>
      <c r="AD55" s="3" t="s">
        <v>378</v>
      </c>
    </row>
    <row r="56" spans="1:30" x14ac:dyDescent="0.25">
      <c r="A56" s="4" t="s">
        <v>34</v>
      </c>
      <c r="B56" s="2" t="s">
        <v>379</v>
      </c>
      <c r="C56" s="2" t="s">
        <v>36</v>
      </c>
      <c r="D56" s="2" t="s">
        <v>37</v>
      </c>
      <c r="E56" s="2" t="s">
        <v>55</v>
      </c>
      <c r="F56" s="2" t="s">
        <v>39</v>
      </c>
      <c r="G56" s="4">
        <v>19644</v>
      </c>
      <c r="H56" s="2" t="s">
        <v>380</v>
      </c>
      <c r="I56" s="4" t="s">
        <v>381</v>
      </c>
      <c r="J56" s="4" t="s">
        <v>349</v>
      </c>
      <c r="K56" s="4" t="s">
        <v>264</v>
      </c>
      <c r="L56" s="4" t="s">
        <v>44</v>
      </c>
      <c r="M56" s="4" t="s">
        <v>265</v>
      </c>
      <c r="N56" s="4">
        <v>1</v>
      </c>
      <c r="O56" s="4" t="s">
        <v>277</v>
      </c>
      <c r="P56" s="4">
        <v>60</v>
      </c>
      <c r="Q56" s="4" t="s">
        <v>278</v>
      </c>
      <c r="R56" s="4"/>
      <c r="S56" s="4" t="s">
        <v>278</v>
      </c>
      <c r="T56" s="4"/>
      <c r="U56" s="2"/>
      <c r="V56" s="2" t="s">
        <v>65</v>
      </c>
      <c r="W56" s="2" t="s">
        <v>382</v>
      </c>
      <c r="X56" s="2" t="s">
        <v>98</v>
      </c>
      <c r="Y56" s="2" t="s">
        <v>383</v>
      </c>
      <c r="Z56" s="2"/>
      <c r="AA56" s="2"/>
      <c r="AB56" s="2" t="s">
        <v>384</v>
      </c>
      <c r="AC56" s="2" t="s">
        <v>65</v>
      </c>
      <c r="AD56" s="3" t="s">
        <v>385</v>
      </c>
    </row>
    <row r="57" spans="1:30" x14ac:dyDescent="0.25">
      <c r="A57" s="4" t="s">
        <v>34</v>
      </c>
      <c r="B57" s="2" t="s">
        <v>386</v>
      </c>
      <c r="C57" s="2" t="s">
        <v>36</v>
      </c>
      <c r="D57" s="2" t="s">
        <v>37</v>
      </c>
      <c r="E57" s="2" t="s">
        <v>55</v>
      </c>
      <c r="F57" s="2" t="s">
        <v>56</v>
      </c>
      <c r="G57" s="4">
        <v>19245</v>
      </c>
      <c r="H57" s="2" t="s">
        <v>387</v>
      </c>
      <c r="I57" s="4" t="s">
        <v>388</v>
      </c>
      <c r="J57" s="4" t="s">
        <v>349</v>
      </c>
      <c r="K57" s="4" t="s">
        <v>264</v>
      </c>
      <c r="L57" s="4" t="s">
        <v>44</v>
      </c>
      <c r="M57" s="4" t="s">
        <v>265</v>
      </c>
      <c r="N57" s="4">
        <v>1</v>
      </c>
      <c r="O57" s="4" t="s">
        <v>63</v>
      </c>
      <c r="P57" s="4">
        <v>50</v>
      </c>
      <c r="Q57" s="4" t="s">
        <v>64</v>
      </c>
      <c r="R57" s="4"/>
      <c r="S57" s="4" t="s">
        <v>64</v>
      </c>
      <c r="T57" s="4"/>
      <c r="U57" s="2"/>
      <c r="V57" s="2" t="s">
        <v>65</v>
      </c>
      <c r="W57" s="2" t="s">
        <v>389</v>
      </c>
      <c r="X57" s="2" t="s">
        <v>50</v>
      </c>
      <c r="Y57" s="2" t="s">
        <v>390</v>
      </c>
      <c r="Z57" s="2"/>
      <c r="AA57" s="2"/>
      <c r="AB57" s="2" t="s">
        <v>391</v>
      </c>
      <c r="AC57" s="2" t="s">
        <v>65</v>
      </c>
      <c r="AD57" s="3" t="s">
        <v>392</v>
      </c>
    </row>
    <row r="58" spans="1:30" x14ac:dyDescent="0.25">
      <c r="A58" s="4" t="s">
        <v>34</v>
      </c>
      <c r="B58" s="2" t="s">
        <v>393</v>
      </c>
      <c r="C58" s="2" t="s">
        <v>36</v>
      </c>
      <c r="D58" s="2" t="s">
        <v>37</v>
      </c>
      <c r="E58" s="2" t="s">
        <v>55</v>
      </c>
      <c r="F58" s="2" t="s">
        <v>39</v>
      </c>
      <c r="G58" s="4">
        <v>19245</v>
      </c>
      <c r="H58" s="2" t="s">
        <v>387</v>
      </c>
      <c r="I58" s="4" t="s">
        <v>394</v>
      </c>
      <c r="J58" s="4" t="s">
        <v>349</v>
      </c>
      <c r="K58" s="4" t="s">
        <v>264</v>
      </c>
      <c r="L58" s="4" t="s">
        <v>44</v>
      </c>
      <c r="M58" s="4" t="s">
        <v>265</v>
      </c>
      <c r="N58" s="4">
        <v>1</v>
      </c>
      <c r="O58" s="4" t="s">
        <v>395</v>
      </c>
      <c r="P58" s="4">
        <v>60</v>
      </c>
      <c r="Q58" s="4" t="s">
        <v>396</v>
      </c>
      <c r="R58" s="4"/>
      <c r="S58" s="4" t="s">
        <v>396</v>
      </c>
      <c r="T58" s="4"/>
      <c r="U58" s="2"/>
      <c r="V58" s="2" t="s">
        <v>65</v>
      </c>
      <c r="W58" s="2" t="s">
        <v>389</v>
      </c>
      <c r="X58" s="2" t="s">
        <v>50</v>
      </c>
      <c r="Y58" s="2" t="s">
        <v>390</v>
      </c>
      <c r="Z58" s="2"/>
      <c r="AA58" s="2"/>
      <c r="AB58" s="2" t="s">
        <v>391</v>
      </c>
      <c r="AC58" s="2" t="s">
        <v>65</v>
      </c>
      <c r="AD58" s="3" t="s">
        <v>392</v>
      </c>
    </row>
    <row r="59" spans="1:30" x14ac:dyDescent="0.25">
      <c r="A59" s="4" t="s">
        <v>34</v>
      </c>
      <c r="B59" s="2" t="s">
        <v>397</v>
      </c>
      <c r="C59" s="2" t="s">
        <v>36</v>
      </c>
      <c r="D59" s="2" t="s">
        <v>37</v>
      </c>
      <c r="E59" s="2" t="s">
        <v>55</v>
      </c>
      <c r="F59" s="2" t="s">
        <v>398</v>
      </c>
      <c r="G59" s="4">
        <v>19214</v>
      </c>
      <c r="H59" s="2" t="s">
        <v>154</v>
      </c>
      <c r="I59" s="4" t="s">
        <v>163</v>
      </c>
      <c r="J59" s="4" t="s">
        <v>349</v>
      </c>
      <c r="K59" s="4" t="s">
        <v>264</v>
      </c>
      <c r="L59" s="4" t="s">
        <v>61</v>
      </c>
      <c r="M59" s="4" t="s">
        <v>265</v>
      </c>
      <c r="N59" s="4">
        <v>1</v>
      </c>
      <c r="O59" s="4" t="s">
        <v>399</v>
      </c>
      <c r="P59" s="4">
        <v>50</v>
      </c>
      <c r="Q59" s="4" t="s">
        <v>400</v>
      </c>
      <c r="R59" s="4"/>
      <c r="S59" s="4" t="s">
        <v>400</v>
      </c>
      <c r="T59" s="4"/>
      <c r="U59" s="2"/>
      <c r="V59" s="2" t="s">
        <v>401</v>
      </c>
      <c r="W59" s="2" t="s">
        <v>402</v>
      </c>
      <c r="X59" s="2" t="s">
        <v>98</v>
      </c>
      <c r="Y59" s="2" t="s">
        <v>403</v>
      </c>
      <c r="Z59" s="2">
        <v>301</v>
      </c>
      <c r="AA59" s="2"/>
      <c r="AB59" s="2" t="s">
        <v>404</v>
      </c>
      <c r="AC59" s="2" t="s">
        <v>401</v>
      </c>
      <c r="AD59" s="3">
        <v>22942</v>
      </c>
    </row>
    <row r="60" spans="1:30" x14ac:dyDescent="0.25">
      <c r="A60" s="4" t="s">
        <v>34</v>
      </c>
      <c r="B60" s="2" t="s">
        <v>405</v>
      </c>
      <c r="C60" s="2" t="s">
        <v>36</v>
      </c>
      <c r="D60" s="2" t="s">
        <v>37</v>
      </c>
      <c r="E60" s="2" t="s">
        <v>55</v>
      </c>
      <c r="F60" s="2" t="s">
        <v>406</v>
      </c>
      <c r="G60" s="4">
        <v>19214</v>
      </c>
      <c r="H60" s="2" t="s">
        <v>154</v>
      </c>
      <c r="I60" s="4" t="s">
        <v>155</v>
      </c>
      <c r="J60" s="4" t="s">
        <v>349</v>
      </c>
      <c r="K60" s="4" t="s">
        <v>264</v>
      </c>
      <c r="L60" s="4" t="s">
        <v>61</v>
      </c>
      <c r="M60" s="4" t="s">
        <v>265</v>
      </c>
      <c r="N60" s="4">
        <v>1</v>
      </c>
      <c r="O60" s="4" t="s">
        <v>407</v>
      </c>
      <c r="P60" s="4">
        <v>41.3</v>
      </c>
      <c r="Q60" s="4" t="s">
        <v>408</v>
      </c>
      <c r="R60" s="4"/>
      <c r="S60" s="4" t="s">
        <v>408</v>
      </c>
      <c r="T60" s="4"/>
      <c r="U60" s="2"/>
      <c r="V60" s="2" t="s">
        <v>401</v>
      </c>
      <c r="W60" s="2" t="s">
        <v>402</v>
      </c>
      <c r="X60" s="2" t="s">
        <v>98</v>
      </c>
      <c r="Y60" s="2" t="s">
        <v>403</v>
      </c>
      <c r="Z60" s="2">
        <v>301</v>
      </c>
      <c r="AA60" s="2"/>
      <c r="AB60" s="2" t="s">
        <v>404</v>
      </c>
      <c r="AC60" s="2" t="s">
        <v>401</v>
      </c>
      <c r="AD60" s="3">
        <v>22942</v>
      </c>
    </row>
    <row r="61" spans="1:30" x14ac:dyDescent="0.25">
      <c r="A61" s="4" t="s">
        <v>34</v>
      </c>
      <c r="B61" s="2" t="s">
        <v>409</v>
      </c>
      <c r="C61" s="2" t="s">
        <v>36</v>
      </c>
      <c r="D61" s="2" t="s">
        <v>37</v>
      </c>
      <c r="E61" s="2" t="s">
        <v>55</v>
      </c>
      <c r="F61" s="2" t="s">
        <v>56</v>
      </c>
      <c r="G61" s="4">
        <v>19350</v>
      </c>
      <c r="H61" s="2" t="s">
        <v>138</v>
      </c>
      <c r="I61" s="4" t="s">
        <v>139</v>
      </c>
      <c r="J61" s="4" t="s">
        <v>410</v>
      </c>
      <c r="K61" s="4" t="s">
        <v>123</v>
      </c>
      <c r="L61" s="4" t="s">
        <v>61</v>
      </c>
      <c r="M61" s="4" t="s">
        <v>124</v>
      </c>
      <c r="N61" s="4">
        <v>1</v>
      </c>
      <c r="O61" s="4" t="s">
        <v>217</v>
      </c>
      <c r="P61" s="4">
        <v>50</v>
      </c>
      <c r="Q61" s="4" t="s">
        <v>218</v>
      </c>
      <c r="R61" s="4"/>
      <c r="S61" s="4" t="s">
        <v>218</v>
      </c>
      <c r="T61" s="4"/>
      <c r="U61" s="2"/>
      <c r="V61" s="2" t="s">
        <v>65</v>
      </c>
      <c r="W61" s="2" t="s">
        <v>411</v>
      </c>
      <c r="X61" s="2" t="s">
        <v>98</v>
      </c>
      <c r="Y61" s="2" t="s">
        <v>412</v>
      </c>
      <c r="Z61" s="2" t="s">
        <v>413</v>
      </c>
      <c r="AA61" s="2"/>
      <c r="AB61" s="2" t="s">
        <v>414</v>
      </c>
      <c r="AC61" s="2" t="s">
        <v>65</v>
      </c>
      <c r="AD61" s="3" t="s">
        <v>415</v>
      </c>
    </row>
    <row r="62" spans="1:30" x14ac:dyDescent="0.25">
      <c r="A62" s="4" t="s">
        <v>34</v>
      </c>
      <c r="B62" s="2" t="s">
        <v>416</v>
      </c>
      <c r="C62" s="2" t="s">
        <v>36</v>
      </c>
      <c r="D62" s="2" t="s">
        <v>37</v>
      </c>
      <c r="E62" s="2" t="s">
        <v>55</v>
      </c>
      <c r="F62" s="2" t="s">
        <v>39</v>
      </c>
      <c r="G62" s="4">
        <v>19350</v>
      </c>
      <c r="H62" s="2" t="s">
        <v>138</v>
      </c>
      <c r="I62" s="4" t="s">
        <v>146</v>
      </c>
      <c r="J62" s="4" t="s">
        <v>410</v>
      </c>
      <c r="K62" s="4" t="s">
        <v>123</v>
      </c>
      <c r="L62" s="4" t="s">
        <v>61</v>
      </c>
      <c r="M62" s="4" t="s">
        <v>124</v>
      </c>
      <c r="N62" s="4">
        <v>1</v>
      </c>
      <c r="O62" s="4" t="s">
        <v>417</v>
      </c>
      <c r="P62" s="4">
        <v>60</v>
      </c>
      <c r="Q62" s="4" t="s">
        <v>418</v>
      </c>
      <c r="R62" s="4"/>
      <c r="S62" s="4" t="s">
        <v>418</v>
      </c>
      <c r="T62" s="4"/>
      <c r="U62" s="2"/>
      <c r="V62" s="2" t="s">
        <v>65</v>
      </c>
      <c r="W62" s="2" t="s">
        <v>411</v>
      </c>
      <c r="X62" s="2" t="s">
        <v>98</v>
      </c>
      <c r="Y62" s="2" t="s">
        <v>412</v>
      </c>
      <c r="Z62" s="2" t="s">
        <v>413</v>
      </c>
      <c r="AA62" s="2"/>
      <c r="AB62" s="2" t="s">
        <v>414</v>
      </c>
      <c r="AC62" s="2" t="s">
        <v>65</v>
      </c>
      <c r="AD62" s="3" t="s">
        <v>415</v>
      </c>
    </row>
    <row r="63" spans="1:30" x14ac:dyDescent="0.25">
      <c r="A63" s="4" t="s">
        <v>34</v>
      </c>
      <c r="B63" s="2" t="s">
        <v>419</v>
      </c>
      <c r="C63" s="2" t="s">
        <v>36</v>
      </c>
      <c r="D63" s="2" t="s">
        <v>37</v>
      </c>
      <c r="E63" s="2" t="s">
        <v>55</v>
      </c>
      <c r="F63" s="2" t="s">
        <v>56</v>
      </c>
      <c r="G63" s="4">
        <v>19350</v>
      </c>
      <c r="H63" s="2" t="s">
        <v>138</v>
      </c>
      <c r="I63" s="4" t="s">
        <v>139</v>
      </c>
      <c r="J63" s="4" t="s">
        <v>420</v>
      </c>
      <c r="K63" s="4" t="s">
        <v>294</v>
      </c>
      <c r="L63" s="4" t="s">
        <v>105</v>
      </c>
      <c r="M63" s="4" t="s">
        <v>295</v>
      </c>
      <c r="N63" s="4">
        <v>1</v>
      </c>
      <c r="O63" s="4" t="s">
        <v>82</v>
      </c>
      <c r="P63" s="4">
        <v>50</v>
      </c>
      <c r="Q63" s="4" t="s">
        <v>83</v>
      </c>
      <c r="R63" s="4"/>
      <c r="S63" s="4" t="s">
        <v>83</v>
      </c>
      <c r="T63" s="4"/>
      <c r="U63" s="2"/>
      <c r="V63" s="2" t="s">
        <v>65</v>
      </c>
      <c r="W63" s="2" t="s">
        <v>421</v>
      </c>
      <c r="X63" s="2" t="s">
        <v>50</v>
      </c>
      <c r="Y63" s="2" t="s">
        <v>422</v>
      </c>
      <c r="Z63" s="2">
        <v>214</v>
      </c>
      <c r="AA63" s="2"/>
      <c r="AB63" s="2" t="s">
        <v>423</v>
      </c>
      <c r="AC63" s="2" t="s">
        <v>65</v>
      </c>
      <c r="AD63" s="3" t="s">
        <v>424</v>
      </c>
    </row>
    <row r="64" spans="1:30" x14ac:dyDescent="0.25">
      <c r="A64" s="4" t="s">
        <v>34</v>
      </c>
      <c r="B64" s="2" t="s">
        <v>425</v>
      </c>
      <c r="C64" s="2" t="s">
        <v>36</v>
      </c>
      <c r="D64" s="2" t="s">
        <v>37</v>
      </c>
      <c r="E64" s="2" t="s">
        <v>55</v>
      </c>
      <c r="F64" s="2" t="s">
        <v>39</v>
      </c>
      <c r="G64" s="4">
        <v>19350</v>
      </c>
      <c r="H64" s="2" t="s">
        <v>138</v>
      </c>
      <c r="I64" s="4" t="s">
        <v>146</v>
      </c>
      <c r="J64" s="4" t="s">
        <v>420</v>
      </c>
      <c r="K64" s="4" t="s">
        <v>294</v>
      </c>
      <c r="L64" s="4" t="s">
        <v>105</v>
      </c>
      <c r="M64" s="4" t="s">
        <v>295</v>
      </c>
      <c r="N64" s="4">
        <v>1</v>
      </c>
      <c r="O64" s="4" t="s">
        <v>426</v>
      </c>
      <c r="P64" s="4">
        <v>60</v>
      </c>
      <c r="Q64" s="4" t="s">
        <v>427</v>
      </c>
      <c r="R64" s="4"/>
      <c r="S64" s="4" t="s">
        <v>427</v>
      </c>
      <c r="T64" s="4"/>
      <c r="U64" s="2"/>
      <c r="V64" s="2" t="s">
        <v>65</v>
      </c>
      <c r="W64" s="2" t="s">
        <v>421</v>
      </c>
      <c r="X64" s="2" t="s">
        <v>50</v>
      </c>
      <c r="Y64" s="2" t="s">
        <v>422</v>
      </c>
      <c r="Z64" s="2">
        <v>214</v>
      </c>
      <c r="AA64" s="2"/>
      <c r="AB64" s="2" t="s">
        <v>423</v>
      </c>
      <c r="AC64" s="2" t="s">
        <v>65</v>
      </c>
      <c r="AD64" s="3" t="s">
        <v>424</v>
      </c>
    </row>
    <row r="65" spans="1:30" x14ac:dyDescent="0.25">
      <c r="A65" s="4" t="s">
        <v>34</v>
      </c>
      <c r="B65" s="2" t="s">
        <v>428</v>
      </c>
      <c r="C65" s="2" t="s">
        <v>36</v>
      </c>
      <c r="D65" s="2" t="s">
        <v>37</v>
      </c>
      <c r="E65" s="2" t="s">
        <v>55</v>
      </c>
      <c r="F65" s="2" t="s">
        <v>56</v>
      </c>
      <c r="G65" s="4">
        <v>18174</v>
      </c>
      <c r="H65" s="2" t="s">
        <v>329</v>
      </c>
      <c r="I65" s="4" t="s">
        <v>330</v>
      </c>
      <c r="J65" s="4" t="s">
        <v>429</v>
      </c>
      <c r="K65" s="4" t="s">
        <v>430</v>
      </c>
      <c r="L65" s="4" t="s">
        <v>105</v>
      </c>
      <c r="M65" s="4" t="s">
        <v>431</v>
      </c>
      <c r="N65" s="4">
        <v>1</v>
      </c>
      <c r="O65" s="4" t="s">
        <v>432</v>
      </c>
      <c r="P65" s="4">
        <v>50</v>
      </c>
      <c r="Q65" s="4" t="s">
        <v>433</v>
      </c>
      <c r="R65" s="4"/>
      <c r="S65" s="4" t="s">
        <v>433</v>
      </c>
      <c r="T65" s="4"/>
      <c r="U65" s="2"/>
      <c r="V65" s="2" t="s">
        <v>108</v>
      </c>
      <c r="W65" s="2" t="s">
        <v>434</v>
      </c>
      <c r="X65" s="2" t="s">
        <v>50</v>
      </c>
      <c r="Y65" s="2" t="s">
        <v>435</v>
      </c>
      <c r="Z65" s="2">
        <v>403</v>
      </c>
      <c r="AA65" s="2"/>
      <c r="AB65" s="2" t="s">
        <v>436</v>
      </c>
      <c r="AC65" s="2" t="s">
        <v>108</v>
      </c>
      <c r="AD65" s="3" t="s">
        <v>437</v>
      </c>
    </row>
    <row r="66" spans="1:30" x14ac:dyDescent="0.25">
      <c r="A66" s="4" t="s">
        <v>34</v>
      </c>
      <c r="B66" s="2" t="s">
        <v>438</v>
      </c>
      <c r="C66" s="2" t="s">
        <v>36</v>
      </c>
      <c r="D66" s="2" t="s">
        <v>37</v>
      </c>
      <c r="E66" s="2" t="s">
        <v>55</v>
      </c>
      <c r="F66" s="2" t="s">
        <v>56</v>
      </c>
      <c r="G66" s="4">
        <v>19696</v>
      </c>
      <c r="H66" s="2" t="s">
        <v>439</v>
      </c>
      <c r="I66" s="4" t="s">
        <v>440</v>
      </c>
      <c r="J66" s="4" t="s">
        <v>349</v>
      </c>
      <c r="K66" s="4" t="s">
        <v>264</v>
      </c>
      <c r="L66" s="4" t="s">
        <v>61</v>
      </c>
      <c r="M66" s="4" t="s">
        <v>265</v>
      </c>
      <c r="N66" s="4">
        <v>1</v>
      </c>
      <c r="O66" s="4" t="s">
        <v>441</v>
      </c>
      <c r="P66" s="4">
        <v>50</v>
      </c>
      <c r="Q66" s="4" t="s">
        <v>442</v>
      </c>
      <c r="R66" s="4"/>
      <c r="S66" s="4" t="s">
        <v>442</v>
      </c>
      <c r="T66" s="4"/>
      <c r="U66" s="2"/>
      <c r="V66" s="2" t="s">
        <v>65</v>
      </c>
      <c r="W66" s="2" t="s">
        <v>443</v>
      </c>
      <c r="X66" s="2" t="s">
        <v>50</v>
      </c>
      <c r="Y66" s="2" t="s">
        <v>444</v>
      </c>
      <c r="Z66" s="2"/>
      <c r="AA66" s="2"/>
      <c r="AB66" s="2" t="s">
        <v>445</v>
      </c>
      <c r="AC66" s="2" t="s">
        <v>65</v>
      </c>
      <c r="AD66" s="3" t="s">
        <v>446</v>
      </c>
    </row>
    <row r="67" spans="1:30" x14ac:dyDescent="0.25">
      <c r="A67" s="4" t="s">
        <v>34</v>
      </c>
      <c r="B67" s="2" t="s">
        <v>447</v>
      </c>
      <c r="C67" s="2" t="s">
        <v>36</v>
      </c>
      <c r="D67" s="2" t="s">
        <v>37</v>
      </c>
      <c r="E67" s="2" t="s">
        <v>55</v>
      </c>
      <c r="F67" s="2" t="s">
        <v>56</v>
      </c>
      <c r="G67" s="4">
        <v>19237</v>
      </c>
      <c r="H67" s="2" t="s">
        <v>90</v>
      </c>
      <c r="I67" s="4" t="s">
        <v>91</v>
      </c>
      <c r="J67" s="4" t="s">
        <v>448</v>
      </c>
      <c r="K67" s="4" t="s">
        <v>141</v>
      </c>
      <c r="L67" s="4" t="s">
        <v>105</v>
      </c>
      <c r="M67" s="4" t="s">
        <v>34</v>
      </c>
      <c r="N67" s="4">
        <v>1</v>
      </c>
      <c r="O67" s="4" t="s">
        <v>95</v>
      </c>
      <c r="P67" s="4">
        <v>50</v>
      </c>
      <c r="Q67" s="4" t="s">
        <v>96</v>
      </c>
      <c r="R67" s="4"/>
      <c r="S67" s="4" t="s">
        <v>96</v>
      </c>
      <c r="T67" s="4"/>
      <c r="U67" s="2"/>
      <c r="V67" s="2" t="s">
        <v>449</v>
      </c>
      <c r="W67" s="2" t="s">
        <v>450</v>
      </c>
      <c r="X67" s="2" t="s">
        <v>98</v>
      </c>
      <c r="Y67" s="2" t="s">
        <v>451</v>
      </c>
      <c r="Z67" s="2"/>
      <c r="AA67" s="2"/>
      <c r="AB67" s="2" t="s">
        <v>452</v>
      </c>
      <c r="AC67" s="2" t="s">
        <v>449</v>
      </c>
      <c r="AD67" s="3" t="s">
        <v>453</v>
      </c>
    </row>
    <row r="68" spans="1:30" x14ac:dyDescent="0.25">
      <c r="A68" s="4" t="s">
        <v>34</v>
      </c>
      <c r="B68" s="2" t="s">
        <v>454</v>
      </c>
      <c r="C68" s="2" t="s">
        <v>36</v>
      </c>
      <c r="D68" s="2" t="s">
        <v>37</v>
      </c>
      <c r="E68" s="2" t="s">
        <v>55</v>
      </c>
      <c r="F68" s="2" t="s">
        <v>39</v>
      </c>
      <c r="G68" s="4">
        <v>19725</v>
      </c>
      <c r="H68" s="2" t="s">
        <v>455</v>
      </c>
      <c r="I68" s="4" t="s">
        <v>456</v>
      </c>
      <c r="J68" s="4" t="s">
        <v>349</v>
      </c>
      <c r="K68" s="4" t="s">
        <v>265</v>
      </c>
      <c r="L68" s="4" t="s">
        <v>44</v>
      </c>
      <c r="M68" s="4" t="s">
        <v>280</v>
      </c>
      <c r="N68" s="4">
        <v>1</v>
      </c>
      <c r="O68" s="4" t="s">
        <v>457</v>
      </c>
      <c r="P68" s="4">
        <v>60</v>
      </c>
      <c r="Q68" s="4" t="s">
        <v>458</v>
      </c>
      <c r="R68" s="4"/>
      <c r="S68" s="4" t="s">
        <v>458</v>
      </c>
      <c r="T68" s="4"/>
      <c r="U68" s="2"/>
      <c r="V68" s="2" t="s">
        <v>65</v>
      </c>
      <c r="W68" s="2" t="s">
        <v>459</v>
      </c>
      <c r="X68" s="2" t="s">
        <v>98</v>
      </c>
      <c r="Y68" s="2" t="s">
        <v>460</v>
      </c>
      <c r="Z68" s="2"/>
      <c r="AA68" s="2"/>
      <c r="AB68" s="2" t="s">
        <v>461</v>
      </c>
      <c r="AC68" s="2" t="s">
        <v>65</v>
      </c>
      <c r="AD68" s="3" t="s">
        <v>462</v>
      </c>
    </row>
    <row r="69" spans="1:30" x14ac:dyDescent="0.25">
      <c r="A69" s="4" t="s">
        <v>34</v>
      </c>
      <c r="B69" s="2" t="s">
        <v>463</v>
      </c>
      <c r="C69" s="2" t="s">
        <v>36</v>
      </c>
      <c r="D69" s="2" t="s">
        <v>37</v>
      </c>
      <c r="E69" s="2" t="s">
        <v>55</v>
      </c>
      <c r="F69" s="2" t="s">
        <v>117</v>
      </c>
      <c r="G69" s="4">
        <v>19725</v>
      </c>
      <c r="H69" s="2" t="s">
        <v>455</v>
      </c>
      <c r="I69" s="4" t="s">
        <v>464</v>
      </c>
      <c r="J69" s="4" t="s">
        <v>349</v>
      </c>
      <c r="K69" s="4" t="s">
        <v>265</v>
      </c>
      <c r="L69" s="4" t="s">
        <v>44</v>
      </c>
      <c r="M69" s="4" t="s">
        <v>280</v>
      </c>
      <c r="N69" s="4">
        <v>1</v>
      </c>
      <c r="O69" s="4" t="s">
        <v>465</v>
      </c>
      <c r="P69" s="4">
        <v>55</v>
      </c>
      <c r="Q69" s="4" t="s">
        <v>466</v>
      </c>
      <c r="R69" s="4"/>
      <c r="S69" s="4" t="s">
        <v>466</v>
      </c>
      <c r="T69" s="4"/>
      <c r="U69" s="2"/>
      <c r="V69" s="2" t="s">
        <v>65</v>
      </c>
      <c r="W69" s="2" t="s">
        <v>459</v>
      </c>
      <c r="X69" s="2" t="s">
        <v>98</v>
      </c>
      <c r="Y69" s="2" t="s">
        <v>460</v>
      </c>
      <c r="Z69" s="2"/>
      <c r="AA69" s="2"/>
      <c r="AB69" s="2" t="s">
        <v>461</v>
      </c>
      <c r="AC69" s="2" t="s">
        <v>65</v>
      </c>
      <c r="AD69" s="3" t="s">
        <v>462</v>
      </c>
    </row>
    <row r="70" spans="1:30" x14ac:dyDescent="0.25">
      <c r="A70" s="4" t="s">
        <v>34</v>
      </c>
      <c r="B70" s="2" t="s">
        <v>467</v>
      </c>
      <c r="C70" s="2" t="s">
        <v>36</v>
      </c>
      <c r="D70" s="2" t="s">
        <v>37</v>
      </c>
      <c r="E70" s="2" t="s">
        <v>55</v>
      </c>
      <c r="F70" s="2" t="s">
        <v>56</v>
      </c>
      <c r="G70" s="4">
        <v>19269</v>
      </c>
      <c r="H70" s="2" t="s">
        <v>468</v>
      </c>
      <c r="I70" s="4" t="s">
        <v>469</v>
      </c>
      <c r="J70" s="4" t="s">
        <v>470</v>
      </c>
      <c r="K70" s="4" t="s">
        <v>94</v>
      </c>
      <c r="L70" s="4" t="s">
        <v>61</v>
      </c>
      <c r="M70" s="4" t="s">
        <v>471</v>
      </c>
      <c r="N70" s="4">
        <v>1</v>
      </c>
      <c r="O70" s="4" t="s">
        <v>217</v>
      </c>
      <c r="P70" s="4">
        <v>50</v>
      </c>
      <c r="Q70" s="4" t="s">
        <v>218</v>
      </c>
      <c r="R70" s="4"/>
      <c r="S70" s="4" t="s">
        <v>218</v>
      </c>
      <c r="T70" s="4"/>
      <c r="U70" s="2"/>
      <c r="V70" s="2" t="s">
        <v>65</v>
      </c>
      <c r="W70" s="2" t="s">
        <v>472</v>
      </c>
      <c r="X70" s="2" t="s">
        <v>50</v>
      </c>
      <c r="Y70" s="2" t="s">
        <v>473</v>
      </c>
      <c r="Z70" s="2">
        <v>203</v>
      </c>
      <c r="AA70" s="2"/>
      <c r="AB70" s="2" t="s">
        <v>474</v>
      </c>
      <c r="AC70" s="2" t="s">
        <v>65</v>
      </c>
      <c r="AD70" s="3">
        <v>60074</v>
      </c>
    </row>
    <row r="71" spans="1:30" x14ac:dyDescent="0.25">
      <c r="A71" s="4" t="s">
        <v>34</v>
      </c>
      <c r="B71" s="2" t="s">
        <v>475</v>
      </c>
      <c r="C71" s="2" t="s">
        <v>36</v>
      </c>
      <c r="D71" s="2" t="s">
        <v>37</v>
      </c>
      <c r="E71" s="2" t="s">
        <v>55</v>
      </c>
      <c r="F71" s="2" t="s">
        <v>39</v>
      </c>
      <c r="G71" s="4">
        <v>19269</v>
      </c>
      <c r="H71" s="2" t="s">
        <v>468</v>
      </c>
      <c r="I71" s="4" t="s">
        <v>476</v>
      </c>
      <c r="J71" s="4" t="s">
        <v>477</v>
      </c>
      <c r="K71" s="4" t="s">
        <v>165</v>
      </c>
      <c r="L71" s="4" t="s">
        <v>61</v>
      </c>
      <c r="M71" s="4" t="s">
        <v>166</v>
      </c>
      <c r="N71" s="4">
        <v>1</v>
      </c>
      <c r="O71" s="4" t="s">
        <v>478</v>
      </c>
      <c r="P71" s="4">
        <v>60</v>
      </c>
      <c r="Q71" s="4" t="s">
        <v>479</v>
      </c>
      <c r="R71" s="4"/>
      <c r="S71" s="4" t="s">
        <v>479</v>
      </c>
      <c r="T71" s="4"/>
      <c r="U71" s="2"/>
      <c r="V71" s="2" t="s">
        <v>65</v>
      </c>
      <c r="W71" s="2" t="s">
        <v>472</v>
      </c>
      <c r="X71" s="2" t="s">
        <v>50</v>
      </c>
      <c r="Y71" s="2" t="s">
        <v>473</v>
      </c>
      <c r="Z71" s="2">
        <v>203</v>
      </c>
      <c r="AA71" s="2"/>
      <c r="AB71" s="2" t="s">
        <v>474</v>
      </c>
      <c r="AC71" s="2" t="s">
        <v>65</v>
      </c>
      <c r="AD71" s="3">
        <v>60074</v>
      </c>
    </row>
    <row r="72" spans="1:30" x14ac:dyDescent="0.25">
      <c r="A72" s="4" t="s">
        <v>34</v>
      </c>
      <c r="B72" s="2" t="s">
        <v>480</v>
      </c>
      <c r="C72" s="2" t="s">
        <v>36</v>
      </c>
      <c r="D72" s="2" t="s">
        <v>37</v>
      </c>
      <c r="E72" s="2" t="s">
        <v>55</v>
      </c>
      <c r="F72" s="2" t="s">
        <v>117</v>
      </c>
      <c r="G72" s="4">
        <v>19269</v>
      </c>
      <c r="H72" s="2" t="s">
        <v>468</v>
      </c>
      <c r="I72" s="4" t="s">
        <v>481</v>
      </c>
      <c r="J72" s="4" t="s">
        <v>470</v>
      </c>
      <c r="K72" s="4" t="s">
        <v>94</v>
      </c>
      <c r="L72" s="4" t="s">
        <v>61</v>
      </c>
      <c r="M72" s="4" t="s">
        <v>471</v>
      </c>
      <c r="N72" s="4">
        <v>1</v>
      </c>
      <c r="O72" s="4" t="s">
        <v>482</v>
      </c>
      <c r="P72" s="4">
        <v>55</v>
      </c>
      <c r="Q72" s="4" t="s">
        <v>483</v>
      </c>
      <c r="R72" s="4"/>
      <c r="S72" s="4" t="s">
        <v>483</v>
      </c>
      <c r="T72" s="4"/>
      <c r="U72" s="2"/>
      <c r="V72" s="2" t="s">
        <v>65</v>
      </c>
      <c r="W72" s="2" t="s">
        <v>472</v>
      </c>
      <c r="X72" s="2" t="s">
        <v>50</v>
      </c>
      <c r="Y72" s="2" t="s">
        <v>473</v>
      </c>
      <c r="Z72" s="2">
        <v>203</v>
      </c>
      <c r="AA72" s="2"/>
      <c r="AB72" s="2" t="s">
        <v>474</v>
      </c>
      <c r="AC72" s="2" t="s">
        <v>65</v>
      </c>
      <c r="AD72" s="3">
        <v>60074</v>
      </c>
    </row>
    <row r="73" spans="1:30" x14ac:dyDescent="0.25">
      <c r="A73" s="4" t="s">
        <v>34</v>
      </c>
      <c r="B73" s="2" t="s">
        <v>484</v>
      </c>
      <c r="C73" s="2" t="s">
        <v>36</v>
      </c>
      <c r="D73" s="2" t="s">
        <v>37</v>
      </c>
      <c r="E73" s="2" t="s">
        <v>55</v>
      </c>
      <c r="F73" s="2" t="s">
        <v>56</v>
      </c>
      <c r="G73" s="4">
        <v>19324</v>
      </c>
      <c r="H73" s="2" t="s">
        <v>77</v>
      </c>
      <c r="I73" s="4" t="s">
        <v>78</v>
      </c>
      <c r="J73" s="4" t="s">
        <v>485</v>
      </c>
      <c r="K73" s="4" t="s">
        <v>43</v>
      </c>
      <c r="L73" s="4" t="s">
        <v>105</v>
      </c>
      <c r="M73" s="4" t="s">
        <v>45</v>
      </c>
      <c r="N73" s="4">
        <v>1</v>
      </c>
      <c r="O73" s="4" t="s">
        <v>125</v>
      </c>
      <c r="P73" s="4">
        <v>50</v>
      </c>
      <c r="Q73" s="4" t="s">
        <v>126</v>
      </c>
      <c r="R73" s="4"/>
      <c r="S73" s="4" t="s">
        <v>126</v>
      </c>
      <c r="T73" s="4"/>
      <c r="U73" s="2"/>
      <c r="V73" s="2" t="s">
        <v>108</v>
      </c>
      <c r="W73" s="2" t="s">
        <v>486</v>
      </c>
      <c r="X73" s="2" t="s">
        <v>50</v>
      </c>
      <c r="Y73" s="2" t="s">
        <v>487</v>
      </c>
      <c r="Z73" s="2"/>
      <c r="AA73" s="2"/>
      <c r="AB73" s="2" t="s">
        <v>243</v>
      </c>
      <c r="AC73" s="2" t="s">
        <v>108</v>
      </c>
      <c r="AD73" s="3" t="s">
        <v>488</v>
      </c>
    </row>
    <row r="74" spans="1:30" x14ac:dyDescent="0.25">
      <c r="A74" s="4" t="s">
        <v>34</v>
      </c>
      <c r="B74" s="2" t="s">
        <v>489</v>
      </c>
      <c r="C74" s="2" t="s">
        <v>36</v>
      </c>
      <c r="D74" s="2" t="s">
        <v>37</v>
      </c>
      <c r="E74" s="2" t="s">
        <v>55</v>
      </c>
      <c r="F74" s="2" t="s">
        <v>39</v>
      </c>
      <c r="G74" s="4">
        <v>19324</v>
      </c>
      <c r="H74" s="2" t="s">
        <v>77</v>
      </c>
      <c r="I74" s="4" t="s">
        <v>113</v>
      </c>
      <c r="J74" s="4" t="s">
        <v>485</v>
      </c>
      <c r="K74" s="4" t="s">
        <v>43</v>
      </c>
      <c r="L74" s="4" t="s">
        <v>105</v>
      </c>
      <c r="M74" s="4" t="s">
        <v>45</v>
      </c>
      <c r="N74" s="4">
        <v>1</v>
      </c>
      <c r="O74" s="4" t="s">
        <v>490</v>
      </c>
      <c r="P74" s="4">
        <v>43</v>
      </c>
      <c r="Q74" s="4" t="s">
        <v>491</v>
      </c>
      <c r="R74" s="4"/>
      <c r="S74" s="4" t="s">
        <v>491</v>
      </c>
      <c r="T74" s="4"/>
      <c r="U74" s="2"/>
      <c r="V74" s="2" t="s">
        <v>108</v>
      </c>
      <c r="W74" s="2" t="s">
        <v>486</v>
      </c>
      <c r="X74" s="2" t="s">
        <v>50</v>
      </c>
      <c r="Y74" s="2" t="s">
        <v>487</v>
      </c>
      <c r="Z74" s="2"/>
      <c r="AA74" s="2"/>
      <c r="AB74" s="2" t="s">
        <v>243</v>
      </c>
      <c r="AC74" s="2" t="s">
        <v>108</v>
      </c>
      <c r="AD74" s="3" t="s">
        <v>488</v>
      </c>
    </row>
    <row r="75" spans="1:30" x14ac:dyDescent="0.25">
      <c r="A75" s="4" t="s">
        <v>34</v>
      </c>
      <c r="B75" s="2" t="s">
        <v>492</v>
      </c>
      <c r="C75" s="2" t="s">
        <v>36</v>
      </c>
      <c r="D75" s="2" t="s">
        <v>37</v>
      </c>
      <c r="E75" s="2" t="s">
        <v>55</v>
      </c>
      <c r="F75" s="2" t="s">
        <v>56</v>
      </c>
      <c r="G75" s="4">
        <v>19254</v>
      </c>
      <c r="H75" s="2" t="s">
        <v>291</v>
      </c>
      <c r="I75" s="4" t="s">
        <v>292</v>
      </c>
      <c r="J75" s="4" t="s">
        <v>493</v>
      </c>
      <c r="K75" s="4" t="s">
        <v>494</v>
      </c>
      <c r="L75" s="4" t="s">
        <v>44</v>
      </c>
      <c r="M75" s="4" t="s">
        <v>44</v>
      </c>
      <c r="N75" s="4">
        <v>1</v>
      </c>
      <c r="O75" s="4" t="s">
        <v>495</v>
      </c>
      <c r="P75" s="4">
        <v>50</v>
      </c>
      <c r="Q75" s="4" t="s">
        <v>496</v>
      </c>
      <c r="R75" s="4"/>
      <c r="S75" s="4" t="s">
        <v>496</v>
      </c>
      <c r="T75" s="4"/>
      <c r="U75" s="2"/>
      <c r="V75" s="2" t="s">
        <v>497</v>
      </c>
      <c r="W75" s="2" t="s">
        <v>498</v>
      </c>
      <c r="X75" s="2" t="s">
        <v>50</v>
      </c>
      <c r="Y75" s="2" t="s">
        <v>499</v>
      </c>
      <c r="Z75" s="2"/>
      <c r="AA75" s="2"/>
      <c r="AB75" s="2" t="s">
        <v>500</v>
      </c>
      <c r="AC75" s="2" t="s">
        <v>497</v>
      </c>
      <c r="AD75" s="3" t="s">
        <v>501</v>
      </c>
    </row>
    <row r="76" spans="1:30" x14ac:dyDescent="0.25">
      <c r="A76" s="4" t="s">
        <v>34</v>
      </c>
      <c r="B76" s="2" t="s">
        <v>502</v>
      </c>
      <c r="C76" s="2" t="s">
        <v>36</v>
      </c>
      <c r="D76" s="2" t="s">
        <v>37</v>
      </c>
      <c r="E76" s="2" t="s">
        <v>55</v>
      </c>
      <c r="F76" s="2" t="s">
        <v>39</v>
      </c>
      <c r="G76" s="4">
        <v>19254</v>
      </c>
      <c r="H76" s="2" t="s">
        <v>291</v>
      </c>
      <c r="I76" s="4" t="s">
        <v>303</v>
      </c>
      <c r="J76" s="4" t="s">
        <v>493</v>
      </c>
      <c r="K76" s="4" t="s">
        <v>494</v>
      </c>
      <c r="L76" s="4" t="s">
        <v>44</v>
      </c>
      <c r="M76" s="4" t="s">
        <v>44</v>
      </c>
      <c r="N76" s="4">
        <v>1</v>
      </c>
      <c r="O76" s="4" t="s">
        <v>503</v>
      </c>
      <c r="P76" s="4">
        <v>60</v>
      </c>
      <c r="Q76" s="4" t="s">
        <v>504</v>
      </c>
      <c r="R76" s="4"/>
      <c r="S76" s="4" t="s">
        <v>504</v>
      </c>
      <c r="T76" s="4"/>
      <c r="U76" s="2"/>
      <c r="V76" s="2" t="s">
        <v>497</v>
      </c>
      <c r="W76" s="2" t="s">
        <v>498</v>
      </c>
      <c r="X76" s="2" t="s">
        <v>50</v>
      </c>
      <c r="Y76" s="2" t="s">
        <v>499</v>
      </c>
      <c r="Z76" s="2"/>
      <c r="AA76" s="2"/>
      <c r="AB76" s="2" t="s">
        <v>500</v>
      </c>
      <c r="AC76" s="2" t="s">
        <v>497</v>
      </c>
      <c r="AD76" s="3" t="s">
        <v>501</v>
      </c>
    </row>
    <row r="77" spans="1:30" x14ac:dyDescent="0.25">
      <c r="A77" s="4" t="s">
        <v>34</v>
      </c>
      <c r="B77" s="2" t="s">
        <v>505</v>
      </c>
      <c r="C77" s="2" t="s">
        <v>36</v>
      </c>
      <c r="D77" s="2" t="s">
        <v>37</v>
      </c>
      <c r="E77" s="2" t="s">
        <v>55</v>
      </c>
      <c r="F77" s="2" t="s">
        <v>117</v>
      </c>
      <c r="G77" s="4">
        <v>19254</v>
      </c>
      <c r="H77" s="2" t="s">
        <v>291</v>
      </c>
      <c r="I77" s="4" t="s">
        <v>306</v>
      </c>
      <c r="J77" s="4" t="s">
        <v>493</v>
      </c>
      <c r="K77" s="4" t="s">
        <v>494</v>
      </c>
      <c r="L77" s="4" t="s">
        <v>44</v>
      </c>
      <c r="M77" s="4" t="s">
        <v>44</v>
      </c>
      <c r="N77" s="4">
        <v>1</v>
      </c>
      <c r="O77" s="4" t="s">
        <v>506</v>
      </c>
      <c r="P77" s="4">
        <v>55</v>
      </c>
      <c r="Q77" s="4" t="s">
        <v>507</v>
      </c>
      <c r="R77" s="4"/>
      <c r="S77" s="4" t="s">
        <v>507</v>
      </c>
      <c r="T77" s="4"/>
      <c r="U77" s="2"/>
      <c r="V77" s="2" t="s">
        <v>497</v>
      </c>
      <c r="W77" s="2" t="s">
        <v>498</v>
      </c>
      <c r="X77" s="2" t="s">
        <v>50</v>
      </c>
      <c r="Y77" s="2" t="s">
        <v>499</v>
      </c>
      <c r="Z77" s="2"/>
      <c r="AA77" s="2"/>
      <c r="AB77" s="2" t="s">
        <v>500</v>
      </c>
      <c r="AC77" s="2" t="s">
        <v>497</v>
      </c>
      <c r="AD77" s="3" t="s">
        <v>501</v>
      </c>
    </row>
    <row r="78" spans="1:30" x14ac:dyDescent="0.25">
      <c r="A78" s="4" t="s">
        <v>34</v>
      </c>
      <c r="B78" s="2" t="s">
        <v>508</v>
      </c>
      <c r="C78" s="2" t="s">
        <v>36</v>
      </c>
      <c r="D78" s="2" t="s">
        <v>37</v>
      </c>
      <c r="E78" s="2" t="s">
        <v>55</v>
      </c>
      <c r="F78" s="2" t="s">
        <v>56</v>
      </c>
      <c r="G78" s="4">
        <v>19324</v>
      </c>
      <c r="H78" s="2" t="s">
        <v>77</v>
      </c>
      <c r="I78" s="4" t="s">
        <v>78</v>
      </c>
      <c r="J78" s="4" t="s">
        <v>509</v>
      </c>
      <c r="K78" s="4" t="s">
        <v>104</v>
      </c>
      <c r="L78" s="4" t="s">
        <v>105</v>
      </c>
      <c r="M78" s="4" t="s">
        <v>105</v>
      </c>
      <c r="N78" s="4">
        <v>1</v>
      </c>
      <c r="O78" s="4" t="s">
        <v>432</v>
      </c>
      <c r="P78" s="4">
        <v>50</v>
      </c>
      <c r="Q78" s="4" t="s">
        <v>433</v>
      </c>
      <c r="R78" s="4"/>
      <c r="S78" s="4" t="s">
        <v>433</v>
      </c>
      <c r="T78" s="4"/>
      <c r="U78" s="2"/>
      <c r="V78" s="2" t="s">
        <v>108</v>
      </c>
      <c r="W78" s="2" t="s">
        <v>510</v>
      </c>
      <c r="X78" s="2" t="s">
        <v>98</v>
      </c>
      <c r="Y78" s="2" t="s">
        <v>511</v>
      </c>
      <c r="Z78" s="2"/>
      <c r="AA78" s="2"/>
      <c r="AB78" s="2" t="s">
        <v>512</v>
      </c>
      <c r="AC78" s="2" t="s">
        <v>108</v>
      </c>
      <c r="AD78" s="3" t="s">
        <v>513</v>
      </c>
    </row>
    <row r="79" spans="1:30" x14ac:dyDescent="0.25">
      <c r="A79" s="4" t="s">
        <v>34</v>
      </c>
      <c r="B79" s="2" t="s">
        <v>514</v>
      </c>
      <c r="C79" s="2" t="s">
        <v>36</v>
      </c>
      <c r="D79" s="2" t="s">
        <v>37</v>
      </c>
      <c r="E79" s="2" t="s">
        <v>55</v>
      </c>
      <c r="F79" s="2" t="s">
        <v>39</v>
      </c>
      <c r="G79" s="4">
        <v>19324</v>
      </c>
      <c r="H79" s="2" t="s">
        <v>77</v>
      </c>
      <c r="I79" s="4" t="s">
        <v>113</v>
      </c>
      <c r="J79" s="4" t="s">
        <v>509</v>
      </c>
      <c r="K79" s="4" t="s">
        <v>104</v>
      </c>
      <c r="L79" s="4" t="s">
        <v>105</v>
      </c>
      <c r="M79" s="4" t="s">
        <v>105</v>
      </c>
      <c r="N79" s="4">
        <v>1</v>
      </c>
      <c r="O79" s="4" t="s">
        <v>515</v>
      </c>
      <c r="P79" s="4">
        <v>43</v>
      </c>
      <c r="Q79" s="4" t="s">
        <v>516</v>
      </c>
      <c r="R79" s="4"/>
      <c r="S79" s="4" t="s">
        <v>516</v>
      </c>
      <c r="T79" s="4"/>
      <c r="U79" s="2"/>
      <c r="V79" s="2" t="s">
        <v>108</v>
      </c>
      <c r="W79" s="2" t="s">
        <v>510</v>
      </c>
      <c r="X79" s="2" t="s">
        <v>98</v>
      </c>
      <c r="Y79" s="2" t="s">
        <v>511</v>
      </c>
      <c r="Z79" s="2"/>
      <c r="AA79" s="2"/>
      <c r="AB79" s="2" t="s">
        <v>512</v>
      </c>
      <c r="AC79" s="2" t="s">
        <v>108</v>
      </c>
      <c r="AD79" s="3" t="s">
        <v>513</v>
      </c>
    </row>
    <row r="80" spans="1:30" x14ac:dyDescent="0.25">
      <c r="A80" s="4" t="s">
        <v>34</v>
      </c>
      <c r="B80" s="2" t="s">
        <v>517</v>
      </c>
      <c r="C80" s="2" t="s">
        <v>36</v>
      </c>
      <c r="D80" s="2" t="s">
        <v>37</v>
      </c>
      <c r="E80" s="2" t="s">
        <v>55</v>
      </c>
      <c r="F80" s="2" t="s">
        <v>117</v>
      </c>
      <c r="G80" s="4">
        <v>19324</v>
      </c>
      <c r="H80" s="2" t="s">
        <v>77</v>
      </c>
      <c r="I80" s="4" t="s">
        <v>118</v>
      </c>
      <c r="J80" s="4" t="s">
        <v>509</v>
      </c>
      <c r="K80" s="4" t="s">
        <v>104</v>
      </c>
      <c r="L80" s="4" t="s">
        <v>105</v>
      </c>
      <c r="M80" s="4" t="s">
        <v>105</v>
      </c>
      <c r="N80" s="4">
        <v>1</v>
      </c>
      <c r="O80" s="4" t="s">
        <v>518</v>
      </c>
      <c r="P80" s="4">
        <v>55</v>
      </c>
      <c r="Q80" s="4" t="s">
        <v>519</v>
      </c>
      <c r="R80" s="4"/>
      <c r="S80" s="4" t="s">
        <v>519</v>
      </c>
      <c r="T80" s="4"/>
      <c r="U80" s="2"/>
      <c r="V80" s="2" t="s">
        <v>108</v>
      </c>
      <c r="W80" s="2" t="s">
        <v>510</v>
      </c>
      <c r="X80" s="2" t="s">
        <v>98</v>
      </c>
      <c r="Y80" s="2" t="s">
        <v>511</v>
      </c>
      <c r="Z80" s="2"/>
      <c r="AA80" s="2"/>
      <c r="AB80" s="2" t="s">
        <v>512</v>
      </c>
      <c r="AC80" s="2" t="s">
        <v>108</v>
      </c>
      <c r="AD80" s="3" t="s">
        <v>513</v>
      </c>
    </row>
    <row r="81" spans="1:30" x14ac:dyDescent="0.25">
      <c r="A81" s="4" t="s">
        <v>34</v>
      </c>
      <c r="B81" s="2" t="s">
        <v>520</v>
      </c>
      <c r="C81" s="2" t="s">
        <v>36</v>
      </c>
      <c r="D81" s="2" t="s">
        <v>37</v>
      </c>
      <c r="E81" s="2" t="s">
        <v>55</v>
      </c>
      <c r="F81" s="2" t="s">
        <v>39</v>
      </c>
      <c r="G81" s="4">
        <v>19208</v>
      </c>
      <c r="H81" s="2" t="s">
        <v>57</v>
      </c>
      <c r="I81" s="4" t="s">
        <v>72</v>
      </c>
      <c r="J81" s="4" t="s">
        <v>521</v>
      </c>
      <c r="K81" s="4" t="s">
        <v>177</v>
      </c>
      <c r="L81" s="4" t="s">
        <v>44</v>
      </c>
      <c r="M81" s="4" t="s">
        <v>178</v>
      </c>
      <c r="N81" s="4">
        <v>1</v>
      </c>
      <c r="O81" s="4" t="s">
        <v>522</v>
      </c>
      <c r="P81" s="4">
        <v>60</v>
      </c>
      <c r="Q81" s="4" t="s">
        <v>523</v>
      </c>
      <c r="R81" s="4"/>
      <c r="S81" s="4" t="s">
        <v>523</v>
      </c>
      <c r="T81" s="4"/>
      <c r="U81" s="2"/>
      <c r="V81" s="2" t="s">
        <v>65</v>
      </c>
      <c r="W81" s="2" t="s">
        <v>524</v>
      </c>
      <c r="X81" s="2" t="s">
        <v>98</v>
      </c>
      <c r="Y81" s="2" t="s">
        <v>525</v>
      </c>
      <c r="Z81" s="2" t="s">
        <v>526</v>
      </c>
      <c r="AA81" s="2"/>
      <c r="AB81" s="2" t="s">
        <v>527</v>
      </c>
      <c r="AC81" s="2" t="s">
        <v>65</v>
      </c>
      <c r="AD81" s="3">
        <v>60077</v>
      </c>
    </row>
    <row r="82" spans="1:30" x14ac:dyDescent="0.25">
      <c r="A82" s="4" t="s">
        <v>34</v>
      </c>
      <c r="B82" s="2" t="s">
        <v>528</v>
      </c>
      <c r="C82" s="2" t="s">
        <v>36</v>
      </c>
      <c r="D82" s="2" t="s">
        <v>37</v>
      </c>
      <c r="E82" s="2" t="s">
        <v>55</v>
      </c>
      <c r="F82" s="2" t="s">
        <v>117</v>
      </c>
      <c r="G82" s="4">
        <v>19237</v>
      </c>
      <c r="H82" s="2" t="s">
        <v>90</v>
      </c>
      <c r="I82" s="4" t="s">
        <v>227</v>
      </c>
      <c r="J82" s="4" t="s">
        <v>529</v>
      </c>
      <c r="K82" s="4" t="s">
        <v>294</v>
      </c>
      <c r="L82" s="4" t="s">
        <v>61</v>
      </c>
      <c r="M82" s="4" t="s">
        <v>295</v>
      </c>
      <c r="N82" s="4">
        <v>1</v>
      </c>
      <c r="O82" s="4" t="s">
        <v>530</v>
      </c>
      <c r="P82" s="4">
        <v>55</v>
      </c>
      <c r="Q82" s="4" t="s">
        <v>531</v>
      </c>
      <c r="R82" s="4"/>
      <c r="S82" s="4" t="s">
        <v>531</v>
      </c>
      <c r="T82" s="4"/>
      <c r="U82" s="2"/>
      <c r="V82" s="2" t="s">
        <v>532</v>
      </c>
      <c r="W82" s="2" t="s">
        <v>533</v>
      </c>
      <c r="X82" s="2" t="s">
        <v>98</v>
      </c>
      <c r="Y82" s="2" t="s">
        <v>534</v>
      </c>
      <c r="Z82" s="2"/>
      <c r="AA82" s="2"/>
      <c r="AB82" s="2" t="s">
        <v>535</v>
      </c>
      <c r="AC82" s="2" t="s">
        <v>532</v>
      </c>
      <c r="AD82" s="3" t="s">
        <v>536</v>
      </c>
    </row>
    <row r="83" spans="1:30" x14ac:dyDescent="0.25">
      <c r="A83" s="4" t="s">
        <v>34</v>
      </c>
      <c r="B83" s="2" t="s">
        <v>537</v>
      </c>
      <c r="C83" s="2" t="s">
        <v>36</v>
      </c>
      <c r="D83" s="2" t="s">
        <v>37</v>
      </c>
      <c r="E83" s="2" t="s">
        <v>538</v>
      </c>
      <c r="F83" s="2" t="s">
        <v>117</v>
      </c>
      <c r="G83" s="4">
        <v>19237</v>
      </c>
      <c r="H83" s="2" t="s">
        <v>90</v>
      </c>
      <c r="I83" s="4" t="s">
        <v>539</v>
      </c>
      <c r="J83" s="4" t="s">
        <v>178</v>
      </c>
      <c r="K83" s="4" t="s">
        <v>177</v>
      </c>
      <c r="L83" s="4" t="s">
        <v>44</v>
      </c>
      <c r="M83" s="4" t="s">
        <v>178</v>
      </c>
      <c r="N83" s="4">
        <v>1</v>
      </c>
      <c r="O83" s="4" t="s">
        <v>540</v>
      </c>
      <c r="P83" s="4">
        <v>70</v>
      </c>
      <c r="Q83" s="4" t="s">
        <v>541</v>
      </c>
      <c r="R83" s="4"/>
      <c r="S83" s="4" t="s">
        <v>541</v>
      </c>
      <c r="T83" s="4"/>
      <c r="U83" s="2"/>
      <c r="V83" s="2" t="s">
        <v>65</v>
      </c>
      <c r="W83" s="2" t="s">
        <v>542</v>
      </c>
      <c r="X83" s="2" t="s">
        <v>98</v>
      </c>
      <c r="Y83" s="2" t="s">
        <v>543</v>
      </c>
      <c r="Z83" s="2">
        <v>2</v>
      </c>
      <c r="AA83" s="2"/>
      <c r="AB83" s="2" t="s">
        <v>544</v>
      </c>
      <c r="AC83" s="2" t="s">
        <v>65</v>
      </c>
      <c r="AD83" s="3">
        <v>60064</v>
      </c>
    </row>
    <row r="84" spans="1:30" x14ac:dyDescent="0.25">
      <c r="A84" s="4" t="s">
        <v>34</v>
      </c>
      <c r="B84" s="2" t="s">
        <v>545</v>
      </c>
      <c r="C84" s="2" t="s">
        <v>36</v>
      </c>
      <c r="D84" s="2" t="s">
        <v>37</v>
      </c>
      <c r="E84" s="2" t="s">
        <v>538</v>
      </c>
      <c r="F84" s="2" t="s">
        <v>39</v>
      </c>
      <c r="G84" s="4">
        <v>19208</v>
      </c>
      <c r="H84" s="2" t="s">
        <v>57</v>
      </c>
      <c r="I84" s="4" t="s">
        <v>546</v>
      </c>
      <c r="J84" s="4" t="s">
        <v>189</v>
      </c>
      <c r="K84" s="4" t="s">
        <v>188</v>
      </c>
      <c r="L84" s="4" t="s">
        <v>61</v>
      </c>
      <c r="M84" s="4" t="s">
        <v>189</v>
      </c>
      <c r="N84" s="4">
        <v>1</v>
      </c>
      <c r="O84" s="4" t="s">
        <v>547</v>
      </c>
      <c r="P84" s="4">
        <v>58</v>
      </c>
      <c r="Q84" s="4" t="s">
        <v>548</v>
      </c>
      <c r="R84" s="4"/>
      <c r="S84" s="4" t="s">
        <v>548</v>
      </c>
      <c r="T84" s="4"/>
      <c r="U84" s="2"/>
      <c r="V84" s="2" t="s">
        <v>549</v>
      </c>
      <c r="W84" s="2" t="s">
        <v>550</v>
      </c>
      <c r="X84" s="2" t="s">
        <v>98</v>
      </c>
      <c r="Y84" s="2" t="s">
        <v>551</v>
      </c>
      <c r="Z84" s="2"/>
      <c r="AA84" s="2"/>
      <c r="AB84" s="2" t="s">
        <v>552</v>
      </c>
      <c r="AC84" s="2" t="s">
        <v>549</v>
      </c>
      <c r="AD84" s="3" t="s">
        <v>553</v>
      </c>
    </row>
    <row r="85" spans="1:30" x14ac:dyDescent="0.25">
      <c r="A85" s="4" t="s">
        <v>34</v>
      </c>
      <c r="B85" s="2" t="s">
        <v>554</v>
      </c>
      <c r="C85" s="2" t="s">
        <v>36</v>
      </c>
      <c r="D85" s="2" t="s">
        <v>37</v>
      </c>
      <c r="E85" s="2" t="s">
        <v>538</v>
      </c>
      <c r="F85" s="2" t="s">
        <v>56</v>
      </c>
      <c r="G85" s="4">
        <v>19261</v>
      </c>
      <c r="H85" s="2" t="s">
        <v>555</v>
      </c>
      <c r="I85" s="4" t="s">
        <v>556</v>
      </c>
      <c r="J85" s="4" t="s">
        <v>189</v>
      </c>
      <c r="K85" s="4" t="s">
        <v>188</v>
      </c>
      <c r="L85" s="4" t="s">
        <v>34</v>
      </c>
      <c r="M85" s="4" t="s">
        <v>189</v>
      </c>
      <c r="N85" s="4">
        <v>1</v>
      </c>
      <c r="O85" s="4" t="s">
        <v>296</v>
      </c>
      <c r="P85" s="4">
        <v>55</v>
      </c>
      <c r="Q85" s="4" t="s">
        <v>557</v>
      </c>
      <c r="R85" s="4"/>
      <c r="S85" s="4" t="s">
        <v>557</v>
      </c>
      <c r="T85" s="4"/>
      <c r="U85" s="2"/>
      <c r="V85" s="2" t="s">
        <v>65</v>
      </c>
      <c r="W85" s="2" t="s">
        <v>558</v>
      </c>
      <c r="X85" s="2" t="s">
        <v>98</v>
      </c>
      <c r="Y85" s="2" t="s">
        <v>559</v>
      </c>
      <c r="Z85" s="2"/>
      <c r="AA85" s="2"/>
      <c r="AB85" s="2" t="s">
        <v>560</v>
      </c>
      <c r="AC85" s="2" t="s">
        <v>65</v>
      </c>
      <c r="AD85" s="3" t="s">
        <v>561</v>
      </c>
    </row>
    <row r="86" spans="1:30" x14ac:dyDescent="0.25">
      <c r="A86" s="4" t="s">
        <v>34</v>
      </c>
      <c r="B86" s="2" t="s">
        <v>562</v>
      </c>
      <c r="C86" s="2" t="s">
        <v>36</v>
      </c>
      <c r="D86" s="2" t="s">
        <v>37</v>
      </c>
      <c r="E86" s="2" t="s">
        <v>538</v>
      </c>
      <c r="F86" s="2" t="s">
        <v>117</v>
      </c>
      <c r="G86" s="4">
        <v>19261</v>
      </c>
      <c r="H86" s="2" t="s">
        <v>555</v>
      </c>
      <c r="I86" s="4" t="s">
        <v>563</v>
      </c>
      <c r="J86" s="4" t="s">
        <v>189</v>
      </c>
      <c r="K86" s="4" t="s">
        <v>188</v>
      </c>
      <c r="L86" s="4" t="s">
        <v>34</v>
      </c>
      <c r="M86" s="4" t="s">
        <v>189</v>
      </c>
      <c r="N86" s="4">
        <v>1</v>
      </c>
      <c r="O86" s="4" t="s">
        <v>564</v>
      </c>
      <c r="P86" s="4">
        <v>70</v>
      </c>
      <c r="Q86" s="4" t="s">
        <v>565</v>
      </c>
      <c r="R86" s="4"/>
      <c r="S86" s="4" t="s">
        <v>565</v>
      </c>
      <c r="T86" s="4"/>
      <c r="U86" s="2"/>
      <c r="V86" s="2" t="s">
        <v>65</v>
      </c>
      <c r="W86" s="2" t="s">
        <v>558</v>
      </c>
      <c r="X86" s="2" t="s">
        <v>98</v>
      </c>
      <c r="Y86" s="2" t="s">
        <v>559</v>
      </c>
      <c r="Z86" s="2"/>
      <c r="AA86" s="2"/>
      <c r="AB86" s="2" t="s">
        <v>560</v>
      </c>
      <c r="AC86" s="2" t="s">
        <v>65</v>
      </c>
      <c r="AD86" s="3" t="s">
        <v>561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33C3-2977-4220-ADDF-76724272C6B6}">
  <dimension ref="A1:Q82"/>
  <sheetViews>
    <sheetView tabSelected="1" workbookViewId="0">
      <selection activeCell="B63" sqref="B63"/>
    </sheetView>
  </sheetViews>
  <sheetFormatPr defaultRowHeight="15" x14ac:dyDescent="0.25"/>
  <cols>
    <col min="1" max="1" width="13.42578125" bestFit="1" customWidth="1"/>
    <col min="2" max="2" width="14.140625" bestFit="1" customWidth="1"/>
    <col min="3" max="3" width="27.85546875" bestFit="1" customWidth="1"/>
    <col min="4" max="4" width="10.5703125" bestFit="1" customWidth="1"/>
    <col min="6" max="6" width="41.42578125" bestFit="1" customWidth="1"/>
    <col min="7" max="7" width="15.85546875" bestFit="1" customWidth="1"/>
    <col min="8" max="8" width="19.5703125" bestFit="1" customWidth="1"/>
    <col min="9" max="9" width="22.28515625" bestFit="1" customWidth="1"/>
    <col min="10" max="10" width="19.42578125" bestFit="1" customWidth="1"/>
    <col min="11" max="11" width="18" bestFit="1" customWidth="1"/>
    <col min="12" max="12" width="9.85546875" bestFit="1" customWidth="1"/>
    <col min="13" max="14" width="9.85546875" customWidth="1"/>
    <col min="16" max="16" width="7" bestFit="1" customWidth="1"/>
    <col min="17" max="17" width="8" bestFit="1" customWidth="1"/>
    <col min="18" max="16384" width="9.140625" style="12"/>
  </cols>
  <sheetData>
    <row r="1" spans="1:17" x14ac:dyDescent="0.25">
      <c r="A1" s="1" t="s">
        <v>4</v>
      </c>
      <c r="B1" s="1" t="s">
        <v>5</v>
      </c>
      <c r="C1" s="1" t="s">
        <v>26</v>
      </c>
      <c r="D1" s="1" t="s">
        <v>25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17</v>
      </c>
      <c r="M1" s="1"/>
      <c r="N1" s="1"/>
      <c r="O1" s="1" t="s">
        <v>18</v>
      </c>
      <c r="P1" s="1" t="s">
        <v>19</v>
      </c>
      <c r="Q1" s="1" t="s">
        <v>20</v>
      </c>
    </row>
    <row r="2" spans="1:17" x14ac:dyDescent="0.25">
      <c r="A2" s="4" t="s">
        <v>34</v>
      </c>
      <c r="B2" s="2" t="s">
        <v>319</v>
      </c>
      <c r="C2" s="2" t="s">
        <v>322</v>
      </c>
      <c r="D2" s="2" t="s">
        <v>108</v>
      </c>
      <c r="E2" s="2" t="s">
        <v>55</v>
      </c>
      <c r="F2" s="2" t="s">
        <v>572</v>
      </c>
      <c r="G2" s="4">
        <v>9079571</v>
      </c>
      <c r="H2" s="2" t="s">
        <v>320</v>
      </c>
      <c r="I2" s="4" t="s">
        <v>321</v>
      </c>
      <c r="J2" s="4" t="s">
        <v>228</v>
      </c>
      <c r="K2" s="4" t="s">
        <v>202</v>
      </c>
      <c r="L2" s="16">
        <f>MONTH(K2-J2)</f>
        <v>6</v>
      </c>
      <c r="M2" s="21" t="s">
        <v>568</v>
      </c>
      <c r="N2" s="21" t="s">
        <v>579</v>
      </c>
      <c r="O2" s="5">
        <v>48.17</v>
      </c>
      <c r="P2" s="4">
        <v>50</v>
      </c>
      <c r="Q2" s="5">
        <v>24.09</v>
      </c>
    </row>
    <row r="3" spans="1:17" x14ac:dyDescent="0.25">
      <c r="A3" s="4" t="s">
        <v>34</v>
      </c>
      <c r="B3" s="2" t="s">
        <v>326</v>
      </c>
      <c r="C3" s="2" t="s">
        <v>322</v>
      </c>
      <c r="D3" s="2" t="s">
        <v>108</v>
      </c>
      <c r="E3" s="2" t="s">
        <v>55</v>
      </c>
      <c r="F3" s="22" t="s">
        <v>573</v>
      </c>
      <c r="G3" s="4">
        <v>9079571</v>
      </c>
      <c r="H3" s="2" t="s">
        <v>320</v>
      </c>
      <c r="I3" s="4" t="s">
        <v>327</v>
      </c>
      <c r="J3" s="4" t="s">
        <v>228</v>
      </c>
      <c r="K3" s="4" t="s">
        <v>202</v>
      </c>
      <c r="L3" s="16">
        <f>MONTH(K3-J3)</f>
        <v>6</v>
      </c>
      <c r="M3" s="21" t="s">
        <v>568</v>
      </c>
      <c r="N3" s="21" t="s">
        <v>579</v>
      </c>
      <c r="O3" s="5">
        <v>27.4</v>
      </c>
      <c r="P3" s="4">
        <v>55</v>
      </c>
      <c r="Q3" s="5">
        <v>15.08</v>
      </c>
    </row>
    <row r="4" spans="1:17" x14ac:dyDescent="0.25">
      <c r="A4" s="9" t="s">
        <v>34</v>
      </c>
      <c r="B4" s="10" t="s">
        <v>467</v>
      </c>
      <c r="C4" s="10" t="s">
        <v>472</v>
      </c>
      <c r="D4" s="10" t="s">
        <v>65</v>
      </c>
      <c r="E4" s="10" t="s">
        <v>55</v>
      </c>
      <c r="F4" s="10" t="s">
        <v>572</v>
      </c>
      <c r="G4" s="9">
        <v>16912722</v>
      </c>
      <c r="H4" s="10" t="s">
        <v>468</v>
      </c>
      <c r="I4" s="9" t="s">
        <v>469</v>
      </c>
      <c r="J4" s="9" t="s">
        <v>470</v>
      </c>
      <c r="K4" s="9" t="s">
        <v>94</v>
      </c>
      <c r="L4" s="9">
        <f>MONTH(K4-J4)</f>
        <v>4</v>
      </c>
      <c r="M4" s="20" t="s">
        <v>567</v>
      </c>
      <c r="N4" s="20" t="s">
        <v>579</v>
      </c>
      <c r="O4" s="11">
        <v>38.07</v>
      </c>
      <c r="P4" s="9">
        <v>50</v>
      </c>
      <c r="Q4" s="11">
        <v>19.04</v>
      </c>
    </row>
    <row r="5" spans="1:17" x14ac:dyDescent="0.25">
      <c r="A5" s="9" t="s">
        <v>34</v>
      </c>
      <c r="B5" s="10" t="s">
        <v>480</v>
      </c>
      <c r="C5" s="10" t="s">
        <v>472</v>
      </c>
      <c r="D5" s="10" t="s">
        <v>65</v>
      </c>
      <c r="E5" s="10" t="s">
        <v>55</v>
      </c>
      <c r="F5" s="10" t="s">
        <v>573</v>
      </c>
      <c r="G5" s="9">
        <v>16912722</v>
      </c>
      <c r="H5" s="10" t="s">
        <v>468</v>
      </c>
      <c r="I5" s="9" t="s">
        <v>481</v>
      </c>
      <c r="J5" s="9" t="s">
        <v>470</v>
      </c>
      <c r="K5" s="9" t="s">
        <v>94</v>
      </c>
      <c r="L5" s="9">
        <f>MONTH(K5-J5)</f>
        <v>4</v>
      </c>
      <c r="M5" s="20" t="s">
        <v>567</v>
      </c>
      <c r="N5" s="20" t="s">
        <v>579</v>
      </c>
      <c r="O5" s="11">
        <v>96.77</v>
      </c>
      <c r="P5" s="9">
        <v>55</v>
      </c>
      <c r="Q5" s="11">
        <v>53.21</v>
      </c>
    </row>
    <row r="6" spans="1:17" x14ac:dyDescent="0.25">
      <c r="A6" s="9" t="s">
        <v>34</v>
      </c>
      <c r="B6" s="10" t="s">
        <v>475</v>
      </c>
      <c r="C6" s="10" t="s">
        <v>472</v>
      </c>
      <c r="D6" s="10" t="s">
        <v>65</v>
      </c>
      <c r="E6" s="10" t="s">
        <v>55</v>
      </c>
      <c r="F6" s="10" t="s">
        <v>575</v>
      </c>
      <c r="G6" s="9">
        <v>16912722</v>
      </c>
      <c r="H6" s="10" t="s">
        <v>468</v>
      </c>
      <c r="I6" s="9" t="s">
        <v>476</v>
      </c>
      <c r="J6" s="9" t="s">
        <v>477</v>
      </c>
      <c r="K6" s="9" t="s">
        <v>165</v>
      </c>
      <c r="L6" s="9">
        <f>MONTH(K6-J6)</f>
        <v>4</v>
      </c>
      <c r="M6" s="20" t="s">
        <v>567</v>
      </c>
      <c r="N6" s="20" t="s">
        <v>579</v>
      </c>
      <c r="O6" s="11">
        <v>91.35</v>
      </c>
      <c r="P6" s="9">
        <v>60</v>
      </c>
      <c r="Q6" s="11">
        <v>54.81</v>
      </c>
    </row>
    <row r="7" spans="1:17" x14ac:dyDescent="0.25">
      <c r="A7" s="9" t="s">
        <v>34</v>
      </c>
      <c r="B7" s="10" t="s">
        <v>261</v>
      </c>
      <c r="C7" s="10" t="s">
        <v>266</v>
      </c>
      <c r="D7" s="10" t="s">
        <v>65</v>
      </c>
      <c r="E7" s="10" t="s">
        <v>55</v>
      </c>
      <c r="F7" s="10" t="s">
        <v>572</v>
      </c>
      <c r="G7" s="9">
        <v>7146581</v>
      </c>
      <c r="H7" s="10" t="s">
        <v>253</v>
      </c>
      <c r="I7" s="9" t="s">
        <v>262</v>
      </c>
      <c r="J7" s="9" t="s">
        <v>263</v>
      </c>
      <c r="K7" s="9" t="s">
        <v>264</v>
      </c>
      <c r="L7" s="9">
        <f>MONTH(K7-J7)</f>
        <v>6</v>
      </c>
      <c r="M7" s="20" t="s">
        <v>567</v>
      </c>
      <c r="N7" s="20" t="s">
        <v>579</v>
      </c>
      <c r="O7" s="11">
        <v>38.07</v>
      </c>
      <c r="P7" s="9">
        <v>50</v>
      </c>
      <c r="Q7" s="11">
        <v>19.04</v>
      </c>
    </row>
    <row r="8" spans="1:17" x14ac:dyDescent="0.25">
      <c r="A8" s="9" t="s">
        <v>34</v>
      </c>
      <c r="B8" s="10" t="s">
        <v>252</v>
      </c>
      <c r="C8" s="10" t="s">
        <v>258</v>
      </c>
      <c r="D8" s="10" t="s">
        <v>65</v>
      </c>
      <c r="E8" s="10" t="s">
        <v>55</v>
      </c>
      <c r="F8" s="10" t="s">
        <v>573</v>
      </c>
      <c r="G8" s="9">
        <v>7146581</v>
      </c>
      <c r="H8" s="10" t="s">
        <v>253</v>
      </c>
      <c r="I8" s="9" t="s">
        <v>254</v>
      </c>
      <c r="J8" s="9" t="s">
        <v>255</v>
      </c>
      <c r="K8" s="9" t="s">
        <v>177</v>
      </c>
      <c r="L8" s="9">
        <f>MONTH(K8-J8)</f>
        <v>6</v>
      </c>
      <c r="M8" s="20" t="s">
        <v>567</v>
      </c>
      <c r="N8" s="20" t="s">
        <v>579</v>
      </c>
      <c r="O8" s="11">
        <v>45.11</v>
      </c>
      <c r="P8" s="9">
        <v>55</v>
      </c>
      <c r="Q8" s="11">
        <v>24.81</v>
      </c>
    </row>
    <row r="9" spans="1:17" x14ac:dyDescent="0.25">
      <c r="A9" s="9" t="s">
        <v>34</v>
      </c>
      <c r="B9" s="10" t="s">
        <v>267</v>
      </c>
      <c r="C9" s="10" t="s">
        <v>266</v>
      </c>
      <c r="D9" s="10" t="s">
        <v>65</v>
      </c>
      <c r="E9" s="10" t="s">
        <v>55</v>
      </c>
      <c r="F9" s="10" t="s">
        <v>575</v>
      </c>
      <c r="G9" s="9">
        <v>7146581</v>
      </c>
      <c r="H9" s="10" t="s">
        <v>253</v>
      </c>
      <c r="I9" s="9" t="s">
        <v>268</v>
      </c>
      <c r="J9" s="9" t="s">
        <v>263</v>
      </c>
      <c r="K9" s="9" t="s">
        <v>264</v>
      </c>
      <c r="L9" s="9">
        <f>MONTH(K9-J9)</f>
        <v>6</v>
      </c>
      <c r="M9" s="20" t="s">
        <v>567</v>
      </c>
      <c r="N9" s="20" t="s">
        <v>579</v>
      </c>
      <c r="O9" s="11">
        <v>80.5</v>
      </c>
      <c r="P9" s="9">
        <v>60</v>
      </c>
      <c r="Q9" s="11">
        <v>48.3</v>
      </c>
    </row>
    <row r="10" spans="1:17" x14ac:dyDescent="0.25">
      <c r="A10" s="4" t="s">
        <v>34</v>
      </c>
      <c r="B10" s="2" t="s">
        <v>173</v>
      </c>
      <c r="C10" s="2" t="s">
        <v>181</v>
      </c>
      <c r="D10" s="2" t="s">
        <v>108</v>
      </c>
      <c r="E10" s="2" t="s">
        <v>55</v>
      </c>
      <c r="F10" s="2" t="s">
        <v>573</v>
      </c>
      <c r="G10" s="4">
        <v>17195620</v>
      </c>
      <c r="H10" s="2" t="s">
        <v>174</v>
      </c>
      <c r="I10" s="4" t="s">
        <v>175</v>
      </c>
      <c r="J10" s="4" t="s">
        <v>176</v>
      </c>
      <c r="K10" s="4" t="s">
        <v>177</v>
      </c>
      <c r="L10" s="16">
        <f>MONTH(K10-J10)</f>
        <v>7</v>
      </c>
      <c r="M10" s="21" t="s">
        <v>568</v>
      </c>
      <c r="N10" s="21" t="s">
        <v>579</v>
      </c>
      <c r="O10" s="5">
        <v>46.07</v>
      </c>
      <c r="P10" s="4">
        <v>55</v>
      </c>
      <c r="Q10" s="5">
        <v>25.33</v>
      </c>
    </row>
    <row r="11" spans="1:17" x14ac:dyDescent="0.25">
      <c r="A11" s="4" t="s">
        <v>34</v>
      </c>
      <c r="B11" s="2" t="s">
        <v>438</v>
      </c>
      <c r="C11" s="2" t="s">
        <v>443</v>
      </c>
      <c r="D11" s="2" t="s">
        <v>65</v>
      </c>
      <c r="E11" s="2" t="s">
        <v>55</v>
      </c>
      <c r="F11" s="2" t="s">
        <v>572</v>
      </c>
      <c r="G11" s="4">
        <v>20003537</v>
      </c>
      <c r="H11" s="2" t="s">
        <v>439</v>
      </c>
      <c r="I11" s="4" t="s">
        <v>440</v>
      </c>
      <c r="J11" s="4" t="s">
        <v>349</v>
      </c>
      <c r="K11" s="4" t="s">
        <v>264</v>
      </c>
      <c r="L11" s="16">
        <f>MONTH(K11-J11)</f>
        <v>5</v>
      </c>
      <c r="M11" s="21" t="s">
        <v>568</v>
      </c>
      <c r="N11" s="21" t="s">
        <v>579</v>
      </c>
      <c r="O11" s="5">
        <v>52.21</v>
      </c>
      <c r="P11" s="4">
        <v>50</v>
      </c>
      <c r="Q11" s="5">
        <v>26.11</v>
      </c>
    </row>
    <row r="12" spans="1:17" x14ac:dyDescent="0.25">
      <c r="A12" s="16" t="s">
        <v>34</v>
      </c>
      <c r="B12" s="18" t="s">
        <v>137</v>
      </c>
      <c r="C12" s="18" t="s">
        <v>142</v>
      </c>
      <c r="D12" s="18" t="s">
        <v>65</v>
      </c>
      <c r="E12" s="18" t="s">
        <v>55</v>
      </c>
      <c r="F12" s="18" t="s">
        <v>572</v>
      </c>
      <c r="G12" s="16">
        <v>19350</v>
      </c>
      <c r="H12" s="18" t="s">
        <v>138</v>
      </c>
      <c r="I12" s="16" t="s">
        <v>139</v>
      </c>
      <c r="J12" s="16" t="s">
        <v>140</v>
      </c>
      <c r="K12" s="16" t="s">
        <v>141</v>
      </c>
      <c r="L12" s="16">
        <f>MONTH(K12-J12)</f>
        <v>8</v>
      </c>
      <c r="M12" s="21" t="s">
        <v>568</v>
      </c>
      <c r="N12" s="21" t="s">
        <v>579</v>
      </c>
      <c r="O12" s="19">
        <v>29.36</v>
      </c>
      <c r="P12" s="16">
        <v>50</v>
      </c>
      <c r="Q12" s="19">
        <v>14.68</v>
      </c>
    </row>
    <row r="13" spans="1:17" x14ac:dyDescent="0.25">
      <c r="A13" s="16" t="s">
        <v>34</v>
      </c>
      <c r="B13" s="18" t="s">
        <v>213</v>
      </c>
      <c r="C13" s="18" t="s">
        <v>219</v>
      </c>
      <c r="D13" s="18" t="s">
        <v>65</v>
      </c>
      <c r="E13" s="18" t="s">
        <v>55</v>
      </c>
      <c r="F13" s="18" t="s">
        <v>572</v>
      </c>
      <c r="G13" s="16">
        <v>19350</v>
      </c>
      <c r="H13" s="18" t="s">
        <v>138</v>
      </c>
      <c r="I13" s="16" t="s">
        <v>139</v>
      </c>
      <c r="J13" s="16" t="s">
        <v>214</v>
      </c>
      <c r="K13" s="16" t="s">
        <v>215</v>
      </c>
      <c r="L13" s="16">
        <f>MONTH(K13-J13)</f>
        <v>7</v>
      </c>
      <c r="M13" s="21" t="s">
        <v>568</v>
      </c>
      <c r="N13" s="21" t="s">
        <v>579</v>
      </c>
      <c r="O13" s="19">
        <v>38.07</v>
      </c>
      <c r="P13" s="16">
        <v>50</v>
      </c>
      <c r="Q13" s="19">
        <v>19.04</v>
      </c>
    </row>
    <row r="14" spans="1:17" x14ac:dyDescent="0.25">
      <c r="A14" s="9" t="s">
        <v>34</v>
      </c>
      <c r="B14" s="10" t="s">
        <v>271</v>
      </c>
      <c r="C14" s="10" t="s">
        <v>272</v>
      </c>
      <c r="D14" s="10" t="s">
        <v>65</v>
      </c>
      <c r="E14" s="10" t="s">
        <v>55</v>
      </c>
      <c r="F14" s="10" t="s">
        <v>572</v>
      </c>
      <c r="G14" s="9">
        <v>8325282</v>
      </c>
      <c r="H14" s="10" t="s">
        <v>138</v>
      </c>
      <c r="I14" s="9" t="s">
        <v>139</v>
      </c>
      <c r="J14" s="9" t="s">
        <v>255</v>
      </c>
      <c r="K14" s="9" t="s">
        <v>177</v>
      </c>
      <c r="L14" s="9">
        <f>MONTH(K14-J14)</f>
        <v>6</v>
      </c>
      <c r="M14" s="20" t="s">
        <v>567</v>
      </c>
      <c r="N14" s="20" t="s">
        <v>579</v>
      </c>
      <c r="O14" s="11">
        <v>32.65</v>
      </c>
      <c r="P14" s="9">
        <v>50</v>
      </c>
      <c r="Q14" s="11">
        <v>16.329999999999998</v>
      </c>
    </row>
    <row r="15" spans="1:17" s="27" customFormat="1" x14ac:dyDescent="0.25">
      <c r="A15" s="23" t="s">
        <v>34</v>
      </c>
      <c r="B15" s="24" t="s">
        <v>279</v>
      </c>
      <c r="C15" s="24" t="s">
        <v>283</v>
      </c>
      <c r="D15" s="24" t="s">
        <v>65</v>
      </c>
      <c r="E15" s="24" t="s">
        <v>55</v>
      </c>
      <c r="F15" s="24" t="s">
        <v>572</v>
      </c>
      <c r="G15" s="23">
        <v>8325282</v>
      </c>
      <c r="H15" s="24" t="s">
        <v>138</v>
      </c>
      <c r="I15" s="23" t="s">
        <v>139</v>
      </c>
      <c r="J15" s="23" t="s">
        <v>263</v>
      </c>
      <c r="K15" s="23" t="s">
        <v>280</v>
      </c>
      <c r="L15" s="23">
        <f>MONTH(K15-J15)</f>
        <v>4</v>
      </c>
      <c r="M15" s="25" t="s">
        <v>568</v>
      </c>
      <c r="N15" s="25" t="s">
        <v>579</v>
      </c>
      <c r="O15" s="26">
        <v>-32.65</v>
      </c>
      <c r="P15" s="23">
        <v>50</v>
      </c>
      <c r="Q15" s="26">
        <v>-16.329999999999998</v>
      </c>
    </row>
    <row r="16" spans="1:17" x14ac:dyDescent="0.25">
      <c r="A16" s="9" t="s">
        <v>34</v>
      </c>
      <c r="B16" s="10" t="s">
        <v>409</v>
      </c>
      <c r="C16" s="10" t="s">
        <v>411</v>
      </c>
      <c r="D16" s="10" t="s">
        <v>65</v>
      </c>
      <c r="E16" s="10" t="s">
        <v>55</v>
      </c>
      <c r="F16" s="10" t="s">
        <v>572</v>
      </c>
      <c r="G16" s="9">
        <v>8325282</v>
      </c>
      <c r="H16" s="10" t="s">
        <v>138</v>
      </c>
      <c r="I16" s="9" t="s">
        <v>139</v>
      </c>
      <c r="J16" s="9" t="s">
        <v>410</v>
      </c>
      <c r="K16" s="9" t="s">
        <v>123</v>
      </c>
      <c r="L16" s="9">
        <f>MONTH(K16-J16)</f>
        <v>5</v>
      </c>
      <c r="M16" s="20" t="s">
        <v>567</v>
      </c>
      <c r="N16" s="20" t="s">
        <v>579</v>
      </c>
      <c r="O16" s="11">
        <v>38.07</v>
      </c>
      <c r="P16" s="9">
        <v>50</v>
      </c>
      <c r="Q16" s="11">
        <v>19.04</v>
      </c>
    </row>
    <row r="17" spans="1:17" x14ac:dyDescent="0.25">
      <c r="A17" s="9" t="s">
        <v>34</v>
      </c>
      <c r="B17" s="10" t="s">
        <v>419</v>
      </c>
      <c r="C17" s="10" t="s">
        <v>421</v>
      </c>
      <c r="D17" s="10" t="s">
        <v>65</v>
      </c>
      <c r="E17" s="10" t="s">
        <v>55</v>
      </c>
      <c r="F17" s="10" t="s">
        <v>572</v>
      </c>
      <c r="G17" s="9">
        <v>8325282</v>
      </c>
      <c r="H17" s="10" t="s">
        <v>138</v>
      </c>
      <c r="I17" s="9" t="s">
        <v>139</v>
      </c>
      <c r="J17" s="9" t="s">
        <v>420</v>
      </c>
      <c r="K17" s="9" t="s">
        <v>294</v>
      </c>
      <c r="L17" s="9">
        <f>MONTH(K17-J17)</f>
        <v>5</v>
      </c>
      <c r="M17" s="20" t="s">
        <v>567</v>
      </c>
      <c r="N17" s="20" t="s">
        <v>579</v>
      </c>
      <c r="O17" s="11">
        <v>32.65</v>
      </c>
      <c r="P17" s="9">
        <v>50</v>
      </c>
      <c r="Q17" s="11">
        <v>16.329999999999998</v>
      </c>
    </row>
    <row r="18" spans="1:17" x14ac:dyDescent="0.25">
      <c r="A18" s="16" t="s">
        <v>34</v>
      </c>
      <c r="B18" s="18" t="s">
        <v>149</v>
      </c>
      <c r="C18" s="18" t="s">
        <v>142</v>
      </c>
      <c r="D18" s="18" t="s">
        <v>65</v>
      </c>
      <c r="E18" s="18" t="s">
        <v>55</v>
      </c>
      <c r="F18" s="18" t="s">
        <v>573</v>
      </c>
      <c r="G18" s="16">
        <v>8325282</v>
      </c>
      <c r="H18" s="18" t="s">
        <v>138</v>
      </c>
      <c r="I18" s="16" t="s">
        <v>150</v>
      </c>
      <c r="J18" s="16" t="s">
        <v>140</v>
      </c>
      <c r="K18" s="16" t="s">
        <v>141</v>
      </c>
      <c r="L18" s="16">
        <f>MONTH(K18-J18)</f>
        <v>8</v>
      </c>
      <c r="M18" s="21" t="s">
        <v>568</v>
      </c>
      <c r="N18" s="21" t="s">
        <v>579</v>
      </c>
      <c r="O18" s="19">
        <v>10.79</v>
      </c>
      <c r="P18" s="16">
        <v>55</v>
      </c>
      <c r="Q18" s="19">
        <v>5.93</v>
      </c>
    </row>
    <row r="19" spans="1:17" x14ac:dyDescent="0.25">
      <c r="A19" s="16" t="s">
        <v>34</v>
      </c>
      <c r="B19" s="18" t="s">
        <v>223</v>
      </c>
      <c r="C19" s="18" t="s">
        <v>219</v>
      </c>
      <c r="D19" s="18" t="s">
        <v>65</v>
      </c>
      <c r="E19" s="18" t="s">
        <v>55</v>
      </c>
      <c r="F19" s="18" t="s">
        <v>573</v>
      </c>
      <c r="G19" s="16">
        <v>8325282</v>
      </c>
      <c r="H19" s="18" t="s">
        <v>138</v>
      </c>
      <c r="I19" s="16" t="s">
        <v>150</v>
      </c>
      <c r="J19" s="16" t="s">
        <v>214</v>
      </c>
      <c r="K19" s="16" t="s">
        <v>215</v>
      </c>
      <c r="L19" s="16">
        <f>MONTH(K19-J19)</f>
        <v>7</v>
      </c>
      <c r="M19" s="21" t="s">
        <v>568</v>
      </c>
      <c r="N19" s="21" t="s">
        <v>579</v>
      </c>
      <c r="O19" s="19">
        <v>22.66</v>
      </c>
      <c r="P19" s="16">
        <v>55</v>
      </c>
      <c r="Q19" s="19">
        <v>12.46</v>
      </c>
    </row>
    <row r="20" spans="1:17" x14ac:dyDescent="0.25">
      <c r="A20" s="16" t="s">
        <v>34</v>
      </c>
      <c r="B20" s="18" t="s">
        <v>145</v>
      </c>
      <c r="C20" s="18" t="s">
        <v>142</v>
      </c>
      <c r="D20" s="18" t="s">
        <v>65</v>
      </c>
      <c r="E20" s="18" t="s">
        <v>55</v>
      </c>
      <c r="F20" s="18" t="s">
        <v>575</v>
      </c>
      <c r="G20" s="16">
        <v>8325282</v>
      </c>
      <c r="H20" s="18" t="s">
        <v>138</v>
      </c>
      <c r="I20" s="16" t="s">
        <v>146</v>
      </c>
      <c r="J20" s="16" t="s">
        <v>140</v>
      </c>
      <c r="K20" s="16" t="s">
        <v>141</v>
      </c>
      <c r="L20" s="16">
        <f>MONTH(K20-J20)</f>
        <v>8</v>
      </c>
      <c r="M20" s="21" t="s">
        <v>568</v>
      </c>
      <c r="N20" s="21" t="s">
        <v>579</v>
      </c>
      <c r="O20" s="19">
        <v>10.050000000000001</v>
      </c>
      <c r="P20" s="16">
        <v>60</v>
      </c>
      <c r="Q20" s="19">
        <v>6.03</v>
      </c>
    </row>
    <row r="21" spans="1:17" x14ac:dyDescent="0.25">
      <c r="A21" s="9" t="s">
        <v>34</v>
      </c>
      <c r="B21" s="10" t="s">
        <v>276</v>
      </c>
      <c r="C21" s="10" t="s">
        <v>272</v>
      </c>
      <c r="D21" s="10" t="s">
        <v>65</v>
      </c>
      <c r="E21" s="10" t="s">
        <v>55</v>
      </c>
      <c r="F21" s="10" t="s">
        <v>575</v>
      </c>
      <c r="G21" s="9">
        <v>8325282</v>
      </c>
      <c r="H21" s="10" t="s">
        <v>138</v>
      </c>
      <c r="I21" s="9" t="s">
        <v>146</v>
      </c>
      <c r="J21" s="9" t="s">
        <v>255</v>
      </c>
      <c r="K21" s="9" t="s">
        <v>177</v>
      </c>
      <c r="L21" s="9">
        <f>MONTH(K21-J21)</f>
        <v>6</v>
      </c>
      <c r="M21" s="20" t="s">
        <v>567</v>
      </c>
      <c r="N21" s="20" t="s">
        <v>579</v>
      </c>
      <c r="O21" s="11">
        <v>33.950000000000003</v>
      </c>
      <c r="P21" s="9">
        <v>60</v>
      </c>
      <c r="Q21" s="11">
        <v>20.37</v>
      </c>
    </row>
    <row r="22" spans="1:17" s="27" customFormat="1" x14ac:dyDescent="0.25">
      <c r="A22" s="23" t="s">
        <v>34</v>
      </c>
      <c r="B22" s="24" t="s">
        <v>287</v>
      </c>
      <c r="C22" s="24" t="s">
        <v>283</v>
      </c>
      <c r="D22" s="24" t="s">
        <v>65</v>
      </c>
      <c r="E22" s="24" t="s">
        <v>55</v>
      </c>
      <c r="F22" s="24" t="s">
        <v>575</v>
      </c>
      <c r="G22" s="23">
        <v>8325282</v>
      </c>
      <c r="H22" s="24" t="s">
        <v>138</v>
      </c>
      <c r="I22" s="23" t="s">
        <v>146</v>
      </c>
      <c r="J22" s="23" t="s">
        <v>263</v>
      </c>
      <c r="K22" s="23" t="s">
        <v>280</v>
      </c>
      <c r="L22" s="23">
        <f>MONTH(K22-J22)</f>
        <v>4</v>
      </c>
      <c r="M22" s="25" t="s">
        <v>568</v>
      </c>
      <c r="N22" s="25" t="s">
        <v>579</v>
      </c>
      <c r="O22" s="26">
        <v>-31.35</v>
      </c>
      <c r="P22" s="23">
        <v>60</v>
      </c>
      <c r="Q22" s="26">
        <v>-18.809999999999999</v>
      </c>
    </row>
    <row r="23" spans="1:17" x14ac:dyDescent="0.25">
      <c r="A23" s="9" t="s">
        <v>34</v>
      </c>
      <c r="B23" s="10" t="s">
        <v>371</v>
      </c>
      <c r="C23" s="10" t="s">
        <v>375</v>
      </c>
      <c r="D23" s="10" t="s">
        <v>65</v>
      </c>
      <c r="E23" s="10" t="s">
        <v>55</v>
      </c>
      <c r="F23" s="10" t="s">
        <v>575</v>
      </c>
      <c r="G23" s="9">
        <v>8325282</v>
      </c>
      <c r="H23" s="10" t="s">
        <v>138</v>
      </c>
      <c r="I23" s="9" t="s">
        <v>146</v>
      </c>
      <c r="J23" s="9" t="s">
        <v>372</v>
      </c>
      <c r="K23" s="9" t="s">
        <v>165</v>
      </c>
      <c r="L23" s="9">
        <f>MONTH(K23-J23)</f>
        <v>5</v>
      </c>
      <c r="M23" s="20" t="s">
        <v>567</v>
      </c>
      <c r="N23" s="20" t="s">
        <v>579</v>
      </c>
      <c r="O23" s="11">
        <v>56.2</v>
      </c>
      <c r="P23" s="9">
        <v>60</v>
      </c>
      <c r="Q23" s="11">
        <v>33.72</v>
      </c>
    </row>
    <row r="24" spans="1:17" x14ac:dyDescent="0.25">
      <c r="A24" s="9" t="s">
        <v>34</v>
      </c>
      <c r="B24" s="10" t="s">
        <v>416</v>
      </c>
      <c r="C24" s="10" t="s">
        <v>411</v>
      </c>
      <c r="D24" s="10" t="s">
        <v>65</v>
      </c>
      <c r="E24" s="10" t="s">
        <v>55</v>
      </c>
      <c r="F24" s="10" t="s">
        <v>575</v>
      </c>
      <c r="G24" s="9">
        <v>8325282</v>
      </c>
      <c r="H24" s="10" t="s">
        <v>138</v>
      </c>
      <c r="I24" s="9" t="s">
        <v>146</v>
      </c>
      <c r="J24" s="9" t="s">
        <v>410</v>
      </c>
      <c r="K24" s="9" t="s">
        <v>123</v>
      </c>
      <c r="L24" s="9">
        <f>MONTH(K24-J24)</f>
        <v>5</v>
      </c>
      <c r="M24" s="20" t="s">
        <v>567</v>
      </c>
      <c r="N24" s="20" t="s">
        <v>579</v>
      </c>
      <c r="O24" s="11">
        <v>30.25</v>
      </c>
      <c r="P24" s="9">
        <v>60</v>
      </c>
      <c r="Q24" s="11">
        <v>18.149999999999999</v>
      </c>
    </row>
    <row r="25" spans="1:17" x14ac:dyDescent="0.25">
      <c r="A25" s="9" t="s">
        <v>34</v>
      </c>
      <c r="B25" s="10" t="s">
        <v>425</v>
      </c>
      <c r="C25" s="10" t="s">
        <v>421</v>
      </c>
      <c r="D25" s="10" t="s">
        <v>65</v>
      </c>
      <c r="E25" s="10" t="s">
        <v>55</v>
      </c>
      <c r="F25" s="10" t="s">
        <v>575</v>
      </c>
      <c r="G25" s="9">
        <v>8325282</v>
      </c>
      <c r="H25" s="10" t="s">
        <v>138</v>
      </c>
      <c r="I25" s="9" t="s">
        <v>146</v>
      </c>
      <c r="J25" s="9" t="s">
        <v>420</v>
      </c>
      <c r="K25" s="9" t="s">
        <v>294</v>
      </c>
      <c r="L25" s="9">
        <f>MONTH(K25-J25)</f>
        <v>5</v>
      </c>
      <c r="M25" s="20" t="s">
        <v>567</v>
      </c>
      <c r="N25" s="20" t="s">
        <v>579</v>
      </c>
      <c r="O25" s="11">
        <v>17.149999999999999</v>
      </c>
      <c r="P25" s="9">
        <v>60</v>
      </c>
      <c r="Q25" s="11">
        <v>10.29</v>
      </c>
    </row>
    <row r="26" spans="1:17" x14ac:dyDescent="0.25">
      <c r="A26" s="4" t="s">
        <v>34</v>
      </c>
      <c r="B26" s="2" t="s">
        <v>35</v>
      </c>
      <c r="C26" s="2" t="s">
        <v>49</v>
      </c>
      <c r="D26" s="2" t="s">
        <v>48</v>
      </c>
      <c r="E26" s="2" t="s">
        <v>38</v>
      </c>
      <c r="F26" s="2" t="s">
        <v>569</v>
      </c>
      <c r="G26" s="4">
        <v>17528908</v>
      </c>
      <c r="H26" s="2" t="s">
        <v>40</v>
      </c>
      <c r="I26" s="4" t="s">
        <v>41</v>
      </c>
      <c r="J26" s="4" t="s">
        <v>42</v>
      </c>
      <c r="K26" s="4" t="s">
        <v>43</v>
      </c>
      <c r="L26" s="16">
        <f>MONTH(K26-J26)</f>
        <v>5</v>
      </c>
      <c r="M26" s="21" t="s">
        <v>568</v>
      </c>
      <c r="N26" s="21" t="s">
        <v>579</v>
      </c>
      <c r="O26" s="5">
        <v>38.25</v>
      </c>
      <c r="P26" s="4">
        <v>7</v>
      </c>
      <c r="Q26" s="5">
        <v>2.68</v>
      </c>
    </row>
    <row r="27" spans="1:17" x14ac:dyDescent="0.25">
      <c r="A27" s="4" t="s">
        <v>34</v>
      </c>
      <c r="B27" s="2" t="s">
        <v>309</v>
      </c>
      <c r="C27" s="2" t="s">
        <v>315</v>
      </c>
      <c r="D27" s="2" t="s">
        <v>48</v>
      </c>
      <c r="E27" s="2" t="s">
        <v>55</v>
      </c>
      <c r="F27" s="2" t="s">
        <v>575</v>
      </c>
      <c r="G27" s="4">
        <v>17528908</v>
      </c>
      <c r="H27" s="2" t="s">
        <v>40</v>
      </c>
      <c r="I27" s="4" t="s">
        <v>41</v>
      </c>
      <c r="J27" s="4" t="s">
        <v>310</v>
      </c>
      <c r="K27" s="4" t="s">
        <v>311</v>
      </c>
      <c r="L27" s="16">
        <f>MONTH(K27-J27)</f>
        <v>6</v>
      </c>
      <c r="M27" s="21" t="s">
        <v>568</v>
      </c>
      <c r="N27" s="21" t="s">
        <v>579</v>
      </c>
      <c r="O27" s="5">
        <v>54.75</v>
      </c>
      <c r="P27" s="4">
        <v>60</v>
      </c>
      <c r="Q27" s="5">
        <v>32.85</v>
      </c>
    </row>
    <row r="28" spans="1:17" x14ac:dyDescent="0.25">
      <c r="A28" s="4" t="s">
        <v>34</v>
      </c>
      <c r="B28" s="2" t="s">
        <v>362</v>
      </c>
      <c r="C28" s="2" t="s">
        <v>366</v>
      </c>
      <c r="D28" s="2" t="s">
        <v>48</v>
      </c>
      <c r="E28" s="2" t="s">
        <v>55</v>
      </c>
      <c r="F28" s="2" t="s">
        <v>575</v>
      </c>
      <c r="G28" s="4">
        <v>17528908</v>
      </c>
      <c r="H28" s="2" t="s">
        <v>40</v>
      </c>
      <c r="I28" s="4" t="s">
        <v>41</v>
      </c>
      <c r="J28" s="4" t="s">
        <v>363</v>
      </c>
      <c r="K28" s="4" t="s">
        <v>80</v>
      </c>
      <c r="L28" s="16">
        <f>MONTH(K28-J28)</f>
        <v>5</v>
      </c>
      <c r="M28" s="21" t="s">
        <v>568</v>
      </c>
      <c r="N28" s="21" t="s">
        <v>579</v>
      </c>
      <c r="O28" s="5">
        <v>53.8</v>
      </c>
      <c r="P28" s="4">
        <v>60</v>
      </c>
      <c r="Q28" s="5">
        <v>32.28</v>
      </c>
    </row>
    <row r="29" spans="1:17" x14ac:dyDescent="0.25">
      <c r="A29" s="9" t="s">
        <v>34</v>
      </c>
      <c r="B29" s="10" t="s">
        <v>379</v>
      </c>
      <c r="C29" s="10" t="s">
        <v>382</v>
      </c>
      <c r="D29" s="10" t="s">
        <v>65</v>
      </c>
      <c r="E29" s="10" t="s">
        <v>55</v>
      </c>
      <c r="F29" s="10" t="s">
        <v>575</v>
      </c>
      <c r="G29" s="9">
        <v>8814784</v>
      </c>
      <c r="H29" s="10" t="s">
        <v>380</v>
      </c>
      <c r="I29" s="9" t="s">
        <v>381</v>
      </c>
      <c r="J29" s="9" t="s">
        <v>349</v>
      </c>
      <c r="K29" s="9" t="s">
        <v>264</v>
      </c>
      <c r="L29" s="9">
        <f>MONTH(K29-J29)</f>
        <v>5</v>
      </c>
      <c r="M29" s="20" t="s">
        <v>567</v>
      </c>
      <c r="N29" s="20" t="s">
        <v>579</v>
      </c>
      <c r="O29" s="11">
        <v>33.950000000000003</v>
      </c>
      <c r="P29" s="9">
        <v>60</v>
      </c>
      <c r="Q29" s="11">
        <v>20.37</v>
      </c>
    </row>
    <row r="30" spans="1:17" x14ac:dyDescent="0.25">
      <c r="A30" s="4" t="s">
        <v>34</v>
      </c>
      <c r="B30" s="2" t="s">
        <v>89</v>
      </c>
      <c r="C30" s="2" t="s">
        <v>97</v>
      </c>
      <c r="D30" s="2" t="s">
        <v>65</v>
      </c>
      <c r="E30" s="2" t="s">
        <v>55</v>
      </c>
      <c r="F30" s="2" t="s">
        <v>572</v>
      </c>
      <c r="G30" s="4">
        <v>9213293</v>
      </c>
      <c r="H30" s="2" t="s">
        <v>90</v>
      </c>
      <c r="I30" s="4" t="s">
        <v>91</v>
      </c>
      <c r="J30" s="4" t="s">
        <v>92</v>
      </c>
      <c r="K30" s="4" t="s">
        <v>93</v>
      </c>
      <c r="L30" s="16">
        <f>MONTH(K30-J30)</f>
        <v>9</v>
      </c>
      <c r="M30" s="21" t="s">
        <v>568</v>
      </c>
      <c r="N30" s="21" t="s">
        <v>579</v>
      </c>
      <c r="O30" s="5">
        <v>29.36</v>
      </c>
      <c r="P30" s="4">
        <v>50</v>
      </c>
      <c r="Q30" s="5">
        <v>14.68</v>
      </c>
    </row>
    <row r="31" spans="1:17" x14ac:dyDescent="0.25">
      <c r="A31" s="4" t="s">
        <v>34</v>
      </c>
      <c r="B31" s="2" t="s">
        <v>447</v>
      </c>
      <c r="C31" s="2" t="s">
        <v>450</v>
      </c>
      <c r="D31" s="2" t="s">
        <v>449</v>
      </c>
      <c r="E31" s="2" t="s">
        <v>55</v>
      </c>
      <c r="F31" s="2" t="s">
        <v>572</v>
      </c>
      <c r="G31" s="4">
        <v>9213293</v>
      </c>
      <c r="H31" s="2" t="s">
        <v>90</v>
      </c>
      <c r="I31" s="4" t="s">
        <v>91</v>
      </c>
      <c r="J31" s="4" t="s">
        <v>448</v>
      </c>
      <c r="K31" s="4" t="s">
        <v>141</v>
      </c>
      <c r="L31" s="16">
        <f>MONTH(K31-J31)</f>
        <v>5</v>
      </c>
      <c r="M31" s="21" t="s">
        <v>568</v>
      </c>
      <c r="N31" s="21" t="s">
        <v>579</v>
      </c>
      <c r="O31" s="5">
        <v>29.36</v>
      </c>
      <c r="P31" s="4">
        <v>50</v>
      </c>
      <c r="Q31" s="5">
        <v>14.68</v>
      </c>
    </row>
    <row r="32" spans="1:17" x14ac:dyDescent="0.25">
      <c r="A32" s="4" t="s">
        <v>34</v>
      </c>
      <c r="B32" s="2" t="s">
        <v>528</v>
      </c>
      <c r="C32" s="2" t="s">
        <v>533</v>
      </c>
      <c r="D32" s="2" t="s">
        <v>532</v>
      </c>
      <c r="E32" s="2" t="s">
        <v>55</v>
      </c>
      <c r="F32" s="2" t="s">
        <v>573</v>
      </c>
      <c r="G32" s="4">
        <v>9213293</v>
      </c>
      <c r="H32" s="2" t="s">
        <v>90</v>
      </c>
      <c r="I32" s="4" t="s">
        <v>227</v>
      </c>
      <c r="J32" s="4" t="s">
        <v>529</v>
      </c>
      <c r="K32" s="4" t="s">
        <v>294</v>
      </c>
      <c r="L32" s="16">
        <f>MONTH(K32-J32)</f>
        <v>3</v>
      </c>
      <c r="M32" s="21" t="s">
        <v>568</v>
      </c>
      <c r="N32" s="21" t="s">
        <v>579</v>
      </c>
      <c r="O32" s="5">
        <v>42.86</v>
      </c>
      <c r="P32" s="4">
        <v>55</v>
      </c>
      <c r="Q32" s="5">
        <v>23.58</v>
      </c>
    </row>
    <row r="33" spans="1:17" x14ac:dyDescent="0.25">
      <c r="A33" s="4" t="s">
        <v>34</v>
      </c>
      <c r="B33" s="2" t="s">
        <v>226</v>
      </c>
      <c r="C33" s="2" t="s">
        <v>231</v>
      </c>
      <c r="D33" s="2" t="s">
        <v>65</v>
      </c>
      <c r="E33" s="2" t="s">
        <v>55</v>
      </c>
      <c r="F33" s="2" t="s">
        <v>573</v>
      </c>
      <c r="G33" s="4">
        <v>9213293</v>
      </c>
      <c r="H33" s="2" t="s">
        <v>90</v>
      </c>
      <c r="I33" s="4" t="s">
        <v>227</v>
      </c>
      <c r="J33" s="4" t="s">
        <v>228</v>
      </c>
      <c r="K33" s="4" t="s">
        <v>202</v>
      </c>
      <c r="L33" s="16">
        <f>MONTH(K33-J33)</f>
        <v>6</v>
      </c>
      <c r="M33" s="21" t="s">
        <v>568</v>
      </c>
      <c r="N33" s="21" t="s">
        <v>579</v>
      </c>
      <c r="O33" s="5">
        <v>85.25</v>
      </c>
      <c r="P33" s="4">
        <v>55</v>
      </c>
      <c r="Q33" s="5">
        <v>46.89</v>
      </c>
    </row>
    <row r="34" spans="1:17" x14ac:dyDescent="0.25">
      <c r="A34" s="4" t="s">
        <v>34</v>
      </c>
      <c r="B34" s="2" t="s">
        <v>537</v>
      </c>
      <c r="C34" s="2" t="s">
        <v>542</v>
      </c>
      <c r="D34" s="2" t="s">
        <v>65</v>
      </c>
      <c r="E34" s="2" t="s">
        <v>538</v>
      </c>
      <c r="F34" s="2" t="s">
        <v>576</v>
      </c>
      <c r="G34" s="4">
        <v>9213293</v>
      </c>
      <c r="H34" s="2" t="s">
        <v>90</v>
      </c>
      <c r="I34" s="4" t="s">
        <v>539</v>
      </c>
      <c r="J34" s="4" t="s">
        <v>178</v>
      </c>
      <c r="K34" s="4" t="s">
        <v>177</v>
      </c>
      <c r="L34" s="16">
        <f>MONTH(K34-J34)</f>
        <v>1</v>
      </c>
      <c r="M34" s="21" t="s">
        <v>568</v>
      </c>
      <c r="N34" s="21" t="s">
        <v>579</v>
      </c>
      <c r="O34" s="5">
        <v>80.36</v>
      </c>
      <c r="P34" s="4">
        <v>70</v>
      </c>
      <c r="Q34" s="5">
        <v>56.25</v>
      </c>
    </row>
    <row r="35" spans="1:17" x14ac:dyDescent="0.25">
      <c r="A35" s="4" t="s">
        <v>34</v>
      </c>
      <c r="B35" s="2" t="s">
        <v>405</v>
      </c>
      <c r="C35" s="2" t="s">
        <v>402</v>
      </c>
      <c r="D35" s="2" t="s">
        <v>401</v>
      </c>
      <c r="E35" s="2" t="s">
        <v>55</v>
      </c>
      <c r="F35" s="2" t="s">
        <v>570</v>
      </c>
      <c r="G35" s="4">
        <v>19279958</v>
      </c>
      <c r="H35" s="2" t="s">
        <v>154</v>
      </c>
      <c r="I35" s="4" t="s">
        <v>155</v>
      </c>
      <c r="J35" s="4" t="s">
        <v>349</v>
      </c>
      <c r="K35" s="4" t="s">
        <v>264</v>
      </c>
      <c r="L35" s="16">
        <f>MONTH(K35-J35)</f>
        <v>5</v>
      </c>
      <c r="M35" s="21" t="s">
        <v>568</v>
      </c>
      <c r="N35" s="21" t="s">
        <v>579</v>
      </c>
      <c r="O35" s="5">
        <v>88.66</v>
      </c>
      <c r="P35" s="4">
        <v>41.3</v>
      </c>
      <c r="Q35" s="5">
        <v>36.61</v>
      </c>
    </row>
    <row r="36" spans="1:17" x14ac:dyDescent="0.25">
      <c r="A36" s="4" t="s">
        <v>34</v>
      </c>
      <c r="B36" s="2" t="s">
        <v>245</v>
      </c>
      <c r="C36" s="2" t="s">
        <v>241</v>
      </c>
      <c r="D36" s="2" t="s">
        <v>108</v>
      </c>
      <c r="E36" s="2" t="s">
        <v>55</v>
      </c>
      <c r="F36" s="2" t="s">
        <v>571</v>
      </c>
      <c r="G36" s="4">
        <v>19279958</v>
      </c>
      <c r="H36" s="2" t="s">
        <v>154</v>
      </c>
      <c r="I36" s="4" t="s">
        <v>246</v>
      </c>
      <c r="J36" s="4" t="s">
        <v>236</v>
      </c>
      <c r="K36" s="4" t="s">
        <v>237</v>
      </c>
      <c r="L36" s="16">
        <f>MONTH(K36-J36)</f>
        <v>6</v>
      </c>
      <c r="M36" s="21" t="s">
        <v>568</v>
      </c>
      <c r="N36" s="21" t="s">
        <v>579</v>
      </c>
      <c r="O36" s="5">
        <v>35.78</v>
      </c>
      <c r="P36" s="4">
        <v>43</v>
      </c>
      <c r="Q36" s="5">
        <v>15.39</v>
      </c>
    </row>
    <row r="37" spans="1:17" x14ac:dyDescent="0.25">
      <c r="A37" s="4" t="s">
        <v>34</v>
      </c>
      <c r="B37" s="2" t="s">
        <v>397</v>
      </c>
      <c r="C37" s="2" t="s">
        <v>402</v>
      </c>
      <c r="D37" s="2" t="s">
        <v>401</v>
      </c>
      <c r="E37" s="2" t="s">
        <v>55</v>
      </c>
      <c r="F37" s="2" t="s">
        <v>572</v>
      </c>
      <c r="G37" s="4">
        <v>19279958</v>
      </c>
      <c r="H37" s="2" t="s">
        <v>154</v>
      </c>
      <c r="I37" s="4" t="s">
        <v>163</v>
      </c>
      <c r="J37" s="4" t="s">
        <v>349</v>
      </c>
      <c r="K37" s="4" t="s">
        <v>264</v>
      </c>
      <c r="L37" s="16">
        <f>MONTH(K37-J37)</f>
        <v>5</v>
      </c>
      <c r="M37" s="21" t="s">
        <v>568</v>
      </c>
      <c r="N37" s="21" t="s">
        <v>579</v>
      </c>
      <c r="O37" s="5">
        <v>38.409999999999997</v>
      </c>
      <c r="P37" s="4">
        <v>50</v>
      </c>
      <c r="Q37" s="5">
        <v>19.21</v>
      </c>
    </row>
    <row r="38" spans="1:17" x14ac:dyDescent="0.25">
      <c r="A38" s="4" t="s">
        <v>34</v>
      </c>
      <c r="B38" s="2" t="s">
        <v>162</v>
      </c>
      <c r="C38" s="2" t="s">
        <v>169</v>
      </c>
      <c r="D38" s="2" t="s">
        <v>108</v>
      </c>
      <c r="E38" s="2" t="s">
        <v>55</v>
      </c>
      <c r="F38" s="2" t="s">
        <v>572</v>
      </c>
      <c r="G38" s="4">
        <v>19279958</v>
      </c>
      <c r="H38" s="2" t="s">
        <v>154</v>
      </c>
      <c r="I38" s="4" t="s">
        <v>163</v>
      </c>
      <c r="J38" s="4" t="s">
        <v>164</v>
      </c>
      <c r="K38" s="4" t="s">
        <v>165</v>
      </c>
      <c r="L38" s="16">
        <f>MONTH(K38-J38)</f>
        <v>7</v>
      </c>
      <c r="M38" s="21" t="s">
        <v>568</v>
      </c>
      <c r="N38" s="21" t="s">
        <v>579</v>
      </c>
      <c r="O38" s="5">
        <v>32.32</v>
      </c>
      <c r="P38" s="4">
        <v>50</v>
      </c>
      <c r="Q38" s="5">
        <v>16.16</v>
      </c>
    </row>
    <row r="39" spans="1:17" x14ac:dyDescent="0.25">
      <c r="A39" s="4" t="s">
        <v>34</v>
      </c>
      <c r="B39" s="2" t="s">
        <v>235</v>
      </c>
      <c r="C39" s="2" t="s">
        <v>241</v>
      </c>
      <c r="D39" s="2" t="s">
        <v>108</v>
      </c>
      <c r="E39" s="2" t="s">
        <v>55</v>
      </c>
      <c r="F39" s="2" t="s">
        <v>572</v>
      </c>
      <c r="G39" s="4">
        <v>19279958</v>
      </c>
      <c r="H39" s="2" t="s">
        <v>154</v>
      </c>
      <c r="I39" s="4" t="s">
        <v>163</v>
      </c>
      <c r="J39" s="4" t="s">
        <v>236</v>
      </c>
      <c r="K39" s="4" t="s">
        <v>237</v>
      </c>
      <c r="L39" s="16">
        <f>MONTH(K39-J39)</f>
        <v>6</v>
      </c>
      <c r="M39" s="21" t="s">
        <v>568</v>
      </c>
      <c r="N39" s="21" t="s">
        <v>579</v>
      </c>
      <c r="O39" s="5">
        <v>52.53</v>
      </c>
      <c r="P39" s="4">
        <v>50</v>
      </c>
      <c r="Q39" s="5">
        <v>26.27</v>
      </c>
    </row>
    <row r="40" spans="1:17" x14ac:dyDescent="0.25">
      <c r="A40" s="4" t="s">
        <v>34</v>
      </c>
      <c r="B40" s="2" t="s">
        <v>153</v>
      </c>
      <c r="C40" s="2" t="s">
        <v>158</v>
      </c>
      <c r="D40" s="2" t="s">
        <v>108</v>
      </c>
      <c r="E40" s="2" t="s">
        <v>55</v>
      </c>
      <c r="F40" s="2" t="s">
        <v>573</v>
      </c>
      <c r="G40" s="4">
        <v>19279958</v>
      </c>
      <c r="H40" s="2" t="s">
        <v>154</v>
      </c>
      <c r="I40" s="4" t="s">
        <v>155</v>
      </c>
      <c r="J40" s="4" t="s">
        <v>140</v>
      </c>
      <c r="K40" s="4" t="s">
        <v>141</v>
      </c>
      <c r="L40" s="16">
        <f>MONTH(K40-J40)</f>
        <v>8</v>
      </c>
      <c r="M40" s="21" t="s">
        <v>568</v>
      </c>
      <c r="N40" s="21" t="s">
        <v>579</v>
      </c>
      <c r="O40" s="5">
        <v>24.7</v>
      </c>
      <c r="P40" s="4">
        <v>55</v>
      </c>
      <c r="Q40" s="5">
        <v>13.59</v>
      </c>
    </row>
    <row r="41" spans="1:17" x14ac:dyDescent="0.25">
      <c r="A41" s="4" t="s">
        <v>34</v>
      </c>
      <c r="B41" s="2" t="s">
        <v>249</v>
      </c>
      <c r="C41" s="2" t="s">
        <v>241</v>
      </c>
      <c r="D41" s="2" t="s">
        <v>108</v>
      </c>
      <c r="E41" s="2" t="s">
        <v>55</v>
      </c>
      <c r="F41" s="2" t="s">
        <v>573</v>
      </c>
      <c r="G41" s="4">
        <v>19279958</v>
      </c>
      <c r="H41" s="2" t="s">
        <v>154</v>
      </c>
      <c r="I41" s="4" t="s">
        <v>155</v>
      </c>
      <c r="J41" s="4" t="s">
        <v>236</v>
      </c>
      <c r="K41" s="4" t="s">
        <v>237</v>
      </c>
      <c r="L41" s="16">
        <f>MONTH(K41-J41)</f>
        <v>6</v>
      </c>
      <c r="M41" s="21" t="s">
        <v>568</v>
      </c>
      <c r="N41" s="21" t="s">
        <v>579</v>
      </c>
      <c r="O41" s="5">
        <v>47.48</v>
      </c>
      <c r="P41" s="4">
        <v>55</v>
      </c>
      <c r="Q41" s="5">
        <v>26.12</v>
      </c>
    </row>
    <row r="42" spans="1:17" x14ac:dyDescent="0.25">
      <c r="A42" s="9" t="s">
        <v>34</v>
      </c>
      <c r="B42" s="10" t="s">
        <v>386</v>
      </c>
      <c r="C42" s="10" t="s">
        <v>389</v>
      </c>
      <c r="D42" s="10" t="s">
        <v>65</v>
      </c>
      <c r="E42" s="10" t="s">
        <v>55</v>
      </c>
      <c r="F42" s="10" t="s">
        <v>572</v>
      </c>
      <c r="G42" s="9">
        <v>16683808</v>
      </c>
      <c r="H42" s="10" t="s">
        <v>387</v>
      </c>
      <c r="I42" s="9" t="s">
        <v>388</v>
      </c>
      <c r="J42" s="9" t="s">
        <v>349</v>
      </c>
      <c r="K42" s="9" t="s">
        <v>264</v>
      </c>
      <c r="L42" s="9">
        <f>MONTH(K42-J42)</f>
        <v>5</v>
      </c>
      <c r="M42" s="20" t="s">
        <v>567</v>
      </c>
      <c r="N42" s="20" t="s">
        <v>579</v>
      </c>
      <c r="O42" s="11">
        <v>43.77</v>
      </c>
      <c r="P42" s="9">
        <v>50</v>
      </c>
      <c r="Q42" s="11">
        <v>21.89</v>
      </c>
    </row>
    <row r="43" spans="1:17" x14ac:dyDescent="0.25">
      <c r="A43" s="9" t="s">
        <v>34</v>
      </c>
      <c r="B43" s="10" t="s">
        <v>393</v>
      </c>
      <c r="C43" s="10" t="s">
        <v>389</v>
      </c>
      <c r="D43" s="10" t="s">
        <v>65</v>
      </c>
      <c r="E43" s="10" t="s">
        <v>55</v>
      </c>
      <c r="F43" s="10" t="s">
        <v>575</v>
      </c>
      <c r="G43" s="9">
        <v>16683808</v>
      </c>
      <c r="H43" s="10" t="s">
        <v>387</v>
      </c>
      <c r="I43" s="9" t="s">
        <v>394</v>
      </c>
      <c r="J43" s="9" t="s">
        <v>349</v>
      </c>
      <c r="K43" s="9" t="s">
        <v>264</v>
      </c>
      <c r="L43" s="9">
        <f>MONTH(K43-J43)</f>
        <v>5</v>
      </c>
      <c r="M43" s="20" t="s">
        <v>567</v>
      </c>
      <c r="N43" s="20" t="s">
        <v>579</v>
      </c>
      <c r="O43" s="11">
        <v>383.75</v>
      </c>
      <c r="P43" s="9">
        <v>60</v>
      </c>
      <c r="Q43" s="11">
        <v>230.25</v>
      </c>
    </row>
    <row r="44" spans="1:17" x14ac:dyDescent="0.25">
      <c r="A44" s="16" t="s">
        <v>34</v>
      </c>
      <c r="B44" s="18" t="s">
        <v>54</v>
      </c>
      <c r="C44" s="18" t="s">
        <v>66</v>
      </c>
      <c r="D44" s="18" t="s">
        <v>65</v>
      </c>
      <c r="E44" s="18" t="s">
        <v>55</v>
      </c>
      <c r="F44" s="18" t="s">
        <v>572</v>
      </c>
      <c r="G44" s="16">
        <v>20220688</v>
      </c>
      <c r="H44" s="18" t="s">
        <v>57</v>
      </c>
      <c r="I44" s="16" t="s">
        <v>58</v>
      </c>
      <c r="J44" s="16" t="s">
        <v>59</v>
      </c>
      <c r="K44" s="16" t="s">
        <v>60</v>
      </c>
      <c r="L44" s="16">
        <f>MONTH(K44-J44)</f>
        <v>12</v>
      </c>
      <c r="M44" s="21" t="s">
        <v>568</v>
      </c>
      <c r="N44" s="21" t="s">
        <v>579</v>
      </c>
      <c r="O44" s="19">
        <v>43.77</v>
      </c>
      <c r="P44" s="16">
        <v>50</v>
      </c>
      <c r="Q44" s="19">
        <v>21.89</v>
      </c>
    </row>
    <row r="45" spans="1:17" x14ac:dyDescent="0.25">
      <c r="A45" s="16" t="s">
        <v>34</v>
      </c>
      <c r="B45" s="18" t="s">
        <v>185</v>
      </c>
      <c r="C45" s="18" t="s">
        <v>192</v>
      </c>
      <c r="D45" s="18" t="s">
        <v>65</v>
      </c>
      <c r="E45" s="18" t="s">
        <v>55</v>
      </c>
      <c r="F45" s="18" t="s">
        <v>573</v>
      </c>
      <c r="G45" s="16">
        <v>20220688</v>
      </c>
      <c r="H45" s="18" t="s">
        <v>57</v>
      </c>
      <c r="I45" s="16" t="s">
        <v>186</v>
      </c>
      <c r="J45" s="16" t="s">
        <v>187</v>
      </c>
      <c r="K45" s="16" t="s">
        <v>188</v>
      </c>
      <c r="L45" s="16">
        <f>MONTH(K45-J45)</f>
        <v>7</v>
      </c>
      <c r="M45" s="21" t="s">
        <v>568</v>
      </c>
      <c r="N45" s="21" t="s">
        <v>579</v>
      </c>
      <c r="O45" s="19">
        <v>45.83</v>
      </c>
      <c r="P45" s="16">
        <v>55</v>
      </c>
      <c r="Q45" s="19">
        <v>25.21</v>
      </c>
    </row>
    <row r="46" spans="1:17" x14ac:dyDescent="0.25">
      <c r="A46" s="16" t="s">
        <v>34</v>
      </c>
      <c r="B46" s="18" t="s">
        <v>196</v>
      </c>
      <c r="C46" s="18" t="s">
        <v>199</v>
      </c>
      <c r="D46" s="18" t="s">
        <v>65</v>
      </c>
      <c r="E46" s="18" t="s">
        <v>55</v>
      </c>
      <c r="F46" s="18" t="s">
        <v>573</v>
      </c>
      <c r="G46" s="16">
        <v>20220688</v>
      </c>
      <c r="H46" s="18" t="s">
        <v>57</v>
      </c>
      <c r="I46" s="16" t="s">
        <v>186</v>
      </c>
      <c r="J46" s="16" t="s">
        <v>187</v>
      </c>
      <c r="K46" s="16" t="s">
        <v>188</v>
      </c>
      <c r="L46" s="16">
        <f>MONTH(K46-J46)</f>
        <v>7</v>
      </c>
      <c r="M46" s="21" t="s">
        <v>568</v>
      </c>
      <c r="N46" s="21" t="s">
        <v>579</v>
      </c>
      <c r="O46" s="19">
        <v>56.28</v>
      </c>
      <c r="P46" s="16">
        <v>55</v>
      </c>
      <c r="Q46" s="19">
        <v>30.96</v>
      </c>
    </row>
    <row r="47" spans="1:17" x14ac:dyDescent="0.25">
      <c r="A47" s="13" t="s">
        <v>34</v>
      </c>
      <c r="B47" s="14" t="s">
        <v>545</v>
      </c>
      <c r="C47" s="14" t="s">
        <v>550</v>
      </c>
      <c r="D47" s="14" t="s">
        <v>549</v>
      </c>
      <c r="E47" s="14" t="s">
        <v>538</v>
      </c>
      <c r="F47" s="14" t="s">
        <v>574</v>
      </c>
      <c r="G47" s="17" t="s">
        <v>577</v>
      </c>
      <c r="H47" s="14" t="s">
        <v>57</v>
      </c>
      <c r="I47" s="13" t="s">
        <v>546</v>
      </c>
      <c r="J47" s="13" t="s">
        <v>189</v>
      </c>
      <c r="K47" s="13" t="s">
        <v>188</v>
      </c>
      <c r="L47" s="13">
        <f>MONTH(K47-J47)</f>
        <v>1</v>
      </c>
      <c r="M47" s="17" t="s">
        <v>566</v>
      </c>
      <c r="N47" s="17" t="s">
        <v>580</v>
      </c>
      <c r="O47" s="15">
        <v>54.78</v>
      </c>
      <c r="P47" s="13">
        <v>58</v>
      </c>
      <c r="Q47" s="15">
        <v>31.77</v>
      </c>
    </row>
    <row r="48" spans="1:17" x14ac:dyDescent="0.25">
      <c r="A48" s="9" t="s">
        <v>34</v>
      </c>
      <c r="B48" s="10" t="s">
        <v>520</v>
      </c>
      <c r="C48" s="10" t="s">
        <v>524</v>
      </c>
      <c r="D48" s="10" t="s">
        <v>65</v>
      </c>
      <c r="E48" s="10" t="s">
        <v>55</v>
      </c>
      <c r="F48" s="10" t="s">
        <v>575</v>
      </c>
      <c r="G48" s="9">
        <v>20220688</v>
      </c>
      <c r="H48" s="10" t="s">
        <v>57</v>
      </c>
      <c r="I48" s="9" t="s">
        <v>72</v>
      </c>
      <c r="J48" s="9" t="s">
        <v>521</v>
      </c>
      <c r="K48" s="9" t="s">
        <v>177</v>
      </c>
      <c r="L48" s="9">
        <f>MONTH(K48-J48)</f>
        <v>3</v>
      </c>
      <c r="M48" s="20" t="s">
        <v>567</v>
      </c>
      <c r="N48" s="20" t="s">
        <v>579</v>
      </c>
      <c r="O48" s="11">
        <v>36.85</v>
      </c>
      <c r="P48" s="9">
        <v>60</v>
      </c>
      <c r="Q48" s="11">
        <v>22.11</v>
      </c>
    </row>
    <row r="49" spans="1:17" x14ac:dyDescent="0.25">
      <c r="A49" s="16" t="s">
        <v>34</v>
      </c>
      <c r="B49" s="18" t="s">
        <v>71</v>
      </c>
      <c r="C49" s="18" t="s">
        <v>66</v>
      </c>
      <c r="D49" s="18" t="s">
        <v>65</v>
      </c>
      <c r="E49" s="18" t="s">
        <v>55</v>
      </c>
      <c r="F49" s="18" t="s">
        <v>575</v>
      </c>
      <c r="G49" s="16">
        <v>20220688</v>
      </c>
      <c r="H49" s="18" t="s">
        <v>57</v>
      </c>
      <c r="I49" s="16" t="s">
        <v>72</v>
      </c>
      <c r="J49" s="16" t="s">
        <v>73</v>
      </c>
      <c r="K49" s="16" t="s">
        <v>43</v>
      </c>
      <c r="L49" s="16">
        <f>MONTH(K49-J49)</f>
        <v>12</v>
      </c>
      <c r="M49" s="21" t="s">
        <v>568</v>
      </c>
      <c r="N49" s="21" t="s">
        <v>579</v>
      </c>
      <c r="O49" s="19">
        <v>98.75</v>
      </c>
      <c r="P49" s="16">
        <v>60</v>
      </c>
      <c r="Q49" s="19">
        <v>59.25</v>
      </c>
    </row>
    <row r="50" spans="1:17" x14ac:dyDescent="0.25">
      <c r="A50" s="13" t="s">
        <v>34</v>
      </c>
      <c r="B50" s="14" t="s">
        <v>554</v>
      </c>
      <c r="C50" s="14" t="s">
        <v>558</v>
      </c>
      <c r="D50" s="14" t="s">
        <v>65</v>
      </c>
      <c r="E50" s="14" t="s">
        <v>538</v>
      </c>
      <c r="F50" s="14" t="s">
        <v>573</v>
      </c>
      <c r="G50" s="17" t="s">
        <v>578</v>
      </c>
      <c r="H50" s="14" t="s">
        <v>555</v>
      </c>
      <c r="I50" s="13" t="s">
        <v>556</v>
      </c>
      <c r="J50" s="13" t="s">
        <v>189</v>
      </c>
      <c r="K50" s="13" t="s">
        <v>188</v>
      </c>
      <c r="L50" s="13">
        <f>MONTH(K50-J50)</f>
        <v>1</v>
      </c>
      <c r="M50" s="17" t="s">
        <v>566</v>
      </c>
      <c r="N50" s="17" t="s">
        <v>580</v>
      </c>
      <c r="O50" s="15">
        <v>22.71</v>
      </c>
      <c r="P50" s="13">
        <v>55</v>
      </c>
      <c r="Q50" s="15">
        <v>12.49</v>
      </c>
    </row>
    <row r="51" spans="1:17" x14ac:dyDescent="0.25">
      <c r="A51" s="13" t="s">
        <v>34</v>
      </c>
      <c r="B51" s="14" t="s">
        <v>562</v>
      </c>
      <c r="C51" s="14" t="s">
        <v>558</v>
      </c>
      <c r="D51" s="14" t="s">
        <v>65</v>
      </c>
      <c r="E51" s="14" t="s">
        <v>538</v>
      </c>
      <c r="F51" s="14" t="s">
        <v>576</v>
      </c>
      <c r="G51" s="17" t="s">
        <v>578</v>
      </c>
      <c r="H51" s="14" t="s">
        <v>555</v>
      </c>
      <c r="I51" s="13" t="s">
        <v>563</v>
      </c>
      <c r="J51" s="13" t="s">
        <v>189</v>
      </c>
      <c r="K51" s="13" t="s">
        <v>188</v>
      </c>
      <c r="L51" s="13">
        <f>MONTH(K51-J51)</f>
        <v>1</v>
      </c>
      <c r="M51" s="17" t="s">
        <v>566</v>
      </c>
      <c r="N51" s="17" t="s">
        <v>580</v>
      </c>
      <c r="O51" s="15">
        <v>33.53</v>
      </c>
      <c r="P51" s="13">
        <v>70</v>
      </c>
      <c r="Q51" s="15">
        <v>23.47</v>
      </c>
    </row>
    <row r="52" spans="1:17" x14ac:dyDescent="0.25">
      <c r="A52" s="4" t="s">
        <v>34</v>
      </c>
      <c r="B52" s="2" t="s">
        <v>463</v>
      </c>
      <c r="C52" s="2" t="s">
        <v>459</v>
      </c>
      <c r="D52" s="2" t="s">
        <v>65</v>
      </c>
      <c r="E52" s="2" t="s">
        <v>55</v>
      </c>
      <c r="F52" s="2" t="s">
        <v>573</v>
      </c>
      <c r="G52" s="4">
        <v>19615078</v>
      </c>
      <c r="H52" s="2" t="s">
        <v>455</v>
      </c>
      <c r="I52" s="4" t="s">
        <v>464</v>
      </c>
      <c r="J52" s="4" t="s">
        <v>349</v>
      </c>
      <c r="K52" s="4" t="s">
        <v>265</v>
      </c>
      <c r="L52" s="16">
        <f>MONTH(K52-J52)</f>
        <v>4</v>
      </c>
      <c r="M52" s="21" t="s">
        <v>568</v>
      </c>
      <c r="N52" s="21" t="s">
        <v>579</v>
      </c>
      <c r="O52" s="5">
        <v>61.7</v>
      </c>
      <c r="P52" s="4">
        <v>55</v>
      </c>
      <c r="Q52" s="5">
        <v>33.93</v>
      </c>
    </row>
    <row r="53" spans="1:17" x14ac:dyDescent="0.25">
      <c r="A53" s="4" t="s">
        <v>34</v>
      </c>
      <c r="B53" s="2" t="s">
        <v>454</v>
      </c>
      <c r="C53" s="2" t="s">
        <v>459</v>
      </c>
      <c r="D53" s="2" t="s">
        <v>65</v>
      </c>
      <c r="E53" s="2" t="s">
        <v>55</v>
      </c>
      <c r="F53" s="2" t="s">
        <v>575</v>
      </c>
      <c r="G53" s="4">
        <v>19615078</v>
      </c>
      <c r="H53" s="2" t="s">
        <v>455</v>
      </c>
      <c r="I53" s="4" t="s">
        <v>456</v>
      </c>
      <c r="J53" s="4" t="s">
        <v>349</v>
      </c>
      <c r="K53" s="4" t="s">
        <v>265</v>
      </c>
      <c r="L53" s="16">
        <f>MONTH(K53-J53)</f>
        <v>4</v>
      </c>
      <c r="M53" s="21" t="s">
        <v>568</v>
      </c>
      <c r="N53" s="21" t="s">
        <v>579</v>
      </c>
      <c r="O53" s="5">
        <v>29.75</v>
      </c>
      <c r="P53" s="4">
        <v>60</v>
      </c>
      <c r="Q53" s="5">
        <v>17.850000000000001</v>
      </c>
    </row>
    <row r="54" spans="1:17" x14ac:dyDescent="0.25">
      <c r="A54" s="9" t="s">
        <v>34</v>
      </c>
      <c r="B54" s="10" t="s">
        <v>348</v>
      </c>
      <c r="C54" s="10" t="s">
        <v>352</v>
      </c>
      <c r="D54" s="10" t="s">
        <v>65</v>
      </c>
      <c r="E54" s="10" t="s">
        <v>55</v>
      </c>
      <c r="F54" s="10" t="s">
        <v>572</v>
      </c>
      <c r="G54" s="9">
        <v>16633294</v>
      </c>
      <c r="H54" s="10" t="s">
        <v>291</v>
      </c>
      <c r="I54" s="9" t="s">
        <v>292</v>
      </c>
      <c r="J54" s="9" t="s">
        <v>349</v>
      </c>
      <c r="K54" s="9" t="s">
        <v>264</v>
      </c>
      <c r="L54" s="9">
        <f>MONTH(K54-J54)</f>
        <v>5</v>
      </c>
      <c r="M54" s="20" t="s">
        <v>567</v>
      </c>
      <c r="N54" s="20" t="s">
        <v>579</v>
      </c>
      <c r="O54" s="11">
        <v>35.56</v>
      </c>
      <c r="P54" s="9">
        <v>50</v>
      </c>
      <c r="Q54" s="11">
        <v>17.78</v>
      </c>
    </row>
    <row r="55" spans="1:17" x14ac:dyDescent="0.25">
      <c r="A55" s="9" t="s">
        <v>34</v>
      </c>
      <c r="B55" s="10" t="s">
        <v>492</v>
      </c>
      <c r="C55" s="10" t="s">
        <v>498</v>
      </c>
      <c r="D55" s="10" t="s">
        <v>497</v>
      </c>
      <c r="E55" s="10" t="s">
        <v>55</v>
      </c>
      <c r="F55" s="10" t="s">
        <v>572</v>
      </c>
      <c r="G55" s="9">
        <v>16633294</v>
      </c>
      <c r="H55" s="10" t="s">
        <v>291</v>
      </c>
      <c r="I55" s="9" t="s">
        <v>292</v>
      </c>
      <c r="J55" s="9" t="s">
        <v>493</v>
      </c>
      <c r="K55" s="9" t="s">
        <v>494</v>
      </c>
      <c r="L55" s="9">
        <f>MONTH(K55-J55)</f>
        <v>4</v>
      </c>
      <c r="M55" s="20" t="s">
        <v>567</v>
      </c>
      <c r="N55" s="20" t="s">
        <v>579</v>
      </c>
      <c r="O55" s="11">
        <v>43.19</v>
      </c>
      <c r="P55" s="9">
        <v>50</v>
      </c>
      <c r="Q55" s="11">
        <v>21.6</v>
      </c>
    </row>
    <row r="56" spans="1:17" x14ac:dyDescent="0.25">
      <c r="A56" s="9" t="s">
        <v>34</v>
      </c>
      <c r="B56" s="10" t="s">
        <v>290</v>
      </c>
      <c r="C56" s="10" t="s">
        <v>298</v>
      </c>
      <c r="D56" s="10" t="s">
        <v>65</v>
      </c>
      <c r="E56" s="10" t="s">
        <v>55</v>
      </c>
      <c r="F56" s="10" t="s">
        <v>572</v>
      </c>
      <c r="G56" s="9">
        <v>16633294</v>
      </c>
      <c r="H56" s="10" t="s">
        <v>291</v>
      </c>
      <c r="I56" s="9" t="s">
        <v>292</v>
      </c>
      <c r="J56" s="9" t="s">
        <v>293</v>
      </c>
      <c r="K56" s="9" t="s">
        <v>294</v>
      </c>
      <c r="L56" s="9">
        <f>MONTH(K56-J56)</f>
        <v>6</v>
      </c>
      <c r="M56" s="20" t="s">
        <v>567</v>
      </c>
      <c r="N56" s="20" t="s">
        <v>579</v>
      </c>
      <c r="O56" s="11">
        <v>22.71</v>
      </c>
      <c r="P56" s="9">
        <v>50</v>
      </c>
      <c r="Q56" s="11">
        <v>11.36</v>
      </c>
    </row>
    <row r="57" spans="1:17" s="27" customFormat="1" x14ac:dyDescent="0.25">
      <c r="A57" s="23" t="s">
        <v>34</v>
      </c>
      <c r="B57" s="24" t="s">
        <v>335</v>
      </c>
      <c r="C57" s="24" t="s">
        <v>339</v>
      </c>
      <c r="D57" s="24" t="s">
        <v>65</v>
      </c>
      <c r="E57" s="24" t="s">
        <v>55</v>
      </c>
      <c r="F57" s="24" t="s">
        <v>572</v>
      </c>
      <c r="G57" s="23">
        <v>16633294</v>
      </c>
      <c r="H57" s="24" t="s">
        <v>291</v>
      </c>
      <c r="I57" s="23" t="s">
        <v>292</v>
      </c>
      <c r="J57" s="23" t="s">
        <v>336</v>
      </c>
      <c r="K57" s="23" t="s">
        <v>238</v>
      </c>
      <c r="L57" s="23">
        <f>MONTH(K57-J57)</f>
        <v>4</v>
      </c>
      <c r="M57" s="25" t="s">
        <v>568</v>
      </c>
      <c r="N57" s="25" t="s">
        <v>579</v>
      </c>
      <c r="O57" s="26">
        <v>-34.93</v>
      </c>
      <c r="P57" s="23">
        <v>50</v>
      </c>
      <c r="Q57" s="26">
        <v>-17.47</v>
      </c>
    </row>
    <row r="58" spans="1:17" x14ac:dyDescent="0.25">
      <c r="A58" s="9" t="s">
        <v>34</v>
      </c>
      <c r="B58" s="10" t="s">
        <v>359</v>
      </c>
      <c r="C58" s="10" t="s">
        <v>352</v>
      </c>
      <c r="D58" s="10" t="s">
        <v>65</v>
      </c>
      <c r="E58" s="10" t="s">
        <v>55</v>
      </c>
      <c r="F58" s="10" t="s">
        <v>573</v>
      </c>
      <c r="G58" s="9">
        <v>16633294</v>
      </c>
      <c r="H58" s="10" t="s">
        <v>291</v>
      </c>
      <c r="I58" s="9" t="s">
        <v>306</v>
      </c>
      <c r="J58" s="9" t="s">
        <v>349</v>
      </c>
      <c r="K58" s="9" t="s">
        <v>264</v>
      </c>
      <c r="L58" s="9">
        <f>MONTH(K58-J58)</f>
        <v>5</v>
      </c>
      <c r="M58" s="20" t="s">
        <v>567</v>
      </c>
      <c r="N58" s="20" t="s">
        <v>579</v>
      </c>
      <c r="O58" s="11">
        <v>84.54</v>
      </c>
      <c r="P58" s="9">
        <v>55</v>
      </c>
      <c r="Q58" s="11">
        <v>46.5</v>
      </c>
    </row>
    <row r="59" spans="1:17" x14ac:dyDescent="0.25">
      <c r="A59" s="9" t="s">
        <v>34</v>
      </c>
      <c r="B59" s="10" t="s">
        <v>505</v>
      </c>
      <c r="C59" s="10" t="s">
        <v>498</v>
      </c>
      <c r="D59" s="10" t="s">
        <v>497</v>
      </c>
      <c r="E59" s="10" t="s">
        <v>55</v>
      </c>
      <c r="F59" s="10" t="s">
        <v>573</v>
      </c>
      <c r="G59" s="9">
        <v>16633294</v>
      </c>
      <c r="H59" s="10" t="s">
        <v>291</v>
      </c>
      <c r="I59" s="9" t="s">
        <v>306</v>
      </c>
      <c r="J59" s="9" t="s">
        <v>493</v>
      </c>
      <c r="K59" s="9" t="s">
        <v>494</v>
      </c>
      <c r="L59" s="9">
        <f>MONTH(K59-J59)</f>
        <v>4</v>
      </c>
      <c r="M59" s="20" t="s">
        <v>567</v>
      </c>
      <c r="N59" s="20" t="s">
        <v>579</v>
      </c>
      <c r="O59" s="11">
        <v>80.64</v>
      </c>
      <c r="P59" s="9">
        <v>55</v>
      </c>
      <c r="Q59" s="11">
        <v>44.35</v>
      </c>
    </row>
    <row r="60" spans="1:17" x14ac:dyDescent="0.25">
      <c r="A60" s="9" t="s">
        <v>34</v>
      </c>
      <c r="B60" s="10" t="s">
        <v>305</v>
      </c>
      <c r="C60" s="10" t="s">
        <v>298</v>
      </c>
      <c r="D60" s="10" t="s">
        <v>65</v>
      </c>
      <c r="E60" s="10" t="s">
        <v>55</v>
      </c>
      <c r="F60" s="10" t="s">
        <v>573</v>
      </c>
      <c r="G60" s="9">
        <v>16633294</v>
      </c>
      <c r="H60" s="10" t="s">
        <v>291</v>
      </c>
      <c r="I60" s="9" t="s">
        <v>306</v>
      </c>
      <c r="J60" s="9" t="s">
        <v>293</v>
      </c>
      <c r="K60" s="9" t="s">
        <v>294</v>
      </c>
      <c r="L60" s="9">
        <f>MONTH(K60-J60)</f>
        <v>6</v>
      </c>
      <c r="M60" s="20" t="s">
        <v>567</v>
      </c>
      <c r="N60" s="20" t="s">
        <v>579</v>
      </c>
      <c r="O60" s="11">
        <v>87.29</v>
      </c>
      <c r="P60" s="9">
        <v>55</v>
      </c>
      <c r="Q60" s="11">
        <v>48.01</v>
      </c>
    </row>
    <row r="61" spans="1:17" s="27" customFormat="1" x14ac:dyDescent="0.25">
      <c r="A61" s="23" t="s">
        <v>34</v>
      </c>
      <c r="B61" s="24" t="s">
        <v>345</v>
      </c>
      <c r="C61" s="24" t="s">
        <v>339</v>
      </c>
      <c r="D61" s="24" t="s">
        <v>65</v>
      </c>
      <c r="E61" s="24" t="s">
        <v>55</v>
      </c>
      <c r="F61" s="24" t="s">
        <v>573</v>
      </c>
      <c r="G61" s="23">
        <v>16633294</v>
      </c>
      <c r="H61" s="24" t="s">
        <v>291</v>
      </c>
      <c r="I61" s="23" t="s">
        <v>306</v>
      </c>
      <c r="J61" s="23" t="s">
        <v>336</v>
      </c>
      <c r="K61" s="23" t="s">
        <v>238</v>
      </c>
      <c r="L61" s="23">
        <f>MONTH(K61-J61)</f>
        <v>4</v>
      </c>
      <c r="M61" s="25" t="s">
        <v>568</v>
      </c>
      <c r="N61" s="25" t="s">
        <v>579</v>
      </c>
      <c r="O61" s="26">
        <v>-65.97</v>
      </c>
      <c r="P61" s="23">
        <v>55</v>
      </c>
      <c r="Q61" s="26">
        <v>-36.29</v>
      </c>
    </row>
    <row r="62" spans="1:17" x14ac:dyDescent="0.25">
      <c r="A62" s="9" t="s">
        <v>34</v>
      </c>
      <c r="B62" s="10" t="s">
        <v>356</v>
      </c>
      <c r="C62" s="10" t="s">
        <v>352</v>
      </c>
      <c r="D62" s="10" t="s">
        <v>65</v>
      </c>
      <c r="E62" s="10" t="s">
        <v>55</v>
      </c>
      <c r="F62" s="10" t="s">
        <v>575</v>
      </c>
      <c r="G62" s="9">
        <v>16633294</v>
      </c>
      <c r="H62" s="10" t="s">
        <v>291</v>
      </c>
      <c r="I62" s="9" t="s">
        <v>303</v>
      </c>
      <c r="J62" s="9" t="s">
        <v>349</v>
      </c>
      <c r="K62" s="9" t="s">
        <v>264</v>
      </c>
      <c r="L62" s="9">
        <f>MONTH(K62-J62)</f>
        <v>5</v>
      </c>
      <c r="M62" s="20" t="s">
        <v>567</v>
      </c>
      <c r="N62" s="20" t="s">
        <v>579</v>
      </c>
      <c r="O62" s="11">
        <v>47.95</v>
      </c>
      <c r="P62" s="9">
        <v>60</v>
      </c>
      <c r="Q62" s="11">
        <v>28.77</v>
      </c>
    </row>
    <row r="63" spans="1:17" x14ac:dyDescent="0.25">
      <c r="A63" s="9" t="s">
        <v>34</v>
      </c>
      <c r="B63" s="10" t="s">
        <v>502</v>
      </c>
      <c r="C63" s="10" t="s">
        <v>498</v>
      </c>
      <c r="D63" s="10" t="s">
        <v>497</v>
      </c>
      <c r="E63" s="10" t="s">
        <v>55</v>
      </c>
      <c r="F63" s="10" t="s">
        <v>575</v>
      </c>
      <c r="G63" s="9">
        <v>16633294</v>
      </c>
      <c r="H63" s="10" t="s">
        <v>291</v>
      </c>
      <c r="I63" s="9" t="s">
        <v>303</v>
      </c>
      <c r="J63" s="9" t="s">
        <v>493</v>
      </c>
      <c r="K63" s="9" t="s">
        <v>494</v>
      </c>
      <c r="L63" s="9">
        <f>MONTH(K63-J63)</f>
        <v>4</v>
      </c>
      <c r="M63" s="20" t="s">
        <v>567</v>
      </c>
      <c r="N63" s="20" t="s">
        <v>579</v>
      </c>
      <c r="O63" s="11">
        <v>30.8</v>
      </c>
      <c r="P63" s="9">
        <v>60</v>
      </c>
      <c r="Q63" s="11">
        <v>18.48</v>
      </c>
    </row>
    <row r="64" spans="1:17" x14ac:dyDescent="0.25">
      <c r="A64" s="9" t="s">
        <v>34</v>
      </c>
      <c r="B64" s="10" t="s">
        <v>302</v>
      </c>
      <c r="C64" s="10" t="s">
        <v>298</v>
      </c>
      <c r="D64" s="10" t="s">
        <v>65</v>
      </c>
      <c r="E64" s="10" t="s">
        <v>55</v>
      </c>
      <c r="F64" s="10" t="s">
        <v>575</v>
      </c>
      <c r="G64" s="9">
        <v>16633294</v>
      </c>
      <c r="H64" s="10" t="s">
        <v>291</v>
      </c>
      <c r="I64" s="9" t="s">
        <v>303</v>
      </c>
      <c r="J64" s="9" t="s">
        <v>293</v>
      </c>
      <c r="K64" s="9" t="s">
        <v>294</v>
      </c>
      <c r="L64" s="9">
        <f>MONTH(K64-J64)</f>
        <v>6</v>
      </c>
      <c r="M64" s="20" t="s">
        <v>567</v>
      </c>
      <c r="N64" s="20" t="s">
        <v>579</v>
      </c>
      <c r="O64" s="11">
        <v>25.65</v>
      </c>
      <c r="P64" s="9">
        <v>60</v>
      </c>
      <c r="Q64" s="11">
        <v>15.39</v>
      </c>
    </row>
    <row r="65" spans="1:17" s="27" customFormat="1" x14ac:dyDescent="0.25">
      <c r="A65" s="23" t="s">
        <v>34</v>
      </c>
      <c r="B65" s="24" t="s">
        <v>342</v>
      </c>
      <c r="C65" s="24" t="s">
        <v>339</v>
      </c>
      <c r="D65" s="24" t="s">
        <v>65</v>
      </c>
      <c r="E65" s="24" t="s">
        <v>55</v>
      </c>
      <c r="F65" s="24" t="s">
        <v>575</v>
      </c>
      <c r="G65" s="23">
        <v>16633294</v>
      </c>
      <c r="H65" s="24" t="s">
        <v>291</v>
      </c>
      <c r="I65" s="23" t="s">
        <v>303</v>
      </c>
      <c r="J65" s="23" t="s">
        <v>336</v>
      </c>
      <c r="K65" s="23" t="s">
        <v>238</v>
      </c>
      <c r="L65" s="23">
        <f>MONTH(K65-J65)</f>
        <v>4</v>
      </c>
      <c r="M65" s="25" t="s">
        <v>568</v>
      </c>
      <c r="N65" s="25" t="s">
        <v>579</v>
      </c>
      <c r="O65" s="26">
        <v>-18</v>
      </c>
      <c r="P65" s="23">
        <v>60</v>
      </c>
      <c r="Q65" s="26">
        <v>-10.8</v>
      </c>
    </row>
    <row r="66" spans="1:17" x14ac:dyDescent="0.25">
      <c r="A66" s="4" t="s">
        <v>34</v>
      </c>
      <c r="B66" s="2" t="s">
        <v>489</v>
      </c>
      <c r="C66" s="2" t="s">
        <v>486</v>
      </c>
      <c r="D66" s="2" t="s">
        <v>108</v>
      </c>
      <c r="E66" s="2" t="s">
        <v>55</v>
      </c>
      <c r="F66" s="2" t="s">
        <v>571</v>
      </c>
      <c r="G66" s="4">
        <v>5442438</v>
      </c>
      <c r="H66" s="2" t="s">
        <v>77</v>
      </c>
      <c r="I66" s="4" t="s">
        <v>113</v>
      </c>
      <c r="J66" s="4" t="s">
        <v>485</v>
      </c>
      <c r="K66" s="4" t="s">
        <v>43</v>
      </c>
      <c r="L66" s="16">
        <f>MONTH(K66-J66)</f>
        <v>4</v>
      </c>
      <c r="M66" s="21" t="s">
        <v>568</v>
      </c>
      <c r="N66" s="21" t="s">
        <v>579</v>
      </c>
      <c r="O66" s="5">
        <v>351.48</v>
      </c>
      <c r="P66" s="4">
        <v>43</v>
      </c>
      <c r="Q66" s="5">
        <v>151.13999999999999</v>
      </c>
    </row>
    <row r="67" spans="1:17" x14ac:dyDescent="0.25">
      <c r="A67" s="4" t="s">
        <v>34</v>
      </c>
      <c r="B67" s="2" t="s">
        <v>514</v>
      </c>
      <c r="C67" s="2" t="s">
        <v>510</v>
      </c>
      <c r="D67" s="2" t="s">
        <v>108</v>
      </c>
      <c r="E67" s="2" t="s">
        <v>55</v>
      </c>
      <c r="F67" s="2" t="s">
        <v>571</v>
      </c>
      <c r="G67" s="4">
        <v>5442438</v>
      </c>
      <c r="H67" s="2" t="s">
        <v>77</v>
      </c>
      <c r="I67" s="4" t="s">
        <v>113</v>
      </c>
      <c r="J67" s="4" t="s">
        <v>509</v>
      </c>
      <c r="K67" s="4" t="s">
        <v>104</v>
      </c>
      <c r="L67" s="16">
        <f>MONTH(K67-J67)</f>
        <v>4</v>
      </c>
      <c r="M67" s="21" t="s">
        <v>568</v>
      </c>
      <c r="N67" s="21" t="s">
        <v>579</v>
      </c>
      <c r="O67" s="5">
        <v>109.78</v>
      </c>
      <c r="P67" s="4">
        <v>43</v>
      </c>
      <c r="Q67" s="5">
        <v>47.21</v>
      </c>
    </row>
    <row r="68" spans="1:17" x14ac:dyDescent="0.25">
      <c r="A68" s="4" t="s">
        <v>34</v>
      </c>
      <c r="B68" s="2" t="s">
        <v>131</v>
      </c>
      <c r="C68" s="2" t="s">
        <v>127</v>
      </c>
      <c r="D68" s="2" t="s">
        <v>108</v>
      </c>
      <c r="E68" s="2" t="s">
        <v>55</v>
      </c>
      <c r="F68" s="2" t="s">
        <v>571</v>
      </c>
      <c r="G68" s="4">
        <v>5442438</v>
      </c>
      <c r="H68" s="2" t="s">
        <v>77</v>
      </c>
      <c r="I68" s="4" t="s">
        <v>113</v>
      </c>
      <c r="J68" s="4" t="s">
        <v>122</v>
      </c>
      <c r="K68" s="4" t="s">
        <v>123</v>
      </c>
      <c r="L68" s="16">
        <f>MONTH(K68-J68)</f>
        <v>8</v>
      </c>
      <c r="M68" s="21" t="s">
        <v>568</v>
      </c>
      <c r="N68" s="21" t="s">
        <v>579</v>
      </c>
      <c r="O68" s="5">
        <v>8.7799999999999994</v>
      </c>
      <c r="P68" s="4">
        <v>43</v>
      </c>
      <c r="Q68" s="5">
        <v>3.78</v>
      </c>
    </row>
    <row r="69" spans="1:17" x14ac:dyDescent="0.25">
      <c r="A69" s="4" t="s">
        <v>34</v>
      </c>
      <c r="B69" s="2" t="s">
        <v>112</v>
      </c>
      <c r="C69" s="2" t="s">
        <v>109</v>
      </c>
      <c r="D69" s="2" t="s">
        <v>108</v>
      </c>
      <c r="E69" s="2" t="s">
        <v>55</v>
      </c>
      <c r="F69" s="2" t="s">
        <v>571</v>
      </c>
      <c r="G69" s="4">
        <v>5442438</v>
      </c>
      <c r="H69" s="2" t="s">
        <v>77</v>
      </c>
      <c r="I69" s="4" t="s">
        <v>113</v>
      </c>
      <c r="J69" s="4" t="s">
        <v>103</v>
      </c>
      <c r="K69" s="4" t="s">
        <v>104</v>
      </c>
      <c r="L69" s="16">
        <f>MONTH(K69-J69)</f>
        <v>8</v>
      </c>
      <c r="M69" s="21" t="s">
        <v>568</v>
      </c>
      <c r="N69" s="21" t="s">
        <v>579</v>
      </c>
      <c r="O69" s="5">
        <v>38.479999999999997</v>
      </c>
      <c r="P69" s="4">
        <v>43</v>
      </c>
      <c r="Q69" s="5">
        <v>16.55</v>
      </c>
    </row>
    <row r="70" spans="1:17" x14ac:dyDescent="0.25">
      <c r="A70" s="4" t="s">
        <v>34</v>
      </c>
      <c r="B70" s="2" t="s">
        <v>207</v>
      </c>
      <c r="C70" s="2" t="s">
        <v>203</v>
      </c>
      <c r="D70" s="2" t="s">
        <v>108</v>
      </c>
      <c r="E70" s="2" t="s">
        <v>55</v>
      </c>
      <c r="F70" s="2" t="s">
        <v>571</v>
      </c>
      <c r="G70" s="4">
        <v>5442438</v>
      </c>
      <c r="H70" s="2" t="s">
        <v>77</v>
      </c>
      <c r="I70" s="4" t="s">
        <v>113</v>
      </c>
      <c r="J70" s="4" t="s">
        <v>201</v>
      </c>
      <c r="K70" s="4" t="s">
        <v>202</v>
      </c>
      <c r="L70" s="16">
        <f>MONTH(K70-J70)</f>
        <v>7</v>
      </c>
      <c r="M70" s="21" t="s">
        <v>568</v>
      </c>
      <c r="N70" s="21" t="s">
        <v>579</v>
      </c>
      <c r="O70" s="5">
        <v>22.98</v>
      </c>
      <c r="P70" s="4">
        <v>43</v>
      </c>
      <c r="Q70" s="5">
        <v>9.8800000000000008</v>
      </c>
    </row>
    <row r="71" spans="1:17" x14ac:dyDescent="0.25">
      <c r="A71" s="4" t="s">
        <v>34</v>
      </c>
      <c r="B71" s="2" t="s">
        <v>484</v>
      </c>
      <c r="C71" s="2" t="s">
        <v>486</v>
      </c>
      <c r="D71" s="2" t="s">
        <v>108</v>
      </c>
      <c r="E71" s="2" t="s">
        <v>55</v>
      </c>
      <c r="F71" s="2" t="s">
        <v>572</v>
      </c>
      <c r="G71" s="4">
        <v>5442438</v>
      </c>
      <c r="H71" s="2" t="s">
        <v>77</v>
      </c>
      <c r="I71" s="4" t="s">
        <v>78</v>
      </c>
      <c r="J71" s="4" t="s">
        <v>485</v>
      </c>
      <c r="K71" s="4" t="s">
        <v>43</v>
      </c>
      <c r="L71" s="16">
        <f>MONTH(K71-J71)</f>
        <v>4</v>
      </c>
      <c r="M71" s="21" t="s">
        <v>568</v>
      </c>
      <c r="N71" s="21" t="s">
        <v>579</v>
      </c>
      <c r="O71" s="5">
        <v>48.17</v>
      </c>
      <c r="P71" s="4">
        <v>50</v>
      </c>
      <c r="Q71" s="5">
        <v>24.09</v>
      </c>
    </row>
    <row r="72" spans="1:17" x14ac:dyDescent="0.25">
      <c r="A72" s="4" t="s">
        <v>34</v>
      </c>
      <c r="B72" s="2" t="s">
        <v>508</v>
      </c>
      <c r="C72" s="2" t="s">
        <v>510</v>
      </c>
      <c r="D72" s="2" t="s">
        <v>108</v>
      </c>
      <c r="E72" s="2" t="s">
        <v>55</v>
      </c>
      <c r="F72" s="2" t="s">
        <v>572</v>
      </c>
      <c r="G72" s="4">
        <v>5442438</v>
      </c>
      <c r="H72" s="2" t="s">
        <v>77</v>
      </c>
      <c r="I72" s="4" t="s">
        <v>78</v>
      </c>
      <c r="J72" s="4" t="s">
        <v>509</v>
      </c>
      <c r="K72" s="4" t="s">
        <v>104</v>
      </c>
      <c r="L72" s="16">
        <f>MONTH(K72-J72)</f>
        <v>4</v>
      </c>
      <c r="M72" s="21" t="s">
        <v>568</v>
      </c>
      <c r="N72" s="21" t="s">
        <v>579</v>
      </c>
      <c r="O72" s="5">
        <v>41.89</v>
      </c>
      <c r="P72" s="4">
        <v>50</v>
      </c>
      <c r="Q72" s="5">
        <v>20.95</v>
      </c>
    </row>
    <row r="73" spans="1:17" x14ac:dyDescent="0.25">
      <c r="A73" s="4" t="s">
        <v>34</v>
      </c>
      <c r="B73" s="2" t="s">
        <v>76</v>
      </c>
      <c r="C73" s="2" t="s">
        <v>85</v>
      </c>
      <c r="D73" s="2" t="s">
        <v>84</v>
      </c>
      <c r="E73" s="2" t="s">
        <v>55</v>
      </c>
      <c r="F73" s="2" t="s">
        <v>572</v>
      </c>
      <c r="G73" s="4">
        <v>5442438</v>
      </c>
      <c r="H73" s="2" t="s">
        <v>77</v>
      </c>
      <c r="I73" s="4" t="s">
        <v>78</v>
      </c>
      <c r="J73" s="4" t="s">
        <v>79</v>
      </c>
      <c r="K73" s="4" t="s">
        <v>80</v>
      </c>
      <c r="L73" s="16">
        <f>MONTH(K73-J73)</f>
        <v>9</v>
      </c>
      <c r="M73" s="21" t="s">
        <v>568</v>
      </c>
      <c r="N73" s="21" t="s">
        <v>579</v>
      </c>
      <c r="O73" s="5">
        <v>32.65</v>
      </c>
      <c r="P73" s="4">
        <v>50</v>
      </c>
      <c r="Q73" s="5">
        <v>16.329999999999998</v>
      </c>
    </row>
    <row r="74" spans="1:17" x14ac:dyDescent="0.25">
      <c r="A74" s="4" t="s">
        <v>34</v>
      </c>
      <c r="B74" s="2" t="s">
        <v>121</v>
      </c>
      <c r="C74" s="2" t="s">
        <v>127</v>
      </c>
      <c r="D74" s="2" t="s">
        <v>108</v>
      </c>
      <c r="E74" s="2" t="s">
        <v>55</v>
      </c>
      <c r="F74" s="2" t="s">
        <v>572</v>
      </c>
      <c r="G74" s="4">
        <v>5442438</v>
      </c>
      <c r="H74" s="2" t="s">
        <v>77</v>
      </c>
      <c r="I74" s="4" t="s">
        <v>78</v>
      </c>
      <c r="J74" s="4" t="s">
        <v>122</v>
      </c>
      <c r="K74" s="4" t="s">
        <v>123</v>
      </c>
      <c r="L74" s="16">
        <f>MONTH(K74-J74)</f>
        <v>8</v>
      </c>
      <c r="M74" s="21" t="s">
        <v>568</v>
      </c>
      <c r="N74" s="21" t="s">
        <v>579</v>
      </c>
      <c r="O74" s="5">
        <v>48.17</v>
      </c>
      <c r="P74" s="4">
        <v>50</v>
      </c>
      <c r="Q74" s="5">
        <v>24.09</v>
      </c>
    </row>
    <row r="75" spans="1:17" x14ac:dyDescent="0.25">
      <c r="A75" s="4" t="s">
        <v>34</v>
      </c>
      <c r="B75" s="2" t="s">
        <v>102</v>
      </c>
      <c r="C75" s="2" t="s">
        <v>109</v>
      </c>
      <c r="D75" s="2" t="s">
        <v>108</v>
      </c>
      <c r="E75" s="2" t="s">
        <v>55</v>
      </c>
      <c r="F75" s="2" t="s">
        <v>572</v>
      </c>
      <c r="G75" s="4">
        <v>5442438</v>
      </c>
      <c r="H75" s="2" t="s">
        <v>77</v>
      </c>
      <c r="I75" s="4" t="s">
        <v>78</v>
      </c>
      <c r="J75" s="4" t="s">
        <v>103</v>
      </c>
      <c r="K75" s="4" t="s">
        <v>104</v>
      </c>
      <c r="L75" s="16">
        <f>MONTH(K75-J75)</f>
        <v>8</v>
      </c>
      <c r="M75" s="21" t="s">
        <v>568</v>
      </c>
      <c r="N75" s="21" t="s">
        <v>579</v>
      </c>
      <c r="O75" s="5">
        <v>78.48</v>
      </c>
      <c r="P75" s="4">
        <v>50</v>
      </c>
      <c r="Q75" s="5">
        <v>39.25</v>
      </c>
    </row>
    <row r="76" spans="1:17" x14ac:dyDescent="0.25">
      <c r="A76" s="4" t="s">
        <v>34</v>
      </c>
      <c r="B76" s="2" t="s">
        <v>200</v>
      </c>
      <c r="C76" s="2" t="s">
        <v>203</v>
      </c>
      <c r="D76" s="2" t="s">
        <v>108</v>
      </c>
      <c r="E76" s="2" t="s">
        <v>55</v>
      </c>
      <c r="F76" s="2" t="s">
        <v>572</v>
      </c>
      <c r="G76" s="4">
        <v>5442438</v>
      </c>
      <c r="H76" s="2" t="s">
        <v>77</v>
      </c>
      <c r="I76" s="4" t="s">
        <v>78</v>
      </c>
      <c r="J76" s="4" t="s">
        <v>201</v>
      </c>
      <c r="K76" s="4" t="s">
        <v>202</v>
      </c>
      <c r="L76" s="16">
        <f>MONTH(K76-J76)</f>
        <v>7</v>
      </c>
      <c r="M76" s="21" t="s">
        <v>568</v>
      </c>
      <c r="N76" s="21" t="s">
        <v>579</v>
      </c>
      <c r="O76" s="5">
        <v>48.17</v>
      </c>
      <c r="P76" s="4">
        <v>50</v>
      </c>
      <c r="Q76" s="5">
        <v>24.09</v>
      </c>
    </row>
    <row r="77" spans="1:17" x14ac:dyDescent="0.25">
      <c r="A77" s="4" t="s">
        <v>34</v>
      </c>
      <c r="B77" s="2" t="s">
        <v>517</v>
      </c>
      <c r="C77" s="2" t="s">
        <v>510</v>
      </c>
      <c r="D77" s="2" t="s">
        <v>108</v>
      </c>
      <c r="E77" s="2" t="s">
        <v>55</v>
      </c>
      <c r="F77" s="2" t="s">
        <v>573</v>
      </c>
      <c r="G77" s="4">
        <v>5442438</v>
      </c>
      <c r="H77" s="2" t="s">
        <v>77</v>
      </c>
      <c r="I77" s="4" t="s">
        <v>118</v>
      </c>
      <c r="J77" s="4" t="s">
        <v>509</v>
      </c>
      <c r="K77" s="4" t="s">
        <v>104</v>
      </c>
      <c r="L77" s="16">
        <f>MONTH(K77-J77)</f>
        <v>4</v>
      </c>
      <c r="M77" s="21" t="s">
        <v>568</v>
      </c>
      <c r="N77" s="21" t="s">
        <v>579</v>
      </c>
      <c r="O77" s="5">
        <v>27.34</v>
      </c>
      <c r="P77" s="4">
        <v>55</v>
      </c>
      <c r="Q77" s="5">
        <v>15.04</v>
      </c>
    </row>
    <row r="78" spans="1:17" x14ac:dyDescent="0.25">
      <c r="A78" s="4" t="s">
        <v>34</v>
      </c>
      <c r="B78" s="2" t="s">
        <v>134</v>
      </c>
      <c r="C78" s="2" t="s">
        <v>127</v>
      </c>
      <c r="D78" s="2" t="s">
        <v>108</v>
      </c>
      <c r="E78" s="2" t="s">
        <v>55</v>
      </c>
      <c r="F78" s="2" t="s">
        <v>573</v>
      </c>
      <c r="G78" s="4">
        <v>5442438</v>
      </c>
      <c r="H78" s="2" t="s">
        <v>77</v>
      </c>
      <c r="I78" s="4" t="s">
        <v>118</v>
      </c>
      <c r="J78" s="4" t="s">
        <v>122</v>
      </c>
      <c r="K78" s="4" t="s">
        <v>123</v>
      </c>
      <c r="L78" s="16">
        <f>MONTH(K78-J78)</f>
        <v>8</v>
      </c>
      <c r="M78" s="21" t="s">
        <v>568</v>
      </c>
      <c r="N78" s="21" t="s">
        <v>579</v>
      </c>
      <c r="O78" s="5">
        <v>27.4</v>
      </c>
      <c r="P78" s="4">
        <v>55</v>
      </c>
      <c r="Q78" s="5">
        <v>15.08</v>
      </c>
    </row>
    <row r="79" spans="1:17" x14ac:dyDescent="0.25">
      <c r="A79" s="4" t="s">
        <v>34</v>
      </c>
      <c r="B79" s="2" t="s">
        <v>116</v>
      </c>
      <c r="C79" s="2" t="s">
        <v>109</v>
      </c>
      <c r="D79" s="2" t="s">
        <v>108</v>
      </c>
      <c r="E79" s="2" t="s">
        <v>55</v>
      </c>
      <c r="F79" s="2" t="s">
        <v>573</v>
      </c>
      <c r="G79" s="4">
        <v>5442438</v>
      </c>
      <c r="H79" s="2" t="s">
        <v>77</v>
      </c>
      <c r="I79" s="4" t="s">
        <v>118</v>
      </c>
      <c r="J79" s="4" t="s">
        <v>103</v>
      </c>
      <c r="K79" s="4" t="s">
        <v>104</v>
      </c>
      <c r="L79" s="16">
        <f>MONTH(K79-J79)</f>
        <v>8</v>
      </c>
      <c r="M79" s="21" t="s">
        <v>568</v>
      </c>
      <c r="N79" s="21" t="s">
        <v>579</v>
      </c>
      <c r="O79" s="5">
        <v>125.71</v>
      </c>
      <c r="P79" s="4">
        <v>55</v>
      </c>
      <c r="Q79" s="5">
        <v>69.14</v>
      </c>
    </row>
    <row r="80" spans="1:17" x14ac:dyDescent="0.25">
      <c r="A80" s="4" t="s">
        <v>34</v>
      </c>
      <c r="B80" s="2" t="s">
        <v>210</v>
      </c>
      <c r="C80" s="2" t="s">
        <v>203</v>
      </c>
      <c r="D80" s="2" t="s">
        <v>108</v>
      </c>
      <c r="E80" s="2" t="s">
        <v>55</v>
      </c>
      <c r="F80" s="2" t="s">
        <v>573</v>
      </c>
      <c r="G80" s="4">
        <v>5442438</v>
      </c>
      <c r="H80" s="2" t="s">
        <v>77</v>
      </c>
      <c r="I80" s="4" t="s">
        <v>118</v>
      </c>
      <c r="J80" s="4" t="s">
        <v>201</v>
      </c>
      <c r="K80" s="4" t="s">
        <v>202</v>
      </c>
      <c r="L80" s="16">
        <f>MONTH(K80-J80)</f>
        <v>7</v>
      </c>
      <c r="M80" s="21" t="s">
        <v>568</v>
      </c>
      <c r="N80" s="21" t="s">
        <v>579</v>
      </c>
      <c r="O80" s="5">
        <v>51.33</v>
      </c>
      <c r="P80" s="4">
        <v>55</v>
      </c>
      <c r="Q80" s="5">
        <v>28.24</v>
      </c>
    </row>
    <row r="81" spans="1:17" x14ac:dyDescent="0.25">
      <c r="A81" s="9" t="s">
        <v>34</v>
      </c>
      <c r="B81" s="10" t="s">
        <v>328</v>
      </c>
      <c r="C81" s="10" t="s">
        <v>331</v>
      </c>
      <c r="D81" s="10" t="s">
        <v>108</v>
      </c>
      <c r="E81" s="10" t="s">
        <v>55</v>
      </c>
      <c r="F81" s="10" t="s">
        <v>572</v>
      </c>
      <c r="G81" s="9">
        <v>16202925</v>
      </c>
      <c r="H81" s="10" t="s">
        <v>329</v>
      </c>
      <c r="I81" s="9" t="s">
        <v>330</v>
      </c>
      <c r="J81" s="9" t="s">
        <v>228</v>
      </c>
      <c r="K81" s="9" t="s">
        <v>202</v>
      </c>
      <c r="L81" s="9">
        <f>MONTH(K81-J81)</f>
        <v>6</v>
      </c>
      <c r="M81" s="20" t="s">
        <v>567</v>
      </c>
      <c r="N81" s="20" t="s">
        <v>579</v>
      </c>
      <c r="O81" s="11">
        <v>32.32</v>
      </c>
      <c r="P81" s="9">
        <v>50</v>
      </c>
      <c r="Q81" s="11">
        <v>16.16</v>
      </c>
    </row>
    <row r="82" spans="1:17" x14ac:dyDescent="0.25">
      <c r="A82" s="9" t="s">
        <v>34</v>
      </c>
      <c r="B82" s="10" t="s">
        <v>428</v>
      </c>
      <c r="C82" s="10" t="s">
        <v>434</v>
      </c>
      <c r="D82" s="10" t="s">
        <v>108</v>
      </c>
      <c r="E82" s="10" t="s">
        <v>55</v>
      </c>
      <c r="F82" s="10" t="s">
        <v>572</v>
      </c>
      <c r="G82" s="9">
        <v>16202925</v>
      </c>
      <c r="H82" s="10" t="s">
        <v>329</v>
      </c>
      <c r="I82" s="9" t="s">
        <v>330</v>
      </c>
      <c r="J82" s="9" t="s">
        <v>429</v>
      </c>
      <c r="K82" s="9" t="s">
        <v>430</v>
      </c>
      <c r="L82" s="9">
        <f>MONTH(K82-J82)</f>
        <v>5</v>
      </c>
      <c r="M82" s="20" t="s">
        <v>567</v>
      </c>
      <c r="N82" s="20" t="s">
        <v>579</v>
      </c>
      <c r="O82" s="11">
        <v>41.89</v>
      </c>
      <c r="P82" s="9">
        <v>50</v>
      </c>
      <c r="Q82" s="11">
        <v>20.95</v>
      </c>
    </row>
  </sheetData>
  <sortState xmlns:xlrd2="http://schemas.microsoft.com/office/spreadsheetml/2017/richdata2" ref="A2:Q82">
    <sortCondition ref="H2:H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20250417_018056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2025-04-25T14:03:44Z</dcterms:created>
  <dcterms:modified xsi:type="dcterms:W3CDTF">2025-04-29T00:55:31Z</dcterms:modified>
</cp:coreProperties>
</file>