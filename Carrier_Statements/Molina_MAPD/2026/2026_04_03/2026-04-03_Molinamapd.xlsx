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 MAPD\2026\4-3-26\"/>
    </mc:Choice>
  </mc:AlternateContent>
  <xr:revisionPtr revIDLastSave="0" documentId="13_ncr:1_{690F71B4-C0F5-47FD-BDB6-06418D0590FD}" xr6:coauthVersionLast="47" xr6:coauthVersionMax="47" xr10:uidLastSave="{00000000-0000-0000-0000-000000000000}"/>
  <bookViews>
    <workbookView xWindow="28680" yWindow="-30" windowWidth="29040" windowHeight="16440" activeTab="1" xr2:uid="{00000000-000D-0000-FFFF-FFFF00000000}"/>
  </bookViews>
  <sheets>
    <sheet name="Detail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0" i="2" l="1"/>
  <c r="O7" i="2"/>
  <c r="H23" i="2"/>
  <c r="H22" i="2"/>
  <c r="H21" i="2"/>
  <c r="H20" i="2"/>
  <c r="H19" i="2"/>
  <c r="H18" i="2"/>
  <c r="H17" i="2"/>
  <c r="H16" i="2"/>
  <c r="H15" i="2"/>
  <c r="H14" i="2"/>
  <c r="H13" i="2"/>
  <c r="H12" i="2"/>
  <c r="H9" i="2"/>
  <c r="H8" i="2"/>
  <c r="H6" i="2"/>
  <c r="H5" i="2"/>
  <c r="H10" i="2"/>
  <c r="H7" i="2"/>
  <c r="H4" i="2"/>
  <c r="H11" i="2"/>
  <c r="H3" i="2"/>
  <c r="H2" i="2"/>
</calcChain>
</file>

<file path=xl/sharedStrings.xml><?xml version="1.0" encoding="utf-8"?>
<sst xmlns="http://schemas.openxmlformats.org/spreadsheetml/2006/main" count="1162" uniqueCount="128">
  <si>
    <t/>
  </si>
  <si>
    <t>PayeeID</t>
  </si>
  <si>
    <t>PaidVendor</t>
  </si>
  <si>
    <t>BrokerID</t>
  </si>
  <si>
    <t>BrokerName</t>
  </si>
  <si>
    <t>InitialRenewal</t>
  </si>
  <si>
    <t>Period</t>
  </si>
  <si>
    <t>Product</t>
  </si>
  <si>
    <t>RepNPN</t>
  </si>
  <si>
    <t>RepName</t>
  </si>
  <si>
    <t>SignedDate</t>
  </si>
  <si>
    <t>ContractCode</t>
  </si>
  <si>
    <t>PBP</t>
  </si>
  <si>
    <t>MemberId</t>
  </si>
  <si>
    <t>Name</t>
  </si>
  <si>
    <t>MBI</t>
  </si>
  <si>
    <t>EffectiveDate</t>
  </si>
  <si>
    <t>TermDate</t>
  </si>
  <si>
    <t>CycleYear</t>
  </si>
  <si>
    <t>PriorPlan</t>
  </si>
  <si>
    <t>FundName</t>
  </si>
  <si>
    <t>Commission</t>
  </si>
  <si>
    <t>Main Line Benefits Llc</t>
  </si>
  <si>
    <t>Antonia Nevarez</t>
  </si>
  <si>
    <t>Initial</t>
  </si>
  <si>
    <t>202604</t>
  </si>
  <si>
    <t>Molina Medicare Complete Care Plus (HMO D-SNP)</t>
  </si>
  <si>
    <t>21646325</t>
  </si>
  <si>
    <t>11/18/25</t>
  </si>
  <si>
    <t>H3093</t>
  </si>
  <si>
    <t>004</t>
  </si>
  <si>
    <t>M000520107</t>
  </si>
  <si>
    <t>ROSA VILLEDA</t>
  </si>
  <si>
    <t>6PJ3DQ8EX13</t>
  </si>
  <si>
    <t>2</t>
  </si>
  <si>
    <t>Yes</t>
  </si>
  <si>
    <t>Override</t>
  </si>
  <si>
    <t>10/19/25</t>
  </si>
  <si>
    <t>M000510104</t>
  </si>
  <si>
    <t>WILLIAM PEDROZA</t>
  </si>
  <si>
    <t>7AD0UN5NR04</t>
  </si>
  <si>
    <t>1</t>
  </si>
  <si>
    <t>Broker</t>
  </si>
  <si>
    <t>Dale Walenga</t>
  </si>
  <si>
    <t>8325282</t>
  </si>
  <si>
    <t>10/23/25</t>
  </si>
  <si>
    <t>M000511262</t>
  </si>
  <si>
    <t>ALLAUDDIN JAFFER</t>
  </si>
  <si>
    <t>3QY6NR3HA48</t>
  </si>
  <si>
    <t>3</t>
  </si>
  <si>
    <t>Esther Herrera-Larsen</t>
  </si>
  <si>
    <t>17301495</t>
  </si>
  <si>
    <t>12/31/25</t>
  </si>
  <si>
    <t>M000533835</t>
  </si>
  <si>
    <t>ANA LOPEZ</t>
  </si>
  <si>
    <t>7PA1E88GH35</t>
  </si>
  <si>
    <t>No</t>
  </si>
  <si>
    <t>11/06/25</t>
  </si>
  <si>
    <t>M000516007</t>
  </si>
  <si>
    <t>QUY NGUYEN</t>
  </si>
  <si>
    <t>2J77QH3VR79</t>
  </si>
  <si>
    <t>Gary Portugal</t>
  </si>
  <si>
    <t>9213293</t>
  </si>
  <si>
    <t>10/22/25</t>
  </si>
  <si>
    <t>001</t>
  </si>
  <si>
    <t>M000511127</t>
  </si>
  <si>
    <t>CAMERON HOLUM</t>
  </si>
  <si>
    <t>2FC2A00MX98</t>
  </si>
  <si>
    <t>4</t>
  </si>
  <si>
    <t>11/05/25</t>
  </si>
  <si>
    <t>M000515414</t>
  </si>
  <si>
    <t>MANUEL VALDEZSR</t>
  </si>
  <si>
    <t>7K01W31RA19</t>
  </si>
  <si>
    <t>02/26/26</t>
  </si>
  <si>
    <t>M000545580</t>
  </si>
  <si>
    <t>VALORIE SMITH</t>
  </si>
  <si>
    <t>9W64DU9VN65</t>
  </si>
  <si>
    <t>Gregory Hansford</t>
  </si>
  <si>
    <t>17094718</t>
  </si>
  <si>
    <t>03/16/26</t>
  </si>
  <si>
    <t>002</t>
  </si>
  <si>
    <t>M000548745</t>
  </si>
  <si>
    <t>DORIS RIGGINS</t>
  </si>
  <si>
    <t>7V99JQ2PC38</t>
  </si>
  <si>
    <t>Matthew Sherman</t>
  </si>
  <si>
    <t>8812322</t>
  </si>
  <si>
    <t>M000515787</t>
  </si>
  <si>
    <t>DOUGLAS KNECHT</t>
  </si>
  <si>
    <t>3NV1QY8JC36</t>
  </si>
  <si>
    <t>Nasandelger Zana</t>
  </si>
  <si>
    <t>20220688</t>
  </si>
  <si>
    <t>03/18/26</t>
  </si>
  <si>
    <t>M000549266</t>
  </si>
  <si>
    <t>RAYMOND CRUZADOJR</t>
  </si>
  <si>
    <t>2DW0HH3UG21</t>
  </si>
  <si>
    <t>Richard Wuensch</t>
  </si>
  <si>
    <t>19615078</t>
  </si>
  <si>
    <t>10/15/25</t>
  </si>
  <si>
    <t>M000508455</t>
  </si>
  <si>
    <t>RICKEY VAUGHN</t>
  </si>
  <si>
    <t>5JH9H24RE47</t>
  </si>
  <si>
    <t>6</t>
  </si>
  <si>
    <t>Stacey Portugal</t>
  </si>
  <si>
    <t>19645587</t>
  </si>
  <si>
    <t>01/14/26</t>
  </si>
  <si>
    <t>003</t>
  </si>
  <si>
    <t>M000536727</t>
  </si>
  <si>
    <t>SHARON FURLOW</t>
  </si>
  <si>
    <t>6A83H32RY96</t>
  </si>
  <si>
    <t>Steven Brandt</t>
  </si>
  <si>
    <t>Renewal</t>
  </si>
  <si>
    <t>Molina Complete Care for MyCare Ohio (HMO D-SNP)</t>
  </si>
  <si>
    <t>19491313</t>
  </si>
  <si>
    <t>10/10/25</t>
  </si>
  <si>
    <t>H9955</t>
  </si>
  <si>
    <t>008</t>
  </si>
  <si>
    <t>M000507342</t>
  </si>
  <si>
    <t>JASON CECUTTI</t>
  </si>
  <si>
    <t>8H71XC5KV11</t>
  </si>
  <si>
    <t>Molina MAPD 2026*</t>
  </si>
  <si>
    <t>Molina MAPD OVR</t>
  </si>
  <si>
    <t>[%/$=347][prorate=12/12]</t>
  </si>
  <si>
    <t>[%/$=347][prorate=11/12]</t>
  </si>
  <si>
    <t>[%/$=347][prorate=10/12]</t>
  </si>
  <si>
    <t>[%/$=347][prorate=1/12]</t>
  </si>
  <si>
    <t>Main Line Benefits</t>
  </si>
  <si>
    <t>21646325L1</t>
  </si>
  <si>
    <t>8812322L3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</si>
</sst>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dd/mm\ "/>
    <numFmt numFmtId="165" formatCode="yyyy/mm/dd\ "/>
    <numFmt numFmtId="166" formatCode="\$#,##0.00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0" borderId="0" xfId="0" applyNumberFormat="1"/>
    <xf numFmtId="0" fontId="0" fillId="2" borderId="0" xfId="0" applyFill="1"/>
    <xf numFmtId="166" fontId="0" fillId="2" borderId="0" xfId="0" applyNumberFormat="1" applyFill="1"/>
    <xf numFmtId="14" fontId="0" fillId="2" borderId="0" xfId="0" applyNumberForma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"/>
  <sheetViews>
    <sheetView topLeftCell="E1" workbookViewId="0">
      <selection activeCell="E1" sqref="A1:XFD1048576"/>
    </sheetView>
  </sheetViews>
  <sheetFormatPr defaultRowHeight="14.4" x14ac:dyDescent="0.3"/>
  <cols>
    <col min="1" max="1" width="25" customWidth="1"/>
    <col min="2" max="2" width="20" customWidth="1"/>
    <col min="3" max="4" width="15" customWidth="1"/>
    <col min="5" max="5" width="13.6640625" bestFit="1" customWidth="1"/>
    <col min="6" max="6" width="7.6640625" bestFit="1" customWidth="1"/>
    <col min="7" max="7" width="49" bestFit="1" customWidth="1"/>
    <col min="8" max="8" width="10" bestFit="1" customWidth="1"/>
    <col min="9" max="9" width="20.6640625" bestFit="1" customWidth="1"/>
    <col min="10" max="10" width="11.33203125" bestFit="1" customWidth="1"/>
    <col min="11" max="11" width="13.33203125" bestFit="1" customWidth="1"/>
    <col min="12" max="12" width="4.5546875" bestFit="1" customWidth="1"/>
    <col min="13" max="13" width="13" bestFit="1" customWidth="1"/>
    <col min="14" max="14" width="22" bestFit="1" customWidth="1"/>
    <col min="15" max="15" width="15.44140625" bestFit="1" customWidth="1"/>
    <col min="16" max="16" width="13" bestFit="1" customWidth="1"/>
    <col min="17" max="17" width="12.109375" bestFit="1" customWidth="1"/>
    <col min="18" max="18" width="9.6640625" bestFit="1" customWidth="1"/>
    <col min="19" max="19" width="9.33203125" bestFit="1" customWidth="1"/>
    <col min="20" max="20" width="10.88671875" bestFit="1" customWidth="1"/>
    <col min="21" max="21" width="12" bestFit="1" customWidth="1"/>
  </cols>
  <sheetData>
    <row r="1" spans="1:2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s="3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x14ac:dyDescent="0.3">
      <c r="A2">
        <v>20411454</v>
      </c>
      <c r="B2" t="s">
        <v>22</v>
      </c>
      <c r="C2">
        <v>21646325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23</v>
      </c>
      <c r="J2" t="s">
        <v>28</v>
      </c>
      <c r="K2" t="s">
        <v>29</v>
      </c>
      <c r="L2" t="s">
        <v>30</v>
      </c>
      <c r="M2" t="s">
        <v>31</v>
      </c>
      <c r="N2" s="3" t="s">
        <v>32</v>
      </c>
      <c r="O2" t="s">
        <v>33</v>
      </c>
      <c r="P2" s="1">
        <v>46023</v>
      </c>
      <c r="Q2" s="2">
        <v>46112</v>
      </c>
      <c r="R2" t="s">
        <v>34</v>
      </c>
      <c r="S2" t="s">
        <v>35</v>
      </c>
      <c r="T2" t="s">
        <v>36</v>
      </c>
      <c r="U2">
        <v>-40</v>
      </c>
    </row>
    <row r="3" spans="1:21" x14ac:dyDescent="0.3">
      <c r="A3">
        <v>20411454</v>
      </c>
      <c r="B3" t="s">
        <v>22</v>
      </c>
      <c r="C3">
        <v>21646325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23</v>
      </c>
      <c r="J3" t="s">
        <v>28</v>
      </c>
      <c r="K3" t="s">
        <v>29</v>
      </c>
      <c r="L3" t="s">
        <v>30</v>
      </c>
      <c r="M3" t="s">
        <v>31</v>
      </c>
      <c r="N3" s="3" t="s">
        <v>32</v>
      </c>
      <c r="O3" t="s">
        <v>33</v>
      </c>
      <c r="P3" s="1">
        <v>46023</v>
      </c>
      <c r="Q3" s="2">
        <v>46112</v>
      </c>
      <c r="R3" t="s">
        <v>34</v>
      </c>
      <c r="S3" t="s">
        <v>35</v>
      </c>
      <c r="T3" t="s">
        <v>36</v>
      </c>
      <c r="U3">
        <v>-60</v>
      </c>
    </row>
    <row r="4" spans="1:21" x14ac:dyDescent="0.3">
      <c r="A4">
        <v>20411454</v>
      </c>
      <c r="B4" t="s">
        <v>22</v>
      </c>
      <c r="C4">
        <v>21646325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23</v>
      </c>
      <c r="J4" t="s">
        <v>28</v>
      </c>
      <c r="K4" t="s">
        <v>29</v>
      </c>
      <c r="L4" t="s">
        <v>30</v>
      </c>
      <c r="M4" t="s">
        <v>31</v>
      </c>
      <c r="N4" s="3" t="s">
        <v>32</v>
      </c>
      <c r="O4" t="s">
        <v>33</v>
      </c>
      <c r="P4" s="1">
        <v>46023</v>
      </c>
      <c r="Q4" s="2">
        <v>46112</v>
      </c>
      <c r="R4" t="s">
        <v>34</v>
      </c>
      <c r="S4" t="s">
        <v>35</v>
      </c>
      <c r="T4" t="s">
        <v>36</v>
      </c>
      <c r="U4">
        <v>-50</v>
      </c>
    </row>
    <row r="5" spans="1:21" x14ac:dyDescent="0.3">
      <c r="A5">
        <v>20411454</v>
      </c>
      <c r="B5" t="s">
        <v>22</v>
      </c>
      <c r="C5">
        <v>21646325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23</v>
      </c>
      <c r="J5" t="s">
        <v>28</v>
      </c>
      <c r="K5" t="s">
        <v>29</v>
      </c>
      <c r="L5" t="s">
        <v>30</v>
      </c>
      <c r="M5" t="s">
        <v>31</v>
      </c>
      <c r="N5" s="3" t="s">
        <v>32</v>
      </c>
      <c r="O5" t="s">
        <v>33</v>
      </c>
      <c r="P5" s="1">
        <v>46023</v>
      </c>
      <c r="Q5" s="2">
        <v>46112</v>
      </c>
      <c r="R5" t="s">
        <v>34</v>
      </c>
      <c r="S5" t="s">
        <v>35</v>
      </c>
      <c r="T5" t="s">
        <v>36</v>
      </c>
      <c r="U5">
        <v>-50</v>
      </c>
    </row>
    <row r="6" spans="1:21" x14ac:dyDescent="0.3">
      <c r="A6">
        <v>20411454</v>
      </c>
      <c r="B6" t="s">
        <v>22</v>
      </c>
      <c r="C6">
        <v>21646325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23</v>
      </c>
      <c r="J6" t="s">
        <v>37</v>
      </c>
      <c r="K6" t="s">
        <v>29</v>
      </c>
      <c r="L6" t="s">
        <v>30</v>
      </c>
      <c r="M6" t="s">
        <v>38</v>
      </c>
      <c r="N6" s="3" t="s">
        <v>39</v>
      </c>
      <c r="O6" t="s">
        <v>40</v>
      </c>
      <c r="P6" s="1">
        <v>46023</v>
      </c>
      <c r="Q6" s="2">
        <v>46112</v>
      </c>
      <c r="R6" t="s">
        <v>41</v>
      </c>
      <c r="S6" t="s">
        <v>35</v>
      </c>
      <c r="T6" t="s">
        <v>36</v>
      </c>
      <c r="U6">
        <v>-40</v>
      </c>
    </row>
    <row r="7" spans="1:21" x14ac:dyDescent="0.3">
      <c r="A7">
        <v>20411454</v>
      </c>
      <c r="B7" t="s">
        <v>22</v>
      </c>
      <c r="C7">
        <v>21646325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23</v>
      </c>
      <c r="J7" t="s">
        <v>37</v>
      </c>
      <c r="K7" t="s">
        <v>29</v>
      </c>
      <c r="L7" t="s">
        <v>30</v>
      </c>
      <c r="M7" t="s">
        <v>38</v>
      </c>
      <c r="N7" s="3" t="s">
        <v>39</v>
      </c>
      <c r="O7" t="s">
        <v>40</v>
      </c>
      <c r="P7" s="1">
        <v>46023</v>
      </c>
      <c r="Q7" s="2">
        <v>46112</v>
      </c>
      <c r="R7" t="s">
        <v>41</v>
      </c>
      <c r="S7" t="s">
        <v>35</v>
      </c>
      <c r="T7" t="s">
        <v>36</v>
      </c>
      <c r="U7">
        <v>-60</v>
      </c>
    </row>
    <row r="8" spans="1:21" x14ac:dyDescent="0.3">
      <c r="A8">
        <v>20411454</v>
      </c>
      <c r="B8" t="s">
        <v>22</v>
      </c>
      <c r="C8">
        <v>21646325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23</v>
      </c>
      <c r="J8" t="s">
        <v>37</v>
      </c>
      <c r="K8" t="s">
        <v>29</v>
      </c>
      <c r="L8" t="s">
        <v>30</v>
      </c>
      <c r="M8" t="s">
        <v>38</v>
      </c>
      <c r="N8" s="3" t="s">
        <v>39</v>
      </c>
      <c r="O8" t="s">
        <v>40</v>
      </c>
      <c r="P8" s="1">
        <v>46023</v>
      </c>
      <c r="Q8" s="2">
        <v>46112</v>
      </c>
      <c r="R8" t="s">
        <v>41</v>
      </c>
      <c r="S8" t="s">
        <v>35</v>
      </c>
      <c r="T8" t="s">
        <v>36</v>
      </c>
      <c r="U8">
        <v>-50</v>
      </c>
    </row>
    <row r="9" spans="1:21" x14ac:dyDescent="0.3">
      <c r="A9">
        <v>20411454</v>
      </c>
      <c r="B9" t="s">
        <v>22</v>
      </c>
      <c r="C9">
        <v>21646325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23</v>
      </c>
      <c r="J9" t="s">
        <v>37</v>
      </c>
      <c r="K9" t="s">
        <v>29</v>
      </c>
      <c r="L9" t="s">
        <v>30</v>
      </c>
      <c r="M9" t="s">
        <v>38</v>
      </c>
      <c r="N9" s="3" t="s">
        <v>39</v>
      </c>
      <c r="O9" t="s">
        <v>40</v>
      </c>
      <c r="P9" s="1">
        <v>46023</v>
      </c>
      <c r="Q9" s="2">
        <v>46112</v>
      </c>
      <c r="R9" t="s">
        <v>41</v>
      </c>
      <c r="S9" t="s">
        <v>35</v>
      </c>
      <c r="T9" t="s">
        <v>36</v>
      </c>
      <c r="U9">
        <v>-50</v>
      </c>
    </row>
    <row r="10" spans="1:21" x14ac:dyDescent="0.3">
      <c r="A10">
        <v>20411454</v>
      </c>
      <c r="B10" t="s">
        <v>22</v>
      </c>
      <c r="C10">
        <v>21646325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 t="s">
        <v>23</v>
      </c>
      <c r="J10" t="s">
        <v>37</v>
      </c>
      <c r="K10" t="s">
        <v>29</v>
      </c>
      <c r="L10" t="s">
        <v>30</v>
      </c>
      <c r="M10" t="s">
        <v>38</v>
      </c>
      <c r="N10" s="3" t="s">
        <v>39</v>
      </c>
      <c r="O10" t="s">
        <v>40</v>
      </c>
      <c r="P10" s="1">
        <v>46023</v>
      </c>
      <c r="Q10" s="2">
        <v>46112</v>
      </c>
      <c r="R10" t="s">
        <v>41</v>
      </c>
      <c r="S10" t="s">
        <v>35</v>
      </c>
      <c r="T10" t="s">
        <v>42</v>
      </c>
      <c r="U10">
        <v>-347</v>
      </c>
    </row>
    <row r="11" spans="1:21" x14ac:dyDescent="0.3">
      <c r="A11">
        <v>20411454</v>
      </c>
      <c r="B11" t="s">
        <v>22</v>
      </c>
      <c r="C11">
        <v>8325282</v>
      </c>
      <c r="D11" t="s">
        <v>43</v>
      </c>
      <c r="E11" t="s">
        <v>24</v>
      </c>
      <c r="F11" t="s">
        <v>25</v>
      </c>
      <c r="G11" t="s">
        <v>26</v>
      </c>
      <c r="H11" t="s">
        <v>44</v>
      </c>
      <c r="I11" t="s">
        <v>43</v>
      </c>
      <c r="J11" t="s">
        <v>45</v>
      </c>
      <c r="K11" t="s">
        <v>29</v>
      </c>
      <c r="L11" t="s">
        <v>30</v>
      </c>
      <c r="M11" t="s">
        <v>46</v>
      </c>
      <c r="N11" s="3" t="s">
        <v>47</v>
      </c>
      <c r="O11" t="s">
        <v>48</v>
      </c>
      <c r="P11" s="1">
        <v>46023</v>
      </c>
      <c r="Q11" s="2">
        <v>46112</v>
      </c>
      <c r="R11" t="s">
        <v>49</v>
      </c>
      <c r="S11" t="s">
        <v>35</v>
      </c>
      <c r="T11" t="s">
        <v>36</v>
      </c>
      <c r="U11">
        <v>-40</v>
      </c>
    </row>
    <row r="12" spans="1:21" x14ac:dyDescent="0.3">
      <c r="A12">
        <v>20411454</v>
      </c>
      <c r="B12" t="s">
        <v>22</v>
      </c>
      <c r="C12">
        <v>8325282</v>
      </c>
      <c r="D12" t="s">
        <v>43</v>
      </c>
      <c r="E12" t="s">
        <v>24</v>
      </c>
      <c r="F12" t="s">
        <v>25</v>
      </c>
      <c r="G12" t="s">
        <v>26</v>
      </c>
      <c r="H12" t="s">
        <v>44</v>
      </c>
      <c r="I12" t="s">
        <v>43</v>
      </c>
      <c r="J12" t="s">
        <v>45</v>
      </c>
      <c r="K12" t="s">
        <v>29</v>
      </c>
      <c r="L12" t="s">
        <v>30</v>
      </c>
      <c r="M12" t="s">
        <v>46</v>
      </c>
      <c r="N12" s="3" t="s">
        <v>47</v>
      </c>
      <c r="O12" t="s">
        <v>48</v>
      </c>
      <c r="P12" s="1">
        <v>46023</v>
      </c>
      <c r="Q12" s="2">
        <v>46112</v>
      </c>
      <c r="R12" t="s">
        <v>49</v>
      </c>
      <c r="S12" t="s">
        <v>35</v>
      </c>
      <c r="T12" t="s">
        <v>36</v>
      </c>
      <c r="U12">
        <v>-60</v>
      </c>
    </row>
    <row r="13" spans="1:21" x14ac:dyDescent="0.3">
      <c r="A13">
        <v>20411454</v>
      </c>
      <c r="B13" t="s">
        <v>22</v>
      </c>
      <c r="C13">
        <v>8325282</v>
      </c>
      <c r="D13" t="s">
        <v>43</v>
      </c>
      <c r="E13" t="s">
        <v>24</v>
      </c>
      <c r="F13" t="s">
        <v>25</v>
      </c>
      <c r="G13" t="s">
        <v>26</v>
      </c>
      <c r="H13" t="s">
        <v>44</v>
      </c>
      <c r="I13" t="s">
        <v>43</v>
      </c>
      <c r="J13" t="s">
        <v>45</v>
      </c>
      <c r="K13" t="s">
        <v>29</v>
      </c>
      <c r="L13" t="s">
        <v>30</v>
      </c>
      <c r="M13" t="s">
        <v>46</v>
      </c>
      <c r="N13" s="3" t="s">
        <v>47</v>
      </c>
      <c r="O13" t="s">
        <v>48</v>
      </c>
      <c r="P13" s="1">
        <v>46023</v>
      </c>
      <c r="Q13" s="2">
        <v>46112</v>
      </c>
      <c r="R13" t="s">
        <v>49</v>
      </c>
      <c r="S13" t="s">
        <v>35</v>
      </c>
      <c r="T13" t="s">
        <v>36</v>
      </c>
      <c r="U13">
        <v>-50</v>
      </c>
    </row>
    <row r="14" spans="1:21" x14ac:dyDescent="0.3">
      <c r="A14">
        <v>20411454</v>
      </c>
      <c r="B14" t="s">
        <v>22</v>
      </c>
      <c r="C14">
        <v>8325282</v>
      </c>
      <c r="D14" t="s">
        <v>43</v>
      </c>
      <c r="E14" t="s">
        <v>24</v>
      </c>
      <c r="F14" t="s">
        <v>25</v>
      </c>
      <c r="G14" t="s">
        <v>26</v>
      </c>
      <c r="H14" t="s">
        <v>44</v>
      </c>
      <c r="I14" t="s">
        <v>43</v>
      </c>
      <c r="J14" t="s">
        <v>45</v>
      </c>
      <c r="K14" t="s">
        <v>29</v>
      </c>
      <c r="L14" t="s">
        <v>30</v>
      </c>
      <c r="M14" t="s">
        <v>46</v>
      </c>
      <c r="N14" s="3" t="s">
        <v>47</v>
      </c>
      <c r="O14" t="s">
        <v>48</v>
      </c>
      <c r="P14" s="1">
        <v>46023</v>
      </c>
      <c r="Q14" s="2">
        <v>46112</v>
      </c>
      <c r="R14" t="s">
        <v>49</v>
      </c>
      <c r="S14" t="s">
        <v>35</v>
      </c>
      <c r="T14" t="s">
        <v>36</v>
      </c>
      <c r="U14">
        <v>-50</v>
      </c>
    </row>
    <row r="15" spans="1:21" x14ac:dyDescent="0.3">
      <c r="A15">
        <v>20411454</v>
      </c>
      <c r="B15" t="s">
        <v>22</v>
      </c>
      <c r="C15">
        <v>8325282</v>
      </c>
      <c r="D15" t="s">
        <v>43</v>
      </c>
      <c r="E15" t="s">
        <v>24</v>
      </c>
      <c r="F15" t="s">
        <v>25</v>
      </c>
      <c r="G15" t="s">
        <v>26</v>
      </c>
      <c r="H15" t="s">
        <v>44</v>
      </c>
      <c r="I15" t="s">
        <v>43</v>
      </c>
      <c r="J15" t="s">
        <v>45</v>
      </c>
      <c r="K15" t="s">
        <v>29</v>
      </c>
      <c r="L15" t="s">
        <v>30</v>
      </c>
      <c r="M15" t="s">
        <v>46</v>
      </c>
      <c r="N15" s="3" t="s">
        <v>47</v>
      </c>
      <c r="O15" t="s">
        <v>48</v>
      </c>
      <c r="P15" s="1">
        <v>46023</v>
      </c>
      <c r="Q15" s="2">
        <v>46112</v>
      </c>
      <c r="R15" t="s">
        <v>49</v>
      </c>
      <c r="S15" t="s">
        <v>35</v>
      </c>
      <c r="T15" t="s">
        <v>42</v>
      </c>
      <c r="U15">
        <v>-347</v>
      </c>
    </row>
    <row r="16" spans="1:21" x14ac:dyDescent="0.3">
      <c r="A16">
        <v>20411454</v>
      </c>
      <c r="B16" t="s">
        <v>22</v>
      </c>
      <c r="C16">
        <v>17301495</v>
      </c>
      <c r="D16" t="s">
        <v>50</v>
      </c>
      <c r="E16" t="s">
        <v>24</v>
      </c>
      <c r="F16" t="s">
        <v>25</v>
      </c>
      <c r="G16" t="s">
        <v>26</v>
      </c>
      <c r="H16" t="s">
        <v>51</v>
      </c>
      <c r="I16" t="s">
        <v>50</v>
      </c>
      <c r="J16" t="s">
        <v>52</v>
      </c>
      <c r="K16" t="s">
        <v>29</v>
      </c>
      <c r="L16" t="s">
        <v>30</v>
      </c>
      <c r="M16" t="s">
        <v>53</v>
      </c>
      <c r="N16" s="3" t="s">
        <v>54</v>
      </c>
      <c r="O16" t="s">
        <v>55</v>
      </c>
      <c r="P16" s="1">
        <v>46023</v>
      </c>
      <c r="Q16" s="2">
        <v>46112</v>
      </c>
      <c r="R16" t="s">
        <v>41</v>
      </c>
      <c r="S16" t="s">
        <v>56</v>
      </c>
      <c r="T16" t="s">
        <v>36</v>
      </c>
      <c r="U16">
        <v>-40</v>
      </c>
    </row>
    <row r="17" spans="1:21" x14ac:dyDescent="0.3">
      <c r="A17">
        <v>20411454</v>
      </c>
      <c r="B17" t="s">
        <v>22</v>
      </c>
      <c r="C17">
        <v>17301495</v>
      </c>
      <c r="D17" t="s">
        <v>50</v>
      </c>
      <c r="E17" t="s">
        <v>24</v>
      </c>
      <c r="F17" t="s">
        <v>25</v>
      </c>
      <c r="G17" t="s">
        <v>26</v>
      </c>
      <c r="H17" t="s">
        <v>51</v>
      </c>
      <c r="I17" t="s">
        <v>50</v>
      </c>
      <c r="J17" t="s">
        <v>52</v>
      </c>
      <c r="K17" t="s">
        <v>29</v>
      </c>
      <c r="L17" t="s">
        <v>30</v>
      </c>
      <c r="M17" t="s">
        <v>53</v>
      </c>
      <c r="N17" s="3" t="s">
        <v>54</v>
      </c>
      <c r="O17" t="s">
        <v>55</v>
      </c>
      <c r="P17" s="1">
        <v>46023</v>
      </c>
      <c r="Q17" s="2">
        <v>46112</v>
      </c>
      <c r="R17" t="s">
        <v>41</v>
      </c>
      <c r="S17" t="s">
        <v>56</v>
      </c>
      <c r="T17" t="s">
        <v>36</v>
      </c>
      <c r="U17">
        <v>-60</v>
      </c>
    </row>
    <row r="18" spans="1:21" x14ac:dyDescent="0.3">
      <c r="A18">
        <v>20411454</v>
      </c>
      <c r="B18" t="s">
        <v>22</v>
      </c>
      <c r="C18">
        <v>17301495</v>
      </c>
      <c r="D18" t="s">
        <v>50</v>
      </c>
      <c r="E18" t="s">
        <v>24</v>
      </c>
      <c r="F18" t="s">
        <v>25</v>
      </c>
      <c r="G18" t="s">
        <v>26</v>
      </c>
      <c r="H18" t="s">
        <v>51</v>
      </c>
      <c r="I18" t="s">
        <v>50</v>
      </c>
      <c r="J18" t="s">
        <v>52</v>
      </c>
      <c r="K18" t="s">
        <v>29</v>
      </c>
      <c r="L18" t="s">
        <v>30</v>
      </c>
      <c r="M18" t="s">
        <v>53</v>
      </c>
      <c r="N18" s="3" t="s">
        <v>54</v>
      </c>
      <c r="O18" t="s">
        <v>55</v>
      </c>
      <c r="P18" s="1">
        <v>46023</v>
      </c>
      <c r="Q18" s="2">
        <v>46112</v>
      </c>
      <c r="R18" t="s">
        <v>41</v>
      </c>
      <c r="S18" t="s">
        <v>56</v>
      </c>
      <c r="T18" t="s">
        <v>36</v>
      </c>
      <c r="U18">
        <v>-50</v>
      </c>
    </row>
    <row r="19" spans="1:21" x14ac:dyDescent="0.3">
      <c r="A19">
        <v>20411454</v>
      </c>
      <c r="B19" t="s">
        <v>22</v>
      </c>
      <c r="C19">
        <v>17301495</v>
      </c>
      <c r="D19" t="s">
        <v>50</v>
      </c>
      <c r="E19" t="s">
        <v>24</v>
      </c>
      <c r="F19" t="s">
        <v>25</v>
      </c>
      <c r="G19" t="s">
        <v>26</v>
      </c>
      <c r="H19" t="s">
        <v>51</v>
      </c>
      <c r="I19" t="s">
        <v>50</v>
      </c>
      <c r="J19" t="s">
        <v>52</v>
      </c>
      <c r="K19" t="s">
        <v>29</v>
      </c>
      <c r="L19" t="s">
        <v>30</v>
      </c>
      <c r="M19" t="s">
        <v>53</v>
      </c>
      <c r="N19" s="3" t="s">
        <v>54</v>
      </c>
      <c r="O19" t="s">
        <v>55</v>
      </c>
      <c r="P19" s="1">
        <v>46023</v>
      </c>
      <c r="Q19" s="2">
        <v>46112</v>
      </c>
      <c r="R19" t="s">
        <v>41</v>
      </c>
      <c r="S19" t="s">
        <v>56</v>
      </c>
      <c r="T19" t="s">
        <v>36</v>
      </c>
      <c r="U19">
        <v>-50</v>
      </c>
    </row>
    <row r="20" spans="1:21" x14ac:dyDescent="0.3">
      <c r="A20">
        <v>20411454</v>
      </c>
      <c r="B20" t="s">
        <v>22</v>
      </c>
      <c r="C20">
        <v>17301495</v>
      </c>
      <c r="D20" t="s">
        <v>50</v>
      </c>
      <c r="E20" t="s">
        <v>24</v>
      </c>
      <c r="F20" t="s">
        <v>25</v>
      </c>
      <c r="G20" t="s">
        <v>26</v>
      </c>
      <c r="H20" t="s">
        <v>51</v>
      </c>
      <c r="I20" t="s">
        <v>50</v>
      </c>
      <c r="J20" t="s">
        <v>57</v>
      </c>
      <c r="K20" t="s">
        <v>29</v>
      </c>
      <c r="L20" t="s">
        <v>30</v>
      </c>
      <c r="M20" t="s">
        <v>58</v>
      </c>
      <c r="N20" s="3" t="s">
        <v>59</v>
      </c>
      <c r="O20" t="s">
        <v>60</v>
      </c>
      <c r="P20" s="1">
        <v>46023</v>
      </c>
      <c r="Q20" t="s">
        <v>0</v>
      </c>
      <c r="R20" t="s">
        <v>41</v>
      </c>
      <c r="S20" t="s">
        <v>35</v>
      </c>
      <c r="T20" t="s">
        <v>42</v>
      </c>
      <c r="U20">
        <v>347</v>
      </c>
    </row>
    <row r="21" spans="1:21" x14ac:dyDescent="0.3">
      <c r="A21">
        <v>20411454</v>
      </c>
      <c r="B21" t="s">
        <v>22</v>
      </c>
      <c r="C21">
        <v>9213293</v>
      </c>
      <c r="D21" t="s">
        <v>61</v>
      </c>
      <c r="E21" t="s">
        <v>24</v>
      </c>
      <c r="F21" t="s">
        <v>25</v>
      </c>
      <c r="G21" t="s">
        <v>26</v>
      </c>
      <c r="H21" t="s">
        <v>62</v>
      </c>
      <c r="I21" t="s">
        <v>61</v>
      </c>
      <c r="J21" t="s">
        <v>63</v>
      </c>
      <c r="K21" t="s">
        <v>29</v>
      </c>
      <c r="L21" t="s">
        <v>64</v>
      </c>
      <c r="M21" t="s">
        <v>65</v>
      </c>
      <c r="N21" s="3" t="s">
        <v>66</v>
      </c>
      <c r="O21" t="s">
        <v>67</v>
      </c>
      <c r="P21" s="1">
        <v>46023</v>
      </c>
      <c r="Q21" s="2">
        <v>46112</v>
      </c>
      <c r="R21" t="s">
        <v>68</v>
      </c>
      <c r="S21" t="s">
        <v>35</v>
      </c>
      <c r="T21" t="s">
        <v>36</v>
      </c>
      <c r="U21">
        <v>-40</v>
      </c>
    </row>
    <row r="22" spans="1:21" x14ac:dyDescent="0.3">
      <c r="A22">
        <v>20411454</v>
      </c>
      <c r="B22" t="s">
        <v>22</v>
      </c>
      <c r="C22">
        <v>9213293</v>
      </c>
      <c r="D22" t="s">
        <v>61</v>
      </c>
      <c r="E22" t="s">
        <v>24</v>
      </c>
      <c r="F22" t="s">
        <v>25</v>
      </c>
      <c r="G22" t="s">
        <v>26</v>
      </c>
      <c r="H22" t="s">
        <v>62</v>
      </c>
      <c r="I22" t="s">
        <v>61</v>
      </c>
      <c r="J22" t="s">
        <v>63</v>
      </c>
      <c r="K22" t="s">
        <v>29</v>
      </c>
      <c r="L22" t="s">
        <v>64</v>
      </c>
      <c r="M22" t="s">
        <v>65</v>
      </c>
      <c r="N22" s="3" t="s">
        <v>66</v>
      </c>
      <c r="O22" t="s">
        <v>67</v>
      </c>
      <c r="P22" s="1">
        <v>46023</v>
      </c>
      <c r="Q22" s="2">
        <v>46112</v>
      </c>
      <c r="R22" t="s">
        <v>68</v>
      </c>
      <c r="S22" t="s">
        <v>35</v>
      </c>
      <c r="T22" t="s">
        <v>36</v>
      </c>
      <c r="U22">
        <v>-60</v>
      </c>
    </row>
    <row r="23" spans="1:21" x14ac:dyDescent="0.3">
      <c r="A23">
        <v>20411454</v>
      </c>
      <c r="B23" t="s">
        <v>22</v>
      </c>
      <c r="C23">
        <v>9213293</v>
      </c>
      <c r="D23" t="s">
        <v>61</v>
      </c>
      <c r="E23" t="s">
        <v>24</v>
      </c>
      <c r="F23" t="s">
        <v>25</v>
      </c>
      <c r="G23" t="s">
        <v>26</v>
      </c>
      <c r="H23" t="s">
        <v>62</v>
      </c>
      <c r="I23" t="s">
        <v>61</v>
      </c>
      <c r="J23" t="s">
        <v>63</v>
      </c>
      <c r="K23" t="s">
        <v>29</v>
      </c>
      <c r="L23" t="s">
        <v>64</v>
      </c>
      <c r="M23" t="s">
        <v>65</v>
      </c>
      <c r="N23" s="3" t="s">
        <v>66</v>
      </c>
      <c r="O23" t="s">
        <v>67</v>
      </c>
      <c r="P23" s="1">
        <v>46023</v>
      </c>
      <c r="Q23" s="2">
        <v>46112</v>
      </c>
      <c r="R23" t="s">
        <v>68</v>
      </c>
      <c r="S23" t="s">
        <v>35</v>
      </c>
      <c r="T23" t="s">
        <v>36</v>
      </c>
      <c r="U23">
        <v>-50</v>
      </c>
    </row>
    <row r="24" spans="1:21" x14ac:dyDescent="0.3">
      <c r="A24">
        <v>20411454</v>
      </c>
      <c r="B24" t="s">
        <v>22</v>
      </c>
      <c r="C24">
        <v>9213293</v>
      </c>
      <c r="D24" t="s">
        <v>61</v>
      </c>
      <c r="E24" t="s">
        <v>24</v>
      </c>
      <c r="F24" t="s">
        <v>25</v>
      </c>
      <c r="G24" t="s">
        <v>26</v>
      </c>
      <c r="H24" t="s">
        <v>62</v>
      </c>
      <c r="I24" t="s">
        <v>61</v>
      </c>
      <c r="J24" t="s">
        <v>63</v>
      </c>
      <c r="K24" t="s">
        <v>29</v>
      </c>
      <c r="L24" t="s">
        <v>64</v>
      </c>
      <c r="M24" t="s">
        <v>65</v>
      </c>
      <c r="N24" s="3" t="s">
        <v>66</v>
      </c>
      <c r="O24" t="s">
        <v>67</v>
      </c>
      <c r="P24" s="1">
        <v>46023</v>
      </c>
      <c r="Q24" s="2">
        <v>46112</v>
      </c>
      <c r="R24" t="s">
        <v>68</v>
      </c>
      <c r="S24" t="s">
        <v>35</v>
      </c>
      <c r="T24" t="s">
        <v>36</v>
      </c>
      <c r="U24">
        <v>-50</v>
      </c>
    </row>
    <row r="25" spans="1:21" x14ac:dyDescent="0.3">
      <c r="A25">
        <v>20411454</v>
      </c>
      <c r="B25" t="s">
        <v>22</v>
      </c>
      <c r="C25">
        <v>9213293</v>
      </c>
      <c r="D25" t="s">
        <v>61</v>
      </c>
      <c r="E25" t="s">
        <v>24</v>
      </c>
      <c r="F25" t="s">
        <v>25</v>
      </c>
      <c r="G25" t="s">
        <v>26</v>
      </c>
      <c r="H25" t="s">
        <v>62</v>
      </c>
      <c r="I25" t="s">
        <v>61</v>
      </c>
      <c r="J25" t="s">
        <v>63</v>
      </c>
      <c r="K25" t="s">
        <v>29</v>
      </c>
      <c r="L25" t="s">
        <v>64</v>
      </c>
      <c r="M25" t="s">
        <v>65</v>
      </c>
      <c r="N25" s="3" t="s">
        <v>66</v>
      </c>
      <c r="O25" t="s">
        <v>67</v>
      </c>
      <c r="P25" s="1">
        <v>46023</v>
      </c>
      <c r="Q25" s="2">
        <v>46112</v>
      </c>
      <c r="R25" t="s">
        <v>68</v>
      </c>
      <c r="S25" t="s">
        <v>35</v>
      </c>
      <c r="T25" t="s">
        <v>42</v>
      </c>
      <c r="U25">
        <v>-347</v>
      </c>
    </row>
    <row r="26" spans="1:21" x14ac:dyDescent="0.3">
      <c r="A26">
        <v>20411454</v>
      </c>
      <c r="B26" t="s">
        <v>22</v>
      </c>
      <c r="C26">
        <v>9213293</v>
      </c>
      <c r="D26" t="s">
        <v>61</v>
      </c>
      <c r="E26" t="s">
        <v>24</v>
      </c>
      <c r="F26" t="s">
        <v>25</v>
      </c>
      <c r="G26" t="s">
        <v>26</v>
      </c>
      <c r="H26" t="s">
        <v>62</v>
      </c>
      <c r="I26" t="s">
        <v>61</v>
      </c>
      <c r="J26" t="s">
        <v>69</v>
      </c>
      <c r="K26" t="s">
        <v>29</v>
      </c>
      <c r="L26" t="s">
        <v>30</v>
      </c>
      <c r="M26" t="s">
        <v>70</v>
      </c>
      <c r="N26" s="3" t="s">
        <v>71</v>
      </c>
      <c r="O26" t="s">
        <v>72</v>
      </c>
      <c r="P26" s="2">
        <v>46054</v>
      </c>
      <c r="Q26" s="2">
        <v>46112</v>
      </c>
      <c r="R26" t="s">
        <v>41</v>
      </c>
      <c r="S26" t="s">
        <v>56</v>
      </c>
      <c r="T26" t="s">
        <v>36</v>
      </c>
      <c r="U26">
        <v>-40</v>
      </c>
    </row>
    <row r="27" spans="1:21" x14ac:dyDescent="0.3">
      <c r="A27">
        <v>20411454</v>
      </c>
      <c r="B27" t="s">
        <v>22</v>
      </c>
      <c r="C27">
        <v>9213293</v>
      </c>
      <c r="D27" t="s">
        <v>61</v>
      </c>
      <c r="E27" t="s">
        <v>24</v>
      </c>
      <c r="F27" t="s">
        <v>25</v>
      </c>
      <c r="G27" t="s">
        <v>26</v>
      </c>
      <c r="H27" t="s">
        <v>62</v>
      </c>
      <c r="I27" t="s">
        <v>61</v>
      </c>
      <c r="J27" t="s">
        <v>69</v>
      </c>
      <c r="K27" t="s">
        <v>29</v>
      </c>
      <c r="L27" t="s">
        <v>30</v>
      </c>
      <c r="M27" t="s">
        <v>70</v>
      </c>
      <c r="N27" s="3" t="s">
        <v>71</v>
      </c>
      <c r="O27" t="s">
        <v>72</v>
      </c>
      <c r="P27" s="2">
        <v>46054</v>
      </c>
      <c r="Q27" s="2">
        <v>46112</v>
      </c>
      <c r="R27" t="s">
        <v>41</v>
      </c>
      <c r="S27" t="s">
        <v>56</v>
      </c>
      <c r="T27" t="s">
        <v>36</v>
      </c>
      <c r="U27">
        <v>-60</v>
      </c>
    </row>
    <row r="28" spans="1:21" x14ac:dyDescent="0.3">
      <c r="A28">
        <v>20411454</v>
      </c>
      <c r="B28" t="s">
        <v>22</v>
      </c>
      <c r="C28">
        <v>9213293</v>
      </c>
      <c r="D28" t="s">
        <v>61</v>
      </c>
      <c r="E28" t="s">
        <v>24</v>
      </c>
      <c r="F28" t="s">
        <v>25</v>
      </c>
      <c r="G28" t="s">
        <v>26</v>
      </c>
      <c r="H28" t="s">
        <v>62</v>
      </c>
      <c r="I28" t="s">
        <v>61</v>
      </c>
      <c r="J28" t="s">
        <v>69</v>
      </c>
      <c r="K28" t="s">
        <v>29</v>
      </c>
      <c r="L28" t="s">
        <v>30</v>
      </c>
      <c r="M28" t="s">
        <v>70</v>
      </c>
      <c r="N28" s="3" t="s">
        <v>71</v>
      </c>
      <c r="O28" t="s">
        <v>72</v>
      </c>
      <c r="P28" s="2">
        <v>46054</v>
      </c>
      <c r="Q28" s="2">
        <v>46112</v>
      </c>
      <c r="R28" t="s">
        <v>41</v>
      </c>
      <c r="S28" t="s">
        <v>56</v>
      </c>
      <c r="T28" t="s">
        <v>36</v>
      </c>
      <c r="U28">
        <v>-50</v>
      </c>
    </row>
    <row r="29" spans="1:21" x14ac:dyDescent="0.3">
      <c r="A29">
        <v>20411454</v>
      </c>
      <c r="B29" t="s">
        <v>22</v>
      </c>
      <c r="C29">
        <v>9213293</v>
      </c>
      <c r="D29" t="s">
        <v>61</v>
      </c>
      <c r="E29" t="s">
        <v>24</v>
      </c>
      <c r="F29" t="s">
        <v>25</v>
      </c>
      <c r="G29" t="s">
        <v>26</v>
      </c>
      <c r="H29" t="s">
        <v>62</v>
      </c>
      <c r="I29" t="s">
        <v>61</v>
      </c>
      <c r="J29" t="s">
        <v>69</v>
      </c>
      <c r="K29" t="s">
        <v>29</v>
      </c>
      <c r="L29" t="s">
        <v>30</v>
      </c>
      <c r="M29" t="s">
        <v>70</v>
      </c>
      <c r="N29" s="3" t="s">
        <v>71</v>
      </c>
      <c r="O29" t="s">
        <v>72</v>
      </c>
      <c r="P29" s="2">
        <v>46054</v>
      </c>
      <c r="Q29" s="2">
        <v>46112</v>
      </c>
      <c r="R29" t="s">
        <v>41</v>
      </c>
      <c r="S29" t="s">
        <v>56</v>
      </c>
      <c r="T29" t="s">
        <v>36</v>
      </c>
      <c r="U29">
        <v>-50</v>
      </c>
    </row>
    <row r="30" spans="1:21" x14ac:dyDescent="0.3">
      <c r="A30">
        <v>20411454</v>
      </c>
      <c r="B30" t="s">
        <v>22</v>
      </c>
      <c r="C30">
        <v>9213293</v>
      </c>
      <c r="D30" t="s">
        <v>61</v>
      </c>
      <c r="E30" t="s">
        <v>24</v>
      </c>
      <c r="F30" t="s">
        <v>25</v>
      </c>
      <c r="G30" t="s">
        <v>26</v>
      </c>
      <c r="H30" t="s">
        <v>62</v>
      </c>
      <c r="I30" t="s">
        <v>61</v>
      </c>
      <c r="J30" t="s">
        <v>69</v>
      </c>
      <c r="K30" t="s">
        <v>29</v>
      </c>
      <c r="L30" t="s">
        <v>30</v>
      </c>
      <c r="M30" t="s">
        <v>70</v>
      </c>
      <c r="N30" s="3" t="s">
        <v>71</v>
      </c>
      <c r="O30" t="s">
        <v>72</v>
      </c>
      <c r="P30" s="2">
        <v>46054</v>
      </c>
      <c r="Q30" s="2">
        <v>46112</v>
      </c>
      <c r="R30" t="s">
        <v>41</v>
      </c>
      <c r="S30" t="s">
        <v>56</v>
      </c>
      <c r="T30" t="s">
        <v>42</v>
      </c>
      <c r="U30">
        <v>-318.08</v>
      </c>
    </row>
    <row r="31" spans="1:21" x14ac:dyDescent="0.3">
      <c r="A31">
        <v>20411454</v>
      </c>
      <c r="B31" t="s">
        <v>22</v>
      </c>
      <c r="C31">
        <v>9213293</v>
      </c>
      <c r="D31" t="s">
        <v>61</v>
      </c>
      <c r="E31" t="s">
        <v>24</v>
      </c>
      <c r="F31" t="s">
        <v>25</v>
      </c>
      <c r="G31" t="s">
        <v>26</v>
      </c>
      <c r="H31" t="s">
        <v>62</v>
      </c>
      <c r="I31" t="s">
        <v>61</v>
      </c>
      <c r="J31" t="s">
        <v>73</v>
      </c>
      <c r="K31" t="s">
        <v>29</v>
      </c>
      <c r="L31" t="s">
        <v>30</v>
      </c>
      <c r="M31" t="s">
        <v>74</v>
      </c>
      <c r="N31" s="3" t="s">
        <v>75</v>
      </c>
      <c r="O31" t="s">
        <v>76</v>
      </c>
      <c r="P31" s="2">
        <v>46082</v>
      </c>
      <c r="Q31" t="s">
        <v>0</v>
      </c>
      <c r="R31" t="s">
        <v>41</v>
      </c>
      <c r="S31" t="s">
        <v>35</v>
      </c>
      <c r="T31" t="s">
        <v>42</v>
      </c>
      <c r="U31">
        <v>289.16000000000003</v>
      </c>
    </row>
    <row r="32" spans="1:21" x14ac:dyDescent="0.3">
      <c r="A32">
        <v>20411454</v>
      </c>
      <c r="B32" t="s">
        <v>22</v>
      </c>
      <c r="C32">
        <v>17094718</v>
      </c>
      <c r="D32" t="s">
        <v>77</v>
      </c>
      <c r="E32" t="s">
        <v>24</v>
      </c>
      <c r="F32" t="s">
        <v>25</v>
      </c>
      <c r="G32" t="s">
        <v>26</v>
      </c>
      <c r="H32" t="s">
        <v>78</v>
      </c>
      <c r="I32" t="s">
        <v>77</v>
      </c>
      <c r="J32" t="s">
        <v>79</v>
      </c>
      <c r="K32" t="s">
        <v>29</v>
      </c>
      <c r="L32" t="s">
        <v>80</v>
      </c>
      <c r="M32" t="s">
        <v>81</v>
      </c>
      <c r="N32" s="3" t="s">
        <v>82</v>
      </c>
      <c r="O32" t="s">
        <v>83</v>
      </c>
      <c r="P32" s="2">
        <v>46113</v>
      </c>
      <c r="Q32" t="s">
        <v>0</v>
      </c>
      <c r="R32" t="s">
        <v>34</v>
      </c>
      <c r="S32" t="s">
        <v>35</v>
      </c>
      <c r="T32" t="s">
        <v>36</v>
      </c>
      <c r="U32">
        <v>40</v>
      </c>
    </row>
    <row r="33" spans="1:21" x14ac:dyDescent="0.3">
      <c r="A33">
        <v>20411454</v>
      </c>
      <c r="B33" t="s">
        <v>22</v>
      </c>
      <c r="C33">
        <v>17094718</v>
      </c>
      <c r="D33" t="s">
        <v>77</v>
      </c>
      <c r="E33" t="s">
        <v>24</v>
      </c>
      <c r="F33" t="s">
        <v>25</v>
      </c>
      <c r="G33" t="s">
        <v>26</v>
      </c>
      <c r="H33" t="s">
        <v>78</v>
      </c>
      <c r="I33" t="s">
        <v>77</v>
      </c>
      <c r="J33" t="s">
        <v>79</v>
      </c>
      <c r="K33" t="s">
        <v>29</v>
      </c>
      <c r="L33" t="s">
        <v>80</v>
      </c>
      <c r="M33" t="s">
        <v>81</v>
      </c>
      <c r="N33" s="3" t="s">
        <v>82</v>
      </c>
      <c r="O33" t="s">
        <v>83</v>
      </c>
      <c r="P33" s="2">
        <v>46113</v>
      </c>
      <c r="Q33" t="s">
        <v>0</v>
      </c>
      <c r="R33" t="s">
        <v>34</v>
      </c>
      <c r="S33" t="s">
        <v>35</v>
      </c>
      <c r="T33" t="s">
        <v>36</v>
      </c>
      <c r="U33">
        <v>60</v>
      </c>
    </row>
    <row r="34" spans="1:21" x14ac:dyDescent="0.3">
      <c r="A34">
        <v>20411454</v>
      </c>
      <c r="B34" t="s">
        <v>22</v>
      </c>
      <c r="C34">
        <v>17094718</v>
      </c>
      <c r="D34" t="s">
        <v>77</v>
      </c>
      <c r="E34" t="s">
        <v>24</v>
      </c>
      <c r="F34" t="s">
        <v>25</v>
      </c>
      <c r="G34" t="s">
        <v>26</v>
      </c>
      <c r="H34" t="s">
        <v>78</v>
      </c>
      <c r="I34" t="s">
        <v>77</v>
      </c>
      <c r="J34" t="s">
        <v>79</v>
      </c>
      <c r="K34" t="s">
        <v>29</v>
      </c>
      <c r="L34" t="s">
        <v>80</v>
      </c>
      <c r="M34" t="s">
        <v>81</v>
      </c>
      <c r="N34" s="3" t="s">
        <v>82</v>
      </c>
      <c r="O34" t="s">
        <v>83</v>
      </c>
      <c r="P34" s="2">
        <v>46113</v>
      </c>
      <c r="Q34" t="s">
        <v>0</v>
      </c>
      <c r="R34" t="s">
        <v>34</v>
      </c>
      <c r="S34" t="s">
        <v>35</v>
      </c>
      <c r="T34" t="s">
        <v>36</v>
      </c>
      <c r="U34">
        <v>50</v>
      </c>
    </row>
    <row r="35" spans="1:21" x14ac:dyDescent="0.3">
      <c r="A35">
        <v>20411454</v>
      </c>
      <c r="B35" t="s">
        <v>22</v>
      </c>
      <c r="C35">
        <v>17094718</v>
      </c>
      <c r="D35" t="s">
        <v>77</v>
      </c>
      <c r="E35" t="s">
        <v>24</v>
      </c>
      <c r="F35" t="s">
        <v>25</v>
      </c>
      <c r="G35" t="s">
        <v>26</v>
      </c>
      <c r="H35" t="s">
        <v>78</v>
      </c>
      <c r="I35" t="s">
        <v>77</v>
      </c>
      <c r="J35" t="s">
        <v>79</v>
      </c>
      <c r="K35" t="s">
        <v>29</v>
      </c>
      <c r="L35" t="s">
        <v>80</v>
      </c>
      <c r="M35" t="s">
        <v>81</v>
      </c>
      <c r="N35" s="3" t="s">
        <v>82</v>
      </c>
      <c r="O35" t="s">
        <v>83</v>
      </c>
      <c r="P35" s="2">
        <v>46113</v>
      </c>
      <c r="Q35" t="s">
        <v>0</v>
      </c>
      <c r="R35" t="s">
        <v>34</v>
      </c>
      <c r="S35" t="s">
        <v>35</v>
      </c>
      <c r="T35" t="s">
        <v>36</v>
      </c>
      <c r="U35">
        <v>50</v>
      </c>
    </row>
    <row r="36" spans="1:21" x14ac:dyDescent="0.3">
      <c r="A36">
        <v>20411454</v>
      </c>
      <c r="B36" t="s">
        <v>22</v>
      </c>
      <c r="C36">
        <v>8812322</v>
      </c>
      <c r="D36" t="s">
        <v>84</v>
      </c>
      <c r="E36" t="s">
        <v>24</v>
      </c>
      <c r="F36" t="s">
        <v>25</v>
      </c>
      <c r="G36" t="s">
        <v>26</v>
      </c>
      <c r="H36" t="s">
        <v>85</v>
      </c>
      <c r="I36" t="s">
        <v>84</v>
      </c>
      <c r="J36" t="s">
        <v>57</v>
      </c>
      <c r="K36" t="s">
        <v>29</v>
      </c>
      <c r="L36" t="s">
        <v>64</v>
      </c>
      <c r="M36" t="s">
        <v>86</v>
      </c>
      <c r="N36" s="3" t="s">
        <v>87</v>
      </c>
      <c r="O36" t="s">
        <v>88</v>
      </c>
      <c r="P36" s="1">
        <v>46023</v>
      </c>
      <c r="Q36" s="2">
        <v>46112</v>
      </c>
      <c r="R36" t="s">
        <v>41</v>
      </c>
      <c r="S36" t="s">
        <v>35</v>
      </c>
      <c r="T36" t="s">
        <v>36</v>
      </c>
      <c r="U36">
        <v>-40</v>
      </c>
    </row>
    <row r="37" spans="1:21" x14ac:dyDescent="0.3">
      <c r="A37">
        <v>20411454</v>
      </c>
      <c r="B37" t="s">
        <v>22</v>
      </c>
      <c r="C37">
        <v>8812322</v>
      </c>
      <c r="D37" t="s">
        <v>84</v>
      </c>
      <c r="E37" t="s">
        <v>24</v>
      </c>
      <c r="F37" t="s">
        <v>25</v>
      </c>
      <c r="G37" t="s">
        <v>26</v>
      </c>
      <c r="H37" t="s">
        <v>85</v>
      </c>
      <c r="I37" t="s">
        <v>84</v>
      </c>
      <c r="J37" t="s">
        <v>57</v>
      </c>
      <c r="K37" t="s">
        <v>29</v>
      </c>
      <c r="L37" t="s">
        <v>64</v>
      </c>
      <c r="M37" t="s">
        <v>86</v>
      </c>
      <c r="N37" s="3" t="s">
        <v>87</v>
      </c>
      <c r="O37" t="s">
        <v>88</v>
      </c>
      <c r="P37" s="1">
        <v>46023</v>
      </c>
      <c r="Q37" s="2">
        <v>46112</v>
      </c>
      <c r="R37" t="s">
        <v>41</v>
      </c>
      <c r="S37" t="s">
        <v>35</v>
      </c>
      <c r="T37" t="s">
        <v>36</v>
      </c>
      <c r="U37">
        <v>-60</v>
      </c>
    </row>
    <row r="38" spans="1:21" x14ac:dyDescent="0.3">
      <c r="A38">
        <v>20411454</v>
      </c>
      <c r="B38" t="s">
        <v>22</v>
      </c>
      <c r="C38">
        <v>8812322</v>
      </c>
      <c r="D38" t="s">
        <v>84</v>
      </c>
      <c r="E38" t="s">
        <v>24</v>
      </c>
      <c r="F38" t="s">
        <v>25</v>
      </c>
      <c r="G38" t="s">
        <v>26</v>
      </c>
      <c r="H38" t="s">
        <v>85</v>
      </c>
      <c r="I38" t="s">
        <v>84</v>
      </c>
      <c r="J38" t="s">
        <v>57</v>
      </c>
      <c r="K38" t="s">
        <v>29</v>
      </c>
      <c r="L38" t="s">
        <v>64</v>
      </c>
      <c r="M38" t="s">
        <v>86</v>
      </c>
      <c r="N38" s="3" t="s">
        <v>87</v>
      </c>
      <c r="O38" t="s">
        <v>88</v>
      </c>
      <c r="P38" s="1">
        <v>46023</v>
      </c>
      <c r="Q38" s="2">
        <v>46112</v>
      </c>
      <c r="R38" t="s">
        <v>41</v>
      </c>
      <c r="S38" t="s">
        <v>35</v>
      </c>
      <c r="T38" t="s">
        <v>36</v>
      </c>
      <c r="U38">
        <v>-50</v>
      </c>
    </row>
    <row r="39" spans="1:21" x14ac:dyDescent="0.3">
      <c r="A39">
        <v>20411454</v>
      </c>
      <c r="B39" t="s">
        <v>22</v>
      </c>
      <c r="C39">
        <v>8812322</v>
      </c>
      <c r="D39" t="s">
        <v>84</v>
      </c>
      <c r="E39" t="s">
        <v>24</v>
      </c>
      <c r="F39" t="s">
        <v>25</v>
      </c>
      <c r="G39" t="s">
        <v>26</v>
      </c>
      <c r="H39" t="s">
        <v>85</v>
      </c>
      <c r="I39" t="s">
        <v>84</v>
      </c>
      <c r="J39" t="s">
        <v>57</v>
      </c>
      <c r="K39" t="s">
        <v>29</v>
      </c>
      <c r="L39" t="s">
        <v>64</v>
      </c>
      <c r="M39" t="s">
        <v>86</v>
      </c>
      <c r="N39" s="3" t="s">
        <v>87</v>
      </c>
      <c r="O39" t="s">
        <v>88</v>
      </c>
      <c r="P39" s="1">
        <v>46023</v>
      </c>
      <c r="Q39" s="2">
        <v>46112</v>
      </c>
      <c r="R39" t="s">
        <v>41</v>
      </c>
      <c r="S39" t="s">
        <v>35</v>
      </c>
      <c r="T39" t="s">
        <v>36</v>
      </c>
      <c r="U39">
        <v>-50</v>
      </c>
    </row>
    <row r="40" spans="1:21" x14ac:dyDescent="0.3">
      <c r="A40">
        <v>20411454</v>
      </c>
      <c r="B40" t="s">
        <v>22</v>
      </c>
      <c r="C40">
        <v>8812322</v>
      </c>
      <c r="D40" t="s">
        <v>84</v>
      </c>
      <c r="E40" t="s">
        <v>24</v>
      </c>
      <c r="F40" t="s">
        <v>25</v>
      </c>
      <c r="G40" t="s">
        <v>26</v>
      </c>
      <c r="H40" t="s">
        <v>85</v>
      </c>
      <c r="I40" t="s">
        <v>84</v>
      </c>
      <c r="J40" t="s">
        <v>57</v>
      </c>
      <c r="K40" t="s">
        <v>29</v>
      </c>
      <c r="L40" t="s">
        <v>64</v>
      </c>
      <c r="M40" t="s">
        <v>86</v>
      </c>
      <c r="N40" s="3" t="s">
        <v>87</v>
      </c>
      <c r="O40" t="s">
        <v>88</v>
      </c>
      <c r="P40" s="1">
        <v>46023</v>
      </c>
      <c r="Q40" s="2">
        <v>46112</v>
      </c>
      <c r="R40" t="s">
        <v>41</v>
      </c>
      <c r="S40" t="s">
        <v>35</v>
      </c>
      <c r="T40" t="s">
        <v>42</v>
      </c>
      <c r="U40">
        <v>-347</v>
      </c>
    </row>
    <row r="41" spans="1:21" x14ac:dyDescent="0.3">
      <c r="A41">
        <v>20411454</v>
      </c>
      <c r="B41" t="s">
        <v>22</v>
      </c>
      <c r="C41">
        <v>20220688</v>
      </c>
      <c r="D41" t="s">
        <v>89</v>
      </c>
      <c r="E41" t="s">
        <v>24</v>
      </c>
      <c r="F41" t="s">
        <v>25</v>
      </c>
      <c r="G41" t="s">
        <v>26</v>
      </c>
      <c r="H41" t="s">
        <v>90</v>
      </c>
      <c r="I41" t="s">
        <v>89</v>
      </c>
      <c r="J41" t="s">
        <v>91</v>
      </c>
      <c r="K41" t="s">
        <v>29</v>
      </c>
      <c r="L41" t="s">
        <v>30</v>
      </c>
      <c r="M41" t="s">
        <v>92</v>
      </c>
      <c r="N41" s="3" t="s">
        <v>93</v>
      </c>
      <c r="O41" t="s">
        <v>94</v>
      </c>
      <c r="P41" s="2">
        <v>46113</v>
      </c>
      <c r="Q41" t="s">
        <v>0</v>
      </c>
      <c r="R41" t="s">
        <v>34</v>
      </c>
      <c r="S41" t="s">
        <v>35</v>
      </c>
      <c r="T41" t="s">
        <v>36</v>
      </c>
      <c r="U41">
        <v>40</v>
      </c>
    </row>
    <row r="42" spans="1:21" x14ac:dyDescent="0.3">
      <c r="A42">
        <v>20411454</v>
      </c>
      <c r="B42" t="s">
        <v>22</v>
      </c>
      <c r="C42">
        <v>20220688</v>
      </c>
      <c r="D42" t="s">
        <v>89</v>
      </c>
      <c r="E42" t="s">
        <v>24</v>
      </c>
      <c r="F42" t="s">
        <v>25</v>
      </c>
      <c r="G42" t="s">
        <v>26</v>
      </c>
      <c r="H42" t="s">
        <v>90</v>
      </c>
      <c r="I42" t="s">
        <v>89</v>
      </c>
      <c r="J42" t="s">
        <v>91</v>
      </c>
      <c r="K42" t="s">
        <v>29</v>
      </c>
      <c r="L42" t="s">
        <v>30</v>
      </c>
      <c r="M42" t="s">
        <v>92</v>
      </c>
      <c r="N42" s="3" t="s">
        <v>93</v>
      </c>
      <c r="O42" t="s">
        <v>94</v>
      </c>
      <c r="P42" s="2">
        <v>46113</v>
      </c>
      <c r="Q42" t="s">
        <v>0</v>
      </c>
      <c r="R42" t="s">
        <v>34</v>
      </c>
      <c r="S42" t="s">
        <v>35</v>
      </c>
      <c r="T42" t="s">
        <v>36</v>
      </c>
      <c r="U42">
        <v>60</v>
      </c>
    </row>
    <row r="43" spans="1:21" x14ac:dyDescent="0.3">
      <c r="A43">
        <v>20411454</v>
      </c>
      <c r="B43" t="s">
        <v>22</v>
      </c>
      <c r="C43">
        <v>20220688</v>
      </c>
      <c r="D43" t="s">
        <v>89</v>
      </c>
      <c r="E43" t="s">
        <v>24</v>
      </c>
      <c r="F43" t="s">
        <v>25</v>
      </c>
      <c r="G43" t="s">
        <v>26</v>
      </c>
      <c r="H43" t="s">
        <v>90</v>
      </c>
      <c r="I43" t="s">
        <v>89</v>
      </c>
      <c r="J43" t="s">
        <v>91</v>
      </c>
      <c r="K43" t="s">
        <v>29</v>
      </c>
      <c r="L43" t="s">
        <v>30</v>
      </c>
      <c r="M43" t="s">
        <v>92</v>
      </c>
      <c r="N43" s="3" t="s">
        <v>93</v>
      </c>
      <c r="O43" t="s">
        <v>94</v>
      </c>
      <c r="P43" s="2">
        <v>46113</v>
      </c>
      <c r="Q43" t="s">
        <v>0</v>
      </c>
      <c r="R43" t="s">
        <v>34</v>
      </c>
      <c r="S43" t="s">
        <v>35</v>
      </c>
      <c r="T43" t="s">
        <v>36</v>
      </c>
      <c r="U43">
        <v>50</v>
      </c>
    </row>
    <row r="44" spans="1:21" x14ac:dyDescent="0.3">
      <c r="A44">
        <v>20411454</v>
      </c>
      <c r="B44" t="s">
        <v>22</v>
      </c>
      <c r="C44">
        <v>20220688</v>
      </c>
      <c r="D44" t="s">
        <v>89</v>
      </c>
      <c r="E44" t="s">
        <v>24</v>
      </c>
      <c r="F44" t="s">
        <v>25</v>
      </c>
      <c r="G44" t="s">
        <v>26</v>
      </c>
      <c r="H44" t="s">
        <v>90</v>
      </c>
      <c r="I44" t="s">
        <v>89</v>
      </c>
      <c r="J44" t="s">
        <v>91</v>
      </c>
      <c r="K44" t="s">
        <v>29</v>
      </c>
      <c r="L44" t="s">
        <v>30</v>
      </c>
      <c r="M44" t="s">
        <v>92</v>
      </c>
      <c r="N44" s="3" t="s">
        <v>93</v>
      </c>
      <c r="O44" t="s">
        <v>94</v>
      </c>
      <c r="P44" s="2">
        <v>46113</v>
      </c>
      <c r="Q44" t="s">
        <v>0</v>
      </c>
      <c r="R44" t="s">
        <v>34</v>
      </c>
      <c r="S44" t="s">
        <v>35</v>
      </c>
      <c r="T44" t="s">
        <v>36</v>
      </c>
      <c r="U44">
        <v>50</v>
      </c>
    </row>
    <row r="45" spans="1:21" x14ac:dyDescent="0.3">
      <c r="A45">
        <v>20411454</v>
      </c>
      <c r="B45" t="s">
        <v>22</v>
      </c>
      <c r="C45">
        <v>19615078</v>
      </c>
      <c r="D45" t="s">
        <v>95</v>
      </c>
      <c r="E45" t="s">
        <v>24</v>
      </c>
      <c r="F45" t="s">
        <v>25</v>
      </c>
      <c r="G45" t="s">
        <v>26</v>
      </c>
      <c r="H45" t="s">
        <v>96</v>
      </c>
      <c r="I45" t="s">
        <v>95</v>
      </c>
      <c r="J45" t="s">
        <v>97</v>
      </c>
      <c r="K45" t="s">
        <v>29</v>
      </c>
      <c r="L45" t="s">
        <v>30</v>
      </c>
      <c r="M45" t="s">
        <v>98</v>
      </c>
      <c r="N45" s="3" t="s">
        <v>99</v>
      </c>
      <c r="O45" t="s">
        <v>100</v>
      </c>
      <c r="P45" s="1">
        <v>46023</v>
      </c>
      <c r="Q45" s="2">
        <v>46112</v>
      </c>
      <c r="R45" t="s">
        <v>101</v>
      </c>
      <c r="S45" t="s">
        <v>35</v>
      </c>
      <c r="T45" t="s">
        <v>36</v>
      </c>
      <c r="U45">
        <v>-40</v>
      </c>
    </row>
    <row r="46" spans="1:21" x14ac:dyDescent="0.3">
      <c r="A46">
        <v>20411454</v>
      </c>
      <c r="B46" t="s">
        <v>22</v>
      </c>
      <c r="C46">
        <v>19615078</v>
      </c>
      <c r="D46" t="s">
        <v>95</v>
      </c>
      <c r="E46" t="s">
        <v>24</v>
      </c>
      <c r="F46" t="s">
        <v>25</v>
      </c>
      <c r="G46" t="s">
        <v>26</v>
      </c>
      <c r="H46" t="s">
        <v>96</v>
      </c>
      <c r="I46" t="s">
        <v>95</v>
      </c>
      <c r="J46" t="s">
        <v>97</v>
      </c>
      <c r="K46" t="s">
        <v>29</v>
      </c>
      <c r="L46" t="s">
        <v>30</v>
      </c>
      <c r="M46" t="s">
        <v>98</v>
      </c>
      <c r="N46" s="3" t="s">
        <v>99</v>
      </c>
      <c r="O46" t="s">
        <v>100</v>
      </c>
      <c r="P46" s="1">
        <v>46023</v>
      </c>
      <c r="Q46" s="2">
        <v>46112</v>
      </c>
      <c r="R46" t="s">
        <v>101</v>
      </c>
      <c r="S46" t="s">
        <v>35</v>
      </c>
      <c r="T46" t="s">
        <v>36</v>
      </c>
      <c r="U46">
        <v>-60</v>
      </c>
    </row>
    <row r="47" spans="1:21" x14ac:dyDescent="0.3">
      <c r="A47">
        <v>20411454</v>
      </c>
      <c r="B47" t="s">
        <v>22</v>
      </c>
      <c r="C47">
        <v>19615078</v>
      </c>
      <c r="D47" t="s">
        <v>95</v>
      </c>
      <c r="E47" t="s">
        <v>24</v>
      </c>
      <c r="F47" t="s">
        <v>25</v>
      </c>
      <c r="G47" t="s">
        <v>26</v>
      </c>
      <c r="H47" t="s">
        <v>96</v>
      </c>
      <c r="I47" t="s">
        <v>95</v>
      </c>
      <c r="J47" t="s">
        <v>97</v>
      </c>
      <c r="K47" t="s">
        <v>29</v>
      </c>
      <c r="L47" t="s">
        <v>30</v>
      </c>
      <c r="M47" t="s">
        <v>98</v>
      </c>
      <c r="N47" s="3" t="s">
        <v>99</v>
      </c>
      <c r="O47" t="s">
        <v>100</v>
      </c>
      <c r="P47" s="1">
        <v>46023</v>
      </c>
      <c r="Q47" s="2">
        <v>46112</v>
      </c>
      <c r="R47" t="s">
        <v>101</v>
      </c>
      <c r="S47" t="s">
        <v>35</v>
      </c>
      <c r="T47" t="s">
        <v>36</v>
      </c>
      <c r="U47">
        <v>-50</v>
      </c>
    </row>
    <row r="48" spans="1:21" x14ac:dyDescent="0.3">
      <c r="A48">
        <v>20411454</v>
      </c>
      <c r="B48" t="s">
        <v>22</v>
      </c>
      <c r="C48">
        <v>19615078</v>
      </c>
      <c r="D48" t="s">
        <v>95</v>
      </c>
      <c r="E48" t="s">
        <v>24</v>
      </c>
      <c r="F48" t="s">
        <v>25</v>
      </c>
      <c r="G48" t="s">
        <v>26</v>
      </c>
      <c r="H48" t="s">
        <v>96</v>
      </c>
      <c r="I48" t="s">
        <v>95</v>
      </c>
      <c r="J48" t="s">
        <v>97</v>
      </c>
      <c r="K48" t="s">
        <v>29</v>
      </c>
      <c r="L48" t="s">
        <v>30</v>
      </c>
      <c r="M48" t="s">
        <v>98</v>
      </c>
      <c r="N48" s="3" t="s">
        <v>99</v>
      </c>
      <c r="O48" t="s">
        <v>100</v>
      </c>
      <c r="P48" s="1">
        <v>46023</v>
      </c>
      <c r="Q48" s="2">
        <v>46112</v>
      </c>
      <c r="R48" t="s">
        <v>101</v>
      </c>
      <c r="S48" t="s">
        <v>35</v>
      </c>
      <c r="T48" t="s">
        <v>36</v>
      </c>
      <c r="U48">
        <v>-50</v>
      </c>
    </row>
    <row r="49" spans="1:21" x14ac:dyDescent="0.3">
      <c r="A49">
        <v>20411454</v>
      </c>
      <c r="B49" t="s">
        <v>22</v>
      </c>
      <c r="C49">
        <v>19615078</v>
      </c>
      <c r="D49" t="s">
        <v>95</v>
      </c>
      <c r="E49" t="s">
        <v>24</v>
      </c>
      <c r="F49" t="s">
        <v>25</v>
      </c>
      <c r="G49" t="s">
        <v>26</v>
      </c>
      <c r="H49" t="s">
        <v>96</v>
      </c>
      <c r="I49" t="s">
        <v>95</v>
      </c>
      <c r="J49" t="s">
        <v>97</v>
      </c>
      <c r="K49" t="s">
        <v>29</v>
      </c>
      <c r="L49" t="s">
        <v>30</v>
      </c>
      <c r="M49" t="s">
        <v>98</v>
      </c>
      <c r="N49" s="3" t="s">
        <v>99</v>
      </c>
      <c r="O49" t="s">
        <v>100</v>
      </c>
      <c r="P49" s="1">
        <v>46023</v>
      </c>
      <c r="Q49" s="2">
        <v>46112</v>
      </c>
      <c r="R49" t="s">
        <v>101</v>
      </c>
      <c r="S49" t="s">
        <v>35</v>
      </c>
      <c r="T49" t="s">
        <v>42</v>
      </c>
      <c r="U49">
        <v>-347</v>
      </c>
    </row>
    <row r="50" spans="1:21" x14ac:dyDescent="0.3">
      <c r="A50">
        <v>20411454</v>
      </c>
      <c r="B50" t="s">
        <v>22</v>
      </c>
      <c r="C50">
        <v>19645587</v>
      </c>
      <c r="D50" t="s">
        <v>102</v>
      </c>
      <c r="E50" t="s">
        <v>24</v>
      </c>
      <c r="F50" t="s">
        <v>25</v>
      </c>
      <c r="G50" t="s">
        <v>26</v>
      </c>
      <c r="H50" t="s">
        <v>103</v>
      </c>
      <c r="I50" t="s">
        <v>102</v>
      </c>
      <c r="J50" t="s">
        <v>104</v>
      </c>
      <c r="K50" t="s">
        <v>29</v>
      </c>
      <c r="L50" t="s">
        <v>105</v>
      </c>
      <c r="M50" t="s">
        <v>106</v>
      </c>
      <c r="N50" s="3" t="s">
        <v>107</v>
      </c>
      <c r="O50" t="s">
        <v>108</v>
      </c>
      <c r="P50" s="2">
        <v>46054</v>
      </c>
      <c r="Q50" s="2">
        <v>46112</v>
      </c>
      <c r="R50" t="s">
        <v>41</v>
      </c>
      <c r="S50" t="s">
        <v>56</v>
      </c>
      <c r="T50" t="s">
        <v>36</v>
      </c>
      <c r="U50">
        <v>-40</v>
      </c>
    </row>
    <row r="51" spans="1:21" x14ac:dyDescent="0.3">
      <c r="A51">
        <v>20411454</v>
      </c>
      <c r="B51" t="s">
        <v>22</v>
      </c>
      <c r="C51">
        <v>19645587</v>
      </c>
      <c r="D51" t="s">
        <v>102</v>
      </c>
      <c r="E51" t="s">
        <v>24</v>
      </c>
      <c r="F51" t="s">
        <v>25</v>
      </c>
      <c r="G51" t="s">
        <v>26</v>
      </c>
      <c r="H51" t="s">
        <v>103</v>
      </c>
      <c r="I51" t="s">
        <v>102</v>
      </c>
      <c r="J51" t="s">
        <v>104</v>
      </c>
      <c r="K51" t="s">
        <v>29</v>
      </c>
      <c r="L51" t="s">
        <v>105</v>
      </c>
      <c r="M51" t="s">
        <v>106</v>
      </c>
      <c r="N51" s="3" t="s">
        <v>107</v>
      </c>
      <c r="O51" t="s">
        <v>108</v>
      </c>
      <c r="P51" s="2">
        <v>46054</v>
      </c>
      <c r="Q51" s="2">
        <v>46112</v>
      </c>
      <c r="R51" t="s">
        <v>41</v>
      </c>
      <c r="S51" t="s">
        <v>56</v>
      </c>
      <c r="T51" t="s">
        <v>36</v>
      </c>
      <c r="U51">
        <v>-60</v>
      </c>
    </row>
    <row r="52" spans="1:21" x14ac:dyDescent="0.3">
      <c r="A52">
        <v>20411454</v>
      </c>
      <c r="B52" t="s">
        <v>22</v>
      </c>
      <c r="C52">
        <v>19645587</v>
      </c>
      <c r="D52" t="s">
        <v>102</v>
      </c>
      <c r="E52" t="s">
        <v>24</v>
      </c>
      <c r="F52" t="s">
        <v>25</v>
      </c>
      <c r="G52" t="s">
        <v>26</v>
      </c>
      <c r="H52" t="s">
        <v>103</v>
      </c>
      <c r="I52" t="s">
        <v>102</v>
      </c>
      <c r="J52" t="s">
        <v>104</v>
      </c>
      <c r="K52" t="s">
        <v>29</v>
      </c>
      <c r="L52" t="s">
        <v>105</v>
      </c>
      <c r="M52" t="s">
        <v>106</v>
      </c>
      <c r="N52" s="3" t="s">
        <v>107</v>
      </c>
      <c r="O52" t="s">
        <v>108</v>
      </c>
      <c r="P52" s="2">
        <v>46054</v>
      </c>
      <c r="Q52" s="2">
        <v>46112</v>
      </c>
      <c r="R52" t="s">
        <v>41</v>
      </c>
      <c r="S52" t="s">
        <v>56</v>
      </c>
      <c r="T52" t="s">
        <v>36</v>
      </c>
      <c r="U52">
        <v>-50</v>
      </c>
    </row>
    <row r="53" spans="1:21" x14ac:dyDescent="0.3">
      <c r="A53">
        <v>20411454</v>
      </c>
      <c r="B53" t="s">
        <v>22</v>
      </c>
      <c r="C53">
        <v>19645587</v>
      </c>
      <c r="D53" t="s">
        <v>102</v>
      </c>
      <c r="E53" t="s">
        <v>24</v>
      </c>
      <c r="F53" t="s">
        <v>25</v>
      </c>
      <c r="G53" t="s">
        <v>26</v>
      </c>
      <c r="H53" t="s">
        <v>103</v>
      </c>
      <c r="I53" t="s">
        <v>102</v>
      </c>
      <c r="J53" t="s">
        <v>104</v>
      </c>
      <c r="K53" t="s">
        <v>29</v>
      </c>
      <c r="L53" t="s">
        <v>105</v>
      </c>
      <c r="M53" t="s">
        <v>106</v>
      </c>
      <c r="N53" s="3" t="s">
        <v>107</v>
      </c>
      <c r="O53" t="s">
        <v>108</v>
      </c>
      <c r="P53" s="2">
        <v>46054</v>
      </c>
      <c r="Q53" s="2">
        <v>46112</v>
      </c>
      <c r="R53" t="s">
        <v>41</v>
      </c>
      <c r="S53" t="s">
        <v>56</v>
      </c>
      <c r="T53" t="s">
        <v>36</v>
      </c>
      <c r="U53">
        <v>-50</v>
      </c>
    </row>
    <row r="54" spans="1:21" x14ac:dyDescent="0.3">
      <c r="A54">
        <v>20411454</v>
      </c>
      <c r="B54" t="s">
        <v>22</v>
      </c>
      <c r="C54">
        <v>19645587</v>
      </c>
      <c r="D54" t="s">
        <v>102</v>
      </c>
      <c r="E54" t="s">
        <v>24</v>
      </c>
      <c r="F54" t="s">
        <v>25</v>
      </c>
      <c r="G54" t="s">
        <v>26</v>
      </c>
      <c r="H54" t="s">
        <v>103</v>
      </c>
      <c r="I54" t="s">
        <v>102</v>
      </c>
      <c r="J54" t="s">
        <v>104</v>
      </c>
      <c r="K54" t="s">
        <v>29</v>
      </c>
      <c r="L54" t="s">
        <v>105</v>
      </c>
      <c r="M54" t="s">
        <v>106</v>
      </c>
      <c r="N54" s="3" t="s">
        <v>107</v>
      </c>
      <c r="O54" t="s">
        <v>108</v>
      </c>
      <c r="P54" s="2">
        <v>46054</v>
      </c>
      <c r="Q54" s="2">
        <v>46112</v>
      </c>
      <c r="R54" t="s">
        <v>41</v>
      </c>
      <c r="S54" t="s">
        <v>56</v>
      </c>
      <c r="T54" t="s">
        <v>42</v>
      </c>
      <c r="U54">
        <v>-318.08</v>
      </c>
    </row>
    <row r="55" spans="1:21" x14ac:dyDescent="0.3">
      <c r="A55">
        <v>20411454</v>
      </c>
      <c r="B55" t="s">
        <v>22</v>
      </c>
      <c r="C55">
        <v>19491313</v>
      </c>
      <c r="D55" t="s">
        <v>109</v>
      </c>
      <c r="E55" t="s">
        <v>110</v>
      </c>
      <c r="F55" t="s">
        <v>25</v>
      </c>
      <c r="G55" t="s">
        <v>111</v>
      </c>
      <c r="H55" t="s">
        <v>112</v>
      </c>
      <c r="I55" t="s">
        <v>109</v>
      </c>
      <c r="J55" t="s">
        <v>113</v>
      </c>
      <c r="K55" t="s">
        <v>114</v>
      </c>
      <c r="L55" t="s">
        <v>115</v>
      </c>
      <c r="M55" t="s">
        <v>116</v>
      </c>
      <c r="N55" s="3" t="s">
        <v>117</v>
      </c>
      <c r="O55" t="s">
        <v>118</v>
      </c>
      <c r="P55" s="1">
        <v>46023</v>
      </c>
      <c r="Q55" t="s">
        <v>0</v>
      </c>
      <c r="R55" t="s">
        <v>34</v>
      </c>
      <c r="S55" t="s">
        <v>35</v>
      </c>
      <c r="T55" t="s">
        <v>36</v>
      </c>
      <c r="U55">
        <v>1.67</v>
      </c>
    </row>
    <row r="56" spans="1:21" x14ac:dyDescent="0.3">
      <c r="A56">
        <v>20411454</v>
      </c>
      <c r="B56" t="s">
        <v>22</v>
      </c>
      <c r="C56">
        <v>19491313</v>
      </c>
      <c r="D56" t="s">
        <v>109</v>
      </c>
      <c r="E56" t="s">
        <v>110</v>
      </c>
      <c r="F56" t="s">
        <v>25</v>
      </c>
      <c r="G56" t="s">
        <v>111</v>
      </c>
      <c r="H56" t="s">
        <v>112</v>
      </c>
      <c r="I56" t="s">
        <v>109</v>
      </c>
      <c r="J56" t="s">
        <v>113</v>
      </c>
      <c r="K56" t="s">
        <v>114</v>
      </c>
      <c r="L56" t="s">
        <v>115</v>
      </c>
      <c r="M56" t="s">
        <v>116</v>
      </c>
      <c r="N56" s="3" t="s">
        <v>117</v>
      </c>
      <c r="O56" t="s">
        <v>118</v>
      </c>
      <c r="P56" s="1">
        <v>46023</v>
      </c>
      <c r="Q56" t="s">
        <v>0</v>
      </c>
      <c r="R56" t="s">
        <v>34</v>
      </c>
      <c r="S56" t="s">
        <v>35</v>
      </c>
      <c r="T56" t="s">
        <v>36</v>
      </c>
      <c r="U56">
        <v>4.58</v>
      </c>
    </row>
    <row r="57" spans="1:21" x14ac:dyDescent="0.3">
      <c r="A57">
        <v>20411454</v>
      </c>
      <c r="B57" t="s">
        <v>22</v>
      </c>
      <c r="C57">
        <v>19491313</v>
      </c>
      <c r="D57" t="s">
        <v>109</v>
      </c>
      <c r="E57" t="s">
        <v>110</v>
      </c>
      <c r="F57" t="s">
        <v>25</v>
      </c>
      <c r="G57" t="s">
        <v>111</v>
      </c>
      <c r="H57" t="s">
        <v>112</v>
      </c>
      <c r="I57" t="s">
        <v>109</v>
      </c>
      <c r="J57" t="s">
        <v>113</v>
      </c>
      <c r="K57" t="s">
        <v>114</v>
      </c>
      <c r="L57" t="s">
        <v>115</v>
      </c>
      <c r="M57" t="s">
        <v>116</v>
      </c>
      <c r="N57" s="3" t="s">
        <v>117</v>
      </c>
      <c r="O57" t="s">
        <v>118</v>
      </c>
      <c r="P57" s="1">
        <v>46023</v>
      </c>
      <c r="Q57" t="s">
        <v>0</v>
      </c>
      <c r="R57" t="s">
        <v>34</v>
      </c>
      <c r="S57" t="s">
        <v>35</v>
      </c>
      <c r="T57" t="s">
        <v>36</v>
      </c>
      <c r="U57">
        <v>2.08</v>
      </c>
    </row>
    <row r="58" spans="1:21" x14ac:dyDescent="0.3">
      <c r="A58">
        <v>20411454</v>
      </c>
      <c r="B58" t="s">
        <v>22</v>
      </c>
      <c r="C58">
        <v>19491313</v>
      </c>
      <c r="D58" t="s">
        <v>109</v>
      </c>
      <c r="E58" t="s">
        <v>110</v>
      </c>
      <c r="F58" t="s">
        <v>25</v>
      </c>
      <c r="G58" t="s">
        <v>111</v>
      </c>
      <c r="H58" t="s">
        <v>112</v>
      </c>
      <c r="I58" t="s">
        <v>109</v>
      </c>
      <c r="J58" t="s">
        <v>113</v>
      </c>
      <c r="K58" t="s">
        <v>114</v>
      </c>
      <c r="L58" t="s">
        <v>115</v>
      </c>
      <c r="M58" t="s">
        <v>116</v>
      </c>
      <c r="N58" s="3" t="s">
        <v>117</v>
      </c>
      <c r="O58" t="s">
        <v>118</v>
      </c>
      <c r="P58" s="1">
        <v>46023</v>
      </c>
      <c r="Q58" t="s">
        <v>0</v>
      </c>
      <c r="R58" t="s">
        <v>34</v>
      </c>
      <c r="S58" t="s">
        <v>35</v>
      </c>
      <c r="T58" t="s">
        <v>36</v>
      </c>
      <c r="U58">
        <v>2.08</v>
      </c>
    </row>
    <row r="59" spans="1:21" x14ac:dyDescent="0.3">
      <c r="A59">
        <v>20411454</v>
      </c>
      <c r="B59" t="s">
        <v>22</v>
      </c>
      <c r="C59">
        <v>19491313</v>
      </c>
      <c r="D59" t="s">
        <v>109</v>
      </c>
      <c r="E59" t="s">
        <v>110</v>
      </c>
      <c r="F59" t="s">
        <v>25</v>
      </c>
      <c r="G59" t="s">
        <v>111</v>
      </c>
      <c r="H59" t="s">
        <v>112</v>
      </c>
      <c r="I59" t="s">
        <v>109</v>
      </c>
      <c r="J59" t="s">
        <v>113</v>
      </c>
      <c r="K59" t="s">
        <v>114</v>
      </c>
      <c r="L59" t="s">
        <v>115</v>
      </c>
      <c r="M59" t="s">
        <v>116</v>
      </c>
      <c r="N59" s="3" t="s">
        <v>117</v>
      </c>
      <c r="O59" t="s">
        <v>118</v>
      </c>
      <c r="P59" s="1">
        <v>46023</v>
      </c>
      <c r="Q59" t="s">
        <v>0</v>
      </c>
      <c r="R59" t="s">
        <v>34</v>
      </c>
      <c r="S59" t="s">
        <v>35</v>
      </c>
      <c r="T59" t="s">
        <v>42</v>
      </c>
      <c r="U59">
        <v>28.92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04F6-E3B0-4732-8572-AF2E5E68EBB0}">
  <dimension ref="A1:O23"/>
  <sheetViews>
    <sheetView tabSelected="1" workbookViewId="0">
      <selection activeCell="N2" sqref="N2:N11"/>
    </sheetView>
  </sheetViews>
  <sheetFormatPr defaultRowHeight="14.4" x14ac:dyDescent="0.3"/>
  <cols>
    <col min="1" max="2" width="15" customWidth="1"/>
    <col min="3" max="3" width="13.6640625" bestFit="1" customWidth="1"/>
    <col min="4" max="4" width="7.6640625" bestFit="1" customWidth="1"/>
    <col min="5" max="5" width="10" bestFit="1" customWidth="1"/>
    <col min="6" max="6" width="20.6640625" bestFit="1" customWidth="1"/>
    <col min="7" max="7" width="13" bestFit="1" customWidth="1"/>
    <col min="8" max="8" width="15.33203125" bestFit="1" customWidth="1"/>
    <col min="9" max="9" width="22" bestFit="1" customWidth="1"/>
    <col min="10" max="10" width="13" style="4" bestFit="1" customWidth="1"/>
    <col min="11" max="11" width="10.88671875" bestFit="1" customWidth="1"/>
    <col min="12" max="12" width="12" bestFit="1" customWidth="1"/>
    <col min="13" max="13" width="22.109375" bestFit="1" customWidth="1"/>
    <col min="14" max="14" width="23.44140625" bestFit="1" customWidth="1"/>
  </cols>
  <sheetData>
    <row r="1" spans="1:15" x14ac:dyDescent="0.3">
      <c r="A1" t="s">
        <v>3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13</v>
      </c>
      <c r="I1" s="3" t="s">
        <v>14</v>
      </c>
      <c r="J1" s="4" t="s">
        <v>16</v>
      </c>
      <c r="K1">
        <v>21112</v>
      </c>
      <c r="L1" t="s">
        <v>21</v>
      </c>
    </row>
    <row r="2" spans="1:15" x14ac:dyDescent="0.3">
      <c r="A2">
        <v>21646325</v>
      </c>
      <c r="B2" t="s">
        <v>23</v>
      </c>
      <c r="C2" t="s">
        <v>24</v>
      </c>
      <c r="D2" t="s">
        <v>25</v>
      </c>
      <c r="E2" s="8" t="s">
        <v>126</v>
      </c>
      <c r="F2" t="s">
        <v>23</v>
      </c>
      <c r="G2" t="s">
        <v>38</v>
      </c>
      <c r="H2" t="str">
        <f>_xlfn.CONCAT(G2,2)</f>
        <v>M0005101042</v>
      </c>
      <c r="I2" s="3" t="s">
        <v>39</v>
      </c>
      <c r="J2" s="4">
        <v>46023</v>
      </c>
      <c r="K2" t="s">
        <v>42</v>
      </c>
      <c r="L2">
        <v>-347</v>
      </c>
      <c r="M2" t="s">
        <v>119</v>
      </c>
      <c r="N2" t="s">
        <v>121</v>
      </c>
    </row>
    <row r="3" spans="1:15" x14ac:dyDescent="0.3">
      <c r="A3">
        <v>8325282</v>
      </c>
      <c r="B3" t="s">
        <v>43</v>
      </c>
      <c r="C3" t="s">
        <v>24</v>
      </c>
      <c r="D3" t="s">
        <v>25</v>
      </c>
      <c r="E3" s="8">
        <v>8325282</v>
      </c>
      <c r="F3" t="s">
        <v>43</v>
      </c>
      <c r="G3" t="s">
        <v>46</v>
      </c>
      <c r="H3" t="str">
        <f>_xlfn.CONCAT(G3,2)</f>
        <v>M0005112622</v>
      </c>
      <c r="I3" s="3" t="s">
        <v>47</v>
      </c>
      <c r="J3" s="4">
        <v>46023</v>
      </c>
      <c r="K3" t="s">
        <v>42</v>
      </c>
      <c r="L3">
        <v>-347</v>
      </c>
      <c r="M3" t="s">
        <v>119</v>
      </c>
      <c r="N3" t="s">
        <v>121</v>
      </c>
    </row>
    <row r="4" spans="1:15" x14ac:dyDescent="0.3">
      <c r="A4">
        <v>9213293</v>
      </c>
      <c r="B4" t="s">
        <v>61</v>
      </c>
      <c r="C4" t="s">
        <v>24</v>
      </c>
      <c r="D4" t="s">
        <v>25</v>
      </c>
      <c r="E4" s="8">
        <v>9213293</v>
      </c>
      <c r="F4" t="s">
        <v>61</v>
      </c>
      <c r="G4" t="s">
        <v>65</v>
      </c>
      <c r="H4" t="str">
        <f>_xlfn.CONCAT(G4,2)</f>
        <v>M0005111272</v>
      </c>
      <c r="I4" s="3" t="s">
        <v>66</v>
      </c>
      <c r="J4" s="4">
        <v>46023</v>
      </c>
      <c r="K4" t="s">
        <v>42</v>
      </c>
      <c r="L4">
        <v>-347</v>
      </c>
      <c r="M4" t="s">
        <v>119</v>
      </c>
      <c r="N4" t="s">
        <v>121</v>
      </c>
    </row>
    <row r="5" spans="1:15" x14ac:dyDescent="0.3">
      <c r="A5">
        <v>8812322</v>
      </c>
      <c r="B5" t="s">
        <v>84</v>
      </c>
      <c r="C5" t="s">
        <v>24</v>
      </c>
      <c r="D5" t="s">
        <v>25</v>
      </c>
      <c r="E5" s="8" t="s">
        <v>127</v>
      </c>
      <c r="F5" t="s">
        <v>84</v>
      </c>
      <c r="G5" t="s">
        <v>86</v>
      </c>
      <c r="H5" t="str">
        <f>_xlfn.CONCAT(G5,2)</f>
        <v>M0005157872</v>
      </c>
      <c r="I5" s="3" t="s">
        <v>87</v>
      </c>
      <c r="J5" s="4">
        <v>46023</v>
      </c>
      <c r="K5" t="s">
        <v>42</v>
      </c>
      <c r="L5">
        <v>-347</v>
      </c>
      <c r="M5" t="s">
        <v>119</v>
      </c>
      <c r="N5" t="s">
        <v>121</v>
      </c>
    </row>
    <row r="6" spans="1:15" x14ac:dyDescent="0.3">
      <c r="A6">
        <v>19615078</v>
      </c>
      <c r="B6" t="s">
        <v>95</v>
      </c>
      <c r="C6" t="s">
        <v>24</v>
      </c>
      <c r="D6" t="s">
        <v>25</v>
      </c>
      <c r="E6" s="8">
        <v>19615078</v>
      </c>
      <c r="F6" t="s">
        <v>95</v>
      </c>
      <c r="G6" t="s">
        <v>98</v>
      </c>
      <c r="H6" t="str">
        <f>_xlfn.CONCAT(G6,2)</f>
        <v>M0005084552</v>
      </c>
      <c r="I6" s="3" t="s">
        <v>99</v>
      </c>
      <c r="J6" s="4">
        <v>46023</v>
      </c>
      <c r="K6" t="s">
        <v>42</v>
      </c>
      <c r="L6">
        <v>-347</v>
      </c>
      <c r="M6" t="s">
        <v>119</v>
      </c>
      <c r="N6" t="s">
        <v>121</v>
      </c>
    </row>
    <row r="7" spans="1:15" x14ac:dyDescent="0.3">
      <c r="A7">
        <v>9213293</v>
      </c>
      <c r="B7" t="s">
        <v>61</v>
      </c>
      <c r="C7" t="s">
        <v>24</v>
      </c>
      <c r="D7" t="s">
        <v>25</v>
      </c>
      <c r="E7" s="8">
        <v>9213293</v>
      </c>
      <c r="F7" t="s">
        <v>61</v>
      </c>
      <c r="G7" t="s">
        <v>70</v>
      </c>
      <c r="H7" t="str">
        <f>_xlfn.CONCAT(G7,2)</f>
        <v>M0005154142</v>
      </c>
      <c r="I7" s="3" t="s">
        <v>71</v>
      </c>
      <c r="J7" s="4">
        <v>46054</v>
      </c>
      <c r="K7" t="s">
        <v>42</v>
      </c>
      <c r="L7">
        <v>-318.08</v>
      </c>
      <c r="M7" t="s">
        <v>119</v>
      </c>
      <c r="N7" t="s">
        <v>122</v>
      </c>
      <c r="O7">
        <f>347/12*11</f>
        <v>318.08333333333337</v>
      </c>
    </row>
    <row r="8" spans="1:15" x14ac:dyDescent="0.3">
      <c r="A8">
        <v>19645587</v>
      </c>
      <c r="B8" t="s">
        <v>102</v>
      </c>
      <c r="C8" t="s">
        <v>24</v>
      </c>
      <c r="D8" t="s">
        <v>25</v>
      </c>
      <c r="E8" s="8">
        <v>19645587</v>
      </c>
      <c r="F8" t="s">
        <v>102</v>
      </c>
      <c r="G8" t="s">
        <v>106</v>
      </c>
      <c r="H8" t="str">
        <f>_xlfn.CONCAT(G8,2)</f>
        <v>M0005367272</v>
      </c>
      <c r="I8" s="3" t="s">
        <v>107</v>
      </c>
      <c r="J8" s="4">
        <v>46054</v>
      </c>
      <c r="K8" t="s">
        <v>42</v>
      </c>
      <c r="L8">
        <v>-318.08</v>
      </c>
      <c r="M8" t="s">
        <v>119</v>
      </c>
      <c r="N8" t="s">
        <v>122</v>
      </c>
    </row>
    <row r="9" spans="1:15" x14ac:dyDescent="0.3">
      <c r="A9">
        <v>19491313</v>
      </c>
      <c r="B9" t="s">
        <v>109</v>
      </c>
      <c r="C9" t="s">
        <v>110</v>
      </c>
      <c r="D9" t="s">
        <v>25</v>
      </c>
      <c r="E9" s="8">
        <v>19491313</v>
      </c>
      <c r="F9" t="s">
        <v>109</v>
      </c>
      <c r="G9" t="s">
        <v>116</v>
      </c>
      <c r="H9" t="str">
        <f>_xlfn.CONCAT(G9,2)</f>
        <v>M0005073422</v>
      </c>
      <c r="I9" s="3" t="s">
        <v>117</v>
      </c>
      <c r="J9" s="4">
        <v>46023</v>
      </c>
      <c r="K9" t="s">
        <v>42</v>
      </c>
      <c r="L9">
        <v>28.92</v>
      </c>
      <c r="M9" t="s">
        <v>119</v>
      </c>
      <c r="N9" t="s">
        <v>124</v>
      </c>
    </row>
    <row r="10" spans="1:15" x14ac:dyDescent="0.3">
      <c r="A10">
        <v>9213293</v>
      </c>
      <c r="B10" t="s">
        <v>61</v>
      </c>
      <c r="C10" t="s">
        <v>24</v>
      </c>
      <c r="D10" t="s">
        <v>25</v>
      </c>
      <c r="E10" s="8">
        <v>9213293</v>
      </c>
      <c r="F10" t="s">
        <v>61</v>
      </c>
      <c r="G10" t="s">
        <v>74</v>
      </c>
      <c r="H10" t="str">
        <f>_xlfn.CONCAT(G10,2)</f>
        <v>M0005455802</v>
      </c>
      <c r="I10" s="3" t="s">
        <v>75</v>
      </c>
      <c r="J10" s="4">
        <v>46082</v>
      </c>
      <c r="K10" t="s">
        <v>42</v>
      </c>
      <c r="L10">
        <v>289.16000000000003</v>
      </c>
      <c r="M10" t="s">
        <v>119</v>
      </c>
      <c r="N10" t="s">
        <v>123</v>
      </c>
      <c r="O10">
        <f>347/12*10</f>
        <v>289.16666666666669</v>
      </c>
    </row>
    <row r="11" spans="1:15" x14ac:dyDescent="0.3">
      <c r="A11">
        <v>17301495</v>
      </c>
      <c r="B11" t="s">
        <v>50</v>
      </c>
      <c r="C11" t="s">
        <v>24</v>
      </c>
      <c r="D11" t="s">
        <v>25</v>
      </c>
      <c r="E11" s="8">
        <v>17301495</v>
      </c>
      <c r="F11" t="s">
        <v>50</v>
      </c>
      <c r="G11" t="s">
        <v>58</v>
      </c>
      <c r="H11" t="str">
        <f>_xlfn.CONCAT(G11,2)</f>
        <v>M0005160072</v>
      </c>
      <c r="I11" s="3" t="s">
        <v>59</v>
      </c>
      <c r="J11" s="4">
        <v>46023</v>
      </c>
      <c r="K11" t="s">
        <v>42</v>
      </c>
      <c r="L11">
        <v>347</v>
      </c>
      <c r="M11" t="s">
        <v>119</v>
      </c>
      <c r="N11" t="s">
        <v>121</v>
      </c>
    </row>
    <row r="12" spans="1:15" s="5" customFormat="1" x14ac:dyDescent="0.3">
      <c r="A12" s="5">
        <v>21646325</v>
      </c>
      <c r="B12" s="5" t="s">
        <v>23</v>
      </c>
      <c r="C12" s="5" t="s">
        <v>24</v>
      </c>
      <c r="D12" s="5" t="s">
        <v>25</v>
      </c>
      <c r="E12" s="5">
        <v>20411454</v>
      </c>
      <c r="F12" s="5" t="s">
        <v>125</v>
      </c>
      <c r="G12" s="5" t="s">
        <v>31</v>
      </c>
      <c r="H12" s="5" t="str">
        <f>_xlfn.CONCAT(G12,"OVR")</f>
        <v>M000520107OVR</v>
      </c>
      <c r="I12" s="6" t="s">
        <v>32</v>
      </c>
      <c r="J12" s="7">
        <v>46023</v>
      </c>
      <c r="K12" s="5" t="s">
        <v>36</v>
      </c>
      <c r="L12" s="5">
        <v>-200</v>
      </c>
      <c r="M12" s="5" t="s">
        <v>120</v>
      </c>
    </row>
    <row r="13" spans="1:15" s="5" customFormat="1" x14ac:dyDescent="0.3">
      <c r="A13" s="5">
        <v>21646325</v>
      </c>
      <c r="B13" s="5" t="s">
        <v>23</v>
      </c>
      <c r="C13" s="5" t="s">
        <v>24</v>
      </c>
      <c r="D13" s="5" t="s">
        <v>25</v>
      </c>
      <c r="E13" s="5">
        <v>20411454</v>
      </c>
      <c r="F13" s="5" t="s">
        <v>125</v>
      </c>
      <c r="G13" s="5" t="s">
        <v>38</v>
      </c>
      <c r="H13" s="5" t="str">
        <f>_xlfn.CONCAT(G13,"OVR")</f>
        <v>M000510104OVR</v>
      </c>
      <c r="I13" s="6" t="s">
        <v>39</v>
      </c>
      <c r="J13" s="7">
        <v>46023</v>
      </c>
      <c r="K13" s="5" t="s">
        <v>36</v>
      </c>
      <c r="L13" s="5">
        <v>-200</v>
      </c>
      <c r="M13" s="5" t="s">
        <v>120</v>
      </c>
    </row>
    <row r="14" spans="1:15" s="5" customFormat="1" x14ac:dyDescent="0.3">
      <c r="A14" s="5">
        <v>8325282</v>
      </c>
      <c r="B14" s="5" t="s">
        <v>43</v>
      </c>
      <c r="C14" s="5" t="s">
        <v>24</v>
      </c>
      <c r="D14" s="5" t="s">
        <v>25</v>
      </c>
      <c r="E14" s="5">
        <v>20411454</v>
      </c>
      <c r="F14" s="5" t="s">
        <v>125</v>
      </c>
      <c r="G14" s="5" t="s">
        <v>46</v>
      </c>
      <c r="H14" s="5" t="str">
        <f>_xlfn.CONCAT(G14,"OVR")</f>
        <v>M000511262OVR</v>
      </c>
      <c r="I14" s="6" t="s">
        <v>47</v>
      </c>
      <c r="J14" s="7">
        <v>46023</v>
      </c>
      <c r="K14" s="5" t="s">
        <v>36</v>
      </c>
      <c r="L14" s="5">
        <v>-200</v>
      </c>
      <c r="M14" s="5" t="s">
        <v>120</v>
      </c>
    </row>
    <row r="15" spans="1:15" s="5" customFormat="1" x14ac:dyDescent="0.3">
      <c r="A15" s="5">
        <v>17301495</v>
      </c>
      <c r="B15" s="5" t="s">
        <v>50</v>
      </c>
      <c r="C15" s="5" t="s">
        <v>24</v>
      </c>
      <c r="D15" s="5" t="s">
        <v>25</v>
      </c>
      <c r="E15" s="5">
        <v>20411454</v>
      </c>
      <c r="F15" s="5" t="s">
        <v>125</v>
      </c>
      <c r="G15" s="5" t="s">
        <v>53</v>
      </c>
      <c r="H15" s="5" t="str">
        <f>_xlfn.CONCAT(G15,"OVR")</f>
        <v>M000533835OVR</v>
      </c>
      <c r="I15" s="6" t="s">
        <v>54</v>
      </c>
      <c r="J15" s="7">
        <v>46023</v>
      </c>
      <c r="K15" s="5" t="s">
        <v>36</v>
      </c>
      <c r="L15" s="5">
        <v>-200</v>
      </c>
      <c r="M15" s="5" t="s">
        <v>120</v>
      </c>
    </row>
    <row r="16" spans="1:15" s="5" customFormat="1" x14ac:dyDescent="0.3">
      <c r="A16" s="5">
        <v>9213293</v>
      </c>
      <c r="B16" s="5" t="s">
        <v>61</v>
      </c>
      <c r="C16" s="5" t="s">
        <v>24</v>
      </c>
      <c r="D16" s="5" t="s">
        <v>25</v>
      </c>
      <c r="E16" s="5">
        <v>20411454</v>
      </c>
      <c r="F16" s="5" t="s">
        <v>125</v>
      </c>
      <c r="G16" s="5" t="s">
        <v>65</v>
      </c>
      <c r="H16" s="5" t="str">
        <f>_xlfn.CONCAT(G16,"OVR")</f>
        <v>M000511127OVR</v>
      </c>
      <c r="I16" s="6" t="s">
        <v>66</v>
      </c>
      <c r="J16" s="7">
        <v>46023</v>
      </c>
      <c r="K16" s="5" t="s">
        <v>36</v>
      </c>
      <c r="L16" s="5">
        <v>-200</v>
      </c>
      <c r="M16" s="5" t="s">
        <v>120</v>
      </c>
    </row>
    <row r="17" spans="1:13" s="5" customFormat="1" x14ac:dyDescent="0.3">
      <c r="A17" s="5">
        <v>9213293</v>
      </c>
      <c r="B17" s="5" t="s">
        <v>61</v>
      </c>
      <c r="C17" s="5" t="s">
        <v>24</v>
      </c>
      <c r="D17" s="5" t="s">
        <v>25</v>
      </c>
      <c r="E17" s="5">
        <v>20411454</v>
      </c>
      <c r="F17" s="5" t="s">
        <v>125</v>
      </c>
      <c r="G17" s="5" t="s">
        <v>70</v>
      </c>
      <c r="H17" s="5" t="str">
        <f>_xlfn.CONCAT(G17,"OVR")</f>
        <v>M000515414OVR</v>
      </c>
      <c r="I17" s="6" t="s">
        <v>71</v>
      </c>
      <c r="J17" s="7">
        <v>46054</v>
      </c>
      <c r="K17" s="5" t="s">
        <v>36</v>
      </c>
      <c r="L17" s="5">
        <v>-200</v>
      </c>
      <c r="M17" s="5" t="s">
        <v>120</v>
      </c>
    </row>
    <row r="18" spans="1:13" s="5" customFormat="1" x14ac:dyDescent="0.3">
      <c r="A18" s="5">
        <v>17094718</v>
      </c>
      <c r="B18" s="5" t="s">
        <v>77</v>
      </c>
      <c r="C18" s="5" t="s">
        <v>24</v>
      </c>
      <c r="D18" s="5" t="s">
        <v>25</v>
      </c>
      <c r="E18" s="5">
        <v>20411454</v>
      </c>
      <c r="F18" s="5" t="s">
        <v>125</v>
      </c>
      <c r="G18" s="5" t="s">
        <v>81</v>
      </c>
      <c r="H18" s="5" t="str">
        <f>_xlfn.CONCAT(G18,"OVR")</f>
        <v>M000548745OVR</v>
      </c>
      <c r="I18" s="6" t="s">
        <v>82</v>
      </c>
      <c r="J18" s="7">
        <v>46113</v>
      </c>
      <c r="K18" s="5" t="s">
        <v>36</v>
      </c>
      <c r="L18" s="5">
        <v>200</v>
      </c>
      <c r="M18" s="5" t="s">
        <v>120</v>
      </c>
    </row>
    <row r="19" spans="1:13" s="5" customFormat="1" x14ac:dyDescent="0.3">
      <c r="A19" s="5">
        <v>8812322</v>
      </c>
      <c r="B19" s="5" t="s">
        <v>84</v>
      </c>
      <c r="C19" s="5" t="s">
        <v>24</v>
      </c>
      <c r="D19" s="5" t="s">
        <v>25</v>
      </c>
      <c r="E19" s="5">
        <v>20411454</v>
      </c>
      <c r="F19" s="5" t="s">
        <v>125</v>
      </c>
      <c r="G19" s="5" t="s">
        <v>86</v>
      </c>
      <c r="H19" s="5" t="str">
        <f>_xlfn.CONCAT(G19,"OVR")</f>
        <v>M000515787OVR</v>
      </c>
      <c r="I19" s="6" t="s">
        <v>87</v>
      </c>
      <c r="J19" s="7">
        <v>46023</v>
      </c>
      <c r="K19" s="5" t="s">
        <v>36</v>
      </c>
      <c r="L19" s="5">
        <v>-200</v>
      </c>
      <c r="M19" s="5" t="s">
        <v>120</v>
      </c>
    </row>
    <row r="20" spans="1:13" s="5" customFormat="1" x14ac:dyDescent="0.3">
      <c r="A20" s="5">
        <v>20220688</v>
      </c>
      <c r="B20" s="5" t="s">
        <v>89</v>
      </c>
      <c r="C20" s="5" t="s">
        <v>24</v>
      </c>
      <c r="D20" s="5" t="s">
        <v>25</v>
      </c>
      <c r="E20" s="5">
        <v>20411454</v>
      </c>
      <c r="F20" s="5" t="s">
        <v>125</v>
      </c>
      <c r="G20" s="5" t="s">
        <v>92</v>
      </c>
      <c r="H20" s="5" t="str">
        <f>_xlfn.CONCAT(G20,"OVR")</f>
        <v>M000549266OVR</v>
      </c>
      <c r="I20" s="6" t="s">
        <v>93</v>
      </c>
      <c r="J20" s="7">
        <v>46113</v>
      </c>
      <c r="K20" s="5" t="s">
        <v>36</v>
      </c>
      <c r="L20" s="5">
        <v>200</v>
      </c>
      <c r="M20" s="5" t="s">
        <v>120</v>
      </c>
    </row>
    <row r="21" spans="1:13" s="5" customFormat="1" x14ac:dyDescent="0.3">
      <c r="A21" s="5">
        <v>19615078</v>
      </c>
      <c r="B21" s="5" t="s">
        <v>95</v>
      </c>
      <c r="C21" s="5" t="s">
        <v>24</v>
      </c>
      <c r="D21" s="5" t="s">
        <v>25</v>
      </c>
      <c r="E21" s="5">
        <v>20411454</v>
      </c>
      <c r="F21" s="5" t="s">
        <v>125</v>
      </c>
      <c r="G21" s="5" t="s">
        <v>98</v>
      </c>
      <c r="H21" s="5" t="str">
        <f>_xlfn.CONCAT(G21,"OVR")</f>
        <v>M000508455OVR</v>
      </c>
      <c r="I21" s="6" t="s">
        <v>99</v>
      </c>
      <c r="J21" s="7">
        <v>46023</v>
      </c>
      <c r="K21" s="5" t="s">
        <v>36</v>
      </c>
      <c r="L21" s="5">
        <v>-200</v>
      </c>
      <c r="M21" s="5" t="s">
        <v>120</v>
      </c>
    </row>
    <row r="22" spans="1:13" s="5" customFormat="1" x14ac:dyDescent="0.3">
      <c r="A22" s="5">
        <v>19645587</v>
      </c>
      <c r="B22" s="5" t="s">
        <v>102</v>
      </c>
      <c r="C22" s="5" t="s">
        <v>24</v>
      </c>
      <c r="D22" s="5" t="s">
        <v>25</v>
      </c>
      <c r="E22" s="5">
        <v>20411454</v>
      </c>
      <c r="F22" s="5" t="s">
        <v>125</v>
      </c>
      <c r="G22" s="5" t="s">
        <v>106</v>
      </c>
      <c r="H22" s="5" t="str">
        <f>_xlfn.CONCAT(G22,"OVR")</f>
        <v>M000536727OVR</v>
      </c>
      <c r="I22" s="6" t="s">
        <v>107</v>
      </c>
      <c r="J22" s="7">
        <v>46054</v>
      </c>
      <c r="K22" s="5" t="s">
        <v>36</v>
      </c>
      <c r="L22" s="5">
        <v>-200</v>
      </c>
      <c r="M22" s="5" t="s">
        <v>120</v>
      </c>
    </row>
    <row r="23" spans="1:13" s="5" customFormat="1" x14ac:dyDescent="0.3">
      <c r="A23" s="5">
        <v>19491313</v>
      </c>
      <c r="B23" s="5" t="s">
        <v>109</v>
      </c>
      <c r="C23" s="5" t="s">
        <v>110</v>
      </c>
      <c r="D23" s="5" t="s">
        <v>25</v>
      </c>
      <c r="E23" s="5">
        <v>20411454</v>
      </c>
      <c r="F23" s="5" t="s">
        <v>125</v>
      </c>
      <c r="G23" s="5" t="s">
        <v>116</v>
      </c>
      <c r="H23" s="5" t="str">
        <f>_xlfn.CONCAT(G23,"OVR")</f>
        <v>M000507342OVR</v>
      </c>
      <c r="I23" s="6" t="s">
        <v>117</v>
      </c>
      <c r="J23" s="7">
        <v>46023</v>
      </c>
      <c r="K23" s="5" t="s">
        <v>36</v>
      </c>
      <c r="L23" s="5">
        <v>10.41</v>
      </c>
      <c r="M23" s="5" t="s">
        <v>120</v>
      </c>
    </row>
  </sheetData>
  <sortState xmlns:xlrd2="http://schemas.microsoft.com/office/spreadsheetml/2017/richdata2" ref="A2:V11">
    <sortCondition ref="L2:L1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</cp:lastModifiedBy>
  <dcterms:created xsi:type="dcterms:W3CDTF">2026-04-04T09:25:30Z</dcterms:created>
  <dcterms:modified xsi:type="dcterms:W3CDTF">2026-04-07T14:49:31Z</dcterms:modified>
</cp:coreProperties>
</file>