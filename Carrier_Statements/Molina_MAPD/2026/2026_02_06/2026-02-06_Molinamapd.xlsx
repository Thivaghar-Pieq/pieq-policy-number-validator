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 MAPD\2026\2-6-26\"/>
    </mc:Choice>
  </mc:AlternateContent>
  <xr:revisionPtr revIDLastSave="0" documentId="13_ncr:1_{50BD966B-1208-4D36-8889-B2F2B1DFA75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etail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<sst xmlns="http://schemas.openxmlformats.org/spreadsheetml/2006/main" count="531" uniqueCount="132">
  <si>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</si>
  <si>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</si>
  <si>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</si>
  <si>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</si>
  <si>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</si>
  <si>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</si>
  <si>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</si>
  <si>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</si>
  <si>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</si>
  <si>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</si>
  <si>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</si>
  <si>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</si>
  <si>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</si>
  <si>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</si>
  <si>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</si>
  <si>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</si>
  <si>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</si>
  <si>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</si>
  <si>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</si>
  <si>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</si>
  <si>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</si>
  <si>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</si>
  <si>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</si>
  <si>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Antonia Nevarez</t>
  </si>
  <si>
    <t>Initial</t>
  </si>
  <si>
    <t>202602</t>
  </si>
  <si>
    <t>Molina Medicare Complete Care Plus (HMO D-SNP)</t>
  </si>
  <si>
    <t>21646325</t>
  </si>
  <si>
    <t>11/18/25</t>
  </si>
  <si>
    <t>H3093</t>
  </si>
  <si>
    <t>005</t>
  </si>
  <si>
    <t>M000520111</t>
  </si>
  <si>
    <t>ZONIAISABEL OLIVAPINEDA</t>
  </si>
  <si>
    <t>1G21KG1JV27</t>
  </si>
  <si>
    <t>2</t>
  </si>
  <si>
    <t>Yes</t>
  </si>
  <si>
    <t>Chad Yale</t>
  </si>
  <si>
    <t>Molina Dual MI Coordinated Health (HMO D-SNP)</t>
  </si>
  <si>
    <t>20003537</t>
  </si>
  <si>
    <t>01/14/26</t>
  </si>
  <si>
    <t>H5926</t>
  </si>
  <si>
    <t>009</t>
  </si>
  <si>
    <t>M000536840</t>
  </si>
  <si>
    <t>CHARITA PRUDE</t>
  </si>
  <si>
    <t>2RV5XV6VT79</t>
  </si>
  <si>
    <t>4</t>
  </si>
  <si>
    <t>Gary Portugal</t>
  </si>
  <si>
    <t>9213293</t>
  </si>
  <si>
    <t>11/28/25</t>
  </si>
  <si>
    <t>001</t>
  </si>
  <si>
    <t>M000524347</t>
  </si>
  <si>
    <t>DARRIN MARANDA</t>
  </si>
  <si>
    <t>3MQ6PM7WD73</t>
  </si>
  <si>
    <t>11/05/25</t>
  </si>
  <si>
    <t>004</t>
  </si>
  <si>
    <t>M000515414</t>
  </si>
  <si>
    <t>MANUEL VALDEZSR</t>
  </si>
  <si>
    <t>7K01W31RA19</t>
  </si>
  <si>
    <t>Gregory Hansford</t>
  </si>
  <si>
    <t>17094718</t>
  </si>
  <si>
    <t>12/19/25</t>
  </si>
  <si>
    <t>M000532282</t>
  </si>
  <si>
    <t>DOROTHY RUCKERREEVE</t>
  </si>
  <si>
    <t>1GY2M45FV24</t>
  </si>
  <si>
    <t>Jeanet Reyes</t>
  </si>
  <si>
    <t>16997303</t>
  </si>
  <si>
    <t>12/05/25</t>
  </si>
  <si>
    <t>M000527915</t>
  </si>
  <si>
    <t>ANTONIA ZAMBRANO</t>
  </si>
  <si>
    <t>7TM5PC5WR61</t>
  </si>
  <si>
    <t>12/17/25</t>
  </si>
  <si>
    <t>M000531802</t>
  </si>
  <si>
    <t>EUSTORJIO CHAIDES</t>
  </si>
  <si>
    <t>2V55TC6WA64</t>
  </si>
  <si>
    <t>Jeffrey Horn</t>
  </si>
  <si>
    <t>2158366</t>
  </si>
  <si>
    <t>01/08/26</t>
  </si>
  <si>
    <t>M000535454</t>
  </si>
  <si>
    <t>IRENE PICKRON</t>
  </si>
  <si>
    <t>5J71DT4YJ33</t>
  </si>
  <si>
    <t>Pamela Deaton</t>
  </si>
  <si>
    <t>8244481</t>
  </si>
  <si>
    <t>10/16/25</t>
  </si>
  <si>
    <t>002</t>
  </si>
  <si>
    <t>M000509209</t>
  </si>
  <si>
    <t>JOANN PRESLEY</t>
  </si>
  <si>
    <t>7JD4CR7NF04</t>
  </si>
  <si>
    <t>Saadia Abdul</t>
  </si>
  <si>
    <t>19396223</t>
  </si>
  <si>
    <t>M000520042</t>
  </si>
  <si>
    <t>MOHAMMED SIDDIQUI</t>
  </si>
  <si>
    <t>2KH6M48FT89</t>
  </si>
  <si>
    <t>Stacey Portugal</t>
  </si>
  <si>
    <t>19645587</t>
  </si>
  <si>
    <t>003</t>
  </si>
  <si>
    <t>M000536727</t>
  </si>
  <si>
    <t>SHARON FURLOW</t>
  </si>
  <si>
    <t>6A83H32RY96</t>
  </si>
  <si>
    <t>Steven Brandt</t>
  </si>
  <si>
    <t>Molina Complete Care for MyCare Ohio (HMO D-SNP)</t>
  </si>
  <si>
    <t>19491313</t>
  </si>
  <si>
    <t>11/14/25</t>
  </si>
  <si>
    <t>H9955</t>
  </si>
  <si>
    <t>008</t>
  </si>
  <si>
    <t>M000519307</t>
  </si>
  <si>
    <t>AVERY SIGNOR</t>
  </si>
  <si>
    <t>9K52EK2RF98</t>
  </si>
  <si>
    <t>1</t>
  </si>
  <si>
    <t>No</t>
  </si>
  <si>
    <t>Renewal</t>
  </si>
  <si>
    <t>10/10/25</t>
  </si>
  <si>
    <t>M000507342</t>
  </si>
  <si>
    <t>JASON CECUTTI</t>
  </si>
  <si>
    <t>8H71XC5KV11</t>
  </si>
  <si>
    <t>Victor Fuentes</t>
  </si>
  <si>
    <t>21283956</t>
  </si>
  <si>
    <t>11/29/25</t>
  </si>
  <si>
    <t>M000524397</t>
  </si>
  <si>
    <t>GILBERTA GOMEZ</t>
  </si>
  <si>
    <t>4JX6U61EA76</t>
  </si>
  <si>
    <t>12/01/25</t>
  </si>
  <si>
    <t>M000525419</t>
  </si>
  <si>
    <t>LINDA JOHNSON</t>
  </si>
  <si>
    <t>5GV2E34UA05</t>
  </si>
  <si>
    <t>Molina MAPD 2026*</t>
  </si>
  <si>
    <t>Molina MAPD OVR</t>
  </si>
  <si>
    <t>[%/$=347][prorate=12/12]</t>
  </si>
  <si>
    <t>[%/$=347][prorate=1/12]</t>
  </si>
  <si>
    <t>[%/$=347][prorate=11/12]</t>
  </si>
  <si>
    <t>Molina 2026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</si>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</sst>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opLeftCell="D1" workbookViewId="0">
      <selection activeCell="D1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49" bestFit="1" customWidth="1"/>
    <col min="8" max="8" width="10" bestFit="1" customWidth="1"/>
    <col min="9" max="9" width="17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25.5703125" bestFit="1" customWidth="1"/>
    <col min="15" max="15" width="16.28515625" bestFit="1" customWidth="1"/>
    <col min="16" max="16" width="13" bestFit="1" customWidth="1"/>
    <col min="17" max="17" width="12.140625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5">
      <c r="A2">
        <v>20411454</v>
      </c>
      <c r="B2" t="s">
        <v>22</v>
      </c>
      <c r="C2">
        <v>21646325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3" t="s">
        <v>32</v>
      </c>
      <c r="O2" t="s">
        <v>33</v>
      </c>
      <c r="P2" s="1">
        <v>46023</v>
      </c>
      <c r="Q2" s="2">
        <v>46053</v>
      </c>
      <c r="R2" t="s">
        <v>34</v>
      </c>
      <c r="S2" t="s">
        <v>35</v>
      </c>
      <c r="T2" t="s">
        <v>0</v>
      </c>
      <c r="U2">
        <v>-200</v>
      </c>
    </row>
    <row r="3" spans="1:21" x14ac:dyDescent="0.25">
      <c r="A3">
        <v>20411454</v>
      </c>
      <c r="B3" t="s">
        <v>22</v>
      </c>
      <c r="C3">
        <v>20003537</v>
      </c>
      <c r="D3" t="s">
        <v>36</v>
      </c>
      <c r="E3" t="s">
        <v>24</v>
      </c>
      <c r="F3" t="s">
        <v>25</v>
      </c>
      <c r="G3" t="s">
        <v>37</v>
      </c>
      <c r="H3" t="s">
        <v>38</v>
      </c>
      <c r="I3" t="s">
        <v>36</v>
      </c>
      <c r="J3" t="s">
        <v>39</v>
      </c>
      <c r="K3" t="s">
        <v>40</v>
      </c>
      <c r="L3" t="s">
        <v>41</v>
      </c>
      <c r="M3" t="s">
        <v>42</v>
      </c>
      <c r="N3" s="3" t="s">
        <v>43</v>
      </c>
      <c r="O3" t="s">
        <v>44</v>
      </c>
      <c r="P3" s="2">
        <v>46054</v>
      </c>
      <c r="Q3" t="s">
        <v>0</v>
      </c>
      <c r="R3" t="s">
        <v>45</v>
      </c>
      <c r="S3" t="s">
        <v>35</v>
      </c>
      <c r="T3" t="s">
        <v>0</v>
      </c>
      <c r="U3">
        <v>200</v>
      </c>
    </row>
    <row r="4" spans="1:21" x14ac:dyDescent="0.25">
      <c r="A4">
        <v>20411454</v>
      </c>
      <c r="B4" t="s">
        <v>22</v>
      </c>
      <c r="C4">
        <v>9213293</v>
      </c>
      <c r="D4" t="s">
        <v>46</v>
      </c>
      <c r="E4" t="s">
        <v>24</v>
      </c>
      <c r="F4" t="s">
        <v>25</v>
      </c>
      <c r="G4" t="s">
        <v>26</v>
      </c>
      <c r="H4" t="s">
        <v>47</v>
      </c>
      <c r="I4" t="s">
        <v>46</v>
      </c>
      <c r="J4" t="s">
        <v>48</v>
      </c>
      <c r="K4" t="s">
        <v>29</v>
      </c>
      <c r="L4" t="s">
        <v>49</v>
      </c>
      <c r="M4" t="s">
        <v>50</v>
      </c>
      <c r="N4" s="3" t="s">
        <v>51</v>
      </c>
      <c r="O4" t="s">
        <v>52</v>
      </c>
      <c r="P4" s="1">
        <v>46023</v>
      </c>
      <c r="Q4" s="2">
        <v>46053</v>
      </c>
      <c r="R4" t="s">
        <v>34</v>
      </c>
      <c r="S4" t="s">
        <v>35</v>
      </c>
      <c r="T4" t="s">
        <v>0</v>
      </c>
      <c r="U4">
        <v>-200</v>
      </c>
    </row>
    <row r="5" spans="1:21" x14ac:dyDescent="0.25">
      <c r="A5">
        <v>20411454</v>
      </c>
      <c r="B5" t="s">
        <v>22</v>
      </c>
      <c r="C5">
        <v>9213293</v>
      </c>
      <c r="D5" t="s">
        <v>46</v>
      </c>
      <c r="E5" t="s">
        <v>24</v>
      </c>
      <c r="F5" t="s">
        <v>25</v>
      </c>
      <c r="G5" t="s">
        <v>26</v>
      </c>
      <c r="H5" t="s">
        <v>47</v>
      </c>
      <c r="I5" t="s">
        <v>46</v>
      </c>
      <c r="J5" t="s">
        <v>48</v>
      </c>
      <c r="K5" t="s">
        <v>29</v>
      </c>
      <c r="L5" t="s">
        <v>49</v>
      </c>
      <c r="M5" t="s">
        <v>50</v>
      </c>
      <c r="N5" s="3" t="s">
        <v>51</v>
      </c>
      <c r="O5" t="s">
        <v>52</v>
      </c>
      <c r="P5" s="1">
        <v>46023</v>
      </c>
      <c r="Q5" s="2">
        <v>46053</v>
      </c>
      <c r="R5" t="s">
        <v>34</v>
      </c>
      <c r="S5" t="s">
        <v>35</v>
      </c>
      <c r="T5" t="s">
        <v>0</v>
      </c>
      <c r="U5">
        <v>-347</v>
      </c>
    </row>
    <row r="6" spans="1:21" x14ac:dyDescent="0.25">
      <c r="A6">
        <v>20411454</v>
      </c>
      <c r="B6" t="s">
        <v>22</v>
      </c>
      <c r="C6">
        <v>9213293</v>
      </c>
      <c r="D6" t="s">
        <v>46</v>
      </c>
      <c r="E6" t="s">
        <v>24</v>
      </c>
      <c r="F6" t="s">
        <v>25</v>
      </c>
      <c r="G6" t="s">
        <v>26</v>
      </c>
      <c r="H6" t="s">
        <v>47</v>
      </c>
      <c r="I6" t="s">
        <v>46</v>
      </c>
      <c r="J6" t="s">
        <v>53</v>
      </c>
      <c r="K6" t="s">
        <v>29</v>
      </c>
      <c r="L6" t="s">
        <v>54</v>
      </c>
      <c r="M6" t="s">
        <v>55</v>
      </c>
      <c r="N6" s="3" t="s">
        <v>56</v>
      </c>
      <c r="O6" t="s">
        <v>57</v>
      </c>
      <c r="P6" s="2">
        <v>46054</v>
      </c>
      <c r="Q6" t="s">
        <v>0</v>
      </c>
      <c r="R6" t="s">
        <v>34</v>
      </c>
      <c r="S6" t="s">
        <v>35</v>
      </c>
      <c r="T6" t="s">
        <v>0</v>
      </c>
      <c r="U6">
        <v>200</v>
      </c>
    </row>
    <row r="7" spans="1:21" x14ac:dyDescent="0.25">
      <c r="A7">
        <v>20411454</v>
      </c>
      <c r="B7" t="s">
        <v>22</v>
      </c>
      <c r="C7">
        <v>9213293</v>
      </c>
      <c r="D7" t="s">
        <v>46</v>
      </c>
      <c r="E7" t="s">
        <v>24</v>
      </c>
      <c r="F7" t="s">
        <v>25</v>
      </c>
      <c r="G7" t="s">
        <v>26</v>
      </c>
      <c r="H7" t="s">
        <v>47</v>
      </c>
      <c r="I7" t="s">
        <v>46</v>
      </c>
      <c r="J7" t="s">
        <v>53</v>
      </c>
      <c r="K7" t="s">
        <v>29</v>
      </c>
      <c r="L7" t="s">
        <v>54</v>
      </c>
      <c r="M7" t="s">
        <v>55</v>
      </c>
      <c r="N7" s="3" t="s">
        <v>56</v>
      </c>
      <c r="O7" t="s">
        <v>57</v>
      </c>
      <c r="P7" s="2">
        <v>46054</v>
      </c>
      <c r="Q7" t="s">
        <v>0</v>
      </c>
      <c r="R7" t="s">
        <v>34</v>
      </c>
      <c r="S7" t="s">
        <v>35</v>
      </c>
      <c r="T7" t="s">
        <v>0</v>
      </c>
      <c r="U7">
        <v>318.08</v>
      </c>
    </row>
    <row r="8" spans="1:21" x14ac:dyDescent="0.25">
      <c r="A8">
        <v>20411454</v>
      </c>
      <c r="B8" t="s">
        <v>22</v>
      </c>
      <c r="C8">
        <v>17094718</v>
      </c>
      <c r="D8" t="s">
        <v>58</v>
      </c>
      <c r="E8" t="s">
        <v>24</v>
      </c>
      <c r="F8" t="s">
        <v>25</v>
      </c>
      <c r="G8" t="s">
        <v>26</v>
      </c>
      <c r="H8" t="s">
        <v>59</v>
      </c>
      <c r="I8" t="s">
        <v>58</v>
      </c>
      <c r="J8" t="s">
        <v>60</v>
      </c>
      <c r="K8" t="s">
        <v>29</v>
      </c>
      <c r="L8" t="s">
        <v>54</v>
      </c>
      <c r="M8" t="s">
        <v>61</v>
      </c>
      <c r="N8" s="3" t="s">
        <v>62</v>
      </c>
      <c r="O8" t="s">
        <v>63</v>
      </c>
      <c r="P8" s="1">
        <v>46023</v>
      </c>
      <c r="Q8" s="2">
        <v>46053</v>
      </c>
      <c r="R8" t="s">
        <v>34</v>
      </c>
      <c r="S8" t="s">
        <v>35</v>
      </c>
      <c r="T8" t="s">
        <v>0</v>
      </c>
      <c r="U8">
        <v>-200</v>
      </c>
    </row>
    <row r="9" spans="1:21" x14ac:dyDescent="0.25">
      <c r="A9">
        <v>20411454</v>
      </c>
      <c r="B9" t="s">
        <v>22</v>
      </c>
      <c r="C9">
        <v>16997303</v>
      </c>
      <c r="D9" t="s">
        <v>64</v>
      </c>
      <c r="E9" t="s">
        <v>24</v>
      </c>
      <c r="F9" t="s">
        <v>25</v>
      </c>
      <c r="G9" t="s">
        <v>26</v>
      </c>
      <c r="H9" t="s">
        <v>65</v>
      </c>
      <c r="I9" t="s">
        <v>64</v>
      </c>
      <c r="J9" t="s">
        <v>66</v>
      </c>
      <c r="K9" t="s">
        <v>29</v>
      </c>
      <c r="L9" t="s">
        <v>54</v>
      </c>
      <c r="M9" t="s">
        <v>67</v>
      </c>
      <c r="N9" s="3" t="s">
        <v>68</v>
      </c>
      <c r="O9" t="s">
        <v>69</v>
      </c>
      <c r="P9" s="1">
        <v>46023</v>
      </c>
      <c r="Q9" s="2">
        <v>46053</v>
      </c>
      <c r="R9" t="s">
        <v>34</v>
      </c>
      <c r="S9" t="s">
        <v>35</v>
      </c>
      <c r="T9" t="s">
        <v>0</v>
      </c>
      <c r="U9">
        <v>-200</v>
      </c>
    </row>
    <row r="10" spans="1:21" x14ac:dyDescent="0.25">
      <c r="A10">
        <v>20411454</v>
      </c>
      <c r="B10" t="s">
        <v>22</v>
      </c>
      <c r="C10">
        <v>16997303</v>
      </c>
      <c r="D10" t="s">
        <v>64</v>
      </c>
      <c r="E10" t="s">
        <v>24</v>
      </c>
      <c r="F10" t="s">
        <v>25</v>
      </c>
      <c r="G10" t="s">
        <v>26</v>
      </c>
      <c r="H10" t="s">
        <v>65</v>
      </c>
      <c r="I10" t="s">
        <v>64</v>
      </c>
      <c r="J10" t="s">
        <v>70</v>
      </c>
      <c r="K10" t="s">
        <v>29</v>
      </c>
      <c r="L10" t="s">
        <v>54</v>
      </c>
      <c r="M10" t="s">
        <v>71</v>
      </c>
      <c r="N10" s="3" t="s">
        <v>72</v>
      </c>
      <c r="O10" t="s">
        <v>73</v>
      </c>
      <c r="P10" s="1">
        <v>46023</v>
      </c>
      <c r="Q10" s="2">
        <v>46053</v>
      </c>
      <c r="R10" t="s">
        <v>34</v>
      </c>
      <c r="S10" t="s">
        <v>35</v>
      </c>
      <c r="T10" t="s">
        <v>0</v>
      </c>
      <c r="U10">
        <v>-200</v>
      </c>
    </row>
    <row r="11" spans="1:21" x14ac:dyDescent="0.25">
      <c r="A11">
        <v>20411454</v>
      </c>
      <c r="B11" t="s">
        <v>22</v>
      </c>
      <c r="C11">
        <v>2158366</v>
      </c>
      <c r="D11" t="s">
        <v>74</v>
      </c>
      <c r="E11" t="s">
        <v>24</v>
      </c>
      <c r="F11" t="s">
        <v>25</v>
      </c>
      <c r="G11" t="s">
        <v>26</v>
      </c>
      <c r="H11" t="s">
        <v>75</v>
      </c>
      <c r="I11" t="s">
        <v>74</v>
      </c>
      <c r="J11" t="s">
        <v>76</v>
      </c>
      <c r="K11" t="s">
        <v>29</v>
      </c>
      <c r="L11" t="s">
        <v>49</v>
      </c>
      <c r="M11" t="s">
        <v>77</v>
      </c>
      <c r="N11" s="3" t="s">
        <v>78</v>
      </c>
      <c r="O11" t="s">
        <v>79</v>
      </c>
      <c r="P11" s="2">
        <v>46054</v>
      </c>
      <c r="Q11" t="s">
        <v>0</v>
      </c>
      <c r="R11" t="s">
        <v>34</v>
      </c>
      <c r="S11" t="s">
        <v>35</v>
      </c>
      <c r="T11" t="s">
        <v>0</v>
      </c>
      <c r="U11">
        <v>200</v>
      </c>
    </row>
    <row r="12" spans="1:21" x14ac:dyDescent="0.25">
      <c r="A12">
        <v>20411454</v>
      </c>
      <c r="B12" t="s">
        <v>22</v>
      </c>
      <c r="C12">
        <v>8244481</v>
      </c>
      <c r="D12" t="s">
        <v>80</v>
      </c>
      <c r="E12" t="s">
        <v>24</v>
      </c>
      <c r="F12" t="s">
        <v>25</v>
      </c>
      <c r="G12" t="s">
        <v>26</v>
      </c>
      <c r="H12" t="s">
        <v>81</v>
      </c>
      <c r="I12" t="s">
        <v>80</v>
      </c>
      <c r="J12" t="s">
        <v>82</v>
      </c>
      <c r="K12" t="s">
        <v>29</v>
      </c>
      <c r="L12" t="s">
        <v>83</v>
      </c>
      <c r="M12" t="s">
        <v>84</v>
      </c>
      <c r="N12" s="3" t="s">
        <v>85</v>
      </c>
      <c r="O12" t="s">
        <v>86</v>
      </c>
      <c r="P12" s="1">
        <v>46023</v>
      </c>
      <c r="Q12" s="2">
        <v>46053</v>
      </c>
      <c r="R12" t="s">
        <v>34</v>
      </c>
      <c r="S12" t="s">
        <v>35</v>
      </c>
      <c r="T12" t="s">
        <v>0</v>
      </c>
      <c r="U12">
        <v>-200</v>
      </c>
    </row>
    <row r="13" spans="1:21" x14ac:dyDescent="0.25">
      <c r="A13">
        <v>20411454</v>
      </c>
      <c r="B13" t="s">
        <v>22</v>
      </c>
      <c r="C13">
        <v>8244481</v>
      </c>
      <c r="D13" t="s">
        <v>80</v>
      </c>
      <c r="E13" t="s">
        <v>24</v>
      </c>
      <c r="F13" t="s">
        <v>25</v>
      </c>
      <c r="G13" t="s">
        <v>26</v>
      </c>
      <c r="H13" t="s">
        <v>81</v>
      </c>
      <c r="I13" t="s">
        <v>80</v>
      </c>
      <c r="J13" t="s">
        <v>82</v>
      </c>
      <c r="K13" t="s">
        <v>29</v>
      </c>
      <c r="L13" t="s">
        <v>83</v>
      </c>
      <c r="M13" t="s">
        <v>84</v>
      </c>
      <c r="N13" s="3" t="s">
        <v>85</v>
      </c>
      <c r="O13" t="s">
        <v>86</v>
      </c>
      <c r="P13" s="1">
        <v>46023</v>
      </c>
      <c r="Q13" s="2">
        <v>46053</v>
      </c>
      <c r="R13" t="s">
        <v>34</v>
      </c>
      <c r="S13" t="s">
        <v>35</v>
      </c>
      <c r="T13" t="s">
        <v>0</v>
      </c>
      <c r="U13">
        <v>-347</v>
      </c>
    </row>
    <row r="14" spans="1:21" x14ac:dyDescent="0.25">
      <c r="A14">
        <v>20411454</v>
      </c>
      <c r="B14" t="s">
        <v>22</v>
      </c>
      <c r="C14">
        <v>19396223</v>
      </c>
      <c r="D14" t="s">
        <v>87</v>
      </c>
      <c r="E14" t="s">
        <v>24</v>
      </c>
      <c r="F14" t="s">
        <v>25</v>
      </c>
      <c r="G14" t="s">
        <v>26</v>
      </c>
      <c r="H14" t="s">
        <v>88</v>
      </c>
      <c r="I14" t="s">
        <v>87</v>
      </c>
      <c r="J14" t="s">
        <v>28</v>
      </c>
      <c r="K14" t="s">
        <v>29</v>
      </c>
      <c r="L14" t="s">
        <v>30</v>
      </c>
      <c r="M14" t="s">
        <v>89</v>
      </c>
      <c r="N14" s="3" t="s">
        <v>90</v>
      </c>
      <c r="O14" t="s">
        <v>91</v>
      </c>
      <c r="P14" s="1">
        <v>46023</v>
      </c>
      <c r="Q14" s="2">
        <v>46053</v>
      </c>
      <c r="R14" t="s">
        <v>34</v>
      </c>
      <c r="S14" t="s">
        <v>35</v>
      </c>
      <c r="T14" t="s">
        <v>0</v>
      </c>
      <c r="U14">
        <v>-200</v>
      </c>
    </row>
    <row r="15" spans="1:21" x14ac:dyDescent="0.25">
      <c r="A15">
        <v>20411454</v>
      </c>
      <c r="B15" t="s">
        <v>22</v>
      </c>
      <c r="C15">
        <v>19396223</v>
      </c>
      <c r="D15" t="s">
        <v>87</v>
      </c>
      <c r="E15" t="s">
        <v>24</v>
      </c>
      <c r="F15" t="s">
        <v>25</v>
      </c>
      <c r="G15" t="s">
        <v>26</v>
      </c>
      <c r="H15" t="s">
        <v>88</v>
      </c>
      <c r="I15" t="s">
        <v>87</v>
      </c>
      <c r="J15" t="s">
        <v>28</v>
      </c>
      <c r="K15" t="s">
        <v>29</v>
      </c>
      <c r="L15" t="s">
        <v>30</v>
      </c>
      <c r="M15" t="s">
        <v>89</v>
      </c>
      <c r="N15" s="3" t="s">
        <v>90</v>
      </c>
      <c r="O15" t="s">
        <v>91</v>
      </c>
      <c r="P15" s="1">
        <v>46023</v>
      </c>
      <c r="Q15" s="2">
        <v>46053</v>
      </c>
      <c r="R15" t="s">
        <v>34</v>
      </c>
      <c r="S15" t="s">
        <v>35</v>
      </c>
      <c r="T15" t="s">
        <v>0</v>
      </c>
      <c r="U15">
        <v>-347</v>
      </c>
    </row>
    <row r="16" spans="1:21" x14ac:dyDescent="0.25">
      <c r="A16">
        <v>20411454</v>
      </c>
      <c r="B16" t="s">
        <v>22</v>
      </c>
      <c r="C16">
        <v>19645587</v>
      </c>
      <c r="D16" t="s">
        <v>92</v>
      </c>
      <c r="E16" t="s">
        <v>24</v>
      </c>
      <c r="F16" t="s">
        <v>25</v>
      </c>
      <c r="G16" t="s">
        <v>26</v>
      </c>
      <c r="H16" t="s">
        <v>93</v>
      </c>
      <c r="I16" t="s">
        <v>92</v>
      </c>
      <c r="J16" t="s">
        <v>39</v>
      </c>
      <c r="K16" t="s">
        <v>29</v>
      </c>
      <c r="L16" t="s">
        <v>94</v>
      </c>
      <c r="M16" t="s">
        <v>95</v>
      </c>
      <c r="N16" s="3" t="s">
        <v>96</v>
      </c>
      <c r="O16" t="s">
        <v>97</v>
      </c>
      <c r="P16" s="2">
        <v>46054</v>
      </c>
      <c r="Q16" t="s">
        <v>0</v>
      </c>
      <c r="R16" t="s">
        <v>34</v>
      </c>
      <c r="S16" t="s">
        <v>35</v>
      </c>
      <c r="T16" t="s">
        <v>0</v>
      </c>
      <c r="U16">
        <v>200</v>
      </c>
    </row>
    <row r="17" spans="1:21" x14ac:dyDescent="0.25">
      <c r="A17">
        <v>20411454</v>
      </c>
      <c r="B17" t="s">
        <v>22</v>
      </c>
      <c r="C17">
        <v>19645587</v>
      </c>
      <c r="D17" t="s">
        <v>92</v>
      </c>
      <c r="E17" t="s">
        <v>24</v>
      </c>
      <c r="F17" t="s">
        <v>25</v>
      </c>
      <c r="G17" t="s">
        <v>26</v>
      </c>
      <c r="H17" t="s">
        <v>93</v>
      </c>
      <c r="I17" t="s">
        <v>92</v>
      </c>
      <c r="J17" t="s">
        <v>39</v>
      </c>
      <c r="K17" t="s">
        <v>29</v>
      </c>
      <c r="L17" t="s">
        <v>94</v>
      </c>
      <c r="M17" t="s">
        <v>95</v>
      </c>
      <c r="N17" s="3" t="s">
        <v>96</v>
      </c>
      <c r="O17" t="s">
        <v>97</v>
      </c>
      <c r="P17" s="2">
        <v>46054</v>
      </c>
      <c r="Q17" t="s">
        <v>0</v>
      </c>
      <c r="R17" t="s">
        <v>34</v>
      </c>
      <c r="S17" t="s">
        <v>35</v>
      </c>
      <c r="T17" t="s">
        <v>0</v>
      </c>
      <c r="U17">
        <v>318.08</v>
      </c>
    </row>
    <row r="18" spans="1:21" x14ac:dyDescent="0.25">
      <c r="A18">
        <v>20411454</v>
      </c>
      <c r="B18" t="s">
        <v>22</v>
      </c>
      <c r="C18">
        <v>19491313</v>
      </c>
      <c r="D18" t="s">
        <v>98</v>
      </c>
      <c r="E18" t="s">
        <v>24</v>
      </c>
      <c r="F18" t="s">
        <v>25</v>
      </c>
      <c r="G18" t="s">
        <v>99</v>
      </c>
      <c r="H18" t="s">
        <v>100</v>
      </c>
      <c r="I18" t="s">
        <v>98</v>
      </c>
      <c r="J18" t="s">
        <v>101</v>
      </c>
      <c r="K18" t="s">
        <v>102</v>
      </c>
      <c r="L18" t="s">
        <v>103</v>
      </c>
      <c r="M18" t="s">
        <v>104</v>
      </c>
      <c r="N18" s="3" t="s">
        <v>105</v>
      </c>
      <c r="O18" t="s">
        <v>106</v>
      </c>
      <c r="P18" s="2">
        <v>46054</v>
      </c>
      <c r="Q18" t="s">
        <v>0</v>
      </c>
      <c r="R18" t="s">
        <v>107</v>
      </c>
      <c r="S18" t="s">
        <v>108</v>
      </c>
      <c r="T18" t="s">
        <v>0</v>
      </c>
      <c r="U18">
        <v>200</v>
      </c>
    </row>
    <row r="19" spans="1:21" x14ac:dyDescent="0.25">
      <c r="A19">
        <v>20411454</v>
      </c>
      <c r="B19" t="s">
        <v>22</v>
      </c>
      <c r="C19">
        <v>19491313</v>
      </c>
      <c r="D19" t="s">
        <v>98</v>
      </c>
      <c r="E19" t="s">
        <v>24</v>
      </c>
      <c r="F19" t="s">
        <v>25</v>
      </c>
      <c r="G19" t="s">
        <v>99</v>
      </c>
      <c r="H19" t="s">
        <v>100</v>
      </c>
      <c r="I19" t="s">
        <v>98</v>
      </c>
      <c r="J19" t="s">
        <v>101</v>
      </c>
      <c r="K19" t="s">
        <v>102</v>
      </c>
      <c r="L19" t="s">
        <v>103</v>
      </c>
      <c r="M19" t="s">
        <v>104</v>
      </c>
      <c r="N19" s="3" t="s">
        <v>105</v>
      </c>
      <c r="O19" t="s">
        <v>106</v>
      </c>
      <c r="P19" s="2">
        <v>46054</v>
      </c>
      <c r="Q19" t="s">
        <v>0</v>
      </c>
      <c r="R19" t="s">
        <v>107</v>
      </c>
      <c r="S19" t="s">
        <v>108</v>
      </c>
      <c r="T19" t="s">
        <v>0</v>
      </c>
      <c r="U19">
        <v>694</v>
      </c>
    </row>
    <row r="20" spans="1:21" x14ac:dyDescent="0.25">
      <c r="A20">
        <v>20411454</v>
      </c>
      <c r="B20" t="s">
        <v>22</v>
      </c>
      <c r="C20">
        <v>19491313</v>
      </c>
      <c r="D20" t="s">
        <v>98</v>
      </c>
      <c r="E20" t="s">
        <v>109</v>
      </c>
      <c r="F20" t="s">
        <v>25</v>
      </c>
      <c r="G20" t="s">
        <v>99</v>
      </c>
      <c r="H20" t="s">
        <v>100</v>
      </c>
      <c r="I20" t="s">
        <v>98</v>
      </c>
      <c r="J20" t="s">
        <v>110</v>
      </c>
      <c r="K20" t="s">
        <v>102</v>
      </c>
      <c r="L20" t="s">
        <v>103</v>
      </c>
      <c r="M20" t="s">
        <v>111</v>
      </c>
      <c r="N20" s="3" t="s">
        <v>112</v>
      </c>
      <c r="O20" t="s">
        <v>113</v>
      </c>
      <c r="P20" s="1">
        <v>46023</v>
      </c>
      <c r="Q20" t="s">
        <v>0</v>
      </c>
      <c r="R20" t="s">
        <v>34</v>
      </c>
      <c r="S20" t="s">
        <v>35</v>
      </c>
      <c r="T20" t="s">
        <v>0</v>
      </c>
      <c r="U20">
        <v>10.41</v>
      </c>
    </row>
    <row r="21" spans="1:21" x14ac:dyDescent="0.25">
      <c r="A21">
        <v>20411454</v>
      </c>
      <c r="B21" t="s">
        <v>22</v>
      </c>
      <c r="C21">
        <v>19491313</v>
      </c>
      <c r="D21" t="s">
        <v>98</v>
      </c>
      <c r="E21" t="s">
        <v>109</v>
      </c>
      <c r="F21" t="s">
        <v>25</v>
      </c>
      <c r="G21" t="s">
        <v>99</v>
      </c>
      <c r="H21" t="s">
        <v>100</v>
      </c>
      <c r="I21" t="s">
        <v>98</v>
      </c>
      <c r="J21" t="s">
        <v>110</v>
      </c>
      <c r="K21" t="s">
        <v>102</v>
      </c>
      <c r="L21" t="s">
        <v>103</v>
      </c>
      <c r="M21" t="s">
        <v>111</v>
      </c>
      <c r="N21" s="3" t="s">
        <v>112</v>
      </c>
      <c r="O21" t="s">
        <v>113</v>
      </c>
      <c r="P21" s="1">
        <v>46023</v>
      </c>
      <c r="Q21" t="s">
        <v>0</v>
      </c>
      <c r="R21" t="s">
        <v>34</v>
      </c>
      <c r="S21" t="s">
        <v>35</v>
      </c>
      <c r="T21" t="s">
        <v>0</v>
      </c>
      <c r="U21">
        <v>28.92</v>
      </c>
    </row>
    <row r="22" spans="1:21" x14ac:dyDescent="0.25">
      <c r="A22">
        <v>20411454</v>
      </c>
      <c r="B22" t="s">
        <v>22</v>
      </c>
      <c r="C22">
        <v>21283956</v>
      </c>
      <c r="D22" t="s">
        <v>114</v>
      </c>
      <c r="E22" t="s">
        <v>24</v>
      </c>
      <c r="F22" t="s">
        <v>25</v>
      </c>
      <c r="G22" t="s">
        <v>26</v>
      </c>
      <c r="H22" t="s">
        <v>115</v>
      </c>
      <c r="I22" t="s">
        <v>114</v>
      </c>
      <c r="J22" t="s">
        <v>116</v>
      </c>
      <c r="K22" t="s">
        <v>29</v>
      </c>
      <c r="L22" t="s">
        <v>54</v>
      </c>
      <c r="M22" t="s">
        <v>117</v>
      </c>
      <c r="N22" s="3" t="s">
        <v>118</v>
      </c>
      <c r="O22" t="s">
        <v>119</v>
      </c>
      <c r="P22" s="1">
        <v>46023</v>
      </c>
      <c r="Q22" s="2">
        <v>46053</v>
      </c>
      <c r="R22" t="s">
        <v>34</v>
      </c>
      <c r="S22" t="s">
        <v>35</v>
      </c>
      <c r="T22" t="s">
        <v>0</v>
      </c>
      <c r="U22">
        <v>-200</v>
      </c>
    </row>
    <row r="23" spans="1:21" x14ac:dyDescent="0.25">
      <c r="A23">
        <v>20411454</v>
      </c>
      <c r="B23" t="s">
        <v>22</v>
      </c>
      <c r="C23">
        <v>21283956</v>
      </c>
      <c r="D23" t="s">
        <v>114</v>
      </c>
      <c r="E23" t="s">
        <v>24</v>
      </c>
      <c r="F23" t="s">
        <v>25</v>
      </c>
      <c r="G23" t="s">
        <v>26</v>
      </c>
      <c r="H23" t="s">
        <v>115</v>
      </c>
      <c r="I23" t="s">
        <v>114</v>
      </c>
      <c r="J23" t="s">
        <v>120</v>
      </c>
      <c r="K23" t="s">
        <v>29</v>
      </c>
      <c r="L23" t="s">
        <v>30</v>
      </c>
      <c r="M23" t="s">
        <v>121</v>
      </c>
      <c r="N23" s="3" t="s">
        <v>122</v>
      </c>
      <c r="O23" t="s">
        <v>123</v>
      </c>
      <c r="P23" s="1">
        <v>46023</v>
      </c>
      <c r="Q23" s="2">
        <v>46053</v>
      </c>
      <c r="R23" t="s">
        <v>34</v>
      </c>
      <c r="S23" t="s">
        <v>35</v>
      </c>
      <c r="T23" t="s">
        <v>0</v>
      </c>
      <c r="U23">
        <v>-200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F218-6944-4DCE-AAD0-5AA32C1A485C}">
  <dimension ref="A1:L23"/>
  <sheetViews>
    <sheetView tabSelected="1" workbookViewId="0">
      <selection activeCell="L2" sqref="L2:L8"/>
    </sheetView>
  </sheetViews>
  <sheetFormatPr defaultRowHeight="15" x14ac:dyDescent="0.25"/>
  <cols>
    <col min="1" max="1" width="13.7109375" bestFit="1" customWidth="1"/>
    <col min="2" max="2" width="7.7109375" bestFit="1" customWidth="1"/>
    <col min="3" max="3" width="10" bestFit="1" customWidth="1"/>
    <col min="4" max="4" width="17" bestFit="1" customWidth="1"/>
    <col min="5" max="5" width="13.28515625" bestFit="1" customWidth="1"/>
    <col min="6" max="6" width="13" bestFit="1" customWidth="1"/>
    <col min="7" max="7" width="15.7109375" bestFit="1" customWidth="1"/>
    <col min="8" max="8" width="25.5703125" bestFit="1" customWidth="1"/>
    <col min="9" max="9" width="13" style="5" bestFit="1" customWidth="1"/>
    <col min="10" max="10" width="12" bestFit="1" customWidth="1"/>
    <col min="11" max="11" width="18.7109375" bestFit="1" customWidth="1"/>
  </cols>
  <sheetData>
    <row r="1" spans="1:12" x14ac:dyDescent="0.25">
      <c r="A1" t="s">
        <v>5</v>
      </c>
      <c r="B1" t="s">
        <v>6</v>
      </c>
      <c r="C1" t="s">
        <v>8</v>
      </c>
      <c r="D1" t="s">
        <v>9</v>
      </c>
      <c r="E1" t="s">
        <v>11</v>
      </c>
      <c r="F1" t="s">
        <v>13</v>
      </c>
      <c r="H1" s="3" t="s">
        <v>14</v>
      </c>
      <c r="I1" s="5" t="s">
        <v>16</v>
      </c>
      <c r="J1" t="s">
        <v>21</v>
      </c>
    </row>
    <row r="2" spans="1:12" x14ac:dyDescent="0.25">
      <c r="A2" t="s">
        <v>24</v>
      </c>
      <c r="B2" s="4">
        <v>202602</v>
      </c>
      <c r="C2" s="4">
        <v>19491313</v>
      </c>
      <c r="D2" t="s">
        <v>98</v>
      </c>
      <c r="E2" t="s">
        <v>102</v>
      </c>
      <c r="F2" t="s">
        <v>104</v>
      </c>
      <c r="G2" t="str">
        <f>CONCATENATE(F2,22)</f>
        <v>M00051930722</v>
      </c>
      <c r="H2" s="3" t="s">
        <v>105</v>
      </c>
      <c r="I2" s="5">
        <v>46054</v>
      </c>
      <c r="J2">
        <v>694</v>
      </c>
      <c r="K2" t="s">
        <v>129</v>
      </c>
      <c r="L2" t="s">
        <v>130</v>
      </c>
    </row>
    <row r="3" spans="1:12" x14ac:dyDescent="0.25">
      <c r="A3" t="s">
        <v>24</v>
      </c>
      <c r="B3" s="4">
        <v>202602</v>
      </c>
      <c r="C3" s="4">
        <v>9213293</v>
      </c>
      <c r="D3" t="s">
        <v>46</v>
      </c>
      <c r="E3" t="s">
        <v>29</v>
      </c>
      <c r="F3" t="s">
        <v>50</v>
      </c>
      <c r="G3" t="str">
        <f>CONCATENATE(F3,2)</f>
        <v>M0005243472</v>
      </c>
      <c r="H3" s="3" t="s">
        <v>51</v>
      </c>
      <c r="I3" s="5">
        <v>46023</v>
      </c>
      <c r="J3">
        <v>-347</v>
      </c>
      <c r="K3" t="s">
        <v>124</v>
      </c>
      <c r="L3" t="s">
        <v>126</v>
      </c>
    </row>
    <row r="4" spans="1:12" x14ac:dyDescent="0.25">
      <c r="A4" t="s">
        <v>24</v>
      </c>
      <c r="B4" s="4">
        <v>202602</v>
      </c>
      <c r="C4" s="4">
        <v>8244481</v>
      </c>
      <c r="D4" t="s">
        <v>80</v>
      </c>
      <c r="E4" t="s">
        <v>29</v>
      </c>
      <c r="F4" t="s">
        <v>84</v>
      </c>
      <c r="G4" t="str">
        <f t="shared" ref="G4:G8" si="0">CONCATENATE(F4,2)</f>
        <v>M0005092092</v>
      </c>
      <c r="H4" s="3" t="s">
        <v>85</v>
      </c>
      <c r="I4" s="5">
        <v>46023</v>
      </c>
      <c r="J4">
        <v>-347</v>
      </c>
      <c r="K4" t="s">
        <v>124</v>
      </c>
      <c r="L4" t="s">
        <v>126</v>
      </c>
    </row>
    <row r="5" spans="1:12" x14ac:dyDescent="0.25">
      <c r="A5" t="s">
        <v>24</v>
      </c>
      <c r="B5" s="4">
        <v>202602</v>
      </c>
      <c r="C5" s="4">
        <v>19396223</v>
      </c>
      <c r="D5" t="s">
        <v>87</v>
      </c>
      <c r="E5" t="s">
        <v>29</v>
      </c>
      <c r="F5" t="s">
        <v>89</v>
      </c>
      <c r="G5" t="str">
        <f t="shared" si="0"/>
        <v>M0005200422</v>
      </c>
      <c r="H5" s="3" t="s">
        <v>90</v>
      </c>
      <c r="I5" s="5">
        <v>46023</v>
      </c>
      <c r="J5">
        <v>-347</v>
      </c>
      <c r="K5" t="s">
        <v>124</v>
      </c>
      <c r="L5" t="s">
        <v>126</v>
      </c>
    </row>
    <row r="6" spans="1:12" x14ac:dyDescent="0.25">
      <c r="A6" t="s">
        <v>109</v>
      </c>
      <c r="B6" s="4">
        <v>202602</v>
      </c>
      <c r="C6" s="4">
        <v>19491313</v>
      </c>
      <c r="D6" t="s">
        <v>98</v>
      </c>
      <c r="E6" t="s">
        <v>102</v>
      </c>
      <c r="F6" t="s">
        <v>111</v>
      </c>
      <c r="G6" t="str">
        <f t="shared" si="0"/>
        <v>M0005073422</v>
      </c>
      <c r="H6" s="3" t="s">
        <v>112</v>
      </c>
      <c r="I6" s="5">
        <v>46023</v>
      </c>
      <c r="J6">
        <v>28.92</v>
      </c>
      <c r="K6" t="s">
        <v>124</v>
      </c>
      <c r="L6" t="s">
        <v>127</v>
      </c>
    </row>
    <row r="7" spans="1:12" x14ac:dyDescent="0.25">
      <c r="A7" t="s">
        <v>24</v>
      </c>
      <c r="B7" s="4">
        <v>202602</v>
      </c>
      <c r="C7" s="4">
        <v>9213293</v>
      </c>
      <c r="D7" t="s">
        <v>46</v>
      </c>
      <c r="E7" t="s">
        <v>29</v>
      </c>
      <c r="F7" t="s">
        <v>55</v>
      </c>
      <c r="G7" t="str">
        <f t="shared" si="0"/>
        <v>M0005154142</v>
      </c>
      <c r="H7" s="3" t="s">
        <v>56</v>
      </c>
      <c r="I7" s="5">
        <v>46054</v>
      </c>
      <c r="J7">
        <v>318.08</v>
      </c>
      <c r="K7" t="s">
        <v>124</v>
      </c>
      <c r="L7" t="s">
        <v>128</v>
      </c>
    </row>
    <row r="8" spans="1:12" x14ac:dyDescent="0.25">
      <c r="A8" t="s">
        <v>24</v>
      </c>
      <c r="B8" s="4">
        <v>202602</v>
      </c>
      <c r="C8" s="4">
        <v>19645587</v>
      </c>
      <c r="D8" t="s">
        <v>92</v>
      </c>
      <c r="E8" t="s">
        <v>29</v>
      </c>
      <c r="F8" t="s">
        <v>95</v>
      </c>
      <c r="G8" t="str">
        <f t="shared" si="0"/>
        <v>M0005367272</v>
      </c>
      <c r="H8" s="3" t="s">
        <v>96</v>
      </c>
      <c r="I8" s="5">
        <v>46054</v>
      </c>
      <c r="J8">
        <v>318.08</v>
      </c>
      <c r="K8" t="s">
        <v>124</v>
      </c>
      <c r="L8" t="s">
        <v>128</v>
      </c>
    </row>
    <row r="9" spans="1:12" x14ac:dyDescent="0.25">
      <c r="A9" t="s">
        <v>24</v>
      </c>
      <c r="B9" s="4">
        <v>202602</v>
      </c>
      <c r="C9" s="4">
        <v>20411454</v>
      </c>
      <c r="D9" t="s">
        <v>131</v>
      </c>
      <c r="E9" t="s">
        <v>29</v>
      </c>
      <c r="F9" t="s">
        <v>31</v>
      </c>
      <c r="G9" t="str">
        <f>CONCATENATE(F9,"OVR")</f>
        <v>M000520111OVR</v>
      </c>
      <c r="H9" s="3" t="s">
        <v>32</v>
      </c>
      <c r="I9" s="5">
        <v>46023</v>
      </c>
      <c r="J9">
        <v>-200</v>
      </c>
      <c r="K9" t="s">
        <v>125</v>
      </c>
    </row>
    <row r="10" spans="1:12" x14ac:dyDescent="0.25">
      <c r="A10" t="s">
        <v>24</v>
      </c>
      <c r="B10" s="4">
        <v>202602</v>
      </c>
      <c r="C10" s="4">
        <v>20411454</v>
      </c>
      <c r="D10" t="s">
        <v>131</v>
      </c>
      <c r="E10" t="s">
        <v>29</v>
      </c>
      <c r="F10" t="s">
        <v>50</v>
      </c>
      <c r="G10" t="str">
        <f t="shared" ref="G10:G23" si="1">CONCATENATE(F10,"OVR")</f>
        <v>M000524347OVR</v>
      </c>
      <c r="H10" s="3" t="s">
        <v>51</v>
      </c>
      <c r="I10" s="5">
        <v>46023</v>
      </c>
      <c r="J10">
        <v>-200</v>
      </c>
      <c r="K10" t="s">
        <v>125</v>
      </c>
    </row>
    <row r="11" spans="1:12" x14ac:dyDescent="0.25">
      <c r="A11" t="s">
        <v>24</v>
      </c>
      <c r="B11" s="4">
        <v>202602</v>
      </c>
      <c r="C11" s="4">
        <v>20411454</v>
      </c>
      <c r="D11" t="s">
        <v>131</v>
      </c>
      <c r="E11" t="s">
        <v>29</v>
      </c>
      <c r="F11" t="s">
        <v>61</v>
      </c>
      <c r="G11" t="str">
        <f t="shared" si="1"/>
        <v>M000532282OVR</v>
      </c>
      <c r="H11" s="3" t="s">
        <v>62</v>
      </c>
      <c r="I11" s="5">
        <v>46023</v>
      </c>
      <c r="J11">
        <v>-200</v>
      </c>
      <c r="K11" t="s">
        <v>125</v>
      </c>
    </row>
    <row r="12" spans="1:12" x14ac:dyDescent="0.25">
      <c r="A12" t="s">
        <v>24</v>
      </c>
      <c r="B12" s="4">
        <v>202602</v>
      </c>
      <c r="C12" s="4">
        <v>20411454</v>
      </c>
      <c r="D12" t="s">
        <v>131</v>
      </c>
      <c r="E12" t="s">
        <v>29</v>
      </c>
      <c r="F12" t="s">
        <v>67</v>
      </c>
      <c r="G12" t="str">
        <f t="shared" si="1"/>
        <v>M000527915OVR</v>
      </c>
      <c r="H12" s="3" t="s">
        <v>68</v>
      </c>
      <c r="I12" s="5">
        <v>46023</v>
      </c>
      <c r="J12">
        <v>-200</v>
      </c>
      <c r="K12" t="s">
        <v>125</v>
      </c>
    </row>
    <row r="13" spans="1:12" x14ac:dyDescent="0.25">
      <c r="A13" t="s">
        <v>24</v>
      </c>
      <c r="B13" s="4">
        <v>202602</v>
      </c>
      <c r="C13" s="4">
        <v>20411454</v>
      </c>
      <c r="D13" t="s">
        <v>131</v>
      </c>
      <c r="E13" t="s">
        <v>29</v>
      </c>
      <c r="F13" t="s">
        <v>71</v>
      </c>
      <c r="G13" t="str">
        <f t="shared" si="1"/>
        <v>M000531802OVR</v>
      </c>
      <c r="H13" s="3" t="s">
        <v>72</v>
      </c>
      <c r="I13" s="5">
        <v>46023</v>
      </c>
      <c r="J13">
        <v>-200</v>
      </c>
      <c r="K13" t="s">
        <v>125</v>
      </c>
    </row>
    <row r="14" spans="1:12" x14ac:dyDescent="0.25">
      <c r="A14" t="s">
        <v>24</v>
      </c>
      <c r="B14" s="4">
        <v>202602</v>
      </c>
      <c r="C14" s="4">
        <v>20411454</v>
      </c>
      <c r="D14" t="s">
        <v>131</v>
      </c>
      <c r="E14" t="s">
        <v>29</v>
      </c>
      <c r="F14" t="s">
        <v>84</v>
      </c>
      <c r="G14" t="str">
        <f t="shared" si="1"/>
        <v>M000509209OVR</v>
      </c>
      <c r="H14" s="3" t="s">
        <v>85</v>
      </c>
      <c r="I14" s="5">
        <v>46023</v>
      </c>
      <c r="J14">
        <v>-200</v>
      </c>
      <c r="K14" t="s">
        <v>125</v>
      </c>
    </row>
    <row r="15" spans="1:12" x14ac:dyDescent="0.25">
      <c r="A15" t="s">
        <v>24</v>
      </c>
      <c r="B15" s="4">
        <v>202602</v>
      </c>
      <c r="C15" s="4">
        <v>20411454</v>
      </c>
      <c r="D15" t="s">
        <v>131</v>
      </c>
      <c r="E15" t="s">
        <v>29</v>
      </c>
      <c r="F15" t="s">
        <v>89</v>
      </c>
      <c r="G15" t="str">
        <f t="shared" si="1"/>
        <v>M000520042OVR</v>
      </c>
      <c r="H15" s="3" t="s">
        <v>90</v>
      </c>
      <c r="I15" s="5">
        <v>46023</v>
      </c>
      <c r="J15">
        <v>-200</v>
      </c>
      <c r="K15" t="s">
        <v>125</v>
      </c>
    </row>
    <row r="16" spans="1:12" x14ac:dyDescent="0.25">
      <c r="A16" t="s">
        <v>24</v>
      </c>
      <c r="B16" s="4">
        <v>202602</v>
      </c>
      <c r="C16" s="4">
        <v>20411454</v>
      </c>
      <c r="D16" t="s">
        <v>131</v>
      </c>
      <c r="E16" t="s">
        <v>29</v>
      </c>
      <c r="F16" t="s">
        <v>117</v>
      </c>
      <c r="G16" t="str">
        <f t="shared" si="1"/>
        <v>M000524397OVR</v>
      </c>
      <c r="H16" s="3" t="s">
        <v>118</v>
      </c>
      <c r="I16" s="5">
        <v>46023</v>
      </c>
      <c r="J16">
        <v>-200</v>
      </c>
      <c r="K16" t="s">
        <v>125</v>
      </c>
    </row>
    <row r="17" spans="1:11" x14ac:dyDescent="0.25">
      <c r="A17" t="s">
        <v>24</v>
      </c>
      <c r="B17" s="4">
        <v>202602</v>
      </c>
      <c r="C17" s="4">
        <v>20411454</v>
      </c>
      <c r="D17" t="s">
        <v>131</v>
      </c>
      <c r="E17" t="s">
        <v>29</v>
      </c>
      <c r="F17" t="s">
        <v>121</v>
      </c>
      <c r="G17" t="str">
        <f t="shared" si="1"/>
        <v>M000525419OVR</v>
      </c>
      <c r="H17" s="3" t="s">
        <v>122</v>
      </c>
      <c r="I17" s="5">
        <v>46023</v>
      </c>
      <c r="J17">
        <v>-200</v>
      </c>
      <c r="K17" t="s">
        <v>125</v>
      </c>
    </row>
    <row r="18" spans="1:11" x14ac:dyDescent="0.25">
      <c r="A18" t="s">
        <v>109</v>
      </c>
      <c r="B18" s="4">
        <v>202602</v>
      </c>
      <c r="C18" s="4">
        <v>20411454</v>
      </c>
      <c r="D18" t="s">
        <v>131</v>
      </c>
      <c r="E18" t="s">
        <v>102</v>
      </c>
      <c r="F18" t="s">
        <v>111</v>
      </c>
      <c r="G18" t="str">
        <f t="shared" si="1"/>
        <v>M000507342OVR</v>
      </c>
      <c r="H18" s="3" t="s">
        <v>112</v>
      </c>
      <c r="I18" s="5">
        <v>46023</v>
      </c>
      <c r="J18">
        <v>10.41</v>
      </c>
      <c r="K18" t="s">
        <v>125</v>
      </c>
    </row>
    <row r="19" spans="1:11" x14ac:dyDescent="0.25">
      <c r="A19" t="s">
        <v>24</v>
      </c>
      <c r="B19" s="4">
        <v>202602</v>
      </c>
      <c r="C19" s="4">
        <v>20411454</v>
      </c>
      <c r="D19" t="s">
        <v>131</v>
      </c>
      <c r="E19" t="s">
        <v>40</v>
      </c>
      <c r="F19" t="s">
        <v>42</v>
      </c>
      <c r="G19" t="str">
        <f t="shared" si="1"/>
        <v>M000536840OVR</v>
      </c>
      <c r="H19" s="3" t="s">
        <v>43</v>
      </c>
      <c r="I19" s="5">
        <v>46054</v>
      </c>
      <c r="J19">
        <v>200</v>
      </c>
      <c r="K19" t="s">
        <v>125</v>
      </c>
    </row>
    <row r="20" spans="1:11" x14ac:dyDescent="0.25">
      <c r="A20" t="s">
        <v>24</v>
      </c>
      <c r="B20" s="4">
        <v>202602</v>
      </c>
      <c r="C20" s="4">
        <v>20411454</v>
      </c>
      <c r="D20" t="s">
        <v>131</v>
      </c>
      <c r="E20" t="s">
        <v>29</v>
      </c>
      <c r="F20" t="s">
        <v>55</v>
      </c>
      <c r="G20" t="str">
        <f t="shared" si="1"/>
        <v>M000515414OVR</v>
      </c>
      <c r="H20" s="3" t="s">
        <v>56</v>
      </c>
      <c r="I20" s="5">
        <v>46054</v>
      </c>
      <c r="J20">
        <v>200</v>
      </c>
      <c r="K20" t="s">
        <v>125</v>
      </c>
    </row>
    <row r="21" spans="1:11" x14ac:dyDescent="0.25">
      <c r="A21" t="s">
        <v>24</v>
      </c>
      <c r="B21" s="4">
        <v>202602</v>
      </c>
      <c r="C21" s="4">
        <v>20411454</v>
      </c>
      <c r="D21" t="s">
        <v>131</v>
      </c>
      <c r="E21" t="s">
        <v>29</v>
      </c>
      <c r="F21" t="s">
        <v>77</v>
      </c>
      <c r="G21" t="str">
        <f t="shared" si="1"/>
        <v>M000535454OVR</v>
      </c>
      <c r="H21" s="3" t="s">
        <v>78</v>
      </c>
      <c r="I21" s="5">
        <v>46054</v>
      </c>
      <c r="J21">
        <v>200</v>
      </c>
      <c r="K21" t="s">
        <v>125</v>
      </c>
    </row>
    <row r="22" spans="1:11" x14ac:dyDescent="0.25">
      <c r="A22" t="s">
        <v>24</v>
      </c>
      <c r="B22" s="4">
        <v>202602</v>
      </c>
      <c r="C22" s="4">
        <v>20411454</v>
      </c>
      <c r="D22" t="s">
        <v>131</v>
      </c>
      <c r="E22" t="s">
        <v>29</v>
      </c>
      <c r="F22" t="s">
        <v>95</v>
      </c>
      <c r="G22" t="str">
        <f t="shared" si="1"/>
        <v>M000536727OVR</v>
      </c>
      <c r="H22" s="3" t="s">
        <v>96</v>
      </c>
      <c r="I22" s="5">
        <v>46054</v>
      </c>
      <c r="J22">
        <v>200</v>
      </c>
      <c r="K22" t="s">
        <v>125</v>
      </c>
    </row>
    <row r="23" spans="1:11" x14ac:dyDescent="0.25">
      <c r="A23" t="s">
        <v>24</v>
      </c>
      <c r="B23" s="4">
        <v>202602</v>
      </c>
      <c r="C23" s="4">
        <v>20411454</v>
      </c>
      <c r="D23" t="s">
        <v>131</v>
      </c>
      <c r="E23" t="s">
        <v>102</v>
      </c>
      <c r="F23" t="s">
        <v>104</v>
      </c>
      <c r="G23" t="str">
        <f t="shared" si="1"/>
        <v>M000519307OVR</v>
      </c>
      <c r="H23" s="3" t="s">
        <v>105</v>
      </c>
      <c r="I23" s="5">
        <v>46054</v>
      </c>
      <c r="J23">
        <v>200</v>
      </c>
      <c r="K23" t="s">
        <v>125</v>
      </c>
    </row>
  </sheetData>
  <sortState xmlns:xlrd2="http://schemas.microsoft.com/office/spreadsheetml/2017/richdata2" ref="A2:T23">
    <sortCondition ref="K2:K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2026-02-06T09:49:46Z</dcterms:created>
  <dcterms:modified xsi:type="dcterms:W3CDTF">2026-02-12T14:40:49Z</dcterms:modified>
</cp:coreProperties>
</file>