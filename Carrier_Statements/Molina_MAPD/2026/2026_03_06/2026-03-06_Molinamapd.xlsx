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olina MAPD\2026\3-6-26\"/>
    </mc:Choice>
  </mc:AlternateContent>
  <xr:revisionPtr revIDLastSave="0" documentId="13_ncr:1_{508157CA-A6C4-4784-B318-20E91452A7C3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Detail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27" i="2" l="1"/>
  <c r="H18" i="2"/>
  <c r="H26" i="2"/>
  <c r="H25" i="2"/>
  <c r="H24" i="2"/>
  <c r="H23" i="2"/>
  <c r="H22" i="2"/>
  <c r="H21" i="2"/>
  <c r="H20" i="2"/>
  <c r="H19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</calcChain>
</file>

<file path=xl/sharedStrings.xml><?xml version="1.0" encoding="utf-8"?>
<sst xmlns="http://schemas.openxmlformats.org/spreadsheetml/2006/main" count="658" uniqueCount="72">
  <si>
    <t/>
  </si>
  <si>
    <t>PayeeID</t>
  </si>
  <si>
    <t>PaidVendor</t>
  </si>
  <si>
    <t>BrokerID</t>
  </si>
  <si>
    <t>BrokerName</t>
  </si>
  <si>
    <t>InitialRenewal</t>
  </si>
  <si>
    <t>Period</t>
  </si>
  <si>
    <t>Product</t>
  </si>
  <si>
    <t>RepNPN</t>
  </si>
  <si>
    <t>RepName</t>
  </si>
  <si>
    <t>SignedDate</t>
  </si>
  <si>
    <t>ContractCode</t>
  </si>
  <si>
    <t>PBP</t>
  </si>
  <si>
    <t>MemberId</t>
  </si>
  <si>
    <t>Name</t>
  </si>
  <si>
    <t>MBI</t>
  </si>
  <si>
    <t>EffectiveDate</t>
  </si>
  <si>
    <t>TermDate</t>
  </si>
  <si>
    <t>CycleYear</t>
  </si>
  <si>
    <t>PriorPlan</t>
  </si>
  <si>
    <t>FundName</t>
  </si>
  <si>
    <t>Commission</t>
  </si>
  <si>
    <t>Main Line Benefits Llc</t>
  </si>
  <si>
    <t>Antonia Nevarez</t>
  </si>
  <si>
    <t>Initial</t>
  </si>
  <si>
    <t>202603</t>
  </si>
  <si>
    <t>Molina Medicare Complete Care Plus (HMO D-SNP)</t>
  </si>
  <si>
    <t>21646325</t>
  </si>
  <si>
    <t>02/24/26</t>
  </si>
  <si>
    <t>H3093</t>
  </si>
  <si>
    <t>004</t>
  </si>
  <si>
    <t>M000545059</t>
  </si>
  <si>
    <t>ALICIA NAVARRETE</t>
  </si>
  <si>
    <t>4WQ2WD4AX89</t>
  </si>
  <si>
    <t>2</t>
  </si>
  <si>
    <t>Yes</t>
  </si>
  <si>
    <t>Override</t>
  </si>
  <si>
    <t>M000545053</t>
  </si>
  <si>
    <t>MATIAS NAVARRETE</t>
  </si>
  <si>
    <t>8FF0W50NW39</t>
  </si>
  <si>
    <t>M000220760</t>
  </si>
  <si>
    <t>WILLIBALDO ROSALESDIAZ</t>
  </si>
  <si>
    <t>2V88CV7PD48</t>
  </si>
  <si>
    <t>Gary Portugal</t>
  </si>
  <si>
    <t>9213293</t>
  </si>
  <si>
    <t>02/26/26</t>
  </si>
  <si>
    <t>M000545580</t>
  </si>
  <si>
    <t>VALORIE SMITH</t>
  </si>
  <si>
    <t>9W64DU9VN65</t>
  </si>
  <si>
    <t>Broker</t>
  </si>
  <si>
    <t>Michael Dunavant</t>
  </si>
  <si>
    <t>18828278</t>
  </si>
  <si>
    <t>01/21/26</t>
  </si>
  <si>
    <t>002</t>
  </si>
  <si>
    <t>M000538232</t>
  </si>
  <si>
    <t>STEPHANIE MORRIS</t>
  </si>
  <si>
    <t>1ME1NH0VC93</t>
  </si>
  <si>
    <t>Steven Brandt</t>
  </si>
  <si>
    <t>Renewal</t>
  </si>
  <si>
    <t>Molina Complete Care for MyCare Ohio (HMO D-SNP)</t>
  </si>
  <si>
    <t>19491313</t>
  </si>
  <si>
    <t>10/10/25</t>
  </si>
  <si>
    <t>H9955</t>
  </si>
  <si>
    <t>008</t>
  </si>
  <si>
    <t>M000507342</t>
  </si>
  <si>
    <t>JASON CECUTTI</t>
  </si>
  <si>
    <t>8H71XC5KV11</t>
  </si>
  <si>
    <t>Molina MAPD OVR</t>
  </si>
  <si>
    <t>Molina MAPD 2026*</t>
  </si>
  <si>
    <t>[%/$=347][prorate=1/12]</t>
  </si>
  <si>
    <t>[%/$=347][prorate=10/12]</t>
  </si>
  <si>
    <t>Main Line Benefits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</si>
</sst>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/mm/dd\ "/>
    <numFmt numFmtId="165" formatCode="yyyy/dd/mm\ "/>
    <numFmt numFmtId="166" formatCode="\$#,##0.00"/>
  </numFmts>
  <fonts count="1" x14ac:knownFonts="1"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2" borderId="0" xfId="0" applyFill="1"/>
    <xf numFmtId="0" fontId="0" fillId="2" borderId="0" xfId="0" applyNumberFormat="1" applyFill="1"/>
    <xf numFmtId="166" fontId="0" fillId="2" borderId="0" xfId="0" applyNumberFormat="1" applyFill="1"/>
    <xf numFmtId="0" fontId="0" fillId="0" borderId="0" xfId="0" applyFill="1"/>
    <xf numFmtId="0" fontId="0" fillId="0" borderId="0" xfId="0" applyNumberFormat="1" applyFill="1"/>
    <xf numFmtId="166" fontId="0" fillId="0" borderId="0" xfId="0" applyNumberFormat="1" applyFill="1"/>
    <xf numFmtId="14" fontId="0" fillId="2" borderId="0" xfId="0" applyNumberFormat="1" applyFill="1"/>
    <xf numFmtId="14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7"/>
  <sheetViews>
    <sheetView tabSelected="1" topLeftCell="E1" workbookViewId="0">
      <selection activeCell="U1" sqref="U1:U1048576"/>
    </sheetView>
  </sheetViews>
  <sheetFormatPr defaultRowHeight="14.4" x14ac:dyDescent="0.3"/>
  <cols>
    <col min="1" max="1" width="25" customWidth="1"/>
    <col min="2" max="2" width="20" customWidth="1"/>
    <col min="3" max="4" width="15" customWidth="1"/>
    <col min="5" max="5" width="13.6640625" bestFit="1" customWidth="1"/>
    <col min="6" max="6" width="7.6640625" bestFit="1" customWidth="1"/>
    <col min="7" max="7" width="49" bestFit="1" customWidth="1"/>
    <col min="8" max="8" width="10" bestFit="1" customWidth="1"/>
    <col min="9" max="9" width="17.33203125" bestFit="1" customWidth="1"/>
    <col min="10" max="10" width="11.33203125" bestFit="1" customWidth="1"/>
    <col min="11" max="11" width="13.33203125" bestFit="1" customWidth="1"/>
    <col min="12" max="12" width="4.5546875" bestFit="1" customWidth="1"/>
    <col min="13" max="13" width="13" bestFit="1" customWidth="1"/>
    <col min="14" max="14" width="24.88671875" bestFit="1" customWidth="1"/>
    <col min="15" max="15" width="15.6640625" bestFit="1" customWidth="1"/>
    <col min="16" max="16" width="13" bestFit="1" customWidth="1"/>
    <col min="17" max="17" width="10" bestFit="1" customWidth="1"/>
    <col min="18" max="18" width="9.6640625" bestFit="1" customWidth="1"/>
    <col min="19" max="19" width="9.33203125" bestFit="1" customWidth="1"/>
    <col min="20" max="20" width="10.88671875" bestFit="1" customWidth="1"/>
    <col min="21" max="21" width="12" bestFit="1" customWidth="1"/>
  </cols>
  <sheetData>
    <row r="1" spans="1:21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s="3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</row>
    <row r="2" spans="1:21" x14ac:dyDescent="0.3">
      <c r="A2">
        <v>20411454</v>
      </c>
      <c r="B2" t="s">
        <v>22</v>
      </c>
      <c r="C2">
        <v>21646325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23</v>
      </c>
      <c r="J2" t="s">
        <v>28</v>
      </c>
      <c r="K2" t="s">
        <v>29</v>
      </c>
      <c r="L2" t="s">
        <v>30</v>
      </c>
      <c r="M2" t="s">
        <v>31</v>
      </c>
      <c r="N2" s="3" t="s">
        <v>32</v>
      </c>
      <c r="O2" t="s">
        <v>33</v>
      </c>
      <c r="P2" s="1">
        <v>46082</v>
      </c>
      <c r="Q2" t="s">
        <v>0</v>
      </c>
      <c r="R2" t="s">
        <v>34</v>
      </c>
      <c r="S2" t="s">
        <v>35</v>
      </c>
      <c r="T2" t="s">
        <v>36</v>
      </c>
      <c r="U2">
        <v>40</v>
      </c>
    </row>
    <row r="3" spans="1:21" x14ac:dyDescent="0.3">
      <c r="A3">
        <v>20411454</v>
      </c>
      <c r="B3" t="s">
        <v>22</v>
      </c>
      <c r="C3">
        <v>21646325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23</v>
      </c>
      <c r="J3" t="s">
        <v>28</v>
      </c>
      <c r="K3" t="s">
        <v>29</v>
      </c>
      <c r="L3" t="s">
        <v>30</v>
      </c>
      <c r="M3" t="s">
        <v>31</v>
      </c>
      <c r="N3" s="3" t="s">
        <v>32</v>
      </c>
      <c r="O3" t="s">
        <v>33</v>
      </c>
      <c r="P3" s="1">
        <v>46082</v>
      </c>
      <c r="Q3" t="s">
        <v>0</v>
      </c>
      <c r="R3" t="s">
        <v>34</v>
      </c>
      <c r="S3" t="s">
        <v>35</v>
      </c>
      <c r="T3" t="s">
        <v>36</v>
      </c>
      <c r="U3">
        <v>60</v>
      </c>
    </row>
    <row r="4" spans="1:21" x14ac:dyDescent="0.3">
      <c r="A4">
        <v>20411454</v>
      </c>
      <c r="B4" t="s">
        <v>22</v>
      </c>
      <c r="C4">
        <v>21646325</v>
      </c>
      <c r="D4" t="s">
        <v>23</v>
      </c>
      <c r="E4" t="s">
        <v>24</v>
      </c>
      <c r="F4" t="s">
        <v>25</v>
      </c>
      <c r="G4" t="s">
        <v>26</v>
      </c>
      <c r="H4" t="s">
        <v>27</v>
      </c>
      <c r="I4" t="s">
        <v>23</v>
      </c>
      <c r="J4" t="s">
        <v>28</v>
      </c>
      <c r="K4" t="s">
        <v>29</v>
      </c>
      <c r="L4" t="s">
        <v>30</v>
      </c>
      <c r="M4" t="s">
        <v>31</v>
      </c>
      <c r="N4" s="3" t="s">
        <v>32</v>
      </c>
      <c r="O4" t="s">
        <v>33</v>
      </c>
      <c r="P4" s="1">
        <v>46082</v>
      </c>
      <c r="Q4" t="s">
        <v>0</v>
      </c>
      <c r="R4" t="s">
        <v>34</v>
      </c>
      <c r="S4" t="s">
        <v>35</v>
      </c>
      <c r="T4" t="s">
        <v>36</v>
      </c>
      <c r="U4">
        <v>50</v>
      </c>
    </row>
    <row r="5" spans="1:21" x14ac:dyDescent="0.3">
      <c r="A5">
        <v>20411454</v>
      </c>
      <c r="B5" t="s">
        <v>22</v>
      </c>
      <c r="C5">
        <v>21646325</v>
      </c>
      <c r="D5" t="s">
        <v>23</v>
      </c>
      <c r="E5" t="s">
        <v>24</v>
      </c>
      <c r="F5" t="s">
        <v>25</v>
      </c>
      <c r="G5" t="s">
        <v>26</v>
      </c>
      <c r="H5" t="s">
        <v>27</v>
      </c>
      <c r="I5" t="s">
        <v>23</v>
      </c>
      <c r="J5" t="s">
        <v>28</v>
      </c>
      <c r="K5" t="s">
        <v>29</v>
      </c>
      <c r="L5" t="s">
        <v>30</v>
      </c>
      <c r="M5" t="s">
        <v>31</v>
      </c>
      <c r="N5" s="3" t="s">
        <v>32</v>
      </c>
      <c r="O5" t="s">
        <v>33</v>
      </c>
      <c r="P5" s="1">
        <v>46082</v>
      </c>
      <c r="Q5" t="s">
        <v>0</v>
      </c>
      <c r="R5" t="s">
        <v>34</v>
      </c>
      <c r="S5" t="s">
        <v>35</v>
      </c>
      <c r="T5" t="s">
        <v>36</v>
      </c>
      <c r="U5">
        <v>50</v>
      </c>
    </row>
    <row r="6" spans="1:21" x14ac:dyDescent="0.3">
      <c r="A6">
        <v>20411454</v>
      </c>
      <c r="B6" t="s">
        <v>22</v>
      </c>
      <c r="C6">
        <v>21646325</v>
      </c>
      <c r="D6" t="s">
        <v>23</v>
      </c>
      <c r="E6" t="s">
        <v>24</v>
      </c>
      <c r="F6" t="s">
        <v>25</v>
      </c>
      <c r="G6" t="s">
        <v>26</v>
      </c>
      <c r="H6" t="s">
        <v>27</v>
      </c>
      <c r="I6" t="s">
        <v>23</v>
      </c>
      <c r="J6" t="s">
        <v>28</v>
      </c>
      <c r="K6" t="s">
        <v>29</v>
      </c>
      <c r="L6" t="s">
        <v>30</v>
      </c>
      <c r="M6" t="s">
        <v>37</v>
      </c>
      <c r="N6" s="3" t="s">
        <v>38</v>
      </c>
      <c r="O6" t="s">
        <v>39</v>
      </c>
      <c r="P6" s="1">
        <v>46082</v>
      </c>
      <c r="Q6" t="s">
        <v>0</v>
      </c>
      <c r="R6" t="s">
        <v>34</v>
      </c>
      <c r="S6" t="s">
        <v>35</v>
      </c>
      <c r="T6" t="s">
        <v>36</v>
      </c>
      <c r="U6">
        <v>40</v>
      </c>
    </row>
    <row r="7" spans="1:21" x14ac:dyDescent="0.3">
      <c r="A7">
        <v>20411454</v>
      </c>
      <c r="B7" t="s">
        <v>22</v>
      </c>
      <c r="C7">
        <v>21646325</v>
      </c>
      <c r="D7" t="s">
        <v>23</v>
      </c>
      <c r="E7" t="s">
        <v>24</v>
      </c>
      <c r="F7" t="s">
        <v>25</v>
      </c>
      <c r="G7" t="s">
        <v>26</v>
      </c>
      <c r="H7" t="s">
        <v>27</v>
      </c>
      <c r="I7" t="s">
        <v>23</v>
      </c>
      <c r="J7" t="s">
        <v>28</v>
      </c>
      <c r="K7" t="s">
        <v>29</v>
      </c>
      <c r="L7" t="s">
        <v>30</v>
      </c>
      <c r="M7" t="s">
        <v>37</v>
      </c>
      <c r="N7" s="3" t="s">
        <v>38</v>
      </c>
      <c r="O7" t="s">
        <v>39</v>
      </c>
      <c r="P7" s="1">
        <v>46082</v>
      </c>
      <c r="Q7" t="s">
        <v>0</v>
      </c>
      <c r="R7" t="s">
        <v>34</v>
      </c>
      <c r="S7" t="s">
        <v>35</v>
      </c>
      <c r="T7" t="s">
        <v>36</v>
      </c>
      <c r="U7">
        <v>60</v>
      </c>
    </row>
    <row r="8" spans="1:21" x14ac:dyDescent="0.3">
      <c r="A8">
        <v>20411454</v>
      </c>
      <c r="B8" t="s">
        <v>22</v>
      </c>
      <c r="C8">
        <v>21646325</v>
      </c>
      <c r="D8" t="s">
        <v>23</v>
      </c>
      <c r="E8" t="s">
        <v>24</v>
      </c>
      <c r="F8" t="s">
        <v>25</v>
      </c>
      <c r="G8" t="s">
        <v>26</v>
      </c>
      <c r="H8" t="s">
        <v>27</v>
      </c>
      <c r="I8" t="s">
        <v>23</v>
      </c>
      <c r="J8" t="s">
        <v>28</v>
      </c>
      <c r="K8" t="s">
        <v>29</v>
      </c>
      <c r="L8" t="s">
        <v>30</v>
      </c>
      <c r="M8" t="s">
        <v>37</v>
      </c>
      <c r="N8" s="3" t="s">
        <v>38</v>
      </c>
      <c r="O8" t="s">
        <v>39</v>
      </c>
      <c r="P8" s="1">
        <v>46082</v>
      </c>
      <c r="Q8" t="s">
        <v>0</v>
      </c>
      <c r="R8" t="s">
        <v>34</v>
      </c>
      <c r="S8" t="s">
        <v>35</v>
      </c>
      <c r="T8" t="s">
        <v>36</v>
      </c>
      <c r="U8">
        <v>50</v>
      </c>
    </row>
    <row r="9" spans="1:21" x14ac:dyDescent="0.3">
      <c r="A9">
        <v>20411454</v>
      </c>
      <c r="B9" t="s">
        <v>22</v>
      </c>
      <c r="C9">
        <v>21646325</v>
      </c>
      <c r="D9" t="s">
        <v>23</v>
      </c>
      <c r="E9" t="s">
        <v>24</v>
      </c>
      <c r="F9" t="s">
        <v>25</v>
      </c>
      <c r="G9" t="s">
        <v>26</v>
      </c>
      <c r="H9" t="s">
        <v>27</v>
      </c>
      <c r="I9" t="s">
        <v>23</v>
      </c>
      <c r="J9" t="s">
        <v>28</v>
      </c>
      <c r="K9" t="s">
        <v>29</v>
      </c>
      <c r="L9" t="s">
        <v>30</v>
      </c>
      <c r="M9" t="s">
        <v>37</v>
      </c>
      <c r="N9" s="3" t="s">
        <v>38</v>
      </c>
      <c r="O9" t="s">
        <v>39</v>
      </c>
      <c r="P9" s="1">
        <v>46082</v>
      </c>
      <c r="Q9" t="s">
        <v>0</v>
      </c>
      <c r="R9" t="s">
        <v>34</v>
      </c>
      <c r="S9" t="s">
        <v>35</v>
      </c>
      <c r="T9" t="s">
        <v>36</v>
      </c>
      <c r="U9">
        <v>50</v>
      </c>
    </row>
    <row r="10" spans="1:21" x14ac:dyDescent="0.3">
      <c r="A10">
        <v>20411454</v>
      </c>
      <c r="B10" t="s">
        <v>22</v>
      </c>
      <c r="C10">
        <v>21646325</v>
      </c>
      <c r="D10" t="s">
        <v>23</v>
      </c>
      <c r="E10" t="s">
        <v>24</v>
      </c>
      <c r="F10" t="s">
        <v>25</v>
      </c>
      <c r="G10" t="s">
        <v>26</v>
      </c>
      <c r="H10" t="s">
        <v>27</v>
      </c>
      <c r="I10" t="s">
        <v>23</v>
      </c>
      <c r="J10" t="s">
        <v>28</v>
      </c>
      <c r="K10" t="s">
        <v>29</v>
      </c>
      <c r="L10" t="s">
        <v>30</v>
      </c>
      <c r="M10" t="s">
        <v>40</v>
      </c>
      <c r="N10" s="3" t="s">
        <v>41</v>
      </c>
      <c r="O10" t="s">
        <v>42</v>
      </c>
      <c r="P10" s="1">
        <v>46082</v>
      </c>
      <c r="Q10" t="s">
        <v>0</v>
      </c>
      <c r="R10" t="s">
        <v>34</v>
      </c>
      <c r="S10" t="s">
        <v>35</v>
      </c>
      <c r="T10" t="s">
        <v>36</v>
      </c>
      <c r="U10">
        <v>40</v>
      </c>
    </row>
    <row r="11" spans="1:21" x14ac:dyDescent="0.3">
      <c r="A11">
        <v>20411454</v>
      </c>
      <c r="B11" t="s">
        <v>22</v>
      </c>
      <c r="C11">
        <v>21646325</v>
      </c>
      <c r="D11" t="s">
        <v>23</v>
      </c>
      <c r="E11" t="s">
        <v>24</v>
      </c>
      <c r="F11" t="s">
        <v>25</v>
      </c>
      <c r="G11" t="s">
        <v>26</v>
      </c>
      <c r="H11" t="s">
        <v>27</v>
      </c>
      <c r="I11" t="s">
        <v>23</v>
      </c>
      <c r="J11" t="s">
        <v>28</v>
      </c>
      <c r="K11" t="s">
        <v>29</v>
      </c>
      <c r="L11" t="s">
        <v>30</v>
      </c>
      <c r="M11" t="s">
        <v>40</v>
      </c>
      <c r="N11" s="3" t="s">
        <v>41</v>
      </c>
      <c r="O11" t="s">
        <v>42</v>
      </c>
      <c r="P11" s="1">
        <v>46082</v>
      </c>
      <c r="Q11" t="s">
        <v>0</v>
      </c>
      <c r="R11" t="s">
        <v>34</v>
      </c>
      <c r="S11" t="s">
        <v>35</v>
      </c>
      <c r="T11" t="s">
        <v>36</v>
      </c>
      <c r="U11">
        <v>60</v>
      </c>
    </row>
    <row r="12" spans="1:21" x14ac:dyDescent="0.3">
      <c r="A12">
        <v>20411454</v>
      </c>
      <c r="B12" t="s">
        <v>22</v>
      </c>
      <c r="C12">
        <v>21646325</v>
      </c>
      <c r="D12" t="s">
        <v>23</v>
      </c>
      <c r="E12" t="s">
        <v>24</v>
      </c>
      <c r="F12" t="s">
        <v>25</v>
      </c>
      <c r="G12" t="s">
        <v>26</v>
      </c>
      <c r="H12" t="s">
        <v>27</v>
      </c>
      <c r="I12" t="s">
        <v>23</v>
      </c>
      <c r="J12" t="s">
        <v>28</v>
      </c>
      <c r="K12" t="s">
        <v>29</v>
      </c>
      <c r="L12" t="s">
        <v>30</v>
      </c>
      <c r="M12" t="s">
        <v>40</v>
      </c>
      <c r="N12" s="3" t="s">
        <v>41</v>
      </c>
      <c r="O12" t="s">
        <v>42</v>
      </c>
      <c r="P12" s="1">
        <v>46082</v>
      </c>
      <c r="Q12" t="s">
        <v>0</v>
      </c>
      <c r="R12" t="s">
        <v>34</v>
      </c>
      <c r="S12" t="s">
        <v>35</v>
      </c>
      <c r="T12" t="s">
        <v>36</v>
      </c>
      <c r="U12">
        <v>50</v>
      </c>
    </row>
    <row r="13" spans="1:21" x14ac:dyDescent="0.3">
      <c r="A13">
        <v>20411454</v>
      </c>
      <c r="B13" t="s">
        <v>22</v>
      </c>
      <c r="C13">
        <v>21646325</v>
      </c>
      <c r="D13" t="s">
        <v>23</v>
      </c>
      <c r="E13" t="s">
        <v>24</v>
      </c>
      <c r="F13" t="s">
        <v>25</v>
      </c>
      <c r="G13" t="s">
        <v>26</v>
      </c>
      <c r="H13" t="s">
        <v>27</v>
      </c>
      <c r="I13" t="s">
        <v>23</v>
      </c>
      <c r="J13" t="s">
        <v>28</v>
      </c>
      <c r="K13" t="s">
        <v>29</v>
      </c>
      <c r="L13" t="s">
        <v>30</v>
      </c>
      <c r="M13" t="s">
        <v>40</v>
      </c>
      <c r="N13" s="3" t="s">
        <v>41</v>
      </c>
      <c r="O13" t="s">
        <v>42</v>
      </c>
      <c r="P13" s="1">
        <v>46082</v>
      </c>
      <c r="Q13" t="s">
        <v>0</v>
      </c>
      <c r="R13" t="s">
        <v>34</v>
      </c>
      <c r="S13" t="s">
        <v>35</v>
      </c>
      <c r="T13" t="s">
        <v>36</v>
      </c>
      <c r="U13">
        <v>50</v>
      </c>
    </row>
    <row r="14" spans="1:21" x14ac:dyDescent="0.3">
      <c r="A14">
        <v>20411454</v>
      </c>
      <c r="B14" t="s">
        <v>22</v>
      </c>
      <c r="C14">
        <v>9213293</v>
      </c>
      <c r="D14" t="s">
        <v>43</v>
      </c>
      <c r="E14" t="s">
        <v>24</v>
      </c>
      <c r="F14" t="s">
        <v>25</v>
      </c>
      <c r="G14" t="s">
        <v>26</v>
      </c>
      <c r="H14" t="s">
        <v>44</v>
      </c>
      <c r="I14" t="s">
        <v>43</v>
      </c>
      <c r="J14" t="s">
        <v>45</v>
      </c>
      <c r="K14" t="s">
        <v>29</v>
      </c>
      <c r="L14" t="s">
        <v>30</v>
      </c>
      <c r="M14" t="s">
        <v>46</v>
      </c>
      <c r="N14" s="3" t="s">
        <v>47</v>
      </c>
      <c r="O14" t="s">
        <v>48</v>
      </c>
      <c r="P14" s="1">
        <v>46082</v>
      </c>
      <c r="Q14" t="s">
        <v>0</v>
      </c>
      <c r="R14" t="s">
        <v>34</v>
      </c>
      <c r="S14" t="s">
        <v>35</v>
      </c>
      <c r="T14" t="s">
        <v>36</v>
      </c>
      <c r="U14">
        <v>40</v>
      </c>
    </row>
    <row r="15" spans="1:21" x14ac:dyDescent="0.3">
      <c r="A15">
        <v>20411454</v>
      </c>
      <c r="B15" t="s">
        <v>22</v>
      </c>
      <c r="C15">
        <v>9213293</v>
      </c>
      <c r="D15" t="s">
        <v>43</v>
      </c>
      <c r="E15" t="s">
        <v>24</v>
      </c>
      <c r="F15" t="s">
        <v>25</v>
      </c>
      <c r="G15" t="s">
        <v>26</v>
      </c>
      <c r="H15" t="s">
        <v>44</v>
      </c>
      <c r="I15" t="s">
        <v>43</v>
      </c>
      <c r="J15" t="s">
        <v>45</v>
      </c>
      <c r="K15" t="s">
        <v>29</v>
      </c>
      <c r="L15" t="s">
        <v>30</v>
      </c>
      <c r="M15" t="s">
        <v>46</v>
      </c>
      <c r="N15" s="3" t="s">
        <v>47</v>
      </c>
      <c r="O15" t="s">
        <v>48</v>
      </c>
      <c r="P15" s="1">
        <v>46082</v>
      </c>
      <c r="Q15" t="s">
        <v>0</v>
      </c>
      <c r="R15" t="s">
        <v>34</v>
      </c>
      <c r="S15" t="s">
        <v>35</v>
      </c>
      <c r="T15" t="s">
        <v>36</v>
      </c>
      <c r="U15">
        <v>60</v>
      </c>
    </row>
    <row r="16" spans="1:21" x14ac:dyDescent="0.3">
      <c r="A16">
        <v>20411454</v>
      </c>
      <c r="B16" t="s">
        <v>22</v>
      </c>
      <c r="C16">
        <v>9213293</v>
      </c>
      <c r="D16" t="s">
        <v>43</v>
      </c>
      <c r="E16" t="s">
        <v>24</v>
      </c>
      <c r="F16" t="s">
        <v>25</v>
      </c>
      <c r="G16" t="s">
        <v>26</v>
      </c>
      <c r="H16" t="s">
        <v>44</v>
      </c>
      <c r="I16" t="s">
        <v>43</v>
      </c>
      <c r="J16" t="s">
        <v>45</v>
      </c>
      <c r="K16" t="s">
        <v>29</v>
      </c>
      <c r="L16" t="s">
        <v>30</v>
      </c>
      <c r="M16" t="s">
        <v>46</v>
      </c>
      <c r="N16" s="3" t="s">
        <v>47</v>
      </c>
      <c r="O16" t="s">
        <v>48</v>
      </c>
      <c r="P16" s="1">
        <v>46082</v>
      </c>
      <c r="Q16" t="s">
        <v>0</v>
      </c>
      <c r="R16" t="s">
        <v>34</v>
      </c>
      <c r="S16" t="s">
        <v>35</v>
      </c>
      <c r="T16" t="s">
        <v>36</v>
      </c>
      <c r="U16">
        <v>50</v>
      </c>
    </row>
    <row r="17" spans="1:21" x14ac:dyDescent="0.3">
      <c r="A17">
        <v>20411454</v>
      </c>
      <c r="B17" t="s">
        <v>22</v>
      </c>
      <c r="C17">
        <v>9213293</v>
      </c>
      <c r="D17" t="s">
        <v>43</v>
      </c>
      <c r="E17" t="s">
        <v>24</v>
      </c>
      <c r="F17" t="s">
        <v>25</v>
      </c>
      <c r="G17" t="s">
        <v>26</v>
      </c>
      <c r="H17" t="s">
        <v>44</v>
      </c>
      <c r="I17" t="s">
        <v>43</v>
      </c>
      <c r="J17" t="s">
        <v>45</v>
      </c>
      <c r="K17" t="s">
        <v>29</v>
      </c>
      <c r="L17" t="s">
        <v>30</v>
      </c>
      <c r="M17" t="s">
        <v>46</v>
      </c>
      <c r="N17" s="3" t="s">
        <v>47</v>
      </c>
      <c r="O17" t="s">
        <v>48</v>
      </c>
      <c r="P17" s="1">
        <v>46082</v>
      </c>
      <c r="Q17" t="s">
        <v>0</v>
      </c>
      <c r="R17" t="s">
        <v>34</v>
      </c>
      <c r="S17" t="s">
        <v>35</v>
      </c>
      <c r="T17" t="s">
        <v>36</v>
      </c>
      <c r="U17">
        <v>50</v>
      </c>
    </row>
    <row r="18" spans="1:21" x14ac:dyDescent="0.3">
      <c r="A18">
        <v>20411454</v>
      </c>
      <c r="B18" t="s">
        <v>22</v>
      </c>
      <c r="C18">
        <v>9213293</v>
      </c>
      <c r="D18" t="s">
        <v>43</v>
      </c>
      <c r="E18" t="s">
        <v>24</v>
      </c>
      <c r="F18" t="s">
        <v>25</v>
      </c>
      <c r="G18" t="s">
        <v>26</v>
      </c>
      <c r="H18" t="s">
        <v>44</v>
      </c>
      <c r="I18" t="s">
        <v>43</v>
      </c>
      <c r="J18" t="s">
        <v>45</v>
      </c>
      <c r="K18" t="s">
        <v>29</v>
      </c>
      <c r="L18" t="s">
        <v>30</v>
      </c>
      <c r="M18" t="s">
        <v>46</v>
      </c>
      <c r="N18" s="3" t="s">
        <v>47</v>
      </c>
      <c r="O18" t="s">
        <v>48</v>
      </c>
      <c r="P18" s="1">
        <v>46082</v>
      </c>
      <c r="Q18" t="s">
        <v>0</v>
      </c>
      <c r="R18" t="s">
        <v>34</v>
      </c>
      <c r="S18" t="s">
        <v>35</v>
      </c>
      <c r="T18" t="s">
        <v>49</v>
      </c>
      <c r="U18">
        <v>289.17</v>
      </c>
    </row>
    <row r="19" spans="1:21" x14ac:dyDescent="0.3">
      <c r="A19">
        <v>20411454</v>
      </c>
      <c r="B19" t="s">
        <v>22</v>
      </c>
      <c r="C19">
        <v>18828278</v>
      </c>
      <c r="D19" t="s">
        <v>50</v>
      </c>
      <c r="E19" t="s">
        <v>24</v>
      </c>
      <c r="F19" t="s">
        <v>25</v>
      </c>
      <c r="G19" t="s">
        <v>26</v>
      </c>
      <c r="H19" t="s">
        <v>51</v>
      </c>
      <c r="I19" t="s">
        <v>50</v>
      </c>
      <c r="J19" t="s">
        <v>52</v>
      </c>
      <c r="K19" t="s">
        <v>29</v>
      </c>
      <c r="L19" t="s">
        <v>53</v>
      </c>
      <c r="M19" t="s">
        <v>54</v>
      </c>
      <c r="N19" s="3" t="s">
        <v>55</v>
      </c>
      <c r="O19" t="s">
        <v>56</v>
      </c>
      <c r="P19" s="1">
        <v>46082</v>
      </c>
      <c r="Q19" t="s">
        <v>0</v>
      </c>
      <c r="R19" t="s">
        <v>34</v>
      </c>
      <c r="S19" t="s">
        <v>35</v>
      </c>
      <c r="T19" t="s">
        <v>36</v>
      </c>
      <c r="U19">
        <v>40</v>
      </c>
    </row>
    <row r="20" spans="1:21" x14ac:dyDescent="0.3">
      <c r="A20">
        <v>20411454</v>
      </c>
      <c r="B20" t="s">
        <v>22</v>
      </c>
      <c r="C20">
        <v>18828278</v>
      </c>
      <c r="D20" t="s">
        <v>50</v>
      </c>
      <c r="E20" t="s">
        <v>24</v>
      </c>
      <c r="F20" t="s">
        <v>25</v>
      </c>
      <c r="G20" t="s">
        <v>26</v>
      </c>
      <c r="H20" t="s">
        <v>51</v>
      </c>
      <c r="I20" t="s">
        <v>50</v>
      </c>
      <c r="J20" t="s">
        <v>52</v>
      </c>
      <c r="K20" t="s">
        <v>29</v>
      </c>
      <c r="L20" t="s">
        <v>53</v>
      </c>
      <c r="M20" t="s">
        <v>54</v>
      </c>
      <c r="N20" s="3" t="s">
        <v>55</v>
      </c>
      <c r="O20" t="s">
        <v>56</v>
      </c>
      <c r="P20" s="1">
        <v>46082</v>
      </c>
      <c r="Q20" t="s">
        <v>0</v>
      </c>
      <c r="R20" t="s">
        <v>34</v>
      </c>
      <c r="S20" t="s">
        <v>35</v>
      </c>
      <c r="T20" t="s">
        <v>36</v>
      </c>
      <c r="U20">
        <v>60</v>
      </c>
    </row>
    <row r="21" spans="1:21" x14ac:dyDescent="0.3">
      <c r="A21">
        <v>20411454</v>
      </c>
      <c r="B21" t="s">
        <v>22</v>
      </c>
      <c r="C21">
        <v>18828278</v>
      </c>
      <c r="D21" t="s">
        <v>50</v>
      </c>
      <c r="E21" t="s">
        <v>24</v>
      </c>
      <c r="F21" t="s">
        <v>25</v>
      </c>
      <c r="G21" t="s">
        <v>26</v>
      </c>
      <c r="H21" t="s">
        <v>51</v>
      </c>
      <c r="I21" t="s">
        <v>50</v>
      </c>
      <c r="J21" t="s">
        <v>52</v>
      </c>
      <c r="K21" t="s">
        <v>29</v>
      </c>
      <c r="L21" t="s">
        <v>53</v>
      </c>
      <c r="M21" t="s">
        <v>54</v>
      </c>
      <c r="N21" s="3" t="s">
        <v>55</v>
      </c>
      <c r="O21" t="s">
        <v>56</v>
      </c>
      <c r="P21" s="1">
        <v>46082</v>
      </c>
      <c r="Q21" t="s">
        <v>0</v>
      </c>
      <c r="R21" t="s">
        <v>34</v>
      </c>
      <c r="S21" t="s">
        <v>35</v>
      </c>
      <c r="T21" t="s">
        <v>36</v>
      </c>
      <c r="U21">
        <v>50</v>
      </c>
    </row>
    <row r="22" spans="1:21" x14ac:dyDescent="0.3">
      <c r="A22">
        <v>20411454</v>
      </c>
      <c r="B22" t="s">
        <v>22</v>
      </c>
      <c r="C22">
        <v>18828278</v>
      </c>
      <c r="D22" t="s">
        <v>50</v>
      </c>
      <c r="E22" t="s">
        <v>24</v>
      </c>
      <c r="F22" t="s">
        <v>25</v>
      </c>
      <c r="G22" t="s">
        <v>26</v>
      </c>
      <c r="H22" t="s">
        <v>51</v>
      </c>
      <c r="I22" t="s">
        <v>50</v>
      </c>
      <c r="J22" t="s">
        <v>52</v>
      </c>
      <c r="K22" t="s">
        <v>29</v>
      </c>
      <c r="L22" t="s">
        <v>53</v>
      </c>
      <c r="M22" t="s">
        <v>54</v>
      </c>
      <c r="N22" s="3" t="s">
        <v>55</v>
      </c>
      <c r="O22" t="s">
        <v>56</v>
      </c>
      <c r="P22" s="1">
        <v>46082</v>
      </c>
      <c r="Q22" t="s">
        <v>0</v>
      </c>
      <c r="R22" t="s">
        <v>34</v>
      </c>
      <c r="S22" t="s">
        <v>35</v>
      </c>
      <c r="T22" t="s">
        <v>36</v>
      </c>
      <c r="U22">
        <v>50</v>
      </c>
    </row>
    <row r="23" spans="1:21" x14ac:dyDescent="0.3">
      <c r="A23">
        <v>20411454</v>
      </c>
      <c r="B23" t="s">
        <v>22</v>
      </c>
      <c r="C23">
        <v>19491313</v>
      </c>
      <c r="D23" t="s">
        <v>57</v>
      </c>
      <c r="E23" t="s">
        <v>58</v>
      </c>
      <c r="F23" t="s">
        <v>25</v>
      </c>
      <c r="G23" t="s">
        <v>59</v>
      </c>
      <c r="H23" t="s">
        <v>60</v>
      </c>
      <c r="I23" t="s">
        <v>57</v>
      </c>
      <c r="J23" t="s">
        <v>61</v>
      </c>
      <c r="K23" t="s">
        <v>62</v>
      </c>
      <c r="L23" t="s">
        <v>63</v>
      </c>
      <c r="M23" t="s">
        <v>64</v>
      </c>
      <c r="N23" s="3" t="s">
        <v>65</v>
      </c>
      <c r="O23" t="s">
        <v>66</v>
      </c>
      <c r="P23" s="2">
        <v>46023</v>
      </c>
      <c r="Q23" t="s">
        <v>0</v>
      </c>
      <c r="R23" t="s">
        <v>34</v>
      </c>
      <c r="S23" t="s">
        <v>35</v>
      </c>
      <c r="T23" t="s">
        <v>36</v>
      </c>
      <c r="U23">
        <v>1.67</v>
      </c>
    </row>
    <row r="24" spans="1:21" x14ac:dyDescent="0.3">
      <c r="A24">
        <v>20411454</v>
      </c>
      <c r="B24" t="s">
        <v>22</v>
      </c>
      <c r="C24">
        <v>19491313</v>
      </c>
      <c r="D24" t="s">
        <v>57</v>
      </c>
      <c r="E24" t="s">
        <v>58</v>
      </c>
      <c r="F24" t="s">
        <v>25</v>
      </c>
      <c r="G24" t="s">
        <v>59</v>
      </c>
      <c r="H24" t="s">
        <v>60</v>
      </c>
      <c r="I24" t="s">
        <v>57</v>
      </c>
      <c r="J24" t="s">
        <v>61</v>
      </c>
      <c r="K24" t="s">
        <v>62</v>
      </c>
      <c r="L24" t="s">
        <v>63</v>
      </c>
      <c r="M24" t="s">
        <v>64</v>
      </c>
      <c r="N24" s="3" t="s">
        <v>65</v>
      </c>
      <c r="O24" t="s">
        <v>66</v>
      </c>
      <c r="P24" s="2">
        <v>46023</v>
      </c>
      <c r="Q24" t="s">
        <v>0</v>
      </c>
      <c r="R24" t="s">
        <v>34</v>
      </c>
      <c r="S24" t="s">
        <v>35</v>
      </c>
      <c r="T24" t="s">
        <v>36</v>
      </c>
      <c r="U24">
        <v>4.58</v>
      </c>
    </row>
    <row r="25" spans="1:21" x14ac:dyDescent="0.3">
      <c r="A25">
        <v>20411454</v>
      </c>
      <c r="B25" t="s">
        <v>22</v>
      </c>
      <c r="C25">
        <v>19491313</v>
      </c>
      <c r="D25" t="s">
        <v>57</v>
      </c>
      <c r="E25" t="s">
        <v>58</v>
      </c>
      <c r="F25" t="s">
        <v>25</v>
      </c>
      <c r="G25" t="s">
        <v>59</v>
      </c>
      <c r="H25" t="s">
        <v>60</v>
      </c>
      <c r="I25" t="s">
        <v>57</v>
      </c>
      <c r="J25" t="s">
        <v>61</v>
      </c>
      <c r="K25" t="s">
        <v>62</v>
      </c>
      <c r="L25" t="s">
        <v>63</v>
      </c>
      <c r="M25" t="s">
        <v>64</v>
      </c>
      <c r="N25" s="3" t="s">
        <v>65</v>
      </c>
      <c r="O25" t="s">
        <v>66</v>
      </c>
      <c r="P25" s="2">
        <v>46023</v>
      </c>
      <c r="Q25" t="s">
        <v>0</v>
      </c>
      <c r="R25" t="s">
        <v>34</v>
      </c>
      <c r="S25" t="s">
        <v>35</v>
      </c>
      <c r="T25" t="s">
        <v>36</v>
      </c>
      <c r="U25">
        <v>2.08</v>
      </c>
    </row>
    <row r="26" spans="1:21" x14ac:dyDescent="0.3">
      <c r="A26">
        <v>20411454</v>
      </c>
      <c r="B26" t="s">
        <v>22</v>
      </c>
      <c r="C26">
        <v>19491313</v>
      </c>
      <c r="D26" t="s">
        <v>57</v>
      </c>
      <c r="E26" t="s">
        <v>58</v>
      </c>
      <c r="F26" t="s">
        <v>25</v>
      </c>
      <c r="G26" t="s">
        <v>59</v>
      </c>
      <c r="H26" t="s">
        <v>60</v>
      </c>
      <c r="I26" t="s">
        <v>57</v>
      </c>
      <c r="J26" t="s">
        <v>61</v>
      </c>
      <c r="K26" t="s">
        <v>62</v>
      </c>
      <c r="L26" t="s">
        <v>63</v>
      </c>
      <c r="M26" t="s">
        <v>64</v>
      </c>
      <c r="N26" s="3" t="s">
        <v>65</v>
      </c>
      <c r="O26" t="s">
        <v>66</v>
      </c>
      <c r="P26" s="2">
        <v>46023</v>
      </c>
      <c r="Q26" t="s">
        <v>0</v>
      </c>
      <c r="R26" t="s">
        <v>34</v>
      </c>
      <c r="S26" t="s">
        <v>35</v>
      </c>
      <c r="T26" t="s">
        <v>36</v>
      </c>
      <c r="U26">
        <v>2.08</v>
      </c>
    </row>
    <row r="27" spans="1:21" x14ac:dyDescent="0.3">
      <c r="A27">
        <v>20411454</v>
      </c>
      <c r="B27" t="s">
        <v>22</v>
      </c>
      <c r="C27">
        <v>19491313</v>
      </c>
      <c r="D27" t="s">
        <v>57</v>
      </c>
      <c r="E27" t="s">
        <v>58</v>
      </c>
      <c r="F27" t="s">
        <v>25</v>
      </c>
      <c r="G27" t="s">
        <v>59</v>
      </c>
      <c r="H27" t="s">
        <v>60</v>
      </c>
      <c r="I27" t="s">
        <v>57</v>
      </c>
      <c r="J27" t="s">
        <v>61</v>
      </c>
      <c r="K27" t="s">
        <v>62</v>
      </c>
      <c r="L27" t="s">
        <v>63</v>
      </c>
      <c r="M27" t="s">
        <v>64</v>
      </c>
      <c r="N27" s="3" t="s">
        <v>65</v>
      </c>
      <c r="O27" t="s">
        <v>66</v>
      </c>
      <c r="P27" s="2">
        <v>46023</v>
      </c>
      <c r="Q27" t="s">
        <v>0</v>
      </c>
      <c r="R27" t="s">
        <v>34</v>
      </c>
      <c r="S27" t="s">
        <v>35</v>
      </c>
      <c r="T27" t="s">
        <v>49</v>
      </c>
      <c r="U27">
        <v>28.92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7F516-CAE3-4315-ADA7-312B89FD34FA}">
  <dimension ref="A1:N27"/>
  <sheetViews>
    <sheetView workbookViewId="0">
      <selection activeCell="N2" sqref="N2:N27"/>
    </sheetView>
  </sheetViews>
  <sheetFormatPr defaultRowHeight="14.4" x14ac:dyDescent="0.3"/>
  <cols>
    <col min="1" max="2" width="15" customWidth="1"/>
    <col min="3" max="3" width="13.6640625" bestFit="1" customWidth="1"/>
    <col min="4" max="4" width="10.21875" customWidth="1"/>
    <col min="5" max="5" width="14" customWidth="1"/>
    <col min="6" max="6" width="17.33203125" bestFit="1" customWidth="1"/>
    <col min="7" max="7" width="13" bestFit="1" customWidth="1"/>
    <col min="8" max="8" width="15.33203125" bestFit="1" customWidth="1"/>
    <col min="9" max="9" width="24.88671875" bestFit="1" customWidth="1"/>
    <col min="10" max="10" width="15" bestFit="1" customWidth="1"/>
    <col min="11" max="11" width="10.88671875" bestFit="1" customWidth="1"/>
    <col min="12" max="12" width="12" bestFit="1" customWidth="1"/>
    <col min="13" max="13" width="18.21875" bestFit="1" customWidth="1"/>
  </cols>
  <sheetData>
    <row r="1" spans="1:13" x14ac:dyDescent="0.3">
      <c r="A1" t="s">
        <v>3</v>
      </c>
      <c r="B1" t="s">
        <v>4</v>
      </c>
      <c r="C1" t="s">
        <v>5</v>
      </c>
      <c r="D1" t="s">
        <v>6</v>
      </c>
      <c r="E1" t="s">
        <v>8</v>
      </c>
      <c r="F1" t="s">
        <v>9</v>
      </c>
      <c r="G1" t="s">
        <v>13</v>
      </c>
      <c r="I1" s="3" t="s">
        <v>14</v>
      </c>
      <c r="J1" t="s">
        <v>16</v>
      </c>
      <c r="K1" t="s">
        <v>20</v>
      </c>
      <c r="L1" t="s">
        <v>21</v>
      </c>
    </row>
    <row r="2" spans="1:13" s="4" customFormat="1" x14ac:dyDescent="0.3">
      <c r="A2" s="4">
        <v>21646325</v>
      </c>
      <c r="B2" s="4" t="s">
        <v>23</v>
      </c>
      <c r="C2" s="4" t="s">
        <v>24</v>
      </c>
      <c r="D2" s="5">
        <v>202603</v>
      </c>
      <c r="E2" s="5">
        <v>20411454</v>
      </c>
      <c r="F2" s="4" t="s">
        <v>71</v>
      </c>
      <c r="G2" s="4" t="s">
        <v>31</v>
      </c>
      <c r="H2" s="4" t="str">
        <f>_xlfn.CONCAT(G2,"OVR")</f>
        <v>M000545059OVR</v>
      </c>
      <c r="I2" s="6" t="s">
        <v>32</v>
      </c>
      <c r="J2" s="10">
        <v>46082</v>
      </c>
      <c r="K2" s="4" t="s">
        <v>36</v>
      </c>
      <c r="L2" s="4">
        <v>40</v>
      </c>
      <c r="M2" s="4" t="s">
        <v>67</v>
      </c>
    </row>
    <row r="3" spans="1:13" s="4" customFormat="1" x14ac:dyDescent="0.3">
      <c r="A3" s="4">
        <v>21646325</v>
      </c>
      <c r="B3" s="4" t="s">
        <v>23</v>
      </c>
      <c r="C3" s="4" t="s">
        <v>24</v>
      </c>
      <c r="D3" s="5">
        <v>202603</v>
      </c>
      <c r="E3" s="5">
        <v>20411454</v>
      </c>
      <c r="F3" s="4" t="s">
        <v>71</v>
      </c>
      <c r="G3" s="4" t="s">
        <v>31</v>
      </c>
      <c r="H3" s="4" t="str">
        <f t="shared" ref="H3:H17" si="0">_xlfn.CONCAT(G3,"OVR")</f>
        <v>M000545059OVR</v>
      </c>
      <c r="I3" s="6" t="s">
        <v>32</v>
      </c>
      <c r="J3" s="10">
        <v>46082</v>
      </c>
      <c r="K3" s="4" t="s">
        <v>36</v>
      </c>
      <c r="L3" s="4">
        <v>60</v>
      </c>
      <c r="M3" s="4" t="s">
        <v>67</v>
      </c>
    </row>
    <row r="4" spans="1:13" s="4" customFormat="1" x14ac:dyDescent="0.3">
      <c r="A4" s="4">
        <v>21646325</v>
      </c>
      <c r="B4" s="4" t="s">
        <v>23</v>
      </c>
      <c r="C4" s="4" t="s">
        <v>24</v>
      </c>
      <c r="D4" s="5">
        <v>202603</v>
      </c>
      <c r="E4" s="5">
        <v>20411454</v>
      </c>
      <c r="F4" s="4" t="s">
        <v>71</v>
      </c>
      <c r="G4" s="4" t="s">
        <v>31</v>
      </c>
      <c r="H4" s="4" t="str">
        <f t="shared" si="0"/>
        <v>M000545059OVR</v>
      </c>
      <c r="I4" s="6" t="s">
        <v>32</v>
      </c>
      <c r="J4" s="10">
        <v>46082</v>
      </c>
      <c r="K4" s="4" t="s">
        <v>36</v>
      </c>
      <c r="L4" s="4">
        <v>50</v>
      </c>
      <c r="M4" s="4" t="s">
        <v>67</v>
      </c>
    </row>
    <row r="5" spans="1:13" s="4" customFormat="1" x14ac:dyDescent="0.3">
      <c r="A5" s="4">
        <v>21646325</v>
      </c>
      <c r="B5" s="4" t="s">
        <v>23</v>
      </c>
      <c r="C5" s="4" t="s">
        <v>24</v>
      </c>
      <c r="D5" s="5">
        <v>202603</v>
      </c>
      <c r="E5" s="5">
        <v>20411454</v>
      </c>
      <c r="F5" s="4" t="s">
        <v>71</v>
      </c>
      <c r="G5" s="4" t="s">
        <v>31</v>
      </c>
      <c r="H5" s="4" t="str">
        <f t="shared" si="0"/>
        <v>M000545059OVR</v>
      </c>
      <c r="I5" s="6" t="s">
        <v>32</v>
      </c>
      <c r="J5" s="10">
        <v>46082</v>
      </c>
      <c r="K5" s="4" t="s">
        <v>36</v>
      </c>
      <c r="L5" s="4">
        <v>50</v>
      </c>
      <c r="M5" s="4" t="s">
        <v>67</v>
      </c>
    </row>
    <row r="6" spans="1:13" s="4" customFormat="1" x14ac:dyDescent="0.3">
      <c r="A6" s="4">
        <v>21646325</v>
      </c>
      <c r="B6" s="4" t="s">
        <v>23</v>
      </c>
      <c r="C6" s="4" t="s">
        <v>24</v>
      </c>
      <c r="D6" s="5">
        <v>202603</v>
      </c>
      <c r="E6" s="5">
        <v>20411454</v>
      </c>
      <c r="F6" s="4" t="s">
        <v>71</v>
      </c>
      <c r="G6" s="4" t="s">
        <v>37</v>
      </c>
      <c r="H6" s="4" t="str">
        <f t="shared" si="0"/>
        <v>M000545053OVR</v>
      </c>
      <c r="I6" s="6" t="s">
        <v>38</v>
      </c>
      <c r="J6" s="10">
        <v>46082</v>
      </c>
      <c r="K6" s="4" t="s">
        <v>36</v>
      </c>
      <c r="L6" s="4">
        <v>40</v>
      </c>
      <c r="M6" s="4" t="s">
        <v>67</v>
      </c>
    </row>
    <row r="7" spans="1:13" s="4" customFormat="1" x14ac:dyDescent="0.3">
      <c r="A7" s="4">
        <v>21646325</v>
      </c>
      <c r="B7" s="4" t="s">
        <v>23</v>
      </c>
      <c r="C7" s="4" t="s">
        <v>24</v>
      </c>
      <c r="D7" s="5">
        <v>202603</v>
      </c>
      <c r="E7" s="5">
        <v>20411454</v>
      </c>
      <c r="F7" s="4" t="s">
        <v>71</v>
      </c>
      <c r="G7" s="4" t="s">
        <v>37</v>
      </c>
      <c r="H7" s="4" t="str">
        <f t="shared" si="0"/>
        <v>M000545053OVR</v>
      </c>
      <c r="I7" s="6" t="s">
        <v>38</v>
      </c>
      <c r="J7" s="10">
        <v>46082</v>
      </c>
      <c r="K7" s="4" t="s">
        <v>36</v>
      </c>
      <c r="L7" s="4">
        <v>60</v>
      </c>
      <c r="M7" s="4" t="s">
        <v>67</v>
      </c>
    </row>
    <row r="8" spans="1:13" s="4" customFormat="1" x14ac:dyDescent="0.3">
      <c r="A8" s="4">
        <v>21646325</v>
      </c>
      <c r="B8" s="4" t="s">
        <v>23</v>
      </c>
      <c r="C8" s="4" t="s">
        <v>24</v>
      </c>
      <c r="D8" s="5">
        <v>202603</v>
      </c>
      <c r="E8" s="5">
        <v>20411454</v>
      </c>
      <c r="F8" s="4" t="s">
        <v>71</v>
      </c>
      <c r="G8" s="4" t="s">
        <v>37</v>
      </c>
      <c r="H8" s="4" t="str">
        <f t="shared" si="0"/>
        <v>M000545053OVR</v>
      </c>
      <c r="I8" s="6" t="s">
        <v>38</v>
      </c>
      <c r="J8" s="10">
        <v>46082</v>
      </c>
      <c r="K8" s="4" t="s">
        <v>36</v>
      </c>
      <c r="L8" s="4">
        <v>50</v>
      </c>
      <c r="M8" s="4" t="s">
        <v>67</v>
      </c>
    </row>
    <row r="9" spans="1:13" s="4" customFormat="1" x14ac:dyDescent="0.3">
      <c r="A9" s="4">
        <v>21646325</v>
      </c>
      <c r="B9" s="4" t="s">
        <v>23</v>
      </c>
      <c r="C9" s="4" t="s">
        <v>24</v>
      </c>
      <c r="D9" s="5">
        <v>202603</v>
      </c>
      <c r="E9" s="5">
        <v>20411454</v>
      </c>
      <c r="F9" s="4" t="s">
        <v>71</v>
      </c>
      <c r="G9" s="4" t="s">
        <v>37</v>
      </c>
      <c r="H9" s="4" t="str">
        <f t="shared" si="0"/>
        <v>M000545053OVR</v>
      </c>
      <c r="I9" s="6" t="s">
        <v>38</v>
      </c>
      <c r="J9" s="10">
        <v>46082</v>
      </c>
      <c r="K9" s="4" t="s">
        <v>36</v>
      </c>
      <c r="L9" s="4">
        <v>50</v>
      </c>
      <c r="M9" s="4" t="s">
        <v>67</v>
      </c>
    </row>
    <row r="10" spans="1:13" s="4" customFormat="1" x14ac:dyDescent="0.3">
      <c r="A10" s="4">
        <v>21646325</v>
      </c>
      <c r="B10" s="4" t="s">
        <v>23</v>
      </c>
      <c r="C10" s="4" t="s">
        <v>24</v>
      </c>
      <c r="D10" s="5">
        <v>202603</v>
      </c>
      <c r="E10" s="5">
        <v>20411454</v>
      </c>
      <c r="F10" s="4" t="s">
        <v>71</v>
      </c>
      <c r="G10" s="4" t="s">
        <v>40</v>
      </c>
      <c r="H10" s="4" t="str">
        <f t="shared" si="0"/>
        <v>M000220760OVR</v>
      </c>
      <c r="I10" s="6" t="s">
        <v>41</v>
      </c>
      <c r="J10" s="10">
        <v>46082</v>
      </c>
      <c r="K10" s="4" t="s">
        <v>36</v>
      </c>
      <c r="L10" s="4">
        <v>40</v>
      </c>
      <c r="M10" s="4" t="s">
        <v>67</v>
      </c>
    </row>
    <row r="11" spans="1:13" s="4" customFormat="1" x14ac:dyDescent="0.3">
      <c r="A11" s="4">
        <v>21646325</v>
      </c>
      <c r="B11" s="4" t="s">
        <v>23</v>
      </c>
      <c r="C11" s="4" t="s">
        <v>24</v>
      </c>
      <c r="D11" s="5">
        <v>202603</v>
      </c>
      <c r="E11" s="5">
        <v>20411454</v>
      </c>
      <c r="F11" s="4" t="s">
        <v>71</v>
      </c>
      <c r="G11" s="4" t="s">
        <v>40</v>
      </c>
      <c r="H11" s="4" t="str">
        <f t="shared" si="0"/>
        <v>M000220760OVR</v>
      </c>
      <c r="I11" s="6" t="s">
        <v>41</v>
      </c>
      <c r="J11" s="10">
        <v>46082</v>
      </c>
      <c r="K11" s="4" t="s">
        <v>36</v>
      </c>
      <c r="L11" s="4">
        <v>60</v>
      </c>
      <c r="M11" s="4" t="s">
        <v>67</v>
      </c>
    </row>
    <row r="12" spans="1:13" s="4" customFormat="1" x14ac:dyDescent="0.3">
      <c r="A12" s="4">
        <v>21646325</v>
      </c>
      <c r="B12" s="4" t="s">
        <v>23</v>
      </c>
      <c r="C12" s="4" t="s">
        <v>24</v>
      </c>
      <c r="D12" s="5">
        <v>202603</v>
      </c>
      <c r="E12" s="5">
        <v>20411454</v>
      </c>
      <c r="F12" s="4" t="s">
        <v>71</v>
      </c>
      <c r="G12" s="4" t="s">
        <v>40</v>
      </c>
      <c r="H12" s="4" t="str">
        <f t="shared" si="0"/>
        <v>M000220760OVR</v>
      </c>
      <c r="I12" s="6" t="s">
        <v>41</v>
      </c>
      <c r="J12" s="10">
        <v>46082</v>
      </c>
      <c r="K12" s="4" t="s">
        <v>36</v>
      </c>
      <c r="L12" s="4">
        <v>50</v>
      </c>
      <c r="M12" s="4" t="s">
        <v>67</v>
      </c>
    </row>
    <row r="13" spans="1:13" s="4" customFormat="1" x14ac:dyDescent="0.3">
      <c r="A13" s="4">
        <v>21646325</v>
      </c>
      <c r="B13" s="4" t="s">
        <v>23</v>
      </c>
      <c r="C13" s="4" t="s">
        <v>24</v>
      </c>
      <c r="D13" s="5">
        <v>202603</v>
      </c>
      <c r="E13" s="5">
        <v>20411454</v>
      </c>
      <c r="F13" s="4" t="s">
        <v>71</v>
      </c>
      <c r="G13" s="4" t="s">
        <v>40</v>
      </c>
      <c r="H13" s="4" t="str">
        <f t="shared" si="0"/>
        <v>M000220760OVR</v>
      </c>
      <c r="I13" s="6" t="s">
        <v>41</v>
      </c>
      <c r="J13" s="10">
        <v>46082</v>
      </c>
      <c r="K13" s="4" t="s">
        <v>36</v>
      </c>
      <c r="L13" s="4">
        <v>50</v>
      </c>
      <c r="M13" s="4" t="s">
        <v>67</v>
      </c>
    </row>
    <row r="14" spans="1:13" s="4" customFormat="1" x14ac:dyDescent="0.3">
      <c r="A14" s="4">
        <v>9213293</v>
      </c>
      <c r="B14" s="4" t="s">
        <v>43</v>
      </c>
      <c r="C14" s="4" t="s">
        <v>24</v>
      </c>
      <c r="D14" s="5">
        <v>202603</v>
      </c>
      <c r="E14" s="5">
        <v>20411454</v>
      </c>
      <c r="F14" s="4" t="s">
        <v>71</v>
      </c>
      <c r="G14" s="4" t="s">
        <v>46</v>
      </c>
      <c r="H14" s="4" t="str">
        <f t="shared" si="0"/>
        <v>M000545580OVR</v>
      </c>
      <c r="I14" s="6" t="s">
        <v>47</v>
      </c>
      <c r="J14" s="10">
        <v>46082</v>
      </c>
      <c r="K14" s="4" t="s">
        <v>36</v>
      </c>
      <c r="L14" s="4">
        <v>40</v>
      </c>
      <c r="M14" s="4" t="s">
        <v>67</v>
      </c>
    </row>
    <row r="15" spans="1:13" s="4" customFormat="1" x14ac:dyDescent="0.3">
      <c r="A15" s="4">
        <v>9213293</v>
      </c>
      <c r="B15" s="4" t="s">
        <v>43</v>
      </c>
      <c r="C15" s="4" t="s">
        <v>24</v>
      </c>
      <c r="D15" s="5">
        <v>202603</v>
      </c>
      <c r="E15" s="5">
        <v>20411454</v>
      </c>
      <c r="F15" s="4" t="s">
        <v>71</v>
      </c>
      <c r="G15" s="4" t="s">
        <v>46</v>
      </c>
      <c r="H15" s="4" t="str">
        <f t="shared" si="0"/>
        <v>M000545580OVR</v>
      </c>
      <c r="I15" s="6" t="s">
        <v>47</v>
      </c>
      <c r="J15" s="10">
        <v>46082</v>
      </c>
      <c r="K15" s="4" t="s">
        <v>36</v>
      </c>
      <c r="L15" s="4">
        <v>60</v>
      </c>
      <c r="M15" s="4" t="s">
        <v>67</v>
      </c>
    </row>
    <row r="16" spans="1:13" s="4" customFormat="1" x14ac:dyDescent="0.3">
      <c r="A16" s="4">
        <v>9213293</v>
      </c>
      <c r="B16" s="4" t="s">
        <v>43</v>
      </c>
      <c r="C16" s="4" t="s">
        <v>24</v>
      </c>
      <c r="D16" s="5">
        <v>202603</v>
      </c>
      <c r="E16" s="5">
        <v>20411454</v>
      </c>
      <c r="F16" s="4" t="s">
        <v>71</v>
      </c>
      <c r="G16" s="4" t="s">
        <v>46</v>
      </c>
      <c r="H16" s="4" t="str">
        <f t="shared" si="0"/>
        <v>M000545580OVR</v>
      </c>
      <c r="I16" s="6" t="s">
        <v>47</v>
      </c>
      <c r="J16" s="10">
        <v>46082</v>
      </c>
      <c r="K16" s="4" t="s">
        <v>36</v>
      </c>
      <c r="L16" s="4">
        <v>50</v>
      </c>
      <c r="M16" s="4" t="s">
        <v>67</v>
      </c>
    </row>
    <row r="17" spans="1:14" s="4" customFormat="1" x14ac:dyDescent="0.3">
      <c r="A17" s="4">
        <v>9213293</v>
      </c>
      <c r="B17" s="4" t="s">
        <v>43</v>
      </c>
      <c r="C17" s="4" t="s">
        <v>24</v>
      </c>
      <c r="D17" s="5">
        <v>202603</v>
      </c>
      <c r="E17" s="5">
        <v>20411454</v>
      </c>
      <c r="F17" s="4" t="s">
        <v>71</v>
      </c>
      <c r="G17" s="4" t="s">
        <v>46</v>
      </c>
      <c r="H17" s="4" t="str">
        <f t="shared" si="0"/>
        <v>M000545580OVR</v>
      </c>
      <c r="I17" s="6" t="s">
        <v>47</v>
      </c>
      <c r="J17" s="10">
        <v>46082</v>
      </c>
      <c r="K17" s="4" t="s">
        <v>36</v>
      </c>
      <c r="L17" s="4">
        <v>50</v>
      </c>
      <c r="M17" s="4" t="s">
        <v>67</v>
      </c>
    </row>
    <row r="18" spans="1:14" s="7" customFormat="1" x14ac:dyDescent="0.3">
      <c r="A18" s="7">
        <v>9213293</v>
      </c>
      <c r="B18" s="7" t="s">
        <v>43</v>
      </c>
      <c r="C18" s="7" t="s">
        <v>24</v>
      </c>
      <c r="D18" s="8">
        <v>202603</v>
      </c>
      <c r="E18" s="8">
        <v>9213293</v>
      </c>
      <c r="F18" s="7" t="s">
        <v>43</v>
      </c>
      <c r="G18" s="7" t="s">
        <v>46</v>
      </c>
      <c r="H18" s="7" t="str">
        <f>_xlfn.CONCAT(G18,2)</f>
        <v>M0005455802</v>
      </c>
      <c r="I18" s="9" t="s">
        <v>47</v>
      </c>
      <c r="J18" s="11">
        <v>46082</v>
      </c>
      <c r="K18" s="7" t="s">
        <v>49</v>
      </c>
      <c r="L18" s="7">
        <v>289.17</v>
      </c>
      <c r="M18" s="7" t="s">
        <v>68</v>
      </c>
      <c r="N18" s="7" t="s">
        <v>70</v>
      </c>
    </row>
    <row r="19" spans="1:14" s="4" customFormat="1" x14ac:dyDescent="0.3">
      <c r="A19" s="4">
        <v>18828278</v>
      </c>
      <c r="B19" s="4" t="s">
        <v>50</v>
      </c>
      <c r="C19" s="4" t="s">
        <v>24</v>
      </c>
      <c r="D19" s="5">
        <v>202603</v>
      </c>
      <c r="E19" s="5">
        <v>20411454</v>
      </c>
      <c r="F19" s="4" t="s">
        <v>71</v>
      </c>
      <c r="G19" s="4" t="s">
        <v>54</v>
      </c>
      <c r="H19" s="4" t="str">
        <f t="shared" ref="H19:H26" si="1">_xlfn.CONCAT(G19,"OVR")</f>
        <v>M000538232OVR</v>
      </c>
      <c r="I19" s="6" t="s">
        <v>55</v>
      </c>
      <c r="J19" s="10">
        <v>46082</v>
      </c>
      <c r="K19" s="4" t="s">
        <v>36</v>
      </c>
      <c r="L19" s="4">
        <v>40</v>
      </c>
      <c r="M19" s="4" t="s">
        <v>67</v>
      </c>
    </row>
    <row r="20" spans="1:14" s="4" customFormat="1" x14ac:dyDescent="0.3">
      <c r="A20" s="4">
        <v>18828278</v>
      </c>
      <c r="B20" s="4" t="s">
        <v>50</v>
      </c>
      <c r="C20" s="4" t="s">
        <v>24</v>
      </c>
      <c r="D20" s="5">
        <v>202603</v>
      </c>
      <c r="E20" s="5">
        <v>20411454</v>
      </c>
      <c r="F20" s="4" t="s">
        <v>71</v>
      </c>
      <c r="G20" s="4" t="s">
        <v>54</v>
      </c>
      <c r="H20" s="4" t="str">
        <f t="shared" si="1"/>
        <v>M000538232OVR</v>
      </c>
      <c r="I20" s="6" t="s">
        <v>55</v>
      </c>
      <c r="J20" s="10">
        <v>46082</v>
      </c>
      <c r="K20" s="4" t="s">
        <v>36</v>
      </c>
      <c r="L20" s="4">
        <v>60</v>
      </c>
      <c r="M20" s="4" t="s">
        <v>67</v>
      </c>
    </row>
    <row r="21" spans="1:14" s="4" customFormat="1" x14ac:dyDescent="0.3">
      <c r="A21" s="4">
        <v>18828278</v>
      </c>
      <c r="B21" s="4" t="s">
        <v>50</v>
      </c>
      <c r="C21" s="4" t="s">
        <v>24</v>
      </c>
      <c r="D21" s="5">
        <v>202603</v>
      </c>
      <c r="E21" s="5">
        <v>20411454</v>
      </c>
      <c r="F21" s="4" t="s">
        <v>71</v>
      </c>
      <c r="G21" s="4" t="s">
        <v>54</v>
      </c>
      <c r="H21" s="4" t="str">
        <f t="shared" si="1"/>
        <v>M000538232OVR</v>
      </c>
      <c r="I21" s="6" t="s">
        <v>55</v>
      </c>
      <c r="J21" s="10">
        <v>46082</v>
      </c>
      <c r="K21" s="4" t="s">
        <v>36</v>
      </c>
      <c r="L21" s="4">
        <v>50</v>
      </c>
      <c r="M21" s="4" t="s">
        <v>67</v>
      </c>
    </row>
    <row r="22" spans="1:14" s="4" customFormat="1" x14ac:dyDescent="0.3">
      <c r="A22" s="4">
        <v>18828278</v>
      </c>
      <c r="B22" s="4" t="s">
        <v>50</v>
      </c>
      <c r="C22" s="4" t="s">
        <v>24</v>
      </c>
      <c r="D22" s="5">
        <v>202603</v>
      </c>
      <c r="E22" s="5">
        <v>20411454</v>
      </c>
      <c r="F22" s="4" t="s">
        <v>71</v>
      </c>
      <c r="G22" s="4" t="s">
        <v>54</v>
      </c>
      <c r="H22" s="4" t="str">
        <f t="shared" si="1"/>
        <v>M000538232OVR</v>
      </c>
      <c r="I22" s="6" t="s">
        <v>55</v>
      </c>
      <c r="J22" s="10">
        <v>46082</v>
      </c>
      <c r="K22" s="4" t="s">
        <v>36</v>
      </c>
      <c r="L22" s="4">
        <v>50</v>
      </c>
      <c r="M22" s="4" t="s">
        <v>67</v>
      </c>
    </row>
    <row r="23" spans="1:14" s="4" customFormat="1" x14ac:dyDescent="0.3">
      <c r="A23" s="4">
        <v>19491313</v>
      </c>
      <c r="B23" s="4" t="s">
        <v>57</v>
      </c>
      <c r="C23" s="4" t="s">
        <v>58</v>
      </c>
      <c r="D23" s="5">
        <v>202603</v>
      </c>
      <c r="E23" s="5">
        <v>20411454</v>
      </c>
      <c r="F23" s="4" t="s">
        <v>71</v>
      </c>
      <c r="G23" s="4" t="s">
        <v>64</v>
      </c>
      <c r="H23" s="4" t="str">
        <f t="shared" si="1"/>
        <v>M000507342OVR</v>
      </c>
      <c r="I23" s="6" t="s">
        <v>65</v>
      </c>
      <c r="J23" s="10">
        <v>46023</v>
      </c>
      <c r="K23" s="4" t="s">
        <v>36</v>
      </c>
      <c r="L23" s="4">
        <v>1.67</v>
      </c>
      <c r="M23" s="4" t="s">
        <v>67</v>
      </c>
    </row>
    <row r="24" spans="1:14" s="4" customFormat="1" x14ac:dyDescent="0.3">
      <c r="A24" s="4">
        <v>19491313</v>
      </c>
      <c r="B24" s="4" t="s">
        <v>57</v>
      </c>
      <c r="C24" s="4" t="s">
        <v>58</v>
      </c>
      <c r="D24" s="5">
        <v>202603</v>
      </c>
      <c r="E24" s="5">
        <v>20411454</v>
      </c>
      <c r="F24" s="4" t="s">
        <v>71</v>
      </c>
      <c r="G24" s="4" t="s">
        <v>64</v>
      </c>
      <c r="H24" s="4" t="str">
        <f t="shared" si="1"/>
        <v>M000507342OVR</v>
      </c>
      <c r="I24" s="6" t="s">
        <v>65</v>
      </c>
      <c r="J24" s="10">
        <v>46023</v>
      </c>
      <c r="K24" s="4" t="s">
        <v>36</v>
      </c>
      <c r="L24" s="4">
        <v>4.58</v>
      </c>
      <c r="M24" s="4" t="s">
        <v>67</v>
      </c>
    </row>
    <row r="25" spans="1:14" s="4" customFormat="1" x14ac:dyDescent="0.3">
      <c r="A25" s="4">
        <v>19491313</v>
      </c>
      <c r="B25" s="4" t="s">
        <v>57</v>
      </c>
      <c r="C25" s="4" t="s">
        <v>58</v>
      </c>
      <c r="D25" s="5">
        <v>202603</v>
      </c>
      <c r="E25" s="5">
        <v>20411454</v>
      </c>
      <c r="F25" s="4" t="s">
        <v>71</v>
      </c>
      <c r="G25" s="4" t="s">
        <v>64</v>
      </c>
      <c r="H25" s="4" t="str">
        <f t="shared" si="1"/>
        <v>M000507342OVR</v>
      </c>
      <c r="I25" s="6" t="s">
        <v>65</v>
      </c>
      <c r="J25" s="10">
        <v>46023</v>
      </c>
      <c r="K25" s="4" t="s">
        <v>36</v>
      </c>
      <c r="L25" s="4">
        <v>2.08</v>
      </c>
      <c r="M25" s="4" t="s">
        <v>67</v>
      </c>
    </row>
    <row r="26" spans="1:14" s="4" customFormat="1" x14ac:dyDescent="0.3">
      <c r="A26" s="4">
        <v>19491313</v>
      </c>
      <c r="B26" s="4" t="s">
        <v>57</v>
      </c>
      <c r="C26" s="4" t="s">
        <v>58</v>
      </c>
      <c r="D26" s="5">
        <v>202603</v>
      </c>
      <c r="E26" s="5">
        <v>20411454</v>
      </c>
      <c r="F26" s="4" t="s">
        <v>71</v>
      </c>
      <c r="G26" s="4" t="s">
        <v>64</v>
      </c>
      <c r="H26" s="4" t="str">
        <f t="shared" si="1"/>
        <v>M000507342OVR</v>
      </c>
      <c r="I26" s="6" t="s">
        <v>65</v>
      </c>
      <c r="J26" s="10">
        <v>46023</v>
      </c>
      <c r="K26" s="4" t="s">
        <v>36</v>
      </c>
      <c r="L26" s="4">
        <v>2.08</v>
      </c>
      <c r="M26" s="4" t="s">
        <v>67</v>
      </c>
    </row>
    <row r="27" spans="1:14" s="7" customFormat="1" x14ac:dyDescent="0.3">
      <c r="A27" s="7">
        <v>19491313</v>
      </c>
      <c r="B27" s="7" t="s">
        <v>57</v>
      </c>
      <c r="C27" s="7" t="s">
        <v>58</v>
      </c>
      <c r="D27" s="8">
        <v>202603</v>
      </c>
      <c r="E27" s="8">
        <v>19491313</v>
      </c>
      <c r="F27" s="7" t="s">
        <v>57</v>
      </c>
      <c r="G27" s="7" t="s">
        <v>64</v>
      </c>
      <c r="H27" s="7" t="str">
        <f>_xlfn.CONCAT(G27,2)</f>
        <v>M0005073422</v>
      </c>
      <c r="I27" s="9" t="s">
        <v>65</v>
      </c>
      <c r="J27" s="11">
        <v>46023</v>
      </c>
      <c r="K27" s="7" t="s">
        <v>49</v>
      </c>
      <c r="L27" s="7">
        <v>28.92</v>
      </c>
      <c r="M27" s="7" t="s">
        <v>68</v>
      </c>
      <c r="N27" s="7" t="s">
        <v>69</v>
      </c>
    </row>
  </sheetData>
  <pageMargins left="0.7" right="0.7" top="0.75" bottom="0.75" header="0.3" footer="0.3"/>
  <pageSetup paperSize="9" orientation="portrait" r:id="rId1"/>
  <ignoredErrors>
    <ignoredError sqref="H18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</vt:lpstr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loula</cp:lastModifiedBy>
  <dcterms:created xsi:type="dcterms:W3CDTF">2026-03-06T10:01:41Z</dcterms:created>
  <dcterms:modified xsi:type="dcterms:W3CDTF">2026-03-11T20:59:36Z</dcterms:modified>
</cp:coreProperties>
</file>