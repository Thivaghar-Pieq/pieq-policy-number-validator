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Molina MAPD\2026\Molina MAPD 1-2-26\"/>
    </mc:Choice>
  </mc:AlternateContent>
  <xr:revisionPtr revIDLastSave="0" documentId="13_ncr:1_{16F5DBF8-0324-46F9-83A6-89D1F4C70058}" xr6:coauthVersionLast="47" xr6:coauthVersionMax="47" xr10:uidLastSave="{00000000-0000-0000-0000-000000000000}"/>
  <bookViews>
    <workbookView xWindow="28680" yWindow="-120" windowWidth="29040" windowHeight="16440" activeTab="1" xr2:uid="{00000000-000D-0000-FFFF-FFFF00000000}"/>
  </bookViews>
  <sheets>
    <sheet name="Detail" sheetId="1" r:id="rId1"/>
    <sheet name="Sheet1" sheetId="2" r:id="rId2"/>
  </sheets>
  <calcPr calcId="181029"/>
</workbook>
</file>

<file path=xl/calcChain.xml><?xml version="1.0" encoding="utf-8"?>
<calcChain xmlns="http://schemas.openxmlformats.org/spreadsheetml/2006/main">
  <c r="F76" i="2" l="1"/>
  <c r="F75" i="2"/>
  <c r="F74" i="2"/>
  <c r="F73" i="2"/>
  <c r="F72" i="2"/>
  <c r="F71" i="2"/>
  <c r="F70" i="2"/>
  <c r="F69" i="2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</calcChain>
</file>

<file path=xl/sharedStrings.xml><?xml version="1.0" encoding="utf-8"?>
<sst xmlns="http://schemas.openxmlformats.org/spreadsheetml/2006/main" count="1855" uniqueCount="278">
  <si>
    <t/>
  </si>
  <si>
    <t>PayeeID</t>
  </si>
  <si>
    <t>PaidVendor</t>
  </si>
  <si>
    <t>BrokerID</t>
  </si>
  <si>
    <t>BrokerName</t>
  </si>
  <si>
    <t>InitialRenewal</t>
  </si>
  <si>
    <t>Period</t>
  </si>
  <si>
    <t>Product</t>
  </si>
  <si>
    <t>RepNPN</t>
  </si>
  <si>
    <t>RepName</t>
  </si>
  <si>
    <t>SignedDate</t>
  </si>
  <si>
    <t>ContractCode</t>
  </si>
  <si>
    <t>PBP</t>
  </si>
  <si>
    <t>MemberId</t>
  </si>
  <si>
    <t>Name</t>
  </si>
  <si>
    <t>MBI</t>
  </si>
  <si>
    <t>EffectiveDate</t>
  </si>
  <si>
    <t>TermDate</t>
  </si>
  <si>
    <t>CycleYear</t>
  </si>
  <si>
    <t>PriorPlan</t>
  </si>
  <si>
    <t>FundName</t>
  </si>
  <si>
    <t>Commission</t>
  </si>
  <si>
    <t>Main Line Benefits Llc</t>
  </si>
  <si>
    <t>Antonia Nevarez</t>
  </si>
  <si>
    <t>Initial</t>
  </si>
  <si>
    <t>202601</t>
  </si>
  <si>
    <t>Molina Medicare Complete Care Plus (HMO D-SNP)</t>
  </si>
  <si>
    <t>21646325</t>
  </si>
  <si>
    <t>12/04/25</t>
  </si>
  <si>
    <t>H3093</t>
  </si>
  <si>
    <t>003</t>
  </si>
  <si>
    <t>M000527776</t>
  </si>
  <si>
    <t>JACQUELINE LADD</t>
  </si>
  <si>
    <t>5F03XK5XY78</t>
  </si>
  <si>
    <t>2</t>
  </si>
  <si>
    <t>Yes</t>
  </si>
  <si>
    <t>12/21/25</t>
  </si>
  <si>
    <t>001</t>
  </si>
  <si>
    <t>M000532208</t>
  </si>
  <si>
    <t>JASON KING</t>
  </si>
  <si>
    <t>1UX0U98YW34</t>
  </si>
  <si>
    <t>11/18/25</t>
  </si>
  <si>
    <t>004</t>
  </si>
  <si>
    <t>M000520107</t>
  </si>
  <si>
    <t>ROSA VILLEDA</t>
  </si>
  <si>
    <t>6PJ3DQ8EX13</t>
  </si>
  <si>
    <t>10/19/25</t>
  </si>
  <si>
    <t>M000510104</t>
  </si>
  <si>
    <t>WILLIAM PEDROZA</t>
  </si>
  <si>
    <t>7AD0UN5NR04</t>
  </si>
  <si>
    <t>005</t>
  </si>
  <si>
    <t>M000520111</t>
  </si>
  <si>
    <t>ZONIAISABEL OLIVAPINEDA</t>
  </si>
  <si>
    <t>1G21KG1JV27</t>
  </si>
  <si>
    <t>Christopher Brousseau</t>
  </si>
  <si>
    <t>Molina Complete Care for MyCare Ohio (HMO D-SNP)</t>
  </si>
  <si>
    <t>21435997</t>
  </si>
  <si>
    <t>11/20/25</t>
  </si>
  <si>
    <t>H9955</t>
  </si>
  <si>
    <t>008</t>
  </si>
  <si>
    <t>M000521358</t>
  </si>
  <si>
    <t>BETTY COOPER</t>
  </si>
  <si>
    <t>6P20GT7QK10</t>
  </si>
  <si>
    <t>1</t>
  </si>
  <si>
    <t>No</t>
  </si>
  <si>
    <t>Molina Medicare Complete Care (HMO D-SNP)</t>
  </si>
  <si>
    <t>12/05/25</t>
  </si>
  <si>
    <t>H5823</t>
  </si>
  <si>
    <t>013</t>
  </si>
  <si>
    <t>M000531062</t>
  </si>
  <si>
    <t>DIXIE BAAR</t>
  </si>
  <si>
    <t>4RM2RH1CG83</t>
  </si>
  <si>
    <t>11/06/25</t>
  </si>
  <si>
    <t>M000515331</t>
  </si>
  <si>
    <t>LAHALEY LEE</t>
  </si>
  <si>
    <t>8UJ8VP9MY25</t>
  </si>
  <si>
    <t>5</t>
  </si>
  <si>
    <t>10/22/25</t>
  </si>
  <si>
    <t>M000510266</t>
  </si>
  <si>
    <t>MARCELINA RIVERA</t>
  </si>
  <si>
    <t>3UR0Q70NT46</t>
  </si>
  <si>
    <t>9</t>
  </si>
  <si>
    <t>Dale Walenga</t>
  </si>
  <si>
    <t>8325282</t>
  </si>
  <si>
    <t>10/23/25</t>
  </si>
  <si>
    <t>M000511262</t>
  </si>
  <si>
    <t>ALLAUDDIN JAFFER</t>
  </si>
  <si>
    <t>3QY6NR3HA48</t>
  </si>
  <si>
    <t>11/17/25</t>
  </si>
  <si>
    <t>M000519666</t>
  </si>
  <si>
    <t>BRAM PAKHIK</t>
  </si>
  <si>
    <t>5QR6MM5RE55</t>
  </si>
  <si>
    <t>12/11/25</t>
  </si>
  <si>
    <t>M000530487</t>
  </si>
  <si>
    <t>JESSICA JIRASEK</t>
  </si>
  <si>
    <t>8GP5TG3VW67</t>
  </si>
  <si>
    <t>Esther Herrera-Larsen</t>
  </si>
  <si>
    <t>17301495</t>
  </si>
  <si>
    <t>12/31/25</t>
  </si>
  <si>
    <t>M000533835</t>
  </si>
  <si>
    <t>ANA LOPEZ</t>
  </si>
  <si>
    <t>7PA1E88GH35</t>
  </si>
  <si>
    <t>11/19/25</t>
  </si>
  <si>
    <t>M000520623</t>
  </si>
  <si>
    <t>ANTOINETTE SLOMSKI</t>
  </si>
  <si>
    <t>4MQ9CX0KE24</t>
  </si>
  <si>
    <t>M000533923</t>
  </si>
  <si>
    <t>E MARTINEZDESUAREZ</t>
  </si>
  <si>
    <t>9NV8A53RH51</t>
  </si>
  <si>
    <t>01/01/26</t>
  </si>
  <si>
    <t>M000496897</t>
  </si>
  <si>
    <t>JOSE AVILA</t>
  </si>
  <si>
    <t>5N30N02MH47</t>
  </si>
  <si>
    <t>M000516007</t>
  </si>
  <si>
    <t>QUY NGUYEN</t>
  </si>
  <si>
    <t>2J77QH3VR79</t>
  </si>
  <si>
    <t>Gary Portugal</t>
  </si>
  <si>
    <t>9213293</t>
  </si>
  <si>
    <t>M000511044</t>
  </si>
  <si>
    <t>ADOLFO ARTEAGACARRILLO</t>
  </si>
  <si>
    <t>6CY4EY4WN80</t>
  </si>
  <si>
    <t>M000511127</t>
  </si>
  <si>
    <t>CAMERON HOLUM</t>
  </si>
  <si>
    <t>2FC2A00MX98</t>
  </si>
  <si>
    <t>11/28/25</t>
  </si>
  <si>
    <t>M000524347</t>
  </si>
  <si>
    <t>DARRIN MARANDA</t>
  </si>
  <si>
    <t>3MQ6PM7WD73</t>
  </si>
  <si>
    <t>10/28/25</t>
  </si>
  <si>
    <t>M000512756</t>
  </si>
  <si>
    <t>JOE ATTAWAY</t>
  </si>
  <si>
    <t>1QC9RD8NQ12</t>
  </si>
  <si>
    <t>11/10/25</t>
  </si>
  <si>
    <t>002</t>
  </si>
  <si>
    <t>M000517492</t>
  </si>
  <si>
    <t>LINDA LUHRSEN</t>
  </si>
  <si>
    <t>7YX2X37VP98</t>
  </si>
  <si>
    <t>Gregory Hansford</t>
  </si>
  <si>
    <t>17094718</t>
  </si>
  <si>
    <t>M000521237</t>
  </si>
  <si>
    <t>BETTY MULLINS</t>
  </si>
  <si>
    <t>4EM5RN3GF52</t>
  </si>
  <si>
    <t>12/08/25</t>
  </si>
  <si>
    <t>M000529602</t>
  </si>
  <si>
    <t>DEBRA LANE</t>
  </si>
  <si>
    <t>8JT0XU0DR46</t>
  </si>
  <si>
    <t>12/19/25</t>
  </si>
  <si>
    <t>M000532282</t>
  </si>
  <si>
    <t>DOROTHY RUCKERREEVE</t>
  </si>
  <si>
    <t>1GY2M45FV24</t>
  </si>
  <si>
    <t>Jeanet Reyes</t>
  </si>
  <si>
    <t>16997303</t>
  </si>
  <si>
    <t>11/26/25</t>
  </si>
  <si>
    <t>M000524004</t>
  </si>
  <si>
    <t>ANGELICA DAVIS</t>
  </si>
  <si>
    <t>3HH4F75UQ87</t>
  </si>
  <si>
    <t>M000527915</t>
  </si>
  <si>
    <t>ANTONIA ZAMBRANO</t>
  </si>
  <si>
    <t>7TM5PC5WR61</t>
  </si>
  <si>
    <t>12/02/25</t>
  </si>
  <si>
    <t>M000525803</t>
  </si>
  <si>
    <t>CATHY LAURK</t>
  </si>
  <si>
    <t>2X08NG0PD31</t>
  </si>
  <si>
    <t>M000529408</t>
  </si>
  <si>
    <t>CHERYL COHEN</t>
  </si>
  <si>
    <t>8AP5UJ1PH85</t>
  </si>
  <si>
    <t>12/17/25</t>
  </si>
  <si>
    <t>M000531802</t>
  </si>
  <si>
    <t>EUSTORJIO CHAIDES</t>
  </si>
  <si>
    <t>2V55TC6WA64</t>
  </si>
  <si>
    <t>M000527068</t>
  </si>
  <si>
    <t>LINDA PATTON</t>
  </si>
  <si>
    <t>4H47E42HV69</t>
  </si>
  <si>
    <t>Jeffrey Horn</t>
  </si>
  <si>
    <t>2158366</t>
  </si>
  <si>
    <t>10/21/25</t>
  </si>
  <si>
    <t>M000510692</t>
  </si>
  <si>
    <t>CYNTHIA MENDEZ</t>
  </si>
  <si>
    <t>9R15G50GW67</t>
  </si>
  <si>
    <t>Jose Torres</t>
  </si>
  <si>
    <t>20212926</t>
  </si>
  <si>
    <t>11/13/25</t>
  </si>
  <si>
    <t>M000518551</t>
  </si>
  <si>
    <t>MARGARITO CALDERON</t>
  </si>
  <si>
    <t>9KK9N45JP00</t>
  </si>
  <si>
    <t>Matthew Sherman</t>
  </si>
  <si>
    <t>8812322</t>
  </si>
  <si>
    <t>M000515787</t>
  </si>
  <si>
    <t>DOUGLAS KNECHT</t>
  </si>
  <si>
    <t>3NV1QY8JC36</t>
  </si>
  <si>
    <t>Nasandelger Zana</t>
  </si>
  <si>
    <t>20220688</t>
  </si>
  <si>
    <t>M000530797</t>
  </si>
  <si>
    <t>NAMJSUREN DORJ</t>
  </si>
  <si>
    <t>7RF4H86GG88</t>
  </si>
  <si>
    <t>10/29/25</t>
  </si>
  <si>
    <t>M000513196</t>
  </si>
  <si>
    <t>OYUNCHIMEG CHOIJILSUREN</t>
  </si>
  <si>
    <t>4VT9FR7XE26</t>
  </si>
  <si>
    <t>Pamela Deaton</t>
  </si>
  <si>
    <t>8244481</t>
  </si>
  <si>
    <t>10/16/25</t>
  </si>
  <si>
    <t>M000509209</t>
  </si>
  <si>
    <t>JOANN PRESLEY</t>
  </si>
  <si>
    <t>7JD4CR7NF04</t>
  </si>
  <si>
    <t>Patsamon Thanadabouth</t>
  </si>
  <si>
    <t>Molina Medicare Choice Care (HMO)</t>
  </si>
  <si>
    <t>8405446</t>
  </si>
  <si>
    <t>11/11/25</t>
  </si>
  <si>
    <t>H2715</t>
  </si>
  <si>
    <t>M000517092</t>
  </si>
  <si>
    <t>MANI SENGPRASEUTH</t>
  </si>
  <si>
    <t>9CX3KE3CX75</t>
  </si>
  <si>
    <t>Ricardo Santos</t>
  </si>
  <si>
    <t>19200754</t>
  </si>
  <si>
    <t>M000512755</t>
  </si>
  <si>
    <t>CURTISS PANNELL</t>
  </si>
  <si>
    <t>9N29XM6NY59</t>
  </si>
  <si>
    <t>Richard Wuensch</t>
  </si>
  <si>
    <t>19615078</t>
  </si>
  <si>
    <t>M000528157</t>
  </si>
  <si>
    <t>NANCY SOWA</t>
  </si>
  <si>
    <t>5VF1G77QV99</t>
  </si>
  <si>
    <t>10/15/25</t>
  </si>
  <si>
    <t>M000508455</t>
  </si>
  <si>
    <t>RICKEY VAUGHN</t>
  </si>
  <si>
    <t>5JH9H24RE47</t>
  </si>
  <si>
    <t>Robert Shapiro</t>
  </si>
  <si>
    <t>7565575</t>
  </si>
  <si>
    <t>M000524214</t>
  </si>
  <si>
    <t>KELLY WILLIAMS</t>
  </si>
  <si>
    <t>1VE0PX8HQ14</t>
  </si>
  <si>
    <t>Saadia Abdul</t>
  </si>
  <si>
    <t>19396223</t>
  </si>
  <si>
    <t>M000520804</t>
  </si>
  <si>
    <t>KARAMATH ALI</t>
  </si>
  <si>
    <t>6WK3QE7EF81</t>
  </si>
  <si>
    <t>M000520042</t>
  </si>
  <si>
    <t>MOHAMMED SIDDIQUI</t>
  </si>
  <si>
    <t>2KH6M48FT89</t>
  </si>
  <si>
    <t>Stacey Portugal</t>
  </si>
  <si>
    <t>Molina Medicare Complete Care Select (HMO D-SNP)</t>
  </si>
  <si>
    <t>19645587</t>
  </si>
  <si>
    <t>11/02/25</t>
  </si>
  <si>
    <t>010</t>
  </si>
  <si>
    <t>M000514385</t>
  </si>
  <si>
    <t>VERETTA HARDIE</t>
  </si>
  <si>
    <t>5GY9CR7AR21</t>
  </si>
  <si>
    <t>Steven Brandt</t>
  </si>
  <si>
    <t>Renewal</t>
  </si>
  <si>
    <t>19491313</t>
  </si>
  <si>
    <t>10/10/25</t>
  </si>
  <si>
    <t>M000507342</t>
  </si>
  <si>
    <t>JASON CECUTTI</t>
  </si>
  <si>
    <t>8H71XC5KV11</t>
  </si>
  <si>
    <t>Victor Fuentes</t>
  </si>
  <si>
    <t>21283956</t>
  </si>
  <si>
    <t>11/29/25</t>
  </si>
  <si>
    <t>M000524397</t>
  </si>
  <si>
    <t>GILBERTA GOMEZ</t>
  </si>
  <si>
    <t>4JX6U61EA76</t>
  </si>
  <si>
    <t>12/01/25</t>
  </si>
  <si>
    <t>M000525419</t>
  </si>
  <si>
    <t>LINDA JOHNSON</t>
  </si>
  <si>
    <t>5GV2E34UA05</t>
  </si>
  <si>
    <t>M000510772</t>
  </si>
  <si>
    <t>MICHAEL MCMAHON</t>
  </si>
  <si>
    <t>3NJ8VE4VM45</t>
  </si>
  <si>
    <t>M000524393</t>
  </si>
  <si>
    <t>YOLANDA FIGUEROA</t>
  </si>
  <si>
    <t>4ED3GP5DK79</t>
  </si>
  <si>
    <t>Molina 2026</t>
  </si>
  <si>
    <t>Molina MAPD 2026*</t>
  </si>
  <si>
    <t>Molina MAPD OVR</t>
  </si>
  <si>
    <t>[%/$=347][prorate=12/12]</t>
  </si>
  <si>
    <t>[%/$=347][prorate=1/12]</t>
  </si>
  <si>
    <t>[%/$=694]</t>
  </si>
  <si>
    <t>Main Line Benefits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</si>
</sst>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/dd/mm\ "/>
    <numFmt numFmtId="165" formatCode="\$#,##0.00"/>
  </numFmts>
  <fonts count="1" x14ac:knownFonts="1">
    <font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165" fontId="0" fillId="0" borderId="0" xfId="0" applyNumberFormat="1"/>
    <xf numFmtId="14" fontId="0" fillId="0" borderId="0" xfId="0" applyNumberFormat="1"/>
    <xf numFmtId="0" fontId="0" fillId="2" borderId="0" xfId="0" applyFill="1"/>
    <xf numFmtId="165" fontId="0" fillId="2" borderId="0" xfId="0" applyNumberFormat="1" applyFill="1"/>
    <xf numFmtId="14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6"/>
  <sheetViews>
    <sheetView workbookViewId="0">
      <selection sqref="A1:XFD1048576"/>
    </sheetView>
  </sheetViews>
  <sheetFormatPr defaultRowHeight="15" x14ac:dyDescent="0.25"/>
  <cols>
    <col min="1" max="1" width="9" bestFit="1" customWidth="1"/>
    <col min="2" max="2" width="20.42578125" bestFit="1" customWidth="1"/>
    <col min="3" max="3" width="9" bestFit="1" customWidth="1"/>
    <col min="4" max="4" width="23.28515625" bestFit="1" customWidth="1"/>
    <col min="5" max="5" width="14" bestFit="1" customWidth="1"/>
    <col min="6" max="6" width="7" bestFit="1" customWidth="1"/>
    <col min="7" max="7" width="49.140625" bestFit="1" customWidth="1"/>
    <col min="8" max="8" width="9" bestFit="1" customWidth="1"/>
    <col min="9" max="9" width="23.28515625" bestFit="1" customWidth="1"/>
    <col min="10" max="10" width="11.140625" bestFit="1" customWidth="1"/>
    <col min="11" max="11" width="13.140625" bestFit="1" customWidth="1"/>
    <col min="12" max="12" width="4.42578125" bestFit="1" customWidth="1"/>
    <col min="13" max="13" width="11.7109375" bestFit="1" customWidth="1"/>
    <col min="14" max="14" width="26.5703125" bestFit="1" customWidth="1"/>
    <col min="15" max="15" width="15.28515625" bestFit="1" customWidth="1"/>
    <col min="16" max="16" width="13.140625" bestFit="1" customWidth="1"/>
    <col min="17" max="17" width="9.7109375" bestFit="1" customWidth="1"/>
    <col min="18" max="18" width="9.5703125" bestFit="1" customWidth="1"/>
    <col min="19" max="19" width="9.140625" bestFit="1" customWidth="1"/>
    <col min="20" max="20" width="10.7109375" bestFit="1" customWidth="1"/>
    <col min="21" max="21" width="11.85546875" bestFit="1" customWidth="1"/>
  </cols>
  <sheetData>
    <row r="1" spans="1:21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s="2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</row>
    <row r="2" spans="1:21" x14ac:dyDescent="0.25">
      <c r="A2">
        <v>20411454</v>
      </c>
      <c r="B2" t="s">
        <v>22</v>
      </c>
      <c r="C2">
        <v>21646325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23</v>
      </c>
      <c r="J2" t="s">
        <v>28</v>
      </c>
      <c r="K2" t="s">
        <v>29</v>
      </c>
      <c r="L2" t="s">
        <v>30</v>
      </c>
      <c r="M2" t="s">
        <v>31</v>
      </c>
      <c r="N2" s="2" t="s">
        <v>32</v>
      </c>
      <c r="O2" t="s">
        <v>33</v>
      </c>
      <c r="P2" s="1">
        <v>46023</v>
      </c>
      <c r="Q2" t="s">
        <v>0</v>
      </c>
      <c r="R2" t="s">
        <v>34</v>
      </c>
      <c r="S2" t="s">
        <v>35</v>
      </c>
      <c r="T2" t="s">
        <v>0</v>
      </c>
      <c r="U2">
        <v>200</v>
      </c>
    </row>
    <row r="3" spans="1:21" x14ac:dyDescent="0.25">
      <c r="A3">
        <v>20411454</v>
      </c>
      <c r="B3" t="s">
        <v>22</v>
      </c>
      <c r="C3">
        <v>21646325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23</v>
      </c>
      <c r="J3" t="s">
        <v>36</v>
      </c>
      <c r="K3" t="s">
        <v>29</v>
      </c>
      <c r="L3" t="s">
        <v>37</v>
      </c>
      <c r="M3" t="s">
        <v>38</v>
      </c>
      <c r="N3" s="2" t="s">
        <v>39</v>
      </c>
      <c r="O3" t="s">
        <v>40</v>
      </c>
      <c r="P3" s="1">
        <v>46023</v>
      </c>
      <c r="Q3" t="s">
        <v>0</v>
      </c>
      <c r="R3" t="s">
        <v>34</v>
      </c>
      <c r="S3" t="s">
        <v>35</v>
      </c>
      <c r="T3" t="s">
        <v>0</v>
      </c>
      <c r="U3">
        <v>200</v>
      </c>
    </row>
    <row r="4" spans="1:21" x14ac:dyDescent="0.25">
      <c r="A4">
        <v>20411454</v>
      </c>
      <c r="B4" t="s">
        <v>22</v>
      </c>
      <c r="C4">
        <v>21646325</v>
      </c>
      <c r="D4" t="s">
        <v>23</v>
      </c>
      <c r="E4" t="s">
        <v>24</v>
      </c>
      <c r="F4" t="s">
        <v>25</v>
      </c>
      <c r="G4" t="s">
        <v>26</v>
      </c>
      <c r="H4" t="s">
        <v>27</v>
      </c>
      <c r="I4" t="s">
        <v>23</v>
      </c>
      <c r="J4" t="s">
        <v>41</v>
      </c>
      <c r="K4" t="s">
        <v>29</v>
      </c>
      <c r="L4" t="s">
        <v>42</v>
      </c>
      <c r="M4" t="s">
        <v>43</v>
      </c>
      <c r="N4" s="2" t="s">
        <v>44</v>
      </c>
      <c r="O4" t="s">
        <v>45</v>
      </c>
      <c r="P4" s="1">
        <v>46023</v>
      </c>
      <c r="Q4" t="s">
        <v>0</v>
      </c>
      <c r="R4" t="s">
        <v>34</v>
      </c>
      <c r="S4" t="s">
        <v>35</v>
      </c>
      <c r="T4" t="s">
        <v>0</v>
      </c>
      <c r="U4">
        <v>200</v>
      </c>
    </row>
    <row r="5" spans="1:21" x14ac:dyDescent="0.25">
      <c r="A5">
        <v>20411454</v>
      </c>
      <c r="B5" t="s">
        <v>22</v>
      </c>
      <c r="C5">
        <v>21646325</v>
      </c>
      <c r="D5" t="s">
        <v>23</v>
      </c>
      <c r="E5" t="s">
        <v>24</v>
      </c>
      <c r="F5" t="s">
        <v>25</v>
      </c>
      <c r="G5" t="s">
        <v>26</v>
      </c>
      <c r="H5" t="s">
        <v>27</v>
      </c>
      <c r="I5" t="s">
        <v>23</v>
      </c>
      <c r="J5" t="s">
        <v>46</v>
      </c>
      <c r="K5" t="s">
        <v>29</v>
      </c>
      <c r="L5" t="s">
        <v>42</v>
      </c>
      <c r="M5" t="s">
        <v>47</v>
      </c>
      <c r="N5" s="2" t="s">
        <v>48</v>
      </c>
      <c r="O5" t="s">
        <v>49</v>
      </c>
      <c r="P5" s="1">
        <v>46023</v>
      </c>
      <c r="Q5" t="s">
        <v>0</v>
      </c>
      <c r="R5" t="s">
        <v>34</v>
      </c>
      <c r="S5" t="s">
        <v>35</v>
      </c>
      <c r="T5" t="s">
        <v>0</v>
      </c>
      <c r="U5">
        <v>200</v>
      </c>
    </row>
    <row r="6" spans="1:21" x14ac:dyDescent="0.25">
      <c r="A6">
        <v>20411454</v>
      </c>
      <c r="B6" t="s">
        <v>22</v>
      </c>
      <c r="C6">
        <v>21646325</v>
      </c>
      <c r="D6" t="s">
        <v>23</v>
      </c>
      <c r="E6" t="s">
        <v>24</v>
      </c>
      <c r="F6" t="s">
        <v>25</v>
      </c>
      <c r="G6" t="s">
        <v>26</v>
      </c>
      <c r="H6" t="s">
        <v>27</v>
      </c>
      <c r="I6" t="s">
        <v>23</v>
      </c>
      <c r="J6" t="s">
        <v>46</v>
      </c>
      <c r="K6" t="s">
        <v>29</v>
      </c>
      <c r="L6" t="s">
        <v>42</v>
      </c>
      <c r="M6" t="s">
        <v>47</v>
      </c>
      <c r="N6" s="2" t="s">
        <v>48</v>
      </c>
      <c r="O6" t="s">
        <v>49</v>
      </c>
      <c r="P6" s="1">
        <v>46023</v>
      </c>
      <c r="Q6" t="s">
        <v>0</v>
      </c>
      <c r="R6" t="s">
        <v>34</v>
      </c>
      <c r="S6" t="s">
        <v>35</v>
      </c>
      <c r="T6" t="s">
        <v>0</v>
      </c>
      <c r="U6">
        <v>347</v>
      </c>
    </row>
    <row r="7" spans="1:21" x14ac:dyDescent="0.25">
      <c r="A7">
        <v>20411454</v>
      </c>
      <c r="B7" t="s">
        <v>22</v>
      </c>
      <c r="C7">
        <v>21646325</v>
      </c>
      <c r="D7" t="s">
        <v>23</v>
      </c>
      <c r="E7" t="s">
        <v>24</v>
      </c>
      <c r="F7" t="s">
        <v>25</v>
      </c>
      <c r="G7" t="s">
        <v>26</v>
      </c>
      <c r="H7" t="s">
        <v>27</v>
      </c>
      <c r="I7" t="s">
        <v>23</v>
      </c>
      <c r="J7" t="s">
        <v>41</v>
      </c>
      <c r="K7" t="s">
        <v>29</v>
      </c>
      <c r="L7" t="s">
        <v>50</v>
      </c>
      <c r="M7" t="s">
        <v>51</v>
      </c>
      <c r="N7" s="2" t="s">
        <v>52</v>
      </c>
      <c r="O7" t="s">
        <v>53</v>
      </c>
      <c r="P7" s="1">
        <v>46023</v>
      </c>
      <c r="Q7" t="s">
        <v>0</v>
      </c>
      <c r="R7" t="s">
        <v>34</v>
      </c>
      <c r="S7" t="s">
        <v>35</v>
      </c>
      <c r="T7" t="s">
        <v>0</v>
      </c>
      <c r="U7">
        <v>200</v>
      </c>
    </row>
    <row r="8" spans="1:21" x14ac:dyDescent="0.25">
      <c r="A8">
        <v>20411454</v>
      </c>
      <c r="B8" t="s">
        <v>22</v>
      </c>
      <c r="C8">
        <v>21435997</v>
      </c>
      <c r="D8" t="s">
        <v>54</v>
      </c>
      <c r="E8" t="s">
        <v>24</v>
      </c>
      <c r="F8" t="s">
        <v>25</v>
      </c>
      <c r="G8" t="s">
        <v>55</v>
      </c>
      <c r="H8" t="s">
        <v>56</v>
      </c>
      <c r="I8" t="s">
        <v>54</v>
      </c>
      <c r="J8" t="s">
        <v>57</v>
      </c>
      <c r="K8" t="s">
        <v>58</v>
      </c>
      <c r="L8" t="s">
        <v>59</v>
      </c>
      <c r="M8" t="s">
        <v>60</v>
      </c>
      <c r="N8" s="2" t="s">
        <v>61</v>
      </c>
      <c r="O8" t="s">
        <v>62</v>
      </c>
      <c r="P8" s="1">
        <v>46023</v>
      </c>
      <c r="Q8" t="s">
        <v>0</v>
      </c>
      <c r="R8" t="s">
        <v>63</v>
      </c>
      <c r="S8" t="s">
        <v>64</v>
      </c>
      <c r="T8" t="s">
        <v>0</v>
      </c>
      <c r="U8">
        <v>200</v>
      </c>
    </row>
    <row r="9" spans="1:21" x14ac:dyDescent="0.25">
      <c r="A9">
        <v>20411454</v>
      </c>
      <c r="B9" t="s">
        <v>22</v>
      </c>
      <c r="C9">
        <v>21435997</v>
      </c>
      <c r="D9" t="s">
        <v>54</v>
      </c>
      <c r="E9" t="s">
        <v>24</v>
      </c>
      <c r="F9" t="s">
        <v>25</v>
      </c>
      <c r="G9" t="s">
        <v>55</v>
      </c>
      <c r="H9" t="s">
        <v>56</v>
      </c>
      <c r="I9" t="s">
        <v>54</v>
      </c>
      <c r="J9" t="s">
        <v>57</v>
      </c>
      <c r="K9" t="s">
        <v>58</v>
      </c>
      <c r="L9" t="s">
        <v>59</v>
      </c>
      <c r="M9" t="s">
        <v>60</v>
      </c>
      <c r="N9" s="2" t="s">
        <v>61</v>
      </c>
      <c r="O9" t="s">
        <v>62</v>
      </c>
      <c r="P9" s="1">
        <v>46023</v>
      </c>
      <c r="Q9" t="s">
        <v>0</v>
      </c>
      <c r="R9" t="s">
        <v>63</v>
      </c>
      <c r="S9" t="s">
        <v>64</v>
      </c>
      <c r="T9" t="s">
        <v>0</v>
      </c>
      <c r="U9">
        <v>694</v>
      </c>
    </row>
    <row r="10" spans="1:21" x14ac:dyDescent="0.25">
      <c r="A10">
        <v>20411454</v>
      </c>
      <c r="B10" t="s">
        <v>22</v>
      </c>
      <c r="C10">
        <v>21435997</v>
      </c>
      <c r="D10" t="s">
        <v>54</v>
      </c>
      <c r="E10" t="s">
        <v>24</v>
      </c>
      <c r="F10" t="s">
        <v>25</v>
      </c>
      <c r="G10" t="s">
        <v>65</v>
      </c>
      <c r="H10" t="s">
        <v>56</v>
      </c>
      <c r="I10" t="s">
        <v>54</v>
      </c>
      <c r="J10" t="s">
        <v>66</v>
      </c>
      <c r="K10" t="s">
        <v>67</v>
      </c>
      <c r="L10" t="s">
        <v>68</v>
      </c>
      <c r="M10" t="s">
        <v>69</v>
      </c>
      <c r="N10" s="2" t="s">
        <v>70</v>
      </c>
      <c r="O10" t="s">
        <v>71</v>
      </c>
      <c r="P10" s="1">
        <v>46023</v>
      </c>
      <c r="Q10" t="s">
        <v>0</v>
      </c>
      <c r="R10" t="s">
        <v>34</v>
      </c>
      <c r="S10" t="s">
        <v>35</v>
      </c>
      <c r="T10" t="s">
        <v>0</v>
      </c>
      <c r="U10">
        <v>200</v>
      </c>
    </row>
    <row r="11" spans="1:21" x14ac:dyDescent="0.25">
      <c r="A11">
        <v>20411454</v>
      </c>
      <c r="B11" t="s">
        <v>22</v>
      </c>
      <c r="C11">
        <v>21435997</v>
      </c>
      <c r="D11" t="s">
        <v>54</v>
      </c>
      <c r="E11" t="s">
        <v>24</v>
      </c>
      <c r="F11" t="s">
        <v>25</v>
      </c>
      <c r="G11" t="s">
        <v>55</v>
      </c>
      <c r="H11" t="s">
        <v>56</v>
      </c>
      <c r="I11" t="s">
        <v>54</v>
      </c>
      <c r="J11" t="s">
        <v>72</v>
      </c>
      <c r="K11" t="s">
        <v>58</v>
      </c>
      <c r="L11" t="s">
        <v>59</v>
      </c>
      <c r="M11" t="s">
        <v>73</v>
      </c>
      <c r="N11" s="2" t="s">
        <v>74</v>
      </c>
      <c r="O11" t="s">
        <v>75</v>
      </c>
      <c r="P11" s="1">
        <v>46023</v>
      </c>
      <c r="Q11" t="s">
        <v>0</v>
      </c>
      <c r="R11" t="s">
        <v>76</v>
      </c>
      <c r="S11" t="s">
        <v>35</v>
      </c>
      <c r="T11" t="s">
        <v>0</v>
      </c>
      <c r="U11">
        <v>200</v>
      </c>
    </row>
    <row r="12" spans="1:21" x14ac:dyDescent="0.25">
      <c r="A12">
        <v>20411454</v>
      </c>
      <c r="B12" t="s">
        <v>22</v>
      </c>
      <c r="C12">
        <v>21435997</v>
      </c>
      <c r="D12" t="s">
        <v>54</v>
      </c>
      <c r="E12" t="s">
        <v>24</v>
      </c>
      <c r="F12" t="s">
        <v>25</v>
      </c>
      <c r="G12" t="s">
        <v>55</v>
      </c>
      <c r="H12" t="s">
        <v>56</v>
      </c>
      <c r="I12" t="s">
        <v>54</v>
      </c>
      <c r="J12" t="s">
        <v>72</v>
      </c>
      <c r="K12" t="s">
        <v>58</v>
      </c>
      <c r="L12" t="s">
        <v>59</v>
      </c>
      <c r="M12" t="s">
        <v>73</v>
      </c>
      <c r="N12" s="2" t="s">
        <v>74</v>
      </c>
      <c r="O12" t="s">
        <v>75</v>
      </c>
      <c r="P12" s="1">
        <v>46023</v>
      </c>
      <c r="Q12" t="s">
        <v>0</v>
      </c>
      <c r="R12" t="s">
        <v>76</v>
      </c>
      <c r="S12" t="s">
        <v>35</v>
      </c>
      <c r="T12" t="s">
        <v>0</v>
      </c>
      <c r="U12">
        <v>347</v>
      </c>
    </row>
    <row r="13" spans="1:21" x14ac:dyDescent="0.25">
      <c r="A13">
        <v>20411454</v>
      </c>
      <c r="B13" t="s">
        <v>22</v>
      </c>
      <c r="C13">
        <v>21435997</v>
      </c>
      <c r="D13" t="s">
        <v>54</v>
      </c>
      <c r="E13" t="s">
        <v>24</v>
      </c>
      <c r="F13" t="s">
        <v>25</v>
      </c>
      <c r="G13" t="s">
        <v>55</v>
      </c>
      <c r="H13" t="s">
        <v>56</v>
      </c>
      <c r="I13" t="s">
        <v>54</v>
      </c>
      <c r="J13" t="s">
        <v>77</v>
      </c>
      <c r="K13" t="s">
        <v>58</v>
      </c>
      <c r="L13" t="s">
        <v>59</v>
      </c>
      <c r="M13" t="s">
        <v>78</v>
      </c>
      <c r="N13" s="2" t="s">
        <v>79</v>
      </c>
      <c r="O13" t="s">
        <v>80</v>
      </c>
      <c r="P13" s="1">
        <v>46023</v>
      </c>
      <c r="Q13" t="s">
        <v>0</v>
      </c>
      <c r="R13" t="s">
        <v>81</v>
      </c>
      <c r="S13" t="s">
        <v>35</v>
      </c>
      <c r="T13" t="s">
        <v>0</v>
      </c>
      <c r="U13">
        <v>200</v>
      </c>
    </row>
    <row r="14" spans="1:21" x14ac:dyDescent="0.25">
      <c r="A14">
        <v>20411454</v>
      </c>
      <c r="B14" t="s">
        <v>22</v>
      </c>
      <c r="C14">
        <v>21435997</v>
      </c>
      <c r="D14" t="s">
        <v>54</v>
      </c>
      <c r="E14" t="s">
        <v>24</v>
      </c>
      <c r="F14" t="s">
        <v>25</v>
      </c>
      <c r="G14" t="s">
        <v>55</v>
      </c>
      <c r="H14" t="s">
        <v>56</v>
      </c>
      <c r="I14" t="s">
        <v>54</v>
      </c>
      <c r="J14" t="s">
        <v>77</v>
      </c>
      <c r="K14" t="s">
        <v>58</v>
      </c>
      <c r="L14" t="s">
        <v>59</v>
      </c>
      <c r="M14" t="s">
        <v>78</v>
      </c>
      <c r="N14" s="2" t="s">
        <v>79</v>
      </c>
      <c r="O14" t="s">
        <v>80</v>
      </c>
      <c r="P14" s="1">
        <v>46023</v>
      </c>
      <c r="Q14" t="s">
        <v>0</v>
      </c>
      <c r="R14" t="s">
        <v>81</v>
      </c>
      <c r="S14" t="s">
        <v>35</v>
      </c>
      <c r="T14" t="s">
        <v>0</v>
      </c>
      <c r="U14">
        <v>347</v>
      </c>
    </row>
    <row r="15" spans="1:21" x14ac:dyDescent="0.25">
      <c r="A15">
        <v>20411454</v>
      </c>
      <c r="B15" t="s">
        <v>22</v>
      </c>
      <c r="C15">
        <v>8325282</v>
      </c>
      <c r="D15" t="s">
        <v>82</v>
      </c>
      <c r="E15" t="s">
        <v>24</v>
      </c>
      <c r="F15" t="s">
        <v>25</v>
      </c>
      <c r="G15" t="s">
        <v>26</v>
      </c>
      <c r="H15" t="s">
        <v>83</v>
      </c>
      <c r="I15" t="s">
        <v>82</v>
      </c>
      <c r="J15" t="s">
        <v>84</v>
      </c>
      <c r="K15" t="s">
        <v>29</v>
      </c>
      <c r="L15" t="s">
        <v>42</v>
      </c>
      <c r="M15" t="s">
        <v>85</v>
      </c>
      <c r="N15" s="2" t="s">
        <v>86</v>
      </c>
      <c r="O15" t="s">
        <v>87</v>
      </c>
      <c r="P15" s="1">
        <v>46023</v>
      </c>
      <c r="Q15" t="s">
        <v>0</v>
      </c>
      <c r="R15" t="s">
        <v>34</v>
      </c>
      <c r="S15" t="s">
        <v>35</v>
      </c>
      <c r="T15" t="s">
        <v>0</v>
      </c>
      <c r="U15">
        <v>200</v>
      </c>
    </row>
    <row r="16" spans="1:21" x14ac:dyDescent="0.25">
      <c r="A16">
        <v>20411454</v>
      </c>
      <c r="B16" t="s">
        <v>22</v>
      </c>
      <c r="C16">
        <v>8325282</v>
      </c>
      <c r="D16" t="s">
        <v>82</v>
      </c>
      <c r="E16" t="s">
        <v>24</v>
      </c>
      <c r="F16" t="s">
        <v>25</v>
      </c>
      <c r="G16" t="s">
        <v>26</v>
      </c>
      <c r="H16" t="s">
        <v>83</v>
      </c>
      <c r="I16" t="s">
        <v>82</v>
      </c>
      <c r="J16" t="s">
        <v>84</v>
      </c>
      <c r="K16" t="s">
        <v>29</v>
      </c>
      <c r="L16" t="s">
        <v>42</v>
      </c>
      <c r="M16" t="s">
        <v>85</v>
      </c>
      <c r="N16" s="2" t="s">
        <v>86</v>
      </c>
      <c r="O16" t="s">
        <v>87</v>
      </c>
      <c r="P16" s="1">
        <v>46023</v>
      </c>
      <c r="Q16" t="s">
        <v>0</v>
      </c>
      <c r="R16" t="s">
        <v>34</v>
      </c>
      <c r="S16" t="s">
        <v>35</v>
      </c>
      <c r="T16" t="s">
        <v>0</v>
      </c>
      <c r="U16">
        <v>347</v>
      </c>
    </row>
    <row r="17" spans="1:21" x14ac:dyDescent="0.25">
      <c r="A17">
        <v>20411454</v>
      </c>
      <c r="B17" t="s">
        <v>22</v>
      </c>
      <c r="C17">
        <v>8325282</v>
      </c>
      <c r="D17" t="s">
        <v>82</v>
      </c>
      <c r="E17" t="s">
        <v>24</v>
      </c>
      <c r="F17" t="s">
        <v>25</v>
      </c>
      <c r="G17" t="s">
        <v>26</v>
      </c>
      <c r="H17" t="s">
        <v>83</v>
      </c>
      <c r="I17" t="s">
        <v>82</v>
      </c>
      <c r="J17" t="s">
        <v>88</v>
      </c>
      <c r="K17" t="s">
        <v>29</v>
      </c>
      <c r="L17" t="s">
        <v>42</v>
      </c>
      <c r="M17" t="s">
        <v>89</v>
      </c>
      <c r="N17" s="2" t="s">
        <v>90</v>
      </c>
      <c r="O17" t="s">
        <v>91</v>
      </c>
      <c r="P17" s="1">
        <v>46023</v>
      </c>
      <c r="Q17" t="s">
        <v>0</v>
      </c>
      <c r="R17" t="s">
        <v>34</v>
      </c>
      <c r="S17" t="s">
        <v>35</v>
      </c>
      <c r="T17" t="s">
        <v>0</v>
      </c>
      <c r="U17">
        <v>200</v>
      </c>
    </row>
    <row r="18" spans="1:21" x14ac:dyDescent="0.25">
      <c r="A18">
        <v>20411454</v>
      </c>
      <c r="B18" t="s">
        <v>22</v>
      </c>
      <c r="C18">
        <v>8325282</v>
      </c>
      <c r="D18" t="s">
        <v>82</v>
      </c>
      <c r="E18" t="s">
        <v>24</v>
      </c>
      <c r="F18" t="s">
        <v>25</v>
      </c>
      <c r="G18" t="s">
        <v>26</v>
      </c>
      <c r="H18" t="s">
        <v>83</v>
      </c>
      <c r="I18" t="s">
        <v>82</v>
      </c>
      <c r="J18" t="s">
        <v>92</v>
      </c>
      <c r="K18" t="s">
        <v>29</v>
      </c>
      <c r="L18" t="s">
        <v>50</v>
      </c>
      <c r="M18" t="s">
        <v>93</v>
      </c>
      <c r="N18" s="2" t="s">
        <v>94</v>
      </c>
      <c r="O18" t="s">
        <v>95</v>
      </c>
      <c r="P18" s="1">
        <v>46023</v>
      </c>
      <c r="Q18" t="s">
        <v>0</v>
      </c>
      <c r="R18" t="s">
        <v>34</v>
      </c>
      <c r="S18" t="s">
        <v>35</v>
      </c>
      <c r="T18" t="s">
        <v>0</v>
      </c>
      <c r="U18">
        <v>200</v>
      </c>
    </row>
    <row r="19" spans="1:21" x14ac:dyDescent="0.25">
      <c r="A19">
        <v>20411454</v>
      </c>
      <c r="B19" t="s">
        <v>22</v>
      </c>
      <c r="C19">
        <v>17301495</v>
      </c>
      <c r="D19" t="s">
        <v>96</v>
      </c>
      <c r="E19" t="s">
        <v>24</v>
      </c>
      <c r="F19" t="s">
        <v>25</v>
      </c>
      <c r="G19" t="s">
        <v>26</v>
      </c>
      <c r="H19" t="s">
        <v>97</v>
      </c>
      <c r="I19" t="s">
        <v>96</v>
      </c>
      <c r="J19" t="s">
        <v>98</v>
      </c>
      <c r="K19" t="s">
        <v>29</v>
      </c>
      <c r="L19" t="s">
        <v>42</v>
      </c>
      <c r="M19" t="s">
        <v>99</v>
      </c>
      <c r="N19" s="2" t="s">
        <v>100</v>
      </c>
      <c r="O19" t="s">
        <v>101</v>
      </c>
      <c r="P19" s="1">
        <v>46023</v>
      </c>
      <c r="Q19" t="s">
        <v>0</v>
      </c>
      <c r="R19" t="s">
        <v>34</v>
      </c>
      <c r="S19" t="s">
        <v>35</v>
      </c>
      <c r="T19" t="s">
        <v>0</v>
      </c>
      <c r="U19">
        <v>200</v>
      </c>
    </row>
    <row r="20" spans="1:21" x14ac:dyDescent="0.25">
      <c r="A20">
        <v>20411454</v>
      </c>
      <c r="B20" t="s">
        <v>22</v>
      </c>
      <c r="C20">
        <v>17301495</v>
      </c>
      <c r="D20" t="s">
        <v>96</v>
      </c>
      <c r="E20" t="s">
        <v>24</v>
      </c>
      <c r="F20" t="s">
        <v>25</v>
      </c>
      <c r="G20" t="s">
        <v>26</v>
      </c>
      <c r="H20" t="s">
        <v>97</v>
      </c>
      <c r="I20" t="s">
        <v>96</v>
      </c>
      <c r="J20" t="s">
        <v>102</v>
      </c>
      <c r="K20" t="s">
        <v>29</v>
      </c>
      <c r="L20" t="s">
        <v>42</v>
      </c>
      <c r="M20" t="s">
        <v>103</v>
      </c>
      <c r="N20" s="2" t="s">
        <v>104</v>
      </c>
      <c r="O20" t="s">
        <v>105</v>
      </c>
      <c r="P20" s="1">
        <v>46023</v>
      </c>
      <c r="Q20" t="s">
        <v>0</v>
      </c>
      <c r="R20" t="s">
        <v>34</v>
      </c>
      <c r="S20" t="s">
        <v>35</v>
      </c>
      <c r="T20" t="s">
        <v>0</v>
      </c>
      <c r="U20">
        <v>200</v>
      </c>
    </row>
    <row r="21" spans="1:21" x14ac:dyDescent="0.25">
      <c r="A21">
        <v>20411454</v>
      </c>
      <c r="B21" t="s">
        <v>22</v>
      </c>
      <c r="C21">
        <v>17301495</v>
      </c>
      <c r="D21" t="s">
        <v>96</v>
      </c>
      <c r="E21" t="s">
        <v>24</v>
      </c>
      <c r="F21" t="s">
        <v>25</v>
      </c>
      <c r="G21" t="s">
        <v>26</v>
      </c>
      <c r="H21" t="s">
        <v>97</v>
      </c>
      <c r="I21" t="s">
        <v>96</v>
      </c>
      <c r="J21" t="s">
        <v>98</v>
      </c>
      <c r="K21" t="s">
        <v>29</v>
      </c>
      <c r="L21" t="s">
        <v>42</v>
      </c>
      <c r="M21" t="s">
        <v>106</v>
      </c>
      <c r="N21" s="2" t="s">
        <v>107</v>
      </c>
      <c r="O21" t="s">
        <v>108</v>
      </c>
      <c r="P21" s="1">
        <v>46023</v>
      </c>
      <c r="Q21" t="s">
        <v>0</v>
      </c>
      <c r="R21" t="s">
        <v>34</v>
      </c>
      <c r="S21" t="s">
        <v>35</v>
      </c>
      <c r="T21" t="s">
        <v>0</v>
      </c>
      <c r="U21">
        <v>200</v>
      </c>
    </row>
    <row r="22" spans="1:21" x14ac:dyDescent="0.25">
      <c r="A22">
        <v>20411454</v>
      </c>
      <c r="B22" t="s">
        <v>22</v>
      </c>
      <c r="C22">
        <v>17301495</v>
      </c>
      <c r="D22" t="s">
        <v>96</v>
      </c>
      <c r="E22" t="s">
        <v>24</v>
      </c>
      <c r="F22" t="s">
        <v>25</v>
      </c>
      <c r="G22" t="s">
        <v>26</v>
      </c>
      <c r="H22" t="s">
        <v>97</v>
      </c>
      <c r="I22" t="s">
        <v>96</v>
      </c>
      <c r="J22" t="s">
        <v>109</v>
      </c>
      <c r="K22" t="s">
        <v>29</v>
      </c>
      <c r="L22" t="s">
        <v>37</v>
      </c>
      <c r="M22" t="s">
        <v>110</v>
      </c>
      <c r="N22" s="2" t="s">
        <v>111</v>
      </c>
      <c r="O22" t="s">
        <v>112</v>
      </c>
      <c r="P22" s="1">
        <v>46023</v>
      </c>
      <c r="Q22" t="s">
        <v>0</v>
      </c>
      <c r="R22" t="s">
        <v>34</v>
      </c>
      <c r="S22" t="s">
        <v>35</v>
      </c>
      <c r="T22" t="s">
        <v>0</v>
      </c>
      <c r="U22">
        <v>200</v>
      </c>
    </row>
    <row r="23" spans="1:21" x14ac:dyDescent="0.25">
      <c r="A23">
        <v>20411454</v>
      </c>
      <c r="B23" t="s">
        <v>22</v>
      </c>
      <c r="C23">
        <v>17301495</v>
      </c>
      <c r="D23" t="s">
        <v>96</v>
      </c>
      <c r="E23" t="s">
        <v>24</v>
      </c>
      <c r="F23" t="s">
        <v>25</v>
      </c>
      <c r="G23" t="s">
        <v>26</v>
      </c>
      <c r="H23" t="s">
        <v>97</v>
      </c>
      <c r="I23" t="s">
        <v>96</v>
      </c>
      <c r="J23" t="s">
        <v>72</v>
      </c>
      <c r="K23" t="s">
        <v>29</v>
      </c>
      <c r="L23" t="s">
        <v>42</v>
      </c>
      <c r="M23" t="s">
        <v>113</v>
      </c>
      <c r="N23" s="2" t="s">
        <v>114</v>
      </c>
      <c r="O23" t="s">
        <v>115</v>
      </c>
      <c r="P23" s="1">
        <v>46023</v>
      </c>
      <c r="Q23" t="s">
        <v>0</v>
      </c>
      <c r="R23" t="s">
        <v>34</v>
      </c>
      <c r="S23" t="s">
        <v>35</v>
      </c>
      <c r="T23" t="s">
        <v>0</v>
      </c>
      <c r="U23">
        <v>200</v>
      </c>
    </row>
    <row r="24" spans="1:21" x14ac:dyDescent="0.25">
      <c r="A24">
        <v>20411454</v>
      </c>
      <c r="B24" t="s">
        <v>22</v>
      </c>
      <c r="C24">
        <v>17301495</v>
      </c>
      <c r="D24" t="s">
        <v>96</v>
      </c>
      <c r="E24" t="s">
        <v>24</v>
      </c>
      <c r="F24" t="s">
        <v>25</v>
      </c>
      <c r="G24" t="s">
        <v>26</v>
      </c>
      <c r="H24" t="s">
        <v>97</v>
      </c>
      <c r="I24" t="s">
        <v>96</v>
      </c>
      <c r="J24" t="s">
        <v>72</v>
      </c>
      <c r="K24" t="s">
        <v>29</v>
      </c>
      <c r="L24" t="s">
        <v>42</v>
      </c>
      <c r="M24" t="s">
        <v>113</v>
      </c>
      <c r="N24" s="2" t="s">
        <v>114</v>
      </c>
      <c r="O24" t="s">
        <v>115</v>
      </c>
      <c r="P24" s="1">
        <v>46023</v>
      </c>
      <c r="Q24" t="s">
        <v>0</v>
      </c>
      <c r="R24" t="s">
        <v>34</v>
      </c>
      <c r="S24" t="s">
        <v>35</v>
      </c>
      <c r="T24" t="s">
        <v>0</v>
      </c>
      <c r="U24">
        <v>347</v>
      </c>
    </row>
    <row r="25" spans="1:21" x14ac:dyDescent="0.25">
      <c r="A25">
        <v>20411454</v>
      </c>
      <c r="B25" t="s">
        <v>22</v>
      </c>
      <c r="C25">
        <v>9213293</v>
      </c>
      <c r="D25" t="s">
        <v>116</v>
      </c>
      <c r="E25" t="s">
        <v>24</v>
      </c>
      <c r="F25" t="s">
        <v>25</v>
      </c>
      <c r="G25" t="s">
        <v>26</v>
      </c>
      <c r="H25" t="s">
        <v>117</v>
      </c>
      <c r="I25" t="s">
        <v>116</v>
      </c>
      <c r="J25" t="s">
        <v>77</v>
      </c>
      <c r="K25" t="s">
        <v>29</v>
      </c>
      <c r="L25" t="s">
        <v>50</v>
      </c>
      <c r="M25" t="s">
        <v>118</v>
      </c>
      <c r="N25" s="2" t="s">
        <v>119</v>
      </c>
      <c r="O25" t="s">
        <v>120</v>
      </c>
      <c r="P25" s="1">
        <v>46023</v>
      </c>
      <c r="Q25" t="s">
        <v>0</v>
      </c>
      <c r="R25" t="s">
        <v>34</v>
      </c>
      <c r="S25" t="s">
        <v>35</v>
      </c>
      <c r="T25" t="s">
        <v>0</v>
      </c>
      <c r="U25">
        <v>200</v>
      </c>
    </row>
    <row r="26" spans="1:21" x14ac:dyDescent="0.25">
      <c r="A26">
        <v>20411454</v>
      </c>
      <c r="B26" t="s">
        <v>22</v>
      </c>
      <c r="C26">
        <v>9213293</v>
      </c>
      <c r="D26" t="s">
        <v>116</v>
      </c>
      <c r="E26" t="s">
        <v>24</v>
      </c>
      <c r="F26" t="s">
        <v>25</v>
      </c>
      <c r="G26" t="s">
        <v>26</v>
      </c>
      <c r="H26" t="s">
        <v>117</v>
      </c>
      <c r="I26" t="s">
        <v>116</v>
      </c>
      <c r="J26" t="s">
        <v>77</v>
      </c>
      <c r="K26" t="s">
        <v>29</v>
      </c>
      <c r="L26" t="s">
        <v>50</v>
      </c>
      <c r="M26" t="s">
        <v>118</v>
      </c>
      <c r="N26" s="2" t="s">
        <v>119</v>
      </c>
      <c r="O26" t="s">
        <v>120</v>
      </c>
      <c r="P26" s="1">
        <v>46023</v>
      </c>
      <c r="Q26" t="s">
        <v>0</v>
      </c>
      <c r="R26" t="s">
        <v>34</v>
      </c>
      <c r="S26" t="s">
        <v>35</v>
      </c>
      <c r="T26" t="s">
        <v>0</v>
      </c>
      <c r="U26">
        <v>347</v>
      </c>
    </row>
    <row r="27" spans="1:21" x14ac:dyDescent="0.25">
      <c r="A27">
        <v>20411454</v>
      </c>
      <c r="B27" t="s">
        <v>22</v>
      </c>
      <c r="C27">
        <v>9213293</v>
      </c>
      <c r="D27" t="s">
        <v>116</v>
      </c>
      <c r="E27" t="s">
        <v>24</v>
      </c>
      <c r="F27" t="s">
        <v>25</v>
      </c>
      <c r="G27" t="s">
        <v>26</v>
      </c>
      <c r="H27" t="s">
        <v>117</v>
      </c>
      <c r="I27" t="s">
        <v>116</v>
      </c>
      <c r="J27" t="s">
        <v>77</v>
      </c>
      <c r="K27" t="s">
        <v>29</v>
      </c>
      <c r="L27" t="s">
        <v>37</v>
      </c>
      <c r="M27" t="s">
        <v>121</v>
      </c>
      <c r="N27" s="2" t="s">
        <v>122</v>
      </c>
      <c r="O27" t="s">
        <v>123</v>
      </c>
      <c r="P27" s="1">
        <v>46023</v>
      </c>
      <c r="Q27" t="s">
        <v>0</v>
      </c>
      <c r="R27" t="s">
        <v>34</v>
      </c>
      <c r="S27" t="s">
        <v>35</v>
      </c>
      <c r="T27" t="s">
        <v>0</v>
      </c>
      <c r="U27">
        <v>200</v>
      </c>
    </row>
    <row r="28" spans="1:21" x14ac:dyDescent="0.25">
      <c r="A28">
        <v>20411454</v>
      </c>
      <c r="B28" t="s">
        <v>22</v>
      </c>
      <c r="C28">
        <v>9213293</v>
      </c>
      <c r="D28" t="s">
        <v>116</v>
      </c>
      <c r="E28" t="s">
        <v>24</v>
      </c>
      <c r="F28" t="s">
        <v>25</v>
      </c>
      <c r="G28" t="s">
        <v>26</v>
      </c>
      <c r="H28" t="s">
        <v>117</v>
      </c>
      <c r="I28" t="s">
        <v>116</v>
      </c>
      <c r="J28" t="s">
        <v>77</v>
      </c>
      <c r="K28" t="s">
        <v>29</v>
      </c>
      <c r="L28" t="s">
        <v>37</v>
      </c>
      <c r="M28" t="s">
        <v>121</v>
      </c>
      <c r="N28" s="2" t="s">
        <v>122</v>
      </c>
      <c r="O28" t="s">
        <v>123</v>
      </c>
      <c r="P28" s="1">
        <v>46023</v>
      </c>
      <c r="Q28" t="s">
        <v>0</v>
      </c>
      <c r="R28" t="s">
        <v>34</v>
      </c>
      <c r="S28" t="s">
        <v>35</v>
      </c>
      <c r="T28" t="s">
        <v>0</v>
      </c>
      <c r="U28">
        <v>347</v>
      </c>
    </row>
    <row r="29" spans="1:21" x14ac:dyDescent="0.25">
      <c r="A29">
        <v>20411454</v>
      </c>
      <c r="B29" t="s">
        <v>22</v>
      </c>
      <c r="C29">
        <v>9213293</v>
      </c>
      <c r="D29" t="s">
        <v>116</v>
      </c>
      <c r="E29" t="s">
        <v>24</v>
      </c>
      <c r="F29" t="s">
        <v>25</v>
      </c>
      <c r="G29" t="s">
        <v>26</v>
      </c>
      <c r="H29" t="s">
        <v>117</v>
      </c>
      <c r="I29" t="s">
        <v>116</v>
      </c>
      <c r="J29" t="s">
        <v>124</v>
      </c>
      <c r="K29" t="s">
        <v>29</v>
      </c>
      <c r="L29" t="s">
        <v>37</v>
      </c>
      <c r="M29" t="s">
        <v>125</v>
      </c>
      <c r="N29" s="2" t="s">
        <v>126</v>
      </c>
      <c r="O29" t="s">
        <v>127</v>
      </c>
      <c r="P29" s="1">
        <v>46023</v>
      </c>
      <c r="Q29" t="s">
        <v>0</v>
      </c>
      <c r="R29" t="s">
        <v>34</v>
      </c>
      <c r="S29" t="s">
        <v>35</v>
      </c>
      <c r="T29" t="s">
        <v>0</v>
      </c>
      <c r="U29">
        <v>200</v>
      </c>
    </row>
    <row r="30" spans="1:21" x14ac:dyDescent="0.25">
      <c r="A30">
        <v>20411454</v>
      </c>
      <c r="B30" t="s">
        <v>22</v>
      </c>
      <c r="C30">
        <v>9213293</v>
      </c>
      <c r="D30" t="s">
        <v>116</v>
      </c>
      <c r="E30" t="s">
        <v>24</v>
      </c>
      <c r="F30" t="s">
        <v>25</v>
      </c>
      <c r="G30" t="s">
        <v>26</v>
      </c>
      <c r="H30" t="s">
        <v>117</v>
      </c>
      <c r="I30" t="s">
        <v>116</v>
      </c>
      <c r="J30" t="s">
        <v>124</v>
      </c>
      <c r="K30" t="s">
        <v>29</v>
      </c>
      <c r="L30" t="s">
        <v>37</v>
      </c>
      <c r="M30" t="s">
        <v>125</v>
      </c>
      <c r="N30" s="2" t="s">
        <v>126</v>
      </c>
      <c r="O30" t="s">
        <v>127</v>
      </c>
      <c r="P30" s="1">
        <v>46023</v>
      </c>
      <c r="Q30" t="s">
        <v>0</v>
      </c>
      <c r="R30" t="s">
        <v>34</v>
      </c>
      <c r="S30" t="s">
        <v>35</v>
      </c>
      <c r="T30" t="s">
        <v>0</v>
      </c>
      <c r="U30">
        <v>347</v>
      </c>
    </row>
    <row r="31" spans="1:21" x14ac:dyDescent="0.25">
      <c r="A31">
        <v>20411454</v>
      </c>
      <c r="B31" t="s">
        <v>22</v>
      </c>
      <c r="C31">
        <v>9213293</v>
      </c>
      <c r="D31" t="s">
        <v>116</v>
      </c>
      <c r="E31" t="s">
        <v>24</v>
      </c>
      <c r="F31" t="s">
        <v>25</v>
      </c>
      <c r="G31" t="s">
        <v>26</v>
      </c>
      <c r="H31" t="s">
        <v>117</v>
      </c>
      <c r="I31" t="s">
        <v>116</v>
      </c>
      <c r="J31" t="s">
        <v>128</v>
      </c>
      <c r="K31" t="s">
        <v>29</v>
      </c>
      <c r="L31" t="s">
        <v>42</v>
      </c>
      <c r="M31" t="s">
        <v>129</v>
      </c>
      <c r="N31" s="2" t="s">
        <v>130</v>
      </c>
      <c r="O31" t="s">
        <v>131</v>
      </c>
      <c r="P31" s="1">
        <v>46023</v>
      </c>
      <c r="Q31" t="s">
        <v>0</v>
      </c>
      <c r="R31" t="s">
        <v>34</v>
      </c>
      <c r="S31" t="s">
        <v>35</v>
      </c>
      <c r="T31" t="s">
        <v>0</v>
      </c>
      <c r="U31">
        <v>200</v>
      </c>
    </row>
    <row r="32" spans="1:21" x14ac:dyDescent="0.25">
      <c r="A32">
        <v>20411454</v>
      </c>
      <c r="B32" t="s">
        <v>22</v>
      </c>
      <c r="C32">
        <v>9213293</v>
      </c>
      <c r="D32" t="s">
        <v>116</v>
      </c>
      <c r="E32" t="s">
        <v>24</v>
      </c>
      <c r="F32" t="s">
        <v>25</v>
      </c>
      <c r="G32" t="s">
        <v>26</v>
      </c>
      <c r="H32" t="s">
        <v>117</v>
      </c>
      <c r="I32" t="s">
        <v>116</v>
      </c>
      <c r="J32" t="s">
        <v>128</v>
      </c>
      <c r="K32" t="s">
        <v>29</v>
      </c>
      <c r="L32" t="s">
        <v>42</v>
      </c>
      <c r="M32" t="s">
        <v>129</v>
      </c>
      <c r="N32" s="2" t="s">
        <v>130</v>
      </c>
      <c r="O32" t="s">
        <v>131</v>
      </c>
      <c r="P32" s="1">
        <v>46023</v>
      </c>
      <c r="Q32" t="s">
        <v>0</v>
      </c>
      <c r="R32" t="s">
        <v>34</v>
      </c>
      <c r="S32" t="s">
        <v>35</v>
      </c>
      <c r="T32" t="s">
        <v>0</v>
      </c>
      <c r="U32">
        <v>347</v>
      </c>
    </row>
    <row r="33" spans="1:21" x14ac:dyDescent="0.25">
      <c r="A33">
        <v>20411454</v>
      </c>
      <c r="B33" t="s">
        <v>22</v>
      </c>
      <c r="C33">
        <v>9213293</v>
      </c>
      <c r="D33" t="s">
        <v>116</v>
      </c>
      <c r="E33" t="s">
        <v>24</v>
      </c>
      <c r="F33" t="s">
        <v>25</v>
      </c>
      <c r="G33" t="s">
        <v>26</v>
      </c>
      <c r="H33" t="s">
        <v>117</v>
      </c>
      <c r="I33" t="s">
        <v>116</v>
      </c>
      <c r="J33" t="s">
        <v>132</v>
      </c>
      <c r="K33" t="s">
        <v>29</v>
      </c>
      <c r="L33" t="s">
        <v>133</v>
      </c>
      <c r="M33" t="s">
        <v>134</v>
      </c>
      <c r="N33" s="2" t="s">
        <v>135</v>
      </c>
      <c r="O33" t="s">
        <v>136</v>
      </c>
      <c r="P33" s="1">
        <v>46023</v>
      </c>
      <c r="Q33" t="s">
        <v>0</v>
      </c>
      <c r="R33" t="s">
        <v>34</v>
      </c>
      <c r="S33" t="s">
        <v>35</v>
      </c>
      <c r="T33" t="s">
        <v>0</v>
      </c>
      <c r="U33">
        <v>200</v>
      </c>
    </row>
    <row r="34" spans="1:21" x14ac:dyDescent="0.25">
      <c r="A34">
        <v>20411454</v>
      </c>
      <c r="B34" t="s">
        <v>22</v>
      </c>
      <c r="C34">
        <v>9213293</v>
      </c>
      <c r="D34" t="s">
        <v>116</v>
      </c>
      <c r="E34" t="s">
        <v>24</v>
      </c>
      <c r="F34" t="s">
        <v>25</v>
      </c>
      <c r="G34" t="s">
        <v>26</v>
      </c>
      <c r="H34" t="s">
        <v>117</v>
      </c>
      <c r="I34" t="s">
        <v>116</v>
      </c>
      <c r="J34" t="s">
        <v>132</v>
      </c>
      <c r="K34" t="s">
        <v>29</v>
      </c>
      <c r="L34" t="s">
        <v>133</v>
      </c>
      <c r="M34" t="s">
        <v>134</v>
      </c>
      <c r="N34" s="2" t="s">
        <v>135</v>
      </c>
      <c r="O34" t="s">
        <v>136</v>
      </c>
      <c r="P34" s="1">
        <v>46023</v>
      </c>
      <c r="Q34" t="s">
        <v>0</v>
      </c>
      <c r="R34" t="s">
        <v>34</v>
      </c>
      <c r="S34" t="s">
        <v>35</v>
      </c>
      <c r="T34" t="s">
        <v>0</v>
      </c>
      <c r="U34">
        <v>347</v>
      </c>
    </row>
    <row r="35" spans="1:21" x14ac:dyDescent="0.25">
      <c r="A35">
        <v>20411454</v>
      </c>
      <c r="B35" t="s">
        <v>22</v>
      </c>
      <c r="C35">
        <v>17094718</v>
      </c>
      <c r="D35" t="s">
        <v>137</v>
      </c>
      <c r="E35" t="s">
        <v>24</v>
      </c>
      <c r="F35" t="s">
        <v>25</v>
      </c>
      <c r="G35" t="s">
        <v>26</v>
      </c>
      <c r="H35" t="s">
        <v>138</v>
      </c>
      <c r="I35" t="s">
        <v>137</v>
      </c>
      <c r="J35" t="s">
        <v>57</v>
      </c>
      <c r="K35" t="s">
        <v>29</v>
      </c>
      <c r="L35" t="s">
        <v>133</v>
      </c>
      <c r="M35" t="s">
        <v>139</v>
      </c>
      <c r="N35" s="2" t="s">
        <v>140</v>
      </c>
      <c r="O35" t="s">
        <v>141</v>
      </c>
      <c r="P35" s="1">
        <v>46023</v>
      </c>
      <c r="Q35" t="s">
        <v>0</v>
      </c>
      <c r="R35" t="s">
        <v>34</v>
      </c>
      <c r="S35" t="s">
        <v>35</v>
      </c>
      <c r="T35" t="s">
        <v>0</v>
      </c>
      <c r="U35">
        <v>200</v>
      </c>
    </row>
    <row r="36" spans="1:21" x14ac:dyDescent="0.25">
      <c r="A36">
        <v>20411454</v>
      </c>
      <c r="B36" t="s">
        <v>22</v>
      </c>
      <c r="C36">
        <v>17094718</v>
      </c>
      <c r="D36" t="s">
        <v>137</v>
      </c>
      <c r="E36" t="s">
        <v>24</v>
      </c>
      <c r="F36" t="s">
        <v>25</v>
      </c>
      <c r="G36" t="s">
        <v>26</v>
      </c>
      <c r="H36" t="s">
        <v>138</v>
      </c>
      <c r="I36" t="s">
        <v>137</v>
      </c>
      <c r="J36" t="s">
        <v>142</v>
      </c>
      <c r="K36" t="s">
        <v>29</v>
      </c>
      <c r="L36" t="s">
        <v>37</v>
      </c>
      <c r="M36" t="s">
        <v>143</v>
      </c>
      <c r="N36" s="2" t="s">
        <v>144</v>
      </c>
      <c r="O36" t="s">
        <v>145</v>
      </c>
      <c r="P36" s="1">
        <v>46023</v>
      </c>
      <c r="Q36" t="s">
        <v>0</v>
      </c>
      <c r="R36" t="s">
        <v>34</v>
      </c>
      <c r="S36" t="s">
        <v>35</v>
      </c>
      <c r="T36" t="s">
        <v>0</v>
      </c>
      <c r="U36">
        <v>200</v>
      </c>
    </row>
    <row r="37" spans="1:21" x14ac:dyDescent="0.25">
      <c r="A37">
        <v>20411454</v>
      </c>
      <c r="B37" t="s">
        <v>22</v>
      </c>
      <c r="C37">
        <v>17094718</v>
      </c>
      <c r="D37" t="s">
        <v>137</v>
      </c>
      <c r="E37" t="s">
        <v>24</v>
      </c>
      <c r="F37" t="s">
        <v>25</v>
      </c>
      <c r="G37" t="s">
        <v>26</v>
      </c>
      <c r="H37" t="s">
        <v>138</v>
      </c>
      <c r="I37" t="s">
        <v>137</v>
      </c>
      <c r="J37" t="s">
        <v>146</v>
      </c>
      <c r="K37" t="s">
        <v>29</v>
      </c>
      <c r="L37" t="s">
        <v>42</v>
      </c>
      <c r="M37" t="s">
        <v>147</v>
      </c>
      <c r="N37" s="2" t="s">
        <v>148</v>
      </c>
      <c r="O37" t="s">
        <v>149</v>
      </c>
      <c r="P37" s="1">
        <v>46023</v>
      </c>
      <c r="Q37" t="s">
        <v>0</v>
      </c>
      <c r="R37" t="s">
        <v>34</v>
      </c>
      <c r="S37" t="s">
        <v>35</v>
      </c>
      <c r="T37" t="s">
        <v>0</v>
      </c>
      <c r="U37">
        <v>200</v>
      </c>
    </row>
    <row r="38" spans="1:21" x14ac:dyDescent="0.25">
      <c r="A38">
        <v>20411454</v>
      </c>
      <c r="B38" t="s">
        <v>22</v>
      </c>
      <c r="C38">
        <v>16997303</v>
      </c>
      <c r="D38" t="s">
        <v>150</v>
      </c>
      <c r="E38" t="s">
        <v>24</v>
      </c>
      <c r="F38" t="s">
        <v>25</v>
      </c>
      <c r="G38" t="s">
        <v>26</v>
      </c>
      <c r="H38" t="s">
        <v>151</v>
      </c>
      <c r="I38" t="s">
        <v>150</v>
      </c>
      <c r="J38" t="s">
        <v>152</v>
      </c>
      <c r="K38" t="s">
        <v>29</v>
      </c>
      <c r="L38" t="s">
        <v>37</v>
      </c>
      <c r="M38" t="s">
        <v>153</v>
      </c>
      <c r="N38" s="2" t="s">
        <v>154</v>
      </c>
      <c r="O38" t="s">
        <v>155</v>
      </c>
      <c r="P38" s="1">
        <v>46023</v>
      </c>
      <c r="Q38" t="s">
        <v>0</v>
      </c>
      <c r="R38" t="s">
        <v>34</v>
      </c>
      <c r="S38" t="s">
        <v>35</v>
      </c>
      <c r="T38" t="s">
        <v>0</v>
      </c>
      <c r="U38">
        <v>200</v>
      </c>
    </row>
    <row r="39" spans="1:21" x14ac:dyDescent="0.25">
      <c r="A39">
        <v>20411454</v>
      </c>
      <c r="B39" t="s">
        <v>22</v>
      </c>
      <c r="C39">
        <v>16997303</v>
      </c>
      <c r="D39" t="s">
        <v>150</v>
      </c>
      <c r="E39" t="s">
        <v>24</v>
      </c>
      <c r="F39" t="s">
        <v>25</v>
      </c>
      <c r="G39" t="s">
        <v>26</v>
      </c>
      <c r="H39" t="s">
        <v>151</v>
      </c>
      <c r="I39" t="s">
        <v>150</v>
      </c>
      <c r="J39" t="s">
        <v>66</v>
      </c>
      <c r="K39" t="s">
        <v>29</v>
      </c>
      <c r="L39" t="s">
        <v>42</v>
      </c>
      <c r="M39" t="s">
        <v>156</v>
      </c>
      <c r="N39" s="2" t="s">
        <v>157</v>
      </c>
      <c r="O39" t="s">
        <v>158</v>
      </c>
      <c r="P39" s="1">
        <v>46023</v>
      </c>
      <c r="Q39" t="s">
        <v>0</v>
      </c>
      <c r="R39" t="s">
        <v>34</v>
      </c>
      <c r="S39" t="s">
        <v>35</v>
      </c>
      <c r="T39" t="s">
        <v>0</v>
      </c>
      <c r="U39">
        <v>200</v>
      </c>
    </row>
    <row r="40" spans="1:21" x14ac:dyDescent="0.25">
      <c r="A40">
        <v>20411454</v>
      </c>
      <c r="B40" t="s">
        <v>22</v>
      </c>
      <c r="C40">
        <v>16997303</v>
      </c>
      <c r="D40" t="s">
        <v>150</v>
      </c>
      <c r="E40" t="s">
        <v>24</v>
      </c>
      <c r="F40" t="s">
        <v>25</v>
      </c>
      <c r="G40" t="s">
        <v>26</v>
      </c>
      <c r="H40" t="s">
        <v>151</v>
      </c>
      <c r="I40" t="s">
        <v>150</v>
      </c>
      <c r="J40" t="s">
        <v>159</v>
      </c>
      <c r="K40" t="s">
        <v>29</v>
      </c>
      <c r="L40" t="s">
        <v>30</v>
      </c>
      <c r="M40" t="s">
        <v>160</v>
      </c>
      <c r="N40" s="2" t="s">
        <v>161</v>
      </c>
      <c r="O40" t="s">
        <v>162</v>
      </c>
      <c r="P40" s="1">
        <v>46023</v>
      </c>
      <c r="Q40" t="s">
        <v>0</v>
      </c>
      <c r="R40" t="s">
        <v>34</v>
      </c>
      <c r="S40" t="s">
        <v>35</v>
      </c>
      <c r="T40" t="s">
        <v>0</v>
      </c>
      <c r="U40">
        <v>200</v>
      </c>
    </row>
    <row r="41" spans="1:21" x14ac:dyDescent="0.25">
      <c r="A41">
        <v>20411454</v>
      </c>
      <c r="B41" t="s">
        <v>22</v>
      </c>
      <c r="C41">
        <v>16997303</v>
      </c>
      <c r="D41" t="s">
        <v>150</v>
      </c>
      <c r="E41" t="s">
        <v>24</v>
      </c>
      <c r="F41" t="s">
        <v>25</v>
      </c>
      <c r="G41" t="s">
        <v>26</v>
      </c>
      <c r="H41" t="s">
        <v>151</v>
      </c>
      <c r="I41" t="s">
        <v>150</v>
      </c>
      <c r="J41" t="s">
        <v>66</v>
      </c>
      <c r="K41" t="s">
        <v>29</v>
      </c>
      <c r="L41" t="s">
        <v>37</v>
      </c>
      <c r="M41" t="s">
        <v>163</v>
      </c>
      <c r="N41" s="2" t="s">
        <v>164</v>
      </c>
      <c r="O41" t="s">
        <v>165</v>
      </c>
      <c r="P41" s="1">
        <v>46023</v>
      </c>
      <c r="Q41" t="s">
        <v>0</v>
      </c>
      <c r="R41" t="s">
        <v>34</v>
      </c>
      <c r="S41" t="s">
        <v>35</v>
      </c>
      <c r="T41" t="s">
        <v>0</v>
      </c>
      <c r="U41">
        <v>200</v>
      </c>
    </row>
    <row r="42" spans="1:21" x14ac:dyDescent="0.25">
      <c r="A42">
        <v>20411454</v>
      </c>
      <c r="B42" t="s">
        <v>22</v>
      </c>
      <c r="C42">
        <v>16997303</v>
      </c>
      <c r="D42" t="s">
        <v>150</v>
      </c>
      <c r="E42" t="s">
        <v>24</v>
      </c>
      <c r="F42" t="s">
        <v>25</v>
      </c>
      <c r="G42" t="s">
        <v>26</v>
      </c>
      <c r="H42" t="s">
        <v>151</v>
      </c>
      <c r="I42" t="s">
        <v>150</v>
      </c>
      <c r="J42" t="s">
        <v>166</v>
      </c>
      <c r="K42" t="s">
        <v>29</v>
      </c>
      <c r="L42" t="s">
        <v>42</v>
      </c>
      <c r="M42" t="s">
        <v>167</v>
      </c>
      <c r="N42" s="2" t="s">
        <v>168</v>
      </c>
      <c r="O42" t="s">
        <v>169</v>
      </c>
      <c r="P42" s="1">
        <v>46023</v>
      </c>
      <c r="Q42" t="s">
        <v>0</v>
      </c>
      <c r="R42" t="s">
        <v>34</v>
      </c>
      <c r="S42" t="s">
        <v>35</v>
      </c>
      <c r="T42" t="s">
        <v>0</v>
      </c>
      <c r="U42">
        <v>200</v>
      </c>
    </row>
    <row r="43" spans="1:21" x14ac:dyDescent="0.25">
      <c r="A43">
        <v>20411454</v>
      </c>
      <c r="B43" t="s">
        <v>22</v>
      </c>
      <c r="C43">
        <v>16997303</v>
      </c>
      <c r="D43" t="s">
        <v>150</v>
      </c>
      <c r="E43" t="s">
        <v>24</v>
      </c>
      <c r="F43" t="s">
        <v>25</v>
      </c>
      <c r="G43" t="s">
        <v>26</v>
      </c>
      <c r="H43" t="s">
        <v>151</v>
      </c>
      <c r="I43" t="s">
        <v>150</v>
      </c>
      <c r="J43" t="s">
        <v>28</v>
      </c>
      <c r="K43" t="s">
        <v>29</v>
      </c>
      <c r="L43" t="s">
        <v>50</v>
      </c>
      <c r="M43" t="s">
        <v>170</v>
      </c>
      <c r="N43" s="2" t="s">
        <v>171</v>
      </c>
      <c r="O43" t="s">
        <v>172</v>
      </c>
      <c r="P43" s="1">
        <v>46023</v>
      </c>
      <c r="Q43" t="s">
        <v>0</v>
      </c>
      <c r="R43" t="s">
        <v>34</v>
      </c>
      <c r="S43" t="s">
        <v>35</v>
      </c>
      <c r="T43" t="s">
        <v>0</v>
      </c>
      <c r="U43">
        <v>200</v>
      </c>
    </row>
    <row r="44" spans="1:21" x14ac:dyDescent="0.25">
      <c r="A44">
        <v>20411454</v>
      </c>
      <c r="B44" t="s">
        <v>22</v>
      </c>
      <c r="C44">
        <v>2158366</v>
      </c>
      <c r="D44" t="s">
        <v>173</v>
      </c>
      <c r="E44" t="s">
        <v>24</v>
      </c>
      <c r="F44" t="s">
        <v>25</v>
      </c>
      <c r="G44" t="s">
        <v>26</v>
      </c>
      <c r="H44" t="s">
        <v>174</v>
      </c>
      <c r="I44" t="s">
        <v>173</v>
      </c>
      <c r="J44" t="s">
        <v>175</v>
      </c>
      <c r="K44" t="s">
        <v>29</v>
      </c>
      <c r="L44" t="s">
        <v>37</v>
      </c>
      <c r="M44" t="s">
        <v>176</v>
      </c>
      <c r="N44" s="2" t="s">
        <v>177</v>
      </c>
      <c r="O44" t="s">
        <v>178</v>
      </c>
      <c r="P44" s="1">
        <v>46023</v>
      </c>
      <c r="Q44" t="s">
        <v>0</v>
      </c>
      <c r="R44" t="s">
        <v>34</v>
      </c>
      <c r="S44" t="s">
        <v>35</v>
      </c>
      <c r="T44" t="s">
        <v>0</v>
      </c>
      <c r="U44">
        <v>200</v>
      </c>
    </row>
    <row r="45" spans="1:21" x14ac:dyDescent="0.25">
      <c r="A45">
        <v>20411454</v>
      </c>
      <c r="B45" t="s">
        <v>22</v>
      </c>
      <c r="C45">
        <v>2158366</v>
      </c>
      <c r="D45" t="s">
        <v>173</v>
      </c>
      <c r="E45" t="s">
        <v>24</v>
      </c>
      <c r="F45" t="s">
        <v>25</v>
      </c>
      <c r="G45" t="s">
        <v>26</v>
      </c>
      <c r="H45" t="s">
        <v>174</v>
      </c>
      <c r="I45" t="s">
        <v>173</v>
      </c>
      <c r="J45" t="s">
        <v>175</v>
      </c>
      <c r="K45" t="s">
        <v>29</v>
      </c>
      <c r="L45" t="s">
        <v>37</v>
      </c>
      <c r="M45" t="s">
        <v>176</v>
      </c>
      <c r="N45" s="2" t="s">
        <v>177</v>
      </c>
      <c r="O45" t="s">
        <v>178</v>
      </c>
      <c r="P45" s="1">
        <v>46023</v>
      </c>
      <c r="Q45" t="s">
        <v>0</v>
      </c>
      <c r="R45" t="s">
        <v>34</v>
      </c>
      <c r="S45" t="s">
        <v>35</v>
      </c>
      <c r="T45" t="s">
        <v>0</v>
      </c>
      <c r="U45">
        <v>347</v>
      </c>
    </row>
    <row r="46" spans="1:21" x14ac:dyDescent="0.25">
      <c r="A46">
        <v>20411454</v>
      </c>
      <c r="B46" t="s">
        <v>22</v>
      </c>
      <c r="C46">
        <v>20212926</v>
      </c>
      <c r="D46" t="s">
        <v>179</v>
      </c>
      <c r="E46" t="s">
        <v>24</v>
      </c>
      <c r="F46" t="s">
        <v>25</v>
      </c>
      <c r="G46" t="s">
        <v>26</v>
      </c>
      <c r="H46" t="s">
        <v>180</v>
      </c>
      <c r="I46" t="s">
        <v>179</v>
      </c>
      <c r="J46" t="s">
        <v>181</v>
      </c>
      <c r="K46" t="s">
        <v>29</v>
      </c>
      <c r="L46" t="s">
        <v>42</v>
      </c>
      <c r="M46" t="s">
        <v>182</v>
      </c>
      <c r="N46" s="2" t="s">
        <v>183</v>
      </c>
      <c r="O46" t="s">
        <v>184</v>
      </c>
      <c r="P46" s="1">
        <v>46023</v>
      </c>
      <c r="Q46" t="s">
        <v>0</v>
      </c>
      <c r="R46" t="s">
        <v>34</v>
      </c>
      <c r="S46" t="s">
        <v>35</v>
      </c>
      <c r="T46" t="s">
        <v>0</v>
      </c>
      <c r="U46">
        <v>200</v>
      </c>
    </row>
    <row r="47" spans="1:21" x14ac:dyDescent="0.25">
      <c r="A47">
        <v>20411454</v>
      </c>
      <c r="B47" t="s">
        <v>22</v>
      </c>
      <c r="C47">
        <v>20212926</v>
      </c>
      <c r="D47" t="s">
        <v>179</v>
      </c>
      <c r="E47" t="s">
        <v>24</v>
      </c>
      <c r="F47" t="s">
        <v>25</v>
      </c>
      <c r="G47" t="s">
        <v>26</v>
      </c>
      <c r="H47" t="s">
        <v>180</v>
      </c>
      <c r="I47" t="s">
        <v>179</v>
      </c>
      <c r="J47" t="s">
        <v>181</v>
      </c>
      <c r="K47" t="s">
        <v>29</v>
      </c>
      <c r="L47" t="s">
        <v>42</v>
      </c>
      <c r="M47" t="s">
        <v>182</v>
      </c>
      <c r="N47" s="2" t="s">
        <v>183</v>
      </c>
      <c r="O47" t="s">
        <v>184</v>
      </c>
      <c r="P47" s="1">
        <v>46023</v>
      </c>
      <c r="Q47" t="s">
        <v>0</v>
      </c>
      <c r="R47" t="s">
        <v>34</v>
      </c>
      <c r="S47" t="s">
        <v>35</v>
      </c>
      <c r="T47" t="s">
        <v>0</v>
      </c>
      <c r="U47">
        <v>347</v>
      </c>
    </row>
    <row r="48" spans="1:21" x14ac:dyDescent="0.25">
      <c r="A48">
        <v>20411454</v>
      </c>
      <c r="B48" t="s">
        <v>22</v>
      </c>
      <c r="C48">
        <v>8812322</v>
      </c>
      <c r="D48" t="s">
        <v>185</v>
      </c>
      <c r="E48" t="s">
        <v>24</v>
      </c>
      <c r="F48" t="s">
        <v>25</v>
      </c>
      <c r="G48" t="s">
        <v>26</v>
      </c>
      <c r="H48" t="s">
        <v>186</v>
      </c>
      <c r="I48" t="s">
        <v>185</v>
      </c>
      <c r="J48" t="s">
        <v>72</v>
      </c>
      <c r="K48" t="s">
        <v>29</v>
      </c>
      <c r="L48" t="s">
        <v>37</v>
      </c>
      <c r="M48" t="s">
        <v>187</v>
      </c>
      <c r="N48" s="2" t="s">
        <v>188</v>
      </c>
      <c r="O48" t="s">
        <v>189</v>
      </c>
      <c r="P48" s="1">
        <v>46023</v>
      </c>
      <c r="Q48" t="s">
        <v>0</v>
      </c>
      <c r="R48" t="s">
        <v>34</v>
      </c>
      <c r="S48" t="s">
        <v>35</v>
      </c>
      <c r="T48" t="s">
        <v>0</v>
      </c>
      <c r="U48">
        <v>200</v>
      </c>
    </row>
    <row r="49" spans="1:21" x14ac:dyDescent="0.25">
      <c r="A49">
        <v>20411454</v>
      </c>
      <c r="B49" t="s">
        <v>22</v>
      </c>
      <c r="C49">
        <v>8812322</v>
      </c>
      <c r="D49" t="s">
        <v>185</v>
      </c>
      <c r="E49" t="s">
        <v>24</v>
      </c>
      <c r="F49" t="s">
        <v>25</v>
      </c>
      <c r="G49" t="s">
        <v>26</v>
      </c>
      <c r="H49" t="s">
        <v>186</v>
      </c>
      <c r="I49" t="s">
        <v>185</v>
      </c>
      <c r="J49" t="s">
        <v>72</v>
      </c>
      <c r="K49" t="s">
        <v>29</v>
      </c>
      <c r="L49" t="s">
        <v>37</v>
      </c>
      <c r="M49" t="s">
        <v>187</v>
      </c>
      <c r="N49" s="2" t="s">
        <v>188</v>
      </c>
      <c r="O49" t="s">
        <v>189</v>
      </c>
      <c r="P49" s="1">
        <v>46023</v>
      </c>
      <c r="Q49" t="s">
        <v>0</v>
      </c>
      <c r="R49" t="s">
        <v>34</v>
      </c>
      <c r="S49" t="s">
        <v>35</v>
      </c>
      <c r="T49" t="s">
        <v>0</v>
      </c>
      <c r="U49">
        <v>347</v>
      </c>
    </row>
    <row r="50" spans="1:21" x14ac:dyDescent="0.25">
      <c r="A50">
        <v>20411454</v>
      </c>
      <c r="B50" t="s">
        <v>22</v>
      </c>
      <c r="C50">
        <v>20220688</v>
      </c>
      <c r="D50" t="s">
        <v>190</v>
      </c>
      <c r="E50" t="s">
        <v>24</v>
      </c>
      <c r="F50" t="s">
        <v>25</v>
      </c>
      <c r="G50" t="s">
        <v>26</v>
      </c>
      <c r="H50" t="s">
        <v>191</v>
      </c>
      <c r="I50" t="s">
        <v>190</v>
      </c>
      <c r="J50" t="s">
        <v>102</v>
      </c>
      <c r="K50" t="s">
        <v>29</v>
      </c>
      <c r="L50" t="s">
        <v>42</v>
      </c>
      <c r="M50" t="s">
        <v>192</v>
      </c>
      <c r="N50" s="2" t="s">
        <v>193</v>
      </c>
      <c r="O50" t="s">
        <v>194</v>
      </c>
      <c r="P50" s="1">
        <v>46023</v>
      </c>
      <c r="Q50" t="s">
        <v>0</v>
      </c>
      <c r="R50" t="s">
        <v>34</v>
      </c>
      <c r="S50" t="s">
        <v>35</v>
      </c>
      <c r="T50" t="s">
        <v>0</v>
      </c>
      <c r="U50">
        <v>200</v>
      </c>
    </row>
    <row r="51" spans="1:21" x14ac:dyDescent="0.25">
      <c r="A51">
        <v>20411454</v>
      </c>
      <c r="B51" t="s">
        <v>22</v>
      </c>
      <c r="C51">
        <v>20220688</v>
      </c>
      <c r="D51" t="s">
        <v>190</v>
      </c>
      <c r="E51" t="s">
        <v>24</v>
      </c>
      <c r="F51" t="s">
        <v>25</v>
      </c>
      <c r="G51" t="s">
        <v>26</v>
      </c>
      <c r="H51" t="s">
        <v>191</v>
      </c>
      <c r="I51" t="s">
        <v>190</v>
      </c>
      <c r="J51" t="s">
        <v>102</v>
      </c>
      <c r="K51" t="s">
        <v>29</v>
      </c>
      <c r="L51" t="s">
        <v>42</v>
      </c>
      <c r="M51" t="s">
        <v>192</v>
      </c>
      <c r="N51" s="2" t="s">
        <v>193</v>
      </c>
      <c r="O51" t="s">
        <v>194</v>
      </c>
      <c r="P51" s="1">
        <v>46023</v>
      </c>
      <c r="Q51" t="s">
        <v>0</v>
      </c>
      <c r="R51" t="s">
        <v>34</v>
      </c>
      <c r="S51" t="s">
        <v>35</v>
      </c>
      <c r="T51" t="s">
        <v>0</v>
      </c>
      <c r="U51">
        <v>347</v>
      </c>
    </row>
    <row r="52" spans="1:21" x14ac:dyDescent="0.25">
      <c r="A52">
        <v>20411454</v>
      </c>
      <c r="B52" t="s">
        <v>22</v>
      </c>
      <c r="C52">
        <v>20220688</v>
      </c>
      <c r="D52" t="s">
        <v>190</v>
      </c>
      <c r="E52" t="s">
        <v>24</v>
      </c>
      <c r="F52" t="s">
        <v>25</v>
      </c>
      <c r="G52" t="s">
        <v>26</v>
      </c>
      <c r="H52" t="s">
        <v>191</v>
      </c>
      <c r="I52" t="s">
        <v>190</v>
      </c>
      <c r="J52" t="s">
        <v>195</v>
      </c>
      <c r="K52" t="s">
        <v>29</v>
      </c>
      <c r="L52" t="s">
        <v>42</v>
      </c>
      <c r="M52" t="s">
        <v>196</v>
      </c>
      <c r="N52" s="2" t="s">
        <v>197</v>
      </c>
      <c r="O52" t="s">
        <v>198</v>
      </c>
      <c r="P52" s="1">
        <v>46023</v>
      </c>
      <c r="Q52" t="s">
        <v>0</v>
      </c>
      <c r="R52" t="s">
        <v>34</v>
      </c>
      <c r="S52" t="s">
        <v>35</v>
      </c>
      <c r="T52" t="s">
        <v>0</v>
      </c>
      <c r="U52">
        <v>200</v>
      </c>
    </row>
    <row r="53" spans="1:21" x14ac:dyDescent="0.25">
      <c r="A53">
        <v>20411454</v>
      </c>
      <c r="B53" t="s">
        <v>22</v>
      </c>
      <c r="C53">
        <v>20220688</v>
      </c>
      <c r="D53" t="s">
        <v>190</v>
      </c>
      <c r="E53" t="s">
        <v>24</v>
      </c>
      <c r="F53" t="s">
        <v>25</v>
      </c>
      <c r="G53" t="s">
        <v>26</v>
      </c>
      <c r="H53" t="s">
        <v>191</v>
      </c>
      <c r="I53" t="s">
        <v>190</v>
      </c>
      <c r="J53" t="s">
        <v>195</v>
      </c>
      <c r="K53" t="s">
        <v>29</v>
      </c>
      <c r="L53" t="s">
        <v>42</v>
      </c>
      <c r="M53" t="s">
        <v>196</v>
      </c>
      <c r="N53" s="2" t="s">
        <v>197</v>
      </c>
      <c r="O53" t="s">
        <v>198</v>
      </c>
      <c r="P53" s="1">
        <v>46023</v>
      </c>
      <c r="Q53" t="s">
        <v>0</v>
      </c>
      <c r="R53" t="s">
        <v>34</v>
      </c>
      <c r="S53" t="s">
        <v>35</v>
      </c>
      <c r="T53" t="s">
        <v>0</v>
      </c>
      <c r="U53">
        <v>347</v>
      </c>
    </row>
    <row r="54" spans="1:21" x14ac:dyDescent="0.25">
      <c r="A54">
        <v>20411454</v>
      </c>
      <c r="B54" t="s">
        <v>22</v>
      </c>
      <c r="C54">
        <v>8244481</v>
      </c>
      <c r="D54" t="s">
        <v>199</v>
      </c>
      <c r="E54" t="s">
        <v>24</v>
      </c>
      <c r="F54" t="s">
        <v>25</v>
      </c>
      <c r="G54" t="s">
        <v>26</v>
      </c>
      <c r="H54" t="s">
        <v>200</v>
      </c>
      <c r="I54" t="s">
        <v>199</v>
      </c>
      <c r="J54" t="s">
        <v>201</v>
      </c>
      <c r="K54" t="s">
        <v>29</v>
      </c>
      <c r="L54" t="s">
        <v>133</v>
      </c>
      <c r="M54" t="s">
        <v>202</v>
      </c>
      <c r="N54" s="2" t="s">
        <v>203</v>
      </c>
      <c r="O54" t="s">
        <v>204</v>
      </c>
      <c r="P54" s="1">
        <v>46023</v>
      </c>
      <c r="Q54" t="s">
        <v>0</v>
      </c>
      <c r="R54" t="s">
        <v>34</v>
      </c>
      <c r="S54" t="s">
        <v>35</v>
      </c>
      <c r="T54" t="s">
        <v>0</v>
      </c>
      <c r="U54">
        <v>200</v>
      </c>
    </row>
    <row r="55" spans="1:21" x14ac:dyDescent="0.25">
      <c r="A55">
        <v>20411454</v>
      </c>
      <c r="B55" t="s">
        <v>22</v>
      </c>
      <c r="C55">
        <v>8244481</v>
      </c>
      <c r="D55" t="s">
        <v>199</v>
      </c>
      <c r="E55" t="s">
        <v>24</v>
      </c>
      <c r="F55" t="s">
        <v>25</v>
      </c>
      <c r="G55" t="s">
        <v>26</v>
      </c>
      <c r="H55" t="s">
        <v>200</v>
      </c>
      <c r="I55" t="s">
        <v>199</v>
      </c>
      <c r="J55" t="s">
        <v>201</v>
      </c>
      <c r="K55" t="s">
        <v>29</v>
      </c>
      <c r="L55" t="s">
        <v>133</v>
      </c>
      <c r="M55" t="s">
        <v>202</v>
      </c>
      <c r="N55" s="2" t="s">
        <v>203</v>
      </c>
      <c r="O55" t="s">
        <v>204</v>
      </c>
      <c r="P55" s="1">
        <v>46023</v>
      </c>
      <c r="Q55" t="s">
        <v>0</v>
      </c>
      <c r="R55" t="s">
        <v>34</v>
      </c>
      <c r="S55" t="s">
        <v>35</v>
      </c>
      <c r="T55" t="s">
        <v>0</v>
      </c>
      <c r="U55">
        <v>347</v>
      </c>
    </row>
    <row r="56" spans="1:21" x14ac:dyDescent="0.25">
      <c r="A56">
        <v>20411454</v>
      </c>
      <c r="B56" t="s">
        <v>22</v>
      </c>
      <c r="C56">
        <v>8405446</v>
      </c>
      <c r="D56" t="s">
        <v>205</v>
      </c>
      <c r="E56" t="s">
        <v>24</v>
      </c>
      <c r="F56" t="s">
        <v>25</v>
      </c>
      <c r="G56" t="s">
        <v>206</v>
      </c>
      <c r="H56" t="s">
        <v>207</v>
      </c>
      <c r="I56" t="s">
        <v>205</v>
      </c>
      <c r="J56" t="s">
        <v>208</v>
      </c>
      <c r="K56" t="s">
        <v>209</v>
      </c>
      <c r="L56" t="s">
        <v>30</v>
      </c>
      <c r="M56" t="s">
        <v>210</v>
      </c>
      <c r="N56" s="2" t="s">
        <v>211</v>
      </c>
      <c r="O56" t="s">
        <v>212</v>
      </c>
      <c r="P56" s="1">
        <v>46023</v>
      </c>
      <c r="Q56" t="s">
        <v>0</v>
      </c>
      <c r="R56" t="s">
        <v>63</v>
      </c>
      <c r="S56" t="s">
        <v>64</v>
      </c>
      <c r="T56" t="s">
        <v>0</v>
      </c>
      <c r="U56">
        <v>200</v>
      </c>
    </row>
    <row r="57" spans="1:21" x14ac:dyDescent="0.25">
      <c r="A57">
        <v>20411454</v>
      </c>
      <c r="B57" t="s">
        <v>22</v>
      </c>
      <c r="C57">
        <v>8405446</v>
      </c>
      <c r="D57" t="s">
        <v>205</v>
      </c>
      <c r="E57" t="s">
        <v>24</v>
      </c>
      <c r="F57" t="s">
        <v>25</v>
      </c>
      <c r="G57" t="s">
        <v>206</v>
      </c>
      <c r="H57" t="s">
        <v>207</v>
      </c>
      <c r="I57" t="s">
        <v>205</v>
      </c>
      <c r="J57" t="s">
        <v>208</v>
      </c>
      <c r="K57" t="s">
        <v>209</v>
      </c>
      <c r="L57" t="s">
        <v>30</v>
      </c>
      <c r="M57" t="s">
        <v>210</v>
      </c>
      <c r="N57" s="2" t="s">
        <v>211</v>
      </c>
      <c r="O57" t="s">
        <v>212</v>
      </c>
      <c r="P57" s="1">
        <v>46023</v>
      </c>
      <c r="Q57" t="s">
        <v>0</v>
      </c>
      <c r="R57" t="s">
        <v>63</v>
      </c>
      <c r="S57" t="s">
        <v>64</v>
      </c>
      <c r="T57" t="s">
        <v>0</v>
      </c>
      <c r="U57">
        <v>694</v>
      </c>
    </row>
    <row r="58" spans="1:21" x14ac:dyDescent="0.25">
      <c r="A58">
        <v>20411454</v>
      </c>
      <c r="B58" t="s">
        <v>22</v>
      </c>
      <c r="C58">
        <v>19200754</v>
      </c>
      <c r="D58" t="s">
        <v>213</v>
      </c>
      <c r="E58" t="s">
        <v>24</v>
      </c>
      <c r="F58" t="s">
        <v>25</v>
      </c>
      <c r="G58" t="s">
        <v>26</v>
      </c>
      <c r="H58" t="s">
        <v>214</v>
      </c>
      <c r="I58" t="s">
        <v>213</v>
      </c>
      <c r="J58" t="s">
        <v>128</v>
      </c>
      <c r="K58" t="s">
        <v>29</v>
      </c>
      <c r="L58" t="s">
        <v>42</v>
      </c>
      <c r="M58" t="s">
        <v>215</v>
      </c>
      <c r="N58" s="2" t="s">
        <v>216</v>
      </c>
      <c r="O58" t="s">
        <v>217</v>
      </c>
      <c r="P58" s="1">
        <v>46023</v>
      </c>
      <c r="Q58" t="s">
        <v>0</v>
      </c>
      <c r="R58" t="s">
        <v>34</v>
      </c>
      <c r="S58" t="s">
        <v>35</v>
      </c>
      <c r="T58" t="s">
        <v>0</v>
      </c>
      <c r="U58">
        <v>200</v>
      </c>
    </row>
    <row r="59" spans="1:21" x14ac:dyDescent="0.25">
      <c r="A59">
        <v>20411454</v>
      </c>
      <c r="B59" t="s">
        <v>22</v>
      </c>
      <c r="C59">
        <v>19200754</v>
      </c>
      <c r="D59" t="s">
        <v>213</v>
      </c>
      <c r="E59" t="s">
        <v>24</v>
      </c>
      <c r="F59" t="s">
        <v>25</v>
      </c>
      <c r="G59" t="s">
        <v>26</v>
      </c>
      <c r="H59" t="s">
        <v>214</v>
      </c>
      <c r="I59" t="s">
        <v>213</v>
      </c>
      <c r="J59" t="s">
        <v>128</v>
      </c>
      <c r="K59" t="s">
        <v>29</v>
      </c>
      <c r="L59" t="s">
        <v>42</v>
      </c>
      <c r="M59" t="s">
        <v>215</v>
      </c>
      <c r="N59" s="2" t="s">
        <v>216</v>
      </c>
      <c r="O59" t="s">
        <v>217</v>
      </c>
      <c r="P59" s="1">
        <v>46023</v>
      </c>
      <c r="Q59" t="s">
        <v>0</v>
      </c>
      <c r="R59" t="s">
        <v>34</v>
      </c>
      <c r="S59" t="s">
        <v>35</v>
      </c>
      <c r="T59" t="s">
        <v>0</v>
      </c>
      <c r="U59">
        <v>347</v>
      </c>
    </row>
    <row r="60" spans="1:21" x14ac:dyDescent="0.25">
      <c r="A60">
        <v>20411454</v>
      </c>
      <c r="B60" t="s">
        <v>22</v>
      </c>
      <c r="C60">
        <v>19615078</v>
      </c>
      <c r="D60" t="s">
        <v>218</v>
      </c>
      <c r="E60" t="s">
        <v>24</v>
      </c>
      <c r="F60" t="s">
        <v>25</v>
      </c>
      <c r="G60" t="s">
        <v>26</v>
      </c>
      <c r="H60" t="s">
        <v>219</v>
      </c>
      <c r="I60" t="s">
        <v>218</v>
      </c>
      <c r="J60" t="s">
        <v>66</v>
      </c>
      <c r="K60" t="s">
        <v>29</v>
      </c>
      <c r="L60" t="s">
        <v>42</v>
      </c>
      <c r="M60" t="s">
        <v>220</v>
      </c>
      <c r="N60" s="2" t="s">
        <v>221</v>
      </c>
      <c r="O60" t="s">
        <v>222</v>
      </c>
      <c r="P60" s="1">
        <v>46023</v>
      </c>
      <c r="Q60" t="s">
        <v>0</v>
      </c>
      <c r="R60" t="s">
        <v>34</v>
      </c>
      <c r="S60" t="s">
        <v>35</v>
      </c>
      <c r="T60" t="s">
        <v>0</v>
      </c>
      <c r="U60">
        <v>200</v>
      </c>
    </row>
    <row r="61" spans="1:21" x14ac:dyDescent="0.25">
      <c r="A61">
        <v>20411454</v>
      </c>
      <c r="B61" t="s">
        <v>22</v>
      </c>
      <c r="C61">
        <v>19615078</v>
      </c>
      <c r="D61" t="s">
        <v>218</v>
      </c>
      <c r="E61" t="s">
        <v>24</v>
      </c>
      <c r="F61" t="s">
        <v>25</v>
      </c>
      <c r="G61" t="s">
        <v>26</v>
      </c>
      <c r="H61" t="s">
        <v>219</v>
      </c>
      <c r="I61" t="s">
        <v>218</v>
      </c>
      <c r="J61" t="s">
        <v>223</v>
      </c>
      <c r="K61" t="s">
        <v>29</v>
      </c>
      <c r="L61" t="s">
        <v>42</v>
      </c>
      <c r="M61" t="s">
        <v>224</v>
      </c>
      <c r="N61" s="2" t="s">
        <v>225</v>
      </c>
      <c r="O61" t="s">
        <v>226</v>
      </c>
      <c r="P61" s="1">
        <v>46023</v>
      </c>
      <c r="Q61" t="s">
        <v>0</v>
      </c>
      <c r="R61" t="s">
        <v>34</v>
      </c>
      <c r="S61" t="s">
        <v>35</v>
      </c>
      <c r="T61" t="s">
        <v>0</v>
      </c>
      <c r="U61">
        <v>200</v>
      </c>
    </row>
    <row r="62" spans="1:21" x14ac:dyDescent="0.25">
      <c r="A62">
        <v>20411454</v>
      </c>
      <c r="B62" t="s">
        <v>22</v>
      </c>
      <c r="C62">
        <v>19615078</v>
      </c>
      <c r="D62" t="s">
        <v>218</v>
      </c>
      <c r="E62" t="s">
        <v>24</v>
      </c>
      <c r="F62" t="s">
        <v>25</v>
      </c>
      <c r="G62" t="s">
        <v>26</v>
      </c>
      <c r="H62" t="s">
        <v>219</v>
      </c>
      <c r="I62" t="s">
        <v>218</v>
      </c>
      <c r="J62" t="s">
        <v>223</v>
      </c>
      <c r="K62" t="s">
        <v>29</v>
      </c>
      <c r="L62" t="s">
        <v>42</v>
      </c>
      <c r="M62" t="s">
        <v>224</v>
      </c>
      <c r="N62" s="2" t="s">
        <v>225</v>
      </c>
      <c r="O62" t="s">
        <v>226</v>
      </c>
      <c r="P62" s="1">
        <v>46023</v>
      </c>
      <c r="Q62" t="s">
        <v>0</v>
      </c>
      <c r="R62" t="s">
        <v>34</v>
      </c>
      <c r="S62" t="s">
        <v>35</v>
      </c>
      <c r="T62" t="s">
        <v>0</v>
      </c>
      <c r="U62">
        <v>347</v>
      </c>
    </row>
    <row r="63" spans="1:21" x14ac:dyDescent="0.25">
      <c r="A63">
        <v>20411454</v>
      </c>
      <c r="B63" t="s">
        <v>22</v>
      </c>
      <c r="C63">
        <v>7565575</v>
      </c>
      <c r="D63" t="s">
        <v>227</v>
      </c>
      <c r="E63" t="s">
        <v>24</v>
      </c>
      <c r="F63" t="s">
        <v>25</v>
      </c>
      <c r="G63" t="s">
        <v>26</v>
      </c>
      <c r="H63" t="s">
        <v>228</v>
      </c>
      <c r="I63" t="s">
        <v>227</v>
      </c>
      <c r="J63" t="s">
        <v>124</v>
      </c>
      <c r="K63" t="s">
        <v>29</v>
      </c>
      <c r="L63" t="s">
        <v>133</v>
      </c>
      <c r="M63" t="s">
        <v>229</v>
      </c>
      <c r="N63" s="2" t="s">
        <v>230</v>
      </c>
      <c r="O63" t="s">
        <v>231</v>
      </c>
      <c r="P63" s="1">
        <v>46023</v>
      </c>
      <c r="Q63" t="s">
        <v>0</v>
      </c>
      <c r="R63" t="s">
        <v>34</v>
      </c>
      <c r="S63" t="s">
        <v>35</v>
      </c>
      <c r="T63" t="s">
        <v>0</v>
      </c>
      <c r="U63">
        <v>200</v>
      </c>
    </row>
    <row r="64" spans="1:21" x14ac:dyDescent="0.25">
      <c r="A64">
        <v>20411454</v>
      </c>
      <c r="B64" t="s">
        <v>22</v>
      </c>
      <c r="C64">
        <v>19396223</v>
      </c>
      <c r="D64" t="s">
        <v>232</v>
      </c>
      <c r="E64" t="s">
        <v>24</v>
      </c>
      <c r="F64" t="s">
        <v>25</v>
      </c>
      <c r="G64" t="s">
        <v>26</v>
      </c>
      <c r="H64" t="s">
        <v>233</v>
      </c>
      <c r="I64" t="s">
        <v>232</v>
      </c>
      <c r="J64" t="s">
        <v>102</v>
      </c>
      <c r="K64" t="s">
        <v>29</v>
      </c>
      <c r="L64" t="s">
        <v>50</v>
      </c>
      <c r="M64" t="s">
        <v>234</v>
      </c>
      <c r="N64" s="2" t="s">
        <v>235</v>
      </c>
      <c r="O64" t="s">
        <v>236</v>
      </c>
      <c r="P64" s="1">
        <v>46023</v>
      </c>
      <c r="Q64" t="s">
        <v>0</v>
      </c>
      <c r="R64" t="s">
        <v>34</v>
      </c>
      <c r="S64" t="s">
        <v>35</v>
      </c>
      <c r="T64" t="s">
        <v>0</v>
      </c>
      <c r="U64">
        <v>200</v>
      </c>
    </row>
    <row r="65" spans="1:21" x14ac:dyDescent="0.25">
      <c r="A65">
        <v>20411454</v>
      </c>
      <c r="B65" t="s">
        <v>22</v>
      </c>
      <c r="C65">
        <v>19396223</v>
      </c>
      <c r="D65" t="s">
        <v>232</v>
      </c>
      <c r="E65" t="s">
        <v>24</v>
      </c>
      <c r="F65" t="s">
        <v>25</v>
      </c>
      <c r="G65" t="s">
        <v>26</v>
      </c>
      <c r="H65" t="s">
        <v>233</v>
      </c>
      <c r="I65" t="s">
        <v>232</v>
      </c>
      <c r="J65" t="s">
        <v>102</v>
      </c>
      <c r="K65" t="s">
        <v>29</v>
      </c>
      <c r="L65" t="s">
        <v>50</v>
      </c>
      <c r="M65" t="s">
        <v>234</v>
      </c>
      <c r="N65" s="2" t="s">
        <v>235</v>
      </c>
      <c r="O65" t="s">
        <v>236</v>
      </c>
      <c r="P65" s="1">
        <v>46023</v>
      </c>
      <c r="Q65" t="s">
        <v>0</v>
      </c>
      <c r="R65" t="s">
        <v>34</v>
      </c>
      <c r="S65" t="s">
        <v>35</v>
      </c>
      <c r="T65" t="s">
        <v>0</v>
      </c>
      <c r="U65">
        <v>347</v>
      </c>
    </row>
    <row r="66" spans="1:21" x14ac:dyDescent="0.25">
      <c r="A66">
        <v>20411454</v>
      </c>
      <c r="B66" t="s">
        <v>22</v>
      </c>
      <c r="C66">
        <v>19396223</v>
      </c>
      <c r="D66" t="s">
        <v>232</v>
      </c>
      <c r="E66" t="s">
        <v>24</v>
      </c>
      <c r="F66" t="s">
        <v>25</v>
      </c>
      <c r="G66" t="s">
        <v>26</v>
      </c>
      <c r="H66" t="s">
        <v>233</v>
      </c>
      <c r="I66" t="s">
        <v>232</v>
      </c>
      <c r="J66" t="s">
        <v>41</v>
      </c>
      <c r="K66" t="s">
        <v>29</v>
      </c>
      <c r="L66" t="s">
        <v>50</v>
      </c>
      <c r="M66" t="s">
        <v>237</v>
      </c>
      <c r="N66" s="2" t="s">
        <v>238</v>
      </c>
      <c r="O66" t="s">
        <v>239</v>
      </c>
      <c r="P66" s="1">
        <v>46023</v>
      </c>
      <c r="Q66" t="s">
        <v>0</v>
      </c>
      <c r="R66" t="s">
        <v>34</v>
      </c>
      <c r="S66" t="s">
        <v>35</v>
      </c>
      <c r="T66" t="s">
        <v>0</v>
      </c>
      <c r="U66">
        <v>200</v>
      </c>
    </row>
    <row r="67" spans="1:21" x14ac:dyDescent="0.25">
      <c r="A67">
        <v>20411454</v>
      </c>
      <c r="B67" t="s">
        <v>22</v>
      </c>
      <c r="C67">
        <v>19396223</v>
      </c>
      <c r="D67" t="s">
        <v>232</v>
      </c>
      <c r="E67" t="s">
        <v>24</v>
      </c>
      <c r="F67" t="s">
        <v>25</v>
      </c>
      <c r="G67" t="s">
        <v>26</v>
      </c>
      <c r="H67" t="s">
        <v>233</v>
      </c>
      <c r="I67" t="s">
        <v>232</v>
      </c>
      <c r="J67" t="s">
        <v>41</v>
      </c>
      <c r="K67" t="s">
        <v>29</v>
      </c>
      <c r="L67" t="s">
        <v>50</v>
      </c>
      <c r="M67" t="s">
        <v>237</v>
      </c>
      <c r="N67" s="2" t="s">
        <v>238</v>
      </c>
      <c r="O67" t="s">
        <v>239</v>
      </c>
      <c r="P67" s="1">
        <v>46023</v>
      </c>
      <c r="Q67" t="s">
        <v>0</v>
      </c>
      <c r="R67" t="s">
        <v>34</v>
      </c>
      <c r="S67" t="s">
        <v>35</v>
      </c>
      <c r="T67" t="s">
        <v>0</v>
      </c>
      <c r="U67">
        <v>347</v>
      </c>
    </row>
    <row r="68" spans="1:21" x14ac:dyDescent="0.25">
      <c r="A68">
        <v>20411454</v>
      </c>
      <c r="B68" t="s">
        <v>22</v>
      </c>
      <c r="C68">
        <v>19645587</v>
      </c>
      <c r="D68" t="s">
        <v>240</v>
      </c>
      <c r="E68" t="s">
        <v>24</v>
      </c>
      <c r="F68" t="s">
        <v>25</v>
      </c>
      <c r="G68" t="s">
        <v>241</v>
      </c>
      <c r="H68" t="s">
        <v>242</v>
      </c>
      <c r="I68" t="s">
        <v>240</v>
      </c>
      <c r="J68" t="s">
        <v>243</v>
      </c>
      <c r="K68" t="s">
        <v>67</v>
      </c>
      <c r="L68" t="s">
        <v>244</v>
      </c>
      <c r="M68" t="s">
        <v>245</v>
      </c>
      <c r="N68" s="2" t="s">
        <v>246</v>
      </c>
      <c r="O68" t="s">
        <v>247</v>
      </c>
      <c r="P68" s="1">
        <v>46023</v>
      </c>
      <c r="Q68" t="s">
        <v>0</v>
      </c>
      <c r="R68" t="s">
        <v>63</v>
      </c>
      <c r="S68" t="s">
        <v>35</v>
      </c>
      <c r="T68" t="s">
        <v>0</v>
      </c>
      <c r="U68">
        <v>200</v>
      </c>
    </row>
    <row r="69" spans="1:21" x14ac:dyDescent="0.25">
      <c r="A69">
        <v>20411454</v>
      </c>
      <c r="B69" t="s">
        <v>22</v>
      </c>
      <c r="C69">
        <v>19645587</v>
      </c>
      <c r="D69" t="s">
        <v>240</v>
      </c>
      <c r="E69" t="s">
        <v>24</v>
      </c>
      <c r="F69" t="s">
        <v>25</v>
      </c>
      <c r="G69" t="s">
        <v>241</v>
      </c>
      <c r="H69" t="s">
        <v>242</v>
      </c>
      <c r="I69" t="s">
        <v>240</v>
      </c>
      <c r="J69" t="s">
        <v>243</v>
      </c>
      <c r="K69" t="s">
        <v>67</v>
      </c>
      <c r="L69" t="s">
        <v>244</v>
      </c>
      <c r="M69" t="s">
        <v>245</v>
      </c>
      <c r="N69" s="2" t="s">
        <v>246</v>
      </c>
      <c r="O69" t="s">
        <v>247</v>
      </c>
      <c r="P69" s="1">
        <v>46023</v>
      </c>
      <c r="Q69" t="s">
        <v>0</v>
      </c>
      <c r="R69" t="s">
        <v>63</v>
      </c>
      <c r="S69" t="s">
        <v>35</v>
      </c>
      <c r="T69" t="s">
        <v>0</v>
      </c>
      <c r="U69">
        <v>694</v>
      </c>
    </row>
    <row r="70" spans="1:21" x14ac:dyDescent="0.25">
      <c r="A70">
        <v>20411454</v>
      </c>
      <c r="B70" t="s">
        <v>22</v>
      </c>
      <c r="C70">
        <v>19491313</v>
      </c>
      <c r="D70" t="s">
        <v>248</v>
      </c>
      <c r="E70" t="s">
        <v>249</v>
      </c>
      <c r="F70" t="s">
        <v>25</v>
      </c>
      <c r="G70" t="s">
        <v>55</v>
      </c>
      <c r="H70" t="s">
        <v>250</v>
      </c>
      <c r="I70" t="s">
        <v>248</v>
      </c>
      <c r="J70" t="s">
        <v>251</v>
      </c>
      <c r="K70" t="s">
        <v>58</v>
      </c>
      <c r="L70" t="s">
        <v>59</v>
      </c>
      <c r="M70" t="s">
        <v>252</v>
      </c>
      <c r="N70" s="2" t="s">
        <v>253</v>
      </c>
      <c r="O70" t="s">
        <v>254</v>
      </c>
      <c r="P70" s="1">
        <v>46023</v>
      </c>
      <c r="Q70" t="s">
        <v>0</v>
      </c>
      <c r="R70" t="s">
        <v>34</v>
      </c>
      <c r="S70" t="s">
        <v>35</v>
      </c>
      <c r="T70" t="s">
        <v>0</v>
      </c>
      <c r="U70">
        <v>10.41</v>
      </c>
    </row>
    <row r="71" spans="1:21" x14ac:dyDescent="0.25">
      <c r="A71">
        <v>20411454</v>
      </c>
      <c r="B71" t="s">
        <v>22</v>
      </c>
      <c r="C71">
        <v>19491313</v>
      </c>
      <c r="D71" t="s">
        <v>248</v>
      </c>
      <c r="E71" t="s">
        <v>249</v>
      </c>
      <c r="F71" t="s">
        <v>25</v>
      </c>
      <c r="G71" t="s">
        <v>55</v>
      </c>
      <c r="H71" t="s">
        <v>250</v>
      </c>
      <c r="I71" t="s">
        <v>248</v>
      </c>
      <c r="J71" t="s">
        <v>251</v>
      </c>
      <c r="K71" t="s">
        <v>58</v>
      </c>
      <c r="L71" t="s">
        <v>59</v>
      </c>
      <c r="M71" t="s">
        <v>252</v>
      </c>
      <c r="N71" s="2" t="s">
        <v>253</v>
      </c>
      <c r="O71" t="s">
        <v>254</v>
      </c>
      <c r="P71" s="1">
        <v>46023</v>
      </c>
      <c r="Q71" t="s">
        <v>0</v>
      </c>
      <c r="R71" t="s">
        <v>34</v>
      </c>
      <c r="S71" t="s">
        <v>35</v>
      </c>
      <c r="T71" t="s">
        <v>0</v>
      </c>
      <c r="U71">
        <v>28.92</v>
      </c>
    </row>
    <row r="72" spans="1:21" x14ac:dyDescent="0.25">
      <c r="A72">
        <v>20411454</v>
      </c>
      <c r="B72" t="s">
        <v>22</v>
      </c>
      <c r="C72">
        <v>21283956</v>
      </c>
      <c r="D72" t="s">
        <v>255</v>
      </c>
      <c r="E72" t="s">
        <v>24</v>
      </c>
      <c r="F72" t="s">
        <v>25</v>
      </c>
      <c r="G72" t="s">
        <v>26</v>
      </c>
      <c r="H72" t="s">
        <v>256</v>
      </c>
      <c r="I72" t="s">
        <v>255</v>
      </c>
      <c r="J72" t="s">
        <v>257</v>
      </c>
      <c r="K72" t="s">
        <v>29</v>
      </c>
      <c r="L72" t="s">
        <v>42</v>
      </c>
      <c r="M72" t="s">
        <v>258</v>
      </c>
      <c r="N72" s="2" t="s">
        <v>259</v>
      </c>
      <c r="O72" t="s">
        <v>260</v>
      </c>
      <c r="P72" s="1">
        <v>46023</v>
      </c>
      <c r="Q72" t="s">
        <v>0</v>
      </c>
      <c r="R72" t="s">
        <v>34</v>
      </c>
      <c r="S72" t="s">
        <v>35</v>
      </c>
      <c r="T72" t="s">
        <v>0</v>
      </c>
      <c r="U72">
        <v>200</v>
      </c>
    </row>
    <row r="73" spans="1:21" x14ac:dyDescent="0.25">
      <c r="A73">
        <v>20411454</v>
      </c>
      <c r="B73" t="s">
        <v>22</v>
      </c>
      <c r="C73">
        <v>21283956</v>
      </c>
      <c r="D73" t="s">
        <v>255</v>
      </c>
      <c r="E73" t="s">
        <v>24</v>
      </c>
      <c r="F73" t="s">
        <v>25</v>
      </c>
      <c r="G73" t="s">
        <v>26</v>
      </c>
      <c r="H73" t="s">
        <v>256</v>
      </c>
      <c r="I73" t="s">
        <v>255</v>
      </c>
      <c r="J73" t="s">
        <v>261</v>
      </c>
      <c r="K73" t="s">
        <v>29</v>
      </c>
      <c r="L73" t="s">
        <v>50</v>
      </c>
      <c r="M73" t="s">
        <v>262</v>
      </c>
      <c r="N73" s="2" t="s">
        <v>263</v>
      </c>
      <c r="O73" t="s">
        <v>264</v>
      </c>
      <c r="P73" s="1">
        <v>46023</v>
      </c>
      <c r="Q73" t="s">
        <v>0</v>
      </c>
      <c r="R73" t="s">
        <v>34</v>
      </c>
      <c r="S73" t="s">
        <v>35</v>
      </c>
      <c r="T73" t="s">
        <v>0</v>
      </c>
      <c r="U73">
        <v>200</v>
      </c>
    </row>
    <row r="74" spans="1:21" x14ac:dyDescent="0.25">
      <c r="A74">
        <v>20411454</v>
      </c>
      <c r="B74" t="s">
        <v>22</v>
      </c>
      <c r="C74">
        <v>21283956</v>
      </c>
      <c r="D74" t="s">
        <v>255</v>
      </c>
      <c r="E74" t="s">
        <v>24</v>
      </c>
      <c r="F74" t="s">
        <v>25</v>
      </c>
      <c r="G74" t="s">
        <v>26</v>
      </c>
      <c r="H74" t="s">
        <v>256</v>
      </c>
      <c r="I74" t="s">
        <v>255</v>
      </c>
      <c r="J74" t="s">
        <v>175</v>
      </c>
      <c r="K74" t="s">
        <v>29</v>
      </c>
      <c r="L74" t="s">
        <v>42</v>
      </c>
      <c r="M74" t="s">
        <v>265</v>
      </c>
      <c r="N74" s="2" t="s">
        <v>266</v>
      </c>
      <c r="O74" t="s">
        <v>267</v>
      </c>
      <c r="P74" s="1">
        <v>46023</v>
      </c>
      <c r="Q74" t="s">
        <v>0</v>
      </c>
      <c r="R74" t="s">
        <v>34</v>
      </c>
      <c r="S74" t="s">
        <v>35</v>
      </c>
      <c r="T74" t="s">
        <v>0</v>
      </c>
      <c r="U74">
        <v>200</v>
      </c>
    </row>
    <row r="75" spans="1:21" x14ac:dyDescent="0.25">
      <c r="A75">
        <v>20411454</v>
      </c>
      <c r="B75" t="s">
        <v>22</v>
      </c>
      <c r="C75">
        <v>21283956</v>
      </c>
      <c r="D75" t="s">
        <v>255</v>
      </c>
      <c r="E75" t="s">
        <v>24</v>
      </c>
      <c r="F75" t="s">
        <v>25</v>
      </c>
      <c r="G75" t="s">
        <v>26</v>
      </c>
      <c r="H75" t="s">
        <v>256</v>
      </c>
      <c r="I75" t="s">
        <v>255</v>
      </c>
      <c r="J75" t="s">
        <v>175</v>
      </c>
      <c r="K75" t="s">
        <v>29</v>
      </c>
      <c r="L75" t="s">
        <v>42</v>
      </c>
      <c r="M75" t="s">
        <v>265</v>
      </c>
      <c r="N75" s="2" t="s">
        <v>266</v>
      </c>
      <c r="O75" t="s">
        <v>267</v>
      </c>
      <c r="P75" s="1">
        <v>46023</v>
      </c>
      <c r="Q75" t="s">
        <v>0</v>
      </c>
      <c r="R75" t="s">
        <v>34</v>
      </c>
      <c r="S75" t="s">
        <v>35</v>
      </c>
      <c r="T75" t="s">
        <v>0</v>
      </c>
      <c r="U75">
        <v>347</v>
      </c>
    </row>
    <row r="76" spans="1:21" x14ac:dyDescent="0.25">
      <c r="A76">
        <v>20411454</v>
      </c>
      <c r="B76" t="s">
        <v>22</v>
      </c>
      <c r="C76">
        <v>21283956</v>
      </c>
      <c r="D76" t="s">
        <v>255</v>
      </c>
      <c r="E76" t="s">
        <v>24</v>
      </c>
      <c r="F76" t="s">
        <v>25</v>
      </c>
      <c r="G76" t="s">
        <v>26</v>
      </c>
      <c r="H76" t="s">
        <v>256</v>
      </c>
      <c r="I76" t="s">
        <v>255</v>
      </c>
      <c r="J76" t="s">
        <v>257</v>
      </c>
      <c r="K76" t="s">
        <v>29</v>
      </c>
      <c r="L76" t="s">
        <v>42</v>
      </c>
      <c r="M76" t="s">
        <v>268</v>
      </c>
      <c r="N76" s="2" t="s">
        <v>269</v>
      </c>
      <c r="O76" t="s">
        <v>270</v>
      </c>
      <c r="P76" s="1">
        <v>46023</v>
      </c>
      <c r="Q76" t="s">
        <v>0</v>
      </c>
      <c r="R76" t="s">
        <v>34</v>
      </c>
      <c r="S76" t="s">
        <v>35</v>
      </c>
      <c r="T76" t="s">
        <v>0</v>
      </c>
      <c r="U76">
        <v>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48287-E940-453E-B6E1-92C895C08B25}">
  <dimension ref="A1:V76"/>
  <sheetViews>
    <sheetView tabSelected="1" topLeftCell="E1" zoomScaleNormal="100" workbookViewId="0">
      <selection activeCell="L2" sqref="L2:L26"/>
    </sheetView>
  </sheetViews>
  <sheetFormatPr defaultRowHeight="15" x14ac:dyDescent="0.25"/>
  <cols>
    <col min="1" max="1" width="9" bestFit="1" customWidth="1"/>
    <col min="2" max="2" width="23.28515625" bestFit="1" customWidth="1"/>
    <col min="3" max="3" width="14" bestFit="1" customWidth="1"/>
    <col min="4" max="4" width="49.140625" bestFit="1" customWidth="1"/>
    <col min="5" max="5" width="11.7109375" bestFit="1" customWidth="1"/>
    <col min="6" max="6" width="13.85546875" bestFit="1" customWidth="1"/>
    <col min="7" max="7" width="26.5703125" bestFit="1" customWidth="1"/>
    <col min="8" max="8" width="13.140625" style="3" bestFit="1" customWidth="1"/>
    <col min="10" max="10" width="11.85546875" bestFit="1" customWidth="1"/>
    <col min="11" max="11" width="18.7109375" bestFit="1" customWidth="1"/>
    <col min="12" max="12" width="24.140625" bestFit="1" customWidth="1"/>
  </cols>
  <sheetData>
    <row r="1" spans="1:12" x14ac:dyDescent="0.25">
      <c r="A1" t="s">
        <v>3</v>
      </c>
      <c r="B1" t="s">
        <v>4</v>
      </c>
      <c r="C1" t="s">
        <v>5</v>
      </c>
      <c r="D1" t="s">
        <v>7</v>
      </c>
      <c r="E1" t="s">
        <v>13</v>
      </c>
      <c r="G1" s="2" t="s">
        <v>14</v>
      </c>
      <c r="H1" s="3" t="s">
        <v>16</v>
      </c>
      <c r="I1" t="s">
        <v>19</v>
      </c>
      <c r="J1" t="s">
        <v>21</v>
      </c>
    </row>
    <row r="2" spans="1:12" x14ac:dyDescent="0.25">
      <c r="A2">
        <v>21435997</v>
      </c>
      <c r="B2" t="s">
        <v>54</v>
      </c>
      <c r="C2" t="s">
        <v>24</v>
      </c>
      <c r="D2" t="s">
        <v>55</v>
      </c>
      <c r="E2" t="s">
        <v>60</v>
      </c>
      <c r="F2" t="str">
        <f>CONCATENATE(E2,22)</f>
        <v>M00052135822</v>
      </c>
      <c r="G2" s="2" t="s">
        <v>61</v>
      </c>
      <c r="H2" s="3">
        <v>46023</v>
      </c>
      <c r="I2" t="s">
        <v>64</v>
      </c>
      <c r="J2">
        <v>694</v>
      </c>
      <c r="K2" t="s">
        <v>271</v>
      </c>
      <c r="L2" t="s">
        <v>276</v>
      </c>
    </row>
    <row r="3" spans="1:12" x14ac:dyDescent="0.25">
      <c r="A3">
        <v>8405446</v>
      </c>
      <c r="B3" t="s">
        <v>205</v>
      </c>
      <c r="C3" t="s">
        <v>24</v>
      </c>
      <c r="D3" t="s">
        <v>206</v>
      </c>
      <c r="E3" t="s">
        <v>210</v>
      </c>
      <c r="F3" t="str">
        <f>CONCATENATE(E3,22)</f>
        <v>M00051709222</v>
      </c>
      <c r="G3" s="2" t="s">
        <v>211</v>
      </c>
      <c r="H3" s="3">
        <v>46023</v>
      </c>
      <c r="I3" t="s">
        <v>64</v>
      </c>
      <c r="J3">
        <v>694</v>
      </c>
      <c r="K3" t="s">
        <v>271</v>
      </c>
      <c r="L3" t="s">
        <v>276</v>
      </c>
    </row>
    <row r="4" spans="1:12" x14ac:dyDescent="0.25">
      <c r="A4">
        <v>19645587</v>
      </c>
      <c r="B4" t="s">
        <v>240</v>
      </c>
      <c r="C4" t="s">
        <v>24</v>
      </c>
      <c r="D4" t="s">
        <v>241</v>
      </c>
      <c r="E4" t="s">
        <v>245</v>
      </c>
      <c r="F4" t="str">
        <f>CONCATENATE(E4,22)</f>
        <v>M00051438522</v>
      </c>
      <c r="G4" s="2" t="s">
        <v>246</v>
      </c>
      <c r="H4" s="3">
        <v>46023</v>
      </c>
      <c r="I4" t="s">
        <v>35</v>
      </c>
      <c r="J4">
        <v>694</v>
      </c>
      <c r="K4" t="s">
        <v>271</v>
      </c>
      <c r="L4" t="s">
        <v>276</v>
      </c>
    </row>
    <row r="5" spans="1:12" x14ac:dyDescent="0.25">
      <c r="A5">
        <v>21646325</v>
      </c>
      <c r="B5" t="s">
        <v>23</v>
      </c>
      <c r="C5" t="s">
        <v>24</v>
      </c>
      <c r="D5" t="s">
        <v>26</v>
      </c>
      <c r="E5" t="s">
        <v>47</v>
      </c>
      <c r="F5" t="str">
        <f>CONCATENATE(E5,2)</f>
        <v>M0005101042</v>
      </c>
      <c r="G5" s="2" t="s">
        <v>48</v>
      </c>
      <c r="H5" s="3">
        <v>46023</v>
      </c>
      <c r="I5" t="s">
        <v>35</v>
      </c>
      <c r="J5">
        <v>347</v>
      </c>
      <c r="K5" t="s">
        <v>272</v>
      </c>
      <c r="L5" t="s">
        <v>274</v>
      </c>
    </row>
    <row r="6" spans="1:12" x14ac:dyDescent="0.25">
      <c r="A6">
        <v>21435997</v>
      </c>
      <c r="B6" t="s">
        <v>54</v>
      </c>
      <c r="C6" t="s">
        <v>24</v>
      </c>
      <c r="D6" t="s">
        <v>55</v>
      </c>
      <c r="E6" t="s">
        <v>73</v>
      </c>
      <c r="F6" t="str">
        <f>CONCATENATE(E6,2)</f>
        <v>M0005153312</v>
      </c>
      <c r="G6" s="2" t="s">
        <v>74</v>
      </c>
      <c r="H6" s="3">
        <v>46023</v>
      </c>
      <c r="I6" t="s">
        <v>35</v>
      </c>
      <c r="J6">
        <v>347</v>
      </c>
      <c r="K6" t="s">
        <v>272</v>
      </c>
      <c r="L6" t="s">
        <v>274</v>
      </c>
    </row>
    <row r="7" spans="1:12" x14ac:dyDescent="0.25">
      <c r="A7">
        <v>21435997</v>
      </c>
      <c r="B7" t="s">
        <v>54</v>
      </c>
      <c r="C7" t="s">
        <v>24</v>
      </c>
      <c r="D7" t="s">
        <v>55</v>
      </c>
      <c r="E7" t="s">
        <v>78</v>
      </c>
      <c r="F7" t="str">
        <f>CONCATENATE(E7,2)</f>
        <v>M0005102662</v>
      </c>
      <c r="G7" s="2" t="s">
        <v>79</v>
      </c>
      <c r="H7" s="3">
        <v>46023</v>
      </c>
      <c r="I7" t="s">
        <v>35</v>
      </c>
      <c r="J7">
        <v>347</v>
      </c>
      <c r="K7" t="s">
        <v>272</v>
      </c>
      <c r="L7" t="s">
        <v>274</v>
      </c>
    </row>
    <row r="8" spans="1:12" x14ac:dyDescent="0.25">
      <c r="A8">
        <v>8325282</v>
      </c>
      <c r="B8" t="s">
        <v>82</v>
      </c>
      <c r="C8" t="s">
        <v>24</v>
      </c>
      <c r="D8" t="s">
        <v>26</v>
      </c>
      <c r="E8" t="s">
        <v>85</v>
      </c>
      <c r="F8" t="str">
        <f>CONCATENATE(E8,2)</f>
        <v>M0005112622</v>
      </c>
      <c r="G8" s="2" t="s">
        <v>86</v>
      </c>
      <c r="H8" s="3">
        <v>46023</v>
      </c>
      <c r="I8" t="s">
        <v>35</v>
      </c>
      <c r="J8">
        <v>347</v>
      </c>
      <c r="K8" t="s">
        <v>272</v>
      </c>
      <c r="L8" t="s">
        <v>274</v>
      </c>
    </row>
    <row r="9" spans="1:12" x14ac:dyDescent="0.25">
      <c r="A9">
        <v>17301495</v>
      </c>
      <c r="B9" t="s">
        <v>96</v>
      </c>
      <c r="C9" t="s">
        <v>24</v>
      </c>
      <c r="D9" t="s">
        <v>26</v>
      </c>
      <c r="E9" t="s">
        <v>113</v>
      </c>
      <c r="F9" t="str">
        <f>CONCATENATE(E9,2)</f>
        <v>M0005160072</v>
      </c>
      <c r="G9" s="2" t="s">
        <v>114</v>
      </c>
      <c r="H9" s="3">
        <v>46023</v>
      </c>
      <c r="I9" t="s">
        <v>35</v>
      </c>
      <c r="J9">
        <v>347</v>
      </c>
      <c r="K9" t="s">
        <v>272</v>
      </c>
      <c r="L9" t="s">
        <v>274</v>
      </c>
    </row>
    <row r="10" spans="1:12" x14ac:dyDescent="0.25">
      <c r="A10">
        <v>9213293</v>
      </c>
      <c r="B10" t="s">
        <v>116</v>
      </c>
      <c r="C10" t="s">
        <v>24</v>
      </c>
      <c r="D10" t="s">
        <v>26</v>
      </c>
      <c r="E10" t="s">
        <v>118</v>
      </c>
      <c r="F10" t="str">
        <f>CONCATENATE(E10,2)</f>
        <v>M0005110442</v>
      </c>
      <c r="G10" s="2" t="s">
        <v>119</v>
      </c>
      <c r="H10" s="3">
        <v>46023</v>
      </c>
      <c r="I10" t="s">
        <v>35</v>
      </c>
      <c r="J10">
        <v>347</v>
      </c>
      <c r="K10" t="s">
        <v>272</v>
      </c>
      <c r="L10" t="s">
        <v>274</v>
      </c>
    </row>
    <row r="11" spans="1:12" x14ac:dyDescent="0.25">
      <c r="A11">
        <v>9213293</v>
      </c>
      <c r="B11" t="s">
        <v>116</v>
      </c>
      <c r="C11" t="s">
        <v>24</v>
      </c>
      <c r="D11" t="s">
        <v>26</v>
      </c>
      <c r="E11" t="s">
        <v>121</v>
      </c>
      <c r="F11" t="str">
        <f>CONCATENATE(E11,2)</f>
        <v>M0005111272</v>
      </c>
      <c r="G11" s="2" t="s">
        <v>122</v>
      </c>
      <c r="H11" s="3">
        <v>46023</v>
      </c>
      <c r="I11" t="s">
        <v>35</v>
      </c>
      <c r="J11">
        <v>347</v>
      </c>
      <c r="K11" t="s">
        <v>272</v>
      </c>
      <c r="L11" t="s">
        <v>274</v>
      </c>
    </row>
    <row r="12" spans="1:12" x14ac:dyDescent="0.25">
      <c r="A12">
        <v>9213293</v>
      </c>
      <c r="B12" t="s">
        <v>116</v>
      </c>
      <c r="C12" t="s">
        <v>24</v>
      </c>
      <c r="D12" t="s">
        <v>26</v>
      </c>
      <c r="E12" t="s">
        <v>125</v>
      </c>
      <c r="F12" t="str">
        <f>CONCATENATE(E12,2)</f>
        <v>M0005243472</v>
      </c>
      <c r="G12" s="2" t="s">
        <v>126</v>
      </c>
      <c r="H12" s="3">
        <v>46023</v>
      </c>
      <c r="I12" t="s">
        <v>35</v>
      </c>
      <c r="J12">
        <v>347</v>
      </c>
      <c r="K12" t="s">
        <v>272</v>
      </c>
      <c r="L12" t="s">
        <v>274</v>
      </c>
    </row>
    <row r="13" spans="1:12" x14ac:dyDescent="0.25">
      <c r="A13">
        <v>9213293</v>
      </c>
      <c r="B13" t="s">
        <v>116</v>
      </c>
      <c r="C13" t="s">
        <v>24</v>
      </c>
      <c r="D13" t="s">
        <v>26</v>
      </c>
      <c r="E13" t="s">
        <v>129</v>
      </c>
      <c r="F13" t="str">
        <f>CONCATENATE(E13,2)</f>
        <v>M0005127562</v>
      </c>
      <c r="G13" s="2" t="s">
        <v>130</v>
      </c>
      <c r="H13" s="3">
        <v>46023</v>
      </c>
      <c r="I13" t="s">
        <v>35</v>
      </c>
      <c r="J13">
        <v>347</v>
      </c>
      <c r="K13" t="s">
        <v>272</v>
      </c>
      <c r="L13" t="s">
        <v>274</v>
      </c>
    </row>
    <row r="14" spans="1:12" x14ac:dyDescent="0.25">
      <c r="A14">
        <v>9213293</v>
      </c>
      <c r="B14" t="s">
        <v>116</v>
      </c>
      <c r="C14" t="s">
        <v>24</v>
      </c>
      <c r="D14" t="s">
        <v>26</v>
      </c>
      <c r="E14" t="s">
        <v>134</v>
      </c>
      <c r="F14" t="str">
        <f>CONCATENATE(E14,2)</f>
        <v>M0005174922</v>
      </c>
      <c r="G14" s="2" t="s">
        <v>135</v>
      </c>
      <c r="H14" s="3">
        <v>46023</v>
      </c>
      <c r="I14" t="s">
        <v>35</v>
      </c>
      <c r="J14">
        <v>347</v>
      </c>
      <c r="K14" t="s">
        <v>272</v>
      </c>
      <c r="L14" t="s">
        <v>274</v>
      </c>
    </row>
    <row r="15" spans="1:12" x14ac:dyDescent="0.25">
      <c r="A15">
        <v>2158366</v>
      </c>
      <c r="B15" t="s">
        <v>173</v>
      </c>
      <c r="C15" t="s">
        <v>24</v>
      </c>
      <c r="D15" t="s">
        <v>26</v>
      </c>
      <c r="E15" t="s">
        <v>176</v>
      </c>
      <c r="F15" t="str">
        <f>CONCATENATE(E15,2)</f>
        <v>M0005106922</v>
      </c>
      <c r="G15" s="2" t="s">
        <v>177</v>
      </c>
      <c r="H15" s="3">
        <v>46023</v>
      </c>
      <c r="I15" t="s">
        <v>35</v>
      </c>
      <c r="J15">
        <v>347</v>
      </c>
      <c r="K15" t="s">
        <v>272</v>
      </c>
      <c r="L15" t="s">
        <v>274</v>
      </c>
    </row>
    <row r="16" spans="1:12" x14ac:dyDescent="0.25">
      <c r="A16">
        <v>20212926</v>
      </c>
      <c r="B16" t="s">
        <v>179</v>
      </c>
      <c r="C16" t="s">
        <v>24</v>
      </c>
      <c r="D16" t="s">
        <v>26</v>
      </c>
      <c r="E16" t="s">
        <v>182</v>
      </c>
      <c r="F16" t="str">
        <f>CONCATENATE(E16,2)</f>
        <v>M0005185512</v>
      </c>
      <c r="G16" s="2" t="s">
        <v>183</v>
      </c>
      <c r="H16" s="3">
        <v>46023</v>
      </c>
      <c r="I16" t="s">
        <v>35</v>
      </c>
      <c r="J16">
        <v>347</v>
      </c>
      <c r="K16" t="s">
        <v>272</v>
      </c>
      <c r="L16" t="s">
        <v>274</v>
      </c>
    </row>
    <row r="17" spans="1:22" x14ac:dyDescent="0.25">
      <c r="A17">
        <v>8812322</v>
      </c>
      <c r="B17" t="s">
        <v>185</v>
      </c>
      <c r="C17" t="s">
        <v>24</v>
      </c>
      <c r="D17" t="s">
        <v>26</v>
      </c>
      <c r="E17" t="s">
        <v>187</v>
      </c>
      <c r="F17" t="str">
        <f>CONCATENATE(E17,2)</f>
        <v>M0005157872</v>
      </c>
      <c r="G17" s="2" t="s">
        <v>188</v>
      </c>
      <c r="H17" s="3">
        <v>46023</v>
      </c>
      <c r="I17" t="s">
        <v>35</v>
      </c>
      <c r="J17">
        <v>347</v>
      </c>
      <c r="K17" t="s">
        <v>272</v>
      </c>
      <c r="L17" t="s">
        <v>274</v>
      </c>
    </row>
    <row r="18" spans="1:22" x14ac:dyDescent="0.25">
      <c r="A18">
        <v>20220688</v>
      </c>
      <c r="B18" t="s">
        <v>190</v>
      </c>
      <c r="C18" t="s">
        <v>24</v>
      </c>
      <c r="D18" t="s">
        <v>26</v>
      </c>
      <c r="E18" t="s">
        <v>192</v>
      </c>
      <c r="F18" t="str">
        <f>CONCATENATE(E18,2)</f>
        <v>M0005307972</v>
      </c>
      <c r="G18" s="2" t="s">
        <v>193</v>
      </c>
      <c r="H18" s="3">
        <v>46023</v>
      </c>
      <c r="I18" t="s">
        <v>35</v>
      </c>
      <c r="J18">
        <v>347</v>
      </c>
      <c r="K18" t="s">
        <v>272</v>
      </c>
      <c r="L18" t="s">
        <v>274</v>
      </c>
    </row>
    <row r="19" spans="1:22" x14ac:dyDescent="0.25">
      <c r="A19">
        <v>20220688</v>
      </c>
      <c r="B19" t="s">
        <v>190</v>
      </c>
      <c r="C19" t="s">
        <v>24</v>
      </c>
      <c r="D19" t="s">
        <v>26</v>
      </c>
      <c r="E19" t="s">
        <v>196</v>
      </c>
      <c r="F19" t="str">
        <f>CONCATENATE(E19,2)</f>
        <v>M0005131962</v>
      </c>
      <c r="G19" s="2" t="s">
        <v>197</v>
      </c>
      <c r="H19" s="3">
        <v>46023</v>
      </c>
      <c r="I19" t="s">
        <v>35</v>
      </c>
      <c r="J19">
        <v>347</v>
      </c>
      <c r="K19" t="s">
        <v>272</v>
      </c>
      <c r="L19" t="s">
        <v>274</v>
      </c>
    </row>
    <row r="20" spans="1:22" x14ac:dyDescent="0.25">
      <c r="A20">
        <v>8244481</v>
      </c>
      <c r="B20" t="s">
        <v>199</v>
      </c>
      <c r="C20" t="s">
        <v>24</v>
      </c>
      <c r="D20" t="s">
        <v>26</v>
      </c>
      <c r="E20" t="s">
        <v>202</v>
      </c>
      <c r="F20" t="str">
        <f>CONCATENATE(E20,2)</f>
        <v>M0005092092</v>
      </c>
      <c r="G20" s="2" t="s">
        <v>203</v>
      </c>
      <c r="H20" s="3">
        <v>46023</v>
      </c>
      <c r="I20" t="s">
        <v>35</v>
      </c>
      <c r="J20">
        <v>347</v>
      </c>
      <c r="K20" t="s">
        <v>272</v>
      </c>
      <c r="L20" t="s">
        <v>274</v>
      </c>
    </row>
    <row r="21" spans="1:22" x14ac:dyDescent="0.25">
      <c r="A21">
        <v>19200754</v>
      </c>
      <c r="B21" t="s">
        <v>213</v>
      </c>
      <c r="C21" t="s">
        <v>24</v>
      </c>
      <c r="D21" t="s">
        <v>26</v>
      </c>
      <c r="E21" t="s">
        <v>215</v>
      </c>
      <c r="F21" t="str">
        <f>CONCATENATE(E21,2)</f>
        <v>M0005127552</v>
      </c>
      <c r="G21" s="2" t="s">
        <v>216</v>
      </c>
      <c r="H21" s="3">
        <v>46023</v>
      </c>
      <c r="I21" t="s">
        <v>35</v>
      </c>
      <c r="J21">
        <v>347</v>
      </c>
      <c r="K21" t="s">
        <v>272</v>
      </c>
      <c r="L21" t="s">
        <v>274</v>
      </c>
    </row>
    <row r="22" spans="1:22" x14ac:dyDescent="0.25">
      <c r="A22">
        <v>19615078</v>
      </c>
      <c r="B22" t="s">
        <v>218</v>
      </c>
      <c r="C22" t="s">
        <v>24</v>
      </c>
      <c r="D22" t="s">
        <v>26</v>
      </c>
      <c r="E22" t="s">
        <v>224</v>
      </c>
      <c r="F22" t="str">
        <f>CONCATENATE(E22,2)</f>
        <v>M0005084552</v>
      </c>
      <c r="G22" s="2" t="s">
        <v>225</v>
      </c>
      <c r="H22" s="3">
        <v>46023</v>
      </c>
      <c r="I22" t="s">
        <v>35</v>
      </c>
      <c r="J22">
        <v>347</v>
      </c>
      <c r="K22" t="s">
        <v>272</v>
      </c>
      <c r="L22" t="s">
        <v>274</v>
      </c>
    </row>
    <row r="23" spans="1:22" x14ac:dyDescent="0.25">
      <c r="A23">
        <v>19396223</v>
      </c>
      <c r="B23" t="s">
        <v>232</v>
      </c>
      <c r="C23" t="s">
        <v>24</v>
      </c>
      <c r="D23" t="s">
        <v>26</v>
      </c>
      <c r="E23" t="s">
        <v>234</v>
      </c>
      <c r="F23" t="str">
        <f>CONCATENATE(E23,2)</f>
        <v>M0005208042</v>
      </c>
      <c r="G23" s="2" t="s">
        <v>235</v>
      </c>
      <c r="H23" s="3">
        <v>46023</v>
      </c>
      <c r="I23" t="s">
        <v>35</v>
      </c>
      <c r="J23">
        <v>347</v>
      </c>
      <c r="K23" t="s">
        <v>272</v>
      </c>
      <c r="L23" t="s">
        <v>274</v>
      </c>
    </row>
    <row r="24" spans="1:22" x14ac:dyDescent="0.25">
      <c r="A24">
        <v>19396223</v>
      </c>
      <c r="B24" t="s">
        <v>232</v>
      </c>
      <c r="C24" t="s">
        <v>24</v>
      </c>
      <c r="D24" t="s">
        <v>26</v>
      </c>
      <c r="E24" t="s">
        <v>237</v>
      </c>
      <c r="F24" t="str">
        <f>CONCATENATE(E24,2)</f>
        <v>M0005200422</v>
      </c>
      <c r="G24" s="2" t="s">
        <v>238</v>
      </c>
      <c r="H24" s="3">
        <v>46023</v>
      </c>
      <c r="I24" t="s">
        <v>35</v>
      </c>
      <c r="J24">
        <v>347</v>
      </c>
      <c r="K24" t="s">
        <v>272</v>
      </c>
      <c r="L24" t="s">
        <v>274</v>
      </c>
    </row>
    <row r="25" spans="1:22" x14ac:dyDescent="0.25">
      <c r="A25">
        <v>21283956</v>
      </c>
      <c r="B25" t="s">
        <v>255</v>
      </c>
      <c r="C25" t="s">
        <v>24</v>
      </c>
      <c r="D25" t="s">
        <v>26</v>
      </c>
      <c r="E25" t="s">
        <v>265</v>
      </c>
      <c r="F25" t="str">
        <f>CONCATENATE(E25,2)</f>
        <v>M0005107722</v>
      </c>
      <c r="G25" s="2" t="s">
        <v>266</v>
      </c>
      <c r="H25" s="3">
        <v>46023</v>
      </c>
      <c r="I25" t="s">
        <v>35</v>
      </c>
      <c r="J25">
        <v>347</v>
      </c>
      <c r="K25" t="s">
        <v>272</v>
      </c>
      <c r="L25" t="s">
        <v>274</v>
      </c>
    </row>
    <row r="26" spans="1:22" s="4" customFormat="1" x14ac:dyDescent="0.25">
      <c r="A26">
        <v>19491313</v>
      </c>
      <c r="B26" t="s">
        <v>248</v>
      </c>
      <c r="C26" t="s">
        <v>249</v>
      </c>
      <c r="D26" t="s">
        <v>55</v>
      </c>
      <c r="E26" t="s">
        <v>252</v>
      </c>
      <c r="F26" t="str">
        <f>CONCATENATE(E26,2)</f>
        <v>M0005073422</v>
      </c>
      <c r="G26" s="2" t="s">
        <v>253</v>
      </c>
      <c r="H26" s="3">
        <v>46023</v>
      </c>
      <c r="I26" t="s">
        <v>35</v>
      </c>
      <c r="J26">
        <v>28.92</v>
      </c>
      <c r="K26" t="s">
        <v>272</v>
      </c>
      <c r="L26" t="s">
        <v>275</v>
      </c>
      <c r="M26"/>
      <c r="N26"/>
      <c r="O26"/>
      <c r="P26"/>
      <c r="Q26"/>
      <c r="R26"/>
      <c r="S26"/>
      <c r="T26"/>
      <c r="U26"/>
      <c r="V26"/>
    </row>
    <row r="27" spans="1:22" s="4" customFormat="1" x14ac:dyDescent="0.25">
      <c r="A27" s="4">
        <v>20411454</v>
      </c>
      <c r="B27" s="4" t="s">
        <v>277</v>
      </c>
      <c r="C27" s="4" t="s">
        <v>24</v>
      </c>
      <c r="D27" s="4" t="s">
        <v>26</v>
      </c>
      <c r="E27" s="4" t="s">
        <v>31</v>
      </c>
      <c r="F27" s="4" t="str">
        <f>CONCATENATE(E27,"OVR")</f>
        <v>M000527776OVR</v>
      </c>
      <c r="G27" s="5" t="s">
        <v>32</v>
      </c>
      <c r="H27" s="6">
        <v>46023</v>
      </c>
      <c r="I27" s="4" t="s">
        <v>35</v>
      </c>
      <c r="J27" s="4">
        <v>200</v>
      </c>
      <c r="K27" s="4" t="s">
        <v>273</v>
      </c>
    </row>
    <row r="28" spans="1:22" s="4" customFormat="1" x14ac:dyDescent="0.25">
      <c r="A28" s="4">
        <v>20411454</v>
      </c>
      <c r="B28" s="4" t="s">
        <v>277</v>
      </c>
      <c r="C28" s="4" t="s">
        <v>24</v>
      </c>
      <c r="D28" s="4" t="s">
        <v>26</v>
      </c>
      <c r="E28" s="4" t="s">
        <v>38</v>
      </c>
      <c r="F28" s="4" t="str">
        <f>CONCATENATE(E28,"OVR")</f>
        <v>M000532208OVR</v>
      </c>
      <c r="G28" s="5" t="s">
        <v>39</v>
      </c>
      <c r="H28" s="6">
        <v>46023</v>
      </c>
      <c r="I28" s="4" t="s">
        <v>35</v>
      </c>
      <c r="J28" s="4">
        <v>200</v>
      </c>
      <c r="K28" s="4" t="s">
        <v>273</v>
      </c>
    </row>
    <row r="29" spans="1:22" s="4" customFormat="1" x14ac:dyDescent="0.25">
      <c r="A29" s="4">
        <v>20411454</v>
      </c>
      <c r="B29" s="4" t="s">
        <v>277</v>
      </c>
      <c r="C29" s="4" t="s">
        <v>24</v>
      </c>
      <c r="D29" s="4" t="s">
        <v>26</v>
      </c>
      <c r="E29" s="4" t="s">
        <v>43</v>
      </c>
      <c r="F29" s="4" t="str">
        <f>CONCATENATE(E29,"OVR")</f>
        <v>M000520107OVR</v>
      </c>
      <c r="G29" s="5" t="s">
        <v>44</v>
      </c>
      <c r="H29" s="6">
        <v>46023</v>
      </c>
      <c r="I29" s="4" t="s">
        <v>35</v>
      </c>
      <c r="J29" s="4">
        <v>200</v>
      </c>
      <c r="K29" s="4" t="s">
        <v>273</v>
      </c>
    </row>
    <row r="30" spans="1:22" s="4" customFormat="1" x14ac:dyDescent="0.25">
      <c r="A30" s="4">
        <v>20411454</v>
      </c>
      <c r="B30" s="4" t="s">
        <v>277</v>
      </c>
      <c r="C30" s="4" t="s">
        <v>24</v>
      </c>
      <c r="D30" s="4" t="s">
        <v>26</v>
      </c>
      <c r="E30" s="4" t="s">
        <v>47</v>
      </c>
      <c r="F30" s="4" t="str">
        <f>CONCATENATE(E30,"OVR")</f>
        <v>M000510104OVR</v>
      </c>
      <c r="G30" s="5" t="s">
        <v>48</v>
      </c>
      <c r="H30" s="6">
        <v>46023</v>
      </c>
      <c r="I30" s="4" t="s">
        <v>35</v>
      </c>
      <c r="J30" s="4">
        <v>200</v>
      </c>
      <c r="K30" s="4" t="s">
        <v>273</v>
      </c>
    </row>
    <row r="31" spans="1:22" s="4" customFormat="1" x14ac:dyDescent="0.25">
      <c r="A31" s="4">
        <v>20411454</v>
      </c>
      <c r="B31" s="4" t="s">
        <v>277</v>
      </c>
      <c r="C31" s="4" t="s">
        <v>24</v>
      </c>
      <c r="D31" s="4" t="s">
        <v>26</v>
      </c>
      <c r="E31" s="4" t="s">
        <v>51</v>
      </c>
      <c r="F31" s="4" t="str">
        <f>CONCATENATE(E31,"OVR")</f>
        <v>M000520111OVR</v>
      </c>
      <c r="G31" s="5" t="s">
        <v>52</v>
      </c>
      <c r="H31" s="6">
        <v>46023</v>
      </c>
      <c r="I31" s="4" t="s">
        <v>35</v>
      </c>
      <c r="J31" s="4">
        <v>200</v>
      </c>
      <c r="K31" s="4" t="s">
        <v>273</v>
      </c>
    </row>
    <row r="32" spans="1:22" s="4" customFormat="1" x14ac:dyDescent="0.25">
      <c r="A32" s="4">
        <v>20411454</v>
      </c>
      <c r="B32" s="4" t="s">
        <v>277</v>
      </c>
      <c r="C32" s="4" t="s">
        <v>24</v>
      </c>
      <c r="D32" s="4" t="s">
        <v>55</v>
      </c>
      <c r="E32" s="4" t="s">
        <v>60</v>
      </c>
      <c r="F32" s="4" t="str">
        <f>CONCATENATE(E32,"OVR")</f>
        <v>M000521358OVR</v>
      </c>
      <c r="G32" s="5" t="s">
        <v>61</v>
      </c>
      <c r="H32" s="6">
        <v>46023</v>
      </c>
      <c r="I32" s="4" t="s">
        <v>64</v>
      </c>
      <c r="J32" s="4">
        <v>200</v>
      </c>
      <c r="K32" s="4" t="s">
        <v>273</v>
      </c>
    </row>
    <row r="33" spans="1:11" s="4" customFormat="1" x14ac:dyDescent="0.25">
      <c r="A33" s="4">
        <v>20411454</v>
      </c>
      <c r="B33" s="4" t="s">
        <v>277</v>
      </c>
      <c r="C33" s="4" t="s">
        <v>24</v>
      </c>
      <c r="D33" s="4" t="s">
        <v>65</v>
      </c>
      <c r="E33" s="4" t="s">
        <v>69</v>
      </c>
      <c r="F33" s="4" t="str">
        <f>CONCATENATE(E33,"OVR")</f>
        <v>M000531062OVR</v>
      </c>
      <c r="G33" s="5" t="s">
        <v>70</v>
      </c>
      <c r="H33" s="6">
        <v>46023</v>
      </c>
      <c r="I33" s="4" t="s">
        <v>35</v>
      </c>
      <c r="J33" s="4">
        <v>200</v>
      </c>
      <c r="K33" s="4" t="s">
        <v>273</v>
      </c>
    </row>
    <row r="34" spans="1:11" s="4" customFormat="1" x14ac:dyDescent="0.25">
      <c r="A34" s="4">
        <v>20411454</v>
      </c>
      <c r="B34" s="4" t="s">
        <v>277</v>
      </c>
      <c r="C34" s="4" t="s">
        <v>24</v>
      </c>
      <c r="D34" s="4" t="s">
        <v>55</v>
      </c>
      <c r="E34" s="4" t="s">
        <v>73</v>
      </c>
      <c r="F34" s="4" t="str">
        <f>CONCATENATE(E34,"OVR")</f>
        <v>M000515331OVR</v>
      </c>
      <c r="G34" s="5" t="s">
        <v>74</v>
      </c>
      <c r="H34" s="6">
        <v>46023</v>
      </c>
      <c r="I34" s="4" t="s">
        <v>35</v>
      </c>
      <c r="J34" s="4">
        <v>200</v>
      </c>
      <c r="K34" s="4" t="s">
        <v>273</v>
      </c>
    </row>
    <row r="35" spans="1:11" s="4" customFormat="1" x14ac:dyDescent="0.25">
      <c r="A35" s="4">
        <v>20411454</v>
      </c>
      <c r="B35" s="4" t="s">
        <v>277</v>
      </c>
      <c r="C35" s="4" t="s">
        <v>24</v>
      </c>
      <c r="D35" s="4" t="s">
        <v>55</v>
      </c>
      <c r="E35" s="4" t="s">
        <v>78</v>
      </c>
      <c r="F35" s="4" t="str">
        <f>CONCATENATE(E35,"OVR")</f>
        <v>M000510266OVR</v>
      </c>
      <c r="G35" s="5" t="s">
        <v>79</v>
      </c>
      <c r="H35" s="6">
        <v>46023</v>
      </c>
      <c r="I35" s="4" t="s">
        <v>35</v>
      </c>
      <c r="J35" s="4">
        <v>200</v>
      </c>
      <c r="K35" s="4" t="s">
        <v>273</v>
      </c>
    </row>
    <row r="36" spans="1:11" s="4" customFormat="1" x14ac:dyDescent="0.25">
      <c r="A36" s="4">
        <v>20411454</v>
      </c>
      <c r="B36" s="4" t="s">
        <v>277</v>
      </c>
      <c r="C36" s="4" t="s">
        <v>24</v>
      </c>
      <c r="D36" s="4" t="s">
        <v>26</v>
      </c>
      <c r="E36" s="4" t="s">
        <v>85</v>
      </c>
      <c r="F36" s="4" t="str">
        <f>CONCATENATE(E36,"OVR")</f>
        <v>M000511262OVR</v>
      </c>
      <c r="G36" s="5" t="s">
        <v>86</v>
      </c>
      <c r="H36" s="6">
        <v>46023</v>
      </c>
      <c r="I36" s="4" t="s">
        <v>35</v>
      </c>
      <c r="J36" s="4">
        <v>200</v>
      </c>
      <c r="K36" s="4" t="s">
        <v>273</v>
      </c>
    </row>
    <row r="37" spans="1:11" s="4" customFormat="1" x14ac:dyDescent="0.25">
      <c r="A37" s="4">
        <v>20411454</v>
      </c>
      <c r="B37" s="4" t="s">
        <v>277</v>
      </c>
      <c r="C37" s="4" t="s">
        <v>24</v>
      </c>
      <c r="D37" s="4" t="s">
        <v>26</v>
      </c>
      <c r="E37" s="4" t="s">
        <v>89</v>
      </c>
      <c r="F37" s="4" t="str">
        <f>CONCATENATE(E37,"OVR")</f>
        <v>M000519666OVR</v>
      </c>
      <c r="G37" s="5" t="s">
        <v>90</v>
      </c>
      <c r="H37" s="6">
        <v>46023</v>
      </c>
      <c r="I37" s="4" t="s">
        <v>35</v>
      </c>
      <c r="J37" s="4">
        <v>200</v>
      </c>
      <c r="K37" s="4" t="s">
        <v>273</v>
      </c>
    </row>
    <row r="38" spans="1:11" s="4" customFormat="1" x14ac:dyDescent="0.25">
      <c r="A38" s="4">
        <v>20411454</v>
      </c>
      <c r="B38" s="4" t="s">
        <v>277</v>
      </c>
      <c r="C38" s="4" t="s">
        <v>24</v>
      </c>
      <c r="D38" s="4" t="s">
        <v>26</v>
      </c>
      <c r="E38" s="4" t="s">
        <v>93</v>
      </c>
      <c r="F38" s="4" t="str">
        <f>CONCATENATE(E38,"OVR")</f>
        <v>M000530487OVR</v>
      </c>
      <c r="G38" s="5" t="s">
        <v>94</v>
      </c>
      <c r="H38" s="6">
        <v>46023</v>
      </c>
      <c r="I38" s="4" t="s">
        <v>35</v>
      </c>
      <c r="J38" s="4">
        <v>200</v>
      </c>
      <c r="K38" s="4" t="s">
        <v>273</v>
      </c>
    </row>
    <row r="39" spans="1:11" s="4" customFormat="1" x14ac:dyDescent="0.25">
      <c r="A39" s="4">
        <v>20411454</v>
      </c>
      <c r="B39" s="4" t="s">
        <v>277</v>
      </c>
      <c r="C39" s="4" t="s">
        <v>24</v>
      </c>
      <c r="D39" s="4" t="s">
        <v>26</v>
      </c>
      <c r="E39" s="4" t="s">
        <v>99</v>
      </c>
      <c r="F39" s="4" t="str">
        <f>CONCATENATE(E39,"OVR")</f>
        <v>M000533835OVR</v>
      </c>
      <c r="G39" s="5" t="s">
        <v>100</v>
      </c>
      <c r="H39" s="6">
        <v>46023</v>
      </c>
      <c r="I39" s="4" t="s">
        <v>35</v>
      </c>
      <c r="J39" s="4">
        <v>200</v>
      </c>
      <c r="K39" s="4" t="s">
        <v>273</v>
      </c>
    </row>
    <row r="40" spans="1:11" s="4" customFormat="1" x14ac:dyDescent="0.25">
      <c r="A40" s="4">
        <v>20411454</v>
      </c>
      <c r="B40" s="4" t="s">
        <v>277</v>
      </c>
      <c r="C40" s="4" t="s">
        <v>24</v>
      </c>
      <c r="D40" s="4" t="s">
        <v>26</v>
      </c>
      <c r="E40" s="4" t="s">
        <v>103</v>
      </c>
      <c r="F40" s="4" t="str">
        <f>CONCATENATE(E40,"OVR")</f>
        <v>M000520623OVR</v>
      </c>
      <c r="G40" s="5" t="s">
        <v>104</v>
      </c>
      <c r="H40" s="6">
        <v>46023</v>
      </c>
      <c r="I40" s="4" t="s">
        <v>35</v>
      </c>
      <c r="J40" s="4">
        <v>200</v>
      </c>
      <c r="K40" s="4" t="s">
        <v>273</v>
      </c>
    </row>
    <row r="41" spans="1:11" s="4" customFormat="1" x14ac:dyDescent="0.25">
      <c r="A41" s="4">
        <v>20411454</v>
      </c>
      <c r="B41" s="4" t="s">
        <v>277</v>
      </c>
      <c r="C41" s="4" t="s">
        <v>24</v>
      </c>
      <c r="D41" s="4" t="s">
        <v>26</v>
      </c>
      <c r="E41" s="4" t="s">
        <v>106</v>
      </c>
      <c r="F41" s="4" t="str">
        <f>CONCATENATE(E41,"OVR")</f>
        <v>M000533923OVR</v>
      </c>
      <c r="G41" s="5" t="s">
        <v>107</v>
      </c>
      <c r="H41" s="6">
        <v>46023</v>
      </c>
      <c r="I41" s="4" t="s">
        <v>35</v>
      </c>
      <c r="J41" s="4">
        <v>200</v>
      </c>
      <c r="K41" s="4" t="s">
        <v>273</v>
      </c>
    </row>
    <row r="42" spans="1:11" s="4" customFormat="1" x14ac:dyDescent="0.25">
      <c r="A42" s="4">
        <v>20411454</v>
      </c>
      <c r="B42" s="4" t="s">
        <v>277</v>
      </c>
      <c r="C42" s="4" t="s">
        <v>24</v>
      </c>
      <c r="D42" s="4" t="s">
        <v>26</v>
      </c>
      <c r="E42" s="4" t="s">
        <v>110</v>
      </c>
      <c r="F42" s="4" t="str">
        <f>CONCATENATE(E42,"OVR")</f>
        <v>M000496897OVR</v>
      </c>
      <c r="G42" s="5" t="s">
        <v>111</v>
      </c>
      <c r="H42" s="6">
        <v>46023</v>
      </c>
      <c r="I42" s="4" t="s">
        <v>35</v>
      </c>
      <c r="J42" s="4">
        <v>200</v>
      </c>
      <c r="K42" s="4" t="s">
        <v>273</v>
      </c>
    </row>
    <row r="43" spans="1:11" s="4" customFormat="1" x14ac:dyDescent="0.25">
      <c r="A43" s="4">
        <v>20411454</v>
      </c>
      <c r="B43" s="4" t="s">
        <v>277</v>
      </c>
      <c r="C43" s="4" t="s">
        <v>24</v>
      </c>
      <c r="D43" s="4" t="s">
        <v>26</v>
      </c>
      <c r="E43" s="4" t="s">
        <v>113</v>
      </c>
      <c r="F43" s="4" t="str">
        <f>CONCATENATE(E43,"OVR")</f>
        <v>M000516007OVR</v>
      </c>
      <c r="G43" s="5" t="s">
        <v>114</v>
      </c>
      <c r="H43" s="6">
        <v>46023</v>
      </c>
      <c r="I43" s="4" t="s">
        <v>35</v>
      </c>
      <c r="J43" s="4">
        <v>200</v>
      </c>
      <c r="K43" s="4" t="s">
        <v>273</v>
      </c>
    </row>
    <row r="44" spans="1:11" s="4" customFormat="1" x14ac:dyDescent="0.25">
      <c r="A44" s="4">
        <v>20411454</v>
      </c>
      <c r="B44" s="4" t="s">
        <v>277</v>
      </c>
      <c r="C44" s="4" t="s">
        <v>24</v>
      </c>
      <c r="D44" s="4" t="s">
        <v>26</v>
      </c>
      <c r="E44" s="4" t="s">
        <v>118</v>
      </c>
      <c r="F44" s="4" t="str">
        <f>CONCATENATE(E44,"OVR")</f>
        <v>M000511044OVR</v>
      </c>
      <c r="G44" s="5" t="s">
        <v>119</v>
      </c>
      <c r="H44" s="6">
        <v>46023</v>
      </c>
      <c r="I44" s="4" t="s">
        <v>35</v>
      </c>
      <c r="J44" s="4">
        <v>200</v>
      </c>
      <c r="K44" s="4" t="s">
        <v>273</v>
      </c>
    </row>
    <row r="45" spans="1:11" s="4" customFormat="1" x14ac:dyDescent="0.25">
      <c r="A45" s="4">
        <v>20411454</v>
      </c>
      <c r="B45" s="4" t="s">
        <v>277</v>
      </c>
      <c r="C45" s="4" t="s">
        <v>24</v>
      </c>
      <c r="D45" s="4" t="s">
        <v>26</v>
      </c>
      <c r="E45" s="4" t="s">
        <v>121</v>
      </c>
      <c r="F45" s="4" t="str">
        <f>CONCATENATE(E45,"OVR")</f>
        <v>M000511127OVR</v>
      </c>
      <c r="G45" s="5" t="s">
        <v>122</v>
      </c>
      <c r="H45" s="6">
        <v>46023</v>
      </c>
      <c r="I45" s="4" t="s">
        <v>35</v>
      </c>
      <c r="J45" s="4">
        <v>200</v>
      </c>
      <c r="K45" s="4" t="s">
        <v>273</v>
      </c>
    </row>
    <row r="46" spans="1:11" s="4" customFormat="1" x14ac:dyDescent="0.25">
      <c r="A46" s="4">
        <v>20411454</v>
      </c>
      <c r="B46" s="4" t="s">
        <v>277</v>
      </c>
      <c r="C46" s="4" t="s">
        <v>24</v>
      </c>
      <c r="D46" s="4" t="s">
        <v>26</v>
      </c>
      <c r="E46" s="4" t="s">
        <v>125</v>
      </c>
      <c r="F46" s="4" t="str">
        <f>CONCATENATE(E46,"OVR")</f>
        <v>M000524347OVR</v>
      </c>
      <c r="G46" s="5" t="s">
        <v>126</v>
      </c>
      <c r="H46" s="6">
        <v>46023</v>
      </c>
      <c r="I46" s="4" t="s">
        <v>35</v>
      </c>
      <c r="J46" s="4">
        <v>200</v>
      </c>
      <c r="K46" s="4" t="s">
        <v>273</v>
      </c>
    </row>
    <row r="47" spans="1:11" s="4" customFormat="1" x14ac:dyDescent="0.25">
      <c r="A47" s="4">
        <v>20411454</v>
      </c>
      <c r="B47" s="4" t="s">
        <v>277</v>
      </c>
      <c r="C47" s="4" t="s">
        <v>24</v>
      </c>
      <c r="D47" s="4" t="s">
        <v>26</v>
      </c>
      <c r="E47" s="4" t="s">
        <v>129</v>
      </c>
      <c r="F47" s="4" t="str">
        <f>CONCATENATE(E47,"OVR")</f>
        <v>M000512756OVR</v>
      </c>
      <c r="G47" s="5" t="s">
        <v>130</v>
      </c>
      <c r="H47" s="6">
        <v>46023</v>
      </c>
      <c r="I47" s="4" t="s">
        <v>35</v>
      </c>
      <c r="J47" s="4">
        <v>200</v>
      </c>
      <c r="K47" s="4" t="s">
        <v>273</v>
      </c>
    </row>
    <row r="48" spans="1:11" s="4" customFormat="1" x14ac:dyDescent="0.25">
      <c r="A48" s="4">
        <v>20411454</v>
      </c>
      <c r="B48" s="4" t="s">
        <v>277</v>
      </c>
      <c r="C48" s="4" t="s">
        <v>24</v>
      </c>
      <c r="D48" s="4" t="s">
        <v>26</v>
      </c>
      <c r="E48" s="4" t="s">
        <v>134</v>
      </c>
      <c r="F48" s="4" t="str">
        <f>CONCATENATE(E48,"OVR")</f>
        <v>M000517492OVR</v>
      </c>
      <c r="G48" s="5" t="s">
        <v>135</v>
      </c>
      <c r="H48" s="6">
        <v>46023</v>
      </c>
      <c r="I48" s="4" t="s">
        <v>35</v>
      </c>
      <c r="J48" s="4">
        <v>200</v>
      </c>
      <c r="K48" s="4" t="s">
        <v>273</v>
      </c>
    </row>
    <row r="49" spans="1:11" s="4" customFormat="1" x14ac:dyDescent="0.25">
      <c r="A49" s="4">
        <v>20411454</v>
      </c>
      <c r="B49" s="4" t="s">
        <v>277</v>
      </c>
      <c r="C49" s="4" t="s">
        <v>24</v>
      </c>
      <c r="D49" s="4" t="s">
        <v>26</v>
      </c>
      <c r="E49" s="4" t="s">
        <v>139</v>
      </c>
      <c r="F49" s="4" t="str">
        <f>CONCATENATE(E49,"OVR")</f>
        <v>M000521237OVR</v>
      </c>
      <c r="G49" s="5" t="s">
        <v>140</v>
      </c>
      <c r="H49" s="6">
        <v>46023</v>
      </c>
      <c r="I49" s="4" t="s">
        <v>35</v>
      </c>
      <c r="J49" s="4">
        <v>200</v>
      </c>
      <c r="K49" s="4" t="s">
        <v>273</v>
      </c>
    </row>
    <row r="50" spans="1:11" s="4" customFormat="1" x14ac:dyDescent="0.25">
      <c r="A50" s="4">
        <v>20411454</v>
      </c>
      <c r="B50" s="4" t="s">
        <v>277</v>
      </c>
      <c r="C50" s="4" t="s">
        <v>24</v>
      </c>
      <c r="D50" s="4" t="s">
        <v>26</v>
      </c>
      <c r="E50" s="4" t="s">
        <v>143</v>
      </c>
      <c r="F50" s="4" t="str">
        <f>CONCATENATE(E50,"OVR")</f>
        <v>M000529602OVR</v>
      </c>
      <c r="G50" s="5" t="s">
        <v>144</v>
      </c>
      <c r="H50" s="6">
        <v>46023</v>
      </c>
      <c r="I50" s="4" t="s">
        <v>35</v>
      </c>
      <c r="J50" s="4">
        <v>200</v>
      </c>
      <c r="K50" s="4" t="s">
        <v>273</v>
      </c>
    </row>
    <row r="51" spans="1:11" s="4" customFormat="1" x14ac:dyDescent="0.25">
      <c r="A51" s="4">
        <v>20411454</v>
      </c>
      <c r="B51" s="4" t="s">
        <v>277</v>
      </c>
      <c r="C51" s="4" t="s">
        <v>24</v>
      </c>
      <c r="D51" s="4" t="s">
        <v>26</v>
      </c>
      <c r="E51" s="4" t="s">
        <v>147</v>
      </c>
      <c r="F51" s="4" t="str">
        <f>CONCATENATE(E51,"OVR")</f>
        <v>M000532282OVR</v>
      </c>
      <c r="G51" s="5" t="s">
        <v>148</v>
      </c>
      <c r="H51" s="6">
        <v>46023</v>
      </c>
      <c r="I51" s="4" t="s">
        <v>35</v>
      </c>
      <c r="J51" s="4">
        <v>200</v>
      </c>
      <c r="K51" s="4" t="s">
        <v>273</v>
      </c>
    </row>
    <row r="52" spans="1:11" s="4" customFormat="1" x14ac:dyDescent="0.25">
      <c r="A52" s="4">
        <v>20411454</v>
      </c>
      <c r="B52" s="4" t="s">
        <v>277</v>
      </c>
      <c r="C52" s="4" t="s">
        <v>24</v>
      </c>
      <c r="D52" s="4" t="s">
        <v>26</v>
      </c>
      <c r="E52" s="4" t="s">
        <v>153</v>
      </c>
      <c r="F52" s="4" t="str">
        <f>CONCATENATE(E52,"OVR")</f>
        <v>M000524004OVR</v>
      </c>
      <c r="G52" s="5" t="s">
        <v>154</v>
      </c>
      <c r="H52" s="6">
        <v>46023</v>
      </c>
      <c r="I52" s="4" t="s">
        <v>35</v>
      </c>
      <c r="J52" s="4">
        <v>200</v>
      </c>
      <c r="K52" s="4" t="s">
        <v>273</v>
      </c>
    </row>
    <row r="53" spans="1:11" s="4" customFormat="1" x14ac:dyDescent="0.25">
      <c r="A53" s="4">
        <v>20411454</v>
      </c>
      <c r="B53" s="4" t="s">
        <v>277</v>
      </c>
      <c r="C53" s="4" t="s">
        <v>24</v>
      </c>
      <c r="D53" s="4" t="s">
        <v>26</v>
      </c>
      <c r="E53" s="4" t="s">
        <v>156</v>
      </c>
      <c r="F53" s="4" t="str">
        <f>CONCATENATE(E53,"OVR")</f>
        <v>M000527915OVR</v>
      </c>
      <c r="G53" s="5" t="s">
        <v>157</v>
      </c>
      <c r="H53" s="6">
        <v>46023</v>
      </c>
      <c r="I53" s="4" t="s">
        <v>35</v>
      </c>
      <c r="J53" s="4">
        <v>200</v>
      </c>
      <c r="K53" s="4" t="s">
        <v>273</v>
      </c>
    </row>
    <row r="54" spans="1:11" s="4" customFormat="1" x14ac:dyDescent="0.25">
      <c r="A54" s="4">
        <v>20411454</v>
      </c>
      <c r="B54" s="4" t="s">
        <v>277</v>
      </c>
      <c r="C54" s="4" t="s">
        <v>24</v>
      </c>
      <c r="D54" s="4" t="s">
        <v>26</v>
      </c>
      <c r="E54" s="4" t="s">
        <v>160</v>
      </c>
      <c r="F54" s="4" t="str">
        <f>CONCATENATE(E54,"OVR")</f>
        <v>M000525803OVR</v>
      </c>
      <c r="G54" s="5" t="s">
        <v>161</v>
      </c>
      <c r="H54" s="6">
        <v>46023</v>
      </c>
      <c r="I54" s="4" t="s">
        <v>35</v>
      </c>
      <c r="J54" s="4">
        <v>200</v>
      </c>
      <c r="K54" s="4" t="s">
        <v>273</v>
      </c>
    </row>
    <row r="55" spans="1:11" s="4" customFormat="1" x14ac:dyDescent="0.25">
      <c r="A55" s="4">
        <v>20411454</v>
      </c>
      <c r="B55" s="4" t="s">
        <v>277</v>
      </c>
      <c r="C55" s="4" t="s">
        <v>24</v>
      </c>
      <c r="D55" s="4" t="s">
        <v>26</v>
      </c>
      <c r="E55" s="4" t="s">
        <v>163</v>
      </c>
      <c r="F55" s="4" t="str">
        <f>CONCATENATE(E55,"OVR")</f>
        <v>M000529408OVR</v>
      </c>
      <c r="G55" s="5" t="s">
        <v>164</v>
      </c>
      <c r="H55" s="6">
        <v>46023</v>
      </c>
      <c r="I55" s="4" t="s">
        <v>35</v>
      </c>
      <c r="J55" s="4">
        <v>200</v>
      </c>
      <c r="K55" s="4" t="s">
        <v>273</v>
      </c>
    </row>
    <row r="56" spans="1:11" s="4" customFormat="1" x14ac:dyDescent="0.25">
      <c r="A56" s="4">
        <v>20411454</v>
      </c>
      <c r="B56" s="4" t="s">
        <v>277</v>
      </c>
      <c r="C56" s="4" t="s">
        <v>24</v>
      </c>
      <c r="D56" s="4" t="s">
        <v>26</v>
      </c>
      <c r="E56" s="4" t="s">
        <v>167</v>
      </c>
      <c r="F56" s="4" t="str">
        <f>CONCATENATE(E56,"OVR")</f>
        <v>M000531802OVR</v>
      </c>
      <c r="G56" s="5" t="s">
        <v>168</v>
      </c>
      <c r="H56" s="6">
        <v>46023</v>
      </c>
      <c r="I56" s="4" t="s">
        <v>35</v>
      </c>
      <c r="J56" s="4">
        <v>200</v>
      </c>
      <c r="K56" s="4" t="s">
        <v>273</v>
      </c>
    </row>
    <row r="57" spans="1:11" s="4" customFormat="1" x14ac:dyDescent="0.25">
      <c r="A57" s="4">
        <v>20411454</v>
      </c>
      <c r="B57" s="4" t="s">
        <v>277</v>
      </c>
      <c r="C57" s="4" t="s">
        <v>24</v>
      </c>
      <c r="D57" s="4" t="s">
        <v>26</v>
      </c>
      <c r="E57" s="4" t="s">
        <v>170</v>
      </c>
      <c r="F57" s="4" t="str">
        <f>CONCATENATE(E57,"OVR")</f>
        <v>M000527068OVR</v>
      </c>
      <c r="G57" s="5" t="s">
        <v>171</v>
      </c>
      <c r="H57" s="6">
        <v>46023</v>
      </c>
      <c r="I57" s="4" t="s">
        <v>35</v>
      </c>
      <c r="J57" s="4">
        <v>200</v>
      </c>
      <c r="K57" s="4" t="s">
        <v>273</v>
      </c>
    </row>
    <row r="58" spans="1:11" s="4" customFormat="1" x14ac:dyDescent="0.25">
      <c r="A58" s="4">
        <v>20411454</v>
      </c>
      <c r="B58" s="4" t="s">
        <v>277</v>
      </c>
      <c r="C58" s="4" t="s">
        <v>24</v>
      </c>
      <c r="D58" s="4" t="s">
        <v>26</v>
      </c>
      <c r="E58" s="4" t="s">
        <v>176</v>
      </c>
      <c r="F58" s="4" t="str">
        <f>CONCATENATE(E58,"OVR")</f>
        <v>M000510692OVR</v>
      </c>
      <c r="G58" s="5" t="s">
        <v>177</v>
      </c>
      <c r="H58" s="6">
        <v>46023</v>
      </c>
      <c r="I58" s="4" t="s">
        <v>35</v>
      </c>
      <c r="J58" s="4">
        <v>200</v>
      </c>
      <c r="K58" s="4" t="s">
        <v>273</v>
      </c>
    </row>
    <row r="59" spans="1:11" s="4" customFormat="1" x14ac:dyDescent="0.25">
      <c r="A59" s="4">
        <v>20411454</v>
      </c>
      <c r="B59" s="4" t="s">
        <v>277</v>
      </c>
      <c r="C59" s="4" t="s">
        <v>24</v>
      </c>
      <c r="D59" s="4" t="s">
        <v>26</v>
      </c>
      <c r="E59" s="4" t="s">
        <v>182</v>
      </c>
      <c r="F59" s="4" t="str">
        <f>CONCATENATE(E59,"OVR")</f>
        <v>M000518551OVR</v>
      </c>
      <c r="G59" s="5" t="s">
        <v>183</v>
      </c>
      <c r="H59" s="6">
        <v>46023</v>
      </c>
      <c r="I59" s="4" t="s">
        <v>35</v>
      </c>
      <c r="J59" s="4">
        <v>200</v>
      </c>
      <c r="K59" s="4" t="s">
        <v>273</v>
      </c>
    </row>
    <row r="60" spans="1:11" s="4" customFormat="1" x14ac:dyDescent="0.25">
      <c r="A60" s="4">
        <v>20411454</v>
      </c>
      <c r="B60" s="4" t="s">
        <v>277</v>
      </c>
      <c r="C60" s="4" t="s">
        <v>24</v>
      </c>
      <c r="D60" s="4" t="s">
        <v>26</v>
      </c>
      <c r="E60" s="4" t="s">
        <v>187</v>
      </c>
      <c r="F60" s="4" t="str">
        <f>CONCATENATE(E60,"OVR")</f>
        <v>M000515787OVR</v>
      </c>
      <c r="G60" s="5" t="s">
        <v>188</v>
      </c>
      <c r="H60" s="6">
        <v>46023</v>
      </c>
      <c r="I60" s="4" t="s">
        <v>35</v>
      </c>
      <c r="J60" s="4">
        <v>200</v>
      </c>
      <c r="K60" s="4" t="s">
        <v>273</v>
      </c>
    </row>
    <row r="61" spans="1:11" s="4" customFormat="1" x14ac:dyDescent="0.25">
      <c r="A61" s="4">
        <v>20411454</v>
      </c>
      <c r="B61" s="4" t="s">
        <v>277</v>
      </c>
      <c r="C61" s="4" t="s">
        <v>24</v>
      </c>
      <c r="D61" s="4" t="s">
        <v>26</v>
      </c>
      <c r="E61" s="4" t="s">
        <v>192</v>
      </c>
      <c r="F61" s="4" t="str">
        <f>CONCATENATE(E61,"OVR")</f>
        <v>M000530797OVR</v>
      </c>
      <c r="G61" s="5" t="s">
        <v>193</v>
      </c>
      <c r="H61" s="6">
        <v>46023</v>
      </c>
      <c r="I61" s="4" t="s">
        <v>35</v>
      </c>
      <c r="J61" s="4">
        <v>200</v>
      </c>
      <c r="K61" s="4" t="s">
        <v>273</v>
      </c>
    </row>
    <row r="62" spans="1:11" s="4" customFormat="1" x14ac:dyDescent="0.25">
      <c r="A62" s="4">
        <v>20411454</v>
      </c>
      <c r="B62" s="4" t="s">
        <v>277</v>
      </c>
      <c r="C62" s="4" t="s">
        <v>24</v>
      </c>
      <c r="D62" s="4" t="s">
        <v>26</v>
      </c>
      <c r="E62" s="4" t="s">
        <v>196</v>
      </c>
      <c r="F62" s="4" t="str">
        <f>CONCATENATE(E62,"OVR")</f>
        <v>M000513196OVR</v>
      </c>
      <c r="G62" s="5" t="s">
        <v>197</v>
      </c>
      <c r="H62" s="6">
        <v>46023</v>
      </c>
      <c r="I62" s="4" t="s">
        <v>35</v>
      </c>
      <c r="J62" s="4">
        <v>200</v>
      </c>
      <c r="K62" s="4" t="s">
        <v>273</v>
      </c>
    </row>
    <row r="63" spans="1:11" s="4" customFormat="1" x14ac:dyDescent="0.25">
      <c r="A63" s="4">
        <v>20411454</v>
      </c>
      <c r="B63" s="4" t="s">
        <v>277</v>
      </c>
      <c r="C63" s="4" t="s">
        <v>24</v>
      </c>
      <c r="D63" s="4" t="s">
        <v>26</v>
      </c>
      <c r="E63" s="4" t="s">
        <v>202</v>
      </c>
      <c r="F63" s="4" t="str">
        <f>CONCATENATE(E63,"OVR")</f>
        <v>M000509209OVR</v>
      </c>
      <c r="G63" s="5" t="s">
        <v>203</v>
      </c>
      <c r="H63" s="6">
        <v>46023</v>
      </c>
      <c r="I63" s="4" t="s">
        <v>35</v>
      </c>
      <c r="J63" s="4">
        <v>200</v>
      </c>
      <c r="K63" s="4" t="s">
        <v>273</v>
      </c>
    </row>
    <row r="64" spans="1:11" s="4" customFormat="1" x14ac:dyDescent="0.25">
      <c r="A64" s="4">
        <v>20411454</v>
      </c>
      <c r="B64" s="4" t="s">
        <v>277</v>
      </c>
      <c r="C64" s="4" t="s">
        <v>24</v>
      </c>
      <c r="D64" s="4" t="s">
        <v>206</v>
      </c>
      <c r="E64" s="4" t="s">
        <v>210</v>
      </c>
      <c r="F64" s="4" t="str">
        <f>CONCATENATE(E64,"OVR")</f>
        <v>M000517092OVR</v>
      </c>
      <c r="G64" s="5" t="s">
        <v>211</v>
      </c>
      <c r="H64" s="6">
        <v>46023</v>
      </c>
      <c r="I64" s="4" t="s">
        <v>64</v>
      </c>
      <c r="J64" s="4">
        <v>200</v>
      </c>
      <c r="K64" s="4" t="s">
        <v>273</v>
      </c>
    </row>
    <row r="65" spans="1:22" s="4" customFormat="1" x14ac:dyDescent="0.25">
      <c r="A65" s="4">
        <v>20411454</v>
      </c>
      <c r="B65" s="4" t="s">
        <v>277</v>
      </c>
      <c r="C65" s="4" t="s">
        <v>24</v>
      </c>
      <c r="D65" s="4" t="s">
        <v>26</v>
      </c>
      <c r="E65" s="4" t="s">
        <v>215</v>
      </c>
      <c r="F65" s="4" t="str">
        <f>CONCATENATE(E65,"OVR")</f>
        <v>M000512755OVR</v>
      </c>
      <c r="G65" s="5" t="s">
        <v>216</v>
      </c>
      <c r="H65" s="6">
        <v>46023</v>
      </c>
      <c r="I65" s="4" t="s">
        <v>35</v>
      </c>
      <c r="J65" s="4">
        <v>200</v>
      </c>
      <c r="K65" s="4" t="s">
        <v>273</v>
      </c>
    </row>
    <row r="66" spans="1:22" s="4" customFormat="1" x14ac:dyDescent="0.25">
      <c r="A66" s="4">
        <v>20411454</v>
      </c>
      <c r="B66" s="4" t="s">
        <v>277</v>
      </c>
      <c r="C66" s="4" t="s">
        <v>24</v>
      </c>
      <c r="D66" s="4" t="s">
        <v>26</v>
      </c>
      <c r="E66" s="4" t="s">
        <v>220</v>
      </c>
      <c r="F66" s="4" t="str">
        <f>CONCATENATE(E66,"OVR")</f>
        <v>M000528157OVR</v>
      </c>
      <c r="G66" s="5" t="s">
        <v>221</v>
      </c>
      <c r="H66" s="6">
        <v>46023</v>
      </c>
      <c r="I66" s="4" t="s">
        <v>35</v>
      </c>
      <c r="J66" s="4">
        <v>200</v>
      </c>
      <c r="K66" s="4" t="s">
        <v>273</v>
      </c>
    </row>
    <row r="67" spans="1:22" s="4" customFormat="1" x14ac:dyDescent="0.25">
      <c r="A67" s="4">
        <v>20411454</v>
      </c>
      <c r="B67" s="4" t="s">
        <v>277</v>
      </c>
      <c r="C67" s="4" t="s">
        <v>24</v>
      </c>
      <c r="D67" s="4" t="s">
        <v>26</v>
      </c>
      <c r="E67" s="4" t="s">
        <v>224</v>
      </c>
      <c r="F67" s="4" t="str">
        <f>CONCATENATE(E67,"OVR")</f>
        <v>M000508455OVR</v>
      </c>
      <c r="G67" s="5" t="s">
        <v>225</v>
      </c>
      <c r="H67" s="6">
        <v>46023</v>
      </c>
      <c r="I67" s="4" t="s">
        <v>35</v>
      </c>
      <c r="J67" s="4">
        <v>200</v>
      </c>
      <c r="K67" s="4" t="s">
        <v>273</v>
      </c>
    </row>
    <row r="68" spans="1:22" s="4" customFormat="1" x14ac:dyDescent="0.25">
      <c r="A68" s="4">
        <v>20411454</v>
      </c>
      <c r="B68" s="4" t="s">
        <v>277</v>
      </c>
      <c r="C68" s="4" t="s">
        <v>24</v>
      </c>
      <c r="D68" s="4" t="s">
        <v>26</v>
      </c>
      <c r="E68" s="4" t="s">
        <v>229</v>
      </c>
      <c r="F68" s="4" t="str">
        <f>CONCATENATE(E68,"OVR")</f>
        <v>M000524214OVR</v>
      </c>
      <c r="G68" s="5" t="s">
        <v>230</v>
      </c>
      <c r="H68" s="6">
        <v>46023</v>
      </c>
      <c r="I68" s="4" t="s">
        <v>35</v>
      </c>
      <c r="J68" s="4">
        <v>200</v>
      </c>
      <c r="K68" s="4" t="s">
        <v>273</v>
      </c>
    </row>
    <row r="69" spans="1:22" s="4" customFormat="1" x14ac:dyDescent="0.25">
      <c r="A69" s="4">
        <v>20411454</v>
      </c>
      <c r="B69" s="4" t="s">
        <v>277</v>
      </c>
      <c r="C69" s="4" t="s">
        <v>24</v>
      </c>
      <c r="D69" s="4" t="s">
        <v>26</v>
      </c>
      <c r="E69" s="4" t="s">
        <v>234</v>
      </c>
      <c r="F69" s="4" t="str">
        <f>CONCATENATE(E69,"OVR")</f>
        <v>M000520804OVR</v>
      </c>
      <c r="G69" s="5" t="s">
        <v>235</v>
      </c>
      <c r="H69" s="6">
        <v>46023</v>
      </c>
      <c r="I69" s="4" t="s">
        <v>35</v>
      </c>
      <c r="J69" s="4">
        <v>200</v>
      </c>
      <c r="K69" s="4" t="s">
        <v>273</v>
      </c>
    </row>
    <row r="70" spans="1:22" s="4" customFormat="1" x14ac:dyDescent="0.25">
      <c r="A70" s="4">
        <v>20411454</v>
      </c>
      <c r="B70" s="4" t="s">
        <v>277</v>
      </c>
      <c r="C70" s="4" t="s">
        <v>24</v>
      </c>
      <c r="D70" s="4" t="s">
        <v>26</v>
      </c>
      <c r="E70" s="4" t="s">
        <v>237</v>
      </c>
      <c r="F70" s="4" t="str">
        <f>CONCATENATE(E70,"OVR")</f>
        <v>M000520042OVR</v>
      </c>
      <c r="G70" s="5" t="s">
        <v>238</v>
      </c>
      <c r="H70" s="6">
        <v>46023</v>
      </c>
      <c r="I70" s="4" t="s">
        <v>35</v>
      </c>
      <c r="J70" s="4">
        <v>200</v>
      </c>
      <c r="K70" s="4" t="s">
        <v>273</v>
      </c>
    </row>
    <row r="71" spans="1:22" s="4" customFormat="1" x14ac:dyDescent="0.25">
      <c r="A71" s="4">
        <v>20411454</v>
      </c>
      <c r="B71" s="4" t="s">
        <v>277</v>
      </c>
      <c r="C71" s="4" t="s">
        <v>24</v>
      </c>
      <c r="D71" s="4" t="s">
        <v>241</v>
      </c>
      <c r="E71" s="4" t="s">
        <v>245</v>
      </c>
      <c r="F71" s="4" t="str">
        <f>CONCATENATE(E71,"OVR")</f>
        <v>M000514385OVR</v>
      </c>
      <c r="G71" s="5" t="s">
        <v>246</v>
      </c>
      <c r="H71" s="6">
        <v>46023</v>
      </c>
      <c r="I71" s="4" t="s">
        <v>35</v>
      </c>
      <c r="J71" s="4">
        <v>200</v>
      </c>
      <c r="K71" s="4" t="s">
        <v>273</v>
      </c>
    </row>
    <row r="72" spans="1:22" s="4" customFormat="1" x14ac:dyDescent="0.25">
      <c r="A72" s="4">
        <v>20411454</v>
      </c>
      <c r="B72" s="4" t="s">
        <v>277</v>
      </c>
      <c r="C72" s="4" t="s">
        <v>24</v>
      </c>
      <c r="D72" s="4" t="s">
        <v>26</v>
      </c>
      <c r="E72" s="4" t="s">
        <v>258</v>
      </c>
      <c r="F72" s="4" t="str">
        <f>CONCATENATE(E72,"OVR")</f>
        <v>M000524397OVR</v>
      </c>
      <c r="G72" s="5" t="s">
        <v>259</v>
      </c>
      <c r="H72" s="6">
        <v>46023</v>
      </c>
      <c r="I72" s="4" t="s">
        <v>35</v>
      </c>
      <c r="J72" s="4">
        <v>200</v>
      </c>
      <c r="K72" s="4" t="s">
        <v>273</v>
      </c>
    </row>
    <row r="73" spans="1:22" s="4" customFormat="1" x14ac:dyDescent="0.25">
      <c r="A73" s="4">
        <v>20411454</v>
      </c>
      <c r="B73" s="4" t="s">
        <v>277</v>
      </c>
      <c r="C73" s="4" t="s">
        <v>24</v>
      </c>
      <c r="D73" s="4" t="s">
        <v>26</v>
      </c>
      <c r="E73" s="4" t="s">
        <v>262</v>
      </c>
      <c r="F73" s="4" t="str">
        <f>CONCATENATE(E73,"OVR")</f>
        <v>M000525419OVR</v>
      </c>
      <c r="G73" s="5" t="s">
        <v>263</v>
      </c>
      <c r="H73" s="6">
        <v>46023</v>
      </c>
      <c r="I73" s="4" t="s">
        <v>35</v>
      </c>
      <c r="J73" s="4">
        <v>200</v>
      </c>
      <c r="K73" s="4" t="s">
        <v>273</v>
      </c>
    </row>
    <row r="74" spans="1:22" s="4" customFormat="1" x14ac:dyDescent="0.25">
      <c r="A74" s="4">
        <v>20411454</v>
      </c>
      <c r="B74" s="4" t="s">
        <v>277</v>
      </c>
      <c r="C74" s="4" t="s">
        <v>24</v>
      </c>
      <c r="D74" s="4" t="s">
        <v>26</v>
      </c>
      <c r="E74" s="4" t="s">
        <v>265</v>
      </c>
      <c r="F74" s="4" t="str">
        <f>CONCATENATE(E74,"OVR")</f>
        <v>M000510772OVR</v>
      </c>
      <c r="G74" s="5" t="s">
        <v>266</v>
      </c>
      <c r="H74" s="6">
        <v>46023</v>
      </c>
      <c r="I74" s="4" t="s">
        <v>35</v>
      </c>
      <c r="J74" s="4">
        <v>200</v>
      </c>
      <c r="K74" s="4" t="s">
        <v>273</v>
      </c>
    </row>
    <row r="75" spans="1:22" x14ac:dyDescent="0.25">
      <c r="A75" s="4">
        <v>20411454</v>
      </c>
      <c r="B75" s="4" t="s">
        <v>277</v>
      </c>
      <c r="C75" s="4" t="s">
        <v>24</v>
      </c>
      <c r="D75" s="4" t="s">
        <v>26</v>
      </c>
      <c r="E75" s="4" t="s">
        <v>268</v>
      </c>
      <c r="F75" s="4" t="str">
        <f>CONCATENATE(E75,"OVR")</f>
        <v>M000524393OVR</v>
      </c>
      <c r="G75" s="5" t="s">
        <v>269</v>
      </c>
      <c r="H75" s="6">
        <v>46023</v>
      </c>
      <c r="I75" s="4" t="s">
        <v>35</v>
      </c>
      <c r="J75" s="4">
        <v>200</v>
      </c>
      <c r="K75" s="4" t="s">
        <v>273</v>
      </c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</row>
    <row r="76" spans="1:22" s="4" customFormat="1" x14ac:dyDescent="0.25">
      <c r="A76" s="4">
        <v>20411454</v>
      </c>
      <c r="B76" s="4" t="s">
        <v>277</v>
      </c>
      <c r="C76" s="4" t="s">
        <v>249</v>
      </c>
      <c r="D76" s="4" t="s">
        <v>55</v>
      </c>
      <c r="E76" s="4" t="s">
        <v>252</v>
      </c>
      <c r="F76" s="4" t="str">
        <f>CONCATENATE(E76,"OVR")</f>
        <v>M000507342OVR</v>
      </c>
      <c r="G76" s="5" t="s">
        <v>253</v>
      </c>
      <c r="H76" s="6">
        <v>46023</v>
      </c>
      <c r="I76" s="4" t="s">
        <v>35</v>
      </c>
      <c r="J76" s="4">
        <v>10.41</v>
      </c>
      <c r="K76" s="4" t="s">
        <v>273</v>
      </c>
    </row>
  </sheetData>
  <sortState xmlns:xlrd2="http://schemas.microsoft.com/office/spreadsheetml/2017/richdata2" ref="A2:V76">
    <sortCondition ref="K2:K7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</vt:lpstr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Loula Irene Cabel</cp:lastModifiedBy>
  <dcterms:created xsi:type="dcterms:W3CDTF">2026-01-09T12:37:32Z</dcterms:created>
  <dcterms:modified xsi:type="dcterms:W3CDTF">2026-01-14T14:52:10Z</dcterms:modified>
</cp:coreProperties>
</file>