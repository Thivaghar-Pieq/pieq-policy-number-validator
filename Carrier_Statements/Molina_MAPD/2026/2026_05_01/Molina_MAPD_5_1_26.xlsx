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Molina MAPD\2026\2026-05-01\"/>
    </mc:Choice>
  </mc:AlternateContent>
  <xr:revisionPtr revIDLastSave="0" documentId="13_ncr:1_{76218B37-66F7-4B1B-98B3-FB8C3174DE6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tail" sheetId="1" r:id="rId1"/>
  </sheets>
  <calcPr calcId="181029"/>
  <fileRecoveryPr repairLoad="1"/>
</workbook>
</file>

<file path=xl/calcChain.xml><?xml version="1.0" encoding="utf-8"?>
<calcChain xmlns="http://schemas.openxmlformats.org/spreadsheetml/2006/main">
  <c r="V11" i="1" l="1"/>
  <c r="W2" i="1"/>
  <c r="V2" i="1"/>
</calcChain>
</file>

<file path=xl/sharedStrings.xml><?xml version="1.0" encoding="utf-8"?>
<sst xmlns="http://schemas.openxmlformats.org/spreadsheetml/2006/main" count="275" uniqueCount="59">
  <si>
    <t/>
  </si>
  <si>
    <t>PayeeID</t>
  </si>
  <si>
    <t>PaidVendor</t>
  </si>
  <si>
    <t>BrokerID</t>
  </si>
  <si>
    <t>BrokerName</t>
  </si>
  <si>
    <t>InitialRenewal</t>
  </si>
  <si>
    <t>Period</t>
  </si>
  <si>
    <t>Product</t>
  </si>
  <si>
    <t>RepNPN</t>
  </si>
  <si>
    <t>RepName</t>
  </si>
  <si>
    <t>SignedDate</t>
  </si>
  <si>
    <t>ContractCode</t>
  </si>
  <si>
    <t>PBP</t>
  </si>
  <si>
    <t>MemberId</t>
  </si>
  <si>
    <t>Name</t>
  </si>
  <si>
    <t>MBI</t>
  </si>
  <si>
    <t>EffectiveDate</t>
  </si>
  <si>
    <t>TermDate</t>
  </si>
  <si>
    <t>CycleYear</t>
  </si>
  <si>
    <t>PriorPlan</t>
  </si>
  <si>
    <t>FundName</t>
  </si>
  <si>
    <t>Commission</t>
  </si>
  <si>
    <t>Main Line Benefits Llc</t>
  </si>
  <si>
    <t>Esther Herrera-Larsen</t>
  </si>
  <si>
    <t>Initial</t>
  </si>
  <si>
    <t>202605</t>
  </si>
  <si>
    <t>Molina Medicare Complete Care Plus (HMO D-SNP)</t>
  </si>
  <si>
    <t>17301495</t>
  </si>
  <si>
    <t>11/06/25</t>
  </si>
  <si>
    <t>H3093</t>
  </si>
  <si>
    <t>004</t>
  </si>
  <si>
    <t>M000516007</t>
  </si>
  <si>
    <t>QUY NGUYEN</t>
  </si>
  <si>
    <t>2J77QH3VR79</t>
  </si>
  <si>
    <t>1</t>
  </si>
  <si>
    <t>Yes</t>
  </si>
  <si>
    <t>Broker</t>
  </si>
  <si>
    <t>Nasandelger Zana</t>
  </si>
  <si>
    <t>20220688</t>
  </si>
  <si>
    <t>04/12/26</t>
  </si>
  <si>
    <t>M000553548</t>
  </si>
  <si>
    <t>MUNKHJARGAL ZAGD</t>
  </si>
  <si>
    <t>2KE4D58WV60</t>
  </si>
  <si>
    <t>2</t>
  </si>
  <si>
    <t>Override</t>
  </si>
  <si>
    <t>02/16/26</t>
  </si>
  <si>
    <t>M000543402</t>
  </si>
  <si>
    <t>SUGAR SANDAG</t>
  </si>
  <si>
    <t>4PM5X99XA98</t>
  </si>
  <si>
    <t>Steven Brandt</t>
  </si>
  <si>
    <t>Renewal</t>
  </si>
  <si>
    <t>Molina Complete Care for MyCare Ohio (HMO D-SNP)</t>
  </si>
  <si>
    <t>19491313</t>
  </si>
  <si>
    <t>10/10/25</t>
  </si>
  <si>
    <t>H9955</t>
  </si>
  <si>
    <t>008</t>
  </si>
  <si>
    <t>M000507342</t>
  </si>
  <si>
    <t>JASON CECUTTI</t>
  </si>
  <si>
    <t>8H71XC5KV11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</si>
</sst>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0" fontId="0" fillId="2" borderId="0" xfId="0" applyFill="1"/>
    <xf numFmtId="166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tabSelected="1" topLeftCell="H1" workbookViewId="0">
      <selection activeCell="L11" sqref="L11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3.7109375" bestFit="1" customWidth="1"/>
    <col min="6" max="6" width="7.7109375" bestFit="1" customWidth="1"/>
    <col min="7" max="7" width="49" bestFit="1" customWidth="1"/>
    <col min="8" max="8" width="10" bestFit="1" customWidth="1"/>
    <col min="9" max="9" width="20.7109375" bestFit="1" customWidth="1"/>
    <col min="10" max="10" width="11.28515625" bestFit="1" customWidth="1"/>
    <col min="11" max="11" width="13.28515625" bestFit="1" customWidth="1"/>
    <col min="12" max="12" width="4.5703125" bestFit="1" customWidth="1"/>
    <col min="13" max="13" width="13" bestFit="1" customWidth="1"/>
    <col min="14" max="14" width="20.5703125" bestFit="1" customWidth="1"/>
    <col min="15" max="15" width="14.5703125" bestFit="1" customWidth="1"/>
    <col min="16" max="16" width="13" bestFit="1" customWidth="1"/>
    <col min="17" max="17" width="12.140625" bestFit="1" customWidth="1"/>
    <col min="18" max="18" width="9.7109375" bestFit="1" customWidth="1"/>
    <col min="19" max="19" width="9.28515625" bestFit="1" customWidth="1"/>
    <col min="20" max="20" width="10.85546875" bestFit="1" customWidth="1"/>
    <col min="21" max="21" width="12" bestFit="1" customWidth="1"/>
  </cols>
  <sheetData>
    <row r="1" spans="1:23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3" s="2" customFormat="1" x14ac:dyDescent="0.25">
      <c r="A2" s="2">
        <v>20411454</v>
      </c>
      <c r="B2" s="2" t="s">
        <v>22</v>
      </c>
      <c r="C2" s="2">
        <v>17301495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23</v>
      </c>
      <c r="J2" s="2" t="s">
        <v>28</v>
      </c>
      <c r="K2" s="2" t="s">
        <v>29</v>
      </c>
      <c r="L2" s="2" t="s">
        <v>30</v>
      </c>
      <c r="M2" s="2" t="s">
        <v>31</v>
      </c>
      <c r="N2" s="3" t="s">
        <v>32</v>
      </c>
      <c r="O2" s="2" t="s">
        <v>33</v>
      </c>
      <c r="P2" s="4">
        <v>46023</v>
      </c>
      <c r="Q2" s="5">
        <v>46142</v>
      </c>
      <c r="R2" s="2" t="s">
        <v>34</v>
      </c>
      <c r="S2" s="2" t="s">
        <v>35</v>
      </c>
      <c r="T2" s="2" t="s">
        <v>36</v>
      </c>
      <c r="U2" s="2">
        <v>-462.68</v>
      </c>
      <c r="V2" s="2">
        <f>347/12*8</f>
        <v>231.33333333333334</v>
      </c>
      <c r="W2" s="2">
        <f>V2*2</f>
        <v>462.66666666666669</v>
      </c>
    </row>
    <row r="3" spans="1:23" s="2" customFormat="1" x14ac:dyDescent="0.25">
      <c r="A3" s="2">
        <v>20411454</v>
      </c>
      <c r="B3" s="2" t="s">
        <v>22</v>
      </c>
      <c r="C3" s="2">
        <v>20220688</v>
      </c>
      <c r="D3" s="2" t="s">
        <v>37</v>
      </c>
      <c r="E3" s="2" t="s">
        <v>24</v>
      </c>
      <c r="F3" s="2" t="s">
        <v>25</v>
      </c>
      <c r="G3" s="2" t="s">
        <v>26</v>
      </c>
      <c r="H3" s="2" t="s">
        <v>38</v>
      </c>
      <c r="I3" s="2" t="s">
        <v>37</v>
      </c>
      <c r="J3" s="2" t="s">
        <v>39</v>
      </c>
      <c r="K3" s="2" t="s">
        <v>29</v>
      </c>
      <c r="L3" s="2" t="s">
        <v>30</v>
      </c>
      <c r="M3" s="2" t="s">
        <v>40</v>
      </c>
      <c r="N3" s="3" t="s">
        <v>41</v>
      </c>
      <c r="O3" s="2" t="s">
        <v>42</v>
      </c>
      <c r="P3" s="5">
        <v>46143</v>
      </c>
      <c r="Q3" s="2" t="s">
        <v>0</v>
      </c>
      <c r="R3" s="2" t="s">
        <v>43</v>
      </c>
      <c r="S3" s="2" t="s">
        <v>35</v>
      </c>
      <c r="T3" s="2" t="s">
        <v>44</v>
      </c>
      <c r="U3" s="2">
        <v>40</v>
      </c>
    </row>
    <row r="4" spans="1:23" s="2" customFormat="1" x14ac:dyDescent="0.25">
      <c r="A4" s="2">
        <v>20411454</v>
      </c>
      <c r="B4" s="2" t="s">
        <v>22</v>
      </c>
      <c r="C4" s="2">
        <v>20220688</v>
      </c>
      <c r="D4" s="2" t="s">
        <v>37</v>
      </c>
      <c r="E4" s="2" t="s">
        <v>24</v>
      </c>
      <c r="F4" s="2" t="s">
        <v>25</v>
      </c>
      <c r="G4" s="2" t="s">
        <v>26</v>
      </c>
      <c r="H4" s="2" t="s">
        <v>38</v>
      </c>
      <c r="I4" s="2" t="s">
        <v>37</v>
      </c>
      <c r="J4" s="2" t="s">
        <v>39</v>
      </c>
      <c r="K4" s="2" t="s">
        <v>29</v>
      </c>
      <c r="L4" s="2" t="s">
        <v>30</v>
      </c>
      <c r="M4" s="2" t="s">
        <v>40</v>
      </c>
      <c r="N4" s="3" t="s">
        <v>41</v>
      </c>
      <c r="O4" s="2" t="s">
        <v>42</v>
      </c>
      <c r="P4" s="5">
        <v>46143</v>
      </c>
      <c r="Q4" s="2" t="s">
        <v>0</v>
      </c>
      <c r="R4" s="2" t="s">
        <v>43</v>
      </c>
      <c r="S4" s="2" t="s">
        <v>35</v>
      </c>
      <c r="T4" s="2" t="s">
        <v>44</v>
      </c>
      <c r="U4" s="2">
        <v>60</v>
      </c>
    </row>
    <row r="5" spans="1:23" s="2" customFormat="1" x14ac:dyDescent="0.25">
      <c r="A5" s="2">
        <v>20411454</v>
      </c>
      <c r="B5" s="2" t="s">
        <v>22</v>
      </c>
      <c r="C5" s="2">
        <v>20220688</v>
      </c>
      <c r="D5" s="2" t="s">
        <v>37</v>
      </c>
      <c r="E5" s="2" t="s">
        <v>24</v>
      </c>
      <c r="F5" s="2" t="s">
        <v>25</v>
      </c>
      <c r="G5" s="2" t="s">
        <v>26</v>
      </c>
      <c r="H5" s="2" t="s">
        <v>38</v>
      </c>
      <c r="I5" s="2" t="s">
        <v>37</v>
      </c>
      <c r="J5" s="2" t="s">
        <v>39</v>
      </c>
      <c r="K5" s="2" t="s">
        <v>29</v>
      </c>
      <c r="L5" s="2" t="s">
        <v>30</v>
      </c>
      <c r="M5" s="2" t="s">
        <v>40</v>
      </c>
      <c r="N5" s="3" t="s">
        <v>41</v>
      </c>
      <c r="O5" s="2" t="s">
        <v>42</v>
      </c>
      <c r="P5" s="5">
        <v>46143</v>
      </c>
      <c r="Q5" s="2" t="s">
        <v>0</v>
      </c>
      <c r="R5" s="2" t="s">
        <v>43</v>
      </c>
      <c r="S5" s="2" t="s">
        <v>35</v>
      </c>
      <c r="T5" s="2" t="s">
        <v>44</v>
      </c>
      <c r="U5" s="2">
        <v>50</v>
      </c>
    </row>
    <row r="6" spans="1:23" s="2" customFormat="1" x14ac:dyDescent="0.25">
      <c r="A6" s="2">
        <v>20411454</v>
      </c>
      <c r="B6" s="2" t="s">
        <v>22</v>
      </c>
      <c r="C6" s="2">
        <v>20220688</v>
      </c>
      <c r="D6" s="2" t="s">
        <v>37</v>
      </c>
      <c r="E6" s="2" t="s">
        <v>24</v>
      </c>
      <c r="F6" s="2" t="s">
        <v>25</v>
      </c>
      <c r="G6" s="2" t="s">
        <v>26</v>
      </c>
      <c r="H6" s="2" t="s">
        <v>38</v>
      </c>
      <c r="I6" s="2" t="s">
        <v>37</v>
      </c>
      <c r="J6" s="2" t="s">
        <v>39</v>
      </c>
      <c r="K6" s="2" t="s">
        <v>29</v>
      </c>
      <c r="L6" s="2" t="s">
        <v>30</v>
      </c>
      <c r="M6" s="2" t="s">
        <v>40</v>
      </c>
      <c r="N6" s="3" t="s">
        <v>41</v>
      </c>
      <c r="O6" s="2" t="s">
        <v>42</v>
      </c>
      <c r="P6" s="5">
        <v>46143</v>
      </c>
      <c r="Q6" s="2" t="s">
        <v>0</v>
      </c>
      <c r="R6" s="2" t="s">
        <v>43</v>
      </c>
      <c r="S6" s="2" t="s">
        <v>35</v>
      </c>
      <c r="T6" s="2" t="s">
        <v>44</v>
      </c>
      <c r="U6" s="2">
        <v>50</v>
      </c>
    </row>
    <row r="7" spans="1:23" s="2" customFormat="1" x14ac:dyDescent="0.25">
      <c r="A7" s="2">
        <v>20411454</v>
      </c>
      <c r="B7" s="2" t="s">
        <v>22</v>
      </c>
      <c r="C7" s="2">
        <v>20220688</v>
      </c>
      <c r="D7" s="2" t="s">
        <v>37</v>
      </c>
      <c r="E7" s="2" t="s">
        <v>24</v>
      </c>
      <c r="F7" s="2" t="s">
        <v>25</v>
      </c>
      <c r="G7" s="2" t="s">
        <v>26</v>
      </c>
      <c r="H7" s="2" t="s">
        <v>38</v>
      </c>
      <c r="I7" s="2" t="s">
        <v>37</v>
      </c>
      <c r="J7" s="2" t="s">
        <v>45</v>
      </c>
      <c r="K7" s="2" t="s">
        <v>29</v>
      </c>
      <c r="L7" s="2" t="s">
        <v>30</v>
      </c>
      <c r="M7" s="2" t="s">
        <v>46</v>
      </c>
      <c r="N7" s="3" t="s">
        <v>47</v>
      </c>
      <c r="O7" s="2" t="s">
        <v>48</v>
      </c>
      <c r="P7" s="5">
        <v>46143</v>
      </c>
      <c r="Q7" s="2" t="s">
        <v>0</v>
      </c>
      <c r="R7" s="2" t="s">
        <v>34</v>
      </c>
      <c r="S7" s="2" t="s">
        <v>35</v>
      </c>
      <c r="T7" s="2" t="s">
        <v>44</v>
      </c>
      <c r="U7" s="2">
        <v>40</v>
      </c>
    </row>
    <row r="8" spans="1:23" s="2" customFormat="1" x14ac:dyDescent="0.25">
      <c r="A8" s="2">
        <v>20411454</v>
      </c>
      <c r="B8" s="2" t="s">
        <v>22</v>
      </c>
      <c r="C8" s="2">
        <v>20220688</v>
      </c>
      <c r="D8" s="2" t="s">
        <v>37</v>
      </c>
      <c r="E8" s="2" t="s">
        <v>24</v>
      </c>
      <c r="F8" s="2" t="s">
        <v>25</v>
      </c>
      <c r="G8" s="2" t="s">
        <v>26</v>
      </c>
      <c r="H8" s="2" t="s">
        <v>38</v>
      </c>
      <c r="I8" s="2" t="s">
        <v>37</v>
      </c>
      <c r="J8" s="2" t="s">
        <v>45</v>
      </c>
      <c r="K8" s="2" t="s">
        <v>29</v>
      </c>
      <c r="L8" s="2" t="s">
        <v>30</v>
      </c>
      <c r="M8" s="2" t="s">
        <v>46</v>
      </c>
      <c r="N8" s="3" t="s">
        <v>47</v>
      </c>
      <c r="O8" s="2" t="s">
        <v>48</v>
      </c>
      <c r="P8" s="5">
        <v>46143</v>
      </c>
      <c r="Q8" s="2" t="s">
        <v>0</v>
      </c>
      <c r="R8" s="2" t="s">
        <v>34</v>
      </c>
      <c r="S8" s="2" t="s">
        <v>35</v>
      </c>
      <c r="T8" s="2" t="s">
        <v>44</v>
      </c>
      <c r="U8" s="2">
        <v>60</v>
      </c>
    </row>
    <row r="9" spans="1:23" s="2" customFormat="1" x14ac:dyDescent="0.25">
      <c r="A9" s="2">
        <v>20411454</v>
      </c>
      <c r="B9" s="2" t="s">
        <v>22</v>
      </c>
      <c r="C9" s="2">
        <v>20220688</v>
      </c>
      <c r="D9" s="2" t="s">
        <v>37</v>
      </c>
      <c r="E9" s="2" t="s">
        <v>24</v>
      </c>
      <c r="F9" s="2" t="s">
        <v>25</v>
      </c>
      <c r="G9" s="2" t="s">
        <v>26</v>
      </c>
      <c r="H9" s="2" t="s">
        <v>38</v>
      </c>
      <c r="I9" s="2" t="s">
        <v>37</v>
      </c>
      <c r="J9" s="2" t="s">
        <v>45</v>
      </c>
      <c r="K9" s="2" t="s">
        <v>29</v>
      </c>
      <c r="L9" s="2" t="s">
        <v>30</v>
      </c>
      <c r="M9" s="2" t="s">
        <v>46</v>
      </c>
      <c r="N9" s="3" t="s">
        <v>47</v>
      </c>
      <c r="O9" s="2" t="s">
        <v>48</v>
      </c>
      <c r="P9" s="5">
        <v>46143</v>
      </c>
      <c r="Q9" s="2" t="s">
        <v>0</v>
      </c>
      <c r="R9" s="2" t="s">
        <v>34</v>
      </c>
      <c r="S9" s="2" t="s">
        <v>35</v>
      </c>
      <c r="T9" s="2" t="s">
        <v>44</v>
      </c>
      <c r="U9" s="2">
        <v>50</v>
      </c>
    </row>
    <row r="10" spans="1:23" s="2" customFormat="1" x14ac:dyDescent="0.25">
      <c r="A10" s="2">
        <v>20411454</v>
      </c>
      <c r="B10" s="2" t="s">
        <v>22</v>
      </c>
      <c r="C10" s="2">
        <v>20220688</v>
      </c>
      <c r="D10" s="2" t="s">
        <v>37</v>
      </c>
      <c r="E10" s="2" t="s">
        <v>24</v>
      </c>
      <c r="F10" s="2" t="s">
        <v>25</v>
      </c>
      <c r="G10" s="2" t="s">
        <v>26</v>
      </c>
      <c r="H10" s="2" t="s">
        <v>38</v>
      </c>
      <c r="I10" s="2" t="s">
        <v>37</v>
      </c>
      <c r="J10" s="2" t="s">
        <v>45</v>
      </c>
      <c r="K10" s="2" t="s">
        <v>29</v>
      </c>
      <c r="L10" s="2" t="s">
        <v>30</v>
      </c>
      <c r="M10" s="2" t="s">
        <v>46</v>
      </c>
      <c r="N10" s="3" t="s">
        <v>47</v>
      </c>
      <c r="O10" s="2" t="s">
        <v>48</v>
      </c>
      <c r="P10" s="5">
        <v>46143</v>
      </c>
      <c r="Q10" s="2" t="s">
        <v>0</v>
      </c>
      <c r="R10" s="2" t="s">
        <v>34</v>
      </c>
      <c r="S10" s="2" t="s">
        <v>35</v>
      </c>
      <c r="T10" s="2" t="s">
        <v>44</v>
      </c>
      <c r="U10" s="2">
        <v>50</v>
      </c>
    </row>
    <row r="11" spans="1:23" s="2" customFormat="1" x14ac:dyDescent="0.25">
      <c r="A11" s="2">
        <v>20411454</v>
      </c>
      <c r="B11" s="2" t="s">
        <v>22</v>
      </c>
      <c r="C11" s="2">
        <v>20220688</v>
      </c>
      <c r="D11" s="2" t="s">
        <v>37</v>
      </c>
      <c r="E11" s="2" t="s">
        <v>24</v>
      </c>
      <c r="F11" s="2" t="s">
        <v>25</v>
      </c>
      <c r="G11" s="2" t="s">
        <v>26</v>
      </c>
      <c r="H11" s="2" t="s">
        <v>38</v>
      </c>
      <c r="I11" s="2" t="s">
        <v>37</v>
      </c>
      <c r="J11" s="2" t="s">
        <v>45</v>
      </c>
      <c r="K11" s="2" t="s">
        <v>29</v>
      </c>
      <c r="L11" s="2" t="s">
        <v>30</v>
      </c>
      <c r="M11" s="2" t="s">
        <v>46</v>
      </c>
      <c r="N11" s="3" t="s">
        <v>47</v>
      </c>
      <c r="O11" s="2" t="s">
        <v>48</v>
      </c>
      <c r="P11" s="5">
        <v>46143</v>
      </c>
      <c r="Q11" s="2" t="s">
        <v>0</v>
      </c>
      <c r="R11" s="2" t="s">
        <v>34</v>
      </c>
      <c r="S11" s="2" t="s">
        <v>35</v>
      </c>
      <c r="T11" s="2" t="s">
        <v>36</v>
      </c>
      <c r="U11" s="2">
        <v>462.67</v>
      </c>
      <c r="V11" s="2">
        <f>694/12*8</f>
        <v>462.66666666666669</v>
      </c>
    </row>
    <row r="12" spans="1:23" s="2" customFormat="1" x14ac:dyDescent="0.25">
      <c r="A12" s="2">
        <v>20411454</v>
      </c>
      <c r="B12" s="2" t="s">
        <v>22</v>
      </c>
      <c r="C12" s="2">
        <v>19491313</v>
      </c>
      <c r="D12" s="2" t="s">
        <v>49</v>
      </c>
      <c r="E12" s="2" t="s">
        <v>50</v>
      </c>
      <c r="F12" s="2" t="s">
        <v>25</v>
      </c>
      <c r="G12" s="2" t="s">
        <v>51</v>
      </c>
      <c r="H12" s="2" t="s">
        <v>52</v>
      </c>
      <c r="I12" s="2" t="s">
        <v>49</v>
      </c>
      <c r="J12" s="2" t="s">
        <v>53</v>
      </c>
      <c r="K12" s="2" t="s">
        <v>54</v>
      </c>
      <c r="L12" s="2" t="s">
        <v>55</v>
      </c>
      <c r="M12" s="2" t="s">
        <v>56</v>
      </c>
      <c r="N12" s="3" t="s">
        <v>57</v>
      </c>
      <c r="O12" s="2" t="s">
        <v>58</v>
      </c>
      <c r="P12" s="4">
        <v>46023</v>
      </c>
      <c r="Q12" s="2" t="s">
        <v>0</v>
      </c>
      <c r="R12" s="2" t="s">
        <v>43</v>
      </c>
      <c r="S12" s="2" t="s">
        <v>35</v>
      </c>
      <c r="T12" s="2" t="s">
        <v>44</v>
      </c>
      <c r="U12" s="2">
        <v>1.67</v>
      </c>
    </row>
    <row r="13" spans="1:23" s="2" customFormat="1" x14ac:dyDescent="0.25">
      <c r="A13" s="2">
        <v>20411454</v>
      </c>
      <c r="B13" s="2" t="s">
        <v>22</v>
      </c>
      <c r="C13" s="2">
        <v>19491313</v>
      </c>
      <c r="D13" s="2" t="s">
        <v>49</v>
      </c>
      <c r="E13" s="2" t="s">
        <v>50</v>
      </c>
      <c r="F13" s="2" t="s">
        <v>25</v>
      </c>
      <c r="G13" s="2" t="s">
        <v>51</v>
      </c>
      <c r="H13" s="2" t="s">
        <v>52</v>
      </c>
      <c r="I13" s="2" t="s">
        <v>49</v>
      </c>
      <c r="J13" s="2" t="s">
        <v>53</v>
      </c>
      <c r="K13" s="2" t="s">
        <v>54</v>
      </c>
      <c r="L13" s="2" t="s">
        <v>55</v>
      </c>
      <c r="M13" s="2" t="s">
        <v>56</v>
      </c>
      <c r="N13" s="3" t="s">
        <v>57</v>
      </c>
      <c r="O13" s="2" t="s">
        <v>58</v>
      </c>
      <c r="P13" s="4">
        <v>46023</v>
      </c>
      <c r="Q13" s="2" t="s">
        <v>0</v>
      </c>
      <c r="R13" s="2" t="s">
        <v>43</v>
      </c>
      <c r="S13" s="2" t="s">
        <v>35</v>
      </c>
      <c r="T13" s="2" t="s">
        <v>44</v>
      </c>
      <c r="U13" s="2">
        <v>4.58</v>
      </c>
    </row>
    <row r="14" spans="1:23" s="2" customFormat="1" x14ac:dyDescent="0.25">
      <c r="A14" s="2">
        <v>20411454</v>
      </c>
      <c r="B14" s="2" t="s">
        <v>22</v>
      </c>
      <c r="C14" s="2">
        <v>19491313</v>
      </c>
      <c r="D14" s="2" t="s">
        <v>49</v>
      </c>
      <c r="E14" s="2" t="s">
        <v>50</v>
      </c>
      <c r="F14" s="2" t="s">
        <v>25</v>
      </c>
      <c r="G14" s="2" t="s">
        <v>51</v>
      </c>
      <c r="H14" s="2" t="s">
        <v>52</v>
      </c>
      <c r="I14" s="2" t="s">
        <v>49</v>
      </c>
      <c r="J14" s="2" t="s">
        <v>53</v>
      </c>
      <c r="K14" s="2" t="s">
        <v>54</v>
      </c>
      <c r="L14" s="2" t="s">
        <v>55</v>
      </c>
      <c r="M14" s="2" t="s">
        <v>56</v>
      </c>
      <c r="N14" s="3" t="s">
        <v>57</v>
      </c>
      <c r="O14" s="2" t="s">
        <v>58</v>
      </c>
      <c r="P14" s="4">
        <v>46023</v>
      </c>
      <c r="Q14" s="2" t="s">
        <v>0</v>
      </c>
      <c r="R14" s="2" t="s">
        <v>43</v>
      </c>
      <c r="S14" s="2" t="s">
        <v>35</v>
      </c>
      <c r="T14" s="2" t="s">
        <v>44</v>
      </c>
      <c r="U14" s="2">
        <v>2.08</v>
      </c>
    </row>
    <row r="15" spans="1:23" s="2" customFormat="1" x14ac:dyDescent="0.25">
      <c r="A15" s="2">
        <v>20411454</v>
      </c>
      <c r="B15" s="2" t="s">
        <v>22</v>
      </c>
      <c r="C15" s="2">
        <v>19491313</v>
      </c>
      <c r="D15" s="2" t="s">
        <v>49</v>
      </c>
      <c r="E15" s="2" t="s">
        <v>50</v>
      </c>
      <c r="F15" s="2" t="s">
        <v>25</v>
      </c>
      <c r="G15" s="2" t="s">
        <v>51</v>
      </c>
      <c r="H15" s="2" t="s">
        <v>52</v>
      </c>
      <c r="I15" s="2" t="s">
        <v>49</v>
      </c>
      <c r="J15" s="2" t="s">
        <v>53</v>
      </c>
      <c r="K15" s="2" t="s">
        <v>54</v>
      </c>
      <c r="L15" s="2" t="s">
        <v>55</v>
      </c>
      <c r="M15" s="2" t="s">
        <v>56</v>
      </c>
      <c r="N15" s="3" t="s">
        <v>57</v>
      </c>
      <c r="O15" s="2" t="s">
        <v>58</v>
      </c>
      <c r="P15" s="4">
        <v>46023</v>
      </c>
      <c r="Q15" s="2" t="s">
        <v>0</v>
      </c>
      <c r="R15" s="2" t="s">
        <v>43</v>
      </c>
      <c r="S15" s="2" t="s">
        <v>35</v>
      </c>
      <c r="T15" s="2" t="s">
        <v>44</v>
      </c>
      <c r="U15" s="2">
        <v>2.08</v>
      </c>
    </row>
    <row r="16" spans="1:23" s="2" customFormat="1" x14ac:dyDescent="0.25">
      <c r="A16" s="2">
        <v>20411454</v>
      </c>
      <c r="B16" s="2" t="s">
        <v>22</v>
      </c>
      <c r="C16" s="2">
        <v>19491313</v>
      </c>
      <c r="D16" s="2" t="s">
        <v>49</v>
      </c>
      <c r="E16" s="2" t="s">
        <v>50</v>
      </c>
      <c r="F16" s="2" t="s">
        <v>25</v>
      </c>
      <c r="G16" s="2" t="s">
        <v>51</v>
      </c>
      <c r="H16" s="2" t="s">
        <v>52</v>
      </c>
      <c r="I16" s="2" t="s">
        <v>49</v>
      </c>
      <c r="J16" s="2" t="s">
        <v>53</v>
      </c>
      <c r="K16" s="2" t="s">
        <v>54</v>
      </c>
      <c r="L16" s="2" t="s">
        <v>55</v>
      </c>
      <c r="M16" s="2" t="s">
        <v>56</v>
      </c>
      <c r="N16" s="3" t="s">
        <v>57</v>
      </c>
      <c r="O16" s="2" t="s">
        <v>58</v>
      </c>
      <c r="P16" s="4">
        <v>46023</v>
      </c>
      <c r="Q16" s="2" t="s">
        <v>0</v>
      </c>
      <c r="R16" s="2" t="s">
        <v>43</v>
      </c>
      <c r="S16" s="2" t="s">
        <v>35</v>
      </c>
      <c r="T16" s="2" t="s">
        <v>36</v>
      </c>
      <c r="U16" s="2">
        <v>28.92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2026-05-04T07:52:22Z</dcterms:created>
  <dcterms:modified xsi:type="dcterms:W3CDTF">2026-05-05T14:27:53Z</dcterms:modified>
</cp:coreProperties>
</file>