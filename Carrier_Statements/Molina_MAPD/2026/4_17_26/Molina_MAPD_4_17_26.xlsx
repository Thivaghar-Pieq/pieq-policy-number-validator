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 MAPD\2026\4-17-26\"/>
    </mc:Choice>
  </mc:AlternateContent>
  <xr:revisionPtr revIDLastSave="0" documentId="13_ncr:1_{4440B647-91B1-4A56-8CC1-0BBBAE8622B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etail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4" i="2" l="1"/>
  <c r="E5" i="2"/>
  <c r="E6" i="2"/>
  <c r="E3" i="2"/>
  <c r="E2" i="2"/>
</calcChain>
</file>

<file path=xl/sharedStrings.xml><?xml version="1.0" encoding="utf-8"?>
<sst xmlns="http://schemas.openxmlformats.org/spreadsheetml/2006/main" count="363" uniqueCount="63">
  <si>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</si>
  <si>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</si>
  <si>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</si>
  <si>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</si>
  <si>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</si>
  <si>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</si>
  <si>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</si>
  <si>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</si>
  <si>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</si>
  <si>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</si>
  <si>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</si>
  <si>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</si>
  <si>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</si>
  <si>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</si>
  <si>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</si>
  <si>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</si>
  <si>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</si>
  <si>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</si>
  <si>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</si>
  <si>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</si>
  <si>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</si>
  <si>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</si>
  <si>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</si>
  <si>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Gary Portugal</t>
  </si>
  <si>
    <t>Initial</t>
  </si>
  <si>
    <t>202604</t>
  </si>
  <si>
    <t>Molina Medicare Complete Care Plus (HMO D-SNP)</t>
  </si>
  <si>
    <t>9213293</t>
  </si>
  <si>
    <t>03/31/26</t>
  </si>
  <si>
    <t>H3093</t>
  </si>
  <si>
    <t>001</t>
  </si>
  <si>
    <t>M000511127</t>
  </si>
  <si>
    <t>CAMERON HOLUM</t>
  </si>
  <si>
    <t>2FC2A00MX98</t>
  </si>
  <si>
    <t>2</t>
  </si>
  <si>
    <t>Yes</t>
  </si>
  <si>
    <t>Broker</t>
  </si>
  <si>
    <t>10/22/25</t>
  </si>
  <si>
    <t>4</t>
  </si>
  <si>
    <t>Override</t>
  </si>
  <si>
    <t>Gregory Hansford</t>
  </si>
  <si>
    <t>My Choice Wisconsin Medicare Dual Advantage Plan (HMO D-SNP)</t>
  </si>
  <si>
    <t>17094718</t>
  </si>
  <si>
    <t>01/21/26</t>
  </si>
  <si>
    <t>H5209</t>
  </si>
  <si>
    <t>006</t>
  </si>
  <si>
    <t>1195976</t>
  </si>
  <si>
    <t>Robert PROCHNOW</t>
  </si>
  <si>
    <t>9PN4T19QY90</t>
  </si>
  <si>
    <t>Jeffrey Horn</t>
  </si>
  <si>
    <t>2158366</t>
  </si>
  <si>
    <t>03/30/26</t>
  </si>
  <si>
    <t>004</t>
  </si>
  <si>
    <t>M000551644</t>
  </si>
  <si>
    <t>NAGHAM KHOURY</t>
  </si>
  <si>
    <t>2DQ9EM5WQ13</t>
  </si>
  <si>
    <t>M000551799</t>
  </si>
  <si>
    <t>WAJIH KHOURY</t>
  </si>
  <si>
    <t>3AM5V55PV83</t>
  </si>
  <si>
    <t>Molina MAPD 2026*</t>
  </si>
  <si>
    <t>Molina MAPD OVR</t>
  </si>
  <si>
    <t>[%/$=347][prorate=9/12]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</si>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</sst>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"/>
    <numFmt numFmtId="165" formatCode="yyyy/dd/mm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2" borderId="0" xfId="0" applyFill="1"/>
    <xf numFmtId="166" fontId="0" fillId="2" borderId="0" xfId="0" applyNumberFormat="1" applyFill="1"/>
    <xf numFmtId="14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opLeftCell="E1" workbookViewId="0">
      <selection activeCell="E1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60.5703125" bestFit="1" customWidth="1"/>
    <col min="8" max="8" width="10" bestFit="1" customWidth="1"/>
    <col min="9" max="9" width="17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18.85546875" bestFit="1" customWidth="1"/>
    <col min="15" max="15" width="15.85546875" bestFit="1" customWidth="1"/>
    <col min="16" max="16" width="13" bestFit="1" customWidth="1"/>
    <col min="17" max="17" width="12.140625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5">
      <c r="A2">
        <v>20411454</v>
      </c>
      <c r="B2" t="s">
        <v>22</v>
      </c>
      <c r="C2">
        <v>9213293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3" t="s">
        <v>32</v>
      </c>
      <c r="O2" t="s">
        <v>33</v>
      </c>
      <c r="P2" s="1">
        <v>46113</v>
      </c>
      <c r="Q2" t="s">
        <v>0</v>
      </c>
      <c r="R2" t="s">
        <v>34</v>
      </c>
      <c r="S2" t="s">
        <v>35</v>
      </c>
      <c r="T2" t="s">
        <v>36</v>
      </c>
      <c r="U2">
        <v>260.24</v>
      </c>
    </row>
    <row r="3" spans="1:21" x14ac:dyDescent="0.25">
      <c r="A3">
        <v>20411454</v>
      </c>
      <c r="B3" t="s">
        <v>22</v>
      </c>
      <c r="C3">
        <v>9213293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23</v>
      </c>
      <c r="J3" t="s">
        <v>37</v>
      </c>
      <c r="K3" t="s">
        <v>29</v>
      </c>
      <c r="L3" t="s">
        <v>30</v>
      </c>
      <c r="M3" t="s">
        <v>31</v>
      </c>
      <c r="N3" s="3" t="s">
        <v>32</v>
      </c>
      <c r="O3" t="s">
        <v>33</v>
      </c>
      <c r="P3" s="2">
        <v>46023</v>
      </c>
      <c r="Q3" s="1">
        <v>46112</v>
      </c>
      <c r="R3" t="s">
        <v>38</v>
      </c>
      <c r="S3" t="s">
        <v>35</v>
      </c>
      <c r="T3" t="s">
        <v>39</v>
      </c>
      <c r="U3">
        <v>40</v>
      </c>
    </row>
    <row r="4" spans="1:21" x14ac:dyDescent="0.25">
      <c r="A4">
        <v>20411454</v>
      </c>
      <c r="B4" t="s">
        <v>22</v>
      </c>
      <c r="C4">
        <v>9213293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23</v>
      </c>
      <c r="J4" t="s">
        <v>37</v>
      </c>
      <c r="K4" t="s">
        <v>29</v>
      </c>
      <c r="L4" t="s">
        <v>30</v>
      </c>
      <c r="M4" t="s">
        <v>31</v>
      </c>
      <c r="N4" s="3" t="s">
        <v>32</v>
      </c>
      <c r="O4" t="s">
        <v>33</v>
      </c>
      <c r="P4" s="2">
        <v>46023</v>
      </c>
      <c r="Q4" s="1">
        <v>46112</v>
      </c>
      <c r="R4" t="s">
        <v>38</v>
      </c>
      <c r="S4" t="s">
        <v>35</v>
      </c>
      <c r="T4" t="s">
        <v>39</v>
      </c>
      <c r="U4">
        <v>60</v>
      </c>
    </row>
    <row r="5" spans="1:21" x14ac:dyDescent="0.25">
      <c r="A5">
        <v>20411454</v>
      </c>
      <c r="B5" t="s">
        <v>22</v>
      </c>
      <c r="C5">
        <v>9213293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23</v>
      </c>
      <c r="J5" t="s">
        <v>37</v>
      </c>
      <c r="K5" t="s">
        <v>29</v>
      </c>
      <c r="L5" t="s">
        <v>30</v>
      </c>
      <c r="M5" t="s">
        <v>31</v>
      </c>
      <c r="N5" s="3" t="s">
        <v>32</v>
      </c>
      <c r="O5" t="s">
        <v>33</v>
      </c>
      <c r="P5" s="2">
        <v>46023</v>
      </c>
      <c r="Q5" s="1">
        <v>46112</v>
      </c>
      <c r="R5" t="s">
        <v>38</v>
      </c>
      <c r="S5" t="s">
        <v>35</v>
      </c>
      <c r="T5" t="s">
        <v>39</v>
      </c>
      <c r="U5">
        <v>50</v>
      </c>
    </row>
    <row r="6" spans="1:21" x14ac:dyDescent="0.25">
      <c r="A6">
        <v>20411454</v>
      </c>
      <c r="B6" t="s">
        <v>22</v>
      </c>
      <c r="C6">
        <v>9213293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23</v>
      </c>
      <c r="J6" t="s">
        <v>37</v>
      </c>
      <c r="K6" t="s">
        <v>29</v>
      </c>
      <c r="L6" t="s">
        <v>30</v>
      </c>
      <c r="M6" t="s">
        <v>31</v>
      </c>
      <c r="N6" s="3" t="s">
        <v>32</v>
      </c>
      <c r="O6" t="s">
        <v>33</v>
      </c>
      <c r="P6" s="2">
        <v>46023</v>
      </c>
      <c r="Q6" s="1">
        <v>46112</v>
      </c>
      <c r="R6" t="s">
        <v>38</v>
      </c>
      <c r="S6" t="s">
        <v>35</v>
      </c>
      <c r="T6" t="s">
        <v>39</v>
      </c>
      <c r="U6">
        <v>50</v>
      </c>
    </row>
    <row r="7" spans="1:21" x14ac:dyDescent="0.25">
      <c r="A7">
        <v>20411454</v>
      </c>
      <c r="B7" t="s">
        <v>22</v>
      </c>
      <c r="C7">
        <v>17094718</v>
      </c>
      <c r="D7" t="s">
        <v>40</v>
      </c>
      <c r="E7" t="s">
        <v>24</v>
      </c>
      <c r="F7" t="s">
        <v>25</v>
      </c>
      <c r="G7" t="s">
        <v>41</v>
      </c>
      <c r="H7" t="s">
        <v>42</v>
      </c>
      <c r="I7" t="s">
        <v>40</v>
      </c>
      <c r="J7" t="s">
        <v>43</v>
      </c>
      <c r="K7" t="s">
        <v>44</v>
      </c>
      <c r="L7" t="s">
        <v>45</v>
      </c>
      <c r="M7" t="s">
        <v>46</v>
      </c>
      <c r="N7" s="3" t="s">
        <v>47</v>
      </c>
      <c r="O7" t="s">
        <v>48</v>
      </c>
      <c r="P7" s="1">
        <v>46054</v>
      </c>
      <c r="Q7" s="1">
        <v>46112</v>
      </c>
      <c r="R7" t="s">
        <v>34</v>
      </c>
      <c r="S7" t="s">
        <v>35</v>
      </c>
      <c r="T7" t="s">
        <v>39</v>
      </c>
      <c r="U7">
        <v>-40</v>
      </c>
    </row>
    <row r="8" spans="1:21" x14ac:dyDescent="0.25">
      <c r="A8">
        <v>20411454</v>
      </c>
      <c r="B8" t="s">
        <v>22</v>
      </c>
      <c r="C8">
        <v>17094718</v>
      </c>
      <c r="D8" t="s">
        <v>40</v>
      </c>
      <c r="E8" t="s">
        <v>24</v>
      </c>
      <c r="F8" t="s">
        <v>25</v>
      </c>
      <c r="G8" t="s">
        <v>41</v>
      </c>
      <c r="H8" t="s">
        <v>42</v>
      </c>
      <c r="I8" t="s">
        <v>40</v>
      </c>
      <c r="J8" t="s">
        <v>43</v>
      </c>
      <c r="K8" t="s">
        <v>44</v>
      </c>
      <c r="L8" t="s">
        <v>45</v>
      </c>
      <c r="M8" t="s">
        <v>46</v>
      </c>
      <c r="N8" s="3" t="s">
        <v>47</v>
      </c>
      <c r="O8" t="s">
        <v>48</v>
      </c>
      <c r="P8" s="1">
        <v>46054</v>
      </c>
      <c r="Q8" s="1">
        <v>46112</v>
      </c>
      <c r="R8" t="s">
        <v>34</v>
      </c>
      <c r="S8" t="s">
        <v>35</v>
      </c>
      <c r="T8" t="s">
        <v>39</v>
      </c>
      <c r="U8">
        <v>-60</v>
      </c>
    </row>
    <row r="9" spans="1:21" x14ac:dyDescent="0.25">
      <c r="A9">
        <v>20411454</v>
      </c>
      <c r="B9" t="s">
        <v>22</v>
      </c>
      <c r="C9">
        <v>17094718</v>
      </c>
      <c r="D9" t="s">
        <v>40</v>
      </c>
      <c r="E9" t="s">
        <v>24</v>
      </c>
      <c r="F9" t="s">
        <v>25</v>
      </c>
      <c r="G9" t="s">
        <v>41</v>
      </c>
      <c r="H9" t="s">
        <v>42</v>
      </c>
      <c r="I9" t="s">
        <v>40</v>
      </c>
      <c r="J9" t="s">
        <v>43</v>
      </c>
      <c r="K9" t="s">
        <v>44</v>
      </c>
      <c r="L9" t="s">
        <v>45</v>
      </c>
      <c r="M9" t="s">
        <v>46</v>
      </c>
      <c r="N9" s="3" t="s">
        <v>47</v>
      </c>
      <c r="O9" t="s">
        <v>48</v>
      </c>
      <c r="P9" s="1">
        <v>46054</v>
      </c>
      <c r="Q9" s="1">
        <v>46112</v>
      </c>
      <c r="R9" t="s">
        <v>34</v>
      </c>
      <c r="S9" t="s">
        <v>35</v>
      </c>
      <c r="T9" t="s">
        <v>39</v>
      </c>
      <c r="U9">
        <v>-50</v>
      </c>
    </row>
    <row r="10" spans="1:21" x14ac:dyDescent="0.25">
      <c r="A10">
        <v>20411454</v>
      </c>
      <c r="B10" t="s">
        <v>22</v>
      </c>
      <c r="C10">
        <v>17094718</v>
      </c>
      <c r="D10" t="s">
        <v>40</v>
      </c>
      <c r="E10" t="s">
        <v>24</v>
      </c>
      <c r="F10" t="s">
        <v>25</v>
      </c>
      <c r="G10" t="s">
        <v>41</v>
      </c>
      <c r="H10" t="s">
        <v>42</v>
      </c>
      <c r="I10" t="s">
        <v>40</v>
      </c>
      <c r="J10" t="s">
        <v>43</v>
      </c>
      <c r="K10" t="s">
        <v>44</v>
      </c>
      <c r="L10" t="s">
        <v>45</v>
      </c>
      <c r="M10" t="s">
        <v>46</v>
      </c>
      <c r="N10" s="3" t="s">
        <v>47</v>
      </c>
      <c r="O10" t="s">
        <v>48</v>
      </c>
      <c r="P10" s="1">
        <v>46054</v>
      </c>
      <c r="Q10" s="1">
        <v>46112</v>
      </c>
      <c r="R10" t="s">
        <v>34</v>
      </c>
      <c r="S10" t="s">
        <v>35</v>
      </c>
      <c r="T10" t="s">
        <v>39</v>
      </c>
      <c r="U10">
        <v>-50</v>
      </c>
    </row>
    <row r="11" spans="1:21" x14ac:dyDescent="0.25">
      <c r="A11">
        <v>20411454</v>
      </c>
      <c r="B11" t="s">
        <v>22</v>
      </c>
      <c r="C11">
        <v>2158366</v>
      </c>
      <c r="D11" t="s">
        <v>49</v>
      </c>
      <c r="E11" t="s">
        <v>24</v>
      </c>
      <c r="F11" t="s">
        <v>25</v>
      </c>
      <c r="G11" t="s">
        <v>26</v>
      </c>
      <c r="H11" t="s">
        <v>50</v>
      </c>
      <c r="I11" t="s">
        <v>49</v>
      </c>
      <c r="J11" t="s">
        <v>51</v>
      </c>
      <c r="K11" t="s">
        <v>29</v>
      </c>
      <c r="L11" t="s">
        <v>52</v>
      </c>
      <c r="M11" t="s">
        <v>53</v>
      </c>
      <c r="N11" s="3" t="s">
        <v>54</v>
      </c>
      <c r="O11" t="s">
        <v>55</v>
      </c>
      <c r="P11" s="1">
        <v>46113</v>
      </c>
      <c r="Q11" t="s">
        <v>0</v>
      </c>
      <c r="R11" t="s">
        <v>34</v>
      </c>
      <c r="S11" t="s">
        <v>35</v>
      </c>
      <c r="T11" t="s">
        <v>39</v>
      </c>
      <c r="U11">
        <v>40</v>
      </c>
    </row>
    <row r="12" spans="1:21" x14ac:dyDescent="0.25">
      <c r="A12">
        <v>20411454</v>
      </c>
      <c r="B12" t="s">
        <v>22</v>
      </c>
      <c r="C12">
        <v>2158366</v>
      </c>
      <c r="D12" t="s">
        <v>49</v>
      </c>
      <c r="E12" t="s">
        <v>24</v>
      </c>
      <c r="F12" t="s">
        <v>25</v>
      </c>
      <c r="G12" t="s">
        <v>26</v>
      </c>
      <c r="H12" t="s">
        <v>50</v>
      </c>
      <c r="I12" t="s">
        <v>49</v>
      </c>
      <c r="J12" t="s">
        <v>51</v>
      </c>
      <c r="K12" t="s">
        <v>29</v>
      </c>
      <c r="L12" t="s">
        <v>52</v>
      </c>
      <c r="M12" t="s">
        <v>53</v>
      </c>
      <c r="N12" s="3" t="s">
        <v>54</v>
      </c>
      <c r="O12" t="s">
        <v>55</v>
      </c>
      <c r="P12" s="1">
        <v>46113</v>
      </c>
      <c r="Q12" t="s">
        <v>0</v>
      </c>
      <c r="R12" t="s">
        <v>34</v>
      </c>
      <c r="S12" t="s">
        <v>35</v>
      </c>
      <c r="T12" t="s">
        <v>39</v>
      </c>
      <c r="U12">
        <v>60</v>
      </c>
    </row>
    <row r="13" spans="1:21" x14ac:dyDescent="0.25">
      <c r="A13">
        <v>20411454</v>
      </c>
      <c r="B13" t="s">
        <v>22</v>
      </c>
      <c r="C13">
        <v>2158366</v>
      </c>
      <c r="D13" t="s">
        <v>49</v>
      </c>
      <c r="E13" t="s">
        <v>24</v>
      </c>
      <c r="F13" t="s">
        <v>25</v>
      </c>
      <c r="G13" t="s">
        <v>26</v>
      </c>
      <c r="H13" t="s">
        <v>50</v>
      </c>
      <c r="I13" t="s">
        <v>49</v>
      </c>
      <c r="J13" t="s">
        <v>51</v>
      </c>
      <c r="K13" t="s">
        <v>29</v>
      </c>
      <c r="L13" t="s">
        <v>52</v>
      </c>
      <c r="M13" t="s">
        <v>53</v>
      </c>
      <c r="N13" s="3" t="s">
        <v>54</v>
      </c>
      <c r="O13" t="s">
        <v>55</v>
      </c>
      <c r="P13" s="1">
        <v>46113</v>
      </c>
      <c r="Q13" t="s">
        <v>0</v>
      </c>
      <c r="R13" t="s">
        <v>34</v>
      </c>
      <c r="S13" t="s">
        <v>35</v>
      </c>
      <c r="T13" t="s">
        <v>39</v>
      </c>
      <c r="U13">
        <v>50</v>
      </c>
    </row>
    <row r="14" spans="1:21" x14ac:dyDescent="0.25">
      <c r="A14">
        <v>20411454</v>
      </c>
      <c r="B14" t="s">
        <v>22</v>
      </c>
      <c r="C14">
        <v>2158366</v>
      </c>
      <c r="D14" t="s">
        <v>49</v>
      </c>
      <c r="E14" t="s">
        <v>24</v>
      </c>
      <c r="F14" t="s">
        <v>25</v>
      </c>
      <c r="G14" t="s">
        <v>26</v>
      </c>
      <c r="H14" t="s">
        <v>50</v>
      </c>
      <c r="I14" t="s">
        <v>49</v>
      </c>
      <c r="J14" t="s">
        <v>51</v>
      </c>
      <c r="K14" t="s">
        <v>29</v>
      </c>
      <c r="L14" t="s">
        <v>52</v>
      </c>
      <c r="M14" t="s">
        <v>53</v>
      </c>
      <c r="N14" s="3" t="s">
        <v>54</v>
      </c>
      <c r="O14" t="s">
        <v>55</v>
      </c>
      <c r="P14" s="1">
        <v>46113</v>
      </c>
      <c r="Q14" t="s">
        <v>0</v>
      </c>
      <c r="R14" t="s">
        <v>34</v>
      </c>
      <c r="S14" t="s">
        <v>35</v>
      </c>
      <c r="T14" t="s">
        <v>39</v>
      </c>
      <c r="U14">
        <v>50</v>
      </c>
    </row>
    <row r="15" spans="1:21" x14ac:dyDescent="0.25">
      <c r="A15">
        <v>20411454</v>
      </c>
      <c r="B15" t="s">
        <v>22</v>
      </c>
      <c r="C15">
        <v>2158366</v>
      </c>
      <c r="D15" t="s">
        <v>49</v>
      </c>
      <c r="E15" t="s">
        <v>24</v>
      </c>
      <c r="F15" t="s">
        <v>25</v>
      </c>
      <c r="G15" t="s">
        <v>26</v>
      </c>
      <c r="H15" t="s">
        <v>50</v>
      </c>
      <c r="I15" t="s">
        <v>49</v>
      </c>
      <c r="J15" t="s">
        <v>51</v>
      </c>
      <c r="K15" t="s">
        <v>29</v>
      </c>
      <c r="L15" t="s">
        <v>52</v>
      </c>
      <c r="M15" t="s">
        <v>56</v>
      </c>
      <c r="N15" s="3" t="s">
        <v>57</v>
      </c>
      <c r="O15" t="s">
        <v>58</v>
      </c>
      <c r="P15" s="1">
        <v>46113</v>
      </c>
      <c r="Q15" t="s">
        <v>0</v>
      </c>
      <c r="R15" t="s">
        <v>34</v>
      </c>
      <c r="S15" t="s">
        <v>35</v>
      </c>
      <c r="T15" t="s">
        <v>39</v>
      </c>
      <c r="U15">
        <v>40</v>
      </c>
    </row>
    <row r="16" spans="1:21" x14ac:dyDescent="0.25">
      <c r="A16">
        <v>20411454</v>
      </c>
      <c r="B16" t="s">
        <v>22</v>
      </c>
      <c r="C16">
        <v>2158366</v>
      </c>
      <c r="D16" t="s">
        <v>49</v>
      </c>
      <c r="E16" t="s">
        <v>24</v>
      </c>
      <c r="F16" t="s">
        <v>25</v>
      </c>
      <c r="G16" t="s">
        <v>26</v>
      </c>
      <c r="H16" t="s">
        <v>50</v>
      </c>
      <c r="I16" t="s">
        <v>49</v>
      </c>
      <c r="J16" t="s">
        <v>51</v>
      </c>
      <c r="K16" t="s">
        <v>29</v>
      </c>
      <c r="L16" t="s">
        <v>52</v>
      </c>
      <c r="M16" t="s">
        <v>56</v>
      </c>
      <c r="N16" s="3" t="s">
        <v>57</v>
      </c>
      <c r="O16" t="s">
        <v>58</v>
      </c>
      <c r="P16" s="1">
        <v>46113</v>
      </c>
      <c r="Q16" t="s">
        <v>0</v>
      </c>
      <c r="R16" t="s">
        <v>34</v>
      </c>
      <c r="S16" t="s">
        <v>35</v>
      </c>
      <c r="T16" t="s">
        <v>39</v>
      </c>
      <c r="U16">
        <v>60</v>
      </c>
    </row>
    <row r="17" spans="1:21" x14ac:dyDescent="0.25">
      <c r="A17">
        <v>20411454</v>
      </c>
      <c r="B17" t="s">
        <v>22</v>
      </c>
      <c r="C17">
        <v>2158366</v>
      </c>
      <c r="D17" t="s">
        <v>49</v>
      </c>
      <c r="E17" t="s">
        <v>24</v>
      </c>
      <c r="F17" t="s">
        <v>25</v>
      </c>
      <c r="G17" t="s">
        <v>26</v>
      </c>
      <c r="H17" t="s">
        <v>50</v>
      </c>
      <c r="I17" t="s">
        <v>49</v>
      </c>
      <c r="J17" t="s">
        <v>51</v>
      </c>
      <c r="K17" t="s">
        <v>29</v>
      </c>
      <c r="L17" t="s">
        <v>52</v>
      </c>
      <c r="M17" t="s">
        <v>56</v>
      </c>
      <c r="N17" s="3" t="s">
        <v>57</v>
      </c>
      <c r="O17" t="s">
        <v>58</v>
      </c>
      <c r="P17" s="1">
        <v>46113</v>
      </c>
      <c r="Q17" t="s">
        <v>0</v>
      </c>
      <c r="R17" t="s">
        <v>34</v>
      </c>
      <c r="S17" t="s">
        <v>35</v>
      </c>
      <c r="T17" t="s">
        <v>39</v>
      </c>
      <c r="U17">
        <v>50</v>
      </c>
    </row>
    <row r="18" spans="1:21" x14ac:dyDescent="0.25">
      <c r="A18">
        <v>20411454</v>
      </c>
      <c r="B18" t="s">
        <v>22</v>
      </c>
      <c r="C18">
        <v>2158366</v>
      </c>
      <c r="D18" t="s">
        <v>49</v>
      </c>
      <c r="E18" t="s">
        <v>24</v>
      </c>
      <c r="F18" t="s">
        <v>25</v>
      </c>
      <c r="G18" t="s">
        <v>26</v>
      </c>
      <c r="H18" t="s">
        <v>50</v>
      </c>
      <c r="I18" t="s">
        <v>49</v>
      </c>
      <c r="J18" t="s">
        <v>51</v>
      </c>
      <c r="K18" t="s">
        <v>29</v>
      </c>
      <c r="L18" t="s">
        <v>52</v>
      </c>
      <c r="M18" t="s">
        <v>56</v>
      </c>
      <c r="N18" s="3" t="s">
        <v>57</v>
      </c>
      <c r="O18" t="s">
        <v>58</v>
      </c>
      <c r="P18" s="1">
        <v>46113</v>
      </c>
      <c r="Q18" t="s">
        <v>0</v>
      </c>
      <c r="R18" t="s">
        <v>34</v>
      </c>
      <c r="S18" t="s">
        <v>35</v>
      </c>
      <c r="T18" t="s">
        <v>39</v>
      </c>
      <c r="U18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4142-8C44-43BC-90CD-11041C1DC8BA}">
  <dimension ref="A1:O6"/>
  <sheetViews>
    <sheetView tabSelected="1" workbookViewId="0">
      <selection activeCell="D6" sqref="D6"/>
    </sheetView>
  </sheetViews>
  <sheetFormatPr defaultRowHeight="15" x14ac:dyDescent="0.25"/>
  <cols>
    <col min="1" max="1" width="7.7109375" bestFit="1" customWidth="1"/>
    <col min="2" max="2" width="10" bestFit="1" customWidth="1"/>
    <col min="3" max="3" width="17" bestFit="1" customWidth="1"/>
    <col min="4" max="4" width="13" bestFit="1" customWidth="1"/>
    <col min="5" max="5" width="15.7109375" bestFit="1" customWidth="1"/>
    <col min="6" max="6" width="18.85546875" bestFit="1" customWidth="1"/>
    <col min="7" max="7" width="15.85546875" bestFit="1" customWidth="1"/>
    <col min="8" max="8" width="13" style="4" bestFit="1" customWidth="1"/>
    <col min="9" max="9" width="12.140625" bestFit="1" customWidth="1"/>
    <col min="10" max="10" width="9.7109375" bestFit="1" customWidth="1"/>
    <col min="11" max="11" width="9.28515625" bestFit="1" customWidth="1"/>
    <col min="12" max="12" width="10.85546875" bestFit="1" customWidth="1"/>
    <col min="13" max="13" width="12" bestFit="1" customWidth="1"/>
    <col min="14" max="14" width="18.7109375" bestFit="1" customWidth="1"/>
  </cols>
  <sheetData>
    <row r="1" spans="1:15" x14ac:dyDescent="0.25">
      <c r="A1" t="s">
        <v>6</v>
      </c>
      <c r="B1" t="s">
        <v>8</v>
      </c>
      <c r="C1" t="s">
        <v>9</v>
      </c>
      <c r="D1" t="s">
        <v>13</v>
      </c>
      <c r="F1" s="3" t="s">
        <v>14</v>
      </c>
      <c r="G1" t="s">
        <v>15</v>
      </c>
      <c r="H1" s="4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5" x14ac:dyDescent="0.25">
      <c r="A2" t="s">
        <v>25</v>
      </c>
      <c r="B2" s="5">
        <v>9213293</v>
      </c>
      <c r="C2" t="s">
        <v>23</v>
      </c>
      <c r="D2" t="s">
        <v>31</v>
      </c>
      <c r="E2" t="str">
        <f>CONCATENATE(D2,2)</f>
        <v>M0005111272</v>
      </c>
      <c r="F2" s="3" t="s">
        <v>32</v>
      </c>
      <c r="G2" t="s">
        <v>33</v>
      </c>
      <c r="H2" s="4">
        <v>46113</v>
      </c>
      <c r="I2" t="s">
        <v>0</v>
      </c>
      <c r="J2" t="s">
        <v>34</v>
      </c>
      <c r="K2" t="s">
        <v>35</v>
      </c>
      <c r="L2" t="s">
        <v>36</v>
      </c>
      <c r="M2">
        <v>260.24</v>
      </c>
      <c r="N2" t="s">
        <v>59</v>
      </c>
      <c r="O2" t="s">
        <v>61</v>
      </c>
    </row>
    <row r="3" spans="1:15" s="6" customFormat="1" x14ac:dyDescent="0.25">
      <c r="A3" s="6" t="s">
        <v>25</v>
      </c>
      <c r="B3" s="6">
        <v>20411454</v>
      </c>
      <c r="C3" s="6" t="s">
        <v>62</v>
      </c>
      <c r="D3" s="6" t="s">
        <v>31</v>
      </c>
      <c r="E3" s="6" t="str">
        <f>CONCATENATE(D3,"OVR")</f>
        <v>M000511127OVR</v>
      </c>
      <c r="F3" s="7" t="s">
        <v>32</v>
      </c>
      <c r="G3" s="6" t="s">
        <v>33</v>
      </c>
      <c r="H3" s="8">
        <v>46023</v>
      </c>
      <c r="I3" s="9">
        <v>46112</v>
      </c>
      <c r="J3" s="6" t="s">
        <v>38</v>
      </c>
      <c r="K3" s="6" t="s">
        <v>35</v>
      </c>
      <c r="L3" s="6" t="s">
        <v>39</v>
      </c>
      <c r="M3" s="6">
        <v>200</v>
      </c>
      <c r="N3" s="6" t="s">
        <v>60</v>
      </c>
    </row>
    <row r="4" spans="1:15" s="6" customFormat="1" x14ac:dyDescent="0.25">
      <c r="A4" s="6" t="s">
        <v>25</v>
      </c>
      <c r="B4" s="6">
        <v>20411454</v>
      </c>
      <c r="C4" s="6" t="s">
        <v>62</v>
      </c>
      <c r="D4" s="6" t="s">
        <v>46</v>
      </c>
      <c r="E4" s="6" t="str">
        <f t="shared" ref="E4:E6" si="0">CONCATENATE(D4,"OVR")</f>
        <v>1195976OVR</v>
      </c>
      <c r="F4" s="7" t="s">
        <v>47</v>
      </c>
      <c r="G4" s="6" t="s">
        <v>48</v>
      </c>
      <c r="H4" s="8">
        <v>46054</v>
      </c>
      <c r="I4" s="9">
        <v>46112</v>
      </c>
      <c r="J4" s="6" t="s">
        <v>34</v>
      </c>
      <c r="K4" s="6" t="s">
        <v>35</v>
      </c>
      <c r="L4" s="6" t="s">
        <v>39</v>
      </c>
      <c r="M4" s="6">
        <v>-200</v>
      </c>
      <c r="N4" s="6" t="s">
        <v>60</v>
      </c>
    </row>
    <row r="5" spans="1:15" s="6" customFormat="1" x14ac:dyDescent="0.25">
      <c r="A5" s="6" t="s">
        <v>25</v>
      </c>
      <c r="B5" s="6">
        <v>20411454</v>
      </c>
      <c r="C5" s="6" t="s">
        <v>62</v>
      </c>
      <c r="D5" s="6" t="s">
        <v>53</v>
      </c>
      <c r="E5" s="6" t="str">
        <f t="shared" si="0"/>
        <v>M000551644OVR</v>
      </c>
      <c r="F5" s="7" t="s">
        <v>54</v>
      </c>
      <c r="G5" s="6" t="s">
        <v>55</v>
      </c>
      <c r="H5" s="8">
        <v>46113</v>
      </c>
      <c r="I5" s="6" t="s">
        <v>0</v>
      </c>
      <c r="J5" s="6" t="s">
        <v>34</v>
      </c>
      <c r="K5" s="6" t="s">
        <v>35</v>
      </c>
      <c r="L5" s="6" t="s">
        <v>39</v>
      </c>
      <c r="M5" s="6">
        <v>200</v>
      </c>
      <c r="N5" s="6" t="s">
        <v>60</v>
      </c>
    </row>
    <row r="6" spans="1:15" s="6" customFormat="1" x14ac:dyDescent="0.25">
      <c r="A6" s="6" t="s">
        <v>25</v>
      </c>
      <c r="B6" s="6">
        <v>20411454</v>
      </c>
      <c r="C6" s="6" t="s">
        <v>62</v>
      </c>
      <c r="D6" s="6" t="s">
        <v>56</v>
      </c>
      <c r="E6" s="6" t="str">
        <f t="shared" si="0"/>
        <v>M000551799OVR</v>
      </c>
      <c r="F6" s="7" t="s">
        <v>57</v>
      </c>
      <c r="G6" s="6" t="s">
        <v>58</v>
      </c>
      <c r="H6" s="8">
        <v>46113</v>
      </c>
      <c r="I6" s="6" t="s">
        <v>0</v>
      </c>
      <c r="J6" s="6" t="s">
        <v>34</v>
      </c>
      <c r="K6" s="6" t="s">
        <v>35</v>
      </c>
      <c r="L6" s="6" t="s">
        <v>39</v>
      </c>
      <c r="M6" s="6">
        <v>200</v>
      </c>
      <c r="N6" s="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2026-04-24T06:43:33Z</dcterms:created>
  <dcterms:modified xsi:type="dcterms:W3CDTF">2026-04-24T19:29:49Z</dcterms:modified>
</cp:coreProperties>
</file>