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9-24-25" sheetId="1" r:id="rId5"/>
    <sheet state="visible" name="09-10-25" sheetId="2" r:id="rId6"/>
    <sheet state="visible" name="09-03-25" sheetId="3" r:id="rId7"/>
    <sheet state="visible" name="08-27-25" sheetId="4" r:id="rId8"/>
    <sheet state="visible" name="08-20-25" sheetId="5" r:id="rId9"/>
    <sheet state="visible" name="08-13-25" sheetId="6" r:id="rId10"/>
    <sheet state="visible" name="08-06-25" sheetId="7" r:id="rId11"/>
    <sheet state="visible" name="07-30-25" sheetId="8" r:id="rId12"/>
    <sheet state="visible" name="07-23-25" sheetId="9" r:id="rId13"/>
    <sheet state="visible" name="7-16-25" sheetId="10" r:id="rId14"/>
    <sheet state="visible" name="07-09-25" sheetId="11" r:id="rId15"/>
    <sheet state="visible" name="07-02-25" sheetId="12" r:id="rId16"/>
    <sheet state="visible" name="06-25-25" sheetId="13" r:id="rId17"/>
    <sheet state="visible" name="06-18-25" sheetId="14" r:id="rId18"/>
    <sheet state="visible" name="06-11-25" sheetId="15" r:id="rId19"/>
    <sheet state="visible" name="06-04-25" sheetId="16" r:id="rId20"/>
    <sheet state="visible" name="05-28-25" sheetId="17" r:id="rId21"/>
    <sheet state="visible" name="5-21-25" sheetId="18" r:id="rId22"/>
    <sheet state="visible" name="05-14-25" sheetId="19" r:id="rId23"/>
    <sheet state="visible" name="5-7-25" sheetId="20" r:id="rId24"/>
    <sheet state="visible" name="4-30-25" sheetId="21" r:id="rId25"/>
    <sheet state="visible" name="4-23-25" sheetId="22" r:id="rId26"/>
    <sheet state="visible" name="04-16-25" sheetId="23" r:id="rId27"/>
    <sheet state="visible" name="04-09-25" sheetId="24" r:id="rId28"/>
    <sheet state="visible" name="04-02-25" sheetId="25" r:id="rId29"/>
    <sheet state="visible" name="03-26-25" sheetId="26" r:id="rId30"/>
    <sheet state="visible" name="03-19-25" sheetId="27" r:id="rId31"/>
    <sheet state="visible" name="03-12-25" sheetId="28" r:id="rId32"/>
    <sheet state="visible" name="03-05-25" sheetId="29" r:id="rId33"/>
    <sheet state="visible" name="2-26-25" sheetId="30" r:id="rId34"/>
  </sheets>
  <definedNames>
    <definedName hidden="1" localSheetId="21" name="_xlnm._FilterDatabase">'4-23-25'!$A$1:$B$34</definedName>
  </definedNames>
  <calcPr/>
</workbook>
</file>

<file path=xl/sharedStrings.xml><?xml version="1.0" encoding="utf-8"?>
<sst xmlns="http://schemas.openxmlformats.org/spreadsheetml/2006/main" count="957" uniqueCount="775">
  <si>
    <t>Carrier</t>
  </si>
  <si>
    <t>Amount</t>
  </si>
  <si>
    <t>Aetna MAPD 08/26/25</t>
  </si>
  <si>
    <t>Aetna MAPD 08/19/25</t>
  </si>
  <si>
    <t>Aetna MAPD 09/03/25</t>
  </si>
  <si>
    <t>Aetna Med Supp 08/16/25 to 08/20/25</t>
  </si>
  <si>
    <t>Aetna Med Supp 08/30/25 to 09/03/25</t>
  </si>
  <si>
    <t>HFG 08/15/25 to 08/20/25</t>
  </si>
  <si>
    <t>Aetna Med Supp 08/23/25 to 08/27/25</t>
  </si>
  <si>
    <t>Devoted Health 08/29/25</t>
  </si>
  <si>
    <t>Humana  08/20/25</t>
  </si>
  <si>
    <t>Elevance ACA 07/10/25 to 08/07/25 Box</t>
  </si>
  <si>
    <t>HFG Bonus 09/01/25</t>
  </si>
  <si>
    <t>Kaiser Permanente 08/19/25</t>
  </si>
  <si>
    <t>Elevance OVR 07/10/25 to 08/07/25 Box</t>
  </si>
  <si>
    <t>HFG 09/03/25</t>
  </si>
  <si>
    <t>Oscar 08/20/25 carrier site</t>
  </si>
  <si>
    <t>HFG 08/27/25</t>
  </si>
  <si>
    <t>Humana 09/03/25</t>
  </si>
  <si>
    <t>UHC SG 08/05/25</t>
  </si>
  <si>
    <t>Highmark MAPD 08/25/25 GS</t>
  </si>
  <si>
    <t>Cigna  PDP 08/09/25 to 08/23/25</t>
  </si>
  <si>
    <t>Medica OVR 07/31/25 Box</t>
  </si>
  <si>
    <t>Humana 08/27/25</t>
  </si>
  <si>
    <t>BCBS MT July</t>
  </si>
  <si>
    <t>John Hopkins 08/27/25 GS</t>
  </si>
  <si>
    <t>IBC SRG 09/01/25</t>
  </si>
  <si>
    <t>BCBS NM July</t>
  </si>
  <si>
    <t>Cigna MAPD 08/27/25 to 08/29/25</t>
  </si>
  <si>
    <t>Lifesecure 08/22/25</t>
  </si>
  <si>
    <t>BCBS OK July</t>
  </si>
  <si>
    <t>Cigna PDP 08/09/25 to 08/23/25</t>
  </si>
  <si>
    <t>Uhone 08/14/25 to 08/21/25</t>
  </si>
  <si>
    <t>BCBS TX and SG July</t>
  </si>
  <si>
    <t>IBC ACA 08/31/25 Agency bloc</t>
  </si>
  <si>
    <t>Ambetter Aug &amp; Sept</t>
  </si>
  <si>
    <t>Sunlife 08/15/25</t>
  </si>
  <si>
    <t>IBC OVR 08/31/25 Agency bloc</t>
  </si>
  <si>
    <t>Cigna ACA 08/22/25 agent pipeline</t>
  </si>
  <si>
    <t>Ladder Life 08/14/25</t>
  </si>
  <si>
    <t>NCD 08/17/25 to 08/23/25</t>
  </si>
  <si>
    <t>Cigna ACA 08/23/25</t>
  </si>
  <si>
    <t>MOO 08/21/25</t>
  </si>
  <si>
    <t>Corebridge 08/15/25 to 08/22/25</t>
  </si>
  <si>
    <t>Physicians Mutual 08/16/25</t>
  </si>
  <si>
    <t>BCBS IL July</t>
  </si>
  <si>
    <t>GTL Weekly 08/20/25</t>
  </si>
  <si>
    <t>BCBS IL Small Group July</t>
  </si>
  <si>
    <t>Amerihealth ACA 08/22/25 Ritter</t>
  </si>
  <si>
    <t>Pacific Life 08/08/25 to 08/22/25</t>
  </si>
  <si>
    <t>Pivot Health 08/01/25 to 08/25/25</t>
  </si>
  <si>
    <t>Cigna MAPD 08/22/25</t>
  </si>
  <si>
    <t>Cigna Med Supp 08/16/25 to 08/23/25</t>
  </si>
  <si>
    <t>Surebridge 08/19/25 to 08/25/25</t>
  </si>
  <si>
    <t>Medica ACA 08/29/25 agent pipeline</t>
  </si>
  <si>
    <t>Highmark MAPD 08/22/25 Ritter</t>
  </si>
  <si>
    <t>Heartland National 08/29/25</t>
  </si>
  <si>
    <t>Oscar 08/29/25 agent pipeline</t>
  </si>
  <si>
    <t>IBC SRG 08/25/25</t>
  </si>
  <si>
    <t>Aetna ACA 08/22/25</t>
  </si>
  <si>
    <t>Health Alliance 08/29/25 Agent pipeline</t>
  </si>
  <si>
    <t>Aetna OVR 09/05/25 Agent pipeline</t>
  </si>
  <si>
    <t>IBC MAPD 08/22/25 Ritter</t>
  </si>
  <si>
    <t>Oscar 09/05/25 Agent Pipeline</t>
  </si>
  <si>
    <t>Lifesecure 08/15/25</t>
  </si>
  <si>
    <t>NCD 08/10/25 to 08/16/25</t>
  </si>
  <si>
    <t>Aetna MAPD 08/12/25</t>
  </si>
  <si>
    <t>Zing 08/22/25</t>
  </si>
  <si>
    <t>Aetna Med Supp 08/06/25 to 08/13/25</t>
  </si>
  <si>
    <t>UHC OVR 08/22/25 agent pipeline</t>
  </si>
  <si>
    <t>Kaiseer GA 07/31/25</t>
  </si>
  <si>
    <t>Aetna OVR 08/15/25 agent pipeline</t>
  </si>
  <si>
    <t>Caresource 08/01/25</t>
  </si>
  <si>
    <t>Allstate NB 08/11/25</t>
  </si>
  <si>
    <t>Anthem ACA 07/31/25</t>
  </si>
  <si>
    <t>Allstate RN 07/31/25</t>
  </si>
  <si>
    <t>Assurity 08/15/25</t>
  </si>
  <si>
    <t>ANthem MAPD 07/24/25 to 08/07/25</t>
  </si>
  <si>
    <t>Capital BC 08/15/25 Ritter</t>
  </si>
  <si>
    <t>Mountain Health 08/22/25</t>
  </si>
  <si>
    <t>Carefirst ACA 08/15/25 Ritter</t>
  </si>
  <si>
    <t>Priority Health 07/31/25</t>
  </si>
  <si>
    <t>Caresource 08/15/25 Ritter</t>
  </si>
  <si>
    <t>Select Health 08/01/25</t>
  </si>
  <si>
    <t>Cigna ACA 08/09/25</t>
  </si>
  <si>
    <t>Cigna MAPD 08/15/25</t>
  </si>
  <si>
    <t>Surebridge 08/11/25 to 08/18/25</t>
  </si>
  <si>
    <t>UHC Jarvis 07/27/25 to 08/24/25</t>
  </si>
  <si>
    <t>CIgna Med Supp 08/08/25 to 08/15/25</t>
  </si>
  <si>
    <t>Assurity 08/22/25</t>
  </si>
  <si>
    <t>Clover August</t>
  </si>
  <si>
    <t>Corebridge 08/08/25</t>
  </si>
  <si>
    <t>Allstate NB 08/18/25</t>
  </si>
  <si>
    <t>Geisinger 08/15/25 Ritter</t>
  </si>
  <si>
    <t>GTL Weekly 08/13/25</t>
  </si>
  <si>
    <t>Heartland 07/31/25</t>
  </si>
  <si>
    <t>HFG 08/13/25</t>
  </si>
  <si>
    <t>Highmark ACA 08/15/25 Ritter</t>
  </si>
  <si>
    <t>Humana 08/13/25</t>
  </si>
  <si>
    <t>IBC SRG 08/11/25</t>
  </si>
  <si>
    <t>Kaiser CO 07/31/25</t>
  </si>
  <si>
    <t>Kaiser Mid Atlantic 07/31/25</t>
  </si>
  <si>
    <t>Lifesecure 08/08/25</t>
  </si>
  <si>
    <t>MOO 08/14/25</t>
  </si>
  <si>
    <t>NCD 08/03/25 to 08/09/25</t>
  </si>
  <si>
    <t>Oscar OVR 07/28/25 Box</t>
  </si>
  <si>
    <t>Physicians Mutual 08/09/25</t>
  </si>
  <si>
    <t>UHC ACA 08/15/25 agency bloc</t>
  </si>
  <si>
    <t>UHC OVR 08/15/25 agency bloc</t>
  </si>
  <si>
    <t>UHC OVR 08/15/25 agent pipeline</t>
  </si>
  <si>
    <t>Uhone 08/07/25</t>
  </si>
  <si>
    <t>Wellcare 08/15/25</t>
  </si>
  <si>
    <t>Zing  08/08/25</t>
  </si>
  <si>
    <t>Aetna MAPD 08/05/25</t>
  </si>
  <si>
    <t>Aetna Med Supp 07/30/25 to 08/02/25</t>
  </si>
  <si>
    <t>Aetna OVR 08/01/25 to 08/08/25 Agent Pipeline</t>
  </si>
  <si>
    <t>Allstate NB 08/04/25</t>
  </si>
  <si>
    <t>-</t>
  </si>
  <si>
    <t>Assurity 08/01/25</t>
  </si>
  <si>
    <t>BCBS AZ August</t>
  </si>
  <si>
    <t>Christus 08/08/25 SRG</t>
  </si>
  <si>
    <t>Cigna ACA 07/22/25</t>
  </si>
  <si>
    <t>Cigna ACA 08/08/25 agent pipeline</t>
  </si>
  <si>
    <t>Cigna MAPD 08/08/25</t>
  </si>
  <si>
    <t>Cigna Med Supp 08/02/25 to 08/08/25</t>
  </si>
  <si>
    <t>Clearwater June</t>
  </si>
  <si>
    <t>Corebridge 07/26/25 to 08/01/25</t>
  </si>
  <si>
    <t>GTL Monthly 07/31/25</t>
  </si>
  <si>
    <t>GTL Weekly 08/06/25</t>
  </si>
  <si>
    <t>HFG 08/06/25</t>
  </si>
  <si>
    <t>Highmark MAPD 08/08/25 Ritter</t>
  </si>
  <si>
    <t>Horizon ACA 08/08/25 Ritter</t>
  </si>
  <si>
    <t>Humana 08/06/25</t>
  </si>
  <si>
    <t>IBC 08/08/25 Ritter</t>
  </si>
  <si>
    <t>IBC SRG 08/04/25</t>
  </si>
  <si>
    <t>Lifesecure 08/01/25</t>
  </si>
  <si>
    <t>Molina OVR 07/25/25 Box</t>
  </si>
  <si>
    <t>NCD 07/27/25 to 08/02/25</t>
  </si>
  <si>
    <t>Oscar ACA 08/01/25 Agent Pipeline</t>
  </si>
  <si>
    <t>Physicians Mutual 08/02/25</t>
  </si>
  <si>
    <t>Pivot Health 23-25</t>
  </si>
  <si>
    <t>Sunlife 07/31/25</t>
  </si>
  <si>
    <t>Transamerica EA 07/31/25</t>
  </si>
  <si>
    <t>UHC OVR 08/08/25 Agent Pipeline</t>
  </si>
  <si>
    <t>UHC Small Group 07/22/25</t>
  </si>
  <si>
    <t>Aetna ACA 07/25/25</t>
  </si>
  <si>
    <t>Aetna MAPD 07/29/25</t>
  </si>
  <si>
    <t>Aetna MedSupp 07/23/25 to 07/26/25</t>
  </si>
  <si>
    <t>Alterwood 08/01/25 Ritter</t>
  </si>
  <si>
    <t>Ambetter 06/30/25</t>
  </si>
  <si>
    <t>Assurity 7-30-25</t>
  </si>
  <si>
    <t>BCBS AZ July</t>
  </si>
  <si>
    <t>Cigna MAPD 08/01/25</t>
  </si>
  <si>
    <t>Cigna Med Supp 07/29/25 to 08/01/25</t>
  </si>
  <si>
    <t>Corebridge 07/25/25</t>
  </si>
  <si>
    <t>Geisinger MAPD 08/01/25 Ritter</t>
  </si>
  <si>
    <t>GTL Weekly 07/30/25</t>
  </si>
  <si>
    <t>GWL 06/02/25 to 07/31/25</t>
  </si>
  <si>
    <t>HFG 07/30/25</t>
  </si>
  <si>
    <t>Humana 07/30/25</t>
  </si>
  <si>
    <t>IBC MAPD 08/01/25 Ritter</t>
  </si>
  <si>
    <t>IBC SRG 07/28/25</t>
  </si>
  <si>
    <t>John Hopkins 07/30/25 GS</t>
  </si>
  <si>
    <t>John Hopkins 08/01/25 Ritter</t>
  </si>
  <si>
    <t>lifesecure 7/25/25</t>
  </si>
  <si>
    <t>Molina 07/25/25 Box</t>
  </si>
  <si>
    <t>Molina 08/01/25 Ritter</t>
  </si>
  <si>
    <t>NCD 07/20/25 to 07/26/25</t>
  </si>
  <si>
    <t>Oscar ACA 07/22/25 Website</t>
  </si>
  <si>
    <t>Pacific Life 07/25/25</t>
  </si>
  <si>
    <t>Physicians Mutual 07/25/25</t>
  </si>
  <si>
    <t>Uhone 07/07/25</t>
  </si>
  <si>
    <t>UPMC 08/01/25 Ritter</t>
  </si>
  <si>
    <t>UPMC ACA July</t>
  </si>
  <si>
    <t>Wellcare 08/01/25</t>
  </si>
  <si>
    <t>Zing HRA 07/31/25</t>
  </si>
  <si>
    <t>Aetna MAPD 07/22/25</t>
  </si>
  <si>
    <t>Aetna Med Supp 07/16/25 to 07/19/25</t>
  </si>
  <si>
    <t>Elevance OVR 06/12/25 to 07/03/25 Box</t>
  </si>
  <si>
    <t>HFG 07/16/25 to 07/23/25</t>
  </si>
  <si>
    <t>Highmark MAPD 07/22/25 GS</t>
  </si>
  <si>
    <t>Kaiser Permanente 07/18/25</t>
  </si>
  <si>
    <t>BCBS IL June</t>
  </si>
  <si>
    <t>BCBS IL Group June</t>
  </si>
  <si>
    <t>Aetna MAPD 07/15/25</t>
  </si>
  <si>
    <t>Aetna ACA 07/18/25</t>
  </si>
  <si>
    <t>Medica OVR 06/30/25 Box</t>
  </si>
  <si>
    <t>Aetna Med Supp 07/12/25</t>
  </si>
  <si>
    <t>Anthem ACA 06/30/25</t>
  </si>
  <si>
    <t>Devoted Health 07/11/25</t>
  </si>
  <si>
    <t>Anthem MAPD 07/03/25 to 07/17/25</t>
  </si>
  <si>
    <t>Mountain Health 07/22/25</t>
  </si>
  <si>
    <t>Surebridge 07/07/25 to 07/21/25</t>
  </si>
  <si>
    <t>Elevance ACA 06/12/25 to 07/03/25 Box</t>
  </si>
  <si>
    <t>wellcare 7-25-25</t>
  </si>
  <si>
    <t>HFG 07/15/25</t>
  </si>
  <si>
    <t>Lifesecure 7-18-25</t>
  </si>
  <si>
    <t>John Hopkins GS 07/16/25</t>
  </si>
  <si>
    <t>Assurity 7-25-25</t>
  </si>
  <si>
    <t>Molina OVR 06/25/25 Box</t>
  </si>
  <si>
    <t>Cigna ACA 07/25/25 Agent pipeline</t>
  </si>
  <si>
    <t>Oscar OVR 06/27/25 Box</t>
  </si>
  <si>
    <t>Devoted Health 07/25/25</t>
  </si>
  <si>
    <t>CareSource 07/11/25</t>
  </si>
  <si>
    <t>Humana 07/23/25</t>
  </si>
  <si>
    <t>BCBS of tn july</t>
  </si>
  <si>
    <t>Allstate NB 0721/25</t>
  </si>
  <si>
    <t>Humana 07/16/25</t>
  </si>
  <si>
    <t>Amerihealth 07/25/25 Ritter</t>
  </si>
  <si>
    <t>Heartland National 06/30/25</t>
  </si>
  <si>
    <t>Cigna MAPD 07/23/25</t>
  </si>
  <si>
    <t>Priority Health 06/30/25</t>
  </si>
  <si>
    <t>Cigna Med Supp 07/19/25 to 07/28/25</t>
  </si>
  <si>
    <t>Sunlife 06/30/25 to 07/15/25</t>
  </si>
  <si>
    <t>Cigna PDP 07/08/25 to 07/22/25</t>
  </si>
  <si>
    <t>UHC Jarvis  06/28/25 to 07/13/25</t>
  </si>
  <si>
    <t>Highmark ACA 07/25/25 Ritter</t>
  </si>
  <si>
    <t>Medica 07/18/25 Agent pipeline</t>
  </si>
  <si>
    <t>IBC MAPD 07/25/25 Ritter</t>
  </si>
  <si>
    <t>Cigna ACA 07/18/25 agent pipeline</t>
  </si>
  <si>
    <t>IBC ACA 07/31/25 Agency bloc</t>
  </si>
  <si>
    <t>Cigna Bonus 07/18/25 agent pipeline</t>
  </si>
  <si>
    <t>IBC ACA OVR 07/31/25 Agency bloc</t>
  </si>
  <si>
    <t>On Hold</t>
  </si>
  <si>
    <t>Jefferson 07/25/25 Ritter</t>
  </si>
  <si>
    <t>Highmark MAPD 07/18/25 Ritter</t>
  </si>
  <si>
    <t>Zing 07/25/25</t>
  </si>
  <si>
    <t>Geisinger ACA 07/18/25 Ritter</t>
  </si>
  <si>
    <t>Corebridge 07/11/25 to 07/18/25</t>
  </si>
  <si>
    <t>Carefirst ACA 07/18/25 Ritter</t>
  </si>
  <si>
    <t>Pacific Life 07/11/25</t>
  </si>
  <si>
    <t>Carefirst MAPD 07/18/25 Ritter</t>
  </si>
  <si>
    <t>UPMC MAPD 07/25/25</t>
  </si>
  <si>
    <t>CareSource 07/18/25 Ritter</t>
  </si>
  <si>
    <t>BCBS of MT June</t>
  </si>
  <si>
    <t>BCBS of OK June</t>
  </si>
  <si>
    <t>UPMC MAPD OVR 07/25/25</t>
  </si>
  <si>
    <t>BCBS of NM June</t>
  </si>
  <si>
    <t>Health Alliance 07/25/25 agent pipeline</t>
  </si>
  <si>
    <t>BCBS of TX June</t>
  </si>
  <si>
    <t>Capital Blue Cross 07/25/25 agent pipeline</t>
  </si>
  <si>
    <t>Allstate NB 07/14/25</t>
  </si>
  <si>
    <t>Capital BC 07/25/25 Ritter</t>
  </si>
  <si>
    <t>Cigna Med Supp 07/12/25 to 07/18/25</t>
  </si>
  <si>
    <t>IBC SRG 07/21/25</t>
  </si>
  <si>
    <t>Select Health 0701/25</t>
  </si>
  <si>
    <t>Aetna ACA 06/27/25</t>
  </si>
  <si>
    <t>Aetna MAPD 07/08/25</t>
  </si>
  <si>
    <t>Aetna med supp FPS</t>
  </si>
  <si>
    <t>Aetna mesupp 7-9-25</t>
  </si>
  <si>
    <t>Allstate NB 07/07/25</t>
  </si>
  <si>
    <t>Allstate RN 06/30/25</t>
  </si>
  <si>
    <t>Christus 07/11/25 Agent pipeline</t>
  </si>
  <si>
    <t>Cigna ACA 07/08/25</t>
  </si>
  <si>
    <t>Cigna med supp 07/08/25 to 07/11/25</t>
  </si>
  <si>
    <t>Devoted Health 07/04/25</t>
  </si>
  <si>
    <t>Elevance policies on hold</t>
  </si>
  <si>
    <t>HFG 07/09/25</t>
  </si>
  <si>
    <t>Highmark ACA 07/11/25 Ritter</t>
  </si>
  <si>
    <t>Highmark MAPD 07/09/25 GS</t>
  </si>
  <si>
    <t>Humana 07/09/25</t>
  </si>
  <si>
    <t>IBC SRG (Current Rollover)</t>
  </si>
  <si>
    <t>Kaiser Mid Atlantic 06/30/25</t>
  </si>
  <si>
    <t>Kaiser of CO 06/30/25</t>
  </si>
  <si>
    <t>Kaiser of GA 06/30/25</t>
  </si>
  <si>
    <t>Lifesecure 07/11/25</t>
  </si>
  <si>
    <t>Molina 06/25/25 Box</t>
  </si>
  <si>
    <t>UHC OVR 07/11/25 Agent pipeline</t>
  </si>
  <si>
    <t>UHC SG 06/17/25 to 07/08/25</t>
  </si>
  <si>
    <t>Uhone 07/10/25</t>
  </si>
  <si>
    <t>Zing 06/20/25 to 07/11/25</t>
  </si>
  <si>
    <t>Zing HRA 06/27/25</t>
  </si>
  <si>
    <t>Aetna MAPD 07/01/25</t>
  </si>
  <si>
    <t>Cigna ACA Box 06/12/25</t>
  </si>
  <si>
    <t>Cigna OVR Box 06/12/25</t>
  </si>
  <si>
    <t>Ambetter 05/31/25</t>
  </si>
  <si>
    <t>Cigna ACA 06/21/25</t>
  </si>
  <si>
    <t>Clearwater Mar to May</t>
  </si>
  <si>
    <t>Aetna OVR Box May</t>
  </si>
  <si>
    <t>IBC SRG 06/30/25</t>
  </si>
  <si>
    <t>HFG 07/02/25</t>
  </si>
  <si>
    <t>Humana 07/02/25</t>
  </si>
  <si>
    <t>Dearborn Group 06/30/25</t>
  </si>
  <si>
    <t>Alterwood 07/03/25 Ritter</t>
  </si>
  <si>
    <t>Amerihealth 07/03/25 Ritter</t>
  </si>
  <si>
    <t>Highmarl MAPD 07/03/25 Ritter</t>
  </si>
  <si>
    <t>Horizon 07/03/25 Ritter</t>
  </si>
  <si>
    <t>John Hopkins MAPD 07/03/25 Ritter</t>
  </si>
  <si>
    <t>Molina 07/03/25 Ritter</t>
  </si>
  <si>
    <t>UPMC 07/03/25 Ritter</t>
  </si>
  <si>
    <t xml:space="preserve">UPMC may june ACA </t>
  </si>
  <si>
    <t>Allstate NB 6-30-25</t>
  </si>
  <si>
    <t>Cigna mapd 6-27-25 to 7-4-25</t>
  </si>
  <si>
    <t>Lifesecure 6-27-25 to 7-3-25</t>
  </si>
  <si>
    <t>GTL Weekly 07/02/25</t>
  </si>
  <si>
    <t>Cigna Med Supp 06/24/25 to 07/07/25</t>
  </si>
  <si>
    <t>Transamerica EA 06/30/25</t>
  </si>
  <si>
    <t>GTL Monthly 06/30/25</t>
  </si>
  <si>
    <t>Capital BC 07/04/25</t>
  </si>
  <si>
    <t>IBC SRG 07/07/25</t>
  </si>
  <si>
    <t>Oscar Agnt pipeline 07/07/25</t>
  </si>
  <si>
    <t>Aetna OVR SRG 07/07/25</t>
  </si>
  <si>
    <t>Christus OVR SRG 07/07/25</t>
  </si>
  <si>
    <t>Aetna Med Supp 07/05/25</t>
  </si>
  <si>
    <t>UHC 06/15/25 agencybloc</t>
  </si>
  <si>
    <t>UHC 07/15/25 agencybloc</t>
  </si>
  <si>
    <t>UHC OVR 07/15/25 agency bloc</t>
  </si>
  <si>
    <t>Corebridge 06/27/25 to 07/04/25</t>
  </si>
  <si>
    <t>Pacific life 06/27/25 to 07/03/25</t>
  </si>
  <si>
    <t>BCBS of AZ May and June</t>
  </si>
  <si>
    <t>NCD 06/29/25 to 07/05/25</t>
  </si>
  <si>
    <t>Aetna MAPD 06/24/25</t>
  </si>
  <si>
    <t>Elevance ACA Box 05/15/25 to 06/05/25</t>
  </si>
  <si>
    <t>Elevance OVVR Box 05/15/25 to 06/05/25</t>
  </si>
  <si>
    <t>Highmark MAPD GS 06/23/25</t>
  </si>
  <si>
    <t>Kaiser Permanente GS 06/23/25</t>
  </si>
  <si>
    <t>Oscar OVR Box 05/30/25</t>
  </si>
  <si>
    <t>IBC SRG 06/23/25</t>
  </si>
  <si>
    <t>IBC ACA Agencybloc 06/30/25</t>
  </si>
  <si>
    <t>IBC OVR Agencybloc 06/30/25</t>
  </si>
  <si>
    <t>Oneshare 06/06/25 to 06/27/25</t>
  </si>
  <si>
    <t>Aetna ACA 06/20/25</t>
  </si>
  <si>
    <t>Medica OVR Box 05/30/25</t>
  </si>
  <si>
    <t>Oscar site 6-24-25</t>
  </si>
  <si>
    <t>Mountain Health june 2025</t>
  </si>
  <si>
    <t>BCBS of IL ACA &amp; Small Group May 2025</t>
  </si>
  <si>
    <t>corebridge 6-20-25</t>
  </si>
  <si>
    <t>wellcare 6-27-25</t>
  </si>
  <si>
    <t>Cigna MAPD 6-25-25</t>
  </si>
  <si>
    <t>Lifesecure 6-20-25</t>
  </si>
  <si>
    <t>GWL 5-31-25</t>
  </si>
  <si>
    <t>Medica SRG 06/27/25</t>
  </si>
  <si>
    <t>Health Alliance 06/27/25</t>
  </si>
  <si>
    <t>NCD 06/15/25 to 06/21/25</t>
  </si>
  <si>
    <t>Carefirst MAPD 06/27/25 Ritter</t>
  </si>
  <si>
    <t>Geisinger MAPD 06/27/25 Ritter</t>
  </si>
  <si>
    <t>Highmark ACA 06/27/25 Ritter</t>
  </si>
  <si>
    <t>Cigna Med supp policies on hold</t>
  </si>
  <si>
    <t>Aetna MAPD 06/17/25</t>
  </si>
  <si>
    <t>Devoted Health 06/27/25</t>
  </si>
  <si>
    <t>Cigna ACA Box 05/27/25</t>
  </si>
  <si>
    <t>HFG 06/25/25</t>
  </si>
  <si>
    <t>Cigna OVR Box 05/27/25</t>
  </si>
  <si>
    <t>Humana 06/25/25</t>
  </si>
  <si>
    <t>Devoted Health 06/13/25</t>
  </si>
  <si>
    <t>Allstate NB 06/23/25</t>
  </si>
  <si>
    <t>HFG 06/18/25 to 06/15/25</t>
  </si>
  <si>
    <t>Cigna PDP 06/21/25</t>
  </si>
  <si>
    <t>Humana 06/18/25</t>
  </si>
  <si>
    <t>Pacific Life 05/30/25 to 06/20/25</t>
  </si>
  <si>
    <t>Molina ACA Box 05/23/25</t>
  </si>
  <si>
    <t>Uhone 06/12/25</t>
  </si>
  <si>
    <t>Molina OVR Box 05/23/25</t>
  </si>
  <si>
    <t>Transamerica May</t>
  </si>
  <si>
    <t>IBC SRG 06/16/25</t>
  </si>
  <si>
    <t>Aetna ACA 06/13/25</t>
  </si>
  <si>
    <t>Caresource 06/05/25</t>
  </si>
  <si>
    <t>Elevance ACA 05/31/25</t>
  </si>
  <si>
    <t>Elevance MAPD 06/05/25</t>
  </si>
  <si>
    <t>Heartland National 05/30/25</t>
  </si>
  <si>
    <t>Priority Health 05/31/25</t>
  </si>
  <si>
    <t>Select Health 06/01/25</t>
  </si>
  <si>
    <t>BCBS MT May</t>
  </si>
  <si>
    <t>BCBS NM May</t>
  </si>
  <si>
    <t>BCBS OK May</t>
  </si>
  <si>
    <t>BCBS TX May</t>
  </si>
  <si>
    <t>Sunlife 06/15/25</t>
  </si>
  <si>
    <t>Surebridge 06/10/25 to 06/16/25</t>
  </si>
  <si>
    <t>UHC Jarvis 06/15/25</t>
  </si>
  <si>
    <t>lifesecure 6-13-25</t>
  </si>
  <si>
    <t>Cigna MAPD 6-20-25</t>
  </si>
  <si>
    <t>BCBS of TN June</t>
  </si>
  <si>
    <t>Clover June</t>
  </si>
  <si>
    <t>Allstate NB 06/16/25</t>
  </si>
  <si>
    <t>Cigna Med Sup 06/12/25 to 06/23/25</t>
  </si>
  <si>
    <t>Caresource Ritter 06/20/25</t>
  </si>
  <si>
    <t>Geisinger Ritter 06/20/25</t>
  </si>
  <si>
    <t>Highmark MAPD Ritter 06/20/25</t>
  </si>
  <si>
    <t>Jefferson Ritter 06/20/25</t>
  </si>
  <si>
    <t>NCD 06/08/25 to 06/14/25</t>
  </si>
  <si>
    <t>Transamerica AV 06/21/25</t>
  </si>
  <si>
    <t>UHC OVR Agent pipeline 06/20/25</t>
  </si>
  <si>
    <t>Total</t>
  </si>
  <si>
    <t>Aetna MAPD 06/10/25</t>
  </si>
  <si>
    <t>Allstate RN 05/31/25</t>
  </si>
  <si>
    <t>Carefirst 06/10/25 Agency workspace</t>
  </si>
  <si>
    <t>Medica OVR 03/31/25 to 04/30/25</t>
  </si>
  <si>
    <t>Zing 06/06/25</t>
  </si>
  <si>
    <t>IBC SRG 06/02/25 to 06/09/25</t>
  </si>
  <si>
    <t>Surebridge 06/05/25 to 06/09/25</t>
  </si>
  <si>
    <t>HFG 06/11/25</t>
  </si>
  <si>
    <t>Cigna ACA 6-7-25</t>
  </si>
  <si>
    <t>Humana 06/11/25</t>
  </si>
  <si>
    <t>lifesecure 6-6-25</t>
  </si>
  <si>
    <t>UHC SM 06/03/25</t>
  </si>
  <si>
    <t>Corebridge 05/30/25 to 06/06/25</t>
  </si>
  <si>
    <t>Uhone 06/05/25</t>
  </si>
  <si>
    <t>Cigna MAPD 6-13-25</t>
  </si>
  <si>
    <t>Highmark ACA 06/13/25 Ritter</t>
  </si>
  <si>
    <t>IBC 06/13/25 Ritter</t>
  </si>
  <si>
    <t>UHC OVR 06/13/25 Agent Pipeline</t>
  </si>
  <si>
    <t>Kaiser CO 05/31/25</t>
  </si>
  <si>
    <t>Kaiser GA 05/31/25</t>
  </si>
  <si>
    <t>Kaiser Mid Atlantic 05/31/25</t>
  </si>
  <si>
    <t>Carefirst ACA 06/13/25 Ritter</t>
  </si>
  <si>
    <t>Christus SRG 06/13/25</t>
  </si>
  <si>
    <t>NCD 06/01/25 to 06/07/25</t>
  </si>
  <si>
    <t>Allstate NB 06/09/25</t>
  </si>
  <si>
    <t>Aetna MAPD 06/03/25</t>
  </si>
  <si>
    <t>Aetna OVR March to April from Box</t>
  </si>
  <si>
    <t>Zing HRA 05/30/25</t>
  </si>
  <si>
    <t>John Hopkins GS 05/30/25</t>
  </si>
  <si>
    <t>Wellcare 6-6-25</t>
  </si>
  <si>
    <t>sunlife 5-31-25</t>
  </si>
  <si>
    <t>Humana 6-4-25</t>
  </si>
  <si>
    <t>Lifesecure 05/30/25</t>
  </si>
  <si>
    <t>GTL 05/30/25 Monthly</t>
  </si>
  <si>
    <t>Highmark MAPD 06/06/25 Ritter</t>
  </si>
  <si>
    <t>Highmark ACA 06/06/25 Ritter</t>
  </si>
  <si>
    <t>Horizon 06/06/25 Ritter</t>
  </si>
  <si>
    <t>Molina 06/06/25 Ritter</t>
  </si>
  <si>
    <t>HFG 06/04/25</t>
  </si>
  <si>
    <t>Health Alliance ACA 06/06/25</t>
  </si>
  <si>
    <t>Health Alliance MAPD 06/06/25</t>
  </si>
  <si>
    <t>Cigna MAPD 6-6-25</t>
  </si>
  <si>
    <t>Allstate NB 06/06/25</t>
  </si>
  <si>
    <t>Cigna Med Supp 06/04/25 to 06/11/25</t>
  </si>
  <si>
    <t>Cigna PDP 05/20/25 to 06/07/25</t>
  </si>
  <si>
    <t>Aetna MAPD 05/28/25</t>
  </si>
  <si>
    <t>UHC OVR agent pipeline</t>
  </si>
  <si>
    <t>Allstate NB 05/28/25</t>
  </si>
  <si>
    <t>Alterwood 05/30/25 Ritter</t>
  </si>
  <si>
    <t>Amerihealth 05/30/25 Ritter</t>
  </si>
  <si>
    <t>BCBS IL May</t>
  </si>
  <si>
    <t>BCBS IL SM May</t>
  </si>
  <si>
    <t>Carefirst 05/30/25 Ritter</t>
  </si>
  <si>
    <t>Cigna ACA 05/08/25 Box</t>
  </si>
  <si>
    <t>Cigna MAPD 5-28-25</t>
  </si>
  <si>
    <t>Cigna medsupp 5-26-25 to 6-3-25</t>
  </si>
  <si>
    <t>Cigna OVR 05/08/25 Box</t>
  </si>
  <si>
    <t>Corebridge 5-16-25 to 5-23-25</t>
  </si>
  <si>
    <t>Dearborn group</t>
  </si>
  <si>
    <t>Devoted Health 05/30/25</t>
  </si>
  <si>
    <t>Elevance OVR 04/10/25 to 05/08/25 Box</t>
  </si>
  <si>
    <t>HFG 05/15/25 to 05/28/25</t>
  </si>
  <si>
    <t>Highmark 05/28/25 GS National</t>
  </si>
  <si>
    <t>Highmark ACA 05/30/25 Ritter</t>
  </si>
  <si>
    <t>Humana 05/28/25</t>
  </si>
  <si>
    <t>IBC 05/31/25 agency bloc</t>
  </si>
  <si>
    <t>IBC OVR 05/30/25 agency bloc</t>
  </si>
  <si>
    <t>Jefferson 05/30/25 Ritter</t>
  </si>
  <si>
    <t>John Hopkins 05/30/25 Ritter</t>
  </si>
  <si>
    <t>lifesecure 5-23-25</t>
  </si>
  <si>
    <t>Medica 05/30/25 agent pipeline</t>
  </si>
  <si>
    <t>Oneshare 05/16/25 to 05/30/25</t>
  </si>
  <si>
    <t>Aetna MAPD 05/20/25</t>
  </si>
  <si>
    <t>Oscar agent pipeline 05/30/25</t>
  </si>
  <si>
    <t>Oscar OVR 04/25/25 Box</t>
  </si>
  <si>
    <t>Aetna ACA 05/16/25</t>
  </si>
  <si>
    <t>Pacific Life</t>
  </si>
  <si>
    <t>Elevance ACA 03/13/25 to 04/03/25 Box</t>
  </si>
  <si>
    <t>Pivot 5-2-25 to 5-24-25</t>
  </si>
  <si>
    <t>Uhone 05/15/25</t>
  </si>
  <si>
    <t>Elevnace ACA 04/10/25 to 05/08/25 Box</t>
  </si>
  <si>
    <t>UPMC 05/30/25 Ritter</t>
  </si>
  <si>
    <t>HFG 05/21/25</t>
  </si>
  <si>
    <t>Wellcare 5-30-25</t>
  </si>
  <si>
    <t>Kaiser Permanente 05/20/25</t>
  </si>
  <si>
    <t>Caresource 05/12/25</t>
  </si>
  <si>
    <t>Ambetter 04/30/25</t>
  </si>
  <si>
    <t>Mountain Health 05/20/25</t>
  </si>
  <si>
    <t>BCBS MT April</t>
  </si>
  <si>
    <t>BCBS NM April</t>
  </si>
  <si>
    <t>BCBS OK April</t>
  </si>
  <si>
    <t>BCBS OK Group April</t>
  </si>
  <si>
    <t>BCBS TX April</t>
  </si>
  <si>
    <t>BCBS TX Group April</t>
  </si>
  <si>
    <t>Sunlife 05/15/25</t>
  </si>
  <si>
    <t>UHC Jarvis 05/10/25</t>
  </si>
  <si>
    <t>Cigna PDP</t>
  </si>
  <si>
    <t>Select health 5-1-25</t>
  </si>
  <si>
    <t>Life secure 5-16-25</t>
  </si>
  <si>
    <t>Cigna ACA 5-20-25</t>
  </si>
  <si>
    <t>Clover may 2025</t>
  </si>
  <si>
    <t>Humana 05/21/25</t>
  </si>
  <si>
    <t>IBC SRG 05/26/25</t>
  </si>
  <si>
    <t>Christus 5-23-25</t>
  </si>
  <si>
    <t>Health alliance SRG 5-23-25</t>
  </si>
  <si>
    <t>Carefirst Benefitmall 5-12-25</t>
  </si>
  <si>
    <t>UHC Small Group 05/13/25</t>
  </si>
  <si>
    <t>Cigna medsupp 5-20-25 to 5-25-25</t>
  </si>
  <si>
    <t>Zing 05/22/25</t>
  </si>
  <si>
    <t>Transamerica small group 4-1-25</t>
  </si>
  <si>
    <t>Surebridge 05/12/25 to 05/15/25</t>
  </si>
  <si>
    <t>UMPC MAPD 05/23/25 Ritter</t>
  </si>
  <si>
    <t>Horizon ACA 05/23/25</t>
  </si>
  <si>
    <t>Highmark MAPD 05/23/25</t>
  </si>
  <si>
    <t>Geisinger MAPD 05/23/25</t>
  </si>
  <si>
    <t>Oscar 5-22-25</t>
  </si>
  <si>
    <t>allstate NB 5-19-25</t>
  </si>
  <si>
    <t>Cigna MAPD 5-23-25</t>
  </si>
  <si>
    <t>Aetna 05/13/25</t>
  </si>
  <si>
    <t>Allstate NB 05/12/25</t>
  </si>
  <si>
    <t>Allstate RN 04/30/25</t>
  </si>
  <si>
    <t>Capital BC 02/10/25 to 05/10/25</t>
  </si>
  <si>
    <t>Carefirst ACA 05/16/25 Ritter</t>
  </si>
  <si>
    <t>Carefirst MAPD 05/16/25 Ritter</t>
  </si>
  <si>
    <t>Caresource 05/16/25 Ritter</t>
  </si>
  <si>
    <t>Cigna ACA 4/25/25 from Box</t>
  </si>
  <si>
    <t>Cigna MAPD 05/16/25</t>
  </si>
  <si>
    <t>Cigna Med supp 5-13-25 to 5-19-25</t>
  </si>
  <si>
    <t>Cigna OVR 4/25/25 from Box</t>
  </si>
  <si>
    <t>Clover feb - May</t>
  </si>
  <si>
    <t>Geisinger 05/16/25 Ritter</t>
  </si>
  <si>
    <t>GTL Weekly 05/14/25</t>
  </si>
  <si>
    <t>HFG 05/14/25</t>
  </si>
  <si>
    <t>Highmark ACA 05/16/25 Ritter</t>
  </si>
  <si>
    <t>Highmark MAPD 05/16/25 Ritter</t>
  </si>
  <si>
    <t>Humana 05/14/25</t>
  </si>
  <si>
    <t>IBC MAPD 05/16/25 Ritter</t>
  </si>
  <si>
    <t>IBC MAPD SRG 05/19/25</t>
  </si>
  <si>
    <t>Kaiser CO 04/30/25</t>
  </si>
  <si>
    <t>Kaiser GA 04/30/25</t>
  </si>
  <si>
    <t>Kaiser Mid Atlantic 04/31/25</t>
  </si>
  <si>
    <t>Lifesecure 05/02/25 to 05/09/25</t>
  </si>
  <si>
    <t>UHC Small Group 04/29/25</t>
  </si>
  <si>
    <t>Uhone 05/08/25</t>
  </si>
  <si>
    <t>Zing 05/09/25</t>
  </si>
  <si>
    <t>Aetna MAPD 05/06/25</t>
  </si>
  <si>
    <t>Elevance OVR 03/12/25 to 04/03/25 from Box</t>
  </si>
  <si>
    <t>HFG 05/07/25</t>
  </si>
  <si>
    <t>Humana 05/07/25</t>
  </si>
  <si>
    <t>Molina ACA from Box 04/25/25</t>
  </si>
  <si>
    <t>Molina OVR from Box 04/25/25</t>
  </si>
  <si>
    <t>Aetna ACA OVR Oct to Feb</t>
  </si>
  <si>
    <t>Aetna ACA 05/02/25</t>
  </si>
  <si>
    <t>Silac</t>
  </si>
  <si>
    <t>NCD</t>
  </si>
  <si>
    <t>GTL monthly 4-30-25</t>
  </si>
  <si>
    <t>GTL Weekly 5-7-25</t>
  </si>
  <si>
    <t>UPMC April</t>
  </si>
  <si>
    <t>UPMC March</t>
  </si>
  <si>
    <t>IBC SRG 5-12-25</t>
  </si>
  <si>
    <t>BCBS of AZ 5-9-25</t>
  </si>
  <si>
    <t>Surebridge 5-8-25</t>
  </si>
  <si>
    <t>Aetna MAPD 4-29-25</t>
  </si>
  <si>
    <t>Devoted Health 05/09/25</t>
  </si>
  <si>
    <t>Allstate NB 04/28/25</t>
  </si>
  <si>
    <t>UHC ACA 05/15/25 Agency Bloc</t>
  </si>
  <si>
    <t>Alterwood 05/02/25 Ritter</t>
  </si>
  <si>
    <t>BCBS of TN</t>
  </si>
  <si>
    <t>UHC OVR 05/15/25 Agency Bloc</t>
  </si>
  <si>
    <t>Carefirst MAPD 05/02/25 Ritter</t>
  </si>
  <si>
    <t>Cigna med supp 5-2-25 5-12-25</t>
  </si>
  <si>
    <t>Cigna ACA 04/22/25</t>
  </si>
  <si>
    <t>Cigna ACA 5-3-25</t>
  </si>
  <si>
    <t>Cigna MAPD 04/30/25</t>
  </si>
  <si>
    <t>Cigna MAPD 05/02/25</t>
  </si>
  <si>
    <t>Cigna MAPD 5-9-25</t>
  </si>
  <si>
    <t>Cigna OVR 04/10/25 Box</t>
  </si>
  <si>
    <t>Allstate NB 05/05/25</t>
  </si>
  <si>
    <t>Eleavance MAPD 5/1/25</t>
  </si>
  <si>
    <t>Christus ACA 03/26/25</t>
  </si>
  <si>
    <t>Elevance ACA 03/31/25</t>
  </si>
  <si>
    <t>Christus OVR 03/26/25</t>
  </si>
  <si>
    <t>Elevance ACA 04/30/25</t>
  </si>
  <si>
    <t>total</t>
  </si>
  <si>
    <t>Geisinger MAPD Ritter</t>
  </si>
  <si>
    <t>GWL 4-30-25</t>
  </si>
  <si>
    <t>Health Alliance ACA AP 05/02/25</t>
  </si>
  <si>
    <t>heartland 4-1-25</t>
  </si>
  <si>
    <t>hfg 4-30-25</t>
  </si>
  <si>
    <t>Highmark 05/02/25 Ritter</t>
  </si>
  <si>
    <t>Humana 4-30-25</t>
  </si>
  <si>
    <t>IBC 05/02/25 Ritter</t>
  </si>
  <si>
    <t>Jefferson 5/2/25 Ritter</t>
  </si>
  <si>
    <t>John Hopkins 04/28/25 GS</t>
  </si>
  <si>
    <t>Life secure 4-25-25</t>
  </si>
  <si>
    <t>Molina 5/2/25 Ritter</t>
  </si>
  <si>
    <t>Oneshare 04/17/25 to 05/02/25</t>
  </si>
  <si>
    <t>Oscar 05/02/25 AP</t>
  </si>
  <si>
    <t>Priority Health 04/30/25</t>
  </si>
  <si>
    <t>Priority health 3-31-25</t>
  </si>
  <si>
    <t>Sunlife 04/30/25</t>
  </si>
  <si>
    <t>UHC OVR AP 05/02/25</t>
  </si>
  <si>
    <t>Zing HRA 04/25/25</t>
  </si>
  <si>
    <t>Aetna ACA 04/18/25</t>
  </si>
  <si>
    <t>Aetna MAPD 04/22/25</t>
  </si>
  <si>
    <t>Allstate RN 4-15-25 Bonus</t>
  </si>
  <si>
    <t xml:space="preserve">Appointment fees Cigna med supp </t>
  </si>
  <si>
    <t>BCBS IL March</t>
  </si>
  <si>
    <t>Carefirst ACA from Ritter 04/25/25</t>
  </si>
  <si>
    <t>Caresource 04/11/25</t>
  </si>
  <si>
    <t>Christus 3-26-25</t>
  </si>
  <si>
    <t>Cigna ACA 4-22-25</t>
  </si>
  <si>
    <t>Cigna ACA from Box 04/1025</t>
  </si>
  <si>
    <t>Cigna MAPD 4-25-25</t>
  </si>
  <si>
    <t>Cigna Medsupp 4-18-25 to 4-25-25</t>
  </si>
  <si>
    <t>Cigna OVR  from Box 04/17/25</t>
  </si>
  <si>
    <t>Devoted Health 04/25/25</t>
  </si>
  <si>
    <t>Health Alliance 04/28/25</t>
  </si>
  <si>
    <t>Health Alliance ACA 04/25/25</t>
  </si>
  <si>
    <t>Health Alliance MAPD 04/25/25</t>
  </si>
  <si>
    <t>HFG 04/23/25</t>
  </si>
  <si>
    <t>Highmark GS 04/23/25</t>
  </si>
  <si>
    <t>Highmark MAPD 04/25/25 from Ritter</t>
  </si>
  <si>
    <t>Humana 04/23/25</t>
  </si>
  <si>
    <t>IBC amerihealth custom benefit plan 4-30-25</t>
  </si>
  <si>
    <t>IBC SRG MAPD 4-28-25</t>
  </si>
  <si>
    <t>John Hopkins from Ritter 04/25/25</t>
  </si>
  <si>
    <t>Kaiser Permanente GS 04.21/25</t>
  </si>
  <si>
    <t>Life secure 4-17-25</t>
  </si>
  <si>
    <t>Medica ACA 04/25/25</t>
  </si>
  <si>
    <t>Mountain Health 04/22/25</t>
  </si>
  <si>
    <t>select health 4-1-25</t>
  </si>
  <si>
    <t>Surebridge 04/14/25 to 04/24/25</t>
  </si>
  <si>
    <t>Transamerica 03/31/25</t>
  </si>
  <si>
    <t>UHC Jarvis April</t>
  </si>
  <si>
    <t>Uhone 04/17/25</t>
  </si>
  <si>
    <t>Wellcare 4-25-25</t>
  </si>
  <si>
    <t>Aetna MAPD 4-15-25</t>
  </si>
  <si>
    <t>ALLstate NB 4-14-25</t>
  </si>
  <si>
    <t>Allstate RN 3-31-25</t>
  </si>
  <si>
    <t>AMbetter</t>
  </si>
  <si>
    <t>Amerihealth Ritter 4/17/25</t>
  </si>
  <si>
    <t>BCBS of MT</t>
  </si>
  <si>
    <t>BCBS of NM</t>
  </si>
  <si>
    <t>BCBS of OK</t>
  </si>
  <si>
    <t>BCBS of TX ACA and Group</t>
  </si>
  <si>
    <t>caresource Ritetr 4-17-25</t>
  </si>
  <si>
    <t>Cigna Med supp</t>
  </si>
  <si>
    <t>Cigna ACA from Box</t>
  </si>
  <si>
    <t>Cigna OVR from Box</t>
  </si>
  <si>
    <t>Oscar OVR from Box</t>
  </si>
  <si>
    <t>Devoted health 4-18-25</t>
  </si>
  <si>
    <t>UHC ACA OVR from Box</t>
  </si>
  <si>
    <t>Geisinger ACA Ritter 4/17/25</t>
  </si>
  <si>
    <t>Aetna ACA OVR from Box</t>
  </si>
  <si>
    <t>HFG</t>
  </si>
  <si>
    <t>Highmark MAPD Ritter 4/17/25</t>
  </si>
  <si>
    <t>Humana 4-16-25</t>
  </si>
  <si>
    <t>IBC MAPD RItter 4/17/25</t>
  </si>
  <si>
    <t>IBC mapd SRG 4-21-25</t>
  </si>
  <si>
    <t>Kasier of CO</t>
  </si>
  <si>
    <t>Kasier of GA</t>
  </si>
  <si>
    <t>Kasier of Mid atlantic 3-31-25</t>
  </si>
  <si>
    <t>lifessecure 4-11-25</t>
  </si>
  <si>
    <t>Medica ACA SRG 4-18-25</t>
  </si>
  <si>
    <t>NCD  4-6-25 - 4-12-25</t>
  </si>
  <si>
    <t>Oscar 4-22-25</t>
  </si>
  <si>
    <t>Aetna MAPD</t>
  </si>
  <si>
    <t>BCBS of AZ</t>
  </si>
  <si>
    <t>Oscar Health ACA</t>
  </si>
  <si>
    <t>Silac 4-15-25</t>
  </si>
  <si>
    <t>sunlife</t>
  </si>
  <si>
    <t>UHC OVR Agent pipeline 3-21-25</t>
  </si>
  <si>
    <t>UHC OVR Agent pipeline 4-18-25</t>
  </si>
  <si>
    <t>uhc small group 4-15-25</t>
  </si>
  <si>
    <t>Humana</t>
  </si>
  <si>
    <t>Life secure</t>
  </si>
  <si>
    <t>Surebridge</t>
  </si>
  <si>
    <t>UHC ACA Consumer Health</t>
  </si>
  <si>
    <t>UHC OVR Consumer Health</t>
  </si>
  <si>
    <t>carefirst</t>
  </si>
  <si>
    <t>cigna ACA</t>
  </si>
  <si>
    <t xml:space="preserve">Cigna MEdsupp </t>
  </si>
  <si>
    <t>GTL weekly advance</t>
  </si>
  <si>
    <t>uhc small group</t>
  </si>
  <si>
    <t>devoted health</t>
  </si>
  <si>
    <t>uhone</t>
  </si>
  <si>
    <t>Zing</t>
  </si>
  <si>
    <t>Allstate</t>
  </si>
  <si>
    <t>Highmark ACA from Ritter</t>
  </si>
  <si>
    <t>Molina from Ritter</t>
  </si>
  <si>
    <t>Carefirst from Ritter</t>
  </si>
  <si>
    <t>Cigna MAPD</t>
  </si>
  <si>
    <t>Devoted Health</t>
  </si>
  <si>
    <t>Highmark GS</t>
  </si>
  <si>
    <t>Transamerica</t>
  </si>
  <si>
    <t>Wellcare</t>
  </si>
  <si>
    <t>Aetna ACA</t>
  </si>
  <si>
    <t>Caresource</t>
  </si>
  <si>
    <t>Ambetter</t>
  </si>
  <si>
    <t>Elevance OVR</t>
  </si>
  <si>
    <t>Mountain Health</t>
  </si>
  <si>
    <t>GTL</t>
  </si>
  <si>
    <t>Priority Health</t>
  </si>
  <si>
    <t>GWL</t>
  </si>
  <si>
    <t>Sunlife</t>
  </si>
  <si>
    <t>Select Health</t>
  </si>
  <si>
    <t>Oscar health agent pipeline</t>
  </si>
  <si>
    <t>Heartland</t>
  </si>
  <si>
    <t>Alterwood from Ritter</t>
  </si>
  <si>
    <t>Amerihealth from Ritter</t>
  </si>
  <si>
    <t>IBC from Ritter</t>
  </si>
  <si>
    <t>John Hopkins from Ritter</t>
  </si>
  <si>
    <t>Geisinger from Ritter</t>
  </si>
  <si>
    <t>IBC MAPD SRG</t>
  </si>
  <si>
    <t>Highmark MAPD Ritter</t>
  </si>
  <si>
    <t>Devoted heatlh</t>
  </si>
  <si>
    <t>IBC SRG</t>
  </si>
  <si>
    <t>Oneshare</t>
  </si>
  <si>
    <t>John Hopkins</t>
  </si>
  <si>
    <t>UHC Jarvis</t>
  </si>
  <si>
    <t>University of Utah</t>
  </si>
  <si>
    <t>UPMC Ritter</t>
  </si>
  <si>
    <t>Zing HRA</t>
  </si>
  <si>
    <t>Elevance from Box</t>
  </si>
  <si>
    <t>Anthem ACA</t>
  </si>
  <si>
    <t>Anthem MAPD</t>
  </si>
  <si>
    <t>Kaiser Permanente</t>
  </si>
  <si>
    <t>BCBS AZ</t>
  </si>
  <si>
    <t>Carefirst</t>
  </si>
  <si>
    <t>Kaiser of CO</t>
  </si>
  <si>
    <t>Carefirst ACA from Ritter</t>
  </si>
  <si>
    <t>Caresource ACA from Ritter</t>
  </si>
  <si>
    <t>Essence</t>
  </si>
  <si>
    <t>lifesecure</t>
  </si>
  <si>
    <t>Cigna ACA</t>
  </si>
  <si>
    <t>surebridge</t>
  </si>
  <si>
    <t>Kaiser of GA</t>
  </si>
  <si>
    <t>Oscar health</t>
  </si>
  <si>
    <t>Geisinger ACA from Ritter</t>
  </si>
  <si>
    <t>Great Western</t>
  </si>
  <si>
    <t>BCBS IL</t>
  </si>
  <si>
    <t>Health Alliance MAPD</t>
  </si>
  <si>
    <t>BCBS IL SM</t>
  </si>
  <si>
    <t>BCBS MT</t>
  </si>
  <si>
    <t>BCBS OK</t>
  </si>
  <si>
    <t>Highmark MAPD</t>
  </si>
  <si>
    <t>BCBS OK SM</t>
  </si>
  <si>
    <t>BCBS TX</t>
  </si>
  <si>
    <t>BCBS TX SM</t>
  </si>
  <si>
    <t>Kaiser Mid Atlantic</t>
  </si>
  <si>
    <t>Jefferson</t>
  </si>
  <si>
    <t xml:space="preserve">Life secure </t>
  </si>
  <si>
    <t>IBC Ritter</t>
  </si>
  <si>
    <t>Medica</t>
  </si>
  <si>
    <t>Medica 12/19/24</t>
  </si>
  <si>
    <t>On hold policy, processed this cycle</t>
  </si>
  <si>
    <t>IBC Consumer Health</t>
  </si>
  <si>
    <t>IBC Consumer Health OVR</t>
  </si>
  <si>
    <t>MLB Total</t>
  </si>
  <si>
    <t>UHC small group</t>
  </si>
  <si>
    <t>Uhone</t>
  </si>
  <si>
    <t xml:space="preserve">Anthem OVR from Box </t>
  </si>
  <si>
    <t>Surebridge 3-3-25</t>
  </si>
  <si>
    <t>One Share</t>
  </si>
  <si>
    <t>Carefirst missing agents</t>
  </si>
  <si>
    <t>Caresource from Ritter</t>
  </si>
  <si>
    <t>Surebridge 3-5-25</t>
  </si>
  <si>
    <t>Caresource GA policies</t>
  </si>
  <si>
    <t>UHC OVR</t>
  </si>
  <si>
    <t>Alterwood</t>
  </si>
  <si>
    <t>Amerihealth</t>
  </si>
  <si>
    <t>Anthem ACA from Box</t>
  </si>
  <si>
    <t>BCBS of NM MAPD</t>
  </si>
  <si>
    <t>Geisinger MAPD</t>
  </si>
  <si>
    <t>HFG 2/15/25</t>
  </si>
  <si>
    <t>HFG 2/26/25</t>
  </si>
  <si>
    <t>Highmark ACA</t>
  </si>
  <si>
    <t>IBC ACA</t>
  </si>
  <si>
    <t>John Hopkins MAPD</t>
  </si>
  <si>
    <t>Molina</t>
  </si>
  <si>
    <t>Oscar ACA</t>
  </si>
  <si>
    <t>Transamerica Small Group</t>
  </si>
  <si>
    <t>UPMC</t>
  </si>
  <si>
    <t xml:space="preserve">Marketing Reimbursement </t>
  </si>
  <si>
    <t>BCBS IL Small Group</t>
  </si>
  <si>
    <t>BCBS TX Small Group</t>
  </si>
  <si>
    <t>Geisinger ACA</t>
  </si>
  <si>
    <t>Health Alliance</t>
  </si>
  <si>
    <t>IBC MAPD from Ritter</t>
  </si>
  <si>
    <t>Silac Annuity</t>
  </si>
  <si>
    <t>UHC Small 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</si>
</sst>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_(&quot;$&quot;* #,##0.00_);_(&quot;$&quot;* \(#,##0.00\);_(&quot;$&quot;* &quot;-&quot;??_);_(@_)"/>
  </numFmts>
  <fonts count="9">
    <font>
      <sz val="10.0"/>
      <color rgb="FF000000"/>
      <name val="Arial"/>
      <scheme val="minor"/>
    </font>
    <font>
      <b/>
      <sz val="12.0"/>
      <color theme="1"/>
      <name val="Calibri"/>
    </font>
    <font>
      <color theme="1"/>
      <name val="Arial"/>
      <scheme val="minor"/>
    </font>
    <font>
      <sz val="12.0"/>
      <color theme="1"/>
      <name val="Arial"/>
      <scheme val="minor"/>
    </font>
    <font>
      <b/>
      <color theme="1"/>
      <name val="Calibri"/>
    </font>
    <font>
      <color theme="1"/>
      <name val="Calibri"/>
    </font>
    <font>
      <b/>
      <color theme="1"/>
      <name val="Arial"/>
      <scheme val="minor"/>
    </font>
    <font>
      <sz val="11.0"/>
      <color rgb="FF141414"/>
      <name val="Arial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3" numFmtId="0" xfId="0" applyFont="1"/>
    <xf borderId="0" fillId="0" fontId="2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0" fontId="5" numFmtId="164" xfId="0" applyFont="1" applyNumberFormat="1"/>
    <xf borderId="0" fillId="0" fontId="5" numFmtId="0" xfId="0" applyFont="1"/>
    <xf borderId="0" fillId="0" fontId="2" numFmtId="0" xfId="0" applyFont="1"/>
    <xf borderId="0" fillId="0" fontId="6" numFmtId="0" xfId="0" applyFont="1"/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2" numFmtId="165" xfId="0" applyAlignment="1" applyFont="1" applyNumberFormat="1">
      <alignment readingOrder="0"/>
    </xf>
    <xf borderId="0" fillId="0" fontId="2" numFmtId="165" xfId="0" applyFont="1" applyNumberFormat="1"/>
    <xf borderId="0" fillId="0" fontId="7" numFmtId="164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0" fontId="8" numFmtId="164" xfId="0" applyAlignment="1" applyFont="1" applyNumberFormat="1">
      <alignment readingOrder="0"/>
    </xf>
    <xf borderId="0" fillId="0" fontId="8" numFmtId="164" xfId="0" applyFont="1" applyNumberFormat="1"/>
    <xf borderId="0" fillId="0" fontId="8" numFmtId="0" xfId="0" applyFont="1"/>
    <xf borderId="0" fillId="2" fontId="8" numFmtId="164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13"/>
  </cols>
  <sheetData>
    <row r="1">
      <c r="A1" s="1" t="s">
        <v>0</v>
      </c>
      <c r="B1" s="2" t="s">
        <v>1</v>
      </c>
    </row>
    <row r="2">
      <c r="A2" s="3" t="s">
        <v>4</v>
      </c>
      <c r="B2" s="4">
        <v>2109.15</v>
      </c>
    </row>
    <row r="3">
      <c r="A3" s="3" t="s">
        <v>6</v>
      </c>
      <c r="B3" s="4">
        <v>36502.06</v>
      </c>
    </row>
    <row r="4">
      <c r="A4" s="3" t="s">
        <v>9</v>
      </c>
      <c r="B4" s="4">
        <v>779.86</v>
      </c>
    </row>
    <row r="5">
      <c r="A5" s="3" t="s">
        <v>12</v>
      </c>
      <c r="B5" s="4">
        <v>100000.0</v>
      </c>
    </row>
    <row r="6">
      <c r="A6" s="3" t="s">
        <v>15</v>
      </c>
      <c r="B6" s="4">
        <v>2554.74</v>
      </c>
    </row>
    <row r="7">
      <c r="A7" s="3" t="s">
        <v>18</v>
      </c>
      <c r="B7" s="4">
        <v>4733.3</v>
      </c>
    </row>
    <row r="8">
      <c r="A8" s="3" t="s">
        <v>21</v>
      </c>
      <c r="B8" s="5"/>
    </row>
    <row r="9">
      <c r="A9" s="3" t="s">
        <v>26</v>
      </c>
      <c r="B9" s="4">
        <v>2877.84</v>
      </c>
    </row>
    <row r="10">
      <c r="A10" s="3" t="s">
        <v>29</v>
      </c>
      <c r="B10" s="5"/>
    </row>
    <row r="11">
      <c r="A11" s="3" t="s">
        <v>32</v>
      </c>
      <c r="B11" s="4">
        <v>56.9</v>
      </c>
    </row>
    <row r="12">
      <c r="A12" s="3" t="s">
        <v>35</v>
      </c>
      <c r="B12" s="4">
        <v>75172.0</v>
      </c>
    </row>
    <row r="13">
      <c r="A13" s="3" t="s">
        <v>41</v>
      </c>
      <c r="B13" s="5"/>
    </row>
    <row r="14">
      <c r="A14" s="3" t="s">
        <v>53</v>
      </c>
      <c r="B14" s="4">
        <v>14.98</v>
      </c>
    </row>
    <row r="15">
      <c r="A15" s="3" t="s">
        <v>56</v>
      </c>
      <c r="B15" s="5"/>
    </row>
    <row r="16">
      <c r="A16" s="3" t="s">
        <v>61</v>
      </c>
      <c r="B16" s="4">
        <v>50.4</v>
      </c>
    </row>
    <row r="17">
      <c r="A17" s="3" t="s">
        <v>63</v>
      </c>
      <c r="B17" s="4">
        <v>1481.0</v>
      </c>
    </row>
    <row r="18">
      <c r="B18" s="5"/>
    </row>
    <row r="19">
      <c r="B19" s="5"/>
    </row>
    <row r="20">
      <c r="B20" s="5"/>
    </row>
    <row r="21">
      <c r="B21" s="5"/>
    </row>
    <row r="22">
      <c r="B22" s="5"/>
    </row>
    <row r="23">
      <c r="B23" s="5"/>
    </row>
    <row r="24">
      <c r="B24" s="5"/>
    </row>
    <row r="25">
      <c r="B25" s="5"/>
    </row>
    <row r="26">
      <c r="B26" s="5"/>
    </row>
    <row r="27">
      <c r="B27" s="5"/>
    </row>
    <row r="28">
      <c r="B28" s="5"/>
    </row>
    <row r="29">
      <c r="B29" s="5"/>
    </row>
    <row r="30">
      <c r="B30" s="5"/>
    </row>
    <row r="31">
      <c r="B31" s="5"/>
    </row>
    <row r="32">
      <c r="B32" s="5"/>
    </row>
    <row r="33">
      <c r="B33" s="5"/>
    </row>
    <row r="34">
      <c r="B34" s="5"/>
    </row>
    <row r="35">
      <c r="B35" s="5"/>
    </row>
    <row r="36">
      <c r="B36" s="5"/>
    </row>
    <row r="37">
      <c r="B37" s="5"/>
    </row>
    <row r="38">
      <c r="B38" s="5"/>
    </row>
    <row r="39">
      <c r="B39" s="5"/>
    </row>
    <row r="40">
      <c r="B40" s="5"/>
    </row>
    <row r="41">
      <c r="B41" s="5"/>
    </row>
    <row r="42">
      <c r="B42" s="5"/>
    </row>
    <row r="43">
      <c r="B43" s="5"/>
    </row>
    <row r="44">
      <c r="B44" s="5"/>
    </row>
    <row r="45">
      <c r="B45" s="5"/>
    </row>
    <row r="46">
      <c r="B46" s="5"/>
    </row>
    <row r="47">
      <c r="B47" s="5"/>
    </row>
    <row r="48">
      <c r="B48" s="5"/>
    </row>
    <row r="49">
      <c r="B49" s="5"/>
    </row>
    <row r="50">
      <c r="B50" s="5"/>
    </row>
    <row r="51">
      <c r="B51" s="5"/>
    </row>
    <row r="52">
      <c r="B52" s="5"/>
    </row>
    <row r="53">
      <c r="B53" s="5"/>
    </row>
    <row r="54">
      <c r="B54" s="5"/>
    </row>
    <row r="55">
      <c r="B55" s="5"/>
    </row>
    <row r="56">
      <c r="B56" s="5"/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5"/>
    <col customWidth="1" min="2" max="2" width="13.38"/>
  </cols>
  <sheetData>
    <row r="1">
      <c r="A1" s="1" t="s">
        <v>0</v>
      </c>
      <c r="B1" s="2" t="s">
        <v>1</v>
      </c>
    </row>
    <row r="2">
      <c r="A2" s="3" t="s">
        <v>2</v>
      </c>
      <c r="B2" s="4">
        <v>18082.88</v>
      </c>
    </row>
    <row r="3">
      <c r="A3" s="3" t="s">
        <v>8</v>
      </c>
      <c r="B3" s="4">
        <v>2405.13</v>
      </c>
    </row>
    <row r="4">
      <c r="A4" s="3" t="s">
        <v>11</v>
      </c>
      <c r="B4" s="4">
        <v>4636.25</v>
      </c>
    </row>
    <row r="5">
      <c r="A5" s="3" t="s">
        <v>14</v>
      </c>
      <c r="B5" s="4">
        <v>516.0</v>
      </c>
    </row>
    <row r="6">
      <c r="A6" s="3" t="s">
        <v>17</v>
      </c>
      <c r="B6" s="4">
        <v>1731.16</v>
      </c>
    </row>
    <row r="7">
      <c r="A7" s="3" t="s">
        <v>20</v>
      </c>
      <c r="B7" s="4">
        <v>134.61</v>
      </c>
    </row>
    <row r="8">
      <c r="A8" s="3" t="s">
        <v>23</v>
      </c>
      <c r="B8" s="4">
        <v>1003.63</v>
      </c>
    </row>
    <row r="9">
      <c r="A9" s="3" t="s">
        <v>25</v>
      </c>
      <c r="B9" s="4">
        <v>116.0</v>
      </c>
    </row>
    <row r="10">
      <c r="A10" s="3" t="s">
        <v>28</v>
      </c>
      <c r="B10" s="5"/>
    </row>
    <row r="11">
      <c r="A11" s="3" t="s">
        <v>31</v>
      </c>
      <c r="B11" s="5"/>
    </row>
    <row r="12">
      <c r="A12" s="3" t="s">
        <v>34</v>
      </c>
      <c r="B12" s="4">
        <v>10845.83</v>
      </c>
    </row>
    <row r="13">
      <c r="A13" s="3" t="s">
        <v>37</v>
      </c>
      <c r="B13" s="4">
        <v>709.67</v>
      </c>
    </row>
    <row r="14">
      <c r="A14" s="3" t="s">
        <v>29</v>
      </c>
      <c r="B14" s="5"/>
    </row>
    <row r="15">
      <c r="A15" s="3" t="s">
        <v>40</v>
      </c>
      <c r="B15" s="4">
        <v>17.04</v>
      </c>
    </row>
    <row r="16">
      <c r="A16" s="3" t="s">
        <v>43</v>
      </c>
      <c r="B16" s="5"/>
    </row>
    <row r="17">
      <c r="A17" s="3" t="s">
        <v>45</v>
      </c>
      <c r="B17" s="4">
        <v>57267.0</v>
      </c>
    </row>
    <row r="18">
      <c r="A18" s="3" t="s">
        <v>47</v>
      </c>
      <c r="B18" s="4">
        <v>9616.61</v>
      </c>
    </row>
    <row r="19">
      <c r="A19" s="3" t="s">
        <v>49</v>
      </c>
      <c r="B19" s="5"/>
    </row>
    <row r="20">
      <c r="A20" s="3" t="s">
        <v>50</v>
      </c>
      <c r="B20" s="5"/>
    </row>
    <row r="21">
      <c r="A21" s="3" t="s">
        <v>32</v>
      </c>
      <c r="B21" s="4">
        <v>56.9</v>
      </c>
    </row>
    <row r="22">
      <c r="A22" s="3" t="s">
        <v>54</v>
      </c>
      <c r="B22" s="4">
        <v>90.0</v>
      </c>
    </row>
    <row r="23">
      <c r="A23" s="3" t="s">
        <v>57</v>
      </c>
      <c r="B23" s="4">
        <v>736.0</v>
      </c>
    </row>
    <row r="24">
      <c r="A24" s="3" t="s">
        <v>59</v>
      </c>
      <c r="B24" s="4">
        <v>9022.0</v>
      </c>
    </row>
    <row r="25">
      <c r="A25" s="3" t="s">
        <v>60</v>
      </c>
      <c r="B25" s="4">
        <v>20350.38</v>
      </c>
    </row>
    <row r="26">
      <c r="B26" s="5"/>
    </row>
    <row r="27">
      <c r="B27" s="5"/>
    </row>
    <row r="28">
      <c r="B28" s="5"/>
    </row>
    <row r="29">
      <c r="B29" s="5"/>
    </row>
    <row r="30">
      <c r="B30" s="5"/>
    </row>
    <row r="31">
      <c r="B31" s="5"/>
    </row>
    <row r="32">
      <c r="B32" s="5"/>
    </row>
    <row r="33">
      <c r="B33" s="5"/>
    </row>
    <row r="34">
      <c r="B34" s="5"/>
    </row>
    <row r="35">
      <c r="B35" s="5"/>
    </row>
    <row r="36">
      <c r="B36" s="5"/>
    </row>
    <row r="37">
      <c r="B37" s="5"/>
    </row>
    <row r="38">
      <c r="B38" s="5"/>
    </row>
    <row r="39">
      <c r="B39" s="5"/>
    </row>
    <row r="40">
      <c r="B40" s="5"/>
    </row>
    <row r="41">
      <c r="B41" s="5"/>
    </row>
    <row r="42">
      <c r="B42" s="5"/>
    </row>
    <row r="43">
      <c r="B43" s="5"/>
    </row>
    <row r="44">
      <c r="B44" s="5"/>
    </row>
    <row r="45">
      <c r="B45" s="5"/>
    </row>
    <row r="46">
      <c r="B46" s="5"/>
    </row>
    <row r="47">
      <c r="B47" s="5"/>
    </row>
    <row r="48">
      <c r="B48" s="5"/>
    </row>
    <row r="49">
      <c r="B49" s="5"/>
    </row>
    <row r="50">
      <c r="B50" s="5"/>
    </row>
    <row r="51">
      <c r="B51" s="5"/>
    </row>
    <row r="52">
      <c r="B52" s="5"/>
    </row>
    <row r="53">
      <c r="B53" s="5"/>
    </row>
    <row r="54">
      <c r="B54" s="5"/>
    </row>
    <row r="55">
      <c r="B55" s="5"/>
    </row>
    <row r="56">
      <c r="B56" s="5"/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17.13"/>
  </cols>
  <sheetData>
    <row r="1">
      <c r="A1" s="1" t="s">
        <v>0</v>
      </c>
      <c r="B1" s="2" t="s">
        <v>1</v>
      </c>
    </row>
    <row r="2">
      <c r="A2" s="3" t="s">
        <v>3</v>
      </c>
      <c r="B2" s="4">
        <v>11474.35</v>
      </c>
    </row>
    <row r="3">
      <c r="A3" s="3" t="s">
        <v>5</v>
      </c>
      <c r="B3" s="4">
        <v>4469.11</v>
      </c>
    </row>
    <row r="4">
      <c r="A4" s="3" t="s">
        <v>7</v>
      </c>
      <c r="B4" s="4">
        <v>5520.21</v>
      </c>
    </row>
    <row r="5">
      <c r="A5" s="3" t="s">
        <v>10</v>
      </c>
      <c r="B5" s="4">
        <v>224.07</v>
      </c>
    </row>
    <row r="6">
      <c r="A6" s="3" t="s">
        <v>13</v>
      </c>
      <c r="B6" s="4">
        <v>226.17</v>
      </c>
    </row>
    <row r="7">
      <c r="A7" s="3" t="s">
        <v>16</v>
      </c>
      <c r="B7" s="4">
        <v>453.0</v>
      </c>
    </row>
    <row r="8">
      <c r="A8" s="3" t="s">
        <v>19</v>
      </c>
      <c r="B8" s="4">
        <v>1617.63</v>
      </c>
    </row>
    <row r="9">
      <c r="A9" s="3" t="s">
        <v>22</v>
      </c>
      <c r="B9" s="4">
        <v>10.08</v>
      </c>
    </row>
    <row r="10">
      <c r="A10" s="3" t="s">
        <v>24</v>
      </c>
      <c r="B10" s="4">
        <v>1500.0</v>
      </c>
    </row>
    <row r="11">
      <c r="A11" s="3" t="s">
        <v>27</v>
      </c>
      <c r="B11" s="4">
        <v>947.16</v>
      </c>
    </row>
    <row r="12">
      <c r="A12" s="3" t="s">
        <v>30</v>
      </c>
      <c r="B12" s="4">
        <v>602.88</v>
      </c>
    </row>
    <row r="13">
      <c r="A13" s="3" t="s">
        <v>33</v>
      </c>
      <c r="B13" s="4">
        <v>6580.85</v>
      </c>
    </row>
    <row r="14">
      <c r="A14" s="3" t="s">
        <v>36</v>
      </c>
      <c r="B14" s="4">
        <v>108.4</v>
      </c>
    </row>
    <row r="15">
      <c r="A15" s="3" t="s">
        <v>38</v>
      </c>
      <c r="B15" s="4">
        <v>10331.55</v>
      </c>
    </row>
    <row r="16">
      <c r="A16" s="3" t="s">
        <v>39</v>
      </c>
      <c r="B16" s="4"/>
    </row>
    <row r="17">
      <c r="A17" s="3" t="s">
        <v>42</v>
      </c>
      <c r="B17" s="4"/>
    </row>
    <row r="18">
      <c r="A18" s="3" t="s">
        <v>44</v>
      </c>
      <c r="B18" s="4"/>
    </row>
    <row r="19">
      <c r="A19" s="3" t="s">
        <v>46</v>
      </c>
      <c r="B19" s="4"/>
    </row>
    <row r="20">
      <c r="A20" s="3" t="s">
        <v>48</v>
      </c>
      <c r="B20" s="4">
        <v>168.0</v>
      </c>
    </row>
    <row r="21">
      <c r="A21" s="3" t="s">
        <v>51</v>
      </c>
      <c r="B21" s="4">
        <v>129.33</v>
      </c>
    </row>
    <row r="22">
      <c r="A22" s="3" t="s">
        <v>52</v>
      </c>
      <c r="B22" s="4">
        <v>145.16</v>
      </c>
    </row>
    <row r="23">
      <c r="A23" s="3" t="s">
        <v>55</v>
      </c>
      <c r="B23" s="4">
        <v>11029.11</v>
      </c>
    </row>
    <row r="24">
      <c r="A24" s="3" t="s">
        <v>58</v>
      </c>
      <c r="B24" s="4">
        <v>385.33</v>
      </c>
    </row>
    <row r="25">
      <c r="A25" s="3" t="s">
        <v>62</v>
      </c>
      <c r="B25" s="4">
        <v>1.18</v>
      </c>
    </row>
    <row r="26">
      <c r="A26" s="3" t="s">
        <v>64</v>
      </c>
      <c r="B26" s="4">
        <v>3184.09</v>
      </c>
    </row>
    <row r="27">
      <c r="A27" s="3" t="s">
        <v>65</v>
      </c>
      <c r="B27" s="4">
        <v>9.6</v>
      </c>
    </row>
    <row r="28">
      <c r="A28" s="3" t="s">
        <v>67</v>
      </c>
      <c r="B28" s="4">
        <v>489.95</v>
      </c>
    </row>
    <row r="29">
      <c r="A29" s="3" t="s">
        <v>69</v>
      </c>
      <c r="B29" s="4">
        <v>-9.6</v>
      </c>
    </row>
    <row r="30">
      <c r="A30" s="3" t="s">
        <v>70</v>
      </c>
      <c r="B30" s="4">
        <v>56.0</v>
      </c>
    </row>
    <row r="31">
      <c r="A31" s="3" t="s">
        <v>72</v>
      </c>
      <c r="B31" s="4">
        <v>871.17</v>
      </c>
    </row>
    <row r="32">
      <c r="A32" s="3" t="s">
        <v>74</v>
      </c>
      <c r="B32" s="4">
        <v>841.67</v>
      </c>
    </row>
    <row r="33">
      <c r="A33" s="3" t="s">
        <v>77</v>
      </c>
      <c r="B33" s="4">
        <v>52.18</v>
      </c>
    </row>
    <row r="34">
      <c r="A34" s="3" t="s">
        <v>79</v>
      </c>
      <c r="B34" s="4">
        <v>310.5</v>
      </c>
    </row>
    <row r="35">
      <c r="A35" s="3" t="s">
        <v>81</v>
      </c>
      <c r="B35" s="4">
        <v>658.22</v>
      </c>
    </row>
    <row r="36">
      <c r="A36" s="3" t="s">
        <v>83</v>
      </c>
      <c r="B36" s="4">
        <v>2644.12</v>
      </c>
    </row>
    <row r="37">
      <c r="A37" s="3" t="s">
        <v>86</v>
      </c>
      <c r="B37" s="4">
        <v>1478.36</v>
      </c>
    </row>
    <row r="38">
      <c r="A38" s="3" t="s">
        <v>87</v>
      </c>
      <c r="B38" s="4">
        <v>13297.19</v>
      </c>
    </row>
    <row r="39">
      <c r="A39" s="3" t="s">
        <v>89</v>
      </c>
      <c r="B39" s="4"/>
    </row>
    <row r="40">
      <c r="A40" s="3" t="s">
        <v>92</v>
      </c>
      <c r="B40" s="4"/>
    </row>
    <row r="41">
      <c r="B41" s="5"/>
    </row>
    <row r="42">
      <c r="B42" s="5"/>
    </row>
    <row r="43">
      <c r="B43" s="5"/>
    </row>
    <row r="44">
      <c r="B44" s="5"/>
    </row>
    <row r="45">
      <c r="B45" s="5"/>
    </row>
    <row r="46">
      <c r="B46" s="5"/>
    </row>
    <row r="47">
      <c r="B47" s="5"/>
    </row>
    <row r="48">
      <c r="B48" s="5"/>
    </row>
    <row r="49">
      <c r="B49" s="5"/>
    </row>
    <row r="50">
      <c r="B50" s="5"/>
    </row>
    <row r="51">
      <c r="B51" s="5"/>
    </row>
    <row r="52">
      <c r="B52" s="5"/>
    </row>
    <row r="53">
      <c r="B53" s="5"/>
    </row>
    <row r="54">
      <c r="B54" s="5"/>
    </row>
    <row r="55">
      <c r="B55" s="5"/>
    </row>
    <row r="56">
      <c r="B56" s="5"/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21.25"/>
  </cols>
  <sheetData>
    <row r="1">
      <c r="A1" s="1" t="s">
        <v>0</v>
      </c>
      <c r="B1" s="2" t="s">
        <v>1</v>
      </c>
    </row>
    <row r="2">
      <c r="A2" s="3" t="s">
        <v>66</v>
      </c>
      <c r="B2" s="4">
        <v>621.43</v>
      </c>
    </row>
    <row r="3">
      <c r="A3" s="3" t="s">
        <v>68</v>
      </c>
      <c r="B3" s="4">
        <v>5385.11</v>
      </c>
    </row>
    <row r="4">
      <c r="A4" s="3" t="s">
        <v>71</v>
      </c>
      <c r="B4" s="4">
        <v>1468.8</v>
      </c>
    </row>
    <row r="5">
      <c r="A5" s="3" t="s">
        <v>73</v>
      </c>
      <c r="B5" s="4">
        <v>0.0</v>
      </c>
    </row>
    <row r="6">
      <c r="A6" s="3" t="s">
        <v>75</v>
      </c>
      <c r="B6" s="4">
        <v>149506.42</v>
      </c>
    </row>
    <row r="7">
      <c r="A7" s="3" t="s">
        <v>76</v>
      </c>
      <c r="B7" s="4">
        <v>7665.59</v>
      </c>
    </row>
    <row r="8">
      <c r="A8" s="3" t="s">
        <v>78</v>
      </c>
      <c r="B8" s="4">
        <v>4115.13</v>
      </c>
    </row>
    <row r="9">
      <c r="A9" s="3" t="s">
        <v>80</v>
      </c>
      <c r="B9" s="4">
        <v>4845.7</v>
      </c>
    </row>
    <row r="10">
      <c r="A10" s="3" t="s">
        <v>82</v>
      </c>
      <c r="B10" s="4">
        <v>191.73</v>
      </c>
    </row>
    <row r="11">
      <c r="A11" s="3" t="s">
        <v>84</v>
      </c>
      <c r="B11" s="4">
        <v>390.54</v>
      </c>
    </row>
    <row r="12">
      <c r="A12" s="3" t="s">
        <v>85</v>
      </c>
      <c r="B12" s="4">
        <v>100.0</v>
      </c>
    </row>
    <row r="13">
      <c r="A13" s="3" t="s">
        <v>88</v>
      </c>
      <c r="B13" s="4">
        <v>639.09</v>
      </c>
    </row>
    <row r="14">
      <c r="A14" s="3" t="s">
        <v>90</v>
      </c>
      <c r="B14" s="4">
        <v>30.25</v>
      </c>
    </row>
    <row r="15">
      <c r="A15" s="3" t="s">
        <v>91</v>
      </c>
      <c r="B15" s="4">
        <v>2255.11</v>
      </c>
    </row>
    <row r="16">
      <c r="A16" s="3" t="s">
        <v>93</v>
      </c>
      <c r="B16" s="4">
        <v>335.0</v>
      </c>
    </row>
    <row r="17">
      <c r="A17" s="3" t="s">
        <v>94</v>
      </c>
      <c r="B17" s="4">
        <v>22.06</v>
      </c>
    </row>
    <row r="18">
      <c r="A18" s="3" t="s">
        <v>95</v>
      </c>
      <c r="B18" s="4">
        <v>-22797.34</v>
      </c>
    </row>
    <row r="19">
      <c r="A19" s="3" t="s">
        <v>96</v>
      </c>
      <c r="B19" s="4">
        <v>9604.54</v>
      </c>
    </row>
    <row r="20">
      <c r="A20" s="3" t="s">
        <v>97</v>
      </c>
      <c r="B20" s="4">
        <v>17995.28</v>
      </c>
    </row>
    <row r="21">
      <c r="A21" s="3" t="s">
        <v>98</v>
      </c>
      <c r="B21" s="4">
        <v>6887.8</v>
      </c>
    </row>
    <row r="22">
      <c r="A22" s="3" t="s">
        <v>99</v>
      </c>
      <c r="B22" s="4">
        <v>297.08</v>
      </c>
    </row>
    <row r="23">
      <c r="A23" s="3" t="s">
        <v>100</v>
      </c>
      <c r="B23" s="4">
        <v>3498.0</v>
      </c>
    </row>
    <row r="24">
      <c r="A24" s="3" t="s">
        <v>101</v>
      </c>
      <c r="B24" s="4">
        <v>3654.0</v>
      </c>
    </row>
    <row r="25">
      <c r="A25" s="3" t="s">
        <v>102</v>
      </c>
      <c r="B25" s="4">
        <v>4921.2</v>
      </c>
    </row>
    <row r="26">
      <c r="A26" s="3" t="s">
        <v>103</v>
      </c>
      <c r="B26" s="4">
        <v>-17015.64</v>
      </c>
    </row>
    <row r="27">
      <c r="A27" s="3" t="s">
        <v>104</v>
      </c>
      <c r="B27" s="4">
        <v>29.75</v>
      </c>
    </row>
    <row r="28">
      <c r="A28" s="3" t="s">
        <v>105</v>
      </c>
      <c r="B28" s="4">
        <v>84.0</v>
      </c>
    </row>
    <row r="29">
      <c r="A29" s="3" t="s">
        <v>106</v>
      </c>
      <c r="B29" s="4">
        <v>27.57</v>
      </c>
    </row>
    <row r="30">
      <c r="A30" s="3" t="s">
        <v>107</v>
      </c>
      <c r="B30" s="4">
        <v>10588.0</v>
      </c>
    </row>
    <row r="31">
      <c r="A31" s="3" t="s">
        <v>108</v>
      </c>
      <c r="B31" s="4">
        <v>1096.5</v>
      </c>
    </row>
    <row r="32">
      <c r="A32" s="3" t="s">
        <v>109</v>
      </c>
      <c r="B32" s="4">
        <v>6.4</v>
      </c>
    </row>
    <row r="33">
      <c r="A33" s="3" t="s">
        <v>110</v>
      </c>
      <c r="B33" s="4">
        <v>62.85</v>
      </c>
    </row>
    <row r="34">
      <c r="A34" s="3" t="s">
        <v>111</v>
      </c>
      <c r="B34" s="4">
        <v>704.28</v>
      </c>
    </row>
    <row r="35">
      <c r="A35" s="3" t="s">
        <v>112</v>
      </c>
      <c r="B35" s="4">
        <v>1617.35</v>
      </c>
    </row>
    <row r="36">
      <c r="B36" s="5"/>
    </row>
    <row r="37">
      <c r="B37" s="5"/>
    </row>
    <row r="38">
      <c r="B38" s="5"/>
    </row>
    <row r="39">
      <c r="B39" s="5"/>
    </row>
    <row r="40">
      <c r="B40" s="5"/>
    </row>
    <row r="41">
      <c r="B41" s="5"/>
    </row>
    <row r="42">
      <c r="B42" s="5"/>
    </row>
    <row r="43">
      <c r="B43" s="5"/>
    </row>
    <row r="44">
      <c r="B44" s="5"/>
    </row>
    <row r="45">
      <c r="B45" s="5"/>
    </row>
    <row r="46">
      <c r="B46" s="5"/>
    </row>
    <row r="47">
      <c r="B47" s="5"/>
    </row>
    <row r="48">
      <c r="B48" s="5"/>
    </row>
    <row r="49">
      <c r="B49" s="5"/>
    </row>
    <row r="50">
      <c r="B50" s="5"/>
    </row>
    <row r="51">
      <c r="B51" s="5"/>
    </row>
    <row r="52">
      <c r="B52" s="5"/>
    </row>
    <row r="53">
      <c r="B53" s="5"/>
    </row>
    <row r="54">
      <c r="B54" s="5"/>
    </row>
    <row r="55">
      <c r="B55" s="5"/>
    </row>
    <row r="56">
      <c r="B56" s="5"/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  <row r="1001">
      <c r="B1001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</cols>
  <sheetData>
    <row r="1">
      <c r="A1" s="1" t="s">
        <v>0</v>
      </c>
      <c r="B1" s="2" t="s">
        <v>1</v>
      </c>
    </row>
    <row r="2">
      <c r="A2" s="3" t="s">
        <v>113</v>
      </c>
      <c r="B2" s="4">
        <v>1872.43</v>
      </c>
    </row>
    <row r="3">
      <c r="A3" s="3" t="s">
        <v>114</v>
      </c>
      <c r="B3" s="4">
        <v>34460.97</v>
      </c>
    </row>
    <row r="4">
      <c r="A4" s="3" t="s">
        <v>115</v>
      </c>
      <c r="B4" s="4">
        <f>3121.6+1561.6</f>
        <v>4683.2</v>
      </c>
    </row>
    <row r="5">
      <c r="A5" s="3" t="s">
        <v>116</v>
      </c>
      <c r="B5" s="4" t="s">
        <v>117</v>
      </c>
    </row>
    <row r="6">
      <c r="A6" s="3" t="s">
        <v>118</v>
      </c>
      <c r="B6" s="4">
        <v>8200.16</v>
      </c>
    </row>
    <row r="7">
      <c r="A7" s="3" t="s">
        <v>119</v>
      </c>
      <c r="B7" s="4">
        <v>110.0</v>
      </c>
    </row>
    <row r="8">
      <c r="A8" s="3" t="s">
        <v>120</v>
      </c>
      <c r="B8" s="4">
        <v>112.0</v>
      </c>
    </row>
    <row r="9">
      <c r="A9" s="3" t="s">
        <v>121</v>
      </c>
      <c r="B9" s="4">
        <v>-515.25</v>
      </c>
    </row>
    <row r="10">
      <c r="A10" s="3" t="s">
        <v>122</v>
      </c>
      <c r="B10" s="4">
        <v>15443.25</v>
      </c>
    </row>
    <row r="11">
      <c r="A11" s="3" t="s">
        <v>123</v>
      </c>
      <c r="B11" s="4">
        <v>942.5</v>
      </c>
    </row>
    <row r="12">
      <c r="A12" s="3" t="s">
        <v>124</v>
      </c>
      <c r="B12" s="4">
        <v>1334.98</v>
      </c>
    </row>
    <row r="13">
      <c r="A13" s="3" t="s">
        <v>125</v>
      </c>
      <c r="B13" s="4">
        <v>108.74</v>
      </c>
    </row>
    <row r="14">
      <c r="A14" s="3" t="s">
        <v>126</v>
      </c>
      <c r="B14" s="4">
        <v>13634.02</v>
      </c>
    </row>
    <row r="15">
      <c r="A15" s="3" t="s">
        <v>127</v>
      </c>
      <c r="B15" s="4">
        <v>3255.56</v>
      </c>
    </row>
    <row r="16">
      <c r="A16" s="3" t="s">
        <v>128</v>
      </c>
      <c r="B16" s="4">
        <v>136.88</v>
      </c>
    </row>
    <row r="17">
      <c r="A17" s="3" t="s">
        <v>129</v>
      </c>
      <c r="B17" s="4">
        <v>2442.01</v>
      </c>
    </row>
    <row r="18">
      <c r="A18" s="3" t="s">
        <v>130</v>
      </c>
      <c r="B18" s="4">
        <v>-447.62</v>
      </c>
    </row>
    <row r="19">
      <c r="A19" s="3" t="s">
        <v>131</v>
      </c>
      <c r="B19" s="4">
        <v>132.0</v>
      </c>
    </row>
    <row r="20">
      <c r="A20" s="3" t="s">
        <v>132</v>
      </c>
      <c r="B20" s="4">
        <v>34308.14</v>
      </c>
    </row>
    <row r="21">
      <c r="A21" s="3" t="s">
        <v>133</v>
      </c>
      <c r="B21" s="4">
        <v>5.9</v>
      </c>
    </row>
    <row r="22">
      <c r="A22" s="3" t="s">
        <v>134</v>
      </c>
      <c r="B22" s="4">
        <v>1614.92</v>
      </c>
    </row>
    <row r="23">
      <c r="A23" s="3" t="s">
        <v>135</v>
      </c>
      <c r="B23" s="4">
        <v>9491.84</v>
      </c>
    </row>
    <row r="24">
      <c r="A24" s="3" t="s">
        <v>136</v>
      </c>
      <c r="B24" s="4">
        <v>35.25</v>
      </c>
    </row>
    <row r="25">
      <c r="A25" s="3" t="s">
        <v>137</v>
      </c>
      <c r="B25" s="4">
        <v>4.67</v>
      </c>
    </row>
    <row r="26">
      <c r="A26" s="3" t="s">
        <v>138</v>
      </c>
      <c r="B26" s="4">
        <v>591.0</v>
      </c>
    </row>
    <row r="27">
      <c r="A27" s="3" t="s">
        <v>139</v>
      </c>
      <c r="B27" s="4">
        <v>21.71</v>
      </c>
    </row>
    <row r="28">
      <c r="A28" s="3" t="s">
        <v>140</v>
      </c>
      <c r="B28" s="5"/>
    </row>
    <row r="29">
      <c r="A29" s="3" t="s">
        <v>141</v>
      </c>
      <c r="B29" s="4">
        <v>23.55</v>
      </c>
    </row>
    <row r="30">
      <c r="A30" s="3" t="s">
        <v>142</v>
      </c>
      <c r="B30" s="4">
        <v>10416.64</v>
      </c>
    </row>
    <row r="31">
      <c r="A31" s="3" t="s">
        <v>143</v>
      </c>
      <c r="B31" s="4">
        <v>355.2</v>
      </c>
    </row>
    <row r="32">
      <c r="A32" s="3" t="s">
        <v>144</v>
      </c>
      <c r="B32" s="4">
        <v>9555.23</v>
      </c>
    </row>
    <row r="33">
      <c r="B33" s="5"/>
    </row>
    <row r="34">
      <c r="B34" s="5"/>
    </row>
    <row r="35">
      <c r="B35" s="5"/>
    </row>
    <row r="36">
      <c r="B36" s="5"/>
    </row>
    <row r="37">
      <c r="B37" s="5"/>
    </row>
    <row r="38">
      <c r="B38" s="5"/>
    </row>
    <row r="39">
      <c r="B39" s="5"/>
    </row>
    <row r="40">
      <c r="B40" s="5"/>
    </row>
    <row r="41">
      <c r="B41" s="5"/>
    </row>
    <row r="42">
      <c r="B42" s="5"/>
    </row>
    <row r="43">
      <c r="B43" s="5"/>
    </row>
    <row r="44">
      <c r="B44" s="5"/>
    </row>
    <row r="45">
      <c r="B45" s="5"/>
    </row>
    <row r="46">
      <c r="B46" s="5"/>
    </row>
    <row r="47">
      <c r="B47" s="5"/>
    </row>
    <row r="48">
      <c r="B48" s="5"/>
    </row>
    <row r="49">
      <c r="B49" s="5"/>
    </row>
    <row r="50">
      <c r="B50" s="5"/>
    </row>
    <row r="51">
      <c r="B51" s="5"/>
    </row>
    <row r="52">
      <c r="B52" s="5"/>
    </row>
    <row r="53">
      <c r="B53" s="5"/>
    </row>
    <row r="54">
      <c r="B54" s="5"/>
    </row>
    <row r="55">
      <c r="B55" s="5"/>
    </row>
    <row r="56">
      <c r="B56" s="5"/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</cols>
  <sheetData>
    <row r="1">
      <c r="A1" s="1" t="s">
        <v>0</v>
      </c>
      <c r="B1" s="2" t="s">
        <v>1</v>
      </c>
    </row>
    <row r="2">
      <c r="A2" s="3" t="s">
        <v>145</v>
      </c>
      <c r="B2" s="4">
        <v>1400.0</v>
      </c>
    </row>
    <row r="3">
      <c r="A3" s="3" t="s">
        <v>146</v>
      </c>
      <c r="B3" s="4">
        <v>238.51</v>
      </c>
    </row>
    <row r="4">
      <c r="A4" s="3" t="s">
        <v>147</v>
      </c>
      <c r="B4" s="4">
        <f>2016.01+338.1</f>
        <v>2354.11</v>
      </c>
    </row>
    <row r="5">
      <c r="A5" s="3" t="s">
        <v>148</v>
      </c>
      <c r="B5" s="4">
        <v>3781.83</v>
      </c>
    </row>
    <row r="6">
      <c r="A6" s="3" t="s">
        <v>149</v>
      </c>
      <c r="B6" s="4">
        <v>29605.0</v>
      </c>
    </row>
    <row r="7">
      <c r="A7" s="3" t="s">
        <v>150</v>
      </c>
      <c r="B7" s="4">
        <v>5944.93</v>
      </c>
    </row>
    <row r="8">
      <c r="A8" s="3" t="s">
        <v>151</v>
      </c>
      <c r="B8" s="4">
        <v>110.0</v>
      </c>
    </row>
    <row r="9">
      <c r="A9" s="3" t="s">
        <v>152</v>
      </c>
      <c r="B9" s="5"/>
    </row>
    <row r="10">
      <c r="A10" s="3" t="s">
        <v>153</v>
      </c>
      <c r="B10" s="5"/>
    </row>
    <row r="11">
      <c r="A11" s="3" t="s">
        <v>154</v>
      </c>
      <c r="B11" s="4">
        <v>1877.62</v>
      </c>
    </row>
    <row r="12">
      <c r="A12" s="3" t="s">
        <v>155</v>
      </c>
      <c r="B12" s="4">
        <v>227.71</v>
      </c>
    </row>
    <row r="13">
      <c r="A13" s="3" t="s">
        <v>156</v>
      </c>
      <c r="B13" s="4"/>
    </row>
    <row r="14">
      <c r="A14" s="3" t="s">
        <v>157</v>
      </c>
      <c r="B14" s="5"/>
    </row>
    <row r="15">
      <c r="A15" s="3" t="s">
        <v>158</v>
      </c>
      <c r="B15" s="4">
        <v>2302.74</v>
      </c>
    </row>
    <row r="16">
      <c r="A16" s="3" t="s">
        <v>159</v>
      </c>
      <c r="B16" s="4">
        <v>1764.38</v>
      </c>
    </row>
    <row r="17">
      <c r="A17" s="3" t="s">
        <v>160</v>
      </c>
      <c r="B17" s="4">
        <v>-27.08</v>
      </c>
    </row>
    <row r="18">
      <c r="A18" s="3" t="s">
        <v>161</v>
      </c>
      <c r="B18" s="4">
        <v>238.25</v>
      </c>
    </row>
    <row r="19">
      <c r="A19" s="3" t="s">
        <v>162</v>
      </c>
      <c r="B19" s="4">
        <v>116.0</v>
      </c>
    </row>
    <row r="20">
      <c r="A20" s="3" t="s">
        <v>163</v>
      </c>
      <c r="B20" s="4">
        <v>90.75</v>
      </c>
    </row>
    <row r="21">
      <c r="A21" s="3" t="s">
        <v>164</v>
      </c>
      <c r="B21" s="4">
        <v>2717.03</v>
      </c>
    </row>
    <row r="22">
      <c r="A22" s="3" t="s">
        <v>165</v>
      </c>
      <c r="B22" s="4">
        <v>297.0</v>
      </c>
    </row>
    <row r="23">
      <c r="A23" s="3" t="s">
        <v>166</v>
      </c>
      <c r="B23" s="4">
        <v>1330.0</v>
      </c>
    </row>
    <row r="24">
      <c r="A24" s="3" t="s">
        <v>167</v>
      </c>
      <c r="B24" s="4">
        <v>17.27</v>
      </c>
    </row>
    <row r="25">
      <c r="A25" s="3" t="s">
        <v>168</v>
      </c>
      <c r="B25" s="4">
        <v>777.0</v>
      </c>
    </row>
    <row r="26">
      <c r="A26" s="3" t="s">
        <v>169</v>
      </c>
      <c r="B26" s="5"/>
    </row>
    <row r="27">
      <c r="A27" s="3" t="s">
        <v>170</v>
      </c>
      <c r="B27" s="5"/>
    </row>
    <row r="28">
      <c r="A28" s="3" t="s">
        <v>171</v>
      </c>
      <c r="B28" s="4">
        <v>12.67</v>
      </c>
    </row>
    <row r="29">
      <c r="A29" s="3" t="s">
        <v>172</v>
      </c>
      <c r="B29" s="4">
        <v>3015.0</v>
      </c>
    </row>
    <row r="30">
      <c r="A30" s="3" t="s">
        <v>173</v>
      </c>
      <c r="B30" s="4">
        <v>360.0</v>
      </c>
    </row>
    <row r="31">
      <c r="A31" s="3" t="s">
        <v>174</v>
      </c>
      <c r="B31" s="5"/>
    </row>
    <row r="32">
      <c r="A32" s="3" t="s">
        <v>175</v>
      </c>
      <c r="B32" s="4">
        <v>-100.0</v>
      </c>
    </row>
    <row r="33">
      <c r="B33" s="5"/>
    </row>
    <row r="34">
      <c r="B34" s="5"/>
    </row>
    <row r="35">
      <c r="B35" s="5"/>
    </row>
    <row r="36">
      <c r="B36" s="5"/>
    </row>
    <row r="37">
      <c r="B37" s="5"/>
    </row>
    <row r="38">
      <c r="B38" s="5"/>
    </row>
    <row r="39">
      <c r="B39" s="5"/>
    </row>
    <row r="40">
      <c r="B40" s="5"/>
    </row>
    <row r="41">
      <c r="B41" s="5"/>
    </row>
    <row r="42">
      <c r="B42" s="5"/>
    </row>
    <row r="43">
      <c r="B43" s="5"/>
    </row>
    <row r="44">
      <c r="B44" s="5"/>
    </row>
    <row r="45">
      <c r="B45" s="5"/>
    </row>
    <row r="46">
      <c r="B46" s="5"/>
    </row>
    <row r="47">
      <c r="B47" s="5"/>
    </row>
    <row r="48">
      <c r="B48" s="5"/>
    </row>
    <row r="49">
      <c r="B49" s="5"/>
    </row>
    <row r="50">
      <c r="B50" s="5"/>
    </row>
    <row r="51">
      <c r="B51" s="5"/>
    </row>
    <row r="52">
      <c r="B52" s="5"/>
    </row>
    <row r="53">
      <c r="B53" s="5"/>
    </row>
    <row r="54">
      <c r="B54" s="5"/>
    </row>
    <row r="55">
      <c r="B55" s="5"/>
    </row>
    <row r="56">
      <c r="B56" s="5"/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38"/>
  </cols>
  <sheetData>
    <row r="1">
      <c r="A1" s="1" t="s">
        <v>0</v>
      </c>
      <c r="B1" s="2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3" t="s">
        <v>176</v>
      </c>
      <c r="B2" s="4">
        <v>16030.51</v>
      </c>
    </row>
    <row r="3">
      <c r="A3" s="3" t="s">
        <v>177</v>
      </c>
      <c r="B3" s="4">
        <v>4096.69</v>
      </c>
    </row>
    <row r="4">
      <c r="A4" s="3" t="s">
        <v>178</v>
      </c>
      <c r="B4" s="4">
        <v>480.0</v>
      </c>
    </row>
    <row r="5">
      <c r="A5" s="3" t="s">
        <v>179</v>
      </c>
      <c r="B5" s="4">
        <v>9132.48</v>
      </c>
    </row>
    <row r="6">
      <c r="A6" s="3" t="s">
        <v>180</v>
      </c>
      <c r="B6" s="4">
        <v>186.23</v>
      </c>
    </row>
    <row r="7">
      <c r="A7" s="3" t="s">
        <v>181</v>
      </c>
      <c r="B7" s="4">
        <v>226.17</v>
      </c>
    </row>
    <row r="8">
      <c r="A8" s="3" t="s">
        <v>182</v>
      </c>
      <c r="B8" s="4">
        <v>63065.22</v>
      </c>
    </row>
    <row r="9">
      <c r="A9" s="3" t="s">
        <v>183</v>
      </c>
      <c r="B9" s="4">
        <v>9213.68</v>
      </c>
    </row>
    <row r="10">
      <c r="A10" s="3" t="s">
        <v>185</v>
      </c>
      <c r="B10" s="4">
        <v>8840.0</v>
      </c>
    </row>
    <row r="11">
      <c r="A11" s="3" t="s">
        <v>186</v>
      </c>
      <c r="B11" s="4">
        <v>3.36</v>
      </c>
    </row>
    <row r="12">
      <c r="A12" s="3" t="s">
        <v>188</v>
      </c>
      <c r="B12" s="4">
        <v>773.67</v>
      </c>
    </row>
    <row r="13">
      <c r="A13" s="3" t="s">
        <v>190</v>
      </c>
      <c r="B13" s="4">
        <v>927.67</v>
      </c>
    </row>
    <row r="14">
      <c r="A14" s="3" t="s">
        <v>191</v>
      </c>
      <c r="B14" s="4">
        <v>265.0</v>
      </c>
    </row>
    <row r="15">
      <c r="A15" s="3" t="s">
        <v>192</v>
      </c>
      <c r="B15" s="4">
        <v>1564.93</v>
      </c>
    </row>
    <row r="16">
      <c r="A16" s="3" t="s">
        <v>194</v>
      </c>
      <c r="B16" s="4">
        <v>133.74</v>
      </c>
    </row>
    <row r="17">
      <c r="A17" s="3" t="s">
        <v>196</v>
      </c>
      <c r="B17" s="4">
        <v>1993.49</v>
      </c>
    </row>
    <row r="18">
      <c r="A18" s="3" t="s">
        <v>198</v>
      </c>
      <c r="B18" s="4">
        <v>3009.36</v>
      </c>
    </row>
    <row r="19">
      <c r="A19" s="3" t="s">
        <v>200</v>
      </c>
      <c r="B19" s="4">
        <v>5189.94</v>
      </c>
    </row>
    <row r="20">
      <c r="A20" s="3" t="s">
        <v>202</v>
      </c>
      <c r="B20" s="4">
        <v>679.86</v>
      </c>
    </row>
    <row r="21">
      <c r="A21" s="3" t="s">
        <v>204</v>
      </c>
      <c r="B21" s="4">
        <v>642.36</v>
      </c>
    </row>
    <row r="22">
      <c r="A22" s="3" t="s">
        <v>206</v>
      </c>
      <c r="B22" s="4"/>
    </row>
    <row r="23">
      <c r="A23" s="3" t="s">
        <v>208</v>
      </c>
      <c r="B23" s="4">
        <v>140.0</v>
      </c>
    </row>
    <row r="24">
      <c r="A24" s="3" t="s">
        <v>210</v>
      </c>
      <c r="B24" s="4">
        <v>59.65</v>
      </c>
    </row>
    <row r="25">
      <c r="A25" s="3" t="s">
        <v>212</v>
      </c>
      <c r="B25" s="4">
        <v>128.48</v>
      </c>
    </row>
    <row r="26">
      <c r="A26" s="3" t="s">
        <v>214</v>
      </c>
      <c r="B26" s="4">
        <v>190.17</v>
      </c>
    </row>
    <row r="27">
      <c r="A27" s="3" t="s">
        <v>216</v>
      </c>
      <c r="B27" s="4">
        <v>99.0</v>
      </c>
    </row>
    <row r="28">
      <c r="A28" s="3" t="s">
        <v>218</v>
      </c>
      <c r="B28" s="4">
        <v>-174.16</v>
      </c>
    </row>
    <row r="29">
      <c r="A29" s="3" t="s">
        <v>220</v>
      </c>
      <c r="B29" s="4">
        <v>9992.95</v>
      </c>
    </row>
    <row r="30">
      <c r="A30" s="3" t="s">
        <v>222</v>
      </c>
      <c r="B30" s="4">
        <v>692.48</v>
      </c>
    </row>
    <row r="31">
      <c r="A31" s="3" t="s">
        <v>224</v>
      </c>
      <c r="B31" s="4">
        <v>253.0</v>
      </c>
    </row>
    <row r="32">
      <c r="A32" s="3" t="s">
        <v>226</v>
      </c>
      <c r="B32" s="4">
        <v>-1443.33</v>
      </c>
    </row>
    <row r="33">
      <c r="A33" s="3" t="s">
        <v>228</v>
      </c>
      <c r="B33" s="5"/>
    </row>
    <row r="34">
      <c r="A34" s="3" t="s">
        <v>230</v>
      </c>
      <c r="B34" s="5"/>
    </row>
    <row r="35">
      <c r="A35" s="3" t="s">
        <v>232</v>
      </c>
      <c r="B35" s="4">
        <v>12888.5</v>
      </c>
    </row>
    <row r="36">
      <c r="A36" s="3" t="s">
        <v>236</v>
      </c>
      <c r="B36" s="4">
        <v>2682.5</v>
      </c>
    </row>
    <row r="37">
      <c r="A37" s="3" t="s">
        <v>238</v>
      </c>
      <c r="B37" s="4">
        <v>22951.5</v>
      </c>
    </row>
    <row r="38">
      <c r="A38" s="3" t="s">
        <v>240</v>
      </c>
      <c r="B38" s="4">
        <v>894.0</v>
      </c>
    </row>
    <row r="39">
      <c r="A39" s="3" t="s">
        <v>242</v>
      </c>
      <c r="B39" s="4">
        <v>224.67</v>
      </c>
    </row>
    <row r="40">
      <c r="B40" s="5"/>
    </row>
    <row r="41">
      <c r="B41" s="5"/>
    </row>
    <row r="42">
      <c r="B42" s="5"/>
    </row>
    <row r="43">
      <c r="B43" s="5"/>
    </row>
    <row r="44">
      <c r="B44" s="5"/>
    </row>
    <row r="45">
      <c r="B45" s="5"/>
    </row>
    <row r="46">
      <c r="B46" s="5"/>
    </row>
    <row r="47">
      <c r="B47" s="5"/>
    </row>
    <row r="48">
      <c r="B48" s="5"/>
    </row>
    <row r="49">
      <c r="B49" s="5"/>
    </row>
    <row r="50">
      <c r="B50" s="5"/>
    </row>
    <row r="51">
      <c r="B51" s="5"/>
    </row>
    <row r="52">
      <c r="B52" s="5"/>
    </row>
    <row r="53">
      <c r="B53" s="5"/>
    </row>
    <row r="54">
      <c r="B54" s="5"/>
    </row>
    <row r="55">
      <c r="B55" s="5"/>
    </row>
    <row r="56">
      <c r="B56" s="5"/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</cols>
  <sheetData>
    <row r="1">
      <c r="A1" s="1" t="s">
        <v>0</v>
      </c>
      <c r="B1" s="2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3" t="s">
        <v>184</v>
      </c>
      <c r="B2" s="4">
        <v>10986.52</v>
      </c>
    </row>
    <row r="3">
      <c r="A3" s="3" t="s">
        <v>187</v>
      </c>
      <c r="B3" s="4">
        <v>1075.96</v>
      </c>
    </row>
    <row r="4">
      <c r="A4" s="3" t="s">
        <v>189</v>
      </c>
      <c r="B4" s="4">
        <v>-448.36</v>
      </c>
    </row>
    <row r="5">
      <c r="A5" s="3" t="s">
        <v>193</v>
      </c>
      <c r="B5" s="4">
        <v>4335.85</v>
      </c>
    </row>
    <row r="6">
      <c r="A6" s="3" t="s">
        <v>195</v>
      </c>
      <c r="B6" s="4">
        <v>3193.64</v>
      </c>
    </row>
    <row r="7">
      <c r="A7" s="3" t="s">
        <v>197</v>
      </c>
      <c r="B7" s="4">
        <v>116.0</v>
      </c>
    </row>
    <row r="8">
      <c r="A8" s="3" t="s">
        <v>199</v>
      </c>
      <c r="B8" s="4">
        <v>24.0</v>
      </c>
    </row>
    <row r="9">
      <c r="A9" s="3" t="s">
        <v>201</v>
      </c>
      <c r="B9" s="4">
        <v>99.0</v>
      </c>
    </row>
    <row r="10">
      <c r="A10" s="3" t="s">
        <v>203</v>
      </c>
      <c r="B10" s="4">
        <v>831.17</v>
      </c>
    </row>
    <row r="11">
      <c r="A11" s="3" t="s">
        <v>205</v>
      </c>
      <c r="B11" s="4">
        <v>40.0</v>
      </c>
    </row>
    <row r="12">
      <c r="A12" s="3" t="s">
        <v>207</v>
      </c>
      <c r="B12" s="4">
        <v>7528.44</v>
      </c>
    </row>
    <row r="13">
      <c r="A13" s="3" t="s">
        <v>209</v>
      </c>
      <c r="B13" s="4">
        <v>-20658.72</v>
      </c>
    </row>
    <row r="14">
      <c r="A14" s="3" t="s">
        <v>211</v>
      </c>
      <c r="B14" s="4">
        <v>1037.27</v>
      </c>
    </row>
    <row r="15">
      <c r="A15" s="3" t="s">
        <v>213</v>
      </c>
      <c r="B15" s="4">
        <v>232.29</v>
      </c>
    </row>
    <row r="16">
      <c r="A16" s="3" t="s">
        <v>215</v>
      </c>
      <c r="B16" s="4">
        <v>10172.2</v>
      </c>
    </row>
    <row r="17">
      <c r="A17" s="3" t="s">
        <v>217</v>
      </c>
      <c r="B17" s="4">
        <v>45.0</v>
      </c>
    </row>
    <row r="18">
      <c r="A18" s="3" t="s">
        <v>219</v>
      </c>
      <c r="B18" s="4">
        <v>864.19</v>
      </c>
    </row>
    <row r="19">
      <c r="A19" s="3" t="s">
        <v>221</v>
      </c>
      <c r="B19" s="4">
        <v>700.0</v>
      </c>
      <c r="C19" s="3" t="s">
        <v>223</v>
      </c>
    </row>
    <row r="20">
      <c r="A20" s="3" t="s">
        <v>225</v>
      </c>
      <c r="B20" s="4">
        <v>11954.42</v>
      </c>
    </row>
    <row r="21">
      <c r="A21" s="3" t="s">
        <v>227</v>
      </c>
      <c r="B21" s="4">
        <v>377.0</v>
      </c>
    </row>
    <row r="22">
      <c r="A22" s="3" t="s">
        <v>229</v>
      </c>
      <c r="B22" s="4">
        <v>6084.1</v>
      </c>
    </row>
    <row r="23">
      <c r="A23" s="3" t="s">
        <v>231</v>
      </c>
      <c r="B23" s="4">
        <v>4130.0</v>
      </c>
    </row>
    <row r="24">
      <c r="A24" s="3" t="s">
        <v>233</v>
      </c>
      <c r="B24" s="4">
        <v>191.73</v>
      </c>
    </row>
    <row r="25">
      <c r="A25" s="3" t="s">
        <v>234</v>
      </c>
      <c r="B25" s="4">
        <v>1440.0</v>
      </c>
    </row>
    <row r="26">
      <c r="A26" s="3" t="s">
        <v>235</v>
      </c>
      <c r="B26" s="4">
        <v>322.88</v>
      </c>
    </row>
    <row r="27">
      <c r="A27" s="3" t="s">
        <v>237</v>
      </c>
      <c r="B27" s="4">
        <v>55.79</v>
      </c>
    </row>
    <row r="28">
      <c r="A28" s="3" t="s">
        <v>239</v>
      </c>
      <c r="B28" s="4">
        <v>6671.66</v>
      </c>
    </row>
    <row r="29">
      <c r="A29" s="3" t="s">
        <v>241</v>
      </c>
      <c r="B29" s="4" t="s">
        <v>117</v>
      </c>
    </row>
    <row r="30">
      <c r="A30" s="3" t="s">
        <v>243</v>
      </c>
      <c r="B30" s="4">
        <v>553.26</v>
      </c>
    </row>
    <row r="31">
      <c r="A31" s="3" t="s">
        <v>244</v>
      </c>
      <c r="B31" s="4">
        <v>1188.33</v>
      </c>
    </row>
    <row r="32">
      <c r="A32" s="3" t="s">
        <v>245</v>
      </c>
      <c r="B32" s="4">
        <v>1409.2</v>
      </c>
    </row>
    <row r="33">
      <c r="B33" s="5"/>
    </row>
    <row r="34">
      <c r="B34" s="5"/>
    </row>
    <row r="35">
      <c r="B35" s="5"/>
    </row>
    <row r="36">
      <c r="B36" s="5"/>
    </row>
    <row r="37">
      <c r="B37" s="5"/>
    </row>
    <row r="38">
      <c r="B38" s="5"/>
    </row>
    <row r="39">
      <c r="B39" s="5"/>
    </row>
    <row r="40">
      <c r="B40" s="5"/>
    </row>
    <row r="41">
      <c r="B41" s="5"/>
    </row>
    <row r="42">
      <c r="B42" s="5"/>
    </row>
    <row r="43">
      <c r="B43" s="5"/>
    </row>
    <row r="44">
      <c r="B44" s="5"/>
    </row>
    <row r="45">
      <c r="B45" s="5"/>
    </row>
    <row r="46">
      <c r="B46" s="5"/>
    </row>
    <row r="47">
      <c r="B47" s="5"/>
    </row>
    <row r="48">
      <c r="B48" s="5"/>
    </row>
    <row r="49">
      <c r="B49" s="5"/>
    </row>
    <row r="50">
      <c r="B50" s="5"/>
    </row>
    <row r="51">
      <c r="B51" s="5"/>
    </row>
    <row r="52">
      <c r="B52" s="5"/>
    </row>
    <row r="53">
      <c r="B53" s="5"/>
    </row>
    <row r="54">
      <c r="B54" s="5"/>
    </row>
    <row r="55">
      <c r="B55" s="5"/>
    </row>
    <row r="56">
      <c r="B56" s="5"/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0"/>
  </cols>
  <sheetData>
    <row r="1">
      <c r="A1" s="1" t="s">
        <v>0</v>
      </c>
      <c r="B1" s="2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3" t="s">
        <v>246</v>
      </c>
      <c r="B2" s="4">
        <v>250.0</v>
      </c>
    </row>
    <row r="3">
      <c r="A3" s="3" t="s">
        <v>247</v>
      </c>
      <c r="B3" s="4">
        <v>1662.58</v>
      </c>
    </row>
    <row r="4">
      <c r="A4" s="3" t="s">
        <v>248</v>
      </c>
      <c r="B4" s="4">
        <v>95.02</v>
      </c>
    </row>
    <row r="5">
      <c r="A5" s="3" t="s">
        <v>249</v>
      </c>
      <c r="B5" s="4">
        <v>1454.86</v>
      </c>
    </row>
    <row r="6">
      <c r="A6" s="3" t="s">
        <v>250</v>
      </c>
      <c r="B6" s="4"/>
    </row>
    <row r="7">
      <c r="A7" s="3" t="s">
        <v>251</v>
      </c>
      <c r="B7" s="4">
        <v>158093.33</v>
      </c>
    </row>
    <row r="8">
      <c r="A8" s="3" t="s">
        <v>252</v>
      </c>
      <c r="B8" s="4">
        <v>56.0</v>
      </c>
    </row>
    <row r="9">
      <c r="A9" s="3" t="s">
        <v>253</v>
      </c>
      <c r="B9" s="4">
        <v>366.19</v>
      </c>
    </row>
    <row r="10">
      <c r="A10" s="3" t="s">
        <v>254</v>
      </c>
      <c r="B10" s="4">
        <v>-180.0</v>
      </c>
    </row>
    <row r="11">
      <c r="A11" s="3" t="s">
        <v>255</v>
      </c>
      <c r="B11" s="4">
        <v>-434.75</v>
      </c>
    </row>
    <row r="12">
      <c r="A12" s="3" t="s">
        <v>256</v>
      </c>
      <c r="B12" s="4">
        <v>1709.0</v>
      </c>
    </row>
    <row r="13">
      <c r="A13" s="3" t="s">
        <v>257</v>
      </c>
      <c r="B13" s="4">
        <v>3082.3</v>
      </c>
    </row>
    <row r="14">
      <c r="A14" s="3" t="s">
        <v>258</v>
      </c>
      <c r="B14" s="4">
        <v>18898.0</v>
      </c>
    </row>
    <row r="15">
      <c r="A15" s="3" t="s">
        <v>259</v>
      </c>
      <c r="B15" s="4">
        <v>25.38</v>
      </c>
    </row>
    <row r="16">
      <c r="A16" s="3" t="s">
        <v>260</v>
      </c>
      <c r="B16" s="4">
        <v>31619.29</v>
      </c>
    </row>
    <row r="17">
      <c r="A17" s="3" t="s">
        <v>261</v>
      </c>
      <c r="B17" s="4">
        <v>-646.25</v>
      </c>
    </row>
    <row r="18">
      <c r="A18" s="3" t="s">
        <v>262</v>
      </c>
      <c r="B18" s="4">
        <v>3654.0</v>
      </c>
    </row>
    <row r="19">
      <c r="A19" s="3" t="s">
        <v>263</v>
      </c>
      <c r="B19" s="4">
        <v>3534.0</v>
      </c>
    </row>
    <row r="20">
      <c r="A20" s="3" t="s">
        <v>264</v>
      </c>
      <c r="B20" s="4">
        <v>56.0</v>
      </c>
    </row>
    <row r="21">
      <c r="A21" s="3" t="s">
        <v>265</v>
      </c>
      <c r="B21" s="4">
        <v>4886.91</v>
      </c>
    </row>
    <row r="22">
      <c r="A22" s="3" t="s">
        <v>266</v>
      </c>
      <c r="B22" s="4">
        <v>202.0</v>
      </c>
    </row>
    <row r="23">
      <c r="A23" s="3" t="s">
        <v>267</v>
      </c>
      <c r="B23" s="4">
        <v>338.0</v>
      </c>
    </row>
    <row r="24">
      <c r="A24" s="3" t="s">
        <v>268</v>
      </c>
      <c r="B24" s="4">
        <v>2253.55</v>
      </c>
    </row>
    <row r="25">
      <c r="A25" s="3" t="s">
        <v>269</v>
      </c>
      <c r="B25" s="4">
        <v>116.37</v>
      </c>
    </row>
    <row r="26">
      <c r="A26" s="3" t="s">
        <v>270</v>
      </c>
      <c r="B26" s="4">
        <v>757.82</v>
      </c>
    </row>
    <row r="27">
      <c r="A27" s="3" t="s">
        <v>271</v>
      </c>
      <c r="B27" s="4">
        <v>400.0</v>
      </c>
    </row>
    <row r="28">
      <c r="B28" s="5"/>
    </row>
    <row r="29">
      <c r="B29" s="5"/>
    </row>
    <row r="30">
      <c r="B30" s="5"/>
    </row>
    <row r="31">
      <c r="B31" s="5"/>
    </row>
    <row r="32">
      <c r="B32" s="5"/>
    </row>
    <row r="33">
      <c r="B33" s="5"/>
    </row>
    <row r="34">
      <c r="B34" s="5"/>
    </row>
    <row r="35">
      <c r="B35" s="5"/>
    </row>
    <row r="36">
      <c r="B36" s="5"/>
    </row>
    <row r="37">
      <c r="B37" s="5"/>
    </row>
    <row r="38">
      <c r="B38" s="5"/>
    </row>
    <row r="39">
      <c r="B39" s="5"/>
    </row>
    <row r="40">
      <c r="B40" s="5"/>
    </row>
    <row r="41">
      <c r="B41" s="5"/>
    </row>
    <row r="42">
      <c r="B42" s="5"/>
    </row>
    <row r="43">
      <c r="B43" s="5"/>
    </row>
    <row r="44">
      <c r="B44" s="5"/>
    </row>
    <row r="45">
      <c r="B45" s="5"/>
    </row>
    <row r="46">
      <c r="B46" s="5"/>
    </row>
    <row r="47">
      <c r="B47" s="5"/>
    </row>
    <row r="48">
      <c r="B48" s="5"/>
    </row>
    <row r="49">
      <c r="B49" s="5"/>
    </row>
    <row r="50">
      <c r="B50" s="5"/>
    </row>
    <row r="51">
      <c r="B51" s="5"/>
    </row>
    <row r="52">
      <c r="B52" s="5"/>
    </row>
    <row r="53">
      <c r="B53" s="5"/>
    </row>
    <row r="54">
      <c r="B54" s="5"/>
    </row>
    <row r="55">
      <c r="B55" s="5"/>
    </row>
    <row r="56">
      <c r="B56" s="5"/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  <row r="1001">
      <c r="B1001" s="5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88"/>
  </cols>
  <sheetData>
    <row r="1">
      <c r="A1" s="1" t="s">
        <v>0</v>
      </c>
      <c r="B1" s="2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3" t="s">
        <v>272</v>
      </c>
      <c r="B2" s="4">
        <v>1450.33</v>
      </c>
    </row>
    <row r="3">
      <c r="A3" s="3" t="s">
        <v>273</v>
      </c>
      <c r="B3" s="4">
        <v>2840.28</v>
      </c>
    </row>
    <row r="4">
      <c r="A4" s="3" t="s">
        <v>274</v>
      </c>
      <c r="B4" s="4">
        <v>372.0</v>
      </c>
    </row>
    <row r="5">
      <c r="A5" s="3" t="s">
        <v>275</v>
      </c>
      <c r="B5" s="4">
        <v>27470.0</v>
      </c>
    </row>
    <row r="6">
      <c r="A6" s="3" t="s">
        <v>276</v>
      </c>
      <c r="B6" s="4">
        <v>352.82</v>
      </c>
    </row>
    <row r="7">
      <c r="A7" s="3" t="s">
        <v>277</v>
      </c>
      <c r="B7" s="5"/>
    </row>
    <row r="8">
      <c r="A8" s="3" t="s">
        <v>278</v>
      </c>
      <c r="B8" s="4">
        <v>1952.0</v>
      </c>
    </row>
    <row r="9">
      <c r="A9" s="3" t="s">
        <v>279</v>
      </c>
      <c r="B9" s="4">
        <v>623.58</v>
      </c>
    </row>
    <row r="10">
      <c r="A10" s="3" t="s">
        <v>280</v>
      </c>
      <c r="B10" s="4">
        <v>2965.17</v>
      </c>
      <c r="F10" s="4"/>
    </row>
    <row r="11">
      <c r="A11" s="3" t="s">
        <v>281</v>
      </c>
      <c r="B11" s="4">
        <v>2593.13</v>
      </c>
    </row>
    <row r="12">
      <c r="A12" s="3" t="s">
        <v>282</v>
      </c>
      <c r="B12" s="4">
        <v>6.7</v>
      </c>
    </row>
    <row r="13">
      <c r="A13" s="3" t="s">
        <v>283</v>
      </c>
      <c r="B13" s="4">
        <v>1914.67</v>
      </c>
    </row>
    <row r="14">
      <c r="A14" s="3" t="s">
        <v>284</v>
      </c>
      <c r="B14" s="4">
        <v>280.0</v>
      </c>
    </row>
    <row r="15">
      <c r="A15" s="3" t="s">
        <v>285</v>
      </c>
      <c r="B15" s="4">
        <v>1419.1</v>
      </c>
    </row>
    <row r="16">
      <c r="A16" s="3" t="s">
        <v>286</v>
      </c>
      <c r="B16" s="4">
        <v>214.5</v>
      </c>
    </row>
    <row r="17">
      <c r="A17" s="3" t="s">
        <v>287</v>
      </c>
      <c r="B17" s="4">
        <v>1134.9</v>
      </c>
    </row>
    <row r="18">
      <c r="A18" s="3" t="s">
        <v>288</v>
      </c>
      <c r="B18" s="4">
        <v>150.5</v>
      </c>
    </row>
    <row r="19">
      <c r="A19" s="3" t="s">
        <v>289</v>
      </c>
      <c r="B19" s="4">
        <v>7873.5</v>
      </c>
    </row>
    <row r="20">
      <c r="A20" s="3" t="s">
        <v>290</v>
      </c>
      <c r="B20" s="4">
        <v>785.0</v>
      </c>
    </row>
    <row r="21">
      <c r="A21" s="3" t="s">
        <v>291</v>
      </c>
      <c r="B21" s="4">
        <v>0.0</v>
      </c>
    </row>
    <row r="22">
      <c r="A22" s="3" t="s">
        <v>292</v>
      </c>
      <c r="B22" s="4">
        <v>1377.27</v>
      </c>
    </row>
    <row r="23">
      <c r="A23" s="3" t="s">
        <v>293</v>
      </c>
      <c r="B23" s="4">
        <v>13184.19</v>
      </c>
    </row>
    <row r="24">
      <c r="A24" s="3" t="s">
        <v>294</v>
      </c>
      <c r="B24" s="4">
        <v>66.75</v>
      </c>
    </row>
    <row r="25">
      <c r="A25" s="3" t="s">
        <v>295</v>
      </c>
      <c r="B25" s="4">
        <v>188.93</v>
      </c>
    </row>
    <row r="26">
      <c r="A26" s="3" t="s">
        <v>296</v>
      </c>
      <c r="B26" s="4">
        <v>6450.13</v>
      </c>
    </row>
    <row r="27">
      <c r="A27" s="3" t="s">
        <v>297</v>
      </c>
      <c r="B27" s="4">
        <v>3356.51</v>
      </c>
    </row>
    <row r="28">
      <c r="A28" s="3" t="s">
        <v>298</v>
      </c>
      <c r="B28" s="4">
        <v>1737.0</v>
      </c>
    </row>
    <row r="29">
      <c r="A29" s="3" t="s">
        <v>299</v>
      </c>
      <c r="B29" s="4">
        <v>3640.66</v>
      </c>
    </row>
    <row r="30">
      <c r="A30" s="3" t="s">
        <v>300</v>
      </c>
      <c r="B30" s="4">
        <v>636.0</v>
      </c>
    </row>
    <row r="31">
      <c r="A31" s="3" t="s">
        <v>301</v>
      </c>
      <c r="B31" s="4">
        <v>3.2</v>
      </c>
    </row>
    <row r="32">
      <c r="A32" s="3" t="s">
        <v>302</v>
      </c>
      <c r="B32" s="4">
        <v>9.0</v>
      </c>
    </row>
    <row r="33">
      <c r="A33" s="3" t="s">
        <v>303</v>
      </c>
      <c r="B33" s="4">
        <v>34118.35</v>
      </c>
    </row>
    <row r="34">
      <c r="A34" s="3" t="s">
        <v>304</v>
      </c>
      <c r="B34" s="4">
        <v>8460.0</v>
      </c>
    </row>
    <row r="35">
      <c r="A35" s="3" t="s">
        <v>305</v>
      </c>
      <c r="B35" s="4">
        <v>9841.0</v>
      </c>
    </row>
    <row r="36">
      <c r="A36" s="3" t="s">
        <v>306</v>
      </c>
      <c r="B36" s="4">
        <v>904.0</v>
      </c>
    </row>
    <row r="37">
      <c r="A37" s="3" t="s">
        <v>307</v>
      </c>
      <c r="B37" s="4">
        <v>9853.21</v>
      </c>
    </row>
    <row r="38">
      <c r="A38" s="3" t="s">
        <v>308</v>
      </c>
      <c r="B38" s="4">
        <v>381.54</v>
      </c>
    </row>
    <row r="39">
      <c r="A39" s="3" t="s">
        <v>309</v>
      </c>
      <c r="B39" s="4">
        <v>2992.0</v>
      </c>
    </row>
    <row r="40">
      <c r="A40" s="3" t="s">
        <v>310</v>
      </c>
      <c r="B40" s="4">
        <v>14.62</v>
      </c>
    </row>
    <row r="41">
      <c r="B41" s="5"/>
    </row>
    <row r="42">
      <c r="B42" s="5"/>
    </row>
    <row r="43">
      <c r="B43" s="5"/>
    </row>
    <row r="44">
      <c r="B44" s="5"/>
    </row>
    <row r="45">
      <c r="B45" s="5"/>
    </row>
    <row r="46">
      <c r="B46" s="5"/>
    </row>
    <row r="47">
      <c r="B47" s="5"/>
    </row>
    <row r="48">
      <c r="B48" s="5"/>
    </row>
    <row r="49">
      <c r="B49" s="5"/>
    </row>
    <row r="50">
      <c r="B50" s="5"/>
    </row>
    <row r="51">
      <c r="B51" s="5"/>
    </row>
    <row r="52">
      <c r="B52" s="5"/>
    </row>
    <row r="53">
      <c r="B53" s="5"/>
    </row>
    <row r="54">
      <c r="B54" s="5"/>
    </row>
    <row r="55">
      <c r="B55" s="5"/>
    </row>
    <row r="56">
      <c r="B56" s="5"/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</cols>
  <sheetData>
    <row r="1">
      <c r="A1" s="1" t="s">
        <v>0</v>
      </c>
      <c r="B1" s="2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3" t="s">
        <v>311</v>
      </c>
      <c r="B2" s="4">
        <v>9100.66</v>
      </c>
    </row>
    <row r="3">
      <c r="A3" s="3" t="s">
        <v>312</v>
      </c>
      <c r="B3" s="4">
        <v>4242.38</v>
      </c>
    </row>
    <row r="4">
      <c r="A4" s="3" t="s">
        <v>313</v>
      </c>
      <c r="B4" s="4">
        <v>447.0</v>
      </c>
    </row>
    <row r="5">
      <c r="A5" s="3" t="s">
        <v>314</v>
      </c>
      <c r="B5" s="4">
        <v>134.61</v>
      </c>
    </row>
    <row r="6">
      <c r="A6" s="3" t="s">
        <v>315</v>
      </c>
      <c r="B6" s="4">
        <v>922.17</v>
      </c>
    </row>
    <row r="7">
      <c r="A7" s="3" t="s">
        <v>316</v>
      </c>
      <c r="B7" s="4">
        <v>72.0</v>
      </c>
    </row>
    <row r="8">
      <c r="A8" s="3" t="s">
        <v>317</v>
      </c>
      <c r="B8" s="4">
        <v>355.92</v>
      </c>
    </row>
    <row r="9">
      <c r="A9" s="3" t="s">
        <v>318</v>
      </c>
      <c r="B9" s="4">
        <v>10505.83</v>
      </c>
    </row>
    <row r="10">
      <c r="A10" s="3" t="s">
        <v>319</v>
      </c>
      <c r="B10" s="4">
        <v>1711.58</v>
      </c>
    </row>
    <row r="11">
      <c r="A11" s="3" t="s">
        <v>320</v>
      </c>
      <c r="B11" s="4">
        <v>152.82</v>
      </c>
    </row>
    <row r="12">
      <c r="A12" s="3" t="s">
        <v>321</v>
      </c>
      <c r="B12" s="4">
        <v>9316.0</v>
      </c>
    </row>
    <row r="13">
      <c r="A13" s="3" t="s">
        <v>322</v>
      </c>
      <c r="B13" s="4">
        <v>3.36</v>
      </c>
    </row>
    <row r="14">
      <c r="A14" s="3" t="s">
        <v>323</v>
      </c>
      <c r="B14" s="4">
        <v>2640.0</v>
      </c>
    </row>
    <row r="15">
      <c r="A15" s="3" t="s">
        <v>324</v>
      </c>
      <c r="B15" s="4">
        <v>281.0</v>
      </c>
    </row>
    <row r="16">
      <c r="A16" s="3" t="s">
        <v>325</v>
      </c>
      <c r="B16" s="4">
        <v>64944.05</v>
      </c>
    </row>
    <row r="17">
      <c r="A17" s="3" t="s">
        <v>326</v>
      </c>
      <c r="B17" s="4">
        <v>158.25</v>
      </c>
    </row>
    <row r="18">
      <c r="A18" s="3" t="s">
        <v>327</v>
      </c>
      <c r="B18" s="4">
        <v>133.74</v>
      </c>
    </row>
    <row r="19">
      <c r="A19" s="3" t="s">
        <v>328</v>
      </c>
      <c r="B19" s="4">
        <v>59.65</v>
      </c>
    </row>
    <row r="20">
      <c r="A20" s="3" t="s">
        <v>329</v>
      </c>
      <c r="B20" s="7">
        <v>3010.28</v>
      </c>
    </row>
    <row r="21">
      <c r="A21" s="3" t="s">
        <v>330</v>
      </c>
      <c r="B21" s="4">
        <v>275.32</v>
      </c>
    </row>
    <row r="22">
      <c r="A22" s="3" t="s">
        <v>331</v>
      </c>
      <c r="B22" s="4">
        <v>15.0</v>
      </c>
    </row>
    <row r="23">
      <c r="A23" s="3" t="s">
        <v>332</v>
      </c>
      <c r="B23" s="4">
        <v>20915.04</v>
      </c>
    </row>
    <row r="24">
      <c r="A24" s="3" t="s">
        <v>333</v>
      </c>
      <c r="B24" s="5"/>
    </row>
    <row r="25">
      <c r="A25" s="3" t="s">
        <v>334</v>
      </c>
      <c r="B25" s="4">
        <v>2869.24</v>
      </c>
    </row>
    <row r="26">
      <c r="A26" s="3" t="s">
        <v>335</v>
      </c>
      <c r="B26" s="4">
        <v>227.71</v>
      </c>
    </row>
    <row r="27">
      <c r="A27" s="3" t="s">
        <v>336</v>
      </c>
      <c r="B27" s="4">
        <v>48.0</v>
      </c>
    </row>
    <row r="28">
      <c r="A28" s="3" t="s">
        <v>337</v>
      </c>
      <c r="B28" s="4">
        <v>96.15</v>
      </c>
    </row>
    <row r="29">
      <c r="A29" s="3" t="s">
        <v>339</v>
      </c>
      <c r="B29" s="4">
        <v>729.86</v>
      </c>
    </row>
    <row r="30">
      <c r="A30" s="3" t="s">
        <v>341</v>
      </c>
      <c r="B30" s="4">
        <v>9189.59</v>
      </c>
    </row>
    <row r="31">
      <c r="A31" s="3" t="s">
        <v>343</v>
      </c>
      <c r="B31" s="4">
        <v>466.25</v>
      </c>
    </row>
    <row r="32">
      <c r="A32" s="3" t="s">
        <v>345</v>
      </c>
      <c r="B32" s="4">
        <v>0.0</v>
      </c>
    </row>
    <row r="33">
      <c r="A33" s="3" t="s">
        <v>347</v>
      </c>
      <c r="B33" s="4">
        <v>20.25</v>
      </c>
    </row>
    <row r="34">
      <c r="A34" s="3" t="s">
        <v>349</v>
      </c>
      <c r="B34" s="5"/>
    </row>
    <row r="35">
      <c r="A35" s="3" t="s">
        <v>351</v>
      </c>
      <c r="B35" s="4">
        <v>83.35</v>
      </c>
    </row>
    <row r="36">
      <c r="A36" s="3" t="s">
        <v>353</v>
      </c>
      <c r="B36" s="4">
        <v>88.76</v>
      </c>
    </row>
    <row r="37">
      <c r="B37" s="5"/>
    </row>
    <row r="38">
      <c r="B38" s="5"/>
    </row>
    <row r="39">
      <c r="B39" s="5"/>
    </row>
    <row r="40">
      <c r="B40" s="5"/>
    </row>
    <row r="41">
      <c r="B41" s="5"/>
    </row>
    <row r="42">
      <c r="B42" s="5"/>
    </row>
    <row r="43">
      <c r="B43" s="5"/>
    </row>
    <row r="44">
      <c r="B44" s="5"/>
    </row>
    <row r="45">
      <c r="B45" s="5"/>
    </row>
    <row r="46">
      <c r="B46" s="5"/>
    </row>
    <row r="47">
      <c r="B47" s="5"/>
    </row>
    <row r="48">
      <c r="B48" s="5"/>
    </row>
    <row r="49">
      <c r="B49" s="5"/>
    </row>
    <row r="50">
      <c r="B50" s="5"/>
    </row>
    <row r="51">
      <c r="B51" s="5"/>
    </row>
    <row r="52">
      <c r="B52" s="5"/>
    </row>
    <row r="53">
      <c r="B53" s="5"/>
    </row>
    <row r="54">
      <c r="B54" s="5"/>
    </row>
    <row r="55">
      <c r="B55" s="5"/>
    </row>
    <row r="56">
      <c r="B56" s="5"/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</cols>
  <sheetData>
    <row r="1">
      <c r="A1" s="8" t="s">
        <v>0</v>
      </c>
      <c r="B1" s="9" t="s">
        <v>1</v>
      </c>
    </row>
    <row r="2">
      <c r="A2" s="3" t="s">
        <v>338</v>
      </c>
      <c r="B2" s="4">
        <v>11810.68</v>
      </c>
    </row>
    <row r="3">
      <c r="A3" s="3" t="s">
        <v>340</v>
      </c>
      <c r="B3" s="4">
        <v>896.25</v>
      </c>
    </row>
    <row r="4">
      <c r="A4" s="3" t="s">
        <v>342</v>
      </c>
      <c r="B4" s="4">
        <v>42.0</v>
      </c>
    </row>
    <row r="5">
      <c r="A5" s="3" t="s">
        <v>344</v>
      </c>
      <c r="B5" s="4">
        <v>826.0</v>
      </c>
    </row>
    <row r="6">
      <c r="A6" s="3" t="s">
        <v>346</v>
      </c>
      <c r="B6" s="4">
        <v>4561.75</v>
      </c>
    </row>
    <row r="7">
      <c r="A7" s="3" t="s">
        <v>348</v>
      </c>
      <c r="B7" s="4">
        <v>5713.77</v>
      </c>
    </row>
    <row r="8">
      <c r="A8" s="3" t="s">
        <v>350</v>
      </c>
      <c r="B8" s="4">
        <v>50.0</v>
      </c>
    </row>
    <row r="9">
      <c r="A9" s="3" t="s">
        <v>352</v>
      </c>
      <c r="B9" s="4">
        <v>3.0</v>
      </c>
    </row>
    <row r="10">
      <c r="A10" s="3" t="s">
        <v>354</v>
      </c>
      <c r="B10" s="4">
        <v>326.5</v>
      </c>
    </row>
    <row r="11">
      <c r="A11" s="3" t="s">
        <v>355</v>
      </c>
      <c r="B11" s="4">
        <v>60.0</v>
      </c>
    </row>
    <row r="12">
      <c r="A12" s="3" t="s">
        <v>356</v>
      </c>
      <c r="B12" s="4">
        <v>912.17</v>
      </c>
    </row>
    <row r="13">
      <c r="A13" s="3" t="s">
        <v>357</v>
      </c>
      <c r="B13" s="4">
        <v>809.67</v>
      </c>
    </row>
    <row r="14">
      <c r="A14" s="3" t="s">
        <v>358</v>
      </c>
      <c r="B14" s="4">
        <v>130.45</v>
      </c>
    </row>
    <row r="15">
      <c r="A15" s="3" t="s">
        <v>359</v>
      </c>
      <c r="B15" s="4">
        <v>-20832.05</v>
      </c>
    </row>
    <row r="16">
      <c r="A16" s="3" t="s">
        <v>360</v>
      </c>
      <c r="B16" s="4">
        <v>723.0</v>
      </c>
    </row>
    <row r="17">
      <c r="A17" s="3" t="s">
        <v>361</v>
      </c>
      <c r="B17" s="4">
        <v>4955.35</v>
      </c>
    </row>
    <row r="18">
      <c r="A18" s="3" t="s">
        <v>362</v>
      </c>
      <c r="B18" s="4">
        <v>1380.0</v>
      </c>
    </row>
    <row r="19">
      <c r="A19" s="3" t="s">
        <v>363</v>
      </c>
      <c r="B19" s="4">
        <v>594.69</v>
      </c>
    </row>
    <row r="20">
      <c r="A20" s="3" t="s">
        <v>364</v>
      </c>
      <c r="B20" s="4">
        <v>310.88</v>
      </c>
    </row>
    <row r="21">
      <c r="A21" s="3" t="s">
        <v>365</v>
      </c>
      <c r="B21" s="4">
        <v>6678.66</v>
      </c>
    </row>
    <row r="22">
      <c r="A22" s="3" t="s">
        <v>366</v>
      </c>
      <c r="B22" s="4">
        <v>8.55</v>
      </c>
    </row>
    <row r="23">
      <c r="A23" s="3" t="s">
        <v>367</v>
      </c>
      <c r="B23" s="4">
        <v>267.22</v>
      </c>
    </row>
    <row r="24">
      <c r="A24" s="3" t="s">
        <v>368</v>
      </c>
      <c r="B24" s="4">
        <v>5939.2</v>
      </c>
    </row>
    <row r="25">
      <c r="A25" s="3" t="s">
        <v>369</v>
      </c>
      <c r="B25" s="4">
        <v>2475.38</v>
      </c>
    </row>
    <row r="26">
      <c r="A26" s="3" t="s">
        <v>370</v>
      </c>
      <c r="B26" s="4">
        <v>338.0</v>
      </c>
    </row>
    <row r="27">
      <c r="A27" s="3" t="s">
        <v>371</v>
      </c>
      <c r="B27" s="4">
        <v>20.0</v>
      </c>
    </row>
    <row r="28">
      <c r="A28" s="3" t="s">
        <v>372</v>
      </c>
      <c r="B28" s="4">
        <v>30.25</v>
      </c>
    </row>
    <row r="29">
      <c r="A29" s="3" t="s">
        <v>373</v>
      </c>
      <c r="B29" s="4"/>
    </row>
    <row r="30">
      <c r="A30" s="3" t="s">
        <v>374</v>
      </c>
      <c r="B30" s="4">
        <v>771.89</v>
      </c>
    </row>
    <row r="31">
      <c r="A31" s="3" t="s">
        <v>375</v>
      </c>
      <c r="B31" s="4">
        <v>194.73</v>
      </c>
    </row>
    <row r="32">
      <c r="A32" s="3" t="s">
        <v>376</v>
      </c>
      <c r="B32" s="4">
        <v>324.0</v>
      </c>
    </row>
    <row r="33">
      <c r="A33" s="3" t="s">
        <v>377</v>
      </c>
      <c r="B33" s="4">
        <v>7363.57</v>
      </c>
    </row>
    <row r="34">
      <c r="A34" s="3" t="s">
        <v>378</v>
      </c>
      <c r="B34" s="4">
        <v>230.0</v>
      </c>
    </row>
    <row r="35">
      <c r="A35" s="3" t="s">
        <v>379</v>
      </c>
      <c r="B35" s="4">
        <v>4.07</v>
      </c>
    </row>
    <row r="36">
      <c r="A36" s="3" t="s">
        <v>380</v>
      </c>
      <c r="B36" s="4"/>
    </row>
    <row r="37">
      <c r="A37" s="3" t="s">
        <v>381</v>
      </c>
      <c r="B37" s="4">
        <v>10.0</v>
      </c>
    </row>
    <row r="38">
      <c r="A38" s="3" t="s">
        <v>382</v>
      </c>
      <c r="B38" s="5">
        <f>sum(B2:B37)</f>
        <v>37929.63</v>
      </c>
    </row>
    <row r="39">
      <c r="B39" s="5"/>
    </row>
    <row r="40">
      <c r="B40" s="5"/>
    </row>
    <row r="41">
      <c r="B41" s="5"/>
    </row>
    <row r="42">
      <c r="B42" s="5"/>
    </row>
    <row r="43">
      <c r="B43" s="5"/>
    </row>
    <row r="44">
      <c r="B44" s="5"/>
    </row>
    <row r="45">
      <c r="B45" s="5"/>
    </row>
    <row r="46">
      <c r="B46" s="5"/>
    </row>
    <row r="47">
      <c r="B47" s="5"/>
    </row>
    <row r="48">
      <c r="B48" s="5"/>
    </row>
    <row r="49">
      <c r="B49" s="5"/>
    </row>
    <row r="50">
      <c r="B50" s="5"/>
    </row>
    <row r="51">
      <c r="B51" s="5"/>
    </row>
    <row r="52">
      <c r="B52" s="5"/>
    </row>
    <row r="53">
      <c r="B53" s="5"/>
    </row>
    <row r="54">
      <c r="B54" s="5"/>
    </row>
    <row r="55">
      <c r="B55" s="5"/>
    </row>
    <row r="56">
      <c r="B56" s="5"/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</cols>
  <sheetData>
    <row r="1">
      <c r="A1" s="8" t="s">
        <v>0</v>
      </c>
      <c r="B1" s="9" t="s">
        <v>1</v>
      </c>
    </row>
    <row r="2">
      <c r="A2" s="3" t="s">
        <v>383</v>
      </c>
      <c r="B2" s="4">
        <v>-59.83</v>
      </c>
    </row>
    <row r="3">
      <c r="A3" s="3" t="s">
        <v>384</v>
      </c>
      <c r="B3" s="4">
        <v>108576.58</v>
      </c>
    </row>
    <row r="4">
      <c r="A4" s="3" t="s">
        <v>385</v>
      </c>
      <c r="B4" s="4">
        <v>2352.0</v>
      </c>
    </row>
    <row r="5">
      <c r="A5" s="3" t="s">
        <v>386</v>
      </c>
      <c r="B5" s="4">
        <f>3.36+3.36</f>
        <v>6.72</v>
      </c>
    </row>
    <row r="6">
      <c r="A6" s="3" t="s">
        <v>387</v>
      </c>
      <c r="B6" s="4">
        <v>3183.67</v>
      </c>
    </row>
    <row r="7">
      <c r="A7" s="3" t="s">
        <v>388</v>
      </c>
      <c r="B7" s="4">
        <v>2157.1</v>
      </c>
    </row>
    <row r="8">
      <c r="A8" s="3" t="s">
        <v>389</v>
      </c>
      <c r="B8" s="4">
        <f>1279.19+87.52</f>
        <v>1366.71</v>
      </c>
    </row>
    <row r="9">
      <c r="A9" s="3" t="s">
        <v>390</v>
      </c>
      <c r="B9" s="4">
        <v>4765.57</v>
      </c>
    </row>
    <row r="10">
      <c r="A10" s="3" t="s">
        <v>391</v>
      </c>
      <c r="B10" s="4">
        <v>492.12</v>
      </c>
    </row>
    <row r="11">
      <c r="A11" s="3" t="s">
        <v>392</v>
      </c>
      <c r="B11" s="4">
        <v>3242.47</v>
      </c>
    </row>
    <row r="12">
      <c r="A12" s="3" t="s">
        <v>393</v>
      </c>
      <c r="B12" s="4">
        <v>10230.59</v>
      </c>
    </row>
    <row r="13">
      <c r="A13" s="3" t="s">
        <v>394</v>
      </c>
      <c r="B13" s="4">
        <v>2526.95</v>
      </c>
    </row>
    <row r="14">
      <c r="A14" s="3" t="s">
        <v>395</v>
      </c>
      <c r="B14" s="4">
        <f>2552.36+4893.34</f>
        <v>7445.7</v>
      </c>
    </row>
    <row r="15">
      <c r="A15" s="3" t="s">
        <v>396</v>
      </c>
      <c r="B15" s="4">
        <v>51.7</v>
      </c>
    </row>
    <row r="16">
      <c r="A16" s="3" t="s">
        <v>397</v>
      </c>
      <c r="B16" s="4">
        <v>-827.66</v>
      </c>
    </row>
    <row r="17">
      <c r="A17" s="3" t="s">
        <v>398</v>
      </c>
      <c r="B17" s="4">
        <v>19577.0</v>
      </c>
    </row>
    <row r="18">
      <c r="A18" s="3" t="s">
        <v>399</v>
      </c>
      <c r="B18" s="4">
        <v>796.09</v>
      </c>
    </row>
    <row r="19">
      <c r="A19" s="3" t="s">
        <v>400</v>
      </c>
      <c r="B19" s="4">
        <v>0.0</v>
      </c>
    </row>
    <row r="20">
      <c r="A20" s="3" t="s">
        <v>401</v>
      </c>
      <c r="B20" s="4">
        <v>4820.0</v>
      </c>
    </row>
    <row r="21">
      <c r="A21" s="3" t="s">
        <v>402</v>
      </c>
      <c r="B21" s="4">
        <v>56.0</v>
      </c>
    </row>
    <row r="22">
      <c r="A22" s="3" t="s">
        <v>403</v>
      </c>
      <c r="B22" s="4">
        <v>3942.0</v>
      </c>
    </row>
    <row r="23">
      <c r="A23" s="3" t="s">
        <v>404</v>
      </c>
      <c r="B23" s="4">
        <v>683.5</v>
      </c>
    </row>
    <row r="24">
      <c r="A24" s="3" t="s">
        <v>405</v>
      </c>
      <c r="B24" s="4">
        <v>75.0</v>
      </c>
    </row>
    <row r="25">
      <c r="A25" s="3" t="s">
        <v>406</v>
      </c>
      <c r="B25" s="4">
        <v>10.55</v>
      </c>
    </row>
    <row r="26">
      <c r="A26" s="3" t="s">
        <v>407</v>
      </c>
      <c r="B26" s="4"/>
    </row>
    <row r="27">
      <c r="B27" s="5"/>
    </row>
    <row r="28">
      <c r="B28" s="5"/>
    </row>
    <row r="29">
      <c r="B29" s="5"/>
    </row>
    <row r="30">
      <c r="B30" s="5"/>
    </row>
    <row r="31">
      <c r="B31" s="5"/>
    </row>
    <row r="32">
      <c r="B32" s="5"/>
    </row>
    <row r="33">
      <c r="B33" s="5"/>
    </row>
    <row r="34">
      <c r="B34" s="5"/>
    </row>
    <row r="35">
      <c r="B35" s="5"/>
    </row>
    <row r="36">
      <c r="B36" s="5"/>
    </row>
    <row r="37">
      <c r="B37" s="5"/>
    </row>
    <row r="38">
      <c r="B38" s="5"/>
    </row>
    <row r="39">
      <c r="B39" s="5"/>
    </row>
    <row r="40">
      <c r="B40" s="5"/>
    </row>
    <row r="41">
      <c r="B41" s="5"/>
    </row>
    <row r="42">
      <c r="B42" s="5"/>
    </row>
    <row r="43">
      <c r="B43" s="5"/>
    </row>
    <row r="44">
      <c r="B44" s="5"/>
    </row>
    <row r="45">
      <c r="B45" s="5"/>
    </row>
    <row r="46">
      <c r="B46" s="5"/>
    </row>
    <row r="47">
      <c r="B47" s="5"/>
    </row>
    <row r="48">
      <c r="B48" s="5"/>
    </row>
    <row r="49">
      <c r="B49" s="5"/>
    </row>
    <row r="50">
      <c r="B50" s="5"/>
    </row>
    <row r="51">
      <c r="B51" s="5"/>
    </row>
    <row r="52">
      <c r="B52" s="5"/>
    </row>
    <row r="53">
      <c r="B53" s="5"/>
    </row>
    <row r="54">
      <c r="B54" s="5"/>
    </row>
    <row r="55">
      <c r="B55" s="5"/>
    </row>
    <row r="56">
      <c r="B56" s="5"/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</cols>
  <sheetData>
    <row r="1">
      <c r="A1" s="8" t="s">
        <v>0</v>
      </c>
      <c r="B1" s="9" t="s">
        <v>1</v>
      </c>
    </row>
    <row r="2">
      <c r="A2" s="3" t="s">
        <v>408</v>
      </c>
      <c r="B2" s="4">
        <v>1586.5</v>
      </c>
    </row>
    <row r="3">
      <c r="A3" s="3" t="s">
        <v>409</v>
      </c>
      <c r="B3" s="4">
        <v>3624.0</v>
      </c>
    </row>
    <row r="4">
      <c r="A4" s="3" t="s">
        <v>410</v>
      </c>
      <c r="B4" s="4">
        <v>600.0</v>
      </c>
    </row>
    <row r="5">
      <c r="A5" s="3" t="s">
        <v>411</v>
      </c>
      <c r="B5" s="4">
        <v>116.0</v>
      </c>
    </row>
    <row r="6">
      <c r="A6" s="3" t="s">
        <v>412</v>
      </c>
      <c r="B6" s="4">
        <v>182.6</v>
      </c>
    </row>
    <row r="7">
      <c r="A7" s="3" t="s">
        <v>413</v>
      </c>
      <c r="B7" s="4">
        <v>19.98</v>
      </c>
    </row>
    <row r="8">
      <c r="A8" s="3" t="s">
        <v>414</v>
      </c>
      <c r="B8" s="4">
        <v>26763.39</v>
      </c>
    </row>
    <row r="9">
      <c r="A9" s="3" t="s">
        <v>415</v>
      </c>
      <c r="B9" s="4">
        <v>2047.29</v>
      </c>
    </row>
    <row r="10">
      <c r="A10" s="3" t="s">
        <v>416</v>
      </c>
      <c r="B10" s="4"/>
    </row>
    <row r="11">
      <c r="A11" s="3" t="s">
        <v>417</v>
      </c>
      <c r="B11" s="4">
        <v>5379.48</v>
      </c>
    </row>
    <row r="12">
      <c r="A12" s="3" t="s">
        <v>418</v>
      </c>
      <c r="B12" s="4">
        <v>1222.5</v>
      </c>
    </row>
    <row r="13">
      <c r="A13" s="3" t="s">
        <v>419</v>
      </c>
      <c r="B13" s="4">
        <v>214.5</v>
      </c>
    </row>
    <row r="14">
      <c r="A14" s="3" t="s">
        <v>420</v>
      </c>
      <c r="B14" s="4">
        <v>942.0</v>
      </c>
    </row>
    <row r="15">
      <c r="A15" s="3" t="s">
        <v>421</v>
      </c>
      <c r="B15" s="4">
        <v>809.12</v>
      </c>
    </row>
    <row r="16">
      <c r="A16" s="3" t="s">
        <v>422</v>
      </c>
      <c r="B16" s="4">
        <v>20763.0</v>
      </c>
    </row>
    <row r="17">
      <c r="A17" s="3" t="s">
        <v>423</v>
      </c>
      <c r="B17" s="4">
        <v>751.0</v>
      </c>
    </row>
    <row r="18">
      <c r="A18" s="3" t="s">
        <v>424</v>
      </c>
      <c r="B18" s="4">
        <v>800.16</v>
      </c>
    </row>
    <row r="19">
      <c r="A19" s="3" t="s">
        <v>425</v>
      </c>
      <c r="B19" s="4">
        <v>0.0</v>
      </c>
    </row>
    <row r="20">
      <c r="A20" s="3" t="s">
        <v>426</v>
      </c>
      <c r="B20" s="4">
        <v>486.72</v>
      </c>
    </row>
    <row r="21">
      <c r="A21" s="3" t="s">
        <v>427</v>
      </c>
      <c r="B21" s="4">
        <v>335.5</v>
      </c>
    </row>
    <row r="22">
      <c r="A22" s="3" t="s">
        <v>429</v>
      </c>
      <c r="B22" s="4">
        <v>373.6</v>
      </c>
    </row>
    <row r="23">
      <c r="B23" s="5"/>
    </row>
    <row r="24">
      <c r="B24" s="5"/>
    </row>
    <row r="25">
      <c r="B25" s="5"/>
    </row>
    <row r="26">
      <c r="B26" s="5"/>
    </row>
    <row r="27">
      <c r="B27" s="5"/>
    </row>
    <row r="28">
      <c r="B28" s="5"/>
    </row>
    <row r="29">
      <c r="B29" s="5"/>
    </row>
    <row r="30">
      <c r="B30" s="5"/>
    </row>
    <row r="31">
      <c r="B31" s="5"/>
    </row>
    <row r="32">
      <c r="B32" s="5"/>
    </row>
    <row r="33">
      <c r="B33" s="5"/>
    </row>
    <row r="34">
      <c r="B34" s="5"/>
    </row>
    <row r="35">
      <c r="B35" s="5"/>
    </row>
    <row r="36">
      <c r="B36" s="5"/>
    </row>
    <row r="37">
      <c r="B37" s="5"/>
    </row>
    <row r="38">
      <c r="B38" s="5"/>
    </row>
    <row r="39">
      <c r="B39" s="5"/>
    </row>
    <row r="40">
      <c r="B40" s="5"/>
    </row>
    <row r="41">
      <c r="B41" s="5"/>
    </row>
    <row r="42">
      <c r="B42" s="5"/>
    </row>
    <row r="43">
      <c r="B43" s="5"/>
    </row>
    <row r="44">
      <c r="B44" s="5"/>
    </row>
    <row r="45">
      <c r="B45" s="5"/>
    </row>
    <row r="46">
      <c r="B46" s="5"/>
    </row>
    <row r="47">
      <c r="B47" s="5"/>
    </row>
    <row r="48">
      <c r="B48" s="5"/>
    </row>
    <row r="49">
      <c r="B49" s="5"/>
    </row>
    <row r="50">
      <c r="B50" s="5"/>
    </row>
    <row r="51">
      <c r="B51" s="5"/>
    </row>
    <row r="52">
      <c r="B52" s="5"/>
    </row>
    <row r="53">
      <c r="B53" s="5"/>
    </row>
    <row r="54">
      <c r="B54" s="5"/>
    </row>
    <row r="55">
      <c r="B55" s="5"/>
    </row>
    <row r="56">
      <c r="B56" s="5"/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18.0"/>
  </cols>
  <sheetData>
    <row r="1">
      <c r="A1" s="8" t="s">
        <v>0</v>
      </c>
      <c r="B1" s="9" t="s">
        <v>1</v>
      </c>
    </row>
    <row r="2">
      <c r="A2" s="10" t="s">
        <v>428</v>
      </c>
      <c r="B2" s="11">
        <v>431.92</v>
      </c>
    </row>
    <row r="3">
      <c r="A3" s="10" t="s">
        <v>430</v>
      </c>
      <c r="B3" s="11"/>
    </row>
    <row r="4">
      <c r="A4" s="10" t="s">
        <v>431</v>
      </c>
      <c r="B4" s="11">
        <v>2296.15</v>
      </c>
    </row>
    <row r="5">
      <c r="A5" s="10" t="s">
        <v>432</v>
      </c>
      <c r="B5" s="11">
        <v>196.0</v>
      </c>
    </row>
    <row r="6">
      <c r="A6" s="10" t="s">
        <v>433</v>
      </c>
      <c r="B6" s="11">
        <v>58596.71</v>
      </c>
    </row>
    <row r="7">
      <c r="A7" s="10" t="s">
        <v>434</v>
      </c>
      <c r="B7" s="11">
        <v>8172.83</v>
      </c>
    </row>
    <row r="8">
      <c r="A8" s="10" t="s">
        <v>435</v>
      </c>
      <c r="B8" s="11">
        <v>1550.58</v>
      </c>
    </row>
    <row r="9">
      <c r="A9" s="10" t="s">
        <v>436</v>
      </c>
      <c r="B9" s="11">
        <v>2833.89</v>
      </c>
    </row>
    <row r="10">
      <c r="A10" s="10" t="s">
        <v>437</v>
      </c>
      <c r="B10" s="11">
        <v>59.65</v>
      </c>
    </row>
    <row r="11">
      <c r="A11" s="10" t="s">
        <v>438</v>
      </c>
      <c r="B11" s="11">
        <v>-1.98</v>
      </c>
    </row>
    <row r="12">
      <c r="A12" s="10" t="s">
        <v>439</v>
      </c>
      <c r="B12" s="11">
        <v>381.0</v>
      </c>
    </row>
    <row r="13">
      <c r="A13" s="10" t="s">
        <v>440</v>
      </c>
      <c r="B13" s="11">
        <v>1142.18</v>
      </c>
    </row>
    <row r="14">
      <c r="A14" s="10" t="s">
        <v>441</v>
      </c>
      <c r="B14" s="11">
        <v>20.1</v>
      </c>
    </row>
    <row r="15">
      <c r="A15" s="10" t="s">
        <v>442</v>
      </c>
      <c r="B15" s="11">
        <v>729.86</v>
      </c>
    </row>
    <row r="16">
      <c r="A16" s="10" t="s">
        <v>443</v>
      </c>
      <c r="B16" s="11">
        <v>471.0</v>
      </c>
    </row>
    <row r="17">
      <c r="A17" s="10" t="s">
        <v>444</v>
      </c>
      <c r="B17" s="11">
        <f>2791.55+1376.59</f>
        <v>4168.14</v>
      </c>
    </row>
    <row r="18">
      <c r="A18" s="10" t="s">
        <v>445</v>
      </c>
      <c r="B18" s="11">
        <v>134.61</v>
      </c>
    </row>
    <row r="19">
      <c r="A19" s="10" t="s">
        <v>446</v>
      </c>
      <c r="B19" s="11">
        <v>0.0</v>
      </c>
    </row>
    <row r="20">
      <c r="A20" s="10" t="s">
        <v>447</v>
      </c>
      <c r="B20" s="11">
        <v>1572.62</v>
      </c>
    </row>
    <row r="21">
      <c r="A21" s="10" t="s">
        <v>448</v>
      </c>
      <c r="B21" s="11">
        <v>10395.67</v>
      </c>
    </row>
    <row r="22">
      <c r="A22" s="10" t="s">
        <v>449</v>
      </c>
      <c r="B22" s="11">
        <v>702.86</v>
      </c>
    </row>
    <row r="23">
      <c r="A23" s="10" t="s">
        <v>450</v>
      </c>
      <c r="B23" s="11">
        <v>230.0</v>
      </c>
    </row>
    <row r="24">
      <c r="A24" s="10" t="s">
        <v>451</v>
      </c>
      <c r="B24" s="11">
        <v>121.0</v>
      </c>
    </row>
    <row r="25">
      <c r="A25" s="10" t="s">
        <v>452</v>
      </c>
      <c r="B25" s="11">
        <v>1617.47</v>
      </c>
    </row>
    <row r="26">
      <c r="A26" s="10" t="s">
        <v>453</v>
      </c>
      <c r="B26" s="11">
        <v>13.0</v>
      </c>
    </row>
    <row r="27">
      <c r="A27" s="10" t="s">
        <v>454</v>
      </c>
      <c r="B27" s="11">
        <v>118.95</v>
      </c>
    </row>
    <row r="28">
      <c r="A28" s="10" t="s">
        <v>456</v>
      </c>
      <c r="B28" s="11">
        <v>596.0</v>
      </c>
    </row>
    <row r="29">
      <c r="A29" s="10" t="s">
        <v>457</v>
      </c>
      <c r="B29" s="11">
        <v>69.0</v>
      </c>
    </row>
    <row r="30">
      <c r="A30" s="10" t="s">
        <v>459</v>
      </c>
      <c r="B30" s="11"/>
    </row>
    <row r="31">
      <c r="A31" s="10" t="s">
        <v>461</v>
      </c>
      <c r="B31" s="11">
        <v>3024.01</v>
      </c>
    </row>
    <row r="32">
      <c r="A32" s="10" t="s">
        <v>462</v>
      </c>
      <c r="B32" s="11">
        <v>31.42</v>
      </c>
    </row>
    <row r="33">
      <c r="A33" s="10" t="s">
        <v>464</v>
      </c>
      <c r="B33" s="11">
        <v>140.0</v>
      </c>
    </row>
    <row r="34">
      <c r="A34" s="10" t="s">
        <v>466</v>
      </c>
      <c r="B34" s="11">
        <v>133.74</v>
      </c>
    </row>
    <row r="35">
      <c r="A35" s="10" t="s">
        <v>382</v>
      </c>
      <c r="B35" s="14">
        <f>sum(B2:B34)</f>
        <v>99948.38</v>
      </c>
    </row>
    <row r="36">
      <c r="A36" s="15"/>
      <c r="B36" s="14"/>
    </row>
    <row r="37">
      <c r="A37" s="15"/>
      <c r="B37" s="14"/>
    </row>
    <row r="38">
      <c r="A38" s="15"/>
      <c r="B38" s="14"/>
    </row>
    <row r="39">
      <c r="A39" s="15"/>
      <c r="B39" s="14"/>
    </row>
    <row r="40">
      <c r="A40" s="15"/>
      <c r="B40" s="14"/>
    </row>
    <row r="41">
      <c r="A41" s="15"/>
      <c r="B41" s="14"/>
    </row>
    <row r="42">
      <c r="A42" s="15"/>
      <c r="B42" s="14"/>
    </row>
    <row r="43">
      <c r="A43" s="15"/>
      <c r="B43" s="14"/>
    </row>
    <row r="44">
      <c r="A44" s="15"/>
      <c r="B44" s="14"/>
    </row>
    <row r="45">
      <c r="A45" s="15"/>
      <c r="B45" s="14"/>
    </row>
    <row r="46">
      <c r="A46" s="15"/>
      <c r="B46" s="14"/>
    </row>
    <row r="47">
      <c r="A47" s="15"/>
      <c r="B47" s="14"/>
    </row>
    <row r="48">
      <c r="A48" s="15"/>
      <c r="B48" s="14"/>
    </row>
    <row r="49">
      <c r="A49" s="15"/>
      <c r="B49" s="14"/>
    </row>
    <row r="50">
      <c r="A50" s="15"/>
      <c r="B50" s="14"/>
    </row>
    <row r="51">
      <c r="A51" s="15"/>
      <c r="B51" s="14"/>
    </row>
    <row r="52">
      <c r="A52" s="15"/>
      <c r="B52" s="14"/>
    </row>
    <row r="53">
      <c r="A53" s="15"/>
      <c r="B53" s="14"/>
    </row>
    <row r="54">
      <c r="A54" s="15"/>
      <c r="B54" s="14"/>
    </row>
    <row r="55">
      <c r="A55" s="15"/>
      <c r="B55" s="14"/>
    </row>
    <row r="56">
      <c r="A56" s="15"/>
      <c r="B56" s="14"/>
    </row>
    <row r="57">
      <c r="A57" s="15"/>
      <c r="B57" s="14"/>
    </row>
    <row r="58">
      <c r="A58" s="15"/>
      <c r="B58" s="14"/>
    </row>
    <row r="59">
      <c r="A59" s="15"/>
      <c r="B59" s="14"/>
    </row>
    <row r="60">
      <c r="A60" s="15"/>
      <c r="B60" s="14"/>
    </row>
    <row r="61">
      <c r="A61" s="15"/>
      <c r="B61" s="14"/>
    </row>
    <row r="62">
      <c r="A62" s="15"/>
      <c r="B62" s="14"/>
    </row>
    <row r="63">
      <c r="A63" s="15"/>
      <c r="B63" s="14"/>
    </row>
    <row r="64">
      <c r="A64" s="15"/>
      <c r="B64" s="14"/>
    </row>
    <row r="65">
      <c r="A65" s="15"/>
      <c r="B65" s="14"/>
    </row>
    <row r="66">
      <c r="A66" s="15"/>
      <c r="B66" s="14"/>
    </row>
    <row r="67">
      <c r="A67" s="15"/>
      <c r="B67" s="14"/>
    </row>
    <row r="68">
      <c r="A68" s="15"/>
      <c r="B68" s="14"/>
    </row>
    <row r="69">
      <c r="A69" s="15"/>
      <c r="B69" s="14"/>
    </row>
    <row r="70">
      <c r="A70" s="15"/>
      <c r="B70" s="14"/>
    </row>
    <row r="71">
      <c r="A71" s="15"/>
      <c r="B71" s="14"/>
    </row>
    <row r="72">
      <c r="A72" s="15"/>
      <c r="B72" s="14"/>
    </row>
    <row r="73">
      <c r="A73" s="15"/>
      <c r="B73" s="14"/>
    </row>
    <row r="74">
      <c r="A74" s="15"/>
      <c r="B74" s="14"/>
    </row>
    <row r="75">
      <c r="A75" s="15"/>
      <c r="B75" s="14"/>
    </row>
    <row r="76">
      <c r="A76" s="15"/>
      <c r="B76" s="14"/>
    </row>
    <row r="77">
      <c r="A77" s="15"/>
      <c r="B77" s="14"/>
    </row>
    <row r="78">
      <c r="A78" s="15"/>
      <c r="B78" s="14"/>
    </row>
    <row r="79">
      <c r="A79" s="15"/>
      <c r="B79" s="14"/>
    </row>
    <row r="80">
      <c r="A80" s="15"/>
      <c r="B80" s="14"/>
    </row>
    <row r="81">
      <c r="A81" s="15"/>
      <c r="B81" s="14"/>
    </row>
    <row r="82">
      <c r="A82" s="15"/>
      <c r="B82" s="14"/>
    </row>
    <row r="83">
      <c r="A83" s="15"/>
      <c r="B83" s="14"/>
    </row>
    <row r="84">
      <c r="A84" s="15"/>
      <c r="B84" s="14"/>
    </row>
    <row r="85">
      <c r="A85" s="15"/>
      <c r="B85" s="14"/>
    </row>
    <row r="86">
      <c r="A86" s="15"/>
      <c r="B86" s="14"/>
    </row>
    <row r="87">
      <c r="A87" s="15"/>
      <c r="B87" s="14"/>
    </row>
    <row r="88">
      <c r="A88" s="15"/>
      <c r="B88" s="14"/>
    </row>
    <row r="89">
      <c r="A89" s="15"/>
      <c r="B89" s="14"/>
    </row>
    <row r="90">
      <c r="A90" s="15"/>
      <c r="B90" s="14"/>
    </row>
    <row r="91">
      <c r="A91" s="15"/>
      <c r="B91" s="14"/>
    </row>
    <row r="92">
      <c r="A92" s="15"/>
      <c r="B92" s="14"/>
    </row>
    <row r="93">
      <c r="A93" s="15"/>
      <c r="B93" s="14"/>
    </row>
    <row r="94">
      <c r="A94" s="15"/>
      <c r="B94" s="14"/>
    </row>
    <row r="95">
      <c r="A95" s="15"/>
      <c r="B95" s="14"/>
    </row>
    <row r="96">
      <c r="A96" s="15"/>
      <c r="B96" s="14"/>
    </row>
    <row r="97">
      <c r="A97" s="15"/>
      <c r="B97" s="14"/>
    </row>
    <row r="98">
      <c r="A98" s="15"/>
      <c r="B98" s="14"/>
    </row>
    <row r="99">
      <c r="A99" s="15"/>
      <c r="B99" s="14"/>
    </row>
    <row r="100">
      <c r="A100" s="15"/>
      <c r="B100" s="14"/>
    </row>
    <row r="101">
      <c r="A101" s="15"/>
      <c r="B101" s="14"/>
    </row>
    <row r="102">
      <c r="A102" s="15"/>
      <c r="B102" s="14"/>
    </row>
    <row r="103">
      <c r="A103" s="15"/>
      <c r="B103" s="14"/>
    </row>
    <row r="104">
      <c r="A104" s="15"/>
      <c r="B104" s="14"/>
    </row>
    <row r="105">
      <c r="A105" s="15"/>
      <c r="B105" s="14"/>
    </row>
    <row r="106">
      <c r="A106" s="15"/>
      <c r="B106" s="14"/>
    </row>
    <row r="107">
      <c r="A107" s="15"/>
      <c r="B107" s="14"/>
    </row>
    <row r="108">
      <c r="A108" s="15"/>
      <c r="B108" s="14"/>
    </row>
    <row r="109">
      <c r="A109" s="15"/>
      <c r="B109" s="14"/>
    </row>
    <row r="110">
      <c r="A110" s="15"/>
      <c r="B110" s="14"/>
    </row>
    <row r="111">
      <c r="A111" s="15"/>
      <c r="B111" s="14"/>
    </row>
    <row r="112">
      <c r="A112" s="15"/>
      <c r="B112" s="14"/>
    </row>
    <row r="113">
      <c r="A113" s="15"/>
      <c r="B113" s="14"/>
    </row>
    <row r="114">
      <c r="A114" s="15"/>
      <c r="B114" s="14"/>
    </row>
    <row r="115">
      <c r="A115" s="15"/>
      <c r="B115" s="14"/>
    </row>
    <row r="116">
      <c r="A116" s="15"/>
      <c r="B116" s="14"/>
    </row>
    <row r="117">
      <c r="A117" s="15"/>
      <c r="B117" s="14"/>
    </row>
    <row r="118">
      <c r="A118" s="15"/>
      <c r="B118" s="14"/>
    </row>
    <row r="119">
      <c r="A119" s="15"/>
      <c r="B119" s="14"/>
    </row>
    <row r="120">
      <c r="A120" s="15"/>
      <c r="B120" s="14"/>
    </row>
    <row r="121">
      <c r="A121" s="15"/>
      <c r="B121" s="14"/>
    </row>
    <row r="122">
      <c r="A122" s="15"/>
      <c r="B122" s="14"/>
    </row>
    <row r="123">
      <c r="A123" s="15"/>
      <c r="B123" s="14"/>
    </row>
    <row r="124">
      <c r="A124" s="15"/>
      <c r="B124" s="14"/>
    </row>
    <row r="125">
      <c r="A125" s="15"/>
      <c r="B125" s="14"/>
    </row>
    <row r="126">
      <c r="A126" s="15"/>
      <c r="B126" s="14"/>
    </row>
    <row r="127">
      <c r="A127" s="15"/>
      <c r="B127" s="14"/>
    </row>
    <row r="128">
      <c r="A128" s="15"/>
      <c r="B128" s="14"/>
    </row>
    <row r="129">
      <c r="A129" s="15"/>
      <c r="B129" s="14"/>
    </row>
    <row r="130">
      <c r="A130" s="15"/>
      <c r="B130" s="14"/>
    </row>
    <row r="131">
      <c r="A131" s="15"/>
      <c r="B131" s="14"/>
    </row>
    <row r="132">
      <c r="A132" s="15"/>
      <c r="B132" s="14"/>
    </row>
    <row r="133">
      <c r="A133" s="15"/>
      <c r="B133" s="14"/>
    </row>
    <row r="134">
      <c r="A134" s="15"/>
      <c r="B134" s="14"/>
    </row>
    <row r="135">
      <c r="A135" s="15"/>
      <c r="B135" s="14"/>
    </row>
    <row r="136">
      <c r="A136" s="15"/>
      <c r="B136" s="14"/>
    </row>
    <row r="137">
      <c r="A137" s="15"/>
      <c r="B137" s="14"/>
    </row>
    <row r="138">
      <c r="A138" s="15"/>
      <c r="B138" s="14"/>
    </row>
    <row r="139">
      <c r="A139" s="15"/>
      <c r="B139" s="14"/>
    </row>
    <row r="140">
      <c r="A140" s="15"/>
      <c r="B140" s="14"/>
    </row>
    <row r="141">
      <c r="A141" s="15"/>
      <c r="B141" s="14"/>
    </row>
    <row r="142">
      <c r="A142" s="15"/>
      <c r="B142" s="14"/>
    </row>
    <row r="143">
      <c r="A143" s="15"/>
      <c r="B143" s="14"/>
    </row>
    <row r="144">
      <c r="A144" s="15"/>
      <c r="B144" s="14"/>
    </row>
    <row r="145">
      <c r="A145" s="15"/>
      <c r="B145" s="14"/>
    </row>
    <row r="146">
      <c r="A146" s="15"/>
      <c r="B146" s="14"/>
    </row>
    <row r="147">
      <c r="A147" s="15"/>
      <c r="B147" s="14"/>
    </row>
    <row r="148">
      <c r="A148" s="15"/>
      <c r="B148" s="14"/>
    </row>
    <row r="149">
      <c r="A149" s="15"/>
      <c r="B149" s="14"/>
    </row>
    <row r="150">
      <c r="A150" s="15"/>
      <c r="B150" s="14"/>
    </row>
    <row r="151">
      <c r="A151" s="15"/>
      <c r="B151" s="14"/>
    </row>
    <row r="152">
      <c r="A152" s="15"/>
      <c r="B152" s="14"/>
    </row>
    <row r="153">
      <c r="A153" s="15"/>
      <c r="B153" s="14"/>
    </row>
    <row r="154">
      <c r="A154" s="15"/>
      <c r="B154" s="14"/>
    </row>
    <row r="155">
      <c r="A155" s="15"/>
      <c r="B155" s="14"/>
    </row>
    <row r="156">
      <c r="A156" s="15"/>
      <c r="B156" s="14"/>
    </row>
    <row r="157">
      <c r="A157" s="15"/>
      <c r="B157" s="14"/>
    </row>
    <row r="158">
      <c r="A158" s="15"/>
      <c r="B158" s="14"/>
    </row>
    <row r="159">
      <c r="A159" s="15"/>
      <c r="B159" s="14"/>
    </row>
    <row r="160">
      <c r="A160" s="15"/>
      <c r="B160" s="14"/>
    </row>
    <row r="161">
      <c r="A161" s="15"/>
      <c r="B161" s="14"/>
    </row>
    <row r="162">
      <c r="A162" s="15"/>
      <c r="B162" s="14"/>
    </row>
    <row r="163">
      <c r="A163" s="15"/>
      <c r="B163" s="14"/>
    </row>
    <row r="164">
      <c r="A164" s="15"/>
      <c r="B164" s="14"/>
    </row>
    <row r="165">
      <c r="A165" s="15"/>
      <c r="B165" s="14"/>
    </row>
    <row r="166">
      <c r="A166" s="15"/>
      <c r="B166" s="14"/>
    </row>
    <row r="167">
      <c r="A167" s="15"/>
      <c r="B167" s="14"/>
    </row>
    <row r="168">
      <c r="A168" s="15"/>
      <c r="B168" s="14"/>
    </row>
    <row r="169">
      <c r="A169" s="15"/>
      <c r="B169" s="14"/>
    </row>
    <row r="170">
      <c r="A170" s="15"/>
      <c r="B170" s="14"/>
    </row>
    <row r="171">
      <c r="A171" s="15"/>
      <c r="B171" s="14"/>
    </row>
    <row r="172">
      <c r="A172" s="15"/>
      <c r="B172" s="14"/>
    </row>
    <row r="173">
      <c r="A173" s="15"/>
      <c r="B173" s="14"/>
    </row>
    <row r="174">
      <c r="A174" s="15"/>
      <c r="B174" s="14"/>
    </row>
    <row r="175">
      <c r="A175" s="15"/>
      <c r="B175" s="14"/>
    </row>
    <row r="176">
      <c r="A176" s="15"/>
      <c r="B176" s="14"/>
    </row>
    <row r="177">
      <c r="A177" s="15"/>
      <c r="B177" s="14"/>
    </row>
    <row r="178">
      <c r="A178" s="15"/>
      <c r="B178" s="14"/>
    </row>
    <row r="179">
      <c r="A179" s="15"/>
      <c r="B179" s="14"/>
    </row>
    <row r="180">
      <c r="A180" s="15"/>
      <c r="B180" s="14"/>
    </row>
    <row r="181">
      <c r="A181" s="15"/>
      <c r="B181" s="14"/>
    </row>
    <row r="182">
      <c r="A182" s="15"/>
      <c r="B182" s="14"/>
    </row>
    <row r="183">
      <c r="A183" s="15"/>
      <c r="B183" s="14"/>
    </row>
    <row r="184">
      <c r="A184" s="15"/>
      <c r="B184" s="14"/>
    </row>
    <row r="185">
      <c r="A185" s="15"/>
      <c r="B185" s="14"/>
    </row>
    <row r="186">
      <c r="A186" s="15"/>
      <c r="B186" s="14"/>
    </row>
    <row r="187">
      <c r="A187" s="15"/>
      <c r="B187" s="14"/>
    </row>
    <row r="188">
      <c r="A188" s="15"/>
      <c r="B188" s="14"/>
    </row>
    <row r="189">
      <c r="A189" s="15"/>
      <c r="B189" s="14"/>
    </row>
    <row r="190">
      <c r="A190" s="15"/>
      <c r="B190" s="14"/>
    </row>
    <row r="191">
      <c r="A191" s="15"/>
      <c r="B191" s="14"/>
    </row>
    <row r="192">
      <c r="A192" s="15"/>
      <c r="B192" s="14"/>
    </row>
    <row r="193">
      <c r="A193" s="15"/>
      <c r="B193" s="14"/>
    </row>
    <row r="194">
      <c r="A194" s="15"/>
      <c r="B194" s="14"/>
    </row>
    <row r="195">
      <c r="A195" s="15"/>
      <c r="B195" s="14"/>
    </row>
    <row r="196">
      <c r="A196" s="15"/>
      <c r="B196" s="14"/>
    </row>
    <row r="197">
      <c r="A197" s="15"/>
      <c r="B197" s="14"/>
    </row>
    <row r="198">
      <c r="A198" s="15"/>
      <c r="B198" s="14"/>
    </row>
    <row r="199">
      <c r="A199" s="15"/>
      <c r="B199" s="14"/>
    </row>
    <row r="200">
      <c r="A200" s="15"/>
      <c r="B200" s="14"/>
    </row>
    <row r="201">
      <c r="A201" s="15"/>
      <c r="B201" s="14"/>
    </row>
    <row r="202">
      <c r="A202" s="15"/>
      <c r="B202" s="14"/>
    </row>
    <row r="203">
      <c r="A203" s="15"/>
      <c r="B203" s="14"/>
    </row>
    <row r="204">
      <c r="A204" s="15"/>
      <c r="B204" s="14"/>
    </row>
    <row r="205">
      <c r="A205" s="15"/>
      <c r="B205" s="14"/>
    </row>
    <row r="206">
      <c r="A206" s="15"/>
      <c r="B206" s="14"/>
    </row>
    <row r="207">
      <c r="A207" s="15"/>
      <c r="B207" s="14"/>
    </row>
    <row r="208">
      <c r="A208" s="15"/>
      <c r="B208" s="14"/>
    </row>
    <row r="209">
      <c r="A209" s="15"/>
      <c r="B209" s="14"/>
    </row>
    <row r="210">
      <c r="A210" s="15"/>
      <c r="B210" s="14"/>
    </row>
    <row r="211">
      <c r="A211" s="15"/>
      <c r="B211" s="14"/>
    </row>
    <row r="212">
      <c r="A212" s="15"/>
      <c r="B212" s="14"/>
    </row>
    <row r="213">
      <c r="A213" s="15"/>
      <c r="B213" s="14"/>
    </row>
    <row r="214">
      <c r="A214" s="15"/>
      <c r="B214" s="14"/>
    </row>
    <row r="215">
      <c r="A215" s="15"/>
      <c r="B215" s="14"/>
    </row>
    <row r="216">
      <c r="A216" s="15"/>
      <c r="B216" s="14"/>
    </row>
    <row r="217">
      <c r="A217" s="15"/>
      <c r="B217" s="14"/>
    </row>
    <row r="218">
      <c r="A218" s="15"/>
      <c r="B218" s="14"/>
    </row>
    <row r="219">
      <c r="A219" s="15"/>
      <c r="B219" s="14"/>
    </row>
    <row r="220">
      <c r="A220" s="15"/>
      <c r="B220" s="14"/>
    </row>
    <row r="221">
      <c r="A221" s="15"/>
      <c r="B221" s="14"/>
    </row>
    <row r="222">
      <c r="A222" s="15"/>
      <c r="B222" s="14"/>
    </row>
    <row r="223">
      <c r="A223" s="15"/>
      <c r="B223" s="14"/>
    </row>
    <row r="224">
      <c r="A224" s="15"/>
      <c r="B224" s="14"/>
    </row>
    <row r="225">
      <c r="A225" s="15"/>
      <c r="B225" s="14"/>
    </row>
    <row r="226">
      <c r="A226" s="15"/>
      <c r="B226" s="14"/>
    </row>
    <row r="227">
      <c r="A227" s="15"/>
      <c r="B227" s="14"/>
    </row>
    <row r="228">
      <c r="A228" s="15"/>
      <c r="B228" s="14"/>
    </row>
    <row r="229">
      <c r="A229" s="15"/>
      <c r="B229" s="14"/>
    </row>
    <row r="230">
      <c r="A230" s="15"/>
      <c r="B230" s="14"/>
    </row>
    <row r="231">
      <c r="A231" s="15"/>
      <c r="B231" s="14"/>
    </row>
    <row r="232">
      <c r="A232" s="15"/>
      <c r="B232" s="14"/>
    </row>
    <row r="233">
      <c r="A233" s="15"/>
      <c r="B233" s="14"/>
    </row>
    <row r="234">
      <c r="A234" s="15"/>
      <c r="B234" s="14"/>
    </row>
    <row r="235">
      <c r="A235" s="15"/>
      <c r="B235" s="14"/>
    </row>
    <row r="236">
      <c r="A236" s="15"/>
      <c r="B236" s="14"/>
    </row>
    <row r="237">
      <c r="A237" s="15"/>
      <c r="B237" s="14"/>
    </row>
    <row r="238">
      <c r="A238" s="15"/>
      <c r="B238" s="14"/>
    </row>
    <row r="239">
      <c r="A239" s="15"/>
      <c r="B239" s="14"/>
    </row>
    <row r="240">
      <c r="A240" s="15"/>
      <c r="B240" s="14"/>
    </row>
    <row r="241">
      <c r="A241" s="15"/>
      <c r="B241" s="14"/>
    </row>
    <row r="242">
      <c r="A242" s="15"/>
      <c r="B242" s="14"/>
    </row>
    <row r="243">
      <c r="A243" s="15"/>
      <c r="B243" s="14"/>
    </row>
    <row r="244">
      <c r="A244" s="15"/>
      <c r="B244" s="14"/>
    </row>
    <row r="245">
      <c r="A245" s="15"/>
      <c r="B245" s="14"/>
    </row>
    <row r="246">
      <c r="A246" s="15"/>
      <c r="B246" s="14"/>
    </row>
    <row r="247">
      <c r="A247" s="15"/>
      <c r="B247" s="14"/>
    </row>
    <row r="248">
      <c r="A248" s="15"/>
      <c r="B248" s="14"/>
    </row>
    <row r="249">
      <c r="A249" s="15"/>
      <c r="B249" s="14"/>
    </row>
    <row r="250">
      <c r="A250" s="15"/>
      <c r="B250" s="14"/>
    </row>
    <row r="251">
      <c r="A251" s="15"/>
      <c r="B251" s="14"/>
    </row>
    <row r="252">
      <c r="A252" s="15"/>
      <c r="B252" s="14"/>
    </row>
    <row r="253">
      <c r="A253" s="15"/>
      <c r="B253" s="14"/>
    </row>
    <row r="254">
      <c r="A254" s="15"/>
      <c r="B254" s="14"/>
    </row>
    <row r="255">
      <c r="A255" s="15"/>
      <c r="B255" s="14"/>
    </row>
    <row r="256">
      <c r="A256" s="15"/>
      <c r="B256" s="14"/>
    </row>
    <row r="257">
      <c r="A257" s="15"/>
      <c r="B257" s="14"/>
    </row>
    <row r="258">
      <c r="A258" s="15"/>
      <c r="B258" s="14"/>
    </row>
    <row r="259">
      <c r="A259" s="15"/>
      <c r="B259" s="14"/>
    </row>
    <row r="260">
      <c r="A260" s="15"/>
      <c r="B260" s="14"/>
    </row>
    <row r="261">
      <c r="A261" s="15"/>
      <c r="B261" s="14"/>
    </row>
    <row r="262">
      <c r="A262" s="15"/>
      <c r="B262" s="14"/>
    </row>
    <row r="263">
      <c r="A263" s="15"/>
      <c r="B263" s="14"/>
    </row>
    <row r="264">
      <c r="A264" s="15"/>
      <c r="B264" s="14"/>
    </row>
    <row r="265">
      <c r="A265" s="15"/>
      <c r="B265" s="14"/>
    </row>
    <row r="266">
      <c r="A266" s="15"/>
      <c r="B266" s="14"/>
    </row>
    <row r="267">
      <c r="A267" s="15"/>
      <c r="B267" s="14"/>
    </row>
    <row r="268">
      <c r="A268" s="15"/>
      <c r="B268" s="14"/>
    </row>
    <row r="269">
      <c r="A269" s="15"/>
      <c r="B269" s="14"/>
    </row>
    <row r="270">
      <c r="A270" s="15"/>
      <c r="B270" s="14"/>
    </row>
    <row r="271">
      <c r="A271" s="15"/>
      <c r="B271" s="14"/>
    </row>
    <row r="272">
      <c r="A272" s="15"/>
      <c r="B272" s="14"/>
    </row>
    <row r="273">
      <c r="A273" s="15"/>
      <c r="B273" s="14"/>
    </row>
    <row r="274">
      <c r="A274" s="15"/>
      <c r="B274" s="14"/>
    </row>
    <row r="275">
      <c r="A275" s="15"/>
      <c r="B275" s="14"/>
    </row>
    <row r="276">
      <c r="A276" s="15"/>
      <c r="B276" s="14"/>
    </row>
    <row r="277">
      <c r="A277" s="15"/>
      <c r="B277" s="14"/>
    </row>
    <row r="278">
      <c r="A278" s="15"/>
      <c r="B278" s="14"/>
    </row>
    <row r="279">
      <c r="A279" s="15"/>
      <c r="B279" s="14"/>
    </row>
    <row r="280">
      <c r="A280" s="15"/>
      <c r="B280" s="14"/>
    </row>
    <row r="281">
      <c r="A281" s="15"/>
      <c r="B281" s="14"/>
    </row>
    <row r="282">
      <c r="A282" s="15"/>
      <c r="B282" s="14"/>
    </row>
    <row r="283">
      <c r="A283" s="15"/>
      <c r="B283" s="14"/>
    </row>
    <row r="284">
      <c r="A284" s="15"/>
      <c r="B284" s="14"/>
    </row>
    <row r="285">
      <c r="A285" s="15"/>
      <c r="B285" s="14"/>
    </row>
    <row r="286">
      <c r="A286" s="15"/>
      <c r="B286" s="14"/>
    </row>
    <row r="287">
      <c r="A287" s="15"/>
      <c r="B287" s="14"/>
    </row>
    <row r="288">
      <c r="A288" s="15"/>
      <c r="B288" s="14"/>
    </row>
    <row r="289">
      <c r="A289" s="15"/>
      <c r="B289" s="14"/>
    </row>
    <row r="290">
      <c r="A290" s="15"/>
      <c r="B290" s="14"/>
    </row>
    <row r="291">
      <c r="A291" s="15"/>
      <c r="B291" s="14"/>
    </row>
    <row r="292">
      <c r="A292" s="15"/>
      <c r="B292" s="14"/>
    </row>
    <row r="293">
      <c r="A293" s="15"/>
      <c r="B293" s="14"/>
    </row>
    <row r="294">
      <c r="A294" s="15"/>
      <c r="B294" s="14"/>
    </row>
    <row r="295">
      <c r="A295" s="15"/>
      <c r="B295" s="14"/>
    </row>
    <row r="296">
      <c r="A296" s="15"/>
      <c r="B296" s="14"/>
    </row>
    <row r="297">
      <c r="A297" s="15"/>
      <c r="B297" s="14"/>
    </row>
    <row r="298">
      <c r="A298" s="15"/>
      <c r="B298" s="14"/>
    </row>
    <row r="299">
      <c r="A299" s="15"/>
      <c r="B299" s="14"/>
    </row>
    <row r="300">
      <c r="A300" s="15"/>
      <c r="B300" s="14"/>
    </row>
    <row r="301">
      <c r="A301" s="15"/>
      <c r="B301" s="14"/>
    </row>
    <row r="302">
      <c r="A302" s="15"/>
      <c r="B302" s="14"/>
    </row>
    <row r="303">
      <c r="A303" s="15"/>
      <c r="B303" s="14"/>
    </row>
    <row r="304">
      <c r="A304" s="15"/>
      <c r="B304" s="14"/>
    </row>
    <row r="305">
      <c r="A305" s="15"/>
      <c r="B305" s="14"/>
    </row>
    <row r="306">
      <c r="A306" s="15"/>
      <c r="B306" s="14"/>
    </row>
    <row r="307">
      <c r="A307" s="15"/>
      <c r="B307" s="14"/>
    </row>
    <row r="308">
      <c r="A308" s="15"/>
      <c r="B308" s="14"/>
    </row>
    <row r="309">
      <c r="A309" s="15"/>
      <c r="B309" s="14"/>
    </row>
    <row r="310">
      <c r="A310" s="15"/>
      <c r="B310" s="14"/>
    </row>
    <row r="311">
      <c r="A311" s="15"/>
      <c r="B311" s="14"/>
    </row>
    <row r="312">
      <c r="A312" s="15"/>
      <c r="B312" s="14"/>
    </row>
    <row r="313">
      <c r="A313" s="15"/>
      <c r="B313" s="14"/>
    </row>
    <row r="314">
      <c r="A314" s="15"/>
      <c r="B314" s="14"/>
    </row>
    <row r="315">
      <c r="A315" s="15"/>
      <c r="B315" s="14"/>
    </row>
    <row r="316">
      <c r="A316" s="15"/>
      <c r="B316" s="14"/>
    </row>
    <row r="317">
      <c r="A317" s="15"/>
      <c r="B317" s="14"/>
    </row>
    <row r="318">
      <c r="A318" s="15"/>
      <c r="B318" s="14"/>
    </row>
    <row r="319">
      <c r="A319" s="15"/>
      <c r="B319" s="14"/>
    </row>
    <row r="320">
      <c r="A320" s="15"/>
      <c r="B320" s="14"/>
    </row>
    <row r="321">
      <c r="A321" s="15"/>
      <c r="B321" s="14"/>
    </row>
    <row r="322">
      <c r="A322" s="15"/>
      <c r="B322" s="14"/>
    </row>
    <row r="323">
      <c r="A323" s="15"/>
      <c r="B323" s="14"/>
    </row>
    <row r="324">
      <c r="A324" s="15"/>
      <c r="B324" s="14"/>
    </row>
    <row r="325">
      <c r="A325" s="15"/>
      <c r="B325" s="14"/>
    </row>
    <row r="326">
      <c r="A326" s="15"/>
      <c r="B326" s="14"/>
    </row>
    <row r="327">
      <c r="A327" s="15"/>
      <c r="B327" s="14"/>
    </row>
    <row r="328">
      <c r="A328" s="15"/>
      <c r="B328" s="14"/>
    </row>
    <row r="329">
      <c r="A329" s="15"/>
      <c r="B329" s="14"/>
    </row>
    <row r="330">
      <c r="A330" s="15"/>
      <c r="B330" s="14"/>
    </row>
    <row r="331">
      <c r="A331" s="15"/>
      <c r="B331" s="14"/>
    </row>
    <row r="332">
      <c r="A332" s="15"/>
      <c r="B332" s="14"/>
    </row>
    <row r="333">
      <c r="A333" s="15"/>
      <c r="B333" s="14"/>
    </row>
    <row r="334">
      <c r="A334" s="15"/>
      <c r="B334" s="14"/>
    </row>
    <row r="335">
      <c r="A335" s="15"/>
      <c r="B335" s="14"/>
    </row>
    <row r="336">
      <c r="A336" s="15"/>
      <c r="B336" s="14"/>
    </row>
    <row r="337">
      <c r="A337" s="15"/>
      <c r="B337" s="14"/>
    </row>
    <row r="338">
      <c r="A338" s="15"/>
      <c r="B338" s="14"/>
    </row>
    <row r="339">
      <c r="A339" s="15"/>
      <c r="B339" s="14"/>
    </row>
    <row r="340">
      <c r="A340" s="15"/>
      <c r="B340" s="14"/>
    </row>
    <row r="341">
      <c r="A341" s="15"/>
      <c r="B341" s="14"/>
    </row>
    <row r="342">
      <c r="A342" s="15"/>
      <c r="B342" s="14"/>
    </row>
    <row r="343">
      <c r="A343" s="15"/>
      <c r="B343" s="14"/>
    </row>
    <row r="344">
      <c r="A344" s="15"/>
      <c r="B344" s="14"/>
    </row>
    <row r="345">
      <c r="A345" s="15"/>
      <c r="B345" s="14"/>
    </row>
    <row r="346">
      <c r="A346" s="15"/>
      <c r="B346" s="14"/>
    </row>
    <row r="347">
      <c r="A347" s="15"/>
      <c r="B347" s="14"/>
    </row>
    <row r="348">
      <c r="A348" s="15"/>
      <c r="B348" s="14"/>
    </row>
    <row r="349">
      <c r="A349" s="15"/>
      <c r="B349" s="14"/>
    </row>
    <row r="350">
      <c r="A350" s="15"/>
      <c r="B350" s="14"/>
    </row>
    <row r="351">
      <c r="A351" s="15"/>
      <c r="B351" s="14"/>
    </row>
    <row r="352">
      <c r="A352" s="15"/>
      <c r="B352" s="14"/>
    </row>
    <row r="353">
      <c r="A353" s="15"/>
      <c r="B353" s="14"/>
    </row>
    <row r="354">
      <c r="A354" s="15"/>
      <c r="B354" s="14"/>
    </row>
    <row r="355">
      <c r="A355" s="15"/>
      <c r="B355" s="14"/>
    </row>
    <row r="356">
      <c r="A356" s="15"/>
      <c r="B356" s="14"/>
    </row>
    <row r="357">
      <c r="A357" s="15"/>
      <c r="B357" s="14"/>
    </row>
    <row r="358">
      <c r="A358" s="15"/>
      <c r="B358" s="14"/>
    </row>
    <row r="359">
      <c r="A359" s="15"/>
      <c r="B359" s="14"/>
    </row>
    <row r="360">
      <c r="A360" s="15"/>
      <c r="B360" s="14"/>
    </row>
    <row r="361">
      <c r="A361" s="15"/>
      <c r="B361" s="14"/>
    </row>
    <row r="362">
      <c r="A362" s="15"/>
      <c r="B362" s="14"/>
    </row>
    <row r="363">
      <c r="A363" s="15"/>
      <c r="B363" s="14"/>
    </row>
    <row r="364">
      <c r="A364" s="15"/>
      <c r="B364" s="14"/>
    </row>
    <row r="365">
      <c r="A365" s="15"/>
      <c r="B365" s="14"/>
    </row>
    <row r="366">
      <c r="A366" s="15"/>
      <c r="B366" s="14"/>
    </row>
    <row r="367">
      <c r="A367" s="15"/>
      <c r="B367" s="14"/>
    </row>
    <row r="368">
      <c r="A368" s="15"/>
      <c r="B368" s="14"/>
    </row>
    <row r="369">
      <c r="A369" s="15"/>
      <c r="B369" s="14"/>
    </row>
    <row r="370">
      <c r="A370" s="15"/>
      <c r="B370" s="14"/>
    </row>
    <row r="371">
      <c r="A371" s="15"/>
      <c r="B371" s="14"/>
    </row>
    <row r="372">
      <c r="A372" s="15"/>
      <c r="B372" s="14"/>
    </row>
    <row r="373">
      <c r="A373" s="15"/>
      <c r="B373" s="14"/>
    </row>
    <row r="374">
      <c r="A374" s="15"/>
      <c r="B374" s="14"/>
    </row>
    <row r="375">
      <c r="A375" s="15"/>
      <c r="B375" s="14"/>
    </row>
    <row r="376">
      <c r="A376" s="15"/>
      <c r="B376" s="14"/>
    </row>
    <row r="377">
      <c r="A377" s="15"/>
      <c r="B377" s="14"/>
    </row>
    <row r="378">
      <c r="A378" s="15"/>
      <c r="B378" s="14"/>
    </row>
    <row r="379">
      <c r="A379" s="15"/>
      <c r="B379" s="14"/>
    </row>
    <row r="380">
      <c r="A380" s="15"/>
      <c r="B380" s="14"/>
    </row>
    <row r="381">
      <c r="A381" s="15"/>
      <c r="B381" s="14"/>
    </row>
    <row r="382">
      <c r="A382" s="15"/>
      <c r="B382" s="14"/>
    </row>
    <row r="383">
      <c r="A383" s="15"/>
      <c r="B383" s="14"/>
    </row>
    <row r="384">
      <c r="A384" s="15"/>
      <c r="B384" s="14"/>
    </row>
    <row r="385">
      <c r="A385" s="15"/>
      <c r="B385" s="14"/>
    </row>
    <row r="386">
      <c r="A386" s="15"/>
      <c r="B386" s="14"/>
    </row>
    <row r="387">
      <c r="A387" s="15"/>
      <c r="B387" s="14"/>
    </row>
    <row r="388">
      <c r="A388" s="15"/>
      <c r="B388" s="14"/>
    </row>
    <row r="389">
      <c r="A389" s="15"/>
      <c r="B389" s="14"/>
    </row>
    <row r="390">
      <c r="A390" s="15"/>
      <c r="B390" s="14"/>
    </row>
    <row r="391">
      <c r="A391" s="15"/>
      <c r="B391" s="14"/>
    </row>
    <row r="392">
      <c r="A392" s="15"/>
      <c r="B392" s="14"/>
    </row>
    <row r="393">
      <c r="A393" s="15"/>
      <c r="B393" s="14"/>
    </row>
    <row r="394">
      <c r="A394" s="15"/>
      <c r="B394" s="14"/>
    </row>
    <row r="395">
      <c r="A395" s="15"/>
      <c r="B395" s="14"/>
    </row>
    <row r="396">
      <c r="A396" s="15"/>
      <c r="B396" s="14"/>
    </row>
    <row r="397">
      <c r="A397" s="15"/>
      <c r="B397" s="14"/>
    </row>
    <row r="398">
      <c r="A398" s="15"/>
      <c r="B398" s="14"/>
    </row>
    <row r="399">
      <c r="A399" s="15"/>
      <c r="B399" s="14"/>
    </row>
    <row r="400">
      <c r="A400" s="15"/>
      <c r="B400" s="14"/>
    </row>
    <row r="401">
      <c r="A401" s="15"/>
      <c r="B401" s="14"/>
    </row>
    <row r="402">
      <c r="A402" s="15"/>
      <c r="B402" s="14"/>
    </row>
    <row r="403">
      <c r="A403" s="15"/>
      <c r="B403" s="14"/>
    </row>
    <row r="404">
      <c r="A404" s="15"/>
      <c r="B404" s="14"/>
    </row>
    <row r="405">
      <c r="A405" s="15"/>
      <c r="B405" s="14"/>
    </row>
    <row r="406">
      <c r="A406" s="15"/>
      <c r="B406" s="14"/>
    </row>
    <row r="407">
      <c r="A407" s="15"/>
      <c r="B407" s="14"/>
    </row>
    <row r="408">
      <c r="A408" s="15"/>
      <c r="B408" s="14"/>
    </row>
    <row r="409">
      <c r="A409" s="15"/>
      <c r="B409" s="14"/>
    </row>
    <row r="410">
      <c r="A410" s="15"/>
      <c r="B410" s="14"/>
    </row>
    <row r="411">
      <c r="A411" s="15"/>
      <c r="B411" s="14"/>
    </row>
    <row r="412">
      <c r="A412" s="15"/>
      <c r="B412" s="14"/>
    </row>
    <row r="413">
      <c r="A413" s="15"/>
      <c r="B413" s="14"/>
    </row>
    <row r="414">
      <c r="A414" s="15"/>
      <c r="B414" s="14"/>
    </row>
    <row r="415">
      <c r="A415" s="15"/>
      <c r="B415" s="14"/>
    </row>
    <row r="416">
      <c r="A416" s="15"/>
      <c r="B416" s="14"/>
    </row>
    <row r="417">
      <c r="A417" s="15"/>
      <c r="B417" s="14"/>
    </row>
    <row r="418">
      <c r="A418" s="15"/>
      <c r="B418" s="14"/>
    </row>
    <row r="419">
      <c r="A419" s="15"/>
      <c r="B419" s="14"/>
    </row>
    <row r="420">
      <c r="A420" s="15"/>
      <c r="B420" s="14"/>
    </row>
    <row r="421">
      <c r="A421" s="15"/>
      <c r="B421" s="14"/>
    </row>
    <row r="422">
      <c r="A422" s="15"/>
      <c r="B422" s="14"/>
    </row>
    <row r="423">
      <c r="A423" s="15"/>
      <c r="B423" s="14"/>
    </row>
    <row r="424">
      <c r="A424" s="15"/>
      <c r="B424" s="14"/>
    </row>
    <row r="425">
      <c r="A425" s="15"/>
      <c r="B425" s="14"/>
    </row>
    <row r="426">
      <c r="A426" s="15"/>
      <c r="B426" s="14"/>
    </row>
    <row r="427">
      <c r="A427" s="15"/>
      <c r="B427" s="14"/>
    </row>
    <row r="428">
      <c r="A428" s="15"/>
      <c r="B428" s="14"/>
    </row>
    <row r="429">
      <c r="A429" s="15"/>
      <c r="B429" s="14"/>
    </row>
    <row r="430">
      <c r="A430" s="15"/>
      <c r="B430" s="14"/>
    </row>
    <row r="431">
      <c r="A431" s="15"/>
      <c r="B431" s="14"/>
    </row>
    <row r="432">
      <c r="A432" s="15"/>
      <c r="B432" s="14"/>
    </row>
    <row r="433">
      <c r="A433" s="15"/>
      <c r="B433" s="14"/>
    </row>
    <row r="434">
      <c r="A434" s="15"/>
      <c r="B434" s="14"/>
    </row>
    <row r="435">
      <c r="A435" s="15"/>
      <c r="B435" s="14"/>
    </row>
    <row r="436">
      <c r="A436" s="15"/>
      <c r="B436" s="14"/>
    </row>
    <row r="437">
      <c r="A437" s="15"/>
      <c r="B437" s="14"/>
    </row>
    <row r="438">
      <c r="A438" s="15"/>
      <c r="B438" s="14"/>
    </row>
    <row r="439">
      <c r="A439" s="15"/>
      <c r="B439" s="14"/>
    </row>
    <row r="440">
      <c r="A440" s="15"/>
      <c r="B440" s="14"/>
    </row>
    <row r="441">
      <c r="A441" s="15"/>
      <c r="B441" s="14"/>
    </row>
    <row r="442">
      <c r="A442" s="15"/>
      <c r="B442" s="14"/>
    </row>
    <row r="443">
      <c r="A443" s="15"/>
      <c r="B443" s="14"/>
    </row>
    <row r="444">
      <c r="A444" s="15"/>
      <c r="B444" s="14"/>
    </row>
    <row r="445">
      <c r="A445" s="15"/>
      <c r="B445" s="14"/>
    </row>
    <row r="446">
      <c r="A446" s="15"/>
      <c r="B446" s="14"/>
    </row>
    <row r="447">
      <c r="A447" s="15"/>
      <c r="B447" s="14"/>
    </row>
    <row r="448">
      <c r="A448" s="15"/>
      <c r="B448" s="14"/>
    </row>
    <row r="449">
      <c r="A449" s="15"/>
      <c r="B449" s="14"/>
    </row>
    <row r="450">
      <c r="A450" s="15"/>
      <c r="B450" s="14"/>
    </row>
    <row r="451">
      <c r="A451" s="15"/>
      <c r="B451" s="14"/>
    </row>
    <row r="452">
      <c r="A452" s="15"/>
      <c r="B452" s="14"/>
    </row>
    <row r="453">
      <c r="A453" s="15"/>
      <c r="B453" s="14"/>
    </row>
    <row r="454">
      <c r="A454" s="15"/>
      <c r="B454" s="14"/>
    </row>
    <row r="455">
      <c r="A455" s="15"/>
      <c r="B455" s="14"/>
    </row>
    <row r="456">
      <c r="A456" s="15"/>
      <c r="B456" s="14"/>
    </row>
    <row r="457">
      <c r="A457" s="15"/>
      <c r="B457" s="14"/>
    </row>
    <row r="458">
      <c r="A458" s="15"/>
      <c r="B458" s="14"/>
    </row>
    <row r="459">
      <c r="A459" s="15"/>
      <c r="B459" s="14"/>
    </row>
    <row r="460">
      <c r="A460" s="15"/>
      <c r="B460" s="14"/>
    </row>
    <row r="461">
      <c r="A461" s="15"/>
      <c r="B461" s="14"/>
    </row>
    <row r="462">
      <c r="A462" s="15"/>
      <c r="B462" s="14"/>
    </row>
    <row r="463">
      <c r="A463" s="15"/>
      <c r="B463" s="14"/>
    </row>
    <row r="464">
      <c r="A464" s="15"/>
      <c r="B464" s="14"/>
    </row>
    <row r="465">
      <c r="A465" s="15"/>
      <c r="B465" s="14"/>
    </row>
    <row r="466">
      <c r="A466" s="15"/>
      <c r="B466" s="14"/>
    </row>
    <row r="467">
      <c r="A467" s="15"/>
      <c r="B467" s="14"/>
    </row>
    <row r="468">
      <c r="A468" s="15"/>
      <c r="B468" s="14"/>
    </row>
    <row r="469">
      <c r="A469" s="15"/>
      <c r="B469" s="14"/>
    </row>
    <row r="470">
      <c r="A470" s="15"/>
      <c r="B470" s="14"/>
    </row>
    <row r="471">
      <c r="A471" s="15"/>
      <c r="B471" s="14"/>
    </row>
    <row r="472">
      <c r="A472" s="15"/>
      <c r="B472" s="14"/>
    </row>
    <row r="473">
      <c r="A473" s="15"/>
      <c r="B473" s="14"/>
    </row>
    <row r="474">
      <c r="A474" s="15"/>
      <c r="B474" s="14"/>
    </row>
    <row r="475">
      <c r="A475" s="15"/>
      <c r="B475" s="14"/>
    </row>
    <row r="476">
      <c r="A476" s="15"/>
      <c r="B476" s="14"/>
    </row>
    <row r="477">
      <c r="A477" s="15"/>
      <c r="B477" s="14"/>
    </row>
    <row r="478">
      <c r="A478" s="15"/>
      <c r="B478" s="14"/>
    </row>
    <row r="479">
      <c r="A479" s="15"/>
      <c r="B479" s="14"/>
    </row>
    <row r="480">
      <c r="A480" s="15"/>
      <c r="B480" s="14"/>
    </row>
    <row r="481">
      <c r="A481" s="15"/>
      <c r="B481" s="14"/>
    </row>
    <row r="482">
      <c r="A482" s="15"/>
      <c r="B482" s="14"/>
    </row>
    <row r="483">
      <c r="A483" s="15"/>
      <c r="B483" s="14"/>
    </row>
    <row r="484">
      <c r="A484" s="15"/>
      <c r="B484" s="14"/>
    </row>
    <row r="485">
      <c r="A485" s="15"/>
      <c r="B485" s="14"/>
    </row>
    <row r="486">
      <c r="A486" s="15"/>
      <c r="B486" s="14"/>
    </row>
    <row r="487">
      <c r="A487" s="15"/>
      <c r="B487" s="14"/>
    </row>
    <row r="488">
      <c r="A488" s="15"/>
      <c r="B488" s="14"/>
    </row>
    <row r="489">
      <c r="A489" s="15"/>
      <c r="B489" s="14"/>
    </row>
    <row r="490">
      <c r="A490" s="15"/>
      <c r="B490" s="14"/>
    </row>
    <row r="491">
      <c r="A491" s="15"/>
      <c r="B491" s="14"/>
    </row>
    <row r="492">
      <c r="A492" s="15"/>
      <c r="B492" s="14"/>
    </row>
    <row r="493">
      <c r="A493" s="15"/>
      <c r="B493" s="14"/>
    </row>
    <row r="494">
      <c r="A494" s="15"/>
      <c r="B494" s="14"/>
    </row>
    <row r="495">
      <c r="A495" s="15"/>
      <c r="B495" s="14"/>
    </row>
    <row r="496">
      <c r="A496" s="15"/>
      <c r="B496" s="14"/>
    </row>
    <row r="497">
      <c r="A497" s="15"/>
      <c r="B497" s="14"/>
    </row>
    <row r="498">
      <c r="A498" s="15"/>
      <c r="B498" s="14"/>
    </row>
    <row r="499">
      <c r="A499" s="15"/>
      <c r="B499" s="14"/>
    </row>
    <row r="500">
      <c r="A500" s="15"/>
      <c r="B500" s="14"/>
    </row>
    <row r="501">
      <c r="A501" s="15"/>
      <c r="B501" s="14"/>
    </row>
    <row r="502">
      <c r="A502" s="15"/>
      <c r="B502" s="14"/>
    </row>
    <row r="503">
      <c r="A503" s="15"/>
      <c r="B503" s="14"/>
    </row>
    <row r="504">
      <c r="A504" s="15"/>
      <c r="B504" s="14"/>
    </row>
    <row r="505">
      <c r="A505" s="15"/>
      <c r="B505" s="14"/>
    </row>
    <row r="506">
      <c r="A506" s="15"/>
      <c r="B506" s="14"/>
    </row>
    <row r="507">
      <c r="A507" s="15"/>
      <c r="B507" s="14"/>
    </row>
    <row r="508">
      <c r="A508" s="15"/>
      <c r="B508" s="14"/>
    </row>
    <row r="509">
      <c r="A509" s="15"/>
      <c r="B509" s="14"/>
    </row>
    <row r="510">
      <c r="A510" s="15"/>
      <c r="B510" s="14"/>
    </row>
    <row r="511">
      <c r="A511" s="15"/>
      <c r="B511" s="14"/>
    </row>
    <row r="512">
      <c r="A512" s="15"/>
      <c r="B512" s="14"/>
    </row>
    <row r="513">
      <c r="A513" s="15"/>
      <c r="B513" s="14"/>
    </row>
    <row r="514">
      <c r="A514" s="15"/>
      <c r="B514" s="14"/>
    </row>
    <row r="515">
      <c r="A515" s="15"/>
      <c r="B515" s="14"/>
    </row>
    <row r="516">
      <c r="A516" s="15"/>
      <c r="B516" s="14"/>
    </row>
    <row r="517">
      <c r="A517" s="15"/>
      <c r="B517" s="14"/>
    </row>
    <row r="518">
      <c r="A518" s="15"/>
      <c r="B518" s="14"/>
    </row>
    <row r="519">
      <c r="A519" s="15"/>
      <c r="B519" s="14"/>
    </row>
    <row r="520">
      <c r="A520" s="15"/>
      <c r="B520" s="14"/>
    </row>
    <row r="521">
      <c r="A521" s="15"/>
      <c r="B521" s="14"/>
    </row>
    <row r="522">
      <c r="A522" s="15"/>
      <c r="B522" s="14"/>
    </row>
    <row r="523">
      <c r="A523" s="15"/>
      <c r="B523" s="14"/>
    </row>
    <row r="524">
      <c r="A524" s="15"/>
      <c r="B524" s="14"/>
    </row>
    <row r="525">
      <c r="A525" s="15"/>
      <c r="B525" s="14"/>
    </row>
    <row r="526">
      <c r="A526" s="15"/>
      <c r="B526" s="14"/>
    </row>
    <row r="527">
      <c r="A527" s="15"/>
      <c r="B527" s="14"/>
    </row>
    <row r="528">
      <c r="A528" s="15"/>
      <c r="B528" s="14"/>
    </row>
    <row r="529">
      <c r="A529" s="15"/>
      <c r="B529" s="14"/>
    </row>
    <row r="530">
      <c r="A530" s="15"/>
      <c r="B530" s="14"/>
    </row>
    <row r="531">
      <c r="A531" s="15"/>
      <c r="B531" s="14"/>
    </row>
    <row r="532">
      <c r="A532" s="15"/>
      <c r="B532" s="14"/>
    </row>
    <row r="533">
      <c r="A533" s="15"/>
      <c r="B533" s="14"/>
    </row>
    <row r="534">
      <c r="A534" s="15"/>
      <c r="B534" s="14"/>
    </row>
    <row r="535">
      <c r="A535" s="15"/>
      <c r="B535" s="14"/>
    </row>
    <row r="536">
      <c r="A536" s="15"/>
      <c r="B536" s="14"/>
    </row>
    <row r="537">
      <c r="A537" s="15"/>
      <c r="B537" s="14"/>
    </row>
    <row r="538">
      <c r="A538" s="15"/>
      <c r="B538" s="14"/>
    </row>
    <row r="539">
      <c r="A539" s="15"/>
      <c r="B539" s="14"/>
    </row>
    <row r="540">
      <c r="A540" s="15"/>
      <c r="B540" s="14"/>
    </row>
    <row r="541">
      <c r="A541" s="15"/>
      <c r="B541" s="14"/>
    </row>
    <row r="542">
      <c r="A542" s="15"/>
      <c r="B542" s="14"/>
    </row>
    <row r="543">
      <c r="A543" s="15"/>
      <c r="B543" s="14"/>
    </row>
    <row r="544">
      <c r="A544" s="15"/>
      <c r="B544" s="14"/>
    </row>
    <row r="545">
      <c r="A545" s="15"/>
      <c r="B545" s="14"/>
    </row>
    <row r="546">
      <c r="A546" s="15"/>
      <c r="B546" s="14"/>
    </row>
    <row r="547">
      <c r="A547" s="15"/>
      <c r="B547" s="14"/>
    </row>
    <row r="548">
      <c r="A548" s="15"/>
      <c r="B548" s="14"/>
    </row>
    <row r="549">
      <c r="A549" s="15"/>
      <c r="B549" s="14"/>
    </row>
    <row r="550">
      <c r="A550" s="15"/>
      <c r="B550" s="14"/>
    </row>
    <row r="551">
      <c r="A551" s="15"/>
      <c r="B551" s="14"/>
    </row>
    <row r="552">
      <c r="A552" s="15"/>
      <c r="B552" s="14"/>
    </row>
    <row r="553">
      <c r="A553" s="15"/>
      <c r="B553" s="14"/>
    </row>
    <row r="554">
      <c r="A554" s="15"/>
      <c r="B554" s="14"/>
    </row>
    <row r="555">
      <c r="A555" s="15"/>
      <c r="B555" s="14"/>
    </row>
    <row r="556">
      <c r="A556" s="15"/>
      <c r="B556" s="14"/>
    </row>
    <row r="557">
      <c r="A557" s="15"/>
      <c r="B557" s="14"/>
    </row>
    <row r="558">
      <c r="A558" s="15"/>
      <c r="B558" s="14"/>
    </row>
    <row r="559">
      <c r="A559" s="15"/>
      <c r="B559" s="14"/>
    </row>
    <row r="560">
      <c r="A560" s="15"/>
      <c r="B560" s="14"/>
    </row>
    <row r="561">
      <c r="A561" s="15"/>
      <c r="B561" s="14"/>
    </row>
    <row r="562">
      <c r="A562" s="15"/>
      <c r="B562" s="14"/>
    </row>
    <row r="563">
      <c r="A563" s="15"/>
      <c r="B563" s="14"/>
    </row>
    <row r="564">
      <c r="A564" s="15"/>
      <c r="B564" s="14"/>
    </row>
    <row r="565">
      <c r="A565" s="15"/>
      <c r="B565" s="14"/>
    </row>
    <row r="566">
      <c r="A566" s="15"/>
      <c r="B566" s="14"/>
    </row>
    <row r="567">
      <c r="A567" s="15"/>
      <c r="B567" s="14"/>
    </row>
    <row r="568">
      <c r="A568" s="15"/>
      <c r="B568" s="14"/>
    </row>
    <row r="569">
      <c r="A569" s="15"/>
      <c r="B569" s="14"/>
    </row>
    <row r="570">
      <c r="A570" s="15"/>
      <c r="B570" s="14"/>
    </row>
    <row r="571">
      <c r="A571" s="15"/>
      <c r="B571" s="14"/>
    </row>
    <row r="572">
      <c r="A572" s="15"/>
      <c r="B572" s="14"/>
    </row>
    <row r="573">
      <c r="A573" s="15"/>
      <c r="B573" s="14"/>
    </row>
    <row r="574">
      <c r="A574" s="15"/>
      <c r="B574" s="14"/>
    </row>
    <row r="575">
      <c r="A575" s="15"/>
      <c r="B575" s="14"/>
    </row>
    <row r="576">
      <c r="A576" s="15"/>
      <c r="B576" s="14"/>
    </row>
    <row r="577">
      <c r="A577" s="15"/>
      <c r="B577" s="14"/>
    </row>
    <row r="578">
      <c r="A578" s="15"/>
      <c r="B578" s="14"/>
    </row>
    <row r="579">
      <c r="A579" s="15"/>
      <c r="B579" s="14"/>
    </row>
    <row r="580">
      <c r="A580" s="15"/>
      <c r="B580" s="14"/>
    </row>
    <row r="581">
      <c r="A581" s="15"/>
      <c r="B581" s="14"/>
    </row>
    <row r="582">
      <c r="A582" s="15"/>
      <c r="B582" s="14"/>
    </row>
    <row r="583">
      <c r="A583" s="15"/>
      <c r="B583" s="14"/>
    </row>
    <row r="584">
      <c r="A584" s="15"/>
      <c r="B584" s="14"/>
    </row>
    <row r="585">
      <c r="A585" s="15"/>
      <c r="B585" s="14"/>
    </row>
    <row r="586">
      <c r="A586" s="15"/>
      <c r="B586" s="14"/>
    </row>
    <row r="587">
      <c r="A587" s="15"/>
      <c r="B587" s="14"/>
    </row>
    <row r="588">
      <c r="A588" s="15"/>
      <c r="B588" s="14"/>
    </row>
    <row r="589">
      <c r="A589" s="15"/>
      <c r="B589" s="14"/>
    </row>
    <row r="590">
      <c r="A590" s="15"/>
      <c r="B590" s="14"/>
    </row>
    <row r="591">
      <c r="A591" s="15"/>
      <c r="B591" s="14"/>
    </row>
    <row r="592">
      <c r="A592" s="15"/>
      <c r="B592" s="14"/>
    </row>
    <row r="593">
      <c r="A593" s="15"/>
      <c r="B593" s="14"/>
    </row>
    <row r="594">
      <c r="A594" s="15"/>
      <c r="B594" s="14"/>
    </row>
    <row r="595">
      <c r="A595" s="15"/>
      <c r="B595" s="14"/>
    </row>
    <row r="596">
      <c r="A596" s="15"/>
      <c r="B596" s="14"/>
    </row>
    <row r="597">
      <c r="A597" s="15"/>
      <c r="B597" s="14"/>
    </row>
    <row r="598">
      <c r="A598" s="15"/>
      <c r="B598" s="14"/>
    </row>
    <row r="599">
      <c r="A599" s="15"/>
      <c r="B599" s="14"/>
    </row>
    <row r="600">
      <c r="A600" s="15"/>
      <c r="B600" s="14"/>
    </row>
    <row r="601">
      <c r="A601" s="15"/>
      <c r="B601" s="14"/>
    </row>
    <row r="602">
      <c r="A602" s="15"/>
      <c r="B602" s="14"/>
    </row>
    <row r="603">
      <c r="A603" s="15"/>
      <c r="B603" s="14"/>
    </row>
    <row r="604">
      <c r="A604" s="15"/>
      <c r="B604" s="14"/>
    </row>
    <row r="605">
      <c r="A605" s="15"/>
      <c r="B605" s="14"/>
    </row>
    <row r="606">
      <c r="A606" s="15"/>
      <c r="B606" s="14"/>
    </row>
    <row r="607">
      <c r="A607" s="15"/>
      <c r="B607" s="14"/>
    </row>
    <row r="608">
      <c r="A608" s="15"/>
      <c r="B608" s="14"/>
    </row>
    <row r="609">
      <c r="A609" s="15"/>
      <c r="B609" s="14"/>
    </row>
    <row r="610">
      <c r="A610" s="15"/>
      <c r="B610" s="14"/>
    </row>
    <row r="611">
      <c r="A611" s="15"/>
      <c r="B611" s="14"/>
    </row>
    <row r="612">
      <c r="A612" s="15"/>
      <c r="B612" s="14"/>
    </row>
    <row r="613">
      <c r="A613" s="15"/>
      <c r="B613" s="14"/>
    </row>
    <row r="614">
      <c r="A614" s="15"/>
      <c r="B614" s="14"/>
    </row>
    <row r="615">
      <c r="A615" s="15"/>
      <c r="B615" s="14"/>
    </row>
    <row r="616">
      <c r="A616" s="15"/>
      <c r="B616" s="14"/>
    </row>
    <row r="617">
      <c r="A617" s="15"/>
      <c r="B617" s="14"/>
    </row>
    <row r="618">
      <c r="A618" s="15"/>
      <c r="B618" s="14"/>
    </row>
    <row r="619">
      <c r="A619" s="15"/>
      <c r="B619" s="14"/>
    </row>
    <row r="620">
      <c r="A620" s="15"/>
      <c r="B620" s="14"/>
    </row>
    <row r="621">
      <c r="A621" s="15"/>
      <c r="B621" s="14"/>
    </row>
    <row r="622">
      <c r="A622" s="15"/>
      <c r="B622" s="14"/>
    </row>
    <row r="623">
      <c r="A623" s="15"/>
      <c r="B623" s="14"/>
    </row>
    <row r="624">
      <c r="A624" s="15"/>
      <c r="B624" s="14"/>
    </row>
    <row r="625">
      <c r="A625" s="15"/>
      <c r="B625" s="14"/>
    </row>
    <row r="626">
      <c r="A626" s="15"/>
      <c r="B626" s="14"/>
    </row>
    <row r="627">
      <c r="A627" s="15"/>
      <c r="B627" s="14"/>
    </row>
    <row r="628">
      <c r="A628" s="15"/>
      <c r="B628" s="14"/>
    </row>
    <row r="629">
      <c r="A629" s="15"/>
      <c r="B629" s="14"/>
    </row>
    <row r="630">
      <c r="A630" s="15"/>
      <c r="B630" s="14"/>
    </row>
    <row r="631">
      <c r="A631" s="15"/>
      <c r="B631" s="14"/>
    </row>
    <row r="632">
      <c r="A632" s="15"/>
      <c r="B632" s="14"/>
    </row>
    <row r="633">
      <c r="A633" s="15"/>
      <c r="B633" s="14"/>
    </row>
    <row r="634">
      <c r="A634" s="15"/>
      <c r="B634" s="14"/>
    </row>
    <row r="635">
      <c r="A635" s="15"/>
      <c r="B635" s="14"/>
    </row>
    <row r="636">
      <c r="A636" s="15"/>
      <c r="B636" s="14"/>
    </row>
    <row r="637">
      <c r="A637" s="15"/>
      <c r="B637" s="14"/>
    </row>
    <row r="638">
      <c r="A638" s="15"/>
      <c r="B638" s="14"/>
    </row>
    <row r="639">
      <c r="A639" s="15"/>
      <c r="B639" s="14"/>
    </row>
    <row r="640">
      <c r="A640" s="15"/>
      <c r="B640" s="14"/>
    </row>
    <row r="641">
      <c r="A641" s="15"/>
      <c r="B641" s="14"/>
    </row>
    <row r="642">
      <c r="A642" s="15"/>
      <c r="B642" s="14"/>
    </row>
    <row r="643">
      <c r="A643" s="15"/>
      <c r="B643" s="14"/>
    </row>
    <row r="644">
      <c r="A644" s="15"/>
      <c r="B644" s="14"/>
    </row>
    <row r="645">
      <c r="A645" s="15"/>
      <c r="B645" s="14"/>
    </row>
    <row r="646">
      <c r="A646" s="15"/>
      <c r="B646" s="14"/>
    </row>
    <row r="647">
      <c r="A647" s="15"/>
      <c r="B647" s="14"/>
    </row>
    <row r="648">
      <c r="A648" s="15"/>
      <c r="B648" s="14"/>
    </row>
    <row r="649">
      <c r="A649" s="15"/>
      <c r="B649" s="14"/>
    </row>
    <row r="650">
      <c r="A650" s="15"/>
      <c r="B650" s="14"/>
    </row>
    <row r="651">
      <c r="A651" s="15"/>
      <c r="B651" s="14"/>
    </row>
    <row r="652">
      <c r="A652" s="15"/>
      <c r="B652" s="14"/>
    </row>
    <row r="653">
      <c r="A653" s="15"/>
      <c r="B653" s="14"/>
    </row>
    <row r="654">
      <c r="A654" s="15"/>
      <c r="B654" s="14"/>
    </row>
    <row r="655">
      <c r="A655" s="15"/>
      <c r="B655" s="14"/>
    </row>
    <row r="656">
      <c r="A656" s="15"/>
      <c r="B656" s="14"/>
    </row>
    <row r="657">
      <c r="A657" s="15"/>
      <c r="B657" s="14"/>
    </row>
    <row r="658">
      <c r="A658" s="15"/>
      <c r="B658" s="14"/>
    </row>
    <row r="659">
      <c r="A659" s="15"/>
      <c r="B659" s="14"/>
    </row>
    <row r="660">
      <c r="A660" s="15"/>
      <c r="B660" s="14"/>
    </row>
    <row r="661">
      <c r="A661" s="15"/>
      <c r="B661" s="14"/>
    </row>
    <row r="662">
      <c r="A662" s="15"/>
      <c r="B662" s="14"/>
    </row>
    <row r="663">
      <c r="A663" s="15"/>
      <c r="B663" s="14"/>
    </row>
    <row r="664">
      <c r="A664" s="15"/>
      <c r="B664" s="14"/>
    </row>
    <row r="665">
      <c r="A665" s="15"/>
      <c r="B665" s="14"/>
    </row>
    <row r="666">
      <c r="A666" s="15"/>
      <c r="B666" s="14"/>
    </row>
    <row r="667">
      <c r="A667" s="15"/>
      <c r="B667" s="14"/>
    </row>
    <row r="668">
      <c r="A668" s="15"/>
      <c r="B668" s="14"/>
    </row>
    <row r="669">
      <c r="A669" s="15"/>
      <c r="B669" s="14"/>
    </row>
    <row r="670">
      <c r="A670" s="15"/>
      <c r="B670" s="14"/>
    </row>
    <row r="671">
      <c r="A671" s="15"/>
      <c r="B671" s="14"/>
    </row>
    <row r="672">
      <c r="A672" s="15"/>
      <c r="B672" s="14"/>
    </row>
    <row r="673">
      <c r="A673" s="15"/>
      <c r="B673" s="14"/>
    </row>
    <row r="674">
      <c r="A674" s="15"/>
      <c r="B674" s="14"/>
    </row>
    <row r="675">
      <c r="A675" s="15"/>
      <c r="B675" s="14"/>
    </row>
    <row r="676">
      <c r="A676" s="15"/>
      <c r="B676" s="14"/>
    </row>
    <row r="677">
      <c r="A677" s="15"/>
      <c r="B677" s="14"/>
    </row>
    <row r="678">
      <c r="A678" s="15"/>
      <c r="B678" s="14"/>
    </row>
    <row r="679">
      <c r="A679" s="15"/>
      <c r="B679" s="14"/>
    </row>
    <row r="680">
      <c r="A680" s="15"/>
      <c r="B680" s="14"/>
    </row>
    <row r="681">
      <c r="A681" s="15"/>
      <c r="B681" s="14"/>
    </row>
    <row r="682">
      <c r="A682" s="15"/>
      <c r="B682" s="14"/>
    </row>
    <row r="683">
      <c r="A683" s="15"/>
      <c r="B683" s="14"/>
    </row>
    <row r="684">
      <c r="A684" s="15"/>
      <c r="B684" s="14"/>
    </row>
    <row r="685">
      <c r="A685" s="15"/>
      <c r="B685" s="14"/>
    </row>
    <row r="686">
      <c r="A686" s="15"/>
      <c r="B686" s="14"/>
    </row>
    <row r="687">
      <c r="A687" s="15"/>
      <c r="B687" s="14"/>
    </row>
    <row r="688">
      <c r="A688" s="15"/>
      <c r="B688" s="14"/>
    </row>
    <row r="689">
      <c r="A689" s="15"/>
      <c r="B689" s="14"/>
    </row>
    <row r="690">
      <c r="A690" s="15"/>
      <c r="B690" s="14"/>
    </row>
    <row r="691">
      <c r="A691" s="15"/>
      <c r="B691" s="14"/>
    </row>
    <row r="692">
      <c r="A692" s="15"/>
      <c r="B692" s="14"/>
    </row>
    <row r="693">
      <c r="A693" s="15"/>
      <c r="B693" s="14"/>
    </row>
    <row r="694">
      <c r="A694" s="15"/>
      <c r="B694" s="14"/>
    </row>
    <row r="695">
      <c r="A695" s="15"/>
      <c r="B695" s="14"/>
    </row>
    <row r="696">
      <c r="A696" s="15"/>
      <c r="B696" s="14"/>
    </row>
    <row r="697">
      <c r="A697" s="15"/>
      <c r="B697" s="14"/>
    </row>
    <row r="698">
      <c r="A698" s="15"/>
      <c r="B698" s="14"/>
    </row>
    <row r="699">
      <c r="A699" s="15"/>
      <c r="B699" s="14"/>
    </row>
    <row r="700">
      <c r="A700" s="15"/>
      <c r="B700" s="14"/>
    </row>
    <row r="701">
      <c r="A701" s="15"/>
      <c r="B701" s="14"/>
    </row>
    <row r="702">
      <c r="A702" s="15"/>
      <c r="B702" s="14"/>
    </row>
    <row r="703">
      <c r="A703" s="15"/>
      <c r="B703" s="14"/>
    </row>
    <row r="704">
      <c r="A704" s="15"/>
      <c r="B704" s="14"/>
    </row>
    <row r="705">
      <c r="A705" s="15"/>
      <c r="B705" s="14"/>
    </row>
    <row r="706">
      <c r="A706" s="15"/>
      <c r="B706" s="14"/>
    </row>
    <row r="707">
      <c r="A707" s="15"/>
      <c r="B707" s="14"/>
    </row>
    <row r="708">
      <c r="A708" s="15"/>
      <c r="B708" s="14"/>
    </row>
    <row r="709">
      <c r="A709" s="15"/>
      <c r="B709" s="14"/>
    </row>
    <row r="710">
      <c r="A710" s="15"/>
      <c r="B710" s="14"/>
    </row>
    <row r="711">
      <c r="A711" s="15"/>
      <c r="B711" s="14"/>
    </row>
    <row r="712">
      <c r="A712" s="15"/>
      <c r="B712" s="14"/>
    </row>
    <row r="713">
      <c r="A713" s="15"/>
      <c r="B713" s="14"/>
    </row>
    <row r="714">
      <c r="A714" s="15"/>
      <c r="B714" s="14"/>
    </row>
    <row r="715">
      <c r="A715" s="15"/>
      <c r="B715" s="14"/>
    </row>
    <row r="716">
      <c r="A716" s="15"/>
      <c r="B716" s="14"/>
    </row>
    <row r="717">
      <c r="A717" s="15"/>
      <c r="B717" s="14"/>
    </row>
    <row r="718">
      <c r="A718" s="15"/>
      <c r="B718" s="14"/>
    </row>
    <row r="719">
      <c r="A719" s="15"/>
      <c r="B719" s="14"/>
    </row>
    <row r="720">
      <c r="A720" s="15"/>
      <c r="B720" s="14"/>
    </row>
    <row r="721">
      <c r="A721" s="15"/>
      <c r="B721" s="14"/>
    </row>
    <row r="722">
      <c r="A722" s="15"/>
      <c r="B722" s="14"/>
    </row>
    <row r="723">
      <c r="A723" s="15"/>
      <c r="B723" s="14"/>
    </row>
    <row r="724">
      <c r="A724" s="15"/>
      <c r="B724" s="14"/>
    </row>
    <row r="725">
      <c r="A725" s="15"/>
      <c r="B725" s="14"/>
    </row>
    <row r="726">
      <c r="A726" s="15"/>
      <c r="B726" s="14"/>
    </row>
    <row r="727">
      <c r="A727" s="15"/>
      <c r="B727" s="14"/>
    </row>
    <row r="728">
      <c r="A728" s="15"/>
      <c r="B728" s="14"/>
    </row>
    <row r="729">
      <c r="A729" s="15"/>
      <c r="B729" s="14"/>
    </row>
    <row r="730">
      <c r="A730" s="15"/>
      <c r="B730" s="14"/>
    </row>
    <row r="731">
      <c r="A731" s="15"/>
      <c r="B731" s="14"/>
    </row>
    <row r="732">
      <c r="A732" s="15"/>
      <c r="B732" s="14"/>
    </row>
    <row r="733">
      <c r="A733" s="15"/>
      <c r="B733" s="14"/>
    </row>
    <row r="734">
      <c r="A734" s="15"/>
      <c r="B734" s="14"/>
    </row>
    <row r="735">
      <c r="A735" s="15"/>
      <c r="B735" s="14"/>
    </row>
    <row r="736">
      <c r="A736" s="15"/>
      <c r="B736" s="14"/>
    </row>
    <row r="737">
      <c r="A737" s="15"/>
      <c r="B737" s="14"/>
    </row>
    <row r="738">
      <c r="A738" s="15"/>
      <c r="B738" s="14"/>
    </row>
    <row r="739">
      <c r="A739" s="15"/>
      <c r="B739" s="14"/>
    </row>
    <row r="740">
      <c r="A740" s="15"/>
      <c r="B740" s="14"/>
    </row>
    <row r="741">
      <c r="A741" s="15"/>
      <c r="B741" s="14"/>
    </row>
    <row r="742">
      <c r="A742" s="15"/>
      <c r="B742" s="14"/>
    </row>
    <row r="743">
      <c r="A743" s="15"/>
      <c r="B743" s="14"/>
    </row>
    <row r="744">
      <c r="A744" s="15"/>
      <c r="B744" s="14"/>
    </row>
    <row r="745">
      <c r="A745" s="15"/>
      <c r="B745" s="14"/>
    </row>
    <row r="746">
      <c r="A746" s="15"/>
      <c r="B746" s="14"/>
    </row>
    <row r="747">
      <c r="A747" s="15"/>
      <c r="B747" s="14"/>
    </row>
    <row r="748">
      <c r="A748" s="15"/>
      <c r="B748" s="14"/>
    </row>
    <row r="749">
      <c r="A749" s="15"/>
      <c r="B749" s="14"/>
    </row>
    <row r="750">
      <c r="A750" s="15"/>
      <c r="B750" s="14"/>
    </row>
    <row r="751">
      <c r="A751" s="15"/>
      <c r="B751" s="14"/>
    </row>
    <row r="752">
      <c r="A752" s="15"/>
      <c r="B752" s="14"/>
    </row>
    <row r="753">
      <c r="A753" s="15"/>
      <c r="B753" s="14"/>
    </row>
    <row r="754">
      <c r="A754" s="15"/>
      <c r="B754" s="14"/>
    </row>
    <row r="755">
      <c r="A755" s="15"/>
      <c r="B755" s="14"/>
    </row>
    <row r="756">
      <c r="A756" s="15"/>
      <c r="B756" s="14"/>
    </row>
    <row r="757">
      <c r="A757" s="15"/>
      <c r="B757" s="14"/>
    </row>
    <row r="758">
      <c r="A758" s="15"/>
      <c r="B758" s="14"/>
    </row>
    <row r="759">
      <c r="A759" s="15"/>
      <c r="B759" s="14"/>
    </row>
    <row r="760">
      <c r="A760" s="15"/>
      <c r="B760" s="14"/>
    </row>
    <row r="761">
      <c r="A761" s="15"/>
      <c r="B761" s="14"/>
    </row>
    <row r="762">
      <c r="A762" s="15"/>
      <c r="B762" s="14"/>
    </row>
    <row r="763">
      <c r="A763" s="15"/>
      <c r="B763" s="14"/>
    </row>
    <row r="764">
      <c r="A764" s="15"/>
      <c r="B764" s="14"/>
    </row>
    <row r="765">
      <c r="A765" s="15"/>
      <c r="B765" s="14"/>
    </row>
    <row r="766">
      <c r="A766" s="15"/>
      <c r="B766" s="14"/>
    </row>
    <row r="767">
      <c r="A767" s="15"/>
      <c r="B767" s="14"/>
    </row>
    <row r="768">
      <c r="A768" s="15"/>
      <c r="B768" s="14"/>
    </row>
    <row r="769">
      <c r="A769" s="15"/>
      <c r="B769" s="14"/>
    </row>
    <row r="770">
      <c r="A770" s="15"/>
      <c r="B770" s="14"/>
    </row>
    <row r="771">
      <c r="A771" s="15"/>
      <c r="B771" s="14"/>
    </row>
    <row r="772">
      <c r="A772" s="15"/>
      <c r="B772" s="14"/>
    </row>
    <row r="773">
      <c r="A773" s="15"/>
      <c r="B773" s="14"/>
    </row>
    <row r="774">
      <c r="A774" s="15"/>
      <c r="B774" s="14"/>
    </row>
    <row r="775">
      <c r="A775" s="15"/>
      <c r="B775" s="14"/>
    </row>
    <row r="776">
      <c r="A776" s="15"/>
      <c r="B776" s="14"/>
    </row>
    <row r="777">
      <c r="A777" s="15"/>
      <c r="B777" s="14"/>
    </row>
    <row r="778">
      <c r="A778" s="15"/>
      <c r="B778" s="14"/>
    </row>
    <row r="779">
      <c r="A779" s="15"/>
      <c r="B779" s="14"/>
    </row>
    <row r="780">
      <c r="A780" s="15"/>
      <c r="B780" s="14"/>
    </row>
    <row r="781">
      <c r="A781" s="15"/>
      <c r="B781" s="14"/>
    </row>
    <row r="782">
      <c r="A782" s="15"/>
      <c r="B782" s="14"/>
    </row>
    <row r="783">
      <c r="A783" s="15"/>
      <c r="B783" s="14"/>
    </row>
    <row r="784">
      <c r="A784" s="15"/>
      <c r="B784" s="14"/>
    </row>
    <row r="785">
      <c r="A785" s="15"/>
      <c r="B785" s="14"/>
    </row>
    <row r="786">
      <c r="A786" s="15"/>
      <c r="B786" s="14"/>
    </row>
    <row r="787">
      <c r="A787" s="15"/>
      <c r="B787" s="14"/>
    </row>
    <row r="788">
      <c r="A788" s="15"/>
      <c r="B788" s="14"/>
    </row>
    <row r="789">
      <c r="A789" s="15"/>
      <c r="B789" s="14"/>
    </row>
    <row r="790">
      <c r="A790" s="15"/>
      <c r="B790" s="14"/>
    </row>
    <row r="791">
      <c r="A791" s="15"/>
      <c r="B791" s="14"/>
    </row>
    <row r="792">
      <c r="A792" s="15"/>
      <c r="B792" s="14"/>
    </row>
    <row r="793">
      <c r="A793" s="15"/>
      <c r="B793" s="14"/>
    </row>
    <row r="794">
      <c r="A794" s="15"/>
      <c r="B794" s="14"/>
    </row>
    <row r="795">
      <c r="A795" s="15"/>
      <c r="B795" s="14"/>
    </row>
    <row r="796">
      <c r="A796" s="15"/>
      <c r="B796" s="14"/>
    </row>
    <row r="797">
      <c r="A797" s="15"/>
      <c r="B797" s="14"/>
    </row>
    <row r="798">
      <c r="A798" s="15"/>
      <c r="B798" s="14"/>
    </row>
    <row r="799">
      <c r="A799" s="15"/>
      <c r="B799" s="14"/>
    </row>
    <row r="800">
      <c r="A800" s="15"/>
      <c r="B800" s="14"/>
    </row>
    <row r="801">
      <c r="A801" s="15"/>
      <c r="B801" s="14"/>
    </row>
    <row r="802">
      <c r="A802" s="15"/>
      <c r="B802" s="14"/>
    </row>
    <row r="803">
      <c r="A803" s="15"/>
      <c r="B803" s="14"/>
    </row>
    <row r="804">
      <c r="A804" s="15"/>
      <c r="B804" s="14"/>
    </row>
    <row r="805">
      <c r="A805" s="15"/>
      <c r="B805" s="14"/>
    </row>
    <row r="806">
      <c r="A806" s="15"/>
      <c r="B806" s="14"/>
    </row>
    <row r="807">
      <c r="A807" s="15"/>
      <c r="B807" s="14"/>
    </row>
    <row r="808">
      <c r="A808" s="15"/>
      <c r="B808" s="14"/>
    </row>
    <row r="809">
      <c r="A809" s="15"/>
      <c r="B809" s="14"/>
    </row>
    <row r="810">
      <c r="A810" s="15"/>
      <c r="B810" s="14"/>
    </row>
    <row r="811">
      <c r="A811" s="15"/>
      <c r="B811" s="14"/>
    </row>
    <row r="812">
      <c r="A812" s="15"/>
      <c r="B812" s="14"/>
    </row>
    <row r="813">
      <c r="A813" s="15"/>
      <c r="B813" s="14"/>
    </row>
    <row r="814">
      <c r="A814" s="15"/>
      <c r="B814" s="14"/>
    </row>
    <row r="815">
      <c r="A815" s="15"/>
      <c r="B815" s="14"/>
    </row>
    <row r="816">
      <c r="A816" s="15"/>
      <c r="B816" s="14"/>
    </row>
    <row r="817">
      <c r="A817" s="15"/>
      <c r="B817" s="14"/>
    </row>
    <row r="818">
      <c r="A818" s="15"/>
      <c r="B818" s="14"/>
    </row>
    <row r="819">
      <c r="A819" s="15"/>
      <c r="B819" s="14"/>
    </row>
    <row r="820">
      <c r="A820" s="15"/>
      <c r="B820" s="14"/>
    </row>
    <row r="821">
      <c r="A821" s="15"/>
      <c r="B821" s="14"/>
    </row>
    <row r="822">
      <c r="A822" s="15"/>
      <c r="B822" s="14"/>
    </row>
    <row r="823">
      <c r="A823" s="15"/>
      <c r="B823" s="14"/>
    </row>
    <row r="824">
      <c r="A824" s="15"/>
      <c r="B824" s="14"/>
    </row>
    <row r="825">
      <c r="A825" s="15"/>
      <c r="B825" s="14"/>
    </row>
    <row r="826">
      <c r="A826" s="15"/>
      <c r="B826" s="14"/>
    </row>
    <row r="827">
      <c r="A827" s="15"/>
      <c r="B827" s="14"/>
    </row>
    <row r="828">
      <c r="A828" s="15"/>
      <c r="B828" s="14"/>
    </row>
    <row r="829">
      <c r="A829" s="15"/>
      <c r="B829" s="14"/>
    </row>
    <row r="830">
      <c r="A830" s="15"/>
      <c r="B830" s="14"/>
    </row>
    <row r="831">
      <c r="A831" s="15"/>
      <c r="B831" s="14"/>
    </row>
    <row r="832">
      <c r="A832" s="15"/>
      <c r="B832" s="14"/>
    </row>
    <row r="833">
      <c r="A833" s="15"/>
      <c r="B833" s="14"/>
    </row>
    <row r="834">
      <c r="A834" s="15"/>
      <c r="B834" s="14"/>
    </row>
    <row r="835">
      <c r="A835" s="15"/>
      <c r="B835" s="14"/>
    </row>
    <row r="836">
      <c r="A836" s="15"/>
      <c r="B836" s="14"/>
    </row>
    <row r="837">
      <c r="A837" s="15"/>
      <c r="B837" s="14"/>
    </row>
    <row r="838">
      <c r="A838" s="15"/>
      <c r="B838" s="14"/>
    </row>
    <row r="839">
      <c r="A839" s="15"/>
      <c r="B839" s="14"/>
    </row>
    <row r="840">
      <c r="A840" s="15"/>
      <c r="B840" s="14"/>
    </row>
    <row r="841">
      <c r="A841" s="15"/>
      <c r="B841" s="14"/>
    </row>
    <row r="842">
      <c r="A842" s="15"/>
      <c r="B842" s="14"/>
    </row>
    <row r="843">
      <c r="A843" s="15"/>
      <c r="B843" s="14"/>
    </row>
    <row r="844">
      <c r="A844" s="15"/>
      <c r="B844" s="14"/>
    </row>
    <row r="845">
      <c r="A845" s="15"/>
      <c r="B845" s="14"/>
    </row>
    <row r="846">
      <c r="A846" s="15"/>
      <c r="B846" s="14"/>
    </row>
    <row r="847">
      <c r="A847" s="15"/>
      <c r="B847" s="14"/>
    </row>
    <row r="848">
      <c r="A848" s="15"/>
      <c r="B848" s="14"/>
    </row>
    <row r="849">
      <c r="A849" s="15"/>
      <c r="B849" s="14"/>
    </row>
    <row r="850">
      <c r="A850" s="15"/>
      <c r="B850" s="14"/>
    </row>
    <row r="851">
      <c r="A851" s="15"/>
      <c r="B851" s="14"/>
    </row>
    <row r="852">
      <c r="A852" s="15"/>
      <c r="B852" s="14"/>
    </row>
    <row r="853">
      <c r="A853" s="15"/>
      <c r="B853" s="14"/>
    </row>
    <row r="854">
      <c r="A854" s="15"/>
      <c r="B854" s="14"/>
    </row>
    <row r="855">
      <c r="A855" s="15"/>
      <c r="B855" s="14"/>
    </row>
    <row r="856">
      <c r="A856" s="15"/>
      <c r="B856" s="14"/>
    </row>
    <row r="857">
      <c r="A857" s="15"/>
      <c r="B857" s="14"/>
    </row>
    <row r="858">
      <c r="A858" s="15"/>
      <c r="B858" s="14"/>
    </row>
    <row r="859">
      <c r="A859" s="15"/>
      <c r="B859" s="14"/>
    </row>
    <row r="860">
      <c r="A860" s="15"/>
      <c r="B860" s="14"/>
    </row>
    <row r="861">
      <c r="A861" s="15"/>
      <c r="B861" s="14"/>
    </row>
    <row r="862">
      <c r="A862" s="15"/>
      <c r="B862" s="14"/>
    </row>
    <row r="863">
      <c r="A863" s="15"/>
      <c r="B863" s="14"/>
    </row>
    <row r="864">
      <c r="A864" s="15"/>
      <c r="B864" s="14"/>
    </row>
    <row r="865">
      <c r="A865" s="15"/>
      <c r="B865" s="14"/>
    </row>
    <row r="866">
      <c r="A866" s="15"/>
      <c r="B866" s="14"/>
    </row>
    <row r="867">
      <c r="A867" s="15"/>
      <c r="B867" s="14"/>
    </row>
    <row r="868">
      <c r="A868" s="15"/>
      <c r="B868" s="14"/>
    </row>
    <row r="869">
      <c r="A869" s="15"/>
      <c r="B869" s="14"/>
    </row>
    <row r="870">
      <c r="A870" s="15"/>
      <c r="B870" s="14"/>
    </row>
    <row r="871">
      <c r="A871" s="15"/>
      <c r="B871" s="14"/>
    </row>
    <row r="872">
      <c r="A872" s="15"/>
      <c r="B872" s="14"/>
    </row>
    <row r="873">
      <c r="A873" s="15"/>
      <c r="B873" s="14"/>
    </row>
    <row r="874">
      <c r="A874" s="15"/>
      <c r="B874" s="14"/>
    </row>
    <row r="875">
      <c r="A875" s="15"/>
      <c r="B875" s="14"/>
    </row>
    <row r="876">
      <c r="A876" s="15"/>
      <c r="B876" s="14"/>
    </row>
    <row r="877">
      <c r="A877" s="15"/>
      <c r="B877" s="14"/>
    </row>
    <row r="878">
      <c r="A878" s="15"/>
      <c r="B878" s="14"/>
    </row>
    <row r="879">
      <c r="A879" s="15"/>
      <c r="B879" s="14"/>
    </row>
    <row r="880">
      <c r="A880" s="15"/>
      <c r="B880" s="14"/>
    </row>
    <row r="881">
      <c r="A881" s="15"/>
      <c r="B881" s="14"/>
    </row>
    <row r="882">
      <c r="A882" s="15"/>
      <c r="B882" s="14"/>
    </row>
    <row r="883">
      <c r="A883" s="15"/>
      <c r="B883" s="14"/>
    </row>
    <row r="884">
      <c r="A884" s="15"/>
      <c r="B884" s="14"/>
    </row>
    <row r="885">
      <c r="A885" s="15"/>
      <c r="B885" s="14"/>
    </row>
    <row r="886">
      <c r="A886" s="15"/>
      <c r="B886" s="14"/>
    </row>
    <row r="887">
      <c r="A887" s="15"/>
      <c r="B887" s="14"/>
    </row>
    <row r="888">
      <c r="A888" s="15"/>
      <c r="B888" s="14"/>
    </row>
    <row r="889">
      <c r="A889" s="15"/>
      <c r="B889" s="14"/>
    </row>
    <row r="890">
      <c r="A890" s="15"/>
      <c r="B890" s="14"/>
    </row>
    <row r="891">
      <c r="A891" s="15"/>
      <c r="B891" s="14"/>
    </row>
    <row r="892">
      <c r="A892" s="15"/>
      <c r="B892" s="14"/>
    </row>
    <row r="893">
      <c r="A893" s="15"/>
      <c r="B893" s="14"/>
    </row>
    <row r="894">
      <c r="A894" s="15"/>
      <c r="B894" s="14"/>
    </row>
    <row r="895">
      <c r="A895" s="15"/>
      <c r="B895" s="14"/>
    </row>
    <row r="896">
      <c r="A896" s="15"/>
      <c r="B896" s="14"/>
    </row>
    <row r="897">
      <c r="A897" s="15"/>
      <c r="B897" s="14"/>
    </row>
    <row r="898">
      <c r="A898" s="15"/>
      <c r="B898" s="14"/>
    </row>
    <row r="899">
      <c r="A899" s="15"/>
      <c r="B899" s="14"/>
    </row>
    <row r="900">
      <c r="A900" s="15"/>
      <c r="B900" s="14"/>
    </row>
    <row r="901">
      <c r="A901" s="15"/>
      <c r="B901" s="14"/>
    </row>
    <row r="902">
      <c r="A902" s="15"/>
      <c r="B902" s="14"/>
    </row>
    <row r="903">
      <c r="A903" s="15"/>
      <c r="B903" s="14"/>
    </row>
    <row r="904">
      <c r="A904" s="15"/>
      <c r="B904" s="14"/>
    </row>
    <row r="905">
      <c r="A905" s="15"/>
      <c r="B905" s="14"/>
    </row>
    <row r="906">
      <c r="A906" s="15"/>
      <c r="B906" s="14"/>
    </row>
    <row r="907">
      <c r="A907" s="15"/>
      <c r="B907" s="14"/>
    </row>
    <row r="908">
      <c r="A908" s="15"/>
      <c r="B908" s="14"/>
    </row>
    <row r="909">
      <c r="A909" s="15"/>
      <c r="B909" s="14"/>
    </row>
    <row r="910">
      <c r="A910" s="15"/>
      <c r="B910" s="14"/>
    </row>
    <row r="911">
      <c r="A911" s="15"/>
      <c r="B911" s="14"/>
    </row>
    <row r="912">
      <c r="A912" s="15"/>
      <c r="B912" s="14"/>
    </row>
    <row r="913">
      <c r="A913" s="15"/>
      <c r="B913" s="14"/>
    </row>
    <row r="914">
      <c r="A914" s="15"/>
      <c r="B914" s="14"/>
    </row>
    <row r="915">
      <c r="A915" s="15"/>
      <c r="B915" s="14"/>
    </row>
    <row r="916">
      <c r="A916" s="15"/>
      <c r="B916" s="14"/>
    </row>
    <row r="917">
      <c r="A917" s="15"/>
      <c r="B917" s="14"/>
    </row>
    <row r="918">
      <c r="A918" s="15"/>
      <c r="B918" s="14"/>
    </row>
    <row r="919">
      <c r="A919" s="15"/>
      <c r="B919" s="14"/>
    </row>
    <row r="920">
      <c r="A920" s="15"/>
      <c r="B920" s="14"/>
    </row>
    <row r="921">
      <c r="A921" s="15"/>
      <c r="B921" s="14"/>
    </row>
    <row r="922">
      <c r="A922" s="15"/>
      <c r="B922" s="14"/>
    </row>
    <row r="923">
      <c r="A923" s="15"/>
      <c r="B923" s="14"/>
    </row>
    <row r="924">
      <c r="A924" s="15"/>
      <c r="B924" s="14"/>
    </row>
    <row r="925">
      <c r="A925" s="15"/>
      <c r="B925" s="14"/>
    </row>
    <row r="926">
      <c r="A926" s="15"/>
      <c r="B926" s="14"/>
    </row>
    <row r="927">
      <c r="A927" s="15"/>
      <c r="B927" s="14"/>
    </row>
    <row r="928">
      <c r="A928" s="15"/>
      <c r="B928" s="14"/>
    </row>
    <row r="929">
      <c r="A929" s="15"/>
      <c r="B929" s="14"/>
    </row>
    <row r="930">
      <c r="A930" s="15"/>
      <c r="B930" s="14"/>
    </row>
    <row r="931">
      <c r="A931" s="15"/>
      <c r="B931" s="14"/>
    </row>
    <row r="932">
      <c r="A932" s="15"/>
      <c r="B932" s="14"/>
    </row>
    <row r="933">
      <c r="A933" s="15"/>
      <c r="B933" s="14"/>
    </row>
    <row r="934">
      <c r="A934" s="15"/>
      <c r="B934" s="14"/>
    </row>
    <row r="935">
      <c r="A935" s="15"/>
      <c r="B935" s="14"/>
    </row>
    <row r="936">
      <c r="A936" s="15"/>
      <c r="B936" s="14"/>
    </row>
    <row r="937">
      <c r="A937" s="15"/>
      <c r="B937" s="14"/>
    </row>
    <row r="938">
      <c r="A938" s="15"/>
      <c r="B938" s="14"/>
    </row>
    <row r="939">
      <c r="A939" s="15"/>
      <c r="B939" s="14"/>
    </row>
    <row r="940">
      <c r="A940" s="15"/>
      <c r="B940" s="14"/>
    </row>
    <row r="941">
      <c r="A941" s="15"/>
      <c r="B941" s="14"/>
    </row>
    <row r="942">
      <c r="A942" s="15"/>
      <c r="B942" s="14"/>
    </row>
    <row r="943">
      <c r="A943" s="15"/>
      <c r="B943" s="14"/>
    </row>
    <row r="944">
      <c r="A944" s="15"/>
      <c r="B944" s="14"/>
    </row>
    <row r="945">
      <c r="A945" s="15"/>
      <c r="B945" s="14"/>
    </row>
    <row r="946">
      <c r="A946" s="15"/>
      <c r="B946" s="14"/>
    </row>
    <row r="947">
      <c r="A947" s="15"/>
      <c r="B947" s="14"/>
    </row>
    <row r="948">
      <c r="A948" s="15"/>
      <c r="B948" s="14"/>
    </row>
    <row r="949">
      <c r="A949" s="15"/>
      <c r="B949" s="14"/>
    </row>
    <row r="950">
      <c r="A950" s="15"/>
      <c r="B950" s="14"/>
    </row>
    <row r="951">
      <c r="A951" s="15"/>
      <c r="B951" s="14"/>
    </row>
    <row r="952">
      <c r="A952" s="15"/>
      <c r="B952" s="14"/>
    </row>
    <row r="953">
      <c r="A953" s="15"/>
      <c r="B953" s="14"/>
    </row>
    <row r="954">
      <c r="A954" s="15"/>
      <c r="B954" s="14"/>
    </row>
    <row r="955">
      <c r="A955" s="15"/>
      <c r="B955" s="14"/>
    </row>
    <row r="956">
      <c r="A956" s="15"/>
      <c r="B956" s="14"/>
    </row>
    <row r="957">
      <c r="A957" s="15"/>
      <c r="B957" s="14"/>
    </row>
    <row r="958">
      <c r="A958" s="15"/>
      <c r="B958" s="14"/>
    </row>
    <row r="959">
      <c r="A959" s="15"/>
      <c r="B959" s="14"/>
    </row>
    <row r="960">
      <c r="A960" s="15"/>
      <c r="B960" s="14"/>
    </row>
    <row r="961">
      <c r="A961" s="15"/>
      <c r="B961" s="14"/>
    </row>
    <row r="962">
      <c r="A962" s="15"/>
      <c r="B962" s="14"/>
    </row>
    <row r="963">
      <c r="A963" s="15"/>
      <c r="B963" s="14"/>
    </row>
    <row r="964">
      <c r="A964" s="15"/>
      <c r="B964" s="14"/>
    </row>
    <row r="965">
      <c r="A965" s="15"/>
      <c r="B965" s="14"/>
    </row>
    <row r="966">
      <c r="A966" s="15"/>
      <c r="B966" s="14"/>
    </row>
    <row r="967">
      <c r="A967" s="15"/>
      <c r="B967" s="14"/>
    </row>
    <row r="968">
      <c r="A968" s="15"/>
      <c r="B968" s="14"/>
    </row>
    <row r="969">
      <c r="A969" s="15"/>
      <c r="B969" s="14"/>
    </row>
    <row r="970">
      <c r="A970" s="15"/>
      <c r="B970" s="14"/>
    </row>
    <row r="971">
      <c r="A971" s="15"/>
      <c r="B971" s="14"/>
    </row>
    <row r="972">
      <c r="A972" s="15"/>
      <c r="B972" s="14"/>
    </row>
    <row r="973">
      <c r="A973" s="15"/>
      <c r="B973" s="14"/>
    </row>
    <row r="974">
      <c r="A974" s="15"/>
      <c r="B974" s="14"/>
    </row>
    <row r="975">
      <c r="A975" s="15"/>
      <c r="B975" s="14"/>
    </row>
    <row r="976">
      <c r="A976" s="15"/>
      <c r="B976" s="14"/>
    </row>
    <row r="977">
      <c r="A977" s="15"/>
      <c r="B977" s="14"/>
    </row>
    <row r="978">
      <c r="A978" s="15"/>
      <c r="B978" s="14"/>
    </row>
    <row r="979">
      <c r="A979" s="15"/>
      <c r="B979" s="14"/>
    </row>
    <row r="980">
      <c r="A980" s="15"/>
      <c r="B980" s="14"/>
    </row>
    <row r="981">
      <c r="A981" s="15"/>
      <c r="B981" s="14"/>
    </row>
    <row r="982">
      <c r="A982" s="15"/>
      <c r="B982" s="14"/>
    </row>
    <row r="983">
      <c r="A983" s="15"/>
      <c r="B983" s="14"/>
    </row>
    <row r="984">
      <c r="A984" s="15"/>
      <c r="B984" s="14"/>
    </row>
    <row r="985">
      <c r="A985" s="15"/>
      <c r="B985" s="14"/>
    </row>
    <row r="986">
      <c r="A986" s="15"/>
      <c r="B986" s="14"/>
    </row>
    <row r="987">
      <c r="A987" s="15"/>
      <c r="B987" s="14"/>
    </row>
    <row r="988">
      <c r="A988" s="15"/>
      <c r="B988" s="14"/>
    </row>
    <row r="989">
      <c r="A989" s="15"/>
      <c r="B989" s="14"/>
    </row>
    <row r="990">
      <c r="A990" s="15"/>
      <c r="B990" s="14"/>
    </row>
    <row r="991">
      <c r="A991" s="15"/>
      <c r="B991" s="14"/>
    </row>
    <row r="992">
      <c r="A992" s="15"/>
      <c r="B992" s="14"/>
    </row>
    <row r="993">
      <c r="A993" s="15"/>
      <c r="B993" s="14"/>
    </row>
    <row r="994">
      <c r="A994" s="15"/>
      <c r="B994" s="14"/>
    </row>
    <row r="995">
      <c r="A995" s="15"/>
      <c r="B995" s="14"/>
    </row>
    <row r="996">
      <c r="A996" s="15"/>
      <c r="B996" s="14"/>
    </row>
    <row r="997">
      <c r="A997" s="15"/>
      <c r="B997" s="14"/>
    </row>
    <row r="998">
      <c r="A998" s="15"/>
      <c r="B998" s="14"/>
    </row>
    <row r="999">
      <c r="A999" s="15"/>
      <c r="B999" s="14"/>
    </row>
    <row r="1000">
      <c r="A1000" s="15"/>
      <c r="B1000" s="14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</cols>
  <sheetData>
    <row r="1">
      <c r="A1" s="12" t="s">
        <v>0</v>
      </c>
      <c r="B1" s="13" t="s">
        <v>1</v>
      </c>
    </row>
    <row r="2">
      <c r="A2" s="3" t="s">
        <v>455</v>
      </c>
      <c r="B2" s="4">
        <v>10937.16</v>
      </c>
    </row>
    <row r="3">
      <c r="A3" s="3" t="s">
        <v>458</v>
      </c>
      <c r="B3" s="4">
        <v>8915.0</v>
      </c>
    </row>
    <row r="4">
      <c r="A4" s="3" t="s">
        <v>460</v>
      </c>
      <c r="B4" s="4">
        <v>40.0</v>
      </c>
    </row>
    <row r="5">
      <c r="A5" s="3" t="s">
        <v>463</v>
      </c>
      <c r="B5" s="4">
        <v>4196.62</v>
      </c>
    </row>
    <row r="6">
      <c r="A6" s="3" t="s">
        <v>465</v>
      </c>
      <c r="B6" s="4">
        <v>2148.59</v>
      </c>
    </row>
    <row r="7">
      <c r="A7" s="3" t="s">
        <v>467</v>
      </c>
      <c r="B7" s="4">
        <v>226.17</v>
      </c>
    </row>
    <row r="8">
      <c r="A8" s="3" t="s">
        <v>468</v>
      </c>
      <c r="B8" s="4">
        <v>801.17</v>
      </c>
    </row>
    <row r="9">
      <c r="A9" s="3" t="s">
        <v>469</v>
      </c>
      <c r="B9" s="4">
        <v>26195.0</v>
      </c>
    </row>
    <row r="10">
      <c r="A10" s="3" t="s">
        <v>470</v>
      </c>
      <c r="B10" s="4">
        <v>292.0</v>
      </c>
    </row>
    <row r="11">
      <c r="A11" s="3" t="s">
        <v>471</v>
      </c>
      <c r="B11" s="4">
        <v>1260.0</v>
      </c>
    </row>
    <row r="12">
      <c r="A12" s="3" t="s">
        <v>472</v>
      </c>
      <c r="B12" s="4">
        <v>137.55</v>
      </c>
    </row>
    <row r="13">
      <c r="A13" s="3" t="s">
        <v>473</v>
      </c>
      <c r="B13" s="4">
        <v>382.88</v>
      </c>
    </row>
    <row r="14">
      <c r="A14" s="3" t="s">
        <v>474</v>
      </c>
      <c r="B14" s="4">
        <v>-32.0</v>
      </c>
    </row>
    <row r="15">
      <c r="A15" s="3" t="s">
        <v>475</v>
      </c>
      <c r="B15" s="4">
        <v>6914.49</v>
      </c>
    </row>
    <row r="16">
      <c r="A16" s="3" t="s">
        <v>476</v>
      </c>
      <c r="B16" s="4">
        <v>23.17</v>
      </c>
    </row>
    <row r="17">
      <c r="A17" s="3" t="s">
        <v>477</v>
      </c>
      <c r="B17" s="4">
        <v>8.55</v>
      </c>
    </row>
    <row r="18">
      <c r="A18" s="3" t="s">
        <v>478</v>
      </c>
      <c r="B18" s="4">
        <v>5959.64</v>
      </c>
    </row>
    <row r="19">
      <c r="A19" s="3" t="s">
        <v>479</v>
      </c>
      <c r="B19" s="4">
        <v>2476.34</v>
      </c>
    </row>
    <row r="20">
      <c r="A20" s="3" t="s">
        <v>480</v>
      </c>
      <c r="B20" s="4">
        <v>3289.52</v>
      </c>
    </row>
    <row r="21">
      <c r="A21" s="3" t="s">
        <v>481</v>
      </c>
      <c r="B21" s="4">
        <v>2211.88</v>
      </c>
    </row>
    <row r="22">
      <c r="A22" s="3" t="s">
        <v>482</v>
      </c>
      <c r="B22" s="4">
        <v>384.47</v>
      </c>
    </row>
    <row r="23">
      <c r="A23" s="3" t="s">
        <v>483</v>
      </c>
      <c r="B23" s="4">
        <v>30.25</v>
      </c>
    </row>
    <row r="24">
      <c r="A24" s="3" t="s">
        <v>484</v>
      </c>
      <c r="B24" s="4">
        <v>784.88</v>
      </c>
    </row>
    <row r="25">
      <c r="A25" s="3" t="s">
        <v>485</v>
      </c>
      <c r="B25" s="4">
        <v>685.33</v>
      </c>
    </row>
    <row r="26">
      <c r="A26" s="3" t="s">
        <v>486</v>
      </c>
      <c r="B26" s="4">
        <v>28.0</v>
      </c>
    </row>
    <row r="27">
      <c r="A27" s="3" t="s">
        <v>487</v>
      </c>
      <c r="B27" s="4">
        <v>40.0</v>
      </c>
    </row>
    <row r="28">
      <c r="A28" s="3" t="s">
        <v>488</v>
      </c>
      <c r="B28" s="4">
        <v>2676.0</v>
      </c>
    </row>
    <row r="29">
      <c r="A29" s="3" t="s">
        <v>489</v>
      </c>
      <c r="B29" s="4">
        <v>1771.87</v>
      </c>
    </row>
    <row r="30">
      <c r="A30" s="3" t="s">
        <v>490</v>
      </c>
      <c r="B30" s="4">
        <v>121.03</v>
      </c>
    </row>
    <row r="31">
      <c r="A31" s="3" t="s">
        <v>491</v>
      </c>
      <c r="B31" s="4">
        <v>-1125.18</v>
      </c>
    </row>
    <row r="32">
      <c r="A32" s="3" t="s">
        <v>492</v>
      </c>
      <c r="B32" s="4">
        <v>88.76</v>
      </c>
    </row>
    <row r="33">
      <c r="A33" s="3" t="s">
        <v>493</v>
      </c>
      <c r="B33" s="4">
        <f>104.84+89.55</f>
        <v>194.39</v>
      </c>
    </row>
    <row r="34">
      <c r="A34" s="3" t="s">
        <v>494</v>
      </c>
      <c r="B34" s="4">
        <v>2454.75</v>
      </c>
    </row>
    <row r="35">
      <c r="A35" s="3" t="s">
        <v>495</v>
      </c>
      <c r="B35" s="4">
        <v>141.75</v>
      </c>
    </row>
    <row r="36">
      <c r="A36" s="3" t="s">
        <v>496</v>
      </c>
      <c r="B36" s="4">
        <v>6341.35</v>
      </c>
    </row>
    <row r="37">
      <c r="A37" s="3" t="s">
        <v>497</v>
      </c>
      <c r="B37" s="4">
        <v>97.59</v>
      </c>
    </row>
    <row r="38">
      <c r="A38" s="3" t="s">
        <v>498</v>
      </c>
      <c r="B38" s="4">
        <v>2336.0</v>
      </c>
    </row>
    <row r="39">
      <c r="A39" s="3" t="s">
        <v>499</v>
      </c>
      <c r="B39" s="5"/>
    </row>
    <row r="40">
      <c r="A40" s="3" t="s">
        <v>500</v>
      </c>
      <c r="B40" s="4">
        <v>853.08</v>
      </c>
    </row>
    <row r="41">
      <c r="B41" s="5">
        <f>sum(B2:B40)</f>
        <v>94288.05</v>
      </c>
    </row>
    <row r="42">
      <c r="B42" s="5"/>
    </row>
    <row r="43">
      <c r="B43" s="5"/>
    </row>
    <row r="44">
      <c r="B44" s="5"/>
    </row>
    <row r="45">
      <c r="B45" s="5"/>
    </row>
    <row r="46">
      <c r="B46" s="5"/>
    </row>
    <row r="47">
      <c r="B47" s="5"/>
    </row>
    <row r="48">
      <c r="B48" s="5"/>
    </row>
    <row r="49">
      <c r="B49" s="5"/>
    </row>
    <row r="50">
      <c r="B50" s="5"/>
    </row>
    <row r="51">
      <c r="B51" s="5"/>
    </row>
    <row r="52">
      <c r="B52" s="5"/>
    </row>
    <row r="53">
      <c r="B53" s="5"/>
    </row>
    <row r="54">
      <c r="B54" s="5"/>
    </row>
    <row r="55">
      <c r="B55" s="5"/>
    </row>
    <row r="56">
      <c r="B56" s="5"/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</cols>
  <sheetData>
    <row r="1">
      <c r="A1" s="12" t="s">
        <v>0</v>
      </c>
      <c r="B1" s="13" t="s">
        <v>1</v>
      </c>
    </row>
    <row r="2">
      <c r="A2" s="3" t="s">
        <v>501</v>
      </c>
      <c r="B2" s="4">
        <v>13235.7</v>
      </c>
    </row>
    <row r="3">
      <c r="A3" s="3" t="s">
        <v>502</v>
      </c>
      <c r="B3" s="4">
        <v>0.0</v>
      </c>
    </row>
    <row r="4">
      <c r="A4" s="3" t="s">
        <v>503</v>
      </c>
      <c r="B4" s="4">
        <v>116271.69</v>
      </c>
    </row>
    <row r="5">
      <c r="A5" s="3" t="s">
        <v>504</v>
      </c>
      <c r="B5" s="4">
        <f>1714+1304.85+4686.55</f>
        <v>7705.4</v>
      </c>
    </row>
    <row r="6">
      <c r="A6" s="3" t="s">
        <v>505</v>
      </c>
      <c r="B6" s="4">
        <v>132.0</v>
      </c>
    </row>
    <row r="7">
      <c r="A7" s="3" t="s">
        <v>506</v>
      </c>
      <c r="B7" s="4">
        <v>10936.5</v>
      </c>
    </row>
    <row r="8">
      <c r="A8" s="3" t="s">
        <v>507</v>
      </c>
      <c r="B8" s="4">
        <v>145.73</v>
      </c>
    </row>
    <row r="9">
      <c r="A9" s="3" t="s">
        <v>508</v>
      </c>
      <c r="B9" s="4">
        <v>933.16</v>
      </c>
    </row>
    <row r="10">
      <c r="A10" s="3" t="s">
        <v>509</v>
      </c>
      <c r="B10" s="4">
        <v>288.67</v>
      </c>
    </row>
    <row r="11">
      <c r="A11" s="3" t="s">
        <v>510</v>
      </c>
      <c r="B11" s="4">
        <v>229.52</v>
      </c>
    </row>
    <row r="12">
      <c r="A12" s="3" t="s">
        <v>511</v>
      </c>
      <c r="B12" s="4">
        <v>57.0</v>
      </c>
    </row>
    <row r="13">
      <c r="A13" s="3" t="s">
        <v>512</v>
      </c>
      <c r="B13" s="4">
        <v>121.0</v>
      </c>
    </row>
    <row r="14">
      <c r="A14" s="3" t="s">
        <v>513</v>
      </c>
      <c r="B14" s="4">
        <v>339.0</v>
      </c>
    </row>
    <row r="15">
      <c r="A15" s="3" t="s">
        <v>514</v>
      </c>
      <c r="B15" s="4">
        <v>175.66</v>
      </c>
    </row>
    <row r="16">
      <c r="A16" s="3" t="s">
        <v>515</v>
      </c>
      <c r="B16" s="4">
        <v>10368.63</v>
      </c>
    </row>
    <row r="17">
      <c r="A17" s="3" t="s">
        <v>516</v>
      </c>
      <c r="B17" s="4">
        <v>18008.5</v>
      </c>
    </row>
    <row r="18">
      <c r="A18" s="3" t="s">
        <v>517</v>
      </c>
      <c r="B18" s="4">
        <v>3549.51</v>
      </c>
    </row>
    <row r="19">
      <c r="A19" s="3" t="s">
        <v>518</v>
      </c>
      <c r="B19" s="4">
        <v>5346.36</v>
      </c>
    </row>
    <row r="20">
      <c r="A20" s="3" t="s">
        <v>519</v>
      </c>
      <c r="B20" s="4">
        <v>-37.91</v>
      </c>
    </row>
    <row r="21">
      <c r="A21" s="3" t="s">
        <v>520</v>
      </c>
      <c r="B21" s="4">
        <v>385.33</v>
      </c>
    </row>
    <row r="22">
      <c r="A22" s="3" t="s">
        <v>521</v>
      </c>
      <c r="B22" s="4">
        <v>3552.0</v>
      </c>
    </row>
    <row r="23">
      <c r="A23" s="3" t="s">
        <v>522</v>
      </c>
      <c r="B23" s="4">
        <v>56.0</v>
      </c>
    </row>
    <row r="24">
      <c r="A24" s="3" t="s">
        <v>523</v>
      </c>
      <c r="B24" s="4">
        <v>4086.0</v>
      </c>
    </row>
    <row r="25">
      <c r="A25" s="3" t="s">
        <v>524</v>
      </c>
      <c r="B25" s="4">
        <f>8188.39+4978.53</f>
        <v>13166.92</v>
      </c>
      <c r="C25" s="16">
        <v>8188.39</v>
      </c>
      <c r="D25" s="16">
        <v>4978.53</v>
      </c>
    </row>
    <row r="26">
      <c r="A26" s="3" t="s">
        <v>525</v>
      </c>
      <c r="B26" s="4">
        <v>2475.0</v>
      </c>
    </row>
    <row r="27">
      <c r="A27" s="3" t="s">
        <v>526</v>
      </c>
      <c r="B27" s="4">
        <v>140.28</v>
      </c>
    </row>
    <row r="28">
      <c r="A28" s="3" t="s">
        <v>527</v>
      </c>
      <c r="B28" s="4">
        <v>6126.01</v>
      </c>
    </row>
    <row r="29">
      <c r="A29" s="3" t="s">
        <v>382</v>
      </c>
      <c r="B29" s="5">
        <f>sum(B2:B28)</f>
        <v>217793.66</v>
      </c>
    </row>
    <row r="30">
      <c r="B30" s="5"/>
    </row>
    <row r="31">
      <c r="B31" s="5"/>
    </row>
    <row r="32">
      <c r="B32" s="5"/>
    </row>
    <row r="33">
      <c r="B33" s="5"/>
    </row>
    <row r="34">
      <c r="B34" s="5"/>
    </row>
    <row r="35">
      <c r="B35" s="5"/>
    </row>
    <row r="36">
      <c r="B36" s="5"/>
    </row>
    <row r="37">
      <c r="B37" s="5"/>
    </row>
    <row r="38">
      <c r="B38" s="5"/>
    </row>
    <row r="39">
      <c r="B39" s="5"/>
    </row>
    <row r="40">
      <c r="B40" s="5"/>
    </row>
    <row r="41">
      <c r="B41" s="5"/>
    </row>
    <row r="42">
      <c r="B42" s="5"/>
    </row>
    <row r="43">
      <c r="B43" s="5"/>
    </row>
    <row r="44">
      <c r="B44" s="5"/>
    </row>
    <row r="45">
      <c r="B45" s="5"/>
    </row>
    <row r="46">
      <c r="B46" s="5"/>
    </row>
    <row r="47">
      <c r="B47" s="5"/>
    </row>
    <row r="48">
      <c r="B48" s="5"/>
    </row>
    <row r="49">
      <c r="B49" s="5"/>
    </row>
    <row r="50">
      <c r="B50" s="5"/>
    </row>
    <row r="51">
      <c r="B51" s="5"/>
    </row>
    <row r="52">
      <c r="B52" s="5"/>
    </row>
    <row r="53">
      <c r="B53" s="5"/>
    </row>
    <row r="54">
      <c r="B54" s="5"/>
    </row>
    <row r="55">
      <c r="B55" s="5"/>
    </row>
    <row r="56">
      <c r="B56" s="5"/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75"/>
  </cols>
  <sheetData>
    <row r="1">
      <c r="A1" s="12" t="s">
        <v>0</v>
      </c>
      <c r="B1" s="12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3" t="s">
        <v>528</v>
      </c>
      <c r="B2" s="7">
        <v>639.66</v>
      </c>
    </row>
    <row r="3">
      <c r="A3" s="3" t="s">
        <v>529</v>
      </c>
      <c r="B3" s="7">
        <v>456.0</v>
      </c>
    </row>
    <row r="4">
      <c r="A4" s="3" t="s">
        <v>530</v>
      </c>
      <c r="B4" s="7">
        <v>31585.88</v>
      </c>
    </row>
    <row r="5">
      <c r="A5" s="3" t="s">
        <v>531</v>
      </c>
      <c r="B5" s="7">
        <v>26254.88</v>
      </c>
    </row>
    <row r="6">
      <c r="A6" s="3" t="s">
        <v>532</v>
      </c>
      <c r="B6" s="7">
        <v>25.0</v>
      </c>
    </row>
    <row r="7">
      <c r="A7" s="3" t="s">
        <v>533</v>
      </c>
      <c r="B7" s="7">
        <v>1.75</v>
      </c>
    </row>
    <row r="8">
      <c r="A8" s="3" t="s">
        <v>534</v>
      </c>
      <c r="B8" s="7">
        <v>2556.0</v>
      </c>
    </row>
    <row r="9">
      <c r="A9" s="3" t="s">
        <v>535</v>
      </c>
      <c r="B9" s="7">
        <v>120.0</v>
      </c>
    </row>
    <row r="10">
      <c r="A10" s="3" t="s">
        <v>536</v>
      </c>
      <c r="B10" s="7">
        <v>22735.28</v>
      </c>
    </row>
    <row r="11">
      <c r="A11" s="3" t="s">
        <v>537</v>
      </c>
      <c r="B11" s="7">
        <v>2.13</v>
      </c>
    </row>
    <row r="12">
      <c r="A12" s="3" t="s">
        <v>538</v>
      </c>
      <c r="B12" s="7">
        <v>3264.14</v>
      </c>
    </row>
    <row r="13">
      <c r="A13" s="3" t="s">
        <v>539</v>
      </c>
      <c r="B13" s="7">
        <v>157.8</v>
      </c>
    </row>
    <row r="14">
      <c r="A14" s="3" t="s">
        <v>540</v>
      </c>
      <c r="B14" s="7">
        <v>360.0</v>
      </c>
    </row>
    <row r="15">
      <c r="A15" s="3" t="s">
        <v>541</v>
      </c>
      <c r="B15" s="7">
        <v>590.0</v>
      </c>
    </row>
    <row r="16">
      <c r="A16" s="3" t="s">
        <v>542</v>
      </c>
      <c r="B16" s="7">
        <v>620.67</v>
      </c>
    </row>
    <row r="17">
      <c r="A17" s="3" t="s">
        <v>543</v>
      </c>
      <c r="B17" s="7">
        <v>1826.0</v>
      </c>
    </row>
    <row r="18">
      <c r="A18" s="3" t="s">
        <v>544</v>
      </c>
      <c r="B18" s="7">
        <v>1385.95</v>
      </c>
    </row>
    <row r="19">
      <c r="A19" s="3" t="s">
        <v>546</v>
      </c>
      <c r="B19" s="7">
        <v>799.91</v>
      </c>
    </row>
    <row r="20">
      <c r="A20" s="3" t="s">
        <v>548</v>
      </c>
      <c r="B20" s="7">
        <v>9010.0</v>
      </c>
    </row>
    <row r="21">
      <c r="A21" s="3" t="s">
        <v>551</v>
      </c>
      <c r="B21" s="7">
        <v>1160.0</v>
      </c>
    </row>
    <row r="22">
      <c r="A22" s="3" t="s">
        <v>553</v>
      </c>
      <c r="B22" s="7">
        <v>616.41</v>
      </c>
    </row>
    <row r="23">
      <c r="A23" s="3" t="s">
        <v>555</v>
      </c>
      <c r="B23" s="7">
        <v>508.3</v>
      </c>
    </row>
    <row r="24">
      <c r="A24" s="3" t="s">
        <v>558</v>
      </c>
      <c r="B24" s="7">
        <v>288.67</v>
      </c>
    </row>
    <row r="25">
      <c r="A25" s="3" t="s">
        <v>560</v>
      </c>
      <c r="B25" s="7">
        <v>0.0</v>
      </c>
    </row>
    <row r="26">
      <c r="A26" s="3" t="s">
        <v>562</v>
      </c>
      <c r="B26" s="7">
        <v>25.0</v>
      </c>
    </row>
    <row r="27">
      <c r="A27" s="3" t="s">
        <v>564</v>
      </c>
      <c r="B27" s="7">
        <v>3.0</v>
      </c>
    </row>
    <row r="28">
      <c r="A28" s="3" t="s">
        <v>566</v>
      </c>
      <c r="B28" s="7">
        <f>SUM(B2:B27)</f>
        <v>104992.43</v>
      </c>
    </row>
    <row r="29">
      <c r="B29" s="7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</cols>
  <sheetData>
    <row r="1">
      <c r="A1" s="18" t="s">
        <v>0</v>
      </c>
      <c r="B1" s="19" t="s">
        <v>1</v>
      </c>
    </row>
    <row r="2">
      <c r="A2" s="3" t="s">
        <v>545</v>
      </c>
      <c r="B2" s="4">
        <v>198.0</v>
      </c>
    </row>
    <row r="3">
      <c r="A3" s="3" t="s">
        <v>547</v>
      </c>
      <c r="B3" s="4">
        <v>0.0</v>
      </c>
    </row>
    <row r="4">
      <c r="A4" s="3" t="s">
        <v>549</v>
      </c>
      <c r="B4" s="4">
        <v>339.83</v>
      </c>
    </row>
    <row r="5">
      <c r="A5" s="3" t="s">
        <v>550</v>
      </c>
      <c r="B5" s="4">
        <v>80.0</v>
      </c>
    </row>
    <row r="6">
      <c r="A6" s="3" t="s">
        <v>552</v>
      </c>
      <c r="B6" s="4">
        <v>8655.5</v>
      </c>
    </row>
    <row r="7">
      <c r="A7" s="3" t="s">
        <v>554</v>
      </c>
      <c r="B7" s="4">
        <v>419.55</v>
      </c>
    </row>
    <row r="8">
      <c r="A8" s="3" t="s">
        <v>556</v>
      </c>
      <c r="B8" s="4">
        <v>59.65</v>
      </c>
    </row>
    <row r="9">
      <c r="A9" s="3" t="s">
        <v>557</v>
      </c>
      <c r="B9" s="4">
        <v>50.0</v>
      </c>
    </row>
    <row r="10">
      <c r="A10" s="3" t="s">
        <v>559</v>
      </c>
      <c r="B10" s="4">
        <v>420.0</v>
      </c>
    </row>
    <row r="11">
      <c r="A11" s="3" t="s">
        <v>561</v>
      </c>
      <c r="B11" s="4">
        <v>756.49</v>
      </c>
    </row>
    <row r="12">
      <c r="A12" s="3" t="s">
        <v>460</v>
      </c>
      <c r="B12" s="4">
        <v>4297.03</v>
      </c>
    </row>
    <row r="13">
      <c r="A13" s="3" t="s">
        <v>563</v>
      </c>
      <c r="B13" s="4">
        <v>665.59</v>
      </c>
    </row>
    <row r="14">
      <c r="A14" s="3" t="s">
        <v>565</v>
      </c>
      <c r="B14" s="4">
        <v>3037.59</v>
      </c>
    </row>
    <row r="15">
      <c r="A15" s="3" t="s">
        <v>567</v>
      </c>
      <c r="B15" s="4">
        <v>97.59</v>
      </c>
    </row>
    <row r="16">
      <c r="A16" s="3" t="s">
        <v>568</v>
      </c>
      <c r="B16" s="4">
        <v>275.32</v>
      </c>
    </row>
    <row r="17">
      <c r="A17" s="3" t="s">
        <v>569</v>
      </c>
      <c r="B17" s="4">
        <v>25676.74</v>
      </c>
    </row>
    <row r="18">
      <c r="A18" s="3" t="s">
        <v>570</v>
      </c>
      <c r="B18" s="4">
        <v>-19413.43</v>
      </c>
    </row>
    <row r="19">
      <c r="A19" s="3" t="s">
        <v>571</v>
      </c>
      <c r="B19" s="4">
        <v>3859.59</v>
      </c>
    </row>
    <row r="20">
      <c r="A20" s="3" t="s">
        <v>572</v>
      </c>
      <c r="B20" s="4">
        <v>3057.2</v>
      </c>
    </row>
    <row r="21">
      <c r="A21" s="3" t="s">
        <v>573</v>
      </c>
      <c r="B21" s="4">
        <v>1249.59</v>
      </c>
    </row>
    <row r="22">
      <c r="A22" s="3" t="s">
        <v>574</v>
      </c>
      <c r="B22" s="4">
        <v>-43.33</v>
      </c>
    </row>
    <row r="23">
      <c r="A23" s="3" t="s">
        <v>575</v>
      </c>
      <c r="B23" s="4">
        <v>207.0</v>
      </c>
    </row>
    <row r="24">
      <c r="A24" s="3" t="s">
        <v>576</v>
      </c>
      <c r="B24" s="4">
        <v>116.0</v>
      </c>
    </row>
    <row r="25">
      <c r="A25" s="3" t="s">
        <v>577</v>
      </c>
      <c r="B25" s="4">
        <v>2335.63</v>
      </c>
    </row>
    <row r="26">
      <c r="A26" s="3" t="s">
        <v>578</v>
      </c>
      <c r="B26" s="4">
        <v>892.0</v>
      </c>
    </row>
    <row r="27">
      <c r="A27" s="3" t="s">
        <v>579</v>
      </c>
      <c r="B27" s="4">
        <v>252.82</v>
      </c>
    </row>
    <row r="28">
      <c r="A28" s="3" t="s">
        <v>580</v>
      </c>
      <c r="B28" s="4">
        <v>621.0</v>
      </c>
    </row>
    <row r="29">
      <c r="A29" s="3" t="s">
        <v>581</v>
      </c>
      <c r="B29" s="4">
        <v>693.11</v>
      </c>
    </row>
    <row r="30">
      <c r="A30" s="3" t="s">
        <v>582</v>
      </c>
      <c r="B30" s="4">
        <v>601.07</v>
      </c>
    </row>
    <row r="31">
      <c r="A31" s="3" t="s">
        <v>583</v>
      </c>
      <c r="B31" s="4">
        <v>218.67</v>
      </c>
    </row>
    <row r="32">
      <c r="A32" s="3" t="s">
        <v>584</v>
      </c>
      <c r="B32" s="4">
        <v>395.6</v>
      </c>
    </row>
    <row r="33">
      <c r="A33" s="3" t="s">
        <v>585</v>
      </c>
      <c r="B33" s="4">
        <v>650.0</v>
      </c>
    </row>
    <row r="34">
      <c r="B34" s="5"/>
    </row>
    <row r="35">
      <c r="B35" s="5"/>
    </row>
    <row r="36">
      <c r="B36" s="5"/>
    </row>
    <row r="37">
      <c r="B37" s="5"/>
    </row>
    <row r="38">
      <c r="B38" s="5"/>
    </row>
    <row r="39">
      <c r="B39" s="5"/>
    </row>
    <row r="40">
      <c r="B40" s="5"/>
    </row>
    <row r="41">
      <c r="B41" s="5"/>
    </row>
    <row r="42">
      <c r="B42" s="5"/>
    </row>
    <row r="43">
      <c r="B43" s="5"/>
    </row>
    <row r="44">
      <c r="B44" s="5"/>
    </row>
    <row r="45">
      <c r="B45" s="5"/>
    </row>
    <row r="46">
      <c r="B46" s="5"/>
    </row>
    <row r="47">
      <c r="B47" s="5"/>
    </row>
    <row r="48">
      <c r="B48" s="5"/>
    </row>
    <row r="49">
      <c r="B49" s="5"/>
    </row>
    <row r="50">
      <c r="B50" s="5"/>
    </row>
    <row r="51">
      <c r="B51" s="5"/>
    </row>
    <row r="52">
      <c r="B52" s="5"/>
    </row>
    <row r="53">
      <c r="B53" s="5"/>
    </row>
    <row r="54">
      <c r="B54" s="5"/>
    </row>
    <row r="55">
      <c r="B55" s="5"/>
    </row>
    <row r="56">
      <c r="B56" s="5"/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13"/>
  </cols>
  <sheetData>
    <row r="1">
      <c r="A1" s="18" t="s">
        <v>0</v>
      </c>
      <c r="B1" s="20" t="s">
        <v>1</v>
      </c>
    </row>
    <row r="2">
      <c r="A2" s="3" t="s">
        <v>586</v>
      </c>
      <c r="B2" s="21">
        <v>8015.0</v>
      </c>
    </row>
    <row r="3">
      <c r="A3" s="3" t="s">
        <v>587</v>
      </c>
      <c r="B3" s="21">
        <v>11819.92</v>
      </c>
    </row>
    <row r="4">
      <c r="A4" s="3" t="s">
        <v>588</v>
      </c>
      <c r="B4" s="21">
        <v>10550.0</v>
      </c>
    </row>
    <row r="5">
      <c r="A5" s="3" t="s">
        <v>589</v>
      </c>
      <c r="B5" s="21">
        <v>-410.0</v>
      </c>
    </row>
    <row r="6">
      <c r="A6" s="3" t="s">
        <v>590</v>
      </c>
      <c r="B6" s="21">
        <v>60709.41</v>
      </c>
    </row>
    <row r="7">
      <c r="A7" s="3" t="s">
        <v>591</v>
      </c>
      <c r="B7" s="21">
        <v>372.0</v>
      </c>
    </row>
    <row r="8">
      <c r="A8" s="3" t="s">
        <v>592</v>
      </c>
      <c r="B8" s="21">
        <v>729.17</v>
      </c>
    </row>
    <row r="9">
      <c r="A9" s="4" t="s">
        <v>593</v>
      </c>
      <c r="B9" s="21"/>
    </row>
    <row r="10">
      <c r="A10" s="3" t="s">
        <v>594</v>
      </c>
      <c r="B10" s="21">
        <v>419.55</v>
      </c>
    </row>
    <row r="11">
      <c r="A11" s="3" t="s">
        <v>595</v>
      </c>
      <c r="B11" s="21">
        <v>3088.5</v>
      </c>
    </row>
    <row r="12">
      <c r="A12" s="3" t="s">
        <v>596</v>
      </c>
      <c r="B12" s="21">
        <v>1024.67</v>
      </c>
    </row>
    <row r="13">
      <c r="A13" s="3" t="s">
        <v>597</v>
      </c>
      <c r="B13" s="21">
        <v>162.32</v>
      </c>
    </row>
    <row r="14">
      <c r="A14" s="3" t="s">
        <v>598</v>
      </c>
      <c r="B14" s="21">
        <v>420.0</v>
      </c>
    </row>
    <row r="15">
      <c r="A15" s="3" t="s">
        <v>599</v>
      </c>
      <c r="B15" s="21">
        <v>929.86</v>
      </c>
    </row>
    <row r="16">
      <c r="A16" s="3" t="s">
        <v>563</v>
      </c>
      <c r="B16" s="21">
        <v>665.59</v>
      </c>
    </row>
    <row r="17">
      <c r="A17" s="3" t="s">
        <v>600</v>
      </c>
      <c r="B17" s="21">
        <v>-313.0</v>
      </c>
    </row>
    <row r="18">
      <c r="A18" s="3" t="s">
        <v>601</v>
      </c>
      <c r="B18" s="21">
        <v>40141.0</v>
      </c>
    </row>
    <row r="19">
      <c r="A19" s="3" t="s">
        <v>602</v>
      </c>
      <c r="B19" s="21">
        <v>-63.0</v>
      </c>
    </row>
    <row r="20">
      <c r="A20" s="3" t="s">
        <v>603</v>
      </c>
      <c r="B20" s="21">
        <v>2973.31</v>
      </c>
    </row>
    <row r="21">
      <c r="A21" s="3" t="s">
        <v>604</v>
      </c>
      <c r="B21" s="21">
        <v>134.61</v>
      </c>
    </row>
    <row r="22">
      <c r="A22" s="3" t="s">
        <v>605</v>
      </c>
      <c r="B22" s="21">
        <v>4781.95</v>
      </c>
    </row>
    <row r="23">
      <c r="A23" s="3" t="s">
        <v>606</v>
      </c>
      <c r="B23" s="21">
        <v>1561.68</v>
      </c>
    </row>
    <row r="24">
      <c r="A24" s="3" t="s">
        <v>607</v>
      </c>
      <c r="B24" s="21">
        <v>12444.88</v>
      </c>
    </row>
    <row r="25">
      <c r="A25" s="3" t="s">
        <v>608</v>
      </c>
      <c r="B25" s="21">
        <v>3111.17</v>
      </c>
    </row>
    <row r="26">
      <c r="A26" s="3" t="s">
        <v>609</v>
      </c>
      <c r="B26" s="21">
        <v>121.0</v>
      </c>
    </row>
    <row r="27">
      <c r="A27" s="3" t="s">
        <v>610</v>
      </c>
      <c r="B27" s="21">
        <v>557.0</v>
      </c>
    </row>
    <row r="28">
      <c r="A28" s="3" t="s">
        <v>611</v>
      </c>
      <c r="B28" s="21">
        <v>2125.38</v>
      </c>
    </row>
    <row r="29">
      <c r="A29" s="3" t="s">
        <v>612</v>
      </c>
      <c r="B29" s="21">
        <v>15.0</v>
      </c>
    </row>
    <row r="30">
      <c r="A30" s="3" t="s">
        <v>613</v>
      </c>
      <c r="B30" s="21">
        <v>248.0</v>
      </c>
    </row>
    <row r="31">
      <c r="A31" s="3" t="s">
        <v>614</v>
      </c>
      <c r="B31" s="21">
        <v>3949.85</v>
      </c>
    </row>
    <row r="32">
      <c r="A32" s="3" t="s">
        <v>615</v>
      </c>
      <c r="B32" s="21">
        <v>87.41</v>
      </c>
    </row>
    <row r="33">
      <c r="A33" s="3" t="s">
        <v>616</v>
      </c>
      <c r="B33" s="21">
        <v>88.76</v>
      </c>
    </row>
    <row r="34">
      <c r="A34" s="3" t="s">
        <v>617</v>
      </c>
      <c r="B34" s="21">
        <v>10336.2</v>
      </c>
    </row>
    <row r="35">
      <c r="A35" s="3" t="s">
        <v>618</v>
      </c>
      <c r="B35" s="21">
        <v>14.01</v>
      </c>
    </row>
    <row r="36">
      <c r="A36" s="3" t="s">
        <v>619</v>
      </c>
      <c r="B36" s="21">
        <v>-437.92</v>
      </c>
    </row>
    <row r="37">
      <c r="A37" s="3" t="s">
        <v>382</v>
      </c>
      <c r="B37" s="22">
        <f>sum(B2:B36)</f>
        <v>180373.28</v>
      </c>
    </row>
    <row r="38">
      <c r="B38" s="22"/>
    </row>
    <row r="39">
      <c r="B39" s="22"/>
    </row>
    <row r="40">
      <c r="B40" s="22"/>
    </row>
    <row r="41">
      <c r="B41" s="22"/>
    </row>
    <row r="42">
      <c r="B42" s="22"/>
    </row>
    <row r="43">
      <c r="B43" s="22"/>
    </row>
    <row r="44">
      <c r="B44" s="22"/>
    </row>
    <row r="45">
      <c r="B45" s="22"/>
    </row>
    <row r="46">
      <c r="B46" s="22"/>
    </row>
    <row r="47">
      <c r="B47" s="22"/>
    </row>
    <row r="48">
      <c r="B48" s="22"/>
    </row>
    <row r="49">
      <c r="B49" s="22"/>
    </row>
    <row r="50">
      <c r="B50" s="22"/>
    </row>
    <row r="51">
      <c r="B51" s="22"/>
    </row>
    <row r="52">
      <c r="B52" s="22"/>
    </row>
    <row r="53">
      <c r="B53" s="22"/>
    </row>
    <row r="54">
      <c r="B54" s="22"/>
    </row>
    <row r="55">
      <c r="B55" s="22"/>
    </row>
    <row r="56">
      <c r="B56" s="22"/>
    </row>
    <row r="57">
      <c r="B57" s="22"/>
    </row>
    <row r="58">
      <c r="B58" s="22"/>
    </row>
    <row r="59">
      <c r="B59" s="22"/>
    </row>
    <row r="60">
      <c r="B60" s="22"/>
    </row>
    <row r="61">
      <c r="B61" s="22"/>
    </row>
    <row r="62">
      <c r="B62" s="22"/>
    </row>
    <row r="63">
      <c r="B63" s="22"/>
    </row>
    <row r="64">
      <c r="B64" s="22"/>
    </row>
    <row r="65">
      <c r="B65" s="22"/>
    </row>
    <row r="66">
      <c r="B66" s="22"/>
    </row>
    <row r="67">
      <c r="B67" s="22"/>
    </row>
    <row r="68">
      <c r="B68" s="22"/>
    </row>
    <row r="69">
      <c r="B69" s="22"/>
    </row>
    <row r="70">
      <c r="B70" s="22"/>
    </row>
    <row r="71">
      <c r="B71" s="22"/>
    </row>
    <row r="72">
      <c r="B72" s="22"/>
    </row>
    <row r="73">
      <c r="B73" s="22"/>
    </row>
    <row r="74">
      <c r="B74" s="22"/>
    </row>
    <row r="75">
      <c r="B75" s="22"/>
    </row>
    <row r="76">
      <c r="B76" s="22"/>
    </row>
    <row r="77">
      <c r="B77" s="22"/>
    </row>
    <row r="78">
      <c r="B78" s="22"/>
    </row>
    <row r="79">
      <c r="B79" s="22"/>
    </row>
    <row r="80">
      <c r="B80" s="22"/>
    </row>
    <row r="81">
      <c r="B81" s="22"/>
    </row>
    <row r="82">
      <c r="B82" s="22"/>
    </row>
    <row r="83">
      <c r="B83" s="22"/>
    </row>
    <row r="84">
      <c r="B84" s="22"/>
    </row>
    <row r="85">
      <c r="B85" s="22"/>
    </row>
    <row r="86">
      <c r="B86" s="22"/>
    </row>
    <row r="87">
      <c r="B87" s="22"/>
    </row>
    <row r="88">
      <c r="B88" s="22"/>
    </row>
    <row r="89">
      <c r="B89" s="22"/>
    </row>
    <row r="90">
      <c r="B90" s="22"/>
    </row>
    <row r="91">
      <c r="B91" s="22"/>
    </row>
    <row r="92">
      <c r="B92" s="22"/>
    </row>
    <row r="93">
      <c r="B93" s="22"/>
    </row>
    <row r="94">
      <c r="B94" s="22"/>
    </row>
    <row r="95">
      <c r="B95" s="22"/>
    </row>
    <row r="96">
      <c r="B96" s="22"/>
    </row>
    <row r="97">
      <c r="B97" s="22"/>
    </row>
    <row r="98">
      <c r="B98" s="22"/>
    </row>
    <row r="99">
      <c r="B99" s="22"/>
    </row>
    <row r="100">
      <c r="B100" s="22"/>
    </row>
    <row r="101">
      <c r="B101" s="22"/>
    </row>
    <row r="102">
      <c r="B102" s="22"/>
    </row>
    <row r="103">
      <c r="B103" s="22"/>
    </row>
    <row r="104">
      <c r="B104" s="22"/>
    </row>
    <row r="105">
      <c r="B105" s="22"/>
    </row>
    <row r="106">
      <c r="B106" s="22"/>
    </row>
    <row r="107">
      <c r="B107" s="22"/>
    </row>
    <row r="108">
      <c r="B108" s="22"/>
    </row>
    <row r="109">
      <c r="B109" s="22"/>
    </row>
    <row r="110">
      <c r="B110" s="22"/>
    </row>
    <row r="111">
      <c r="B111" s="22"/>
    </row>
    <row r="112">
      <c r="B112" s="22"/>
    </row>
    <row r="113">
      <c r="B113" s="22"/>
    </row>
    <row r="114">
      <c r="B114" s="22"/>
    </row>
    <row r="115">
      <c r="B115" s="22"/>
    </row>
    <row r="116">
      <c r="B116" s="22"/>
    </row>
    <row r="117">
      <c r="B117" s="22"/>
    </row>
    <row r="118">
      <c r="B118" s="22"/>
    </row>
    <row r="119">
      <c r="B119" s="22"/>
    </row>
    <row r="120">
      <c r="B120" s="22"/>
    </row>
    <row r="121">
      <c r="B121" s="22"/>
    </row>
    <row r="122">
      <c r="B122" s="22"/>
    </row>
    <row r="123">
      <c r="B123" s="22"/>
    </row>
    <row r="124">
      <c r="B124" s="22"/>
    </row>
    <row r="125">
      <c r="B125" s="22"/>
    </row>
    <row r="126">
      <c r="B126" s="22"/>
    </row>
    <row r="127">
      <c r="B127" s="22"/>
    </row>
    <row r="128">
      <c r="B128" s="22"/>
    </row>
    <row r="129">
      <c r="B129" s="22"/>
    </row>
    <row r="130">
      <c r="B130" s="22"/>
    </row>
    <row r="131">
      <c r="B131" s="22"/>
    </row>
    <row r="132">
      <c r="B132" s="22"/>
    </row>
    <row r="133">
      <c r="B133" s="22"/>
    </row>
    <row r="134">
      <c r="B134" s="22"/>
    </row>
    <row r="135">
      <c r="B135" s="22"/>
    </row>
    <row r="136">
      <c r="B136" s="22"/>
    </row>
    <row r="137">
      <c r="B137" s="22"/>
    </row>
    <row r="138">
      <c r="B138" s="22"/>
    </row>
    <row r="139">
      <c r="B139" s="22"/>
    </row>
    <row r="140">
      <c r="B140" s="22"/>
    </row>
    <row r="141">
      <c r="B141" s="22"/>
    </row>
    <row r="142">
      <c r="B142" s="22"/>
    </row>
    <row r="143">
      <c r="B143" s="22"/>
    </row>
    <row r="144">
      <c r="B144" s="22"/>
    </row>
    <row r="145">
      <c r="B145" s="22"/>
    </row>
    <row r="146">
      <c r="B146" s="22"/>
    </row>
    <row r="147">
      <c r="B147" s="22"/>
    </row>
    <row r="148">
      <c r="B148" s="22"/>
    </row>
    <row r="149">
      <c r="B149" s="22"/>
    </row>
    <row r="150">
      <c r="B150" s="22"/>
    </row>
    <row r="151">
      <c r="B151" s="22"/>
    </row>
    <row r="152">
      <c r="B152" s="22"/>
    </row>
    <row r="153">
      <c r="B153" s="22"/>
    </row>
    <row r="154">
      <c r="B154" s="22"/>
    </row>
    <row r="155">
      <c r="B155" s="22"/>
    </row>
    <row r="156">
      <c r="B156" s="22"/>
    </row>
    <row r="157">
      <c r="B157" s="22"/>
    </row>
    <row r="158">
      <c r="B158" s="22"/>
    </row>
    <row r="159">
      <c r="B159" s="22"/>
    </row>
    <row r="160">
      <c r="B160" s="22"/>
    </row>
    <row r="161">
      <c r="B161" s="22"/>
    </row>
    <row r="162">
      <c r="B162" s="22"/>
    </row>
    <row r="163">
      <c r="B163" s="22"/>
    </row>
    <row r="164">
      <c r="B164" s="22"/>
    </row>
    <row r="165">
      <c r="B165" s="22"/>
    </row>
    <row r="166">
      <c r="B166" s="22"/>
    </row>
    <row r="167">
      <c r="B167" s="22"/>
    </row>
    <row r="168">
      <c r="B168" s="22"/>
    </row>
    <row r="169">
      <c r="B169" s="22"/>
    </row>
    <row r="170">
      <c r="B170" s="22"/>
    </row>
    <row r="171">
      <c r="B171" s="22"/>
    </row>
    <row r="172">
      <c r="B172" s="22"/>
    </row>
    <row r="173">
      <c r="B173" s="22"/>
    </row>
    <row r="174">
      <c r="B174" s="22"/>
    </row>
    <row r="175">
      <c r="B175" s="22"/>
    </row>
    <row r="176">
      <c r="B176" s="22"/>
    </row>
    <row r="177">
      <c r="B177" s="22"/>
    </row>
    <row r="178">
      <c r="B178" s="22"/>
    </row>
    <row r="179">
      <c r="B179" s="22"/>
    </row>
    <row r="180">
      <c r="B180" s="22"/>
    </row>
    <row r="181">
      <c r="B181" s="22"/>
    </row>
    <row r="182">
      <c r="B182" s="22"/>
    </row>
    <row r="183">
      <c r="B183" s="22"/>
    </row>
    <row r="184">
      <c r="B184" s="22"/>
    </row>
    <row r="185">
      <c r="B185" s="22"/>
    </row>
    <row r="186">
      <c r="B186" s="22"/>
    </row>
    <row r="187">
      <c r="B187" s="22"/>
    </row>
    <row r="188">
      <c r="B188" s="22"/>
    </row>
    <row r="189">
      <c r="B189" s="22"/>
    </row>
    <row r="190">
      <c r="B190" s="22"/>
    </row>
    <row r="191">
      <c r="B191" s="22"/>
    </row>
    <row r="192">
      <c r="B192" s="22"/>
    </row>
    <row r="193">
      <c r="B193" s="22"/>
    </row>
    <row r="194">
      <c r="B194" s="22"/>
    </row>
    <row r="195">
      <c r="B195" s="22"/>
    </row>
    <row r="196">
      <c r="B196" s="22"/>
    </row>
    <row r="197">
      <c r="B197" s="22"/>
    </row>
    <row r="198">
      <c r="B198" s="22"/>
    </row>
    <row r="199">
      <c r="B199" s="22"/>
    </row>
    <row r="200">
      <c r="B200" s="22"/>
    </row>
    <row r="201">
      <c r="B201" s="22"/>
    </row>
    <row r="202">
      <c r="B202" s="22"/>
    </row>
    <row r="203">
      <c r="B203" s="22"/>
    </row>
    <row r="204">
      <c r="B204" s="22"/>
    </row>
    <row r="205">
      <c r="B205" s="22"/>
    </row>
    <row r="206">
      <c r="B206" s="22"/>
    </row>
    <row r="207">
      <c r="B207" s="22"/>
    </row>
    <row r="208">
      <c r="B208" s="22"/>
    </row>
    <row r="209">
      <c r="B209" s="22"/>
    </row>
    <row r="210">
      <c r="B210" s="22"/>
    </row>
    <row r="211">
      <c r="B211" s="22"/>
    </row>
    <row r="212">
      <c r="B212" s="22"/>
    </row>
    <row r="213">
      <c r="B213" s="22"/>
    </row>
    <row r="214">
      <c r="B214" s="22"/>
    </row>
    <row r="215">
      <c r="B215" s="22"/>
    </row>
    <row r="216">
      <c r="B216" s="22"/>
    </row>
    <row r="217">
      <c r="B217" s="22"/>
    </row>
    <row r="218">
      <c r="B218" s="22"/>
    </row>
    <row r="219">
      <c r="B219" s="22"/>
    </row>
    <row r="220">
      <c r="B220" s="22"/>
    </row>
    <row r="221">
      <c r="B221" s="22"/>
    </row>
    <row r="222">
      <c r="B222" s="22"/>
    </row>
    <row r="223">
      <c r="B223" s="22"/>
    </row>
    <row r="224">
      <c r="B224" s="22"/>
    </row>
    <row r="225">
      <c r="B225" s="22"/>
    </row>
    <row r="226">
      <c r="B226" s="22"/>
    </row>
    <row r="227">
      <c r="B227" s="22"/>
    </row>
    <row r="228">
      <c r="B228" s="22"/>
    </row>
    <row r="229">
      <c r="B229" s="22"/>
    </row>
    <row r="230">
      <c r="B230" s="22"/>
    </row>
    <row r="231">
      <c r="B231" s="22"/>
    </row>
    <row r="232">
      <c r="B232" s="22"/>
    </row>
    <row r="233">
      <c r="B233" s="22"/>
    </row>
    <row r="234">
      <c r="B234" s="22"/>
    </row>
    <row r="235">
      <c r="B235" s="22"/>
    </row>
    <row r="236">
      <c r="B236" s="22"/>
    </row>
    <row r="237">
      <c r="B237" s="22"/>
    </row>
    <row r="238">
      <c r="B238" s="22"/>
    </row>
    <row r="239">
      <c r="B239" s="22"/>
    </row>
    <row r="240">
      <c r="B240" s="22"/>
    </row>
    <row r="241">
      <c r="B241" s="22"/>
    </row>
    <row r="242">
      <c r="B242" s="22"/>
    </row>
    <row r="243">
      <c r="B243" s="22"/>
    </row>
    <row r="244">
      <c r="B244" s="22"/>
    </row>
    <row r="245">
      <c r="B245" s="22"/>
    </row>
    <row r="246">
      <c r="B246" s="22"/>
    </row>
    <row r="247">
      <c r="B247" s="22"/>
    </row>
    <row r="248">
      <c r="B248" s="22"/>
    </row>
    <row r="249">
      <c r="B249" s="22"/>
    </row>
    <row r="250">
      <c r="B250" s="22"/>
    </row>
    <row r="251">
      <c r="B251" s="22"/>
    </row>
    <row r="252">
      <c r="B252" s="22"/>
    </row>
    <row r="253">
      <c r="B253" s="22"/>
    </row>
    <row r="254">
      <c r="B254" s="22"/>
    </row>
    <row r="255">
      <c r="B255" s="22"/>
    </row>
    <row r="256">
      <c r="B256" s="22"/>
    </row>
    <row r="257">
      <c r="B257" s="22"/>
    </row>
    <row r="258">
      <c r="B258" s="22"/>
    </row>
    <row r="259">
      <c r="B259" s="22"/>
    </row>
    <row r="260">
      <c r="B260" s="22"/>
    </row>
    <row r="261">
      <c r="B261" s="22"/>
    </row>
    <row r="262">
      <c r="B262" s="22"/>
    </row>
    <row r="263">
      <c r="B263" s="22"/>
    </row>
    <row r="264">
      <c r="B264" s="22"/>
    </row>
    <row r="265">
      <c r="B265" s="22"/>
    </row>
    <row r="266">
      <c r="B266" s="22"/>
    </row>
    <row r="267">
      <c r="B267" s="22"/>
    </row>
    <row r="268">
      <c r="B268" s="22"/>
    </row>
    <row r="269">
      <c r="B269" s="22"/>
    </row>
    <row r="270">
      <c r="B270" s="22"/>
    </row>
    <row r="271">
      <c r="B271" s="22"/>
    </row>
    <row r="272">
      <c r="B272" s="22"/>
    </row>
    <row r="273">
      <c r="B273" s="22"/>
    </row>
    <row r="274">
      <c r="B274" s="22"/>
    </row>
    <row r="275">
      <c r="B275" s="22"/>
    </row>
    <row r="276">
      <c r="B276" s="22"/>
    </row>
    <row r="277">
      <c r="B277" s="22"/>
    </row>
    <row r="278">
      <c r="B278" s="22"/>
    </row>
    <row r="279">
      <c r="B279" s="22"/>
    </row>
    <row r="280">
      <c r="B280" s="22"/>
    </row>
    <row r="281">
      <c r="B281" s="22"/>
    </row>
    <row r="282">
      <c r="B282" s="22"/>
    </row>
    <row r="283">
      <c r="B283" s="22"/>
    </row>
    <row r="284">
      <c r="B284" s="22"/>
    </row>
    <row r="285">
      <c r="B285" s="22"/>
    </row>
    <row r="286">
      <c r="B286" s="22"/>
    </row>
    <row r="287">
      <c r="B287" s="22"/>
    </row>
    <row r="288">
      <c r="B288" s="22"/>
    </row>
    <row r="289">
      <c r="B289" s="22"/>
    </row>
    <row r="290">
      <c r="B290" s="22"/>
    </row>
    <row r="291">
      <c r="B291" s="22"/>
    </row>
    <row r="292">
      <c r="B292" s="22"/>
    </row>
    <row r="293">
      <c r="B293" s="22"/>
    </row>
    <row r="294">
      <c r="B294" s="22"/>
    </row>
    <row r="295">
      <c r="B295" s="22"/>
    </row>
    <row r="296">
      <c r="B296" s="22"/>
    </row>
    <row r="297">
      <c r="B297" s="22"/>
    </row>
    <row r="298">
      <c r="B298" s="22"/>
    </row>
    <row r="299">
      <c r="B299" s="22"/>
    </row>
    <row r="300">
      <c r="B300" s="22"/>
    </row>
    <row r="301">
      <c r="B301" s="22"/>
    </row>
    <row r="302">
      <c r="B302" s="22"/>
    </row>
    <row r="303">
      <c r="B303" s="22"/>
    </row>
    <row r="304">
      <c r="B304" s="22"/>
    </row>
    <row r="305">
      <c r="B305" s="22"/>
    </row>
    <row r="306">
      <c r="B306" s="22"/>
    </row>
    <row r="307">
      <c r="B307" s="22"/>
    </row>
    <row r="308">
      <c r="B308" s="22"/>
    </row>
    <row r="309">
      <c r="B309" s="22"/>
    </row>
    <row r="310">
      <c r="B310" s="22"/>
    </row>
    <row r="311">
      <c r="B311" s="22"/>
    </row>
    <row r="312">
      <c r="B312" s="22"/>
    </row>
    <row r="313">
      <c r="B313" s="22"/>
    </row>
    <row r="314">
      <c r="B314" s="22"/>
    </row>
    <row r="315">
      <c r="B315" s="22"/>
    </row>
    <row r="316">
      <c r="B316" s="22"/>
    </row>
    <row r="317">
      <c r="B317" s="22"/>
    </row>
    <row r="318">
      <c r="B318" s="22"/>
    </row>
    <row r="319">
      <c r="B319" s="22"/>
    </row>
    <row r="320">
      <c r="B320" s="22"/>
    </row>
    <row r="321">
      <c r="B321" s="22"/>
    </row>
    <row r="322">
      <c r="B322" s="22"/>
    </row>
    <row r="323">
      <c r="B323" s="22"/>
    </row>
    <row r="324">
      <c r="B324" s="22"/>
    </row>
    <row r="325">
      <c r="B325" s="22"/>
    </row>
    <row r="326">
      <c r="B326" s="22"/>
    </row>
    <row r="327">
      <c r="B327" s="22"/>
    </row>
    <row r="328">
      <c r="B328" s="22"/>
    </row>
    <row r="329">
      <c r="B329" s="22"/>
    </row>
    <row r="330">
      <c r="B330" s="22"/>
    </row>
    <row r="331">
      <c r="B331" s="22"/>
    </row>
    <row r="332">
      <c r="B332" s="22"/>
    </row>
    <row r="333">
      <c r="B333" s="22"/>
    </row>
    <row r="334">
      <c r="B334" s="22"/>
    </row>
    <row r="335">
      <c r="B335" s="22"/>
    </row>
    <row r="336">
      <c r="B336" s="22"/>
    </row>
    <row r="337">
      <c r="B337" s="22"/>
    </row>
    <row r="338">
      <c r="B338" s="22"/>
    </row>
    <row r="339">
      <c r="B339" s="22"/>
    </row>
    <row r="340">
      <c r="B340" s="22"/>
    </row>
    <row r="341">
      <c r="B341" s="22"/>
    </row>
    <row r="342">
      <c r="B342" s="22"/>
    </row>
    <row r="343">
      <c r="B343" s="22"/>
    </row>
    <row r="344">
      <c r="B344" s="22"/>
    </row>
    <row r="345">
      <c r="B345" s="22"/>
    </row>
    <row r="346">
      <c r="B346" s="22"/>
    </row>
    <row r="347">
      <c r="B347" s="22"/>
    </row>
    <row r="348">
      <c r="B348" s="22"/>
    </row>
    <row r="349">
      <c r="B349" s="22"/>
    </row>
    <row r="350">
      <c r="B350" s="22"/>
    </row>
    <row r="351">
      <c r="B351" s="22"/>
    </row>
    <row r="352">
      <c r="B352" s="22"/>
    </row>
    <row r="353">
      <c r="B353" s="22"/>
    </row>
    <row r="354">
      <c r="B354" s="22"/>
    </row>
    <row r="355">
      <c r="B355" s="22"/>
    </row>
    <row r="356">
      <c r="B356" s="22"/>
    </row>
    <row r="357">
      <c r="B357" s="22"/>
    </row>
    <row r="358">
      <c r="B358" s="22"/>
    </row>
    <row r="359">
      <c r="B359" s="22"/>
    </row>
    <row r="360">
      <c r="B360" s="22"/>
    </row>
    <row r="361">
      <c r="B361" s="22"/>
    </row>
    <row r="362">
      <c r="B362" s="22"/>
    </row>
    <row r="363">
      <c r="B363" s="22"/>
    </row>
    <row r="364">
      <c r="B364" s="22"/>
    </row>
    <row r="365">
      <c r="B365" s="22"/>
    </row>
    <row r="366">
      <c r="B366" s="22"/>
    </row>
    <row r="367">
      <c r="B367" s="22"/>
    </row>
    <row r="368">
      <c r="B368" s="22"/>
    </row>
    <row r="369">
      <c r="B369" s="22"/>
    </row>
    <row r="370">
      <c r="B370" s="22"/>
    </row>
    <row r="371">
      <c r="B371" s="22"/>
    </row>
    <row r="372">
      <c r="B372" s="22"/>
    </row>
    <row r="373">
      <c r="B373" s="22"/>
    </row>
    <row r="374">
      <c r="B374" s="22"/>
    </row>
    <row r="375">
      <c r="B375" s="22"/>
    </row>
    <row r="376">
      <c r="B376" s="22"/>
    </row>
    <row r="377">
      <c r="B377" s="22"/>
    </row>
    <row r="378">
      <c r="B378" s="22"/>
    </row>
    <row r="379">
      <c r="B379" s="22"/>
    </row>
    <row r="380">
      <c r="B380" s="22"/>
    </row>
    <row r="381">
      <c r="B381" s="22"/>
    </row>
    <row r="382">
      <c r="B382" s="22"/>
    </row>
    <row r="383">
      <c r="B383" s="22"/>
    </row>
    <row r="384">
      <c r="B384" s="22"/>
    </row>
    <row r="385">
      <c r="B385" s="22"/>
    </row>
    <row r="386">
      <c r="B386" s="22"/>
    </row>
    <row r="387">
      <c r="B387" s="22"/>
    </row>
    <row r="388">
      <c r="B388" s="22"/>
    </row>
    <row r="389">
      <c r="B389" s="22"/>
    </row>
    <row r="390">
      <c r="B390" s="22"/>
    </row>
    <row r="391">
      <c r="B391" s="22"/>
    </row>
    <row r="392">
      <c r="B392" s="22"/>
    </row>
    <row r="393">
      <c r="B393" s="22"/>
    </row>
    <row r="394">
      <c r="B394" s="22"/>
    </row>
    <row r="395">
      <c r="B395" s="22"/>
    </row>
    <row r="396">
      <c r="B396" s="22"/>
    </row>
    <row r="397">
      <c r="B397" s="22"/>
    </row>
    <row r="398">
      <c r="B398" s="22"/>
    </row>
    <row r="399">
      <c r="B399" s="22"/>
    </row>
    <row r="400">
      <c r="B400" s="22"/>
    </row>
    <row r="401">
      <c r="B401" s="22"/>
    </row>
    <row r="402">
      <c r="B402" s="22"/>
    </row>
    <row r="403">
      <c r="B403" s="22"/>
    </row>
    <row r="404">
      <c r="B404" s="22"/>
    </row>
    <row r="405">
      <c r="B405" s="22"/>
    </row>
    <row r="406">
      <c r="B406" s="22"/>
    </row>
    <row r="407">
      <c r="B407" s="22"/>
    </row>
    <row r="408">
      <c r="B408" s="22"/>
    </row>
    <row r="409">
      <c r="B409" s="22"/>
    </row>
    <row r="410">
      <c r="B410" s="22"/>
    </row>
    <row r="411">
      <c r="B411" s="22"/>
    </row>
    <row r="412">
      <c r="B412" s="22"/>
    </row>
    <row r="413">
      <c r="B413" s="22"/>
    </row>
    <row r="414">
      <c r="B414" s="22"/>
    </row>
    <row r="415">
      <c r="B415" s="22"/>
    </row>
    <row r="416">
      <c r="B416" s="22"/>
    </row>
    <row r="417">
      <c r="B417" s="22"/>
    </row>
    <row r="418">
      <c r="B418" s="22"/>
    </row>
    <row r="419">
      <c r="B419" s="22"/>
    </row>
    <row r="420">
      <c r="B420" s="22"/>
    </row>
    <row r="421">
      <c r="B421" s="22"/>
    </row>
    <row r="422">
      <c r="B422" s="22"/>
    </row>
    <row r="423">
      <c r="B423" s="22"/>
    </row>
    <row r="424">
      <c r="B424" s="22"/>
    </row>
    <row r="425">
      <c r="B425" s="22"/>
    </row>
    <row r="426">
      <c r="B426" s="22"/>
    </row>
    <row r="427">
      <c r="B427" s="22"/>
    </row>
    <row r="428">
      <c r="B428" s="22"/>
    </row>
    <row r="429">
      <c r="B429" s="22"/>
    </row>
    <row r="430">
      <c r="B430" s="22"/>
    </row>
    <row r="431">
      <c r="B431" s="22"/>
    </row>
    <row r="432">
      <c r="B432" s="22"/>
    </row>
    <row r="433">
      <c r="B433" s="22"/>
    </row>
    <row r="434">
      <c r="B434" s="22"/>
    </row>
    <row r="435">
      <c r="B435" s="22"/>
    </row>
    <row r="436">
      <c r="B436" s="22"/>
    </row>
    <row r="437">
      <c r="B437" s="22"/>
    </row>
    <row r="438">
      <c r="B438" s="22"/>
    </row>
    <row r="439">
      <c r="B439" s="22"/>
    </row>
    <row r="440">
      <c r="B440" s="22"/>
    </row>
    <row r="441">
      <c r="B441" s="22"/>
    </row>
    <row r="442">
      <c r="B442" s="22"/>
    </row>
    <row r="443">
      <c r="B443" s="22"/>
    </row>
    <row r="444">
      <c r="B444" s="22"/>
    </row>
    <row r="445">
      <c r="B445" s="22"/>
    </row>
    <row r="446">
      <c r="B446" s="22"/>
    </row>
    <row r="447">
      <c r="B447" s="22"/>
    </row>
    <row r="448">
      <c r="B448" s="22"/>
    </row>
    <row r="449">
      <c r="B449" s="22"/>
    </row>
    <row r="450">
      <c r="B450" s="22"/>
    </row>
    <row r="451">
      <c r="B451" s="22"/>
    </row>
    <row r="452">
      <c r="B452" s="22"/>
    </row>
    <row r="453">
      <c r="B453" s="22"/>
    </row>
    <row r="454">
      <c r="B454" s="22"/>
    </row>
    <row r="455">
      <c r="B455" s="22"/>
    </row>
    <row r="456">
      <c r="B456" s="22"/>
    </row>
    <row r="457">
      <c r="B457" s="22"/>
    </row>
    <row r="458">
      <c r="B458" s="22"/>
    </row>
    <row r="459">
      <c r="B459" s="22"/>
    </row>
    <row r="460">
      <c r="B460" s="22"/>
    </row>
    <row r="461">
      <c r="B461" s="22"/>
    </row>
    <row r="462">
      <c r="B462" s="22"/>
    </row>
    <row r="463">
      <c r="B463" s="22"/>
    </row>
    <row r="464">
      <c r="B464" s="22"/>
    </row>
    <row r="465">
      <c r="B465" s="22"/>
    </row>
    <row r="466">
      <c r="B466" s="22"/>
    </row>
    <row r="467">
      <c r="B467" s="22"/>
    </row>
    <row r="468">
      <c r="B468" s="22"/>
    </row>
    <row r="469">
      <c r="B469" s="22"/>
    </row>
    <row r="470">
      <c r="B470" s="22"/>
    </row>
    <row r="471">
      <c r="B471" s="22"/>
    </row>
    <row r="472">
      <c r="B472" s="22"/>
    </row>
    <row r="473">
      <c r="B473" s="22"/>
    </row>
    <row r="474">
      <c r="B474" s="22"/>
    </row>
    <row r="475">
      <c r="B475" s="22"/>
    </row>
    <row r="476">
      <c r="B476" s="22"/>
    </row>
    <row r="477">
      <c r="B477" s="22"/>
    </row>
    <row r="478">
      <c r="B478" s="22"/>
    </row>
    <row r="479">
      <c r="B479" s="22"/>
    </row>
    <row r="480">
      <c r="B480" s="22"/>
    </row>
    <row r="481">
      <c r="B481" s="22"/>
    </row>
    <row r="482">
      <c r="B482" s="22"/>
    </row>
    <row r="483">
      <c r="B483" s="22"/>
    </row>
    <row r="484">
      <c r="B484" s="22"/>
    </row>
    <row r="485">
      <c r="B485" s="22"/>
    </row>
    <row r="486">
      <c r="B486" s="22"/>
    </row>
    <row r="487">
      <c r="B487" s="22"/>
    </row>
    <row r="488">
      <c r="B488" s="22"/>
    </row>
    <row r="489">
      <c r="B489" s="22"/>
    </row>
    <row r="490">
      <c r="B490" s="22"/>
    </row>
    <row r="491">
      <c r="B491" s="22"/>
    </row>
    <row r="492">
      <c r="B492" s="22"/>
    </row>
    <row r="493">
      <c r="B493" s="22"/>
    </row>
    <row r="494">
      <c r="B494" s="22"/>
    </row>
    <row r="495">
      <c r="B495" s="22"/>
    </row>
    <row r="496">
      <c r="B496" s="22"/>
    </row>
    <row r="497">
      <c r="B497" s="22"/>
    </row>
    <row r="498">
      <c r="B498" s="22"/>
    </row>
    <row r="499">
      <c r="B499" s="22"/>
    </row>
    <row r="500">
      <c r="B500" s="22"/>
    </row>
    <row r="501">
      <c r="B501" s="22"/>
    </row>
    <row r="502">
      <c r="B502" s="22"/>
    </row>
    <row r="503">
      <c r="B503" s="22"/>
    </row>
    <row r="504">
      <c r="B504" s="22"/>
    </row>
    <row r="505">
      <c r="B505" s="22"/>
    </row>
    <row r="506">
      <c r="B506" s="22"/>
    </row>
    <row r="507">
      <c r="B507" s="22"/>
    </row>
    <row r="508">
      <c r="B508" s="22"/>
    </row>
    <row r="509">
      <c r="B509" s="22"/>
    </row>
    <row r="510">
      <c r="B510" s="22"/>
    </row>
    <row r="511">
      <c r="B511" s="22"/>
    </row>
    <row r="512">
      <c r="B512" s="22"/>
    </row>
    <row r="513">
      <c r="B513" s="22"/>
    </row>
    <row r="514">
      <c r="B514" s="22"/>
    </row>
    <row r="515">
      <c r="B515" s="22"/>
    </row>
    <row r="516">
      <c r="B516" s="22"/>
    </row>
    <row r="517">
      <c r="B517" s="22"/>
    </row>
    <row r="518">
      <c r="B518" s="22"/>
    </row>
    <row r="519">
      <c r="B519" s="22"/>
    </row>
    <row r="520">
      <c r="B520" s="22"/>
    </row>
    <row r="521">
      <c r="B521" s="22"/>
    </row>
    <row r="522">
      <c r="B522" s="22"/>
    </row>
    <row r="523">
      <c r="B523" s="22"/>
    </row>
    <row r="524">
      <c r="B524" s="22"/>
    </row>
    <row r="525">
      <c r="B525" s="22"/>
    </row>
    <row r="526">
      <c r="B526" s="22"/>
    </row>
    <row r="527">
      <c r="B527" s="22"/>
    </row>
    <row r="528">
      <c r="B528" s="22"/>
    </row>
    <row r="529">
      <c r="B529" s="22"/>
    </row>
    <row r="530">
      <c r="B530" s="22"/>
    </row>
    <row r="531">
      <c r="B531" s="22"/>
    </row>
    <row r="532">
      <c r="B532" s="22"/>
    </row>
    <row r="533">
      <c r="B533" s="22"/>
    </row>
    <row r="534">
      <c r="B534" s="22"/>
    </row>
    <row r="535">
      <c r="B535" s="22"/>
    </row>
    <row r="536">
      <c r="B536" s="22"/>
    </row>
    <row r="537">
      <c r="B537" s="22"/>
    </row>
    <row r="538">
      <c r="B538" s="22"/>
    </row>
    <row r="539">
      <c r="B539" s="22"/>
    </row>
    <row r="540">
      <c r="B540" s="22"/>
    </row>
    <row r="541">
      <c r="B541" s="22"/>
    </row>
    <row r="542">
      <c r="B542" s="22"/>
    </row>
    <row r="543">
      <c r="B543" s="22"/>
    </row>
    <row r="544">
      <c r="B544" s="22"/>
    </row>
    <row r="545">
      <c r="B545" s="22"/>
    </row>
    <row r="546">
      <c r="B546" s="22"/>
    </row>
    <row r="547">
      <c r="B547" s="22"/>
    </row>
    <row r="548">
      <c r="B548" s="22"/>
    </row>
    <row r="549">
      <c r="B549" s="22"/>
    </row>
    <row r="550">
      <c r="B550" s="22"/>
    </row>
    <row r="551">
      <c r="B551" s="22"/>
    </row>
    <row r="552">
      <c r="B552" s="22"/>
    </row>
    <row r="553">
      <c r="B553" s="22"/>
    </row>
    <row r="554">
      <c r="B554" s="22"/>
    </row>
    <row r="555">
      <c r="B555" s="22"/>
    </row>
    <row r="556">
      <c r="B556" s="22"/>
    </row>
    <row r="557">
      <c r="B557" s="22"/>
    </row>
    <row r="558">
      <c r="B558" s="22"/>
    </row>
    <row r="559">
      <c r="B559" s="22"/>
    </row>
    <row r="560">
      <c r="B560" s="22"/>
    </row>
    <row r="561">
      <c r="B561" s="22"/>
    </row>
    <row r="562">
      <c r="B562" s="22"/>
    </row>
    <row r="563">
      <c r="B563" s="22"/>
    </row>
    <row r="564">
      <c r="B564" s="22"/>
    </row>
    <row r="565">
      <c r="B565" s="22"/>
    </row>
    <row r="566">
      <c r="B566" s="22"/>
    </row>
    <row r="567">
      <c r="B567" s="22"/>
    </row>
    <row r="568">
      <c r="B568" s="22"/>
    </row>
    <row r="569">
      <c r="B569" s="22"/>
    </row>
    <row r="570">
      <c r="B570" s="22"/>
    </row>
    <row r="571">
      <c r="B571" s="22"/>
    </row>
    <row r="572">
      <c r="B572" s="22"/>
    </row>
    <row r="573">
      <c r="B573" s="22"/>
    </row>
    <row r="574">
      <c r="B574" s="22"/>
    </row>
    <row r="575">
      <c r="B575" s="22"/>
    </row>
    <row r="576">
      <c r="B576" s="22"/>
    </row>
    <row r="577">
      <c r="B577" s="22"/>
    </row>
    <row r="578">
      <c r="B578" s="22"/>
    </row>
    <row r="579">
      <c r="B579" s="22"/>
    </row>
    <row r="580">
      <c r="B580" s="22"/>
    </row>
    <row r="581">
      <c r="B581" s="22"/>
    </row>
    <row r="582">
      <c r="B582" s="22"/>
    </row>
    <row r="583">
      <c r="B583" s="22"/>
    </row>
    <row r="584">
      <c r="B584" s="22"/>
    </row>
    <row r="585">
      <c r="B585" s="22"/>
    </row>
    <row r="586">
      <c r="B586" s="22"/>
    </row>
    <row r="587">
      <c r="B587" s="22"/>
    </row>
    <row r="588">
      <c r="B588" s="22"/>
    </row>
    <row r="589">
      <c r="B589" s="22"/>
    </row>
    <row r="590">
      <c r="B590" s="22"/>
    </row>
    <row r="591">
      <c r="B591" s="22"/>
    </row>
    <row r="592">
      <c r="B592" s="22"/>
    </row>
    <row r="593">
      <c r="B593" s="22"/>
    </row>
    <row r="594">
      <c r="B594" s="22"/>
    </row>
    <row r="595">
      <c r="B595" s="22"/>
    </row>
    <row r="596">
      <c r="B596" s="22"/>
    </row>
    <row r="597">
      <c r="B597" s="22"/>
    </row>
    <row r="598">
      <c r="B598" s="22"/>
    </row>
    <row r="599">
      <c r="B599" s="22"/>
    </row>
    <row r="600">
      <c r="B600" s="22"/>
    </row>
    <row r="601">
      <c r="B601" s="22"/>
    </row>
    <row r="602">
      <c r="B602" s="22"/>
    </row>
    <row r="603">
      <c r="B603" s="22"/>
    </row>
    <row r="604">
      <c r="B604" s="22"/>
    </row>
    <row r="605">
      <c r="B605" s="22"/>
    </row>
    <row r="606">
      <c r="B606" s="22"/>
    </row>
    <row r="607">
      <c r="B607" s="22"/>
    </row>
    <row r="608">
      <c r="B608" s="22"/>
    </row>
    <row r="609">
      <c r="B609" s="22"/>
    </row>
    <row r="610">
      <c r="B610" s="22"/>
    </row>
    <row r="611">
      <c r="B611" s="22"/>
    </row>
    <row r="612">
      <c r="B612" s="22"/>
    </row>
    <row r="613">
      <c r="B613" s="22"/>
    </row>
    <row r="614">
      <c r="B614" s="22"/>
    </row>
    <row r="615">
      <c r="B615" s="22"/>
    </row>
    <row r="616">
      <c r="B616" s="22"/>
    </row>
    <row r="617">
      <c r="B617" s="22"/>
    </row>
    <row r="618">
      <c r="B618" s="22"/>
    </row>
    <row r="619">
      <c r="B619" s="22"/>
    </row>
    <row r="620">
      <c r="B620" s="22"/>
    </row>
    <row r="621">
      <c r="B621" s="22"/>
    </row>
    <row r="622">
      <c r="B622" s="22"/>
    </row>
    <row r="623">
      <c r="B623" s="22"/>
    </row>
    <row r="624">
      <c r="B624" s="22"/>
    </row>
    <row r="625">
      <c r="B625" s="22"/>
    </row>
    <row r="626">
      <c r="B626" s="22"/>
    </row>
    <row r="627">
      <c r="B627" s="22"/>
    </row>
    <row r="628">
      <c r="B628" s="22"/>
    </row>
    <row r="629">
      <c r="B629" s="22"/>
    </row>
    <row r="630">
      <c r="B630" s="22"/>
    </row>
    <row r="631">
      <c r="B631" s="22"/>
    </row>
    <row r="632">
      <c r="B632" s="22"/>
    </row>
    <row r="633">
      <c r="B633" s="22"/>
    </row>
    <row r="634">
      <c r="B634" s="22"/>
    </row>
    <row r="635">
      <c r="B635" s="22"/>
    </row>
    <row r="636">
      <c r="B636" s="22"/>
    </row>
    <row r="637">
      <c r="B637" s="22"/>
    </row>
    <row r="638">
      <c r="B638" s="22"/>
    </row>
    <row r="639">
      <c r="B639" s="22"/>
    </row>
    <row r="640">
      <c r="B640" s="22"/>
    </row>
    <row r="641">
      <c r="B641" s="22"/>
    </row>
    <row r="642">
      <c r="B642" s="22"/>
    </row>
    <row r="643">
      <c r="B643" s="22"/>
    </row>
    <row r="644">
      <c r="B644" s="22"/>
    </row>
    <row r="645">
      <c r="B645" s="22"/>
    </row>
    <row r="646">
      <c r="B646" s="22"/>
    </row>
    <row r="647">
      <c r="B647" s="22"/>
    </row>
    <row r="648">
      <c r="B648" s="22"/>
    </row>
    <row r="649">
      <c r="B649" s="22"/>
    </row>
    <row r="650">
      <c r="B650" s="22"/>
    </row>
    <row r="651">
      <c r="B651" s="22"/>
    </row>
    <row r="652">
      <c r="B652" s="22"/>
    </row>
    <row r="653">
      <c r="B653" s="22"/>
    </row>
    <row r="654">
      <c r="B654" s="22"/>
    </row>
    <row r="655">
      <c r="B655" s="22"/>
    </row>
    <row r="656">
      <c r="B656" s="22"/>
    </row>
    <row r="657">
      <c r="B657" s="22"/>
    </row>
    <row r="658">
      <c r="B658" s="22"/>
    </row>
    <row r="659">
      <c r="B659" s="22"/>
    </row>
    <row r="660">
      <c r="B660" s="22"/>
    </row>
    <row r="661">
      <c r="B661" s="22"/>
    </row>
    <row r="662">
      <c r="B662" s="22"/>
    </row>
    <row r="663">
      <c r="B663" s="22"/>
    </row>
    <row r="664">
      <c r="B664" s="22"/>
    </row>
    <row r="665">
      <c r="B665" s="22"/>
    </row>
    <row r="666">
      <c r="B666" s="22"/>
    </row>
    <row r="667">
      <c r="B667" s="22"/>
    </row>
    <row r="668">
      <c r="B668" s="22"/>
    </row>
    <row r="669">
      <c r="B669" s="22"/>
    </row>
    <row r="670">
      <c r="B670" s="22"/>
    </row>
    <row r="671">
      <c r="B671" s="22"/>
    </row>
    <row r="672">
      <c r="B672" s="22"/>
    </row>
    <row r="673">
      <c r="B673" s="22"/>
    </row>
    <row r="674">
      <c r="B674" s="22"/>
    </row>
    <row r="675">
      <c r="B675" s="22"/>
    </row>
    <row r="676">
      <c r="B676" s="22"/>
    </row>
    <row r="677">
      <c r="B677" s="22"/>
    </row>
    <row r="678">
      <c r="B678" s="22"/>
    </row>
    <row r="679">
      <c r="B679" s="22"/>
    </row>
    <row r="680">
      <c r="B680" s="22"/>
    </row>
    <row r="681">
      <c r="B681" s="22"/>
    </row>
    <row r="682">
      <c r="B682" s="22"/>
    </row>
    <row r="683">
      <c r="B683" s="22"/>
    </row>
    <row r="684">
      <c r="B684" s="22"/>
    </row>
    <row r="685">
      <c r="B685" s="22"/>
    </row>
    <row r="686">
      <c r="B686" s="22"/>
    </row>
    <row r="687">
      <c r="B687" s="22"/>
    </row>
    <row r="688">
      <c r="B688" s="22"/>
    </row>
    <row r="689">
      <c r="B689" s="22"/>
    </row>
    <row r="690">
      <c r="B690" s="22"/>
    </row>
    <row r="691">
      <c r="B691" s="22"/>
    </row>
    <row r="692">
      <c r="B692" s="22"/>
    </row>
    <row r="693">
      <c r="B693" s="22"/>
    </row>
    <row r="694">
      <c r="B694" s="22"/>
    </row>
    <row r="695">
      <c r="B695" s="22"/>
    </row>
    <row r="696">
      <c r="B696" s="22"/>
    </row>
    <row r="697">
      <c r="B697" s="22"/>
    </row>
    <row r="698">
      <c r="B698" s="22"/>
    </row>
    <row r="699">
      <c r="B699" s="22"/>
    </row>
    <row r="700">
      <c r="B700" s="22"/>
    </row>
    <row r="701">
      <c r="B701" s="22"/>
    </row>
    <row r="702">
      <c r="B702" s="22"/>
    </row>
    <row r="703">
      <c r="B703" s="22"/>
    </row>
    <row r="704">
      <c r="B704" s="22"/>
    </row>
    <row r="705">
      <c r="B705" s="22"/>
    </row>
    <row r="706">
      <c r="B706" s="22"/>
    </row>
    <row r="707">
      <c r="B707" s="22"/>
    </row>
    <row r="708">
      <c r="B708" s="22"/>
    </row>
    <row r="709">
      <c r="B709" s="22"/>
    </row>
    <row r="710">
      <c r="B710" s="22"/>
    </row>
    <row r="711">
      <c r="B711" s="22"/>
    </row>
    <row r="712">
      <c r="B712" s="22"/>
    </row>
    <row r="713">
      <c r="B713" s="22"/>
    </row>
    <row r="714">
      <c r="B714" s="22"/>
    </row>
    <row r="715">
      <c r="B715" s="22"/>
    </row>
    <row r="716">
      <c r="B716" s="22"/>
    </row>
    <row r="717">
      <c r="B717" s="22"/>
    </row>
    <row r="718">
      <c r="B718" s="22"/>
    </row>
    <row r="719">
      <c r="B719" s="22"/>
    </row>
    <row r="720">
      <c r="B720" s="22"/>
    </row>
    <row r="721">
      <c r="B721" s="22"/>
    </row>
    <row r="722">
      <c r="B722" s="22"/>
    </row>
    <row r="723">
      <c r="B723" s="22"/>
    </row>
    <row r="724">
      <c r="B724" s="22"/>
    </row>
    <row r="725">
      <c r="B725" s="22"/>
    </row>
    <row r="726">
      <c r="B726" s="22"/>
    </row>
    <row r="727">
      <c r="B727" s="22"/>
    </row>
    <row r="728">
      <c r="B728" s="22"/>
    </row>
    <row r="729">
      <c r="B729" s="22"/>
    </row>
    <row r="730">
      <c r="B730" s="22"/>
    </row>
    <row r="731">
      <c r="B731" s="22"/>
    </row>
    <row r="732">
      <c r="B732" s="22"/>
    </row>
    <row r="733">
      <c r="B733" s="22"/>
    </row>
    <row r="734">
      <c r="B734" s="22"/>
    </row>
    <row r="735">
      <c r="B735" s="22"/>
    </row>
    <row r="736">
      <c r="B736" s="22"/>
    </row>
    <row r="737">
      <c r="B737" s="22"/>
    </row>
    <row r="738">
      <c r="B738" s="22"/>
    </row>
    <row r="739">
      <c r="B739" s="22"/>
    </row>
    <row r="740">
      <c r="B740" s="22"/>
    </row>
    <row r="741">
      <c r="B741" s="22"/>
    </row>
    <row r="742">
      <c r="B742" s="22"/>
    </row>
    <row r="743">
      <c r="B743" s="22"/>
    </row>
    <row r="744">
      <c r="B744" s="22"/>
    </row>
    <row r="745">
      <c r="B745" s="22"/>
    </row>
    <row r="746">
      <c r="B746" s="22"/>
    </row>
    <row r="747">
      <c r="B747" s="22"/>
    </row>
    <row r="748">
      <c r="B748" s="22"/>
    </row>
    <row r="749">
      <c r="B749" s="22"/>
    </row>
    <row r="750">
      <c r="B750" s="22"/>
    </row>
    <row r="751">
      <c r="B751" s="22"/>
    </row>
    <row r="752">
      <c r="B752" s="22"/>
    </row>
    <row r="753">
      <c r="B753" s="22"/>
    </row>
    <row r="754">
      <c r="B754" s="22"/>
    </row>
    <row r="755">
      <c r="B755" s="22"/>
    </row>
    <row r="756">
      <c r="B756" s="22"/>
    </row>
    <row r="757">
      <c r="B757" s="22"/>
    </row>
    <row r="758">
      <c r="B758" s="22"/>
    </row>
    <row r="759">
      <c r="B759" s="22"/>
    </row>
    <row r="760">
      <c r="B760" s="22"/>
    </row>
    <row r="761">
      <c r="B761" s="22"/>
    </row>
    <row r="762">
      <c r="B762" s="22"/>
    </row>
    <row r="763">
      <c r="B763" s="22"/>
    </row>
    <row r="764">
      <c r="B764" s="22"/>
    </row>
    <row r="765">
      <c r="B765" s="22"/>
    </row>
    <row r="766">
      <c r="B766" s="22"/>
    </row>
    <row r="767">
      <c r="B767" s="22"/>
    </row>
    <row r="768">
      <c r="B768" s="22"/>
    </row>
    <row r="769">
      <c r="B769" s="22"/>
    </row>
    <row r="770">
      <c r="B770" s="22"/>
    </row>
    <row r="771">
      <c r="B771" s="22"/>
    </row>
    <row r="772">
      <c r="B772" s="22"/>
    </row>
    <row r="773">
      <c r="B773" s="22"/>
    </row>
    <row r="774">
      <c r="B774" s="22"/>
    </row>
    <row r="775">
      <c r="B775" s="22"/>
    </row>
    <row r="776">
      <c r="B776" s="22"/>
    </row>
    <row r="777">
      <c r="B777" s="22"/>
    </row>
    <row r="778">
      <c r="B778" s="22"/>
    </row>
    <row r="779">
      <c r="B779" s="22"/>
    </row>
    <row r="780">
      <c r="B780" s="22"/>
    </row>
    <row r="781">
      <c r="B781" s="22"/>
    </row>
    <row r="782">
      <c r="B782" s="22"/>
    </row>
    <row r="783">
      <c r="B783" s="22"/>
    </row>
    <row r="784">
      <c r="B784" s="22"/>
    </row>
    <row r="785">
      <c r="B785" s="22"/>
    </row>
    <row r="786">
      <c r="B786" s="22"/>
    </row>
    <row r="787">
      <c r="B787" s="22"/>
    </row>
    <row r="788">
      <c r="B788" s="22"/>
    </row>
    <row r="789">
      <c r="B789" s="22"/>
    </row>
    <row r="790">
      <c r="B790" s="22"/>
    </row>
    <row r="791">
      <c r="B791" s="22"/>
    </row>
    <row r="792">
      <c r="B792" s="22"/>
    </row>
    <row r="793">
      <c r="B793" s="22"/>
    </row>
    <row r="794">
      <c r="B794" s="22"/>
    </row>
    <row r="795">
      <c r="B795" s="22"/>
    </row>
    <row r="796">
      <c r="B796" s="22"/>
    </row>
    <row r="797">
      <c r="B797" s="22"/>
    </row>
    <row r="798">
      <c r="B798" s="22"/>
    </row>
    <row r="799">
      <c r="B799" s="22"/>
    </row>
    <row r="800">
      <c r="B800" s="22"/>
    </row>
    <row r="801">
      <c r="B801" s="22"/>
    </row>
    <row r="802">
      <c r="B802" s="22"/>
    </row>
    <row r="803">
      <c r="B803" s="22"/>
    </row>
    <row r="804">
      <c r="B804" s="22"/>
    </row>
    <row r="805">
      <c r="B805" s="22"/>
    </row>
    <row r="806">
      <c r="B806" s="22"/>
    </row>
    <row r="807">
      <c r="B807" s="22"/>
    </row>
    <row r="808">
      <c r="B808" s="22"/>
    </row>
    <row r="809">
      <c r="B809" s="22"/>
    </row>
    <row r="810">
      <c r="B810" s="22"/>
    </row>
    <row r="811">
      <c r="B811" s="22"/>
    </row>
    <row r="812">
      <c r="B812" s="22"/>
    </row>
    <row r="813">
      <c r="B813" s="22"/>
    </row>
    <row r="814">
      <c r="B814" s="22"/>
    </row>
    <row r="815">
      <c r="B815" s="22"/>
    </row>
    <row r="816">
      <c r="B816" s="22"/>
    </row>
    <row r="817">
      <c r="B817" s="22"/>
    </row>
    <row r="818">
      <c r="B818" s="22"/>
    </row>
    <row r="819">
      <c r="B819" s="22"/>
    </row>
    <row r="820">
      <c r="B820" s="22"/>
    </row>
    <row r="821">
      <c r="B821" s="22"/>
    </row>
    <row r="822">
      <c r="B822" s="22"/>
    </row>
    <row r="823">
      <c r="B823" s="22"/>
    </row>
    <row r="824">
      <c r="B824" s="22"/>
    </row>
    <row r="825">
      <c r="B825" s="22"/>
    </row>
    <row r="826">
      <c r="B826" s="22"/>
    </row>
    <row r="827">
      <c r="B827" s="22"/>
    </row>
    <row r="828">
      <c r="B828" s="22"/>
    </row>
    <row r="829">
      <c r="B829" s="22"/>
    </row>
    <row r="830">
      <c r="B830" s="22"/>
    </row>
    <row r="831">
      <c r="B831" s="22"/>
    </row>
    <row r="832">
      <c r="B832" s="22"/>
    </row>
    <row r="833">
      <c r="B833" s="22"/>
    </row>
    <row r="834">
      <c r="B834" s="22"/>
    </row>
    <row r="835">
      <c r="B835" s="22"/>
    </row>
    <row r="836">
      <c r="B836" s="22"/>
    </row>
    <row r="837">
      <c r="B837" s="22"/>
    </row>
    <row r="838">
      <c r="B838" s="22"/>
    </row>
    <row r="839">
      <c r="B839" s="22"/>
    </row>
    <row r="840">
      <c r="B840" s="22"/>
    </row>
    <row r="841">
      <c r="B841" s="22"/>
    </row>
    <row r="842">
      <c r="B842" s="22"/>
    </row>
    <row r="843">
      <c r="B843" s="22"/>
    </row>
    <row r="844">
      <c r="B844" s="22"/>
    </row>
    <row r="845">
      <c r="B845" s="22"/>
    </row>
    <row r="846">
      <c r="B846" s="22"/>
    </row>
    <row r="847">
      <c r="B847" s="22"/>
    </row>
    <row r="848">
      <c r="B848" s="22"/>
    </row>
    <row r="849">
      <c r="B849" s="22"/>
    </row>
    <row r="850">
      <c r="B850" s="22"/>
    </row>
    <row r="851">
      <c r="B851" s="22"/>
    </row>
    <row r="852">
      <c r="B852" s="22"/>
    </row>
    <row r="853">
      <c r="B853" s="22"/>
    </row>
    <row r="854">
      <c r="B854" s="22"/>
    </row>
    <row r="855">
      <c r="B855" s="22"/>
    </row>
    <row r="856">
      <c r="B856" s="22"/>
    </row>
    <row r="857">
      <c r="B857" s="22"/>
    </row>
    <row r="858">
      <c r="B858" s="22"/>
    </row>
    <row r="859">
      <c r="B859" s="22"/>
    </row>
    <row r="860">
      <c r="B860" s="22"/>
    </row>
    <row r="861">
      <c r="B861" s="22"/>
    </row>
    <row r="862">
      <c r="B862" s="22"/>
    </row>
    <row r="863">
      <c r="B863" s="22"/>
    </row>
    <row r="864">
      <c r="B864" s="22"/>
    </row>
    <row r="865">
      <c r="B865" s="22"/>
    </row>
    <row r="866">
      <c r="B866" s="22"/>
    </row>
    <row r="867">
      <c r="B867" s="22"/>
    </row>
    <row r="868">
      <c r="B868" s="22"/>
    </row>
    <row r="869">
      <c r="B869" s="22"/>
    </row>
    <row r="870">
      <c r="B870" s="22"/>
    </row>
    <row r="871">
      <c r="B871" s="22"/>
    </row>
    <row r="872">
      <c r="B872" s="22"/>
    </row>
    <row r="873">
      <c r="B873" s="22"/>
    </row>
    <row r="874">
      <c r="B874" s="22"/>
    </row>
    <row r="875">
      <c r="B875" s="22"/>
    </row>
    <row r="876">
      <c r="B876" s="22"/>
    </row>
    <row r="877">
      <c r="B877" s="22"/>
    </row>
    <row r="878">
      <c r="B878" s="22"/>
    </row>
    <row r="879">
      <c r="B879" s="22"/>
    </row>
    <row r="880">
      <c r="B880" s="22"/>
    </row>
    <row r="881">
      <c r="B881" s="22"/>
    </row>
    <row r="882">
      <c r="B882" s="22"/>
    </row>
    <row r="883">
      <c r="B883" s="22"/>
    </row>
    <row r="884">
      <c r="B884" s="22"/>
    </row>
    <row r="885">
      <c r="B885" s="22"/>
    </row>
    <row r="886">
      <c r="B886" s="22"/>
    </row>
    <row r="887">
      <c r="B887" s="22"/>
    </row>
    <row r="888">
      <c r="B888" s="22"/>
    </row>
    <row r="889">
      <c r="B889" s="22"/>
    </row>
    <row r="890">
      <c r="B890" s="22"/>
    </row>
    <row r="891">
      <c r="B891" s="22"/>
    </row>
    <row r="892">
      <c r="B892" s="22"/>
    </row>
    <row r="893">
      <c r="B893" s="22"/>
    </row>
    <row r="894">
      <c r="B894" s="22"/>
    </row>
    <row r="895">
      <c r="B895" s="22"/>
    </row>
    <row r="896">
      <c r="B896" s="22"/>
    </row>
    <row r="897">
      <c r="B897" s="22"/>
    </row>
    <row r="898">
      <c r="B898" s="22"/>
    </row>
    <row r="899">
      <c r="B899" s="22"/>
    </row>
    <row r="900">
      <c r="B900" s="22"/>
    </row>
    <row r="901">
      <c r="B901" s="22"/>
    </row>
    <row r="902">
      <c r="B902" s="22"/>
    </row>
    <row r="903">
      <c r="B903" s="22"/>
    </row>
    <row r="904">
      <c r="B904" s="22"/>
    </row>
    <row r="905">
      <c r="B905" s="22"/>
    </row>
    <row r="906">
      <c r="B906" s="22"/>
    </row>
    <row r="907">
      <c r="B907" s="22"/>
    </row>
    <row r="908">
      <c r="B908" s="22"/>
    </row>
    <row r="909">
      <c r="B909" s="22"/>
    </row>
    <row r="910">
      <c r="B910" s="22"/>
    </row>
    <row r="911">
      <c r="B911" s="22"/>
    </row>
    <row r="912">
      <c r="B912" s="22"/>
    </row>
    <row r="913">
      <c r="B913" s="22"/>
    </row>
    <row r="914">
      <c r="B914" s="22"/>
    </row>
    <row r="915">
      <c r="B915" s="22"/>
    </row>
    <row r="916">
      <c r="B916" s="22"/>
    </row>
    <row r="917">
      <c r="B917" s="22"/>
    </row>
    <row r="918">
      <c r="B918" s="22"/>
    </row>
    <row r="919">
      <c r="B919" s="22"/>
    </row>
    <row r="920">
      <c r="B920" s="22"/>
    </row>
    <row r="921">
      <c r="B921" s="22"/>
    </row>
    <row r="922">
      <c r="B922" s="22"/>
    </row>
    <row r="923">
      <c r="B923" s="22"/>
    </row>
    <row r="924">
      <c r="B924" s="22"/>
    </row>
    <row r="925">
      <c r="B925" s="22"/>
    </row>
    <row r="926">
      <c r="B926" s="22"/>
    </row>
    <row r="927">
      <c r="B927" s="22"/>
    </row>
    <row r="928">
      <c r="B928" s="22"/>
    </row>
    <row r="929">
      <c r="B929" s="22"/>
    </row>
    <row r="930">
      <c r="B930" s="22"/>
    </row>
    <row r="931">
      <c r="B931" s="22"/>
    </row>
    <row r="932">
      <c r="B932" s="22"/>
    </row>
    <row r="933">
      <c r="B933" s="22"/>
    </row>
    <row r="934">
      <c r="B934" s="22"/>
    </row>
    <row r="935">
      <c r="B935" s="22"/>
    </row>
    <row r="936">
      <c r="B936" s="22"/>
    </row>
    <row r="937">
      <c r="B937" s="22"/>
    </row>
    <row r="938">
      <c r="B938" s="22"/>
    </row>
    <row r="939">
      <c r="B939" s="22"/>
    </row>
    <row r="940">
      <c r="B940" s="22"/>
    </row>
    <row r="941">
      <c r="B941" s="22"/>
    </row>
    <row r="942">
      <c r="B942" s="22"/>
    </row>
    <row r="943">
      <c r="B943" s="22"/>
    </row>
    <row r="944">
      <c r="B944" s="22"/>
    </row>
    <row r="945">
      <c r="B945" s="22"/>
    </row>
    <row r="946">
      <c r="B946" s="22"/>
    </row>
    <row r="947">
      <c r="B947" s="22"/>
    </row>
    <row r="948">
      <c r="B948" s="22"/>
    </row>
    <row r="949">
      <c r="B949" s="22"/>
    </row>
    <row r="950">
      <c r="B950" s="22"/>
    </row>
    <row r="951">
      <c r="B951" s="22"/>
    </row>
    <row r="952">
      <c r="B952" s="22"/>
    </row>
    <row r="953">
      <c r="B953" s="22"/>
    </row>
    <row r="954">
      <c r="B954" s="22"/>
    </row>
    <row r="955">
      <c r="B955" s="22"/>
    </row>
    <row r="956">
      <c r="B956" s="22"/>
    </row>
    <row r="957">
      <c r="B957" s="22"/>
    </row>
    <row r="958">
      <c r="B958" s="22"/>
    </row>
    <row r="959">
      <c r="B959" s="22"/>
    </row>
    <row r="960">
      <c r="B960" s="22"/>
    </row>
    <row r="961">
      <c r="B961" s="22"/>
    </row>
    <row r="962">
      <c r="B962" s="22"/>
    </row>
    <row r="963">
      <c r="B963" s="22"/>
    </row>
    <row r="964">
      <c r="B964" s="22"/>
    </row>
    <row r="965">
      <c r="B965" s="22"/>
    </row>
    <row r="966">
      <c r="B966" s="22"/>
    </row>
    <row r="967">
      <c r="B967" s="22"/>
    </row>
    <row r="968">
      <c r="B968" s="22"/>
    </row>
    <row r="969">
      <c r="B969" s="22"/>
    </row>
    <row r="970">
      <c r="B970" s="22"/>
    </row>
    <row r="971">
      <c r="B971" s="22"/>
    </row>
    <row r="972">
      <c r="B972" s="22"/>
    </row>
    <row r="973">
      <c r="B973" s="22"/>
    </row>
    <row r="974">
      <c r="B974" s="22"/>
    </row>
    <row r="975">
      <c r="B975" s="22"/>
    </row>
    <row r="976">
      <c r="B976" s="22"/>
    </row>
    <row r="977">
      <c r="B977" s="22"/>
    </row>
    <row r="978">
      <c r="B978" s="22"/>
    </row>
    <row r="979">
      <c r="B979" s="22"/>
    </row>
    <row r="980">
      <c r="B980" s="22"/>
    </row>
    <row r="981">
      <c r="B981" s="22"/>
    </row>
    <row r="982">
      <c r="B982" s="22"/>
    </row>
    <row r="983">
      <c r="B983" s="22"/>
    </row>
    <row r="984">
      <c r="B984" s="22"/>
    </row>
    <row r="985">
      <c r="B985" s="22"/>
    </row>
    <row r="986">
      <c r="B986" s="22"/>
    </row>
    <row r="987">
      <c r="B987" s="22"/>
    </row>
    <row r="988">
      <c r="B988" s="22"/>
    </row>
    <row r="989">
      <c r="B989" s="22"/>
    </row>
    <row r="990">
      <c r="B990" s="22"/>
    </row>
    <row r="991">
      <c r="B991" s="22"/>
    </row>
    <row r="992">
      <c r="B992" s="22"/>
    </row>
    <row r="993">
      <c r="B993" s="22"/>
    </row>
    <row r="994">
      <c r="B994" s="22"/>
    </row>
    <row r="995">
      <c r="B995" s="22"/>
    </row>
    <row r="996">
      <c r="B996" s="22"/>
    </row>
    <row r="997">
      <c r="B997" s="22"/>
    </row>
    <row r="998">
      <c r="B998" s="22"/>
    </row>
    <row r="999">
      <c r="B999" s="22"/>
    </row>
    <row r="1000">
      <c r="B1000" s="22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</cols>
  <sheetData>
    <row r="1">
      <c r="A1" s="18" t="s">
        <v>0</v>
      </c>
      <c r="B1" s="19" t="s">
        <v>1</v>
      </c>
    </row>
    <row r="2">
      <c r="A2" s="3" t="s">
        <v>620</v>
      </c>
      <c r="B2" s="4">
        <v>13891.44</v>
      </c>
    </row>
    <row r="3">
      <c r="A3" s="3" t="s">
        <v>621</v>
      </c>
      <c r="B3" s="4">
        <v>753.68</v>
      </c>
    </row>
    <row r="4">
      <c r="A4" s="3" t="s">
        <v>622</v>
      </c>
      <c r="B4" s="4">
        <v>116532.77</v>
      </c>
    </row>
    <row r="5">
      <c r="A5" s="3" t="s">
        <v>623</v>
      </c>
      <c r="B5" s="4">
        <v>26191.0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4" t="s">
        <v>624</v>
      </c>
      <c r="B6" s="4">
        <v>140.0</v>
      </c>
    </row>
    <row r="7">
      <c r="A7" s="4" t="s">
        <v>625</v>
      </c>
      <c r="B7" s="4">
        <v>1100.0</v>
      </c>
    </row>
    <row r="8">
      <c r="A8" s="3" t="s">
        <v>626</v>
      </c>
      <c r="B8" s="4">
        <v>124.18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3" t="s">
        <v>627</v>
      </c>
      <c r="B9" s="4">
        <v>430.88</v>
      </c>
    </row>
    <row r="10">
      <c r="A10" s="3" t="s">
        <v>550</v>
      </c>
      <c r="B10" s="4">
        <v>20.0</v>
      </c>
    </row>
    <row r="11">
      <c r="A11" s="3" t="s">
        <v>628</v>
      </c>
      <c r="B11" s="4">
        <v>6484.66</v>
      </c>
    </row>
    <row r="12">
      <c r="A12" s="3" t="s">
        <v>629</v>
      </c>
      <c r="B12" s="4">
        <v>288.04</v>
      </c>
    </row>
    <row r="13">
      <c r="A13" s="3" t="s">
        <v>630</v>
      </c>
      <c r="B13" s="4">
        <v>621.8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3" t="s">
        <v>634</v>
      </c>
      <c r="B14" s="4">
        <v>869.5</v>
      </c>
    </row>
    <row r="15">
      <c r="A15" s="3" t="s">
        <v>636</v>
      </c>
      <c r="B15" s="4">
        <v>343.0</v>
      </c>
    </row>
    <row r="16">
      <c r="A16" s="3" t="s">
        <v>638</v>
      </c>
      <c r="B16" s="4">
        <v>18290.55</v>
      </c>
    </row>
    <row r="17">
      <c r="A17" s="3" t="s">
        <v>639</v>
      </c>
      <c r="B17" s="4">
        <v>6746.15</v>
      </c>
    </row>
    <row r="18">
      <c r="A18" s="4" t="s">
        <v>640</v>
      </c>
      <c r="B18" s="4">
        <v>6870.03</v>
      </c>
    </row>
    <row r="19">
      <c r="A19" s="3" t="s">
        <v>641</v>
      </c>
      <c r="B19" s="4">
        <v>-836.0</v>
      </c>
    </row>
    <row r="20">
      <c r="A20" s="3" t="s">
        <v>642</v>
      </c>
      <c r="B20" s="4">
        <v>2688.58</v>
      </c>
    </row>
    <row r="21">
      <c r="A21" s="3" t="s">
        <v>643</v>
      </c>
      <c r="B21" s="4">
        <v>3455.0</v>
      </c>
    </row>
    <row r="22">
      <c r="A22" s="3" t="s">
        <v>644</v>
      </c>
      <c r="B22" s="4">
        <v>56.0</v>
      </c>
    </row>
    <row r="23">
      <c r="A23" s="3" t="s">
        <v>645</v>
      </c>
      <c r="B23" s="4">
        <v>4212.0</v>
      </c>
    </row>
    <row r="24">
      <c r="A24" s="3" t="s">
        <v>646</v>
      </c>
      <c r="B24" s="4">
        <v>6401.17</v>
      </c>
    </row>
    <row r="25">
      <c r="A25" s="3" t="s">
        <v>647</v>
      </c>
      <c r="B25" s="4">
        <v>-2.0</v>
      </c>
    </row>
    <row r="26">
      <c r="A26" s="3" t="s">
        <v>648</v>
      </c>
      <c r="B26" s="4">
        <v>22.72</v>
      </c>
    </row>
    <row r="27">
      <c r="A27" s="3" t="s">
        <v>649</v>
      </c>
      <c r="B27" s="23">
        <v>2580.0</v>
      </c>
    </row>
    <row r="28">
      <c r="A28" s="3" t="s">
        <v>652</v>
      </c>
      <c r="B28" s="4">
        <v>2668.0</v>
      </c>
    </row>
    <row r="29">
      <c r="A29" s="3" t="s">
        <v>653</v>
      </c>
      <c r="B29" s="4">
        <v>15750.0</v>
      </c>
    </row>
    <row r="30">
      <c r="A30" s="3" t="s">
        <v>654</v>
      </c>
      <c r="B30" s="3">
        <v>26.41</v>
      </c>
    </row>
    <row r="31">
      <c r="A31" s="3" t="s">
        <v>655</v>
      </c>
      <c r="B31" s="4">
        <v>386.0</v>
      </c>
    </row>
    <row r="32">
      <c r="A32" s="3" t="s">
        <v>656</v>
      </c>
      <c r="B32" s="4">
        <v>-14.4</v>
      </c>
    </row>
    <row r="33">
      <c r="A33" s="3" t="s">
        <v>657</v>
      </c>
      <c r="B33" s="4">
        <v>1708.85</v>
      </c>
    </row>
    <row r="34">
      <c r="A34" s="3" t="s">
        <v>382</v>
      </c>
      <c r="B34" s="5">
        <f>SUM(B2:B33)</f>
        <v>238800.01</v>
      </c>
    </row>
    <row r="35">
      <c r="B35" s="5"/>
    </row>
    <row r="36">
      <c r="B36" s="5"/>
    </row>
    <row r="37">
      <c r="B37" s="5"/>
    </row>
    <row r="38">
      <c r="B38" s="5"/>
    </row>
    <row r="39">
      <c r="B39" s="5"/>
    </row>
    <row r="40">
      <c r="B40" s="5"/>
    </row>
    <row r="41">
      <c r="B41" s="5"/>
    </row>
    <row r="42">
      <c r="B42" s="5"/>
    </row>
    <row r="43">
      <c r="B43" s="5"/>
    </row>
    <row r="44">
      <c r="B44" s="5"/>
    </row>
    <row r="45">
      <c r="B45" s="5"/>
    </row>
    <row r="46">
      <c r="B46" s="5"/>
    </row>
    <row r="47">
      <c r="B47" s="5"/>
    </row>
    <row r="48">
      <c r="B48" s="5"/>
    </row>
    <row r="49">
      <c r="B49" s="5"/>
    </row>
    <row r="50">
      <c r="B50" s="5"/>
    </row>
    <row r="51">
      <c r="B51" s="5"/>
    </row>
    <row r="52">
      <c r="B52" s="5"/>
    </row>
    <row r="53">
      <c r="B53" s="5"/>
    </row>
    <row r="54">
      <c r="B54" s="5"/>
    </row>
    <row r="55">
      <c r="B55" s="5"/>
    </row>
    <row r="56">
      <c r="B56" s="5"/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</sheetData>
  <autoFilter ref="$A$1:$B$34">
    <sortState ref="A1:B34">
      <sortCondition ref="A1:A34"/>
    </sortState>
  </autoFil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</cols>
  <sheetData>
    <row r="1">
      <c r="A1" s="18" t="s">
        <v>0</v>
      </c>
      <c r="B1" s="19" t="s">
        <v>1</v>
      </c>
    </row>
    <row r="2">
      <c r="A2" s="3" t="s">
        <v>631</v>
      </c>
      <c r="B2" s="4">
        <v>301.0</v>
      </c>
    </row>
    <row r="3">
      <c r="A3" s="3" t="s">
        <v>632</v>
      </c>
      <c r="B3" s="4">
        <v>31.0</v>
      </c>
    </row>
    <row r="4">
      <c r="A4" s="3" t="s">
        <v>633</v>
      </c>
      <c r="B4" s="4">
        <v>75.0</v>
      </c>
    </row>
    <row r="5">
      <c r="A5" s="3" t="s">
        <v>635</v>
      </c>
      <c r="B5" s="4">
        <v>89.8</v>
      </c>
    </row>
    <row r="6">
      <c r="A6" s="4" t="s">
        <v>637</v>
      </c>
      <c r="B6" s="4">
        <f>1132+1036</f>
        <v>2168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650</v>
      </c>
      <c r="B7" s="4">
        <v>4389.41</v>
      </c>
    </row>
    <row r="8">
      <c r="A8" s="3" t="s">
        <v>638</v>
      </c>
      <c r="B8" s="4">
        <v>2997.21</v>
      </c>
    </row>
    <row r="9">
      <c r="A9" s="4" t="s">
        <v>651</v>
      </c>
      <c r="B9" s="4">
        <v>1870.0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658</v>
      </c>
      <c r="B10" s="4">
        <v>26917.58</v>
      </c>
    </row>
    <row r="11">
      <c r="A11" s="3" t="s">
        <v>659</v>
      </c>
      <c r="B11" s="4">
        <v>9704.65</v>
      </c>
    </row>
    <row r="12">
      <c r="A12" s="3" t="s">
        <v>660</v>
      </c>
      <c r="B12" s="4">
        <v>139.73</v>
      </c>
    </row>
    <row r="13">
      <c r="A13" s="3" t="s">
        <v>661</v>
      </c>
      <c r="B13" s="4">
        <v>7894.0</v>
      </c>
    </row>
    <row r="14">
      <c r="A14" s="3" t="s">
        <v>662</v>
      </c>
      <c r="B14" s="4">
        <v>873.5</v>
      </c>
    </row>
    <row r="15">
      <c r="A15" s="4" t="s">
        <v>663</v>
      </c>
      <c r="B15" s="4">
        <v>4398.0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664</v>
      </c>
      <c r="B16" s="4">
        <v>483.6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" t="s">
        <v>665</v>
      </c>
      <c r="B17" s="4">
        <v>379.42</v>
      </c>
    </row>
    <row r="18">
      <c r="A18" s="3" t="s">
        <v>537</v>
      </c>
      <c r="B18" s="4">
        <v>4.29</v>
      </c>
    </row>
    <row r="19">
      <c r="A19" s="3" t="s">
        <v>666</v>
      </c>
      <c r="B19" s="4">
        <v>49.56</v>
      </c>
    </row>
    <row r="20">
      <c r="A20" s="3" t="s">
        <v>667</v>
      </c>
      <c r="B20" s="4">
        <v>6695.54</v>
      </c>
    </row>
    <row r="21">
      <c r="A21" s="3" t="s">
        <v>668</v>
      </c>
      <c r="B21" s="4">
        <v>1260.75</v>
      </c>
    </row>
    <row r="22">
      <c r="A22" s="3" t="s">
        <v>669</v>
      </c>
      <c r="B22" s="4">
        <v>208.15</v>
      </c>
    </row>
    <row r="23">
      <c r="A23" s="3" t="s">
        <v>670</v>
      </c>
      <c r="B23" s="4">
        <v>4804.5</v>
      </c>
    </row>
    <row r="24">
      <c r="A24" s="3" t="s">
        <v>671</v>
      </c>
      <c r="B24" s="4">
        <v>9120.57</v>
      </c>
    </row>
    <row r="25">
      <c r="A25" s="3" t="s">
        <v>672</v>
      </c>
      <c r="B25" s="4">
        <v>18850.5</v>
      </c>
    </row>
    <row r="26">
      <c r="A26" s="3" t="s">
        <v>673</v>
      </c>
      <c r="B26" s="4">
        <v>410.0</v>
      </c>
    </row>
    <row r="27">
      <c r="A27" s="3" t="s">
        <v>674</v>
      </c>
      <c r="B27" s="4">
        <v>1600.0</v>
      </c>
    </row>
    <row r="28">
      <c r="A28" s="3" t="s">
        <v>382</v>
      </c>
      <c r="B28" s="4">
        <f>SUM(B2:B27)</f>
        <v>105715.76</v>
      </c>
    </row>
    <row r="29">
      <c r="B29" s="4"/>
    </row>
    <row r="30">
      <c r="B30" s="5"/>
    </row>
    <row r="31">
      <c r="B31" s="5"/>
    </row>
    <row r="32">
      <c r="B32" s="5"/>
    </row>
    <row r="33">
      <c r="B33" s="5"/>
    </row>
    <row r="34">
      <c r="B34" s="5"/>
    </row>
    <row r="35">
      <c r="B35" s="5"/>
    </row>
    <row r="36">
      <c r="B36" s="5"/>
    </row>
    <row r="37">
      <c r="B37" s="5"/>
    </row>
    <row r="38">
      <c r="B38" s="5"/>
    </row>
    <row r="39">
      <c r="B39" s="5"/>
    </row>
    <row r="40">
      <c r="B40" s="5"/>
    </row>
    <row r="41">
      <c r="B41" s="5"/>
    </row>
    <row r="42">
      <c r="B42" s="5"/>
    </row>
    <row r="43">
      <c r="B43" s="5"/>
    </row>
    <row r="44">
      <c r="B44" s="5"/>
    </row>
    <row r="45">
      <c r="B45" s="5"/>
    </row>
    <row r="46">
      <c r="B46" s="5"/>
    </row>
    <row r="47">
      <c r="B47" s="5"/>
    </row>
    <row r="48">
      <c r="B48" s="5"/>
    </row>
    <row r="49">
      <c r="B49" s="5"/>
    </row>
    <row r="50">
      <c r="B50" s="5"/>
    </row>
    <row r="51">
      <c r="B51" s="5"/>
    </row>
    <row r="52">
      <c r="B52" s="5"/>
    </row>
    <row r="53">
      <c r="B53" s="5"/>
    </row>
    <row r="54">
      <c r="B54" s="5"/>
    </row>
    <row r="55">
      <c r="B55" s="5"/>
    </row>
    <row r="56">
      <c r="B56" s="5"/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</cols>
  <sheetData>
    <row r="1">
      <c r="A1" s="18" t="s">
        <v>0</v>
      </c>
      <c r="B1" s="19" t="s">
        <v>1</v>
      </c>
    </row>
    <row r="2">
      <c r="A2" s="3" t="s">
        <v>650</v>
      </c>
      <c r="B2" s="4">
        <v>3209.92</v>
      </c>
    </row>
    <row r="3">
      <c r="A3" s="3" t="s">
        <v>671</v>
      </c>
      <c r="B3" s="4">
        <v>2602.8857</v>
      </c>
    </row>
    <row r="4">
      <c r="A4" s="3" t="s">
        <v>631</v>
      </c>
      <c r="B4" s="4">
        <v>417.83</v>
      </c>
    </row>
    <row r="5">
      <c r="A5" s="3" t="s">
        <v>675</v>
      </c>
      <c r="B5" s="4">
        <v>489.75</v>
      </c>
    </row>
    <row r="6">
      <c r="A6" s="3" t="s">
        <v>630</v>
      </c>
      <c r="B6" s="4">
        <v>60.79</v>
      </c>
    </row>
    <row r="7">
      <c r="A7" s="3" t="s">
        <v>632</v>
      </c>
      <c r="B7" s="4">
        <f>40+282</f>
        <v>322</v>
      </c>
    </row>
    <row r="8">
      <c r="A8" s="3" t="s">
        <v>676</v>
      </c>
      <c r="B8" s="4">
        <v>434.75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683</v>
      </c>
      <c r="B9" s="4">
        <v>501.0</v>
      </c>
    </row>
    <row r="10">
      <c r="A10" s="3" t="s">
        <v>685</v>
      </c>
      <c r="B10" s="4">
        <v>3366.87</v>
      </c>
    </row>
    <row r="11">
      <c r="A11" s="3" t="s">
        <v>687</v>
      </c>
      <c r="B11" s="4">
        <v>305.91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691</v>
      </c>
      <c r="B12" s="4">
        <v>18953.21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638</v>
      </c>
      <c r="B13" s="4">
        <v>5808.48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698</v>
      </c>
      <c r="B14" s="4">
        <v>1241.03</v>
      </c>
    </row>
    <row r="15">
      <c r="A15" s="3" t="s">
        <v>658</v>
      </c>
      <c r="B15" s="4">
        <v>1500.98</v>
      </c>
    </row>
    <row r="16">
      <c r="A16" s="3" t="s">
        <v>694</v>
      </c>
      <c r="B16" s="4">
        <v>-627.0</v>
      </c>
    </row>
    <row r="17">
      <c r="A17" s="3" t="s">
        <v>700</v>
      </c>
      <c r="B17" s="4">
        <v>2920.67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702</v>
      </c>
      <c r="B18" s="4">
        <v>145.0</v>
      </c>
    </row>
    <row r="19">
      <c r="A19" s="3" t="s">
        <v>673</v>
      </c>
      <c r="B19" s="4">
        <v>10.0</v>
      </c>
    </row>
    <row r="20">
      <c r="A20" s="3" t="s">
        <v>537</v>
      </c>
      <c r="B20" s="4">
        <v>30.07</v>
      </c>
    </row>
    <row r="21">
      <c r="A21" s="3" t="s">
        <v>660</v>
      </c>
      <c r="B21" s="4">
        <v>1447.25</v>
      </c>
    </row>
    <row r="22">
      <c r="A22" s="3" t="s">
        <v>703</v>
      </c>
      <c r="B22" s="4">
        <v>10396.1</v>
      </c>
    </row>
    <row r="23">
      <c r="A23" s="3" t="s">
        <v>704</v>
      </c>
      <c r="B23" s="4">
        <v>280.0</v>
      </c>
    </row>
    <row r="24">
      <c r="A24" s="3" t="s">
        <v>705</v>
      </c>
      <c r="B24" s="4">
        <v>3109.17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 t="s">
        <v>679</v>
      </c>
      <c r="B25" s="4">
        <v>50.0</v>
      </c>
    </row>
    <row r="26">
      <c r="A26" s="3" t="s">
        <v>706</v>
      </c>
      <c r="B26" s="4">
        <v>200.0</v>
      </c>
    </row>
    <row r="27">
      <c r="A27" s="3" t="s">
        <v>382</v>
      </c>
      <c r="B27" s="4">
        <f>sum(B2:B26)</f>
        <v>57176.6657</v>
      </c>
    </row>
    <row r="28">
      <c r="B28" s="4"/>
    </row>
    <row r="29">
      <c r="B29" s="4"/>
    </row>
    <row r="30">
      <c r="B30" s="5"/>
    </row>
    <row r="31">
      <c r="B31" s="5"/>
    </row>
    <row r="32">
      <c r="B32" s="5"/>
    </row>
    <row r="33">
      <c r="B33" s="5"/>
    </row>
    <row r="34">
      <c r="B34" s="5"/>
    </row>
    <row r="35">
      <c r="B35" s="5"/>
    </row>
    <row r="36">
      <c r="B36" s="5"/>
    </row>
    <row r="37">
      <c r="B37" s="5"/>
    </row>
    <row r="38">
      <c r="B38" s="5"/>
    </row>
    <row r="39">
      <c r="B39" s="5"/>
    </row>
    <row r="40">
      <c r="B40" s="5"/>
    </row>
    <row r="41">
      <c r="B41" s="5"/>
    </row>
    <row r="42">
      <c r="B42" s="5"/>
    </row>
    <row r="43">
      <c r="B43" s="5"/>
    </row>
    <row r="44">
      <c r="B44" s="5"/>
    </row>
    <row r="45">
      <c r="B45" s="5"/>
    </row>
    <row r="46">
      <c r="B46" s="5"/>
    </row>
    <row r="47">
      <c r="B47" s="5"/>
    </row>
    <row r="48">
      <c r="B48" s="5"/>
    </row>
    <row r="49">
      <c r="B49" s="5"/>
    </row>
    <row r="50">
      <c r="B50" s="5"/>
    </row>
    <row r="51">
      <c r="B51" s="5"/>
    </row>
    <row r="52">
      <c r="B52" s="5"/>
    </row>
    <row r="53">
      <c r="B53" s="5"/>
    </row>
    <row r="54">
      <c r="B54" s="5"/>
    </row>
    <row r="55">
      <c r="B55" s="5"/>
    </row>
    <row r="56">
      <c r="B56" s="5"/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</cols>
  <sheetData>
    <row r="1">
      <c r="A1" s="18" t="s">
        <v>0</v>
      </c>
      <c r="B1" s="19" t="s">
        <v>1</v>
      </c>
    </row>
    <row r="2">
      <c r="A2" s="3" t="s">
        <v>650</v>
      </c>
      <c r="B2" s="4">
        <v>10083.73</v>
      </c>
    </row>
    <row r="3">
      <c r="A3" s="3" t="s">
        <v>631</v>
      </c>
      <c r="B3" s="4">
        <v>3325.45</v>
      </c>
    </row>
    <row r="4">
      <c r="A4" s="3" t="s">
        <v>638</v>
      </c>
      <c r="B4" s="4">
        <v>2849.26</v>
      </c>
    </row>
    <row r="5">
      <c r="A5" s="3" t="s">
        <v>677</v>
      </c>
      <c r="B5" s="4">
        <v>134.61</v>
      </c>
    </row>
    <row r="6">
      <c r="A6" s="3" t="s">
        <v>678</v>
      </c>
      <c r="B6" s="4">
        <v>88.76</v>
      </c>
    </row>
    <row r="7">
      <c r="A7" s="3" t="s">
        <v>679</v>
      </c>
      <c r="B7" s="4">
        <v>133.74</v>
      </c>
    </row>
    <row r="8">
      <c r="A8" s="3" t="s">
        <v>680</v>
      </c>
      <c r="B8" s="4">
        <v>8225.0</v>
      </c>
    </row>
    <row r="9">
      <c r="A9" s="3" t="s">
        <v>681</v>
      </c>
      <c r="B9" s="4">
        <v>801.17</v>
      </c>
    </row>
    <row r="10">
      <c r="A10" s="3" t="s">
        <v>682</v>
      </c>
      <c r="B10" s="4">
        <v>24520.0</v>
      </c>
    </row>
    <row r="11">
      <c r="A11" s="3" t="s">
        <v>684</v>
      </c>
      <c r="B11" s="4">
        <v>292.0</v>
      </c>
    </row>
    <row r="12">
      <c r="A12" s="3" t="s">
        <v>686</v>
      </c>
      <c r="B12" s="4">
        <v>689.49</v>
      </c>
    </row>
    <row r="13">
      <c r="A13" s="3" t="s">
        <v>688</v>
      </c>
      <c r="B13" s="4">
        <v>225.05</v>
      </c>
    </row>
    <row r="14">
      <c r="A14" s="3" t="s">
        <v>550</v>
      </c>
      <c r="B14" s="4">
        <v>40.0</v>
      </c>
    </row>
    <row r="15">
      <c r="A15" s="3" t="s">
        <v>689</v>
      </c>
      <c r="B15" s="4">
        <v>2558.82</v>
      </c>
    </row>
    <row r="16">
      <c r="A16" s="3" t="s">
        <v>659</v>
      </c>
      <c r="B16" s="4">
        <v>2520.4</v>
      </c>
    </row>
    <row r="17">
      <c r="A17" s="3" t="s">
        <v>630</v>
      </c>
      <c r="B17" s="4">
        <v>310.79</v>
      </c>
    </row>
    <row r="18">
      <c r="A18" s="3" t="s">
        <v>690</v>
      </c>
      <c r="B18" s="4">
        <v>406.0</v>
      </c>
    </row>
    <row r="19">
      <c r="A19" s="3" t="s">
        <v>658</v>
      </c>
      <c r="B19" s="4">
        <v>3238.52</v>
      </c>
    </row>
    <row r="20">
      <c r="A20" s="3" t="s">
        <v>675</v>
      </c>
      <c r="B20" s="4">
        <v>-281.18</v>
      </c>
    </row>
    <row r="21">
      <c r="A21" s="3" t="s">
        <v>692</v>
      </c>
      <c r="B21" s="4">
        <v>777.83</v>
      </c>
    </row>
    <row r="22">
      <c r="A22" s="3" t="s">
        <v>693</v>
      </c>
      <c r="B22" s="4">
        <v>224.0</v>
      </c>
    </row>
    <row r="23">
      <c r="A23" s="3" t="s">
        <v>672</v>
      </c>
      <c r="B23" s="4">
        <v>164.5</v>
      </c>
    </row>
    <row r="24">
      <c r="A24" s="3" t="s">
        <v>694</v>
      </c>
      <c r="B24" s="4">
        <v>-313.5</v>
      </c>
    </row>
    <row r="25">
      <c r="A25" s="3" t="s">
        <v>695</v>
      </c>
      <c r="B25" s="4">
        <v>121.0</v>
      </c>
    </row>
    <row r="26">
      <c r="A26" s="3" t="s">
        <v>696</v>
      </c>
      <c r="B26" s="4">
        <v>97.59</v>
      </c>
    </row>
    <row r="27">
      <c r="A27" s="3" t="s">
        <v>674</v>
      </c>
      <c r="B27" s="4">
        <v>26588.3</v>
      </c>
    </row>
    <row r="28">
      <c r="A28" s="3" t="s">
        <v>697</v>
      </c>
      <c r="B28" s="4">
        <v>385.33</v>
      </c>
    </row>
    <row r="29">
      <c r="A29" s="3" t="s">
        <v>671</v>
      </c>
      <c r="B29" s="4">
        <v>4543.14</v>
      </c>
    </row>
    <row r="30">
      <c r="A30" s="3" t="s">
        <v>699</v>
      </c>
      <c r="B30" s="4">
        <v>660.02</v>
      </c>
    </row>
    <row r="31">
      <c r="A31" s="3" t="s">
        <v>701</v>
      </c>
      <c r="B31" s="4">
        <v>95.76</v>
      </c>
    </row>
    <row r="32">
      <c r="A32" s="3" t="s">
        <v>382</v>
      </c>
      <c r="B32" s="5">
        <f>SUM(B2:B31)</f>
        <v>93505.58</v>
      </c>
    </row>
    <row r="33">
      <c r="B33" s="5"/>
    </row>
    <row r="34">
      <c r="B34" s="5"/>
    </row>
    <row r="35">
      <c r="B35" s="5"/>
    </row>
    <row r="36">
      <c r="B36" s="5"/>
    </row>
    <row r="37">
      <c r="B37" s="5"/>
    </row>
    <row r="38">
      <c r="B38" s="5"/>
    </row>
    <row r="39">
      <c r="B39" s="5"/>
    </row>
    <row r="40">
      <c r="B40" s="5"/>
    </row>
    <row r="41">
      <c r="B41" s="5"/>
    </row>
    <row r="42">
      <c r="B42" s="5"/>
    </row>
    <row r="43">
      <c r="B43" s="5"/>
    </row>
    <row r="44">
      <c r="B44" s="5"/>
    </row>
    <row r="45">
      <c r="B45" s="5"/>
    </row>
    <row r="46">
      <c r="B46" s="5"/>
    </row>
    <row r="47">
      <c r="B47" s="5"/>
    </row>
    <row r="48">
      <c r="B48" s="5"/>
    </row>
    <row r="49">
      <c r="B49" s="5"/>
    </row>
    <row r="50">
      <c r="B50" s="5"/>
    </row>
    <row r="51">
      <c r="B51" s="5"/>
    </row>
    <row r="52">
      <c r="B52" s="5"/>
    </row>
    <row r="53">
      <c r="B53" s="5"/>
    </row>
    <row r="54">
      <c r="B54" s="5"/>
    </row>
    <row r="55">
      <c r="B55" s="5"/>
    </row>
    <row r="56">
      <c r="B56" s="5"/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</cols>
  <sheetData>
    <row r="1">
      <c r="A1" s="18" t="s">
        <v>0</v>
      </c>
      <c r="B1" s="19" t="s">
        <v>1</v>
      </c>
    </row>
    <row r="2">
      <c r="A2" s="24" t="s">
        <v>650</v>
      </c>
      <c r="B2" s="25">
        <v>14424.02</v>
      </c>
    </row>
    <row r="3">
      <c r="A3" s="24" t="s">
        <v>633</v>
      </c>
      <c r="B3" s="25">
        <v>40.0</v>
      </c>
    </row>
    <row r="4">
      <c r="A4" s="24" t="s">
        <v>707</v>
      </c>
      <c r="B4" s="25">
        <v>4562.68</v>
      </c>
    </row>
    <row r="5">
      <c r="A5" s="24" t="s">
        <v>676</v>
      </c>
      <c r="B5" s="25">
        <v>408.66</v>
      </c>
    </row>
    <row r="6">
      <c r="A6" s="24" t="s">
        <v>710</v>
      </c>
      <c r="B6" s="25">
        <v>1201.71</v>
      </c>
    </row>
    <row r="7">
      <c r="A7" s="24" t="s">
        <v>638</v>
      </c>
      <c r="B7" s="25">
        <v>4662.56</v>
      </c>
    </row>
    <row r="8">
      <c r="A8" s="24" t="s">
        <v>713</v>
      </c>
      <c r="B8" s="25">
        <v>3606.0</v>
      </c>
    </row>
    <row r="9">
      <c r="A9" s="24" t="s">
        <v>658</v>
      </c>
      <c r="B9" s="25">
        <v>6585.08</v>
      </c>
    </row>
    <row r="10">
      <c r="A10" s="24" t="s">
        <v>716</v>
      </c>
      <c r="B10" s="25">
        <v>22366.24</v>
      </c>
    </row>
    <row r="11">
      <c r="A11" s="24" t="s">
        <v>717</v>
      </c>
      <c r="B11" s="25">
        <v>1658.76</v>
      </c>
    </row>
    <row r="12">
      <c r="A12" s="24" t="s">
        <v>719</v>
      </c>
      <c r="B12" s="25">
        <v>237.58</v>
      </c>
    </row>
    <row r="13">
      <c r="A13" s="24" t="s">
        <v>537</v>
      </c>
      <c r="B13" s="25">
        <v>16.0</v>
      </c>
    </row>
    <row r="14">
      <c r="A14" s="24" t="s">
        <v>720</v>
      </c>
      <c r="B14" s="25">
        <v>56.0</v>
      </c>
    </row>
    <row r="15">
      <c r="A15" s="24" t="s">
        <v>721</v>
      </c>
      <c r="B15" s="25">
        <v>426.0</v>
      </c>
    </row>
    <row r="16">
      <c r="A16" s="24" t="s">
        <v>675</v>
      </c>
      <c r="B16" s="25">
        <v>681.66</v>
      </c>
    </row>
    <row r="17">
      <c r="A17" s="24" t="s">
        <v>670</v>
      </c>
      <c r="B17" s="25">
        <v>921.66</v>
      </c>
    </row>
    <row r="18">
      <c r="A18" s="24" t="s">
        <v>724</v>
      </c>
      <c r="B18" s="25">
        <v>49218.44</v>
      </c>
    </row>
    <row r="19">
      <c r="A19" s="24" t="s">
        <v>726</v>
      </c>
      <c r="B19" s="25">
        <v>7899.32</v>
      </c>
    </row>
    <row r="20">
      <c r="A20" s="24" t="s">
        <v>727</v>
      </c>
      <c r="B20" s="25">
        <v>920.0</v>
      </c>
    </row>
    <row r="21">
      <c r="A21" s="24" t="s">
        <v>728</v>
      </c>
      <c r="B21" s="25">
        <v>422.88</v>
      </c>
    </row>
    <row r="22">
      <c r="A22" s="24" t="s">
        <v>730</v>
      </c>
      <c r="B22" s="25">
        <v>-64.0</v>
      </c>
    </row>
    <row r="23">
      <c r="A23" s="24" t="s">
        <v>731</v>
      </c>
      <c r="B23" s="25">
        <v>5779.49</v>
      </c>
    </row>
    <row r="24">
      <c r="A24" s="24" t="s">
        <v>732</v>
      </c>
      <c r="B24" s="25">
        <v>-24.83</v>
      </c>
    </row>
    <row r="25">
      <c r="A25" s="24" t="s">
        <v>685</v>
      </c>
      <c r="B25" s="25">
        <v>217.89</v>
      </c>
    </row>
    <row r="26">
      <c r="A26" s="24" t="s">
        <v>734</v>
      </c>
      <c r="B26" s="25">
        <v>230.0</v>
      </c>
    </row>
    <row r="27">
      <c r="A27" s="24" t="s">
        <v>736</v>
      </c>
      <c r="B27" s="25">
        <v>23.76</v>
      </c>
    </row>
    <row r="28">
      <c r="A28" s="24" t="s">
        <v>729</v>
      </c>
      <c r="B28" s="25">
        <v>6447.19</v>
      </c>
    </row>
    <row r="29">
      <c r="A29" s="24" t="s">
        <v>700</v>
      </c>
      <c r="B29" s="25">
        <v>2498.32</v>
      </c>
    </row>
    <row r="30">
      <c r="A30" s="24" t="s">
        <v>718</v>
      </c>
      <c r="B30" s="25">
        <v>86.42</v>
      </c>
    </row>
    <row r="31">
      <c r="A31" s="24" t="s">
        <v>740</v>
      </c>
      <c r="B31" s="25">
        <v>13340.0</v>
      </c>
    </row>
    <row r="32">
      <c r="A32" s="24" t="s">
        <v>741</v>
      </c>
      <c r="B32" s="25">
        <v>961.48</v>
      </c>
    </row>
    <row r="33">
      <c r="A33" s="24" t="s">
        <v>742</v>
      </c>
      <c r="B33" s="25">
        <f>sum(B2:B32)</f>
        <v>149810.97</v>
      </c>
    </row>
    <row r="34">
      <c r="A34" s="24"/>
      <c r="B34" s="25"/>
    </row>
    <row r="35">
      <c r="A35" s="24"/>
      <c r="B35" s="25"/>
    </row>
    <row r="36">
      <c r="A36" s="24"/>
      <c r="B36" s="25"/>
    </row>
    <row r="37">
      <c r="A37" s="24"/>
      <c r="B37" s="25"/>
    </row>
    <row r="38">
      <c r="A38" s="24"/>
      <c r="B38" s="25"/>
    </row>
    <row r="39">
      <c r="A39" s="24"/>
      <c r="B39" s="26"/>
    </row>
    <row r="40">
      <c r="A40" s="27"/>
      <c r="B40" s="26"/>
    </row>
    <row r="41">
      <c r="A41" s="27"/>
      <c r="B41" s="26"/>
    </row>
    <row r="42">
      <c r="A42" s="27"/>
      <c r="B42" s="26"/>
    </row>
    <row r="43">
      <c r="A43" s="27"/>
      <c r="B43" s="26"/>
    </row>
    <row r="44">
      <c r="A44" s="27"/>
      <c r="B44" s="26"/>
    </row>
    <row r="45">
      <c r="A45" s="27"/>
      <c r="B45" s="26"/>
    </row>
    <row r="46">
      <c r="A46" s="27"/>
      <c r="B46" s="26"/>
    </row>
    <row r="47">
      <c r="A47" s="27"/>
      <c r="B47" s="26"/>
    </row>
    <row r="48">
      <c r="A48" s="27"/>
      <c r="B48" s="26"/>
    </row>
    <row r="49">
      <c r="A49" s="27"/>
      <c r="B49" s="26"/>
    </row>
    <row r="50">
      <c r="A50" s="27"/>
      <c r="B50" s="26"/>
    </row>
    <row r="51">
      <c r="A51" s="27"/>
      <c r="B51" s="26"/>
    </row>
    <row r="52">
      <c r="A52" s="27"/>
      <c r="B52" s="26"/>
    </row>
    <row r="53">
      <c r="A53" s="27"/>
      <c r="B53" s="26"/>
    </row>
    <row r="54">
      <c r="A54" s="27"/>
      <c r="B54" s="26"/>
    </row>
    <row r="55">
      <c r="A55" s="27"/>
      <c r="B55" s="26"/>
    </row>
    <row r="56">
      <c r="A56" s="27"/>
      <c r="B56" s="26"/>
    </row>
    <row r="57">
      <c r="A57" s="27"/>
      <c r="B57" s="26"/>
    </row>
    <row r="58">
      <c r="A58" s="27"/>
      <c r="B58" s="26"/>
    </row>
    <row r="59">
      <c r="A59" s="27"/>
      <c r="B59" s="26"/>
    </row>
    <row r="60">
      <c r="A60" s="27"/>
      <c r="B60" s="26"/>
    </row>
    <row r="61">
      <c r="A61" s="27"/>
      <c r="B61" s="26"/>
    </row>
    <row r="62">
      <c r="A62" s="27"/>
      <c r="B62" s="26"/>
    </row>
    <row r="63">
      <c r="A63" s="27"/>
      <c r="B63" s="26"/>
    </row>
    <row r="64">
      <c r="A64" s="27"/>
      <c r="B64" s="26"/>
    </row>
    <row r="65">
      <c r="A65" s="27"/>
      <c r="B65" s="26"/>
    </row>
    <row r="66">
      <c r="A66" s="27"/>
      <c r="B66" s="26"/>
    </row>
    <row r="67">
      <c r="A67" s="27"/>
      <c r="B67" s="26"/>
    </row>
    <row r="68">
      <c r="A68" s="27"/>
      <c r="B68" s="26"/>
    </row>
    <row r="69">
      <c r="A69" s="27"/>
      <c r="B69" s="26"/>
    </row>
    <row r="70">
      <c r="A70" s="27"/>
      <c r="B70" s="26"/>
    </row>
    <row r="71">
      <c r="A71" s="27"/>
      <c r="B71" s="26"/>
    </row>
    <row r="72">
      <c r="A72" s="27"/>
      <c r="B72" s="26"/>
    </row>
    <row r="73">
      <c r="A73" s="27"/>
      <c r="B73" s="26"/>
    </row>
    <row r="74">
      <c r="A74" s="27"/>
      <c r="B74" s="26"/>
    </row>
    <row r="75">
      <c r="A75" s="27"/>
      <c r="B75" s="26"/>
    </row>
    <row r="76">
      <c r="A76" s="27"/>
      <c r="B76" s="26"/>
    </row>
    <row r="77">
      <c r="A77" s="27"/>
      <c r="B77" s="26"/>
    </row>
    <row r="78">
      <c r="A78" s="27"/>
      <c r="B78" s="26"/>
    </row>
    <row r="79">
      <c r="A79" s="27"/>
      <c r="B79" s="26"/>
    </row>
    <row r="80">
      <c r="A80" s="27"/>
      <c r="B80" s="26"/>
    </row>
    <row r="81">
      <c r="A81" s="27"/>
      <c r="B81" s="26"/>
    </row>
    <row r="82">
      <c r="A82" s="27"/>
      <c r="B82" s="26"/>
    </row>
    <row r="83">
      <c r="A83" s="27"/>
      <c r="B83" s="26"/>
    </row>
    <row r="84">
      <c r="A84" s="27"/>
      <c r="B84" s="26"/>
    </row>
    <row r="85">
      <c r="A85" s="27"/>
      <c r="B85" s="26"/>
    </row>
    <row r="86">
      <c r="A86" s="27"/>
      <c r="B86" s="26"/>
    </row>
    <row r="87">
      <c r="A87" s="27"/>
      <c r="B87" s="26"/>
    </row>
    <row r="88">
      <c r="A88" s="27"/>
      <c r="B88" s="26"/>
    </row>
    <row r="89">
      <c r="A89" s="27"/>
      <c r="B89" s="26"/>
    </row>
    <row r="90">
      <c r="A90" s="27"/>
      <c r="B90" s="26"/>
    </row>
    <row r="91">
      <c r="A91" s="27"/>
      <c r="B91" s="26"/>
    </row>
    <row r="92">
      <c r="A92" s="27"/>
      <c r="B92" s="26"/>
    </row>
    <row r="93">
      <c r="A93" s="27"/>
      <c r="B93" s="26"/>
    </row>
    <row r="94">
      <c r="A94" s="27"/>
      <c r="B94" s="26"/>
    </row>
    <row r="95">
      <c r="A95" s="27"/>
      <c r="B95" s="26"/>
    </row>
    <row r="96">
      <c r="A96" s="27"/>
      <c r="B96" s="26"/>
    </row>
    <row r="97">
      <c r="A97" s="27"/>
      <c r="B97" s="26"/>
    </row>
    <row r="98">
      <c r="A98" s="27"/>
      <c r="B98" s="26"/>
    </row>
    <row r="99">
      <c r="A99" s="27"/>
      <c r="B99" s="26"/>
    </row>
    <row r="100">
      <c r="A100" s="27"/>
      <c r="B100" s="26"/>
    </row>
    <row r="101">
      <c r="A101" s="27"/>
      <c r="B101" s="26"/>
    </row>
    <row r="102">
      <c r="A102" s="27"/>
      <c r="B102" s="26"/>
    </row>
    <row r="103">
      <c r="A103" s="27"/>
      <c r="B103" s="26"/>
    </row>
    <row r="104">
      <c r="A104" s="27"/>
      <c r="B104" s="26"/>
    </row>
    <row r="105">
      <c r="A105" s="27"/>
      <c r="B105" s="26"/>
    </row>
    <row r="106">
      <c r="A106" s="27"/>
      <c r="B106" s="26"/>
    </row>
    <row r="107">
      <c r="A107" s="27"/>
      <c r="B107" s="26"/>
    </row>
    <row r="108">
      <c r="A108" s="27"/>
      <c r="B108" s="26"/>
    </row>
    <row r="109">
      <c r="A109" s="27"/>
      <c r="B109" s="26"/>
    </row>
    <row r="110">
      <c r="A110" s="27"/>
      <c r="B110" s="26"/>
    </row>
    <row r="111">
      <c r="A111" s="27"/>
      <c r="B111" s="26"/>
    </row>
    <row r="112">
      <c r="A112" s="27"/>
      <c r="B112" s="26"/>
    </row>
    <row r="113">
      <c r="A113" s="27"/>
      <c r="B113" s="26"/>
    </row>
    <row r="114">
      <c r="A114" s="27"/>
      <c r="B114" s="26"/>
    </row>
    <row r="115">
      <c r="A115" s="27"/>
      <c r="B115" s="26"/>
    </row>
    <row r="116">
      <c r="A116" s="27"/>
      <c r="B116" s="26"/>
    </row>
    <row r="117">
      <c r="A117" s="27"/>
      <c r="B117" s="26"/>
    </row>
    <row r="118">
      <c r="A118" s="27"/>
      <c r="B118" s="26"/>
    </row>
    <row r="119">
      <c r="A119" s="27"/>
      <c r="B119" s="26"/>
    </row>
    <row r="120">
      <c r="A120" s="27"/>
      <c r="B120" s="26"/>
    </row>
    <row r="121">
      <c r="A121" s="27"/>
      <c r="B121" s="26"/>
    </row>
    <row r="122">
      <c r="A122" s="27"/>
      <c r="B122" s="26"/>
    </row>
    <row r="123">
      <c r="A123" s="27"/>
      <c r="B123" s="26"/>
    </row>
    <row r="124">
      <c r="A124" s="27"/>
      <c r="B124" s="26"/>
    </row>
    <row r="125">
      <c r="A125" s="27"/>
      <c r="B125" s="26"/>
    </row>
    <row r="126">
      <c r="A126" s="27"/>
      <c r="B126" s="26"/>
    </row>
    <row r="127">
      <c r="A127" s="27"/>
      <c r="B127" s="26"/>
    </row>
    <row r="128">
      <c r="A128" s="27"/>
      <c r="B128" s="26"/>
    </row>
    <row r="129">
      <c r="A129" s="27"/>
      <c r="B129" s="26"/>
    </row>
    <row r="130">
      <c r="A130" s="27"/>
      <c r="B130" s="26"/>
    </row>
    <row r="131">
      <c r="A131" s="27"/>
      <c r="B131" s="26"/>
    </row>
    <row r="132">
      <c r="A132" s="27"/>
      <c r="B132" s="26"/>
    </row>
    <row r="133">
      <c r="A133" s="27"/>
      <c r="B133" s="26"/>
    </row>
    <row r="134">
      <c r="A134" s="27"/>
      <c r="B134" s="26"/>
    </row>
    <row r="135">
      <c r="A135" s="27"/>
      <c r="B135" s="26"/>
    </row>
    <row r="136">
      <c r="A136" s="27"/>
      <c r="B136" s="26"/>
    </row>
    <row r="137">
      <c r="A137" s="27"/>
      <c r="B137" s="26"/>
    </row>
    <row r="138">
      <c r="A138" s="27"/>
      <c r="B138" s="26"/>
    </row>
    <row r="139">
      <c r="A139" s="27"/>
      <c r="B139" s="26"/>
    </row>
    <row r="140">
      <c r="A140" s="27"/>
      <c r="B140" s="26"/>
    </row>
    <row r="141">
      <c r="A141" s="27"/>
      <c r="B141" s="26"/>
    </row>
    <row r="142">
      <c r="A142" s="27"/>
      <c r="B142" s="26"/>
    </row>
    <row r="143">
      <c r="A143" s="27"/>
      <c r="B143" s="26"/>
    </row>
    <row r="144">
      <c r="A144" s="27"/>
      <c r="B144" s="26"/>
    </row>
    <row r="145">
      <c r="A145" s="27"/>
      <c r="B145" s="26"/>
    </row>
    <row r="146">
      <c r="A146" s="27"/>
      <c r="B146" s="26"/>
    </row>
    <row r="147">
      <c r="A147" s="27"/>
      <c r="B147" s="26"/>
    </row>
    <row r="148">
      <c r="A148" s="27"/>
      <c r="B148" s="26"/>
    </row>
    <row r="149">
      <c r="A149" s="27"/>
      <c r="B149" s="26"/>
    </row>
    <row r="150">
      <c r="A150" s="27"/>
      <c r="B150" s="26"/>
    </row>
    <row r="151">
      <c r="A151" s="27"/>
      <c r="B151" s="26"/>
    </row>
    <row r="152">
      <c r="A152" s="27"/>
      <c r="B152" s="26"/>
    </row>
    <row r="153">
      <c r="A153" s="27"/>
      <c r="B153" s="26"/>
    </row>
    <row r="154">
      <c r="A154" s="27"/>
      <c r="B154" s="26"/>
    </row>
    <row r="155">
      <c r="A155" s="27"/>
      <c r="B155" s="26"/>
    </row>
    <row r="156">
      <c r="A156" s="27"/>
      <c r="B156" s="26"/>
    </row>
    <row r="157">
      <c r="A157" s="27"/>
      <c r="B157" s="26"/>
    </row>
    <row r="158">
      <c r="A158" s="27"/>
      <c r="B158" s="26"/>
    </row>
    <row r="159">
      <c r="A159" s="27"/>
      <c r="B159" s="26"/>
    </row>
    <row r="160">
      <c r="A160" s="27"/>
      <c r="B160" s="26"/>
    </row>
    <row r="161">
      <c r="A161" s="27"/>
      <c r="B161" s="26"/>
    </row>
    <row r="162">
      <c r="A162" s="27"/>
      <c r="B162" s="26"/>
    </row>
    <row r="163">
      <c r="A163" s="27"/>
      <c r="B163" s="26"/>
    </row>
    <row r="164">
      <c r="A164" s="27"/>
      <c r="B164" s="26"/>
    </row>
    <row r="165">
      <c r="A165" s="27"/>
      <c r="B165" s="26"/>
    </row>
    <row r="166">
      <c r="A166" s="27"/>
      <c r="B166" s="26"/>
    </row>
    <row r="167">
      <c r="A167" s="27"/>
      <c r="B167" s="26"/>
    </row>
    <row r="168">
      <c r="A168" s="27"/>
      <c r="B168" s="26"/>
    </row>
    <row r="169">
      <c r="A169" s="27"/>
      <c r="B169" s="26"/>
    </row>
    <row r="170">
      <c r="A170" s="27"/>
      <c r="B170" s="26"/>
    </row>
    <row r="171">
      <c r="A171" s="27"/>
      <c r="B171" s="26"/>
    </row>
    <row r="172">
      <c r="A172" s="27"/>
      <c r="B172" s="26"/>
    </row>
    <row r="173">
      <c r="A173" s="27"/>
      <c r="B173" s="26"/>
    </row>
    <row r="174">
      <c r="A174" s="27"/>
      <c r="B174" s="26"/>
    </row>
    <row r="175">
      <c r="A175" s="27"/>
      <c r="B175" s="26"/>
    </row>
    <row r="176">
      <c r="A176" s="27"/>
      <c r="B176" s="26"/>
    </row>
    <row r="177">
      <c r="A177" s="27"/>
      <c r="B177" s="26"/>
    </row>
    <row r="178">
      <c r="A178" s="27"/>
      <c r="B178" s="26"/>
    </row>
    <row r="179">
      <c r="A179" s="27"/>
      <c r="B179" s="26"/>
    </row>
    <row r="180">
      <c r="A180" s="27"/>
      <c r="B180" s="26"/>
    </row>
    <row r="181">
      <c r="A181" s="27"/>
      <c r="B181" s="26"/>
    </row>
    <row r="182">
      <c r="A182" s="27"/>
      <c r="B182" s="26"/>
    </row>
    <row r="183">
      <c r="A183" s="27"/>
      <c r="B183" s="26"/>
    </row>
    <row r="184">
      <c r="A184" s="27"/>
      <c r="B184" s="26"/>
    </row>
    <row r="185">
      <c r="A185" s="27"/>
      <c r="B185" s="26"/>
    </row>
    <row r="186">
      <c r="A186" s="27"/>
      <c r="B186" s="26"/>
    </row>
    <row r="187">
      <c r="A187" s="27"/>
      <c r="B187" s="26"/>
    </row>
    <row r="188">
      <c r="A188" s="27"/>
      <c r="B188" s="26"/>
    </row>
    <row r="189">
      <c r="A189" s="27"/>
      <c r="B189" s="26"/>
    </row>
    <row r="190">
      <c r="A190" s="27"/>
      <c r="B190" s="26"/>
    </row>
    <row r="191">
      <c r="A191" s="27"/>
      <c r="B191" s="26"/>
    </row>
    <row r="192">
      <c r="A192" s="27"/>
      <c r="B192" s="26"/>
    </row>
    <row r="193">
      <c r="A193" s="27"/>
      <c r="B193" s="26"/>
    </row>
    <row r="194">
      <c r="A194" s="27"/>
      <c r="B194" s="26"/>
    </row>
    <row r="195">
      <c r="A195" s="27"/>
      <c r="B195" s="26"/>
    </row>
    <row r="196">
      <c r="A196" s="27"/>
      <c r="B196" s="26"/>
    </row>
    <row r="197">
      <c r="A197" s="27"/>
      <c r="B197" s="26"/>
    </row>
    <row r="198">
      <c r="A198" s="27"/>
      <c r="B198" s="26"/>
    </row>
    <row r="199">
      <c r="A199" s="27"/>
      <c r="B199" s="26"/>
    </row>
    <row r="200">
      <c r="A200" s="27"/>
      <c r="B200" s="26"/>
    </row>
    <row r="201">
      <c r="A201" s="27"/>
      <c r="B201" s="26"/>
    </row>
    <row r="202">
      <c r="A202" s="27"/>
      <c r="B202" s="26"/>
    </row>
    <row r="203">
      <c r="A203" s="27"/>
      <c r="B203" s="26"/>
    </row>
    <row r="204">
      <c r="A204" s="27"/>
      <c r="B204" s="26"/>
    </row>
    <row r="205">
      <c r="A205" s="27"/>
      <c r="B205" s="26"/>
    </row>
    <row r="206">
      <c r="A206" s="27"/>
      <c r="B206" s="26"/>
    </row>
    <row r="207">
      <c r="A207" s="27"/>
      <c r="B207" s="26"/>
    </row>
    <row r="208">
      <c r="A208" s="27"/>
      <c r="B208" s="26"/>
    </row>
    <row r="209">
      <c r="A209" s="27"/>
      <c r="B209" s="26"/>
    </row>
    <row r="210">
      <c r="A210" s="27"/>
      <c r="B210" s="26"/>
    </row>
    <row r="211">
      <c r="A211" s="27"/>
      <c r="B211" s="26"/>
    </row>
    <row r="212">
      <c r="A212" s="27"/>
      <c r="B212" s="26"/>
    </row>
    <row r="213">
      <c r="A213" s="27"/>
      <c r="B213" s="26"/>
    </row>
    <row r="214">
      <c r="A214" s="27"/>
      <c r="B214" s="26"/>
    </row>
    <row r="215">
      <c r="A215" s="27"/>
      <c r="B215" s="26"/>
    </row>
    <row r="216">
      <c r="A216" s="27"/>
      <c r="B216" s="26"/>
    </row>
    <row r="217">
      <c r="A217" s="27"/>
      <c r="B217" s="26"/>
    </row>
    <row r="218">
      <c r="A218" s="27"/>
      <c r="B218" s="26"/>
    </row>
    <row r="219">
      <c r="A219" s="27"/>
      <c r="B219" s="26"/>
    </row>
    <row r="220">
      <c r="A220" s="27"/>
      <c r="B220" s="26"/>
    </row>
    <row r="221">
      <c r="A221" s="27"/>
      <c r="B221" s="26"/>
    </row>
    <row r="222">
      <c r="A222" s="27"/>
      <c r="B222" s="26"/>
    </row>
    <row r="223">
      <c r="A223" s="27"/>
      <c r="B223" s="26"/>
    </row>
    <row r="224">
      <c r="A224" s="27"/>
      <c r="B224" s="26"/>
    </row>
    <row r="225">
      <c r="A225" s="27"/>
      <c r="B225" s="26"/>
    </row>
    <row r="226">
      <c r="A226" s="27"/>
      <c r="B226" s="26"/>
    </row>
    <row r="227">
      <c r="A227" s="27"/>
      <c r="B227" s="26"/>
    </row>
    <row r="228">
      <c r="A228" s="27"/>
      <c r="B228" s="26"/>
    </row>
    <row r="229">
      <c r="A229" s="27"/>
      <c r="B229" s="26"/>
    </row>
    <row r="230">
      <c r="A230" s="27"/>
      <c r="B230" s="26"/>
    </row>
    <row r="231">
      <c r="A231" s="27"/>
      <c r="B231" s="26"/>
    </row>
    <row r="232">
      <c r="A232" s="27"/>
      <c r="B232" s="26"/>
    </row>
    <row r="233">
      <c r="A233" s="27"/>
      <c r="B233" s="26"/>
    </row>
    <row r="234">
      <c r="A234" s="27"/>
      <c r="B234" s="26"/>
    </row>
    <row r="235">
      <c r="A235" s="27"/>
      <c r="B235" s="26"/>
    </row>
    <row r="236">
      <c r="A236" s="27"/>
      <c r="B236" s="26"/>
    </row>
    <row r="237">
      <c r="A237" s="27"/>
      <c r="B237" s="26"/>
    </row>
    <row r="238">
      <c r="A238" s="27"/>
      <c r="B238" s="26"/>
    </row>
    <row r="239">
      <c r="A239" s="27"/>
      <c r="B239" s="26"/>
    </row>
    <row r="240">
      <c r="A240" s="27"/>
      <c r="B240" s="26"/>
    </row>
    <row r="241">
      <c r="A241" s="27"/>
      <c r="B241" s="26"/>
    </row>
    <row r="242">
      <c r="A242" s="27"/>
      <c r="B242" s="26"/>
    </row>
    <row r="243">
      <c r="A243" s="27"/>
      <c r="B243" s="26"/>
    </row>
    <row r="244">
      <c r="A244" s="27"/>
      <c r="B244" s="26"/>
    </row>
    <row r="245">
      <c r="A245" s="27"/>
      <c r="B245" s="26"/>
    </row>
    <row r="246">
      <c r="A246" s="27"/>
      <c r="B246" s="26"/>
    </row>
    <row r="247">
      <c r="A247" s="27"/>
      <c r="B247" s="26"/>
    </row>
    <row r="248">
      <c r="A248" s="27"/>
      <c r="B248" s="26"/>
    </row>
    <row r="249">
      <c r="A249" s="27"/>
      <c r="B249" s="26"/>
    </row>
    <row r="250">
      <c r="A250" s="27"/>
      <c r="B250" s="26"/>
    </row>
    <row r="251">
      <c r="A251" s="27"/>
      <c r="B251" s="26"/>
    </row>
    <row r="252">
      <c r="A252" s="27"/>
      <c r="B252" s="26"/>
    </row>
    <row r="253">
      <c r="A253" s="27"/>
      <c r="B253" s="26"/>
    </row>
    <row r="254">
      <c r="A254" s="27"/>
      <c r="B254" s="26"/>
    </row>
    <row r="255">
      <c r="A255" s="27"/>
      <c r="B255" s="26"/>
    </row>
    <row r="256">
      <c r="A256" s="27"/>
      <c r="B256" s="26"/>
    </row>
    <row r="257">
      <c r="A257" s="27"/>
      <c r="B257" s="26"/>
    </row>
    <row r="258">
      <c r="A258" s="27"/>
      <c r="B258" s="26"/>
    </row>
    <row r="259">
      <c r="A259" s="27"/>
      <c r="B259" s="26"/>
    </row>
    <row r="260">
      <c r="A260" s="27"/>
      <c r="B260" s="26"/>
    </row>
    <row r="261">
      <c r="A261" s="27"/>
      <c r="B261" s="26"/>
    </row>
    <row r="262">
      <c r="A262" s="27"/>
      <c r="B262" s="26"/>
    </row>
    <row r="263">
      <c r="A263" s="27"/>
      <c r="B263" s="26"/>
    </row>
    <row r="264">
      <c r="A264" s="27"/>
      <c r="B264" s="26"/>
    </row>
    <row r="265">
      <c r="A265" s="27"/>
      <c r="B265" s="26"/>
    </row>
    <row r="266">
      <c r="A266" s="27"/>
      <c r="B266" s="26"/>
    </row>
    <row r="267">
      <c r="A267" s="27"/>
      <c r="B267" s="26"/>
    </row>
    <row r="268">
      <c r="A268" s="27"/>
      <c r="B268" s="26"/>
    </row>
    <row r="269">
      <c r="A269" s="27"/>
      <c r="B269" s="26"/>
    </row>
    <row r="270">
      <c r="A270" s="27"/>
      <c r="B270" s="26"/>
    </row>
    <row r="271">
      <c r="A271" s="27"/>
      <c r="B271" s="26"/>
    </row>
    <row r="272">
      <c r="A272" s="27"/>
      <c r="B272" s="26"/>
    </row>
    <row r="273">
      <c r="A273" s="27"/>
      <c r="B273" s="26"/>
    </row>
    <row r="274">
      <c r="A274" s="27"/>
      <c r="B274" s="26"/>
    </row>
    <row r="275">
      <c r="A275" s="27"/>
      <c r="B275" s="26"/>
    </row>
    <row r="276">
      <c r="A276" s="27"/>
      <c r="B276" s="26"/>
    </row>
    <row r="277">
      <c r="A277" s="27"/>
      <c r="B277" s="26"/>
    </row>
    <row r="278">
      <c r="A278" s="27"/>
      <c r="B278" s="26"/>
    </row>
    <row r="279">
      <c r="A279" s="27"/>
      <c r="B279" s="26"/>
    </row>
    <row r="280">
      <c r="A280" s="27"/>
      <c r="B280" s="26"/>
    </row>
    <row r="281">
      <c r="A281" s="27"/>
      <c r="B281" s="26"/>
    </row>
    <row r="282">
      <c r="A282" s="27"/>
      <c r="B282" s="26"/>
    </row>
    <row r="283">
      <c r="A283" s="27"/>
      <c r="B283" s="26"/>
    </row>
    <row r="284">
      <c r="A284" s="27"/>
      <c r="B284" s="26"/>
    </row>
    <row r="285">
      <c r="A285" s="27"/>
      <c r="B285" s="26"/>
    </row>
    <row r="286">
      <c r="A286" s="27"/>
      <c r="B286" s="26"/>
    </row>
    <row r="287">
      <c r="A287" s="27"/>
      <c r="B287" s="26"/>
    </row>
    <row r="288">
      <c r="A288" s="27"/>
      <c r="B288" s="26"/>
    </row>
    <row r="289">
      <c r="A289" s="27"/>
      <c r="B289" s="26"/>
    </row>
    <row r="290">
      <c r="A290" s="27"/>
      <c r="B290" s="26"/>
    </row>
    <row r="291">
      <c r="A291" s="27"/>
      <c r="B291" s="26"/>
    </row>
    <row r="292">
      <c r="A292" s="27"/>
      <c r="B292" s="26"/>
    </row>
    <row r="293">
      <c r="A293" s="27"/>
      <c r="B293" s="26"/>
    </row>
    <row r="294">
      <c r="A294" s="27"/>
      <c r="B294" s="26"/>
    </row>
    <row r="295">
      <c r="A295" s="27"/>
      <c r="B295" s="26"/>
    </row>
    <row r="296">
      <c r="A296" s="27"/>
      <c r="B296" s="26"/>
    </row>
    <row r="297">
      <c r="A297" s="27"/>
      <c r="B297" s="26"/>
    </row>
    <row r="298">
      <c r="A298" s="27"/>
      <c r="B298" s="26"/>
    </row>
    <row r="299">
      <c r="A299" s="27"/>
      <c r="B299" s="26"/>
    </row>
    <row r="300">
      <c r="A300" s="27"/>
      <c r="B300" s="26"/>
    </row>
    <row r="301">
      <c r="A301" s="27"/>
      <c r="B301" s="26"/>
    </row>
    <row r="302">
      <c r="A302" s="27"/>
      <c r="B302" s="26"/>
    </row>
    <row r="303">
      <c r="A303" s="27"/>
      <c r="B303" s="26"/>
    </row>
    <row r="304">
      <c r="A304" s="27"/>
      <c r="B304" s="26"/>
    </row>
    <row r="305">
      <c r="A305" s="27"/>
      <c r="B305" s="26"/>
    </row>
    <row r="306">
      <c r="A306" s="27"/>
      <c r="B306" s="26"/>
    </row>
    <row r="307">
      <c r="A307" s="27"/>
      <c r="B307" s="26"/>
    </row>
    <row r="308">
      <c r="A308" s="27"/>
      <c r="B308" s="26"/>
    </row>
    <row r="309">
      <c r="A309" s="27"/>
      <c r="B309" s="26"/>
    </row>
    <row r="310">
      <c r="A310" s="27"/>
      <c r="B310" s="26"/>
    </row>
    <row r="311">
      <c r="A311" s="27"/>
      <c r="B311" s="26"/>
    </row>
    <row r="312">
      <c r="A312" s="27"/>
      <c r="B312" s="26"/>
    </row>
    <row r="313">
      <c r="A313" s="27"/>
      <c r="B313" s="26"/>
    </row>
    <row r="314">
      <c r="A314" s="27"/>
      <c r="B314" s="26"/>
    </row>
    <row r="315">
      <c r="A315" s="27"/>
      <c r="B315" s="26"/>
    </row>
    <row r="316">
      <c r="A316" s="27"/>
      <c r="B316" s="26"/>
    </row>
    <row r="317">
      <c r="A317" s="27"/>
      <c r="B317" s="26"/>
    </row>
    <row r="318">
      <c r="A318" s="27"/>
      <c r="B318" s="26"/>
    </row>
    <row r="319">
      <c r="A319" s="27"/>
      <c r="B319" s="26"/>
    </row>
    <row r="320">
      <c r="A320" s="27"/>
      <c r="B320" s="26"/>
    </row>
    <row r="321">
      <c r="A321" s="27"/>
      <c r="B321" s="26"/>
    </row>
    <row r="322">
      <c r="A322" s="27"/>
      <c r="B322" s="26"/>
    </row>
    <row r="323">
      <c r="A323" s="27"/>
      <c r="B323" s="26"/>
    </row>
    <row r="324">
      <c r="A324" s="27"/>
      <c r="B324" s="26"/>
    </row>
    <row r="325">
      <c r="A325" s="27"/>
      <c r="B325" s="26"/>
    </row>
    <row r="326">
      <c r="A326" s="27"/>
      <c r="B326" s="26"/>
    </row>
    <row r="327">
      <c r="A327" s="27"/>
      <c r="B327" s="26"/>
    </row>
    <row r="328">
      <c r="A328" s="27"/>
      <c r="B328" s="26"/>
    </row>
    <row r="329">
      <c r="A329" s="27"/>
      <c r="B329" s="26"/>
    </row>
    <row r="330">
      <c r="A330" s="27"/>
      <c r="B330" s="26"/>
    </row>
    <row r="331">
      <c r="A331" s="27"/>
      <c r="B331" s="26"/>
    </row>
    <row r="332">
      <c r="A332" s="27"/>
      <c r="B332" s="26"/>
    </row>
    <row r="333">
      <c r="A333" s="27"/>
      <c r="B333" s="26"/>
    </row>
    <row r="334">
      <c r="A334" s="27"/>
      <c r="B334" s="26"/>
    </row>
    <row r="335">
      <c r="A335" s="27"/>
      <c r="B335" s="26"/>
    </row>
    <row r="336">
      <c r="A336" s="27"/>
      <c r="B336" s="26"/>
    </row>
    <row r="337">
      <c r="A337" s="27"/>
      <c r="B337" s="26"/>
    </row>
    <row r="338">
      <c r="A338" s="27"/>
      <c r="B338" s="26"/>
    </row>
    <row r="339">
      <c r="A339" s="27"/>
      <c r="B339" s="26"/>
    </row>
    <row r="340">
      <c r="A340" s="27"/>
      <c r="B340" s="26"/>
    </row>
    <row r="341">
      <c r="A341" s="27"/>
      <c r="B341" s="26"/>
    </row>
    <row r="342">
      <c r="A342" s="27"/>
      <c r="B342" s="26"/>
    </row>
    <row r="343">
      <c r="A343" s="27"/>
      <c r="B343" s="26"/>
    </row>
    <row r="344">
      <c r="A344" s="27"/>
      <c r="B344" s="26"/>
    </row>
    <row r="345">
      <c r="A345" s="27"/>
      <c r="B345" s="26"/>
    </row>
    <row r="346">
      <c r="A346" s="27"/>
      <c r="B346" s="26"/>
    </row>
    <row r="347">
      <c r="A347" s="27"/>
      <c r="B347" s="26"/>
    </row>
    <row r="348">
      <c r="A348" s="27"/>
      <c r="B348" s="26"/>
    </row>
    <row r="349">
      <c r="A349" s="27"/>
      <c r="B349" s="26"/>
    </row>
    <row r="350">
      <c r="A350" s="27"/>
      <c r="B350" s="26"/>
    </row>
    <row r="351">
      <c r="A351" s="27"/>
      <c r="B351" s="26"/>
    </row>
    <row r="352">
      <c r="A352" s="27"/>
      <c r="B352" s="26"/>
    </row>
    <row r="353">
      <c r="A353" s="27"/>
      <c r="B353" s="26"/>
    </row>
    <row r="354">
      <c r="A354" s="27"/>
      <c r="B354" s="26"/>
    </row>
    <row r="355">
      <c r="A355" s="27"/>
      <c r="B355" s="26"/>
    </row>
    <row r="356">
      <c r="A356" s="27"/>
      <c r="B356" s="26"/>
    </row>
    <row r="357">
      <c r="A357" s="27"/>
      <c r="B357" s="26"/>
    </row>
    <row r="358">
      <c r="A358" s="27"/>
      <c r="B358" s="26"/>
    </row>
    <row r="359">
      <c r="A359" s="27"/>
      <c r="B359" s="26"/>
    </row>
    <row r="360">
      <c r="A360" s="27"/>
      <c r="B360" s="26"/>
    </row>
    <row r="361">
      <c r="A361" s="27"/>
      <c r="B361" s="26"/>
    </row>
    <row r="362">
      <c r="A362" s="27"/>
      <c r="B362" s="26"/>
    </row>
    <row r="363">
      <c r="A363" s="27"/>
      <c r="B363" s="26"/>
    </row>
    <row r="364">
      <c r="A364" s="27"/>
      <c r="B364" s="26"/>
    </row>
    <row r="365">
      <c r="A365" s="27"/>
      <c r="B365" s="26"/>
    </row>
    <row r="366">
      <c r="A366" s="27"/>
      <c r="B366" s="26"/>
    </row>
    <row r="367">
      <c r="A367" s="27"/>
      <c r="B367" s="26"/>
    </row>
    <row r="368">
      <c r="A368" s="27"/>
      <c r="B368" s="26"/>
    </row>
    <row r="369">
      <c r="A369" s="27"/>
      <c r="B369" s="26"/>
    </row>
    <row r="370">
      <c r="A370" s="27"/>
      <c r="B370" s="26"/>
    </row>
    <row r="371">
      <c r="A371" s="27"/>
      <c r="B371" s="26"/>
    </row>
    <row r="372">
      <c r="A372" s="27"/>
      <c r="B372" s="26"/>
    </row>
    <row r="373">
      <c r="A373" s="27"/>
      <c r="B373" s="26"/>
    </row>
    <row r="374">
      <c r="A374" s="27"/>
      <c r="B374" s="26"/>
    </row>
    <row r="375">
      <c r="A375" s="27"/>
      <c r="B375" s="26"/>
    </row>
    <row r="376">
      <c r="A376" s="27"/>
      <c r="B376" s="26"/>
    </row>
    <row r="377">
      <c r="A377" s="27"/>
      <c r="B377" s="26"/>
    </row>
    <row r="378">
      <c r="A378" s="27"/>
      <c r="B378" s="26"/>
    </row>
    <row r="379">
      <c r="A379" s="27"/>
      <c r="B379" s="26"/>
    </row>
    <row r="380">
      <c r="A380" s="27"/>
      <c r="B380" s="26"/>
    </row>
    <row r="381">
      <c r="A381" s="27"/>
      <c r="B381" s="26"/>
    </row>
    <row r="382">
      <c r="A382" s="27"/>
      <c r="B382" s="26"/>
    </row>
    <row r="383">
      <c r="A383" s="27"/>
      <c r="B383" s="26"/>
    </row>
    <row r="384">
      <c r="A384" s="27"/>
      <c r="B384" s="26"/>
    </row>
    <row r="385">
      <c r="A385" s="27"/>
      <c r="B385" s="26"/>
    </row>
    <row r="386">
      <c r="A386" s="27"/>
      <c r="B386" s="26"/>
    </row>
    <row r="387">
      <c r="A387" s="27"/>
      <c r="B387" s="26"/>
    </row>
    <row r="388">
      <c r="A388" s="27"/>
      <c r="B388" s="26"/>
    </row>
    <row r="389">
      <c r="A389" s="27"/>
      <c r="B389" s="26"/>
    </row>
    <row r="390">
      <c r="A390" s="27"/>
      <c r="B390" s="26"/>
    </row>
    <row r="391">
      <c r="A391" s="27"/>
      <c r="B391" s="26"/>
    </row>
    <row r="392">
      <c r="A392" s="27"/>
      <c r="B392" s="26"/>
    </row>
    <row r="393">
      <c r="A393" s="27"/>
      <c r="B393" s="26"/>
    </row>
    <row r="394">
      <c r="A394" s="27"/>
      <c r="B394" s="26"/>
    </row>
    <row r="395">
      <c r="A395" s="27"/>
      <c r="B395" s="26"/>
    </row>
    <row r="396">
      <c r="A396" s="27"/>
      <c r="B396" s="26"/>
    </row>
    <row r="397">
      <c r="A397" s="27"/>
      <c r="B397" s="26"/>
    </row>
    <row r="398">
      <c r="A398" s="27"/>
      <c r="B398" s="26"/>
    </row>
    <row r="399">
      <c r="A399" s="27"/>
      <c r="B399" s="26"/>
    </row>
    <row r="400">
      <c r="A400" s="27"/>
      <c r="B400" s="26"/>
    </row>
    <row r="401">
      <c r="A401" s="27"/>
      <c r="B401" s="26"/>
    </row>
    <row r="402">
      <c r="A402" s="27"/>
      <c r="B402" s="26"/>
    </row>
    <row r="403">
      <c r="A403" s="27"/>
      <c r="B403" s="26"/>
    </row>
    <row r="404">
      <c r="A404" s="27"/>
      <c r="B404" s="26"/>
    </row>
    <row r="405">
      <c r="A405" s="27"/>
      <c r="B405" s="26"/>
    </row>
    <row r="406">
      <c r="A406" s="27"/>
      <c r="B406" s="26"/>
    </row>
    <row r="407">
      <c r="A407" s="27"/>
      <c r="B407" s="26"/>
    </row>
    <row r="408">
      <c r="A408" s="27"/>
      <c r="B408" s="26"/>
    </row>
    <row r="409">
      <c r="A409" s="27"/>
      <c r="B409" s="26"/>
    </row>
    <row r="410">
      <c r="A410" s="27"/>
      <c r="B410" s="26"/>
    </row>
    <row r="411">
      <c r="A411" s="27"/>
      <c r="B411" s="26"/>
    </row>
    <row r="412">
      <c r="A412" s="27"/>
      <c r="B412" s="26"/>
    </row>
    <row r="413">
      <c r="A413" s="27"/>
      <c r="B413" s="26"/>
    </row>
    <row r="414">
      <c r="A414" s="27"/>
      <c r="B414" s="26"/>
    </row>
    <row r="415">
      <c r="A415" s="27"/>
      <c r="B415" s="26"/>
    </row>
    <row r="416">
      <c r="A416" s="27"/>
      <c r="B416" s="26"/>
    </row>
    <row r="417">
      <c r="A417" s="27"/>
      <c r="B417" s="26"/>
    </row>
    <row r="418">
      <c r="A418" s="27"/>
      <c r="B418" s="26"/>
    </row>
    <row r="419">
      <c r="A419" s="27"/>
      <c r="B419" s="26"/>
    </row>
    <row r="420">
      <c r="A420" s="27"/>
      <c r="B420" s="26"/>
    </row>
    <row r="421">
      <c r="A421" s="27"/>
      <c r="B421" s="26"/>
    </row>
    <row r="422">
      <c r="A422" s="27"/>
      <c r="B422" s="26"/>
    </row>
    <row r="423">
      <c r="A423" s="27"/>
      <c r="B423" s="26"/>
    </row>
    <row r="424">
      <c r="A424" s="27"/>
      <c r="B424" s="26"/>
    </row>
    <row r="425">
      <c r="A425" s="27"/>
      <c r="B425" s="26"/>
    </row>
    <row r="426">
      <c r="A426" s="27"/>
      <c r="B426" s="26"/>
    </row>
    <row r="427">
      <c r="A427" s="27"/>
      <c r="B427" s="26"/>
    </row>
    <row r="428">
      <c r="A428" s="27"/>
      <c r="B428" s="26"/>
    </row>
    <row r="429">
      <c r="A429" s="27"/>
      <c r="B429" s="26"/>
    </row>
    <row r="430">
      <c r="A430" s="27"/>
      <c r="B430" s="26"/>
    </row>
    <row r="431">
      <c r="A431" s="27"/>
      <c r="B431" s="26"/>
    </row>
    <row r="432">
      <c r="A432" s="27"/>
      <c r="B432" s="26"/>
    </row>
    <row r="433">
      <c r="A433" s="27"/>
      <c r="B433" s="26"/>
    </row>
    <row r="434">
      <c r="A434" s="27"/>
      <c r="B434" s="26"/>
    </row>
    <row r="435">
      <c r="A435" s="27"/>
      <c r="B435" s="26"/>
    </row>
    <row r="436">
      <c r="A436" s="27"/>
      <c r="B436" s="26"/>
    </row>
    <row r="437">
      <c r="A437" s="27"/>
      <c r="B437" s="26"/>
    </row>
    <row r="438">
      <c r="A438" s="27"/>
      <c r="B438" s="26"/>
    </row>
    <row r="439">
      <c r="A439" s="27"/>
      <c r="B439" s="26"/>
    </row>
    <row r="440">
      <c r="A440" s="27"/>
      <c r="B440" s="26"/>
    </row>
    <row r="441">
      <c r="A441" s="27"/>
      <c r="B441" s="26"/>
    </row>
    <row r="442">
      <c r="A442" s="27"/>
      <c r="B442" s="26"/>
    </row>
    <row r="443">
      <c r="A443" s="27"/>
      <c r="B443" s="26"/>
    </row>
    <row r="444">
      <c r="A444" s="27"/>
      <c r="B444" s="26"/>
    </row>
    <row r="445">
      <c r="A445" s="27"/>
      <c r="B445" s="26"/>
    </row>
    <row r="446">
      <c r="A446" s="27"/>
      <c r="B446" s="26"/>
    </row>
    <row r="447">
      <c r="A447" s="27"/>
      <c r="B447" s="26"/>
    </row>
    <row r="448">
      <c r="A448" s="27"/>
      <c r="B448" s="26"/>
    </row>
    <row r="449">
      <c r="A449" s="27"/>
      <c r="B449" s="26"/>
    </row>
    <row r="450">
      <c r="A450" s="27"/>
      <c r="B450" s="26"/>
    </row>
    <row r="451">
      <c r="A451" s="27"/>
      <c r="B451" s="26"/>
    </row>
    <row r="452">
      <c r="A452" s="27"/>
      <c r="B452" s="26"/>
    </row>
    <row r="453">
      <c r="A453" s="27"/>
      <c r="B453" s="26"/>
    </row>
    <row r="454">
      <c r="A454" s="27"/>
      <c r="B454" s="26"/>
    </row>
    <row r="455">
      <c r="A455" s="27"/>
      <c r="B455" s="26"/>
    </row>
    <row r="456">
      <c r="A456" s="27"/>
      <c r="B456" s="26"/>
    </row>
    <row r="457">
      <c r="A457" s="27"/>
      <c r="B457" s="26"/>
    </row>
    <row r="458">
      <c r="A458" s="27"/>
      <c r="B458" s="26"/>
    </row>
    <row r="459">
      <c r="A459" s="27"/>
      <c r="B459" s="26"/>
    </row>
    <row r="460">
      <c r="A460" s="27"/>
      <c r="B460" s="26"/>
    </row>
    <row r="461">
      <c r="A461" s="27"/>
      <c r="B461" s="26"/>
    </row>
    <row r="462">
      <c r="A462" s="27"/>
      <c r="B462" s="26"/>
    </row>
    <row r="463">
      <c r="A463" s="27"/>
      <c r="B463" s="26"/>
    </row>
    <row r="464">
      <c r="A464" s="27"/>
      <c r="B464" s="26"/>
    </row>
    <row r="465">
      <c r="A465" s="27"/>
      <c r="B465" s="26"/>
    </row>
    <row r="466">
      <c r="A466" s="27"/>
      <c r="B466" s="26"/>
    </row>
    <row r="467">
      <c r="A467" s="27"/>
      <c r="B467" s="26"/>
    </row>
    <row r="468">
      <c r="A468" s="27"/>
      <c r="B468" s="26"/>
    </row>
    <row r="469">
      <c r="A469" s="27"/>
      <c r="B469" s="26"/>
    </row>
    <row r="470">
      <c r="A470" s="27"/>
      <c r="B470" s="26"/>
    </row>
    <row r="471">
      <c r="A471" s="27"/>
      <c r="B471" s="26"/>
    </row>
    <row r="472">
      <c r="A472" s="27"/>
      <c r="B472" s="26"/>
    </row>
    <row r="473">
      <c r="A473" s="27"/>
      <c r="B473" s="26"/>
    </row>
    <row r="474">
      <c r="A474" s="27"/>
      <c r="B474" s="26"/>
    </row>
    <row r="475">
      <c r="A475" s="27"/>
      <c r="B475" s="26"/>
    </row>
    <row r="476">
      <c r="A476" s="27"/>
      <c r="B476" s="26"/>
    </row>
    <row r="477">
      <c r="A477" s="27"/>
      <c r="B477" s="26"/>
    </row>
    <row r="478">
      <c r="A478" s="27"/>
      <c r="B478" s="26"/>
    </row>
    <row r="479">
      <c r="A479" s="27"/>
      <c r="B479" s="26"/>
    </row>
    <row r="480">
      <c r="A480" s="27"/>
      <c r="B480" s="26"/>
    </row>
    <row r="481">
      <c r="A481" s="27"/>
      <c r="B481" s="26"/>
    </row>
    <row r="482">
      <c r="A482" s="27"/>
      <c r="B482" s="26"/>
    </row>
    <row r="483">
      <c r="A483" s="27"/>
      <c r="B483" s="26"/>
    </row>
    <row r="484">
      <c r="A484" s="27"/>
      <c r="B484" s="26"/>
    </row>
    <row r="485">
      <c r="A485" s="27"/>
      <c r="B485" s="26"/>
    </row>
    <row r="486">
      <c r="A486" s="27"/>
      <c r="B486" s="26"/>
    </row>
    <row r="487">
      <c r="A487" s="27"/>
      <c r="B487" s="26"/>
    </row>
    <row r="488">
      <c r="A488" s="27"/>
      <c r="B488" s="26"/>
    </row>
    <row r="489">
      <c r="A489" s="27"/>
      <c r="B489" s="26"/>
    </row>
    <row r="490">
      <c r="A490" s="27"/>
      <c r="B490" s="26"/>
    </row>
    <row r="491">
      <c r="A491" s="27"/>
      <c r="B491" s="26"/>
    </row>
    <row r="492">
      <c r="A492" s="27"/>
      <c r="B492" s="26"/>
    </row>
    <row r="493">
      <c r="A493" s="27"/>
      <c r="B493" s="26"/>
    </row>
    <row r="494">
      <c r="A494" s="27"/>
      <c r="B494" s="26"/>
    </row>
    <row r="495">
      <c r="A495" s="27"/>
      <c r="B495" s="26"/>
    </row>
    <row r="496">
      <c r="A496" s="27"/>
      <c r="B496" s="26"/>
    </row>
    <row r="497">
      <c r="A497" s="27"/>
      <c r="B497" s="26"/>
    </row>
    <row r="498">
      <c r="A498" s="27"/>
      <c r="B498" s="26"/>
    </row>
    <row r="499">
      <c r="A499" s="27"/>
      <c r="B499" s="26"/>
    </row>
    <row r="500">
      <c r="A500" s="27"/>
      <c r="B500" s="26"/>
    </row>
    <row r="501">
      <c r="A501" s="27"/>
      <c r="B501" s="26"/>
    </row>
    <row r="502">
      <c r="A502" s="27"/>
      <c r="B502" s="26"/>
    </row>
    <row r="503">
      <c r="A503" s="27"/>
      <c r="B503" s="26"/>
    </row>
    <row r="504">
      <c r="A504" s="27"/>
      <c r="B504" s="26"/>
    </row>
    <row r="505">
      <c r="A505" s="27"/>
      <c r="B505" s="26"/>
    </row>
    <row r="506">
      <c r="A506" s="27"/>
      <c r="B506" s="26"/>
    </row>
    <row r="507">
      <c r="A507" s="27"/>
      <c r="B507" s="26"/>
    </row>
    <row r="508">
      <c r="A508" s="27"/>
      <c r="B508" s="26"/>
    </row>
    <row r="509">
      <c r="A509" s="27"/>
      <c r="B509" s="26"/>
    </row>
    <row r="510">
      <c r="A510" s="27"/>
      <c r="B510" s="26"/>
    </row>
    <row r="511">
      <c r="A511" s="27"/>
      <c r="B511" s="26"/>
    </row>
    <row r="512">
      <c r="A512" s="27"/>
      <c r="B512" s="26"/>
    </row>
    <row r="513">
      <c r="A513" s="27"/>
      <c r="B513" s="26"/>
    </row>
    <row r="514">
      <c r="A514" s="27"/>
      <c r="B514" s="26"/>
    </row>
    <row r="515">
      <c r="A515" s="27"/>
      <c r="B515" s="26"/>
    </row>
    <row r="516">
      <c r="A516" s="27"/>
      <c r="B516" s="26"/>
    </row>
    <row r="517">
      <c r="A517" s="27"/>
      <c r="B517" s="26"/>
    </row>
    <row r="518">
      <c r="A518" s="27"/>
      <c r="B518" s="26"/>
    </row>
    <row r="519">
      <c r="A519" s="27"/>
      <c r="B519" s="26"/>
    </row>
    <row r="520">
      <c r="A520" s="27"/>
      <c r="B520" s="26"/>
    </row>
    <row r="521">
      <c r="A521" s="27"/>
      <c r="B521" s="26"/>
    </row>
    <row r="522">
      <c r="A522" s="27"/>
      <c r="B522" s="26"/>
    </row>
    <row r="523">
      <c r="A523" s="27"/>
      <c r="B523" s="26"/>
    </row>
    <row r="524">
      <c r="A524" s="27"/>
      <c r="B524" s="26"/>
    </row>
    <row r="525">
      <c r="A525" s="27"/>
      <c r="B525" s="26"/>
    </row>
    <row r="526">
      <c r="A526" s="27"/>
      <c r="B526" s="26"/>
    </row>
    <row r="527">
      <c r="A527" s="27"/>
      <c r="B527" s="26"/>
    </row>
    <row r="528">
      <c r="A528" s="27"/>
      <c r="B528" s="26"/>
    </row>
    <row r="529">
      <c r="A529" s="27"/>
      <c r="B529" s="26"/>
    </row>
    <row r="530">
      <c r="A530" s="27"/>
      <c r="B530" s="26"/>
    </row>
    <row r="531">
      <c r="A531" s="27"/>
      <c r="B531" s="26"/>
    </row>
    <row r="532">
      <c r="A532" s="27"/>
      <c r="B532" s="26"/>
    </row>
    <row r="533">
      <c r="A533" s="27"/>
      <c r="B533" s="26"/>
    </row>
    <row r="534">
      <c r="A534" s="27"/>
      <c r="B534" s="26"/>
    </row>
    <row r="535">
      <c r="A535" s="27"/>
      <c r="B535" s="26"/>
    </row>
    <row r="536">
      <c r="A536" s="27"/>
      <c r="B536" s="26"/>
    </row>
    <row r="537">
      <c r="A537" s="27"/>
      <c r="B537" s="26"/>
    </row>
    <row r="538">
      <c r="A538" s="27"/>
      <c r="B538" s="26"/>
    </row>
    <row r="539">
      <c r="A539" s="27"/>
      <c r="B539" s="26"/>
    </row>
    <row r="540">
      <c r="A540" s="27"/>
      <c r="B540" s="26"/>
    </row>
    <row r="541">
      <c r="A541" s="27"/>
      <c r="B541" s="26"/>
    </row>
    <row r="542">
      <c r="A542" s="27"/>
      <c r="B542" s="26"/>
    </row>
    <row r="543">
      <c r="A543" s="27"/>
      <c r="B543" s="26"/>
    </row>
    <row r="544">
      <c r="A544" s="27"/>
      <c r="B544" s="26"/>
    </row>
    <row r="545">
      <c r="A545" s="27"/>
      <c r="B545" s="26"/>
    </row>
    <row r="546">
      <c r="A546" s="27"/>
      <c r="B546" s="26"/>
    </row>
    <row r="547">
      <c r="A547" s="27"/>
      <c r="B547" s="26"/>
    </row>
    <row r="548">
      <c r="A548" s="27"/>
      <c r="B548" s="26"/>
    </row>
    <row r="549">
      <c r="A549" s="27"/>
      <c r="B549" s="26"/>
    </row>
    <row r="550">
      <c r="A550" s="27"/>
      <c r="B550" s="26"/>
    </row>
    <row r="551">
      <c r="A551" s="27"/>
      <c r="B551" s="26"/>
    </row>
    <row r="552">
      <c r="A552" s="27"/>
      <c r="B552" s="26"/>
    </row>
    <row r="553">
      <c r="A553" s="27"/>
      <c r="B553" s="26"/>
    </row>
    <row r="554">
      <c r="A554" s="27"/>
      <c r="B554" s="26"/>
    </row>
    <row r="555">
      <c r="A555" s="27"/>
      <c r="B555" s="26"/>
    </row>
    <row r="556">
      <c r="A556" s="27"/>
      <c r="B556" s="26"/>
    </row>
    <row r="557">
      <c r="A557" s="27"/>
      <c r="B557" s="26"/>
    </row>
    <row r="558">
      <c r="A558" s="27"/>
      <c r="B558" s="26"/>
    </row>
    <row r="559">
      <c r="A559" s="27"/>
      <c r="B559" s="26"/>
    </row>
    <row r="560">
      <c r="A560" s="27"/>
      <c r="B560" s="26"/>
    </row>
    <row r="561">
      <c r="A561" s="27"/>
      <c r="B561" s="26"/>
    </row>
    <row r="562">
      <c r="A562" s="27"/>
      <c r="B562" s="26"/>
    </row>
    <row r="563">
      <c r="A563" s="27"/>
      <c r="B563" s="26"/>
    </row>
    <row r="564">
      <c r="A564" s="27"/>
      <c r="B564" s="26"/>
    </row>
    <row r="565">
      <c r="A565" s="27"/>
      <c r="B565" s="26"/>
    </row>
    <row r="566">
      <c r="A566" s="27"/>
      <c r="B566" s="26"/>
    </row>
    <row r="567">
      <c r="A567" s="27"/>
      <c r="B567" s="26"/>
    </row>
    <row r="568">
      <c r="A568" s="27"/>
      <c r="B568" s="26"/>
    </row>
    <row r="569">
      <c r="A569" s="27"/>
      <c r="B569" s="26"/>
    </row>
    <row r="570">
      <c r="A570" s="27"/>
      <c r="B570" s="26"/>
    </row>
    <row r="571">
      <c r="A571" s="27"/>
      <c r="B571" s="26"/>
    </row>
    <row r="572">
      <c r="A572" s="27"/>
      <c r="B572" s="26"/>
    </row>
    <row r="573">
      <c r="A573" s="27"/>
      <c r="B573" s="26"/>
    </row>
    <row r="574">
      <c r="A574" s="27"/>
      <c r="B574" s="26"/>
    </row>
    <row r="575">
      <c r="A575" s="27"/>
      <c r="B575" s="26"/>
    </row>
    <row r="576">
      <c r="A576" s="27"/>
      <c r="B576" s="26"/>
    </row>
    <row r="577">
      <c r="A577" s="27"/>
      <c r="B577" s="26"/>
    </row>
    <row r="578">
      <c r="A578" s="27"/>
      <c r="B578" s="26"/>
    </row>
    <row r="579">
      <c r="A579" s="27"/>
      <c r="B579" s="26"/>
    </row>
    <row r="580">
      <c r="A580" s="27"/>
      <c r="B580" s="26"/>
    </row>
    <row r="581">
      <c r="A581" s="27"/>
      <c r="B581" s="26"/>
    </row>
    <row r="582">
      <c r="A582" s="27"/>
      <c r="B582" s="26"/>
    </row>
    <row r="583">
      <c r="A583" s="27"/>
      <c r="B583" s="26"/>
    </row>
    <row r="584">
      <c r="A584" s="27"/>
      <c r="B584" s="26"/>
    </row>
    <row r="585">
      <c r="A585" s="27"/>
      <c r="B585" s="26"/>
    </row>
    <row r="586">
      <c r="A586" s="27"/>
      <c r="B586" s="26"/>
    </row>
    <row r="587">
      <c r="A587" s="27"/>
      <c r="B587" s="26"/>
    </row>
    <row r="588">
      <c r="A588" s="27"/>
      <c r="B588" s="26"/>
    </row>
    <row r="589">
      <c r="A589" s="27"/>
      <c r="B589" s="26"/>
    </row>
    <row r="590">
      <c r="A590" s="27"/>
      <c r="B590" s="26"/>
    </row>
    <row r="591">
      <c r="A591" s="27"/>
      <c r="B591" s="26"/>
    </row>
    <row r="592">
      <c r="A592" s="27"/>
      <c r="B592" s="26"/>
    </row>
    <row r="593">
      <c r="A593" s="27"/>
      <c r="B593" s="26"/>
    </row>
    <row r="594">
      <c r="A594" s="27"/>
      <c r="B594" s="26"/>
    </row>
    <row r="595">
      <c r="A595" s="27"/>
      <c r="B595" s="26"/>
    </row>
    <row r="596">
      <c r="A596" s="27"/>
      <c r="B596" s="26"/>
    </row>
    <row r="597">
      <c r="A597" s="27"/>
      <c r="B597" s="26"/>
    </row>
    <row r="598">
      <c r="A598" s="27"/>
      <c r="B598" s="26"/>
    </row>
    <row r="599">
      <c r="A599" s="27"/>
      <c r="B599" s="26"/>
    </row>
    <row r="600">
      <c r="A600" s="27"/>
      <c r="B600" s="26"/>
    </row>
    <row r="601">
      <c r="A601" s="27"/>
      <c r="B601" s="26"/>
    </row>
    <row r="602">
      <c r="A602" s="27"/>
      <c r="B602" s="26"/>
    </row>
    <row r="603">
      <c r="A603" s="27"/>
      <c r="B603" s="26"/>
    </row>
    <row r="604">
      <c r="A604" s="27"/>
      <c r="B604" s="26"/>
    </row>
    <row r="605">
      <c r="A605" s="27"/>
      <c r="B605" s="26"/>
    </row>
    <row r="606">
      <c r="A606" s="27"/>
      <c r="B606" s="26"/>
    </row>
    <row r="607">
      <c r="A607" s="27"/>
      <c r="B607" s="26"/>
    </row>
    <row r="608">
      <c r="A608" s="27"/>
      <c r="B608" s="26"/>
    </row>
    <row r="609">
      <c r="A609" s="27"/>
      <c r="B609" s="26"/>
    </row>
    <row r="610">
      <c r="A610" s="27"/>
      <c r="B610" s="26"/>
    </row>
    <row r="611">
      <c r="A611" s="27"/>
      <c r="B611" s="26"/>
    </row>
    <row r="612">
      <c r="A612" s="27"/>
      <c r="B612" s="26"/>
    </row>
    <row r="613">
      <c r="A613" s="27"/>
      <c r="B613" s="26"/>
    </row>
    <row r="614">
      <c r="A614" s="27"/>
      <c r="B614" s="26"/>
    </row>
    <row r="615">
      <c r="A615" s="27"/>
      <c r="B615" s="26"/>
    </row>
    <row r="616">
      <c r="A616" s="27"/>
      <c r="B616" s="26"/>
    </row>
    <row r="617">
      <c r="A617" s="27"/>
      <c r="B617" s="26"/>
    </row>
    <row r="618">
      <c r="A618" s="27"/>
      <c r="B618" s="26"/>
    </row>
    <row r="619">
      <c r="A619" s="27"/>
      <c r="B619" s="26"/>
    </row>
    <row r="620">
      <c r="A620" s="27"/>
      <c r="B620" s="26"/>
    </row>
    <row r="621">
      <c r="A621" s="27"/>
      <c r="B621" s="26"/>
    </row>
    <row r="622">
      <c r="A622" s="27"/>
      <c r="B622" s="26"/>
    </row>
    <row r="623">
      <c r="A623" s="27"/>
      <c r="B623" s="26"/>
    </row>
    <row r="624">
      <c r="A624" s="27"/>
      <c r="B624" s="26"/>
    </row>
    <row r="625">
      <c r="A625" s="27"/>
      <c r="B625" s="26"/>
    </row>
    <row r="626">
      <c r="A626" s="27"/>
      <c r="B626" s="26"/>
    </row>
    <row r="627">
      <c r="A627" s="27"/>
      <c r="B627" s="26"/>
    </row>
    <row r="628">
      <c r="A628" s="27"/>
      <c r="B628" s="26"/>
    </row>
    <row r="629">
      <c r="A629" s="27"/>
      <c r="B629" s="26"/>
    </row>
    <row r="630">
      <c r="A630" s="27"/>
      <c r="B630" s="26"/>
    </row>
    <row r="631">
      <c r="A631" s="27"/>
      <c r="B631" s="26"/>
    </row>
    <row r="632">
      <c r="A632" s="27"/>
      <c r="B632" s="26"/>
    </row>
    <row r="633">
      <c r="A633" s="27"/>
      <c r="B633" s="26"/>
    </row>
    <row r="634">
      <c r="A634" s="27"/>
      <c r="B634" s="26"/>
    </row>
    <row r="635">
      <c r="A635" s="27"/>
      <c r="B635" s="26"/>
    </row>
    <row r="636">
      <c r="A636" s="27"/>
      <c r="B636" s="26"/>
    </row>
    <row r="637">
      <c r="A637" s="27"/>
      <c r="B637" s="26"/>
    </row>
    <row r="638">
      <c r="A638" s="27"/>
      <c r="B638" s="26"/>
    </row>
    <row r="639">
      <c r="A639" s="27"/>
      <c r="B639" s="26"/>
    </row>
    <row r="640">
      <c r="A640" s="27"/>
      <c r="B640" s="26"/>
    </row>
    <row r="641">
      <c r="A641" s="27"/>
      <c r="B641" s="26"/>
    </row>
    <row r="642">
      <c r="A642" s="27"/>
      <c r="B642" s="26"/>
    </row>
    <row r="643">
      <c r="A643" s="27"/>
      <c r="B643" s="26"/>
    </row>
    <row r="644">
      <c r="A644" s="27"/>
      <c r="B644" s="26"/>
    </row>
    <row r="645">
      <c r="A645" s="27"/>
      <c r="B645" s="26"/>
    </row>
    <row r="646">
      <c r="A646" s="27"/>
      <c r="B646" s="26"/>
    </row>
    <row r="647">
      <c r="A647" s="27"/>
      <c r="B647" s="26"/>
    </row>
    <row r="648">
      <c r="A648" s="27"/>
      <c r="B648" s="26"/>
    </row>
    <row r="649">
      <c r="A649" s="27"/>
      <c r="B649" s="26"/>
    </row>
    <row r="650">
      <c r="A650" s="27"/>
      <c r="B650" s="26"/>
    </row>
    <row r="651">
      <c r="A651" s="27"/>
      <c r="B651" s="26"/>
    </row>
    <row r="652">
      <c r="A652" s="27"/>
      <c r="B652" s="26"/>
    </row>
    <row r="653">
      <c r="A653" s="27"/>
      <c r="B653" s="26"/>
    </row>
    <row r="654">
      <c r="A654" s="27"/>
      <c r="B654" s="26"/>
    </row>
    <row r="655">
      <c r="A655" s="27"/>
      <c r="B655" s="26"/>
    </row>
    <row r="656">
      <c r="A656" s="27"/>
      <c r="B656" s="26"/>
    </row>
    <row r="657">
      <c r="A657" s="27"/>
      <c r="B657" s="26"/>
    </row>
    <row r="658">
      <c r="A658" s="27"/>
      <c r="B658" s="26"/>
    </row>
    <row r="659">
      <c r="A659" s="27"/>
      <c r="B659" s="26"/>
    </row>
    <row r="660">
      <c r="A660" s="27"/>
      <c r="B660" s="26"/>
    </row>
    <row r="661">
      <c r="A661" s="27"/>
      <c r="B661" s="26"/>
    </row>
    <row r="662">
      <c r="A662" s="27"/>
      <c r="B662" s="26"/>
    </row>
    <row r="663">
      <c r="A663" s="27"/>
      <c r="B663" s="26"/>
    </row>
    <row r="664">
      <c r="A664" s="27"/>
      <c r="B664" s="26"/>
    </row>
    <row r="665">
      <c r="A665" s="27"/>
      <c r="B665" s="26"/>
    </row>
    <row r="666">
      <c r="A666" s="27"/>
      <c r="B666" s="26"/>
    </row>
    <row r="667">
      <c r="A667" s="27"/>
      <c r="B667" s="26"/>
    </row>
    <row r="668">
      <c r="A668" s="27"/>
      <c r="B668" s="26"/>
    </row>
    <row r="669">
      <c r="A669" s="27"/>
      <c r="B669" s="26"/>
    </row>
    <row r="670">
      <c r="A670" s="27"/>
      <c r="B670" s="26"/>
    </row>
    <row r="671">
      <c r="A671" s="27"/>
      <c r="B671" s="26"/>
    </row>
    <row r="672">
      <c r="A672" s="27"/>
      <c r="B672" s="26"/>
    </row>
    <row r="673">
      <c r="A673" s="27"/>
      <c r="B673" s="26"/>
    </row>
    <row r="674">
      <c r="A674" s="27"/>
      <c r="B674" s="26"/>
    </row>
    <row r="675">
      <c r="A675" s="27"/>
      <c r="B675" s="26"/>
    </row>
    <row r="676">
      <c r="A676" s="27"/>
      <c r="B676" s="26"/>
    </row>
    <row r="677">
      <c r="A677" s="27"/>
      <c r="B677" s="26"/>
    </row>
    <row r="678">
      <c r="A678" s="27"/>
      <c r="B678" s="26"/>
    </row>
    <row r="679">
      <c r="A679" s="27"/>
      <c r="B679" s="26"/>
    </row>
    <row r="680">
      <c r="A680" s="27"/>
      <c r="B680" s="26"/>
    </row>
    <row r="681">
      <c r="A681" s="27"/>
      <c r="B681" s="26"/>
    </row>
    <row r="682">
      <c r="A682" s="27"/>
      <c r="B682" s="26"/>
    </row>
    <row r="683">
      <c r="A683" s="27"/>
      <c r="B683" s="26"/>
    </row>
    <row r="684">
      <c r="A684" s="27"/>
      <c r="B684" s="26"/>
    </row>
    <row r="685">
      <c r="A685" s="27"/>
      <c r="B685" s="26"/>
    </row>
    <row r="686">
      <c r="A686" s="27"/>
      <c r="B686" s="26"/>
    </row>
    <row r="687">
      <c r="A687" s="27"/>
      <c r="B687" s="26"/>
    </row>
    <row r="688">
      <c r="A688" s="27"/>
      <c r="B688" s="26"/>
    </row>
    <row r="689">
      <c r="A689" s="27"/>
      <c r="B689" s="26"/>
    </row>
    <row r="690">
      <c r="A690" s="27"/>
      <c r="B690" s="26"/>
    </row>
    <row r="691">
      <c r="A691" s="27"/>
      <c r="B691" s="26"/>
    </row>
    <row r="692">
      <c r="A692" s="27"/>
      <c r="B692" s="26"/>
    </row>
    <row r="693">
      <c r="A693" s="27"/>
      <c r="B693" s="26"/>
    </row>
    <row r="694">
      <c r="A694" s="27"/>
      <c r="B694" s="26"/>
    </row>
    <row r="695">
      <c r="A695" s="27"/>
      <c r="B695" s="26"/>
    </row>
    <row r="696">
      <c r="A696" s="27"/>
      <c r="B696" s="26"/>
    </row>
    <row r="697">
      <c r="A697" s="27"/>
      <c r="B697" s="26"/>
    </row>
    <row r="698">
      <c r="A698" s="27"/>
      <c r="B698" s="26"/>
    </row>
    <row r="699">
      <c r="A699" s="27"/>
      <c r="B699" s="26"/>
    </row>
    <row r="700">
      <c r="A700" s="27"/>
      <c r="B700" s="26"/>
    </row>
    <row r="701">
      <c r="A701" s="27"/>
      <c r="B701" s="26"/>
    </row>
    <row r="702">
      <c r="A702" s="27"/>
      <c r="B702" s="26"/>
    </row>
    <row r="703">
      <c r="A703" s="27"/>
      <c r="B703" s="26"/>
    </row>
    <row r="704">
      <c r="A704" s="27"/>
      <c r="B704" s="26"/>
    </row>
    <row r="705">
      <c r="A705" s="27"/>
      <c r="B705" s="26"/>
    </row>
    <row r="706">
      <c r="A706" s="27"/>
      <c r="B706" s="26"/>
    </row>
    <row r="707">
      <c r="A707" s="27"/>
      <c r="B707" s="26"/>
    </row>
    <row r="708">
      <c r="A708" s="27"/>
      <c r="B708" s="26"/>
    </row>
    <row r="709">
      <c r="A709" s="27"/>
      <c r="B709" s="26"/>
    </row>
    <row r="710">
      <c r="A710" s="27"/>
      <c r="B710" s="26"/>
    </row>
    <row r="711">
      <c r="A711" s="27"/>
      <c r="B711" s="26"/>
    </row>
    <row r="712">
      <c r="A712" s="27"/>
      <c r="B712" s="26"/>
    </row>
    <row r="713">
      <c r="A713" s="27"/>
      <c r="B713" s="26"/>
    </row>
    <row r="714">
      <c r="A714" s="27"/>
      <c r="B714" s="26"/>
    </row>
    <row r="715">
      <c r="A715" s="27"/>
      <c r="B715" s="26"/>
    </row>
    <row r="716">
      <c r="A716" s="27"/>
      <c r="B716" s="26"/>
    </row>
    <row r="717">
      <c r="A717" s="27"/>
      <c r="B717" s="26"/>
    </row>
    <row r="718">
      <c r="A718" s="27"/>
      <c r="B718" s="26"/>
    </row>
    <row r="719">
      <c r="A719" s="27"/>
      <c r="B719" s="26"/>
    </row>
    <row r="720">
      <c r="A720" s="27"/>
      <c r="B720" s="26"/>
    </row>
    <row r="721">
      <c r="A721" s="27"/>
      <c r="B721" s="26"/>
    </row>
    <row r="722">
      <c r="A722" s="27"/>
      <c r="B722" s="26"/>
    </row>
    <row r="723">
      <c r="A723" s="27"/>
      <c r="B723" s="26"/>
    </row>
    <row r="724">
      <c r="A724" s="27"/>
      <c r="B724" s="26"/>
    </row>
    <row r="725">
      <c r="A725" s="27"/>
      <c r="B725" s="26"/>
    </row>
    <row r="726">
      <c r="A726" s="27"/>
      <c r="B726" s="26"/>
    </row>
    <row r="727">
      <c r="A727" s="27"/>
      <c r="B727" s="26"/>
    </row>
    <row r="728">
      <c r="A728" s="27"/>
      <c r="B728" s="26"/>
    </row>
    <row r="729">
      <c r="A729" s="27"/>
      <c r="B729" s="26"/>
    </row>
    <row r="730">
      <c r="A730" s="27"/>
      <c r="B730" s="26"/>
    </row>
    <row r="731">
      <c r="A731" s="27"/>
      <c r="B731" s="26"/>
    </row>
    <row r="732">
      <c r="A732" s="27"/>
      <c r="B732" s="26"/>
    </row>
    <row r="733">
      <c r="A733" s="27"/>
      <c r="B733" s="26"/>
    </row>
    <row r="734">
      <c r="A734" s="27"/>
      <c r="B734" s="26"/>
    </row>
    <row r="735">
      <c r="A735" s="27"/>
      <c r="B735" s="26"/>
    </row>
    <row r="736">
      <c r="A736" s="27"/>
      <c r="B736" s="26"/>
    </row>
    <row r="737">
      <c r="A737" s="27"/>
      <c r="B737" s="26"/>
    </row>
    <row r="738">
      <c r="A738" s="27"/>
      <c r="B738" s="26"/>
    </row>
    <row r="739">
      <c r="A739" s="27"/>
      <c r="B739" s="26"/>
    </row>
    <row r="740">
      <c r="A740" s="27"/>
      <c r="B740" s="26"/>
    </row>
    <row r="741">
      <c r="A741" s="27"/>
      <c r="B741" s="26"/>
    </row>
    <row r="742">
      <c r="A742" s="27"/>
      <c r="B742" s="26"/>
    </row>
    <row r="743">
      <c r="A743" s="27"/>
      <c r="B743" s="26"/>
    </row>
    <row r="744">
      <c r="A744" s="27"/>
      <c r="B744" s="26"/>
    </row>
    <row r="745">
      <c r="A745" s="27"/>
      <c r="B745" s="26"/>
    </row>
    <row r="746">
      <c r="A746" s="27"/>
      <c r="B746" s="26"/>
    </row>
    <row r="747">
      <c r="A747" s="27"/>
      <c r="B747" s="26"/>
    </row>
    <row r="748">
      <c r="A748" s="27"/>
      <c r="B748" s="26"/>
    </row>
    <row r="749">
      <c r="A749" s="27"/>
      <c r="B749" s="26"/>
    </row>
    <row r="750">
      <c r="A750" s="27"/>
      <c r="B750" s="26"/>
    </row>
    <row r="751">
      <c r="A751" s="27"/>
      <c r="B751" s="26"/>
    </row>
    <row r="752">
      <c r="A752" s="27"/>
      <c r="B752" s="26"/>
    </row>
    <row r="753">
      <c r="A753" s="27"/>
      <c r="B753" s="26"/>
    </row>
    <row r="754">
      <c r="A754" s="27"/>
      <c r="B754" s="26"/>
    </row>
    <row r="755">
      <c r="A755" s="27"/>
      <c r="B755" s="26"/>
    </row>
    <row r="756">
      <c r="A756" s="27"/>
      <c r="B756" s="26"/>
    </row>
    <row r="757">
      <c r="A757" s="27"/>
      <c r="B757" s="26"/>
    </row>
    <row r="758">
      <c r="A758" s="27"/>
      <c r="B758" s="26"/>
    </row>
    <row r="759">
      <c r="A759" s="27"/>
      <c r="B759" s="26"/>
    </row>
    <row r="760">
      <c r="A760" s="27"/>
      <c r="B760" s="26"/>
    </row>
    <row r="761">
      <c r="A761" s="27"/>
      <c r="B761" s="26"/>
    </row>
    <row r="762">
      <c r="A762" s="27"/>
      <c r="B762" s="26"/>
    </row>
    <row r="763">
      <c r="A763" s="27"/>
      <c r="B763" s="26"/>
    </row>
    <row r="764">
      <c r="A764" s="27"/>
      <c r="B764" s="26"/>
    </row>
    <row r="765">
      <c r="A765" s="27"/>
      <c r="B765" s="26"/>
    </row>
    <row r="766">
      <c r="A766" s="27"/>
      <c r="B766" s="26"/>
    </row>
    <row r="767">
      <c r="A767" s="27"/>
      <c r="B767" s="26"/>
    </row>
    <row r="768">
      <c r="A768" s="27"/>
      <c r="B768" s="26"/>
    </row>
    <row r="769">
      <c r="A769" s="27"/>
      <c r="B769" s="26"/>
    </row>
    <row r="770">
      <c r="A770" s="27"/>
      <c r="B770" s="26"/>
    </row>
    <row r="771">
      <c r="A771" s="27"/>
      <c r="B771" s="26"/>
    </row>
    <row r="772">
      <c r="A772" s="27"/>
      <c r="B772" s="26"/>
    </row>
    <row r="773">
      <c r="A773" s="27"/>
      <c r="B773" s="26"/>
    </row>
    <row r="774">
      <c r="A774" s="27"/>
      <c r="B774" s="26"/>
    </row>
    <row r="775">
      <c r="A775" s="27"/>
      <c r="B775" s="26"/>
    </row>
    <row r="776">
      <c r="A776" s="27"/>
      <c r="B776" s="26"/>
    </row>
    <row r="777">
      <c r="A777" s="27"/>
      <c r="B777" s="26"/>
    </row>
    <row r="778">
      <c r="A778" s="27"/>
      <c r="B778" s="26"/>
    </row>
    <row r="779">
      <c r="A779" s="27"/>
      <c r="B779" s="26"/>
    </row>
    <row r="780">
      <c r="A780" s="27"/>
      <c r="B780" s="26"/>
    </row>
    <row r="781">
      <c r="A781" s="27"/>
      <c r="B781" s="26"/>
    </row>
    <row r="782">
      <c r="A782" s="27"/>
      <c r="B782" s="26"/>
    </row>
    <row r="783">
      <c r="A783" s="27"/>
      <c r="B783" s="26"/>
    </row>
    <row r="784">
      <c r="A784" s="27"/>
      <c r="B784" s="26"/>
    </row>
    <row r="785">
      <c r="A785" s="27"/>
      <c r="B785" s="26"/>
    </row>
    <row r="786">
      <c r="A786" s="27"/>
      <c r="B786" s="26"/>
    </row>
    <row r="787">
      <c r="A787" s="27"/>
      <c r="B787" s="26"/>
    </row>
    <row r="788">
      <c r="A788" s="27"/>
      <c r="B788" s="26"/>
    </row>
    <row r="789">
      <c r="A789" s="27"/>
      <c r="B789" s="26"/>
    </row>
    <row r="790">
      <c r="A790" s="27"/>
      <c r="B790" s="26"/>
    </row>
    <row r="791">
      <c r="A791" s="27"/>
      <c r="B791" s="26"/>
    </row>
    <row r="792">
      <c r="A792" s="27"/>
      <c r="B792" s="26"/>
    </row>
    <row r="793">
      <c r="A793" s="27"/>
      <c r="B793" s="26"/>
    </row>
    <row r="794">
      <c r="A794" s="27"/>
      <c r="B794" s="26"/>
    </row>
    <row r="795">
      <c r="A795" s="27"/>
      <c r="B795" s="26"/>
    </row>
    <row r="796">
      <c r="A796" s="27"/>
      <c r="B796" s="26"/>
    </row>
    <row r="797">
      <c r="A797" s="27"/>
      <c r="B797" s="26"/>
    </row>
    <row r="798">
      <c r="A798" s="27"/>
      <c r="B798" s="26"/>
    </row>
    <row r="799">
      <c r="A799" s="27"/>
      <c r="B799" s="26"/>
    </row>
    <row r="800">
      <c r="A800" s="27"/>
      <c r="B800" s="26"/>
    </row>
    <row r="801">
      <c r="A801" s="27"/>
      <c r="B801" s="26"/>
    </row>
    <row r="802">
      <c r="A802" s="27"/>
      <c r="B802" s="26"/>
    </row>
    <row r="803">
      <c r="A803" s="27"/>
      <c r="B803" s="26"/>
    </row>
    <row r="804">
      <c r="A804" s="27"/>
      <c r="B804" s="26"/>
    </row>
    <row r="805">
      <c r="A805" s="27"/>
      <c r="B805" s="26"/>
    </row>
    <row r="806">
      <c r="A806" s="27"/>
      <c r="B806" s="26"/>
    </row>
    <row r="807">
      <c r="A807" s="27"/>
      <c r="B807" s="26"/>
    </row>
    <row r="808">
      <c r="A808" s="27"/>
      <c r="B808" s="26"/>
    </row>
    <row r="809">
      <c r="A809" s="27"/>
      <c r="B809" s="26"/>
    </row>
    <row r="810">
      <c r="A810" s="27"/>
      <c r="B810" s="26"/>
    </row>
    <row r="811">
      <c r="A811" s="27"/>
      <c r="B811" s="26"/>
    </row>
    <row r="812">
      <c r="A812" s="27"/>
      <c r="B812" s="26"/>
    </row>
    <row r="813">
      <c r="A813" s="27"/>
      <c r="B813" s="26"/>
    </row>
    <row r="814">
      <c r="A814" s="27"/>
      <c r="B814" s="26"/>
    </row>
    <row r="815">
      <c r="A815" s="27"/>
      <c r="B815" s="26"/>
    </row>
    <row r="816">
      <c r="A816" s="27"/>
      <c r="B816" s="26"/>
    </row>
    <row r="817">
      <c r="A817" s="27"/>
      <c r="B817" s="26"/>
    </row>
    <row r="818">
      <c r="A818" s="27"/>
      <c r="B818" s="26"/>
    </row>
    <row r="819">
      <c r="A819" s="27"/>
      <c r="B819" s="26"/>
    </row>
    <row r="820">
      <c r="A820" s="27"/>
      <c r="B820" s="26"/>
    </row>
    <row r="821">
      <c r="A821" s="27"/>
      <c r="B821" s="26"/>
    </row>
    <row r="822">
      <c r="A822" s="27"/>
      <c r="B822" s="26"/>
    </row>
    <row r="823">
      <c r="A823" s="27"/>
      <c r="B823" s="26"/>
    </row>
    <row r="824">
      <c r="A824" s="27"/>
      <c r="B824" s="26"/>
    </row>
    <row r="825">
      <c r="A825" s="27"/>
      <c r="B825" s="26"/>
    </row>
    <row r="826">
      <c r="A826" s="27"/>
      <c r="B826" s="26"/>
    </row>
    <row r="827">
      <c r="A827" s="27"/>
      <c r="B827" s="26"/>
    </row>
    <row r="828">
      <c r="A828" s="27"/>
      <c r="B828" s="26"/>
    </row>
    <row r="829">
      <c r="A829" s="27"/>
      <c r="B829" s="26"/>
    </row>
    <row r="830">
      <c r="A830" s="27"/>
      <c r="B830" s="26"/>
    </row>
    <row r="831">
      <c r="A831" s="27"/>
      <c r="B831" s="26"/>
    </row>
    <row r="832">
      <c r="A832" s="27"/>
      <c r="B832" s="26"/>
    </row>
    <row r="833">
      <c r="A833" s="27"/>
      <c r="B833" s="26"/>
    </row>
    <row r="834">
      <c r="A834" s="27"/>
      <c r="B834" s="26"/>
    </row>
    <row r="835">
      <c r="A835" s="27"/>
      <c r="B835" s="26"/>
    </row>
    <row r="836">
      <c r="A836" s="27"/>
      <c r="B836" s="26"/>
    </row>
    <row r="837">
      <c r="A837" s="27"/>
      <c r="B837" s="26"/>
    </row>
    <row r="838">
      <c r="A838" s="27"/>
      <c r="B838" s="26"/>
    </row>
    <row r="839">
      <c r="A839" s="27"/>
      <c r="B839" s="26"/>
    </row>
    <row r="840">
      <c r="A840" s="27"/>
      <c r="B840" s="26"/>
    </row>
    <row r="841">
      <c r="A841" s="27"/>
      <c r="B841" s="26"/>
    </row>
    <row r="842">
      <c r="A842" s="27"/>
      <c r="B842" s="26"/>
    </row>
    <row r="843">
      <c r="A843" s="27"/>
      <c r="B843" s="26"/>
    </row>
    <row r="844">
      <c r="A844" s="27"/>
      <c r="B844" s="26"/>
    </row>
    <row r="845">
      <c r="A845" s="27"/>
      <c r="B845" s="26"/>
    </row>
    <row r="846">
      <c r="A846" s="27"/>
      <c r="B846" s="26"/>
    </row>
    <row r="847">
      <c r="A847" s="27"/>
      <c r="B847" s="26"/>
    </row>
    <row r="848">
      <c r="A848" s="27"/>
      <c r="B848" s="26"/>
    </row>
    <row r="849">
      <c r="A849" s="27"/>
      <c r="B849" s="26"/>
    </row>
    <row r="850">
      <c r="A850" s="27"/>
      <c r="B850" s="26"/>
    </row>
    <row r="851">
      <c r="A851" s="27"/>
      <c r="B851" s="26"/>
    </row>
    <row r="852">
      <c r="A852" s="27"/>
      <c r="B852" s="26"/>
    </row>
    <row r="853">
      <c r="A853" s="27"/>
      <c r="B853" s="26"/>
    </row>
    <row r="854">
      <c r="A854" s="27"/>
      <c r="B854" s="26"/>
    </row>
    <row r="855">
      <c r="A855" s="27"/>
      <c r="B855" s="26"/>
    </row>
    <row r="856">
      <c r="A856" s="27"/>
      <c r="B856" s="26"/>
    </row>
    <row r="857">
      <c r="A857" s="27"/>
      <c r="B857" s="26"/>
    </row>
    <row r="858">
      <c r="A858" s="27"/>
      <c r="B858" s="26"/>
    </row>
    <row r="859">
      <c r="A859" s="27"/>
      <c r="B859" s="26"/>
    </row>
    <row r="860">
      <c r="A860" s="27"/>
      <c r="B860" s="26"/>
    </row>
    <row r="861">
      <c r="A861" s="27"/>
      <c r="B861" s="26"/>
    </row>
    <row r="862">
      <c r="A862" s="27"/>
      <c r="B862" s="26"/>
    </row>
    <row r="863">
      <c r="A863" s="27"/>
      <c r="B863" s="26"/>
    </row>
    <row r="864">
      <c r="A864" s="27"/>
      <c r="B864" s="26"/>
    </row>
    <row r="865">
      <c r="A865" s="27"/>
      <c r="B865" s="26"/>
    </row>
    <row r="866">
      <c r="A866" s="27"/>
      <c r="B866" s="26"/>
    </row>
    <row r="867">
      <c r="A867" s="27"/>
      <c r="B867" s="26"/>
    </row>
    <row r="868">
      <c r="A868" s="27"/>
      <c r="B868" s="26"/>
    </row>
    <row r="869">
      <c r="A869" s="27"/>
      <c r="B869" s="26"/>
    </row>
    <row r="870">
      <c r="A870" s="27"/>
      <c r="B870" s="26"/>
    </row>
    <row r="871">
      <c r="A871" s="27"/>
      <c r="B871" s="26"/>
    </row>
    <row r="872">
      <c r="A872" s="27"/>
      <c r="B872" s="26"/>
    </row>
    <row r="873">
      <c r="A873" s="27"/>
      <c r="B873" s="26"/>
    </row>
    <row r="874">
      <c r="A874" s="27"/>
      <c r="B874" s="26"/>
    </row>
    <row r="875">
      <c r="A875" s="27"/>
      <c r="B875" s="26"/>
    </row>
    <row r="876">
      <c r="A876" s="27"/>
      <c r="B876" s="26"/>
    </row>
    <row r="877">
      <c r="A877" s="27"/>
      <c r="B877" s="26"/>
    </row>
    <row r="878">
      <c r="A878" s="27"/>
      <c r="B878" s="26"/>
    </row>
    <row r="879">
      <c r="A879" s="27"/>
      <c r="B879" s="26"/>
    </row>
    <row r="880">
      <c r="A880" s="27"/>
      <c r="B880" s="26"/>
    </row>
    <row r="881">
      <c r="A881" s="27"/>
      <c r="B881" s="26"/>
    </row>
    <row r="882">
      <c r="A882" s="27"/>
      <c r="B882" s="26"/>
    </row>
    <row r="883">
      <c r="A883" s="27"/>
      <c r="B883" s="26"/>
    </row>
    <row r="884">
      <c r="A884" s="27"/>
      <c r="B884" s="26"/>
    </row>
    <row r="885">
      <c r="A885" s="27"/>
      <c r="B885" s="26"/>
    </row>
    <row r="886">
      <c r="A886" s="27"/>
      <c r="B886" s="26"/>
    </row>
    <row r="887">
      <c r="A887" s="27"/>
      <c r="B887" s="26"/>
    </row>
    <row r="888">
      <c r="A888" s="27"/>
      <c r="B888" s="26"/>
    </row>
    <row r="889">
      <c r="A889" s="27"/>
      <c r="B889" s="26"/>
    </row>
    <row r="890">
      <c r="A890" s="27"/>
      <c r="B890" s="26"/>
    </row>
    <row r="891">
      <c r="A891" s="27"/>
      <c r="B891" s="26"/>
    </row>
    <row r="892">
      <c r="A892" s="27"/>
      <c r="B892" s="26"/>
    </row>
    <row r="893">
      <c r="A893" s="27"/>
      <c r="B893" s="26"/>
    </row>
    <row r="894">
      <c r="A894" s="27"/>
      <c r="B894" s="26"/>
    </row>
    <row r="895">
      <c r="A895" s="27"/>
      <c r="B895" s="26"/>
    </row>
    <row r="896">
      <c r="A896" s="27"/>
      <c r="B896" s="26"/>
    </row>
    <row r="897">
      <c r="A897" s="27"/>
      <c r="B897" s="26"/>
    </row>
    <row r="898">
      <c r="A898" s="27"/>
      <c r="B898" s="26"/>
    </row>
    <row r="899">
      <c r="A899" s="27"/>
      <c r="B899" s="26"/>
    </row>
    <row r="900">
      <c r="A900" s="27"/>
      <c r="B900" s="26"/>
    </row>
    <row r="901">
      <c r="A901" s="27"/>
      <c r="B901" s="26"/>
    </row>
    <row r="902">
      <c r="A902" s="27"/>
      <c r="B902" s="26"/>
    </row>
    <row r="903">
      <c r="A903" s="27"/>
      <c r="B903" s="26"/>
    </row>
    <row r="904">
      <c r="A904" s="27"/>
      <c r="B904" s="26"/>
    </row>
    <row r="905">
      <c r="A905" s="27"/>
      <c r="B905" s="26"/>
    </row>
    <row r="906">
      <c r="A906" s="27"/>
      <c r="B906" s="26"/>
    </row>
    <row r="907">
      <c r="A907" s="27"/>
      <c r="B907" s="26"/>
    </row>
    <row r="908">
      <c r="A908" s="27"/>
      <c r="B908" s="26"/>
    </row>
    <row r="909">
      <c r="A909" s="27"/>
      <c r="B909" s="26"/>
    </row>
    <row r="910">
      <c r="A910" s="27"/>
      <c r="B910" s="26"/>
    </row>
    <row r="911">
      <c r="A911" s="27"/>
      <c r="B911" s="26"/>
    </row>
    <row r="912">
      <c r="A912" s="27"/>
      <c r="B912" s="26"/>
    </row>
    <row r="913">
      <c r="A913" s="27"/>
      <c r="B913" s="26"/>
    </row>
    <row r="914">
      <c r="A914" s="27"/>
      <c r="B914" s="26"/>
    </row>
    <row r="915">
      <c r="A915" s="27"/>
      <c r="B915" s="26"/>
    </row>
    <row r="916">
      <c r="A916" s="27"/>
      <c r="B916" s="26"/>
    </row>
    <row r="917">
      <c r="A917" s="27"/>
      <c r="B917" s="26"/>
    </row>
    <row r="918">
      <c r="A918" s="27"/>
      <c r="B918" s="26"/>
    </row>
    <row r="919">
      <c r="A919" s="27"/>
      <c r="B919" s="26"/>
    </row>
    <row r="920">
      <c r="A920" s="27"/>
      <c r="B920" s="26"/>
    </row>
    <row r="921">
      <c r="A921" s="27"/>
      <c r="B921" s="26"/>
    </row>
    <row r="922">
      <c r="A922" s="27"/>
      <c r="B922" s="26"/>
    </row>
    <row r="923">
      <c r="A923" s="27"/>
      <c r="B923" s="26"/>
    </row>
    <row r="924">
      <c r="A924" s="27"/>
      <c r="B924" s="26"/>
    </row>
    <row r="925">
      <c r="A925" s="27"/>
      <c r="B925" s="26"/>
    </row>
    <row r="926">
      <c r="A926" s="27"/>
      <c r="B926" s="26"/>
    </row>
    <row r="927">
      <c r="A927" s="27"/>
      <c r="B927" s="26"/>
    </row>
    <row r="928">
      <c r="A928" s="27"/>
      <c r="B928" s="26"/>
    </row>
    <row r="929">
      <c r="A929" s="27"/>
      <c r="B929" s="26"/>
    </row>
    <row r="930">
      <c r="A930" s="27"/>
      <c r="B930" s="26"/>
    </row>
    <row r="931">
      <c r="A931" s="27"/>
      <c r="B931" s="26"/>
    </row>
    <row r="932">
      <c r="A932" s="27"/>
      <c r="B932" s="26"/>
    </row>
    <row r="933">
      <c r="A933" s="27"/>
      <c r="B933" s="26"/>
    </row>
    <row r="934">
      <c r="A934" s="27"/>
      <c r="B934" s="26"/>
    </row>
    <row r="935">
      <c r="A935" s="27"/>
      <c r="B935" s="26"/>
    </row>
    <row r="936">
      <c r="A936" s="27"/>
      <c r="B936" s="26"/>
    </row>
    <row r="937">
      <c r="A937" s="27"/>
      <c r="B937" s="26"/>
    </row>
    <row r="938">
      <c r="A938" s="27"/>
      <c r="B938" s="26"/>
    </row>
    <row r="939">
      <c r="A939" s="27"/>
      <c r="B939" s="26"/>
    </row>
    <row r="940">
      <c r="A940" s="27"/>
      <c r="B940" s="26"/>
    </row>
    <row r="941">
      <c r="A941" s="27"/>
      <c r="B941" s="26"/>
    </row>
    <row r="942">
      <c r="A942" s="27"/>
      <c r="B942" s="26"/>
    </row>
    <row r="943">
      <c r="A943" s="27"/>
      <c r="B943" s="26"/>
    </row>
    <row r="944">
      <c r="A944" s="27"/>
      <c r="B944" s="26"/>
    </row>
    <row r="945">
      <c r="A945" s="27"/>
      <c r="B945" s="26"/>
    </row>
    <row r="946">
      <c r="A946" s="27"/>
      <c r="B946" s="26"/>
    </row>
    <row r="947">
      <c r="A947" s="27"/>
      <c r="B947" s="26"/>
    </row>
    <row r="948">
      <c r="A948" s="27"/>
      <c r="B948" s="26"/>
    </row>
    <row r="949">
      <c r="A949" s="27"/>
      <c r="B949" s="26"/>
    </row>
    <row r="950">
      <c r="A950" s="27"/>
      <c r="B950" s="26"/>
    </row>
    <row r="951">
      <c r="A951" s="27"/>
      <c r="B951" s="26"/>
    </row>
    <row r="952">
      <c r="A952" s="27"/>
      <c r="B952" s="26"/>
    </row>
    <row r="953">
      <c r="A953" s="27"/>
      <c r="B953" s="26"/>
    </row>
    <row r="954">
      <c r="A954" s="27"/>
      <c r="B954" s="26"/>
    </row>
    <row r="955">
      <c r="A955" s="27"/>
      <c r="B955" s="26"/>
    </row>
    <row r="956">
      <c r="A956" s="27"/>
      <c r="B956" s="26"/>
    </row>
    <row r="957">
      <c r="A957" s="27"/>
      <c r="B957" s="26"/>
    </row>
    <row r="958">
      <c r="A958" s="27"/>
      <c r="B958" s="26"/>
    </row>
    <row r="959">
      <c r="A959" s="27"/>
      <c r="B959" s="26"/>
    </row>
    <row r="960">
      <c r="A960" s="27"/>
      <c r="B960" s="26"/>
    </row>
    <row r="961">
      <c r="A961" s="27"/>
      <c r="B961" s="26"/>
    </row>
    <row r="962">
      <c r="A962" s="27"/>
      <c r="B962" s="26"/>
    </row>
    <row r="963">
      <c r="A963" s="27"/>
      <c r="B963" s="26"/>
    </row>
    <row r="964">
      <c r="A964" s="27"/>
      <c r="B964" s="26"/>
    </row>
    <row r="965">
      <c r="A965" s="27"/>
      <c r="B965" s="26"/>
    </row>
    <row r="966">
      <c r="A966" s="27"/>
      <c r="B966" s="26"/>
    </row>
    <row r="967">
      <c r="A967" s="27"/>
      <c r="B967" s="26"/>
    </row>
    <row r="968">
      <c r="A968" s="27"/>
      <c r="B968" s="26"/>
    </row>
    <row r="969">
      <c r="A969" s="27"/>
      <c r="B969" s="26"/>
    </row>
    <row r="970">
      <c r="A970" s="27"/>
      <c r="B970" s="26"/>
    </row>
    <row r="971">
      <c r="A971" s="27"/>
      <c r="B971" s="26"/>
    </row>
    <row r="972">
      <c r="A972" s="27"/>
      <c r="B972" s="26"/>
    </row>
    <row r="973">
      <c r="A973" s="27"/>
      <c r="B973" s="26"/>
    </row>
    <row r="974">
      <c r="A974" s="27"/>
      <c r="B974" s="26"/>
    </row>
    <row r="975">
      <c r="A975" s="27"/>
      <c r="B975" s="26"/>
    </row>
    <row r="976">
      <c r="A976" s="27"/>
      <c r="B976" s="26"/>
    </row>
    <row r="977">
      <c r="A977" s="27"/>
      <c r="B977" s="26"/>
    </row>
    <row r="978">
      <c r="A978" s="27"/>
      <c r="B978" s="26"/>
    </row>
    <row r="979">
      <c r="A979" s="27"/>
      <c r="B979" s="26"/>
    </row>
    <row r="980">
      <c r="A980" s="27"/>
      <c r="B980" s="26"/>
    </row>
    <row r="981">
      <c r="A981" s="27"/>
      <c r="B981" s="26"/>
    </row>
    <row r="982">
      <c r="A982" s="27"/>
      <c r="B982" s="26"/>
    </row>
    <row r="983">
      <c r="A983" s="27"/>
      <c r="B983" s="26"/>
    </row>
    <row r="984">
      <c r="A984" s="27"/>
      <c r="B984" s="26"/>
    </row>
    <row r="985">
      <c r="A985" s="27"/>
      <c r="B985" s="26"/>
    </row>
    <row r="986">
      <c r="A986" s="27"/>
      <c r="B986" s="26"/>
    </row>
    <row r="987">
      <c r="A987" s="27"/>
      <c r="B987" s="26"/>
    </row>
    <row r="988">
      <c r="A988" s="27"/>
      <c r="B988" s="26"/>
    </row>
    <row r="989">
      <c r="A989" s="27"/>
      <c r="B989" s="26"/>
    </row>
    <row r="990">
      <c r="A990" s="27"/>
      <c r="B990" s="26"/>
    </row>
    <row r="991">
      <c r="A991" s="27"/>
      <c r="B991" s="26"/>
    </row>
    <row r="992">
      <c r="A992" s="27"/>
      <c r="B992" s="26"/>
    </row>
    <row r="993">
      <c r="A993" s="27"/>
      <c r="B993" s="26"/>
    </row>
    <row r="994">
      <c r="A994" s="27"/>
      <c r="B994" s="26"/>
    </row>
    <row r="995">
      <c r="A995" s="27"/>
      <c r="B995" s="26"/>
    </row>
    <row r="996">
      <c r="A996" s="27"/>
      <c r="B996" s="26"/>
    </row>
    <row r="997">
      <c r="A997" s="27"/>
      <c r="B997" s="26"/>
    </row>
    <row r="998">
      <c r="B998" s="5"/>
    </row>
    <row r="999">
      <c r="B999" s="5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</cols>
  <sheetData>
    <row r="1">
      <c r="A1" s="18" t="s">
        <v>0</v>
      </c>
      <c r="B1" s="19" t="s">
        <v>1</v>
      </c>
    </row>
    <row r="2">
      <c r="A2" s="24" t="s">
        <v>650</v>
      </c>
      <c r="B2" s="25">
        <v>3244.76</v>
      </c>
    </row>
    <row r="3">
      <c r="A3" s="24" t="s">
        <v>708</v>
      </c>
      <c r="B3" s="25">
        <v>903.59</v>
      </c>
    </row>
    <row r="4">
      <c r="A4" s="24" t="s">
        <v>709</v>
      </c>
      <c r="B4" s="25">
        <v>391.35</v>
      </c>
    </row>
    <row r="5">
      <c r="A5" s="24" t="s">
        <v>711</v>
      </c>
      <c r="B5" s="25">
        <v>1672.0</v>
      </c>
    </row>
    <row r="6">
      <c r="A6" s="24" t="s">
        <v>712</v>
      </c>
      <c r="B6" s="25">
        <v>2382.0</v>
      </c>
    </row>
    <row r="7">
      <c r="A7" s="24" t="s">
        <v>714</v>
      </c>
      <c r="B7" s="25">
        <v>204.0</v>
      </c>
    </row>
    <row r="8">
      <c r="A8" s="24" t="s">
        <v>715</v>
      </c>
      <c r="B8" s="25">
        <v>248.04</v>
      </c>
    </row>
    <row r="9">
      <c r="A9" s="24" t="s">
        <v>718</v>
      </c>
      <c r="B9" s="25">
        <v>1035.04</v>
      </c>
    </row>
    <row r="10">
      <c r="A10" s="24" t="s">
        <v>675</v>
      </c>
      <c r="B10" s="25">
        <v>1331.0</v>
      </c>
    </row>
    <row r="11">
      <c r="A11" s="24" t="s">
        <v>630</v>
      </c>
      <c r="B11" s="25">
        <v>644.85</v>
      </c>
    </row>
    <row r="12">
      <c r="A12" s="24" t="s">
        <v>676</v>
      </c>
      <c r="B12" s="25">
        <v>-608.66</v>
      </c>
    </row>
    <row r="13">
      <c r="A13" s="24" t="s">
        <v>722</v>
      </c>
      <c r="B13" s="25">
        <v>376.0</v>
      </c>
    </row>
    <row r="14">
      <c r="A14" s="24" t="s">
        <v>723</v>
      </c>
      <c r="B14" s="25">
        <v>275.32</v>
      </c>
    </row>
    <row r="15">
      <c r="A15" s="24" t="s">
        <v>725</v>
      </c>
      <c r="B15" s="25">
        <v>0.0</v>
      </c>
    </row>
    <row r="16">
      <c r="A16" s="24" t="s">
        <v>638</v>
      </c>
      <c r="B16" s="25">
        <v>4820.0</v>
      </c>
    </row>
    <row r="17">
      <c r="A17" s="24" t="s">
        <v>672</v>
      </c>
      <c r="B17" s="25">
        <v>18331.0</v>
      </c>
    </row>
    <row r="18">
      <c r="A18" s="24" t="s">
        <v>729</v>
      </c>
      <c r="B18" s="25">
        <v>4.68</v>
      </c>
    </row>
    <row r="19">
      <c r="A19" s="24" t="s">
        <v>658</v>
      </c>
      <c r="B19" s="25">
        <v>3985.44</v>
      </c>
    </row>
    <row r="20">
      <c r="A20" s="24" t="s">
        <v>700</v>
      </c>
      <c r="B20" s="25">
        <v>858.92</v>
      </c>
    </row>
    <row r="21">
      <c r="A21" s="24" t="s">
        <v>733</v>
      </c>
      <c r="B21" s="25">
        <v>4122.0</v>
      </c>
    </row>
    <row r="22">
      <c r="A22" s="24" t="s">
        <v>735</v>
      </c>
      <c r="B22" s="25">
        <v>23978.79</v>
      </c>
    </row>
    <row r="23">
      <c r="A23" s="24" t="s">
        <v>737</v>
      </c>
      <c r="B23" s="25">
        <v>-17.0</v>
      </c>
    </row>
    <row r="24">
      <c r="A24" s="24" t="s">
        <v>738</v>
      </c>
      <c r="B24" s="25">
        <v>17.0</v>
      </c>
      <c r="C24" s="16" t="s">
        <v>739</v>
      </c>
    </row>
    <row r="25">
      <c r="A25" s="24" t="s">
        <v>537</v>
      </c>
      <c r="B25" s="25">
        <v>25.6</v>
      </c>
    </row>
    <row r="26">
      <c r="A26" s="24" t="s">
        <v>536</v>
      </c>
      <c r="B26" s="25">
        <v>8927.77</v>
      </c>
    </row>
    <row r="27">
      <c r="A27" s="24" t="s">
        <v>719</v>
      </c>
      <c r="B27" s="25">
        <v>129.15</v>
      </c>
    </row>
    <row r="28">
      <c r="A28" s="24" t="s">
        <v>743</v>
      </c>
      <c r="B28" s="25">
        <v>2475.0</v>
      </c>
    </row>
    <row r="29">
      <c r="A29" s="24" t="s">
        <v>744</v>
      </c>
      <c r="B29" s="25">
        <v>120.15</v>
      </c>
    </row>
    <row r="30">
      <c r="A30" s="24" t="s">
        <v>679</v>
      </c>
      <c r="B30" s="25">
        <v>521.66</v>
      </c>
    </row>
    <row r="31">
      <c r="A31" s="24" t="s">
        <v>670</v>
      </c>
      <c r="B31" s="25">
        <v>1623.23</v>
      </c>
    </row>
    <row r="32">
      <c r="A32" s="24" t="s">
        <v>382</v>
      </c>
      <c r="B32" s="25">
        <f>SUM(B2:B31)</f>
        <v>82022.68</v>
      </c>
    </row>
    <row r="33">
      <c r="A33" s="24"/>
      <c r="B33" s="25"/>
    </row>
    <row r="34">
      <c r="A34" s="24"/>
      <c r="B34" s="25"/>
    </row>
    <row r="35">
      <c r="A35" s="24"/>
      <c r="B35" s="25"/>
    </row>
    <row r="36">
      <c r="A36" s="24"/>
      <c r="B36" s="25"/>
    </row>
    <row r="37">
      <c r="A37" s="24"/>
      <c r="B37" s="25"/>
    </row>
    <row r="38">
      <c r="A38" s="24"/>
      <c r="B38" s="25"/>
    </row>
    <row r="39">
      <c r="A39" s="24"/>
      <c r="B39" s="25"/>
    </row>
    <row r="40">
      <c r="A40" s="24"/>
      <c r="B40" s="26"/>
    </row>
    <row r="41">
      <c r="A41" s="27"/>
      <c r="B41" s="26"/>
    </row>
    <row r="42">
      <c r="A42" s="27"/>
      <c r="B42" s="26"/>
    </row>
    <row r="43">
      <c r="A43" s="27"/>
      <c r="B43" s="26"/>
    </row>
    <row r="44">
      <c r="A44" s="27"/>
      <c r="B44" s="26"/>
    </row>
    <row r="45">
      <c r="A45" s="27"/>
      <c r="B45" s="26"/>
    </row>
    <row r="46">
      <c r="A46" s="27"/>
      <c r="B46" s="26"/>
    </row>
    <row r="47">
      <c r="A47" s="27"/>
      <c r="B47" s="26"/>
    </row>
    <row r="48">
      <c r="A48" s="27"/>
      <c r="B48" s="26"/>
    </row>
    <row r="49">
      <c r="A49" s="27"/>
      <c r="B49" s="26"/>
    </row>
    <row r="50">
      <c r="A50" s="27"/>
      <c r="B50" s="26"/>
    </row>
    <row r="51">
      <c r="A51" s="27"/>
      <c r="B51" s="26"/>
    </row>
    <row r="52">
      <c r="A52" s="27"/>
      <c r="B52" s="26"/>
    </row>
    <row r="53">
      <c r="A53" s="27"/>
      <c r="B53" s="26"/>
    </row>
    <row r="54">
      <c r="A54" s="27"/>
      <c r="B54" s="26"/>
    </row>
    <row r="55">
      <c r="A55" s="27"/>
      <c r="B55" s="26"/>
    </row>
    <row r="56">
      <c r="A56" s="27"/>
      <c r="B56" s="26"/>
    </row>
    <row r="57">
      <c r="A57" s="27"/>
      <c r="B57" s="26"/>
    </row>
    <row r="58">
      <c r="A58" s="27"/>
      <c r="B58" s="26"/>
    </row>
    <row r="59">
      <c r="A59" s="27"/>
      <c r="B59" s="26"/>
    </row>
    <row r="60">
      <c r="A60" s="27"/>
      <c r="B60" s="26"/>
    </row>
    <row r="61">
      <c r="A61" s="27"/>
      <c r="B61" s="26"/>
    </row>
    <row r="62">
      <c r="A62" s="27"/>
      <c r="B62" s="26"/>
    </row>
    <row r="63">
      <c r="A63" s="27"/>
      <c r="B63" s="26"/>
    </row>
    <row r="64">
      <c r="A64" s="27"/>
      <c r="B64" s="26"/>
    </row>
    <row r="65">
      <c r="A65" s="27"/>
      <c r="B65" s="26"/>
    </row>
    <row r="66">
      <c r="A66" s="27"/>
      <c r="B66" s="26"/>
    </row>
    <row r="67">
      <c r="A67" s="27"/>
      <c r="B67" s="26"/>
    </row>
    <row r="68">
      <c r="A68" s="27"/>
      <c r="B68" s="26"/>
    </row>
    <row r="69">
      <c r="A69" s="27"/>
      <c r="B69" s="26"/>
    </row>
    <row r="70">
      <c r="A70" s="27"/>
      <c r="B70" s="26"/>
    </row>
    <row r="71">
      <c r="A71" s="27"/>
      <c r="B71" s="26"/>
    </row>
    <row r="72">
      <c r="A72" s="27"/>
      <c r="B72" s="26"/>
    </row>
    <row r="73">
      <c r="A73" s="27"/>
      <c r="B73" s="26"/>
    </row>
    <row r="74">
      <c r="A74" s="27"/>
      <c r="B74" s="26"/>
    </row>
    <row r="75">
      <c r="A75" s="27"/>
      <c r="B75" s="26"/>
    </row>
    <row r="76">
      <c r="A76" s="27"/>
      <c r="B76" s="26"/>
    </row>
    <row r="77">
      <c r="A77" s="27"/>
      <c r="B77" s="26"/>
    </row>
    <row r="78">
      <c r="A78" s="27"/>
      <c r="B78" s="26"/>
    </row>
    <row r="79">
      <c r="A79" s="27"/>
      <c r="B79" s="26"/>
    </row>
    <row r="80">
      <c r="A80" s="27"/>
      <c r="B80" s="26"/>
    </row>
    <row r="81">
      <c r="A81" s="27"/>
      <c r="B81" s="26"/>
    </row>
    <row r="82">
      <c r="A82" s="27"/>
      <c r="B82" s="26"/>
    </row>
    <row r="83">
      <c r="A83" s="27"/>
      <c r="B83" s="26"/>
    </row>
    <row r="84">
      <c r="A84" s="27"/>
      <c r="B84" s="26"/>
    </row>
    <row r="85">
      <c r="A85" s="27"/>
      <c r="B85" s="26"/>
    </row>
    <row r="86">
      <c r="A86" s="27"/>
      <c r="B86" s="26"/>
    </row>
    <row r="87">
      <c r="A87" s="27"/>
      <c r="B87" s="26"/>
    </row>
    <row r="88">
      <c r="A88" s="27"/>
      <c r="B88" s="26"/>
    </row>
    <row r="89">
      <c r="A89" s="27"/>
      <c r="B89" s="26"/>
    </row>
    <row r="90">
      <c r="A90" s="27"/>
      <c r="B90" s="26"/>
    </row>
    <row r="91">
      <c r="A91" s="27"/>
      <c r="B91" s="26"/>
    </row>
    <row r="92">
      <c r="A92" s="27"/>
      <c r="B92" s="26"/>
    </row>
    <row r="93">
      <c r="A93" s="27"/>
      <c r="B93" s="26"/>
    </row>
    <row r="94">
      <c r="A94" s="27"/>
      <c r="B94" s="26"/>
    </row>
    <row r="95">
      <c r="A95" s="27"/>
      <c r="B95" s="26"/>
    </row>
    <row r="96">
      <c r="A96" s="27"/>
      <c r="B96" s="26"/>
    </row>
    <row r="97">
      <c r="A97" s="27"/>
      <c r="B97" s="26"/>
    </row>
    <row r="98">
      <c r="A98" s="27"/>
      <c r="B98" s="26"/>
    </row>
    <row r="99">
      <c r="A99" s="27"/>
      <c r="B99" s="26"/>
    </row>
    <row r="100">
      <c r="A100" s="27"/>
      <c r="B100" s="26"/>
    </row>
    <row r="101">
      <c r="A101" s="27"/>
      <c r="B101" s="26"/>
    </row>
    <row r="102">
      <c r="A102" s="27"/>
      <c r="B102" s="26"/>
    </row>
    <row r="103">
      <c r="A103" s="27"/>
      <c r="B103" s="26"/>
    </row>
    <row r="104">
      <c r="A104" s="27"/>
      <c r="B104" s="26"/>
    </row>
    <row r="105">
      <c r="A105" s="27"/>
      <c r="B105" s="26"/>
    </row>
    <row r="106">
      <c r="A106" s="27"/>
      <c r="B106" s="26"/>
    </row>
    <row r="107">
      <c r="A107" s="27"/>
      <c r="B107" s="26"/>
    </row>
    <row r="108">
      <c r="A108" s="27"/>
      <c r="B108" s="26"/>
    </row>
    <row r="109">
      <c r="A109" s="27"/>
      <c r="B109" s="26"/>
    </row>
    <row r="110">
      <c r="A110" s="27"/>
      <c r="B110" s="26"/>
    </row>
    <row r="111">
      <c r="A111" s="27"/>
      <c r="B111" s="26"/>
    </row>
    <row r="112">
      <c r="A112" s="27"/>
      <c r="B112" s="26"/>
    </row>
    <row r="113">
      <c r="A113" s="27"/>
      <c r="B113" s="26"/>
    </row>
    <row r="114">
      <c r="A114" s="27"/>
      <c r="B114" s="26"/>
    </row>
    <row r="115">
      <c r="A115" s="27"/>
      <c r="B115" s="26"/>
    </row>
    <row r="116">
      <c r="A116" s="27"/>
      <c r="B116" s="26"/>
    </row>
    <row r="117">
      <c r="A117" s="27"/>
      <c r="B117" s="26"/>
    </row>
    <row r="118">
      <c r="A118" s="27"/>
      <c r="B118" s="26"/>
    </row>
    <row r="119">
      <c r="A119" s="27"/>
      <c r="B119" s="26"/>
    </row>
    <row r="120">
      <c r="A120" s="27"/>
      <c r="B120" s="26"/>
    </row>
    <row r="121">
      <c r="A121" s="27"/>
      <c r="B121" s="26"/>
    </row>
    <row r="122">
      <c r="A122" s="27"/>
      <c r="B122" s="26"/>
    </row>
    <row r="123">
      <c r="A123" s="27"/>
      <c r="B123" s="26"/>
    </row>
    <row r="124">
      <c r="A124" s="27"/>
      <c r="B124" s="26"/>
    </row>
    <row r="125">
      <c r="A125" s="27"/>
      <c r="B125" s="26"/>
    </row>
    <row r="126">
      <c r="A126" s="27"/>
      <c r="B126" s="26"/>
    </row>
    <row r="127">
      <c r="A127" s="27"/>
      <c r="B127" s="26"/>
    </row>
    <row r="128">
      <c r="A128" s="27"/>
      <c r="B128" s="26"/>
    </row>
    <row r="129">
      <c r="A129" s="27"/>
      <c r="B129" s="26"/>
    </row>
    <row r="130">
      <c r="A130" s="27"/>
      <c r="B130" s="26"/>
    </row>
    <row r="131">
      <c r="A131" s="27"/>
      <c r="B131" s="26"/>
    </row>
    <row r="132">
      <c r="A132" s="27"/>
      <c r="B132" s="26"/>
    </row>
    <row r="133">
      <c r="A133" s="27"/>
      <c r="B133" s="26"/>
    </row>
    <row r="134">
      <c r="A134" s="27"/>
      <c r="B134" s="26"/>
    </row>
    <row r="135">
      <c r="A135" s="27"/>
      <c r="B135" s="26"/>
    </row>
    <row r="136">
      <c r="A136" s="27"/>
      <c r="B136" s="26"/>
    </row>
    <row r="137">
      <c r="A137" s="27"/>
      <c r="B137" s="26"/>
    </row>
    <row r="138">
      <c r="A138" s="27"/>
      <c r="B138" s="26"/>
    </row>
    <row r="139">
      <c r="A139" s="27"/>
      <c r="B139" s="26"/>
    </row>
    <row r="140">
      <c r="A140" s="27"/>
      <c r="B140" s="26"/>
    </row>
    <row r="141">
      <c r="A141" s="27"/>
      <c r="B141" s="26"/>
    </row>
    <row r="142">
      <c r="A142" s="27"/>
      <c r="B142" s="26"/>
    </row>
    <row r="143">
      <c r="A143" s="27"/>
      <c r="B143" s="26"/>
    </row>
    <row r="144">
      <c r="A144" s="27"/>
      <c r="B144" s="26"/>
    </row>
    <row r="145">
      <c r="A145" s="27"/>
      <c r="B145" s="26"/>
    </row>
    <row r="146">
      <c r="A146" s="27"/>
      <c r="B146" s="26"/>
    </row>
    <row r="147">
      <c r="A147" s="27"/>
      <c r="B147" s="26"/>
    </row>
    <row r="148">
      <c r="A148" s="27"/>
      <c r="B148" s="26"/>
    </row>
    <row r="149">
      <c r="A149" s="27"/>
      <c r="B149" s="26"/>
    </row>
    <row r="150">
      <c r="A150" s="27"/>
      <c r="B150" s="26"/>
    </row>
    <row r="151">
      <c r="A151" s="27"/>
      <c r="B151" s="26"/>
    </row>
    <row r="152">
      <c r="A152" s="27"/>
      <c r="B152" s="26"/>
    </row>
    <row r="153">
      <c r="A153" s="27"/>
      <c r="B153" s="26"/>
    </row>
    <row r="154">
      <c r="A154" s="27"/>
      <c r="B154" s="26"/>
    </row>
    <row r="155">
      <c r="A155" s="27"/>
      <c r="B155" s="26"/>
    </row>
    <row r="156">
      <c r="A156" s="27"/>
      <c r="B156" s="26"/>
    </row>
    <row r="157">
      <c r="A157" s="27"/>
      <c r="B157" s="26"/>
    </row>
    <row r="158">
      <c r="A158" s="27"/>
      <c r="B158" s="26"/>
    </row>
    <row r="159">
      <c r="A159" s="27"/>
      <c r="B159" s="26"/>
    </row>
    <row r="160">
      <c r="A160" s="27"/>
      <c r="B160" s="26"/>
    </row>
    <row r="161">
      <c r="A161" s="27"/>
      <c r="B161" s="26"/>
    </row>
    <row r="162">
      <c r="A162" s="27"/>
      <c r="B162" s="26"/>
    </row>
    <row r="163">
      <c r="A163" s="27"/>
      <c r="B163" s="26"/>
    </row>
    <row r="164">
      <c r="A164" s="27"/>
      <c r="B164" s="26"/>
    </row>
    <row r="165">
      <c r="A165" s="27"/>
      <c r="B165" s="26"/>
    </row>
    <row r="166">
      <c r="A166" s="27"/>
      <c r="B166" s="26"/>
    </row>
    <row r="167">
      <c r="A167" s="27"/>
      <c r="B167" s="26"/>
    </row>
    <row r="168">
      <c r="A168" s="27"/>
      <c r="B168" s="26"/>
    </row>
    <row r="169">
      <c r="A169" s="27"/>
      <c r="B169" s="26"/>
    </row>
    <row r="170">
      <c r="A170" s="27"/>
      <c r="B170" s="26"/>
    </row>
    <row r="171">
      <c r="A171" s="27"/>
      <c r="B171" s="26"/>
    </row>
    <row r="172">
      <c r="A172" s="27"/>
      <c r="B172" s="26"/>
    </row>
    <row r="173">
      <c r="A173" s="27"/>
      <c r="B173" s="26"/>
    </row>
    <row r="174">
      <c r="A174" s="27"/>
      <c r="B174" s="26"/>
    </row>
    <row r="175">
      <c r="A175" s="27"/>
      <c r="B175" s="26"/>
    </row>
    <row r="176">
      <c r="A176" s="27"/>
      <c r="B176" s="26"/>
    </row>
    <row r="177">
      <c r="A177" s="27"/>
      <c r="B177" s="26"/>
    </row>
    <row r="178">
      <c r="A178" s="27"/>
      <c r="B178" s="26"/>
    </row>
    <row r="179">
      <c r="A179" s="27"/>
      <c r="B179" s="26"/>
    </row>
    <row r="180">
      <c r="A180" s="27"/>
      <c r="B180" s="26"/>
    </row>
    <row r="181">
      <c r="A181" s="27"/>
      <c r="B181" s="26"/>
    </row>
    <row r="182">
      <c r="A182" s="27"/>
      <c r="B182" s="26"/>
    </row>
    <row r="183">
      <c r="A183" s="27"/>
      <c r="B183" s="26"/>
    </row>
    <row r="184">
      <c r="A184" s="27"/>
      <c r="B184" s="26"/>
    </row>
    <row r="185">
      <c r="A185" s="27"/>
      <c r="B185" s="26"/>
    </row>
    <row r="186">
      <c r="A186" s="27"/>
      <c r="B186" s="26"/>
    </row>
    <row r="187">
      <c r="A187" s="27"/>
      <c r="B187" s="26"/>
    </row>
    <row r="188">
      <c r="A188" s="27"/>
      <c r="B188" s="26"/>
    </row>
    <row r="189">
      <c r="A189" s="27"/>
      <c r="B189" s="26"/>
    </row>
    <row r="190">
      <c r="A190" s="27"/>
      <c r="B190" s="26"/>
    </row>
    <row r="191">
      <c r="A191" s="27"/>
      <c r="B191" s="26"/>
    </row>
    <row r="192">
      <c r="A192" s="27"/>
      <c r="B192" s="26"/>
    </row>
    <row r="193">
      <c r="A193" s="27"/>
      <c r="B193" s="26"/>
    </row>
    <row r="194">
      <c r="A194" s="27"/>
      <c r="B194" s="26"/>
    </row>
    <row r="195">
      <c r="A195" s="27"/>
      <c r="B195" s="26"/>
    </row>
    <row r="196">
      <c r="A196" s="27"/>
      <c r="B196" s="26"/>
    </row>
    <row r="197">
      <c r="A197" s="27"/>
      <c r="B197" s="26"/>
    </row>
    <row r="198">
      <c r="A198" s="27"/>
      <c r="B198" s="26"/>
    </row>
    <row r="199">
      <c r="A199" s="27"/>
      <c r="B199" s="26"/>
    </row>
    <row r="200">
      <c r="A200" s="27"/>
      <c r="B200" s="26"/>
    </row>
    <row r="201">
      <c r="A201" s="27"/>
      <c r="B201" s="26"/>
    </row>
    <row r="202">
      <c r="A202" s="27"/>
      <c r="B202" s="26"/>
    </row>
    <row r="203">
      <c r="A203" s="27"/>
      <c r="B203" s="26"/>
    </row>
    <row r="204">
      <c r="A204" s="27"/>
      <c r="B204" s="26"/>
    </row>
    <row r="205">
      <c r="A205" s="27"/>
      <c r="B205" s="26"/>
    </row>
    <row r="206">
      <c r="A206" s="27"/>
      <c r="B206" s="26"/>
    </row>
    <row r="207">
      <c r="A207" s="27"/>
      <c r="B207" s="26"/>
    </row>
    <row r="208">
      <c r="A208" s="27"/>
      <c r="B208" s="26"/>
    </row>
    <row r="209">
      <c r="A209" s="27"/>
      <c r="B209" s="26"/>
    </row>
    <row r="210">
      <c r="A210" s="27"/>
      <c r="B210" s="26"/>
    </row>
    <row r="211">
      <c r="A211" s="27"/>
      <c r="B211" s="26"/>
    </row>
    <row r="212">
      <c r="A212" s="27"/>
      <c r="B212" s="26"/>
    </row>
    <row r="213">
      <c r="A213" s="27"/>
      <c r="B213" s="26"/>
    </row>
    <row r="214">
      <c r="A214" s="27"/>
      <c r="B214" s="26"/>
    </row>
    <row r="215">
      <c r="A215" s="27"/>
      <c r="B215" s="26"/>
    </row>
    <row r="216">
      <c r="A216" s="27"/>
      <c r="B216" s="26"/>
    </row>
    <row r="217">
      <c r="A217" s="27"/>
      <c r="B217" s="26"/>
    </row>
    <row r="218">
      <c r="A218" s="27"/>
      <c r="B218" s="26"/>
    </row>
    <row r="219">
      <c r="A219" s="27"/>
      <c r="B219" s="26"/>
    </row>
    <row r="220">
      <c r="A220" s="27"/>
      <c r="B220" s="26"/>
    </row>
    <row r="221">
      <c r="A221" s="27"/>
      <c r="B221" s="26"/>
    </row>
    <row r="222">
      <c r="A222" s="27"/>
      <c r="B222" s="26"/>
    </row>
    <row r="223">
      <c r="A223" s="27"/>
      <c r="B223" s="26"/>
    </row>
    <row r="224">
      <c r="A224" s="27"/>
      <c r="B224" s="26"/>
    </row>
    <row r="225">
      <c r="A225" s="27"/>
      <c r="B225" s="26"/>
    </row>
    <row r="226">
      <c r="A226" s="27"/>
      <c r="B226" s="26"/>
    </row>
    <row r="227">
      <c r="A227" s="27"/>
      <c r="B227" s="26"/>
    </row>
    <row r="228">
      <c r="A228" s="27"/>
      <c r="B228" s="26"/>
    </row>
    <row r="229">
      <c r="A229" s="27"/>
      <c r="B229" s="26"/>
    </row>
    <row r="230">
      <c r="A230" s="27"/>
      <c r="B230" s="26"/>
    </row>
    <row r="231">
      <c r="A231" s="27"/>
      <c r="B231" s="26"/>
    </row>
    <row r="232">
      <c r="A232" s="27"/>
      <c r="B232" s="26"/>
    </row>
    <row r="233">
      <c r="A233" s="27"/>
      <c r="B233" s="26"/>
    </row>
    <row r="234">
      <c r="A234" s="27"/>
      <c r="B234" s="26"/>
    </row>
    <row r="235">
      <c r="A235" s="27"/>
      <c r="B235" s="26"/>
    </row>
    <row r="236">
      <c r="A236" s="27"/>
      <c r="B236" s="26"/>
    </row>
    <row r="237">
      <c r="A237" s="27"/>
      <c r="B237" s="26"/>
    </row>
    <row r="238">
      <c r="A238" s="27"/>
      <c r="B238" s="26"/>
    </row>
    <row r="239">
      <c r="A239" s="27"/>
      <c r="B239" s="26"/>
    </row>
    <row r="240">
      <c r="A240" s="27"/>
      <c r="B240" s="26"/>
    </row>
    <row r="241">
      <c r="A241" s="27"/>
      <c r="B241" s="26"/>
    </row>
    <row r="242">
      <c r="A242" s="27"/>
      <c r="B242" s="26"/>
    </row>
    <row r="243">
      <c r="A243" s="27"/>
      <c r="B243" s="26"/>
    </row>
    <row r="244">
      <c r="A244" s="27"/>
      <c r="B244" s="26"/>
    </row>
    <row r="245">
      <c r="A245" s="27"/>
      <c r="B245" s="26"/>
    </row>
    <row r="246">
      <c r="A246" s="27"/>
      <c r="B246" s="26"/>
    </row>
    <row r="247">
      <c r="A247" s="27"/>
      <c r="B247" s="26"/>
    </row>
    <row r="248">
      <c r="A248" s="27"/>
      <c r="B248" s="26"/>
    </row>
    <row r="249">
      <c r="A249" s="27"/>
      <c r="B249" s="26"/>
    </row>
    <row r="250">
      <c r="A250" s="27"/>
      <c r="B250" s="26"/>
    </row>
    <row r="251">
      <c r="A251" s="27"/>
      <c r="B251" s="26"/>
    </row>
    <row r="252">
      <c r="A252" s="27"/>
      <c r="B252" s="26"/>
    </row>
    <row r="253">
      <c r="A253" s="27"/>
      <c r="B253" s="26"/>
    </row>
    <row r="254">
      <c r="A254" s="27"/>
      <c r="B254" s="26"/>
    </row>
    <row r="255">
      <c r="A255" s="27"/>
      <c r="B255" s="26"/>
    </row>
    <row r="256">
      <c r="A256" s="27"/>
      <c r="B256" s="26"/>
    </row>
    <row r="257">
      <c r="A257" s="27"/>
      <c r="B257" s="26"/>
    </row>
    <row r="258">
      <c r="A258" s="27"/>
      <c r="B258" s="26"/>
    </row>
    <row r="259">
      <c r="A259" s="27"/>
      <c r="B259" s="26"/>
    </row>
    <row r="260">
      <c r="A260" s="27"/>
      <c r="B260" s="26"/>
    </row>
    <row r="261">
      <c r="A261" s="27"/>
      <c r="B261" s="26"/>
    </row>
    <row r="262">
      <c r="A262" s="27"/>
      <c r="B262" s="26"/>
    </row>
    <row r="263">
      <c r="A263" s="27"/>
      <c r="B263" s="26"/>
    </row>
    <row r="264">
      <c r="A264" s="27"/>
      <c r="B264" s="26"/>
    </row>
    <row r="265">
      <c r="A265" s="27"/>
      <c r="B265" s="26"/>
    </row>
    <row r="266">
      <c r="A266" s="27"/>
      <c r="B266" s="26"/>
    </row>
    <row r="267">
      <c r="A267" s="27"/>
      <c r="B267" s="26"/>
    </row>
    <row r="268">
      <c r="A268" s="27"/>
      <c r="B268" s="26"/>
    </row>
    <row r="269">
      <c r="A269" s="27"/>
      <c r="B269" s="26"/>
    </row>
    <row r="270">
      <c r="A270" s="27"/>
      <c r="B270" s="26"/>
    </row>
    <row r="271">
      <c r="A271" s="27"/>
      <c r="B271" s="26"/>
    </row>
    <row r="272">
      <c r="A272" s="27"/>
      <c r="B272" s="26"/>
    </row>
    <row r="273">
      <c r="A273" s="27"/>
      <c r="B273" s="26"/>
    </row>
    <row r="274">
      <c r="A274" s="27"/>
      <c r="B274" s="26"/>
    </row>
    <row r="275">
      <c r="A275" s="27"/>
      <c r="B275" s="26"/>
    </row>
    <row r="276">
      <c r="A276" s="27"/>
      <c r="B276" s="26"/>
    </row>
    <row r="277">
      <c r="A277" s="27"/>
      <c r="B277" s="26"/>
    </row>
    <row r="278">
      <c r="A278" s="27"/>
      <c r="B278" s="26"/>
    </row>
    <row r="279">
      <c r="A279" s="27"/>
      <c r="B279" s="26"/>
    </row>
    <row r="280">
      <c r="A280" s="27"/>
      <c r="B280" s="26"/>
    </row>
    <row r="281">
      <c r="A281" s="27"/>
      <c r="B281" s="26"/>
    </row>
    <row r="282">
      <c r="A282" s="27"/>
      <c r="B282" s="26"/>
    </row>
    <row r="283">
      <c r="A283" s="27"/>
      <c r="B283" s="26"/>
    </row>
    <row r="284">
      <c r="A284" s="27"/>
      <c r="B284" s="26"/>
    </row>
    <row r="285">
      <c r="A285" s="27"/>
      <c r="B285" s="26"/>
    </row>
    <row r="286">
      <c r="A286" s="27"/>
      <c r="B286" s="26"/>
    </row>
    <row r="287">
      <c r="A287" s="27"/>
      <c r="B287" s="26"/>
    </row>
    <row r="288">
      <c r="A288" s="27"/>
      <c r="B288" s="26"/>
    </row>
    <row r="289">
      <c r="A289" s="27"/>
      <c r="B289" s="26"/>
    </row>
    <row r="290">
      <c r="A290" s="27"/>
      <c r="B290" s="26"/>
    </row>
    <row r="291">
      <c r="A291" s="27"/>
      <c r="B291" s="26"/>
    </row>
    <row r="292">
      <c r="A292" s="27"/>
      <c r="B292" s="26"/>
    </row>
    <row r="293">
      <c r="A293" s="27"/>
      <c r="B293" s="26"/>
    </row>
    <row r="294">
      <c r="A294" s="27"/>
      <c r="B294" s="26"/>
    </row>
    <row r="295">
      <c r="A295" s="27"/>
      <c r="B295" s="26"/>
    </row>
    <row r="296">
      <c r="A296" s="27"/>
      <c r="B296" s="26"/>
    </row>
    <row r="297">
      <c r="A297" s="27"/>
      <c r="B297" s="26"/>
    </row>
    <row r="298">
      <c r="A298" s="27"/>
      <c r="B298" s="26"/>
    </row>
    <row r="299">
      <c r="A299" s="27"/>
      <c r="B299" s="26"/>
    </row>
    <row r="300">
      <c r="A300" s="27"/>
      <c r="B300" s="26"/>
    </row>
    <row r="301">
      <c r="A301" s="27"/>
      <c r="B301" s="26"/>
    </row>
    <row r="302">
      <c r="A302" s="27"/>
      <c r="B302" s="26"/>
    </row>
    <row r="303">
      <c r="A303" s="27"/>
      <c r="B303" s="26"/>
    </row>
    <row r="304">
      <c r="A304" s="27"/>
      <c r="B304" s="26"/>
    </row>
    <row r="305">
      <c r="A305" s="27"/>
      <c r="B305" s="26"/>
    </row>
    <row r="306">
      <c r="A306" s="27"/>
      <c r="B306" s="26"/>
    </row>
    <row r="307">
      <c r="A307" s="27"/>
      <c r="B307" s="26"/>
    </row>
    <row r="308">
      <c r="A308" s="27"/>
      <c r="B308" s="26"/>
    </row>
    <row r="309">
      <c r="A309" s="27"/>
      <c r="B309" s="26"/>
    </row>
    <row r="310">
      <c r="A310" s="27"/>
      <c r="B310" s="26"/>
    </row>
    <row r="311">
      <c r="A311" s="27"/>
      <c r="B311" s="26"/>
    </row>
    <row r="312">
      <c r="A312" s="27"/>
      <c r="B312" s="26"/>
    </row>
    <row r="313">
      <c r="A313" s="27"/>
      <c r="B313" s="26"/>
    </row>
    <row r="314">
      <c r="A314" s="27"/>
      <c r="B314" s="26"/>
    </row>
    <row r="315">
      <c r="A315" s="27"/>
      <c r="B315" s="26"/>
    </row>
    <row r="316">
      <c r="A316" s="27"/>
      <c r="B316" s="26"/>
    </row>
    <row r="317">
      <c r="A317" s="27"/>
      <c r="B317" s="26"/>
    </row>
    <row r="318">
      <c r="A318" s="27"/>
      <c r="B318" s="26"/>
    </row>
    <row r="319">
      <c r="A319" s="27"/>
      <c r="B319" s="26"/>
    </row>
    <row r="320">
      <c r="A320" s="27"/>
      <c r="B320" s="26"/>
    </row>
    <row r="321">
      <c r="A321" s="27"/>
      <c r="B321" s="26"/>
    </row>
    <row r="322">
      <c r="A322" s="27"/>
      <c r="B322" s="26"/>
    </row>
    <row r="323">
      <c r="A323" s="27"/>
      <c r="B323" s="26"/>
    </row>
    <row r="324">
      <c r="A324" s="27"/>
      <c r="B324" s="26"/>
    </row>
    <row r="325">
      <c r="A325" s="27"/>
      <c r="B325" s="26"/>
    </row>
    <row r="326">
      <c r="A326" s="27"/>
      <c r="B326" s="26"/>
    </row>
    <row r="327">
      <c r="A327" s="27"/>
      <c r="B327" s="26"/>
    </row>
    <row r="328">
      <c r="A328" s="27"/>
      <c r="B328" s="26"/>
    </row>
    <row r="329">
      <c r="A329" s="27"/>
      <c r="B329" s="26"/>
    </row>
    <row r="330">
      <c r="A330" s="27"/>
      <c r="B330" s="26"/>
    </row>
    <row r="331">
      <c r="A331" s="27"/>
      <c r="B331" s="26"/>
    </row>
    <row r="332">
      <c r="A332" s="27"/>
      <c r="B332" s="26"/>
    </row>
    <row r="333">
      <c r="A333" s="27"/>
      <c r="B333" s="26"/>
    </row>
    <row r="334">
      <c r="A334" s="27"/>
      <c r="B334" s="26"/>
    </row>
    <row r="335">
      <c r="A335" s="27"/>
      <c r="B335" s="26"/>
    </row>
    <row r="336">
      <c r="A336" s="27"/>
      <c r="B336" s="26"/>
    </row>
    <row r="337">
      <c r="A337" s="27"/>
      <c r="B337" s="26"/>
    </row>
    <row r="338">
      <c r="A338" s="27"/>
      <c r="B338" s="26"/>
    </row>
    <row r="339">
      <c r="A339" s="27"/>
      <c r="B339" s="26"/>
    </row>
    <row r="340">
      <c r="A340" s="27"/>
      <c r="B340" s="26"/>
    </row>
    <row r="341">
      <c r="A341" s="27"/>
      <c r="B341" s="26"/>
    </row>
    <row r="342">
      <c r="A342" s="27"/>
      <c r="B342" s="26"/>
    </row>
    <row r="343">
      <c r="A343" s="27"/>
      <c r="B343" s="26"/>
    </row>
    <row r="344">
      <c r="A344" s="27"/>
      <c r="B344" s="26"/>
    </row>
    <row r="345">
      <c r="A345" s="27"/>
      <c r="B345" s="26"/>
    </row>
    <row r="346">
      <c r="A346" s="27"/>
      <c r="B346" s="26"/>
    </row>
    <row r="347">
      <c r="A347" s="27"/>
      <c r="B347" s="26"/>
    </row>
    <row r="348">
      <c r="A348" s="27"/>
      <c r="B348" s="26"/>
    </row>
    <row r="349">
      <c r="A349" s="27"/>
      <c r="B349" s="26"/>
    </row>
    <row r="350">
      <c r="A350" s="27"/>
      <c r="B350" s="26"/>
    </row>
    <row r="351">
      <c r="A351" s="27"/>
      <c r="B351" s="26"/>
    </row>
    <row r="352">
      <c r="A352" s="27"/>
      <c r="B352" s="26"/>
    </row>
    <row r="353">
      <c r="A353" s="27"/>
      <c r="B353" s="26"/>
    </row>
    <row r="354">
      <c r="A354" s="27"/>
      <c r="B354" s="26"/>
    </row>
    <row r="355">
      <c r="A355" s="27"/>
      <c r="B355" s="26"/>
    </row>
    <row r="356">
      <c r="A356" s="27"/>
      <c r="B356" s="26"/>
    </row>
    <row r="357">
      <c r="A357" s="27"/>
      <c r="B357" s="26"/>
    </row>
    <row r="358">
      <c r="A358" s="27"/>
      <c r="B358" s="26"/>
    </row>
    <row r="359">
      <c r="A359" s="27"/>
      <c r="B359" s="26"/>
    </row>
    <row r="360">
      <c r="A360" s="27"/>
      <c r="B360" s="26"/>
    </row>
    <row r="361">
      <c r="A361" s="27"/>
      <c r="B361" s="26"/>
    </row>
    <row r="362">
      <c r="A362" s="27"/>
      <c r="B362" s="26"/>
    </row>
    <row r="363">
      <c r="A363" s="27"/>
      <c r="B363" s="26"/>
    </row>
    <row r="364">
      <c r="A364" s="27"/>
      <c r="B364" s="26"/>
    </row>
    <row r="365">
      <c r="A365" s="27"/>
      <c r="B365" s="26"/>
    </row>
    <row r="366">
      <c r="A366" s="27"/>
      <c r="B366" s="26"/>
    </row>
    <row r="367">
      <c r="A367" s="27"/>
      <c r="B367" s="26"/>
    </row>
    <row r="368">
      <c r="A368" s="27"/>
      <c r="B368" s="26"/>
    </row>
    <row r="369">
      <c r="A369" s="27"/>
      <c r="B369" s="26"/>
    </row>
    <row r="370">
      <c r="A370" s="27"/>
      <c r="B370" s="26"/>
    </row>
    <row r="371">
      <c r="A371" s="27"/>
      <c r="B371" s="26"/>
    </row>
    <row r="372">
      <c r="A372" s="27"/>
      <c r="B372" s="26"/>
    </row>
    <row r="373">
      <c r="A373" s="27"/>
      <c r="B373" s="26"/>
    </row>
    <row r="374">
      <c r="A374" s="27"/>
      <c r="B374" s="26"/>
    </row>
    <row r="375">
      <c r="A375" s="27"/>
      <c r="B375" s="26"/>
    </row>
    <row r="376">
      <c r="A376" s="27"/>
      <c r="B376" s="26"/>
    </row>
    <row r="377">
      <c r="A377" s="27"/>
      <c r="B377" s="26"/>
    </row>
    <row r="378">
      <c r="A378" s="27"/>
      <c r="B378" s="26"/>
    </row>
    <row r="379">
      <c r="A379" s="27"/>
      <c r="B379" s="26"/>
    </row>
    <row r="380">
      <c r="A380" s="27"/>
      <c r="B380" s="26"/>
    </row>
    <row r="381">
      <c r="A381" s="27"/>
      <c r="B381" s="26"/>
    </row>
    <row r="382">
      <c r="A382" s="27"/>
      <c r="B382" s="26"/>
    </row>
    <row r="383">
      <c r="A383" s="27"/>
      <c r="B383" s="26"/>
    </row>
    <row r="384">
      <c r="A384" s="27"/>
      <c r="B384" s="26"/>
    </row>
    <row r="385">
      <c r="A385" s="27"/>
      <c r="B385" s="26"/>
    </row>
    <row r="386">
      <c r="A386" s="27"/>
      <c r="B386" s="26"/>
    </row>
    <row r="387">
      <c r="A387" s="27"/>
      <c r="B387" s="26"/>
    </row>
    <row r="388">
      <c r="A388" s="27"/>
      <c r="B388" s="26"/>
    </row>
    <row r="389">
      <c r="A389" s="27"/>
      <c r="B389" s="26"/>
    </row>
    <row r="390">
      <c r="A390" s="27"/>
      <c r="B390" s="26"/>
    </row>
    <row r="391">
      <c r="A391" s="27"/>
      <c r="B391" s="26"/>
    </row>
    <row r="392">
      <c r="A392" s="27"/>
      <c r="B392" s="26"/>
    </row>
    <row r="393">
      <c r="A393" s="27"/>
      <c r="B393" s="26"/>
    </row>
    <row r="394">
      <c r="A394" s="27"/>
      <c r="B394" s="26"/>
    </row>
    <row r="395">
      <c r="A395" s="27"/>
      <c r="B395" s="26"/>
    </row>
    <row r="396">
      <c r="A396" s="27"/>
      <c r="B396" s="26"/>
    </row>
    <row r="397">
      <c r="A397" s="27"/>
      <c r="B397" s="26"/>
    </row>
    <row r="398">
      <c r="A398" s="27"/>
      <c r="B398" s="26"/>
    </row>
    <row r="399">
      <c r="A399" s="27"/>
      <c r="B399" s="26"/>
    </row>
    <row r="400">
      <c r="A400" s="27"/>
      <c r="B400" s="26"/>
    </row>
    <row r="401">
      <c r="A401" s="27"/>
      <c r="B401" s="26"/>
    </row>
    <row r="402">
      <c r="A402" s="27"/>
      <c r="B402" s="26"/>
    </row>
    <row r="403">
      <c r="A403" s="27"/>
      <c r="B403" s="26"/>
    </row>
    <row r="404">
      <c r="A404" s="27"/>
      <c r="B404" s="26"/>
    </row>
    <row r="405">
      <c r="A405" s="27"/>
      <c r="B405" s="26"/>
    </row>
    <row r="406">
      <c r="A406" s="27"/>
      <c r="B406" s="26"/>
    </row>
    <row r="407">
      <c r="A407" s="27"/>
      <c r="B407" s="26"/>
    </row>
    <row r="408">
      <c r="A408" s="27"/>
      <c r="B408" s="26"/>
    </row>
    <row r="409">
      <c r="A409" s="27"/>
      <c r="B409" s="26"/>
    </row>
    <row r="410">
      <c r="A410" s="27"/>
      <c r="B410" s="26"/>
    </row>
    <row r="411">
      <c r="A411" s="27"/>
      <c r="B411" s="26"/>
    </row>
    <row r="412">
      <c r="A412" s="27"/>
      <c r="B412" s="26"/>
    </row>
    <row r="413">
      <c r="A413" s="27"/>
      <c r="B413" s="26"/>
    </row>
    <row r="414">
      <c r="A414" s="27"/>
      <c r="B414" s="26"/>
    </row>
    <row r="415">
      <c r="A415" s="27"/>
      <c r="B415" s="26"/>
    </row>
    <row r="416">
      <c r="A416" s="27"/>
      <c r="B416" s="26"/>
    </row>
    <row r="417">
      <c r="A417" s="27"/>
      <c r="B417" s="26"/>
    </row>
    <row r="418">
      <c r="A418" s="27"/>
      <c r="B418" s="26"/>
    </row>
    <row r="419">
      <c r="A419" s="27"/>
      <c r="B419" s="26"/>
    </row>
    <row r="420">
      <c r="A420" s="27"/>
      <c r="B420" s="26"/>
    </row>
    <row r="421">
      <c r="A421" s="27"/>
      <c r="B421" s="26"/>
    </row>
    <row r="422">
      <c r="A422" s="27"/>
      <c r="B422" s="26"/>
    </row>
    <row r="423">
      <c r="A423" s="27"/>
      <c r="B423" s="26"/>
    </row>
    <row r="424">
      <c r="A424" s="27"/>
      <c r="B424" s="26"/>
    </row>
    <row r="425">
      <c r="A425" s="27"/>
      <c r="B425" s="26"/>
    </row>
    <row r="426">
      <c r="A426" s="27"/>
      <c r="B426" s="26"/>
    </row>
    <row r="427">
      <c r="A427" s="27"/>
      <c r="B427" s="26"/>
    </row>
    <row r="428">
      <c r="A428" s="27"/>
      <c r="B428" s="26"/>
    </row>
    <row r="429">
      <c r="A429" s="27"/>
      <c r="B429" s="26"/>
    </row>
    <row r="430">
      <c r="A430" s="27"/>
      <c r="B430" s="26"/>
    </row>
    <row r="431">
      <c r="A431" s="27"/>
      <c r="B431" s="26"/>
    </row>
    <row r="432">
      <c r="A432" s="27"/>
      <c r="B432" s="26"/>
    </row>
    <row r="433">
      <c r="A433" s="27"/>
      <c r="B433" s="26"/>
    </row>
    <row r="434">
      <c r="A434" s="27"/>
      <c r="B434" s="26"/>
    </row>
    <row r="435">
      <c r="A435" s="27"/>
      <c r="B435" s="26"/>
    </row>
    <row r="436">
      <c r="A436" s="27"/>
      <c r="B436" s="26"/>
    </row>
    <row r="437">
      <c r="A437" s="27"/>
      <c r="B437" s="26"/>
    </row>
    <row r="438">
      <c r="A438" s="27"/>
      <c r="B438" s="26"/>
    </row>
    <row r="439">
      <c r="A439" s="27"/>
      <c r="B439" s="26"/>
    </row>
    <row r="440">
      <c r="A440" s="27"/>
      <c r="B440" s="26"/>
    </row>
    <row r="441">
      <c r="A441" s="27"/>
      <c r="B441" s="26"/>
    </row>
    <row r="442">
      <c r="A442" s="27"/>
      <c r="B442" s="26"/>
    </row>
    <row r="443">
      <c r="A443" s="27"/>
      <c r="B443" s="26"/>
    </row>
    <row r="444">
      <c r="A444" s="27"/>
      <c r="B444" s="26"/>
    </row>
    <row r="445">
      <c r="A445" s="27"/>
      <c r="B445" s="26"/>
    </row>
    <row r="446">
      <c r="A446" s="27"/>
      <c r="B446" s="26"/>
    </row>
    <row r="447">
      <c r="A447" s="27"/>
      <c r="B447" s="26"/>
    </row>
    <row r="448">
      <c r="A448" s="27"/>
      <c r="B448" s="26"/>
    </row>
    <row r="449">
      <c r="A449" s="27"/>
      <c r="B449" s="26"/>
    </row>
    <row r="450">
      <c r="A450" s="27"/>
      <c r="B450" s="26"/>
    </row>
    <row r="451">
      <c r="A451" s="27"/>
      <c r="B451" s="26"/>
    </row>
    <row r="452">
      <c r="A452" s="27"/>
      <c r="B452" s="26"/>
    </row>
    <row r="453">
      <c r="A453" s="27"/>
      <c r="B453" s="26"/>
    </row>
    <row r="454">
      <c r="A454" s="27"/>
      <c r="B454" s="26"/>
    </row>
    <row r="455">
      <c r="A455" s="27"/>
      <c r="B455" s="26"/>
    </row>
    <row r="456">
      <c r="A456" s="27"/>
      <c r="B456" s="26"/>
    </row>
    <row r="457">
      <c r="A457" s="27"/>
      <c r="B457" s="26"/>
    </row>
    <row r="458">
      <c r="A458" s="27"/>
      <c r="B458" s="26"/>
    </row>
    <row r="459">
      <c r="A459" s="27"/>
      <c r="B459" s="26"/>
    </row>
    <row r="460">
      <c r="A460" s="27"/>
      <c r="B460" s="26"/>
    </row>
    <row r="461">
      <c r="A461" s="27"/>
      <c r="B461" s="26"/>
    </row>
    <row r="462">
      <c r="A462" s="27"/>
      <c r="B462" s="26"/>
    </row>
    <row r="463">
      <c r="A463" s="27"/>
      <c r="B463" s="26"/>
    </row>
    <row r="464">
      <c r="A464" s="27"/>
      <c r="B464" s="26"/>
    </row>
    <row r="465">
      <c r="A465" s="27"/>
      <c r="B465" s="26"/>
    </row>
    <row r="466">
      <c r="A466" s="27"/>
      <c r="B466" s="26"/>
    </row>
    <row r="467">
      <c r="A467" s="27"/>
      <c r="B467" s="26"/>
    </row>
    <row r="468">
      <c r="A468" s="27"/>
      <c r="B468" s="26"/>
    </row>
    <row r="469">
      <c r="A469" s="27"/>
      <c r="B469" s="26"/>
    </row>
    <row r="470">
      <c r="A470" s="27"/>
      <c r="B470" s="26"/>
    </row>
    <row r="471">
      <c r="A471" s="27"/>
      <c r="B471" s="26"/>
    </row>
    <row r="472">
      <c r="A472" s="27"/>
      <c r="B472" s="26"/>
    </row>
    <row r="473">
      <c r="A473" s="27"/>
      <c r="B473" s="26"/>
    </row>
    <row r="474">
      <c r="A474" s="27"/>
      <c r="B474" s="26"/>
    </row>
    <row r="475">
      <c r="A475" s="27"/>
      <c r="B475" s="26"/>
    </row>
    <row r="476">
      <c r="A476" s="27"/>
      <c r="B476" s="26"/>
    </row>
    <row r="477">
      <c r="A477" s="27"/>
      <c r="B477" s="26"/>
    </row>
    <row r="478">
      <c r="A478" s="27"/>
      <c r="B478" s="26"/>
    </row>
    <row r="479">
      <c r="A479" s="27"/>
      <c r="B479" s="26"/>
    </row>
    <row r="480">
      <c r="A480" s="27"/>
      <c r="B480" s="26"/>
    </row>
    <row r="481">
      <c r="A481" s="27"/>
      <c r="B481" s="26"/>
    </row>
    <row r="482">
      <c r="A482" s="27"/>
      <c r="B482" s="26"/>
    </row>
    <row r="483">
      <c r="A483" s="27"/>
      <c r="B483" s="26"/>
    </row>
    <row r="484">
      <c r="A484" s="27"/>
      <c r="B484" s="26"/>
    </row>
    <row r="485">
      <c r="A485" s="27"/>
      <c r="B485" s="26"/>
    </row>
    <row r="486">
      <c r="A486" s="27"/>
      <c r="B486" s="26"/>
    </row>
    <row r="487">
      <c r="A487" s="27"/>
      <c r="B487" s="26"/>
    </row>
    <row r="488">
      <c r="A488" s="27"/>
      <c r="B488" s="26"/>
    </row>
    <row r="489">
      <c r="A489" s="27"/>
      <c r="B489" s="26"/>
    </row>
    <row r="490">
      <c r="A490" s="27"/>
      <c r="B490" s="26"/>
    </row>
    <row r="491">
      <c r="A491" s="27"/>
      <c r="B491" s="26"/>
    </row>
    <row r="492">
      <c r="A492" s="27"/>
      <c r="B492" s="26"/>
    </row>
    <row r="493">
      <c r="A493" s="27"/>
      <c r="B493" s="26"/>
    </row>
    <row r="494">
      <c r="A494" s="27"/>
      <c r="B494" s="26"/>
    </row>
    <row r="495">
      <c r="A495" s="27"/>
      <c r="B495" s="26"/>
    </row>
    <row r="496">
      <c r="A496" s="27"/>
      <c r="B496" s="26"/>
    </row>
    <row r="497">
      <c r="A497" s="27"/>
      <c r="B497" s="26"/>
    </row>
    <row r="498">
      <c r="A498" s="27"/>
      <c r="B498" s="26"/>
    </row>
    <row r="499">
      <c r="A499" s="27"/>
      <c r="B499" s="26"/>
    </row>
    <row r="500">
      <c r="A500" s="27"/>
      <c r="B500" s="26"/>
    </row>
    <row r="501">
      <c r="A501" s="27"/>
      <c r="B501" s="26"/>
    </row>
    <row r="502">
      <c r="A502" s="27"/>
      <c r="B502" s="26"/>
    </row>
    <row r="503">
      <c r="A503" s="27"/>
      <c r="B503" s="26"/>
    </row>
    <row r="504">
      <c r="A504" s="27"/>
      <c r="B504" s="26"/>
    </row>
    <row r="505">
      <c r="A505" s="27"/>
      <c r="B505" s="26"/>
    </row>
    <row r="506">
      <c r="A506" s="27"/>
      <c r="B506" s="26"/>
    </row>
    <row r="507">
      <c r="A507" s="27"/>
      <c r="B507" s="26"/>
    </row>
    <row r="508">
      <c r="A508" s="27"/>
      <c r="B508" s="26"/>
    </row>
    <row r="509">
      <c r="A509" s="27"/>
      <c r="B509" s="26"/>
    </row>
    <row r="510">
      <c r="A510" s="27"/>
      <c r="B510" s="26"/>
    </row>
    <row r="511">
      <c r="A511" s="27"/>
      <c r="B511" s="26"/>
    </row>
    <row r="512">
      <c r="A512" s="27"/>
      <c r="B512" s="26"/>
    </row>
    <row r="513">
      <c r="A513" s="27"/>
      <c r="B513" s="26"/>
    </row>
    <row r="514">
      <c r="A514" s="27"/>
      <c r="B514" s="26"/>
    </row>
    <row r="515">
      <c r="A515" s="27"/>
      <c r="B515" s="26"/>
    </row>
    <row r="516">
      <c r="A516" s="27"/>
      <c r="B516" s="26"/>
    </row>
    <row r="517">
      <c r="A517" s="27"/>
      <c r="B517" s="26"/>
    </row>
    <row r="518">
      <c r="A518" s="27"/>
      <c r="B518" s="26"/>
    </row>
    <row r="519">
      <c r="A519" s="27"/>
      <c r="B519" s="26"/>
    </row>
    <row r="520">
      <c r="A520" s="27"/>
      <c r="B520" s="26"/>
    </row>
    <row r="521">
      <c r="A521" s="27"/>
      <c r="B521" s="26"/>
    </row>
    <row r="522">
      <c r="A522" s="27"/>
      <c r="B522" s="26"/>
    </row>
    <row r="523">
      <c r="A523" s="27"/>
      <c r="B523" s="26"/>
    </row>
    <row r="524">
      <c r="A524" s="27"/>
      <c r="B524" s="26"/>
    </row>
    <row r="525">
      <c r="A525" s="27"/>
      <c r="B525" s="26"/>
    </row>
    <row r="526">
      <c r="A526" s="27"/>
      <c r="B526" s="26"/>
    </row>
    <row r="527">
      <c r="A527" s="27"/>
      <c r="B527" s="26"/>
    </row>
    <row r="528">
      <c r="A528" s="27"/>
      <c r="B528" s="26"/>
    </row>
    <row r="529">
      <c r="A529" s="27"/>
      <c r="B529" s="26"/>
    </row>
    <row r="530">
      <c r="A530" s="27"/>
      <c r="B530" s="26"/>
    </row>
    <row r="531">
      <c r="A531" s="27"/>
      <c r="B531" s="26"/>
    </row>
    <row r="532">
      <c r="A532" s="27"/>
      <c r="B532" s="26"/>
    </row>
    <row r="533">
      <c r="A533" s="27"/>
      <c r="B533" s="26"/>
    </row>
    <row r="534">
      <c r="A534" s="27"/>
      <c r="B534" s="26"/>
    </row>
    <row r="535">
      <c r="A535" s="27"/>
      <c r="B535" s="26"/>
    </row>
    <row r="536">
      <c r="A536" s="27"/>
      <c r="B536" s="26"/>
    </row>
    <row r="537">
      <c r="A537" s="27"/>
      <c r="B537" s="26"/>
    </row>
    <row r="538">
      <c r="A538" s="27"/>
      <c r="B538" s="26"/>
    </row>
    <row r="539">
      <c r="A539" s="27"/>
      <c r="B539" s="26"/>
    </row>
    <row r="540">
      <c r="A540" s="27"/>
      <c r="B540" s="26"/>
    </row>
    <row r="541">
      <c r="A541" s="27"/>
      <c r="B541" s="26"/>
    </row>
    <row r="542">
      <c r="A542" s="27"/>
      <c r="B542" s="26"/>
    </row>
    <row r="543">
      <c r="A543" s="27"/>
      <c r="B543" s="26"/>
    </row>
    <row r="544">
      <c r="A544" s="27"/>
      <c r="B544" s="26"/>
    </row>
    <row r="545">
      <c r="A545" s="27"/>
      <c r="B545" s="26"/>
    </row>
    <row r="546">
      <c r="A546" s="27"/>
      <c r="B546" s="26"/>
    </row>
    <row r="547">
      <c r="A547" s="27"/>
      <c r="B547" s="26"/>
    </row>
    <row r="548">
      <c r="A548" s="27"/>
      <c r="B548" s="26"/>
    </row>
    <row r="549">
      <c r="A549" s="27"/>
      <c r="B549" s="26"/>
    </row>
    <row r="550">
      <c r="A550" s="27"/>
      <c r="B550" s="26"/>
    </row>
    <row r="551">
      <c r="A551" s="27"/>
      <c r="B551" s="26"/>
    </row>
    <row r="552">
      <c r="A552" s="27"/>
      <c r="B552" s="26"/>
    </row>
    <row r="553">
      <c r="A553" s="27"/>
      <c r="B553" s="26"/>
    </row>
    <row r="554">
      <c r="A554" s="27"/>
      <c r="B554" s="26"/>
    </row>
    <row r="555">
      <c r="A555" s="27"/>
      <c r="B555" s="26"/>
    </row>
    <row r="556">
      <c r="A556" s="27"/>
      <c r="B556" s="26"/>
    </row>
    <row r="557">
      <c r="A557" s="27"/>
      <c r="B557" s="26"/>
    </row>
    <row r="558">
      <c r="A558" s="27"/>
      <c r="B558" s="26"/>
    </row>
    <row r="559">
      <c r="A559" s="27"/>
      <c r="B559" s="26"/>
    </row>
    <row r="560">
      <c r="A560" s="27"/>
      <c r="B560" s="26"/>
    </row>
    <row r="561">
      <c r="A561" s="27"/>
      <c r="B561" s="26"/>
    </row>
    <row r="562">
      <c r="A562" s="27"/>
      <c r="B562" s="26"/>
    </row>
    <row r="563">
      <c r="A563" s="27"/>
      <c r="B563" s="26"/>
    </row>
    <row r="564">
      <c r="A564" s="27"/>
      <c r="B564" s="26"/>
    </row>
    <row r="565">
      <c r="A565" s="27"/>
      <c r="B565" s="26"/>
    </row>
    <row r="566">
      <c r="A566" s="27"/>
      <c r="B566" s="26"/>
    </row>
    <row r="567">
      <c r="A567" s="27"/>
      <c r="B567" s="26"/>
    </row>
    <row r="568">
      <c r="A568" s="27"/>
      <c r="B568" s="26"/>
    </row>
    <row r="569">
      <c r="A569" s="27"/>
      <c r="B569" s="26"/>
    </row>
    <row r="570">
      <c r="A570" s="27"/>
      <c r="B570" s="26"/>
    </row>
    <row r="571">
      <c r="A571" s="27"/>
      <c r="B571" s="26"/>
    </row>
    <row r="572">
      <c r="A572" s="27"/>
      <c r="B572" s="26"/>
    </row>
    <row r="573">
      <c r="A573" s="27"/>
      <c r="B573" s="26"/>
    </row>
    <row r="574">
      <c r="A574" s="27"/>
      <c r="B574" s="26"/>
    </row>
    <row r="575">
      <c r="A575" s="27"/>
      <c r="B575" s="26"/>
    </row>
    <row r="576">
      <c r="A576" s="27"/>
      <c r="B576" s="26"/>
    </row>
    <row r="577">
      <c r="A577" s="27"/>
      <c r="B577" s="26"/>
    </row>
    <row r="578">
      <c r="A578" s="27"/>
      <c r="B578" s="26"/>
    </row>
    <row r="579">
      <c r="A579" s="27"/>
      <c r="B579" s="26"/>
    </row>
    <row r="580">
      <c r="A580" s="27"/>
      <c r="B580" s="26"/>
    </row>
    <row r="581">
      <c r="A581" s="27"/>
      <c r="B581" s="26"/>
    </row>
    <row r="582">
      <c r="A582" s="27"/>
      <c r="B582" s="26"/>
    </row>
    <row r="583">
      <c r="A583" s="27"/>
      <c r="B583" s="26"/>
    </row>
    <row r="584">
      <c r="A584" s="27"/>
      <c r="B584" s="26"/>
    </row>
    <row r="585">
      <c r="A585" s="27"/>
      <c r="B585" s="26"/>
    </row>
    <row r="586">
      <c r="A586" s="27"/>
      <c r="B586" s="26"/>
    </row>
    <row r="587">
      <c r="A587" s="27"/>
      <c r="B587" s="26"/>
    </row>
    <row r="588">
      <c r="A588" s="27"/>
      <c r="B588" s="26"/>
    </row>
    <row r="589">
      <c r="A589" s="27"/>
      <c r="B589" s="26"/>
    </row>
    <row r="590">
      <c r="A590" s="27"/>
      <c r="B590" s="26"/>
    </row>
    <row r="591">
      <c r="A591" s="27"/>
      <c r="B591" s="26"/>
    </row>
    <row r="592">
      <c r="A592" s="27"/>
      <c r="B592" s="26"/>
    </row>
    <row r="593">
      <c r="A593" s="27"/>
      <c r="B593" s="26"/>
    </row>
    <row r="594">
      <c r="A594" s="27"/>
      <c r="B594" s="26"/>
    </row>
    <row r="595">
      <c r="A595" s="27"/>
      <c r="B595" s="26"/>
    </row>
    <row r="596">
      <c r="A596" s="27"/>
      <c r="B596" s="26"/>
    </row>
    <row r="597">
      <c r="A597" s="27"/>
      <c r="B597" s="26"/>
    </row>
    <row r="598">
      <c r="A598" s="27"/>
      <c r="B598" s="26"/>
    </row>
    <row r="599">
      <c r="A599" s="27"/>
      <c r="B599" s="26"/>
    </row>
    <row r="600">
      <c r="A600" s="27"/>
      <c r="B600" s="26"/>
    </row>
    <row r="601">
      <c r="A601" s="27"/>
      <c r="B601" s="26"/>
    </row>
    <row r="602">
      <c r="A602" s="27"/>
      <c r="B602" s="26"/>
    </row>
    <row r="603">
      <c r="A603" s="27"/>
      <c r="B603" s="26"/>
    </row>
    <row r="604">
      <c r="A604" s="27"/>
      <c r="B604" s="26"/>
    </row>
    <row r="605">
      <c r="A605" s="27"/>
      <c r="B605" s="26"/>
    </row>
    <row r="606">
      <c r="A606" s="27"/>
      <c r="B606" s="26"/>
    </row>
    <row r="607">
      <c r="A607" s="27"/>
      <c r="B607" s="26"/>
    </row>
    <row r="608">
      <c r="A608" s="27"/>
      <c r="B608" s="26"/>
    </row>
    <row r="609">
      <c r="A609" s="27"/>
      <c r="B609" s="26"/>
    </row>
    <row r="610">
      <c r="A610" s="27"/>
      <c r="B610" s="26"/>
    </row>
    <row r="611">
      <c r="A611" s="27"/>
      <c r="B611" s="26"/>
    </row>
    <row r="612">
      <c r="A612" s="27"/>
      <c r="B612" s="26"/>
    </row>
    <row r="613">
      <c r="A613" s="27"/>
      <c r="B613" s="26"/>
    </row>
    <row r="614">
      <c r="A614" s="27"/>
      <c r="B614" s="26"/>
    </row>
    <row r="615">
      <c r="A615" s="27"/>
      <c r="B615" s="26"/>
    </row>
    <row r="616">
      <c r="A616" s="27"/>
      <c r="B616" s="26"/>
    </row>
    <row r="617">
      <c r="A617" s="27"/>
      <c r="B617" s="26"/>
    </row>
    <row r="618">
      <c r="A618" s="27"/>
      <c r="B618" s="26"/>
    </row>
    <row r="619">
      <c r="A619" s="27"/>
      <c r="B619" s="26"/>
    </row>
    <row r="620">
      <c r="A620" s="27"/>
      <c r="B620" s="26"/>
    </row>
    <row r="621">
      <c r="A621" s="27"/>
      <c r="B621" s="26"/>
    </row>
    <row r="622">
      <c r="A622" s="27"/>
      <c r="B622" s="26"/>
    </row>
    <row r="623">
      <c r="A623" s="27"/>
      <c r="B623" s="26"/>
    </row>
    <row r="624">
      <c r="A624" s="27"/>
      <c r="B624" s="26"/>
    </row>
    <row r="625">
      <c r="A625" s="27"/>
      <c r="B625" s="26"/>
    </row>
    <row r="626">
      <c r="A626" s="27"/>
      <c r="B626" s="26"/>
    </row>
    <row r="627">
      <c r="A627" s="27"/>
      <c r="B627" s="26"/>
    </row>
    <row r="628">
      <c r="A628" s="27"/>
      <c r="B628" s="26"/>
    </row>
    <row r="629">
      <c r="A629" s="27"/>
      <c r="B629" s="26"/>
    </row>
    <row r="630">
      <c r="A630" s="27"/>
      <c r="B630" s="26"/>
    </row>
    <row r="631">
      <c r="A631" s="27"/>
      <c r="B631" s="26"/>
    </row>
    <row r="632">
      <c r="A632" s="27"/>
      <c r="B632" s="26"/>
    </row>
    <row r="633">
      <c r="A633" s="27"/>
      <c r="B633" s="26"/>
    </row>
    <row r="634">
      <c r="A634" s="27"/>
      <c r="B634" s="26"/>
    </row>
    <row r="635">
      <c r="A635" s="27"/>
      <c r="B635" s="26"/>
    </row>
    <row r="636">
      <c r="A636" s="27"/>
      <c r="B636" s="26"/>
    </row>
    <row r="637">
      <c r="A637" s="27"/>
      <c r="B637" s="26"/>
    </row>
    <row r="638">
      <c r="A638" s="27"/>
      <c r="B638" s="26"/>
    </row>
    <row r="639">
      <c r="A639" s="27"/>
      <c r="B639" s="26"/>
    </row>
    <row r="640">
      <c r="A640" s="27"/>
      <c r="B640" s="26"/>
    </row>
    <row r="641">
      <c r="A641" s="27"/>
      <c r="B641" s="26"/>
    </row>
    <row r="642">
      <c r="A642" s="27"/>
      <c r="B642" s="26"/>
    </row>
    <row r="643">
      <c r="A643" s="27"/>
      <c r="B643" s="26"/>
    </row>
    <row r="644">
      <c r="A644" s="27"/>
      <c r="B644" s="26"/>
    </row>
    <row r="645">
      <c r="A645" s="27"/>
      <c r="B645" s="26"/>
    </row>
    <row r="646">
      <c r="A646" s="27"/>
      <c r="B646" s="26"/>
    </row>
    <row r="647">
      <c r="A647" s="27"/>
      <c r="B647" s="26"/>
    </row>
    <row r="648">
      <c r="A648" s="27"/>
      <c r="B648" s="26"/>
    </row>
    <row r="649">
      <c r="A649" s="27"/>
      <c r="B649" s="26"/>
    </row>
    <row r="650">
      <c r="A650" s="27"/>
      <c r="B650" s="26"/>
    </row>
    <row r="651">
      <c r="A651" s="27"/>
      <c r="B651" s="26"/>
    </row>
    <row r="652">
      <c r="A652" s="27"/>
      <c r="B652" s="26"/>
    </row>
    <row r="653">
      <c r="A653" s="27"/>
      <c r="B653" s="26"/>
    </row>
    <row r="654">
      <c r="A654" s="27"/>
      <c r="B654" s="26"/>
    </row>
    <row r="655">
      <c r="A655" s="27"/>
      <c r="B655" s="26"/>
    </row>
    <row r="656">
      <c r="A656" s="27"/>
      <c r="B656" s="26"/>
    </row>
    <row r="657">
      <c r="A657" s="27"/>
      <c r="B657" s="26"/>
    </row>
    <row r="658">
      <c r="A658" s="27"/>
      <c r="B658" s="26"/>
    </row>
    <row r="659">
      <c r="A659" s="27"/>
      <c r="B659" s="26"/>
    </row>
    <row r="660">
      <c r="A660" s="27"/>
      <c r="B660" s="26"/>
    </row>
    <row r="661">
      <c r="A661" s="27"/>
      <c r="B661" s="26"/>
    </row>
    <row r="662">
      <c r="A662" s="27"/>
      <c r="B662" s="26"/>
    </row>
    <row r="663">
      <c r="A663" s="27"/>
      <c r="B663" s="26"/>
    </row>
    <row r="664">
      <c r="A664" s="27"/>
      <c r="B664" s="26"/>
    </row>
    <row r="665">
      <c r="A665" s="27"/>
      <c r="B665" s="26"/>
    </row>
    <row r="666">
      <c r="A666" s="27"/>
      <c r="B666" s="26"/>
    </row>
    <row r="667">
      <c r="A667" s="27"/>
      <c r="B667" s="26"/>
    </row>
    <row r="668">
      <c r="A668" s="27"/>
      <c r="B668" s="26"/>
    </row>
    <row r="669">
      <c r="A669" s="27"/>
      <c r="B669" s="26"/>
    </row>
    <row r="670">
      <c r="A670" s="27"/>
      <c r="B670" s="26"/>
    </row>
    <row r="671">
      <c r="A671" s="27"/>
      <c r="B671" s="26"/>
    </row>
    <row r="672">
      <c r="A672" s="27"/>
      <c r="B672" s="26"/>
    </row>
    <row r="673">
      <c r="A673" s="27"/>
      <c r="B673" s="26"/>
    </row>
    <row r="674">
      <c r="A674" s="27"/>
      <c r="B674" s="26"/>
    </row>
    <row r="675">
      <c r="A675" s="27"/>
      <c r="B675" s="26"/>
    </row>
    <row r="676">
      <c r="A676" s="27"/>
      <c r="B676" s="26"/>
    </row>
    <row r="677">
      <c r="A677" s="27"/>
      <c r="B677" s="26"/>
    </row>
    <row r="678">
      <c r="A678" s="27"/>
      <c r="B678" s="26"/>
    </row>
    <row r="679">
      <c r="A679" s="27"/>
      <c r="B679" s="26"/>
    </row>
    <row r="680">
      <c r="A680" s="27"/>
      <c r="B680" s="26"/>
    </row>
    <row r="681">
      <c r="A681" s="27"/>
      <c r="B681" s="26"/>
    </row>
    <row r="682">
      <c r="A682" s="27"/>
      <c r="B682" s="26"/>
    </row>
    <row r="683">
      <c r="A683" s="27"/>
      <c r="B683" s="26"/>
    </row>
    <row r="684">
      <c r="A684" s="27"/>
      <c r="B684" s="26"/>
    </row>
    <row r="685">
      <c r="A685" s="27"/>
      <c r="B685" s="26"/>
    </row>
    <row r="686">
      <c r="A686" s="27"/>
      <c r="B686" s="26"/>
    </row>
    <row r="687">
      <c r="A687" s="27"/>
      <c r="B687" s="26"/>
    </row>
    <row r="688">
      <c r="A688" s="27"/>
      <c r="B688" s="26"/>
    </row>
    <row r="689">
      <c r="A689" s="27"/>
      <c r="B689" s="26"/>
    </row>
    <row r="690">
      <c r="A690" s="27"/>
      <c r="B690" s="26"/>
    </row>
    <row r="691">
      <c r="A691" s="27"/>
      <c r="B691" s="26"/>
    </row>
    <row r="692">
      <c r="A692" s="27"/>
      <c r="B692" s="26"/>
    </row>
    <row r="693">
      <c r="A693" s="27"/>
      <c r="B693" s="26"/>
    </row>
    <row r="694">
      <c r="A694" s="27"/>
      <c r="B694" s="26"/>
    </row>
    <row r="695">
      <c r="A695" s="27"/>
      <c r="B695" s="26"/>
    </row>
    <row r="696">
      <c r="A696" s="27"/>
      <c r="B696" s="26"/>
    </row>
    <row r="697">
      <c r="A697" s="27"/>
      <c r="B697" s="26"/>
    </row>
    <row r="698">
      <c r="A698" s="27"/>
      <c r="B698" s="26"/>
    </row>
    <row r="699">
      <c r="A699" s="27"/>
      <c r="B699" s="26"/>
    </row>
    <row r="700">
      <c r="A700" s="27"/>
      <c r="B700" s="26"/>
    </row>
    <row r="701">
      <c r="A701" s="27"/>
      <c r="B701" s="26"/>
    </row>
    <row r="702">
      <c r="A702" s="27"/>
      <c r="B702" s="26"/>
    </row>
    <row r="703">
      <c r="A703" s="27"/>
      <c r="B703" s="26"/>
    </row>
    <row r="704">
      <c r="A704" s="27"/>
      <c r="B704" s="26"/>
    </row>
    <row r="705">
      <c r="A705" s="27"/>
      <c r="B705" s="26"/>
    </row>
    <row r="706">
      <c r="A706" s="27"/>
      <c r="B706" s="26"/>
    </row>
    <row r="707">
      <c r="A707" s="27"/>
      <c r="B707" s="26"/>
    </row>
    <row r="708">
      <c r="A708" s="27"/>
      <c r="B708" s="26"/>
    </row>
    <row r="709">
      <c r="A709" s="27"/>
      <c r="B709" s="26"/>
    </row>
    <row r="710">
      <c r="A710" s="27"/>
      <c r="B710" s="26"/>
    </row>
    <row r="711">
      <c r="A711" s="27"/>
      <c r="B711" s="26"/>
    </row>
    <row r="712">
      <c r="A712" s="27"/>
      <c r="B712" s="26"/>
    </row>
    <row r="713">
      <c r="A713" s="27"/>
      <c r="B713" s="26"/>
    </row>
    <row r="714">
      <c r="A714" s="27"/>
      <c r="B714" s="26"/>
    </row>
    <row r="715">
      <c r="A715" s="27"/>
      <c r="B715" s="26"/>
    </row>
    <row r="716">
      <c r="A716" s="27"/>
      <c r="B716" s="26"/>
    </row>
    <row r="717">
      <c r="A717" s="27"/>
      <c r="B717" s="26"/>
    </row>
    <row r="718">
      <c r="A718" s="27"/>
      <c r="B718" s="26"/>
    </row>
    <row r="719">
      <c r="A719" s="27"/>
      <c r="B719" s="26"/>
    </row>
    <row r="720">
      <c r="A720" s="27"/>
      <c r="B720" s="26"/>
    </row>
    <row r="721">
      <c r="A721" s="27"/>
      <c r="B721" s="26"/>
    </row>
    <row r="722">
      <c r="A722" s="27"/>
      <c r="B722" s="26"/>
    </row>
    <row r="723">
      <c r="A723" s="27"/>
      <c r="B723" s="26"/>
    </row>
    <row r="724">
      <c r="A724" s="27"/>
      <c r="B724" s="26"/>
    </row>
    <row r="725">
      <c r="A725" s="27"/>
      <c r="B725" s="26"/>
    </row>
    <row r="726">
      <c r="A726" s="27"/>
      <c r="B726" s="26"/>
    </row>
    <row r="727">
      <c r="A727" s="27"/>
      <c r="B727" s="26"/>
    </row>
    <row r="728">
      <c r="A728" s="27"/>
      <c r="B728" s="26"/>
    </row>
    <row r="729">
      <c r="A729" s="27"/>
      <c r="B729" s="26"/>
    </row>
    <row r="730">
      <c r="A730" s="27"/>
      <c r="B730" s="26"/>
    </row>
    <row r="731">
      <c r="A731" s="27"/>
      <c r="B731" s="26"/>
    </row>
    <row r="732">
      <c r="A732" s="27"/>
      <c r="B732" s="26"/>
    </row>
    <row r="733">
      <c r="A733" s="27"/>
      <c r="B733" s="26"/>
    </row>
    <row r="734">
      <c r="A734" s="27"/>
      <c r="B734" s="26"/>
    </row>
    <row r="735">
      <c r="A735" s="27"/>
      <c r="B735" s="26"/>
    </row>
    <row r="736">
      <c r="A736" s="27"/>
      <c r="B736" s="26"/>
    </row>
    <row r="737">
      <c r="A737" s="27"/>
      <c r="B737" s="26"/>
    </row>
    <row r="738">
      <c r="A738" s="27"/>
      <c r="B738" s="26"/>
    </row>
    <row r="739">
      <c r="A739" s="27"/>
      <c r="B739" s="26"/>
    </row>
    <row r="740">
      <c r="A740" s="27"/>
      <c r="B740" s="26"/>
    </row>
    <row r="741">
      <c r="A741" s="27"/>
      <c r="B741" s="26"/>
    </row>
    <row r="742">
      <c r="A742" s="27"/>
      <c r="B742" s="26"/>
    </row>
    <row r="743">
      <c r="A743" s="27"/>
      <c r="B743" s="26"/>
    </row>
    <row r="744">
      <c r="A744" s="27"/>
      <c r="B744" s="26"/>
    </row>
    <row r="745">
      <c r="A745" s="27"/>
      <c r="B745" s="26"/>
    </row>
    <row r="746">
      <c r="A746" s="27"/>
      <c r="B746" s="26"/>
    </row>
    <row r="747">
      <c r="A747" s="27"/>
      <c r="B747" s="26"/>
    </row>
    <row r="748">
      <c r="A748" s="27"/>
      <c r="B748" s="26"/>
    </row>
    <row r="749">
      <c r="A749" s="27"/>
      <c r="B749" s="26"/>
    </row>
    <row r="750">
      <c r="A750" s="27"/>
      <c r="B750" s="26"/>
    </row>
    <row r="751">
      <c r="A751" s="27"/>
      <c r="B751" s="26"/>
    </row>
    <row r="752">
      <c r="A752" s="27"/>
      <c r="B752" s="26"/>
    </row>
    <row r="753">
      <c r="A753" s="27"/>
      <c r="B753" s="26"/>
    </row>
    <row r="754">
      <c r="A754" s="27"/>
      <c r="B754" s="26"/>
    </row>
    <row r="755">
      <c r="A755" s="27"/>
      <c r="B755" s="26"/>
    </row>
    <row r="756">
      <c r="A756" s="27"/>
      <c r="B756" s="26"/>
    </row>
    <row r="757">
      <c r="A757" s="27"/>
      <c r="B757" s="26"/>
    </row>
    <row r="758">
      <c r="A758" s="27"/>
      <c r="B758" s="26"/>
    </row>
    <row r="759">
      <c r="A759" s="27"/>
      <c r="B759" s="26"/>
    </row>
    <row r="760">
      <c r="A760" s="27"/>
      <c r="B760" s="26"/>
    </row>
    <row r="761">
      <c r="A761" s="27"/>
      <c r="B761" s="26"/>
    </row>
    <row r="762">
      <c r="A762" s="27"/>
      <c r="B762" s="26"/>
    </row>
    <row r="763">
      <c r="A763" s="27"/>
      <c r="B763" s="26"/>
    </row>
    <row r="764">
      <c r="A764" s="27"/>
      <c r="B764" s="26"/>
    </row>
    <row r="765">
      <c r="A765" s="27"/>
      <c r="B765" s="26"/>
    </row>
    <row r="766">
      <c r="A766" s="27"/>
      <c r="B766" s="26"/>
    </row>
    <row r="767">
      <c r="A767" s="27"/>
      <c r="B767" s="26"/>
    </row>
    <row r="768">
      <c r="A768" s="27"/>
      <c r="B768" s="26"/>
    </row>
    <row r="769">
      <c r="A769" s="27"/>
      <c r="B769" s="26"/>
    </row>
    <row r="770">
      <c r="A770" s="27"/>
      <c r="B770" s="26"/>
    </row>
    <row r="771">
      <c r="A771" s="27"/>
      <c r="B771" s="26"/>
    </row>
    <row r="772">
      <c r="A772" s="27"/>
      <c r="B772" s="26"/>
    </row>
    <row r="773">
      <c r="A773" s="27"/>
      <c r="B773" s="26"/>
    </row>
    <row r="774">
      <c r="A774" s="27"/>
      <c r="B774" s="26"/>
    </row>
    <row r="775">
      <c r="A775" s="27"/>
      <c r="B775" s="26"/>
    </row>
    <row r="776">
      <c r="A776" s="27"/>
      <c r="B776" s="26"/>
    </row>
    <row r="777">
      <c r="A777" s="27"/>
      <c r="B777" s="26"/>
    </row>
    <row r="778">
      <c r="A778" s="27"/>
      <c r="B778" s="26"/>
    </row>
    <row r="779">
      <c r="A779" s="27"/>
      <c r="B779" s="26"/>
    </row>
    <row r="780">
      <c r="A780" s="27"/>
      <c r="B780" s="26"/>
    </row>
    <row r="781">
      <c r="A781" s="27"/>
      <c r="B781" s="26"/>
    </row>
    <row r="782">
      <c r="A782" s="27"/>
      <c r="B782" s="26"/>
    </row>
    <row r="783">
      <c r="A783" s="27"/>
      <c r="B783" s="26"/>
    </row>
    <row r="784">
      <c r="A784" s="27"/>
      <c r="B784" s="26"/>
    </row>
    <row r="785">
      <c r="A785" s="27"/>
      <c r="B785" s="26"/>
    </row>
    <row r="786">
      <c r="A786" s="27"/>
      <c r="B786" s="26"/>
    </row>
    <row r="787">
      <c r="A787" s="27"/>
      <c r="B787" s="26"/>
    </row>
    <row r="788">
      <c r="A788" s="27"/>
      <c r="B788" s="26"/>
    </row>
    <row r="789">
      <c r="A789" s="27"/>
      <c r="B789" s="26"/>
    </row>
    <row r="790">
      <c r="A790" s="27"/>
      <c r="B790" s="26"/>
    </row>
    <row r="791">
      <c r="A791" s="27"/>
      <c r="B791" s="26"/>
    </row>
    <row r="792">
      <c r="A792" s="27"/>
      <c r="B792" s="26"/>
    </row>
    <row r="793">
      <c r="A793" s="27"/>
      <c r="B793" s="26"/>
    </row>
    <row r="794">
      <c r="A794" s="27"/>
      <c r="B794" s="26"/>
    </row>
    <row r="795">
      <c r="A795" s="27"/>
      <c r="B795" s="26"/>
    </row>
    <row r="796">
      <c r="A796" s="27"/>
      <c r="B796" s="26"/>
    </row>
    <row r="797">
      <c r="A797" s="27"/>
      <c r="B797" s="26"/>
    </row>
    <row r="798">
      <c r="A798" s="27"/>
      <c r="B798" s="26"/>
    </row>
    <row r="799">
      <c r="A799" s="27"/>
      <c r="B799" s="26"/>
    </row>
    <row r="800">
      <c r="A800" s="27"/>
      <c r="B800" s="26"/>
    </row>
    <row r="801">
      <c r="A801" s="27"/>
      <c r="B801" s="26"/>
    </row>
    <row r="802">
      <c r="A802" s="27"/>
      <c r="B802" s="26"/>
    </row>
    <row r="803">
      <c r="A803" s="27"/>
      <c r="B803" s="26"/>
    </row>
    <row r="804">
      <c r="A804" s="27"/>
      <c r="B804" s="26"/>
    </row>
    <row r="805">
      <c r="A805" s="27"/>
      <c r="B805" s="26"/>
    </row>
    <row r="806">
      <c r="A806" s="27"/>
      <c r="B806" s="26"/>
    </row>
    <row r="807">
      <c r="A807" s="27"/>
      <c r="B807" s="26"/>
    </row>
    <row r="808">
      <c r="A808" s="27"/>
      <c r="B808" s="26"/>
    </row>
    <row r="809">
      <c r="A809" s="27"/>
      <c r="B809" s="26"/>
    </row>
    <row r="810">
      <c r="A810" s="27"/>
      <c r="B810" s="26"/>
    </row>
    <row r="811">
      <c r="A811" s="27"/>
      <c r="B811" s="26"/>
    </row>
    <row r="812">
      <c r="A812" s="27"/>
      <c r="B812" s="26"/>
    </row>
    <row r="813">
      <c r="A813" s="27"/>
      <c r="B813" s="26"/>
    </row>
    <row r="814">
      <c r="A814" s="27"/>
      <c r="B814" s="26"/>
    </row>
    <row r="815">
      <c r="A815" s="27"/>
      <c r="B815" s="26"/>
    </row>
    <row r="816">
      <c r="A816" s="27"/>
      <c r="B816" s="26"/>
    </row>
    <row r="817">
      <c r="A817" s="27"/>
      <c r="B817" s="26"/>
    </row>
    <row r="818">
      <c r="A818" s="27"/>
      <c r="B818" s="26"/>
    </row>
    <row r="819">
      <c r="A819" s="27"/>
      <c r="B819" s="26"/>
    </row>
    <row r="820">
      <c r="A820" s="27"/>
      <c r="B820" s="26"/>
    </row>
    <row r="821">
      <c r="A821" s="27"/>
      <c r="B821" s="26"/>
    </row>
    <row r="822">
      <c r="A822" s="27"/>
      <c r="B822" s="26"/>
    </row>
    <row r="823">
      <c r="A823" s="27"/>
      <c r="B823" s="26"/>
    </row>
    <row r="824">
      <c r="A824" s="27"/>
      <c r="B824" s="26"/>
    </row>
    <row r="825">
      <c r="A825" s="27"/>
      <c r="B825" s="26"/>
    </row>
    <row r="826">
      <c r="A826" s="27"/>
      <c r="B826" s="26"/>
    </row>
    <row r="827">
      <c r="A827" s="27"/>
      <c r="B827" s="26"/>
    </row>
    <row r="828">
      <c r="A828" s="27"/>
      <c r="B828" s="26"/>
    </row>
    <row r="829">
      <c r="A829" s="27"/>
      <c r="B829" s="26"/>
    </row>
    <row r="830">
      <c r="A830" s="27"/>
      <c r="B830" s="26"/>
    </row>
    <row r="831">
      <c r="A831" s="27"/>
      <c r="B831" s="26"/>
    </row>
    <row r="832">
      <c r="A832" s="27"/>
      <c r="B832" s="26"/>
    </row>
    <row r="833">
      <c r="A833" s="27"/>
      <c r="B833" s="26"/>
    </row>
    <row r="834">
      <c r="A834" s="27"/>
      <c r="B834" s="26"/>
    </row>
    <row r="835">
      <c r="A835" s="27"/>
      <c r="B835" s="26"/>
    </row>
    <row r="836">
      <c r="A836" s="27"/>
      <c r="B836" s="26"/>
    </row>
    <row r="837">
      <c r="A837" s="27"/>
      <c r="B837" s="26"/>
    </row>
    <row r="838">
      <c r="A838" s="27"/>
      <c r="B838" s="26"/>
    </row>
    <row r="839">
      <c r="A839" s="27"/>
      <c r="B839" s="26"/>
    </row>
    <row r="840">
      <c r="A840" s="27"/>
      <c r="B840" s="26"/>
    </row>
    <row r="841">
      <c r="A841" s="27"/>
      <c r="B841" s="26"/>
    </row>
    <row r="842">
      <c r="A842" s="27"/>
      <c r="B842" s="26"/>
    </row>
    <row r="843">
      <c r="A843" s="27"/>
      <c r="B843" s="26"/>
    </row>
    <row r="844">
      <c r="A844" s="27"/>
      <c r="B844" s="26"/>
    </row>
    <row r="845">
      <c r="A845" s="27"/>
      <c r="B845" s="26"/>
    </row>
    <row r="846">
      <c r="A846" s="27"/>
      <c r="B846" s="26"/>
    </row>
    <row r="847">
      <c r="A847" s="27"/>
      <c r="B847" s="26"/>
    </row>
    <row r="848">
      <c r="A848" s="27"/>
      <c r="B848" s="26"/>
    </row>
    <row r="849">
      <c r="A849" s="27"/>
      <c r="B849" s="26"/>
    </row>
    <row r="850">
      <c r="A850" s="27"/>
      <c r="B850" s="26"/>
    </row>
    <row r="851">
      <c r="A851" s="27"/>
      <c r="B851" s="26"/>
    </row>
    <row r="852">
      <c r="A852" s="27"/>
      <c r="B852" s="26"/>
    </row>
    <row r="853">
      <c r="A853" s="27"/>
      <c r="B853" s="26"/>
    </row>
    <row r="854">
      <c r="A854" s="27"/>
      <c r="B854" s="26"/>
    </row>
    <row r="855">
      <c r="A855" s="27"/>
      <c r="B855" s="26"/>
    </row>
    <row r="856">
      <c r="A856" s="27"/>
      <c r="B856" s="26"/>
    </row>
    <row r="857">
      <c r="A857" s="27"/>
      <c r="B857" s="26"/>
    </row>
    <row r="858">
      <c r="A858" s="27"/>
      <c r="B858" s="26"/>
    </row>
    <row r="859">
      <c r="A859" s="27"/>
      <c r="B859" s="26"/>
    </row>
    <row r="860">
      <c r="A860" s="27"/>
      <c r="B860" s="26"/>
    </row>
    <row r="861">
      <c r="A861" s="27"/>
      <c r="B861" s="26"/>
    </row>
    <row r="862">
      <c r="A862" s="27"/>
      <c r="B862" s="26"/>
    </row>
    <row r="863">
      <c r="A863" s="27"/>
      <c r="B863" s="26"/>
    </row>
    <row r="864">
      <c r="A864" s="27"/>
      <c r="B864" s="26"/>
    </row>
    <row r="865">
      <c r="A865" s="27"/>
      <c r="B865" s="26"/>
    </row>
    <row r="866">
      <c r="A866" s="27"/>
      <c r="B866" s="26"/>
    </row>
    <row r="867">
      <c r="A867" s="27"/>
      <c r="B867" s="26"/>
    </row>
    <row r="868">
      <c r="A868" s="27"/>
      <c r="B868" s="26"/>
    </row>
    <row r="869">
      <c r="A869" s="27"/>
      <c r="B869" s="26"/>
    </row>
    <row r="870">
      <c r="A870" s="27"/>
      <c r="B870" s="26"/>
    </row>
    <row r="871">
      <c r="A871" s="27"/>
      <c r="B871" s="26"/>
    </row>
    <row r="872">
      <c r="A872" s="27"/>
      <c r="B872" s="26"/>
    </row>
    <row r="873">
      <c r="A873" s="27"/>
      <c r="B873" s="26"/>
    </row>
    <row r="874">
      <c r="A874" s="27"/>
      <c r="B874" s="26"/>
    </row>
    <row r="875">
      <c r="A875" s="27"/>
      <c r="B875" s="26"/>
    </row>
    <row r="876">
      <c r="A876" s="27"/>
      <c r="B876" s="26"/>
    </row>
    <row r="877">
      <c r="A877" s="27"/>
      <c r="B877" s="26"/>
    </row>
    <row r="878">
      <c r="A878" s="27"/>
      <c r="B878" s="26"/>
    </row>
    <row r="879">
      <c r="A879" s="27"/>
      <c r="B879" s="26"/>
    </row>
    <row r="880">
      <c r="A880" s="27"/>
      <c r="B880" s="26"/>
    </row>
    <row r="881">
      <c r="A881" s="27"/>
      <c r="B881" s="26"/>
    </row>
    <row r="882">
      <c r="A882" s="27"/>
      <c r="B882" s="26"/>
    </row>
    <row r="883">
      <c r="A883" s="27"/>
      <c r="B883" s="26"/>
    </row>
    <row r="884">
      <c r="A884" s="27"/>
      <c r="B884" s="26"/>
    </row>
    <row r="885">
      <c r="A885" s="27"/>
      <c r="B885" s="26"/>
    </row>
    <row r="886">
      <c r="A886" s="27"/>
      <c r="B886" s="26"/>
    </row>
    <row r="887">
      <c r="A887" s="27"/>
      <c r="B887" s="26"/>
    </row>
    <row r="888">
      <c r="A888" s="27"/>
      <c r="B888" s="26"/>
    </row>
    <row r="889">
      <c r="A889" s="27"/>
      <c r="B889" s="26"/>
    </row>
    <row r="890">
      <c r="A890" s="27"/>
      <c r="B890" s="26"/>
    </row>
    <row r="891">
      <c r="A891" s="27"/>
      <c r="B891" s="26"/>
    </row>
    <row r="892">
      <c r="A892" s="27"/>
      <c r="B892" s="26"/>
    </row>
    <row r="893">
      <c r="A893" s="27"/>
      <c r="B893" s="26"/>
    </row>
    <row r="894">
      <c r="A894" s="27"/>
      <c r="B894" s="26"/>
    </row>
    <row r="895">
      <c r="A895" s="27"/>
      <c r="B895" s="26"/>
    </row>
    <row r="896">
      <c r="A896" s="27"/>
      <c r="B896" s="26"/>
    </row>
    <row r="897">
      <c r="A897" s="27"/>
      <c r="B897" s="26"/>
    </row>
    <row r="898">
      <c r="A898" s="27"/>
      <c r="B898" s="26"/>
    </row>
    <row r="899">
      <c r="A899" s="27"/>
      <c r="B899" s="26"/>
    </row>
    <row r="900">
      <c r="A900" s="27"/>
      <c r="B900" s="26"/>
    </row>
    <row r="901">
      <c r="A901" s="27"/>
      <c r="B901" s="26"/>
    </row>
    <row r="902">
      <c r="A902" s="27"/>
      <c r="B902" s="26"/>
    </row>
    <row r="903">
      <c r="A903" s="27"/>
      <c r="B903" s="26"/>
    </row>
    <row r="904">
      <c r="A904" s="27"/>
      <c r="B904" s="26"/>
    </row>
    <row r="905">
      <c r="A905" s="27"/>
      <c r="B905" s="26"/>
    </row>
    <row r="906">
      <c r="A906" s="27"/>
      <c r="B906" s="26"/>
    </row>
    <row r="907">
      <c r="A907" s="27"/>
      <c r="B907" s="26"/>
    </row>
    <row r="908">
      <c r="A908" s="27"/>
      <c r="B908" s="26"/>
    </row>
    <row r="909">
      <c r="A909" s="27"/>
      <c r="B909" s="26"/>
    </row>
    <row r="910">
      <c r="A910" s="27"/>
      <c r="B910" s="26"/>
    </row>
    <row r="911">
      <c r="A911" s="27"/>
      <c r="B911" s="26"/>
    </row>
    <row r="912">
      <c r="A912" s="27"/>
      <c r="B912" s="26"/>
    </row>
    <row r="913">
      <c r="A913" s="27"/>
      <c r="B913" s="26"/>
    </row>
    <row r="914">
      <c r="A914" s="27"/>
      <c r="B914" s="26"/>
    </row>
    <row r="915">
      <c r="A915" s="27"/>
      <c r="B915" s="26"/>
    </row>
    <row r="916">
      <c r="A916" s="27"/>
      <c r="B916" s="26"/>
    </row>
    <row r="917">
      <c r="A917" s="27"/>
      <c r="B917" s="26"/>
    </row>
    <row r="918">
      <c r="A918" s="27"/>
      <c r="B918" s="26"/>
    </row>
    <row r="919">
      <c r="A919" s="27"/>
      <c r="B919" s="26"/>
    </row>
    <row r="920">
      <c r="A920" s="27"/>
      <c r="B920" s="26"/>
    </row>
    <row r="921">
      <c r="A921" s="27"/>
      <c r="B921" s="26"/>
    </row>
    <row r="922">
      <c r="A922" s="27"/>
      <c r="B922" s="26"/>
    </row>
    <row r="923">
      <c r="A923" s="27"/>
      <c r="B923" s="26"/>
    </row>
    <row r="924">
      <c r="A924" s="27"/>
      <c r="B924" s="26"/>
    </row>
    <row r="925">
      <c r="A925" s="27"/>
      <c r="B925" s="26"/>
    </row>
    <row r="926">
      <c r="A926" s="27"/>
      <c r="B926" s="26"/>
    </row>
    <row r="927">
      <c r="A927" s="27"/>
      <c r="B927" s="26"/>
    </row>
    <row r="928">
      <c r="A928" s="27"/>
      <c r="B928" s="26"/>
    </row>
    <row r="929">
      <c r="A929" s="27"/>
      <c r="B929" s="26"/>
    </row>
    <row r="930">
      <c r="A930" s="27"/>
      <c r="B930" s="26"/>
    </row>
    <row r="931">
      <c r="A931" s="27"/>
      <c r="B931" s="26"/>
    </row>
    <row r="932">
      <c r="A932" s="27"/>
      <c r="B932" s="26"/>
    </row>
    <row r="933">
      <c r="A933" s="27"/>
      <c r="B933" s="26"/>
    </row>
    <row r="934">
      <c r="A934" s="27"/>
      <c r="B934" s="26"/>
    </row>
    <row r="935">
      <c r="A935" s="27"/>
      <c r="B935" s="26"/>
    </row>
    <row r="936">
      <c r="A936" s="27"/>
      <c r="B936" s="26"/>
    </row>
    <row r="937">
      <c r="A937" s="27"/>
      <c r="B937" s="26"/>
    </row>
    <row r="938">
      <c r="A938" s="27"/>
      <c r="B938" s="26"/>
    </row>
    <row r="939">
      <c r="A939" s="27"/>
      <c r="B939" s="26"/>
    </row>
    <row r="940">
      <c r="A940" s="27"/>
      <c r="B940" s="26"/>
    </row>
    <row r="941">
      <c r="A941" s="27"/>
      <c r="B941" s="26"/>
    </row>
    <row r="942">
      <c r="A942" s="27"/>
      <c r="B942" s="26"/>
    </row>
    <row r="943">
      <c r="A943" s="27"/>
      <c r="B943" s="26"/>
    </row>
    <row r="944">
      <c r="A944" s="27"/>
      <c r="B944" s="26"/>
    </row>
    <row r="945">
      <c r="A945" s="27"/>
      <c r="B945" s="26"/>
    </row>
    <row r="946">
      <c r="A946" s="27"/>
      <c r="B946" s="26"/>
    </row>
    <row r="947">
      <c r="A947" s="27"/>
      <c r="B947" s="26"/>
    </row>
    <row r="948">
      <c r="A948" s="27"/>
      <c r="B948" s="26"/>
    </row>
    <row r="949">
      <c r="A949" s="27"/>
      <c r="B949" s="26"/>
    </row>
    <row r="950">
      <c r="A950" s="27"/>
      <c r="B950" s="26"/>
    </row>
    <row r="951">
      <c r="A951" s="27"/>
      <c r="B951" s="26"/>
    </row>
    <row r="952">
      <c r="A952" s="27"/>
      <c r="B952" s="26"/>
    </row>
    <row r="953">
      <c r="A953" s="27"/>
      <c r="B953" s="26"/>
    </row>
    <row r="954">
      <c r="A954" s="27"/>
      <c r="B954" s="26"/>
    </row>
    <row r="955">
      <c r="A955" s="27"/>
      <c r="B955" s="26"/>
    </row>
    <row r="956">
      <c r="A956" s="27"/>
      <c r="B956" s="26"/>
    </row>
    <row r="957">
      <c r="A957" s="27"/>
      <c r="B957" s="26"/>
    </row>
    <row r="958">
      <c r="A958" s="27"/>
      <c r="B958" s="26"/>
    </row>
    <row r="959">
      <c r="A959" s="27"/>
      <c r="B959" s="26"/>
    </row>
    <row r="960">
      <c r="A960" s="27"/>
      <c r="B960" s="26"/>
    </row>
    <row r="961">
      <c r="A961" s="27"/>
      <c r="B961" s="26"/>
    </row>
    <row r="962">
      <c r="A962" s="27"/>
      <c r="B962" s="26"/>
    </row>
    <row r="963">
      <c r="A963" s="27"/>
      <c r="B963" s="26"/>
    </row>
    <row r="964">
      <c r="A964" s="27"/>
      <c r="B964" s="26"/>
    </row>
    <row r="965">
      <c r="A965" s="27"/>
      <c r="B965" s="26"/>
    </row>
    <row r="966">
      <c r="A966" s="27"/>
      <c r="B966" s="26"/>
    </row>
    <row r="967">
      <c r="A967" s="27"/>
      <c r="B967" s="26"/>
    </row>
    <row r="968">
      <c r="A968" s="27"/>
      <c r="B968" s="26"/>
    </row>
    <row r="969">
      <c r="A969" s="27"/>
      <c r="B969" s="26"/>
    </row>
    <row r="970">
      <c r="A970" s="27"/>
      <c r="B970" s="26"/>
    </row>
    <row r="971">
      <c r="A971" s="27"/>
      <c r="B971" s="26"/>
    </row>
    <row r="972">
      <c r="A972" s="27"/>
      <c r="B972" s="26"/>
    </row>
    <row r="973">
      <c r="A973" s="27"/>
      <c r="B973" s="26"/>
    </row>
    <row r="974">
      <c r="A974" s="27"/>
      <c r="B974" s="26"/>
    </row>
    <row r="975">
      <c r="A975" s="27"/>
      <c r="B975" s="26"/>
    </row>
    <row r="976">
      <c r="A976" s="27"/>
      <c r="B976" s="26"/>
    </row>
    <row r="977">
      <c r="A977" s="27"/>
      <c r="B977" s="26"/>
    </row>
    <row r="978">
      <c r="A978" s="27"/>
      <c r="B978" s="26"/>
    </row>
    <row r="979">
      <c r="A979" s="27"/>
      <c r="B979" s="26"/>
    </row>
    <row r="980">
      <c r="A980" s="27"/>
      <c r="B980" s="26"/>
    </row>
    <row r="981">
      <c r="A981" s="27"/>
      <c r="B981" s="26"/>
    </row>
    <row r="982">
      <c r="A982" s="27"/>
      <c r="B982" s="26"/>
    </row>
    <row r="983">
      <c r="A983" s="27"/>
      <c r="B983" s="26"/>
    </row>
    <row r="984">
      <c r="A984" s="27"/>
      <c r="B984" s="26"/>
    </row>
    <row r="985">
      <c r="A985" s="27"/>
      <c r="B985" s="26"/>
    </row>
    <row r="986">
      <c r="A986" s="27"/>
      <c r="B986" s="26"/>
    </row>
    <row r="987">
      <c r="A987" s="27"/>
      <c r="B987" s="26"/>
    </row>
    <row r="988">
      <c r="A988" s="27"/>
      <c r="B988" s="26"/>
    </row>
    <row r="989">
      <c r="A989" s="27"/>
      <c r="B989" s="26"/>
    </row>
    <row r="990">
      <c r="A990" s="27"/>
      <c r="B990" s="26"/>
    </row>
    <row r="991">
      <c r="A991" s="27"/>
      <c r="B991" s="26"/>
    </row>
    <row r="992">
      <c r="A992" s="27"/>
      <c r="B992" s="26"/>
    </row>
    <row r="993">
      <c r="A993" s="27"/>
      <c r="B993" s="26"/>
    </row>
    <row r="994">
      <c r="A994" s="27"/>
      <c r="B994" s="26"/>
    </row>
    <row r="995">
      <c r="A995" s="27"/>
      <c r="B995" s="26"/>
    </row>
    <row r="996">
      <c r="A996" s="27"/>
      <c r="B996" s="26"/>
    </row>
    <row r="997">
      <c r="A997" s="27"/>
      <c r="B997" s="26"/>
    </row>
    <row r="998">
      <c r="A998" s="27"/>
      <c r="B998" s="26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</cols>
  <sheetData>
    <row r="1">
      <c r="A1" s="18" t="s">
        <v>0</v>
      </c>
      <c r="B1" s="19" t="s">
        <v>1</v>
      </c>
    </row>
    <row r="2">
      <c r="A2" s="24" t="s">
        <v>650</v>
      </c>
      <c r="B2" s="25">
        <v>4325.16</v>
      </c>
    </row>
    <row r="3">
      <c r="A3" s="24" t="s">
        <v>745</v>
      </c>
      <c r="B3" s="25">
        <v>306.0</v>
      </c>
    </row>
    <row r="4">
      <c r="A4" s="24" t="s">
        <v>676</v>
      </c>
      <c r="B4" s="25">
        <v>2031.58</v>
      </c>
    </row>
    <row r="5">
      <c r="A5" s="24" t="s">
        <v>706</v>
      </c>
      <c r="B5" s="25">
        <v>50.0</v>
      </c>
    </row>
    <row r="6">
      <c r="A6" s="24" t="s">
        <v>746</v>
      </c>
      <c r="B6" s="25">
        <v>0.0</v>
      </c>
    </row>
    <row r="7">
      <c r="A7" s="24" t="s">
        <v>638</v>
      </c>
      <c r="B7" s="25">
        <v>5774.06</v>
      </c>
    </row>
    <row r="8">
      <c r="A8" s="24" t="s">
        <v>658</v>
      </c>
      <c r="B8" s="25">
        <v>21520.12</v>
      </c>
    </row>
    <row r="9">
      <c r="A9" s="24" t="s">
        <v>747</v>
      </c>
      <c r="B9" s="25">
        <v>33.9</v>
      </c>
    </row>
    <row r="10">
      <c r="A10" s="24" t="s">
        <v>685</v>
      </c>
      <c r="B10" s="25">
        <v>4700.71</v>
      </c>
    </row>
    <row r="11">
      <c r="A11" s="24" t="s">
        <v>675</v>
      </c>
      <c r="B11" s="25">
        <v>661.75</v>
      </c>
    </row>
    <row r="12">
      <c r="A12" s="24" t="s">
        <v>630</v>
      </c>
      <c r="B12" s="25">
        <v>264.2</v>
      </c>
    </row>
    <row r="13">
      <c r="A13" s="24" t="s">
        <v>748</v>
      </c>
      <c r="B13" s="25">
        <v>1374.0</v>
      </c>
    </row>
    <row r="14">
      <c r="A14" s="24" t="s">
        <v>729</v>
      </c>
      <c r="B14" s="25">
        <v>2644.54</v>
      </c>
    </row>
    <row r="15">
      <c r="A15" s="24" t="s">
        <v>694</v>
      </c>
      <c r="B15" s="25">
        <v>-661.82</v>
      </c>
    </row>
    <row r="16">
      <c r="A16" s="24" t="s">
        <v>749</v>
      </c>
      <c r="B16" s="25">
        <v>25.0</v>
      </c>
    </row>
    <row r="17">
      <c r="A17" s="24" t="s">
        <v>744</v>
      </c>
      <c r="B17" s="25">
        <v>139.59</v>
      </c>
    </row>
    <row r="18">
      <c r="A18" s="24" t="s">
        <v>750</v>
      </c>
      <c r="B18" s="28">
        <v>1753.83</v>
      </c>
    </row>
    <row r="19">
      <c r="A19" s="24" t="s">
        <v>702</v>
      </c>
      <c r="B19" s="25">
        <v>145.0</v>
      </c>
    </row>
    <row r="20">
      <c r="A20" s="24" t="s">
        <v>700</v>
      </c>
      <c r="B20" s="25">
        <v>829.5</v>
      </c>
    </row>
    <row r="21">
      <c r="A21" s="24" t="s">
        <v>751</v>
      </c>
      <c r="B21" s="25">
        <v>260.08</v>
      </c>
    </row>
    <row r="22">
      <c r="A22" s="24" t="s">
        <v>752</v>
      </c>
      <c r="B22" s="25">
        <v>1245.0</v>
      </c>
    </row>
    <row r="23">
      <c r="A23" s="24" t="s">
        <v>382</v>
      </c>
      <c r="B23" s="25">
        <f>SUM(B2:B22)</f>
        <v>47422.2</v>
      </c>
    </row>
    <row r="24">
      <c r="A24" s="24"/>
      <c r="B24" s="25"/>
    </row>
    <row r="25">
      <c r="A25" s="24"/>
      <c r="B25" s="7"/>
    </row>
    <row r="26">
      <c r="A26" s="24"/>
      <c r="B26" s="25"/>
    </row>
    <row r="27">
      <c r="A27" s="24"/>
      <c r="B27" s="25"/>
    </row>
    <row r="28">
      <c r="A28" s="24"/>
      <c r="B28" s="25"/>
    </row>
    <row r="29">
      <c r="A29" s="24"/>
      <c r="B29" s="25"/>
    </row>
    <row r="30">
      <c r="A30" s="24"/>
      <c r="B30" s="25"/>
    </row>
    <row r="31">
      <c r="A31" s="24"/>
      <c r="B31" s="25"/>
    </row>
    <row r="32">
      <c r="A32" s="24"/>
      <c r="B32" s="25"/>
    </row>
    <row r="33">
      <c r="A33" s="24"/>
      <c r="B33" s="25"/>
    </row>
    <row r="34">
      <c r="A34" s="24"/>
      <c r="B34" s="25"/>
    </row>
    <row r="35">
      <c r="A35" s="24"/>
      <c r="B35" s="25"/>
    </row>
    <row r="36">
      <c r="A36" s="24"/>
      <c r="B36" s="25"/>
    </row>
    <row r="37">
      <c r="A37" s="24"/>
      <c r="B37" s="25"/>
    </row>
    <row r="38">
      <c r="A38" s="24"/>
      <c r="B38" s="25"/>
    </row>
    <row r="39">
      <c r="A39" s="24"/>
      <c r="B39" s="25"/>
    </row>
    <row r="40">
      <c r="A40" s="24"/>
      <c r="B40" s="25"/>
    </row>
    <row r="41">
      <c r="A41" s="24"/>
      <c r="B41" s="26"/>
    </row>
    <row r="42">
      <c r="A42" s="27"/>
      <c r="B42" s="26"/>
    </row>
    <row r="43">
      <c r="A43" s="27"/>
      <c r="B43" s="26"/>
    </row>
    <row r="44">
      <c r="A44" s="27"/>
      <c r="B44" s="26"/>
    </row>
    <row r="45">
      <c r="A45" s="27"/>
      <c r="B45" s="26"/>
    </row>
    <row r="46">
      <c r="A46" s="27"/>
      <c r="B46" s="26"/>
    </row>
    <row r="47">
      <c r="A47" s="27"/>
      <c r="B47" s="26"/>
    </row>
    <row r="48">
      <c r="A48" s="27"/>
      <c r="B48" s="26"/>
    </row>
    <row r="49">
      <c r="A49" s="27"/>
      <c r="B49" s="26"/>
    </row>
    <row r="50">
      <c r="A50" s="27"/>
      <c r="B50" s="26"/>
    </row>
    <row r="51">
      <c r="A51" s="27"/>
      <c r="B51" s="26"/>
    </row>
    <row r="52">
      <c r="A52" s="27"/>
      <c r="B52" s="26"/>
    </row>
    <row r="53">
      <c r="A53" s="27"/>
      <c r="B53" s="26"/>
    </row>
    <row r="54">
      <c r="A54" s="27"/>
      <c r="B54" s="26"/>
    </row>
    <row r="55">
      <c r="A55" s="27"/>
      <c r="B55" s="26"/>
    </row>
    <row r="56">
      <c r="A56" s="27"/>
      <c r="B56" s="26"/>
    </row>
    <row r="57">
      <c r="A57" s="27"/>
      <c r="B57" s="26"/>
    </row>
    <row r="58">
      <c r="A58" s="27"/>
      <c r="B58" s="26"/>
    </row>
    <row r="59">
      <c r="A59" s="27"/>
      <c r="B59" s="26"/>
    </row>
    <row r="60">
      <c r="A60" s="27"/>
      <c r="B60" s="26"/>
    </row>
    <row r="61">
      <c r="A61" s="27"/>
      <c r="B61" s="26"/>
    </row>
    <row r="62">
      <c r="A62" s="27"/>
      <c r="B62" s="26"/>
    </row>
    <row r="63">
      <c r="A63" s="27"/>
      <c r="B63" s="26"/>
    </row>
    <row r="64">
      <c r="A64" s="27"/>
      <c r="B64" s="26"/>
    </row>
    <row r="65">
      <c r="A65" s="27"/>
      <c r="B65" s="26"/>
    </row>
    <row r="66">
      <c r="A66" s="27"/>
      <c r="B66" s="26"/>
    </row>
    <row r="67">
      <c r="A67" s="27"/>
      <c r="B67" s="26"/>
    </row>
    <row r="68">
      <c r="A68" s="27"/>
      <c r="B68" s="26"/>
    </row>
    <row r="69">
      <c r="A69" s="27"/>
      <c r="B69" s="26"/>
    </row>
    <row r="70">
      <c r="A70" s="27"/>
      <c r="B70" s="26"/>
    </row>
    <row r="71">
      <c r="A71" s="27"/>
      <c r="B71" s="26"/>
    </row>
    <row r="72">
      <c r="A72" s="27"/>
      <c r="B72" s="26"/>
    </row>
    <row r="73">
      <c r="A73" s="27"/>
      <c r="B73" s="26"/>
    </row>
    <row r="74">
      <c r="A74" s="27"/>
      <c r="B74" s="26"/>
    </row>
    <row r="75">
      <c r="A75" s="27"/>
      <c r="B75" s="26"/>
    </row>
    <row r="76">
      <c r="A76" s="27"/>
      <c r="B76" s="26"/>
    </row>
    <row r="77">
      <c r="A77" s="27"/>
      <c r="B77" s="26"/>
    </row>
    <row r="78">
      <c r="A78" s="27"/>
      <c r="B78" s="26"/>
    </row>
    <row r="79">
      <c r="A79" s="27"/>
      <c r="B79" s="26"/>
    </row>
    <row r="80">
      <c r="A80" s="27"/>
      <c r="B80" s="26"/>
    </row>
    <row r="81">
      <c r="A81" s="27"/>
      <c r="B81" s="26"/>
    </row>
    <row r="82">
      <c r="A82" s="27"/>
      <c r="B82" s="26"/>
    </row>
    <row r="83">
      <c r="A83" s="27"/>
      <c r="B83" s="26"/>
    </row>
    <row r="84">
      <c r="A84" s="27"/>
      <c r="B84" s="26"/>
    </row>
    <row r="85">
      <c r="A85" s="27"/>
      <c r="B85" s="26"/>
    </row>
    <row r="86">
      <c r="A86" s="27"/>
      <c r="B86" s="26"/>
    </row>
    <row r="87">
      <c r="A87" s="27"/>
      <c r="B87" s="26"/>
    </row>
    <row r="88">
      <c r="A88" s="27"/>
      <c r="B88" s="26"/>
    </row>
    <row r="89">
      <c r="A89" s="27"/>
      <c r="B89" s="26"/>
    </row>
    <row r="90">
      <c r="A90" s="27"/>
      <c r="B90" s="26"/>
    </row>
    <row r="91">
      <c r="A91" s="27"/>
      <c r="B91" s="26"/>
    </row>
    <row r="92">
      <c r="A92" s="27"/>
      <c r="B92" s="26"/>
    </row>
    <row r="93">
      <c r="A93" s="27"/>
      <c r="B93" s="26"/>
    </row>
    <row r="94">
      <c r="A94" s="27"/>
      <c r="B94" s="26"/>
    </row>
    <row r="95">
      <c r="A95" s="27"/>
      <c r="B95" s="26"/>
    </row>
    <row r="96">
      <c r="A96" s="27"/>
      <c r="B96" s="26"/>
    </row>
    <row r="97">
      <c r="A97" s="27"/>
      <c r="B97" s="26"/>
    </row>
    <row r="98">
      <c r="A98" s="27"/>
      <c r="B98" s="26"/>
    </row>
    <row r="99">
      <c r="A99" s="27"/>
      <c r="B99" s="26"/>
    </row>
    <row r="100">
      <c r="A100" s="27"/>
      <c r="B100" s="26"/>
    </row>
    <row r="101">
      <c r="A101" s="27"/>
      <c r="B101" s="26"/>
    </row>
    <row r="102">
      <c r="A102" s="27"/>
      <c r="B102" s="26"/>
    </row>
    <row r="103">
      <c r="A103" s="27"/>
      <c r="B103" s="26"/>
    </row>
    <row r="104">
      <c r="A104" s="27"/>
      <c r="B104" s="26"/>
    </row>
    <row r="105">
      <c r="A105" s="27"/>
      <c r="B105" s="26"/>
    </row>
    <row r="106">
      <c r="A106" s="27"/>
      <c r="B106" s="26"/>
    </row>
    <row r="107">
      <c r="A107" s="27"/>
      <c r="B107" s="26"/>
    </row>
    <row r="108">
      <c r="A108" s="27"/>
      <c r="B108" s="26"/>
    </row>
    <row r="109">
      <c r="A109" s="27"/>
      <c r="B109" s="26"/>
    </row>
    <row r="110">
      <c r="A110" s="27"/>
      <c r="B110" s="26"/>
    </row>
    <row r="111">
      <c r="A111" s="27"/>
      <c r="B111" s="26"/>
    </row>
    <row r="112">
      <c r="A112" s="27"/>
      <c r="B112" s="26"/>
    </row>
    <row r="113">
      <c r="A113" s="27"/>
      <c r="B113" s="26"/>
    </row>
    <row r="114">
      <c r="A114" s="27"/>
      <c r="B114" s="26"/>
    </row>
    <row r="115">
      <c r="A115" s="27"/>
      <c r="B115" s="26"/>
    </row>
    <row r="116">
      <c r="A116" s="27"/>
      <c r="B116" s="26"/>
    </row>
    <row r="117">
      <c r="A117" s="27"/>
      <c r="B117" s="26"/>
    </row>
    <row r="118">
      <c r="A118" s="27"/>
      <c r="B118" s="26"/>
    </row>
    <row r="119">
      <c r="A119" s="27"/>
      <c r="B119" s="26"/>
    </row>
    <row r="120">
      <c r="A120" s="27"/>
      <c r="B120" s="26"/>
    </row>
    <row r="121">
      <c r="A121" s="27"/>
      <c r="B121" s="26"/>
    </row>
    <row r="122">
      <c r="A122" s="27"/>
      <c r="B122" s="26"/>
    </row>
    <row r="123">
      <c r="A123" s="27"/>
      <c r="B123" s="26"/>
    </row>
    <row r="124">
      <c r="A124" s="27"/>
      <c r="B124" s="26"/>
    </row>
    <row r="125">
      <c r="A125" s="27"/>
      <c r="B125" s="26"/>
    </row>
    <row r="126">
      <c r="A126" s="27"/>
      <c r="B126" s="26"/>
    </row>
    <row r="127">
      <c r="A127" s="27"/>
      <c r="B127" s="26"/>
    </row>
    <row r="128">
      <c r="A128" s="27"/>
      <c r="B128" s="26"/>
    </row>
    <row r="129">
      <c r="A129" s="27"/>
      <c r="B129" s="26"/>
    </row>
    <row r="130">
      <c r="A130" s="27"/>
      <c r="B130" s="26"/>
    </row>
    <row r="131">
      <c r="A131" s="27"/>
      <c r="B131" s="26"/>
    </row>
    <row r="132">
      <c r="A132" s="27"/>
      <c r="B132" s="26"/>
    </row>
    <row r="133">
      <c r="A133" s="27"/>
      <c r="B133" s="26"/>
    </row>
    <row r="134">
      <c r="A134" s="27"/>
      <c r="B134" s="26"/>
    </row>
    <row r="135">
      <c r="A135" s="27"/>
      <c r="B135" s="26"/>
    </row>
    <row r="136">
      <c r="A136" s="27"/>
      <c r="B136" s="26"/>
    </row>
    <row r="137">
      <c r="A137" s="27"/>
      <c r="B137" s="26"/>
    </row>
    <row r="138">
      <c r="A138" s="27"/>
      <c r="B138" s="26"/>
    </row>
    <row r="139">
      <c r="A139" s="27"/>
      <c r="B139" s="26"/>
    </row>
    <row r="140">
      <c r="A140" s="27"/>
      <c r="B140" s="26"/>
    </row>
    <row r="141">
      <c r="A141" s="27"/>
      <c r="B141" s="26"/>
    </row>
    <row r="142">
      <c r="A142" s="27"/>
      <c r="B142" s="26"/>
    </row>
    <row r="143">
      <c r="A143" s="27"/>
      <c r="B143" s="26"/>
    </row>
    <row r="144">
      <c r="A144" s="27"/>
      <c r="B144" s="26"/>
    </row>
    <row r="145">
      <c r="A145" s="27"/>
      <c r="B145" s="26"/>
    </row>
    <row r="146">
      <c r="A146" s="27"/>
      <c r="B146" s="26"/>
    </row>
    <row r="147">
      <c r="A147" s="27"/>
      <c r="B147" s="26"/>
    </row>
    <row r="148">
      <c r="A148" s="27"/>
      <c r="B148" s="26"/>
    </row>
    <row r="149">
      <c r="A149" s="27"/>
      <c r="B149" s="26"/>
    </row>
    <row r="150">
      <c r="A150" s="27"/>
      <c r="B150" s="26"/>
    </row>
    <row r="151">
      <c r="A151" s="27"/>
      <c r="B151" s="26"/>
    </row>
    <row r="152">
      <c r="A152" s="27"/>
      <c r="B152" s="26"/>
    </row>
    <row r="153">
      <c r="A153" s="27"/>
      <c r="B153" s="26"/>
    </row>
    <row r="154">
      <c r="A154" s="27"/>
      <c r="B154" s="26"/>
    </row>
    <row r="155">
      <c r="A155" s="27"/>
      <c r="B155" s="26"/>
    </row>
    <row r="156">
      <c r="A156" s="27"/>
      <c r="B156" s="26"/>
    </row>
    <row r="157">
      <c r="A157" s="27"/>
      <c r="B157" s="26"/>
    </row>
    <row r="158">
      <c r="A158" s="27"/>
      <c r="B158" s="26"/>
    </row>
    <row r="159">
      <c r="A159" s="27"/>
      <c r="B159" s="26"/>
    </row>
    <row r="160">
      <c r="A160" s="27"/>
      <c r="B160" s="26"/>
    </row>
    <row r="161">
      <c r="A161" s="27"/>
      <c r="B161" s="26"/>
    </row>
    <row r="162">
      <c r="A162" s="27"/>
      <c r="B162" s="26"/>
    </row>
    <row r="163">
      <c r="A163" s="27"/>
      <c r="B163" s="26"/>
    </row>
    <row r="164">
      <c r="A164" s="27"/>
      <c r="B164" s="26"/>
    </row>
    <row r="165">
      <c r="A165" s="27"/>
      <c r="B165" s="26"/>
    </row>
    <row r="166">
      <c r="A166" s="27"/>
      <c r="B166" s="26"/>
    </row>
    <row r="167">
      <c r="A167" s="27"/>
      <c r="B167" s="26"/>
    </row>
    <row r="168">
      <c r="A168" s="27"/>
      <c r="B168" s="26"/>
    </row>
    <row r="169">
      <c r="A169" s="27"/>
      <c r="B169" s="26"/>
    </row>
    <row r="170">
      <c r="A170" s="27"/>
      <c r="B170" s="26"/>
    </row>
    <row r="171">
      <c r="A171" s="27"/>
      <c r="B171" s="26"/>
    </row>
    <row r="172">
      <c r="A172" s="27"/>
      <c r="B172" s="26"/>
    </row>
    <row r="173">
      <c r="A173" s="27"/>
      <c r="B173" s="26"/>
    </row>
    <row r="174">
      <c r="A174" s="27"/>
      <c r="B174" s="26"/>
    </row>
    <row r="175">
      <c r="A175" s="27"/>
      <c r="B175" s="26"/>
    </row>
    <row r="176">
      <c r="A176" s="27"/>
      <c r="B176" s="26"/>
    </row>
    <row r="177">
      <c r="A177" s="27"/>
      <c r="B177" s="26"/>
    </row>
    <row r="178">
      <c r="A178" s="27"/>
      <c r="B178" s="26"/>
    </row>
    <row r="179">
      <c r="A179" s="27"/>
      <c r="B179" s="26"/>
    </row>
    <row r="180">
      <c r="A180" s="27"/>
      <c r="B180" s="26"/>
    </row>
    <row r="181">
      <c r="A181" s="27"/>
      <c r="B181" s="26"/>
    </row>
    <row r="182">
      <c r="A182" s="27"/>
      <c r="B182" s="26"/>
    </row>
    <row r="183">
      <c r="A183" s="27"/>
      <c r="B183" s="26"/>
    </row>
    <row r="184">
      <c r="A184" s="27"/>
      <c r="B184" s="26"/>
    </row>
    <row r="185">
      <c r="A185" s="27"/>
      <c r="B185" s="26"/>
    </row>
    <row r="186">
      <c r="A186" s="27"/>
      <c r="B186" s="26"/>
    </row>
    <row r="187">
      <c r="A187" s="27"/>
      <c r="B187" s="26"/>
    </row>
    <row r="188">
      <c r="A188" s="27"/>
      <c r="B188" s="26"/>
    </row>
    <row r="189">
      <c r="A189" s="27"/>
      <c r="B189" s="26"/>
    </row>
    <row r="190">
      <c r="A190" s="27"/>
      <c r="B190" s="26"/>
    </row>
    <row r="191">
      <c r="A191" s="27"/>
      <c r="B191" s="26"/>
    </row>
    <row r="192">
      <c r="A192" s="27"/>
      <c r="B192" s="26"/>
    </row>
    <row r="193">
      <c r="A193" s="27"/>
      <c r="B193" s="26"/>
    </row>
    <row r="194">
      <c r="A194" s="27"/>
      <c r="B194" s="26"/>
    </row>
    <row r="195">
      <c r="A195" s="27"/>
      <c r="B195" s="26"/>
    </row>
    <row r="196">
      <c r="A196" s="27"/>
      <c r="B196" s="26"/>
    </row>
    <row r="197">
      <c r="A197" s="27"/>
      <c r="B197" s="26"/>
    </row>
    <row r="198">
      <c r="A198" s="27"/>
      <c r="B198" s="26"/>
    </row>
    <row r="199">
      <c r="A199" s="27"/>
      <c r="B199" s="26"/>
    </row>
    <row r="200">
      <c r="A200" s="27"/>
      <c r="B200" s="26"/>
    </row>
    <row r="201">
      <c r="A201" s="27"/>
      <c r="B201" s="26"/>
    </row>
    <row r="202">
      <c r="A202" s="27"/>
      <c r="B202" s="26"/>
    </row>
    <row r="203">
      <c r="A203" s="27"/>
      <c r="B203" s="26"/>
    </row>
    <row r="204">
      <c r="A204" s="27"/>
      <c r="B204" s="26"/>
    </row>
    <row r="205">
      <c r="A205" s="27"/>
      <c r="B205" s="26"/>
    </row>
    <row r="206">
      <c r="A206" s="27"/>
      <c r="B206" s="26"/>
    </row>
    <row r="207">
      <c r="A207" s="27"/>
      <c r="B207" s="26"/>
    </row>
    <row r="208">
      <c r="A208" s="27"/>
      <c r="B208" s="26"/>
    </row>
    <row r="209">
      <c r="A209" s="27"/>
      <c r="B209" s="26"/>
    </row>
    <row r="210">
      <c r="A210" s="27"/>
      <c r="B210" s="26"/>
    </row>
    <row r="211">
      <c r="A211" s="27"/>
      <c r="B211" s="26"/>
    </row>
    <row r="212">
      <c r="A212" s="27"/>
      <c r="B212" s="26"/>
    </row>
    <row r="213">
      <c r="A213" s="27"/>
      <c r="B213" s="26"/>
    </row>
    <row r="214">
      <c r="A214" s="27"/>
      <c r="B214" s="26"/>
    </row>
    <row r="215">
      <c r="A215" s="27"/>
      <c r="B215" s="26"/>
    </row>
    <row r="216">
      <c r="A216" s="27"/>
      <c r="B216" s="26"/>
    </row>
    <row r="217">
      <c r="A217" s="27"/>
      <c r="B217" s="26"/>
    </row>
    <row r="218">
      <c r="A218" s="27"/>
      <c r="B218" s="26"/>
    </row>
    <row r="219">
      <c r="A219" s="27"/>
      <c r="B219" s="26"/>
    </row>
    <row r="220">
      <c r="A220" s="27"/>
      <c r="B220" s="26"/>
    </row>
    <row r="221">
      <c r="A221" s="27"/>
      <c r="B221" s="26"/>
    </row>
    <row r="222">
      <c r="A222" s="27"/>
      <c r="B222" s="26"/>
    </row>
    <row r="223">
      <c r="A223" s="27"/>
      <c r="B223" s="26"/>
    </row>
    <row r="224">
      <c r="A224" s="27"/>
      <c r="B224" s="26"/>
    </row>
    <row r="225">
      <c r="A225" s="27"/>
      <c r="B225" s="26"/>
    </row>
    <row r="226">
      <c r="A226" s="27"/>
      <c r="B226" s="26"/>
    </row>
    <row r="227">
      <c r="A227" s="27"/>
      <c r="B227" s="26"/>
    </row>
    <row r="228">
      <c r="A228" s="27"/>
      <c r="B228" s="26"/>
    </row>
    <row r="229">
      <c r="A229" s="27"/>
      <c r="B229" s="26"/>
    </row>
    <row r="230">
      <c r="A230" s="27"/>
      <c r="B230" s="26"/>
    </row>
    <row r="231">
      <c r="A231" s="27"/>
      <c r="B231" s="26"/>
    </row>
    <row r="232">
      <c r="A232" s="27"/>
      <c r="B232" s="26"/>
    </row>
    <row r="233">
      <c r="A233" s="27"/>
      <c r="B233" s="26"/>
    </row>
    <row r="234">
      <c r="A234" s="27"/>
      <c r="B234" s="26"/>
    </row>
    <row r="235">
      <c r="A235" s="27"/>
      <c r="B235" s="26"/>
    </row>
    <row r="236">
      <c r="A236" s="27"/>
      <c r="B236" s="26"/>
    </row>
    <row r="237">
      <c r="A237" s="27"/>
      <c r="B237" s="26"/>
    </row>
    <row r="238">
      <c r="A238" s="27"/>
      <c r="B238" s="26"/>
    </row>
    <row r="239">
      <c r="A239" s="27"/>
      <c r="B239" s="26"/>
    </row>
    <row r="240">
      <c r="A240" s="27"/>
      <c r="B240" s="26"/>
    </row>
    <row r="241">
      <c r="A241" s="27"/>
      <c r="B241" s="26"/>
    </row>
    <row r="242">
      <c r="A242" s="27"/>
      <c r="B242" s="26"/>
    </row>
    <row r="243">
      <c r="A243" s="27"/>
      <c r="B243" s="26"/>
    </row>
    <row r="244">
      <c r="A244" s="27"/>
      <c r="B244" s="26"/>
    </row>
    <row r="245">
      <c r="A245" s="27"/>
      <c r="B245" s="26"/>
    </row>
    <row r="246">
      <c r="A246" s="27"/>
      <c r="B246" s="26"/>
    </row>
    <row r="247">
      <c r="A247" s="27"/>
      <c r="B247" s="26"/>
    </row>
    <row r="248">
      <c r="A248" s="27"/>
      <c r="B248" s="26"/>
    </row>
    <row r="249">
      <c r="A249" s="27"/>
      <c r="B249" s="26"/>
    </row>
    <row r="250">
      <c r="A250" s="27"/>
      <c r="B250" s="26"/>
    </row>
    <row r="251">
      <c r="A251" s="27"/>
      <c r="B251" s="26"/>
    </row>
    <row r="252">
      <c r="A252" s="27"/>
      <c r="B252" s="26"/>
    </row>
    <row r="253">
      <c r="A253" s="27"/>
      <c r="B253" s="26"/>
    </row>
    <row r="254">
      <c r="A254" s="27"/>
      <c r="B254" s="26"/>
    </row>
    <row r="255">
      <c r="A255" s="27"/>
      <c r="B255" s="26"/>
    </row>
    <row r="256">
      <c r="A256" s="27"/>
      <c r="B256" s="26"/>
    </row>
    <row r="257">
      <c r="A257" s="27"/>
      <c r="B257" s="26"/>
    </row>
    <row r="258">
      <c r="A258" s="27"/>
      <c r="B258" s="26"/>
    </row>
    <row r="259">
      <c r="A259" s="27"/>
      <c r="B259" s="26"/>
    </row>
    <row r="260">
      <c r="A260" s="27"/>
      <c r="B260" s="26"/>
    </row>
    <row r="261">
      <c r="A261" s="27"/>
      <c r="B261" s="26"/>
    </row>
    <row r="262">
      <c r="A262" s="27"/>
      <c r="B262" s="26"/>
    </row>
    <row r="263">
      <c r="A263" s="27"/>
      <c r="B263" s="26"/>
    </row>
    <row r="264">
      <c r="A264" s="27"/>
      <c r="B264" s="26"/>
    </row>
    <row r="265">
      <c r="A265" s="27"/>
      <c r="B265" s="26"/>
    </row>
    <row r="266">
      <c r="A266" s="27"/>
      <c r="B266" s="26"/>
    </row>
    <row r="267">
      <c r="A267" s="27"/>
      <c r="B267" s="26"/>
    </row>
    <row r="268">
      <c r="A268" s="27"/>
      <c r="B268" s="26"/>
    </row>
    <row r="269">
      <c r="A269" s="27"/>
      <c r="B269" s="26"/>
    </row>
    <row r="270">
      <c r="A270" s="27"/>
      <c r="B270" s="26"/>
    </row>
    <row r="271">
      <c r="A271" s="27"/>
      <c r="B271" s="26"/>
    </row>
    <row r="272">
      <c r="A272" s="27"/>
      <c r="B272" s="26"/>
    </row>
    <row r="273">
      <c r="A273" s="27"/>
      <c r="B273" s="26"/>
    </row>
    <row r="274">
      <c r="A274" s="27"/>
      <c r="B274" s="26"/>
    </row>
    <row r="275">
      <c r="A275" s="27"/>
      <c r="B275" s="26"/>
    </row>
    <row r="276">
      <c r="A276" s="27"/>
      <c r="B276" s="26"/>
    </row>
    <row r="277">
      <c r="A277" s="27"/>
      <c r="B277" s="26"/>
    </row>
    <row r="278">
      <c r="A278" s="27"/>
      <c r="B278" s="26"/>
    </row>
    <row r="279">
      <c r="A279" s="27"/>
      <c r="B279" s="26"/>
    </row>
    <row r="280">
      <c r="A280" s="27"/>
      <c r="B280" s="26"/>
    </row>
    <row r="281">
      <c r="A281" s="27"/>
      <c r="B281" s="26"/>
    </row>
    <row r="282">
      <c r="A282" s="27"/>
      <c r="B282" s="26"/>
    </row>
    <row r="283">
      <c r="A283" s="27"/>
      <c r="B283" s="26"/>
    </row>
    <row r="284">
      <c r="A284" s="27"/>
      <c r="B284" s="26"/>
    </row>
    <row r="285">
      <c r="A285" s="27"/>
      <c r="B285" s="26"/>
    </row>
    <row r="286">
      <c r="A286" s="27"/>
      <c r="B286" s="26"/>
    </row>
    <row r="287">
      <c r="A287" s="27"/>
      <c r="B287" s="26"/>
    </row>
    <row r="288">
      <c r="A288" s="27"/>
      <c r="B288" s="26"/>
    </row>
    <row r="289">
      <c r="A289" s="27"/>
      <c r="B289" s="26"/>
    </row>
    <row r="290">
      <c r="A290" s="27"/>
      <c r="B290" s="26"/>
    </row>
    <row r="291">
      <c r="A291" s="27"/>
      <c r="B291" s="26"/>
    </row>
    <row r="292">
      <c r="A292" s="27"/>
      <c r="B292" s="26"/>
    </row>
    <row r="293">
      <c r="A293" s="27"/>
      <c r="B293" s="26"/>
    </row>
    <row r="294">
      <c r="A294" s="27"/>
      <c r="B294" s="26"/>
    </row>
    <row r="295">
      <c r="A295" s="27"/>
      <c r="B295" s="26"/>
    </row>
    <row r="296">
      <c r="A296" s="27"/>
      <c r="B296" s="26"/>
    </row>
    <row r="297">
      <c r="A297" s="27"/>
      <c r="B297" s="26"/>
    </row>
    <row r="298">
      <c r="A298" s="27"/>
      <c r="B298" s="26"/>
    </row>
    <row r="299">
      <c r="A299" s="27"/>
      <c r="B299" s="26"/>
    </row>
    <row r="300">
      <c r="A300" s="27"/>
      <c r="B300" s="26"/>
    </row>
    <row r="301">
      <c r="A301" s="27"/>
      <c r="B301" s="26"/>
    </row>
    <row r="302">
      <c r="A302" s="27"/>
      <c r="B302" s="26"/>
    </row>
    <row r="303">
      <c r="A303" s="27"/>
      <c r="B303" s="26"/>
    </row>
    <row r="304">
      <c r="A304" s="27"/>
      <c r="B304" s="26"/>
    </row>
    <row r="305">
      <c r="A305" s="27"/>
      <c r="B305" s="26"/>
    </row>
    <row r="306">
      <c r="A306" s="27"/>
      <c r="B306" s="26"/>
    </row>
    <row r="307">
      <c r="A307" s="27"/>
      <c r="B307" s="26"/>
    </row>
    <row r="308">
      <c r="A308" s="27"/>
      <c r="B308" s="26"/>
    </row>
    <row r="309">
      <c r="A309" s="27"/>
      <c r="B309" s="26"/>
    </row>
    <row r="310">
      <c r="A310" s="27"/>
      <c r="B310" s="26"/>
    </row>
    <row r="311">
      <c r="A311" s="27"/>
      <c r="B311" s="26"/>
    </row>
    <row r="312">
      <c r="A312" s="27"/>
      <c r="B312" s="26"/>
    </row>
    <row r="313">
      <c r="A313" s="27"/>
      <c r="B313" s="26"/>
    </row>
    <row r="314">
      <c r="A314" s="27"/>
      <c r="B314" s="26"/>
    </row>
    <row r="315">
      <c r="A315" s="27"/>
      <c r="B315" s="26"/>
    </row>
    <row r="316">
      <c r="A316" s="27"/>
      <c r="B316" s="26"/>
    </row>
    <row r="317">
      <c r="A317" s="27"/>
      <c r="B317" s="26"/>
    </row>
    <row r="318">
      <c r="A318" s="27"/>
      <c r="B318" s="26"/>
    </row>
    <row r="319">
      <c r="A319" s="27"/>
      <c r="B319" s="26"/>
    </row>
    <row r="320">
      <c r="A320" s="27"/>
      <c r="B320" s="26"/>
    </row>
    <row r="321">
      <c r="A321" s="27"/>
      <c r="B321" s="26"/>
    </row>
    <row r="322">
      <c r="A322" s="27"/>
      <c r="B322" s="26"/>
    </row>
    <row r="323">
      <c r="A323" s="27"/>
      <c r="B323" s="26"/>
    </row>
    <row r="324">
      <c r="A324" s="27"/>
      <c r="B324" s="26"/>
    </row>
    <row r="325">
      <c r="A325" s="27"/>
      <c r="B325" s="26"/>
    </row>
    <row r="326">
      <c r="A326" s="27"/>
      <c r="B326" s="26"/>
    </row>
    <row r="327">
      <c r="A327" s="27"/>
      <c r="B327" s="26"/>
    </row>
    <row r="328">
      <c r="A328" s="27"/>
      <c r="B328" s="26"/>
    </row>
    <row r="329">
      <c r="A329" s="27"/>
      <c r="B329" s="26"/>
    </row>
    <row r="330">
      <c r="A330" s="27"/>
      <c r="B330" s="26"/>
    </row>
    <row r="331">
      <c r="A331" s="27"/>
      <c r="B331" s="26"/>
    </row>
    <row r="332">
      <c r="A332" s="27"/>
      <c r="B332" s="26"/>
    </row>
    <row r="333">
      <c r="A333" s="27"/>
      <c r="B333" s="26"/>
    </row>
    <row r="334">
      <c r="A334" s="27"/>
      <c r="B334" s="26"/>
    </row>
    <row r="335">
      <c r="A335" s="27"/>
      <c r="B335" s="26"/>
    </row>
    <row r="336">
      <c r="A336" s="27"/>
      <c r="B336" s="26"/>
    </row>
    <row r="337">
      <c r="A337" s="27"/>
      <c r="B337" s="26"/>
    </row>
    <row r="338">
      <c r="A338" s="27"/>
      <c r="B338" s="26"/>
    </row>
    <row r="339">
      <c r="A339" s="27"/>
      <c r="B339" s="26"/>
    </row>
    <row r="340">
      <c r="A340" s="27"/>
      <c r="B340" s="26"/>
    </row>
    <row r="341">
      <c r="A341" s="27"/>
      <c r="B341" s="26"/>
    </row>
    <row r="342">
      <c r="A342" s="27"/>
      <c r="B342" s="26"/>
    </row>
    <row r="343">
      <c r="A343" s="27"/>
      <c r="B343" s="26"/>
    </row>
    <row r="344">
      <c r="A344" s="27"/>
      <c r="B344" s="26"/>
    </row>
    <row r="345">
      <c r="A345" s="27"/>
      <c r="B345" s="26"/>
    </row>
    <row r="346">
      <c r="A346" s="27"/>
      <c r="B346" s="26"/>
    </row>
    <row r="347">
      <c r="A347" s="27"/>
      <c r="B347" s="26"/>
    </row>
    <row r="348">
      <c r="A348" s="27"/>
      <c r="B348" s="26"/>
    </row>
    <row r="349">
      <c r="A349" s="27"/>
      <c r="B349" s="26"/>
    </row>
    <row r="350">
      <c r="A350" s="27"/>
      <c r="B350" s="26"/>
    </row>
    <row r="351">
      <c r="A351" s="27"/>
      <c r="B351" s="26"/>
    </row>
    <row r="352">
      <c r="A352" s="27"/>
      <c r="B352" s="26"/>
    </row>
    <row r="353">
      <c r="A353" s="27"/>
      <c r="B353" s="26"/>
    </row>
    <row r="354">
      <c r="A354" s="27"/>
      <c r="B354" s="26"/>
    </row>
    <row r="355">
      <c r="A355" s="27"/>
      <c r="B355" s="26"/>
    </row>
    <row r="356">
      <c r="A356" s="27"/>
      <c r="B356" s="26"/>
    </row>
    <row r="357">
      <c r="A357" s="27"/>
      <c r="B357" s="26"/>
    </row>
    <row r="358">
      <c r="A358" s="27"/>
      <c r="B358" s="26"/>
    </row>
    <row r="359">
      <c r="A359" s="27"/>
      <c r="B359" s="26"/>
    </row>
    <row r="360">
      <c r="A360" s="27"/>
      <c r="B360" s="26"/>
    </row>
    <row r="361">
      <c r="A361" s="27"/>
      <c r="B361" s="26"/>
    </row>
    <row r="362">
      <c r="A362" s="27"/>
      <c r="B362" s="26"/>
    </row>
    <row r="363">
      <c r="A363" s="27"/>
      <c r="B363" s="26"/>
    </row>
    <row r="364">
      <c r="A364" s="27"/>
      <c r="B364" s="26"/>
    </row>
    <row r="365">
      <c r="A365" s="27"/>
      <c r="B365" s="26"/>
    </row>
    <row r="366">
      <c r="A366" s="27"/>
      <c r="B366" s="26"/>
    </row>
    <row r="367">
      <c r="A367" s="27"/>
      <c r="B367" s="26"/>
    </row>
    <row r="368">
      <c r="A368" s="27"/>
      <c r="B368" s="26"/>
    </row>
    <row r="369">
      <c r="A369" s="27"/>
      <c r="B369" s="26"/>
    </row>
    <row r="370">
      <c r="A370" s="27"/>
      <c r="B370" s="26"/>
    </row>
    <row r="371">
      <c r="A371" s="27"/>
      <c r="B371" s="26"/>
    </row>
    <row r="372">
      <c r="A372" s="27"/>
      <c r="B372" s="26"/>
    </row>
    <row r="373">
      <c r="A373" s="27"/>
      <c r="B373" s="26"/>
    </row>
    <row r="374">
      <c r="A374" s="27"/>
      <c r="B374" s="26"/>
    </row>
    <row r="375">
      <c r="A375" s="27"/>
      <c r="B375" s="26"/>
    </row>
    <row r="376">
      <c r="A376" s="27"/>
      <c r="B376" s="26"/>
    </row>
    <row r="377">
      <c r="A377" s="27"/>
      <c r="B377" s="26"/>
    </row>
    <row r="378">
      <c r="A378" s="27"/>
      <c r="B378" s="26"/>
    </row>
    <row r="379">
      <c r="A379" s="27"/>
      <c r="B379" s="26"/>
    </row>
    <row r="380">
      <c r="A380" s="27"/>
      <c r="B380" s="26"/>
    </row>
    <row r="381">
      <c r="A381" s="27"/>
      <c r="B381" s="26"/>
    </row>
    <row r="382">
      <c r="A382" s="27"/>
      <c r="B382" s="26"/>
    </row>
    <row r="383">
      <c r="A383" s="27"/>
      <c r="B383" s="26"/>
    </row>
    <row r="384">
      <c r="A384" s="27"/>
      <c r="B384" s="26"/>
    </row>
    <row r="385">
      <c r="A385" s="27"/>
      <c r="B385" s="26"/>
    </row>
    <row r="386">
      <c r="A386" s="27"/>
      <c r="B386" s="26"/>
    </row>
    <row r="387">
      <c r="A387" s="27"/>
      <c r="B387" s="26"/>
    </row>
    <row r="388">
      <c r="A388" s="27"/>
      <c r="B388" s="26"/>
    </row>
    <row r="389">
      <c r="A389" s="27"/>
      <c r="B389" s="26"/>
    </row>
    <row r="390">
      <c r="A390" s="27"/>
      <c r="B390" s="26"/>
    </row>
    <row r="391">
      <c r="A391" s="27"/>
      <c r="B391" s="26"/>
    </row>
    <row r="392">
      <c r="A392" s="27"/>
      <c r="B392" s="26"/>
    </row>
    <row r="393">
      <c r="A393" s="27"/>
      <c r="B393" s="26"/>
    </row>
    <row r="394">
      <c r="A394" s="27"/>
      <c r="B394" s="26"/>
    </row>
    <row r="395">
      <c r="A395" s="27"/>
      <c r="B395" s="26"/>
    </row>
    <row r="396">
      <c r="A396" s="27"/>
      <c r="B396" s="26"/>
    </row>
    <row r="397">
      <c r="A397" s="27"/>
      <c r="B397" s="26"/>
    </row>
    <row r="398">
      <c r="A398" s="27"/>
      <c r="B398" s="26"/>
    </row>
    <row r="399">
      <c r="A399" s="27"/>
      <c r="B399" s="26"/>
    </row>
    <row r="400">
      <c r="A400" s="27"/>
      <c r="B400" s="26"/>
    </row>
    <row r="401">
      <c r="A401" s="27"/>
      <c r="B401" s="26"/>
    </row>
    <row r="402">
      <c r="A402" s="27"/>
      <c r="B402" s="26"/>
    </row>
    <row r="403">
      <c r="A403" s="27"/>
      <c r="B403" s="26"/>
    </row>
    <row r="404">
      <c r="A404" s="27"/>
      <c r="B404" s="26"/>
    </row>
    <row r="405">
      <c r="A405" s="27"/>
      <c r="B405" s="26"/>
    </row>
    <row r="406">
      <c r="A406" s="27"/>
      <c r="B406" s="26"/>
    </row>
    <row r="407">
      <c r="A407" s="27"/>
      <c r="B407" s="26"/>
    </row>
    <row r="408">
      <c r="A408" s="27"/>
      <c r="B408" s="26"/>
    </row>
    <row r="409">
      <c r="A409" s="27"/>
      <c r="B409" s="26"/>
    </row>
    <row r="410">
      <c r="A410" s="27"/>
      <c r="B410" s="26"/>
    </row>
    <row r="411">
      <c r="A411" s="27"/>
      <c r="B411" s="26"/>
    </row>
    <row r="412">
      <c r="A412" s="27"/>
      <c r="B412" s="26"/>
    </row>
    <row r="413">
      <c r="A413" s="27"/>
      <c r="B413" s="26"/>
    </row>
    <row r="414">
      <c r="A414" s="27"/>
      <c r="B414" s="26"/>
    </row>
    <row r="415">
      <c r="A415" s="27"/>
      <c r="B415" s="26"/>
    </row>
    <row r="416">
      <c r="A416" s="27"/>
      <c r="B416" s="26"/>
    </row>
    <row r="417">
      <c r="A417" s="27"/>
      <c r="B417" s="26"/>
    </row>
    <row r="418">
      <c r="A418" s="27"/>
      <c r="B418" s="26"/>
    </row>
    <row r="419">
      <c r="A419" s="27"/>
      <c r="B419" s="26"/>
    </row>
    <row r="420">
      <c r="A420" s="27"/>
      <c r="B420" s="26"/>
    </row>
    <row r="421">
      <c r="A421" s="27"/>
      <c r="B421" s="26"/>
    </row>
    <row r="422">
      <c r="A422" s="27"/>
      <c r="B422" s="26"/>
    </row>
    <row r="423">
      <c r="A423" s="27"/>
      <c r="B423" s="26"/>
    </row>
    <row r="424">
      <c r="A424" s="27"/>
      <c r="B424" s="26"/>
    </row>
    <row r="425">
      <c r="A425" s="27"/>
      <c r="B425" s="26"/>
    </row>
    <row r="426">
      <c r="A426" s="27"/>
      <c r="B426" s="26"/>
    </row>
    <row r="427">
      <c r="A427" s="27"/>
      <c r="B427" s="26"/>
    </row>
    <row r="428">
      <c r="A428" s="27"/>
      <c r="B428" s="26"/>
    </row>
    <row r="429">
      <c r="A429" s="27"/>
      <c r="B429" s="26"/>
    </row>
    <row r="430">
      <c r="A430" s="27"/>
      <c r="B430" s="26"/>
    </row>
    <row r="431">
      <c r="A431" s="27"/>
      <c r="B431" s="26"/>
    </row>
    <row r="432">
      <c r="A432" s="27"/>
      <c r="B432" s="26"/>
    </row>
    <row r="433">
      <c r="A433" s="27"/>
      <c r="B433" s="26"/>
    </row>
    <row r="434">
      <c r="A434" s="27"/>
      <c r="B434" s="26"/>
    </row>
    <row r="435">
      <c r="A435" s="27"/>
      <c r="B435" s="26"/>
    </row>
    <row r="436">
      <c r="A436" s="27"/>
      <c r="B436" s="26"/>
    </row>
    <row r="437">
      <c r="A437" s="27"/>
      <c r="B437" s="26"/>
    </row>
    <row r="438">
      <c r="A438" s="27"/>
      <c r="B438" s="26"/>
    </row>
    <row r="439">
      <c r="A439" s="27"/>
      <c r="B439" s="26"/>
    </row>
    <row r="440">
      <c r="A440" s="27"/>
      <c r="B440" s="26"/>
    </row>
    <row r="441">
      <c r="A441" s="27"/>
      <c r="B441" s="26"/>
    </row>
    <row r="442">
      <c r="A442" s="27"/>
      <c r="B442" s="26"/>
    </row>
    <row r="443">
      <c r="A443" s="27"/>
      <c r="B443" s="26"/>
    </row>
    <row r="444">
      <c r="A444" s="27"/>
      <c r="B444" s="26"/>
    </row>
    <row r="445">
      <c r="A445" s="27"/>
      <c r="B445" s="26"/>
    </row>
    <row r="446">
      <c r="A446" s="27"/>
      <c r="B446" s="26"/>
    </row>
    <row r="447">
      <c r="A447" s="27"/>
      <c r="B447" s="26"/>
    </row>
    <row r="448">
      <c r="A448" s="27"/>
      <c r="B448" s="26"/>
    </row>
    <row r="449">
      <c r="A449" s="27"/>
      <c r="B449" s="26"/>
    </row>
    <row r="450">
      <c r="A450" s="27"/>
      <c r="B450" s="26"/>
    </row>
    <row r="451">
      <c r="A451" s="27"/>
      <c r="B451" s="26"/>
    </row>
    <row r="452">
      <c r="A452" s="27"/>
      <c r="B452" s="26"/>
    </row>
    <row r="453">
      <c r="A453" s="27"/>
      <c r="B453" s="26"/>
    </row>
    <row r="454">
      <c r="A454" s="27"/>
      <c r="B454" s="26"/>
    </row>
    <row r="455">
      <c r="A455" s="27"/>
      <c r="B455" s="26"/>
    </row>
    <row r="456">
      <c r="A456" s="27"/>
      <c r="B456" s="26"/>
    </row>
    <row r="457">
      <c r="A457" s="27"/>
      <c r="B457" s="26"/>
    </row>
    <row r="458">
      <c r="A458" s="27"/>
      <c r="B458" s="26"/>
    </row>
    <row r="459">
      <c r="A459" s="27"/>
      <c r="B459" s="26"/>
    </row>
    <row r="460">
      <c r="A460" s="27"/>
      <c r="B460" s="26"/>
    </row>
    <row r="461">
      <c r="A461" s="27"/>
      <c r="B461" s="26"/>
    </row>
    <row r="462">
      <c r="A462" s="27"/>
      <c r="B462" s="26"/>
    </row>
    <row r="463">
      <c r="A463" s="27"/>
      <c r="B463" s="26"/>
    </row>
    <row r="464">
      <c r="A464" s="27"/>
      <c r="B464" s="26"/>
    </row>
    <row r="465">
      <c r="A465" s="27"/>
      <c r="B465" s="26"/>
    </row>
    <row r="466">
      <c r="A466" s="27"/>
      <c r="B466" s="26"/>
    </row>
    <row r="467">
      <c r="A467" s="27"/>
      <c r="B467" s="26"/>
    </row>
    <row r="468">
      <c r="A468" s="27"/>
      <c r="B468" s="26"/>
    </row>
    <row r="469">
      <c r="A469" s="27"/>
      <c r="B469" s="26"/>
    </row>
    <row r="470">
      <c r="A470" s="27"/>
      <c r="B470" s="26"/>
    </row>
    <row r="471">
      <c r="A471" s="27"/>
      <c r="B471" s="26"/>
    </row>
    <row r="472">
      <c r="A472" s="27"/>
      <c r="B472" s="26"/>
    </row>
    <row r="473">
      <c r="A473" s="27"/>
      <c r="B473" s="26"/>
    </row>
    <row r="474">
      <c r="A474" s="27"/>
      <c r="B474" s="26"/>
    </row>
    <row r="475">
      <c r="A475" s="27"/>
      <c r="B475" s="26"/>
    </row>
    <row r="476">
      <c r="A476" s="27"/>
      <c r="B476" s="26"/>
    </row>
    <row r="477">
      <c r="A477" s="27"/>
      <c r="B477" s="26"/>
    </row>
    <row r="478">
      <c r="A478" s="27"/>
      <c r="B478" s="26"/>
    </row>
    <row r="479">
      <c r="A479" s="27"/>
      <c r="B479" s="26"/>
    </row>
    <row r="480">
      <c r="A480" s="27"/>
      <c r="B480" s="26"/>
    </row>
    <row r="481">
      <c r="A481" s="27"/>
      <c r="B481" s="26"/>
    </row>
    <row r="482">
      <c r="A482" s="27"/>
      <c r="B482" s="26"/>
    </row>
    <row r="483">
      <c r="A483" s="27"/>
      <c r="B483" s="26"/>
    </row>
    <row r="484">
      <c r="A484" s="27"/>
      <c r="B484" s="26"/>
    </row>
    <row r="485">
      <c r="A485" s="27"/>
      <c r="B485" s="26"/>
    </row>
    <row r="486">
      <c r="A486" s="27"/>
      <c r="B486" s="26"/>
    </row>
    <row r="487">
      <c r="A487" s="27"/>
      <c r="B487" s="26"/>
    </row>
    <row r="488">
      <c r="A488" s="27"/>
      <c r="B488" s="26"/>
    </row>
    <row r="489">
      <c r="A489" s="27"/>
      <c r="B489" s="26"/>
    </row>
    <row r="490">
      <c r="A490" s="27"/>
      <c r="B490" s="26"/>
    </row>
    <row r="491">
      <c r="A491" s="27"/>
      <c r="B491" s="26"/>
    </row>
    <row r="492">
      <c r="A492" s="27"/>
      <c r="B492" s="26"/>
    </row>
    <row r="493">
      <c r="A493" s="27"/>
      <c r="B493" s="26"/>
    </row>
    <row r="494">
      <c r="A494" s="27"/>
      <c r="B494" s="26"/>
    </row>
    <row r="495">
      <c r="A495" s="27"/>
      <c r="B495" s="26"/>
    </row>
    <row r="496">
      <c r="A496" s="27"/>
      <c r="B496" s="26"/>
    </row>
    <row r="497">
      <c r="A497" s="27"/>
      <c r="B497" s="26"/>
    </row>
    <row r="498">
      <c r="A498" s="27"/>
      <c r="B498" s="26"/>
    </row>
    <row r="499">
      <c r="A499" s="27"/>
      <c r="B499" s="26"/>
    </row>
    <row r="500">
      <c r="A500" s="27"/>
      <c r="B500" s="26"/>
    </row>
    <row r="501">
      <c r="A501" s="27"/>
      <c r="B501" s="26"/>
    </row>
    <row r="502">
      <c r="A502" s="27"/>
      <c r="B502" s="26"/>
    </row>
    <row r="503">
      <c r="A503" s="27"/>
      <c r="B503" s="26"/>
    </row>
    <row r="504">
      <c r="A504" s="27"/>
      <c r="B504" s="26"/>
    </row>
    <row r="505">
      <c r="A505" s="27"/>
      <c r="B505" s="26"/>
    </row>
    <row r="506">
      <c r="A506" s="27"/>
      <c r="B506" s="26"/>
    </row>
    <row r="507">
      <c r="A507" s="27"/>
      <c r="B507" s="26"/>
    </row>
    <row r="508">
      <c r="A508" s="27"/>
      <c r="B508" s="26"/>
    </row>
    <row r="509">
      <c r="A509" s="27"/>
      <c r="B509" s="26"/>
    </row>
    <row r="510">
      <c r="A510" s="27"/>
      <c r="B510" s="26"/>
    </row>
    <row r="511">
      <c r="A511" s="27"/>
      <c r="B511" s="26"/>
    </row>
    <row r="512">
      <c r="A512" s="27"/>
      <c r="B512" s="26"/>
    </row>
    <row r="513">
      <c r="A513" s="27"/>
      <c r="B513" s="26"/>
    </row>
    <row r="514">
      <c r="A514" s="27"/>
      <c r="B514" s="26"/>
    </row>
    <row r="515">
      <c r="A515" s="27"/>
      <c r="B515" s="26"/>
    </row>
    <row r="516">
      <c r="A516" s="27"/>
      <c r="B516" s="26"/>
    </row>
    <row r="517">
      <c r="A517" s="27"/>
      <c r="B517" s="26"/>
    </row>
    <row r="518">
      <c r="A518" s="27"/>
      <c r="B518" s="26"/>
    </row>
    <row r="519">
      <c r="A519" s="27"/>
      <c r="B519" s="26"/>
    </row>
    <row r="520">
      <c r="A520" s="27"/>
      <c r="B520" s="26"/>
    </row>
    <row r="521">
      <c r="A521" s="27"/>
      <c r="B521" s="26"/>
    </row>
    <row r="522">
      <c r="A522" s="27"/>
      <c r="B522" s="26"/>
    </row>
    <row r="523">
      <c r="A523" s="27"/>
      <c r="B523" s="26"/>
    </row>
    <row r="524">
      <c r="A524" s="27"/>
      <c r="B524" s="26"/>
    </row>
    <row r="525">
      <c r="A525" s="27"/>
      <c r="B525" s="26"/>
    </row>
    <row r="526">
      <c r="A526" s="27"/>
      <c r="B526" s="26"/>
    </row>
    <row r="527">
      <c r="A527" s="27"/>
      <c r="B527" s="26"/>
    </row>
    <row r="528">
      <c r="A528" s="27"/>
      <c r="B528" s="26"/>
    </row>
    <row r="529">
      <c r="A529" s="27"/>
      <c r="B529" s="26"/>
    </row>
    <row r="530">
      <c r="A530" s="27"/>
      <c r="B530" s="26"/>
    </row>
    <row r="531">
      <c r="A531" s="27"/>
      <c r="B531" s="26"/>
    </row>
    <row r="532">
      <c r="A532" s="27"/>
      <c r="B532" s="26"/>
    </row>
    <row r="533">
      <c r="A533" s="27"/>
      <c r="B533" s="26"/>
    </row>
    <row r="534">
      <c r="A534" s="27"/>
      <c r="B534" s="26"/>
    </row>
    <row r="535">
      <c r="A535" s="27"/>
      <c r="B535" s="26"/>
    </row>
    <row r="536">
      <c r="A536" s="27"/>
      <c r="B536" s="26"/>
    </row>
    <row r="537">
      <c r="A537" s="27"/>
      <c r="B537" s="26"/>
    </row>
    <row r="538">
      <c r="A538" s="27"/>
      <c r="B538" s="26"/>
    </row>
    <row r="539">
      <c r="A539" s="27"/>
      <c r="B539" s="26"/>
    </row>
    <row r="540">
      <c r="A540" s="27"/>
      <c r="B540" s="26"/>
    </row>
    <row r="541">
      <c r="A541" s="27"/>
      <c r="B541" s="26"/>
    </row>
    <row r="542">
      <c r="A542" s="27"/>
      <c r="B542" s="26"/>
    </row>
    <row r="543">
      <c r="A543" s="27"/>
      <c r="B543" s="26"/>
    </row>
    <row r="544">
      <c r="A544" s="27"/>
      <c r="B544" s="26"/>
    </row>
    <row r="545">
      <c r="A545" s="27"/>
      <c r="B545" s="26"/>
    </row>
    <row r="546">
      <c r="A546" s="27"/>
      <c r="B546" s="26"/>
    </row>
    <row r="547">
      <c r="A547" s="27"/>
      <c r="B547" s="26"/>
    </row>
    <row r="548">
      <c r="A548" s="27"/>
      <c r="B548" s="26"/>
    </row>
    <row r="549">
      <c r="A549" s="27"/>
      <c r="B549" s="26"/>
    </row>
    <row r="550">
      <c r="A550" s="27"/>
      <c r="B550" s="26"/>
    </row>
    <row r="551">
      <c r="A551" s="27"/>
      <c r="B551" s="26"/>
    </row>
    <row r="552">
      <c r="A552" s="27"/>
      <c r="B552" s="26"/>
    </row>
    <row r="553">
      <c r="A553" s="27"/>
      <c r="B553" s="26"/>
    </row>
    <row r="554">
      <c r="A554" s="27"/>
      <c r="B554" s="26"/>
    </row>
    <row r="555">
      <c r="A555" s="27"/>
      <c r="B555" s="26"/>
    </row>
    <row r="556">
      <c r="A556" s="27"/>
      <c r="B556" s="26"/>
    </row>
    <row r="557">
      <c r="A557" s="27"/>
      <c r="B557" s="26"/>
    </row>
    <row r="558">
      <c r="A558" s="27"/>
      <c r="B558" s="26"/>
    </row>
    <row r="559">
      <c r="A559" s="27"/>
      <c r="B559" s="26"/>
    </row>
    <row r="560">
      <c r="A560" s="27"/>
      <c r="B560" s="26"/>
    </row>
    <row r="561">
      <c r="A561" s="27"/>
      <c r="B561" s="26"/>
    </row>
    <row r="562">
      <c r="A562" s="27"/>
      <c r="B562" s="26"/>
    </row>
    <row r="563">
      <c r="A563" s="27"/>
      <c r="B563" s="26"/>
    </row>
    <row r="564">
      <c r="A564" s="27"/>
      <c r="B564" s="26"/>
    </row>
    <row r="565">
      <c r="A565" s="27"/>
      <c r="B565" s="26"/>
    </row>
    <row r="566">
      <c r="A566" s="27"/>
      <c r="B566" s="26"/>
    </row>
    <row r="567">
      <c r="A567" s="27"/>
      <c r="B567" s="26"/>
    </row>
    <row r="568">
      <c r="A568" s="27"/>
      <c r="B568" s="26"/>
    </row>
    <row r="569">
      <c r="A569" s="27"/>
      <c r="B569" s="26"/>
    </row>
    <row r="570">
      <c r="A570" s="27"/>
      <c r="B570" s="26"/>
    </row>
    <row r="571">
      <c r="A571" s="27"/>
      <c r="B571" s="26"/>
    </row>
    <row r="572">
      <c r="A572" s="27"/>
      <c r="B572" s="26"/>
    </row>
    <row r="573">
      <c r="A573" s="27"/>
      <c r="B573" s="26"/>
    </row>
    <row r="574">
      <c r="A574" s="27"/>
      <c r="B574" s="26"/>
    </row>
    <row r="575">
      <c r="A575" s="27"/>
      <c r="B575" s="26"/>
    </row>
    <row r="576">
      <c r="A576" s="27"/>
      <c r="B576" s="26"/>
    </row>
    <row r="577">
      <c r="A577" s="27"/>
      <c r="B577" s="26"/>
    </row>
    <row r="578">
      <c r="A578" s="27"/>
      <c r="B578" s="26"/>
    </row>
    <row r="579">
      <c r="A579" s="27"/>
      <c r="B579" s="26"/>
    </row>
    <row r="580">
      <c r="A580" s="27"/>
      <c r="B580" s="26"/>
    </row>
    <row r="581">
      <c r="A581" s="27"/>
      <c r="B581" s="26"/>
    </row>
    <row r="582">
      <c r="A582" s="27"/>
      <c r="B582" s="26"/>
    </row>
    <row r="583">
      <c r="A583" s="27"/>
      <c r="B583" s="26"/>
    </row>
    <row r="584">
      <c r="A584" s="27"/>
      <c r="B584" s="26"/>
    </row>
    <row r="585">
      <c r="A585" s="27"/>
      <c r="B585" s="26"/>
    </row>
    <row r="586">
      <c r="A586" s="27"/>
      <c r="B586" s="26"/>
    </row>
    <row r="587">
      <c r="A587" s="27"/>
      <c r="B587" s="26"/>
    </row>
    <row r="588">
      <c r="A588" s="27"/>
      <c r="B588" s="26"/>
    </row>
    <row r="589">
      <c r="A589" s="27"/>
      <c r="B589" s="26"/>
    </row>
    <row r="590">
      <c r="A590" s="27"/>
      <c r="B590" s="26"/>
    </row>
    <row r="591">
      <c r="A591" s="27"/>
      <c r="B591" s="26"/>
    </row>
    <row r="592">
      <c r="A592" s="27"/>
      <c r="B592" s="26"/>
    </row>
    <row r="593">
      <c r="A593" s="27"/>
      <c r="B593" s="26"/>
    </row>
    <row r="594">
      <c r="A594" s="27"/>
      <c r="B594" s="26"/>
    </row>
    <row r="595">
      <c r="A595" s="27"/>
      <c r="B595" s="26"/>
    </row>
    <row r="596">
      <c r="A596" s="27"/>
      <c r="B596" s="26"/>
    </row>
    <row r="597">
      <c r="A597" s="27"/>
      <c r="B597" s="26"/>
    </row>
    <row r="598">
      <c r="A598" s="27"/>
      <c r="B598" s="26"/>
    </row>
    <row r="599">
      <c r="A599" s="27"/>
      <c r="B599" s="26"/>
    </row>
    <row r="600">
      <c r="A600" s="27"/>
      <c r="B600" s="26"/>
    </row>
    <row r="601">
      <c r="A601" s="27"/>
      <c r="B601" s="26"/>
    </row>
    <row r="602">
      <c r="A602" s="27"/>
      <c r="B602" s="26"/>
    </row>
    <row r="603">
      <c r="A603" s="27"/>
      <c r="B603" s="26"/>
    </row>
    <row r="604">
      <c r="A604" s="27"/>
      <c r="B604" s="26"/>
    </row>
    <row r="605">
      <c r="A605" s="27"/>
      <c r="B605" s="26"/>
    </row>
    <row r="606">
      <c r="A606" s="27"/>
      <c r="B606" s="26"/>
    </row>
    <row r="607">
      <c r="A607" s="27"/>
      <c r="B607" s="26"/>
    </row>
    <row r="608">
      <c r="A608" s="27"/>
      <c r="B608" s="26"/>
    </row>
    <row r="609">
      <c r="A609" s="27"/>
      <c r="B609" s="26"/>
    </row>
    <row r="610">
      <c r="A610" s="27"/>
      <c r="B610" s="26"/>
    </row>
    <row r="611">
      <c r="A611" s="27"/>
      <c r="B611" s="26"/>
    </row>
    <row r="612">
      <c r="A612" s="27"/>
      <c r="B612" s="26"/>
    </row>
    <row r="613">
      <c r="A613" s="27"/>
      <c r="B613" s="26"/>
    </row>
    <row r="614">
      <c r="A614" s="27"/>
      <c r="B614" s="26"/>
    </row>
    <row r="615">
      <c r="A615" s="27"/>
      <c r="B615" s="26"/>
    </row>
    <row r="616">
      <c r="A616" s="27"/>
      <c r="B616" s="26"/>
    </row>
    <row r="617">
      <c r="A617" s="27"/>
      <c r="B617" s="26"/>
    </row>
    <row r="618">
      <c r="A618" s="27"/>
      <c r="B618" s="26"/>
    </row>
    <row r="619">
      <c r="A619" s="27"/>
      <c r="B619" s="26"/>
    </row>
    <row r="620">
      <c r="A620" s="27"/>
      <c r="B620" s="26"/>
    </row>
    <row r="621">
      <c r="A621" s="27"/>
      <c r="B621" s="26"/>
    </row>
    <row r="622">
      <c r="A622" s="27"/>
      <c r="B622" s="26"/>
    </row>
    <row r="623">
      <c r="A623" s="27"/>
      <c r="B623" s="26"/>
    </row>
    <row r="624">
      <c r="A624" s="27"/>
      <c r="B624" s="26"/>
    </row>
    <row r="625">
      <c r="A625" s="27"/>
      <c r="B625" s="26"/>
    </row>
    <row r="626">
      <c r="A626" s="27"/>
      <c r="B626" s="26"/>
    </row>
    <row r="627">
      <c r="A627" s="27"/>
      <c r="B627" s="26"/>
    </row>
    <row r="628">
      <c r="A628" s="27"/>
      <c r="B628" s="26"/>
    </row>
    <row r="629">
      <c r="A629" s="27"/>
      <c r="B629" s="26"/>
    </row>
    <row r="630">
      <c r="A630" s="27"/>
      <c r="B630" s="26"/>
    </row>
    <row r="631">
      <c r="A631" s="27"/>
      <c r="B631" s="26"/>
    </row>
    <row r="632">
      <c r="A632" s="27"/>
      <c r="B632" s="26"/>
    </row>
    <row r="633">
      <c r="A633" s="27"/>
      <c r="B633" s="26"/>
    </row>
    <row r="634">
      <c r="A634" s="27"/>
      <c r="B634" s="26"/>
    </row>
    <row r="635">
      <c r="A635" s="27"/>
      <c r="B635" s="26"/>
    </row>
    <row r="636">
      <c r="A636" s="27"/>
      <c r="B636" s="26"/>
    </row>
    <row r="637">
      <c r="A637" s="27"/>
      <c r="B637" s="26"/>
    </row>
    <row r="638">
      <c r="A638" s="27"/>
      <c r="B638" s="26"/>
    </row>
    <row r="639">
      <c r="A639" s="27"/>
      <c r="B639" s="26"/>
    </row>
    <row r="640">
      <c r="A640" s="27"/>
      <c r="B640" s="26"/>
    </row>
    <row r="641">
      <c r="A641" s="27"/>
      <c r="B641" s="26"/>
    </row>
    <row r="642">
      <c r="A642" s="27"/>
      <c r="B642" s="26"/>
    </row>
    <row r="643">
      <c r="A643" s="27"/>
      <c r="B643" s="26"/>
    </row>
    <row r="644">
      <c r="A644" s="27"/>
      <c r="B644" s="26"/>
    </row>
    <row r="645">
      <c r="A645" s="27"/>
      <c r="B645" s="26"/>
    </row>
    <row r="646">
      <c r="A646" s="27"/>
      <c r="B646" s="26"/>
    </row>
    <row r="647">
      <c r="A647" s="27"/>
      <c r="B647" s="26"/>
    </row>
    <row r="648">
      <c r="A648" s="27"/>
      <c r="B648" s="26"/>
    </row>
    <row r="649">
      <c r="A649" s="27"/>
      <c r="B649" s="26"/>
    </row>
    <row r="650">
      <c r="A650" s="27"/>
      <c r="B650" s="26"/>
    </row>
    <row r="651">
      <c r="A651" s="27"/>
      <c r="B651" s="26"/>
    </row>
    <row r="652">
      <c r="A652" s="27"/>
      <c r="B652" s="26"/>
    </row>
    <row r="653">
      <c r="A653" s="27"/>
      <c r="B653" s="26"/>
    </row>
    <row r="654">
      <c r="A654" s="27"/>
      <c r="B654" s="26"/>
    </row>
    <row r="655">
      <c r="A655" s="27"/>
      <c r="B655" s="26"/>
    </row>
    <row r="656">
      <c r="A656" s="27"/>
      <c r="B656" s="26"/>
    </row>
    <row r="657">
      <c r="A657" s="27"/>
      <c r="B657" s="26"/>
    </row>
    <row r="658">
      <c r="A658" s="27"/>
      <c r="B658" s="26"/>
    </row>
    <row r="659">
      <c r="A659" s="27"/>
      <c r="B659" s="26"/>
    </row>
    <row r="660">
      <c r="A660" s="27"/>
      <c r="B660" s="26"/>
    </row>
    <row r="661">
      <c r="A661" s="27"/>
      <c r="B661" s="26"/>
    </row>
    <row r="662">
      <c r="A662" s="27"/>
      <c r="B662" s="26"/>
    </row>
    <row r="663">
      <c r="A663" s="27"/>
      <c r="B663" s="26"/>
    </row>
    <row r="664">
      <c r="A664" s="27"/>
      <c r="B664" s="26"/>
    </row>
    <row r="665">
      <c r="A665" s="27"/>
      <c r="B665" s="26"/>
    </row>
    <row r="666">
      <c r="A666" s="27"/>
      <c r="B666" s="26"/>
    </row>
    <row r="667">
      <c r="A667" s="27"/>
      <c r="B667" s="26"/>
    </row>
    <row r="668">
      <c r="A668" s="27"/>
      <c r="B668" s="26"/>
    </row>
    <row r="669">
      <c r="A669" s="27"/>
      <c r="B669" s="26"/>
    </row>
    <row r="670">
      <c r="A670" s="27"/>
      <c r="B670" s="26"/>
    </row>
    <row r="671">
      <c r="A671" s="27"/>
      <c r="B671" s="26"/>
    </row>
    <row r="672">
      <c r="A672" s="27"/>
      <c r="B672" s="26"/>
    </row>
    <row r="673">
      <c r="A673" s="27"/>
      <c r="B673" s="26"/>
    </row>
    <row r="674">
      <c r="A674" s="27"/>
      <c r="B674" s="26"/>
    </row>
    <row r="675">
      <c r="A675" s="27"/>
      <c r="B675" s="26"/>
    </row>
    <row r="676">
      <c r="A676" s="27"/>
      <c r="B676" s="26"/>
    </row>
    <row r="677">
      <c r="A677" s="27"/>
      <c r="B677" s="26"/>
    </row>
    <row r="678">
      <c r="A678" s="27"/>
      <c r="B678" s="26"/>
    </row>
    <row r="679">
      <c r="A679" s="27"/>
      <c r="B679" s="26"/>
    </row>
    <row r="680">
      <c r="A680" s="27"/>
      <c r="B680" s="26"/>
    </row>
    <row r="681">
      <c r="A681" s="27"/>
      <c r="B681" s="26"/>
    </row>
    <row r="682">
      <c r="A682" s="27"/>
      <c r="B682" s="26"/>
    </row>
    <row r="683">
      <c r="A683" s="27"/>
      <c r="B683" s="26"/>
    </row>
    <row r="684">
      <c r="A684" s="27"/>
      <c r="B684" s="26"/>
    </row>
    <row r="685">
      <c r="A685" s="27"/>
      <c r="B685" s="26"/>
    </row>
    <row r="686">
      <c r="A686" s="27"/>
      <c r="B686" s="26"/>
    </row>
    <row r="687">
      <c r="A687" s="27"/>
      <c r="B687" s="26"/>
    </row>
    <row r="688">
      <c r="A688" s="27"/>
      <c r="B688" s="26"/>
    </row>
    <row r="689">
      <c r="A689" s="27"/>
      <c r="B689" s="26"/>
    </row>
    <row r="690">
      <c r="A690" s="27"/>
      <c r="B690" s="26"/>
    </row>
    <row r="691">
      <c r="A691" s="27"/>
      <c r="B691" s="26"/>
    </row>
    <row r="692">
      <c r="A692" s="27"/>
      <c r="B692" s="26"/>
    </row>
    <row r="693">
      <c r="A693" s="27"/>
      <c r="B693" s="26"/>
    </row>
    <row r="694">
      <c r="A694" s="27"/>
      <c r="B694" s="26"/>
    </row>
    <row r="695">
      <c r="A695" s="27"/>
      <c r="B695" s="26"/>
    </row>
    <row r="696">
      <c r="A696" s="27"/>
      <c r="B696" s="26"/>
    </row>
    <row r="697">
      <c r="A697" s="27"/>
      <c r="B697" s="26"/>
    </row>
    <row r="698">
      <c r="A698" s="27"/>
      <c r="B698" s="26"/>
    </row>
    <row r="699">
      <c r="A699" s="27"/>
      <c r="B699" s="26"/>
    </row>
    <row r="700">
      <c r="A700" s="27"/>
      <c r="B700" s="26"/>
    </row>
    <row r="701">
      <c r="A701" s="27"/>
      <c r="B701" s="26"/>
    </row>
    <row r="702">
      <c r="A702" s="27"/>
      <c r="B702" s="26"/>
    </row>
    <row r="703">
      <c r="A703" s="27"/>
      <c r="B703" s="26"/>
    </row>
    <row r="704">
      <c r="A704" s="27"/>
      <c r="B704" s="26"/>
    </row>
    <row r="705">
      <c r="A705" s="27"/>
      <c r="B705" s="26"/>
    </row>
    <row r="706">
      <c r="A706" s="27"/>
      <c r="B706" s="26"/>
    </row>
    <row r="707">
      <c r="A707" s="27"/>
      <c r="B707" s="26"/>
    </row>
    <row r="708">
      <c r="A708" s="27"/>
      <c r="B708" s="26"/>
    </row>
    <row r="709">
      <c r="A709" s="27"/>
      <c r="B709" s="26"/>
    </row>
    <row r="710">
      <c r="A710" s="27"/>
      <c r="B710" s="26"/>
    </row>
    <row r="711">
      <c r="A711" s="27"/>
      <c r="B711" s="26"/>
    </row>
    <row r="712">
      <c r="A712" s="27"/>
      <c r="B712" s="26"/>
    </row>
    <row r="713">
      <c r="A713" s="27"/>
      <c r="B713" s="26"/>
    </row>
    <row r="714">
      <c r="A714" s="27"/>
      <c r="B714" s="26"/>
    </row>
    <row r="715">
      <c r="A715" s="27"/>
      <c r="B715" s="26"/>
    </row>
    <row r="716">
      <c r="A716" s="27"/>
      <c r="B716" s="26"/>
    </row>
    <row r="717">
      <c r="A717" s="27"/>
      <c r="B717" s="26"/>
    </row>
    <row r="718">
      <c r="A718" s="27"/>
      <c r="B718" s="26"/>
    </row>
    <row r="719">
      <c r="A719" s="27"/>
      <c r="B719" s="26"/>
    </row>
    <row r="720">
      <c r="A720" s="27"/>
      <c r="B720" s="26"/>
    </row>
    <row r="721">
      <c r="A721" s="27"/>
      <c r="B721" s="26"/>
    </row>
    <row r="722">
      <c r="A722" s="27"/>
      <c r="B722" s="26"/>
    </row>
    <row r="723">
      <c r="A723" s="27"/>
      <c r="B723" s="26"/>
    </row>
    <row r="724">
      <c r="A724" s="27"/>
      <c r="B724" s="26"/>
    </row>
    <row r="725">
      <c r="A725" s="27"/>
      <c r="B725" s="26"/>
    </row>
    <row r="726">
      <c r="A726" s="27"/>
      <c r="B726" s="26"/>
    </row>
    <row r="727">
      <c r="A727" s="27"/>
      <c r="B727" s="26"/>
    </row>
    <row r="728">
      <c r="A728" s="27"/>
      <c r="B728" s="26"/>
    </row>
    <row r="729">
      <c r="A729" s="27"/>
      <c r="B729" s="26"/>
    </row>
    <row r="730">
      <c r="A730" s="27"/>
      <c r="B730" s="26"/>
    </row>
    <row r="731">
      <c r="A731" s="27"/>
      <c r="B731" s="26"/>
    </row>
    <row r="732">
      <c r="A732" s="27"/>
      <c r="B732" s="26"/>
    </row>
    <row r="733">
      <c r="A733" s="27"/>
      <c r="B733" s="26"/>
    </row>
    <row r="734">
      <c r="A734" s="27"/>
      <c r="B734" s="26"/>
    </row>
    <row r="735">
      <c r="A735" s="27"/>
      <c r="B735" s="26"/>
    </row>
    <row r="736">
      <c r="A736" s="27"/>
      <c r="B736" s="26"/>
    </row>
    <row r="737">
      <c r="A737" s="27"/>
      <c r="B737" s="26"/>
    </row>
    <row r="738">
      <c r="A738" s="27"/>
      <c r="B738" s="26"/>
    </row>
    <row r="739">
      <c r="A739" s="27"/>
      <c r="B739" s="26"/>
    </row>
    <row r="740">
      <c r="A740" s="27"/>
      <c r="B740" s="26"/>
    </row>
    <row r="741">
      <c r="A741" s="27"/>
      <c r="B741" s="26"/>
    </row>
    <row r="742">
      <c r="A742" s="27"/>
      <c r="B742" s="26"/>
    </row>
    <row r="743">
      <c r="A743" s="27"/>
      <c r="B743" s="26"/>
    </row>
    <row r="744">
      <c r="A744" s="27"/>
      <c r="B744" s="26"/>
    </row>
    <row r="745">
      <c r="A745" s="27"/>
      <c r="B745" s="26"/>
    </row>
    <row r="746">
      <c r="A746" s="27"/>
      <c r="B746" s="26"/>
    </row>
    <row r="747">
      <c r="A747" s="27"/>
      <c r="B747" s="26"/>
    </row>
    <row r="748">
      <c r="A748" s="27"/>
      <c r="B748" s="26"/>
    </row>
    <row r="749">
      <c r="A749" s="27"/>
      <c r="B749" s="26"/>
    </row>
    <row r="750">
      <c r="A750" s="27"/>
      <c r="B750" s="26"/>
    </row>
    <row r="751">
      <c r="A751" s="27"/>
      <c r="B751" s="26"/>
    </row>
    <row r="752">
      <c r="A752" s="27"/>
      <c r="B752" s="26"/>
    </row>
    <row r="753">
      <c r="A753" s="27"/>
      <c r="B753" s="26"/>
    </row>
    <row r="754">
      <c r="A754" s="27"/>
      <c r="B754" s="26"/>
    </row>
    <row r="755">
      <c r="A755" s="27"/>
      <c r="B755" s="26"/>
    </row>
    <row r="756">
      <c r="A756" s="27"/>
      <c r="B756" s="26"/>
    </row>
    <row r="757">
      <c r="A757" s="27"/>
      <c r="B757" s="26"/>
    </row>
    <row r="758">
      <c r="A758" s="27"/>
      <c r="B758" s="26"/>
    </row>
    <row r="759">
      <c r="A759" s="27"/>
      <c r="B759" s="26"/>
    </row>
    <row r="760">
      <c r="A760" s="27"/>
      <c r="B760" s="26"/>
    </row>
    <row r="761">
      <c r="A761" s="27"/>
      <c r="B761" s="26"/>
    </row>
    <row r="762">
      <c r="A762" s="27"/>
      <c r="B762" s="26"/>
    </row>
    <row r="763">
      <c r="A763" s="27"/>
      <c r="B763" s="26"/>
    </row>
    <row r="764">
      <c r="A764" s="27"/>
      <c r="B764" s="26"/>
    </row>
    <row r="765">
      <c r="A765" s="27"/>
      <c r="B765" s="26"/>
    </row>
    <row r="766">
      <c r="A766" s="27"/>
      <c r="B766" s="26"/>
    </row>
    <row r="767">
      <c r="A767" s="27"/>
      <c r="B767" s="26"/>
    </row>
    <row r="768">
      <c r="A768" s="27"/>
      <c r="B768" s="26"/>
    </row>
    <row r="769">
      <c r="A769" s="27"/>
      <c r="B769" s="26"/>
    </row>
    <row r="770">
      <c r="A770" s="27"/>
      <c r="B770" s="26"/>
    </row>
    <row r="771">
      <c r="A771" s="27"/>
      <c r="B771" s="26"/>
    </row>
    <row r="772">
      <c r="A772" s="27"/>
      <c r="B772" s="26"/>
    </row>
    <row r="773">
      <c r="A773" s="27"/>
      <c r="B773" s="26"/>
    </row>
    <row r="774">
      <c r="A774" s="27"/>
      <c r="B774" s="26"/>
    </row>
    <row r="775">
      <c r="A775" s="27"/>
      <c r="B775" s="26"/>
    </row>
    <row r="776">
      <c r="A776" s="27"/>
      <c r="B776" s="26"/>
    </row>
    <row r="777">
      <c r="A777" s="27"/>
      <c r="B777" s="26"/>
    </row>
    <row r="778">
      <c r="A778" s="27"/>
      <c r="B778" s="26"/>
    </row>
    <row r="779">
      <c r="A779" s="27"/>
      <c r="B779" s="26"/>
    </row>
    <row r="780">
      <c r="A780" s="27"/>
      <c r="B780" s="26"/>
    </row>
    <row r="781">
      <c r="A781" s="27"/>
      <c r="B781" s="26"/>
    </row>
    <row r="782">
      <c r="A782" s="27"/>
      <c r="B782" s="26"/>
    </row>
    <row r="783">
      <c r="A783" s="27"/>
      <c r="B783" s="26"/>
    </row>
    <row r="784">
      <c r="A784" s="27"/>
      <c r="B784" s="26"/>
    </row>
    <row r="785">
      <c r="A785" s="27"/>
      <c r="B785" s="26"/>
    </row>
    <row r="786">
      <c r="A786" s="27"/>
      <c r="B786" s="26"/>
    </row>
    <row r="787">
      <c r="A787" s="27"/>
      <c r="B787" s="26"/>
    </row>
    <row r="788">
      <c r="A788" s="27"/>
      <c r="B788" s="26"/>
    </row>
    <row r="789">
      <c r="A789" s="27"/>
      <c r="B789" s="26"/>
    </row>
    <row r="790">
      <c r="A790" s="27"/>
      <c r="B790" s="26"/>
    </row>
    <row r="791">
      <c r="A791" s="27"/>
      <c r="B791" s="26"/>
    </row>
    <row r="792">
      <c r="A792" s="27"/>
      <c r="B792" s="26"/>
    </row>
    <row r="793">
      <c r="A793" s="27"/>
      <c r="B793" s="26"/>
    </row>
    <row r="794">
      <c r="A794" s="27"/>
      <c r="B794" s="26"/>
    </row>
    <row r="795">
      <c r="A795" s="27"/>
      <c r="B795" s="26"/>
    </row>
    <row r="796">
      <c r="A796" s="27"/>
      <c r="B796" s="26"/>
    </row>
    <row r="797">
      <c r="A797" s="27"/>
      <c r="B797" s="26"/>
    </row>
    <row r="798">
      <c r="A798" s="27"/>
      <c r="B798" s="26"/>
    </row>
    <row r="799">
      <c r="A799" s="27"/>
      <c r="B799" s="26"/>
    </row>
    <row r="800">
      <c r="A800" s="27"/>
      <c r="B800" s="26"/>
    </row>
    <row r="801">
      <c r="A801" s="27"/>
      <c r="B801" s="26"/>
    </row>
    <row r="802">
      <c r="A802" s="27"/>
      <c r="B802" s="26"/>
    </row>
    <row r="803">
      <c r="A803" s="27"/>
      <c r="B803" s="26"/>
    </row>
    <row r="804">
      <c r="A804" s="27"/>
      <c r="B804" s="26"/>
    </row>
    <row r="805">
      <c r="A805" s="27"/>
      <c r="B805" s="26"/>
    </row>
    <row r="806">
      <c r="A806" s="27"/>
      <c r="B806" s="26"/>
    </row>
    <row r="807">
      <c r="A807" s="27"/>
      <c r="B807" s="26"/>
    </row>
    <row r="808">
      <c r="A808" s="27"/>
      <c r="B808" s="26"/>
    </row>
    <row r="809">
      <c r="A809" s="27"/>
      <c r="B809" s="26"/>
    </row>
    <row r="810">
      <c r="A810" s="27"/>
      <c r="B810" s="26"/>
    </row>
    <row r="811">
      <c r="A811" s="27"/>
      <c r="B811" s="26"/>
    </row>
    <row r="812">
      <c r="A812" s="27"/>
      <c r="B812" s="26"/>
    </row>
    <row r="813">
      <c r="A813" s="27"/>
      <c r="B813" s="26"/>
    </row>
    <row r="814">
      <c r="A814" s="27"/>
      <c r="B814" s="26"/>
    </row>
    <row r="815">
      <c r="A815" s="27"/>
      <c r="B815" s="26"/>
    </row>
    <row r="816">
      <c r="A816" s="27"/>
      <c r="B816" s="26"/>
    </row>
    <row r="817">
      <c r="A817" s="27"/>
      <c r="B817" s="26"/>
    </row>
    <row r="818">
      <c r="A818" s="27"/>
      <c r="B818" s="26"/>
    </row>
    <row r="819">
      <c r="A819" s="27"/>
      <c r="B819" s="26"/>
    </row>
    <row r="820">
      <c r="A820" s="27"/>
      <c r="B820" s="26"/>
    </row>
    <row r="821">
      <c r="A821" s="27"/>
      <c r="B821" s="26"/>
    </row>
    <row r="822">
      <c r="A822" s="27"/>
      <c r="B822" s="26"/>
    </row>
    <row r="823">
      <c r="A823" s="27"/>
      <c r="B823" s="26"/>
    </row>
    <row r="824">
      <c r="A824" s="27"/>
      <c r="B824" s="26"/>
    </row>
    <row r="825">
      <c r="A825" s="27"/>
      <c r="B825" s="26"/>
    </row>
    <row r="826">
      <c r="A826" s="27"/>
      <c r="B826" s="26"/>
    </row>
    <row r="827">
      <c r="A827" s="27"/>
      <c r="B827" s="26"/>
    </row>
    <row r="828">
      <c r="A828" s="27"/>
      <c r="B828" s="26"/>
    </row>
    <row r="829">
      <c r="A829" s="27"/>
      <c r="B829" s="26"/>
    </row>
    <row r="830">
      <c r="A830" s="27"/>
      <c r="B830" s="26"/>
    </row>
    <row r="831">
      <c r="A831" s="27"/>
      <c r="B831" s="26"/>
    </row>
    <row r="832">
      <c r="A832" s="27"/>
      <c r="B832" s="26"/>
    </row>
    <row r="833">
      <c r="A833" s="27"/>
      <c r="B833" s="26"/>
    </row>
    <row r="834">
      <c r="A834" s="27"/>
      <c r="B834" s="26"/>
    </row>
    <row r="835">
      <c r="A835" s="27"/>
      <c r="B835" s="26"/>
    </row>
    <row r="836">
      <c r="A836" s="27"/>
      <c r="B836" s="26"/>
    </row>
    <row r="837">
      <c r="A837" s="27"/>
      <c r="B837" s="26"/>
    </row>
    <row r="838">
      <c r="A838" s="27"/>
      <c r="B838" s="26"/>
    </row>
    <row r="839">
      <c r="A839" s="27"/>
      <c r="B839" s="26"/>
    </row>
    <row r="840">
      <c r="A840" s="27"/>
      <c r="B840" s="26"/>
    </row>
    <row r="841">
      <c r="A841" s="27"/>
      <c r="B841" s="26"/>
    </row>
    <row r="842">
      <c r="A842" s="27"/>
      <c r="B842" s="26"/>
    </row>
    <row r="843">
      <c r="A843" s="27"/>
      <c r="B843" s="26"/>
    </row>
    <row r="844">
      <c r="A844" s="27"/>
      <c r="B844" s="26"/>
    </row>
    <row r="845">
      <c r="A845" s="27"/>
      <c r="B845" s="26"/>
    </row>
    <row r="846">
      <c r="A846" s="27"/>
      <c r="B846" s="26"/>
    </row>
    <row r="847">
      <c r="A847" s="27"/>
      <c r="B847" s="26"/>
    </row>
    <row r="848">
      <c r="A848" s="27"/>
      <c r="B848" s="26"/>
    </row>
    <row r="849">
      <c r="A849" s="27"/>
      <c r="B849" s="26"/>
    </row>
    <row r="850">
      <c r="A850" s="27"/>
      <c r="B850" s="26"/>
    </row>
    <row r="851">
      <c r="A851" s="27"/>
      <c r="B851" s="26"/>
    </row>
    <row r="852">
      <c r="A852" s="27"/>
      <c r="B852" s="26"/>
    </row>
    <row r="853">
      <c r="A853" s="27"/>
      <c r="B853" s="26"/>
    </row>
    <row r="854">
      <c r="A854" s="27"/>
      <c r="B854" s="26"/>
    </row>
    <row r="855">
      <c r="A855" s="27"/>
      <c r="B855" s="26"/>
    </row>
    <row r="856">
      <c r="A856" s="27"/>
      <c r="B856" s="26"/>
    </row>
    <row r="857">
      <c r="A857" s="27"/>
      <c r="B857" s="26"/>
    </row>
    <row r="858">
      <c r="A858" s="27"/>
      <c r="B858" s="26"/>
    </row>
    <row r="859">
      <c r="A859" s="27"/>
      <c r="B859" s="26"/>
    </row>
    <row r="860">
      <c r="A860" s="27"/>
      <c r="B860" s="26"/>
    </row>
    <row r="861">
      <c r="A861" s="27"/>
      <c r="B861" s="26"/>
    </row>
    <row r="862">
      <c r="A862" s="27"/>
      <c r="B862" s="26"/>
    </row>
    <row r="863">
      <c r="A863" s="27"/>
      <c r="B863" s="26"/>
    </row>
    <row r="864">
      <c r="A864" s="27"/>
      <c r="B864" s="26"/>
    </row>
    <row r="865">
      <c r="A865" s="27"/>
      <c r="B865" s="26"/>
    </row>
    <row r="866">
      <c r="A866" s="27"/>
      <c r="B866" s="26"/>
    </row>
    <row r="867">
      <c r="A867" s="27"/>
      <c r="B867" s="26"/>
    </row>
    <row r="868">
      <c r="A868" s="27"/>
      <c r="B868" s="26"/>
    </row>
    <row r="869">
      <c r="A869" s="27"/>
      <c r="B869" s="26"/>
    </row>
    <row r="870">
      <c r="A870" s="27"/>
      <c r="B870" s="26"/>
    </row>
    <row r="871">
      <c r="A871" s="27"/>
      <c r="B871" s="26"/>
    </row>
    <row r="872">
      <c r="A872" s="27"/>
      <c r="B872" s="26"/>
    </row>
    <row r="873">
      <c r="A873" s="27"/>
      <c r="B873" s="26"/>
    </row>
    <row r="874">
      <c r="A874" s="27"/>
      <c r="B874" s="26"/>
    </row>
    <row r="875">
      <c r="A875" s="27"/>
      <c r="B875" s="26"/>
    </row>
    <row r="876">
      <c r="A876" s="27"/>
      <c r="B876" s="26"/>
    </row>
    <row r="877">
      <c r="A877" s="27"/>
      <c r="B877" s="26"/>
    </row>
    <row r="878">
      <c r="A878" s="27"/>
      <c r="B878" s="26"/>
    </row>
    <row r="879">
      <c r="A879" s="27"/>
      <c r="B879" s="26"/>
    </row>
    <row r="880">
      <c r="A880" s="27"/>
      <c r="B880" s="26"/>
    </row>
    <row r="881">
      <c r="A881" s="27"/>
      <c r="B881" s="26"/>
    </row>
    <row r="882">
      <c r="A882" s="27"/>
      <c r="B882" s="26"/>
    </row>
    <row r="883">
      <c r="A883" s="27"/>
      <c r="B883" s="26"/>
    </row>
    <row r="884">
      <c r="A884" s="27"/>
      <c r="B884" s="26"/>
    </row>
    <row r="885">
      <c r="A885" s="27"/>
      <c r="B885" s="26"/>
    </row>
    <row r="886">
      <c r="A886" s="27"/>
      <c r="B886" s="26"/>
    </row>
    <row r="887">
      <c r="A887" s="27"/>
      <c r="B887" s="26"/>
    </row>
    <row r="888">
      <c r="A888" s="27"/>
      <c r="B888" s="26"/>
    </row>
    <row r="889">
      <c r="A889" s="27"/>
      <c r="B889" s="26"/>
    </row>
    <row r="890">
      <c r="A890" s="27"/>
      <c r="B890" s="26"/>
    </row>
    <row r="891">
      <c r="A891" s="27"/>
      <c r="B891" s="26"/>
    </row>
    <row r="892">
      <c r="A892" s="27"/>
      <c r="B892" s="26"/>
    </row>
    <row r="893">
      <c r="A893" s="27"/>
      <c r="B893" s="26"/>
    </row>
    <row r="894">
      <c r="A894" s="27"/>
      <c r="B894" s="26"/>
    </row>
    <row r="895">
      <c r="A895" s="27"/>
      <c r="B895" s="26"/>
    </row>
    <row r="896">
      <c r="A896" s="27"/>
      <c r="B896" s="26"/>
    </row>
    <row r="897">
      <c r="A897" s="27"/>
      <c r="B897" s="26"/>
    </row>
    <row r="898">
      <c r="A898" s="27"/>
      <c r="B898" s="26"/>
    </row>
    <row r="899">
      <c r="A899" s="27"/>
      <c r="B899" s="26"/>
    </row>
    <row r="900">
      <c r="A900" s="27"/>
      <c r="B900" s="26"/>
    </row>
    <row r="901">
      <c r="A901" s="27"/>
      <c r="B901" s="26"/>
    </row>
    <row r="902">
      <c r="A902" s="27"/>
      <c r="B902" s="26"/>
    </row>
    <row r="903">
      <c r="A903" s="27"/>
      <c r="B903" s="26"/>
    </row>
    <row r="904">
      <c r="A904" s="27"/>
      <c r="B904" s="26"/>
    </row>
    <row r="905">
      <c r="A905" s="27"/>
      <c r="B905" s="26"/>
    </row>
    <row r="906">
      <c r="A906" s="27"/>
      <c r="B906" s="26"/>
    </row>
    <row r="907">
      <c r="A907" s="27"/>
      <c r="B907" s="26"/>
    </row>
    <row r="908">
      <c r="A908" s="27"/>
      <c r="B908" s="26"/>
    </row>
    <row r="909">
      <c r="A909" s="27"/>
      <c r="B909" s="26"/>
    </row>
    <row r="910">
      <c r="A910" s="27"/>
      <c r="B910" s="26"/>
    </row>
    <row r="911">
      <c r="A911" s="27"/>
      <c r="B911" s="26"/>
    </row>
    <row r="912">
      <c r="A912" s="27"/>
      <c r="B912" s="26"/>
    </row>
    <row r="913">
      <c r="A913" s="27"/>
      <c r="B913" s="26"/>
    </row>
    <row r="914">
      <c r="A914" s="27"/>
      <c r="B914" s="26"/>
    </row>
    <row r="915">
      <c r="A915" s="27"/>
      <c r="B915" s="26"/>
    </row>
    <row r="916">
      <c r="A916" s="27"/>
      <c r="B916" s="26"/>
    </row>
    <row r="917">
      <c r="A917" s="27"/>
      <c r="B917" s="26"/>
    </row>
    <row r="918">
      <c r="A918" s="27"/>
      <c r="B918" s="26"/>
    </row>
    <row r="919">
      <c r="A919" s="27"/>
      <c r="B919" s="26"/>
    </row>
    <row r="920">
      <c r="A920" s="27"/>
      <c r="B920" s="26"/>
    </row>
    <row r="921">
      <c r="A921" s="27"/>
      <c r="B921" s="26"/>
    </row>
    <row r="922">
      <c r="A922" s="27"/>
      <c r="B922" s="26"/>
    </row>
    <row r="923">
      <c r="A923" s="27"/>
      <c r="B923" s="26"/>
    </row>
    <row r="924">
      <c r="A924" s="27"/>
      <c r="B924" s="26"/>
    </row>
    <row r="925">
      <c r="A925" s="27"/>
      <c r="B925" s="26"/>
    </row>
    <row r="926">
      <c r="A926" s="27"/>
      <c r="B926" s="26"/>
    </row>
    <row r="927">
      <c r="A927" s="27"/>
      <c r="B927" s="26"/>
    </row>
    <row r="928">
      <c r="A928" s="27"/>
      <c r="B928" s="26"/>
    </row>
    <row r="929">
      <c r="A929" s="27"/>
      <c r="B929" s="26"/>
    </row>
    <row r="930">
      <c r="A930" s="27"/>
      <c r="B930" s="26"/>
    </row>
    <row r="931">
      <c r="A931" s="27"/>
      <c r="B931" s="26"/>
    </row>
    <row r="932">
      <c r="A932" s="27"/>
      <c r="B932" s="26"/>
    </row>
    <row r="933">
      <c r="A933" s="27"/>
      <c r="B933" s="26"/>
    </row>
    <row r="934">
      <c r="A934" s="27"/>
      <c r="B934" s="26"/>
    </row>
    <row r="935">
      <c r="A935" s="27"/>
      <c r="B935" s="26"/>
    </row>
    <row r="936">
      <c r="A936" s="27"/>
      <c r="B936" s="26"/>
    </row>
    <row r="937">
      <c r="A937" s="27"/>
      <c r="B937" s="26"/>
    </row>
    <row r="938">
      <c r="A938" s="27"/>
      <c r="B938" s="26"/>
    </row>
    <row r="939">
      <c r="A939" s="27"/>
      <c r="B939" s="26"/>
    </row>
    <row r="940">
      <c r="A940" s="27"/>
      <c r="B940" s="26"/>
    </row>
    <row r="941">
      <c r="A941" s="27"/>
      <c r="B941" s="26"/>
    </row>
    <row r="942">
      <c r="A942" s="27"/>
      <c r="B942" s="26"/>
    </row>
    <row r="943">
      <c r="A943" s="27"/>
      <c r="B943" s="26"/>
    </row>
    <row r="944">
      <c r="A944" s="27"/>
      <c r="B944" s="26"/>
    </row>
    <row r="945">
      <c r="A945" s="27"/>
      <c r="B945" s="26"/>
    </row>
    <row r="946">
      <c r="A946" s="27"/>
      <c r="B946" s="26"/>
    </row>
    <row r="947">
      <c r="A947" s="27"/>
      <c r="B947" s="26"/>
    </row>
    <row r="948">
      <c r="A948" s="27"/>
      <c r="B948" s="26"/>
    </row>
    <row r="949">
      <c r="A949" s="27"/>
      <c r="B949" s="26"/>
    </row>
    <row r="950">
      <c r="A950" s="27"/>
      <c r="B950" s="26"/>
    </row>
    <row r="951">
      <c r="A951" s="27"/>
      <c r="B951" s="26"/>
    </row>
    <row r="952">
      <c r="A952" s="27"/>
      <c r="B952" s="26"/>
    </row>
    <row r="953">
      <c r="A953" s="27"/>
      <c r="B953" s="26"/>
    </row>
    <row r="954">
      <c r="A954" s="27"/>
      <c r="B954" s="26"/>
    </row>
    <row r="955">
      <c r="A955" s="27"/>
      <c r="B955" s="26"/>
    </row>
    <row r="956">
      <c r="A956" s="27"/>
      <c r="B956" s="26"/>
    </row>
    <row r="957">
      <c r="A957" s="27"/>
      <c r="B957" s="26"/>
    </row>
    <row r="958">
      <c r="A958" s="27"/>
      <c r="B958" s="26"/>
    </row>
    <row r="959">
      <c r="A959" s="27"/>
      <c r="B959" s="26"/>
    </row>
    <row r="960">
      <c r="A960" s="27"/>
      <c r="B960" s="26"/>
    </row>
    <row r="961">
      <c r="A961" s="27"/>
      <c r="B961" s="26"/>
    </row>
    <row r="962">
      <c r="A962" s="27"/>
      <c r="B962" s="26"/>
    </row>
    <row r="963">
      <c r="A963" s="27"/>
      <c r="B963" s="26"/>
    </row>
    <row r="964">
      <c r="A964" s="27"/>
      <c r="B964" s="26"/>
    </row>
    <row r="965">
      <c r="A965" s="27"/>
      <c r="B965" s="26"/>
    </row>
    <row r="966">
      <c r="A966" s="27"/>
      <c r="B966" s="26"/>
    </row>
    <row r="967">
      <c r="A967" s="27"/>
      <c r="B967" s="26"/>
    </row>
    <row r="968">
      <c r="A968" s="27"/>
      <c r="B968" s="26"/>
    </row>
    <row r="969">
      <c r="A969" s="27"/>
      <c r="B969" s="26"/>
    </row>
    <row r="970">
      <c r="A970" s="27"/>
      <c r="B970" s="26"/>
    </row>
    <row r="971">
      <c r="A971" s="27"/>
      <c r="B971" s="26"/>
    </row>
    <row r="972">
      <c r="A972" s="27"/>
      <c r="B972" s="26"/>
    </row>
    <row r="973">
      <c r="A973" s="27"/>
      <c r="B973" s="26"/>
    </row>
    <row r="974">
      <c r="A974" s="27"/>
      <c r="B974" s="26"/>
    </row>
    <row r="975">
      <c r="A975" s="27"/>
      <c r="B975" s="26"/>
    </row>
    <row r="976">
      <c r="A976" s="27"/>
      <c r="B976" s="26"/>
    </row>
    <row r="977">
      <c r="A977" s="27"/>
      <c r="B977" s="26"/>
    </row>
    <row r="978">
      <c r="A978" s="27"/>
      <c r="B978" s="26"/>
    </row>
    <row r="979">
      <c r="A979" s="27"/>
      <c r="B979" s="26"/>
    </row>
    <row r="980">
      <c r="A980" s="27"/>
      <c r="B980" s="26"/>
    </row>
    <row r="981">
      <c r="A981" s="27"/>
      <c r="B981" s="26"/>
    </row>
    <row r="982">
      <c r="A982" s="27"/>
      <c r="B982" s="26"/>
    </row>
    <row r="983">
      <c r="A983" s="27"/>
      <c r="B983" s="26"/>
    </row>
    <row r="984">
      <c r="A984" s="27"/>
      <c r="B984" s="26"/>
    </row>
    <row r="985">
      <c r="A985" s="27"/>
      <c r="B985" s="26"/>
    </row>
    <row r="986">
      <c r="A986" s="27"/>
      <c r="B986" s="26"/>
    </row>
    <row r="987">
      <c r="A987" s="27"/>
      <c r="B987" s="26"/>
    </row>
    <row r="988">
      <c r="A988" s="27"/>
      <c r="B988" s="26"/>
    </row>
    <row r="989">
      <c r="A989" s="27"/>
      <c r="B989" s="26"/>
    </row>
    <row r="990">
      <c r="A990" s="27"/>
      <c r="B990" s="26"/>
    </row>
    <row r="991">
      <c r="A991" s="27"/>
      <c r="B991" s="26"/>
    </row>
    <row r="992">
      <c r="A992" s="27"/>
      <c r="B992" s="26"/>
    </row>
    <row r="993">
      <c r="A993" s="27"/>
      <c r="B993" s="26"/>
    </row>
    <row r="994">
      <c r="A994" s="27"/>
      <c r="B994" s="26"/>
    </row>
    <row r="995">
      <c r="A995" s="27"/>
      <c r="B995" s="26"/>
    </row>
    <row r="996">
      <c r="A996" s="27"/>
      <c r="B996" s="26"/>
    </row>
    <row r="997">
      <c r="A997" s="27"/>
      <c r="B997" s="26"/>
    </row>
    <row r="998">
      <c r="A998" s="27"/>
      <c r="B998" s="26"/>
    </row>
    <row r="999">
      <c r="A999" s="27"/>
      <c r="B999" s="26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</cols>
  <sheetData>
    <row r="1">
      <c r="A1" s="18" t="s">
        <v>0</v>
      </c>
      <c r="B1" s="19" t="s">
        <v>1</v>
      </c>
    </row>
    <row r="2">
      <c r="A2" s="24" t="s">
        <v>680</v>
      </c>
      <c r="B2" s="25">
        <v>6480.0</v>
      </c>
    </row>
    <row r="3">
      <c r="A3" s="24" t="s">
        <v>650</v>
      </c>
      <c r="B3" s="25">
        <v>11797.16</v>
      </c>
    </row>
    <row r="4">
      <c r="A4" s="24" t="s">
        <v>753</v>
      </c>
      <c r="B4" s="25">
        <v>2279.83</v>
      </c>
    </row>
    <row r="5">
      <c r="A5" s="24" t="s">
        <v>682</v>
      </c>
      <c r="B5" s="25">
        <v>21437.0</v>
      </c>
    </row>
    <row r="6">
      <c r="A6" s="24" t="s">
        <v>754</v>
      </c>
      <c r="B6" s="25">
        <v>224.0</v>
      </c>
    </row>
    <row r="7">
      <c r="A7" s="24" t="s">
        <v>755</v>
      </c>
      <c r="B7" s="25">
        <v>2801.54</v>
      </c>
    </row>
    <row r="8">
      <c r="A8" s="24" t="s">
        <v>709</v>
      </c>
      <c r="B8" s="25">
        <v>1481.44</v>
      </c>
    </row>
    <row r="9">
      <c r="A9" s="24" t="s">
        <v>756</v>
      </c>
      <c r="B9" s="25">
        <v>352.92</v>
      </c>
    </row>
    <row r="10">
      <c r="A10" s="24" t="s">
        <v>681</v>
      </c>
      <c r="B10" s="25">
        <v>801.17</v>
      </c>
    </row>
    <row r="11">
      <c r="A11" s="24" t="s">
        <v>631</v>
      </c>
      <c r="B11" s="25">
        <v>2676.07</v>
      </c>
    </row>
    <row r="12">
      <c r="A12" s="24" t="s">
        <v>675</v>
      </c>
      <c r="B12" s="25">
        <v>59.65</v>
      </c>
    </row>
    <row r="13">
      <c r="A13" s="24" t="s">
        <v>632</v>
      </c>
      <c r="B13" s="25">
        <v>217.0</v>
      </c>
    </row>
    <row r="14">
      <c r="A14" s="24" t="s">
        <v>676</v>
      </c>
      <c r="B14" s="25">
        <v>-417.34</v>
      </c>
    </row>
    <row r="15">
      <c r="A15" s="24" t="s">
        <v>685</v>
      </c>
      <c r="B15" s="25">
        <v>-68.16</v>
      </c>
    </row>
    <row r="16">
      <c r="A16" s="24" t="s">
        <v>757</v>
      </c>
      <c r="B16" s="25">
        <v>32.53</v>
      </c>
    </row>
    <row r="17">
      <c r="A17" s="24" t="s">
        <v>758</v>
      </c>
      <c r="B17" s="25">
        <v>2745.92</v>
      </c>
    </row>
    <row r="18">
      <c r="A18" s="24" t="s">
        <v>759</v>
      </c>
      <c r="B18" s="25">
        <v>3342.43</v>
      </c>
    </row>
    <row r="19">
      <c r="A19" s="24" t="s">
        <v>760</v>
      </c>
      <c r="B19" s="25">
        <v>4079.0</v>
      </c>
    </row>
    <row r="20">
      <c r="A20" s="24" t="s">
        <v>729</v>
      </c>
      <c r="B20" s="25">
        <v>132.27</v>
      </c>
    </row>
    <row r="21">
      <c r="A21" s="24" t="s">
        <v>658</v>
      </c>
      <c r="B21" s="25">
        <v>4017.03</v>
      </c>
    </row>
    <row r="22">
      <c r="A22" s="24" t="s">
        <v>761</v>
      </c>
      <c r="B22" s="25">
        <v>10404.69</v>
      </c>
    </row>
    <row r="23">
      <c r="A23" s="24" t="s">
        <v>700</v>
      </c>
      <c r="B23" s="25">
        <v>444.17</v>
      </c>
    </row>
    <row r="24">
      <c r="A24" s="24" t="s">
        <v>762</v>
      </c>
      <c r="B24" s="25">
        <v>121.0</v>
      </c>
    </row>
    <row r="25">
      <c r="A25" s="24" t="s">
        <v>659</v>
      </c>
      <c r="B25" s="7">
        <v>1927.79</v>
      </c>
    </row>
    <row r="26">
      <c r="A26" s="24" t="s">
        <v>763</v>
      </c>
      <c r="B26" s="25">
        <v>890.5</v>
      </c>
    </row>
    <row r="27">
      <c r="A27" s="24" t="s">
        <v>684</v>
      </c>
      <c r="B27" s="25">
        <v>595.0</v>
      </c>
    </row>
    <row r="28">
      <c r="A28" s="24" t="s">
        <v>537</v>
      </c>
      <c r="B28" s="25">
        <v>12.07</v>
      </c>
    </row>
    <row r="29">
      <c r="A29" s="24" t="s">
        <v>764</v>
      </c>
      <c r="B29" s="25">
        <v>2500.0</v>
      </c>
    </row>
    <row r="30">
      <c r="A30" s="24" t="s">
        <v>633</v>
      </c>
      <c r="B30" s="25">
        <v>6.0</v>
      </c>
    </row>
    <row r="31">
      <c r="A31" s="24" t="s">
        <v>686</v>
      </c>
      <c r="B31" s="25">
        <v>692.7</v>
      </c>
    </row>
    <row r="32">
      <c r="A32" s="24" t="s">
        <v>689</v>
      </c>
      <c r="B32" s="25">
        <v>427.09</v>
      </c>
    </row>
    <row r="33">
      <c r="A33" s="24" t="s">
        <v>688</v>
      </c>
      <c r="B33" s="25">
        <v>27.5</v>
      </c>
    </row>
    <row r="34">
      <c r="A34" s="24" t="s">
        <v>765</v>
      </c>
      <c r="B34" s="25">
        <v>88.76</v>
      </c>
    </row>
    <row r="35">
      <c r="A35" s="24" t="s">
        <v>635</v>
      </c>
      <c r="B35" s="25">
        <v>86.4</v>
      </c>
    </row>
    <row r="36">
      <c r="A36" s="24" t="s">
        <v>703</v>
      </c>
      <c r="B36" s="25">
        <v>10579.14</v>
      </c>
    </row>
    <row r="37">
      <c r="A37" s="24" t="s">
        <v>766</v>
      </c>
      <c r="B37" s="25">
        <v>1665.0</v>
      </c>
    </row>
    <row r="38">
      <c r="A38" s="24" t="s">
        <v>679</v>
      </c>
      <c r="B38" s="25">
        <v>420.66</v>
      </c>
    </row>
    <row r="39">
      <c r="A39" s="24" t="s">
        <v>670</v>
      </c>
      <c r="B39" s="25">
        <v>-5956.0</v>
      </c>
    </row>
    <row r="40">
      <c r="A40" s="24" t="s">
        <v>767</v>
      </c>
      <c r="B40" s="25">
        <v>11337.24</v>
      </c>
    </row>
    <row r="41">
      <c r="A41" s="24" t="s">
        <v>382</v>
      </c>
      <c r="B41" s="26">
        <f>SUM(B2:B40)</f>
        <v>100741.17</v>
      </c>
    </row>
    <row r="42">
      <c r="A42" s="27"/>
      <c r="B42" s="26"/>
    </row>
    <row r="43">
      <c r="A43" s="27"/>
      <c r="B43" s="26"/>
    </row>
    <row r="44">
      <c r="A44" s="27"/>
      <c r="B44" s="26"/>
    </row>
    <row r="45">
      <c r="A45" s="27"/>
      <c r="B45" s="26"/>
    </row>
    <row r="46">
      <c r="A46" s="27"/>
      <c r="B46" s="26"/>
    </row>
    <row r="47">
      <c r="A47" s="27"/>
      <c r="B47" s="26"/>
    </row>
    <row r="48">
      <c r="A48" s="27"/>
      <c r="B48" s="26"/>
    </row>
    <row r="49">
      <c r="A49" s="27"/>
      <c r="B49" s="26"/>
    </row>
    <row r="50">
      <c r="A50" s="27"/>
      <c r="B50" s="26"/>
    </row>
    <row r="51">
      <c r="A51" s="27"/>
      <c r="B51" s="26"/>
    </row>
    <row r="52">
      <c r="A52" s="27"/>
      <c r="B52" s="26"/>
    </row>
    <row r="53">
      <c r="A53" s="27"/>
      <c r="B53" s="26"/>
    </row>
    <row r="54">
      <c r="A54" s="27"/>
      <c r="B54" s="26"/>
    </row>
    <row r="55">
      <c r="A55" s="27"/>
      <c r="B55" s="26"/>
    </row>
    <row r="56">
      <c r="A56" s="27"/>
      <c r="B56" s="26"/>
    </row>
    <row r="57">
      <c r="A57" s="27"/>
      <c r="B57" s="26"/>
    </row>
    <row r="58">
      <c r="A58" s="27"/>
      <c r="B58" s="26"/>
    </row>
    <row r="59">
      <c r="A59" s="27"/>
      <c r="B59" s="26"/>
    </row>
    <row r="60">
      <c r="A60" s="27"/>
      <c r="B60" s="26"/>
    </row>
    <row r="61">
      <c r="A61" s="27"/>
      <c r="B61" s="26"/>
    </row>
    <row r="62">
      <c r="A62" s="27"/>
      <c r="B62" s="26"/>
    </row>
    <row r="63">
      <c r="A63" s="27"/>
      <c r="B63" s="26"/>
    </row>
    <row r="64">
      <c r="A64" s="27"/>
      <c r="B64" s="26"/>
    </row>
    <row r="65">
      <c r="A65" s="27"/>
      <c r="B65" s="26"/>
    </row>
    <row r="66">
      <c r="A66" s="27"/>
      <c r="B66" s="26"/>
    </row>
    <row r="67">
      <c r="A67" s="27"/>
      <c r="B67" s="26"/>
    </row>
    <row r="68">
      <c r="A68" s="27"/>
      <c r="B68" s="26"/>
    </row>
    <row r="69">
      <c r="A69" s="27"/>
      <c r="B69" s="26"/>
    </row>
    <row r="70">
      <c r="A70" s="27"/>
      <c r="B70" s="26"/>
    </row>
    <row r="71">
      <c r="A71" s="27"/>
      <c r="B71" s="26"/>
    </row>
    <row r="72">
      <c r="A72" s="27"/>
      <c r="B72" s="26"/>
    </row>
    <row r="73">
      <c r="A73" s="27"/>
      <c r="B73" s="26"/>
    </row>
    <row r="74">
      <c r="A74" s="27"/>
      <c r="B74" s="26"/>
    </row>
    <row r="75">
      <c r="A75" s="27"/>
      <c r="B75" s="26"/>
    </row>
    <row r="76">
      <c r="A76" s="27"/>
      <c r="B76" s="26"/>
    </row>
    <row r="77">
      <c r="A77" s="27"/>
      <c r="B77" s="26"/>
    </row>
    <row r="78">
      <c r="A78" s="27"/>
      <c r="B78" s="26"/>
    </row>
    <row r="79">
      <c r="A79" s="27"/>
      <c r="B79" s="26"/>
    </row>
    <row r="80">
      <c r="A80" s="27"/>
      <c r="B80" s="26"/>
    </row>
    <row r="81">
      <c r="A81" s="27"/>
      <c r="B81" s="26"/>
    </row>
    <row r="82">
      <c r="A82" s="27"/>
      <c r="B82" s="26"/>
    </row>
    <row r="83">
      <c r="A83" s="27"/>
      <c r="B83" s="26"/>
    </row>
    <row r="84">
      <c r="A84" s="27"/>
      <c r="B84" s="26"/>
    </row>
    <row r="85">
      <c r="A85" s="27"/>
      <c r="B85" s="26"/>
    </row>
    <row r="86">
      <c r="A86" s="27"/>
      <c r="B86" s="26"/>
    </row>
    <row r="87">
      <c r="A87" s="27"/>
      <c r="B87" s="26"/>
    </row>
    <row r="88">
      <c r="A88" s="27"/>
      <c r="B88" s="26"/>
    </row>
    <row r="89">
      <c r="A89" s="27"/>
      <c r="B89" s="26"/>
    </row>
    <row r="90">
      <c r="A90" s="27"/>
      <c r="B90" s="26"/>
    </row>
    <row r="91">
      <c r="A91" s="27"/>
      <c r="B91" s="26"/>
    </row>
    <row r="92">
      <c r="A92" s="27"/>
      <c r="B92" s="26"/>
    </row>
    <row r="93">
      <c r="A93" s="27"/>
      <c r="B93" s="26"/>
    </row>
    <row r="94">
      <c r="A94" s="27"/>
      <c r="B94" s="26"/>
    </row>
    <row r="95">
      <c r="A95" s="27"/>
      <c r="B95" s="26"/>
    </row>
    <row r="96">
      <c r="A96" s="27"/>
      <c r="B96" s="26"/>
    </row>
    <row r="97">
      <c r="A97" s="27"/>
      <c r="B97" s="26"/>
    </row>
    <row r="98">
      <c r="A98" s="27"/>
      <c r="B98" s="26"/>
    </row>
    <row r="99">
      <c r="A99" s="27"/>
      <c r="B99" s="26"/>
    </row>
    <row r="100">
      <c r="A100" s="27"/>
      <c r="B100" s="26"/>
    </row>
    <row r="101">
      <c r="A101" s="27"/>
      <c r="B101" s="26"/>
    </row>
    <row r="102">
      <c r="A102" s="27"/>
      <c r="B102" s="26"/>
    </row>
    <row r="103">
      <c r="A103" s="27"/>
      <c r="B103" s="26"/>
    </row>
    <row r="104">
      <c r="A104" s="27"/>
      <c r="B104" s="26"/>
    </row>
    <row r="105">
      <c r="A105" s="27"/>
      <c r="B105" s="26"/>
    </row>
    <row r="106">
      <c r="A106" s="27"/>
      <c r="B106" s="26"/>
    </row>
    <row r="107">
      <c r="A107" s="27"/>
      <c r="B107" s="26"/>
    </row>
    <row r="108">
      <c r="A108" s="27"/>
      <c r="B108" s="26"/>
    </row>
    <row r="109">
      <c r="A109" s="27"/>
      <c r="B109" s="26"/>
    </row>
    <row r="110">
      <c r="A110" s="27"/>
      <c r="B110" s="26"/>
    </row>
    <row r="111">
      <c r="A111" s="27"/>
      <c r="B111" s="26"/>
    </row>
    <row r="112">
      <c r="A112" s="27"/>
      <c r="B112" s="26"/>
    </row>
    <row r="113">
      <c r="A113" s="27"/>
      <c r="B113" s="26"/>
    </row>
    <row r="114">
      <c r="A114" s="27"/>
      <c r="B114" s="26"/>
    </row>
    <row r="115">
      <c r="A115" s="27"/>
      <c r="B115" s="26"/>
    </row>
    <row r="116">
      <c r="A116" s="27"/>
      <c r="B116" s="26"/>
    </row>
    <row r="117">
      <c r="A117" s="27"/>
      <c r="B117" s="26"/>
    </row>
    <row r="118">
      <c r="A118" s="27"/>
      <c r="B118" s="26"/>
    </row>
    <row r="119">
      <c r="A119" s="27"/>
      <c r="B119" s="26"/>
    </row>
    <row r="120">
      <c r="A120" s="27"/>
      <c r="B120" s="26"/>
    </row>
    <row r="121">
      <c r="A121" s="27"/>
      <c r="B121" s="26"/>
    </row>
    <row r="122">
      <c r="A122" s="27"/>
      <c r="B122" s="26"/>
    </row>
    <row r="123">
      <c r="A123" s="27"/>
      <c r="B123" s="26"/>
    </row>
    <row r="124">
      <c r="A124" s="27"/>
      <c r="B124" s="26"/>
    </row>
    <row r="125">
      <c r="A125" s="27"/>
      <c r="B125" s="26"/>
    </row>
    <row r="126">
      <c r="A126" s="27"/>
      <c r="B126" s="26"/>
    </row>
    <row r="127">
      <c r="A127" s="27"/>
      <c r="B127" s="26"/>
    </row>
    <row r="128">
      <c r="A128" s="27"/>
      <c r="B128" s="26"/>
    </row>
    <row r="129">
      <c r="A129" s="27"/>
      <c r="B129" s="26"/>
    </row>
    <row r="130">
      <c r="A130" s="27"/>
      <c r="B130" s="26"/>
    </row>
    <row r="131">
      <c r="A131" s="27"/>
      <c r="B131" s="26"/>
    </row>
    <row r="132">
      <c r="A132" s="27"/>
      <c r="B132" s="26"/>
    </row>
    <row r="133">
      <c r="A133" s="27"/>
      <c r="B133" s="26"/>
    </row>
    <row r="134">
      <c r="A134" s="27"/>
      <c r="B134" s="26"/>
    </row>
    <row r="135">
      <c r="A135" s="27"/>
      <c r="B135" s="26"/>
    </row>
    <row r="136">
      <c r="A136" s="27"/>
      <c r="B136" s="26"/>
    </row>
    <row r="137">
      <c r="A137" s="27"/>
      <c r="B137" s="26"/>
    </row>
    <row r="138">
      <c r="A138" s="27"/>
      <c r="B138" s="26"/>
    </row>
    <row r="139">
      <c r="A139" s="27"/>
      <c r="B139" s="26"/>
    </row>
    <row r="140">
      <c r="A140" s="27"/>
      <c r="B140" s="26"/>
    </row>
    <row r="141">
      <c r="A141" s="27"/>
      <c r="B141" s="26"/>
    </row>
    <row r="142">
      <c r="A142" s="27"/>
      <c r="B142" s="26"/>
    </row>
    <row r="143">
      <c r="A143" s="27"/>
      <c r="B143" s="26"/>
    </row>
    <row r="144">
      <c r="A144" s="27"/>
      <c r="B144" s="26"/>
    </row>
    <row r="145">
      <c r="A145" s="27"/>
      <c r="B145" s="26"/>
    </row>
    <row r="146">
      <c r="A146" s="27"/>
      <c r="B146" s="26"/>
    </row>
    <row r="147">
      <c r="A147" s="27"/>
      <c r="B147" s="26"/>
    </row>
    <row r="148">
      <c r="A148" s="27"/>
      <c r="B148" s="26"/>
    </row>
    <row r="149">
      <c r="A149" s="27"/>
      <c r="B149" s="26"/>
    </row>
    <row r="150">
      <c r="A150" s="27"/>
      <c r="B150" s="26"/>
    </row>
    <row r="151">
      <c r="A151" s="27"/>
      <c r="B151" s="26"/>
    </row>
    <row r="152">
      <c r="A152" s="27"/>
      <c r="B152" s="26"/>
    </row>
    <row r="153">
      <c r="A153" s="27"/>
      <c r="B153" s="26"/>
    </row>
    <row r="154">
      <c r="A154" s="27"/>
      <c r="B154" s="26"/>
    </row>
    <row r="155">
      <c r="A155" s="27"/>
      <c r="B155" s="26"/>
    </row>
    <row r="156">
      <c r="A156" s="27"/>
      <c r="B156" s="26"/>
    </row>
    <row r="157">
      <c r="A157" s="27"/>
      <c r="B157" s="26"/>
    </row>
    <row r="158">
      <c r="A158" s="27"/>
      <c r="B158" s="26"/>
    </row>
    <row r="159">
      <c r="A159" s="27"/>
      <c r="B159" s="26"/>
    </row>
    <row r="160">
      <c r="A160" s="27"/>
      <c r="B160" s="26"/>
    </row>
    <row r="161">
      <c r="A161" s="27"/>
      <c r="B161" s="26"/>
    </row>
    <row r="162">
      <c r="A162" s="27"/>
      <c r="B162" s="26"/>
    </row>
    <row r="163">
      <c r="A163" s="27"/>
      <c r="B163" s="26"/>
    </row>
    <row r="164">
      <c r="A164" s="27"/>
      <c r="B164" s="26"/>
    </row>
    <row r="165">
      <c r="A165" s="27"/>
      <c r="B165" s="26"/>
    </row>
    <row r="166">
      <c r="A166" s="27"/>
      <c r="B166" s="26"/>
    </row>
    <row r="167">
      <c r="A167" s="27"/>
      <c r="B167" s="26"/>
    </row>
    <row r="168">
      <c r="A168" s="27"/>
      <c r="B168" s="26"/>
    </row>
    <row r="169">
      <c r="A169" s="27"/>
      <c r="B169" s="26"/>
    </row>
    <row r="170">
      <c r="A170" s="27"/>
      <c r="B170" s="26"/>
    </row>
    <row r="171">
      <c r="A171" s="27"/>
      <c r="B171" s="26"/>
    </row>
    <row r="172">
      <c r="A172" s="27"/>
      <c r="B172" s="26"/>
    </row>
    <row r="173">
      <c r="A173" s="27"/>
      <c r="B173" s="26"/>
    </row>
    <row r="174">
      <c r="A174" s="27"/>
      <c r="B174" s="26"/>
    </row>
    <row r="175">
      <c r="A175" s="27"/>
      <c r="B175" s="26"/>
    </row>
    <row r="176">
      <c r="A176" s="27"/>
      <c r="B176" s="26"/>
    </row>
    <row r="177">
      <c r="A177" s="27"/>
      <c r="B177" s="26"/>
    </row>
    <row r="178">
      <c r="A178" s="27"/>
      <c r="B178" s="26"/>
    </row>
    <row r="179">
      <c r="A179" s="27"/>
      <c r="B179" s="26"/>
    </row>
    <row r="180">
      <c r="A180" s="27"/>
      <c r="B180" s="26"/>
    </row>
    <row r="181">
      <c r="A181" s="27"/>
      <c r="B181" s="26"/>
    </row>
    <row r="182">
      <c r="A182" s="27"/>
      <c r="B182" s="26"/>
    </row>
    <row r="183">
      <c r="A183" s="27"/>
      <c r="B183" s="26"/>
    </row>
    <row r="184">
      <c r="A184" s="27"/>
      <c r="B184" s="26"/>
    </row>
    <row r="185">
      <c r="A185" s="27"/>
      <c r="B185" s="26"/>
    </row>
    <row r="186">
      <c r="A186" s="27"/>
      <c r="B186" s="26"/>
    </row>
    <row r="187">
      <c r="A187" s="27"/>
      <c r="B187" s="26"/>
    </row>
    <row r="188">
      <c r="A188" s="27"/>
      <c r="B188" s="26"/>
    </row>
    <row r="189">
      <c r="A189" s="27"/>
      <c r="B189" s="26"/>
    </row>
    <row r="190">
      <c r="A190" s="27"/>
      <c r="B190" s="26"/>
    </row>
    <row r="191">
      <c r="A191" s="27"/>
      <c r="B191" s="26"/>
    </row>
    <row r="192">
      <c r="A192" s="27"/>
      <c r="B192" s="26"/>
    </row>
    <row r="193">
      <c r="A193" s="27"/>
      <c r="B193" s="26"/>
    </row>
    <row r="194">
      <c r="A194" s="27"/>
      <c r="B194" s="26"/>
    </row>
    <row r="195">
      <c r="A195" s="27"/>
      <c r="B195" s="26"/>
    </row>
    <row r="196">
      <c r="A196" s="27"/>
      <c r="B196" s="26"/>
    </row>
    <row r="197">
      <c r="A197" s="27"/>
      <c r="B197" s="26"/>
    </row>
    <row r="198">
      <c r="A198" s="27"/>
      <c r="B198" s="26"/>
    </row>
    <row r="199">
      <c r="A199" s="27"/>
      <c r="B199" s="26"/>
    </row>
    <row r="200">
      <c r="A200" s="27"/>
      <c r="B200" s="26"/>
    </row>
    <row r="201">
      <c r="A201" s="27"/>
      <c r="B201" s="26"/>
    </row>
    <row r="202">
      <c r="A202" s="27"/>
      <c r="B202" s="26"/>
    </row>
    <row r="203">
      <c r="A203" s="27"/>
      <c r="B203" s="26"/>
    </row>
    <row r="204">
      <c r="A204" s="27"/>
      <c r="B204" s="26"/>
    </row>
    <row r="205">
      <c r="A205" s="27"/>
      <c r="B205" s="26"/>
    </row>
    <row r="206">
      <c r="A206" s="27"/>
      <c r="B206" s="26"/>
    </row>
    <row r="207">
      <c r="A207" s="27"/>
      <c r="B207" s="26"/>
    </row>
    <row r="208">
      <c r="A208" s="27"/>
      <c r="B208" s="26"/>
    </row>
    <row r="209">
      <c r="A209" s="27"/>
      <c r="B209" s="26"/>
    </row>
    <row r="210">
      <c r="A210" s="27"/>
      <c r="B210" s="26"/>
    </row>
    <row r="211">
      <c r="A211" s="27"/>
      <c r="B211" s="26"/>
    </row>
    <row r="212">
      <c r="A212" s="27"/>
      <c r="B212" s="26"/>
    </row>
    <row r="213">
      <c r="A213" s="27"/>
      <c r="B213" s="26"/>
    </row>
    <row r="214">
      <c r="A214" s="27"/>
      <c r="B214" s="26"/>
    </row>
    <row r="215">
      <c r="A215" s="27"/>
      <c r="B215" s="26"/>
    </row>
    <row r="216">
      <c r="A216" s="27"/>
      <c r="B216" s="26"/>
    </row>
    <row r="217">
      <c r="A217" s="27"/>
      <c r="B217" s="26"/>
    </row>
    <row r="218">
      <c r="A218" s="27"/>
      <c r="B218" s="26"/>
    </row>
    <row r="219">
      <c r="A219" s="27"/>
      <c r="B219" s="26"/>
    </row>
    <row r="220">
      <c r="A220" s="27"/>
      <c r="B220" s="26"/>
    </row>
    <row r="221">
      <c r="A221" s="27"/>
      <c r="B221" s="26"/>
    </row>
    <row r="222">
      <c r="A222" s="27"/>
      <c r="B222" s="26"/>
    </row>
    <row r="223">
      <c r="A223" s="27"/>
      <c r="B223" s="26"/>
    </row>
    <row r="224">
      <c r="A224" s="27"/>
      <c r="B224" s="26"/>
    </row>
    <row r="225">
      <c r="A225" s="27"/>
      <c r="B225" s="26"/>
    </row>
    <row r="226">
      <c r="A226" s="27"/>
      <c r="B226" s="26"/>
    </row>
    <row r="227">
      <c r="A227" s="27"/>
      <c r="B227" s="26"/>
    </row>
    <row r="228">
      <c r="A228" s="27"/>
      <c r="B228" s="26"/>
    </row>
    <row r="229">
      <c r="A229" s="27"/>
      <c r="B229" s="26"/>
    </row>
    <row r="230">
      <c r="A230" s="27"/>
      <c r="B230" s="26"/>
    </row>
    <row r="231">
      <c r="A231" s="27"/>
      <c r="B231" s="26"/>
    </row>
    <row r="232">
      <c r="A232" s="27"/>
      <c r="B232" s="26"/>
    </row>
    <row r="233">
      <c r="A233" s="27"/>
      <c r="B233" s="26"/>
    </row>
    <row r="234">
      <c r="A234" s="27"/>
      <c r="B234" s="26"/>
    </row>
    <row r="235">
      <c r="A235" s="27"/>
      <c r="B235" s="26"/>
    </row>
    <row r="236">
      <c r="A236" s="27"/>
      <c r="B236" s="26"/>
    </row>
    <row r="237">
      <c r="A237" s="27"/>
      <c r="B237" s="26"/>
    </row>
    <row r="238">
      <c r="A238" s="27"/>
      <c r="B238" s="26"/>
    </row>
    <row r="239">
      <c r="A239" s="27"/>
      <c r="B239" s="26"/>
    </row>
    <row r="240">
      <c r="A240" s="27"/>
      <c r="B240" s="26"/>
    </row>
    <row r="241">
      <c r="A241" s="27"/>
      <c r="B241" s="26"/>
    </row>
    <row r="242">
      <c r="A242" s="27"/>
      <c r="B242" s="26"/>
    </row>
    <row r="243">
      <c r="A243" s="27"/>
      <c r="B243" s="26"/>
    </row>
    <row r="244">
      <c r="A244" s="27"/>
      <c r="B244" s="26"/>
    </row>
    <row r="245">
      <c r="A245" s="27"/>
      <c r="B245" s="26"/>
    </row>
    <row r="246">
      <c r="A246" s="27"/>
      <c r="B246" s="26"/>
    </row>
    <row r="247">
      <c r="A247" s="27"/>
      <c r="B247" s="26"/>
    </row>
    <row r="248">
      <c r="A248" s="27"/>
      <c r="B248" s="26"/>
    </row>
    <row r="249">
      <c r="A249" s="27"/>
      <c r="B249" s="26"/>
    </row>
    <row r="250">
      <c r="A250" s="27"/>
      <c r="B250" s="26"/>
    </row>
    <row r="251">
      <c r="A251" s="27"/>
      <c r="B251" s="26"/>
    </row>
    <row r="252">
      <c r="A252" s="27"/>
      <c r="B252" s="26"/>
    </row>
    <row r="253">
      <c r="A253" s="27"/>
      <c r="B253" s="26"/>
    </row>
    <row r="254">
      <c r="A254" s="27"/>
      <c r="B254" s="26"/>
    </row>
    <row r="255">
      <c r="A255" s="27"/>
      <c r="B255" s="26"/>
    </row>
    <row r="256">
      <c r="A256" s="27"/>
      <c r="B256" s="26"/>
    </row>
    <row r="257">
      <c r="A257" s="27"/>
      <c r="B257" s="26"/>
    </row>
    <row r="258">
      <c r="A258" s="27"/>
      <c r="B258" s="26"/>
    </row>
    <row r="259">
      <c r="A259" s="27"/>
      <c r="B259" s="26"/>
    </row>
    <row r="260">
      <c r="A260" s="27"/>
      <c r="B260" s="26"/>
    </row>
    <row r="261">
      <c r="A261" s="27"/>
      <c r="B261" s="26"/>
    </row>
    <row r="262">
      <c r="A262" s="27"/>
      <c r="B262" s="26"/>
    </row>
    <row r="263">
      <c r="A263" s="27"/>
      <c r="B263" s="26"/>
    </row>
    <row r="264">
      <c r="A264" s="27"/>
      <c r="B264" s="26"/>
    </row>
    <row r="265">
      <c r="A265" s="27"/>
      <c r="B265" s="26"/>
    </row>
    <row r="266">
      <c r="A266" s="27"/>
      <c r="B266" s="26"/>
    </row>
    <row r="267">
      <c r="A267" s="27"/>
      <c r="B267" s="26"/>
    </row>
    <row r="268">
      <c r="A268" s="27"/>
      <c r="B268" s="26"/>
    </row>
    <row r="269">
      <c r="A269" s="27"/>
      <c r="B269" s="26"/>
    </row>
    <row r="270">
      <c r="A270" s="27"/>
      <c r="B270" s="26"/>
    </row>
    <row r="271">
      <c r="A271" s="27"/>
      <c r="B271" s="26"/>
    </row>
    <row r="272">
      <c r="A272" s="27"/>
      <c r="B272" s="26"/>
    </row>
    <row r="273">
      <c r="A273" s="27"/>
      <c r="B273" s="26"/>
    </row>
    <row r="274">
      <c r="A274" s="27"/>
      <c r="B274" s="26"/>
    </row>
    <row r="275">
      <c r="A275" s="27"/>
      <c r="B275" s="26"/>
    </row>
    <row r="276">
      <c r="A276" s="27"/>
      <c r="B276" s="26"/>
    </row>
    <row r="277">
      <c r="A277" s="27"/>
      <c r="B277" s="26"/>
    </row>
    <row r="278">
      <c r="A278" s="27"/>
      <c r="B278" s="26"/>
    </row>
    <row r="279">
      <c r="A279" s="27"/>
      <c r="B279" s="26"/>
    </row>
    <row r="280">
      <c r="A280" s="27"/>
      <c r="B280" s="26"/>
    </row>
    <row r="281">
      <c r="A281" s="27"/>
      <c r="B281" s="26"/>
    </row>
    <row r="282">
      <c r="A282" s="27"/>
      <c r="B282" s="26"/>
    </row>
    <row r="283">
      <c r="A283" s="27"/>
      <c r="B283" s="26"/>
    </row>
    <row r="284">
      <c r="A284" s="27"/>
      <c r="B284" s="26"/>
    </row>
    <row r="285">
      <c r="A285" s="27"/>
      <c r="B285" s="26"/>
    </row>
    <row r="286">
      <c r="A286" s="27"/>
      <c r="B286" s="26"/>
    </row>
    <row r="287">
      <c r="A287" s="27"/>
      <c r="B287" s="26"/>
    </row>
    <row r="288">
      <c r="A288" s="27"/>
      <c r="B288" s="26"/>
    </row>
    <row r="289">
      <c r="A289" s="27"/>
      <c r="B289" s="26"/>
    </row>
    <row r="290">
      <c r="A290" s="27"/>
      <c r="B290" s="26"/>
    </row>
    <row r="291">
      <c r="A291" s="27"/>
      <c r="B291" s="26"/>
    </row>
    <row r="292">
      <c r="A292" s="27"/>
      <c r="B292" s="26"/>
    </row>
    <row r="293">
      <c r="A293" s="27"/>
      <c r="B293" s="26"/>
    </row>
    <row r="294">
      <c r="A294" s="27"/>
      <c r="B294" s="26"/>
    </row>
    <row r="295">
      <c r="A295" s="27"/>
      <c r="B295" s="26"/>
    </row>
    <row r="296">
      <c r="A296" s="27"/>
      <c r="B296" s="26"/>
    </row>
    <row r="297">
      <c r="A297" s="27"/>
      <c r="B297" s="26"/>
    </row>
    <row r="298">
      <c r="A298" s="27"/>
      <c r="B298" s="26"/>
    </row>
    <row r="299">
      <c r="A299" s="27"/>
      <c r="B299" s="26"/>
    </row>
    <row r="300">
      <c r="A300" s="27"/>
      <c r="B300" s="26"/>
    </row>
    <row r="301">
      <c r="A301" s="27"/>
      <c r="B301" s="26"/>
    </row>
    <row r="302">
      <c r="A302" s="27"/>
      <c r="B302" s="26"/>
    </row>
    <row r="303">
      <c r="A303" s="27"/>
      <c r="B303" s="26"/>
    </row>
    <row r="304">
      <c r="A304" s="27"/>
      <c r="B304" s="26"/>
    </row>
    <row r="305">
      <c r="A305" s="27"/>
      <c r="B305" s="26"/>
    </row>
    <row r="306">
      <c r="A306" s="27"/>
      <c r="B306" s="26"/>
    </row>
    <row r="307">
      <c r="A307" s="27"/>
      <c r="B307" s="26"/>
    </row>
    <row r="308">
      <c r="A308" s="27"/>
      <c r="B308" s="26"/>
    </row>
    <row r="309">
      <c r="A309" s="27"/>
      <c r="B309" s="26"/>
    </row>
    <row r="310">
      <c r="A310" s="27"/>
      <c r="B310" s="26"/>
    </row>
    <row r="311">
      <c r="A311" s="27"/>
      <c r="B311" s="26"/>
    </row>
    <row r="312">
      <c r="A312" s="27"/>
      <c r="B312" s="26"/>
    </row>
    <row r="313">
      <c r="A313" s="27"/>
      <c r="B313" s="26"/>
    </row>
    <row r="314">
      <c r="A314" s="27"/>
      <c r="B314" s="26"/>
    </row>
    <row r="315">
      <c r="A315" s="27"/>
      <c r="B315" s="26"/>
    </row>
    <row r="316">
      <c r="A316" s="27"/>
      <c r="B316" s="26"/>
    </row>
    <row r="317">
      <c r="A317" s="27"/>
      <c r="B317" s="26"/>
    </row>
    <row r="318">
      <c r="A318" s="27"/>
      <c r="B318" s="26"/>
    </row>
    <row r="319">
      <c r="A319" s="27"/>
      <c r="B319" s="26"/>
    </row>
    <row r="320">
      <c r="A320" s="27"/>
      <c r="B320" s="26"/>
    </row>
    <row r="321">
      <c r="A321" s="27"/>
      <c r="B321" s="26"/>
    </row>
    <row r="322">
      <c r="A322" s="27"/>
      <c r="B322" s="26"/>
    </row>
    <row r="323">
      <c r="A323" s="27"/>
      <c r="B323" s="26"/>
    </row>
    <row r="324">
      <c r="A324" s="27"/>
      <c r="B324" s="26"/>
    </row>
    <row r="325">
      <c r="A325" s="27"/>
      <c r="B325" s="26"/>
    </row>
    <row r="326">
      <c r="A326" s="27"/>
      <c r="B326" s="26"/>
    </row>
    <row r="327">
      <c r="A327" s="27"/>
      <c r="B327" s="26"/>
    </row>
    <row r="328">
      <c r="A328" s="27"/>
      <c r="B328" s="26"/>
    </row>
    <row r="329">
      <c r="A329" s="27"/>
      <c r="B329" s="26"/>
    </row>
    <row r="330">
      <c r="A330" s="27"/>
      <c r="B330" s="26"/>
    </row>
    <row r="331">
      <c r="A331" s="27"/>
      <c r="B331" s="26"/>
    </row>
    <row r="332">
      <c r="A332" s="27"/>
      <c r="B332" s="26"/>
    </row>
    <row r="333">
      <c r="A333" s="27"/>
      <c r="B333" s="26"/>
    </row>
    <row r="334">
      <c r="A334" s="27"/>
      <c r="B334" s="26"/>
    </row>
    <row r="335">
      <c r="A335" s="27"/>
      <c r="B335" s="26"/>
    </row>
    <row r="336">
      <c r="A336" s="27"/>
      <c r="B336" s="26"/>
    </row>
    <row r="337">
      <c r="A337" s="27"/>
      <c r="B337" s="26"/>
    </row>
    <row r="338">
      <c r="A338" s="27"/>
      <c r="B338" s="26"/>
    </row>
    <row r="339">
      <c r="A339" s="27"/>
      <c r="B339" s="26"/>
    </row>
    <row r="340">
      <c r="A340" s="27"/>
      <c r="B340" s="26"/>
    </row>
    <row r="341">
      <c r="A341" s="27"/>
      <c r="B341" s="26"/>
    </row>
    <row r="342">
      <c r="A342" s="27"/>
      <c r="B342" s="26"/>
    </row>
    <row r="343">
      <c r="A343" s="27"/>
      <c r="B343" s="26"/>
    </row>
    <row r="344">
      <c r="A344" s="27"/>
      <c r="B344" s="26"/>
    </row>
    <row r="345">
      <c r="A345" s="27"/>
      <c r="B345" s="26"/>
    </row>
    <row r="346">
      <c r="A346" s="27"/>
      <c r="B346" s="26"/>
    </row>
    <row r="347">
      <c r="A347" s="27"/>
      <c r="B347" s="26"/>
    </row>
    <row r="348">
      <c r="A348" s="27"/>
      <c r="B348" s="26"/>
    </row>
    <row r="349">
      <c r="A349" s="27"/>
      <c r="B349" s="26"/>
    </row>
    <row r="350">
      <c r="A350" s="27"/>
      <c r="B350" s="26"/>
    </row>
    <row r="351">
      <c r="A351" s="27"/>
      <c r="B351" s="26"/>
    </row>
    <row r="352">
      <c r="A352" s="27"/>
      <c r="B352" s="26"/>
    </row>
    <row r="353">
      <c r="A353" s="27"/>
      <c r="B353" s="26"/>
    </row>
    <row r="354">
      <c r="A354" s="27"/>
      <c r="B354" s="26"/>
    </row>
    <row r="355">
      <c r="A355" s="27"/>
      <c r="B355" s="26"/>
    </row>
    <row r="356">
      <c r="A356" s="27"/>
      <c r="B356" s="26"/>
    </row>
    <row r="357">
      <c r="A357" s="27"/>
      <c r="B357" s="26"/>
    </row>
    <row r="358">
      <c r="A358" s="27"/>
      <c r="B358" s="26"/>
    </row>
    <row r="359">
      <c r="A359" s="27"/>
      <c r="B359" s="26"/>
    </row>
    <row r="360">
      <c r="A360" s="27"/>
      <c r="B360" s="26"/>
    </row>
    <row r="361">
      <c r="A361" s="27"/>
      <c r="B361" s="26"/>
    </row>
    <row r="362">
      <c r="A362" s="27"/>
      <c r="B362" s="26"/>
    </row>
    <row r="363">
      <c r="A363" s="27"/>
      <c r="B363" s="26"/>
    </row>
    <row r="364">
      <c r="A364" s="27"/>
      <c r="B364" s="26"/>
    </row>
    <row r="365">
      <c r="A365" s="27"/>
      <c r="B365" s="26"/>
    </row>
    <row r="366">
      <c r="A366" s="27"/>
      <c r="B366" s="26"/>
    </row>
    <row r="367">
      <c r="A367" s="27"/>
      <c r="B367" s="26"/>
    </row>
    <row r="368">
      <c r="A368" s="27"/>
      <c r="B368" s="26"/>
    </row>
    <row r="369">
      <c r="A369" s="27"/>
      <c r="B369" s="26"/>
    </row>
    <row r="370">
      <c r="A370" s="27"/>
      <c r="B370" s="26"/>
    </row>
    <row r="371">
      <c r="A371" s="27"/>
      <c r="B371" s="26"/>
    </row>
    <row r="372">
      <c r="A372" s="27"/>
      <c r="B372" s="26"/>
    </row>
    <row r="373">
      <c r="A373" s="27"/>
      <c r="B373" s="26"/>
    </row>
    <row r="374">
      <c r="A374" s="27"/>
      <c r="B374" s="26"/>
    </row>
    <row r="375">
      <c r="A375" s="27"/>
      <c r="B375" s="26"/>
    </row>
    <row r="376">
      <c r="A376" s="27"/>
      <c r="B376" s="26"/>
    </row>
    <row r="377">
      <c r="A377" s="27"/>
      <c r="B377" s="26"/>
    </row>
    <row r="378">
      <c r="A378" s="27"/>
      <c r="B378" s="26"/>
    </row>
    <row r="379">
      <c r="A379" s="27"/>
      <c r="B379" s="26"/>
    </row>
    <row r="380">
      <c r="A380" s="27"/>
      <c r="B380" s="26"/>
    </row>
    <row r="381">
      <c r="A381" s="27"/>
      <c r="B381" s="26"/>
    </row>
    <row r="382">
      <c r="A382" s="27"/>
      <c r="B382" s="26"/>
    </row>
    <row r="383">
      <c r="A383" s="27"/>
      <c r="B383" s="26"/>
    </row>
    <row r="384">
      <c r="A384" s="27"/>
      <c r="B384" s="26"/>
    </row>
    <row r="385">
      <c r="A385" s="27"/>
      <c r="B385" s="26"/>
    </row>
    <row r="386">
      <c r="A386" s="27"/>
      <c r="B386" s="26"/>
    </row>
    <row r="387">
      <c r="A387" s="27"/>
      <c r="B387" s="26"/>
    </row>
    <row r="388">
      <c r="A388" s="27"/>
      <c r="B388" s="26"/>
    </row>
    <row r="389">
      <c r="A389" s="27"/>
      <c r="B389" s="26"/>
    </row>
    <row r="390">
      <c r="A390" s="27"/>
      <c r="B390" s="26"/>
    </row>
    <row r="391">
      <c r="A391" s="27"/>
      <c r="B391" s="26"/>
    </row>
    <row r="392">
      <c r="A392" s="27"/>
      <c r="B392" s="26"/>
    </row>
    <row r="393">
      <c r="A393" s="27"/>
      <c r="B393" s="26"/>
    </row>
    <row r="394">
      <c r="A394" s="27"/>
      <c r="B394" s="26"/>
    </row>
    <row r="395">
      <c r="A395" s="27"/>
      <c r="B395" s="26"/>
    </row>
    <row r="396">
      <c r="A396" s="27"/>
      <c r="B396" s="26"/>
    </row>
    <row r="397">
      <c r="A397" s="27"/>
      <c r="B397" s="26"/>
    </row>
    <row r="398">
      <c r="A398" s="27"/>
      <c r="B398" s="26"/>
    </row>
    <row r="399">
      <c r="A399" s="27"/>
      <c r="B399" s="26"/>
    </row>
    <row r="400">
      <c r="A400" s="27"/>
      <c r="B400" s="26"/>
    </row>
    <row r="401">
      <c r="A401" s="27"/>
      <c r="B401" s="26"/>
    </row>
    <row r="402">
      <c r="A402" s="27"/>
      <c r="B402" s="26"/>
    </row>
    <row r="403">
      <c r="A403" s="27"/>
      <c r="B403" s="26"/>
    </row>
    <row r="404">
      <c r="A404" s="27"/>
      <c r="B404" s="26"/>
    </row>
    <row r="405">
      <c r="A405" s="27"/>
      <c r="B405" s="26"/>
    </row>
    <row r="406">
      <c r="A406" s="27"/>
      <c r="B406" s="26"/>
    </row>
    <row r="407">
      <c r="A407" s="27"/>
      <c r="B407" s="26"/>
    </row>
    <row r="408">
      <c r="A408" s="27"/>
      <c r="B408" s="26"/>
    </row>
    <row r="409">
      <c r="A409" s="27"/>
      <c r="B409" s="26"/>
    </row>
    <row r="410">
      <c r="A410" s="27"/>
      <c r="B410" s="26"/>
    </row>
    <row r="411">
      <c r="A411" s="27"/>
      <c r="B411" s="26"/>
    </row>
    <row r="412">
      <c r="A412" s="27"/>
      <c r="B412" s="26"/>
    </row>
    <row r="413">
      <c r="A413" s="27"/>
      <c r="B413" s="26"/>
    </row>
    <row r="414">
      <c r="A414" s="27"/>
      <c r="B414" s="26"/>
    </row>
    <row r="415">
      <c r="A415" s="27"/>
      <c r="B415" s="26"/>
    </row>
    <row r="416">
      <c r="A416" s="27"/>
      <c r="B416" s="26"/>
    </row>
    <row r="417">
      <c r="A417" s="27"/>
      <c r="B417" s="26"/>
    </row>
    <row r="418">
      <c r="A418" s="27"/>
      <c r="B418" s="26"/>
    </row>
    <row r="419">
      <c r="A419" s="27"/>
      <c r="B419" s="26"/>
    </row>
    <row r="420">
      <c r="A420" s="27"/>
      <c r="B420" s="26"/>
    </row>
    <row r="421">
      <c r="A421" s="27"/>
      <c r="B421" s="26"/>
    </row>
    <row r="422">
      <c r="A422" s="27"/>
      <c r="B422" s="26"/>
    </row>
    <row r="423">
      <c r="A423" s="27"/>
      <c r="B423" s="26"/>
    </row>
    <row r="424">
      <c r="A424" s="27"/>
      <c r="B424" s="26"/>
    </row>
    <row r="425">
      <c r="A425" s="27"/>
      <c r="B425" s="26"/>
    </row>
    <row r="426">
      <c r="A426" s="27"/>
      <c r="B426" s="26"/>
    </row>
    <row r="427">
      <c r="A427" s="27"/>
      <c r="B427" s="26"/>
    </row>
    <row r="428">
      <c r="A428" s="27"/>
      <c r="B428" s="26"/>
    </row>
    <row r="429">
      <c r="A429" s="27"/>
      <c r="B429" s="26"/>
    </row>
    <row r="430">
      <c r="A430" s="27"/>
      <c r="B430" s="26"/>
    </row>
    <row r="431">
      <c r="A431" s="27"/>
      <c r="B431" s="26"/>
    </row>
    <row r="432">
      <c r="A432" s="27"/>
      <c r="B432" s="26"/>
    </row>
    <row r="433">
      <c r="A433" s="27"/>
      <c r="B433" s="26"/>
    </row>
    <row r="434">
      <c r="A434" s="27"/>
      <c r="B434" s="26"/>
    </row>
    <row r="435">
      <c r="A435" s="27"/>
      <c r="B435" s="26"/>
    </row>
    <row r="436">
      <c r="A436" s="27"/>
      <c r="B436" s="26"/>
    </row>
    <row r="437">
      <c r="A437" s="27"/>
      <c r="B437" s="26"/>
    </row>
    <row r="438">
      <c r="A438" s="27"/>
      <c r="B438" s="26"/>
    </row>
    <row r="439">
      <c r="A439" s="27"/>
      <c r="B439" s="26"/>
    </row>
    <row r="440">
      <c r="A440" s="27"/>
      <c r="B440" s="26"/>
    </row>
    <row r="441">
      <c r="A441" s="27"/>
      <c r="B441" s="26"/>
    </row>
    <row r="442">
      <c r="A442" s="27"/>
      <c r="B442" s="26"/>
    </row>
    <row r="443">
      <c r="A443" s="27"/>
      <c r="B443" s="26"/>
    </row>
    <row r="444">
      <c r="A444" s="27"/>
      <c r="B444" s="26"/>
    </row>
    <row r="445">
      <c r="A445" s="27"/>
      <c r="B445" s="26"/>
    </row>
    <row r="446">
      <c r="A446" s="27"/>
      <c r="B446" s="26"/>
    </row>
    <row r="447">
      <c r="A447" s="27"/>
      <c r="B447" s="26"/>
    </row>
    <row r="448">
      <c r="A448" s="27"/>
      <c r="B448" s="26"/>
    </row>
    <row r="449">
      <c r="A449" s="27"/>
      <c r="B449" s="26"/>
    </row>
    <row r="450">
      <c r="A450" s="27"/>
      <c r="B450" s="26"/>
    </row>
    <row r="451">
      <c r="A451" s="27"/>
      <c r="B451" s="26"/>
    </row>
    <row r="452">
      <c r="A452" s="27"/>
      <c r="B452" s="26"/>
    </row>
    <row r="453">
      <c r="A453" s="27"/>
      <c r="B453" s="26"/>
    </row>
    <row r="454">
      <c r="A454" s="27"/>
      <c r="B454" s="26"/>
    </row>
    <row r="455">
      <c r="A455" s="27"/>
      <c r="B455" s="26"/>
    </row>
    <row r="456">
      <c r="A456" s="27"/>
      <c r="B456" s="26"/>
    </row>
    <row r="457">
      <c r="A457" s="27"/>
      <c r="B457" s="26"/>
    </row>
    <row r="458">
      <c r="A458" s="27"/>
      <c r="B458" s="26"/>
    </row>
    <row r="459">
      <c r="A459" s="27"/>
      <c r="B459" s="26"/>
    </row>
    <row r="460">
      <c r="A460" s="27"/>
      <c r="B460" s="26"/>
    </row>
    <row r="461">
      <c r="A461" s="27"/>
      <c r="B461" s="26"/>
    </row>
    <row r="462">
      <c r="A462" s="27"/>
      <c r="B462" s="26"/>
    </row>
    <row r="463">
      <c r="A463" s="27"/>
      <c r="B463" s="26"/>
    </row>
    <row r="464">
      <c r="A464" s="27"/>
      <c r="B464" s="26"/>
    </row>
    <row r="465">
      <c r="A465" s="27"/>
      <c r="B465" s="26"/>
    </row>
    <row r="466">
      <c r="A466" s="27"/>
      <c r="B466" s="26"/>
    </row>
    <row r="467">
      <c r="A467" s="27"/>
      <c r="B467" s="26"/>
    </row>
    <row r="468">
      <c r="A468" s="27"/>
      <c r="B468" s="26"/>
    </row>
    <row r="469">
      <c r="A469" s="27"/>
      <c r="B469" s="26"/>
    </row>
    <row r="470">
      <c r="A470" s="27"/>
      <c r="B470" s="26"/>
    </row>
    <row r="471">
      <c r="A471" s="27"/>
      <c r="B471" s="26"/>
    </row>
    <row r="472">
      <c r="A472" s="27"/>
      <c r="B472" s="26"/>
    </row>
    <row r="473">
      <c r="A473" s="27"/>
      <c r="B473" s="26"/>
    </row>
    <row r="474">
      <c r="A474" s="27"/>
      <c r="B474" s="26"/>
    </row>
    <row r="475">
      <c r="A475" s="27"/>
      <c r="B475" s="26"/>
    </row>
    <row r="476">
      <c r="A476" s="27"/>
      <c r="B476" s="26"/>
    </row>
    <row r="477">
      <c r="A477" s="27"/>
      <c r="B477" s="26"/>
    </row>
    <row r="478">
      <c r="A478" s="27"/>
      <c r="B478" s="26"/>
    </row>
    <row r="479">
      <c r="A479" s="27"/>
      <c r="B479" s="26"/>
    </row>
    <row r="480">
      <c r="A480" s="27"/>
      <c r="B480" s="26"/>
    </row>
    <row r="481">
      <c r="A481" s="27"/>
      <c r="B481" s="26"/>
    </row>
    <row r="482">
      <c r="A482" s="27"/>
      <c r="B482" s="26"/>
    </row>
    <row r="483">
      <c r="A483" s="27"/>
      <c r="B483" s="26"/>
    </row>
    <row r="484">
      <c r="A484" s="27"/>
      <c r="B484" s="26"/>
    </row>
    <row r="485">
      <c r="A485" s="27"/>
      <c r="B485" s="26"/>
    </row>
    <row r="486">
      <c r="A486" s="27"/>
      <c r="B486" s="26"/>
    </row>
    <row r="487">
      <c r="A487" s="27"/>
      <c r="B487" s="26"/>
    </row>
    <row r="488">
      <c r="A488" s="27"/>
      <c r="B488" s="26"/>
    </row>
    <row r="489">
      <c r="A489" s="27"/>
      <c r="B489" s="26"/>
    </row>
    <row r="490">
      <c r="A490" s="27"/>
      <c r="B490" s="26"/>
    </row>
    <row r="491">
      <c r="A491" s="27"/>
      <c r="B491" s="26"/>
    </row>
    <row r="492">
      <c r="A492" s="27"/>
      <c r="B492" s="26"/>
    </row>
    <row r="493">
      <c r="A493" s="27"/>
      <c r="B493" s="26"/>
    </row>
    <row r="494">
      <c r="A494" s="27"/>
      <c r="B494" s="26"/>
    </row>
    <row r="495">
      <c r="A495" s="27"/>
      <c r="B495" s="26"/>
    </row>
    <row r="496">
      <c r="A496" s="27"/>
      <c r="B496" s="26"/>
    </row>
    <row r="497">
      <c r="A497" s="27"/>
      <c r="B497" s="26"/>
    </row>
    <row r="498">
      <c r="A498" s="27"/>
      <c r="B498" s="26"/>
    </row>
    <row r="499">
      <c r="A499" s="27"/>
      <c r="B499" s="26"/>
    </row>
    <row r="500">
      <c r="A500" s="27"/>
      <c r="B500" s="26"/>
    </row>
    <row r="501">
      <c r="A501" s="27"/>
      <c r="B501" s="26"/>
    </row>
    <row r="502">
      <c r="A502" s="27"/>
      <c r="B502" s="26"/>
    </row>
    <row r="503">
      <c r="A503" s="27"/>
      <c r="B503" s="26"/>
    </row>
    <row r="504">
      <c r="A504" s="27"/>
      <c r="B504" s="26"/>
    </row>
    <row r="505">
      <c r="A505" s="27"/>
      <c r="B505" s="26"/>
    </row>
    <row r="506">
      <c r="A506" s="27"/>
      <c r="B506" s="26"/>
    </row>
    <row r="507">
      <c r="A507" s="27"/>
      <c r="B507" s="26"/>
    </row>
    <row r="508">
      <c r="A508" s="27"/>
      <c r="B508" s="26"/>
    </row>
    <row r="509">
      <c r="A509" s="27"/>
      <c r="B509" s="26"/>
    </row>
    <row r="510">
      <c r="A510" s="27"/>
      <c r="B510" s="26"/>
    </row>
    <row r="511">
      <c r="A511" s="27"/>
      <c r="B511" s="26"/>
    </row>
    <row r="512">
      <c r="A512" s="27"/>
      <c r="B512" s="26"/>
    </row>
    <row r="513">
      <c r="A513" s="27"/>
      <c r="B513" s="26"/>
    </row>
    <row r="514">
      <c r="A514" s="27"/>
      <c r="B514" s="26"/>
    </row>
    <row r="515">
      <c r="A515" s="27"/>
      <c r="B515" s="26"/>
    </row>
    <row r="516">
      <c r="A516" s="27"/>
      <c r="B516" s="26"/>
    </row>
    <row r="517">
      <c r="A517" s="27"/>
      <c r="B517" s="26"/>
    </row>
    <row r="518">
      <c r="A518" s="27"/>
      <c r="B518" s="26"/>
    </row>
    <row r="519">
      <c r="A519" s="27"/>
      <c r="B519" s="26"/>
    </row>
    <row r="520">
      <c r="A520" s="27"/>
      <c r="B520" s="26"/>
    </row>
    <row r="521">
      <c r="A521" s="27"/>
      <c r="B521" s="26"/>
    </row>
    <row r="522">
      <c r="A522" s="27"/>
      <c r="B522" s="26"/>
    </row>
    <row r="523">
      <c r="A523" s="27"/>
      <c r="B523" s="26"/>
    </row>
    <row r="524">
      <c r="A524" s="27"/>
      <c r="B524" s="26"/>
    </row>
    <row r="525">
      <c r="A525" s="27"/>
      <c r="B525" s="26"/>
    </row>
    <row r="526">
      <c r="A526" s="27"/>
      <c r="B526" s="26"/>
    </row>
    <row r="527">
      <c r="A527" s="27"/>
      <c r="B527" s="26"/>
    </row>
    <row r="528">
      <c r="A528" s="27"/>
      <c r="B528" s="26"/>
    </row>
    <row r="529">
      <c r="A529" s="27"/>
      <c r="B529" s="26"/>
    </row>
    <row r="530">
      <c r="A530" s="27"/>
      <c r="B530" s="26"/>
    </row>
    <row r="531">
      <c r="A531" s="27"/>
      <c r="B531" s="26"/>
    </row>
    <row r="532">
      <c r="A532" s="27"/>
      <c r="B532" s="26"/>
    </row>
    <row r="533">
      <c r="A533" s="27"/>
      <c r="B533" s="26"/>
    </row>
    <row r="534">
      <c r="A534" s="27"/>
      <c r="B534" s="26"/>
    </row>
    <row r="535">
      <c r="A535" s="27"/>
      <c r="B535" s="26"/>
    </row>
    <row r="536">
      <c r="A536" s="27"/>
      <c r="B536" s="26"/>
    </row>
    <row r="537">
      <c r="A537" s="27"/>
      <c r="B537" s="26"/>
    </row>
    <row r="538">
      <c r="A538" s="27"/>
      <c r="B538" s="26"/>
    </row>
    <row r="539">
      <c r="A539" s="27"/>
      <c r="B539" s="26"/>
    </row>
    <row r="540">
      <c r="A540" s="27"/>
      <c r="B540" s="26"/>
    </row>
    <row r="541">
      <c r="A541" s="27"/>
      <c r="B541" s="26"/>
    </row>
    <row r="542">
      <c r="A542" s="27"/>
      <c r="B542" s="26"/>
    </row>
    <row r="543">
      <c r="A543" s="27"/>
      <c r="B543" s="26"/>
    </row>
    <row r="544">
      <c r="A544" s="27"/>
      <c r="B544" s="26"/>
    </row>
    <row r="545">
      <c r="A545" s="27"/>
      <c r="B545" s="26"/>
    </row>
    <row r="546">
      <c r="A546" s="27"/>
      <c r="B546" s="26"/>
    </row>
    <row r="547">
      <c r="A547" s="27"/>
      <c r="B547" s="26"/>
    </row>
    <row r="548">
      <c r="A548" s="27"/>
      <c r="B548" s="26"/>
    </row>
    <row r="549">
      <c r="A549" s="27"/>
      <c r="B549" s="26"/>
    </row>
    <row r="550">
      <c r="A550" s="27"/>
      <c r="B550" s="26"/>
    </row>
    <row r="551">
      <c r="A551" s="27"/>
      <c r="B551" s="26"/>
    </row>
    <row r="552">
      <c r="A552" s="27"/>
      <c r="B552" s="26"/>
    </row>
    <row r="553">
      <c r="A553" s="27"/>
      <c r="B553" s="26"/>
    </row>
    <row r="554">
      <c r="A554" s="27"/>
      <c r="B554" s="26"/>
    </row>
    <row r="555">
      <c r="A555" s="27"/>
      <c r="B555" s="26"/>
    </row>
    <row r="556">
      <c r="A556" s="27"/>
      <c r="B556" s="26"/>
    </row>
    <row r="557">
      <c r="A557" s="27"/>
      <c r="B557" s="26"/>
    </row>
    <row r="558">
      <c r="A558" s="27"/>
      <c r="B558" s="26"/>
    </row>
    <row r="559">
      <c r="A559" s="27"/>
      <c r="B559" s="26"/>
    </row>
    <row r="560">
      <c r="A560" s="27"/>
      <c r="B560" s="26"/>
    </row>
    <row r="561">
      <c r="A561" s="27"/>
      <c r="B561" s="26"/>
    </row>
    <row r="562">
      <c r="A562" s="27"/>
      <c r="B562" s="26"/>
    </row>
    <row r="563">
      <c r="A563" s="27"/>
      <c r="B563" s="26"/>
    </row>
    <row r="564">
      <c r="A564" s="27"/>
      <c r="B564" s="26"/>
    </row>
    <row r="565">
      <c r="A565" s="27"/>
      <c r="B565" s="26"/>
    </row>
    <row r="566">
      <c r="A566" s="27"/>
      <c r="B566" s="26"/>
    </row>
    <row r="567">
      <c r="A567" s="27"/>
      <c r="B567" s="26"/>
    </row>
    <row r="568">
      <c r="A568" s="27"/>
      <c r="B568" s="26"/>
    </row>
    <row r="569">
      <c r="A569" s="27"/>
      <c r="B569" s="26"/>
    </row>
    <row r="570">
      <c r="A570" s="27"/>
      <c r="B570" s="26"/>
    </row>
    <row r="571">
      <c r="A571" s="27"/>
      <c r="B571" s="26"/>
    </row>
    <row r="572">
      <c r="A572" s="27"/>
      <c r="B572" s="26"/>
    </row>
    <row r="573">
      <c r="A573" s="27"/>
      <c r="B573" s="26"/>
    </row>
    <row r="574">
      <c r="A574" s="27"/>
      <c r="B574" s="26"/>
    </row>
    <row r="575">
      <c r="A575" s="27"/>
      <c r="B575" s="26"/>
    </row>
    <row r="576">
      <c r="A576" s="27"/>
      <c r="B576" s="26"/>
    </row>
    <row r="577">
      <c r="A577" s="27"/>
      <c r="B577" s="26"/>
    </row>
    <row r="578">
      <c r="A578" s="27"/>
      <c r="B578" s="26"/>
    </row>
    <row r="579">
      <c r="A579" s="27"/>
      <c r="B579" s="26"/>
    </row>
    <row r="580">
      <c r="A580" s="27"/>
      <c r="B580" s="26"/>
    </row>
    <row r="581">
      <c r="A581" s="27"/>
      <c r="B581" s="26"/>
    </row>
    <row r="582">
      <c r="A582" s="27"/>
      <c r="B582" s="26"/>
    </row>
    <row r="583">
      <c r="A583" s="27"/>
      <c r="B583" s="26"/>
    </row>
    <row r="584">
      <c r="A584" s="27"/>
      <c r="B584" s="26"/>
    </row>
    <row r="585">
      <c r="A585" s="27"/>
      <c r="B585" s="26"/>
    </row>
    <row r="586">
      <c r="A586" s="27"/>
      <c r="B586" s="26"/>
    </row>
    <row r="587">
      <c r="A587" s="27"/>
      <c r="B587" s="26"/>
    </row>
    <row r="588">
      <c r="A588" s="27"/>
      <c r="B588" s="26"/>
    </row>
    <row r="589">
      <c r="A589" s="27"/>
      <c r="B589" s="26"/>
    </row>
    <row r="590">
      <c r="A590" s="27"/>
      <c r="B590" s="26"/>
    </row>
    <row r="591">
      <c r="A591" s="27"/>
      <c r="B591" s="26"/>
    </row>
    <row r="592">
      <c r="A592" s="27"/>
      <c r="B592" s="26"/>
    </row>
    <row r="593">
      <c r="A593" s="27"/>
      <c r="B593" s="26"/>
    </row>
    <row r="594">
      <c r="A594" s="27"/>
      <c r="B594" s="26"/>
    </row>
    <row r="595">
      <c r="A595" s="27"/>
      <c r="B595" s="26"/>
    </row>
    <row r="596">
      <c r="A596" s="27"/>
      <c r="B596" s="26"/>
    </row>
    <row r="597">
      <c r="A597" s="27"/>
      <c r="B597" s="26"/>
    </row>
    <row r="598">
      <c r="A598" s="27"/>
      <c r="B598" s="26"/>
    </row>
    <row r="599">
      <c r="A599" s="27"/>
      <c r="B599" s="26"/>
    </row>
    <row r="600">
      <c r="A600" s="27"/>
      <c r="B600" s="26"/>
    </row>
    <row r="601">
      <c r="A601" s="27"/>
      <c r="B601" s="26"/>
    </row>
    <row r="602">
      <c r="A602" s="27"/>
      <c r="B602" s="26"/>
    </row>
    <row r="603">
      <c r="A603" s="27"/>
      <c r="B603" s="26"/>
    </row>
    <row r="604">
      <c r="A604" s="27"/>
      <c r="B604" s="26"/>
    </row>
    <row r="605">
      <c r="A605" s="27"/>
      <c r="B605" s="26"/>
    </row>
    <row r="606">
      <c r="A606" s="27"/>
      <c r="B606" s="26"/>
    </row>
    <row r="607">
      <c r="A607" s="27"/>
      <c r="B607" s="26"/>
    </row>
    <row r="608">
      <c r="A608" s="27"/>
      <c r="B608" s="26"/>
    </row>
    <row r="609">
      <c r="A609" s="27"/>
      <c r="B609" s="26"/>
    </row>
    <row r="610">
      <c r="A610" s="27"/>
      <c r="B610" s="26"/>
    </row>
    <row r="611">
      <c r="A611" s="27"/>
      <c r="B611" s="26"/>
    </row>
    <row r="612">
      <c r="A612" s="27"/>
      <c r="B612" s="26"/>
    </row>
    <row r="613">
      <c r="A613" s="27"/>
      <c r="B613" s="26"/>
    </row>
    <row r="614">
      <c r="A614" s="27"/>
      <c r="B614" s="26"/>
    </row>
    <row r="615">
      <c r="A615" s="27"/>
      <c r="B615" s="26"/>
    </row>
    <row r="616">
      <c r="A616" s="27"/>
      <c r="B616" s="26"/>
    </row>
    <row r="617">
      <c r="A617" s="27"/>
      <c r="B617" s="26"/>
    </row>
    <row r="618">
      <c r="A618" s="27"/>
      <c r="B618" s="26"/>
    </row>
    <row r="619">
      <c r="A619" s="27"/>
      <c r="B619" s="26"/>
    </row>
    <row r="620">
      <c r="A620" s="27"/>
      <c r="B620" s="26"/>
    </row>
    <row r="621">
      <c r="A621" s="27"/>
      <c r="B621" s="26"/>
    </row>
    <row r="622">
      <c r="A622" s="27"/>
      <c r="B622" s="26"/>
    </row>
    <row r="623">
      <c r="A623" s="27"/>
      <c r="B623" s="26"/>
    </row>
    <row r="624">
      <c r="A624" s="27"/>
      <c r="B624" s="26"/>
    </row>
    <row r="625">
      <c r="A625" s="27"/>
      <c r="B625" s="26"/>
    </row>
    <row r="626">
      <c r="A626" s="27"/>
      <c r="B626" s="26"/>
    </row>
    <row r="627">
      <c r="A627" s="27"/>
      <c r="B627" s="26"/>
    </row>
    <row r="628">
      <c r="A628" s="27"/>
      <c r="B628" s="26"/>
    </row>
    <row r="629">
      <c r="A629" s="27"/>
      <c r="B629" s="26"/>
    </row>
    <row r="630">
      <c r="A630" s="27"/>
      <c r="B630" s="26"/>
    </row>
    <row r="631">
      <c r="A631" s="27"/>
      <c r="B631" s="26"/>
    </row>
    <row r="632">
      <c r="A632" s="27"/>
      <c r="B632" s="26"/>
    </row>
    <row r="633">
      <c r="A633" s="27"/>
      <c r="B633" s="26"/>
    </row>
    <row r="634">
      <c r="A634" s="27"/>
      <c r="B634" s="26"/>
    </row>
    <row r="635">
      <c r="A635" s="27"/>
      <c r="B635" s="26"/>
    </row>
    <row r="636">
      <c r="A636" s="27"/>
      <c r="B636" s="26"/>
    </row>
    <row r="637">
      <c r="A637" s="27"/>
      <c r="B637" s="26"/>
    </row>
    <row r="638">
      <c r="A638" s="27"/>
      <c r="B638" s="26"/>
    </row>
    <row r="639">
      <c r="A639" s="27"/>
      <c r="B639" s="26"/>
    </row>
    <row r="640">
      <c r="A640" s="27"/>
      <c r="B640" s="26"/>
    </row>
    <row r="641">
      <c r="A641" s="27"/>
      <c r="B641" s="26"/>
    </row>
    <row r="642">
      <c r="A642" s="27"/>
      <c r="B642" s="26"/>
    </row>
    <row r="643">
      <c r="A643" s="27"/>
      <c r="B643" s="26"/>
    </row>
    <row r="644">
      <c r="A644" s="27"/>
      <c r="B644" s="26"/>
    </row>
    <row r="645">
      <c r="A645" s="27"/>
      <c r="B645" s="26"/>
    </row>
    <row r="646">
      <c r="A646" s="27"/>
      <c r="B646" s="26"/>
    </row>
    <row r="647">
      <c r="A647" s="27"/>
      <c r="B647" s="26"/>
    </row>
    <row r="648">
      <c r="A648" s="27"/>
      <c r="B648" s="26"/>
    </row>
    <row r="649">
      <c r="A649" s="27"/>
      <c r="B649" s="26"/>
    </row>
    <row r="650">
      <c r="A650" s="27"/>
      <c r="B650" s="26"/>
    </row>
    <row r="651">
      <c r="A651" s="27"/>
      <c r="B651" s="26"/>
    </row>
    <row r="652">
      <c r="A652" s="27"/>
      <c r="B652" s="26"/>
    </row>
    <row r="653">
      <c r="A653" s="27"/>
      <c r="B653" s="26"/>
    </row>
    <row r="654">
      <c r="A654" s="27"/>
      <c r="B654" s="26"/>
    </row>
    <row r="655">
      <c r="A655" s="27"/>
      <c r="B655" s="26"/>
    </row>
    <row r="656">
      <c r="A656" s="27"/>
      <c r="B656" s="26"/>
    </row>
    <row r="657">
      <c r="A657" s="27"/>
      <c r="B657" s="26"/>
    </row>
    <row r="658">
      <c r="A658" s="27"/>
      <c r="B658" s="26"/>
    </row>
    <row r="659">
      <c r="A659" s="27"/>
      <c r="B659" s="26"/>
    </row>
    <row r="660">
      <c r="A660" s="27"/>
      <c r="B660" s="26"/>
    </row>
    <row r="661">
      <c r="A661" s="27"/>
      <c r="B661" s="26"/>
    </row>
    <row r="662">
      <c r="A662" s="27"/>
      <c r="B662" s="26"/>
    </row>
    <row r="663">
      <c r="A663" s="27"/>
      <c r="B663" s="26"/>
    </row>
    <row r="664">
      <c r="A664" s="27"/>
      <c r="B664" s="26"/>
    </row>
    <row r="665">
      <c r="A665" s="27"/>
      <c r="B665" s="26"/>
    </row>
    <row r="666">
      <c r="A666" s="27"/>
      <c r="B666" s="26"/>
    </row>
    <row r="667">
      <c r="A667" s="27"/>
      <c r="B667" s="26"/>
    </row>
    <row r="668">
      <c r="A668" s="27"/>
      <c r="B668" s="26"/>
    </row>
    <row r="669">
      <c r="A669" s="27"/>
      <c r="B669" s="26"/>
    </row>
    <row r="670">
      <c r="A670" s="27"/>
      <c r="B670" s="26"/>
    </row>
    <row r="671">
      <c r="A671" s="27"/>
      <c r="B671" s="26"/>
    </row>
    <row r="672">
      <c r="A672" s="27"/>
      <c r="B672" s="26"/>
    </row>
    <row r="673">
      <c r="A673" s="27"/>
      <c r="B673" s="26"/>
    </row>
    <row r="674">
      <c r="A674" s="27"/>
      <c r="B674" s="26"/>
    </row>
    <row r="675">
      <c r="A675" s="27"/>
      <c r="B675" s="26"/>
    </row>
    <row r="676">
      <c r="A676" s="27"/>
      <c r="B676" s="26"/>
    </row>
    <row r="677">
      <c r="A677" s="27"/>
      <c r="B677" s="26"/>
    </row>
    <row r="678">
      <c r="A678" s="27"/>
      <c r="B678" s="26"/>
    </row>
    <row r="679">
      <c r="A679" s="27"/>
      <c r="B679" s="26"/>
    </row>
    <row r="680">
      <c r="A680" s="27"/>
      <c r="B680" s="26"/>
    </row>
    <row r="681">
      <c r="A681" s="27"/>
      <c r="B681" s="26"/>
    </row>
    <row r="682">
      <c r="A682" s="27"/>
      <c r="B682" s="26"/>
    </row>
    <row r="683">
      <c r="A683" s="27"/>
      <c r="B683" s="26"/>
    </row>
    <row r="684">
      <c r="A684" s="27"/>
      <c r="B684" s="26"/>
    </row>
    <row r="685">
      <c r="A685" s="27"/>
      <c r="B685" s="26"/>
    </row>
    <row r="686">
      <c r="A686" s="27"/>
      <c r="B686" s="26"/>
    </row>
    <row r="687">
      <c r="A687" s="27"/>
      <c r="B687" s="26"/>
    </row>
    <row r="688">
      <c r="A688" s="27"/>
      <c r="B688" s="26"/>
    </row>
    <row r="689">
      <c r="A689" s="27"/>
      <c r="B689" s="26"/>
    </row>
    <row r="690">
      <c r="A690" s="27"/>
      <c r="B690" s="26"/>
    </row>
    <row r="691">
      <c r="A691" s="27"/>
      <c r="B691" s="26"/>
    </row>
    <row r="692">
      <c r="A692" s="27"/>
      <c r="B692" s="26"/>
    </row>
    <row r="693">
      <c r="A693" s="27"/>
      <c r="B693" s="26"/>
    </row>
    <row r="694">
      <c r="A694" s="27"/>
      <c r="B694" s="26"/>
    </row>
    <row r="695">
      <c r="A695" s="27"/>
      <c r="B695" s="26"/>
    </row>
    <row r="696">
      <c r="A696" s="27"/>
      <c r="B696" s="26"/>
    </row>
    <row r="697">
      <c r="A697" s="27"/>
      <c r="B697" s="26"/>
    </row>
    <row r="698">
      <c r="A698" s="27"/>
      <c r="B698" s="26"/>
    </row>
    <row r="699">
      <c r="A699" s="27"/>
      <c r="B699" s="26"/>
    </row>
    <row r="700">
      <c r="A700" s="27"/>
      <c r="B700" s="26"/>
    </row>
    <row r="701">
      <c r="A701" s="27"/>
      <c r="B701" s="26"/>
    </row>
    <row r="702">
      <c r="A702" s="27"/>
      <c r="B702" s="26"/>
    </row>
    <row r="703">
      <c r="A703" s="27"/>
      <c r="B703" s="26"/>
    </row>
    <row r="704">
      <c r="A704" s="27"/>
      <c r="B704" s="26"/>
    </row>
    <row r="705">
      <c r="A705" s="27"/>
      <c r="B705" s="26"/>
    </row>
    <row r="706">
      <c r="A706" s="27"/>
      <c r="B706" s="26"/>
    </row>
    <row r="707">
      <c r="A707" s="27"/>
      <c r="B707" s="26"/>
    </row>
    <row r="708">
      <c r="A708" s="27"/>
      <c r="B708" s="26"/>
    </row>
    <row r="709">
      <c r="A709" s="27"/>
      <c r="B709" s="26"/>
    </row>
    <row r="710">
      <c r="A710" s="27"/>
      <c r="B710" s="26"/>
    </row>
    <row r="711">
      <c r="A711" s="27"/>
      <c r="B711" s="26"/>
    </row>
    <row r="712">
      <c r="A712" s="27"/>
      <c r="B712" s="26"/>
    </row>
    <row r="713">
      <c r="A713" s="27"/>
      <c r="B713" s="26"/>
    </row>
    <row r="714">
      <c r="A714" s="27"/>
      <c r="B714" s="26"/>
    </row>
    <row r="715">
      <c r="A715" s="27"/>
      <c r="B715" s="26"/>
    </row>
    <row r="716">
      <c r="A716" s="27"/>
      <c r="B716" s="26"/>
    </row>
    <row r="717">
      <c r="A717" s="27"/>
      <c r="B717" s="26"/>
    </row>
    <row r="718">
      <c r="A718" s="27"/>
      <c r="B718" s="26"/>
    </row>
    <row r="719">
      <c r="A719" s="27"/>
      <c r="B719" s="26"/>
    </row>
    <row r="720">
      <c r="A720" s="27"/>
      <c r="B720" s="26"/>
    </row>
    <row r="721">
      <c r="A721" s="27"/>
      <c r="B721" s="26"/>
    </row>
    <row r="722">
      <c r="A722" s="27"/>
      <c r="B722" s="26"/>
    </row>
    <row r="723">
      <c r="A723" s="27"/>
      <c r="B723" s="26"/>
    </row>
    <row r="724">
      <c r="A724" s="27"/>
      <c r="B724" s="26"/>
    </row>
    <row r="725">
      <c r="A725" s="27"/>
      <c r="B725" s="26"/>
    </row>
    <row r="726">
      <c r="A726" s="27"/>
      <c r="B726" s="26"/>
    </row>
    <row r="727">
      <c r="A727" s="27"/>
      <c r="B727" s="26"/>
    </row>
    <row r="728">
      <c r="A728" s="27"/>
      <c r="B728" s="26"/>
    </row>
    <row r="729">
      <c r="A729" s="27"/>
      <c r="B729" s="26"/>
    </row>
    <row r="730">
      <c r="A730" s="27"/>
      <c r="B730" s="26"/>
    </row>
    <row r="731">
      <c r="A731" s="27"/>
      <c r="B731" s="26"/>
    </row>
    <row r="732">
      <c r="A732" s="27"/>
      <c r="B732" s="26"/>
    </row>
    <row r="733">
      <c r="A733" s="27"/>
      <c r="B733" s="26"/>
    </row>
    <row r="734">
      <c r="A734" s="27"/>
      <c r="B734" s="26"/>
    </row>
    <row r="735">
      <c r="A735" s="27"/>
      <c r="B735" s="26"/>
    </row>
    <row r="736">
      <c r="A736" s="27"/>
      <c r="B736" s="26"/>
    </row>
    <row r="737">
      <c r="A737" s="27"/>
      <c r="B737" s="26"/>
    </row>
    <row r="738">
      <c r="A738" s="27"/>
      <c r="B738" s="26"/>
    </row>
    <row r="739">
      <c r="A739" s="27"/>
      <c r="B739" s="26"/>
    </row>
    <row r="740">
      <c r="A740" s="27"/>
      <c r="B740" s="26"/>
    </row>
    <row r="741">
      <c r="A741" s="27"/>
      <c r="B741" s="26"/>
    </row>
    <row r="742">
      <c r="A742" s="27"/>
      <c r="B742" s="26"/>
    </row>
    <row r="743">
      <c r="A743" s="27"/>
      <c r="B743" s="26"/>
    </row>
    <row r="744">
      <c r="A744" s="27"/>
      <c r="B744" s="26"/>
    </row>
    <row r="745">
      <c r="A745" s="27"/>
      <c r="B745" s="26"/>
    </row>
    <row r="746">
      <c r="A746" s="27"/>
      <c r="B746" s="26"/>
    </row>
    <row r="747">
      <c r="A747" s="27"/>
      <c r="B747" s="26"/>
    </row>
    <row r="748">
      <c r="A748" s="27"/>
      <c r="B748" s="26"/>
    </row>
    <row r="749">
      <c r="A749" s="27"/>
      <c r="B749" s="26"/>
    </row>
    <row r="750">
      <c r="A750" s="27"/>
      <c r="B750" s="26"/>
    </row>
    <row r="751">
      <c r="A751" s="27"/>
      <c r="B751" s="26"/>
    </row>
    <row r="752">
      <c r="A752" s="27"/>
      <c r="B752" s="26"/>
    </row>
    <row r="753">
      <c r="A753" s="27"/>
      <c r="B753" s="26"/>
    </row>
    <row r="754">
      <c r="A754" s="27"/>
      <c r="B754" s="26"/>
    </row>
    <row r="755">
      <c r="A755" s="27"/>
      <c r="B755" s="26"/>
    </row>
    <row r="756">
      <c r="A756" s="27"/>
      <c r="B756" s="26"/>
    </row>
    <row r="757">
      <c r="A757" s="27"/>
      <c r="B757" s="26"/>
    </row>
    <row r="758">
      <c r="A758" s="27"/>
      <c r="B758" s="26"/>
    </row>
    <row r="759">
      <c r="A759" s="27"/>
      <c r="B759" s="26"/>
    </row>
    <row r="760">
      <c r="A760" s="27"/>
      <c r="B760" s="26"/>
    </row>
    <row r="761">
      <c r="A761" s="27"/>
      <c r="B761" s="26"/>
    </row>
    <row r="762">
      <c r="A762" s="27"/>
      <c r="B762" s="26"/>
    </row>
    <row r="763">
      <c r="A763" s="27"/>
      <c r="B763" s="26"/>
    </row>
    <row r="764">
      <c r="A764" s="27"/>
      <c r="B764" s="26"/>
    </row>
    <row r="765">
      <c r="A765" s="27"/>
      <c r="B765" s="26"/>
    </row>
    <row r="766">
      <c r="A766" s="27"/>
      <c r="B766" s="26"/>
    </row>
    <row r="767">
      <c r="A767" s="27"/>
      <c r="B767" s="26"/>
    </row>
    <row r="768">
      <c r="A768" s="27"/>
      <c r="B768" s="26"/>
    </row>
    <row r="769">
      <c r="A769" s="27"/>
      <c r="B769" s="26"/>
    </row>
    <row r="770">
      <c r="A770" s="27"/>
      <c r="B770" s="26"/>
    </row>
    <row r="771">
      <c r="A771" s="27"/>
      <c r="B771" s="26"/>
    </row>
    <row r="772">
      <c r="A772" s="27"/>
      <c r="B772" s="26"/>
    </row>
    <row r="773">
      <c r="A773" s="27"/>
      <c r="B773" s="26"/>
    </row>
    <row r="774">
      <c r="A774" s="27"/>
      <c r="B774" s="26"/>
    </row>
    <row r="775">
      <c r="A775" s="27"/>
      <c r="B775" s="26"/>
    </row>
    <row r="776">
      <c r="A776" s="27"/>
      <c r="B776" s="26"/>
    </row>
    <row r="777">
      <c r="A777" s="27"/>
      <c r="B777" s="26"/>
    </row>
    <row r="778">
      <c r="A778" s="27"/>
      <c r="B778" s="26"/>
    </row>
    <row r="779">
      <c r="A779" s="27"/>
      <c r="B779" s="26"/>
    </row>
    <row r="780">
      <c r="A780" s="27"/>
      <c r="B780" s="26"/>
    </row>
    <row r="781">
      <c r="A781" s="27"/>
      <c r="B781" s="26"/>
    </row>
    <row r="782">
      <c r="A782" s="27"/>
      <c r="B782" s="26"/>
    </row>
    <row r="783">
      <c r="A783" s="27"/>
      <c r="B783" s="26"/>
    </row>
    <row r="784">
      <c r="A784" s="27"/>
      <c r="B784" s="26"/>
    </row>
    <row r="785">
      <c r="A785" s="27"/>
      <c r="B785" s="26"/>
    </row>
    <row r="786">
      <c r="A786" s="27"/>
      <c r="B786" s="26"/>
    </row>
    <row r="787">
      <c r="A787" s="27"/>
      <c r="B787" s="26"/>
    </row>
    <row r="788">
      <c r="A788" s="27"/>
      <c r="B788" s="26"/>
    </row>
    <row r="789">
      <c r="A789" s="27"/>
      <c r="B789" s="26"/>
    </row>
    <row r="790">
      <c r="A790" s="27"/>
      <c r="B790" s="26"/>
    </row>
    <row r="791">
      <c r="A791" s="27"/>
      <c r="B791" s="26"/>
    </row>
    <row r="792">
      <c r="A792" s="27"/>
      <c r="B792" s="26"/>
    </row>
    <row r="793">
      <c r="A793" s="27"/>
      <c r="B793" s="26"/>
    </row>
    <row r="794">
      <c r="A794" s="27"/>
      <c r="B794" s="26"/>
    </row>
    <row r="795">
      <c r="A795" s="27"/>
      <c r="B795" s="26"/>
    </row>
    <row r="796">
      <c r="A796" s="27"/>
      <c r="B796" s="26"/>
    </row>
    <row r="797">
      <c r="A797" s="27"/>
      <c r="B797" s="26"/>
    </row>
    <row r="798">
      <c r="A798" s="27"/>
      <c r="B798" s="26"/>
    </row>
    <row r="799">
      <c r="A799" s="27"/>
      <c r="B799" s="26"/>
    </row>
    <row r="800">
      <c r="A800" s="27"/>
      <c r="B800" s="26"/>
    </row>
    <row r="801">
      <c r="A801" s="27"/>
      <c r="B801" s="26"/>
    </row>
    <row r="802">
      <c r="A802" s="27"/>
      <c r="B802" s="26"/>
    </row>
    <row r="803">
      <c r="A803" s="27"/>
      <c r="B803" s="26"/>
    </row>
    <row r="804">
      <c r="A804" s="27"/>
      <c r="B804" s="26"/>
    </row>
    <row r="805">
      <c r="A805" s="27"/>
      <c r="B805" s="26"/>
    </row>
    <row r="806">
      <c r="A806" s="27"/>
      <c r="B806" s="26"/>
    </row>
    <row r="807">
      <c r="A807" s="27"/>
      <c r="B807" s="26"/>
    </row>
    <row r="808">
      <c r="A808" s="27"/>
      <c r="B808" s="26"/>
    </row>
    <row r="809">
      <c r="A809" s="27"/>
      <c r="B809" s="26"/>
    </row>
    <row r="810">
      <c r="A810" s="27"/>
      <c r="B810" s="26"/>
    </row>
    <row r="811">
      <c r="A811" s="27"/>
      <c r="B811" s="26"/>
    </row>
    <row r="812">
      <c r="A812" s="27"/>
      <c r="B812" s="26"/>
    </row>
    <row r="813">
      <c r="A813" s="27"/>
      <c r="B813" s="26"/>
    </row>
    <row r="814">
      <c r="A814" s="27"/>
      <c r="B814" s="26"/>
    </row>
    <row r="815">
      <c r="A815" s="27"/>
      <c r="B815" s="26"/>
    </row>
    <row r="816">
      <c r="A816" s="27"/>
      <c r="B816" s="26"/>
    </row>
    <row r="817">
      <c r="A817" s="27"/>
      <c r="B817" s="26"/>
    </row>
    <row r="818">
      <c r="A818" s="27"/>
      <c r="B818" s="26"/>
    </row>
    <row r="819">
      <c r="A819" s="27"/>
      <c r="B819" s="26"/>
    </row>
    <row r="820">
      <c r="A820" s="27"/>
      <c r="B820" s="26"/>
    </row>
    <row r="821">
      <c r="A821" s="27"/>
      <c r="B821" s="26"/>
    </row>
    <row r="822">
      <c r="A822" s="27"/>
      <c r="B822" s="26"/>
    </row>
    <row r="823">
      <c r="A823" s="27"/>
      <c r="B823" s="26"/>
    </row>
    <row r="824">
      <c r="A824" s="27"/>
      <c r="B824" s="26"/>
    </row>
    <row r="825">
      <c r="A825" s="27"/>
      <c r="B825" s="26"/>
    </row>
    <row r="826">
      <c r="A826" s="27"/>
      <c r="B826" s="26"/>
    </row>
    <row r="827">
      <c r="A827" s="27"/>
      <c r="B827" s="26"/>
    </row>
    <row r="828">
      <c r="A828" s="27"/>
      <c r="B828" s="26"/>
    </row>
    <row r="829">
      <c r="A829" s="27"/>
      <c r="B829" s="26"/>
    </row>
    <row r="830">
      <c r="A830" s="27"/>
      <c r="B830" s="26"/>
    </row>
    <row r="831">
      <c r="A831" s="27"/>
      <c r="B831" s="26"/>
    </row>
    <row r="832">
      <c r="A832" s="27"/>
      <c r="B832" s="26"/>
    </row>
    <row r="833">
      <c r="A833" s="27"/>
      <c r="B833" s="26"/>
    </row>
    <row r="834">
      <c r="A834" s="27"/>
      <c r="B834" s="26"/>
    </row>
    <row r="835">
      <c r="A835" s="27"/>
      <c r="B835" s="26"/>
    </row>
    <row r="836">
      <c r="A836" s="27"/>
      <c r="B836" s="26"/>
    </row>
    <row r="837">
      <c r="A837" s="27"/>
      <c r="B837" s="26"/>
    </row>
    <row r="838">
      <c r="A838" s="27"/>
      <c r="B838" s="26"/>
    </row>
    <row r="839">
      <c r="A839" s="27"/>
      <c r="B839" s="26"/>
    </row>
    <row r="840">
      <c r="A840" s="27"/>
      <c r="B840" s="26"/>
    </row>
    <row r="841">
      <c r="A841" s="27"/>
      <c r="B841" s="26"/>
    </row>
    <row r="842">
      <c r="A842" s="27"/>
      <c r="B842" s="26"/>
    </row>
    <row r="843">
      <c r="A843" s="27"/>
      <c r="B843" s="26"/>
    </row>
    <row r="844">
      <c r="A844" s="27"/>
      <c r="B844" s="26"/>
    </row>
    <row r="845">
      <c r="A845" s="27"/>
      <c r="B845" s="26"/>
    </row>
    <row r="846">
      <c r="A846" s="27"/>
      <c r="B846" s="26"/>
    </row>
    <row r="847">
      <c r="A847" s="27"/>
      <c r="B847" s="26"/>
    </row>
    <row r="848">
      <c r="A848" s="27"/>
      <c r="B848" s="26"/>
    </row>
    <row r="849">
      <c r="A849" s="27"/>
      <c r="B849" s="26"/>
    </row>
    <row r="850">
      <c r="A850" s="27"/>
      <c r="B850" s="26"/>
    </row>
    <row r="851">
      <c r="A851" s="27"/>
      <c r="B851" s="26"/>
    </row>
    <row r="852">
      <c r="A852" s="27"/>
      <c r="B852" s="26"/>
    </row>
    <row r="853">
      <c r="A853" s="27"/>
      <c r="B853" s="26"/>
    </row>
    <row r="854">
      <c r="A854" s="27"/>
      <c r="B854" s="26"/>
    </row>
    <row r="855">
      <c r="A855" s="27"/>
      <c r="B855" s="26"/>
    </row>
    <row r="856">
      <c r="A856" s="27"/>
      <c r="B856" s="26"/>
    </row>
    <row r="857">
      <c r="A857" s="27"/>
      <c r="B857" s="26"/>
    </row>
    <row r="858">
      <c r="A858" s="27"/>
      <c r="B858" s="26"/>
    </row>
    <row r="859">
      <c r="A859" s="27"/>
      <c r="B859" s="26"/>
    </row>
    <row r="860">
      <c r="A860" s="27"/>
      <c r="B860" s="26"/>
    </row>
    <row r="861">
      <c r="A861" s="27"/>
      <c r="B861" s="26"/>
    </row>
    <row r="862">
      <c r="A862" s="27"/>
      <c r="B862" s="26"/>
    </row>
    <row r="863">
      <c r="A863" s="27"/>
      <c r="B863" s="26"/>
    </row>
    <row r="864">
      <c r="A864" s="27"/>
      <c r="B864" s="26"/>
    </row>
    <row r="865">
      <c r="A865" s="27"/>
      <c r="B865" s="26"/>
    </row>
    <row r="866">
      <c r="A866" s="27"/>
      <c r="B866" s="26"/>
    </row>
    <row r="867">
      <c r="A867" s="27"/>
      <c r="B867" s="26"/>
    </row>
    <row r="868">
      <c r="A868" s="27"/>
      <c r="B868" s="26"/>
    </row>
    <row r="869">
      <c r="A869" s="27"/>
      <c r="B869" s="26"/>
    </row>
    <row r="870">
      <c r="A870" s="27"/>
      <c r="B870" s="26"/>
    </row>
    <row r="871">
      <c r="A871" s="27"/>
      <c r="B871" s="26"/>
    </row>
    <row r="872">
      <c r="A872" s="27"/>
      <c r="B872" s="26"/>
    </row>
    <row r="873">
      <c r="A873" s="27"/>
      <c r="B873" s="26"/>
    </row>
    <row r="874">
      <c r="A874" s="27"/>
      <c r="B874" s="26"/>
    </row>
    <row r="875">
      <c r="A875" s="27"/>
      <c r="B875" s="26"/>
    </row>
    <row r="876">
      <c r="A876" s="27"/>
      <c r="B876" s="26"/>
    </row>
    <row r="877">
      <c r="A877" s="27"/>
      <c r="B877" s="26"/>
    </row>
    <row r="878">
      <c r="A878" s="27"/>
      <c r="B878" s="26"/>
    </row>
    <row r="879">
      <c r="A879" s="27"/>
      <c r="B879" s="26"/>
    </row>
    <row r="880">
      <c r="A880" s="27"/>
      <c r="B880" s="26"/>
    </row>
    <row r="881">
      <c r="A881" s="27"/>
      <c r="B881" s="26"/>
    </row>
    <row r="882">
      <c r="A882" s="27"/>
      <c r="B882" s="26"/>
    </row>
    <row r="883">
      <c r="A883" s="27"/>
      <c r="B883" s="26"/>
    </row>
    <row r="884">
      <c r="A884" s="27"/>
      <c r="B884" s="26"/>
    </row>
    <row r="885">
      <c r="A885" s="27"/>
      <c r="B885" s="26"/>
    </row>
    <row r="886">
      <c r="A886" s="27"/>
      <c r="B886" s="26"/>
    </row>
    <row r="887">
      <c r="A887" s="27"/>
      <c r="B887" s="26"/>
    </row>
    <row r="888">
      <c r="A888" s="27"/>
      <c r="B888" s="26"/>
    </row>
    <row r="889">
      <c r="A889" s="27"/>
      <c r="B889" s="26"/>
    </row>
    <row r="890">
      <c r="A890" s="27"/>
      <c r="B890" s="26"/>
    </row>
    <row r="891">
      <c r="A891" s="27"/>
      <c r="B891" s="26"/>
    </row>
    <row r="892">
      <c r="A892" s="27"/>
      <c r="B892" s="26"/>
    </row>
    <row r="893">
      <c r="A893" s="27"/>
      <c r="B893" s="26"/>
    </row>
    <row r="894">
      <c r="A894" s="27"/>
      <c r="B894" s="26"/>
    </row>
    <row r="895">
      <c r="A895" s="27"/>
      <c r="B895" s="26"/>
    </row>
    <row r="896">
      <c r="A896" s="27"/>
      <c r="B896" s="26"/>
    </row>
    <row r="897">
      <c r="A897" s="27"/>
      <c r="B897" s="26"/>
    </row>
    <row r="898">
      <c r="A898" s="27"/>
      <c r="B898" s="26"/>
    </row>
    <row r="899">
      <c r="A899" s="27"/>
      <c r="B899" s="26"/>
    </row>
    <row r="900">
      <c r="A900" s="27"/>
      <c r="B900" s="26"/>
    </row>
    <row r="901">
      <c r="A901" s="27"/>
      <c r="B901" s="26"/>
    </row>
    <row r="902">
      <c r="A902" s="27"/>
      <c r="B902" s="26"/>
    </row>
    <row r="903">
      <c r="A903" s="27"/>
      <c r="B903" s="26"/>
    </row>
    <row r="904">
      <c r="A904" s="27"/>
      <c r="B904" s="26"/>
    </row>
    <row r="905">
      <c r="A905" s="27"/>
      <c r="B905" s="26"/>
    </row>
    <row r="906">
      <c r="A906" s="27"/>
      <c r="B906" s="26"/>
    </row>
    <row r="907">
      <c r="A907" s="27"/>
      <c r="B907" s="26"/>
    </row>
    <row r="908">
      <c r="A908" s="27"/>
      <c r="B908" s="26"/>
    </row>
    <row r="909">
      <c r="A909" s="27"/>
      <c r="B909" s="26"/>
    </row>
    <row r="910">
      <c r="A910" s="27"/>
      <c r="B910" s="26"/>
    </row>
    <row r="911">
      <c r="A911" s="27"/>
      <c r="B911" s="26"/>
    </row>
    <row r="912">
      <c r="A912" s="27"/>
      <c r="B912" s="26"/>
    </row>
    <row r="913">
      <c r="A913" s="27"/>
      <c r="B913" s="26"/>
    </row>
    <row r="914">
      <c r="A914" s="27"/>
      <c r="B914" s="26"/>
    </row>
    <row r="915">
      <c r="A915" s="27"/>
      <c r="B915" s="26"/>
    </row>
    <row r="916">
      <c r="A916" s="27"/>
      <c r="B916" s="26"/>
    </row>
    <row r="917">
      <c r="A917" s="27"/>
      <c r="B917" s="26"/>
    </row>
    <row r="918">
      <c r="A918" s="27"/>
      <c r="B918" s="26"/>
    </row>
    <row r="919">
      <c r="A919" s="27"/>
      <c r="B919" s="26"/>
    </row>
    <row r="920">
      <c r="A920" s="27"/>
      <c r="B920" s="26"/>
    </row>
    <row r="921">
      <c r="A921" s="27"/>
      <c r="B921" s="26"/>
    </row>
    <row r="922">
      <c r="A922" s="27"/>
      <c r="B922" s="26"/>
    </row>
    <row r="923">
      <c r="A923" s="27"/>
      <c r="B923" s="26"/>
    </row>
    <row r="924">
      <c r="A924" s="27"/>
      <c r="B924" s="26"/>
    </row>
    <row r="925">
      <c r="A925" s="27"/>
      <c r="B925" s="26"/>
    </row>
    <row r="926">
      <c r="A926" s="27"/>
      <c r="B926" s="26"/>
    </row>
    <row r="927">
      <c r="A927" s="27"/>
      <c r="B927" s="26"/>
    </row>
    <row r="928">
      <c r="A928" s="27"/>
      <c r="B928" s="26"/>
    </row>
    <row r="929">
      <c r="A929" s="27"/>
      <c r="B929" s="26"/>
    </row>
    <row r="930">
      <c r="A930" s="27"/>
      <c r="B930" s="26"/>
    </row>
    <row r="931">
      <c r="A931" s="27"/>
      <c r="B931" s="26"/>
    </row>
    <row r="932">
      <c r="A932" s="27"/>
      <c r="B932" s="26"/>
    </row>
    <row r="933">
      <c r="A933" s="27"/>
      <c r="B933" s="26"/>
    </row>
    <row r="934">
      <c r="A934" s="27"/>
      <c r="B934" s="26"/>
    </row>
    <row r="935">
      <c r="A935" s="27"/>
      <c r="B935" s="26"/>
    </row>
    <row r="936">
      <c r="A936" s="27"/>
      <c r="B936" s="26"/>
    </row>
    <row r="937">
      <c r="A937" s="27"/>
      <c r="B937" s="26"/>
    </row>
    <row r="938">
      <c r="A938" s="27"/>
      <c r="B938" s="26"/>
    </row>
    <row r="939">
      <c r="A939" s="27"/>
      <c r="B939" s="26"/>
    </row>
    <row r="940">
      <c r="A940" s="27"/>
      <c r="B940" s="26"/>
    </row>
    <row r="941">
      <c r="A941" s="27"/>
      <c r="B941" s="26"/>
    </row>
    <row r="942">
      <c r="A942" s="27"/>
      <c r="B942" s="26"/>
    </row>
    <row r="943">
      <c r="A943" s="27"/>
      <c r="B943" s="26"/>
    </row>
    <row r="944">
      <c r="A944" s="27"/>
      <c r="B944" s="26"/>
    </row>
    <row r="945">
      <c r="A945" s="27"/>
      <c r="B945" s="26"/>
    </row>
    <row r="946">
      <c r="A946" s="27"/>
      <c r="B946" s="26"/>
    </row>
    <row r="947">
      <c r="A947" s="27"/>
      <c r="B947" s="26"/>
    </row>
    <row r="948">
      <c r="A948" s="27"/>
      <c r="B948" s="26"/>
    </row>
    <row r="949">
      <c r="A949" s="27"/>
      <c r="B949" s="26"/>
    </row>
    <row r="950">
      <c r="A950" s="27"/>
      <c r="B950" s="26"/>
    </row>
    <row r="951">
      <c r="A951" s="27"/>
      <c r="B951" s="26"/>
    </row>
    <row r="952">
      <c r="A952" s="27"/>
      <c r="B952" s="26"/>
    </row>
    <row r="953">
      <c r="A953" s="27"/>
      <c r="B953" s="26"/>
    </row>
    <row r="954">
      <c r="A954" s="27"/>
      <c r="B954" s="26"/>
    </row>
    <row r="955">
      <c r="A955" s="27"/>
      <c r="B955" s="26"/>
    </row>
    <row r="956">
      <c r="A956" s="27"/>
      <c r="B956" s="26"/>
    </row>
    <row r="957">
      <c r="A957" s="27"/>
      <c r="B957" s="26"/>
    </row>
    <row r="958">
      <c r="A958" s="27"/>
      <c r="B958" s="26"/>
    </row>
    <row r="959">
      <c r="A959" s="27"/>
      <c r="B959" s="26"/>
    </row>
    <row r="960">
      <c r="A960" s="27"/>
      <c r="B960" s="26"/>
    </row>
    <row r="961">
      <c r="A961" s="27"/>
      <c r="B961" s="26"/>
    </row>
    <row r="962">
      <c r="A962" s="27"/>
      <c r="B962" s="26"/>
    </row>
    <row r="963">
      <c r="A963" s="27"/>
      <c r="B963" s="26"/>
    </row>
    <row r="964">
      <c r="A964" s="27"/>
      <c r="B964" s="26"/>
    </row>
    <row r="965">
      <c r="A965" s="27"/>
      <c r="B965" s="26"/>
    </row>
    <row r="966">
      <c r="A966" s="27"/>
      <c r="B966" s="26"/>
    </row>
    <row r="967">
      <c r="A967" s="27"/>
      <c r="B967" s="26"/>
    </row>
    <row r="968">
      <c r="A968" s="27"/>
      <c r="B968" s="26"/>
    </row>
    <row r="969">
      <c r="A969" s="27"/>
      <c r="B969" s="26"/>
    </row>
    <row r="970">
      <c r="A970" s="27"/>
      <c r="B970" s="26"/>
    </row>
    <row r="971">
      <c r="A971" s="27"/>
      <c r="B971" s="26"/>
    </row>
    <row r="972">
      <c r="A972" s="27"/>
      <c r="B972" s="26"/>
    </row>
    <row r="973">
      <c r="A973" s="27"/>
      <c r="B973" s="26"/>
    </row>
    <row r="974">
      <c r="A974" s="27"/>
      <c r="B974" s="26"/>
    </row>
    <row r="975">
      <c r="A975" s="27"/>
      <c r="B975" s="26"/>
    </row>
    <row r="976">
      <c r="A976" s="27"/>
      <c r="B976" s="26"/>
    </row>
    <row r="977">
      <c r="A977" s="27"/>
      <c r="B977" s="26"/>
    </row>
    <row r="978">
      <c r="A978" s="27"/>
      <c r="B978" s="26"/>
    </row>
    <row r="979">
      <c r="A979" s="27"/>
      <c r="B979" s="26"/>
    </row>
    <row r="980">
      <c r="A980" s="27"/>
      <c r="B980" s="26"/>
    </row>
    <row r="981">
      <c r="A981" s="27"/>
      <c r="B981" s="26"/>
    </row>
    <row r="982">
      <c r="A982" s="27"/>
      <c r="B982" s="26"/>
    </row>
    <row r="983">
      <c r="A983" s="27"/>
      <c r="B983" s="26"/>
    </row>
    <row r="984">
      <c r="A984" s="27"/>
      <c r="B984" s="26"/>
    </row>
    <row r="985">
      <c r="A985" s="27"/>
      <c r="B985" s="26"/>
    </row>
    <row r="986">
      <c r="A986" s="27"/>
      <c r="B986" s="26"/>
    </row>
    <row r="987">
      <c r="A987" s="27"/>
      <c r="B987" s="26"/>
    </row>
    <row r="988">
      <c r="A988" s="27"/>
      <c r="B988" s="26"/>
    </row>
    <row r="989">
      <c r="A989" s="27"/>
      <c r="B989" s="26"/>
    </row>
    <row r="990">
      <c r="A990" s="27"/>
      <c r="B990" s="26"/>
    </row>
    <row r="991">
      <c r="A991" s="27"/>
      <c r="B991" s="26"/>
    </row>
    <row r="992">
      <c r="A992" s="27"/>
      <c r="B992" s="26"/>
    </row>
    <row r="993">
      <c r="A993" s="27"/>
      <c r="B993" s="26"/>
    </row>
    <row r="994">
      <c r="A994" s="27"/>
      <c r="B994" s="26"/>
    </row>
    <row r="995">
      <c r="A995" s="27"/>
      <c r="B995" s="26"/>
    </row>
    <row r="996">
      <c r="A996" s="27"/>
      <c r="B996" s="26"/>
    </row>
    <row r="997">
      <c r="A997" s="27"/>
      <c r="B997" s="26"/>
    </row>
    <row r="998">
      <c r="A998" s="27"/>
      <c r="B998" s="26"/>
    </row>
    <row r="999">
      <c r="A999" s="27"/>
      <c r="B999" s="26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</cols>
  <sheetData>
    <row r="1">
      <c r="A1" s="3" t="s">
        <v>0</v>
      </c>
      <c r="B1" s="3" t="s">
        <v>1</v>
      </c>
    </row>
    <row r="2">
      <c r="A2" s="3" t="s">
        <v>650</v>
      </c>
      <c r="B2" s="7">
        <v>15855.36</v>
      </c>
    </row>
    <row r="3">
      <c r="A3" s="3" t="s">
        <v>724</v>
      </c>
      <c r="B3" s="7">
        <v>48644.1</v>
      </c>
    </row>
    <row r="4">
      <c r="A4" s="3" t="s">
        <v>768</v>
      </c>
      <c r="B4" s="7">
        <v>6187.22</v>
      </c>
    </row>
    <row r="5">
      <c r="A5" s="3" t="s">
        <v>727</v>
      </c>
      <c r="B5" s="7">
        <v>740.0</v>
      </c>
    </row>
    <row r="6">
      <c r="A6" s="3" t="s">
        <v>728</v>
      </c>
      <c r="B6" s="7">
        <v>322.88</v>
      </c>
    </row>
    <row r="7">
      <c r="A7" s="3" t="s">
        <v>731</v>
      </c>
      <c r="B7" s="7">
        <v>5884.49</v>
      </c>
    </row>
    <row r="8">
      <c r="A8" s="3" t="s">
        <v>769</v>
      </c>
      <c r="B8" s="7">
        <v>35.17</v>
      </c>
    </row>
    <row r="9">
      <c r="A9" s="3" t="s">
        <v>674</v>
      </c>
      <c r="B9" s="7">
        <v>6355.82</v>
      </c>
    </row>
    <row r="10">
      <c r="A10" s="3" t="s">
        <v>749</v>
      </c>
      <c r="B10" s="7">
        <v>407.08</v>
      </c>
    </row>
    <row r="11">
      <c r="A11" s="3" t="s">
        <v>718</v>
      </c>
      <c r="B11" s="7">
        <v>25.0</v>
      </c>
    </row>
    <row r="12">
      <c r="A12" s="3" t="s">
        <v>675</v>
      </c>
      <c r="B12" s="7">
        <v>1923.42</v>
      </c>
    </row>
    <row r="13">
      <c r="A13" s="3" t="s">
        <v>676</v>
      </c>
      <c r="B13" s="7">
        <v>1139.0</v>
      </c>
    </row>
    <row r="14">
      <c r="A14" s="3" t="s">
        <v>770</v>
      </c>
      <c r="B14" s="7">
        <v>274.0</v>
      </c>
    </row>
    <row r="15">
      <c r="A15" s="3" t="s">
        <v>771</v>
      </c>
      <c r="B15" s="7">
        <v>25280.0</v>
      </c>
    </row>
    <row r="16">
      <c r="A16" s="3" t="s">
        <v>638</v>
      </c>
      <c r="B16" s="7">
        <v>10787.38</v>
      </c>
    </row>
    <row r="17">
      <c r="A17" s="3" t="s">
        <v>729</v>
      </c>
      <c r="B17" s="7">
        <v>7381.83</v>
      </c>
    </row>
    <row r="18">
      <c r="A18" s="3" t="s">
        <v>658</v>
      </c>
      <c r="B18" s="7">
        <v>7415.94</v>
      </c>
    </row>
    <row r="19">
      <c r="A19" s="3" t="s">
        <v>700</v>
      </c>
      <c r="B19" s="7">
        <v>238.17</v>
      </c>
    </row>
    <row r="20">
      <c r="A20" s="3" t="s">
        <v>772</v>
      </c>
      <c r="B20" s="7">
        <v>-348.32</v>
      </c>
    </row>
    <row r="21">
      <c r="A21" s="3" t="s">
        <v>734</v>
      </c>
      <c r="B21" s="7">
        <v>207.0</v>
      </c>
    </row>
    <row r="22">
      <c r="A22" s="3" t="s">
        <v>713</v>
      </c>
      <c r="B22" s="7">
        <v>3469.0</v>
      </c>
    </row>
    <row r="23">
      <c r="A23" s="3" t="s">
        <v>720</v>
      </c>
      <c r="B23" s="7">
        <v>56.0</v>
      </c>
    </row>
    <row r="24">
      <c r="A24" s="3" t="s">
        <v>710</v>
      </c>
      <c r="B24" s="7">
        <v>2483.79</v>
      </c>
    </row>
    <row r="25">
      <c r="A25" s="3" t="s">
        <v>537</v>
      </c>
      <c r="B25" s="7">
        <v>13.67</v>
      </c>
    </row>
    <row r="26">
      <c r="A26" s="3" t="s">
        <v>701</v>
      </c>
      <c r="B26" s="7">
        <v>61.86</v>
      </c>
    </row>
    <row r="27">
      <c r="A27" s="3" t="s">
        <v>773</v>
      </c>
      <c r="B27" s="7">
        <v>28875.0</v>
      </c>
    </row>
    <row r="28">
      <c r="A28" s="3" t="s">
        <v>660</v>
      </c>
      <c r="B28" s="7">
        <v>6.03</v>
      </c>
    </row>
    <row r="29">
      <c r="A29" s="3" t="s">
        <v>774</v>
      </c>
      <c r="B29" s="7">
        <v>3826.87</v>
      </c>
    </row>
    <row r="30">
      <c r="A30" s="3" t="s">
        <v>744</v>
      </c>
      <c r="B30" s="7">
        <v>0.93</v>
      </c>
    </row>
    <row r="31">
      <c r="A31" s="3" t="s">
        <v>382</v>
      </c>
      <c r="B31" s="7">
        <v>177548.69</v>
      </c>
    </row>
  </sheetData>
  <drawing r:id="rId1"/>
</worksheet>
</file>