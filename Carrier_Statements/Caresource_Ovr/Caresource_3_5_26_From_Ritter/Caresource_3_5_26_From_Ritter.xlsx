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RvMQzUosXfLV1QYumuAc0m5zcPFEmKJmssMiXMCBoW8="/>
    </ext>
  </extLst>
</workbook>
</file>

<file path=xl/sharedStrings.xml><?xml version="1.0" encoding="utf-8"?>
<sst xmlns="http://schemas.openxmlformats.org/spreadsheetml/2006/main" count="562" uniqueCount="130">
  <si>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</si>
  <si>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</si>
  <si>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</si>
  <si>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</si>
  <si>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</si>
  <si>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</si>
  <si>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</si>
  <si>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</si>
  <si>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</si>
  <si>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</si>
  <si>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</si>
  <si>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</si>
  <si>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Jackie</t>
  </si>
  <si>
    <t>Dello</t>
  </si>
  <si>
    <t>CareSource U65</t>
  </si>
  <si>
    <t>CareSource U65 2025 - 2026  IEP/Renewal OR (ProRata: 1) Premium Period: 1/1/2026</t>
  </si>
  <si>
    <t>Don J</t>
  </si>
  <si>
    <t>Mariner</t>
  </si>
  <si>
    <t>Caroline</t>
  </si>
  <si>
    <t>Robles</t>
  </si>
  <si>
    <t>Christopher</t>
  </si>
  <si>
    <t>Stevanus</t>
  </si>
  <si>
    <t>Connie</t>
  </si>
  <si>
    <t>Binns</t>
  </si>
  <si>
    <t>Dipali</t>
  </si>
  <si>
    <t>Roy-Alexander</t>
  </si>
  <si>
    <t>Daniel</t>
  </si>
  <si>
    <t>Hirner</t>
  </si>
  <si>
    <t>Marsha Sanderock</t>
  </si>
  <si>
    <t>Gregory A</t>
  </si>
  <si>
    <t>Harbert</t>
  </si>
  <si>
    <t>CareSource U65 2025 - 2026  IEP/Renewal OR (ProRata: 2) Premium Period: 1/1/2026</t>
  </si>
  <si>
    <t>Jerry</t>
  </si>
  <si>
    <t>Hartman</t>
  </si>
  <si>
    <t>Lex C</t>
  </si>
  <si>
    <t>Dison</t>
  </si>
  <si>
    <t>Jared Kinyua</t>
  </si>
  <si>
    <t>Jack</t>
  </si>
  <si>
    <t>Marcum</t>
  </si>
  <si>
    <t>CareSource U65 2025 - 2026  IEP/Renewal OR (ProRata: 5) Premium Period: 1/1/2026</t>
  </si>
  <si>
    <t>Dian</t>
  </si>
  <si>
    <t>Hollowell</t>
  </si>
  <si>
    <t>Deborah Inskipt</t>
  </si>
  <si>
    <t>Lura J</t>
  </si>
  <si>
    <t>Joseph</t>
  </si>
  <si>
    <t>Ingred A</t>
  </si>
  <si>
    <t>Frieders</t>
  </si>
  <si>
    <t>Lori</t>
  </si>
  <si>
    <t>Henry</t>
  </si>
  <si>
    <t>Andrew</t>
  </si>
  <si>
    <t>Wenzel</t>
  </si>
  <si>
    <t>CareSource U65 2025 - 2026  IEP/Renewal OR (ProRata: 3) Premium Period: 1/1/2026</t>
  </si>
  <si>
    <t>Jason Hoffmann</t>
  </si>
  <si>
    <t>Evon</t>
  </si>
  <si>
    <t>Friend</t>
  </si>
  <si>
    <t>Tina</t>
  </si>
  <si>
    <t>Allender</t>
  </si>
  <si>
    <t>Kimberly</t>
  </si>
  <si>
    <t>Prescaro</t>
  </si>
  <si>
    <t>Barbara J</t>
  </si>
  <si>
    <t>Sims</t>
  </si>
  <si>
    <t>Jerald Skarnulis</t>
  </si>
  <si>
    <t>Terri</t>
  </si>
  <si>
    <t>Burkett</t>
  </si>
  <si>
    <t>Sherry</t>
  </si>
  <si>
    <t>Beach</t>
  </si>
  <si>
    <t>Alesia</t>
  </si>
  <si>
    <t>Snyder</t>
  </si>
  <si>
    <t>Lisa</t>
  </si>
  <si>
    <t>Campbell</t>
  </si>
  <si>
    <t>Markee</t>
  </si>
  <si>
    <t>Murrin</t>
  </si>
  <si>
    <t>Chad Bender</t>
  </si>
  <si>
    <t>Hailey</t>
  </si>
  <si>
    <t>Paratto</t>
  </si>
  <si>
    <t>Alana</t>
  </si>
  <si>
    <t>Stephan</t>
  </si>
  <si>
    <t>Marcus</t>
  </si>
  <si>
    <t>Kight</t>
  </si>
  <si>
    <t>Karen</t>
  </si>
  <si>
    <t>Clark</t>
  </si>
  <si>
    <t>Stephanie</t>
  </si>
  <si>
    <t>Hoene</t>
  </si>
  <si>
    <t>Jacob Yale</t>
  </si>
  <si>
    <t>Oliviah</t>
  </si>
  <si>
    <t>Tisone</t>
  </si>
  <si>
    <t>Amanda</t>
  </si>
  <si>
    <t>Perry</t>
  </si>
  <si>
    <t>Amy</t>
  </si>
  <si>
    <t>Kissel</t>
  </si>
  <si>
    <t>Seth</t>
  </si>
  <si>
    <t>Robert</t>
  </si>
  <si>
    <t>Tremblay</t>
  </si>
  <si>
    <t>Julie</t>
  </si>
  <si>
    <t>Lane</t>
  </si>
  <si>
    <t>Linda S</t>
  </si>
  <si>
    <t>Pittman</t>
  </si>
  <si>
    <t>Stacey</t>
  </si>
  <si>
    <t>Hill</t>
  </si>
  <si>
    <t>Beverly</t>
  </si>
  <si>
    <t>Smith</t>
  </si>
  <si>
    <t>Melissa K</t>
  </si>
  <si>
    <t>Rutherford</t>
  </si>
  <si>
    <t>Meloney</t>
  </si>
  <si>
    <t>Estelle</t>
  </si>
  <si>
    <t>Brinda J</t>
  </si>
  <si>
    <t>Paramore</t>
  </si>
  <si>
    <t>Sheryl</t>
  </si>
  <si>
    <t>Kuhstoss</t>
  </si>
  <si>
    <t>Katie</t>
  </si>
  <si>
    <t>Nasal</t>
  </si>
  <si>
    <t>Nicole</t>
  </si>
  <si>
    <t>Kettwig</t>
  </si>
  <si>
    <t>Debra</t>
  </si>
  <si>
    <t>Pittenger</t>
  </si>
  <si>
    <t>Michelle D</t>
  </si>
  <si>
    <t>Walden</t>
  </si>
  <si>
    <t>Tanya</t>
  </si>
  <si>
    <t>Nancy</t>
  </si>
  <si>
    <t>Maxwell</t>
  </si>
  <si>
    <t>Jamie</t>
  </si>
  <si>
    <t>Hayden</t>
  </si>
  <si>
    <t>Daniel Carney</t>
  </si>
  <si>
    <t>Robert J</t>
  </si>
  <si>
    <t>Armantrout</t>
  </si>
  <si>
    <t>Theresa</t>
  </si>
  <si>
    <t>West</t>
  </si>
  <si>
    <t>Jacob</t>
  </si>
  <si>
    <t>Economou</t>
  </si>
  <si>
    <t>Notes: Caresource U65 Prem Period:01/2026 Prem $412.93.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</si>
</sst>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&quot;$&quot;#,##0.00"/>
    <numFmt numFmtId="166" formatCode="m/d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3" numFmtId="0" xfId="0" applyFont="1"/>
    <xf borderId="0" fillId="0" fontId="3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3.5"/>
    <col customWidth="1" min="3" max="3" width="9.75"/>
    <col customWidth="1" min="4" max="4" width="9.63"/>
    <col customWidth="1" min="5" max="5" width="12.0"/>
    <col customWidth="1" min="6" max="6" width="9.5"/>
    <col customWidth="1" min="7" max="7" width="10.75"/>
    <col customWidth="1" min="8" max="8" width="13.5"/>
    <col customWidth="1" min="9" max="9" width="13.38"/>
    <col customWidth="1" min="10" max="10" width="65.63"/>
    <col customWidth="1" min="11" max="11" width="14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11</v>
      </c>
      <c r="B2" s="2"/>
      <c r="C2" s="3">
        <v>8977234.0</v>
      </c>
      <c r="D2" s="2" t="s">
        <v>12</v>
      </c>
      <c r="E2" s="2" t="s">
        <v>13</v>
      </c>
      <c r="F2" s="3">
        <v>1.09839671E8</v>
      </c>
      <c r="G2" s="4">
        <v>46023.0</v>
      </c>
      <c r="H2" s="4">
        <v>46087.0</v>
      </c>
      <c r="I2" s="2" t="s">
        <v>14</v>
      </c>
      <c r="J2" s="2" t="s">
        <v>15</v>
      </c>
      <c r="K2" s="5">
        <v>4.0</v>
      </c>
    </row>
    <row r="3" ht="15.75" customHeight="1">
      <c r="A3" s="2" t="s">
        <v>11</v>
      </c>
      <c r="B3" s="2"/>
      <c r="C3" s="3">
        <v>8977234.0</v>
      </c>
      <c r="D3" s="2" t="s">
        <v>16</v>
      </c>
      <c r="E3" s="2" t="s">
        <v>17</v>
      </c>
      <c r="F3" s="3">
        <v>1.10293235E8</v>
      </c>
      <c r="G3" s="4">
        <v>46023.0</v>
      </c>
      <c r="H3" s="4">
        <v>46087.0</v>
      </c>
      <c r="I3" s="2" t="s">
        <v>14</v>
      </c>
      <c r="J3" s="2" t="s">
        <v>15</v>
      </c>
      <c r="K3" s="5">
        <v>4.0</v>
      </c>
    </row>
    <row r="4" ht="15.75" customHeight="1">
      <c r="A4" s="2" t="s">
        <v>11</v>
      </c>
      <c r="B4" s="2"/>
      <c r="C4" s="3">
        <v>8977234.0</v>
      </c>
      <c r="D4" s="2" t="s">
        <v>18</v>
      </c>
      <c r="E4" s="2" t="s">
        <v>19</v>
      </c>
      <c r="F4" s="3">
        <v>1.11102853E8</v>
      </c>
      <c r="G4" s="4">
        <v>46023.0</v>
      </c>
      <c r="H4" s="4">
        <v>46087.0</v>
      </c>
      <c r="I4" s="2" t="s">
        <v>14</v>
      </c>
      <c r="J4" s="2" t="s">
        <v>15</v>
      </c>
      <c r="K4" s="5">
        <v>4.0</v>
      </c>
    </row>
    <row r="5" ht="15.75" customHeight="1">
      <c r="A5" s="2" t="s">
        <v>11</v>
      </c>
      <c r="B5" s="2"/>
      <c r="C5" s="3">
        <v>8977234.0</v>
      </c>
      <c r="D5" s="2" t="s">
        <v>20</v>
      </c>
      <c r="E5" s="2" t="s">
        <v>21</v>
      </c>
      <c r="F5" s="3">
        <v>1.11849444E8</v>
      </c>
      <c r="G5" s="4">
        <v>46023.0</v>
      </c>
      <c r="H5" s="4">
        <v>46087.0</v>
      </c>
      <c r="I5" s="2" t="s">
        <v>14</v>
      </c>
      <c r="J5" s="2" t="s">
        <v>15</v>
      </c>
      <c r="K5" s="5">
        <v>4.0</v>
      </c>
    </row>
    <row r="6" ht="15.75" customHeight="1">
      <c r="A6" s="2" t="s">
        <v>11</v>
      </c>
      <c r="B6" s="2"/>
      <c r="C6" s="3">
        <v>8977234.0</v>
      </c>
      <c r="D6" s="2" t="s">
        <v>22</v>
      </c>
      <c r="E6" s="2" t="s">
        <v>23</v>
      </c>
      <c r="F6" s="3">
        <v>1.12342893E8</v>
      </c>
      <c r="G6" s="4">
        <v>46023.0</v>
      </c>
      <c r="H6" s="4">
        <v>46087.0</v>
      </c>
      <c r="I6" s="2" t="s">
        <v>14</v>
      </c>
      <c r="J6" s="2" t="s">
        <v>15</v>
      </c>
      <c r="K6" s="5">
        <v>4.0</v>
      </c>
    </row>
    <row r="7" ht="15.75" customHeight="1">
      <c r="A7" s="2" t="s">
        <v>11</v>
      </c>
      <c r="B7" s="2"/>
      <c r="C7" s="3">
        <v>8977234.0</v>
      </c>
      <c r="D7" s="2" t="s">
        <v>24</v>
      </c>
      <c r="E7" s="2" t="s">
        <v>25</v>
      </c>
      <c r="F7" s="3">
        <v>1.12905472E8</v>
      </c>
      <c r="G7" s="4">
        <v>46023.0</v>
      </c>
      <c r="H7" s="4">
        <v>46087.0</v>
      </c>
      <c r="I7" s="2" t="s">
        <v>14</v>
      </c>
      <c r="J7" s="2" t="s">
        <v>15</v>
      </c>
      <c r="K7" s="5">
        <v>4.0</v>
      </c>
    </row>
    <row r="8" ht="15.75" customHeight="1">
      <c r="A8" s="2" t="s">
        <v>11</v>
      </c>
      <c r="B8" s="2"/>
      <c r="C8" s="3">
        <v>8977234.0</v>
      </c>
      <c r="D8" s="2" t="s">
        <v>26</v>
      </c>
      <c r="E8" s="2" t="s">
        <v>27</v>
      </c>
      <c r="F8" s="3">
        <v>1.12956116E8</v>
      </c>
      <c r="G8" s="4">
        <v>46023.0</v>
      </c>
      <c r="H8" s="4">
        <v>46087.0</v>
      </c>
      <c r="I8" s="2" t="s">
        <v>14</v>
      </c>
      <c r="J8" s="2" t="s">
        <v>15</v>
      </c>
      <c r="K8" s="5">
        <v>4.0</v>
      </c>
    </row>
    <row r="9" ht="15.75" customHeight="1">
      <c r="A9" s="2" t="s">
        <v>28</v>
      </c>
      <c r="B9" s="2"/>
      <c r="C9" s="3">
        <v>2.0724564E7</v>
      </c>
      <c r="D9" s="2" t="s">
        <v>29</v>
      </c>
      <c r="E9" s="2" t="s">
        <v>30</v>
      </c>
      <c r="F9" s="3">
        <v>1.09255892E8</v>
      </c>
      <c r="G9" s="4">
        <v>46023.0</v>
      </c>
      <c r="H9" s="4">
        <v>46087.0</v>
      </c>
      <c r="I9" s="2" t="s">
        <v>14</v>
      </c>
      <c r="J9" s="2" t="s">
        <v>31</v>
      </c>
      <c r="K9" s="5">
        <v>8.0</v>
      </c>
    </row>
    <row r="10" ht="15.75" customHeight="1">
      <c r="A10" s="2" t="s">
        <v>11</v>
      </c>
      <c r="B10" s="2"/>
      <c r="C10" s="3">
        <v>8977234.0</v>
      </c>
      <c r="D10" s="2" t="s">
        <v>32</v>
      </c>
      <c r="E10" s="2" t="s">
        <v>33</v>
      </c>
      <c r="F10" s="3">
        <v>1.09263551E8</v>
      </c>
      <c r="G10" s="4">
        <v>46023.0</v>
      </c>
      <c r="H10" s="4">
        <v>46087.0</v>
      </c>
      <c r="I10" s="2" t="s">
        <v>14</v>
      </c>
      <c r="J10" s="2" t="s">
        <v>15</v>
      </c>
      <c r="K10" s="5">
        <v>4.0</v>
      </c>
    </row>
    <row r="11" ht="15.75" customHeight="1">
      <c r="A11" s="2" t="s">
        <v>28</v>
      </c>
      <c r="B11" s="2"/>
      <c r="C11" s="3">
        <v>2.0724564E7</v>
      </c>
      <c r="D11" s="2" t="s">
        <v>34</v>
      </c>
      <c r="E11" s="2" t="s">
        <v>35</v>
      </c>
      <c r="F11" s="3">
        <v>1.09327029E8</v>
      </c>
      <c r="G11" s="4">
        <v>46023.0</v>
      </c>
      <c r="H11" s="4">
        <v>46087.0</v>
      </c>
      <c r="I11" s="2" t="s">
        <v>14</v>
      </c>
      <c r="J11" s="2" t="s">
        <v>15</v>
      </c>
      <c r="K11" s="5">
        <v>4.0</v>
      </c>
    </row>
    <row r="12" ht="15.75" customHeight="1">
      <c r="A12" s="2" t="s">
        <v>36</v>
      </c>
      <c r="B12" s="2"/>
      <c r="C12" s="3">
        <v>1.9279958E7</v>
      </c>
      <c r="D12" s="2" t="s">
        <v>37</v>
      </c>
      <c r="E12" s="2" t="s">
        <v>38</v>
      </c>
      <c r="F12" s="3">
        <v>1.09377263E8</v>
      </c>
      <c r="G12" s="4">
        <v>46023.0</v>
      </c>
      <c r="H12" s="4">
        <v>46087.0</v>
      </c>
      <c r="I12" s="2" t="s">
        <v>14</v>
      </c>
      <c r="J12" s="2" t="s">
        <v>39</v>
      </c>
      <c r="K12" s="5">
        <v>20.0</v>
      </c>
    </row>
    <row r="13" ht="15.75" customHeight="1">
      <c r="A13" s="2" t="s">
        <v>28</v>
      </c>
      <c r="B13" s="2"/>
      <c r="C13" s="3">
        <v>2.0724564E7</v>
      </c>
      <c r="D13" s="2" t="s">
        <v>40</v>
      </c>
      <c r="E13" s="2" t="s">
        <v>41</v>
      </c>
      <c r="F13" s="3">
        <v>1.09405923E8</v>
      </c>
      <c r="G13" s="4">
        <v>46023.0</v>
      </c>
      <c r="H13" s="4">
        <v>46087.0</v>
      </c>
      <c r="I13" s="2" t="s">
        <v>14</v>
      </c>
      <c r="J13" s="2" t="s">
        <v>31</v>
      </c>
      <c r="K13" s="5">
        <v>8.0</v>
      </c>
    </row>
    <row r="14" ht="15.75" customHeight="1">
      <c r="A14" s="2" t="s">
        <v>42</v>
      </c>
      <c r="B14" s="2"/>
      <c r="C14" s="3">
        <v>1.7528908E7</v>
      </c>
      <c r="D14" s="2" t="s">
        <v>43</v>
      </c>
      <c r="E14" s="2" t="s">
        <v>44</v>
      </c>
      <c r="F14" s="3">
        <v>1.10103887E8</v>
      </c>
      <c r="G14" s="4">
        <v>46023.0</v>
      </c>
      <c r="H14" s="4">
        <v>46087.0</v>
      </c>
      <c r="I14" s="2" t="s">
        <v>14</v>
      </c>
      <c r="J14" s="2" t="s">
        <v>15</v>
      </c>
      <c r="K14" s="5">
        <v>4.0</v>
      </c>
    </row>
    <row r="15" ht="15.75" customHeight="1">
      <c r="A15" s="2" t="s">
        <v>28</v>
      </c>
      <c r="B15" s="2"/>
      <c r="C15" s="3">
        <v>2.0724564E7</v>
      </c>
      <c r="D15" s="2" t="s">
        <v>45</v>
      </c>
      <c r="E15" s="2" t="s">
        <v>46</v>
      </c>
      <c r="F15" s="3">
        <v>1.10696019E8</v>
      </c>
      <c r="G15" s="4">
        <v>46023.0</v>
      </c>
      <c r="H15" s="4">
        <v>46087.0</v>
      </c>
      <c r="I15" s="2" t="s">
        <v>14</v>
      </c>
      <c r="J15" s="2" t="s">
        <v>15</v>
      </c>
      <c r="K15" s="5">
        <v>4.0</v>
      </c>
    </row>
    <row r="16" ht="15.75" customHeight="1">
      <c r="A16" s="2" t="s">
        <v>42</v>
      </c>
      <c r="B16" s="2"/>
      <c r="C16" s="3">
        <v>1.7528908E7</v>
      </c>
      <c r="D16" s="2" t="s">
        <v>47</v>
      </c>
      <c r="E16" s="2" t="s">
        <v>48</v>
      </c>
      <c r="F16" s="3">
        <v>1.10809733E8</v>
      </c>
      <c r="G16" s="4">
        <v>46023.0</v>
      </c>
      <c r="H16" s="4">
        <v>46087.0</v>
      </c>
      <c r="I16" s="2" t="s">
        <v>14</v>
      </c>
      <c r="J16" s="2" t="s">
        <v>15</v>
      </c>
      <c r="K16" s="5">
        <v>4.0</v>
      </c>
    </row>
    <row r="17" ht="15.75" customHeight="1">
      <c r="A17" s="2" t="s">
        <v>28</v>
      </c>
      <c r="B17" s="2"/>
      <c r="C17" s="3">
        <v>2.0724564E7</v>
      </c>
      <c r="D17" s="2" t="s">
        <v>49</v>
      </c>
      <c r="E17" s="2" t="s">
        <v>50</v>
      </c>
      <c r="F17" s="3">
        <v>1.10851077E8</v>
      </c>
      <c r="G17" s="4">
        <v>46023.0</v>
      </c>
      <c r="H17" s="4">
        <v>46087.0</v>
      </c>
      <c r="I17" s="2" t="s">
        <v>14</v>
      </c>
      <c r="J17" s="2" t="s">
        <v>51</v>
      </c>
      <c r="K17" s="5">
        <v>12.0</v>
      </c>
    </row>
    <row r="18" ht="15.75" customHeight="1">
      <c r="A18" s="2" t="s">
        <v>52</v>
      </c>
      <c r="B18" s="2"/>
      <c r="C18" s="3">
        <v>1.5278437E7</v>
      </c>
      <c r="D18" s="2" t="s">
        <v>53</v>
      </c>
      <c r="E18" s="2" t="s">
        <v>54</v>
      </c>
      <c r="F18" s="3">
        <v>1.10995709E8</v>
      </c>
      <c r="G18" s="4">
        <v>46023.0</v>
      </c>
      <c r="H18" s="4">
        <v>46087.0</v>
      </c>
      <c r="I18" s="2" t="s">
        <v>14</v>
      </c>
      <c r="J18" s="2" t="s">
        <v>31</v>
      </c>
      <c r="K18" s="5">
        <v>8.0</v>
      </c>
    </row>
    <row r="19" ht="15.75" customHeight="1">
      <c r="A19" s="2" t="s">
        <v>28</v>
      </c>
      <c r="B19" s="2"/>
      <c r="C19" s="3">
        <v>2.0724564E7</v>
      </c>
      <c r="D19" s="2" t="s">
        <v>55</v>
      </c>
      <c r="E19" s="2" t="s">
        <v>56</v>
      </c>
      <c r="F19" s="3">
        <v>1.1113178E8</v>
      </c>
      <c r="G19" s="4">
        <v>46023.0</v>
      </c>
      <c r="H19" s="4">
        <v>46087.0</v>
      </c>
      <c r="I19" s="2" t="s">
        <v>14</v>
      </c>
      <c r="J19" s="2" t="s">
        <v>31</v>
      </c>
      <c r="K19" s="5">
        <v>8.0</v>
      </c>
    </row>
    <row r="20" ht="15.75" customHeight="1">
      <c r="A20" s="2" t="s">
        <v>11</v>
      </c>
      <c r="B20" s="2"/>
      <c r="C20" s="3">
        <v>8977234.0</v>
      </c>
      <c r="D20" s="2" t="s">
        <v>57</v>
      </c>
      <c r="E20" s="2" t="s">
        <v>58</v>
      </c>
      <c r="F20" s="3">
        <v>1.11241629E8</v>
      </c>
      <c r="G20" s="4">
        <v>46023.0</v>
      </c>
      <c r="H20" s="4">
        <v>46087.0</v>
      </c>
      <c r="I20" s="2" t="s">
        <v>14</v>
      </c>
      <c r="J20" s="2" t="s">
        <v>15</v>
      </c>
      <c r="K20" s="5">
        <v>4.0</v>
      </c>
    </row>
    <row r="21" ht="15.75" customHeight="1">
      <c r="A21" s="2" t="s">
        <v>28</v>
      </c>
      <c r="B21" s="2"/>
      <c r="C21" s="3">
        <v>2.0724564E7</v>
      </c>
      <c r="D21" s="2" t="s">
        <v>59</v>
      </c>
      <c r="E21" s="2" t="s">
        <v>60</v>
      </c>
      <c r="F21" s="3">
        <v>1.11339206E8</v>
      </c>
      <c r="G21" s="4">
        <v>46023.0</v>
      </c>
      <c r="H21" s="4">
        <v>46087.0</v>
      </c>
      <c r="I21" s="2" t="s">
        <v>14</v>
      </c>
      <c r="J21" s="2" t="s">
        <v>15</v>
      </c>
      <c r="K21" s="5">
        <v>4.0</v>
      </c>
    </row>
    <row r="22" ht="15.75" customHeight="1">
      <c r="A22" s="2" t="s">
        <v>61</v>
      </c>
      <c r="B22" s="2"/>
      <c r="C22" s="3">
        <v>1.3374569E7</v>
      </c>
      <c r="D22" s="2" t="s">
        <v>62</v>
      </c>
      <c r="E22" s="2" t="s">
        <v>63</v>
      </c>
      <c r="F22" s="3">
        <v>1.11593834E8</v>
      </c>
      <c r="G22" s="4">
        <v>46023.0</v>
      </c>
      <c r="H22" s="4">
        <v>46087.0</v>
      </c>
      <c r="I22" s="2" t="s">
        <v>14</v>
      </c>
      <c r="J22" s="2" t="s">
        <v>15</v>
      </c>
      <c r="K22" s="5">
        <v>4.0</v>
      </c>
    </row>
    <row r="23" ht="15.75" customHeight="1">
      <c r="A23" s="2" t="s">
        <v>11</v>
      </c>
      <c r="B23" s="2"/>
      <c r="C23" s="3">
        <v>8977234.0</v>
      </c>
      <c r="D23" s="2" t="s">
        <v>64</v>
      </c>
      <c r="E23" s="2" t="s">
        <v>65</v>
      </c>
      <c r="F23" s="3">
        <v>1.11828564E8</v>
      </c>
      <c r="G23" s="4">
        <v>46023.0</v>
      </c>
      <c r="H23" s="4">
        <v>46087.0</v>
      </c>
      <c r="I23" s="2" t="s">
        <v>14</v>
      </c>
      <c r="J23" s="2" t="s">
        <v>15</v>
      </c>
      <c r="K23" s="5">
        <v>4.0</v>
      </c>
    </row>
    <row r="24" ht="15.75" customHeight="1">
      <c r="A24" s="2" t="s">
        <v>28</v>
      </c>
      <c r="B24" s="2"/>
      <c r="C24" s="3">
        <v>2.0724564E7</v>
      </c>
      <c r="D24" s="2" t="s">
        <v>66</v>
      </c>
      <c r="E24" s="2" t="s">
        <v>67</v>
      </c>
      <c r="F24" s="3">
        <v>1.11928637E8</v>
      </c>
      <c r="G24" s="4">
        <v>46023.0</v>
      </c>
      <c r="H24" s="4">
        <v>46087.0</v>
      </c>
      <c r="I24" s="2" t="s">
        <v>14</v>
      </c>
      <c r="J24" s="2" t="s">
        <v>15</v>
      </c>
      <c r="K24" s="5">
        <v>4.0</v>
      </c>
    </row>
    <row r="25" ht="15.75" customHeight="1">
      <c r="A25" s="2" t="s">
        <v>28</v>
      </c>
      <c r="B25" s="2"/>
      <c r="C25" s="3">
        <v>2.0724564E7</v>
      </c>
      <c r="D25" s="2" t="s">
        <v>68</v>
      </c>
      <c r="E25" s="2" t="s">
        <v>69</v>
      </c>
      <c r="F25" s="3">
        <v>1.12041303E8</v>
      </c>
      <c r="G25" s="4">
        <v>46023.0</v>
      </c>
      <c r="H25" s="4">
        <v>46087.0</v>
      </c>
      <c r="I25" s="2" t="s">
        <v>14</v>
      </c>
      <c r="J25" s="2" t="s">
        <v>15</v>
      </c>
      <c r="K25" s="5">
        <v>4.0</v>
      </c>
    </row>
    <row r="26" ht="15.75" customHeight="1">
      <c r="A26" s="2" t="s">
        <v>28</v>
      </c>
      <c r="B26" s="2"/>
      <c r="C26" s="3">
        <v>2.0724564E7</v>
      </c>
      <c r="D26" s="2" t="s">
        <v>70</v>
      </c>
      <c r="E26" s="2" t="s">
        <v>71</v>
      </c>
      <c r="F26" s="3">
        <v>1.12232108E8</v>
      </c>
      <c r="G26" s="4">
        <v>46023.0</v>
      </c>
      <c r="H26" s="4">
        <v>46087.0</v>
      </c>
      <c r="I26" s="2" t="s">
        <v>14</v>
      </c>
      <c r="J26" s="2" t="s">
        <v>31</v>
      </c>
      <c r="K26" s="5">
        <v>8.0</v>
      </c>
    </row>
    <row r="27" ht="15.75" customHeight="1">
      <c r="A27" s="2" t="s">
        <v>72</v>
      </c>
      <c r="B27" s="2"/>
      <c r="C27" s="3">
        <v>1.8598357E7</v>
      </c>
      <c r="D27" s="2" t="s">
        <v>73</v>
      </c>
      <c r="E27" s="2" t="s">
        <v>74</v>
      </c>
      <c r="F27" s="3">
        <v>1.12250936E8</v>
      </c>
      <c r="G27" s="4">
        <v>46023.0</v>
      </c>
      <c r="H27" s="4">
        <v>46087.0</v>
      </c>
      <c r="I27" s="2" t="s">
        <v>14</v>
      </c>
      <c r="J27" s="2" t="s">
        <v>15</v>
      </c>
      <c r="K27" s="5">
        <v>4.0</v>
      </c>
    </row>
    <row r="28" ht="15.75" customHeight="1">
      <c r="A28" s="2" t="s">
        <v>42</v>
      </c>
      <c r="B28" s="2"/>
      <c r="C28" s="3">
        <v>1.7528908E7</v>
      </c>
      <c r="D28" s="2" t="s">
        <v>75</v>
      </c>
      <c r="E28" s="2" t="s">
        <v>76</v>
      </c>
      <c r="F28" s="3">
        <v>1.12319621E8</v>
      </c>
      <c r="G28" s="4">
        <v>46023.0</v>
      </c>
      <c r="H28" s="4">
        <v>46087.0</v>
      </c>
      <c r="I28" s="2" t="s">
        <v>14</v>
      </c>
      <c r="J28" s="2" t="s">
        <v>31</v>
      </c>
      <c r="K28" s="5">
        <v>8.0</v>
      </c>
    </row>
    <row r="29" ht="15.75" customHeight="1">
      <c r="A29" s="2" t="s">
        <v>28</v>
      </c>
      <c r="B29" s="2"/>
      <c r="C29" s="3">
        <v>2.0724564E7</v>
      </c>
      <c r="D29" s="2" t="s">
        <v>77</v>
      </c>
      <c r="E29" s="2" t="s">
        <v>78</v>
      </c>
      <c r="F29" s="3">
        <v>1.12331941E8</v>
      </c>
      <c r="G29" s="4">
        <v>46023.0</v>
      </c>
      <c r="H29" s="4">
        <v>46087.0</v>
      </c>
      <c r="I29" s="2" t="s">
        <v>14</v>
      </c>
      <c r="J29" s="2" t="s">
        <v>15</v>
      </c>
      <c r="K29" s="5">
        <v>4.0</v>
      </c>
    </row>
    <row r="30" ht="15.75" customHeight="1">
      <c r="A30" s="2" t="s">
        <v>28</v>
      </c>
      <c r="B30" s="2"/>
      <c r="C30" s="3">
        <v>2.0724564E7</v>
      </c>
      <c r="D30" s="2" t="s">
        <v>79</v>
      </c>
      <c r="E30" s="2" t="s">
        <v>80</v>
      </c>
      <c r="F30" s="3">
        <v>1.12351334E8</v>
      </c>
      <c r="G30" s="4">
        <v>46023.0</v>
      </c>
      <c r="H30" s="4">
        <v>46087.0</v>
      </c>
      <c r="I30" s="2" t="s">
        <v>14</v>
      </c>
      <c r="J30" s="2" t="s">
        <v>31</v>
      </c>
      <c r="K30" s="5">
        <v>8.0</v>
      </c>
    </row>
    <row r="31" ht="15.75" customHeight="1">
      <c r="A31" s="2" t="s">
        <v>28</v>
      </c>
      <c r="B31" s="2"/>
      <c r="C31" s="3">
        <v>2.0724564E7</v>
      </c>
      <c r="D31" s="2" t="s">
        <v>81</v>
      </c>
      <c r="E31" s="2" t="s">
        <v>82</v>
      </c>
      <c r="F31" s="3">
        <v>1.1236082E8</v>
      </c>
      <c r="G31" s="4">
        <v>46023.0</v>
      </c>
      <c r="H31" s="4">
        <v>46087.0</v>
      </c>
      <c r="I31" s="2" t="s">
        <v>14</v>
      </c>
      <c r="J31" s="2" t="s">
        <v>15</v>
      </c>
      <c r="K31" s="5">
        <v>4.0</v>
      </c>
    </row>
    <row r="32" ht="15.75" customHeight="1">
      <c r="A32" s="2" t="s">
        <v>83</v>
      </c>
      <c r="B32" s="2"/>
      <c r="C32" s="3">
        <v>1.8754354E7</v>
      </c>
      <c r="D32" s="2" t="s">
        <v>84</v>
      </c>
      <c r="E32" s="2" t="s">
        <v>85</v>
      </c>
      <c r="F32" s="3">
        <v>1.1238137E8</v>
      </c>
      <c r="G32" s="4">
        <v>46023.0</v>
      </c>
      <c r="H32" s="4">
        <v>46087.0</v>
      </c>
      <c r="I32" s="2" t="s">
        <v>14</v>
      </c>
      <c r="J32" s="2" t="s">
        <v>15</v>
      </c>
      <c r="K32" s="5">
        <v>4.0</v>
      </c>
    </row>
    <row r="33" ht="15.75" customHeight="1">
      <c r="A33" s="2" t="s">
        <v>28</v>
      </c>
      <c r="B33" s="2"/>
      <c r="C33" s="3">
        <v>2.0724564E7</v>
      </c>
      <c r="D33" s="2" t="s">
        <v>86</v>
      </c>
      <c r="E33" s="2" t="s">
        <v>87</v>
      </c>
      <c r="F33" s="3">
        <v>1.1250133E8</v>
      </c>
      <c r="G33" s="4">
        <v>46023.0</v>
      </c>
      <c r="H33" s="4">
        <v>46087.0</v>
      </c>
      <c r="I33" s="2" t="s">
        <v>14</v>
      </c>
      <c r="J33" s="2" t="s">
        <v>31</v>
      </c>
      <c r="K33" s="5">
        <v>8.0</v>
      </c>
    </row>
    <row r="34" ht="15.75" customHeight="1">
      <c r="A34" s="2" t="s">
        <v>11</v>
      </c>
      <c r="B34" s="2"/>
      <c r="C34" s="3">
        <v>8977234.0</v>
      </c>
      <c r="D34" s="2" t="s">
        <v>88</v>
      </c>
      <c r="E34" s="2" t="s">
        <v>89</v>
      </c>
      <c r="F34" s="3">
        <v>1.12555327E8</v>
      </c>
      <c r="G34" s="4">
        <v>46023.0</v>
      </c>
      <c r="H34" s="4">
        <v>46087.0</v>
      </c>
      <c r="I34" s="2" t="s">
        <v>14</v>
      </c>
      <c r="J34" s="2" t="s">
        <v>31</v>
      </c>
      <c r="K34" s="5">
        <v>8.0</v>
      </c>
    </row>
    <row r="35" ht="15.75" customHeight="1">
      <c r="A35" s="2" t="s">
        <v>11</v>
      </c>
      <c r="B35" s="2"/>
      <c r="C35" s="3">
        <v>8977234.0</v>
      </c>
      <c r="D35" s="2" t="s">
        <v>90</v>
      </c>
      <c r="E35" s="2" t="s">
        <v>89</v>
      </c>
      <c r="F35" s="3">
        <v>1.12555365E8</v>
      </c>
      <c r="G35" s="4">
        <v>46023.0</v>
      </c>
      <c r="H35" s="4">
        <v>46087.0</v>
      </c>
      <c r="I35" s="2" t="s">
        <v>14</v>
      </c>
      <c r="J35" s="2" t="s">
        <v>15</v>
      </c>
      <c r="K35" s="5">
        <v>4.0</v>
      </c>
    </row>
    <row r="36" ht="15.75" customHeight="1">
      <c r="A36" s="2" t="s">
        <v>28</v>
      </c>
      <c r="B36" s="2"/>
      <c r="C36" s="3">
        <v>2.0724564E7</v>
      </c>
      <c r="D36" s="2" t="s">
        <v>91</v>
      </c>
      <c r="E36" s="2" t="s">
        <v>92</v>
      </c>
      <c r="F36" s="3">
        <v>1.12870011E8</v>
      </c>
      <c r="G36" s="4">
        <v>46023.0</v>
      </c>
      <c r="H36" s="4">
        <v>46087.0</v>
      </c>
      <c r="I36" s="2" t="s">
        <v>14</v>
      </c>
      <c r="J36" s="2" t="s">
        <v>15</v>
      </c>
      <c r="K36" s="5">
        <v>4.0</v>
      </c>
    </row>
    <row r="37" ht="15.75" customHeight="1">
      <c r="A37" s="2" t="s">
        <v>28</v>
      </c>
      <c r="B37" s="2"/>
      <c r="C37" s="3">
        <v>2.0724564E7</v>
      </c>
      <c r="D37" s="2" t="s">
        <v>93</v>
      </c>
      <c r="E37" s="2" t="s">
        <v>94</v>
      </c>
      <c r="F37" s="3">
        <v>1.12876247E8</v>
      </c>
      <c r="G37" s="4">
        <v>46023.0</v>
      </c>
      <c r="H37" s="4">
        <v>46087.0</v>
      </c>
      <c r="I37" s="2" t="s">
        <v>14</v>
      </c>
      <c r="J37" s="2" t="s">
        <v>15</v>
      </c>
      <c r="K37" s="5">
        <v>4.0</v>
      </c>
    </row>
    <row r="38" ht="15.75" customHeight="1">
      <c r="A38" s="2" t="s">
        <v>28</v>
      </c>
      <c r="B38" s="2"/>
      <c r="C38" s="3">
        <v>2.0724564E7</v>
      </c>
      <c r="D38" s="2" t="s">
        <v>95</v>
      </c>
      <c r="E38" s="2" t="s">
        <v>96</v>
      </c>
      <c r="F38" s="3">
        <v>1.12900372E8</v>
      </c>
      <c r="G38" s="4">
        <v>46023.0</v>
      </c>
      <c r="H38" s="4">
        <v>46087.0</v>
      </c>
      <c r="I38" s="2" t="s">
        <v>14</v>
      </c>
      <c r="J38" s="2" t="s">
        <v>15</v>
      </c>
      <c r="K38" s="5">
        <v>4.0</v>
      </c>
    </row>
    <row r="39" ht="15.75" customHeight="1">
      <c r="A39" s="2" t="s">
        <v>28</v>
      </c>
      <c r="B39" s="2"/>
      <c r="C39" s="3">
        <v>2.0724564E7</v>
      </c>
      <c r="D39" s="2" t="s">
        <v>97</v>
      </c>
      <c r="E39" s="2" t="s">
        <v>98</v>
      </c>
      <c r="F39" s="3">
        <v>1.12941118E8</v>
      </c>
      <c r="G39" s="4">
        <v>46023.0</v>
      </c>
      <c r="H39" s="4">
        <v>46087.0</v>
      </c>
      <c r="I39" s="2" t="s">
        <v>14</v>
      </c>
      <c r="J39" s="2" t="s">
        <v>15</v>
      </c>
      <c r="K39" s="5">
        <v>4.0</v>
      </c>
    </row>
    <row r="40" ht="15.75" customHeight="1">
      <c r="A40" s="2" t="s">
        <v>28</v>
      </c>
      <c r="B40" s="2"/>
      <c r="C40" s="3">
        <v>2.0724564E7</v>
      </c>
      <c r="D40" s="2" t="s">
        <v>99</v>
      </c>
      <c r="E40" s="2" t="s">
        <v>100</v>
      </c>
      <c r="F40" s="3">
        <v>1.12945646E8</v>
      </c>
      <c r="G40" s="4">
        <v>46023.0</v>
      </c>
      <c r="H40" s="4">
        <v>46087.0</v>
      </c>
      <c r="I40" s="2" t="s">
        <v>14</v>
      </c>
      <c r="J40" s="2" t="s">
        <v>15</v>
      </c>
      <c r="K40" s="5">
        <v>4.0</v>
      </c>
    </row>
    <row r="41" ht="15.75" customHeight="1">
      <c r="A41" s="2" t="s">
        <v>11</v>
      </c>
      <c r="B41" s="2"/>
      <c r="C41" s="3">
        <v>8977234.0</v>
      </c>
      <c r="D41" s="2" t="s">
        <v>101</v>
      </c>
      <c r="E41" s="2" t="s">
        <v>102</v>
      </c>
      <c r="F41" s="3">
        <v>1.12949073E8</v>
      </c>
      <c r="G41" s="4">
        <v>46023.0</v>
      </c>
      <c r="H41" s="4">
        <v>46087.0</v>
      </c>
      <c r="I41" s="2" t="s">
        <v>14</v>
      </c>
      <c r="J41" s="2" t="s">
        <v>15</v>
      </c>
      <c r="K41" s="5">
        <v>4.0</v>
      </c>
    </row>
    <row r="42" ht="15.75" customHeight="1">
      <c r="A42" s="2" t="s">
        <v>11</v>
      </c>
      <c r="B42" s="2"/>
      <c r="C42" s="3">
        <v>8977234.0</v>
      </c>
      <c r="D42" s="2" t="s">
        <v>103</v>
      </c>
      <c r="E42" s="2" t="s">
        <v>104</v>
      </c>
      <c r="F42" s="3">
        <v>1.12953723E8</v>
      </c>
      <c r="G42" s="4">
        <v>46023.0</v>
      </c>
      <c r="H42" s="4">
        <v>46087.0</v>
      </c>
      <c r="I42" s="2" t="s">
        <v>14</v>
      </c>
      <c r="J42" s="2" t="s">
        <v>15</v>
      </c>
      <c r="K42" s="5">
        <v>4.0</v>
      </c>
    </row>
    <row r="43" ht="15.75" customHeight="1">
      <c r="A43" s="2" t="s">
        <v>11</v>
      </c>
      <c r="B43" s="2"/>
      <c r="C43" s="3">
        <v>8977234.0</v>
      </c>
      <c r="D43" s="2" t="s">
        <v>105</v>
      </c>
      <c r="E43" s="2" t="s">
        <v>106</v>
      </c>
      <c r="F43" s="3">
        <v>1.12956066E8</v>
      </c>
      <c r="G43" s="4">
        <v>46023.0</v>
      </c>
      <c r="H43" s="4">
        <v>46087.0</v>
      </c>
      <c r="I43" s="2" t="s">
        <v>14</v>
      </c>
      <c r="J43" s="2" t="s">
        <v>15</v>
      </c>
      <c r="K43" s="5">
        <v>4.0</v>
      </c>
    </row>
    <row r="44" ht="15.75" customHeight="1">
      <c r="A44" s="2" t="s">
        <v>28</v>
      </c>
      <c r="B44" s="2"/>
      <c r="C44" s="3">
        <v>2.0724564E7</v>
      </c>
      <c r="D44" s="2" t="s">
        <v>107</v>
      </c>
      <c r="E44" s="2" t="s">
        <v>108</v>
      </c>
      <c r="F44" s="3">
        <v>1.12958461E8</v>
      </c>
      <c r="G44" s="4">
        <v>46023.0</v>
      </c>
      <c r="H44" s="4">
        <v>46087.0</v>
      </c>
      <c r="I44" s="2" t="s">
        <v>14</v>
      </c>
      <c r="J44" s="2" t="s">
        <v>31</v>
      </c>
      <c r="K44" s="5">
        <v>8.0</v>
      </c>
    </row>
    <row r="45" ht="15.75" customHeight="1">
      <c r="A45" s="2" t="s">
        <v>28</v>
      </c>
      <c r="B45" s="2"/>
      <c r="C45" s="3">
        <v>2.0724564E7</v>
      </c>
      <c r="D45" s="2" t="s">
        <v>109</v>
      </c>
      <c r="E45" s="2" t="s">
        <v>110</v>
      </c>
      <c r="F45" s="3">
        <v>1.12958479E8</v>
      </c>
      <c r="G45" s="4">
        <v>46023.0</v>
      </c>
      <c r="H45" s="4">
        <v>46087.0</v>
      </c>
      <c r="I45" s="2" t="s">
        <v>14</v>
      </c>
      <c r="J45" s="2" t="s">
        <v>15</v>
      </c>
      <c r="K45" s="5">
        <v>4.0</v>
      </c>
    </row>
    <row r="46" ht="15.75" customHeight="1">
      <c r="A46" s="2" t="s">
        <v>11</v>
      </c>
      <c r="B46" s="2"/>
      <c r="C46" s="3">
        <v>8977234.0</v>
      </c>
      <c r="D46" s="2" t="s">
        <v>111</v>
      </c>
      <c r="E46" s="2" t="s">
        <v>112</v>
      </c>
      <c r="F46" s="3">
        <v>1.12978628E8</v>
      </c>
      <c r="G46" s="4">
        <v>46023.0</v>
      </c>
      <c r="H46" s="4">
        <v>46087.0</v>
      </c>
      <c r="I46" s="2" t="s">
        <v>14</v>
      </c>
      <c r="J46" s="2" t="s">
        <v>15</v>
      </c>
      <c r="K46" s="5">
        <v>4.0</v>
      </c>
    </row>
    <row r="47" ht="15.75" customHeight="1">
      <c r="A47" s="2" t="s">
        <v>11</v>
      </c>
      <c r="B47" s="2"/>
      <c r="C47" s="3">
        <v>8977234.0</v>
      </c>
      <c r="D47" s="2" t="s">
        <v>113</v>
      </c>
      <c r="E47" s="2" t="s">
        <v>114</v>
      </c>
      <c r="F47" s="3">
        <v>1.12980045E8</v>
      </c>
      <c r="G47" s="4">
        <v>46023.0</v>
      </c>
      <c r="H47" s="4">
        <v>46087.0</v>
      </c>
      <c r="I47" s="2" t="s">
        <v>14</v>
      </c>
      <c r="J47" s="2" t="s">
        <v>15</v>
      </c>
      <c r="K47" s="5">
        <v>4.0</v>
      </c>
    </row>
    <row r="48" ht="15.75" customHeight="1">
      <c r="A48" s="2" t="s">
        <v>11</v>
      </c>
      <c r="B48" s="2"/>
      <c r="C48" s="3">
        <v>8977234.0</v>
      </c>
      <c r="D48" s="2" t="s">
        <v>115</v>
      </c>
      <c r="E48" s="2" t="s">
        <v>116</v>
      </c>
      <c r="F48" s="3">
        <v>1.12982699E8</v>
      </c>
      <c r="G48" s="4">
        <v>46023.0</v>
      </c>
      <c r="H48" s="4">
        <v>46087.0</v>
      </c>
      <c r="I48" s="2" t="s">
        <v>14</v>
      </c>
      <c r="J48" s="2" t="s">
        <v>15</v>
      </c>
      <c r="K48" s="5">
        <v>4.0</v>
      </c>
    </row>
    <row r="49" ht="15.75" customHeight="1">
      <c r="A49" s="2" t="s">
        <v>11</v>
      </c>
      <c r="B49" s="2"/>
      <c r="C49" s="3">
        <v>8977234.0</v>
      </c>
      <c r="D49" s="2" t="s">
        <v>117</v>
      </c>
      <c r="E49" s="2" t="s">
        <v>67</v>
      </c>
      <c r="F49" s="3">
        <v>1.12982708E8</v>
      </c>
      <c r="G49" s="4">
        <v>46023.0</v>
      </c>
      <c r="H49" s="4">
        <v>46087.0</v>
      </c>
      <c r="I49" s="2" t="s">
        <v>14</v>
      </c>
      <c r="J49" s="2" t="s">
        <v>15</v>
      </c>
      <c r="K49" s="5">
        <v>4.0</v>
      </c>
    </row>
    <row r="50" ht="15.75" customHeight="1">
      <c r="A50" s="2" t="s">
        <v>11</v>
      </c>
      <c r="B50" s="2"/>
      <c r="C50" s="3">
        <v>8977234.0</v>
      </c>
      <c r="D50" s="2" t="s">
        <v>118</v>
      </c>
      <c r="E50" s="2" t="s">
        <v>119</v>
      </c>
      <c r="F50" s="3">
        <v>1.13159408E8</v>
      </c>
      <c r="G50" s="4">
        <v>46023.0</v>
      </c>
      <c r="H50" s="4">
        <v>46087.0</v>
      </c>
      <c r="I50" s="2" t="s">
        <v>14</v>
      </c>
      <c r="J50" s="2" t="s">
        <v>15</v>
      </c>
      <c r="K50" s="5">
        <v>4.0</v>
      </c>
    </row>
    <row r="51" ht="15.75" customHeight="1">
      <c r="A51" s="2" t="s">
        <v>28</v>
      </c>
      <c r="B51" s="2"/>
      <c r="C51" s="3">
        <v>2.0724564E7</v>
      </c>
      <c r="D51" s="2" t="s">
        <v>120</v>
      </c>
      <c r="E51" s="2" t="s">
        <v>121</v>
      </c>
      <c r="F51" s="3">
        <v>1.13171521E8</v>
      </c>
      <c r="G51" s="4">
        <v>46023.0</v>
      </c>
      <c r="H51" s="4">
        <v>46087.0</v>
      </c>
      <c r="I51" s="2" t="s">
        <v>14</v>
      </c>
      <c r="J51" s="2" t="s">
        <v>51</v>
      </c>
      <c r="K51" s="5">
        <v>12.0</v>
      </c>
    </row>
    <row r="52" ht="15.75" customHeight="1">
      <c r="A52" s="2" t="s">
        <v>122</v>
      </c>
      <c r="B52" s="2"/>
      <c r="C52" s="3">
        <v>2.1749481E7</v>
      </c>
      <c r="D52" s="2" t="s">
        <v>123</v>
      </c>
      <c r="E52" s="2" t="s">
        <v>124</v>
      </c>
      <c r="F52" s="3">
        <v>1.13178497E8</v>
      </c>
      <c r="G52" s="4">
        <v>46023.0</v>
      </c>
      <c r="H52" s="4">
        <v>46087.0</v>
      </c>
      <c r="I52" s="2" t="s">
        <v>14</v>
      </c>
      <c r="J52" s="2" t="s">
        <v>15</v>
      </c>
      <c r="K52" s="5">
        <v>4.0</v>
      </c>
    </row>
    <row r="53" ht="15.75" customHeight="1">
      <c r="A53" s="2" t="s">
        <v>28</v>
      </c>
      <c r="B53" s="2"/>
      <c r="C53" s="3">
        <v>2.0724564E7</v>
      </c>
      <c r="D53" s="2" t="s">
        <v>125</v>
      </c>
      <c r="E53" s="2" t="s">
        <v>126</v>
      </c>
      <c r="F53" s="3">
        <v>1.13202336E8</v>
      </c>
      <c r="G53" s="4">
        <v>46023.0</v>
      </c>
      <c r="H53" s="4">
        <v>46087.0</v>
      </c>
      <c r="I53" s="2" t="s">
        <v>14</v>
      </c>
      <c r="J53" s="2" t="s">
        <v>15</v>
      </c>
      <c r="K53" s="5">
        <v>4.0</v>
      </c>
    </row>
    <row r="54" ht="15.75" customHeight="1">
      <c r="A54" s="2" t="s">
        <v>28</v>
      </c>
      <c r="B54" s="2"/>
      <c r="C54" s="3">
        <v>2.0724564E7</v>
      </c>
      <c r="D54" s="2" t="s">
        <v>127</v>
      </c>
      <c r="E54" s="2" t="s">
        <v>128</v>
      </c>
      <c r="F54" s="3">
        <v>1.13203997E8</v>
      </c>
      <c r="G54" s="4">
        <v>46023.0</v>
      </c>
      <c r="H54" s="4">
        <v>46087.0</v>
      </c>
      <c r="I54" s="2" t="s">
        <v>14</v>
      </c>
      <c r="J54" s="2" t="s">
        <v>31</v>
      </c>
      <c r="K54" s="5">
        <v>8.0</v>
      </c>
    </row>
    <row r="55" ht="15.75" customHeight="1">
      <c r="A55" s="2" t="s">
        <v>72</v>
      </c>
      <c r="B55" s="2"/>
      <c r="C55" s="3">
        <v>1.8598357E7</v>
      </c>
      <c r="D55" s="2" t="s">
        <v>73</v>
      </c>
      <c r="E55" s="2" t="s">
        <v>74</v>
      </c>
      <c r="F55" s="3">
        <v>1.12250936E8</v>
      </c>
      <c r="G55" s="4">
        <v>46023.0</v>
      </c>
      <c r="H55" s="4">
        <v>46087.0</v>
      </c>
      <c r="I55" s="2" t="s">
        <v>14</v>
      </c>
      <c r="J55" s="2" t="s">
        <v>129</v>
      </c>
      <c r="K55" s="5">
        <v>10.0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3.5"/>
    <col customWidth="1" min="3" max="3" width="9.75"/>
    <col customWidth="1" min="4" max="4" width="9.63"/>
    <col customWidth="1" min="5" max="6" width="12.0"/>
    <col customWidth="1" min="7" max="7" width="9.5"/>
    <col customWidth="1" min="8" max="8" width="13.0"/>
    <col customWidth="1" min="9" max="9" width="10.75"/>
    <col customWidth="1" min="10" max="10" width="13.5"/>
    <col customWidth="1" min="11" max="11" width="13.38"/>
    <col customWidth="1" min="12" max="12" width="65.63"/>
    <col customWidth="1" min="13" max="13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/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>
      <c r="A2" s="2" t="s">
        <v>11</v>
      </c>
      <c r="B2" s="2"/>
      <c r="C2" s="3">
        <v>8977234.0</v>
      </c>
      <c r="D2" s="2" t="s">
        <v>12</v>
      </c>
      <c r="E2" s="2" t="s">
        <v>13</v>
      </c>
      <c r="F2" s="2" t="str">
        <f t="shared" ref="F2:F55" si="1">concatenate(D2," ",E2)</f>
        <v>Jackie Dello</v>
      </c>
      <c r="G2" s="3">
        <v>1.09839671E8</v>
      </c>
      <c r="H2" s="3" t="str">
        <f t="shared" ref="H2:H54" si="2">concat(G2,"OVR")</f>
        <v>109839671OVR</v>
      </c>
      <c r="I2" s="4">
        <v>46023.0</v>
      </c>
      <c r="J2" s="4">
        <v>46087.0</v>
      </c>
      <c r="K2" s="2" t="s">
        <v>14</v>
      </c>
      <c r="L2" s="2" t="s">
        <v>15</v>
      </c>
      <c r="M2" s="6">
        <v>4.0</v>
      </c>
      <c r="N2" s="7" t="str">
        <f t="shared" ref="N2:N54" si="3">MID(L2, FIND("Premium Period: ", L2)+LEN("Premium Period: "), 10)</f>
        <v>1/1/2026</v>
      </c>
    </row>
    <row r="3">
      <c r="A3" s="2" t="s">
        <v>11</v>
      </c>
      <c r="B3" s="2"/>
      <c r="C3" s="3">
        <v>8977234.0</v>
      </c>
      <c r="D3" s="2" t="s">
        <v>16</v>
      </c>
      <c r="E3" s="2" t="s">
        <v>17</v>
      </c>
      <c r="F3" s="2" t="str">
        <f t="shared" si="1"/>
        <v>Don J Mariner</v>
      </c>
      <c r="G3" s="3">
        <v>1.10293235E8</v>
      </c>
      <c r="H3" s="3" t="str">
        <f t="shared" si="2"/>
        <v>110293235OVR</v>
      </c>
      <c r="I3" s="4">
        <v>46023.0</v>
      </c>
      <c r="J3" s="4">
        <v>46087.0</v>
      </c>
      <c r="K3" s="2" t="s">
        <v>14</v>
      </c>
      <c r="L3" s="2" t="s">
        <v>15</v>
      </c>
      <c r="M3" s="6">
        <v>4.0</v>
      </c>
      <c r="N3" s="7" t="str">
        <f t="shared" si="3"/>
        <v>1/1/2026</v>
      </c>
    </row>
    <row r="4">
      <c r="A4" s="2" t="s">
        <v>11</v>
      </c>
      <c r="B4" s="2"/>
      <c r="C4" s="3">
        <v>8977234.0</v>
      </c>
      <c r="D4" s="2" t="s">
        <v>18</v>
      </c>
      <c r="E4" s="2" t="s">
        <v>19</v>
      </c>
      <c r="F4" s="2" t="str">
        <f t="shared" si="1"/>
        <v>Caroline Robles</v>
      </c>
      <c r="G4" s="3">
        <v>1.11102853E8</v>
      </c>
      <c r="H4" s="3" t="str">
        <f t="shared" si="2"/>
        <v>111102853OVR</v>
      </c>
      <c r="I4" s="4">
        <v>46023.0</v>
      </c>
      <c r="J4" s="4">
        <v>46087.0</v>
      </c>
      <c r="K4" s="2" t="s">
        <v>14</v>
      </c>
      <c r="L4" s="2" t="s">
        <v>15</v>
      </c>
      <c r="M4" s="6">
        <v>4.0</v>
      </c>
      <c r="N4" s="7" t="str">
        <f t="shared" si="3"/>
        <v>1/1/2026</v>
      </c>
    </row>
    <row r="5">
      <c r="A5" s="2" t="s">
        <v>11</v>
      </c>
      <c r="B5" s="2"/>
      <c r="C5" s="3">
        <v>8977234.0</v>
      </c>
      <c r="D5" s="2" t="s">
        <v>20</v>
      </c>
      <c r="E5" s="2" t="s">
        <v>21</v>
      </c>
      <c r="F5" s="2" t="str">
        <f t="shared" si="1"/>
        <v>Christopher Stevanus</v>
      </c>
      <c r="G5" s="3">
        <v>1.11849444E8</v>
      </c>
      <c r="H5" s="3" t="str">
        <f t="shared" si="2"/>
        <v>111849444OVR</v>
      </c>
      <c r="I5" s="4">
        <v>46023.0</v>
      </c>
      <c r="J5" s="4">
        <v>46087.0</v>
      </c>
      <c r="K5" s="2" t="s">
        <v>14</v>
      </c>
      <c r="L5" s="2" t="s">
        <v>15</v>
      </c>
      <c r="M5" s="6">
        <v>4.0</v>
      </c>
      <c r="N5" s="7" t="str">
        <f t="shared" si="3"/>
        <v>1/1/2026</v>
      </c>
    </row>
    <row r="6">
      <c r="A6" s="2" t="s">
        <v>11</v>
      </c>
      <c r="B6" s="2"/>
      <c r="C6" s="3">
        <v>8977234.0</v>
      </c>
      <c r="D6" s="2" t="s">
        <v>22</v>
      </c>
      <c r="E6" s="2" t="s">
        <v>23</v>
      </c>
      <c r="F6" s="2" t="str">
        <f t="shared" si="1"/>
        <v>Connie Binns</v>
      </c>
      <c r="G6" s="3">
        <v>1.12342893E8</v>
      </c>
      <c r="H6" s="3" t="str">
        <f t="shared" si="2"/>
        <v>112342893OVR</v>
      </c>
      <c r="I6" s="4">
        <v>46023.0</v>
      </c>
      <c r="J6" s="4">
        <v>46087.0</v>
      </c>
      <c r="K6" s="2" t="s">
        <v>14</v>
      </c>
      <c r="L6" s="2" t="s">
        <v>15</v>
      </c>
      <c r="M6" s="6">
        <v>4.0</v>
      </c>
      <c r="N6" s="7" t="str">
        <f t="shared" si="3"/>
        <v>1/1/2026</v>
      </c>
    </row>
    <row r="7">
      <c r="A7" s="2" t="s">
        <v>11</v>
      </c>
      <c r="B7" s="2"/>
      <c r="C7" s="3">
        <v>8977234.0</v>
      </c>
      <c r="D7" s="2" t="s">
        <v>24</v>
      </c>
      <c r="E7" s="2" t="s">
        <v>25</v>
      </c>
      <c r="F7" s="2" t="str">
        <f t="shared" si="1"/>
        <v>Dipali Roy-Alexander</v>
      </c>
      <c r="G7" s="3">
        <v>1.12905472E8</v>
      </c>
      <c r="H7" s="3" t="str">
        <f t="shared" si="2"/>
        <v>112905472OVR</v>
      </c>
      <c r="I7" s="4">
        <v>46023.0</v>
      </c>
      <c r="J7" s="4">
        <v>46087.0</v>
      </c>
      <c r="K7" s="2" t="s">
        <v>14</v>
      </c>
      <c r="L7" s="2" t="s">
        <v>15</v>
      </c>
      <c r="M7" s="6">
        <v>4.0</v>
      </c>
      <c r="N7" s="7" t="str">
        <f t="shared" si="3"/>
        <v>1/1/2026</v>
      </c>
    </row>
    <row r="8">
      <c r="A8" s="2" t="s">
        <v>11</v>
      </c>
      <c r="B8" s="2"/>
      <c r="C8" s="3">
        <v>8977234.0</v>
      </c>
      <c r="D8" s="2" t="s">
        <v>26</v>
      </c>
      <c r="E8" s="2" t="s">
        <v>27</v>
      </c>
      <c r="F8" s="2" t="str">
        <f t="shared" si="1"/>
        <v>Daniel Hirner</v>
      </c>
      <c r="G8" s="3">
        <v>1.12956116E8</v>
      </c>
      <c r="H8" s="3" t="str">
        <f t="shared" si="2"/>
        <v>112956116OVR</v>
      </c>
      <c r="I8" s="4">
        <v>46023.0</v>
      </c>
      <c r="J8" s="4">
        <v>46087.0</v>
      </c>
      <c r="K8" s="2" t="s">
        <v>14</v>
      </c>
      <c r="L8" s="2" t="s">
        <v>15</v>
      </c>
      <c r="M8" s="6">
        <v>4.0</v>
      </c>
      <c r="N8" s="7" t="str">
        <f t="shared" si="3"/>
        <v>1/1/2026</v>
      </c>
    </row>
    <row r="9">
      <c r="A9" s="2" t="s">
        <v>28</v>
      </c>
      <c r="B9" s="2"/>
      <c r="C9" s="3">
        <v>2.0724564E7</v>
      </c>
      <c r="D9" s="2" t="s">
        <v>29</v>
      </c>
      <c r="E9" s="2" t="s">
        <v>30</v>
      </c>
      <c r="F9" s="2" t="str">
        <f t="shared" si="1"/>
        <v>Gregory A Harbert</v>
      </c>
      <c r="G9" s="3">
        <v>1.09255892E8</v>
      </c>
      <c r="H9" s="3" t="str">
        <f t="shared" si="2"/>
        <v>109255892OVR</v>
      </c>
      <c r="I9" s="4">
        <v>46023.0</v>
      </c>
      <c r="J9" s="4">
        <v>46087.0</v>
      </c>
      <c r="K9" s="2" t="s">
        <v>14</v>
      </c>
      <c r="L9" s="2" t="s">
        <v>31</v>
      </c>
      <c r="M9" s="6">
        <v>8.0</v>
      </c>
      <c r="N9" s="7" t="str">
        <f t="shared" si="3"/>
        <v>1/1/2026</v>
      </c>
    </row>
    <row r="10">
      <c r="A10" s="2" t="s">
        <v>11</v>
      </c>
      <c r="B10" s="2"/>
      <c r="C10" s="3">
        <v>8977234.0</v>
      </c>
      <c r="D10" s="2" t="s">
        <v>32</v>
      </c>
      <c r="E10" s="2" t="s">
        <v>33</v>
      </c>
      <c r="F10" s="2" t="str">
        <f t="shared" si="1"/>
        <v>Jerry Hartman</v>
      </c>
      <c r="G10" s="3">
        <v>1.09263551E8</v>
      </c>
      <c r="H10" s="3" t="str">
        <f t="shared" si="2"/>
        <v>109263551OVR</v>
      </c>
      <c r="I10" s="4">
        <v>46023.0</v>
      </c>
      <c r="J10" s="4">
        <v>46087.0</v>
      </c>
      <c r="K10" s="2" t="s">
        <v>14</v>
      </c>
      <c r="L10" s="2" t="s">
        <v>15</v>
      </c>
      <c r="M10" s="6">
        <v>4.0</v>
      </c>
      <c r="N10" s="7" t="str">
        <f t="shared" si="3"/>
        <v>1/1/2026</v>
      </c>
    </row>
    <row r="11">
      <c r="A11" s="2" t="s">
        <v>28</v>
      </c>
      <c r="B11" s="2"/>
      <c r="C11" s="3">
        <v>2.0724564E7</v>
      </c>
      <c r="D11" s="2" t="s">
        <v>34</v>
      </c>
      <c r="E11" s="2" t="s">
        <v>35</v>
      </c>
      <c r="F11" s="2" t="str">
        <f t="shared" si="1"/>
        <v>Lex C Dison</v>
      </c>
      <c r="G11" s="3">
        <v>1.09327029E8</v>
      </c>
      <c r="H11" s="3" t="str">
        <f t="shared" si="2"/>
        <v>109327029OVR</v>
      </c>
      <c r="I11" s="4">
        <v>46023.0</v>
      </c>
      <c r="J11" s="4">
        <v>46087.0</v>
      </c>
      <c r="K11" s="2" t="s">
        <v>14</v>
      </c>
      <c r="L11" s="2" t="s">
        <v>15</v>
      </c>
      <c r="M11" s="6">
        <v>4.0</v>
      </c>
      <c r="N11" s="7" t="str">
        <f t="shared" si="3"/>
        <v>1/1/2026</v>
      </c>
    </row>
    <row r="12">
      <c r="A12" s="2" t="s">
        <v>36</v>
      </c>
      <c r="B12" s="2"/>
      <c r="C12" s="3">
        <v>1.9279958E7</v>
      </c>
      <c r="D12" s="2" t="s">
        <v>37</v>
      </c>
      <c r="E12" s="2" t="s">
        <v>38</v>
      </c>
      <c r="F12" s="2" t="str">
        <f t="shared" si="1"/>
        <v>Jack Marcum</v>
      </c>
      <c r="G12" s="3">
        <v>1.09377263E8</v>
      </c>
      <c r="H12" s="3" t="str">
        <f t="shared" si="2"/>
        <v>109377263OVR</v>
      </c>
      <c r="I12" s="4">
        <v>46023.0</v>
      </c>
      <c r="J12" s="4">
        <v>46087.0</v>
      </c>
      <c r="K12" s="2" t="s">
        <v>14</v>
      </c>
      <c r="L12" s="2" t="s">
        <v>39</v>
      </c>
      <c r="M12" s="6">
        <v>20.0</v>
      </c>
      <c r="N12" s="7" t="str">
        <f t="shared" si="3"/>
        <v>1/1/2026</v>
      </c>
    </row>
    <row r="13">
      <c r="A13" s="2" t="s">
        <v>28</v>
      </c>
      <c r="B13" s="2"/>
      <c r="C13" s="3">
        <v>2.0724564E7</v>
      </c>
      <c r="D13" s="2" t="s">
        <v>40</v>
      </c>
      <c r="E13" s="2" t="s">
        <v>41</v>
      </c>
      <c r="F13" s="2" t="str">
        <f t="shared" si="1"/>
        <v>Dian Hollowell</v>
      </c>
      <c r="G13" s="3">
        <v>1.09405923E8</v>
      </c>
      <c r="H13" s="3" t="str">
        <f t="shared" si="2"/>
        <v>109405923OVR</v>
      </c>
      <c r="I13" s="4">
        <v>46023.0</v>
      </c>
      <c r="J13" s="4">
        <v>46087.0</v>
      </c>
      <c r="K13" s="2" t="s">
        <v>14</v>
      </c>
      <c r="L13" s="2" t="s">
        <v>31</v>
      </c>
      <c r="M13" s="6">
        <v>8.0</v>
      </c>
      <c r="N13" s="7" t="str">
        <f t="shared" si="3"/>
        <v>1/1/2026</v>
      </c>
    </row>
    <row r="14">
      <c r="A14" s="2" t="s">
        <v>42</v>
      </c>
      <c r="B14" s="2"/>
      <c r="C14" s="3">
        <v>1.7528908E7</v>
      </c>
      <c r="D14" s="2" t="s">
        <v>43</v>
      </c>
      <c r="E14" s="2" t="s">
        <v>44</v>
      </c>
      <c r="F14" s="2" t="str">
        <f t="shared" si="1"/>
        <v>Lura J Joseph</v>
      </c>
      <c r="G14" s="3">
        <v>1.10103887E8</v>
      </c>
      <c r="H14" s="3" t="str">
        <f t="shared" si="2"/>
        <v>110103887OVR</v>
      </c>
      <c r="I14" s="4">
        <v>46023.0</v>
      </c>
      <c r="J14" s="4">
        <v>46087.0</v>
      </c>
      <c r="K14" s="2" t="s">
        <v>14</v>
      </c>
      <c r="L14" s="2" t="s">
        <v>15</v>
      </c>
      <c r="M14" s="6">
        <v>4.0</v>
      </c>
      <c r="N14" s="7" t="str">
        <f t="shared" si="3"/>
        <v>1/1/2026</v>
      </c>
    </row>
    <row r="15">
      <c r="A15" s="2" t="s">
        <v>28</v>
      </c>
      <c r="B15" s="2"/>
      <c r="C15" s="3">
        <v>2.0724564E7</v>
      </c>
      <c r="D15" s="2" t="s">
        <v>45</v>
      </c>
      <c r="E15" s="2" t="s">
        <v>46</v>
      </c>
      <c r="F15" s="2" t="str">
        <f t="shared" si="1"/>
        <v>Ingred A Frieders</v>
      </c>
      <c r="G15" s="3">
        <v>1.10696019E8</v>
      </c>
      <c r="H15" s="3" t="str">
        <f t="shared" si="2"/>
        <v>110696019OVR</v>
      </c>
      <c r="I15" s="4">
        <v>46023.0</v>
      </c>
      <c r="J15" s="4">
        <v>46087.0</v>
      </c>
      <c r="K15" s="2" t="s">
        <v>14</v>
      </c>
      <c r="L15" s="2" t="s">
        <v>15</v>
      </c>
      <c r="M15" s="6">
        <v>4.0</v>
      </c>
      <c r="N15" s="7" t="str">
        <f t="shared" si="3"/>
        <v>1/1/2026</v>
      </c>
    </row>
    <row r="16">
      <c r="A16" s="2" t="s">
        <v>42</v>
      </c>
      <c r="B16" s="2"/>
      <c r="C16" s="3">
        <v>1.7528908E7</v>
      </c>
      <c r="D16" s="2" t="s">
        <v>47</v>
      </c>
      <c r="E16" s="2" t="s">
        <v>48</v>
      </c>
      <c r="F16" s="2" t="str">
        <f t="shared" si="1"/>
        <v>Lori Henry</v>
      </c>
      <c r="G16" s="3">
        <v>1.10809733E8</v>
      </c>
      <c r="H16" s="3" t="str">
        <f t="shared" si="2"/>
        <v>110809733OVR</v>
      </c>
      <c r="I16" s="4">
        <v>46023.0</v>
      </c>
      <c r="J16" s="4">
        <v>46087.0</v>
      </c>
      <c r="K16" s="2" t="s">
        <v>14</v>
      </c>
      <c r="L16" s="2" t="s">
        <v>15</v>
      </c>
      <c r="M16" s="6">
        <v>4.0</v>
      </c>
      <c r="N16" s="7" t="str">
        <f t="shared" si="3"/>
        <v>1/1/2026</v>
      </c>
    </row>
    <row r="17">
      <c r="A17" s="2" t="s">
        <v>28</v>
      </c>
      <c r="B17" s="2"/>
      <c r="C17" s="3">
        <v>2.0724564E7</v>
      </c>
      <c r="D17" s="2" t="s">
        <v>49</v>
      </c>
      <c r="E17" s="2" t="s">
        <v>50</v>
      </c>
      <c r="F17" s="2" t="str">
        <f t="shared" si="1"/>
        <v>Andrew Wenzel</v>
      </c>
      <c r="G17" s="3">
        <v>1.10851077E8</v>
      </c>
      <c r="H17" s="3" t="str">
        <f t="shared" si="2"/>
        <v>110851077OVR</v>
      </c>
      <c r="I17" s="4">
        <v>46023.0</v>
      </c>
      <c r="J17" s="4">
        <v>46087.0</v>
      </c>
      <c r="K17" s="2" t="s">
        <v>14</v>
      </c>
      <c r="L17" s="2" t="s">
        <v>51</v>
      </c>
      <c r="M17" s="6">
        <v>12.0</v>
      </c>
      <c r="N17" s="7" t="str">
        <f t="shared" si="3"/>
        <v>1/1/2026</v>
      </c>
    </row>
    <row r="18">
      <c r="A18" s="2" t="s">
        <v>52</v>
      </c>
      <c r="B18" s="2"/>
      <c r="C18" s="3">
        <v>1.5278437E7</v>
      </c>
      <c r="D18" s="2" t="s">
        <v>53</v>
      </c>
      <c r="E18" s="2" t="s">
        <v>54</v>
      </c>
      <c r="F18" s="2" t="str">
        <f t="shared" si="1"/>
        <v>Evon Friend</v>
      </c>
      <c r="G18" s="3">
        <v>1.10995709E8</v>
      </c>
      <c r="H18" s="3" t="str">
        <f t="shared" si="2"/>
        <v>110995709OVR</v>
      </c>
      <c r="I18" s="4">
        <v>46023.0</v>
      </c>
      <c r="J18" s="4">
        <v>46087.0</v>
      </c>
      <c r="K18" s="2" t="s">
        <v>14</v>
      </c>
      <c r="L18" s="2" t="s">
        <v>31</v>
      </c>
      <c r="M18" s="6">
        <v>8.0</v>
      </c>
      <c r="N18" s="7" t="str">
        <f t="shared" si="3"/>
        <v>1/1/2026</v>
      </c>
    </row>
    <row r="19">
      <c r="A19" s="2" t="s">
        <v>28</v>
      </c>
      <c r="B19" s="2"/>
      <c r="C19" s="3">
        <v>2.0724564E7</v>
      </c>
      <c r="D19" s="2" t="s">
        <v>55</v>
      </c>
      <c r="E19" s="2" t="s">
        <v>56</v>
      </c>
      <c r="F19" s="2" t="str">
        <f t="shared" si="1"/>
        <v>Tina Allender</v>
      </c>
      <c r="G19" s="3">
        <v>1.1113178E8</v>
      </c>
      <c r="H19" s="3" t="str">
        <f t="shared" si="2"/>
        <v>111131780OVR</v>
      </c>
      <c r="I19" s="4">
        <v>46023.0</v>
      </c>
      <c r="J19" s="4">
        <v>46087.0</v>
      </c>
      <c r="K19" s="2" t="s">
        <v>14</v>
      </c>
      <c r="L19" s="2" t="s">
        <v>31</v>
      </c>
      <c r="M19" s="6">
        <v>8.0</v>
      </c>
      <c r="N19" s="7" t="str">
        <f t="shared" si="3"/>
        <v>1/1/2026</v>
      </c>
    </row>
    <row r="20">
      <c r="A20" s="2" t="s">
        <v>11</v>
      </c>
      <c r="B20" s="2"/>
      <c r="C20" s="3">
        <v>8977234.0</v>
      </c>
      <c r="D20" s="2" t="s">
        <v>57</v>
      </c>
      <c r="E20" s="2" t="s">
        <v>58</v>
      </c>
      <c r="F20" s="2" t="str">
        <f t="shared" si="1"/>
        <v>Kimberly Prescaro</v>
      </c>
      <c r="G20" s="3">
        <v>1.11241629E8</v>
      </c>
      <c r="H20" s="3" t="str">
        <f t="shared" si="2"/>
        <v>111241629OVR</v>
      </c>
      <c r="I20" s="4">
        <v>46023.0</v>
      </c>
      <c r="J20" s="4">
        <v>46087.0</v>
      </c>
      <c r="K20" s="2" t="s">
        <v>14</v>
      </c>
      <c r="L20" s="2" t="s">
        <v>15</v>
      </c>
      <c r="M20" s="6">
        <v>4.0</v>
      </c>
      <c r="N20" s="7" t="str">
        <f t="shared" si="3"/>
        <v>1/1/2026</v>
      </c>
    </row>
    <row r="21">
      <c r="A21" s="2" t="s">
        <v>28</v>
      </c>
      <c r="B21" s="2"/>
      <c r="C21" s="3">
        <v>2.0724564E7</v>
      </c>
      <c r="D21" s="2" t="s">
        <v>59</v>
      </c>
      <c r="E21" s="2" t="s">
        <v>60</v>
      </c>
      <c r="F21" s="2" t="str">
        <f t="shared" si="1"/>
        <v>Barbara J Sims</v>
      </c>
      <c r="G21" s="3">
        <v>1.11339206E8</v>
      </c>
      <c r="H21" s="3" t="str">
        <f t="shared" si="2"/>
        <v>111339206OVR</v>
      </c>
      <c r="I21" s="4">
        <v>46023.0</v>
      </c>
      <c r="J21" s="4">
        <v>46087.0</v>
      </c>
      <c r="K21" s="2" t="s">
        <v>14</v>
      </c>
      <c r="L21" s="2" t="s">
        <v>15</v>
      </c>
      <c r="M21" s="6">
        <v>4.0</v>
      </c>
      <c r="N21" s="7" t="str">
        <f t="shared" si="3"/>
        <v>1/1/2026</v>
      </c>
    </row>
    <row r="22">
      <c r="A22" s="2" t="s">
        <v>61</v>
      </c>
      <c r="B22" s="2"/>
      <c r="C22" s="3">
        <v>1.3374569E7</v>
      </c>
      <c r="D22" s="2" t="s">
        <v>62</v>
      </c>
      <c r="E22" s="2" t="s">
        <v>63</v>
      </c>
      <c r="F22" s="2" t="str">
        <f t="shared" si="1"/>
        <v>Terri Burkett</v>
      </c>
      <c r="G22" s="3">
        <v>1.11593834E8</v>
      </c>
      <c r="H22" s="3" t="str">
        <f t="shared" si="2"/>
        <v>111593834OVR</v>
      </c>
      <c r="I22" s="4">
        <v>46023.0</v>
      </c>
      <c r="J22" s="4">
        <v>46087.0</v>
      </c>
      <c r="K22" s="2" t="s">
        <v>14</v>
      </c>
      <c r="L22" s="2" t="s">
        <v>15</v>
      </c>
      <c r="M22" s="6">
        <v>4.0</v>
      </c>
      <c r="N22" s="7" t="str">
        <f t="shared" si="3"/>
        <v>1/1/2026</v>
      </c>
    </row>
    <row r="23">
      <c r="A23" s="2" t="s">
        <v>11</v>
      </c>
      <c r="B23" s="2"/>
      <c r="C23" s="3">
        <v>8977234.0</v>
      </c>
      <c r="D23" s="2" t="s">
        <v>64</v>
      </c>
      <c r="E23" s="2" t="s">
        <v>65</v>
      </c>
      <c r="F23" s="2" t="str">
        <f t="shared" si="1"/>
        <v>Sherry Beach</v>
      </c>
      <c r="G23" s="3">
        <v>1.11828564E8</v>
      </c>
      <c r="H23" s="3" t="str">
        <f t="shared" si="2"/>
        <v>111828564OVR</v>
      </c>
      <c r="I23" s="4">
        <v>46023.0</v>
      </c>
      <c r="J23" s="4">
        <v>46087.0</v>
      </c>
      <c r="K23" s="2" t="s">
        <v>14</v>
      </c>
      <c r="L23" s="2" t="s">
        <v>15</v>
      </c>
      <c r="M23" s="6">
        <v>4.0</v>
      </c>
      <c r="N23" s="7" t="str">
        <f t="shared" si="3"/>
        <v>1/1/2026</v>
      </c>
    </row>
    <row r="24">
      <c r="A24" s="2" t="s">
        <v>28</v>
      </c>
      <c r="B24" s="2"/>
      <c r="C24" s="3">
        <v>2.0724564E7</v>
      </c>
      <c r="D24" s="2" t="s">
        <v>66</v>
      </c>
      <c r="E24" s="2" t="s">
        <v>67</v>
      </c>
      <c r="F24" s="2" t="str">
        <f t="shared" si="1"/>
        <v>Alesia Snyder</v>
      </c>
      <c r="G24" s="3">
        <v>1.11928637E8</v>
      </c>
      <c r="H24" s="3" t="str">
        <f t="shared" si="2"/>
        <v>111928637OVR</v>
      </c>
      <c r="I24" s="4">
        <v>46023.0</v>
      </c>
      <c r="J24" s="4">
        <v>46087.0</v>
      </c>
      <c r="K24" s="2" t="s">
        <v>14</v>
      </c>
      <c r="L24" s="2" t="s">
        <v>15</v>
      </c>
      <c r="M24" s="6">
        <v>4.0</v>
      </c>
      <c r="N24" s="7" t="str">
        <f t="shared" si="3"/>
        <v>1/1/2026</v>
      </c>
    </row>
    <row r="25">
      <c r="A25" s="2" t="s">
        <v>28</v>
      </c>
      <c r="B25" s="2"/>
      <c r="C25" s="3">
        <v>2.0724564E7</v>
      </c>
      <c r="D25" s="2" t="s">
        <v>68</v>
      </c>
      <c r="E25" s="2" t="s">
        <v>69</v>
      </c>
      <c r="F25" s="2" t="str">
        <f t="shared" si="1"/>
        <v>Lisa Campbell</v>
      </c>
      <c r="G25" s="3">
        <v>1.12041303E8</v>
      </c>
      <c r="H25" s="3" t="str">
        <f t="shared" si="2"/>
        <v>112041303OVR</v>
      </c>
      <c r="I25" s="4">
        <v>46023.0</v>
      </c>
      <c r="J25" s="4">
        <v>46087.0</v>
      </c>
      <c r="K25" s="2" t="s">
        <v>14</v>
      </c>
      <c r="L25" s="2" t="s">
        <v>15</v>
      </c>
      <c r="M25" s="6">
        <v>4.0</v>
      </c>
      <c r="N25" s="7" t="str">
        <f t="shared" si="3"/>
        <v>1/1/2026</v>
      </c>
    </row>
    <row r="26">
      <c r="A26" s="2" t="s">
        <v>28</v>
      </c>
      <c r="B26" s="2"/>
      <c r="C26" s="3">
        <v>2.0724564E7</v>
      </c>
      <c r="D26" s="2" t="s">
        <v>70</v>
      </c>
      <c r="E26" s="2" t="s">
        <v>71</v>
      </c>
      <c r="F26" s="2" t="str">
        <f t="shared" si="1"/>
        <v>Markee Murrin</v>
      </c>
      <c r="G26" s="3">
        <v>1.12232108E8</v>
      </c>
      <c r="H26" s="3" t="str">
        <f t="shared" si="2"/>
        <v>112232108OVR</v>
      </c>
      <c r="I26" s="4">
        <v>46023.0</v>
      </c>
      <c r="J26" s="4">
        <v>46087.0</v>
      </c>
      <c r="K26" s="2" t="s">
        <v>14</v>
      </c>
      <c r="L26" s="2" t="s">
        <v>31</v>
      </c>
      <c r="M26" s="6">
        <v>8.0</v>
      </c>
      <c r="N26" s="7" t="str">
        <f t="shared" si="3"/>
        <v>1/1/2026</v>
      </c>
    </row>
    <row r="27">
      <c r="A27" s="2" t="s">
        <v>72</v>
      </c>
      <c r="B27" s="2"/>
      <c r="C27" s="3">
        <v>1.8598357E7</v>
      </c>
      <c r="D27" s="2" t="s">
        <v>73</v>
      </c>
      <c r="E27" s="2" t="s">
        <v>74</v>
      </c>
      <c r="F27" s="2" t="str">
        <f t="shared" si="1"/>
        <v>Hailey Paratto</v>
      </c>
      <c r="G27" s="3">
        <v>1.12250936E8</v>
      </c>
      <c r="H27" s="3" t="str">
        <f t="shared" si="2"/>
        <v>112250936OVR</v>
      </c>
      <c r="I27" s="4">
        <v>46023.0</v>
      </c>
      <c r="J27" s="4">
        <v>46087.0</v>
      </c>
      <c r="K27" s="2" t="s">
        <v>14</v>
      </c>
      <c r="L27" s="2" t="s">
        <v>15</v>
      </c>
      <c r="M27" s="6">
        <v>4.0</v>
      </c>
      <c r="N27" s="7" t="str">
        <f t="shared" si="3"/>
        <v>1/1/2026</v>
      </c>
    </row>
    <row r="28">
      <c r="A28" s="2" t="s">
        <v>42</v>
      </c>
      <c r="B28" s="2"/>
      <c r="C28" s="3">
        <v>1.7528908E7</v>
      </c>
      <c r="D28" s="2" t="s">
        <v>75</v>
      </c>
      <c r="E28" s="2" t="s">
        <v>76</v>
      </c>
      <c r="F28" s="2" t="str">
        <f t="shared" si="1"/>
        <v>Alana Stephan</v>
      </c>
      <c r="G28" s="3">
        <v>1.12319621E8</v>
      </c>
      <c r="H28" s="3" t="str">
        <f t="shared" si="2"/>
        <v>112319621OVR</v>
      </c>
      <c r="I28" s="4">
        <v>46023.0</v>
      </c>
      <c r="J28" s="4">
        <v>46087.0</v>
      </c>
      <c r="K28" s="2" t="s">
        <v>14</v>
      </c>
      <c r="L28" s="2" t="s">
        <v>31</v>
      </c>
      <c r="M28" s="6">
        <v>8.0</v>
      </c>
      <c r="N28" s="7" t="str">
        <f t="shared" si="3"/>
        <v>1/1/2026</v>
      </c>
    </row>
    <row r="29">
      <c r="A29" s="2" t="s">
        <v>28</v>
      </c>
      <c r="B29" s="2"/>
      <c r="C29" s="3">
        <v>2.0724564E7</v>
      </c>
      <c r="D29" s="2" t="s">
        <v>77</v>
      </c>
      <c r="E29" s="2" t="s">
        <v>78</v>
      </c>
      <c r="F29" s="2" t="str">
        <f t="shared" si="1"/>
        <v>Marcus Kight</v>
      </c>
      <c r="G29" s="3">
        <v>1.12331941E8</v>
      </c>
      <c r="H29" s="3" t="str">
        <f t="shared" si="2"/>
        <v>112331941OVR</v>
      </c>
      <c r="I29" s="4">
        <v>46023.0</v>
      </c>
      <c r="J29" s="4">
        <v>46087.0</v>
      </c>
      <c r="K29" s="2" t="s">
        <v>14</v>
      </c>
      <c r="L29" s="2" t="s">
        <v>15</v>
      </c>
      <c r="M29" s="6">
        <v>4.0</v>
      </c>
      <c r="N29" s="7" t="str">
        <f t="shared" si="3"/>
        <v>1/1/2026</v>
      </c>
    </row>
    <row r="30">
      <c r="A30" s="2" t="s">
        <v>28</v>
      </c>
      <c r="B30" s="2"/>
      <c r="C30" s="3">
        <v>2.0724564E7</v>
      </c>
      <c r="D30" s="2" t="s">
        <v>79</v>
      </c>
      <c r="E30" s="2" t="s">
        <v>80</v>
      </c>
      <c r="F30" s="2" t="str">
        <f t="shared" si="1"/>
        <v>Karen Clark</v>
      </c>
      <c r="G30" s="3">
        <v>1.12351334E8</v>
      </c>
      <c r="H30" s="3" t="str">
        <f t="shared" si="2"/>
        <v>112351334OVR</v>
      </c>
      <c r="I30" s="4">
        <v>46023.0</v>
      </c>
      <c r="J30" s="4">
        <v>46087.0</v>
      </c>
      <c r="K30" s="2" t="s">
        <v>14</v>
      </c>
      <c r="L30" s="2" t="s">
        <v>31</v>
      </c>
      <c r="M30" s="6">
        <v>8.0</v>
      </c>
      <c r="N30" s="7" t="str">
        <f t="shared" si="3"/>
        <v>1/1/2026</v>
      </c>
    </row>
    <row r="31">
      <c r="A31" s="2" t="s">
        <v>28</v>
      </c>
      <c r="B31" s="2"/>
      <c r="C31" s="3">
        <v>2.0724564E7</v>
      </c>
      <c r="D31" s="2" t="s">
        <v>81</v>
      </c>
      <c r="E31" s="2" t="s">
        <v>82</v>
      </c>
      <c r="F31" s="2" t="str">
        <f t="shared" si="1"/>
        <v>Stephanie Hoene</v>
      </c>
      <c r="G31" s="3">
        <v>1.1236082E8</v>
      </c>
      <c r="H31" s="3" t="str">
        <f t="shared" si="2"/>
        <v>112360820OVR</v>
      </c>
      <c r="I31" s="4">
        <v>46023.0</v>
      </c>
      <c r="J31" s="4">
        <v>46087.0</v>
      </c>
      <c r="K31" s="2" t="s">
        <v>14</v>
      </c>
      <c r="L31" s="2" t="s">
        <v>15</v>
      </c>
      <c r="M31" s="6">
        <v>4.0</v>
      </c>
      <c r="N31" s="7" t="str">
        <f t="shared" si="3"/>
        <v>1/1/2026</v>
      </c>
    </row>
    <row r="32">
      <c r="A32" s="2" t="s">
        <v>83</v>
      </c>
      <c r="B32" s="2"/>
      <c r="C32" s="3">
        <v>1.8754354E7</v>
      </c>
      <c r="D32" s="2" t="s">
        <v>84</v>
      </c>
      <c r="E32" s="2" t="s">
        <v>85</v>
      </c>
      <c r="F32" s="2" t="str">
        <f t="shared" si="1"/>
        <v>Oliviah Tisone</v>
      </c>
      <c r="G32" s="3">
        <v>1.1238137E8</v>
      </c>
      <c r="H32" s="3" t="str">
        <f t="shared" si="2"/>
        <v>112381370OVR</v>
      </c>
      <c r="I32" s="4">
        <v>46023.0</v>
      </c>
      <c r="J32" s="4">
        <v>46087.0</v>
      </c>
      <c r="K32" s="2" t="s">
        <v>14</v>
      </c>
      <c r="L32" s="2" t="s">
        <v>15</v>
      </c>
      <c r="M32" s="6">
        <v>4.0</v>
      </c>
      <c r="N32" s="7" t="str">
        <f t="shared" si="3"/>
        <v>1/1/2026</v>
      </c>
    </row>
    <row r="33">
      <c r="A33" s="2" t="s">
        <v>28</v>
      </c>
      <c r="B33" s="2"/>
      <c r="C33" s="3">
        <v>2.0724564E7</v>
      </c>
      <c r="D33" s="2" t="s">
        <v>86</v>
      </c>
      <c r="E33" s="2" t="s">
        <v>87</v>
      </c>
      <c r="F33" s="2" t="str">
        <f t="shared" si="1"/>
        <v>Amanda Perry</v>
      </c>
      <c r="G33" s="3">
        <v>1.1250133E8</v>
      </c>
      <c r="H33" s="3" t="str">
        <f t="shared" si="2"/>
        <v>112501330OVR</v>
      </c>
      <c r="I33" s="4">
        <v>46023.0</v>
      </c>
      <c r="J33" s="4">
        <v>46087.0</v>
      </c>
      <c r="K33" s="2" t="s">
        <v>14</v>
      </c>
      <c r="L33" s="2" t="s">
        <v>31</v>
      </c>
      <c r="M33" s="6">
        <v>8.0</v>
      </c>
      <c r="N33" s="7" t="str">
        <f t="shared" si="3"/>
        <v>1/1/2026</v>
      </c>
    </row>
    <row r="34">
      <c r="A34" s="2" t="s">
        <v>11</v>
      </c>
      <c r="B34" s="2"/>
      <c r="C34" s="3">
        <v>8977234.0</v>
      </c>
      <c r="D34" s="2" t="s">
        <v>88</v>
      </c>
      <c r="E34" s="2" t="s">
        <v>89</v>
      </c>
      <c r="F34" s="2" t="str">
        <f t="shared" si="1"/>
        <v>Amy Kissel</v>
      </c>
      <c r="G34" s="3">
        <v>1.12555327E8</v>
      </c>
      <c r="H34" s="3" t="str">
        <f t="shared" si="2"/>
        <v>112555327OVR</v>
      </c>
      <c r="I34" s="4">
        <v>46023.0</v>
      </c>
      <c r="J34" s="4">
        <v>46087.0</v>
      </c>
      <c r="K34" s="2" t="s">
        <v>14</v>
      </c>
      <c r="L34" s="2" t="s">
        <v>31</v>
      </c>
      <c r="M34" s="6">
        <v>8.0</v>
      </c>
      <c r="N34" s="7" t="str">
        <f t="shared" si="3"/>
        <v>1/1/2026</v>
      </c>
    </row>
    <row r="35">
      <c r="A35" s="2" t="s">
        <v>11</v>
      </c>
      <c r="B35" s="2"/>
      <c r="C35" s="3">
        <v>8977234.0</v>
      </c>
      <c r="D35" s="2" t="s">
        <v>90</v>
      </c>
      <c r="E35" s="2" t="s">
        <v>89</v>
      </c>
      <c r="F35" s="2" t="str">
        <f t="shared" si="1"/>
        <v>Seth Kissel</v>
      </c>
      <c r="G35" s="3">
        <v>1.12555365E8</v>
      </c>
      <c r="H35" s="3" t="str">
        <f t="shared" si="2"/>
        <v>112555365OVR</v>
      </c>
      <c r="I35" s="4">
        <v>46023.0</v>
      </c>
      <c r="J35" s="4">
        <v>46087.0</v>
      </c>
      <c r="K35" s="2" t="s">
        <v>14</v>
      </c>
      <c r="L35" s="2" t="s">
        <v>15</v>
      </c>
      <c r="M35" s="6">
        <v>4.0</v>
      </c>
      <c r="N35" s="7" t="str">
        <f t="shared" si="3"/>
        <v>1/1/2026</v>
      </c>
    </row>
    <row r="36">
      <c r="A36" s="2" t="s">
        <v>28</v>
      </c>
      <c r="B36" s="2"/>
      <c r="C36" s="3">
        <v>2.0724564E7</v>
      </c>
      <c r="D36" s="2" t="s">
        <v>91</v>
      </c>
      <c r="E36" s="2" t="s">
        <v>92</v>
      </c>
      <c r="F36" s="2" t="str">
        <f t="shared" si="1"/>
        <v>Robert Tremblay</v>
      </c>
      <c r="G36" s="3">
        <v>1.12870011E8</v>
      </c>
      <c r="H36" s="3" t="str">
        <f t="shared" si="2"/>
        <v>112870011OVR</v>
      </c>
      <c r="I36" s="4">
        <v>46023.0</v>
      </c>
      <c r="J36" s="4">
        <v>46087.0</v>
      </c>
      <c r="K36" s="2" t="s">
        <v>14</v>
      </c>
      <c r="L36" s="2" t="s">
        <v>15</v>
      </c>
      <c r="M36" s="6">
        <v>4.0</v>
      </c>
      <c r="N36" s="7" t="str">
        <f t="shared" si="3"/>
        <v>1/1/2026</v>
      </c>
    </row>
    <row r="37">
      <c r="A37" s="2" t="s">
        <v>28</v>
      </c>
      <c r="B37" s="2"/>
      <c r="C37" s="3">
        <v>2.0724564E7</v>
      </c>
      <c r="D37" s="2" t="s">
        <v>93</v>
      </c>
      <c r="E37" s="2" t="s">
        <v>94</v>
      </c>
      <c r="F37" s="2" t="str">
        <f t="shared" si="1"/>
        <v>Julie Lane</v>
      </c>
      <c r="G37" s="3">
        <v>1.12876247E8</v>
      </c>
      <c r="H37" s="3" t="str">
        <f t="shared" si="2"/>
        <v>112876247OVR</v>
      </c>
      <c r="I37" s="4">
        <v>46023.0</v>
      </c>
      <c r="J37" s="4">
        <v>46087.0</v>
      </c>
      <c r="K37" s="2" t="s">
        <v>14</v>
      </c>
      <c r="L37" s="2" t="s">
        <v>15</v>
      </c>
      <c r="M37" s="6">
        <v>4.0</v>
      </c>
      <c r="N37" s="7" t="str">
        <f t="shared" si="3"/>
        <v>1/1/2026</v>
      </c>
    </row>
    <row r="38">
      <c r="A38" s="2" t="s">
        <v>28</v>
      </c>
      <c r="B38" s="2"/>
      <c r="C38" s="3">
        <v>2.0724564E7</v>
      </c>
      <c r="D38" s="2" t="s">
        <v>95</v>
      </c>
      <c r="E38" s="2" t="s">
        <v>96</v>
      </c>
      <c r="F38" s="2" t="str">
        <f t="shared" si="1"/>
        <v>Linda S Pittman</v>
      </c>
      <c r="G38" s="3">
        <v>1.12900372E8</v>
      </c>
      <c r="H38" s="3" t="str">
        <f t="shared" si="2"/>
        <v>112900372OVR</v>
      </c>
      <c r="I38" s="4">
        <v>46023.0</v>
      </c>
      <c r="J38" s="4">
        <v>46087.0</v>
      </c>
      <c r="K38" s="2" t="s">
        <v>14</v>
      </c>
      <c r="L38" s="2" t="s">
        <v>15</v>
      </c>
      <c r="M38" s="6">
        <v>4.0</v>
      </c>
      <c r="N38" s="7" t="str">
        <f t="shared" si="3"/>
        <v>1/1/2026</v>
      </c>
    </row>
    <row r="39">
      <c r="A39" s="2" t="s">
        <v>28</v>
      </c>
      <c r="B39" s="2"/>
      <c r="C39" s="3">
        <v>2.0724564E7</v>
      </c>
      <c r="D39" s="2" t="s">
        <v>97</v>
      </c>
      <c r="E39" s="2" t="s">
        <v>98</v>
      </c>
      <c r="F39" s="2" t="str">
        <f t="shared" si="1"/>
        <v>Stacey Hill</v>
      </c>
      <c r="G39" s="3">
        <v>1.12941118E8</v>
      </c>
      <c r="H39" s="3" t="str">
        <f t="shared" si="2"/>
        <v>112941118OVR</v>
      </c>
      <c r="I39" s="4">
        <v>46023.0</v>
      </c>
      <c r="J39" s="4">
        <v>46087.0</v>
      </c>
      <c r="K39" s="2" t="s">
        <v>14</v>
      </c>
      <c r="L39" s="2" t="s">
        <v>15</v>
      </c>
      <c r="M39" s="6">
        <v>4.0</v>
      </c>
      <c r="N39" s="7" t="str">
        <f t="shared" si="3"/>
        <v>1/1/2026</v>
      </c>
    </row>
    <row r="40">
      <c r="A40" s="2" t="s">
        <v>28</v>
      </c>
      <c r="B40" s="2"/>
      <c r="C40" s="3">
        <v>2.0724564E7</v>
      </c>
      <c r="D40" s="2" t="s">
        <v>99</v>
      </c>
      <c r="E40" s="2" t="s">
        <v>100</v>
      </c>
      <c r="F40" s="2" t="str">
        <f t="shared" si="1"/>
        <v>Beverly Smith</v>
      </c>
      <c r="G40" s="3">
        <v>1.12945646E8</v>
      </c>
      <c r="H40" s="3" t="str">
        <f t="shared" si="2"/>
        <v>112945646OVR</v>
      </c>
      <c r="I40" s="4">
        <v>46023.0</v>
      </c>
      <c r="J40" s="4">
        <v>46087.0</v>
      </c>
      <c r="K40" s="2" t="s">
        <v>14</v>
      </c>
      <c r="L40" s="2" t="s">
        <v>15</v>
      </c>
      <c r="M40" s="6">
        <v>4.0</v>
      </c>
      <c r="N40" s="7" t="str">
        <f t="shared" si="3"/>
        <v>1/1/2026</v>
      </c>
    </row>
    <row r="41">
      <c r="A41" s="2" t="s">
        <v>11</v>
      </c>
      <c r="B41" s="2"/>
      <c r="C41" s="3">
        <v>8977234.0</v>
      </c>
      <c r="D41" s="2" t="s">
        <v>101</v>
      </c>
      <c r="E41" s="2" t="s">
        <v>102</v>
      </c>
      <c r="F41" s="2" t="str">
        <f t="shared" si="1"/>
        <v>Melissa K Rutherford</v>
      </c>
      <c r="G41" s="3">
        <v>1.12949073E8</v>
      </c>
      <c r="H41" s="3" t="str">
        <f t="shared" si="2"/>
        <v>112949073OVR</v>
      </c>
      <c r="I41" s="4">
        <v>46023.0</v>
      </c>
      <c r="J41" s="4">
        <v>46087.0</v>
      </c>
      <c r="K41" s="2" t="s">
        <v>14</v>
      </c>
      <c r="L41" s="2" t="s">
        <v>15</v>
      </c>
      <c r="M41" s="6">
        <v>4.0</v>
      </c>
      <c r="N41" s="7" t="str">
        <f t="shared" si="3"/>
        <v>1/1/2026</v>
      </c>
    </row>
    <row r="42">
      <c r="A42" s="2" t="s">
        <v>11</v>
      </c>
      <c r="B42" s="2"/>
      <c r="C42" s="3">
        <v>8977234.0</v>
      </c>
      <c r="D42" s="2" t="s">
        <v>103</v>
      </c>
      <c r="E42" s="2" t="s">
        <v>104</v>
      </c>
      <c r="F42" s="2" t="str">
        <f t="shared" si="1"/>
        <v>Meloney Estelle</v>
      </c>
      <c r="G42" s="3">
        <v>1.12953723E8</v>
      </c>
      <c r="H42" s="3" t="str">
        <f t="shared" si="2"/>
        <v>112953723OVR</v>
      </c>
      <c r="I42" s="4">
        <v>46023.0</v>
      </c>
      <c r="J42" s="4">
        <v>46087.0</v>
      </c>
      <c r="K42" s="2" t="s">
        <v>14</v>
      </c>
      <c r="L42" s="2" t="s">
        <v>15</v>
      </c>
      <c r="M42" s="6">
        <v>4.0</v>
      </c>
      <c r="N42" s="7" t="str">
        <f t="shared" si="3"/>
        <v>1/1/2026</v>
      </c>
    </row>
    <row r="43">
      <c r="A43" s="2" t="s">
        <v>11</v>
      </c>
      <c r="B43" s="2"/>
      <c r="C43" s="3">
        <v>8977234.0</v>
      </c>
      <c r="D43" s="2" t="s">
        <v>105</v>
      </c>
      <c r="E43" s="2" t="s">
        <v>106</v>
      </c>
      <c r="F43" s="2" t="str">
        <f t="shared" si="1"/>
        <v>Brinda J Paramore</v>
      </c>
      <c r="G43" s="3">
        <v>1.12956066E8</v>
      </c>
      <c r="H43" s="3" t="str">
        <f t="shared" si="2"/>
        <v>112956066OVR</v>
      </c>
      <c r="I43" s="4">
        <v>46023.0</v>
      </c>
      <c r="J43" s="4">
        <v>46087.0</v>
      </c>
      <c r="K43" s="2" t="s">
        <v>14</v>
      </c>
      <c r="L43" s="2" t="s">
        <v>15</v>
      </c>
      <c r="M43" s="6">
        <v>4.0</v>
      </c>
      <c r="N43" s="7" t="str">
        <f t="shared" si="3"/>
        <v>1/1/2026</v>
      </c>
    </row>
    <row r="44">
      <c r="A44" s="2" t="s">
        <v>28</v>
      </c>
      <c r="B44" s="2"/>
      <c r="C44" s="3">
        <v>2.0724564E7</v>
      </c>
      <c r="D44" s="2" t="s">
        <v>107</v>
      </c>
      <c r="E44" s="2" t="s">
        <v>108</v>
      </c>
      <c r="F44" s="2" t="str">
        <f t="shared" si="1"/>
        <v>Sheryl Kuhstoss</v>
      </c>
      <c r="G44" s="3">
        <v>1.12958461E8</v>
      </c>
      <c r="H44" s="3" t="str">
        <f t="shared" si="2"/>
        <v>112958461OVR</v>
      </c>
      <c r="I44" s="4">
        <v>46023.0</v>
      </c>
      <c r="J44" s="4">
        <v>46087.0</v>
      </c>
      <c r="K44" s="2" t="s">
        <v>14</v>
      </c>
      <c r="L44" s="2" t="s">
        <v>31</v>
      </c>
      <c r="M44" s="6">
        <v>8.0</v>
      </c>
      <c r="N44" s="7" t="str">
        <f t="shared" si="3"/>
        <v>1/1/2026</v>
      </c>
    </row>
    <row r="45">
      <c r="A45" s="2" t="s">
        <v>28</v>
      </c>
      <c r="B45" s="2"/>
      <c r="C45" s="3">
        <v>2.0724564E7</v>
      </c>
      <c r="D45" s="2" t="s">
        <v>109</v>
      </c>
      <c r="E45" s="2" t="s">
        <v>110</v>
      </c>
      <c r="F45" s="2" t="str">
        <f t="shared" si="1"/>
        <v>Katie Nasal</v>
      </c>
      <c r="G45" s="3">
        <v>1.12958479E8</v>
      </c>
      <c r="H45" s="3" t="str">
        <f t="shared" si="2"/>
        <v>112958479OVR</v>
      </c>
      <c r="I45" s="4">
        <v>46023.0</v>
      </c>
      <c r="J45" s="4">
        <v>46087.0</v>
      </c>
      <c r="K45" s="2" t="s">
        <v>14</v>
      </c>
      <c r="L45" s="2" t="s">
        <v>15</v>
      </c>
      <c r="M45" s="6">
        <v>4.0</v>
      </c>
      <c r="N45" s="7" t="str">
        <f t="shared" si="3"/>
        <v>1/1/2026</v>
      </c>
    </row>
    <row r="46">
      <c r="A46" s="2" t="s">
        <v>11</v>
      </c>
      <c r="B46" s="2"/>
      <c r="C46" s="3">
        <v>8977234.0</v>
      </c>
      <c r="D46" s="2" t="s">
        <v>111</v>
      </c>
      <c r="E46" s="2" t="s">
        <v>112</v>
      </c>
      <c r="F46" s="2" t="str">
        <f t="shared" si="1"/>
        <v>Nicole Kettwig</v>
      </c>
      <c r="G46" s="3">
        <v>1.12978628E8</v>
      </c>
      <c r="H46" s="3" t="str">
        <f t="shared" si="2"/>
        <v>112978628OVR</v>
      </c>
      <c r="I46" s="4">
        <v>46023.0</v>
      </c>
      <c r="J46" s="4">
        <v>46087.0</v>
      </c>
      <c r="K46" s="2" t="s">
        <v>14</v>
      </c>
      <c r="L46" s="2" t="s">
        <v>15</v>
      </c>
      <c r="M46" s="6">
        <v>4.0</v>
      </c>
      <c r="N46" s="7" t="str">
        <f t="shared" si="3"/>
        <v>1/1/2026</v>
      </c>
    </row>
    <row r="47">
      <c r="A47" s="2" t="s">
        <v>11</v>
      </c>
      <c r="B47" s="2"/>
      <c r="C47" s="3">
        <v>8977234.0</v>
      </c>
      <c r="D47" s="2" t="s">
        <v>113</v>
      </c>
      <c r="E47" s="2" t="s">
        <v>114</v>
      </c>
      <c r="F47" s="2" t="str">
        <f t="shared" si="1"/>
        <v>Debra Pittenger</v>
      </c>
      <c r="G47" s="3">
        <v>1.12980045E8</v>
      </c>
      <c r="H47" s="3" t="str">
        <f t="shared" si="2"/>
        <v>112980045OVR</v>
      </c>
      <c r="I47" s="4">
        <v>46023.0</v>
      </c>
      <c r="J47" s="4">
        <v>46087.0</v>
      </c>
      <c r="K47" s="2" t="s">
        <v>14</v>
      </c>
      <c r="L47" s="2" t="s">
        <v>15</v>
      </c>
      <c r="M47" s="6">
        <v>4.0</v>
      </c>
      <c r="N47" s="7" t="str">
        <f t="shared" si="3"/>
        <v>1/1/2026</v>
      </c>
    </row>
    <row r="48">
      <c r="A48" s="2" t="s">
        <v>11</v>
      </c>
      <c r="B48" s="2"/>
      <c r="C48" s="3">
        <v>8977234.0</v>
      </c>
      <c r="D48" s="2" t="s">
        <v>115</v>
      </c>
      <c r="E48" s="2" t="s">
        <v>116</v>
      </c>
      <c r="F48" s="2" t="str">
        <f t="shared" si="1"/>
        <v>Michelle D Walden</v>
      </c>
      <c r="G48" s="3">
        <v>1.12982699E8</v>
      </c>
      <c r="H48" s="3" t="str">
        <f t="shared" si="2"/>
        <v>112982699OVR</v>
      </c>
      <c r="I48" s="4">
        <v>46023.0</v>
      </c>
      <c r="J48" s="4">
        <v>46087.0</v>
      </c>
      <c r="K48" s="2" t="s">
        <v>14</v>
      </c>
      <c r="L48" s="2" t="s">
        <v>15</v>
      </c>
      <c r="M48" s="6">
        <v>4.0</v>
      </c>
      <c r="N48" s="7" t="str">
        <f t="shared" si="3"/>
        <v>1/1/2026</v>
      </c>
    </row>
    <row r="49">
      <c r="A49" s="2" t="s">
        <v>11</v>
      </c>
      <c r="B49" s="2"/>
      <c r="C49" s="3">
        <v>8977234.0</v>
      </c>
      <c r="D49" s="2" t="s">
        <v>117</v>
      </c>
      <c r="E49" s="2" t="s">
        <v>67</v>
      </c>
      <c r="F49" s="2" t="str">
        <f t="shared" si="1"/>
        <v>Tanya Snyder</v>
      </c>
      <c r="G49" s="3">
        <v>1.12982708E8</v>
      </c>
      <c r="H49" s="3" t="str">
        <f t="shared" si="2"/>
        <v>112982708OVR</v>
      </c>
      <c r="I49" s="4">
        <v>46023.0</v>
      </c>
      <c r="J49" s="4">
        <v>46087.0</v>
      </c>
      <c r="K49" s="2" t="s">
        <v>14</v>
      </c>
      <c r="L49" s="2" t="s">
        <v>15</v>
      </c>
      <c r="M49" s="6">
        <v>4.0</v>
      </c>
      <c r="N49" s="7" t="str">
        <f t="shared" si="3"/>
        <v>1/1/2026</v>
      </c>
    </row>
    <row r="50">
      <c r="A50" s="2" t="s">
        <v>11</v>
      </c>
      <c r="B50" s="2"/>
      <c r="C50" s="3">
        <v>8977234.0</v>
      </c>
      <c r="D50" s="2" t="s">
        <v>118</v>
      </c>
      <c r="E50" s="2" t="s">
        <v>119</v>
      </c>
      <c r="F50" s="2" t="str">
        <f t="shared" si="1"/>
        <v>Nancy Maxwell</v>
      </c>
      <c r="G50" s="3">
        <v>1.13159408E8</v>
      </c>
      <c r="H50" s="3" t="str">
        <f t="shared" si="2"/>
        <v>113159408OVR</v>
      </c>
      <c r="I50" s="4">
        <v>46023.0</v>
      </c>
      <c r="J50" s="4">
        <v>46087.0</v>
      </c>
      <c r="K50" s="2" t="s">
        <v>14</v>
      </c>
      <c r="L50" s="2" t="s">
        <v>15</v>
      </c>
      <c r="M50" s="6">
        <v>4.0</v>
      </c>
      <c r="N50" s="7" t="str">
        <f t="shared" si="3"/>
        <v>1/1/2026</v>
      </c>
    </row>
    <row r="51">
      <c r="A51" s="2" t="s">
        <v>28</v>
      </c>
      <c r="B51" s="2"/>
      <c r="C51" s="3">
        <v>2.0724564E7</v>
      </c>
      <c r="D51" s="2" t="s">
        <v>120</v>
      </c>
      <c r="E51" s="2" t="s">
        <v>121</v>
      </c>
      <c r="F51" s="2" t="str">
        <f t="shared" si="1"/>
        <v>Jamie Hayden</v>
      </c>
      <c r="G51" s="3">
        <v>1.13171521E8</v>
      </c>
      <c r="H51" s="3" t="str">
        <f t="shared" si="2"/>
        <v>113171521OVR</v>
      </c>
      <c r="I51" s="4">
        <v>46023.0</v>
      </c>
      <c r="J51" s="4">
        <v>46087.0</v>
      </c>
      <c r="K51" s="2" t="s">
        <v>14</v>
      </c>
      <c r="L51" s="2" t="s">
        <v>51</v>
      </c>
      <c r="M51" s="6">
        <v>12.0</v>
      </c>
      <c r="N51" s="7" t="str">
        <f t="shared" si="3"/>
        <v>1/1/2026</v>
      </c>
    </row>
    <row r="52">
      <c r="A52" s="2" t="s">
        <v>122</v>
      </c>
      <c r="B52" s="2"/>
      <c r="C52" s="3">
        <v>2.1749481E7</v>
      </c>
      <c r="D52" s="2" t="s">
        <v>123</v>
      </c>
      <c r="E52" s="2" t="s">
        <v>124</v>
      </c>
      <c r="F52" s="2" t="str">
        <f t="shared" si="1"/>
        <v>Robert J Armantrout</v>
      </c>
      <c r="G52" s="3">
        <v>1.13178497E8</v>
      </c>
      <c r="H52" s="3" t="str">
        <f t="shared" si="2"/>
        <v>113178497OVR</v>
      </c>
      <c r="I52" s="4">
        <v>46023.0</v>
      </c>
      <c r="J52" s="4">
        <v>46087.0</v>
      </c>
      <c r="K52" s="2" t="s">
        <v>14</v>
      </c>
      <c r="L52" s="2" t="s">
        <v>15</v>
      </c>
      <c r="M52" s="6">
        <v>4.0</v>
      </c>
      <c r="N52" s="7" t="str">
        <f t="shared" si="3"/>
        <v>1/1/2026</v>
      </c>
    </row>
    <row r="53">
      <c r="A53" s="2" t="s">
        <v>28</v>
      </c>
      <c r="B53" s="2"/>
      <c r="C53" s="3">
        <v>2.0724564E7</v>
      </c>
      <c r="D53" s="2" t="s">
        <v>125</v>
      </c>
      <c r="E53" s="2" t="s">
        <v>126</v>
      </c>
      <c r="F53" s="2" t="str">
        <f t="shared" si="1"/>
        <v>Theresa West</v>
      </c>
      <c r="G53" s="3">
        <v>1.13202336E8</v>
      </c>
      <c r="H53" s="3" t="str">
        <f t="shared" si="2"/>
        <v>113202336OVR</v>
      </c>
      <c r="I53" s="4">
        <v>46023.0</v>
      </c>
      <c r="J53" s="4">
        <v>46087.0</v>
      </c>
      <c r="K53" s="2" t="s">
        <v>14</v>
      </c>
      <c r="L53" s="2" t="s">
        <v>15</v>
      </c>
      <c r="M53" s="6">
        <v>4.0</v>
      </c>
      <c r="N53" s="7" t="str">
        <f t="shared" si="3"/>
        <v>1/1/2026</v>
      </c>
    </row>
    <row r="54">
      <c r="A54" s="2" t="s">
        <v>28</v>
      </c>
      <c r="B54" s="2"/>
      <c r="C54" s="3">
        <v>2.0724564E7</v>
      </c>
      <c r="D54" s="2" t="s">
        <v>127</v>
      </c>
      <c r="E54" s="2" t="s">
        <v>128</v>
      </c>
      <c r="F54" s="2" t="str">
        <f t="shared" si="1"/>
        <v>Jacob Economou</v>
      </c>
      <c r="G54" s="3">
        <v>1.13203997E8</v>
      </c>
      <c r="H54" s="3" t="str">
        <f t="shared" si="2"/>
        <v>113203997OVR</v>
      </c>
      <c r="I54" s="4">
        <v>46023.0</v>
      </c>
      <c r="J54" s="4">
        <v>46087.0</v>
      </c>
      <c r="K54" s="2" t="s">
        <v>14</v>
      </c>
      <c r="L54" s="2" t="s">
        <v>31</v>
      </c>
      <c r="M54" s="6">
        <v>8.0</v>
      </c>
      <c r="N54" s="7" t="str">
        <f t="shared" si="3"/>
        <v>1/1/2026</v>
      </c>
    </row>
    <row r="55">
      <c r="A55" s="2" t="s">
        <v>72</v>
      </c>
      <c r="B55" s="2"/>
      <c r="C55" s="3">
        <v>1.8598357E7</v>
      </c>
      <c r="D55" s="2" t="s">
        <v>73</v>
      </c>
      <c r="E55" s="2" t="s">
        <v>74</v>
      </c>
      <c r="F55" s="2" t="str">
        <f t="shared" si="1"/>
        <v>Hailey Paratto</v>
      </c>
      <c r="G55" s="3">
        <v>1.12250936E8</v>
      </c>
      <c r="H55" s="3" t="str">
        <f>concat(G55,5)</f>
        <v>1122509365</v>
      </c>
      <c r="I55" s="4">
        <v>46023.0</v>
      </c>
      <c r="J55" s="4">
        <v>46087.0</v>
      </c>
      <c r="K55" s="2" t="s">
        <v>14</v>
      </c>
      <c r="L55" s="2" t="s">
        <v>129</v>
      </c>
      <c r="M55" s="6">
        <v>10.0</v>
      </c>
      <c r="N55" s="8">
        <v>46023.0</v>
      </c>
    </row>
  </sheetData>
  <drawing r:id="rId1"/>
</worksheet>
</file>