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2-21-25 from Ritter\"/>
    </mc:Choice>
  </mc:AlternateContent>
  <xr:revisionPtr revIDLastSave="0" documentId="13_ncr:1_{637EF302-851B-4F1A-AE57-9F29BA0E72D1}" xr6:coauthVersionLast="47" xr6:coauthVersionMax="47" xr10:uidLastSave="{00000000-0000-0000-0000-000000000000}"/>
  <bookViews>
    <workbookView xWindow="28680" yWindow="-120" windowWidth="29040" windowHeight="16440" activeTab="1" xr2:uid="{937C8E7C-0095-4F33-AF6E-C153FF437E6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2" l="1"/>
  <c r="H46" i="2"/>
  <c r="H45" i="2"/>
  <c r="H44" i="2"/>
  <c r="H43" i="2"/>
  <c r="H42" i="2"/>
  <c r="H41" i="2"/>
  <c r="H40" i="2"/>
  <c r="H39" i="2"/>
  <c r="F40" i="2"/>
  <c r="F41" i="2"/>
  <c r="F42" i="2"/>
  <c r="F43" i="2"/>
  <c r="F44" i="2"/>
  <c r="F45" i="2"/>
  <c r="F46" i="2"/>
  <c r="F47" i="2"/>
  <c r="F39" i="2"/>
</calcChain>
</file>

<file path=xl/sharedStrings.xml><?xml version="1.0" encoding="utf-8"?>
<sst xmlns="http://schemas.openxmlformats.org/spreadsheetml/2006/main" count="476" uniqueCount="85">
  <si>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</si>
  <si>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</si>
  <si>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</si>
  <si>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</si>
  <si>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</si>
  <si>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</si>
  <si>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</si>
  <si>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</si>
  <si>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</si>
  <si>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</si>
  <si>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</si>
  <si>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Katelenn Caltagirone</t>
  </si>
  <si>
    <t>Jeffrey</t>
  </si>
  <si>
    <t>Grindle</t>
  </si>
  <si>
    <t>CareSource U65</t>
  </si>
  <si>
    <t>CareSource U65 2025 IEP/Renewal OR (ProRata: 1) Premium Period: 1/1/2025</t>
  </si>
  <si>
    <t>Theresa</t>
  </si>
  <si>
    <t>Sefton</t>
  </si>
  <si>
    <t>Ryan Caltagirone</t>
  </si>
  <si>
    <t>Denise</t>
  </si>
  <si>
    <t>Zumpella</t>
  </si>
  <si>
    <t>Don J</t>
  </si>
  <si>
    <t>Mariner</t>
  </si>
  <si>
    <t>Caroline</t>
  </si>
  <si>
    <t>Robles</t>
  </si>
  <si>
    <t>Terri</t>
  </si>
  <si>
    <t>Burkett</t>
  </si>
  <si>
    <t>Connie</t>
  </si>
  <si>
    <t>Binns</t>
  </si>
  <si>
    <t>Deborah Inskipt</t>
  </si>
  <si>
    <t>Larry</t>
  </si>
  <si>
    <t>Bumgardner</t>
  </si>
  <si>
    <t>Terry</t>
  </si>
  <si>
    <t>Wuthrich</t>
  </si>
  <si>
    <t>CareSource U65 2025 IEP/Renewal OR (ProRata: 2) Premium Period: 1/1/2025</t>
  </si>
  <si>
    <t>Jacob Yale</t>
  </si>
  <si>
    <t>Pamela</t>
  </si>
  <si>
    <t>Parker</t>
  </si>
  <si>
    <t>Adam Richter</t>
  </si>
  <si>
    <t>Christopher D</t>
  </si>
  <si>
    <t>Huff</t>
  </si>
  <si>
    <t>CareSource U65 2025 IEP/Renewal OR (ProRata: 3) Premium Period: 1/1/2025</t>
  </si>
  <si>
    <t>CareSource U65 2025 IEP/Renewal OR (ProRata: 1) Premium Period: 2/1/2025</t>
  </si>
  <si>
    <t>Christopher</t>
  </si>
  <si>
    <t>Stevanus</t>
  </si>
  <si>
    <t>Jackie</t>
  </si>
  <si>
    <t>Dello</t>
  </si>
  <si>
    <t>Magdalena</t>
  </si>
  <si>
    <t>Rosa Serrano</t>
  </si>
  <si>
    <t>Nancy</t>
  </si>
  <si>
    <t>Gale</t>
  </si>
  <si>
    <t>Sherry</t>
  </si>
  <si>
    <t>Beach</t>
  </si>
  <si>
    <t>Kimberly</t>
  </si>
  <si>
    <t>Prescaro</t>
  </si>
  <si>
    <t>Carla</t>
  </si>
  <si>
    <t>Williams</t>
  </si>
  <si>
    <t>Lori</t>
  </si>
  <si>
    <t>Henry</t>
  </si>
  <si>
    <t>Tanner A</t>
  </si>
  <si>
    <t>Melvin</t>
  </si>
  <si>
    <t>Oliviah</t>
  </si>
  <si>
    <t>Tisone</t>
  </si>
  <si>
    <t>Tonya</t>
  </si>
  <si>
    <t>Milam</t>
  </si>
  <si>
    <t>Jessica</t>
  </si>
  <si>
    <t>Mayhew</t>
  </si>
  <si>
    <t>Jerry</t>
  </si>
  <si>
    <t>Hartman</t>
  </si>
  <si>
    <t>CareSource U65 2025 IEP/Renewal OR (ProRata: 2) Premium Period: 2/1/2025</t>
  </si>
  <si>
    <t>Kylee</t>
  </si>
  <si>
    <t>Morr</t>
  </si>
  <si>
    <t>Alana</t>
  </si>
  <si>
    <t>Stephan</t>
  </si>
  <si>
    <t>Todd</t>
  </si>
  <si>
    <t>CareSource U65 2025 IEP/Renewal OR (ProRata: 3) Premium Period: 2/1/2025</t>
  </si>
  <si>
    <t>Notes: Caresource U65 Prem Period: 01/2025 Prem $404.37. MM</t>
  </si>
  <si>
    <t>Notes: Caresource U65 Prem Period: 01/2025 Prem $1139.02. MM</t>
  </si>
  <si>
    <t>Notes: Caresource U65 Prem Period: 01/2025 Prem $1482.81. MM</t>
  </si>
  <si>
    <t>Notes: Caresource U65 Prem Period: 02/2025 Prem $404.37. MM</t>
  </si>
  <si>
    <t>Notes: Caresource U65 Prem Period: 02/2025 Prem $1482.81. MM</t>
  </si>
  <si>
    <t>Notes: Caresource U65 Prem Period: 02/2025 Prem $1139.02. MM</t>
  </si>
  <si>
    <t>Caresource 2025 - GA</t>
  </si>
  <si>
    <t>Caresource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</si>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</sst>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5F3-9EE4-4CF2-BA65-41BBAA7FEE85}">
  <dimension ref="A1:K44"/>
  <sheetViews>
    <sheetView topLeftCell="B1" zoomScale="120" zoomScaleNormal="120" workbookViewId="0">
      <pane ySplit="1" topLeftCell="A23" activePane="bottomLeft" state="frozen"/>
      <selection pane="bottomLeft" activeCell="L39" sqref="L39:M41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2.71093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5.28515625" bestFit="1" customWidth="1"/>
    <col min="10" max="10" width="70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20436896</v>
      </c>
      <c r="C2">
        <v>20436896</v>
      </c>
      <c r="D2" t="s">
        <v>12</v>
      </c>
      <c r="E2" t="s">
        <v>13</v>
      </c>
      <c r="F2">
        <v>111034361</v>
      </c>
      <c r="G2" s="1">
        <v>45658</v>
      </c>
      <c r="H2" s="1">
        <v>45709</v>
      </c>
      <c r="I2" t="s">
        <v>14</v>
      </c>
      <c r="J2" t="s">
        <v>15</v>
      </c>
      <c r="K2" s="2">
        <v>3</v>
      </c>
    </row>
    <row r="3" spans="1:11" x14ac:dyDescent="0.25">
      <c r="A3" t="s">
        <v>11</v>
      </c>
      <c r="B3">
        <v>20436896</v>
      </c>
      <c r="C3">
        <v>20436896</v>
      </c>
      <c r="D3" t="s">
        <v>16</v>
      </c>
      <c r="E3" t="s">
        <v>17</v>
      </c>
      <c r="F3">
        <v>111183328</v>
      </c>
      <c r="G3" s="1">
        <v>45658</v>
      </c>
      <c r="H3" s="1">
        <v>45709</v>
      </c>
      <c r="I3" t="s">
        <v>14</v>
      </c>
      <c r="J3" t="s">
        <v>15</v>
      </c>
      <c r="K3" s="2">
        <v>3</v>
      </c>
    </row>
    <row r="4" spans="1:11" x14ac:dyDescent="0.25">
      <c r="A4" t="s">
        <v>18</v>
      </c>
      <c r="B4">
        <v>8977234</v>
      </c>
      <c r="C4">
        <v>8977234</v>
      </c>
      <c r="D4" t="s">
        <v>19</v>
      </c>
      <c r="E4" t="s">
        <v>20</v>
      </c>
      <c r="F4">
        <v>109376890</v>
      </c>
      <c r="G4" s="1">
        <v>45658</v>
      </c>
      <c r="H4" s="1">
        <v>45709</v>
      </c>
      <c r="I4" t="s">
        <v>14</v>
      </c>
      <c r="J4" t="s">
        <v>15</v>
      </c>
      <c r="K4" s="2">
        <v>3</v>
      </c>
    </row>
    <row r="5" spans="1:11" x14ac:dyDescent="0.25">
      <c r="A5" t="s">
        <v>18</v>
      </c>
      <c r="B5">
        <v>8977234</v>
      </c>
      <c r="C5">
        <v>8977234</v>
      </c>
      <c r="D5" t="s">
        <v>21</v>
      </c>
      <c r="E5" t="s">
        <v>22</v>
      </c>
      <c r="F5">
        <v>110293235</v>
      </c>
      <c r="G5" s="1">
        <v>45658</v>
      </c>
      <c r="H5" s="1">
        <v>45709</v>
      </c>
      <c r="I5" t="s">
        <v>14</v>
      </c>
      <c r="J5" t="s">
        <v>15</v>
      </c>
      <c r="K5" s="2">
        <v>3</v>
      </c>
    </row>
    <row r="6" spans="1:11" x14ac:dyDescent="0.25">
      <c r="A6" t="s">
        <v>18</v>
      </c>
      <c r="B6">
        <v>8977234</v>
      </c>
      <c r="C6">
        <v>8977234</v>
      </c>
      <c r="D6" t="s">
        <v>23</v>
      </c>
      <c r="E6" t="s">
        <v>24</v>
      </c>
      <c r="F6">
        <v>111102853</v>
      </c>
      <c r="G6" s="1">
        <v>45658</v>
      </c>
      <c r="H6" s="1">
        <v>45709</v>
      </c>
      <c r="I6" t="s">
        <v>14</v>
      </c>
      <c r="J6" t="s">
        <v>15</v>
      </c>
      <c r="K6" s="2">
        <v>3</v>
      </c>
    </row>
    <row r="7" spans="1:11" x14ac:dyDescent="0.25">
      <c r="A7" t="s">
        <v>18</v>
      </c>
      <c r="B7">
        <v>8977234</v>
      </c>
      <c r="C7">
        <v>8977234</v>
      </c>
      <c r="D7" t="s">
        <v>25</v>
      </c>
      <c r="E7" t="s">
        <v>26</v>
      </c>
      <c r="F7">
        <v>111593834</v>
      </c>
      <c r="G7" s="1">
        <v>45658</v>
      </c>
      <c r="H7" s="1">
        <v>45709</v>
      </c>
      <c r="I7" t="s">
        <v>14</v>
      </c>
      <c r="J7" t="s">
        <v>15</v>
      </c>
      <c r="K7" s="2">
        <v>3</v>
      </c>
    </row>
    <row r="8" spans="1:11" x14ac:dyDescent="0.25">
      <c r="A8" t="s">
        <v>18</v>
      </c>
      <c r="B8">
        <v>8977234</v>
      </c>
      <c r="C8">
        <v>8977234</v>
      </c>
      <c r="D8" t="s">
        <v>27</v>
      </c>
      <c r="E8" t="s">
        <v>28</v>
      </c>
      <c r="F8">
        <v>112342893</v>
      </c>
      <c r="G8" s="1">
        <v>45658</v>
      </c>
      <c r="H8" s="1">
        <v>45709</v>
      </c>
      <c r="I8" t="s">
        <v>14</v>
      </c>
      <c r="J8" t="s">
        <v>15</v>
      </c>
      <c r="K8" s="2">
        <v>3</v>
      </c>
    </row>
    <row r="9" spans="1:11" x14ac:dyDescent="0.25">
      <c r="A9" t="s">
        <v>29</v>
      </c>
      <c r="B9">
        <v>17528908</v>
      </c>
      <c r="C9">
        <v>17528908</v>
      </c>
      <c r="D9" t="s">
        <v>30</v>
      </c>
      <c r="E9" t="s">
        <v>31</v>
      </c>
      <c r="F9">
        <v>106737758</v>
      </c>
      <c r="G9" s="1">
        <v>45658</v>
      </c>
      <c r="H9" s="1">
        <v>45709</v>
      </c>
      <c r="I9" t="s">
        <v>14</v>
      </c>
      <c r="J9" t="s">
        <v>15</v>
      </c>
      <c r="K9" s="2">
        <v>3</v>
      </c>
    </row>
    <row r="10" spans="1:11" x14ac:dyDescent="0.25">
      <c r="A10" t="s">
        <v>18</v>
      </c>
      <c r="B10">
        <v>8977234</v>
      </c>
      <c r="C10">
        <v>8977234</v>
      </c>
      <c r="D10" t="s">
        <v>32</v>
      </c>
      <c r="E10" t="s">
        <v>33</v>
      </c>
      <c r="F10">
        <v>111110447</v>
      </c>
      <c r="G10" s="1">
        <v>45658</v>
      </c>
      <c r="H10" s="1">
        <v>45709</v>
      </c>
      <c r="I10" t="s">
        <v>14</v>
      </c>
      <c r="J10" t="s">
        <v>34</v>
      </c>
      <c r="K10" s="2">
        <v>6</v>
      </c>
    </row>
    <row r="11" spans="1:11" x14ac:dyDescent="0.25">
      <c r="A11" t="s">
        <v>35</v>
      </c>
      <c r="C11">
        <v>18754354</v>
      </c>
      <c r="D11" t="s">
        <v>36</v>
      </c>
      <c r="E11" t="s">
        <v>37</v>
      </c>
      <c r="F11">
        <v>112413939</v>
      </c>
      <c r="G11" s="1">
        <v>45658</v>
      </c>
      <c r="H11" s="1">
        <v>45709</v>
      </c>
      <c r="I11" t="s">
        <v>14</v>
      </c>
      <c r="J11" t="s">
        <v>34</v>
      </c>
      <c r="K11" s="2">
        <v>6</v>
      </c>
    </row>
    <row r="12" spans="1:11" x14ac:dyDescent="0.25">
      <c r="A12" t="s">
        <v>38</v>
      </c>
      <c r="B12">
        <v>9079571</v>
      </c>
      <c r="C12">
        <v>9079571</v>
      </c>
      <c r="D12" t="s">
        <v>39</v>
      </c>
      <c r="E12" t="s">
        <v>40</v>
      </c>
      <c r="F12">
        <v>110884571</v>
      </c>
      <c r="G12" s="1">
        <v>45658</v>
      </c>
      <c r="H12" s="1">
        <v>45709</v>
      </c>
      <c r="I12" t="s">
        <v>14</v>
      </c>
      <c r="J12" t="s">
        <v>41</v>
      </c>
      <c r="K12" s="2">
        <v>9</v>
      </c>
    </row>
    <row r="13" spans="1:11" x14ac:dyDescent="0.25">
      <c r="A13" t="s">
        <v>18</v>
      </c>
      <c r="B13">
        <v>8977234</v>
      </c>
      <c r="C13">
        <v>8977234</v>
      </c>
      <c r="D13" t="s">
        <v>23</v>
      </c>
      <c r="E13" t="s">
        <v>24</v>
      </c>
      <c r="F13">
        <v>111102853</v>
      </c>
      <c r="G13" s="1">
        <v>45658</v>
      </c>
      <c r="H13" s="1">
        <v>45709</v>
      </c>
      <c r="I13" t="s">
        <v>14</v>
      </c>
      <c r="J13" t="s">
        <v>42</v>
      </c>
      <c r="K13" s="2">
        <v>3</v>
      </c>
    </row>
    <row r="14" spans="1:11" x14ac:dyDescent="0.25">
      <c r="A14" t="s">
        <v>18</v>
      </c>
      <c r="B14">
        <v>8977234</v>
      </c>
      <c r="C14">
        <v>8977234</v>
      </c>
      <c r="D14" t="s">
        <v>43</v>
      </c>
      <c r="E14" t="s">
        <v>44</v>
      </c>
      <c r="F14">
        <v>111849444</v>
      </c>
      <c r="G14" s="1">
        <v>45658</v>
      </c>
      <c r="H14" s="1">
        <v>45709</v>
      </c>
      <c r="I14" t="s">
        <v>14</v>
      </c>
      <c r="J14" t="s">
        <v>42</v>
      </c>
      <c r="K14" s="2">
        <v>3</v>
      </c>
    </row>
    <row r="15" spans="1:11" x14ac:dyDescent="0.25">
      <c r="A15" t="s">
        <v>18</v>
      </c>
      <c r="B15">
        <v>8977234</v>
      </c>
      <c r="C15">
        <v>8977234</v>
      </c>
      <c r="D15" t="s">
        <v>27</v>
      </c>
      <c r="E15" t="s">
        <v>28</v>
      </c>
      <c r="F15">
        <v>112342893</v>
      </c>
      <c r="G15" s="1">
        <v>45658</v>
      </c>
      <c r="H15" s="1">
        <v>45709</v>
      </c>
      <c r="I15" t="s">
        <v>14</v>
      </c>
      <c r="J15" t="s">
        <v>42</v>
      </c>
      <c r="K15" s="2">
        <v>3</v>
      </c>
    </row>
    <row r="16" spans="1:11" x14ac:dyDescent="0.25">
      <c r="A16" t="s">
        <v>18</v>
      </c>
      <c r="B16">
        <v>8977234</v>
      </c>
      <c r="C16">
        <v>8977234</v>
      </c>
      <c r="D16" t="s">
        <v>45</v>
      </c>
      <c r="E16" t="s">
        <v>46</v>
      </c>
      <c r="F16">
        <v>109839671</v>
      </c>
      <c r="G16" s="1">
        <v>45658</v>
      </c>
      <c r="H16" s="1">
        <v>45709</v>
      </c>
      <c r="I16" t="s">
        <v>14</v>
      </c>
      <c r="J16" t="s">
        <v>42</v>
      </c>
      <c r="K16" s="2">
        <v>3</v>
      </c>
    </row>
    <row r="17" spans="1:11" x14ac:dyDescent="0.25">
      <c r="A17" t="s">
        <v>18</v>
      </c>
      <c r="B17">
        <v>8977234</v>
      </c>
      <c r="C17">
        <v>8977234</v>
      </c>
      <c r="D17" t="s">
        <v>47</v>
      </c>
      <c r="E17" t="s">
        <v>48</v>
      </c>
      <c r="F17">
        <v>111876534</v>
      </c>
      <c r="G17" s="1">
        <v>45689</v>
      </c>
      <c r="H17" s="1">
        <v>45709</v>
      </c>
      <c r="I17" t="s">
        <v>14</v>
      </c>
      <c r="J17" t="s">
        <v>42</v>
      </c>
      <c r="K17" s="2">
        <v>3</v>
      </c>
    </row>
    <row r="18" spans="1:11" x14ac:dyDescent="0.25">
      <c r="A18" t="s">
        <v>18</v>
      </c>
      <c r="B18">
        <v>8977234</v>
      </c>
      <c r="C18">
        <v>8977234</v>
      </c>
      <c r="D18" t="s">
        <v>49</v>
      </c>
      <c r="E18" t="s">
        <v>50</v>
      </c>
      <c r="F18">
        <v>111786407</v>
      </c>
      <c r="G18" s="1">
        <v>45658</v>
      </c>
      <c r="H18" s="1">
        <v>45709</v>
      </c>
      <c r="I18" t="s">
        <v>14</v>
      </c>
      <c r="J18" t="s">
        <v>42</v>
      </c>
      <c r="K18" s="2">
        <v>3</v>
      </c>
    </row>
    <row r="19" spans="1:11" x14ac:dyDescent="0.25">
      <c r="A19" t="s">
        <v>18</v>
      </c>
      <c r="B19">
        <v>8977234</v>
      </c>
      <c r="C19">
        <v>8977234</v>
      </c>
      <c r="D19" t="s">
        <v>51</v>
      </c>
      <c r="E19" t="s">
        <v>52</v>
      </c>
      <c r="F19">
        <v>111828564</v>
      </c>
      <c r="G19" s="1">
        <v>45658</v>
      </c>
      <c r="H19" s="1">
        <v>45709</v>
      </c>
      <c r="I19" t="s">
        <v>14</v>
      </c>
      <c r="J19" t="s">
        <v>42</v>
      </c>
      <c r="K19" s="2">
        <v>3</v>
      </c>
    </row>
    <row r="20" spans="1:11" x14ac:dyDescent="0.25">
      <c r="A20" t="s">
        <v>18</v>
      </c>
      <c r="B20">
        <v>8977234</v>
      </c>
      <c r="C20">
        <v>8977234</v>
      </c>
      <c r="D20" t="s">
        <v>25</v>
      </c>
      <c r="E20" t="s">
        <v>26</v>
      </c>
      <c r="F20">
        <v>111593834</v>
      </c>
      <c r="G20" s="1">
        <v>45658</v>
      </c>
      <c r="H20" s="1">
        <v>45709</v>
      </c>
      <c r="I20" t="s">
        <v>14</v>
      </c>
      <c r="J20" t="s">
        <v>42</v>
      </c>
      <c r="K20" s="2">
        <v>3</v>
      </c>
    </row>
    <row r="21" spans="1:11" x14ac:dyDescent="0.25">
      <c r="A21" t="s">
        <v>18</v>
      </c>
      <c r="B21">
        <v>8977234</v>
      </c>
      <c r="C21">
        <v>8977234</v>
      </c>
      <c r="D21" t="s">
        <v>19</v>
      </c>
      <c r="E21" t="s">
        <v>20</v>
      </c>
      <c r="F21">
        <v>109376890</v>
      </c>
      <c r="G21" s="1">
        <v>45658</v>
      </c>
      <c r="H21" s="1">
        <v>45709</v>
      </c>
      <c r="I21" t="s">
        <v>14</v>
      </c>
      <c r="J21" t="s">
        <v>42</v>
      </c>
      <c r="K21" s="2">
        <v>3</v>
      </c>
    </row>
    <row r="22" spans="1:11" x14ac:dyDescent="0.25">
      <c r="A22" t="s">
        <v>18</v>
      </c>
      <c r="B22">
        <v>8977234</v>
      </c>
      <c r="C22">
        <v>8977234</v>
      </c>
      <c r="D22" t="s">
        <v>53</v>
      </c>
      <c r="E22" t="s">
        <v>54</v>
      </c>
      <c r="F22">
        <v>111241629</v>
      </c>
      <c r="G22" s="1">
        <v>45658</v>
      </c>
      <c r="H22" s="1">
        <v>45709</v>
      </c>
      <c r="I22" t="s">
        <v>14</v>
      </c>
      <c r="J22" t="s">
        <v>42</v>
      </c>
      <c r="K22" s="2">
        <v>3</v>
      </c>
    </row>
    <row r="23" spans="1:11" x14ac:dyDescent="0.25">
      <c r="A23" t="s">
        <v>29</v>
      </c>
      <c r="B23">
        <v>17528908</v>
      </c>
      <c r="C23">
        <v>17528908</v>
      </c>
      <c r="D23" t="s">
        <v>55</v>
      </c>
      <c r="E23" t="s">
        <v>56</v>
      </c>
      <c r="F23">
        <v>112399968</v>
      </c>
      <c r="G23" s="1">
        <v>45658</v>
      </c>
      <c r="H23" s="1">
        <v>45709</v>
      </c>
      <c r="I23" t="s">
        <v>14</v>
      </c>
      <c r="J23" t="s">
        <v>42</v>
      </c>
      <c r="K23" s="2">
        <v>3</v>
      </c>
    </row>
    <row r="24" spans="1:11" x14ac:dyDescent="0.25">
      <c r="A24" t="s">
        <v>29</v>
      </c>
      <c r="B24">
        <v>17528908</v>
      </c>
      <c r="C24">
        <v>17528908</v>
      </c>
      <c r="D24" t="s">
        <v>30</v>
      </c>
      <c r="E24" t="s">
        <v>31</v>
      </c>
      <c r="F24">
        <v>106737758</v>
      </c>
      <c r="G24" s="1">
        <v>45658</v>
      </c>
      <c r="H24" s="1">
        <v>45709</v>
      </c>
      <c r="I24" t="s">
        <v>14</v>
      </c>
      <c r="J24" t="s">
        <v>42</v>
      </c>
      <c r="K24" s="2">
        <v>3</v>
      </c>
    </row>
    <row r="25" spans="1:11" x14ac:dyDescent="0.25">
      <c r="A25" t="s">
        <v>29</v>
      </c>
      <c r="B25">
        <v>17528908</v>
      </c>
      <c r="C25">
        <v>17528908</v>
      </c>
      <c r="D25" t="s">
        <v>57</v>
      </c>
      <c r="E25" t="s">
        <v>58</v>
      </c>
      <c r="F25">
        <v>110809733</v>
      </c>
      <c r="G25" s="1">
        <v>45658</v>
      </c>
      <c r="H25" s="1">
        <v>45709</v>
      </c>
      <c r="I25" t="s">
        <v>14</v>
      </c>
      <c r="J25" t="s">
        <v>42</v>
      </c>
      <c r="K25" s="2">
        <v>3</v>
      </c>
    </row>
    <row r="26" spans="1:11" x14ac:dyDescent="0.25">
      <c r="A26" t="s">
        <v>29</v>
      </c>
      <c r="B26">
        <v>17528908</v>
      </c>
      <c r="C26">
        <v>17528908</v>
      </c>
      <c r="D26" t="s">
        <v>59</v>
      </c>
      <c r="E26" t="s">
        <v>60</v>
      </c>
      <c r="F26">
        <v>110700972</v>
      </c>
      <c r="G26" s="1">
        <v>45658</v>
      </c>
      <c r="H26" s="1">
        <v>45709</v>
      </c>
      <c r="I26" t="s">
        <v>14</v>
      </c>
      <c r="J26" t="s">
        <v>42</v>
      </c>
      <c r="K26" s="2">
        <v>3</v>
      </c>
    </row>
    <row r="27" spans="1:11" x14ac:dyDescent="0.25">
      <c r="A27" t="s">
        <v>35</v>
      </c>
      <c r="C27">
        <v>18754354</v>
      </c>
      <c r="D27" t="s">
        <v>61</v>
      </c>
      <c r="E27" t="s">
        <v>62</v>
      </c>
      <c r="F27">
        <v>112381370</v>
      </c>
      <c r="G27" s="1">
        <v>45658</v>
      </c>
      <c r="H27" s="1">
        <v>45709</v>
      </c>
      <c r="I27" t="s">
        <v>14</v>
      </c>
      <c r="J27" t="s">
        <v>42</v>
      </c>
      <c r="K27" s="2">
        <v>3</v>
      </c>
    </row>
    <row r="28" spans="1:11" x14ac:dyDescent="0.25">
      <c r="A28" t="s">
        <v>35</v>
      </c>
      <c r="C28">
        <v>18754354</v>
      </c>
      <c r="D28" t="s">
        <v>63</v>
      </c>
      <c r="E28" t="s">
        <v>64</v>
      </c>
      <c r="F28">
        <v>112381384</v>
      </c>
      <c r="G28" s="1">
        <v>45658</v>
      </c>
      <c r="H28" s="1">
        <v>45709</v>
      </c>
      <c r="I28" t="s">
        <v>14</v>
      </c>
      <c r="J28" t="s">
        <v>42</v>
      </c>
      <c r="K28" s="2">
        <v>3</v>
      </c>
    </row>
    <row r="29" spans="1:11" x14ac:dyDescent="0.25">
      <c r="A29" t="s">
        <v>35</v>
      </c>
      <c r="C29">
        <v>18754354</v>
      </c>
      <c r="D29" t="s">
        <v>65</v>
      </c>
      <c r="E29" t="s">
        <v>66</v>
      </c>
      <c r="F29">
        <v>112419154</v>
      </c>
      <c r="G29" s="1">
        <v>45689</v>
      </c>
      <c r="H29" s="1">
        <v>45709</v>
      </c>
      <c r="I29" t="s">
        <v>14</v>
      </c>
      <c r="J29" t="s">
        <v>42</v>
      </c>
      <c r="K29" s="2">
        <v>3</v>
      </c>
    </row>
    <row r="30" spans="1:11" x14ac:dyDescent="0.25">
      <c r="A30" t="s">
        <v>11</v>
      </c>
      <c r="B30">
        <v>20436896</v>
      </c>
      <c r="C30">
        <v>20436896</v>
      </c>
      <c r="D30" t="s">
        <v>12</v>
      </c>
      <c r="E30" t="s">
        <v>13</v>
      </c>
      <c r="F30">
        <v>111034361</v>
      </c>
      <c r="G30" s="1">
        <v>45658</v>
      </c>
      <c r="H30" s="1">
        <v>45709</v>
      </c>
      <c r="I30" t="s">
        <v>14</v>
      </c>
      <c r="J30" t="s">
        <v>42</v>
      </c>
      <c r="K30" s="2">
        <v>3</v>
      </c>
    </row>
    <row r="31" spans="1:11" x14ac:dyDescent="0.25">
      <c r="A31" t="s">
        <v>11</v>
      </c>
      <c r="B31">
        <v>20436896</v>
      </c>
      <c r="C31">
        <v>20436896</v>
      </c>
      <c r="D31" t="s">
        <v>16</v>
      </c>
      <c r="E31" t="s">
        <v>17</v>
      </c>
      <c r="F31">
        <v>111183328</v>
      </c>
      <c r="G31" s="1">
        <v>45658</v>
      </c>
      <c r="H31" s="1">
        <v>45709</v>
      </c>
      <c r="I31" t="s">
        <v>14</v>
      </c>
      <c r="J31" t="s">
        <v>42</v>
      </c>
      <c r="K31" s="2">
        <v>3</v>
      </c>
    </row>
    <row r="32" spans="1:11" x14ac:dyDescent="0.25">
      <c r="A32" t="s">
        <v>18</v>
      </c>
      <c r="B32">
        <v>8977234</v>
      </c>
      <c r="C32">
        <v>8977234</v>
      </c>
      <c r="D32" t="s">
        <v>67</v>
      </c>
      <c r="E32" t="s">
        <v>68</v>
      </c>
      <c r="F32">
        <v>109263551</v>
      </c>
      <c r="G32" s="1">
        <v>45658</v>
      </c>
      <c r="H32" s="1">
        <v>45709</v>
      </c>
      <c r="I32" t="s">
        <v>14</v>
      </c>
      <c r="J32" t="s">
        <v>69</v>
      </c>
      <c r="K32" s="2">
        <v>6</v>
      </c>
    </row>
    <row r="33" spans="1:11" x14ac:dyDescent="0.25">
      <c r="A33" t="s">
        <v>18</v>
      </c>
      <c r="B33">
        <v>8977234</v>
      </c>
      <c r="C33">
        <v>8977234</v>
      </c>
      <c r="D33" t="s">
        <v>32</v>
      </c>
      <c r="E33" t="s">
        <v>33</v>
      </c>
      <c r="F33">
        <v>111110447</v>
      </c>
      <c r="G33" s="1">
        <v>45658</v>
      </c>
      <c r="H33" s="1">
        <v>45709</v>
      </c>
      <c r="I33" t="s">
        <v>14</v>
      </c>
      <c r="J33" t="s">
        <v>69</v>
      </c>
      <c r="K33" s="2">
        <v>6</v>
      </c>
    </row>
    <row r="34" spans="1:11" x14ac:dyDescent="0.25">
      <c r="A34" t="s">
        <v>18</v>
      </c>
      <c r="B34">
        <v>8977234</v>
      </c>
      <c r="C34">
        <v>8977234</v>
      </c>
      <c r="D34" t="s">
        <v>70</v>
      </c>
      <c r="E34" t="s">
        <v>71</v>
      </c>
      <c r="F34">
        <v>112407726</v>
      </c>
      <c r="G34" s="1">
        <v>45689</v>
      </c>
      <c r="H34" s="1">
        <v>45709</v>
      </c>
      <c r="I34" t="s">
        <v>14</v>
      </c>
      <c r="J34" t="s">
        <v>69</v>
      </c>
      <c r="K34" s="2">
        <v>6</v>
      </c>
    </row>
    <row r="35" spans="1:11" x14ac:dyDescent="0.25">
      <c r="A35" t="s">
        <v>29</v>
      </c>
      <c r="B35">
        <v>17528908</v>
      </c>
      <c r="C35">
        <v>17528908</v>
      </c>
      <c r="D35" t="s">
        <v>72</v>
      </c>
      <c r="E35" t="s">
        <v>73</v>
      </c>
      <c r="F35">
        <v>112319621</v>
      </c>
      <c r="G35" s="1">
        <v>45658</v>
      </c>
      <c r="H35" s="1">
        <v>45709</v>
      </c>
      <c r="I35" t="s">
        <v>14</v>
      </c>
      <c r="J35" t="s">
        <v>69</v>
      </c>
      <c r="K35" s="2">
        <v>6</v>
      </c>
    </row>
    <row r="36" spans="1:11" x14ac:dyDescent="0.25">
      <c r="A36" t="s">
        <v>29</v>
      </c>
      <c r="B36">
        <v>17528908</v>
      </c>
      <c r="C36">
        <v>17528908</v>
      </c>
      <c r="D36" t="s">
        <v>74</v>
      </c>
      <c r="E36" t="s">
        <v>60</v>
      </c>
      <c r="F36">
        <v>110701159</v>
      </c>
      <c r="G36" s="1">
        <v>45658</v>
      </c>
      <c r="H36" s="1">
        <v>45709</v>
      </c>
      <c r="I36" t="s">
        <v>14</v>
      </c>
      <c r="J36" t="s">
        <v>69</v>
      </c>
      <c r="K36" s="2">
        <v>6</v>
      </c>
    </row>
    <row r="37" spans="1:11" x14ac:dyDescent="0.25">
      <c r="A37" t="s">
        <v>35</v>
      </c>
      <c r="C37">
        <v>18754354</v>
      </c>
      <c r="D37" t="s">
        <v>36</v>
      </c>
      <c r="E37" t="s">
        <v>37</v>
      </c>
      <c r="F37">
        <v>112413939</v>
      </c>
      <c r="G37" s="1">
        <v>45658</v>
      </c>
      <c r="H37" s="1">
        <v>45709</v>
      </c>
      <c r="I37" t="s">
        <v>14</v>
      </c>
      <c r="J37" t="s">
        <v>69</v>
      </c>
      <c r="K37" s="2">
        <v>6</v>
      </c>
    </row>
    <row r="38" spans="1:11" x14ac:dyDescent="0.25">
      <c r="A38" t="s">
        <v>38</v>
      </c>
      <c r="B38">
        <v>9079571</v>
      </c>
      <c r="C38">
        <v>9079571</v>
      </c>
      <c r="D38" t="s">
        <v>39</v>
      </c>
      <c r="E38" t="s">
        <v>40</v>
      </c>
      <c r="F38">
        <v>110884571</v>
      </c>
      <c r="G38" s="1">
        <v>45658</v>
      </c>
      <c r="H38" s="1">
        <v>45709</v>
      </c>
      <c r="I38" t="s">
        <v>14</v>
      </c>
      <c r="J38" t="s">
        <v>75</v>
      </c>
      <c r="K38" s="2">
        <v>9</v>
      </c>
    </row>
    <row r="39" spans="1:11" x14ac:dyDescent="0.25">
      <c r="A39" t="s">
        <v>35</v>
      </c>
      <c r="C39">
        <v>18754354</v>
      </c>
      <c r="D39" t="s">
        <v>61</v>
      </c>
      <c r="E39" t="s">
        <v>62</v>
      </c>
      <c r="F39">
        <v>112381370</v>
      </c>
      <c r="G39" s="1">
        <v>45658</v>
      </c>
      <c r="H39" s="1">
        <v>45709</v>
      </c>
      <c r="I39" t="s">
        <v>14</v>
      </c>
      <c r="J39" t="s">
        <v>76</v>
      </c>
      <c r="K39" s="2">
        <v>20.170000000000002</v>
      </c>
    </row>
    <row r="40" spans="1:11" x14ac:dyDescent="0.25">
      <c r="A40" t="s">
        <v>35</v>
      </c>
      <c r="C40">
        <v>18754354</v>
      </c>
      <c r="D40" t="s">
        <v>63</v>
      </c>
      <c r="E40" t="s">
        <v>64</v>
      </c>
      <c r="F40">
        <v>112381384</v>
      </c>
      <c r="G40" s="1">
        <v>45658</v>
      </c>
      <c r="H40" s="1">
        <v>45709</v>
      </c>
      <c r="I40" t="s">
        <v>14</v>
      </c>
      <c r="J40" t="s">
        <v>77</v>
      </c>
      <c r="K40" s="2">
        <v>49.56</v>
      </c>
    </row>
    <row r="41" spans="1:11" x14ac:dyDescent="0.25">
      <c r="A41" t="s">
        <v>35</v>
      </c>
      <c r="C41">
        <v>18754354</v>
      </c>
      <c r="D41" t="s">
        <v>36</v>
      </c>
      <c r="E41" t="s">
        <v>37</v>
      </c>
      <c r="F41">
        <v>112413939</v>
      </c>
      <c r="G41" s="1">
        <v>45658</v>
      </c>
      <c r="H41" s="1">
        <v>45709</v>
      </c>
      <c r="I41" t="s">
        <v>14</v>
      </c>
      <c r="J41" t="s">
        <v>78</v>
      </c>
      <c r="K41" s="2">
        <v>69.31</v>
      </c>
    </row>
    <row r="42" spans="1:11" x14ac:dyDescent="0.25">
      <c r="A42" t="s">
        <v>35</v>
      </c>
      <c r="C42">
        <v>18754354</v>
      </c>
      <c r="D42" t="s">
        <v>61</v>
      </c>
      <c r="E42" t="s">
        <v>62</v>
      </c>
      <c r="F42">
        <v>112381370</v>
      </c>
      <c r="G42" s="1">
        <v>45658</v>
      </c>
      <c r="H42" s="1">
        <v>45709</v>
      </c>
      <c r="I42" t="s">
        <v>14</v>
      </c>
      <c r="J42" t="s">
        <v>79</v>
      </c>
      <c r="K42" s="2">
        <v>16.170000000000002</v>
      </c>
    </row>
    <row r="43" spans="1:11" x14ac:dyDescent="0.25">
      <c r="A43" t="s">
        <v>35</v>
      </c>
      <c r="C43">
        <v>18754354</v>
      </c>
      <c r="D43" t="s">
        <v>36</v>
      </c>
      <c r="E43" t="s">
        <v>37</v>
      </c>
      <c r="F43">
        <v>112413939</v>
      </c>
      <c r="G43" s="1">
        <v>45658</v>
      </c>
      <c r="H43" s="1">
        <v>45709</v>
      </c>
      <c r="I43" t="s">
        <v>14</v>
      </c>
      <c r="J43" t="s">
        <v>80</v>
      </c>
      <c r="K43" s="2">
        <v>59.31</v>
      </c>
    </row>
    <row r="44" spans="1:11" x14ac:dyDescent="0.25">
      <c r="A44" t="s">
        <v>35</v>
      </c>
      <c r="C44">
        <v>18754354</v>
      </c>
      <c r="D44" t="s">
        <v>63</v>
      </c>
      <c r="E44" t="s">
        <v>64</v>
      </c>
      <c r="F44">
        <v>112381384</v>
      </c>
      <c r="G44" s="1">
        <v>45658</v>
      </c>
      <c r="H44" s="1">
        <v>45709</v>
      </c>
      <c r="I44" t="s">
        <v>14</v>
      </c>
      <c r="J44" t="s">
        <v>81</v>
      </c>
      <c r="K44" s="2">
        <v>45.56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65D2-023B-414B-9CBF-2164F53237EC}">
  <dimension ref="A1:O47"/>
  <sheetViews>
    <sheetView tabSelected="1" topLeftCell="A16" workbookViewId="0">
      <selection activeCell="N39" sqref="N39:N47"/>
    </sheetView>
  </sheetViews>
  <sheetFormatPr defaultRowHeight="15" x14ac:dyDescent="0.25"/>
  <cols>
    <col min="1" max="1" width="19.85546875" style="3" bestFit="1" customWidth="1"/>
    <col min="2" max="2" width="15.42578125" style="3" bestFit="1" customWidth="1"/>
    <col min="3" max="3" width="10.7109375" style="3" bestFit="1" customWidth="1"/>
    <col min="4" max="4" width="13.28515625" style="3" bestFit="1" customWidth="1"/>
    <col min="5" max="5" width="12.7109375" style="3" bestFit="1" customWidth="1"/>
    <col min="6" max="6" width="13.7109375" style="3" bestFit="1" customWidth="1"/>
    <col min="7" max="7" width="10.85546875" style="3" bestFit="1" customWidth="1"/>
    <col min="8" max="8" width="10.85546875" style="3" customWidth="1"/>
    <col min="9" max="9" width="11.85546875" style="3" bestFit="1" customWidth="1"/>
    <col min="10" max="10" width="14.7109375" style="3" bestFit="1" customWidth="1"/>
    <col min="11" max="11" width="15.28515625" style="3" bestFit="1" customWidth="1"/>
    <col min="12" max="12" width="70.42578125" style="3" bestFit="1" customWidth="1"/>
    <col min="13" max="13" width="15.7109375" style="3" bestFit="1" customWidth="1"/>
    <col min="14" max="16384" width="9.140625" style="3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25">
      <c r="A2" s="3" t="s">
        <v>11</v>
      </c>
      <c r="B2" s="3">
        <v>20436896</v>
      </c>
      <c r="C2" s="3">
        <v>20436896</v>
      </c>
      <c r="D2" s="3" t="s">
        <v>12</v>
      </c>
      <c r="E2" s="3" t="s">
        <v>13</v>
      </c>
      <c r="G2" s="3">
        <v>111034361</v>
      </c>
      <c r="I2" s="4">
        <v>45658</v>
      </c>
      <c r="J2" s="4">
        <v>45709</v>
      </c>
      <c r="K2" s="3" t="s">
        <v>14</v>
      </c>
      <c r="L2" s="3" t="s">
        <v>15</v>
      </c>
      <c r="M2" s="5">
        <v>3</v>
      </c>
    </row>
    <row r="3" spans="1:13" x14ac:dyDescent="0.25">
      <c r="A3" s="3" t="s">
        <v>11</v>
      </c>
      <c r="B3" s="3">
        <v>20436896</v>
      </c>
      <c r="C3" s="3">
        <v>20436896</v>
      </c>
      <c r="D3" s="3" t="s">
        <v>16</v>
      </c>
      <c r="E3" s="3" t="s">
        <v>17</v>
      </c>
      <c r="G3" s="3">
        <v>111183328</v>
      </c>
      <c r="I3" s="4">
        <v>45658</v>
      </c>
      <c r="J3" s="4">
        <v>45709</v>
      </c>
      <c r="K3" s="3" t="s">
        <v>14</v>
      </c>
      <c r="L3" s="3" t="s">
        <v>15</v>
      </c>
      <c r="M3" s="5">
        <v>3</v>
      </c>
    </row>
    <row r="4" spans="1:13" x14ac:dyDescent="0.25">
      <c r="A4" s="3" t="s">
        <v>18</v>
      </c>
      <c r="B4" s="3">
        <v>8977234</v>
      </c>
      <c r="C4" s="3">
        <v>8977234</v>
      </c>
      <c r="D4" s="3" t="s">
        <v>19</v>
      </c>
      <c r="E4" s="3" t="s">
        <v>20</v>
      </c>
      <c r="G4" s="3">
        <v>109376890</v>
      </c>
      <c r="I4" s="4">
        <v>45658</v>
      </c>
      <c r="J4" s="4">
        <v>45709</v>
      </c>
      <c r="K4" s="3" t="s">
        <v>14</v>
      </c>
      <c r="L4" s="3" t="s">
        <v>15</v>
      </c>
      <c r="M4" s="5">
        <v>3</v>
      </c>
    </row>
    <row r="5" spans="1:13" x14ac:dyDescent="0.25">
      <c r="A5" s="3" t="s">
        <v>18</v>
      </c>
      <c r="B5" s="3">
        <v>8977234</v>
      </c>
      <c r="C5" s="3">
        <v>8977234</v>
      </c>
      <c r="D5" s="3" t="s">
        <v>21</v>
      </c>
      <c r="E5" s="3" t="s">
        <v>22</v>
      </c>
      <c r="G5" s="3">
        <v>110293235</v>
      </c>
      <c r="I5" s="4">
        <v>45658</v>
      </c>
      <c r="J5" s="4">
        <v>45709</v>
      </c>
      <c r="K5" s="3" t="s">
        <v>14</v>
      </c>
      <c r="L5" s="3" t="s">
        <v>15</v>
      </c>
      <c r="M5" s="5">
        <v>3</v>
      </c>
    </row>
    <row r="6" spans="1:13" x14ac:dyDescent="0.25">
      <c r="A6" s="3" t="s">
        <v>18</v>
      </c>
      <c r="B6" s="3">
        <v>8977234</v>
      </c>
      <c r="C6" s="3">
        <v>8977234</v>
      </c>
      <c r="D6" s="3" t="s">
        <v>23</v>
      </c>
      <c r="E6" s="3" t="s">
        <v>24</v>
      </c>
      <c r="G6" s="3">
        <v>111102853</v>
      </c>
      <c r="I6" s="4">
        <v>45658</v>
      </c>
      <c r="J6" s="4">
        <v>45709</v>
      </c>
      <c r="K6" s="3" t="s">
        <v>14</v>
      </c>
      <c r="L6" s="3" t="s">
        <v>15</v>
      </c>
      <c r="M6" s="5">
        <v>3</v>
      </c>
    </row>
    <row r="7" spans="1:13" x14ac:dyDescent="0.25">
      <c r="A7" s="3" t="s">
        <v>18</v>
      </c>
      <c r="B7" s="3">
        <v>8977234</v>
      </c>
      <c r="C7" s="3">
        <v>8977234</v>
      </c>
      <c r="D7" s="3" t="s">
        <v>25</v>
      </c>
      <c r="E7" s="3" t="s">
        <v>26</v>
      </c>
      <c r="G7" s="3">
        <v>111593834</v>
      </c>
      <c r="I7" s="4">
        <v>45658</v>
      </c>
      <c r="J7" s="4">
        <v>45709</v>
      </c>
      <c r="K7" s="3" t="s">
        <v>14</v>
      </c>
      <c r="L7" s="3" t="s">
        <v>15</v>
      </c>
      <c r="M7" s="5">
        <v>3</v>
      </c>
    </row>
    <row r="8" spans="1:13" x14ac:dyDescent="0.25">
      <c r="A8" s="3" t="s">
        <v>18</v>
      </c>
      <c r="B8" s="3">
        <v>8977234</v>
      </c>
      <c r="C8" s="3">
        <v>8977234</v>
      </c>
      <c r="D8" s="3" t="s">
        <v>27</v>
      </c>
      <c r="E8" s="3" t="s">
        <v>28</v>
      </c>
      <c r="G8" s="3">
        <v>112342893</v>
      </c>
      <c r="I8" s="4">
        <v>45658</v>
      </c>
      <c r="J8" s="4">
        <v>45709</v>
      </c>
      <c r="K8" s="3" t="s">
        <v>14</v>
      </c>
      <c r="L8" s="3" t="s">
        <v>15</v>
      </c>
      <c r="M8" s="5">
        <v>3</v>
      </c>
    </row>
    <row r="9" spans="1:13" x14ac:dyDescent="0.25">
      <c r="A9" s="3" t="s">
        <v>29</v>
      </c>
      <c r="B9" s="3">
        <v>17528908</v>
      </c>
      <c r="C9" s="3">
        <v>17528908</v>
      </c>
      <c r="D9" s="3" t="s">
        <v>30</v>
      </c>
      <c r="E9" s="3" t="s">
        <v>31</v>
      </c>
      <c r="G9" s="3">
        <v>106737758</v>
      </c>
      <c r="I9" s="4">
        <v>45658</v>
      </c>
      <c r="J9" s="4">
        <v>45709</v>
      </c>
      <c r="K9" s="3" t="s">
        <v>14</v>
      </c>
      <c r="L9" s="3" t="s">
        <v>15</v>
      </c>
      <c r="M9" s="5">
        <v>3</v>
      </c>
    </row>
    <row r="10" spans="1:13" x14ac:dyDescent="0.25">
      <c r="A10" s="3" t="s">
        <v>18</v>
      </c>
      <c r="B10" s="3">
        <v>8977234</v>
      </c>
      <c r="C10" s="3">
        <v>8977234</v>
      </c>
      <c r="D10" s="3" t="s">
        <v>32</v>
      </c>
      <c r="E10" s="3" t="s">
        <v>33</v>
      </c>
      <c r="G10" s="3">
        <v>111110447</v>
      </c>
      <c r="I10" s="4">
        <v>45658</v>
      </c>
      <c r="J10" s="4">
        <v>45709</v>
      </c>
      <c r="K10" s="3" t="s">
        <v>14</v>
      </c>
      <c r="L10" s="3" t="s">
        <v>34</v>
      </c>
      <c r="M10" s="5">
        <v>6</v>
      </c>
    </row>
    <row r="11" spans="1:13" x14ac:dyDescent="0.25">
      <c r="A11" s="3" t="s">
        <v>35</v>
      </c>
      <c r="C11" s="3">
        <v>18754354</v>
      </c>
      <c r="D11" s="3" t="s">
        <v>36</v>
      </c>
      <c r="E11" s="3" t="s">
        <v>37</v>
      </c>
      <c r="G11" s="3">
        <v>112413939</v>
      </c>
      <c r="I11" s="4">
        <v>45658</v>
      </c>
      <c r="J11" s="4">
        <v>45709</v>
      </c>
      <c r="K11" s="3" t="s">
        <v>14</v>
      </c>
      <c r="L11" s="3" t="s">
        <v>34</v>
      </c>
      <c r="M11" s="5">
        <v>6</v>
      </c>
    </row>
    <row r="12" spans="1:13" x14ac:dyDescent="0.25">
      <c r="A12" s="3" t="s">
        <v>38</v>
      </c>
      <c r="B12" s="3">
        <v>9079571</v>
      </c>
      <c r="C12" s="3">
        <v>9079571</v>
      </c>
      <c r="D12" s="3" t="s">
        <v>39</v>
      </c>
      <c r="E12" s="3" t="s">
        <v>40</v>
      </c>
      <c r="G12" s="3">
        <v>110884571</v>
      </c>
      <c r="I12" s="4">
        <v>45658</v>
      </c>
      <c r="J12" s="4">
        <v>45709</v>
      </c>
      <c r="K12" s="3" t="s">
        <v>14</v>
      </c>
      <c r="L12" s="3" t="s">
        <v>41</v>
      </c>
      <c r="M12" s="5">
        <v>9</v>
      </c>
    </row>
    <row r="13" spans="1:13" x14ac:dyDescent="0.25">
      <c r="A13" s="3" t="s">
        <v>18</v>
      </c>
      <c r="B13" s="3">
        <v>8977234</v>
      </c>
      <c r="C13" s="3">
        <v>8977234</v>
      </c>
      <c r="D13" s="3" t="s">
        <v>23</v>
      </c>
      <c r="E13" s="3" t="s">
        <v>24</v>
      </c>
      <c r="G13" s="3">
        <v>111102853</v>
      </c>
      <c r="I13" s="4">
        <v>45658</v>
      </c>
      <c r="J13" s="4">
        <v>45709</v>
      </c>
      <c r="K13" s="3" t="s">
        <v>14</v>
      </c>
      <c r="L13" s="3" t="s">
        <v>42</v>
      </c>
      <c r="M13" s="5">
        <v>3</v>
      </c>
    </row>
    <row r="14" spans="1:13" x14ac:dyDescent="0.25">
      <c r="A14" s="3" t="s">
        <v>18</v>
      </c>
      <c r="B14" s="3">
        <v>8977234</v>
      </c>
      <c r="C14" s="3">
        <v>8977234</v>
      </c>
      <c r="D14" s="3" t="s">
        <v>43</v>
      </c>
      <c r="E14" s="3" t="s">
        <v>44</v>
      </c>
      <c r="G14" s="3">
        <v>111849444</v>
      </c>
      <c r="I14" s="4">
        <v>45658</v>
      </c>
      <c r="J14" s="4">
        <v>45709</v>
      </c>
      <c r="K14" s="3" t="s">
        <v>14</v>
      </c>
      <c r="L14" s="3" t="s">
        <v>42</v>
      </c>
      <c r="M14" s="5">
        <v>3</v>
      </c>
    </row>
    <row r="15" spans="1:13" x14ac:dyDescent="0.25">
      <c r="A15" s="3" t="s">
        <v>18</v>
      </c>
      <c r="B15" s="3">
        <v>8977234</v>
      </c>
      <c r="C15" s="3">
        <v>8977234</v>
      </c>
      <c r="D15" s="3" t="s">
        <v>27</v>
      </c>
      <c r="E15" s="3" t="s">
        <v>28</v>
      </c>
      <c r="G15" s="3">
        <v>112342893</v>
      </c>
      <c r="I15" s="4">
        <v>45658</v>
      </c>
      <c r="J15" s="4">
        <v>45709</v>
      </c>
      <c r="K15" s="3" t="s">
        <v>14</v>
      </c>
      <c r="L15" s="3" t="s">
        <v>42</v>
      </c>
      <c r="M15" s="5">
        <v>3</v>
      </c>
    </row>
    <row r="16" spans="1:13" x14ac:dyDescent="0.25">
      <c r="A16" s="3" t="s">
        <v>18</v>
      </c>
      <c r="B16" s="3">
        <v>8977234</v>
      </c>
      <c r="C16" s="3">
        <v>8977234</v>
      </c>
      <c r="D16" s="3" t="s">
        <v>45</v>
      </c>
      <c r="E16" s="3" t="s">
        <v>46</v>
      </c>
      <c r="G16" s="3">
        <v>109839671</v>
      </c>
      <c r="I16" s="4">
        <v>45658</v>
      </c>
      <c r="J16" s="4">
        <v>45709</v>
      </c>
      <c r="K16" s="3" t="s">
        <v>14</v>
      </c>
      <c r="L16" s="3" t="s">
        <v>42</v>
      </c>
      <c r="M16" s="5">
        <v>3</v>
      </c>
    </row>
    <row r="17" spans="1:13" x14ac:dyDescent="0.25">
      <c r="A17" s="3" t="s">
        <v>18</v>
      </c>
      <c r="B17" s="3">
        <v>8977234</v>
      </c>
      <c r="C17" s="3">
        <v>8977234</v>
      </c>
      <c r="D17" s="3" t="s">
        <v>47</v>
      </c>
      <c r="E17" s="3" t="s">
        <v>48</v>
      </c>
      <c r="G17" s="3">
        <v>111876534</v>
      </c>
      <c r="I17" s="4">
        <v>45689</v>
      </c>
      <c r="J17" s="4">
        <v>45709</v>
      </c>
      <c r="K17" s="3" t="s">
        <v>14</v>
      </c>
      <c r="L17" s="3" t="s">
        <v>42</v>
      </c>
      <c r="M17" s="5">
        <v>3</v>
      </c>
    </row>
    <row r="18" spans="1:13" x14ac:dyDescent="0.25">
      <c r="A18" s="3" t="s">
        <v>18</v>
      </c>
      <c r="B18" s="3">
        <v>8977234</v>
      </c>
      <c r="C18" s="3">
        <v>8977234</v>
      </c>
      <c r="D18" s="3" t="s">
        <v>49</v>
      </c>
      <c r="E18" s="3" t="s">
        <v>50</v>
      </c>
      <c r="G18" s="3">
        <v>111786407</v>
      </c>
      <c r="I18" s="4">
        <v>45658</v>
      </c>
      <c r="J18" s="4">
        <v>45709</v>
      </c>
      <c r="K18" s="3" t="s">
        <v>14</v>
      </c>
      <c r="L18" s="3" t="s">
        <v>42</v>
      </c>
      <c r="M18" s="5">
        <v>3</v>
      </c>
    </row>
    <row r="19" spans="1:13" x14ac:dyDescent="0.25">
      <c r="A19" s="3" t="s">
        <v>18</v>
      </c>
      <c r="B19" s="3">
        <v>8977234</v>
      </c>
      <c r="C19" s="3">
        <v>8977234</v>
      </c>
      <c r="D19" s="3" t="s">
        <v>51</v>
      </c>
      <c r="E19" s="3" t="s">
        <v>52</v>
      </c>
      <c r="G19" s="3">
        <v>111828564</v>
      </c>
      <c r="I19" s="4">
        <v>45658</v>
      </c>
      <c r="J19" s="4">
        <v>45709</v>
      </c>
      <c r="K19" s="3" t="s">
        <v>14</v>
      </c>
      <c r="L19" s="3" t="s">
        <v>42</v>
      </c>
      <c r="M19" s="5">
        <v>3</v>
      </c>
    </row>
    <row r="20" spans="1:13" x14ac:dyDescent="0.25">
      <c r="A20" s="3" t="s">
        <v>18</v>
      </c>
      <c r="B20" s="3">
        <v>8977234</v>
      </c>
      <c r="C20" s="3">
        <v>8977234</v>
      </c>
      <c r="D20" s="3" t="s">
        <v>25</v>
      </c>
      <c r="E20" s="3" t="s">
        <v>26</v>
      </c>
      <c r="G20" s="3">
        <v>111593834</v>
      </c>
      <c r="I20" s="4">
        <v>45658</v>
      </c>
      <c r="J20" s="4">
        <v>45709</v>
      </c>
      <c r="K20" s="3" t="s">
        <v>14</v>
      </c>
      <c r="L20" s="3" t="s">
        <v>42</v>
      </c>
      <c r="M20" s="5">
        <v>3</v>
      </c>
    </row>
    <row r="21" spans="1:13" x14ac:dyDescent="0.25">
      <c r="A21" s="3" t="s">
        <v>18</v>
      </c>
      <c r="B21" s="3">
        <v>8977234</v>
      </c>
      <c r="C21" s="3">
        <v>8977234</v>
      </c>
      <c r="D21" s="3" t="s">
        <v>19</v>
      </c>
      <c r="E21" s="3" t="s">
        <v>20</v>
      </c>
      <c r="G21" s="3">
        <v>109376890</v>
      </c>
      <c r="I21" s="4">
        <v>45658</v>
      </c>
      <c r="J21" s="4">
        <v>45709</v>
      </c>
      <c r="K21" s="3" t="s">
        <v>14</v>
      </c>
      <c r="L21" s="3" t="s">
        <v>42</v>
      </c>
      <c r="M21" s="5">
        <v>3</v>
      </c>
    </row>
    <row r="22" spans="1:13" x14ac:dyDescent="0.25">
      <c r="A22" s="3" t="s">
        <v>18</v>
      </c>
      <c r="B22" s="3">
        <v>8977234</v>
      </c>
      <c r="C22" s="3">
        <v>8977234</v>
      </c>
      <c r="D22" s="3" t="s">
        <v>53</v>
      </c>
      <c r="E22" s="3" t="s">
        <v>54</v>
      </c>
      <c r="G22" s="3">
        <v>111241629</v>
      </c>
      <c r="I22" s="4">
        <v>45658</v>
      </c>
      <c r="J22" s="4">
        <v>45709</v>
      </c>
      <c r="K22" s="3" t="s">
        <v>14</v>
      </c>
      <c r="L22" s="3" t="s">
        <v>42</v>
      </c>
      <c r="M22" s="5">
        <v>3</v>
      </c>
    </row>
    <row r="23" spans="1:13" x14ac:dyDescent="0.25">
      <c r="A23" s="3" t="s">
        <v>29</v>
      </c>
      <c r="B23" s="3">
        <v>17528908</v>
      </c>
      <c r="C23" s="3">
        <v>17528908</v>
      </c>
      <c r="D23" s="3" t="s">
        <v>55</v>
      </c>
      <c r="E23" s="3" t="s">
        <v>56</v>
      </c>
      <c r="G23" s="3">
        <v>112399968</v>
      </c>
      <c r="I23" s="4">
        <v>45658</v>
      </c>
      <c r="J23" s="4">
        <v>45709</v>
      </c>
      <c r="K23" s="3" t="s">
        <v>14</v>
      </c>
      <c r="L23" s="3" t="s">
        <v>42</v>
      </c>
      <c r="M23" s="5">
        <v>3</v>
      </c>
    </row>
    <row r="24" spans="1:13" x14ac:dyDescent="0.25">
      <c r="A24" s="3" t="s">
        <v>29</v>
      </c>
      <c r="B24" s="3">
        <v>17528908</v>
      </c>
      <c r="C24" s="3">
        <v>17528908</v>
      </c>
      <c r="D24" s="3" t="s">
        <v>30</v>
      </c>
      <c r="E24" s="3" t="s">
        <v>31</v>
      </c>
      <c r="G24" s="3">
        <v>106737758</v>
      </c>
      <c r="I24" s="4">
        <v>45658</v>
      </c>
      <c r="J24" s="4">
        <v>45709</v>
      </c>
      <c r="K24" s="3" t="s">
        <v>14</v>
      </c>
      <c r="L24" s="3" t="s">
        <v>42</v>
      </c>
      <c r="M24" s="5">
        <v>3</v>
      </c>
    </row>
    <row r="25" spans="1:13" x14ac:dyDescent="0.25">
      <c r="A25" s="3" t="s">
        <v>29</v>
      </c>
      <c r="B25" s="3">
        <v>17528908</v>
      </c>
      <c r="C25" s="3">
        <v>17528908</v>
      </c>
      <c r="D25" s="3" t="s">
        <v>57</v>
      </c>
      <c r="E25" s="3" t="s">
        <v>58</v>
      </c>
      <c r="G25" s="3">
        <v>110809733</v>
      </c>
      <c r="I25" s="4">
        <v>45658</v>
      </c>
      <c r="J25" s="4">
        <v>45709</v>
      </c>
      <c r="K25" s="3" t="s">
        <v>14</v>
      </c>
      <c r="L25" s="3" t="s">
        <v>42</v>
      </c>
      <c r="M25" s="5">
        <v>3</v>
      </c>
    </row>
    <row r="26" spans="1:13" x14ac:dyDescent="0.25">
      <c r="A26" s="3" t="s">
        <v>29</v>
      </c>
      <c r="B26" s="3">
        <v>17528908</v>
      </c>
      <c r="C26" s="3">
        <v>17528908</v>
      </c>
      <c r="D26" s="3" t="s">
        <v>59</v>
      </c>
      <c r="E26" s="3" t="s">
        <v>60</v>
      </c>
      <c r="G26" s="3">
        <v>110700972</v>
      </c>
      <c r="I26" s="4">
        <v>45658</v>
      </c>
      <c r="J26" s="4">
        <v>45709</v>
      </c>
      <c r="K26" s="3" t="s">
        <v>14</v>
      </c>
      <c r="L26" s="3" t="s">
        <v>42</v>
      </c>
      <c r="M26" s="5">
        <v>3</v>
      </c>
    </row>
    <row r="27" spans="1:13" x14ac:dyDescent="0.25">
      <c r="A27" s="3" t="s">
        <v>35</v>
      </c>
      <c r="C27" s="3">
        <v>18754354</v>
      </c>
      <c r="D27" s="3" t="s">
        <v>61</v>
      </c>
      <c r="E27" s="3" t="s">
        <v>62</v>
      </c>
      <c r="G27" s="3">
        <v>112381370</v>
      </c>
      <c r="I27" s="4">
        <v>45658</v>
      </c>
      <c r="J27" s="4">
        <v>45709</v>
      </c>
      <c r="K27" s="3" t="s">
        <v>14</v>
      </c>
      <c r="L27" s="3" t="s">
        <v>42</v>
      </c>
      <c r="M27" s="5">
        <v>3</v>
      </c>
    </row>
    <row r="28" spans="1:13" x14ac:dyDescent="0.25">
      <c r="A28" s="3" t="s">
        <v>35</v>
      </c>
      <c r="C28" s="3">
        <v>18754354</v>
      </c>
      <c r="D28" s="3" t="s">
        <v>63</v>
      </c>
      <c r="E28" s="3" t="s">
        <v>64</v>
      </c>
      <c r="G28" s="3">
        <v>112381384</v>
      </c>
      <c r="I28" s="4">
        <v>45658</v>
      </c>
      <c r="J28" s="4">
        <v>45709</v>
      </c>
      <c r="K28" s="3" t="s">
        <v>14</v>
      </c>
      <c r="L28" s="3" t="s">
        <v>42</v>
      </c>
      <c r="M28" s="5">
        <v>3</v>
      </c>
    </row>
    <row r="29" spans="1:13" x14ac:dyDescent="0.25">
      <c r="A29" s="3" t="s">
        <v>35</v>
      </c>
      <c r="C29" s="3">
        <v>18754354</v>
      </c>
      <c r="D29" s="3" t="s">
        <v>65</v>
      </c>
      <c r="E29" s="3" t="s">
        <v>66</v>
      </c>
      <c r="G29" s="3">
        <v>112419154</v>
      </c>
      <c r="I29" s="4">
        <v>45689</v>
      </c>
      <c r="J29" s="4">
        <v>45709</v>
      </c>
      <c r="K29" s="3" t="s">
        <v>14</v>
      </c>
      <c r="L29" s="3" t="s">
        <v>42</v>
      </c>
      <c r="M29" s="5">
        <v>3</v>
      </c>
    </row>
    <row r="30" spans="1:13" x14ac:dyDescent="0.25">
      <c r="A30" s="3" t="s">
        <v>11</v>
      </c>
      <c r="B30" s="3">
        <v>20436896</v>
      </c>
      <c r="C30" s="3">
        <v>20436896</v>
      </c>
      <c r="D30" s="3" t="s">
        <v>12</v>
      </c>
      <c r="E30" s="3" t="s">
        <v>13</v>
      </c>
      <c r="G30" s="3">
        <v>111034361</v>
      </c>
      <c r="I30" s="4">
        <v>45658</v>
      </c>
      <c r="J30" s="4">
        <v>45709</v>
      </c>
      <c r="K30" s="3" t="s">
        <v>14</v>
      </c>
      <c r="L30" s="3" t="s">
        <v>42</v>
      </c>
      <c r="M30" s="5">
        <v>3</v>
      </c>
    </row>
    <row r="31" spans="1:13" x14ac:dyDescent="0.25">
      <c r="A31" s="3" t="s">
        <v>11</v>
      </c>
      <c r="B31" s="3">
        <v>20436896</v>
      </c>
      <c r="C31" s="3">
        <v>20436896</v>
      </c>
      <c r="D31" s="3" t="s">
        <v>16</v>
      </c>
      <c r="E31" s="3" t="s">
        <v>17</v>
      </c>
      <c r="G31" s="3">
        <v>111183328</v>
      </c>
      <c r="I31" s="4">
        <v>45658</v>
      </c>
      <c r="J31" s="4">
        <v>45709</v>
      </c>
      <c r="K31" s="3" t="s">
        <v>14</v>
      </c>
      <c r="L31" s="3" t="s">
        <v>42</v>
      </c>
      <c r="M31" s="5">
        <v>3</v>
      </c>
    </row>
    <row r="32" spans="1:13" x14ac:dyDescent="0.25">
      <c r="A32" s="3" t="s">
        <v>18</v>
      </c>
      <c r="B32" s="3">
        <v>8977234</v>
      </c>
      <c r="C32" s="3">
        <v>8977234</v>
      </c>
      <c r="D32" s="3" t="s">
        <v>67</v>
      </c>
      <c r="E32" s="3" t="s">
        <v>68</v>
      </c>
      <c r="G32" s="3">
        <v>109263551</v>
      </c>
      <c r="I32" s="4">
        <v>45658</v>
      </c>
      <c r="J32" s="4">
        <v>45709</v>
      </c>
      <c r="K32" s="3" t="s">
        <v>14</v>
      </c>
      <c r="L32" s="3" t="s">
        <v>69</v>
      </c>
      <c r="M32" s="5">
        <v>6</v>
      </c>
    </row>
    <row r="33" spans="1:15" x14ac:dyDescent="0.25">
      <c r="A33" s="3" t="s">
        <v>18</v>
      </c>
      <c r="B33" s="3">
        <v>8977234</v>
      </c>
      <c r="C33" s="3">
        <v>8977234</v>
      </c>
      <c r="D33" s="3" t="s">
        <v>32</v>
      </c>
      <c r="E33" s="3" t="s">
        <v>33</v>
      </c>
      <c r="G33" s="3">
        <v>111110447</v>
      </c>
      <c r="I33" s="4">
        <v>45658</v>
      </c>
      <c r="J33" s="4">
        <v>45709</v>
      </c>
      <c r="K33" s="3" t="s">
        <v>14</v>
      </c>
      <c r="L33" s="3" t="s">
        <v>69</v>
      </c>
      <c r="M33" s="5">
        <v>6</v>
      </c>
    </row>
    <row r="34" spans="1:15" x14ac:dyDescent="0.25">
      <c r="A34" s="3" t="s">
        <v>18</v>
      </c>
      <c r="B34" s="3">
        <v>8977234</v>
      </c>
      <c r="C34" s="3">
        <v>8977234</v>
      </c>
      <c r="D34" s="3" t="s">
        <v>70</v>
      </c>
      <c r="E34" s="3" t="s">
        <v>71</v>
      </c>
      <c r="G34" s="3">
        <v>112407726</v>
      </c>
      <c r="I34" s="4">
        <v>45689</v>
      </c>
      <c r="J34" s="4">
        <v>45709</v>
      </c>
      <c r="K34" s="3" t="s">
        <v>14</v>
      </c>
      <c r="L34" s="3" t="s">
        <v>69</v>
      </c>
      <c r="M34" s="5">
        <v>6</v>
      </c>
    </row>
    <row r="35" spans="1:15" x14ac:dyDescent="0.25">
      <c r="A35" s="3" t="s">
        <v>29</v>
      </c>
      <c r="B35" s="3">
        <v>17528908</v>
      </c>
      <c r="C35" s="3">
        <v>17528908</v>
      </c>
      <c r="D35" s="3" t="s">
        <v>72</v>
      </c>
      <c r="E35" s="3" t="s">
        <v>73</v>
      </c>
      <c r="G35" s="3">
        <v>112319621</v>
      </c>
      <c r="I35" s="4">
        <v>45658</v>
      </c>
      <c r="J35" s="4">
        <v>45709</v>
      </c>
      <c r="K35" s="3" t="s">
        <v>14</v>
      </c>
      <c r="L35" s="3" t="s">
        <v>69</v>
      </c>
      <c r="M35" s="5">
        <v>6</v>
      </c>
    </row>
    <row r="36" spans="1:15" x14ac:dyDescent="0.25">
      <c r="A36" s="3" t="s">
        <v>29</v>
      </c>
      <c r="B36" s="3">
        <v>17528908</v>
      </c>
      <c r="C36" s="3">
        <v>17528908</v>
      </c>
      <c r="D36" s="3" t="s">
        <v>74</v>
      </c>
      <c r="E36" s="3" t="s">
        <v>60</v>
      </c>
      <c r="G36" s="3">
        <v>110701159</v>
      </c>
      <c r="I36" s="4">
        <v>45658</v>
      </c>
      <c r="J36" s="4">
        <v>45709</v>
      </c>
      <c r="K36" s="3" t="s">
        <v>14</v>
      </c>
      <c r="L36" s="3" t="s">
        <v>69</v>
      </c>
      <c r="M36" s="5">
        <v>6</v>
      </c>
    </row>
    <row r="37" spans="1:15" x14ac:dyDescent="0.25">
      <c r="A37" s="3" t="s">
        <v>35</v>
      </c>
      <c r="C37" s="3">
        <v>18754354</v>
      </c>
      <c r="D37" s="3" t="s">
        <v>36</v>
      </c>
      <c r="E37" s="3" t="s">
        <v>37</v>
      </c>
      <c r="G37" s="3">
        <v>112413939</v>
      </c>
      <c r="I37" s="4">
        <v>45658</v>
      </c>
      <c r="J37" s="4">
        <v>45709</v>
      </c>
      <c r="K37" s="3" t="s">
        <v>14</v>
      </c>
      <c r="L37" s="3" t="s">
        <v>69</v>
      </c>
      <c r="M37" s="5">
        <v>6</v>
      </c>
    </row>
    <row r="38" spans="1:15" x14ac:dyDescent="0.25">
      <c r="A38" s="3" t="s">
        <v>38</v>
      </c>
      <c r="B38" s="3">
        <v>9079571</v>
      </c>
      <c r="C38" s="3">
        <v>9079571</v>
      </c>
      <c r="D38" s="3" t="s">
        <v>39</v>
      </c>
      <c r="E38" s="3" t="s">
        <v>40</v>
      </c>
      <c r="G38" s="3">
        <v>110884571</v>
      </c>
      <c r="I38" s="4">
        <v>45658</v>
      </c>
      <c r="J38" s="4">
        <v>45709</v>
      </c>
      <c r="K38" s="3" t="s">
        <v>14</v>
      </c>
      <c r="L38" s="3" t="s">
        <v>75</v>
      </c>
      <c r="M38" s="5">
        <v>9</v>
      </c>
    </row>
    <row r="39" spans="1:15" x14ac:dyDescent="0.25">
      <c r="A39" s="3" t="s">
        <v>35</v>
      </c>
      <c r="B39" s="3">
        <v>18754354</v>
      </c>
      <c r="C39" s="3">
        <v>18754354</v>
      </c>
      <c r="D39" s="3" t="s">
        <v>61</v>
      </c>
      <c r="E39" s="3" t="s">
        <v>62</v>
      </c>
      <c r="F39" s="3" t="str">
        <f>CONCATENATE(D39, " ", E39)</f>
        <v>Oliviah Tisone</v>
      </c>
      <c r="G39" s="3">
        <v>112381370</v>
      </c>
      <c r="H39" s="3" t="str">
        <f>CONCATENATE(G39,3)</f>
        <v>1123813703</v>
      </c>
      <c r="I39" s="4">
        <v>45658</v>
      </c>
      <c r="J39" s="4">
        <v>45709</v>
      </c>
      <c r="K39" s="3" t="s">
        <v>14</v>
      </c>
      <c r="L39" s="3" t="s">
        <v>76</v>
      </c>
      <c r="M39" s="5">
        <v>404.37</v>
      </c>
      <c r="N39" s="5">
        <v>16.170000000000002</v>
      </c>
      <c r="O39" s="3" t="s">
        <v>82</v>
      </c>
    </row>
    <row r="40" spans="1:15" x14ac:dyDescent="0.25">
      <c r="A40" s="3" t="s">
        <v>84</v>
      </c>
      <c r="B40" s="3">
        <v>20411454</v>
      </c>
      <c r="C40" s="3">
        <v>18754354</v>
      </c>
      <c r="D40" s="3" t="s">
        <v>61</v>
      </c>
      <c r="E40" s="3" t="s">
        <v>62</v>
      </c>
      <c r="F40" s="3" t="str">
        <f t="shared" ref="F40:F47" si="0">CONCATENATE(D40, " ", E40)</f>
        <v>Oliviah Tisone</v>
      </c>
      <c r="G40" s="3">
        <v>112381370</v>
      </c>
      <c r="H40" s="3" t="str">
        <f>CONCATENATE(G40,1)</f>
        <v>1123813701</v>
      </c>
      <c r="I40" s="4">
        <v>45658</v>
      </c>
      <c r="J40" s="4">
        <v>45709</v>
      </c>
      <c r="K40" s="3" t="s">
        <v>14</v>
      </c>
      <c r="L40" s="3" t="s">
        <v>76</v>
      </c>
      <c r="M40" s="5">
        <v>4</v>
      </c>
      <c r="N40" s="3">
        <v>4</v>
      </c>
      <c r="O40" s="3" t="s">
        <v>83</v>
      </c>
    </row>
    <row r="41" spans="1:15" x14ac:dyDescent="0.25">
      <c r="A41" s="3" t="s">
        <v>35</v>
      </c>
      <c r="B41" s="3">
        <v>18754354</v>
      </c>
      <c r="C41" s="3">
        <v>18754354</v>
      </c>
      <c r="D41" s="3" t="s">
        <v>63</v>
      </c>
      <c r="E41" s="3" t="s">
        <v>64</v>
      </c>
      <c r="F41" s="3" t="str">
        <f t="shared" si="0"/>
        <v>Tonya Milam</v>
      </c>
      <c r="G41" s="3">
        <v>112381384</v>
      </c>
      <c r="H41" s="3" t="str">
        <f>CONCATENATE(G41,3)</f>
        <v>1123813843</v>
      </c>
      <c r="I41" s="4">
        <v>45658</v>
      </c>
      <c r="J41" s="4">
        <v>45709</v>
      </c>
      <c r="K41" s="3" t="s">
        <v>14</v>
      </c>
      <c r="L41" s="3" t="s">
        <v>77</v>
      </c>
      <c r="M41" s="5">
        <v>1139.02</v>
      </c>
      <c r="N41" s="5">
        <v>45.56</v>
      </c>
      <c r="O41" s="3" t="s">
        <v>82</v>
      </c>
    </row>
    <row r="42" spans="1:15" x14ac:dyDescent="0.25">
      <c r="A42" s="3" t="s">
        <v>84</v>
      </c>
      <c r="B42" s="3">
        <v>20411454</v>
      </c>
      <c r="C42" s="3">
        <v>18754354</v>
      </c>
      <c r="D42" s="3" t="s">
        <v>63</v>
      </c>
      <c r="E42" s="3" t="s">
        <v>64</v>
      </c>
      <c r="F42" s="3" t="str">
        <f t="shared" si="0"/>
        <v>Tonya Milam</v>
      </c>
      <c r="G42" s="3">
        <v>112381384</v>
      </c>
      <c r="H42" s="3" t="str">
        <f>CONCATENATE(G42,1)</f>
        <v>1123813841</v>
      </c>
      <c r="I42" s="4">
        <v>45658</v>
      </c>
      <c r="J42" s="4">
        <v>45709</v>
      </c>
      <c r="K42" s="3" t="s">
        <v>14</v>
      </c>
      <c r="L42" s="3" t="s">
        <v>77</v>
      </c>
      <c r="M42" s="5">
        <v>4</v>
      </c>
      <c r="N42" s="3">
        <v>4</v>
      </c>
      <c r="O42" s="3" t="s">
        <v>83</v>
      </c>
    </row>
    <row r="43" spans="1:15" x14ac:dyDescent="0.25">
      <c r="A43" s="3" t="s">
        <v>35</v>
      </c>
      <c r="B43" s="3">
        <v>18754354</v>
      </c>
      <c r="C43" s="3">
        <v>18754354</v>
      </c>
      <c r="D43" s="3" t="s">
        <v>36</v>
      </c>
      <c r="E43" s="3" t="s">
        <v>37</v>
      </c>
      <c r="F43" s="3" t="str">
        <f t="shared" si="0"/>
        <v>Pamela Parker</v>
      </c>
      <c r="G43" s="3">
        <v>112413939</v>
      </c>
      <c r="H43" s="3" t="str">
        <f>CONCATENATE(G43,3)</f>
        <v>1124139393</v>
      </c>
      <c r="I43" s="4">
        <v>45658</v>
      </c>
      <c r="J43" s="4">
        <v>45709</v>
      </c>
      <c r="K43" s="3" t="s">
        <v>14</v>
      </c>
      <c r="L43" s="3" t="s">
        <v>78</v>
      </c>
      <c r="M43" s="5">
        <v>1482.81</v>
      </c>
      <c r="N43" s="5">
        <v>59.31</v>
      </c>
      <c r="O43" s="3" t="s">
        <v>82</v>
      </c>
    </row>
    <row r="44" spans="1:15" x14ac:dyDescent="0.25">
      <c r="A44" s="3" t="s">
        <v>84</v>
      </c>
      <c r="B44" s="3">
        <v>20411454</v>
      </c>
      <c r="C44" s="3">
        <v>18754354</v>
      </c>
      <c r="D44" s="3" t="s">
        <v>36</v>
      </c>
      <c r="E44" s="3" t="s">
        <v>37</v>
      </c>
      <c r="F44" s="3" t="str">
        <f t="shared" si="0"/>
        <v>Pamela Parker</v>
      </c>
      <c r="G44" s="3">
        <v>112413939</v>
      </c>
      <c r="H44" s="3" t="str">
        <f>CONCATENATE(G44,1)</f>
        <v>1124139391</v>
      </c>
      <c r="I44" s="4">
        <v>45658</v>
      </c>
      <c r="J44" s="4">
        <v>45709</v>
      </c>
      <c r="K44" s="3" t="s">
        <v>14</v>
      </c>
      <c r="L44" s="3" t="s">
        <v>78</v>
      </c>
      <c r="M44" s="5">
        <v>10</v>
      </c>
      <c r="N44" s="3">
        <v>10</v>
      </c>
      <c r="O44" s="3" t="s">
        <v>83</v>
      </c>
    </row>
    <row r="45" spans="1:15" x14ac:dyDescent="0.25">
      <c r="A45" s="3" t="s">
        <v>35</v>
      </c>
      <c r="B45" s="3">
        <v>18754354</v>
      </c>
      <c r="C45" s="3">
        <v>18754354</v>
      </c>
      <c r="D45" s="3" t="s">
        <v>61</v>
      </c>
      <c r="E45" s="3" t="s">
        <v>62</v>
      </c>
      <c r="F45" s="3" t="str">
        <f t="shared" si="0"/>
        <v>Oliviah Tisone</v>
      </c>
      <c r="G45" s="3">
        <v>112381370</v>
      </c>
      <c r="H45" s="3" t="str">
        <f t="shared" ref="H45:H47" si="1">CONCATENATE(G45,3)</f>
        <v>1123813703</v>
      </c>
      <c r="I45" s="4">
        <v>45658</v>
      </c>
      <c r="J45" s="4">
        <v>45709</v>
      </c>
      <c r="K45" s="3" t="s">
        <v>14</v>
      </c>
      <c r="L45" s="3" t="s">
        <v>79</v>
      </c>
      <c r="M45" s="5">
        <v>404.37</v>
      </c>
      <c r="N45" s="5">
        <v>16.170000000000002</v>
      </c>
      <c r="O45" s="3" t="s">
        <v>82</v>
      </c>
    </row>
    <row r="46" spans="1:15" x14ac:dyDescent="0.25">
      <c r="A46" s="3" t="s">
        <v>35</v>
      </c>
      <c r="B46" s="3">
        <v>18754354</v>
      </c>
      <c r="C46" s="3">
        <v>18754354</v>
      </c>
      <c r="D46" s="3" t="s">
        <v>36</v>
      </c>
      <c r="E46" s="3" t="s">
        <v>37</v>
      </c>
      <c r="F46" s="3" t="str">
        <f t="shared" si="0"/>
        <v>Pamela Parker</v>
      </c>
      <c r="G46" s="3">
        <v>112413939</v>
      </c>
      <c r="H46" s="3" t="str">
        <f t="shared" si="1"/>
        <v>1124139393</v>
      </c>
      <c r="I46" s="4">
        <v>45658</v>
      </c>
      <c r="J46" s="4">
        <v>45709</v>
      </c>
      <c r="K46" s="3" t="s">
        <v>14</v>
      </c>
      <c r="L46" s="3" t="s">
        <v>80</v>
      </c>
      <c r="M46" s="5">
        <v>1482.81</v>
      </c>
      <c r="N46" s="5">
        <v>59.31</v>
      </c>
      <c r="O46" s="3" t="s">
        <v>82</v>
      </c>
    </row>
    <row r="47" spans="1:15" x14ac:dyDescent="0.25">
      <c r="A47" s="3" t="s">
        <v>35</v>
      </c>
      <c r="B47" s="3">
        <v>18754354</v>
      </c>
      <c r="C47" s="3">
        <v>18754354</v>
      </c>
      <c r="D47" s="3" t="s">
        <v>63</v>
      </c>
      <c r="E47" s="3" t="s">
        <v>64</v>
      </c>
      <c r="F47" s="3" t="str">
        <f t="shared" si="0"/>
        <v>Tonya Milam</v>
      </c>
      <c r="G47" s="3">
        <v>112381384</v>
      </c>
      <c r="H47" s="3" t="str">
        <f t="shared" si="1"/>
        <v>1123813843</v>
      </c>
      <c r="I47" s="4">
        <v>45658</v>
      </c>
      <c r="J47" s="4">
        <v>45709</v>
      </c>
      <c r="K47" s="3" t="s">
        <v>14</v>
      </c>
      <c r="L47" s="3" t="s">
        <v>81</v>
      </c>
      <c r="M47" s="5">
        <v>1139.02</v>
      </c>
      <c r="N47" s="5">
        <v>45.56</v>
      </c>
      <c r="O47" s="3" t="s">
        <v>82</v>
      </c>
    </row>
  </sheetData>
  <sortState xmlns:xlrd2="http://schemas.microsoft.com/office/spreadsheetml/2017/richdata2" ref="A39:O44">
    <sortCondition ref="G39:G44"/>
  </sortState>
  <pageMargins left="0.7" right="0.7" top="0.75" bottom="0.75" header="0.3" footer="0.3"/>
  <ignoredErrors>
    <ignoredError sqref="H40:H4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2025-02-21T16:18:39Z</dcterms:created>
  <dcterms:modified xsi:type="dcterms:W3CDTF">2025-03-10T16:14:16Z</dcterms:modified>
</cp:coreProperties>
</file>