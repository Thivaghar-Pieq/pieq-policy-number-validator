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Ritter\Caresource 05-16-25 Ritter\"/>
    </mc:Choice>
  </mc:AlternateContent>
  <xr:revisionPtr revIDLastSave="0" documentId="13_ncr:1_{6542FABC-EA0B-44C4-8004-1B6F04C46A2E}" xr6:coauthVersionLast="47" xr6:coauthVersionMax="47" xr10:uidLastSave="{00000000-0000-0000-0000-000000000000}"/>
  <bookViews>
    <workbookView xWindow="28680" yWindow="-120" windowWidth="29040" windowHeight="16440" activeTab="1" xr2:uid="{58BC6672-2FD6-46E4-8799-5DA96421D775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4" i="2" l="1"/>
  <c r="P32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2" i="2"/>
</calcChain>
</file>

<file path=xl/sharedStrings.xml><?xml version="1.0" encoding="utf-8"?>
<sst xmlns="http://schemas.openxmlformats.org/spreadsheetml/2006/main" count="516" uniqueCount="96">
  <si>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</si>
  <si>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</si>
  <si>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</si>
  <si>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</si>
  <si>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</si>
  <si>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</si>
  <si>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</si>
  <si>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</si>
  <si>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</si>
  <si>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</si>
  <si>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</si>
  <si>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</si>
  <si>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Caroline</t>
  </si>
  <si>
    <t>Robles</t>
  </si>
  <si>
    <t>CareSource U65</t>
  </si>
  <si>
    <t>CareSource U65 2025 IEP/Renewal OR (ProRata: 1) Premium Period: 5/1/2025</t>
  </si>
  <si>
    <t>Sherry</t>
  </si>
  <si>
    <t>Beach</t>
  </si>
  <si>
    <t>Terri</t>
  </si>
  <si>
    <t>Burkett</t>
  </si>
  <si>
    <t>Kimberly</t>
  </si>
  <si>
    <t>Prescaro</t>
  </si>
  <si>
    <t>Christopher</t>
  </si>
  <si>
    <t>Stevanus</t>
  </si>
  <si>
    <t>Connie</t>
  </si>
  <si>
    <t>Binns</t>
  </si>
  <si>
    <t>Jackie</t>
  </si>
  <si>
    <t>Dello</t>
  </si>
  <si>
    <t>Magdalena</t>
  </si>
  <si>
    <t>Rosa Serrano</t>
  </si>
  <si>
    <t>Nancy</t>
  </si>
  <si>
    <t>Gale</t>
  </si>
  <si>
    <t>Denise</t>
  </si>
  <si>
    <t>Zumpella</t>
  </si>
  <si>
    <t>Deborah Inskipt</t>
  </si>
  <si>
    <t>Carla</t>
  </si>
  <si>
    <t>Williams</t>
  </si>
  <si>
    <t>Larry</t>
  </si>
  <si>
    <t>Bumgardner</t>
  </si>
  <si>
    <t>Lori</t>
  </si>
  <si>
    <t>Henry</t>
  </si>
  <si>
    <t>Tanner A</t>
  </si>
  <si>
    <t>Melvin</t>
  </si>
  <si>
    <t>Jacob Yale</t>
  </si>
  <si>
    <t>Jessica</t>
  </si>
  <si>
    <t>Mayhew</t>
  </si>
  <si>
    <t>Oliviah</t>
  </si>
  <si>
    <t>Tisone</t>
  </si>
  <si>
    <t>Tonya</t>
  </si>
  <si>
    <t>Milam</t>
  </si>
  <si>
    <t>Jerry</t>
  </si>
  <si>
    <t>Hartman</t>
  </si>
  <si>
    <t>CareSource U65 2025 IEP/Renewal OR (ProRata: 2) Premium Period: 5/1/2025</t>
  </si>
  <si>
    <t>Kylee</t>
  </si>
  <si>
    <t>Morr</t>
  </si>
  <si>
    <t>Terry</t>
  </si>
  <si>
    <t>Wuthrich</t>
  </si>
  <si>
    <t>Alana</t>
  </si>
  <si>
    <t>Stephan</t>
  </si>
  <si>
    <t>Todd</t>
  </si>
  <si>
    <t>Gavin</t>
  </si>
  <si>
    <t>Kissel</t>
  </si>
  <si>
    <t>CareSource U65 2025 IEP/Renewal OR (ProRata: 3) Premium Period: 5/1/2025</t>
  </si>
  <si>
    <t>Adam Richter</t>
  </si>
  <si>
    <t>Christopher D</t>
  </si>
  <si>
    <t>Huff</t>
  </si>
  <si>
    <t>Notes: Caresource U65 Prem Period: 01/2025 Prem $1139.02. MM</t>
  </si>
  <si>
    <t>Pamela</t>
  </si>
  <si>
    <t>Parker</t>
  </si>
  <si>
    <t>Notes: Caresource U65 Prem Period: 01/2025 Prem $1482.81. MM</t>
  </si>
  <si>
    <t>Notes: Caresource U65 Prem Period: 01/2025 Prem $404.37. MM</t>
  </si>
  <si>
    <t>Derrick E</t>
  </si>
  <si>
    <t>Render</t>
  </si>
  <si>
    <t>Notes: Caresource U65 Prem Period: 02/2025 Prem $1021.7. MM</t>
  </si>
  <si>
    <t>Notes: Caresource U65 Prem Period: 03/2025 Prem $1021.7. MM</t>
  </si>
  <si>
    <t>Notes: Caresource U65 Prem Period: 04/2025 Prem $1021.7. MM</t>
  </si>
  <si>
    <t>Notes: Caresource U65 Prem Period: 05/2025 Prem $1139.02. MM</t>
  </si>
  <si>
    <t>Notes: Caresource U65 Prem Period: 05/2025 Prem $347.94. MM</t>
  </si>
  <si>
    <t>Notes: Caresource U65 Prem Period: 05/2025 Prem $404.37. MM</t>
  </si>
  <si>
    <t>Caresource Ovr</t>
  </si>
  <si>
    <t>Caresource 2025 - GA</t>
  </si>
  <si>
    <t>CareSource U65 2025 IEP/Renewal OR (ProRata</t>
  </si>
  <si>
    <t xml:space="preserve"> 1) Premium Period</t>
  </si>
  <si>
    <t xml:space="preserve"> 5/1/2025</t>
  </si>
  <si>
    <t xml:space="preserve"> 2) Premium Period</t>
  </si>
  <si>
    <t xml:space="preserve"> 3) Premium Period</t>
  </si>
  <si>
    <t>Notes</t>
  </si>
  <si>
    <t xml:space="preserve"> Caresource U65 Prem Period</t>
  </si>
  <si>
    <t xml:space="preserve"> 1/1/2025  </t>
  </si>
  <si>
    <t xml:space="preserve"> 2/1/2025  </t>
  </si>
  <si>
    <t xml:space="preserve"> 3/1/2025  </t>
  </si>
  <si>
    <t xml:space="preserve"> 4/1/2025  </t>
  </si>
  <si>
    <t xml:space="preserve"> 5/1/2025  </t>
  </si>
  <si>
    <t>Caresource - WV</t>
  </si>
  <si>
    <t>Caresource - IN, NC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</si>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</sst>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60C0-96B5-4702-B357-F571F9C182E6}">
  <dimension ref="A1:K34"/>
  <sheetViews>
    <sheetView workbookViewId="0">
      <selection sqref="A1:XFD1048576"/>
    </sheetView>
  </sheetViews>
  <sheetFormatPr defaultRowHeight="15" x14ac:dyDescent="0.25"/>
  <cols>
    <col min="1" max="1" width="16" bestFit="1" customWidth="1"/>
    <col min="2" max="2" width="15.42578125" bestFit="1" customWidth="1"/>
    <col min="3" max="3" width="10.7109375" bestFit="1" customWidth="1"/>
    <col min="4" max="4" width="13.28515625" bestFit="1" customWidth="1"/>
    <col min="5" max="5" width="12.42578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4.85546875" bestFit="1" customWidth="1"/>
    <col min="10" max="10" width="70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8977234</v>
      </c>
      <c r="C2">
        <v>8977234</v>
      </c>
      <c r="D2" t="s">
        <v>12</v>
      </c>
      <c r="E2" t="s">
        <v>13</v>
      </c>
      <c r="F2">
        <v>111102853</v>
      </c>
      <c r="G2" s="1">
        <v>45658</v>
      </c>
      <c r="H2" s="1">
        <v>45793</v>
      </c>
      <c r="I2" t="s">
        <v>14</v>
      </c>
      <c r="J2" t="s">
        <v>15</v>
      </c>
      <c r="K2" s="2">
        <v>3</v>
      </c>
    </row>
    <row r="3" spans="1:11" x14ac:dyDescent="0.25">
      <c r="A3" t="s">
        <v>11</v>
      </c>
      <c r="B3">
        <v>8977234</v>
      </c>
      <c r="C3">
        <v>8977234</v>
      </c>
      <c r="D3" t="s">
        <v>16</v>
      </c>
      <c r="E3" t="s">
        <v>17</v>
      </c>
      <c r="F3">
        <v>111828564</v>
      </c>
      <c r="G3" s="1">
        <v>45658</v>
      </c>
      <c r="H3" s="1">
        <v>45793</v>
      </c>
      <c r="I3" t="s">
        <v>14</v>
      </c>
      <c r="J3" t="s">
        <v>15</v>
      </c>
      <c r="K3" s="2">
        <v>3</v>
      </c>
    </row>
    <row r="4" spans="1:11" x14ac:dyDescent="0.25">
      <c r="A4" t="s">
        <v>11</v>
      </c>
      <c r="B4">
        <v>8977234</v>
      </c>
      <c r="C4">
        <v>8977234</v>
      </c>
      <c r="D4" t="s">
        <v>18</v>
      </c>
      <c r="E4" t="s">
        <v>19</v>
      </c>
      <c r="F4">
        <v>111593834</v>
      </c>
      <c r="G4" s="1">
        <v>45658</v>
      </c>
      <c r="H4" s="1">
        <v>45793</v>
      </c>
      <c r="I4" t="s">
        <v>14</v>
      </c>
      <c r="J4" t="s">
        <v>15</v>
      </c>
      <c r="K4" s="2">
        <v>3</v>
      </c>
    </row>
    <row r="5" spans="1:11" x14ac:dyDescent="0.25">
      <c r="A5" t="s">
        <v>11</v>
      </c>
      <c r="B5">
        <v>8977234</v>
      </c>
      <c r="C5">
        <v>8977234</v>
      </c>
      <c r="D5" t="s">
        <v>20</v>
      </c>
      <c r="E5" t="s">
        <v>21</v>
      </c>
      <c r="F5">
        <v>111241629</v>
      </c>
      <c r="G5" s="1">
        <v>45658</v>
      </c>
      <c r="H5" s="1">
        <v>45793</v>
      </c>
      <c r="I5" t="s">
        <v>14</v>
      </c>
      <c r="J5" t="s">
        <v>15</v>
      </c>
      <c r="K5" s="2">
        <v>3</v>
      </c>
    </row>
    <row r="6" spans="1:11" x14ac:dyDescent="0.25">
      <c r="A6" t="s">
        <v>11</v>
      </c>
      <c r="B6">
        <v>8977234</v>
      </c>
      <c r="C6">
        <v>8977234</v>
      </c>
      <c r="D6" t="s">
        <v>22</v>
      </c>
      <c r="E6" t="s">
        <v>23</v>
      </c>
      <c r="F6">
        <v>111849444</v>
      </c>
      <c r="G6" s="1">
        <v>45658</v>
      </c>
      <c r="H6" s="1">
        <v>45793</v>
      </c>
      <c r="I6" t="s">
        <v>14</v>
      </c>
      <c r="J6" t="s">
        <v>15</v>
      </c>
      <c r="K6" s="2">
        <v>3</v>
      </c>
    </row>
    <row r="7" spans="1:11" x14ac:dyDescent="0.25">
      <c r="A7" t="s">
        <v>11</v>
      </c>
      <c r="B7">
        <v>8977234</v>
      </c>
      <c r="C7">
        <v>8977234</v>
      </c>
      <c r="D7" t="s">
        <v>24</v>
      </c>
      <c r="E7" t="s">
        <v>25</v>
      </c>
      <c r="F7">
        <v>112342893</v>
      </c>
      <c r="G7" s="1">
        <v>45658</v>
      </c>
      <c r="H7" s="1">
        <v>45793</v>
      </c>
      <c r="I7" t="s">
        <v>14</v>
      </c>
      <c r="J7" t="s">
        <v>15</v>
      </c>
      <c r="K7" s="2">
        <v>3</v>
      </c>
    </row>
    <row r="8" spans="1:11" x14ac:dyDescent="0.25">
      <c r="A8" t="s">
        <v>11</v>
      </c>
      <c r="B8">
        <v>8977234</v>
      </c>
      <c r="C8">
        <v>8977234</v>
      </c>
      <c r="D8" t="s">
        <v>26</v>
      </c>
      <c r="E8" t="s">
        <v>27</v>
      </c>
      <c r="F8">
        <v>109839671</v>
      </c>
      <c r="G8" s="1">
        <v>45658</v>
      </c>
      <c r="H8" s="1">
        <v>45793</v>
      </c>
      <c r="I8" t="s">
        <v>14</v>
      </c>
      <c r="J8" t="s">
        <v>15</v>
      </c>
      <c r="K8" s="2">
        <v>3</v>
      </c>
    </row>
    <row r="9" spans="1:11" x14ac:dyDescent="0.25">
      <c r="A9" t="s">
        <v>11</v>
      </c>
      <c r="B9">
        <v>8977234</v>
      </c>
      <c r="C9">
        <v>8977234</v>
      </c>
      <c r="D9" t="s">
        <v>28</v>
      </c>
      <c r="E9" t="s">
        <v>29</v>
      </c>
      <c r="F9">
        <v>111876534</v>
      </c>
      <c r="G9" s="1">
        <v>45689</v>
      </c>
      <c r="H9" s="1">
        <v>45793</v>
      </c>
      <c r="I9" t="s">
        <v>14</v>
      </c>
      <c r="J9" t="s">
        <v>15</v>
      </c>
      <c r="K9" s="2">
        <v>3</v>
      </c>
    </row>
    <row r="10" spans="1:11" x14ac:dyDescent="0.25">
      <c r="A10" t="s">
        <v>11</v>
      </c>
      <c r="B10">
        <v>8977234</v>
      </c>
      <c r="C10">
        <v>8977234</v>
      </c>
      <c r="D10" t="s">
        <v>30</v>
      </c>
      <c r="E10" t="s">
        <v>31</v>
      </c>
      <c r="F10">
        <v>111786407</v>
      </c>
      <c r="G10" s="1">
        <v>45658</v>
      </c>
      <c r="H10" s="1">
        <v>45793</v>
      </c>
      <c r="I10" t="s">
        <v>14</v>
      </c>
      <c r="J10" t="s">
        <v>15</v>
      </c>
      <c r="K10" s="2">
        <v>3</v>
      </c>
    </row>
    <row r="11" spans="1:11" x14ac:dyDescent="0.25">
      <c r="A11" t="s">
        <v>11</v>
      </c>
      <c r="B11">
        <v>8977234</v>
      </c>
      <c r="C11">
        <v>8977234</v>
      </c>
      <c r="D11" t="s">
        <v>32</v>
      </c>
      <c r="E11" t="s">
        <v>33</v>
      </c>
      <c r="F11">
        <v>109376890</v>
      </c>
      <c r="G11" s="1">
        <v>45658</v>
      </c>
      <c r="H11" s="1">
        <v>45793</v>
      </c>
      <c r="I11" t="s">
        <v>14</v>
      </c>
      <c r="J11" t="s">
        <v>15</v>
      </c>
      <c r="K11" s="2">
        <v>3</v>
      </c>
    </row>
    <row r="12" spans="1:11" x14ac:dyDescent="0.25">
      <c r="A12" t="s">
        <v>34</v>
      </c>
      <c r="B12">
        <v>17528908</v>
      </c>
      <c r="C12">
        <v>17528908</v>
      </c>
      <c r="D12" t="s">
        <v>35</v>
      </c>
      <c r="E12" t="s">
        <v>36</v>
      </c>
      <c r="F12">
        <v>112399968</v>
      </c>
      <c r="G12" s="1">
        <v>45658</v>
      </c>
      <c r="H12" s="1">
        <v>45793</v>
      </c>
      <c r="I12" t="s">
        <v>14</v>
      </c>
      <c r="J12" t="s">
        <v>15</v>
      </c>
      <c r="K12" s="2">
        <v>3</v>
      </c>
    </row>
    <row r="13" spans="1:11" x14ac:dyDescent="0.25">
      <c r="A13" t="s">
        <v>34</v>
      </c>
      <c r="B13">
        <v>17528908</v>
      </c>
      <c r="C13">
        <v>17528908</v>
      </c>
      <c r="D13" t="s">
        <v>37</v>
      </c>
      <c r="E13" t="s">
        <v>38</v>
      </c>
      <c r="F13">
        <v>106737758</v>
      </c>
      <c r="G13" s="1">
        <v>45658</v>
      </c>
      <c r="H13" s="1">
        <v>45793</v>
      </c>
      <c r="I13" t="s">
        <v>14</v>
      </c>
      <c r="J13" t="s">
        <v>15</v>
      </c>
      <c r="K13" s="2">
        <v>3</v>
      </c>
    </row>
    <row r="14" spans="1:11" x14ac:dyDescent="0.25">
      <c r="A14" t="s">
        <v>34</v>
      </c>
      <c r="B14">
        <v>17528908</v>
      </c>
      <c r="C14">
        <v>17528908</v>
      </c>
      <c r="D14" t="s">
        <v>39</v>
      </c>
      <c r="E14" t="s">
        <v>40</v>
      </c>
      <c r="F14">
        <v>110809733</v>
      </c>
      <c r="G14" s="1">
        <v>45658</v>
      </c>
      <c r="H14" s="1">
        <v>45793</v>
      </c>
      <c r="I14" t="s">
        <v>14</v>
      </c>
      <c r="J14" t="s">
        <v>15</v>
      </c>
      <c r="K14" s="2">
        <v>3</v>
      </c>
    </row>
    <row r="15" spans="1:11" x14ac:dyDescent="0.25">
      <c r="A15" t="s">
        <v>34</v>
      </c>
      <c r="B15">
        <v>17528908</v>
      </c>
      <c r="C15">
        <v>17528908</v>
      </c>
      <c r="D15" t="s">
        <v>41</v>
      </c>
      <c r="E15" t="s">
        <v>42</v>
      </c>
      <c r="F15">
        <v>110700972</v>
      </c>
      <c r="G15" s="1">
        <v>45658</v>
      </c>
      <c r="H15" s="1">
        <v>45793</v>
      </c>
      <c r="I15" t="s">
        <v>14</v>
      </c>
      <c r="J15" t="s">
        <v>15</v>
      </c>
      <c r="K15" s="2">
        <v>3</v>
      </c>
    </row>
    <row r="16" spans="1:11" x14ac:dyDescent="0.25">
      <c r="A16" t="s">
        <v>43</v>
      </c>
      <c r="C16">
        <v>18754354</v>
      </c>
      <c r="D16" t="s">
        <v>44</v>
      </c>
      <c r="E16" t="s">
        <v>45</v>
      </c>
      <c r="F16">
        <v>112419154</v>
      </c>
      <c r="G16" s="1">
        <v>45689</v>
      </c>
      <c r="H16" s="1">
        <v>45793</v>
      </c>
      <c r="I16" t="s">
        <v>14</v>
      </c>
      <c r="J16" t="s">
        <v>15</v>
      </c>
      <c r="K16" s="2">
        <v>3</v>
      </c>
    </row>
    <row r="17" spans="1:11" x14ac:dyDescent="0.25">
      <c r="A17" t="s">
        <v>43</v>
      </c>
      <c r="C17">
        <v>18754354</v>
      </c>
      <c r="D17" t="s">
        <v>46</v>
      </c>
      <c r="E17" t="s">
        <v>47</v>
      </c>
      <c r="F17">
        <v>112381370</v>
      </c>
      <c r="G17" s="1">
        <v>45658</v>
      </c>
      <c r="H17" s="1">
        <v>45793</v>
      </c>
      <c r="I17" t="s">
        <v>14</v>
      </c>
      <c r="J17" t="s">
        <v>15</v>
      </c>
      <c r="K17" s="2">
        <v>3</v>
      </c>
    </row>
    <row r="18" spans="1:11" x14ac:dyDescent="0.25">
      <c r="A18" t="s">
        <v>43</v>
      </c>
      <c r="C18">
        <v>18754354</v>
      </c>
      <c r="D18" t="s">
        <v>48</v>
      </c>
      <c r="E18" t="s">
        <v>49</v>
      </c>
      <c r="F18">
        <v>112381384</v>
      </c>
      <c r="G18" s="1">
        <v>45658</v>
      </c>
      <c r="H18" s="1">
        <v>45793</v>
      </c>
      <c r="I18" t="s">
        <v>14</v>
      </c>
      <c r="J18" t="s">
        <v>15</v>
      </c>
      <c r="K18" s="2">
        <v>3</v>
      </c>
    </row>
    <row r="19" spans="1:11" x14ac:dyDescent="0.25">
      <c r="A19" t="s">
        <v>11</v>
      </c>
      <c r="B19">
        <v>8977234</v>
      </c>
      <c r="C19">
        <v>8977234</v>
      </c>
      <c r="D19" t="s">
        <v>50</v>
      </c>
      <c r="E19" t="s">
        <v>51</v>
      </c>
      <c r="F19">
        <v>109263551</v>
      </c>
      <c r="G19" s="1">
        <v>45658</v>
      </c>
      <c r="H19" s="1">
        <v>45793</v>
      </c>
      <c r="I19" t="s">
        <v>14</v>
      </c>
      <c r="J19" t="s">
        <v>52</v>
      </c>
      <c r="K19" s="2">
        <v>6</v>
      </c>
    </row>
    <row r="20" spans="1:11" x14ac:dyDescent="0.25">
      <c r="A20" t="s">
        <v>11</v>
      </c>
      <c r="B20">
        <v>8977234</v>
      </c>
      <c r="C20">
        <v>8977234</v>
      </c>
      <c r="D20" t="s">
        <v>53</v>
      </c>
      <c r="E20" t="s">
        <v>54</v>
      </c>
      <c r="F20">
        <v>112407726</v>
      </c>
      <c r="G20" s="1">
        <v>45689</v>
      </c>
      <c r="H20" s="1">
        <v>45793</v>
      </c>
      <c r="I20" t="s">
        <v>14</v>
      </c>
      <c r="J20" t="s">
        <v>52</v>
      </c>
      <c r="K20" s="2">
        <v>6</v>
      </c>
    </row>
    <row r="21" spans="1:11" x14ac:dyDescent="0.25">
      <c r="A21" t="s">
        <v>11</v>
      </c>
      <c r="B21">
        <v>8977234</v>
      </c>
      <c r="C21">
        <v>8977234</v>
      </c>
      <c r="D21" t="s">
        <v>55</v>
      </c>
      <c r="E21" t="s">
        <v>56</v>
      </c>
      <c r="F21">
        <v>111110447</v>
      </c>
      <c r="G21" s="1">
        <v>45658</v>
      </c>
      <c r="H21" s="1">
        <v>45793</v>
      </c>
      <c r="I21" t="s">
        <v>14</v>
      </c>
      <c r="J21" t="s">
        <v>52</v>
      </c>
      <c r="K21" s="2">
        <v>6</v>
      </c>
    </row>
    <row r="22" spans="1:11" x14ac:dyDescent="0.25">
      <c r="A22" t="s">
        <v>34</v>
      </c>
      <c r="B22">
        <v>17528908</v>
      </c>
      <c r="C22">
        <v>17528908</v>
      </c>
      <c r="D22" t="s">
        <v>57</v>
      </c>
      <c r="E22" t="s">
        <v>58</v>
      </c>
      <c r="F22">
        <v>112319621</v>
      </c>
      <c r="G22" s="1">
        <v>45658</v>
      </c>
      <c r="H22" s="1">
        <v>45793</v>
      </c>
      <c r="I22" t="s">
        <v>14</v>
      </c>
      <c r="J22" t="s">
        <v>52</v>
      </c>
      <c r="K22" s="2">
        <v>6</v>
      </c>
    </row>
    <row r="23" spans="1:11" x14ac:dyDescent="0.25">
      <c r="A23" t="s">
        <v>34</v>
      </c>
      <c r="B23">
        <v>17528908</v>
      </c>
      <c r="C23">
        <v>17528908</v>
      </c>
      <c r="D23" t="s">
        <v>59</v>
      </c>
      <c r="E23" t="s">
        <v>42</v>
      </c>
      <c r="F23">
        <v>110701159</v>
      </c>
      <c r="G23" s="1">
        <v>45658</v>
      </c>
      <c r="H23" s="1">
        <v>45793</v>
      </c>
      <c r="I23" t="s">
        <v>14</v>
      </c>
      <c r="J23" t="s">
        <v>52</v>
      </c>
      <c r="K23" s="2">
        <v>6</v>
      </c>
    </row>
    <row r="24" spans="1:11" x14ac:dyDescent="0.25">
      <c r="A24" t="s">
        <v>11</v>
      </c>
      <c r="B24">
        <v>8977234</v>
      </c>
      <c r="C24">
        <v>8977234</v>
      </c>
      <c r="D24" t="s">
        <v>60</v>
      </c>
      <c r="E24" t="s">
        <v>61</v>
      </c>
      <c r="F24">
        <v>112514281</v>
      </c>
      <c r="G24" s="1">
        <v>45778</v>
      </c>
      <c r="H24" s="1">
        <v>45793</v>
      </c>
      <c r="I24" t="s">
        <v>14</v>
      </c>
      <c r="J24" t="s">
        <v>62</v>
      </c>
      <c r="K24" s="2">
        <v>9</v>
      </c>
    </row>
    <row r="25" spans="1:11" x14ac:dyDescent="0.25">
      <c r="A25" t="s">
        <v>63</v>
      </c>
      <c r="B25">
        <v>9079571</v>
      </c>
      <c r="C25">
        <v>9079571</v>
      </c>
      <c r="D25" t="s">
        <v>64</v>
      </c>
      <c r="E25" t="s">
        <v>65</v>
      </c>
      <c r="F25">
        <v>110884571</v>
      </c>
      <c r="G25" s="1">
        <v>45658</v>
      </c>
      <c r="H25" s="1">
        <v>45793</v>
      </c>
      <c r="I25" t="s">
        <v>14</v>
      </c>
      <c r="J25" t="s">
        <v>62</v>
      </c>
      <c r="K25" s="2">
        <v>9</v>
      </c>
    </row>
    <row r="26" spans="1:11" x14ac:dyDescent="0.25">
      <c r="A26" t="s">
        <v>43</v>
      </c>
      <c r="C26">
        <v>18754354</v>
      </c>
      <c r="D26" t="s">
        <v>48</v>
      </c>
      <c r="E26" t="s">
        <v>49</v>
      </c>
      <c r="F26">
        <v>112381384</v>
      </c>
      <c r="G26" s="1">
        <v>45658</v>
      </c>
      <c r="H26" s="1">
        <v>45793</v>
      </c>
      <c r="I26" t="s">
        <v>14</v>
      </c>
      <c r="J26" t="s">
        <v>66</v>
      </c>
      <c r="K26" s="2">
        <v>-5</v>
      </c>
    </row>
    <row r="27" spans="1:11" x14ac:dyDescent="0.25">
      <c r="A27" t="s">
        <v>43</v>
      </c>
      <c r="C27">
        <v>18754354</v>
      </c>
      <c r="D27" t="s">
        <v>67</v>
      </c>
      <c r="E27" t="s">
        <v>68</v>
      </c>
      <c r="F27">
        <v>112413939</v>
      </c>
      <c r="G27" s="1">
        <v>45658</v>
      </c>
      <c r="H27" s="1">
        <v>45793</v>
      </c>
      <c r="I27" t="s">
        <v>14</v>
      </c>
      <c r="J27" t="s">
        <v>69</v>
      </c>
      <c r="K27" s="2">
        <v>-10</v>
      </c>
    </row>
    <row r="28" spans="1:11" x14ac:dyDescent="0.25">
      <c r="A28" t="s">
        <v>43</v>
      </c>
      <c r="C28">
        <v>18754354</v>
      </c>
      <c r="D28" t="s">
        <v>46</v>
      </c>
      <c r="E28" t="s">
        <v>47</v>
      </c>
      <c r="F28">
        <v>112381370</v>
      </c>
      <c r="G28" s="1">
        <v>45658</v>
      </c>
      <c r="H28" s="1">
        <v>45793</v>
      </c>
      <c r="I28" t="s">
        <v>14</v>
      </c>
      <c r="J28" t="s">
        <v>70</v>
      </c>
      <c r="K28" s="2">
        <v>-5</v>
      </c>
    </row>
    <row r="29" spans="1:11" x14ac:dyDescent="0.25">
      <c r="A29" t="s">
        <v>43</v>
      </c>
      <c r="C29">
        <v>18754354</v>
      </c>
      <c r="D29" t="s">
        <v>71</v>
      </c>
      <c r="E29" t="s">
        <v>72</v>
      </c>
      <c r="F29">
        <v>112168044</v>
      </c>
      <c r="G29" s="1">
        <v>45658</v>
      </c>
      <c r="H29" s="1">
        <v>45793</v>
      </c>
      <c r="I29" t="s">
        <v>14</v>
      </c>
      <c r="J29" t="s">
        <v>73</v>
      </c>
      <c r="K29" s="2">
        <v>20</v>
      </c>
    </row>
    <row r="30" spans="1:11" x14ac:dyDescent="0.25">
      <c r="A30" t="s">
        <v>43</v>
      </c>
      <c r="C30">
        <v>18754354</v>
      </c>
      <c r="D30" t="s">
        <v>71</v>
      </c>
      <c r="E30" t="s">
        <v>72</v>
      </c>
      <c r="F30">
        <v>112168044</v>
      </c>
      <c r="G30" s="1">
        <v>45658</v>
      </c>
      <c r="H30" s="1">
        <v>45793</v>
      </c>
      <c r="I30" t="s">
        <v>14</v>
      </c>
      <c r="J30" t="s">
        <v>74</v>
      </c>
      <c r="K30" s="2">
        <v>-20</v>
      </c>
    </row>
    <row r="31" spans="1:11" x14ac:dyDescent="0.25">
      <c r="A31" t="s">
        <v>43</v>
      </c>
      <c r="C31">
        <v>18754354</v>
      </c>
      <c r="D31" t="s">
        <v>71</v>
      </c>
      <c r="E31" t="s">
        <v>72</v>
      </c>
      <c r="F31">
        <v>112168044</v>
      </c>
      <c r="G31" s="1">
        <v>45658</v>
      </c>
      <c r="H31" s="1">
        <v>45793</v>
      </c>
      <c r="I31" t="s">
        <v>14</v>
      </c>
      <c r="J31" t="s">
        <v>75</v>
      </c>
      <c r="K31" s="2">
        <v>-20</v>
      </c>
    </row>
    <row r="32" spans="1:11" x14ac:dyDescent="0.25">
      <c r="A32" t="s">
        <v>43</v>
      </c>
      <c r="C32">
        <v>18754354</v>
      </c>
      <c r="D32" t="s">
        <v>48</v>
      </c>
      <c r="E32" t="s">
        <v>49</v>
      </c>
      <c r="F32">
        <v>112381384</v>
      </c>
      <c r="G32" s="1">
        <v>45658</v>
      </c>
      <c r="H32" s="1">
        <v>45793</v>
      </c>
      <c r="I32" t="s">
        <v>14</v>
      </c>
      <c r="J32" t="s">
        <v>76</v>
      </c>
      <c r="K32" s="2">
        <v>45.56</v>
      </c>
    </row>
    <row r="33" spans="1:11" x14ac:dyDescent="0.25">
      <c r="A33" t="s">
        <v>43</v>
      </c>
      <c r="C33">
        <v>18754354</v>
      </c>
      <c r="D33" t="s">
        <v>44</v>
      </c>
      <c r="E33" t="s">
        <v>45</v>
      </c>
      <c r="F33">
        <v>112419154</v>
      </c>
      <c r="G33" s="1">
        <v>45689</v>
      </c>
      <c r="H33" s="1">
        <v>45793</v>
      </c>
      <c r="I33" t="s">
        <v>14</v>
      </c>
      <c r="J33" t="s">
        <v>77</v>
      </c>
      <c r="K33" s="2">
        <v>25</v>
      </c>
    </row>
    <row r="34" spans="1:11" x14ac:dyDescent="0.25">
      <c r="A34" t="s">
        <v>43</v>
      </c>
      <c r="C34">
        <v>18754354</v>
      </c>
      <c r="D34" t="s">
        <v>46</v>
      </c>
      <c r="E34" t="s">
        <v>47</v>
      </c>
      <c r="F34">
        <v>112381370</v>
      </c>
      <c r="G34" s="1">
        <v>45658</v>
      </c>
      <c r="H34" s="1">
        <v>45793</v>
      </c>
      <c r="I34" t="s">
        <v>14</v>
      </c>
      <c r="J34" t="s">
        <v>78</v>
      </c>
      <c r="K34" s="2">
        <v>16.170000000000002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FC4B-BAF3-4542-868B-A0E094BF30B3}">
  <dimension ref="A1:P34"/>
  <sheetViews>
    <sheetView tabSelected="1" workbookViewId="0">
      <selection activeCell="G2" sqref="G2:G34"/>
    </sheetView>
  </sheetViews>
  <sheetFormatPr defaultRowHeight="15" x14ac:dyDescent="0.25"/>
  <cols>
    <col min="1" max="1" width="16" style="3" bestFit="1" customWidth="1"/>
    <col min="2" max="2" width="10.7109375" style="3" bestFit="1" customWidth="1"/>
    <col min="3" max="3" width="13.28515625" style="3" bestFit="1" customWidth="1"/>
    <col min="4" max="4" width="12.42578125" style="3" bestFit="1" customWidth="1"/>
    <col min="5" max="5" width="15" style="3" bestFit="1" customWidth="1"/>
    <col min="6" max="6" width="10.85546875" style="3" bestFit="1" customWidth="1"/>
    <col min="7" max="7" width="11" style="3" bestFit="1" customWidth="1"/>
    <col min="8" max="8" width="11.85546875" style="3" bestFit="1" customWidth="1"/>
    <col min="9" max="9" width="14.7109375" style="3" bestFit="1" customWidth="1"/>
    <col min="10" max="10" width="14.85546875" style="3" bestFit="1" customWidth="1"/>
    <col min="11" max="11" width="70.140625" style="3" bestFit="1" customWidth="1"/>
    <col min="12" max="12" width="15.7109375" style="3" bestFit="1" customWidth="1"/>
    <col min="13" max="13" width="19.7109375" style="3" bestFit="1" customWidth="1"/>
    <col min="14" max="16384" width="9.140625" style="3"/>
  </cols>
  <sheetData>
    <row r="1" spans="1:15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5" x14ac:dyDescent="0.25">
      <c r="A2" s="3" t="s">
        <v>95</v>
      </c>
      <c r="B2" s="3">
        <v>20411454</v>
      </c>
      <c r="C2" s="3" t="s">
        <v>12</v>
      </c>
      <c r="D2" s="3" t="s">
        <v>13</v>
      </c>
      <c r="E2" s="3" t="str">
        <f>CONCATENATE(C2, " ",D2)</f>
        <v>Caroline Robles</v>
      </c>
      <c r="F2" s="3">
        <v>111102853</v>
      </c>
      <c r="G2" s="3" t="str">
        <f>CONCATENATE(F2,1)</f>
        <v>1111028531</v>
      </c>
      <c r="H2" s="4">
        <v>45658</v>
      </c>
      <c r="I2" s="4">
        <v>45793</v>
      </c>
      <c r="J2" s="3" t="s">
        <v>14</v>
      </c>
      <c r="K2" s="3" t="s">
        <v>15</v>
      </c>
      <c r="L2" s="5">
        <v>3</v>
      </c>
      <c r="M2" s="3" t="s">
        <v>79</v>
      </c>
      <c r="N2" s="3" t="s">
        <v>83</v>
      </c>
      <c r="O2" s="5">
        <v>3</v>
      </c>
    </row>
    <row r="3" spans="1:15" x14ac:dyDescent="0.25">
      <c r="A3" s="3" t="s">
        <v>95</v>
      </c>
      <c r="B3" s="3">
        <v>20411454</v>
      </c>
      <c r="C3" s="3" t="s">
        <v>16</v>
      </c>
      <c r="D3" s="3" t="s">
        <v>17</v>
      </c>
      <c r="E3" s="3" t="str">
        <f t="shared" ref="E3:E34" si="0">CONCATENATE(C3, " ",D3)</f>
        <v>Sherry Beach</v>
      </c>
      <c r="F3" s="3">
        <v>111828564</v>
      </c>
      <c r="G3" s="3" t="str">
        <f t="shared" ref="G3:G26" si="1">CONCATENATE(F3,1)</f>
        <v>1118285641</v>
      </c>
      <c r="H3" s="4">
        <v>45658</v>
      </c>
      <c r="I3" s="4">
        <v>45793</v>
      </c>
      <c r="J3" s="3" t="s">
        <v>14</v>
      </c>
      <c r="K3" s="3" t="s">
        <v>15</v>
      </c>
      <c r="L3" s="5">
        <v>3</v>
      </c>
      <c r="M3" s="3" t="s">
        <v>79</v>
      </c>
      <c r="N3" s="3" t="s">
        <v>83</v>
      </c>
      <c r="O3" s="5">
        <v>3</v>
      </c>
    </row>
    <row r="4" spans="1:15" x14ac:dyDescent="0.25">
      <c r="A4" s="3" t="s">
        <v>95</v>
      </c>
      <c r="B4" s="3">
        <v>20411454</v>
      </c>
      <c r="C4" s="3" t="s">
        <v>18</v>
      </c>
      <c r="D4" s="3" t="s">
        <v>19</v>
      </c>
      <c r="E4" s="3" t="str">
        <f t="shared" si="0"/>
        <v>Terri Burkett</v>
      </c>
      <c r="F4" s="3">
        <v>111593834</v>
      </c>
      <c r="G4" s="3" t="str">
        <f t="shared" si="1"/>
        <v>1115938341</v>
      </c>
      <c r="H4" s="4">
        <v>45658</v>
      </c>
      <c r="I4" s="4">
        <v>45793</v>
      </c>
      <c r="J4" s="3" t="s">
        <v>14</v>
      </c>
      <c r="K4" s="3" t="s">
        <v>15</v>
      </c>
      <c r="L4" s="5">
        <v>3</v>
      </c>
      <c r="M4" s="3" t="s">
        <v>79</v>
      </c>
      <c r="N4" s="3" t="s">
        <v>83</v>
      </c>
      <c r="O4" s="5">
        <v>3</v>
      </c>
    </row>
    <row r="5" spans="1:15" x14ac:dyDescent="0.25">
      <c r="A5" s="3" t="s">
        <v>95</v>
      </c>
      <c r="B5" s="3">
        <v>20411454</v>
      </c>
      <c r="C5" s="3" t="s">
        <v>20</v>
      </c>
      <c r="D5" s="3" t="s">
        <v>21</v>
      </c>
      <c r="E5" s="3" t="str">
        <f t="shared" si="0"/>
        <v>Kimberly Prescaro</v>
      </c>
      <c r="F5" s="3">
        <v>111241629</v>
      </c>
      <c r="G5" s="3" t="str">
        <f t="shared" si="1"/>
        <v>1112416291</v>
      </c>
      <c r="H5" s="4">
        <v>45658</v>
      </c>
      <c r="I5" s="4">
        <v>45793</v>
      </c>
      <c r="J5" s="3" t="s">
        <v>14</v>
      </c>
      <c r="K5" s="3" t="s">
        <v>15</v>
      </c>
      <c r="L5" s="5">
        <v>3</v>
      </c>
      <c r="M5" s="3" t="s">
        <v>79</v>
      </c>
      <c r="N5" s="3" t="s">
        <v>83</v>
      </c>
      <c r="O5" s="5">
        <v>3</v>
      </c>
    </row>
    <row r="6" spans="1:15" x14ac:dyDescent="0.25">
      <c r="A6" s="3" t="s">
        <v>95</v>
      </c>
      <c r="B6" s="3">
        <v>20411454</v>
      </c>
      <c r="C6" s="3" t="s">
        <v>22</v>
      </c>
      <c r="D6" s="3" t="s">
        <v>23</v>
      </c>
      <c r="E6" s="3" t="str">
        <f t="shared" si="0"/>
        <v>Christopher Stevanus</v>
      </c>
      <c r="F6" s="3">
        <v>111849444</v>
      </c>
      <c r="G6" s="3" t="str">
        <f t="shared" si="1"/>
        <v>1118494441</v>
      </c>
      <c r="H6" s="4">
        <v>45658</v>
      </c>
      <c r="I6" s="4">
        <v>45793</v>
      </c>
      <c r="J6" s="3" t="s">
        <v>14</v>
      </c>
      <c r="K6" s="3" t="s">
        <v>15</v>
      </c>
      <c r="L6" s="5">
        <v>3</v>
      </c>
      <c r="M6" s="3" t="s">
        <v>79</v>
      </c>
      <c r="N6" s="3" t="s">
        <v>83</v>
      </c>
      <c r="O6" s="5">
        <v>3</v>
      </c>
    </row>
    <row r="7" spans="1:15" x14ac:dyDescent="0.25">
      <c r="A7" s="3" t="s">
        <v>95</v>
      </c>
      <c r="B7" s="3">
        <v>20411454</v>
      </c>
      <c r="C7" s="3" t="s">
        <v>24</v>
      </c>
      <c r="D7" s="3" t="s">
        <v>25</v>
      </c>
      <c r="E7" s="3" t="str">
        <f t="shared" si="0"/>
        <v>Connie Binns</v>
      </c>
      <c r="F7" s="3">
        <v>112342893</v>
      </c>
      <c r="G7" s="3" t="str">
        <f t="shared" si="1"/>
        <v>1123428931</v>
      </c>
      <c r="H7" s="4">
        <v>45658</v>
      </c>
      <c r="I7" s="4">
        <v>45793</v>
      </c>
      <c r="J7" s="3" t="s">
        <v>14</v>
      </c>
      <c r="K7" s="3" t="s">
        <v>15</v>
      </c>
      <c r="L7" s="5">
        <v>3</v>
      </c>
      <c r="M7" s="3" t="s">
        <v>79</v>
      </c>
      <c r="N7" s="3" t="s">
        <v>83</v>
      </c>
      <c r="O7" s="5">
        <v>3</v>
      </c>
    </row>
    <row r="8" spans="1:15" x14ac:dyDescent="0.25">
      <c r="A8" s="3" t="s">
        <v>95</v>
      </c>
      <c r="B8" s="3">
        <v>20411454</v>
      </c>
      <c r="C8" s="3" t="s">
        <v>26</v>
      </c>
      <c r="D8" s="3" t="s">
        <v>27</v>
      </c>
      <c r="E8" s="3" t="str">
        <f t="shared" si="0"/>
        <v>Jackie Dello</v>
      </c>
      <c r="F8" s="3">
        <v>109839671</v>
      </c>
      <c r="G8" s="3" t="str">
        <f t="shared" si="1"/>
        <v>1098396711</v>
      </c>
      <c r="H8" s="4">
        <v>45658</v>
      </c>
      <c r="I8" s="4">
        <v>45793</v>
      </c>
      <c r="J8" s="3" t="s">
        <v>14</v>
      </c>
      <c r="K8" s="3" t="s">
        <v>15</v>
      </c>
      <c r="L8" s="5">
        <v>3</v>
      </c>
      <c r="M8" s="3" t="s">
        <v>79</v>
      </c>
      <c r="N8" s="3" t="s">
        <v>83</v>
      </c>
      <c r="O8" s="5">
        <v>3</v>
      </c>
    </row>
    <row r="9" spans="1:15" x14ac:dyDescent="0.25">
      <c r="A9" s="3" t="s">
        <v>95</v>
      </c>
      <c r="B9" s="3">
        <v>20411454</v>
      </c>
      <c r="C9" s="3" t="s">
        <v>28</v>
      </c>
      <c r="D9" s="3" t="s">
        <v>29</v>
      </c>
      <c r="E9" s="3" t="str">
        <f t="shared" si="0"/>
        <v>Magdalena Rosa Serrano</v>
      </c>
      <c r="F9" s="3">
        <v>111876534</v>
      </c>
      <c r="G9" s="3" t="str">
        <f t="shared" si="1"/>
        <v>1118765341</v>
      </c>
      <c r="H9" s="4">
        <v>45689</v>
      </c>
      <c r="I9" s="4">
        <v>45793</v>
      </c>
      <c r="J9" s="3" t="s">
        <v>14</v>
      </c>
      <c r="K9" s="3" t="s">
        <v>15</v>
      </c>
      <c r="L9" s="5">
        <v>3</v>
      </c>
      <c r="M9" s="3" t="s">
        <v>79</v>
      </c>
      <c r="N9" s="3" t="s">
        <v>83</v>
      </c>
      <c r="O9" s="5">
        <v>3</v>
      </c>
    </row>
    <row r="10" spans="1:15" x14ac:dyDescent="0.25">
      <c r="A10" s="3" t="s">
        <v>95</v>
      </c>
      <c r="B10" s="3">
        <v>20411454</v>
      </c>
      <c r="C10" s="3" t="s">
        <v>30</v>
      </c>
      <c r="D10" s="3" t="s">
        <v>31</v>
      </c>
      <c r="E10" s="3" t="str">
        <f t="shared" si="0"/>
        <v>Nancy Gale</v>
      </c>
      <c r="F10" s="3">
        <v>111786407</v>
      </c>
      <c r="G10" s="3" t="str">
        <f t="shared" si="1"/>
        <v>1117864071</v>
      </c>
      <c r="H10" s="4">
        <v>45658</v>
      </c>
      <c r="I10" s="4">
        <v>45793</v>
      </c>
      <c r="J10" s="3" t="s">
        <v>14</v>
      </c>
      <c r="K10" s="3" t="s">
        <v>15</v>
      </c>
      <c r="L10" s="5">
        <v>3</v>
      </c>
      <c r="M10" s="3" t="s">
        <v>79</v>
      </c>
      <c r="N10" s="3" t="s">
        <v>83</v>
      </c>
      <c r="O10" s="5">
        <v>3</v>
      </c>
    </row>
    <row r="11" spans="1:15" x14ac:dyDescent="0.25">
      <c r="A11" s="3" t="s">
        <v>95</v>
      </c>
      <c r="B11" s="3">
        <v>20411454</v>
      </c>
      <c r="C11" s="3" t="s">
        <v>32</v>
      </c>
      <c r="D11" s="3" t="s">
        <v>33</v>
      </c>
      <c r="E11" s="3" t="str">
        <f t="shared" si="0"/>
        <v>Denise Zumpella</v>
      </c>
      <c r="F11" s="3">
        <v>109376890</v>
      </c>
      <c r="G11" s="3" t="str">
        <f t="shared" si="1"/>
        <v>1093768901</v>
      </c>
      <c r="H11" s="4">
        <v>45658</v>
      </c>
      <c r="I11" s="4">
        <v>45793</v>
      </c>
      <c r="J11" s="3" t="s">
        <v>14</v>
      </c>
      <c r="K11" s="3" t="s">
        <v>15</v>
      </c>
      <c r="L11" s="5">
        <v>3</v>
      </c>
      <c r="M11" s="3" t="s">
        <v>79</v>
      </c>
      <c r="N11" s="3" t="s">
        <v>83</v>
      </c>
      <c r="O11" s="5">
        <v>3</v>
      </c>
    </row>
    <row r="12" spans="1:15" x14ac:dyDescent="0.25">
      <c r="A12" s="3" t="s">
        <v>95</v>
      </c>
      <c r="B12" s="3">
        <v>20411454</v>
      </c>
      <c r="C12" s="3" t="s">
        <v>35</v>
      </c>
      <c r="D12" s="3" t="s">
        <v>36</v>
      </c>
      <c r="E12" s="3" t="str">
        <f t="shared" si="0"/>
        <v>Carla Williams</v>
      </c>
      <c r="F12" s="3">
        <v>112399968</v>
      </c>
      <c r="G12" s="3" t="str">
        <f t="shared" si="1"/>
        <v>1123999681</v>
      </c>
      <c r="H12" s="4">
        <v>45658</v>
      </c>
      <c r="I12" s="4">
        <v>45793</v>
      </c>
      <c r="J12" s="3" t="s">
        <v>14</v>
      </c>
      <c r="K12" s="3" t="s">
        <v>15</v>
      </c>
      <c r="L12" s="5">
        <v>3</v>
      </c>
      <c r="M12" s="3" t="s">
        <v>79</v>
      </c>
      <c r="N12" s="3" t="s">
        <v>83</v>
      </c>
      <c r="O12" s="5">
        <v>3</v>
      </c>
    </row>
    <row r="13" spans="1:15" x14ac:dyDescent="0.25">
      <c r="A13" s="3" t="s">
        <v>95</v>
      </c>
      <c r="B13" s="3">
        <v>20411454</v>
      </c>
      <c r="C13" s="3" t="s">
        <v>37</v>
      </c>
      <c r="D13" s="3" t="s">
        <v>38</v>
      </c>
      <c r="E13" s="3" t="str">
        <f t="shared" si="0"/>
        <v>Larry Bumgardner</v>
      </c>
      <c r="F13" s="3">
        <v>106737758</v>
      </c>
      <c r="G13" s="3" t="str">
        <f t="shared" si="1"/>
        <v>1067377581</v>
      </c>
      <c r="H13" s="4">
        <v>45658</v>
      </c>
      <c r="I13" s="4">
        <v>45793</v>
      </c>
      <c r="J13" s="3" t="s">
        <v>14</v>
      </c>
      <c r="K13" s="3" t="s">
        <v>15</v>
      </c>
      <c r="L13" s="5">
        <v>3</v>
      </c>
      <c r="M13" s="3" t="s">
        <v>79</v>
      </c>
      <c r="N13" s="3" t="s">
        <v>83</v>
      </c>
      <c r="O13" s="5">
        <v>3</v>
      </c>
    </row>
    <row r="14" spans="1:15" x14ac:dyDescent="0.25">
      <c r="A14" s="3" t="s">
        <v>95</v>
      </c>
      <c r="B14" s="3">
        <v>20411454</v>
      </c>
      <c r="C14" s="3" t="s">
        <v>39</v>
      </c>
      <c r="D14" s="3" t="s">
        <v>40</v>
      </c>
      <c r="E14" s="3" t="str">
        <f t="shared" si="0"/>
        <v>Lori Henry</v>
      </c>
      <c r="F14" s="3">
        <v>110809733</v>
      </c>
      <c r="G14" s="3" t="str">
        <f t="shared" si="1"/>
        <v>1108097331</v>
      </c>
      <c r="H14" s="4">
        <v>45658</v>
      </c>
      <c r="I14" s="4">
        <v>45793</v>
      </c>
      <c r="J14" s="3" t="s">
        <v>14</v>
      </c>
      <c r="K14" s="3" t="s">
        <v>15</v>
      </c>
      <c r="L14" s="5">
        <v>3</v>
      </c>
      <c r="M14" s="3" t="s">
        <v>79</v>
      </c>
      <c r="N14" s="3" t="s">
        <v>83</v>
      </c>
      <c r="O14" s="5">
        <v>3</v>
      </c>
    </row>
    <row r="15" spans="1:15" x14ac:dyDescent="0.25">
      <c r="A15" s="3" t="s">
        <v>95</v>
      </c>
      <c r="B15" s="3">
        <v>20411454</v>
      </c>
      <c r="C15" s="3" t="s">
        <v>41</v>
      </c>
      <c r="D15" s="3" t="s">
        <v>42</v>
      </c>
      <c r="E15" s="3" t="str">
        <f t="shared" si="0"/>
        <v>Tanner A Melvin</v>
      </c>
      <c r="F15" s="3">
        <v>110700972</v>
      </c>
      <c r="G15" s="3" t="str">
        <f t="shared" si="1"/>
        <v>1107009721</v>
      </c>
      <c r="H15" s="4">
        <v>45658</v>
      </c>
      <c r="I15" s="4">
        <v>45793</v>
      </c>
      <c r="J15" s="3" t="s">
        <v>14</v>
      </c>
      <c r="K15" s="3" t="s">
        <v>15</v>
      </c>
      <c r="L15" s="5">
        <v>3</v>
      </c>
      <c r="M15" s="3" t="s">
        <v>79</v>
      </c>
      <c r="N15" s="3" t="s">
        <v>83</v>
      </c>
      <c r="O15" s="5">
        <v>3</v>
      </c>
    </row>
    <row r="16" spans="1:15" x14ac:dyDescent="0.25">
      <c r="A16" s="3" t="s">
        <v>95</v>
      </c>
      <c r="B16" s="3">
        <v>20411454</v>
      </c>
      <c r="C16" s="3" t="s">
        <v>44</v>
      </c>
      <c r="D16" s="3" t="s">
        <v>45</v>
      </c>
      <c r="E16" s="3" t="str">
        <f t="shared" si="0"/>
        <v>Jessica Mayhew</v>
      </c>
      <c r="F16" s="3">
        <v>112419154</v>
      </c>
      <c r="G16" s="3" t="str">
        <f t="shared" si="1"/>
        <v>1124191541</v>
      </c>
      <c r="H16" s="4">
        <v>45689</v>
      </c>
      <c r="I16" s="4">
        <v>45793</v>
      </c>
      <c r="J16" s="3" t="s">
        <v>14</v>
      </c>
      <c r="K16" s="3" t="s">
        <v>15</v>
      </c>
      <c r="L16" s="5">
        <v>3</v>
      </c>
      <c r="M16" s="3" t="s">
        <v>79</v>
      </c>
      <c r="N16" s="3" t="s">
        <v>83</v>
      </c>
      <c r="O16" s="5">
        <v>3</v>
      </c>
    </row>
    <row r="17" spans="1:16" x14ac:dyDescent="0.25">
      <c r="A17" s="3" t="s">
        <v>95</v>
      </c>
      <c r="B17" s="3">
        <v>20411454</v>
      </c>
      <c r="C17" s="3" t="s">
        <v>46</v>
      </c>
      <c r="D17" s="3" t="s">
        <v>47</v>
      </c>
      <c r="E17" s="3" t="str">
        <f t="shared" si="0"/>
        <v>Oliviah Tisone</v>
      </c>
      <c r="F17" s="3">
        <v>112381370</v>
      </c>
      <c r="G17" s="3" t="str">
        <f t="shared" si="1"/>
        <v>1123813701</v>
      </c>
      <c r="H17" s="4">
        <v>45658</v>
      </c>
      <c r="I17" s="4">
        <v>45793</v>
      </c>
      <c r="J17" s="3" t="s">
        <v>14</v>
      </c>
      <c r="K17" s="3" t="s">
        <v>15</v>
      </c>
      <c r="L17" s="5">
        <v>3</v>
      </c>
      <c r="M17" s="3" t="s">
        <v>79</v>
      </c>
      <c r="N17" s="3" t="s">
        <v>83</v>
      </c>
      <c r="O17" s="5">
        <v>3</v>
      </c>
    </row>
    <row r="18" spans="1:16" x14ac:dyDescent="0.25">
      <c r="A18" s="3" t="s">
        <v>95</v>
      </c>
      <c r="B18" s="3">
        <v>20411454</v>
      </c>
      <c r="C18" s="3" t="s">
        <v>48</v>
      </c>
      <c r="D18" s="3" t="s">
        <v>49</v>
      </c>
      <c r="E18" s="3" t="str">
        <f t="shared" si="0"/>
        <v>Tonya Milam</v>
      </c>
      <c r="F18" s="3">
        <v>112381384</v>
      </c>
      <c r="G18" s="3" t="str">
        <f t="shared" si="1"/>
        <v>1123813841</v>
      </c>
      <c r="H18" s="4">
        <v>45658</v>
      </c>
      <c r="I18" s="4">
        <v>45793</v>
      </c>
      <c r="J18" s="3" t="s">
        <v>14</v>
      </c>
      <c r="K18" s="3" t="s">
        <v>15</v>
      </c>
      <c r="L18" s="5">
        <v>3</v>
      </c>
      <c r="M18" s="3" t="s">
        <v>79</v>
      </c>
      <c r="N18" s="3" t="s">
        <v>83</v>
      </c>
      <c r="O18" s="5">
        <v>3</v>
      </c>
    </row>
    <row r="19" spans="1:16" x14ac:dyDescent="0.25">
      <c r="A19" s="3" t="s">
        <v>95</v>
      </c>
      <c r="B19" s="3">
        <v>20411454</v>
      </c>
      <c r="C19" s="3" t="s">
        <v>50</v>
      </c>
      <c r="D19" s="3" t="s">
        <v>51</v>
      </c>
      <c r="E19" s="3" t="str">
        <f t="shared" si="0"/>
        <v>Jerry Hartman</v>
      </c>
      <c r="F19" s="3">
        <v>109263551</v>
      </c>
      <c r="G19" s="3" t="str">
        <f t="shared" si="1"/>
        <v>1092635511</v>
      </c>
      <c r="H19" s="4">
        <v>45658</v>
      </c>
      <c r="I19" s="4">
        <v>45793</v>
      </c>
      <c r="J19" s="3" t="s">
        <v>14</v>
      </c>
      <c r="K19" s="3" t="s">
        <v>52</v>
      </c>
      <c r="L19" s="5">
        <v>6</v>
      </c>
      <c r="M19" s="3" t="s">
        <v>79</v>
      </c>
      <c r="N19" s="3" t="s">
        <v>83</v>
      </c>
      <c r="O19" s="5">
        <v>6</v>
      </c>
    </row>
    <row r="20" spans="1:16" x14ac:dyDescent="0.25">
      <c r="A20" s="3" t="s">
        <v>95</v>
      </c>
      <c r="B20" s="3">
        <v>20411454</v>
      </c>
      <c r="C20" s="3" t="s">
        <v>53</v>
      </c>
      <c r="D20" s="3" t="s">
        <v>54</v>
      </c>
      <c r="E20" s="3" t="str">
        <f t="shared" si="0"/>
        <v>Kylee Morr</v>
      </c>
      <c r="F20" s="3">
        <v>112407726</v>
      </c>
      <c r="G20" s="3" t="str">
        <f t="shared" si="1"/>
        <v>1124077261</v>
      </c>
      <c r="H20" s="4">
        <v>45689</v>
      </c>
      <c r="I20" s="4">
        <v>45793</v>
      </c>
      <c r="J20" s="3" t="s">
        <v>14</v>
      </c>
      <c r="K20" s="3" t="s">
        <v>52</v>
      </c>
      <c r="L20" s="5">
        <v>6</v>
      </c>
      <c r="M20" s="3" t="s">
        <v>79</v>
      </c>
      <c r="N20" s="3" t="s">
        <v>83</v>
      </c>
      <c r="O20" s="5">
        <v>6</v>
      </c>
    </row>
    <row r="21" spans="1:16" x14ac:dyDescent="0.25">
      <c r="A21" s="3" t="s">
        <v>95</v>
      </c>
      <c r="B21" s="3">
        <v>20411454</v>
      </c>
      <c r="C21" s="3" t="s">
        <v>55</v>
      </c>
      <c r="D21" s="3" t="s">
        <v>56</v>
      </c>
      <c r="E21" s="3" t="str">
        <f t="shared" si="0"/>
        <v>Terry Wuthrich</v>
      </c>
      <c r="F21" s="3">
        <v>111110447</v>
      </c>
      <c r="G21" s="3" t="str">
        <f t="shared" si="1"/>
        <v>1111104471</v>
      </c>
      <c r="H21" s="4">
        <v>45658</v>
      </c>
      <c r="I21" s="4">
        <v>45793</v>
      </c>
      <c r="J21" s="3" t="s">
        <v>14</v>
      </c>
      <c r="K21" s="3" t="s">
        <v>52</v>
      </c>
      <c r="L21" s="5">
        <v>6</v>
      </c>
      <c r="M21" s="3" t="s">
        <v>79</v>
      </c>
      <c r="N21" s="3" t="s">
        <v>83</v>
      </c>
      <c r="O21" s="5">
        <v>6</v>
      </c>
    </row>
    <row r="22" spans="1:16" x14ac:dyDescent="0.25">
      <c r="A22" s="3" t="s">
        <v>95</v>
      </c>
      <c r="B22" s="3">
        <v>20411454</v>
      </c>
      <c r="C22" s="3" t="s">
        <v>57</v>
      </c>
      <c r="D22" s="3" t="s">
        <v>58</v>
      </c>
      <c r="E22" s="3" t="str">
        <f t="shared" si="0"/>
        <v>Alana Stephan</v>
      </c>
      <c r="F22" s="3">
        <v>112319621</v>
      </c>
      <c r="G22" s="3" t="str">
        <f t="shared" si="1"/>
        <v>1123196211</v>
      </c>
      <c r="H22" s="4">
        <v>45658</v>
      </c>
      <c r="I22" s="4">
        <v>45793</v>
      </c>
      <c r="J22" s="3" t="s">
        <v>14</v>
      </c>
      <c r="K22" s="3" t="s">
        <v>52</v>
      </c>
      <c r="L22" s="5">
        <v>6</v>
      </c>
      <c r="M22" s="3" t="s">
        <v>79</v>
      </c>
      <c r="N22" s="3" t="s">
        <v>83</v>
      </c>
      <c r="O22" s="5">
        <v>6</v>
      </c>
    </row>
    <row r="23" spans="1:16" x14ac:dyDescent="0.25">
      <c r="A23" s="3" t="s">
        <v>95</v>
      </c>
      <c r="B23" s="3">
        <v>20411454</v>
      </c>
      <c r="C23" s="3" t="s">
        <v>59</v>
      </c>
      <c r="D23" s="3" t="s">
        <v>42</v>
      </c>
      <c r="E23" s="3" t="str">
        <f t="shared" si="0"/>
        <v>Todd Melvin</v>
      </c>
      <c r="F23" s="3">
        <v>110701159</v>
      </c>
      <c r="G23" s="3" t="str">
        <f t="shared" si="1"/>
        <v>1107011591</v>
      </c>
      <c r="H23" s="4">
        <v>45658</v>
      </c>
      <c r="I23" s="4">
        <v>45793</v>
      </c>
      <c r="J23" s="3" t="s">
        <v>14</v>
      </c>
      <c r="K23" s="3" t="s">
        <v>52</v>
      </c>
      <c r="L23" s="5">
        <v>6</v>
      </c>
      <c r="M23" s="3" t="s">
        <v>79</v>
      </c>
      <c r="N23" s="3" t="s">
        <v>83</v>
      </c>
      <c r="O23" s="5">
        <v>6</v>
      </c>
    </row>
    <row r="24" spans="1:16" x14ac:dyDescent="0.25">
      <c r="A24" s="3" t="s">
        <v>95</v>
      </c>
      <c r="B24" s="3">
        <v>20411454</v>
      </c>
      <c r="C24" s="3" t="s">
        <v>60</v>
      </c>
      <c r="D24" s="3" t="s">
        <v>61</v>
      </c>
      <c r="E24" s="3" t="str">
        <f t="shared" si="0"/>
        <v>Gavin Kissel</v>
      </c>
      <c r="F24" s="3">
        <v>112514281</v>
      </c>
      <c r="G24" s="3" t="str">
        <f t="shared" si="1"/>
        <v>1125142811</v>
      </c>
      <c r="H24" s="4">
        <v>45778</v>
      </c>
      <c r="I24" s="4">
        <v>45793</v>
      </c>
      <c r="J24" s="3" t="s">
        <v>14</v>
      </c>
      <c r="K24" s="3" t="s">
        <v>62</v>
      </c>
      <c r="L24" s="5">
        <v>9</v>
      </c>
      <c r="M24" s="3" t="s">
        <v>79</v>
      </c>
      <c r="N24" s="3" t="s">
        <v>83</v>
      </c>
      <c r="O24" s="5">
        <v>9</v>
      </c>
    </row>
    <row r="25" spans="1:16" x14ac:dyDescent="0.25">
      <c r="A25" s="3" t="s">
        <v>95</v>
      </c>
      <c r="B25" s="3">
        <v>20411454</v>
      </c>
      <c r="C25" s="3" t="s">
        <v>64</v>
      </c>
      <c r="D25" s="3" t="s">
        <v>65</v>
      </c>
      <c r="E25" s="3" t="str">
        <f t="shared" si="0"/>
        <v>Christopher D Huff</v>
      </c>
      <c r="F25" s="3">
        <v>110884571</v>
      </c>
      <c r="G25" s="3" t="str">
        <f t="shared" si="1"/>
        <v>1108845711</v>
      </c>
      <c r="H25" s="4">
        <v>45658</v>
      </c>
      <c r="I25" s="4">
        <v>45793</v>
      </c>
      <c r="J25" s="3" t="s">
        <v>14</v>
      </c>
      <c r="K25" s="3" t="s">
        <v>62</v>
      </c>
      <c r="L25" s="5">
        <v>9</v>
      </c>
      <c r="M25" s="3" t="s">
        <v>79</v>
      </c>
      <c r="N25" s="3" t="s">
        <v>83</v>
      </c>
      <c r="O25" s="5">
        <v>9</v>
      </c>
    </row>
    <row r="26" spans="1:16" x14ac:dyDescent="0.25">
      <c r="A26" s="3" t="s">
        <v>43</v>
      </c>
      <c r="B26" s="3">
        <v>18754354</v>
      </c>
      <c r="C26" s="3" t="s">
        <v>48</v>
      </c>
      <c r="D26" s="3" t="s">
        <v>49</v>
      </c>
      <c r="E26" s="3" t="str">
        <f t="shared" si="0"/>
        <v>Tonya Milam</v>
      </c>
      <c r="F26" s="3">
        <v>112381384</v>
      </c>
      <c r="G26" s="3" t="str">
        <f>CONCATENATE(F26,3)</f>
        <v>1123813843</v>
      </c>
      <c r="H26" s="4">
        <v>45658</v>
      </c>
      <c r="I26" s="4">
        <v>45793</v>
      </c>
      <c r="J26" s="3" t="s">
        <v>14</v>
      </c>
      <c r="K26" s="3" t="s">
        <v>66</v>
      </c>
      <c r="L26" s="5">
        <v>-5</v>
      </c>
      <c r="M26" s="3" t="s">
        <v>80</v>
      </c>
      <c r="N26" s="3" t="s">
        <v>88</v>
      </c>
      <c r="O26" s="3">
        <v>-125</v>
      </c>
    </row>
    <row r="27" spans="1:16" x14ac:dyDescent="0.25">
      <c r="A27" s="3" t="s">
        <v>43</v>
      </c>
      <c r="B27" s="3">
        <v>18754354</v>
      </c>
      <c r="C27" s="3" t="s">
        <v>67</v>
      </c>
      <c r="D27" s="3" t="s">
        <v>68</v>
      </c>
      <c r="E27" s="3" t="str">
        <f t="shared" si="0"/>
        <v>Pamela Parker</v>
      </c>
      <c r="F27" s="3">
        <v>112413939</v>
      </c>
      <c r="G27" s="3" t="str">
        <f t="shared" ref="G27:G34" si="2">CONCATENATE(F27,3)</f>
        <v>1124139393</v>
      </c>
      <c r="H27" s="4">
        <v>45658</v>
      </c>
      <c r="I27" s="4">
        <v>45793</v>
      </c>
      <c r="J27" s="3" t="s">
        <v>14</v>
      </c>
      <c r="K27" s="3" t="s">
        <v>69</v>
      </c>
      <c r="L27" s="5">
        <v>-10</v>
      </c>
      <c r="M27" s="3" t="s">
        <v>80</v>
      </c>
      <c r="N27" s="3" t="s">
        <v>88</v>
      </c>
      <c r="O27" s="3">
        <v>-250</v>
      </c>
    </row>
    <row r="28" spans="1:16" x14ac:dyDescent="0.25">
      <c r="A28" s="3" t="s">
        <v>43</v>
      </c>
      <c r="B28" s="3">
        <v>18754354</v>
      </c>
      <c r="C28" s="3" t="s">
        <v>46</v>
      </c>
      <c r="D28" s="3" t="s">
        <v>47</v>
      </c>
      <c r="E28" s="3" t="str">
        <f t="shared" si="0"/>
        <v>Oliviah Tisone</v>
      </c>
      <c r="F28" s="3">
        <v>112381370</v>
      </c>
      <c r="G28" s="3" t="str">
        <f t="shared" si="2"/>
        <v>1123813703</v>
      </c>
      <c r="H28" s="4">
        <v>45658</v>
      </c>
      <c r="I28" s="4">
        <v>45793</v>
      </c>
      <c r="J28" s="3" t="s">
        <v>14</v>
      </c>
      <c r="K28" s="3" t="s">
        <v>70</v>
      </c>
      <c r="L28" s="5">
        <v>-5</v>
      </c>
      <c r="M28" s="3" t="s">
        <v>80</v>
      </c>
      <c r="N28" s="3" t="s">
        <v>88</v>
      </c>
      <c r="O28" s="3">
        <v>-125</v>
      </c>
    </row>
    <row r="29" spans="1:16" x14ac:dyDescent="0.25">
      <c r="A29" s="3" t="s">
        <v>43</v>
      </c>
      <c r="B29" s="3">
        <v>18754354</v>
      </c>
      <c r="C29" s="3" t="s">
        <v>71</v>
      </c>
      <c r="D29" s="3" t="s">
        <v>72</v>
      </c>
      <c r="E29" s="3" t="str">
        <f t="shared" si="0"/>
        <v>Derrick E Render</v>
      </c>
      <c r="F29" s="3">
        <v>112168044</v>
      </c>
      <c r="G29" s="3" t="str">
        <f t="shared" si="2"/>
        <v>1121680443</v>
      </c>
      <c r="H29" s="4">
        <v>45658</v>
      </c>
      <c r="I29" s="4">
        <v>45793</v>
      </c>
      <c r="J29" s="3" t="s">
        <v>14</v>
      </c>
      <c r="K29" s="3" t="s">
        <v>73</v>
      </c>
      <c r="L29" s="5">
        <v>20</v>
      </c>
      <c r="M29" s="3" t="s">
        <v>93</v>
      </c>
      <c r="N29" s="3" t="s">
        <v>89</v>
      </c>
      <c r="O29" s="3">
        <v>1</v>
      </c>
    </row>
    <row r="30" spans="1:16" x14ac:dyDescent="0.25">
      <c r="A30" s="3" t="s">
        <v>43</v>
      </c>
      <c r="B30" s="3">
        <v>18754354</v>
      </c>
      <c r="C30" s="3" t="s">
        <v>71</v>
      </c>
      <c r="D30" s="3" t="s">
        <v>72</v>
      </c>
      <c r="E30" s="3" t="str">
        <f t="shared" si="0"/>
        <v>Derrick E Render</v>
      </c>
      <c r="F30" s="3">
        <v>112168044</v>
      </c>
      <c r="G30" s="3" t="str">
        <f t="shared" si="2"/>
        <v>1121680443</v>
      </c>
      <c r="H30" s="4">
        <v>45658</v>
      </c>
      <c r="I30" s="4">
        <v>45793</v>
      </c>
      <c r="J30" s="3" t="s">
        <v>14</v>
      </c>
      <c r="K30" s="3" t="s">
        <v>74</v>
      </c>
      <c r="L30" s="5">
        <v>-20</v>
      </c>
      <c r="M30" s="3" t="s">
        <v>93</v>
      </c>
      <c r="N30" s="3" t="s">
        <v>90</v>
      </c>
      <c r="O30" s="3">
        <v>-1</v>
      </c>
    </row>
    <row r="31" spans="1:16" x14ac:dyDescent="0.25">
      <c r="A31" s="3" t="s">
        <v>43</v>
      </c>
      <c r="B31" s="3">
        <v>18754354</v>
      </c>
      <c r="C31" s="3" t="s">
        <v>71</v>
      </c>
      <c r="D31" s="3" t="s">
        <v>72</v>
      </c>
      <c r="E31" s="3" t="str">
        <f t="shared" si="0"/>
        <v>Derrick E Render</v>
      </c>
      <c r="F31" s="3">
        <v>112168044</v>
      </c>
      <c r="G31" s="3" t="str">
        <f t="shared" si="2"/>
        <v>1121680443</v>
      </c>
      <c r="H31" s="4">
        <v>45658</v>
      </c>
      <c r="I31" s="4">
        <v>45793</v>
      </c>
      <c r="J31" s="3" t="s">
        <v>14</v>
      </c>
      <c r="K31" s="3" t="s">
        <v>75</v>
      </c>
      <c r="L31" s="5">
        <v>-20</v>
      </c>
      <c r="M31" s="3" t="s">
        <v>93</v>
      </c>
      <c r="N31" s="3" t="s">
        <v>91</v>
      </c>
      <c r="O31" s="3">
        <v>-1</v>
      </c>
    </row>
    <row r="32" spans="1:16" x14ac:dyDescent="0.25">
      <c r="A32" s="3" t="s">
        <v>43</v>
      </c>
      <c r="B32" s="3">
        <v>18754354</v>
      </c>
      <c r="C32" s="3" t="s">
        <v>48</v>
      </c>
      <c r="D32" s="3" t="s">
        <v>49</v>
      </c>
      <c r="E32" s="3" t="str">
        <f t="shared" si="0"/>
        <v>Tonya Milam</v>
      </c>
      <c r="F32" s="3">
        <v>112381384</v>
      </c>
      <c r="G32" s="3" t="str">
        <f t="shared" si="2"/>
        <v>1123813843</v>
      </c>
      <c r="H32" s="4">
        <v>45658</v>
      </c>
      <c r="I32" s="4">
        <v>45793</v>
      </c>
      <c r="J32" s="3" t="s">
        <v>14</v>
      </c>
      <c r="K32" s="3" t="s">
        <v>76</v>
      </c>
      <c r="L32" s="5">
        <v>45.56</v>
      </c>
      <c r="M32" s="3" t="s">
        <v>80</v>
      </c>
      <c r="N32" s="3" t="s">
        <v>92</v>
      </c>
      <c r="O32" s="3">
        <v>1139.02</v>
      </c>
      <c r="P32" s="3">
        <f>O32*4%</f>
        <v>45.5608</v>
      </c>
    </row>
    <row r="33" spans="1:16" x14ac:dyDescent="0.25">
      <c r="A33" s="3" t="s">
        <v>43</v>
      </c>
      <c r="B33" s="3">
        <v>18754354</v>
      </c>
      <c r="C33" s="3" t="s">
        <v>44</v>
      </c>
      <c r="D33" s="3" t="s">
        <v>45</v>
      </c>
      <c r="E33" s="3" t="str">
        <f t="shared" si="0"/>
        <v>Jessica Mayhew</v>
      </c>
      <c r="F33" s="3">
        <v>112419154</v>
      </c>
      <c r="G33" s="3" t="str">
        <f t="shared" si="2"/>
        <v>1124191543</v>
      </c>
      <c r="H33" s="4">
        <v>45689</v>
      </c>
      <c r="I33" s="4">
        <v>45793</v>
      </c>
      <c r="J33" s="3" t="s">
        <v>14</v>
      </c>
      <c r="K33" s="3" t="s">
        <v>77</v>
      </c>
      <c r="L33" s="5">
        <v>25</v>
      </c>
      <c r="M33" s="3" t="s">
        <v>94</v>
      </c>
      <c r="N33" s="3" t="s">
        <v>92</v>
      </c>
      <c r="O33" s="3">
        <v>25</v>
      </c>
    </row>
    <row r="34" spans="1:16" x14ac:dyDescent="0.25">
      <c r="A34" s="3" t="s">
        <v>43</v>
      </c>
      <c r="B34" s="3">
        <v>18754354</v>
      </c>
      <c r="C34" s="3" t="s">
        <v>46</v>
      </c>
      <c r="D34" s="3" t="s">
        <v>47</v>
      </c>
      <c r="E34" s="3" t="str">
        <f t="shared" si="0"/>
        <v>Oliviah Tisone</v>
      </c>
      <c r="F34" s="3">
        <v>112381370</v>
      </c>
      <c r="G34" s="3" t="str">
        <f t="shared" si="2"/>
        <v>1123813703</v>
      </c>
      <c r="H34" s="4">
        <v>45658</v>
      </c>
      <c r="I34" s="4">
        <v>45793</v>
      </c>
      <c r="J34" s="3" t="s">
        <v>14</v>
      </c>
      <c r="K34" s="3" t="s">
        <v>78</v>
      </c>
      <c r="L34" s="5">
        <v>16.170000000000002</v>
      </c>
      <c r="M34" s="3" t="s">
        <v>80</v>
      </c>
      <c r="N34" s="3" t="s">
        <v>92</v>
      </c>
      <c r="O34" s="3">
        <v>404.37</v>
      </c>
      <c r="P34" s="3">
        <f>O34*4%</f>
        <v>16.174800000000001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1BDE-021A-4515-B483-102B16410F09}">
  <dimension ref="A1:D33"/>
  <sheetViews>
    <sheetView workbookViewId="0">
      <selection activeCell="D25" sqref="D25:D33"/>
    </sheetView>
  </sheetViews>
  <sheetFormatPr defaultRowHeight="15" x14ac:dyDescent="0.25"/>
  <cols>
    <col min="1" max="1" width="43" bestFit="1" customWidth="1"/>
    <col min="2" max="2" width="27" bestFit="1" customWidth="1"/>
    <col min="3" max="3" width="14" bestFit="1" customWidth="1"/>
  </cols>
  <sheetData>
    <row r="1" spans="1:3" x14ac:dyDescent="0.25">
      <c r="A1" t="s">
        <v>81</v>
      </c>
      <c r="B1" t="s">
        <v>82</v>
      </c>
      <c r="C1" t="s">
        <v>83</v>
      </c>
    </row>
    <row r="2" spans="1:3" x14ac:dyDescent="0.25">
      <c r="A2" t="s">
        <v>81</v>
      </c>
      <c r="B2" t="s">
        <v>82</v>
      </c>
      <c r="C2" t="s">
        <v>83</v>
      </c>
    </row>
    <row r="3" spans="1:3" x14ac:dyDescent="0.25">
      <c r="A3" t="s">
        <v>81</v>
      </c>
      <c r="B3" t="s">
        <v>82</v>
      </c>
      <c r="C3" t="s">
        <v>83</v>
      </c>
    </row>
    <row r="4" spans="1:3" x14ac:dyDescent="0.25">
      <c r="A4" t="s">
        <v>81</v>
      </c>
      <c r="B4" t="s">
        <v>82</v>
      </c>
      <c r="C4" t="s">
        <v>83</v>
      </c>
    </row>
    <row r="5" spans="1:3" x14ac:dyDescent="0.25">
      <c r="A5" t="s">
        <v>81</v>
      </c>
      <c r="B5" t="s">
        <v>82</v>
      </c>
      <c r="C5" t="s">
        <v>83</v>
      </c>
    </row>
    <row r="6" spans="1:3" x14ac:dyDescent="0.25">
      <c r="A6" t="s">
        <v>81</v>
      </c>
      <c r="B6" t="s">
        <v>82</v>
      </c>
      <c r="C6" t="s">
        <v>83</v>
      </c>
    </row>
    <row r="7" spans="1:3" x14ac:dyDescent="0.25">
      <c r="A7" t="s">
        <v>81</v>
      </c>
      <c r="B7" t="s">
        <v>82</v>
      </c>
      <c r="C7" t="s">
        <v>83</v>
      </c>
    </row>
    <row r="8" spans="1:3" x14ac:dyDescent="0.25">
      <c r="A8" t="s">
        <v>81</v>
      </c>
      <c r="B8" t="s">
        <v>82</v>
      </c>
      <c r="C8" t="s">
        <v>83</v>
      </c>
    </row>
    <row r="9" spans="1:3" x14ac:dyDescent="0.25">
      <c r="A9" t="s">
        <v>81</v>
      </c>
      <c r="B9" t="s">
        <v>82</v>
      </c>
      <c r="C9" t="s">
        <v>83</v>
      </c>
    </row>
    <row r="10" spans="1:3" x14ac:dyDescent="0.25">
      <c r="A10" t="s">
        <v>81</v>
      </c>
      <c r="B10" t="s">
        <v>82</v>
      </c>
      <c r="C10" t="s">
        <v>83</v>
      </c>
    </row>
    <row r="11" spans="1:3" x14ac:dyDescent="0.25">
      <c r="A11" t="s">
        <v>81</v>
      </c>
      <c r="B11" t="s">
        <v>82</v>
      </c>
      <c r="C11" t="s">
        <v>83</v>
      </c>
    </row>
    <row r="12" spans="1:3" x14ac:dyDescent="0.25">
      <c r="A12" t="s">
        <v>81</v>
      </c>
      <c r="B12" t="s">
        <v>82</v>
      </c>
      <c r="C12" t="s">
        <v>83</v>
      </c>
    </row>
    <row r="13" spans="1:3" x14ac:dyDescent="0.25">
      <c r="A13" t="s">
        <v>81</v>
      </c>
      <c r="B13" t="s">
        <v>82</v>
      </c>
      <c r="C13" t="s">
        <v>83</v>
      </c>
    </row>
    <row r="14" spans="1:3" x14ac:dyDescent="0.25">
      <c r="A14" t="s">
        <v>81</v>
      </c>
      <c r="B14" t="s">
        <v>82</v>
      </c>
      <c r="C14" t="s">
        <v>83</v>
      </c>
    </row>
    <row r="15" spans="1:3" x14ac:dyDescent="0.25">
      <c r="A15" t="s">
        <v>81</v>
      </c>
      <c r="B15" t="s">
        <v>82</v>
      </c>
      <c r="C15" t="s">
        <v>83</v>
      </c>
    </row>
    <row r="16" spans="1:3" x14ac:dyDescent="0.25">
      <c r="A16" t="s">
        <v>81</v>
      </c>
      <c r="B16" t="s">
        <v>82</v>
      </c>
      <c r="C16" t="s">
        <v>83</v>
      </c>
    </row>
    <row r="17" spans="1:4" x14ac:dyDescent="0.25">
      <c r="A17" t="s">
        <v>81</v>
      </c>
      <c r="B17" t="s">
        <v>82</v>
      </c>
      <c r="C17" t="s">
        <v>83</v>
      </c>
    </row>
    <row r="18" spans="1:4" x14ac:dyDescent="0.25">
      <c r="A18" t="s">
        <v>81</v>
      </c>
      <c r="B18" t="s">
        <v>84</v>
      </c>
      <c r="C18" t="s">
        <v>83</v>
      </c>
    </row>
    <row r="19" spans="1:4" x14ac:dyDescent="0.25">
      <c r="A19" t="s">
        <v>81</v>
      </c>
      <c r="B19" t="s">
        <v>84</v>
      </c>
      <c r="C19" t="s">
        <v>83</v>
      </c>
    </row>
    <row r="20" spans="1:4" x14ac:dyDescent="0.25">
      <c r="A20" t="s">
        <v>81</v>
      </c>
      <c r="B20" t="s">
        <v>84</v>
      </c>
      <c r="C20" t="s">
        <v>83</v>
      </c>
    </row>
    <row r="21" spans="1:4" x14ac:dyDescent="0.25">
      <c r="A21" t="s">
        <v>81</v>
      </c>
      <c r="B21" t="s">
        <v>84</v>
      </c>
      <c r="C21" t="s">
        <v>83</v>
      </c>
    </row>
    <row r="22" spans="1:4" x14ac:dyDescent="0.25">
      <c r="A22" t="s">
        <v>81</v>
      </c>
      <c r="B22" t="s">
        <v>84</v>
      </c>
      <c r="C22" t="s">
        <v>83</v>
      </c>
    </row>
    <row r="23" spans="1:4" x14ac:dyDescent="0.25">
      <c r="A23" t="s">
        <v>81</v>
      </c>
      <c r="B23" t="s">
        <v>85</v>
      </c>
      <c r="C23" t="s">
        <v>83</v>
      </c>
    </row>
    <row r="24" spans="1:4" x14ac:dyDescent="0.25">
      <c r="A24" t="s">
        <v>81</v>
      </c>
      <c r="B24" t="s">
        <v>85</v>
      </c>
      <c r="C24" t="s">
        <v>83</v>
      </c>
    </row>
    <row r="25" spans="1:4" x14ac:dyDescent="0.25">
      <c r="A25" t="s">
        <v>86</v>
      </c>
      <c r="B25" t="s">
        <v>87</v>
      </c>
      <c r="C25" t="s">
        <v>88</v>
      </c>
      <c r="D25">
        <v>1139.02</v>
      </c>
    </row>
    <row r="26" spans="1:4" x14ac:dyDescent="0.25">
      <c r="A26" t="s">
        <v>86</v>
      </c>
      <c r="B26" t="s">
        <v>87</v>
      </c>
      <c r="C26" t="s">
        <v>88</v>
      </c>
      <c r="D26">
        <v>1482.81</v>
      </c>
    </row>
    <row r="27" spans="1:4" x14ac:dyDescent="0.25">
      <c r="A27" t="s">
        <v>86</v>
      </c>
      <c r="B27" t="s">
        <v>87</v>
      </c>
      <c r="C27" t="s">
        <v>88</v>
      </c>
      <c r="D27">
        <v>404.37</v>
      </c>
    </row>
    <row r="28" spans="1:4" x14ac:dyDescent="0.25">
      <c r="A28" t="s">
        <v>86</v>
      </c>
      <c r="B28" t="s">
        <v>87</v>
      </c>
      <c r="C28" t="s">
        <v>89</v>
      </c>
      <c r="D28">
        <v>1021.7</v>
      </c>
    </row>
    <row r="29" spans="1:4" x14ac:dyDescent="0.25">
      <c r="A29" t="s">
        <v>86</v>
      </c>
      <c r="B29" t="s">
        <v>87</v>
      </c>
      <c r="C29" t="s">
        <v>90</v>
      </c>
      <c r="D29">
        <v>1021.7</v>
      </c>
    </row>
    <row r="30" spans="1:4" x14ac:dyDescent="0.25">
      <c r="A30" t="s">
        <v>86</v>
      </c>
      <c r="B30" t="s">
        <v>87</v>
      </c>
      <c r="C30" t="s">
        <v>91</v>
      </c>
      <c r="D30">
        <v>1021.7</v>
      </c>
    </row>
    <row r="31" spans="1:4" x14ac:dyDescent="0.25">
      <c r="A31" t="s">
        <v>86</v>
      </c>
      <c r="B31" t="s">
        <v>87</v>
      </c>
      <c r="C31" t="s">
        <v>92</v>
      </c>
      <c r="D31">
        <v>1139.02</v>
      </c>
    </row>
    <row r="32" spans="1:4" x14ac:dyDescent="0.25">
      <c r="A32" t="s">
        <v>86</v>
      </c>
      <c r="B32" t="s">
        <v>87</v>
      </c>
      <c r="C32" t="s">
        <v>92</v>
      </c>
      <c r="D32">
        <v>347.94</v>
      </c>
    </row>
    <row r="33" spans="1:4" x14ac:dyDescent="0.25">
      <c r="A33" t="s">
        <v>86</v>
      </c>
      <c r="B33" t="s">
        <v>87</v>
      </c>
      <c r="C33" t="s">
        <v>92</v>
      </c>
      <c r="D33">
        <v>404.37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2025-05-19T14:28:13Z</dcterms:created>
  <dcterms:modified xsi:type="dcterms:W3CDTF">2025-05-20T13:07:07Z</dcterms:modified>
</cp:coreProperties>
</file>