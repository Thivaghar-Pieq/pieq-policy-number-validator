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ils by Producer_Sub Produce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g/QFBthA0MWLDwsrg0Q1Z/eoPkFHml8cnboCN1atR+I="/>
    </ext>
  </extLst>
</workbook>
</file>

<file path=xl/sharedStrings.xml><?xml version="1.0" encoding="utf-8"?>
<sst xmlns="http://schemas.openxmlformats.org/spreadsheetml/2006/main" count="243" uniqueCount="56">
  <si>
    <t>Component</t>
  </si>
  <si>
    <t>Business Type</t>
  </si>
  <si>
    <t>Business Sub Type</t>
  </si>
  <si>
    <t>Producer/Sub Producer Name</t>
  </si>
  <si>
    <t>Source Id</t>
  </si>
  <si>
    <t>Account Policy Number</t>
  </si>
  <si>
    <t>Group Number</t>
  </si>
  <si>
    <t>Group/  Policy Name</t>
  </si>
  <si>
    <t>Orignal Eff Date</t>
  </si>
  <si>
    <t>Producer Eff Date</t>
  </si>
  <si>
    <t>Cancel Date</t>
  </si>
  <si>
    <t>Product Name</t>
  </si>
  <si>
    <t>Funding Type</t>
  </si>
  <si>
    <t>Calculation Method</t>
  </si>
  <si>
    <t>Number  of Contracts</t>
  </si>
  <si>
    <t>Split %</t>
  </si>
  <si>
    <t>Policy Mos</t>
  </si>
  <si>
    <t>Paid From Date</t>
  </si>
  <si>
    <t>Paid To Date</t>
  </si>
  <si>
    <t>Compensated Premium</t>
  </si>
  <si>
    <t>Override/ Commission Rate</t>
  </si>
  <si>
    <t>Override/ Commission Amount</t>
  </si>
  <si>
    <t>CTD Compensated Premium</t>
  </si>
  <si>
    <t>CTD Override/ Commission</t>
  </si>
  <si>
    <t>YTD Premium</t>
  </si>
  <si>
    <t>YTD Commission</t>
  </si>
  <si>
    <t>Billing Mode</t>
  </si>
  <si>
    <t>TOTAL COMMISSIONS</t>
  </si>
  <si>
    <t>INDIVIDUAL</t>
  </si>
  <si>
    <t>NEW BUSINESS</t>
  </si>
  <si>
    <t>107960289-SU-MATTHEW JAMES POWERS</t>
  </si>
  <si>
    <t xml:space="preserve">Source ID: </t>
  </si>
  <si>
    <t>OB1500</t>
  </si>
  <si>
    <t>HOFFART, COLLEEN</t>
  </si>
  <si>
    <t xml:space="preserve"> </t>
  </si>
  <si>
    <t>MYBLUEHEALTH^</t>
  </si>
  <si>
    <t>PREM</t>
  </si>
  <si>
    <t>$/Member</t>
  </si>
  <si>
    <t>HALLMARK, TODD</t>
  </si>
  <si>
    <t>RETENTION</t>
  </si>
  <si>
    <t>107866949-SU-GREGORY K TEIPEL</t>
  </si>
  <si>
    <t>DO2632</t>
  </si>
  <si>
    <t>MCCREA, KARIN</t>
  </si>
  <si>
    <t>DENPPO^</t>
  </si>
  <si>
    <t>% Premium Flat</t>
  </si>
  <si>
    <t>OB1803</t>
  </si>
  <si>
    <t>BLUEADVANTAGE^</t>
  </si>
  <si>
    <t>OB1404</t>
  </si>
  <si>
    <t>JEFFERSON, ROBERT</t>
  </si>
  <si>
    <t>FARROW, KENNETH</t>
  </si>
  <si>
    <t>MOORE, JERRY</t>
  </si>
  <si>
    <t>BUNCH, LINDSEY</t>
  </si>
  <si>
    <t>OS1121</t>
  </si>
  <si>
    <t>HATCHER, LISA</t>
  </si>
  <si>
    <t>OG1405</t>
  </si>
  <si>
    <t>POWERS, MATTHEW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</si>
</sst>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0" xfId="0" applyFont="1" applyNumberFormat="1"/>
    <xf borderId="0" fillId="0" fontId="2" numFmtId="15" xfId="0" applyFont="1" applyNumberFormat="1"/>
    <xf borderId="0" fillId="0" fontId="2" numFmtId="164" xfId="0" applyFont="1" applyNumberFormat="1"/>
    <xf borderId="0" fillId="0" fontId="2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13.57"/>
    <col customWidth="1" min="3" max="3" width="17.43"/>
    <col customWidth="1" min="4" max="4" width="38.0"/>
    <col customWidth="1" min="5" max="5" width="10.29"/>
    <col customWidth="1" min="6" max="6" width="22.0"/>
    <col customWidth="1" min="7" max="7" width="14.29"/>
    <col customWidth="1" min="8" max="8" width="19.43"/>
    <col customWidth="1" min="9" max="9" width="15.0"/>
    <col customWidth="1" min="10" max="10" width="16.57"/>
    <col customWidth="1" min="11" max="11" width="11.43"/>
    <col customWidth="1" min="12" max="12" width="17.71"/>
    <col customWidth="1" min="13" max="13" width="12.86"/>
    <col customWidth="1" min="14" max="14" width="18.57"/>
    <col customWidth="1" min="15" max="15" width="20.0"/>
    <col customWidth="1" min="16" max="16" width="8.14"/>
    <col customWidth="1" min="17" max="17" width="10.43"/>
    <col customWidth="1" min="18" max="18" width="14.57"/>
    <col customWidth="1" min="19" max="19" width="12.0"/>
    <col customWidth="1" min="20" max="20" width="22.29"/>
    <col customWidth="1" min="21" max="21" width="26.0"/>
    <col customWidth="1" min="22" max="22" width="29.14"/>
    <col customWidth="1" min="23" max="23" width="26.29"/>
    <col customWidth="1" min="24" max="24" width="25.29"/>
    <col customWidth="1" min="25" max="25" width="12.86"/>
    <col customWidth="1" min="26" max="26" width="15.71"/>
    <col customWidth="1" min="27" max="27" width="12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>
        <v>9.4725704E8</v>
      </c>
      <c r="G2" s="1" t="s">
        <v>32</v>
      </c>
      <c r="H2" s="1" t="s">
        <v>33</v>
      </c>
      <c r="I2" s="2">
        <v>46023.0</v>
      </c>
      <c r="J2" s="2">
        <v>46023.0</v>
      </c>
      <c r="K2" s="1" t="s">
        <v>34</v>
      </c>
      <c r="L2" s="1" t="s">
        <v>35</v>
      </c>
      <c r="M2" s="1" t="s">
        <v>36</v>
      </c>
      <c r="N2" s="1" t="s">
        <v>37</v>
      </c>
      <c r="O2" s="1">
        <v>1.0</v>
      </c>
      <c r="P2" s="3">
        <v>1.0</v>
      </c>
      <c r="Q2" s="1">
        <v>4.0</v>
      </c>
      <c r="R2" s="4">
        <v>46113.0</v>
      </c>
      <c r="S2" s="2">
        <v>46143.0</v>
      </c>
      <c r="T2" s="5">
        <v>0.0</v>
      </c>
      <c r="U2" s="5">
        <v>20.0</v>
      </c>
      <c r="V2" s="5">
        <v>20.0</v>
      </c>
      <c r="W2" s="5">
        <v>0.0</v>
      </c>
      <c r="X2" s="5">
        <v>0.0</v>
      </c>
      <c r="Y2" s="5">
        <v>0.0</v>
      </c>
      <c r="Z2" s="5">
        <v>80.0</v>
      </c>
      <c r="AA2" s="1">
        <v>1.0</v>
      </c>
    </row>
    <row r="3">
      <c r="A3" s="1" t="s">
        <v>27</v>
      </c>
      <c r="B3" s="1" t="s">
        <v>28</v>
      </c>
      <c r="C3" s="1" t="s">
        <v>29</v>
      </c>
      <c r="D3" s="1" t="s">
        <v>30</v>
      </c>
      <c r="E3" s="1" t="s">
        <v>31</v>
      </c>
      <c r="F3" s="1">
        <v>9.47257991E8</v>
      </c>
      <c r="G3" s="1" t="s">
        <v>32</v>
      </c>
      <c r="H3" s="1" t="s">
        <v>38</v>
      </c>
      <c r="I3" s="2">
        <v>46023.0</v>
      </c>
      <c r="J3" s="2">
        <v>46023.0</v>
      </c>
      <c r="K3" s="1" t="s">
        <v>34</v>
      </c>
      <c r="L3" s="1" t="s">
        <v>35</v>
      </c>
      <c r="M3" s="1" t="s">
        <v>36</v>
      </c>
      <c r="N3" s="1" t="s">
        <v>37</v>
      </c>
      <c r="O3" s="1">
        <v>1.0</v>
      </c>
      <c r="P3" s="3">
        <v>1.0</v>
      </c>
      <c r="Q3" s="1">
        <v>4.0</v>
      </c>
      <c r="R3" s="4">
        <v>46113.0</v>
      </c>
      <c r="S3" s="2">
        <v>46143.0</v>
      </c>
      <c r="T3" s="5">
        <v>0.0</v>
      </c>
      <c r="U3" s="5">
        <v>20.0</v>
      </c>
      <c r="V3" s="5">
        <v>20.0</v>
      </c>
      <c r="W3" s="5">
        <v>0.0</v>
      </c>
      <c r="X3" s="5">
        <v>0.0</v>
      </c>
      <c r="Y3" s="5">
        <v>0.0</v>
      </c>
      <c r="Z3" s="5">
        <v>80.0</v>
      </c>
      <c r="AA3" s="1">
        <v>1.0</v>
      </c>
    </row>
    <row r="4">
      <c r="A4" s="1" t="s">
        <v>27</v>
      </c>
      <c r="B4" s="1" t="s">
        <v>28</v>
      </c>
      <c r="C4" s="1" t="s">
        <v>39</v>
      </c>
      <c r="D4" s="1" t="s">
        <v>40</v>
      </c>
      <c r="E4" s="1" t="s">
        <v>31</v>
      </c>
      <c r="F4" s="1">
        <v>9.2781276E8</v>
      </c>
      <c r="G4" s="1" t="s">
        <v>41</v>
      </c>
      <c r="H4" s="1" t="s">
        <v>42</v>
      </c>
      <c r="I4" s="2">
        <v>46023.0</v>
      </c>
      <c r="J4" s="2">
        <v>46023.0</v>
      </c>
      <c r="K4" s="1" t="s">
        <v>34</v>
      </c>
      <c r="L4" s="1" t="s">
        <v>43</v>
      </c>
      <c r="M4" s="1" t="s">
        <v>36</v>
      </c>
      <c r="N4" s="1" t="s">
        <v>44</v>
      </c>
      <c r="O4" s="1" t="s">
        <v>34</v>
      </c>
      <c r="P4" s="3">
        <v>1.0</v>
      </c>
      <c r="Q4" s="1">
        <v>123.0</v>
      </c>
      <c r="R4" s="4">
        <v>46113.0</v>
      </c>
      <c r="S4" s="2">
        <v>46143.0</v>
      </c>
      <c r="T4" s="5">
        <v>77.76</v>
      </c>
      <c r="U4" s="3">
        <v>0.04</v>
      </c>
      <c r="V4" s="5">
        <v>3.11</v>
      </c>
      <c r="W4" s="5">
        <v>0.0</v>
      </c>
      <c r="X4" s="5">
        <v>0.0</v>
      </c>
      <c r="Y4" s="5">
        <v>311.04</v>
      </c>
      <c r="Z4" s="5">
        <v>12.44</v>
      </c>
      <c r="AA4" s="1">
        <v>1.0</v>
      </c>
    </row>
    <row r="5">
      <c r="A5" s="1" t="s">
        <v>27</v>
      </c>
      <c r="B5" s="1" t="s">
        <v>28</v>
      </c>
      <c r="C5" s="1" t="s">
        <v>39</v>
      </c>
      <c r="D5" s="1" t="s">
        <v>40</v>
      </c>
      <c r="E5" s="1" t="s">
        <v>31</v>
      </c>
      <c r="F5" s="1">
        <v>9.2781276E8</v>
      </c>
      <c r="G5" s="1" t="s">
        <v>45</v>
      </c>
      <c r="H5" s="1" t="s">
        <v>42</v>
      </c>
      <c r="I5" s="2">
        <v>43221.0</v>
      </c>
      <c r="J5" s="2">
        <v>46023.0</v>
      </c>
      <c r="K5" s="1" t="s">
        <v>34</v>
      </c>
      <c r="L5" s="1" t="s">
        <v>46</v>
      </c>
      <c r="M5" s="1" t="s">
        <v>36</v>
      </c>
      <c r="N5" s="1" t="s">
        <v>37</v>
      </c>
      <c r="O5" s="1">
        <v>2.0</v>
      </c>
      <c r="P5" s="3">
        <v>1.0</v>
      </c>
      <c r="Q5" s="1">
        <v>96.0</v>
      </c>
      <c r="R5" s="4">
        <v>46113.0</v>
      </c>
      <c r="S5" s="2">
        <v>46143.0</v>
      </c>
      <c r="T5" s="5">
        <v>0.0</v>
      </c>
      <c r="U5" s="5">
        <v>20.0</v>
      </c>
      <c r="V5" s="5">
        <v>40.0</v>
      </c>
      <c r="W5" s="5">
        <v>0.0</v>
      </c>
      <c r="X5" s="5">
        <v>0.0</v>
      </c>
      <c r="Y5" s="5">
        <v>0.0</v>
      </c>
      <c r="Z5" s="5">
        <v>160.0</v>
      </c>
      <c r="AA5" s="1">
        <v>1.0</v>
      </c>
    </row>
    <row r="6">
      <c r="A6" s="1" t="s">
        <v>27</v>
      </c>
      <c r="B6" s="1" t="s">
        <v>28</v>
      </c>
      <c r="C6" s="1" t="s">
        <v>39</v>
      </c>
      <c r="D6" s="1" t="s">
        <v>40</v>
      </c>
      <c r="E6" s="1" t="s">
        <v>31</v>
      </c>
      <c r="F6" s="1">
        <v>9.4706027E8</v>
      </c>
      <c r="G6" s="1" t="s">
        <v>47</v>
      </c>
      <c r="H6" s="1" t="s">
        <v>48</v>
      </c>
      <c r="I6" s="2">
        <v>44197.0</v>
      </c>
      <c r="J6" s="2">
        <v>46023.0</v>
      </c>
      <c r="K6" s="1" t="s">
        <v>34</v>
      </c>
      <c r="L6" s="1" t="s">
        <v>46</v>
      </c>
      <c r="M6" s="1" t="s">
        <v>36</v>
      </c>
      <c r="N6" s="1" t="s">
        <v>37</v>
      </c>
      <c r="O6" s="1">
        <v>2.0</v>
      </c>
      <c r="P6" s="3">
        <v>1.0</v>
      </c>
      <c r="Q6" s="1">
        <v>64.0</v>
      </c>
      <c r="R6" s="4">
        <v>46113.0</v>
      </c>
      <c r="S6" s="2">
        <v>46143.0</v>
      </c>
      <c r="T6" s="5">
        <v>0.0</v>
      </c>
      <c r="U6" s="5">
        <v>20.0</v>
      </c>
      <c r="V6" s="5">
        <v>40.0</v>
      </c>
      <c r="W6" s="5">
        <v>0.0</v>
      </c>
      <c r="X6" s="5">
        <v>0.0</v>
      </c>
      <c r="Y6" s="5">
        <v>0.0</v>
      </c>
      <c r="Z6" s="5">
        <v>160.0</v>
      </c>
      <c r="AA6" s="1">
        <v>1.0</v>
      </c>
    </row>
    <row r="7">
      <c r="A7" s="1" t="s">
        <v>27</v>
      </c>
      <c r="B7" s="1" t="s">
        <v>28</v>
      </c>
      <c r="C7" s="1" t="s">
        <v>39</v>
      </c>
      <c r="D7" s="1" t="s">
        <v>40</v>
      </c>
      <c r="E7" s="1" t="s">
        <v>31</v>
      </c>
      <c r="F7" s="1">
        <v>9.47067612E8</v>
      </c>
      <c r="G7" s="1" t="s">
        <v>47</v>
      </c>
      <c r="H7" s="1" t="s">
        <v>49</v>
      </c>
      <c r="I7" s="2">
        <v>44197.0</v>
      </c>
      <c r="J7" s="2">
        <v>46023.0</v>
      </c>
      <c r="K7" s="1" t="s">
        <v>34</v>
      </c>
      <c r="L7" s="1" t="s">
        <v>46</v>
      </c>
      <c r="M7" s="1" t="s">
        <v>36</v>
      </c>
      <c r="N7" s="1" t="s">
        <v>37</v>
      </c>
      <c r="O7" s="1">
        <v>1.0</v>
      </c>
      <c r="P7" s="3">
        <v>1.0</v>
      </c>
      <c r="Q7" s="1">
        <v>64.0</v>
      </c>
      <c r="R7" s="4">
        <v>46113.0</v>
      </c>
      <c r="S7" s="2">
        <v>46143.0</v>
      </c>
      <c r="T7" s="5">
        <v>0.0</v>
      </c>
      <c r="U7" s="5">
        <v>20.0</v>
      </c>
      <c r="V7" s="5">
        <v>20.0</v>
      </c>
      <c r="W7" s="5">
        <v>0.0</v>
      </c>
      <c r="X7" s="5">
        <v>0.0</v>
      </c>
      <c r="Y7" s="5">
        <v>0.0</v>
      </c>
      <c r="Z7" s="5">
        <v>80.0</v>
      </c>
      <c r="AA7" s="1">
        <v>1.0</v>
      </c>
    </row>
    <row r="8">
      <c r="A8" s="1" t="s">
        <v>27</v>
      </c>
      <c r="B8" s="1" t="s">
        <v>28</v>
      </c>
      <c r="C8" s="1" t="s">
        <v>39</v>
      </c>
      <c r="D8" s="1" t="s">
        <v>40</v>
      </c>
      <c r="E8" s="1" t="s">
        <v>31</v>
      </c>
      <c r="F8" s="1">
        <v>9.47183187E8</v>
      </c>
      <c r="G8" s="1" t="s">
        <v>47</v>
      </c>
      <c r="H8" s="1" t="s">
        <v>50</v>
      </c>
      <c r="I8" s="2">
        <v>45292.0</v>
      </c>
      <c r="J8" s="2">
        <v>46023.0</v>
      </c>
      <c r="K8" s="1" t="s">
        <v>34</v>
      </c>
      <c r="L8" s="1" t="s">
        <v>46</v>
      </c>
      <c r="M8" s="1" t="s">
        <v>36</v>
      </c>
      <c r="N8" s="1" t="s">
        <v>37</v>
      </c>
      <c r="O8" s="1">
        <v>1.0</v>
      </c>
      <c r="P8" s="3">
        <v>1.0</v>
      </c>
      <c r="Q8" s="1">
        <v>28.0</v>
      </c>
      <c r="R8" s="4">
        <v>46113.0</v>
      </c>
      <c r="S8" s="2">
        <v>46143.0</v>
      </c>
      <c r="T8" s="5">
        <v>0.0</v>
      </c>
      <c r="U8" s="5">
        <v>20.0</v>
      </c>
      <c r="V8" s="5">
        <v>20.0</v>
      </c>
      <c r="W8" s="5">
        <v>0.0</v>
      </c>
      <c r="X8" s="5">
        <v>0.0</v>
      </c>
      <c r="Y8" s="5">
        <v>0.0</v>
      </c>
      <c r="Z8" s="5">
        <v>80.0</v>
      </c>
      <c r="AA8" s="1">
        <v>1.0</v>
      </c>
    </row>
    <row r="9">
      <c r="A9" s="1" t="s">
        <v>27</v>
      </c>
      <c r="B9" s="1" t="s">
        <v>28</v>
      </c>
      <c r="C9" s="1" t="s">
        <v>39</v>
      </c>
      <c r="D9" s="1" t="s">
        <v>30</v>
      </c>
      <c r="E9" s="1" t="s">
        <v>31</v>
      </c>
      <c r="F9" s="1">
        <v>9.4705555E8</v>
      </c>
      <c r="G9" s="1" t="s">
        <v>47</v>
      </c>
      <c r="H9" s="1" t="s">
        <v>51</v>
      </c>
      <c r="I9" s="2">
        <v>44075.0</v>
      </c>
      <c r="J9" s="2">
        <v>46023.0</v>
      </c>
      <c r="K9" s="1" t="s">
        <v>34</v>
      </c>
      <c r="L9" s="1" t="s">
        <v>46</v>
      </c>
      <c r="M9" s="1" t="s">
        <v>36</v>
      </c>
      <c r="N9" s="1" t="s">
        <v>37</v>
      </c>
      <c r="O9" s="1">
        <v>3.0</v>
      </c>
      <c r="P9" s="3">
        <v>1.0</v>
      </c>
      <c r="Q9" s="1">
        <v>68.0</v>
      </c>
      <c r="R9" s="4">
        <v>46113.0</v>
      </c>
      <c r="S9" s="2">
        <v>46143.0</v>
      </c>
      <c r="T9" s="5">
        <v>0.0</v>
      </c>
      <c r="U9" s="5">
        <v>20.0</v>
      </c>
      <c r="V9" s="5">
        <v>60.0</v>
      </c>
      <c r="W9" s="5">
        <v>0.0</v>
      </c>
      <c r="X9" s="5">
        <v>0.0</v>
      </c>
      <c r="Y9" s="5">
        <v>0.0</v>
      </c>
      <c r="Z9" s="5">
        <v>240.0</v>
      </c>
      <c r="AA9" s="1">
        <v>1.0</v>
      </c>
    </row>
    <row r="10">
      <c r="A10" s="1" t="s">
        <v>27</v>
      </c>
      <c r="B10" s="1" t="s">
        <v>28</v>
      </c>
      <c r="C10" s="1" t="s">
        <v>39</v>
      </c>
      <c r="D10" s="1" t="s">
        <v>30</v>
      </c>
      <c r="E10" s="1" t="s">
        <v>31</v>
      </c>
      <c r="F10" s="1">
        <v>9.47213549E8</v>
      </c>
      <c r="G10" s="1" t="s">
        <v>52</v>
      </c>
      <c r="H10" s="1" t="s">
        <v>53</v>
      </c>
      <c r="I10" s="2">
        <v>45444.0</v>
      </c>
      <c r="J10" s="2">
        <v>46023.0</v>
      </c>
      <c r="K10" s="1" t="s">
        <v>34</v>
      </c>
      <c r="L10" s="1" t="s">
        <v>46</v>
      </c>
      <c r="M10" s="1" t="s">
        <v>36</v>
      </c>
      <c r="N10" s="1" t="s">
        <v>37</v>
      </c>
      <c r="O10" s="1">
        <v>1.0</v>
      </c>
      <c r="P10" s="3">
        <v>1.0</v>
      </c>
      <c r="Q10" s="1">
        <v>22.0</v>
      </c>
      <c r="R10" s="4">
        <v>46082.0</v>
      </c>
      <c r="S10" s="2">
        <v>46113.0</v>
      </c>
      <c r="T10" s="5">
        <v>0.0</v>
      </c>
      <c r="U10" s="5">
        <v>20.0</v>
      </c>
      <c r="V10" s="5">
        <v>20.0</v>
      </c>
      <c r="W10" s="5">
        <v>0.0</v>
      </c>
      <c r="X10" s="5">
        <v>0.0</v>
      </c>
      <c r="Y10" s="5">
        <v>0.0</v>
      </c>
      <c r="Z10" s="5">
        <v>60.0</v>
      </c>
      <c r="AA10" s="1">
        <v>1.0</v>
      </c>
    </row>
    <row r="11">
      <c r="A11" s="1" t="s">
        <v>27</v>
      </c>
      <c r="B11" s="1" t="s">
        <v>28</v>
      </c>
      <c r="C11" s="1" t="s">
        <v>39</v>
      </c>
      <c r="D11" s="1" t="s">
        <v>30</v>
      </c>
      <c r="E11" s="1" t="s">
        <v>31</v>
      </c>
      <c r="F11" s="1">
        <v>9.4724251E8</v>
      </c>
      <c r="G11" s="1" t="s">
        <v>54</v>
      </c>
      <c r="H11" s="1" t="s">
        <v>55</v>
      </c>
      <c r="I11" s="2">
        <v>45689.0</v>
      </c>
      <c r="J11" s="2">
        <v>46023.0</v>
      </c>
      <c r="K11" s="1" t="s">
        <v>34</v>
      </c>
      <c r="L11" s="1" t="s">
        <v>35</v>
      </c>
      <c r="M11" s="1" t="s">
        <v>36</v>
      </c>
      <c r="N11" s="1" t="s">
        <v>37</v>
      </c>
      <c r="O11" s="1">
        <v>1.0</v>
      </c>
      <c r="P11" s="3">
        <v>1.0</v>
      </c>
      <c r="Q11" s="1">
        <v>15.0</v>
      </c>
      <c r="R11" s="4">
        <v>46113.0</v>
      </c>
      <c r="S11" s="2">
        <v>46143.0</v>
      </c>
      <c r="T11" s="5">
        <v>0.0</v>
      </c>
      <c r="U11" s="5">
        <v>20.0</v>
      </c>
      <c r="V11" s="5">
        <v>20.0</v>
      </c>
      <c r="W11" s="5">
        <v>0.0</v>
      </c>
      <c r="X11" s="5">
        <v>0.0</v>
      </c>
      <c r="Y11" s="5">
        <v>0.0</v>
      </c>
      <c r="Z11" s="5">
        <v>80.0</v>
      </c>
      <c r="AA11" s="1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37.29"/>
    <col customWidth="1" min="3" max="3" width="10.29"/>
    <col customWidth="1" min="4" max="4" width="21.0"/>
  </cols>
  <sheetData>
    <row r="1">
      <c r="A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</row>
    <row r="2">
      <c r="A2" s="1" t="s">
        <v>30</v>
      </c>
      <c r="B2" s="1" t="str">
        <f t="shared" ref="B2:B11" si="1">MID(A2, FIND("-SU-", A2) + 4, LEN(A2))  </f>
        <v>MATTHEW JAMES POWERS</v>
      </c>
      <c r="C2" s="1" t="s">
        <v>31</v>
      </c>
      <c r="D2" s="1">
        <v>9.4725704E8</v>
      </c>
      <c r="E2" s="1" t="s">
        <v>32</v>
      </c>
      <c r="F2" s="1" t="s">
        <v>33</v>
      </c>
      <c r="G2" s="2">
        <v>46023.0</v>
      </c>
      <c r="H2" s="2">
        <v>46023.0</v>
      </c>
      <c r="I2" s="1" t="s">
        <v>34</v>
      </c>
      <c r="J2" s="1" t="s">
        <v>35</v>
      </c>
      <c r="K2" s="1" t="s">
        <v>36</v>
      </c>
      <c r="L2" s="1" t="s">
        <v>37</v>
      </c>
      <c r="M2" s="1">
        <v>1.0</v>
      </c>
      <c r="N2" s="3">
        <v>1.0</v>
      </c>
      <c r="O2" s="1">
        <v>4.0</v>
      </c>
      <c r="P2" s="4">
        <v>46113.0</v>
      </c>
      <c r="Q2" s="2">
        <v>46143.0</v>
      </c>
      <c r="R2" s="5">
        <v>0.0</v>
      </c>
      <c r="S2" s="5">
        <v>20.0</v>
      </c>
      <c r="T2" s="6">
        <v>20.0</v>
      </c>
      <c r="U2" s="5">
        <v>0.0</v>
      </c>
      <c r="V2" s="5">
        <v>0.0</v>
      </c>
      <c r="W2" s="5">
        <v>0.0</v>
      </c>
      <c r="X2" s="5">
        <v>80.0</v>
      </c>
      <c r="Y2" s="1">
        <v>1.0</v>
      </c>
    </row>
    <row r="3">
      <c r="A3" s="1" t="s">
        <v>30</v>
      </c>
      <c r="B3" s="1" t="str">
        <f t="shared" si="1"/>
        <v>MATTHEW JAMES POWERS</v>
      </c>
      <c r="C3" s="1" t="s">
        <v>31</v>
      </c>
      <c r="D3" s="1">
        <v>9.47257991E8</v>
      </c>
      <c r="E3" s="1" t="s">
        <v>32</v>
      </c>
      <c r="F3" s="1" t="s">
        <v>38</v>
      </c>
      <c r="G3" s="2">
        <v>46023.0</v>
      </c>
      <c r="H3" s="2">
        <v>46023.0</v>
      </c>
      <c r="I3" s="1" t="s">
        <v>34</v>
      </c>
      <c r="J3" s="1" t="s">
        <v>35</v>
      </c>
      <c r="K3" s="1" t="s">
        <v>36</v>
      </c>
      <c r="L3" s="1" t="s">
        <v>37</v>
      </c>
      <c r="M3" s="1">
        <v>1.0</v>
      </c>
      <c r="N3" s="3">
        <v>1.0</v>
      </c>
      <c r="O3" s="1">
        <v>4.0</v>
      </c>
      <c r="P3" s="4">
        <v>46113.0</v>
      </c>
      <c r="Q3" s="2">
        <v>46143.0</v>
      </c>
      <c r="R3" s="5">
        <v>0.0</v>
      </c>
      <c r="S3" s="5">
        <v>20.0</v>
      </c>
      <c r="T3" s="6">
        <v>20.0</v>
      </c>
      <c r="U3" s="5">
        <v>0.0</v>
      </c>
      <c r="V3" s="5">
        <v>0.0</v>
      </c>
      <c r="W3" s="5">
        <v>0.0</v>
      </c>
      <c r="X3" s="5">
        <v>80.0</v>
      </c>
      <c r="Y3" s="1">
        <v>1.0</v>
      </c>
    </row>
    <row r="4">
      <c r="A4" s="1" t="s">
        <v>40</v>
      </c>
      <c r="B4" s="1" t="str">
        <f t="shared" si="1"/>
        <v>GREGORY K TEIPEL</v>
      </c>
      <c r="C4" s="1" t="s">
        <v>31</v>
      </c>
      <c r="D4" s="1">
        <v>9.2781276E8</v>
      </c>
      <c r="E4" s="1" t="s">
        <v>41</v>
      </c>
      <c r="F4" s="1" t="s">
        <v>42</v>
      </c>
      <c r="G4" s="2">
        <v>46023.0</v>
      </c>
      <c r="H4" s="2">
        <v>46023.0</v>
      </c>
      <c r="I4" s="1" t="s">
        <v>34</v>
      </c>
      <c r="J4" s="1" t="s">
        <v>43</v>
      </c>
      <c r="K4" s="1" t="s">
        <v>36</v>
      </c>
      <c r="L4" s="1" t="s">
        <v>44</v>
      </c>
      <c r="M4" s="1" t="s">
        <v>34</v>
      </c>
      <c r="N4" s="3">
        <v>1.0</v>
      </c>
      <c r="O4" s="1">
        <v>123.0</v>
      </c>
      <c r="P4" s="4">
        <v>46113.0</v>
      </c>
      <c r="Q4" s="2">
        <v>46143.0</v>
      </c>
      <c r="R4" s="6">
        <v>77.76</v>
      </c>
      <c r="S4" s="3">
        <v>0.04</v>
      </c>
      <c r="T4" s="6">
        <v>3.11</v>
      </c>
      <c r="U4" s="5">
        <v>0.0</v>
      </c>
      <c r="V4" s="5">
        <v>0.0</v>
      </c>
      <c r="W4" s="5">
        <v>311.04</v>
      </c>
      <c r="X4" s="5">
        <v>12.44</v>
      </c>
      <c r="Y4" s="1">
        <v>1.0</v>
      </c>
    </row>
    <row r="5">
      <c r="A5" s="1" t="s">
        <v>40</v>
      </c>
      <c r="B5" s="1" t="str">
        <f t="shared" si="1"/>
        <v>GREGORY K TEIPEL</v>
      </c>
      <c r="C5" s="1" t="s">
        <v>31</v>
      </c>
      <c r="D5" s="1">
        <v>9.2781276E8</v>
      </c>
      <c r="E5" s="1" t="s">
        <v>45</v>
      </c>
      <c r="F5" s="1" t="s">
        <v>42</v>
      </c>
      <c r="G5" s="2">
        <v>43221.0</v>
      </c>
      <c r="H5" s="2">
        <v>46023.0</v>
      </c>
      <c r="I5" s="1" t="s">
        <v>34</v>
      </c>
      <c r="J5" s="1" t="s">
        <v>46</v>
      </c>
      <c r="K5" s="1" t="s">
        <v>36</v>
      </c>
      <c r="L5" s="1" t="s">
        <v>37</v>
      </c>
      <c r="M5" s="1">
        <v>2.0</v>
      </c>
      <c r="N5" s="3">
        <v>1.0</v>
      </c>
      <c r="O5" s="1">
        <v>96.0</v>
      </c>
      <c r="P5" s="4">
        <v>46113.0</v>
      </c>
      <c r="Q5" s="2">
        <v>46143.0</v>
      </c>
      <c r="R5" s="5">
        <v>0.0</v>
      </c>
      <c r="S5" s="5">
        <v>20.0</v>
      </c>
      <c r="T5" s="6">
        <v>40.0</v>
      </c>
      <c r="U5" s="5">
        <v>0.0</v>
      </c>
      <c r="V5" s="5">
        <v>0.0</v>
      </c>
      <c r="W5" s="5">
        <v>0.0</v>
      </c>
      <c r="X5" s="5">
        <v>160.0</v>
      </c>
      <c r="Y5" s="1">
        <v>1.0</v>
      </c>
    </row>
    <row r="6">
      <c r="A6" s="1" t="s">
        <v>40</v>
      </c>
      <c r="B6" s="1" t="str">
        <f t="shared" si="1"/>
        <v>GREGORY K TEIPEL</v>
      </c>
      <c r="C6" s="1" t="s">
        <v>31</v>
      </c>
      <c r="D6" s="1">
        <v>9.4706027E8</v>
      </c>
      <c r="E6" s="1" t="s">
        <v>47</v>
      </c>
      <c r="F6" s="1" t="s">
        <v>48</v>
      </c>
      <c r="G6" s="2">
        <v>44197.0</v>
      </c>
      <c r="H6" s="2">
        <v>46023.0</v>
      </c>
      <c r="I6" s="1" t="s">
        <v>34</v>
      </c>
      <c r="J6" s="1" t="s">
        <v>46</v>
      </c>
      <c r="K6" s="1" t="s">
        <v>36</v>
      </c>
      <c r="L6" s="1" t="s">
        <v>37</v>
      </c>
      <c r="M6" s="1">
        <v>2.0</v>
      </c>
      <c r="N6" s="3">
        <v>1.0</v>
      </c>
      <c r="O6" s="1">
        <v>64.0</v>
      </c>
      <c r="P6" s="4">
        <v>46113.0</v>
      </c>
      <c r="Q6" s="2">
        <v>46143.0</v>
      </c>
      <c r="R6" s="5">
        <v>0.0</v>
      </c>
      <c r="S6" s="5">
        <v>20.0</v>
      </c>
      <c r="T6" s="6">
        <v>40.0</v>
      </c>
      <c r="U6" s="5">
        <v>0.0</v>
      </c>
      <c r="V6" s="5">
        <v>0.0</v>
      </c>
      <c r="W6" s="5">
        <v>0.0</v>
      </c>
      <c r="X6" s="5">
        <v>160.0</v>
      </c>
      <c r="Y6" s="1">
        <v>1.0</v>
      </c>
    </row>
    <row r="7">
      <c r="A7" s="1" t="s">
        <v>40</v>
      </c>
      <c r="B7" s="1" t="str">
        <f t="shared" si="1"/>
        <v>GREGORY K TEIPEL</v>
      </c>
      <c r="C7" s="1" t="s">
        <v>31</v>
      </c>
      <c r="D7" s="1">
        <v>9.47067612E8</v>
      </c>
      <c r="E7" s="1" t="s">
        <v>47</v>
      </c>
      <c r="F7" s="1" t="s">
        <v>49</v>
      </c>
      <c r="G7" s="2">
        <v>44197.0</v>
      </c>
      <c r="H7" s="2">
        <v>46023.0</v>
      </c>
      <c r="I7" s="1" t="s">
        <v>34</v>
      </c>
      <c r="J7" s="1" t="s">
        <v>46</v>
      </c>
      <c r="K7" s="1" t="s">
        <v>36</v>
      </c>
      <c r="L7" s="1" t="s">
        <v>37</v>
      </c>
      <c r="M7" s="1">
        <v>1.0</v>
      </c>
      <c r="N7" s="3">
        <v>1.0</v>
      </c>
      <c r="O7" s="1">
        <v>64.0</v>
      </c>
      <c r="P7" s="4">
        <v>46113.0</v>
      </c>
      <c r="Q7" s="2">
        <v>46143.0</v>
      </c>
      <c r="R7" s="5">
        <v>0.0</v>
      </c>
      <c r="S7" s="5">
        <v>20.0</v>
      </c>
      <c r="T7" s="6">
        <v>20.0</v>
      </c>
      <c r="U7" s="5">
        <v>0.0</v>
      </c>
      <c r="V7" s="5">
        <v>0.0</v>
      </c>
      <c r="W7" s="5">
        <v>0.0</v>
      </c>
      <c r="X7" s="5">
        <v>80.0</v>
      </c>
      <c r="Y7" s="1">
        <v>1.0</v>
      </c>
    </row>
    <row r="8">
      <c r="A8" s="1" t="s">
        <v>40</v>
      </c>
      <c r="B8" s="1" t="str">
        <f t="shared" si="1"/>
        <v>GREGORY K TEIPEL</v>
      </c>
      <c r="C8" s="1" t="s">
        <v>31</v>
      </c>
      <c r="D8" s="1">
        <v>9.47183187E8</v>
      </c>
      <c r="E8" s="1" t="s">
        <v>47</v>
      </c>
      <c r="F8" s="1" t="s">
        <v>50</v>
      </c>
      <c r="G8" s="2">
        <v>45292.0</v>
      </c>
      <c r="H8" s="2">
        <v>46023.0</v>
      </c>
      <c r="I8" s="1" t="s">
        <v>34</v>
      </c>
      <c r="J8" s="1" t="s">
        <v>46</v>
      </c>
      <c r="K8" s="1" t="s">
        <v>36</v>
      </c>
      <c r="L8" s="1" t="s">
        <v>37</v>
      </c>
      <c r="M8" s="1">
        <v>1.0</v>
      </c>
      <c r="N8" s="3">
        <v>1.0</v>
      </c>
      <c r="O8" s="1">
        <v>28.0</v>
      </c>
      <c r="P8" s="4">
        <v>46113.0</v>
      </c>
      <c r="Q8" s="2">
        <v>46143.0</v>
      </c>
      <c r="R8" s="5">
        <v>0.0</v>
      </c>
      <c r="S8" s="5">
        <v>20.0</v>
      </c>
      <c r="T8" s="6">
        <v>20.0</v>
      </c>
      <c r="U8" s="5">
        <v>0.0</v>
      </c>
      <c r="V8" s="5">
        <v>0.0</v>
      </c>
      <c r="W8" s="5">
        <v>0.0</v>
      </c>
      <c r="X8" s="5">
        <v>80.0</v>
      </c>
      <c r="Y8" s="1">
        <v>1.0</v>
      </c>
    </row>
    <row r="9">
      <c r="A9" s="1" t="s">
        <v>30</v>
      </c>
      <c r="B9" s="1" t="str">
        <f t="shared" si="1"/>
        <v>MATTHEW JAMES POWERS</v>
      </c>
      <c r="C9" s="1" t="s">
        <v>31</v>
      </c>
      <c r="D9" s="1">
        <v>9.4705555E8</v>
      </c>
      <c r="E9" s="1" t="s">
        <v>47</v>
      </c>
      <c r="F9" s="1" t="s">
        <v>51</v>
      </c>
      <c r="G9" s="2">
        <v>44075.0</v>
      </c>
      <c r="H9" s="2">
        <v>46023.0</v>
      </c>
      <c r="I9" s="1" t="s">
        <v>34</v>
      </c>
      <c r="J9" s="1" t="s">
        <v>46</v>
      </c>
      <c r="K9" s="1" t="s">
        <v>36</v>
      </c>
      <c r="L9" s="1" t="s">
        <v>37</v>
      </c>
      <c r="M9" s="1">
        <v>3.0</v>
      </c>
      <c r="N9" s="3">
        <v>1.0</v>
      </c>
      <c r="O9" s="1">
        <v>68.0</v>
      </c>
      <c r="P9" s="4">
        <v>46113.0</v>
      </c>
      <c r="Q9" s="2">
        <v>46143.0</v>
      </c>
      <c r="R9" s="5">
        <v>0.0</v>
      </c>
      <c r="S9" s="5">
        <v>20.0</v>
      </c>
      <c r="T9" s="6">
        <v>60.0</v>
      </c>
      <c r="U9" s="5">
        <v>0.0</v>
      </c>
      <c r="V9" s="5">
        <v>0.0</v>
      </c>
      <c r="W9" s="5">
        <v>0.0</v>
      </c>
      <c r="X9" s="5">
        <v>240.0</v>
      </c>
      <c r="Y9" s="1">
        <v>1.0</v>
      </c>
    </row>
    <row r="10">
      <c r="A10" s="1" t="s">
        <v>30</v>
      </c>
      <c r="B10" s="1" t="str">
        <f t="shared" si="1"/>
        <v>MATTHEW JAMES POWERS</v>
      </c>
      <c r="C10" s="1" t="s">
        <v>31</v>
      </c>
      <c r="D10" s="1">
        <v>9.47213549E8</v>
      </c>
      <c r="E10" s="1" t="s">
        <v>52</v>
      </c>
      <c r="F10" s="1" t="s">
        <v>53</v>
      </c>
      <c r="G10" s="2">
        <v>45444.0</v>
      </c>
      <c r="H10" s="2">
        <v>46023.0</v>
      </c>
      <c r="I10" s="1" t="s">
        <v>34</v>
      </c>
      <c r="J10" s="1" t="s">
        <v>46</v>
      </c>
      <c r="K10" s="1" t="s">
        <v>36</v>
      </c>
      <c r="L10" s="1" t="s">
        <v>37</v>
      </c>
      <c r="M10" s="1">
        <v>1.0</v>
      </c>
      <c r="N10" s="3">
        <v>1.0</v>
      </c>
      <c r="O10" s="1">
        <v>22.0</v>
      </c>
      <c r="P10" s="4">
        <v>46082.0</v>
      </c>
      <c r="Q10" s="2">
        <v>46113.0</v>
      </c>
      <c r="R10" s="5">
        <v>0.0</v>
      </c>
      <c r="S10" s="5">
        <v>20.0</v>
      </c>
      <c r="T10" s="6">
        <v>20.0</v>
      </c>
      <c r="U10" s="5">
        <v>0.0</v>
      </c>
      <c r="V10" s="5">
        <v>0.0</v>
      </c>
      <c r="W10" s="5">
        <v>0.0</v>
      </c>
      <c r="X10" s="5">
        <v>60.0</v>
      </c>
      <c r="Y10" s="1">
        <v>1.0</v>
      </c>
    </row>
    <row r="11">
      <c r="A11" s="1" t="s">
        <v>30</v>
      </c>
      <c r="B11" s="1" t="str">
        <f t="shared" si="1"/>
        <v>MATTHEW JAMES POWERS</v>
      </c>
      <c r="C11" s="1" t="s">
        <v>31</v>
      </c>
      <c r="D11" s="1">
        <v>9.4724251E8</v>
      </c>
      <c r="E11" s="1" t="s">
        <v>54</v>
      </c>
      <c r="F11" s="1" t="s">
        <v>55</v>
      </c>
      <c r="G11" s="2">
        <v>45689.0</v>
      </c>
      <c r="H11" s="2">
        <v>46023.0</v>
      </c>
      <c r="I11" s="1" t="s">
        <v>34</v>
      </c>
      <c r="J11" s="1" t="s">
        <v>35</v>
      </c>
      <c r="K11" s="1" t="s">
        <v>36</v>
      </c>
      <c r="L11" s="1" t="s">
        <v>37</v>
      </c>
      <c r="M11" s="1">
        <v>1.0</v>
      </c>
      <c r="N11" s="3">
        <v>1.0</v>
      </c>
      <c r="O11" s="1">
        <v>15.0</v>
      </c>
      <c r="P11" s="4">
        <v>46113.0</v>
      </c>
      <c r="Q11" s="2">
        <v>46143.0</v>
      </c>
      <c r="R11" s="5">
        <v>0.0</v>
      </c>
      <c r="S11" s="5">
        <v>20.0</v>
      </c>
      <c r="T11" s="6">
        <v>20.0</v>
      </c>
      <c r="U11" s="5">
        <v>0.0</v>
      </c>
      <c r="V11" s="5">
        <v>0.0</v>
      </c>
      <c r="W11" s="5">
        <v>0.0</v>
      </c>
      <c r="X11" s="5">
        <v>80.0</v>
      </c>
      <c r="Y11" s="1">
        <v>1.0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2026-04-27T10:17:09Z</dcterms:created>
  <dc:creator>Admin</dc:creator>
</cp:coreProperties>
</file>