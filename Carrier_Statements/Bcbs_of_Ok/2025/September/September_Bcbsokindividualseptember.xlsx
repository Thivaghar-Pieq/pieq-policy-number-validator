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September\"/>
    </mc:Choice>
  </mc:AlternateContent>
  <xr:revisionPtr revIDLastSave="0" documentId="13_ncr:1_{EEFCC2D5-79C4-4F4A-BAB0-C168E84BCC90}" xr6:coauthVersionLast="47" xr6:coauthVersionMax="47" xr10:uidLastSave="{00000000-0000-0000-0000-000000000000}"/>
  <bookViews>
    <workbookView xWindow="-120" yWindow="-120" windowWidth="29040" windowHeight="16440" tabRatio="804" xr2:uid="{00000000-000D-0000-FFFF-FFFF00000000}"/>
  </bookViews>
  <sheets>
    <sheet name="Sheet1" sheetId="1" r:id="rId1"/>
    <sheet name="Sheet2" sheetId="2" r:id="rId2"/>
  </sheets>
  <calcPr calcId="181029"/>
  <extLst>
    <ext uri="GoogleSheetsCustomDataVersion2">
      <go:sheetsCustomData xmlns:go="http://customooxmlschemas.google.com/" r:id="rId6" roundtripDataChecksum="8uFEBWmEZQF9lL9FKBxFVzkisCXl6iyCkuEyd0pTcMI="/>
    </ext>
  </extLst>
</workbook>
</file>

<file path=xl/calcChain.xml><?xml version="1.0" encoding="utf-8"?>
<calcChain xmlns="http://schemas.openxmlformats.org/spreadsheetml/2006/main">
  <c r="Z19" i="2" l="1"/>
  <c r="X19" i="2"/>
  <c r="M19" i="2"/>
  <c r="H19" i="2"/>
  <c r="Z18" i="2"/>
  <c r="X18" i="2"/>
  <c r="M18" i="2"/>
  <c r="H18" i="2"/>
  <c r="Z17" i="2"/>
  <c r="X17" i="2"/>
  <c r="M17" i="2"/>
  <c r="H17" i="2"/>
  <c r="Z16" i="2"/>
  <c r="X16" i="2"/>
  <c r="M16" i="2"/>
  <c r="H16" i="2"/>
  <c r="Z15" i="2"/>
  <c r="X15" i="2"/>
  <c r="M15" i="2"/>
  <c r="H15" i="2"/>
  <c r="Z14" i="2"/>
  <c r="X14" i="2"/>
  <c r="M14" i="2"/>
  <c r="H14" i="2"/>
  <c r="Z13" i="2"/>
  <c r="X13" i="2"/>
  <c r="M13" i="2"/>
  <c r="H13" i="2"/>
  <c r="Z12" i="2"/>
  <c r="X12" i="2"/>
  <c r="M12" i="2"/>
  <c r="Z11" i="2"/>
  <c r="X11" i="2"/>
  <c r="M11" i="2"/>
  <c r="H11" i="2"/>
  <c r="Z10" i="2"/>
  <c r="X10" i="2"/>
  <c r="M10" i="2"/>
  <c r="H10" i="2"/>
  <c r="Z9" i="2"/>
  <c r="X9" i="2"/>
  <c r="M9" i="2"/>
  <c r="Z8" i="2"/>
  <c r="X8" i="2"/>
  <c r="M8" i="2"/>
  <c r="H8" i="2"/>
  <c r="Z7" i="2"/>
  <c r="X7" i="2"/>
  <c r="M7" i="2"/>
  <c r="H7" i="2"/>
  <c r="Z6" i="2"/>
  <c r="X6" i="2"/>
  <c r="M6" i="2"/>
  <c r="H6" i="2"/>
  <c r="Z5" i="2"/>
  <c r="X5" i="2"/>
  <c r="M5" i="2"/>
  <c r="H5" i="2"/>
  <c r="Z4" i="2"/>
  <c r="X4" i="2"/>
  <c r="M4" i="2"/>
  <c r="H4" i="2"/>
  <c r="Z3" i="2"/>
  <c r="X3" i="2"/>
  <c r="M3" i="2"/>
  <c r="H3" i="2"/>
  <c r="Z2" i="2"/>
  <c r="X2" i="2"/>
  <c r="M2" i="2"/>
  <c r="H2" i="2"/>
</calcChain>
</file>

<file path=xl/sharedStrings.xml><?xml version="1.0" encoding="utf-8"?>
<sst xmlns="http://schemas.openxmlformats.org/spreadsheetml/2006/main" count="845" uniqueCount="141">
  <si>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</si>
  <si>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</si>
  <si>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</si>
  <si>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</si>
  <si>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</si>
  <si>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</si>
  <si>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</si>
  <si>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</si>
  <si>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rPr>
        <b/>
        <sz val="18"/>
        <color rgb="FFFFFFFF"/>
        <rFont val="Arial"/>
        <family val="2"/>
      </rPr>
      <t>Producer Commission Data - Individual</t>
    </r>
    <r>
      <rPr>
        <sz val="18"/>
        <color rgb="FFFFFFFF"/>
        <rFont val="Arial"/>
        <family val="2"/>
      </rPr>
      <t xml:space="preserve">
For Period: September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</si>
  <si>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</si>
  <si>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</si>
  <si>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</si>
  <si>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</si>
  <si>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</si>
  <si>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</si>
  <si>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</si>
  <si>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</si>
  <si>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</si>
  <si>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</si>
  <si>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</si>
  <si>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</si>
  <si>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</si>
  <si>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</si>
  <si>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</si>
  <si>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</si>
  <si>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</si>
  <si>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</si>
  <si>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</si>
  <si>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</si>
  <si>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</si>
  <si>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</si>
  <si>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</si>
  <si>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</si>
  <si>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</si>
  <si>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</si>
  <si>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</si>
  <si>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</si>
  <si>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</si>
  <si>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</si>
  <si>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</si>
  <si>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</si>
  <si>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</si>
  <si>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20251101</t>
  </si>
  <si>
    <t>20180501</t>
  </si>
  <si>
    <t>090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</si>
  <si>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</si>
  <si>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</si>
  <si>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</si>
  <si>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</si>
  <si>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</si>
  <si>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</si>
  <si>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</si>
  <si>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</si>
  <si>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</si>
  <si>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</si>
  <si>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</si>
  <si>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</si>
  <si>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117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</si>
  <si>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</si>
  <si>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</si>
  <si>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</si>
  <si>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</si>
  <si>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</si>
  <si>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</si>
  <si>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</si>
  <si>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</si>
  <si>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058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</si>
  <si>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</si>
  <si>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</si>
  <si>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</si>
  <si>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</si>
  <si>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</si>
  <si>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</si>
  <si>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</si>
  <si>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</si>
  <si>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</si>
  <si>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042</t>
  </si>
  <si>
    <t>OS1407</t>
  </si>
  <si>
    <t>000947121772</t>
  </si>
  <si>
    <t>WICKWARE, LATINA</t>
  </si>
  <si>
    <t>20251001</t>
  </si>
  <si>
    <t>20230101</t>
  </si>
  <si>
    <t>033</t>
  </si>
  <si>
    <t>MYBLUEHEALTH^</t>
  </si>
  <si>
    <t>000947137197</t>
  </si>
  <si>
    <t>DURAN, RAFAEL</t>
  </si>
  <si>
    <t>20250301</t>
  </si>
  <si>
    <t>008</t>
  </si>
  <si>
    <t>000947183187</t>
  </si>
  <si>
    <t>MOORE, JERRY</t>
  </si>
  <si>
    <t>20240101</t>
  </si>
  <si>
    <t>022</t>
  </si>
  <si>
    <t>107888446-SU-MATTHEW DAUGHERTY</t>
  </si>
  <si>
    <t>000947131305</t>
  </si>
  <si>
    <t>TEMPLETON, TODD</t>
  </si>
  <si>
    <t>20230201</t>
  </si>
  <si>
    <t>107888446</t>
  </si>
  <si>
    <t>000947191210</t>
  </si>
  <si>
    <t>TAYLOR, CHARLOTTE</t>
  </si>
  <si>
    <t>20240201</t>
  </si>
  <si>
    <t>021</t>
  </si>
  <si>
    <t>OB1802</t>
  </si>
  <si>
    <t>000947251762</t>
  </si>
  <si>
    <t>FOSTER, BRET</t>
  </si>
  <si>
    <t>20250801</t>
  </si>
  <si>
    <t>003</t>
  </si>
  <si>
    <t>107960289-SU-MATTHEW JAMES POWERS</t>
  </si>
  <si>
    <t>OB1500</t>
  </si>
  <si>
    <t>5</t>
  </si>
  <si>
    <t>000927875576</t>
  </si>
  <si>
    <t>WILLIS-COFER, ASHLEY</t>
  </si>
  <si>
    <t>000,100.00</t>
  </si>
  <si>
    <t>107960289</t>
  </si>
  <si>
    <t>OG1900</t>
  </si>
  <si>
    <t>000947137780</t>
  </si>
  <si>
    <t>ISBELL, GARY</t>
  </si>
  <si>
    <t>20230301</t>
  </si>
  <si>
    <t>031</t>
  </si>
  <si>
    <t>000.00</t>
  </si>
  <si>
    <t>000947164626</t>
  </si>
  <si>
    <t>BALLEW, MICHAEL</t>
  </si>
  <si>
    <t>20231101</t>
  </si>
  <si>
    <t>024</t>
  </si>
  <si>
    <t>000947242449</t>
  </si>
  <si>
    <t>ISBELL, JULIE</t>
  </si>
  <si>
    <t>20250201</t>
  </si>
  <si>
    <t>009</t>
  </si>
  <si>
    <t>000947242510</t>
  </si>
  <si>
    <t>POWERS, MATTHEW</t>
  </si>
  <si>
    <t>1-</t>
  </si>
  <si>
    <t>000947245334</t>
  </si>
  <si>
    <t>NUNN, CONNER</t>
  </si>
  <si>
    <t>20250401</t>
  </si>
  <si>
    <t>006</t>
  </si>
  <si>
    <t>000,020.00-</t>
  </si>
  <si>
    <t>000947248125</t>
  </si>
  <si>
    <t>CLINE, TODD</t>
  </si>
  <si>
    <t>20250601</t>
  </si>
  <si>
    <t>005</t>
  </si>
  <si>
    <t>GREGORY K TEIPEL</t>
  </si>
  <si>
    <t>MATTHEW DAUGHERTY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</si>
</sst>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808080"/>
      <name val="Arial"/>
      <family val="2"/>
    </font>
    <font>
      <b/>
      <sz val="10"/>
      <color rgb="FF808080"/>
      <name val="Arial"/>
      <family val="2"/>
    </font>
    <font>
      <sz val="11"/>
      <color rgb="FF808080"/>
      <name val="Arial"/>
      <family val="2"/>
    </font>
    <font>
      <b/>
      <sz val="18"/>
      <color rgb="FFFFFFFF"/>
      <name val="Arial"/>
      <family val="2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  <bgColor rgb="FF0066FF"/>
      </patternFill>
    </fill>
    <fill>
      <patternFill patternType="solid">
        <fgColor rgb="FF808080"/>
        <bgColor rgb="FF80808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6" fillId="3" borderId="14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0" fillId="0" borderId="0" xfId="0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3" borderId="7" xfId="0" applyFont="1" applyFill="1" applyBorder="1" applyAlignment="1">
      <alignment horizontal="center" vertical="top" wrapText="1"/>
    </xf>
    <xf numFmtId="0" fontId="5" fillId="0" borderId="11" xfId="0" applyFont="1" applyBorder="1"/>
    <xf numFmtId="0" fontId="5" fillId="0" borderId="9" xfId="0" applyFont="1" applyBorder="1"/>
    <xf numFmtId="0" fontId="6" fillId="3" borderId="1" xfId="0" applyFont="1" applyFill="1" applyBorder="1" applyAlignment="1">
      <alignment horizontal="center" vertical="top" wrapText="1"/>
    </xf>
    <xf numFmtId="0" fontId="5" fillId="0" borderId="8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/>
    <xf numFmtId="0" fontId="6" fillId="3" borderId="15" xfId="0" applyFont="1" applyFill="1" applyBorder="1" applyAlignment="1">
      <alignment horizontal="center" vertical="top" wrapText="1"/>
    </xf>
    <xf numFmtId="0" fontId="5" fillId="0" borderId="16" xfId="0" applyFont="1" applyBorder="1"/>
    <xf numFmtId="0" fontId="5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1000"/>
  <sheetViews>
    <sheetView showGridLines="0" tabSelected="1" topLeftCell="K1" workbookViewId="0">
      <selection activeCell="AD33" sqref="AD33"/>
    </sheetView>
  </sheetViews>
  <sheetFormatPr defaultColWidth="12.5703125" defaultRowHeight="1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1" t="s">
        <v>0</v>
      </c>
      <c r="S3" s="8"/>
      <c r="T3" s="8"/>
    </row>
    <row r="4" spans="1:33" ht="6.75" customHeight="1" x14ac:dyDescent="0.2">
      <c r="A4" s="12" t="s">
        <v>1</v>
      </c>
      <c r="C4" s="13" t="s">
        <v>2</v>
      </c>
      <c r="D4" s="8"/>
      <c r="E4" s="8"/>
      <c r="F4" s="8"/>
      <c r="G4" s="8"/>
      <c r="H4" s="8"/>
      <c r="R4" s="8"/>
      <c r="S4" s="8"/>
      <c r="T4" s="8"/>
    </row>
    <row r="5" spans="1:33" ht="6.75" customHeight="1" x14ac:dyDescent="0.2">
      <c r="A5" s="8"/>
      <c r="C5" s="8"/>
      <c r="D5" s="8"/>
      <c r="E5" s="8"/>
      <c r="F5" s="8"/>
      <c r="G5" s="8"/>
      <c r="H5" s="8"/>
      <c r="R5" s="8"/>
      <c r="S5" s="8"/>
      <c r="T5" s="8"/>
    </row>
    <row r="6" spans="1:33" ht="33.75" customHeight="1" x14ac:dyDescent="0.2">
      <c r="Q6" s="14" t="s">
        <v>3</v>
      </c>
      <c r="R6" s="8"/>
      <c r="S6" s="8"/>
      <c r="T6" s="8"/>
    </row>
    <row r="7" spans="1:33" ht="7.5" customHeight="1" x14ac:dyDescent="0.2">
      <c r="A7" s="12" t="s">
        <v>4</v>
      </c>
      <c r="C7" s="13" t="s">
        <v>5</v>
      </c>
      <c r="D7" s="8"/>
      <c r="E7" s="8"/>
      <c r="F7" s="8"/>
      <c r="G7" s="8"/>
    </row>
    <row r="8" spans="1:33" ht="6" customHeight="1" x14ac:dyDescent="0.2">
      <c r="A8" s="8"/>
      <c r="C8" s="8"/>
      <c r="D8" s="8"/>
      <c r="E8" s="8"/>
      <c r="F8" s="8"/>
      <c r="G8" s="8"/>
    </row>
    <row r="9" spans="1:33" ht="13.5" customHeight="1" x14ac:dyDescent="0.2">
      <c r="A9" s="1" t="s">
        <v>6</v>
      </c>
      <c r="C9" s="13" t="s">
        <v>7</v>
      </c>
      <c r="D9" s="8"/>
    </row>
    <row r="10" spans="1:33" ht="12" customHeight="1" x14ac:dyDescent="0.2"/>
    <row r="11" spans="1:33" ht="25.5" customHeight="1" x14ac:dyDescent="0.2">
      <c r="A11" s="15" t="s">
        <v>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7"/>
    </row>
    <row r="12" spans="1:33" ht="28.5" customHeight="1" x14ac:dyDescent="0.2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0"/>
    </row>
    <row r="13" spans="1:33" ht="12.75" customHeight="1" x14ac:dyDescent="0.2">
      <c r="A13" s="21" t="s">
        <v>9</v>
      </c>
      <c r="B13" s="24" t="s">
        <v>10</v>
      </c>
      <c r="C13" s="25"/>
      <c r="D13" s="24" t="s">
        <v>11</v>
      </c>
      <c r="E13" s="25"/>
      <c r="F13" s="24" t="s">
        <v>12</v>
      </c>
      <c r="G13" s="16"/>
      <c r="H13" s="16"/>
      <c r="I13" s="25"/>
      <c r="J13" s="21" t="s">
        <v>13</v>
      </c>
      <c r="K13" s="21" t="s">
        <v>14</v>
      </c>
      <c r="L13" s="21" t="s">
        <v>15</v>
      </c>
      <c r="N13" s="24" t="s">
        <v>16</v>
      </c>
      <c r="O13" s="25"/>
      <c r="P13" s="24" t="s">
        <v>17</v>
      </c>
      <c r="Q13" s="16"/>
      <c r="R13" s="25"/>
      <c r="S13" s="21" t="s">
        <v>18</v>
      </c>
      <c r="T13" s="24" t="s">
        <v>19</v>
      </c>
      <c r="U13" s="25"/>
      <c r="V13" s="21" t="s">
        <v>20</v>
      </c>
      <c r="W13" s="21" t="s">
        <v>21</v>
      </c>
      <c r="X13" s="21" t="s">
        <v>22</v>
      </c>
      <c r="Y13" s="24" t="s">
        <v>23</v>
      </c>
      <c r="Z13" s="25"/>
      <c r="AA13" s="21" t="s">
        <v>24</v>
      </c>
      <c r="AB13" s="21" t="s">
        <v>25</v>
      </c>
      <c r="AC13" s="21" t="s">
        <v>26</v>
      </c>
      <c r="AD13" s="21" t="s">
        <v>27</v>
      </c>
      <c r="AE13" s="21" t="s">
        <v>28</v>
      </c>
      <c r="AF13" s="21" t="s">
        <v>29</v>
      </c>
      <c r="AG13" s="21" t="s">
        <v>30</v>
      </c>
    </row>
    <row r="14" spans="1:33" ht="14.25" customHeight="1" x14ac:dyDescent="0.2">
      <c r="A14" s="23"/>
      <c r="B14" s="18"/>
      <c r="C14" s="28"/>
      <c r="D14" s="18"/>
      <c r="E14" s="28"/>
      <c r="F14" s="18"/>
      <c r="G14" s="19"/>
      <c r="H14" s="19"/>
      <c r="I14" s="28"/>
      <c r="J14" s="23"/>
      <c r="K14" s="23"/>
      <c r="L14" s="22"/>
      <c r="N14" s="26"/>
      <c r="O14" s="27"/>
      <c r="P14" s="18"/>
      <c r="Q14" s="19"/>
      <c r="R14" s="28"/>
      <c r="S14" s="23"/>
      <c r="T14" s="18"/>
      <c r="U14" s="28"/>
      <c r="V14" s="23"/>
      <c r="W14" s="23"/>
      <c r="X14" s="23"/>
      <c r="Y14" s="18"/>
      <c r="Z14" s="28"/>
      <c r="AA14" s="23"/>
      <c r="AB14" s="23"/>
      <c r="AC14" s="23"/>
      <c r="AD14" s="23"/>
      <c r="AE14" s="23"/>
      <c r="AF14" s="23"/>
      <c r="AG14" s="23"/>
    </row>
    <row r="15" spans="1:33" ht="0.75" customHeight="1" x14ac:dyDescent="0.2">
      <c r="L15" s="23"/>
      <c r="N15" s="18"/>
      <c r="O15" s="28"/>
    </row>
    <row r="16" spans="1:33" ht="12.75" customHeight="1" x14ac:dyDescent="0.2">
      <c r="A16" s="2" t="s">
        <v>31</v>
      </c>
      <c r="B16" s="7" t="s">
        <v>32</v>
      </c>
      <c r="C16" s="8"/>
      <c r="D16" s="8"/>
      <c r="E16" s="9" t="s">
        <v>33</v>
      </c>
      <c r="F16" s="8"/>
      <c r="G16" s="10" t="s">
        <v>34</v>
      </c>
      <c r="H16" s="8"/>
      <c r="I16" s="8"/>
      <c r="J16" s="3" t="s">
        <v>35</v>
      </c>
      <c r="K16" s="4" t="s">
        <v>36</v>
      </c>
      <c r="L16" s="4" t="s">
        <v>37</v>
      </c>
      <c r="N16" s="10" t="s">
        <v>38</v>
      </c>
      <c r="O16" s="8"/>
      <c r="P16" s="10" t="s">
        <v>39</v>
      </c>
      <c r="Q16" s="8"/>
      <c r="R16" s="8"/>
      <c r="S16" s="3" t="s">
        <v>40</v>
      </c>
      <c r="T16" s="10" t="s">
        <v>41</v>
      </c>
      <c r="U16" s="8"/>
      <c r="V16" s="4" t="s">
        <v>42</v>
      </c>
      <c r="W16" s="4" t="s">
        <v>43</v>
      </c>
      <c r="X16" s="4" t="s">
        <v>44</v>
      </c>
      <c r="Y16" s="10" t="s">
        <v>45</v>
      </c>
      <c r="Z16" s="8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7" t="s">
        <v>52</v>
      </c>
      <c r="C18" s="8"/>
      <c r="D18" s="8"/>
      <c r="E18" s="9" t="s">
        <v>33</v>
      </c>
      <c r="F18" s="8"/>
      <c r="G18" s="10" t="s">
        <v>34</v>
      </c>
      <c r="H18" s="8"/>
      <c r="I18" s="8"/>
      <c r="J18" s="3" t="s">
        <v>53</v>
      </c>
      <c r="K18" s="4" t="s">
        <v>54</v>
      </c>
      <c r="N18" s="10" t="s">
        <v>38</v>
      </c>
      <c r="O18" s="8"/>
      <c r="P18" s="10" t="s">
        <v>39</v>
      </c>
      <c r="Q18" s="8"/>
      <c r="R18" s="8"/>
      <c r="S18" s="3" t="s">
        <v>40</v>
      </c>
      <c r="T18" s="10" t="s">
        <v>55</v>
      </c>
      <c r="U18" s="8"/>
      <c r="V18" s="4" t="s">
        <v>42</v>
      </c>
      <c r="W18" s="4" t="s">
        <v>56</v>
      </c>
      <c r="X18" s="4" t="s">
        <v>57</v>
      </c>
      <c r="Y18" s="10" t="s">
        <v>58</v>
      </c>
      <c r="Z18" s="8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7" t="s">
        <v>32</v>
      </c>
      <c r="C19" s="8"/>
      <c r="D19" s="8"/>
      <c r="E19" s="9" t="s">
        <v>33</v>
      </c>
      <c r="F19" s="8"/>
      <c r="G19" s="10" t="s">
        <v>34</v>
      </c>
      <c r="H19" s="8"/>
      <c r="I19" s="8"/>
      <c r="J19" s="3" t="s">
        <v>35</v>
      </c>
      <c r="K19" s="4" t="s">
        <v>62</v>
      </c>
      <c r="L19" s="4" t="s">
        <v>37</v>
      </c>
      <c r="N19" s="10" t="s">
        <v>63</v>
      </c>
      <c r="O19" s="8"/>
      <c r="P19" s="10" t="s">
        <v>64</v>
      </c>
      <c r="Q19" s="8"/>
      <c r="R19" s="8"/>
      <c r="S19" s="3" t="s">
        <v>40</v>
      </c>
      <c r="T19" s="10" t="s">
        <v>41</v>
      </c>
      <c r="U19" s="8"/>
      <c r="V19" s="4" t="s">
        <v>42</v>
      </c>
      <c r="W19" s="4" t="s">
        <v>65</v>
      </c>
      <c r="X19" s="4" t="s">
        <v>66</v>
      </c>
      <c r="Y19" s="10" t="s">
        <v>45</v>
      </c>
      <c r="Z19" s="8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7" t="s">
        <v>32</v>
      </c>
      <c r="C20" s="8"/>
      <c r="D20" s="8"/>
      <c r="E20" s="9" t="s">
        <v>33</v>
      </c>
      <c r="F20" s="8"/>
      <c r="G20" s="10" t="s">
        <v>34</v>
      </c>
      <c r="H20" s="8"/>
      <c r="I20" s="8"/>
      <c r="J20" s="3" t="s">
        <v>35</v>
      </c>
      <c r="K20" s="4" t="s">
        <v>67</v>
      </c>
      <c r="L20" s="4" t="s">
        <v>68</v>
      </c>
      <c r="N20" s="10" t="s">
        <v>69</v>
      </c>
      <c r="O20" s="8"/>
      <c r="P20" s="10" t="s">
        <v>70</v>
      </c>
      <c r="Q20" s="8"/>
      <c r="R20" s="8"/>
      <c r="S20" s="3" t="s">
        <v>40</v>
      </c>
      <c r="T20" s="10" t="s">
        <v>41</v>
      </c>
      <c r="U20" s="8"/>
      <c r="V20" s="4" t="s">
        <v>42</v>
      </c>
      <c r="W20" s="4" t="s">
        <v>65</v>
      </c>
      <c r="X20" s="4" t="s">
        <v>66</v>
      </c>
      <c r="Y20" s="10" t="s">
        <v>45</v>
      </c>
      <c r="Z20" s="8"/>
      <c r="AA20" s="4" t="s">
        <v>46</v>
      </c>
      <c r="AB20" s="4" t="s">
        <v>47</v>
      </c>
      <c r="AC20" s="4" t="s">
        <v>48</v>
      </c>
      <c r="AD20" s="4" t="s">
        <v>71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7" t="s">
        <v>32</v>
      </c>
      <c r="C21" s="8"/>
      <c r="D21" s="8"/>
      <c r="E21" s="9" t="s">
        <v>33</v>
      </c>
      <c r="F21" s="8"/>
      <c r="G21" s="10" t="s">
        <v>34</v>
      </c>
      <c r="H21" s="8"/>
      <c r="I21" s="8"/>
      <c r="J21" s="3" t="s">
        <v>35</v>
      </c>
      <c r="K21" s="4" t="s">
        <v>72</v>
      </c>
      <c r="L21" s="4" t="s">
        <v>68</v>
      </c>
      <c r="N21" s="10" t="s">
        <v>73</v>
      </c>
      <c r="O21" s="8"/>
      <c r="P21" s="10" t="s">
        <v>74</v>
      </c>
      <c r="Q21" s="8"/>
      <c r="R21" s="8"/>
      <c r="S21" s="3" t="s">
        <v>40</v>
      </c>
      <c r="T21" s="10" t="s">
        <v>41</v>
      </c>
      <c r="U21" s="8"/>
      <c r="V21" s="4" t="s">
        <v>42</v>
      </c>
      <c r="W21" s="4" t="s">
        <v>75</v>
      </c>
      <c r="X21" s="4" t="s">
        <v>76</v>
      </c>
      <c r="Y21" s="10" t="s">
        <v>45</v>
      </c>
      <c r="Z21" s="8"/>
      <c r="AA21" s="4" t="s">
        <v>46</v>
      </c>
      <c r="AB21" s="4" t="s">
        <v>47</v>
      </c>
      <c r="AC21" s="4" t="s">
        <v>48</v>
      </c>
      <c r="AD21" s="4" t="s">
        <v>71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7" t="s">
        <v>32</v>
      </c>
      <c r="C22" s="8"/>
      <c r="D22" s="8"/>
      <c r="E22" s="9" t="s">
        <v>33</v>
      </c>
      <c r="F22" s="8"/>
      <c r="G22" s="10" t="s">
        <v>34</v>
      </c>
      <c r="H22" s="8"/>
      <c r="I22" s="8"/>
      <c r="J22" s="3" t="s">
        <v>35</v>
      </c>
      <c r="K22" s="4" t="s">
        <v>77</v>
      </c>
      <c r="L22" s="4" t="s">
        <v>68</v>
      </c>
      <c r="N22" s="10" t="s">
        <v>78</v>
      </c>
      <c r="O22" s="8"/>
      <c r="P22" s="10" t="s">
        <v>79</v>
      </c>
      <c r="Q22" s="8"/>
      <c r="R22" s="8"/>
      <c r="S22" s="3" t="s">
        <v>40</v>
      </c>
      <c r="T22" s="10" t="s">
        <v>41</v>
      </c>
      <c r="U22" s="8"/>
      <c r="V22" s="4" t="s">
        <v>80</v>
      </c>
      <c r="W22" s="4" t="s">
        <v>81</v>
      </c>
      <c r="X22" s="4" t="s">
        <v>82</v>
      </c>
      <c r="Y22" s="10" t="s">
        <v>83</v>
      </c>
      <c r="Z22" s="8"/>
      <c r="AA22" s="4" t="s">
        <v>46</v>
      </c>
      <c r="AB22" s="4" t="s">
        <v>47</v>
      </c>
      <c r="AC22" s="4" t="s">
        <v>48</v>
      </c>
      <c r="AD22" s="4" t="s">
        <v>71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7" t="s">
        <v>32</v>
      </c>
      <c r="C23" s="8"/>
      <c r="D23" s="8"/>
      <c r="E23" s="9" t="s">
        <v>33</v>
      </c>
      <c r="F23" s="8"/>
      <c r="G23" s="10" t="s">
        <v>34</v>
      </c>
      <c r="H23" s="8"/>
      <c r="I23" s="8"/>
      <c r="J23" s="3" t="s">
        <v>35</v>
      </c>
      <c r="K23" s="4" t="s">
        <v>72</v>
      </c>
      <c r="L23" s="4" t="s">
        <v>68</v>
      </c>
      <c r="N23" s="10" t="s">
        <v>84</v>
      </c>
      <c r="O23" s="8"/>
      <c r="P23" s="10" t="s">
        <v>85</v>
      </c>
      <c r="Q23" s="8"/>
      <c r="R23" s="8"/>
      <c r="S23" s="3" t="s">
        <v>40</v>
      </c>
      <c r="T23" s="10" t="s">
        <v>41</v>
      </c>
      <c r="U23" s="8"/>
      <c r="V23" s="4" t="s">
        <v>42</v>
      </c>
      <c r="W23" s="4" t="s">
        <v>86</v>
      </c>
      <c r="X23" s="4" t="s">
        <v>87</v>
      </c>
      <c r="Y23" s="10" t="s">
        <v>45</v>
      </c>
      <c r="Z23" s="8"/>
      <c r="AA23" s="4" t="s">
        <v>46</v>
      </c>
      <c r="AB23" s="4" t="s">
        <v>47</v>
      </c>
      <c r="AC23" s="4" t="s">
        <v>48</v>
      </c>
      <c r="AD23" s="4" t="s">
        <v>71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7" t="s">
        <v>32</v>
      </c>
      <c r="C24" s="8"/>
      <c r="D24" s="8"/>
      <c r="E24" s="9" t="s">
        <v>33</v>
      </c>
      <c r="F24" s="8"/>
      <c r="G24" s="10" t="s">
        <v>34</v>
      </c>
      <c r="H24" s="8"/>
      <c r="I24" s="8"/>
      <c r="J24" s="3" t="s">
        <v>35</v>
      </c>
      <c r="K24" s="4" t="s">
        <v>67</v>
      </c>
      <c r="L24" s="4" t="s">
        <v>68</v>
      </c>
      <c r="N24" s="10" t="s">
        <v>88</v>
      </c>
      <c r="O24" s="8"/>
      <c r="P24" s="10" t="s">
        <v>89</v>
      </c>
      <c r="Q24" s="8"/>
      <c r="R24" s="8"/>
      <c r="S24" s="3" t="s">
        <v>40</v>
      </c>
      <c r="T24" s="10" t="s">
        <v>41</v>
      </c>
      <c r="U24" s="8"/>
      <c r="V24" s="4" t="s">
        <v>42</v>
      </c>
      <c r="W24" s="4" t="s">
        <v>90</v>
      </c>
      <c r="X24" s="4" t="s">
        <v>91</v>
      </c>
      <c r="Y24" s="10" t="s">
        <v>45</v>
      </c>
      <c r="Z24" s="8"/>
      <c r="AA24" s="4" t="s">
        <v>46</v>
      </c>
      <c r="AB24" s="4" t="s">
        <v>47</v>
      </c>
      <c r="AC24" s="4" t="s">
        <v>48</v>
      </c>
      <c r="AD24" s="4" t="s">
        <v>71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7" t="s">
        <v>32</v>
      </c>
      <c r="C25" s="8"/>
      <c r="D25" s="8"/>
      <c r="E25" s="9" t="s">
        <v>33</v>
      </c>
      <c r="F25" s="8"/>
      <c r="G25" s="10" t="s">
        <v>92</v>
      </c>
      <c r="H25" s="8"/>
      <c r="I25" s="8"/>
      <c r="J25" s="3" t="s">
        <v>35</v>
      </c>
      <c r="K25" s="4" t="s">
        <v>67</v>
      </c>
      <c r="L25" s="4" t="s">
        <v>37</v>
      </c>
      <c r="N25" s="10" t="s">
        <v>93</v>
      </c>
      <c r="O25" s="8"/>
      <c r="P25" s="10" t="s">
        <v>94</v>
      </c>
      <c r="Q25" s="8"/>
      <c r="R25" s="8"/>
      <c r="S25" s="3" t="s">
        <v>40</v>
      </c>
      <c r="T25" s="10" t="s">
        <v>41</v>
      </c>
      <c r="U25" s="8"/>
      <c r="V25" s="4" t="s">
        <v>42</v>
      </c>
      <c r="W25" s="4" t="s">
        <v>95</v>
      </c>
      <c r="X25" s="4" t="s">
        <v>82</v>
      </c>
      <c r="Y25" s="10" t="s">
        <v>45</v>
      </c>
      <c r="Z25" s="8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96</v>
      </c>
    </row>
    <row r="26" spans="1:33" ht="16.5" customHeight="1" x14ac:dyDescent="0.2">
      <c r="A26" s="2" t="s">
        <v>31</v>
      </c>
      <c r="B26" s="7" t="s">
        <v>32</v>
      </c>
      <c r="C26" s="8"/>
      <c r="D26" s="8"/>
      <c r="E26" s="9" t="s">
        <v>33</v>
      </c>
      <c r="F26" s="8"/>
      <c r="G26" s="10" t="s">
        <v>92</v>
      </c>
      <c r="H26" s="8"/>
      <c r="I26" s="8"/>
      <c r="J26" s="3" t="s">
        <v>35</v>
      </c>
      <c r="K26" s="4" t="s">
        <v>72</v>
      </c>
      <c r="L26" s="4" t="s">
        <v>37</v>
      </c>
      <c r="N26" s="10" t="s">
        <v>97</v>
      </c>
      <c r="O26" s="8"/>
      <c r="P26" s="10" t="s">
        <v>98</v>
      </c>
      <c r="Q26" s="8"/>
      <c r="R26" s="8"/>
      <c r="S26" s="3" t="s">
        <v>40</v>
      </c>
      <c r="T26" s="10" t="s">
        <v>41</v>
      </c>
      <c r="U26" s="8"/>
      <c r="V26" s="4" t="s">
        <v>42</v>
      </c>
      <c r="W26" s="4" t="s">
        <v>99</v>
      </c>
      <c r="X26" s="4" t="s">
        <v>100</v>
      </c>
      <c r="Y26" s="10" t="s">
        <v>45</v>
      </c>
      <c r="Z26" s="8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96</v>
      </c>
    </row>
    <row r="27" spans="1:33" ht="16.5" customHeight="1" x14ac:dyDescent="0.2">
      <c r="A27" s="2" t="s">
        <v>31</v>
      </c>
      <c r="B27" s="7" t="s">
        <v>32</v>
      </c>
      <c r="C27" s="8"/>
      <c r="D27" s="8"/>
      <c r="E27" s="9" t="s">
        <v>33</v>
      </c>
      <c r="F27" s="8"/>
      <c r="G27" s="10" t="s">
        <v>92</v>
      </c>
      <c r="H27" s="8"/>
      <c r="I27" s="8"/>
      <c r="J27" s="3" t="s">
        <v>35</v>
      </c>
      <c r="K27" s="4" t="s">
        <v>101</v>
      </c>
      <c r="L27" s="4" t="s">
        <v>68</v>
      </c>
      <c r="N27" s="10" t="s">
        <v>102</v>
      </c>
      <c r="O27" s="8"/>
      <c r="P27" s="10" t="s">
        <v>103</v>
      </c>
      <c r="Q27" s="8"/>
      <c r="R27" s="8"/>
      <c r="S27" s="3" t="s">
        <v>40</v>
      </c>
      <c r="T27" s="10" t="s">
        <v>41</v>
      </c>
      <c r="U27" s="8"/>
      <c r="V27" s="4" t="s">
        <v>42</v>
      </c>
      <c r="W27" s="4" t="s">
        <v>104</v>
      </c>
      <c r="X27" s="4" t="s">
        <v>105</v>
      </c>
      <c r="Y27" s="10" t="s">
        <v>45</v>
      </c>
      <c r="Z27" s="8"/>
      <c r="AA27" s="4" t="s">
        <v>46</v>
      </c>
      <c r="AB27" s="4" t="s">
        <v>47</v>
      </c>
      <c r="AC27" s="4" t="s">
        <v>48</v>
      </c>
      <c r="AD27" s="4" t="s">
        <v>71</v>
      </c>
      <c r="AE27" s="4" t="s">
        <v>50</v>
      </c>
      <c r="AF27" s="4" t="s">
        <v>41</v>
      </c>
      <c r="AG27" s="4" t="s">
        <v>96</v>
      </c>
    </row>
    <row r="28" spans="1:33" ht="16.5" customHeight="1" x14ac:dyDescent="0.2">
      <c r="A28" s="2" t="s">
        <v>31</v>
      </c>
      <c r="B28" s="7" t="s">
        <v>32</v>
      </c>
      <c r="C28" s="8"/>
      <c r="D28" s="8"/>
      <c r="E28" s="9" t="s">
        <v>33</v>
      </c>
      <c r="F28" s="8"/>
      <c r="G28" s="10" t="s">
        <v>106</v>
      </c>
      <c r="H28" s="8"/>
      <c r="I28" s="8"/>
      <c r="J28" s="3" t="s">
        <v>35</v>
      </c>
      <c r="K28" s="4" t="s">
        <v>107</v>
      </c>
      <c r="L28" s="4" t="s">
        <v>108</v>
      </c>
      <c r="N28" s="10" t="s">
        <v>109</v>
      </c>
      <c r="O28" s="8"/>
      <c r="P28" s="10" t="s">
        <v>110</v>
      </c>
      <c r="Q28" s="8"/>
      <c r="R28" s="8"/>
      <c r="S28" s="3" t="s">
        <v>40</v>
      </c>
      <c r="T28" s="10" t="s">
        <v>41</v>
      </c>
      <c r="U28" s="8"/>
      <c r="V28" s="4" t="s">
        <v>42</v>
      </c>
      <c r="W28" s="4" t="s">
        <v>104</v>
      </c>
      <c r="X28" s="4" t="s">
        <v>105</v>
      </c>
      <c r="Y28" s="10" t="s">
        <v>83</v>
      </c>
      <c r="Z28" s="8"/>
      <c r="AA28" s="4" t="s">
        <v>46</v>
      </c>
      <c r="AB28" s="4" t="s">
        <v>47</v>
      </c>
      <c r="AC28" s="4" t="s">
        <v>48</v>
      </c>
      <c r="AD28" s="4" t="s">
        <v>111</v>
      </c>
      <c r="AE28" s="4" t="s">
        <v>50</v>
      </c>
      <c r="AF28" s="4" t="s">
        <v>41</v>
      </c>
      <c r="AG28" s="4" t="s">
        <v>112</v>
      </c>
    </row>
    <row r="29" spans="1:33" ht="16.5" customHeight="1" x14ac:dyDescent="0.2">
      <c r="A29" s="2" t="s">
        <v>31</v>
      </c>
      <c r="B29" s="7" t="s">
        <v>32</v>
      </c>
      <c r="C29" s="8"/>
      <c r="D29" s="8"/>
      <c r="E29" s="9" t="s">
        <v>33</v>
      </c>
      <c r="F29" s="8"/>
      <c r="G29" s="10" t="s">
        <v>106</v>
      </c>
      <c r="H29" s="8"/>
      <c r="I29" s="8"/>
      <c r="J29" s="3" t="s">
        <v>35</v>
      </c>
      <c r="K29" s="4" t="s">
        <v>113</v>
      </c>
      <c r="L29" s="4" t="s">
        <v>68</v>
      </c>
      <c r="N29" s="10" t="s">
        <v>114</v>
      </c>
      <c r="O29" s="8"/>
      <c r="P29" s="10" t="s">
        <v>115</v>
      </c>
      <c r="Q29" s="8"/>
      <c r="R29" s="8"/>
      <c r="S29" s="3" t="s">
        <v>40</v>
      </c>
      <c r="T29" s="10" t="s">
        <v>41</v>
      </c>
      <c r="U29" s="8"/>
      <c r="V29" s="4" t="s">
        <v>80</v>
      </c>
      <c r="W29" s="4" t="s">
        <v>116</v>
      </c>
      <c r="X29" s="4" t="s">
        <v>117</v>
      </c>
      <c r="Y29" s="10" t="s">
        <v>45</v>
      </c>
      <c r="Z29" s="8"/>
      <c r="AA29" s="4" t="s">
        <v>46</v>
      </c>
      <c r="AB29" s="4" t="s">
        <v>47</v>
      </c>
      <c r="AC29" s="4" t="s">
        <v>118</v>
      </c>
      <c r="AD29" s="4" t="s">
        <v>41</v>
      </c>
      <c r="AE29" s="4" t="s">
        <v>50</v>
      </c>
      <c r="AF29" s="4" t="s">
        <v>41</v>
      </c>
      <c r="AG29" s="4" t="s">
        <v>112</v>
      </c>
    </row>
    <row r="30" spans="1:33" ht="16.5" customHeight="1" x14ac:dyDescent="0.2">
      <c r="A30" s="2" t="s">
        <v>31</v>
      </c>
      <c r="B30" s="7" t="s">
        <v>32</v>
      </c>
      <c r="C30" s="8"/>
      <c r="D30" s="8"/>
      <c r="E30" s="9" t="s">
        <v>33</v>
      </c>
      <c r="F30" s="8"/>
      <c r="G30" s="10" t="s">
        <v>106</v>
      </c>
      <c r="H30" s="8"/>
      <c r="I30" s="8"/>
      <c r="J30" s="3" t="s">
        <v>35</v>
      </c>
      <c r="K30" s="4" t="s">
        <v>36</v>
      </c>
      <c r="L30" s="4" t="s">
        <v>68</v>
      </c>
      <c r="N30" s="10" t="s">
        <v>119</v>
      </c>
      <c r="O30" s="8"/>
      <c r="P30" s="10" t="s">
        <v>120</v>
      </c>
      <c r="Q30" s="8"/>
      <c r="R30" s="8"/>
      <c r="S30" s="3" t="s">
        <v>40</v>
      </c>
      <c r="T30" s="10" t="s">
        <v>41</v>
      </c>
      <c r="U30" s="8"/>
      <c r="V30" s="4" t="s">
        <v>42</v>
      </c>
      <c r="W30" s="4" t="s">
        <v>121</v>
      </c>
      <c r="X30" s="4" t="s">
        <v>122</v>
      </c>
      <c r="Y30" s="10" t="s">
        <v>45</v>
      </c>
      <c r="Z30" s="8"/>
      <c r="AA30" s="4" t="s">
        <v>46</v>
      </c>
      <c r="AB30" s="4" t="s">
        <v>47</v>
      </c>
      <c r="AC30" s="4" t="s">
        <v>48</v>
      </c>
      <c r="AD30" s="4" t="s">
        <v>71</v>
      </c>
      <c r="AE30" s="4" t="s">
        <v>50</v>
      </c>
      <c r="AF30" s="4" t="s">
        <v>41</v>
      </c>
      <c r="AG30" s="4" t="s">
        <v>112</v>
      </c>
    </row>
    <row r="31" spans="1:33" ht="16.5" customHeight="1" x14ac:dyDescent="0.2">
      <c r="A31" s="2" t="s">
        <v>31</v>
      </c>
      <c r="B31" s="7" t="s">
        <v>32</v>
      </c>
      <c r="C31" s="8"/>
      <c r="D31" s="8"/>
      <c r="E31" s="9" t="s">
        <v>33</v>
      </c>
      <c r="F31" s="8"/>
      <c r="G31" s="10" t="s">
        <v>106</v>
      </c>
      <c r="H31" s="8"/>
      <c r="I31" s="8"/>
      <c r="J31" s="3" t="s">
        <v>35</v>
      </c>
      <c r="K31" s="4" t="s">
        <v>107</v>
      </c>
      <c r="L31" s="4" t="s">
        <v>68</v>
      </c>
      <c r="N31" s="10" t="s">
        <v>123</v>
      </c>
      <c r="O31" s="8"/>
      <c r="P31" s="10" t="s">
        <v>124</v>
      </c>
      <c r="Q31" s="8"/>
      <c r="R31" s="8"/>
      <c r="S31" s="3" t="s">
        <v>40</v>
      </c>
      <c r="T31" s="10" t="s">
        <v>41</v>
      </c>
      <c r="U31" s="8"/>
      <c r="V31" s="4" t="s">
        <v>42</v>
      </c>
      <c r="W31" s="4" t="s">
        <v>125</v>
      </c>
      <c r="X31" s="4" t="s">
        <v>126</v>
      </c>
      <c r="Y31" s="10" t="s">
        <v>83</v>
      </c>
      <c r="Z31" s="8"/>
      <c r="AA31" s="4" t="s">
        <v>46</v>
      </c>
      <c r="AB31" s="4" t="s">
        <v>47</v>
      </c>
      <c r="AC31" s="4" t="s">
        <v>48</v>
      </c>
      <c r="AD31" s="4" t="s">
        <v>71</v>
      </c>
      <c r="AE31" s="4" t="s">
        <v>50</v>
      </c>
      <c r="AF31" s="4" t="s">
        <v>41</v>
      </c>
      <c r="AG31" s="4" t="s">
        <v>112</v>
      </c>
    </row>
    <row r="32" spans="1:33" ht="16.5" customHeight="1" x14ac:dyDescent="0.2">
      <c r="A32" s="2" t="s">
        <v>31</v>
      </c>
      <c r="B32" s="7" t="s">
        <v>32</v>
      </c>
      <c r="C32" s="8"/>
      <c r="D32" s="8"/>
      <c r="E32" s="9" t="s">
        <v>33</v>
      </c>
      <c r="F32" s="8"/>
      <c r="G32" s="10" t="s">
        <v>106</v>
      </c>
      <c r="H32" s="8"/>
      <c r="I32" s="8"/>
      <c r="J32" s="3" t="s">
        <v>35</v>
      </c>
      <c r="K32" s="4" t="s">
        <v>107</v>
      </c>
      <c r="L32" s="4" t="s">
        <v>68</v>
      </c>
      <c r="N32" s="10" t="s">
        <v>127</v>
      </c>
      <c r="O32" s="8"/>
      <c r="P32" s="10" t="s">
        <v>128</v>
      </c>
      <c r="Q32" s="8"/>
      <c r="R32" s="8"/>
      <c r="S32" s="3" t="s">
        <v>40</v>
      </c>
      <c r="T32" s="10" t="s">
        <v>41</v>
      </c>
      <c r="U32" s="8"/>
      <c r="V32" s="4" t="s">
        <v>42</v>
      </c>
      <c r="W32" s="4" t="s">
        <v>125</v>
      </c>
      <c r="X32" s="4" t="s">
        <v>126</v>
      </c>
      <c r="Y32" s="10" t="s">
        <v>83</v>
      </c>
      <c r="Z32" s="8"/>
      <c r="AA32" s="4" t="s">
        <v>46</v>
      </c>
      <c r="AB32" s="4" t="s">
        <v>47</v>
      </c>
      <c r="AC32" s="4" t="s">
        <v>48</v>
      </c>
      <c r="AD32" s="4" t="s">
        <v>71</v>
      </c>
      <c r="AE32" s="4" t="s">
        <v>50</v>
      </c>
      <c r="AF32" s="4" t="s">
        <v>41</v>
      </c>
      <c r="AG32" s="4" t="s">
        <v>112</v>
      </c>
    </row>
    <row r="33" spans="1:33" ht="16.5" customHeight="1" x14ac:dyDescent="0.2">
      <c r="A33" s="2" t="s">
        <v>31</v>
      </c>
      <c r="B33" s="7" t="s">
        <v>32</v>
      </c>
      <c r="C33" s="8"/>
      <c r="D33" s="8"/>
      <c r="E33" s="9" t="s">
        <v>33</v>
      </c>
      <c r="F33" s="8"/>
      <c r="G33" s="10" t="s">
        <v>106</v>
      </c>
      <c r="H33" s="8"/>
      <c r="I33" s="8"/>
      <c r="J33" s="3" t="s">
        <v>35</v>
      </c>
      <c r="K33" s="4" t="s">
        <v>67</v>
      </c>
      <c r="L33" s="4" t="s">
        <v>129</v>
      </c>
      <c r="N33" s="10" t="s">
        <v>130</v>
      </c>
      <c r="O33" s="8"/>
      <c r="P33" s="10" t="s">
        <v>131</v>
      </c>
      <c r="Q33" s="8"/>
      <c r="R33" s="8"/>
      <c r="S33" s="3" t="s">
        <v>40</v>
      </c>
      <c r="T33" s="10" t="s">
        <v>41</v>
      </c>
      <c r="U33" s="8"/>
      <c r="V33" s="4" t="s">
        <v>80</v>
      </c>
      <c r="W33" s="4" t="s">
        <v>132</v>
      </c>
      <c r="X33" s="4" t="s">
        <v>133</v>
      </c>
      <c r="Y33" s="10" t="s">
        <v>45</v>
      </c>
      <c r="Z33" s="8"/>
      <c r="AA33" s="4" t="s">
        <v>46</v>
      </c>
      <c r="AB33" s="4" t="s">
        <v>47</v>
      </c>
      <c r="AC33" s="4" t="s">
        <v>48</v>
      </c>
      <c r="AD33" s="4" t="s">
        <v>134</v>
      </c>
      <c r="AE33" s="4" t="s">
        <v>50</v>
      </c>
      <c r="AF33" s="4" t="s">
        <v>41</v>
      </c>
      <c r="AG33" s="4" t="s">
        <v>112</v>
      </c>
    </row>
    <row r="34" spans="1:33" ht="16.5" customHeight="1" x14ac:dyDescent="0.2">
      <c r="A34" s="2" t="s">
        <v>31</v>
      </c>
      <c r="B34" s="7" t="s">
        <v>32</v>
      </c>
      <c r="C34" s="8"/>
      <c r="D34" s="8"/>
      <c r="E34" s="9" t="s">
        <v>33</v>
      </c>
      <c r="F34" s="8"/>
      <c r="G34" s="10" t="s">
        <v>106</v>
      </c>
      <c r="H34" s="8"/>
      <c r="I34" s="8"/>
      <c r="J34" s="3" t="s">
        <v>35</v>
      </c>
      <c r="K34" s="4" t="s">
        <v>67</v>
      </c>
      <c r="L34" s="4" t="s">
        <v>68</v>
      </c>
      <c r="N34" s="10" t="s">
        <v>135</v>
      </c>
      <c r="O34" s="8"/>
      <c r="P34" s="10" t="s">
        <v>136</v>
      </c>
      <c r="Q34" s="8"/>
      <c r="R34" s="8"/>
      <c r="S34" s="3" t="s">
        <v>40</v>
      </c>
      <c r="T34" s="10" t="s">
        <v>41</v>
      </c>
      <c r="U34" s="8"/>
      <c r="V34" s="4" t="s">
        <v>42</v>
      </c>
      <c r="W34" s="4" t="s">
        <v>137</v>
      </c>
      <c r="X34" s="4" t="s">
        <v>138</v>
      </c>
      <c r="Y34" s="10" t="s">
        <v>45</v>
      </c>
      <c r="Z34" s="8"/>
      <c r="AA34" s="4" t="s">
        <v>46</v>
      </c>
      <c r="AB34" s="4" t="s">
        <v>47</v>
      </c>
      <c r="AC34" s="4" t="s">
        <v>48</v>
      </c>
      <c r="AD34" s="4" t="s">
        <v>71</v>
      </c>
      <c r="AE34" s="4" t="s">
        <v>50</v>
      </c>
      <c r="AF34" s="4" t="s">
        <v>41</v>
      </c>
      <c r="AG34" s="4" t="s">
        <v>112</v>
      </c>
    </row>
    <row r="35" spans="1:33" ht="409.5" customHeight="1" x14ac:dyDescent="0.2"/>
    <row r="36" spans="1:33" ht="12" customHeight="1" x14ac:dyDescent="0.2"/>
    <row r="37" spans="1:33" ht="12.75" customHeight="1" x14ac:dyDescent="0.2"/>
    <row r="38" spans="1:33" ht="12.75" customHeight="1" x14ac:dyDescent="0.2"/>
    <row r="39" spans="1:33" ht="12.75" customHeight="1" x14ac:dyDescent="0.2"/>
    <row r="40" spans="1:33" ht="12.75" customHeight="1" x14ac:dyDescent="0.2"/>
    <row r="41" spans="1:33" ht="12.75" customHeight="1" x14ac:dyDescent="0.2"/>
    <row r="42" spans="1:33" ht="12.75" customHeight="1" x14ac:dyDescent="0.2"/>
    <row r="43" spans="1:33" ht="12.75" customHeight="1" x14ac:dyDescent="0.2"/>
    <row r="44" spans="1:33" ht="12.75" customHeight="1" x14ac:dyDescent="0.2"/>
    <row r="45" spans="1:33" ht="12.75" customHeight="1" x14ac:dyDescent="0.2"/>
    <row r="46" spans="1:33" ht="12.75" customHeight="1" x14ac:dyDescent="0.2"/>
    <row r="47" spans="1:33" ht="12.75" customHeight="1" x14ac:dyDescent="0.2"/>
    <row r="48" spans="1:3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56"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34:D34"/>
    <mergeCell ref="E34:F34"/>
    <mergeCell ref="G34:I34"/>
    <mergeCell ref="N34:O34"/>
    <mergeCell ref="P34:R34"/>
    <mergeCell ref="T34:U34"/>
    <mergeCell ref="Y34:Z34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B16:D16"/>
    <mergeCell ref="E16:F16"/>
    <mergeCell ref="G16:I16"/>
    <mergeCell ref="N16:O16"/>
    <mergeCell ref="P16:R16"/>
    <mergeCell ref="T16:U16"/>
    <mergeCell ref="Y16:Z16"/>
    <mergeCell ref="A7:A8"/>
    <mergeCell ref="A13:A14"/>
    <mergeCell ref="B13:C14"/>
    <mergeCell ref="D13:E14"/>
    <mergeCell ref="F13:I14"/>
    <mergeCell ref="J13:J14"/>
    <mergeCell ref="K13:K14"/>
    <mergeCell ref="R3:T5"/>
    <mergeCell ref="A4:A5"/>
    <mergeCell ref="C4:H5"/>
    <mergeCell ref="Q6:T6"/>
    <mergeCell ref="C7:G8"/>
    <mergeCell ref="C9:D9"/>
    <mergeCell ref="A11:AG12"/>
    <mergeCell ref="L13:L15"/>
    <mergeCell ref="N13:O15"/>
    <mergeCell ref="P13:R14"/>
    <mergeCell ref="S13:S14"/>
    <mergeCell ref="T13:U14"/>
    <mergeCell ref="V13:V14"/>
    <mergeCell ref="W13:W14"/>
    <mergeCell ref="AF13:AF14"/>
    <mergeCell ref="AG13:AG14"/>
    <mergeCell ref="X13:X14"/>
    <mergeCell ref="Y13:Z14"/>
    <mergeCell ref="AA13:AA14"/>
    <mergeCell ref="AB13:AB14"/>
    <mergeCell ref="AC13:AC14"/>
    <mergeCell ref="AD13:AD14"/>
    <mergeCell ref="AE13:AE14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</mergeCells>
  <pageMargins left="0.25" right="0.33333333333333298" top="0.33333333333333298" bottom="0.25" header="0" footer="0"/>
  <pageSetup scal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J19"/>
  <sheetViews>
    <sheetView workbookViewId="0"/>
  </sheetViews>
  <sheetFormatPr defaultColWidth="12.5703125" defaultRowHeight="15" customHeight="1" x14ac:dyDescent="0.2"/>
  <cols>
    <col min="1" max="1" width="9.42578125" customWidth="1"/>
    <col min="2" max="2" width="11.5703125" customWidth="1"/>
    <col min="3" max="3" width="9.42578125" customWidth="1"/>
    <col min="4" max="4" width="11.85546875" customWidth="1"/>
    <col min="5" max="5" width="3.140625" customWidth="1"/>
    <col min="6" max="6" width="12.42578125" customWidth="1"/>
    <col min="7" max="7" width="31.5703125" customWidth="1"/>
    <col min="8" max="8" width="27.140625" customWidth="1"/>
    <col min="9" max="9" width="22" customWidth="1"/>
    <col min="10" max="10" width="7.5703125" customWidth="1"/>
    <col min="11" max="11" width="6.5703125" customWidth="1"/>
    <col min="12" max="13" width="10.42578125" customWidth="1"/>
    <col min="14" max="14" width="1.140625" customWidth="1"/>
    <col min="15" max="15" width="11" customWidth="1"/>
    <col min="16" max="16" width="11.7109375" customWidth="1"/>
    <col min="17" max="17" width="18.42578125" customWidth="1"/>
    <col min="18" max="18" width="2.28515625" customWidth="1"/>
    <col min="19" max="19" width="18.85546875" customWidth="1"/>
    <col min="20" max="20" width="7.28515625" customWidth="1"/>
    <col min="21" max="21" width="8.42578125" customWidth="1"/>
    <col min="22" max="22" width="8.5703125" customWidth="1"/>
    <col min="23" max="24" width="10" customWidth="1"/>
    <col min="25" max="26" width="10.85546875" customWidth="1"/>
    <col min="27" max="27" width="10.42578125" customWidth="1"/>
    <col min="28" max="28" width="14.5703125" customWidth="1"/>
    <col min="29" max="29" width="20.5703125" customWidth="1"/>
    <col min="30" max="30" width="11" customWidth="1"/>
    <col min="31" max="31" width="12.7109375" customWidth="1"/>
    <col min="32" max="32" width="10" customWidth="1"/>
    <col min="33" max="33" width="13.5703125" customWidth="1"/>
    <col min="34" max="34" width="6.42578125" customWidth="1"/>
    <col min="35" max="35" width="9.42578125" customWidth="1"/>
    <col min="36" max="36" width="10.42578125" customWidth="1"/>
  </cols>
  <sheetData>
    <row r="1" spans="1:36" x14ac:dyDescent="0.2">
      <c r="A1" s="5" t="s">
        <v>9</v>
      </c>
      <c r="B1" s="29" t="s">
        <v>10</v>
      </c>
      <c r="C1" s="30"/>
      <c r="D1" s="29" t="s">
        <v>11</v>
      </c>
      <c r="E1" s="30"/>
      <c r="F1" s="29" t="s">
        <v>12</v>
      </c>
      <c r="G1" s="31"/>
      <c r="H1" s="31"/>
      <c r="I1" s="30"/>
      <c r="J1" s="5" t="s">
        <v>13</v>
      </c>
      <c r="K1" s="5" t="s">
        <v>14</v>
      </c>
      <c r="L1" s="5" t="s">
        <v>15</v>
      </c>
      <c r="M1" s="6"/>
      <c r="O1" s="29" t="s">
        <v>16</v>
      </c>
      <c r="P1" s="30"/>
      <c r="Q1" s="29" t="s">
        <v>17</v>
      </c>
      <c r="R1" s="31"/>
      <c r="S1" s="30"/>
      <c r="T1" s="5" t="s">
        <v>18</v>
      </c>
      <c r="U1" s="29" t="s">
        <v>19</v>
      </c>
      <c r="V1" s="30"/>
      <c r="W1" s="5" t="s">
        <v>20</v>
      </c>
      <c r="X1" s="5"/>
      <c r="Y1" s="5" t="s">
        <v>21</v>
      </c>
      <c r="Z1" s="5"/>
      <c r="AA1" s="5" t="s">
        <v>22</v>
      </c>
      <c r="AB1" s="29" t="s">
        <v>23</v>
      </c>
      <c r="AC1" s="30"/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</row>
    <row r="2" spans="1:36" x14ac:dyDescent="0.2">
      <c r="A2" s="2" t="s">
        <v>31</v>
      </c>
      <c r="B2" s="7" t="s">
        <v>32</v>
      </c>
      <c r="C2" s="8"/>
      <c r="D2" s="8"/>
      <c r="E2" s="9" t="s">
        <v>33</v>
      </c>
      <c r="F2" s="8"/>
      <c r="G2" s="4" t="s">
        <v>34</v>
      </c>
      <c r="H2" s="4" t="str">
        <f t="shared" ref="H2:H8" si="0">MID(G3, FIND("-SU-", G3) + 4, LEN(G3))</f>
        <v>GREGORY K TEIPEL</v>
      </c>
      <c r="I2" s="4"/>
      <c r="J2" s="3" t="s">
        <v>35</v>
      </c>
      <c r="K2" s="4" t="s">
        <v>36</v>
      </c>
      <c r="L2" s="4" t="s">
        <v>37</v>
      </c>
      <c r="M2" s="4" t="str">
        <f t="shared" ref="M2:M19" si="1">IF(L2&gt;1,"[PMPM="&amp;L2&amp;"]","")</f>
        <v>[PMPM=2]</v>
      </c>
      <c r="O2" s="10" t="s">
        <v>38</v>
      </c>
      <c r="P2" s="8"/>
      <c r="Q2" s="10" t="s">
        <v>39</v>
      </c>
      <c r="R2" s="8"/>
      <c r="S2" s="8"/>
      <c r="T2" s="3" t="s">
        <v>40</v>
      </c>
      <c r="U2" s="10" t="s">
        <v>41</v>
      </c>
      <c r="V2" s="8"/>
      <c r="W2" s="4" t="s">
        <v>42</v>
      </c>
      <c r="X2" s="4" t="str">
        <f t="shared" ref="X2:X19" si="2">TEXT(DATE(LEFT(W2,4), MID(W2,5,2), RIGHT(W2,2)), "M/d/yyyy")</f>
        <v>11/1/2025</v>
      </c>
      <c r="Y2" s="4" t="s">
        <v>43</v>
      </c>
      <c r="Z2" s="4" t="str">
        <f t="shared" ref="Z2:Z19" si="3">TEXT(DATE(LEFT(Y2,4), MID(Y2,5,2), RIGHT(Y2,2)), "M/d/yyyy")</f>
        <v>5/1/2018</v>
      </c>
      <c r="AA2" s="4" t="s">
        <v>44</v>
      </c>
      <c r="AB2" s="10" t="s">
        <v>45</v>
      </c>
      <c r="AC2" s="8"/>
      <c r="AD2" s="4" t="s">
        <v>46</v>
      </c>
      <c r="AE2" s="4" t="s">
        <v>47</v>
      </c>
      <c r="AF2" s="4" t="s">
        <v>48</v>
      </c>
      <c r="AG2" s="4" t="s">
        <v>49</v>
      </c>
      <c r="AH2" s="4" t="s">
        <v>50</v>
      </c>
      <c r="AI2" s="4" t="s">
        <v>41</v>
      </c>
      <c r="AJ2" s="4" t="s">
        <v>51</v>
      </c>
    </row>
    <row r="3" spans="1:36" x14ac:dyDescent="0.2">
      <c r="A3" s="2" t="s">
        <v>31</v>
      </c>
      <c r="B3" s="7" t="s">
        <v>52</v>
      </c>
      <c r="C3" s="8"/>
      <c r="D3" s="8"/>
      <c r="E3" s="9" t="s">
        <v>33</v>
      </c>
      <c r="F3" s="8"/>
      <c r="G3" s="4" t="s">
        <v>34</v>
      </c>
      <c r="H3" s="4" t="str">
        <f t="shared" si="0"/>
        <v>GREGORY K TEIPEL</v>
      </c>
      <c r="I3" s="4"/>
      <c r="J3" s="3" t="s">
        <v>53</v>
      </c>
      <c r="K3" s="4" t="s">
        <v>54</v>
      </c>
      <c r="M3" s="4" t="str">
        <f t="shared" si="1"/>
        <v/>
      </c>
      <c r="O3" s="10" t="s">
        <v>38</v>
      </c>
      <c r="P3" s="8"/>
      <c r="Q3" s="10" t="s">
        <v>39</v>
      </c>
      <c r="R3" s="8"/>
      <c r="S3" s="8"/>
      <c r="T3" s="3" t="s">
        <v>40</v>
      </c>
      <c r="U3" s="10" t="s">
        <v>55</v>
      </c>
      <c r="V3" s="8"/>
      <c r="W3" s="4" t="s">
        <v>42</v>
      </c>
      <c r="X3" s="4" t="str">
        <f t="shared" si="2"/>
        <v>11/1/2025</v>
      </c>
      <c r="Y3" s="4" t="s">
        <v>56</v>
      </c>
      <c r="Z3" s="4" t="str">
        <f t="shared" si="3"/>
        <v>1/1/2025</v>
      </c>
      <c r="AA3" s="4" t="s">
        <v>57</v>
      </c>
      <c r="AB3" s="10" t="s">
        <v>58</v>
      </c>
      <c r="AC3" s="8"/>
      <c r="AD3" s="4" t="s">
        <v>46</v>
      </c>
      <c r="AE3" s="4" t="s">
        <v>59</v>
      </c>
      <c r="AF3" s="4" t="s">
        <v>60</v>
      </c>
      <c r="AG3" s="4" t="s">
        <v>61</v>
      </c>
      <c r="AH3" s="4" t="s">
        <v>50</v>
      </c>
      <c r="AI3" s="4" t="s">
        <v>41</v>
      </c>
      <c r="AJ3" s="4" t="s">
        <v>51</v>
      </c>
    </row>
    <row r="4" spans="1:36" x14ac:dyDescent="0.2">
      <c r="A4" s="2" t="s">
        <v>31</v>
      </c>
      <c r="B4" s="7" t="s">
        <v>32</v>
      </c>
      <c r="C4" s="8"/>
      <c r="D4" s="8"/>
      <c r="E4" s="9" t="s">
        <v>33</v>
      </c>
      <c r="F4" s="8"/>
      <c r="G4" s="4" t="s">
        <v>34</v>
      </c>
      <c r="H4" s="4" t="str">
        <f t="shared" si="0"/>
        <v>GREGORY K TEIPEL</v>
      </c>
      <c r="I4" s="4"/>
      <c r="J4" s="3" t="s">
        <v>35</v>
      </c>
      <c r="K4" s="4" t="s">
        <v>62</v>
      </c>
      <c r="L4" s="4" t="s">
        <v>37</v>
      </c>
      <c r="M4" s="4" t="str">
        <f t="shared" si="1"/>
        <v>[PMPM=2]</v>
      </c>
      <c r="O4" s="10" t="s">
        <v>63</v>
      </c>
      <c r="P4" s="8"/>
      <c r="Q4" s="10" t="s">
        <v>64</v>
      </c>
      <c r="R4" s="8"/>
      <c r="S4" s="8"/>
      <c r="T4" s="3" t="s">
        <v>40</v>
      </c>
      <c r="U4" s="10" t="s">
        <v>41</v>
      </c>
      <c r="V4" s="8"/>
      <c r="W4" s="4" t="s">
        <v>42</v>
      </c>
      <c r="X4" s="4" t="str">
        <f t="shared" si="2"/>
        <v>11/1/2025</v>
      </c>
      <c r="Y4" s="4" t="s">
        <v>65</v>
      </c>
      <c r="Z4" s="4" t="str">
        <f t="shared" si="3"/>
        <v>1/1/2021</v>
      </c>
      <c r="AA4" s="4" t="s">
        <v>66</v>
      </c>
      <c r="AB4" s="10" t="s">
        <v>45</v>
      </c>
      <c r="AC4" s="8"/>
      <c r="AD4" s="4" t="s">
        <v>46</v>
      </c>
      <c r="AE4" s="4" t="s">
        <v>47</v>
      </c>
      <c r="AF4" s="4" t="s">
        <v>48</v>
      </c>
      <c r="AG4" s="4" t="s">
        <v>49</v>
      </c>
      <c r="AH4" s="4" t="s">
        <v>50</v>
      </c>
      <c r="AI4" s="4" t="s">
        <v>41</v>
      </c>
      <c r="AJ4" s="4" t="s">
        <v>51</v>
      </c>
    </row>
    <row r="5" spans="1:36" x14ac:dyDescent="0.2">
      <c r="A5" s="2" t="s">
        <v>31</v>
      </c>
      <c r="B5" s="7" t="s">
        <v>32</v>
      </c>
      <c r="C5" s="8"/>
      <c r="D5" s="8"/>
      <c r="E5" s="9" t="s">
        <v>33</v>
      </c>
      <c r="F5" s="8"/>
      <c r="G5" s="4" t="s">
        <v>34</v>
      </c>
      <c r="H5" s="4" t="str">
        <f t="shared" si="0"/>
        <v>GREGORY K TEIPEL</v>
      </c>
      <c r="I5" s="4"/>
      <c r="J5" s="3" t="s">
        <v>35</v>
      </c>
      <c r="K5" s="4" t="s">
        <v>67</v>
      </c>
      <c r="L5" s="4" t="s">
        <v>68</v>
      </c>
      <c r="M5" s="4" t="str">
        <f t="shared" si="1"/>
        <v>[PMPM=1]</v>
      </c>
      <c r="O5" s="10" t="s">
        <v>69</v>
      </c>
      <c r="P5" s="8"/>
      <c r="Q5" s="10" t="s">
        <v>70</v>
      </c>
      <c r="R5" s="8"/>
      <c r="S5" s="8"/>
      <c r="T5" s="3" t="s">
        <v>40</v>
      </c>
      <c r="U5" s="10" t="s">
        <v>41</v>
      </c>
      <c r="V5" s="8"/>
      <c r="W5" s="4" t="s">
        <v>42</v>
      </c>
      <c r="X5" s="4" t="str">
        <f t="shared" si="2"/>
        <v>11/1/2025</v>
      </c>
      <c r="Y5" s="4" t="s">
        <v>65</v>
      </c>
      <c r="Z5" s="4" t="str">
        <f t="shared" si="3"/>
        <v>1/1/2021</v>
      </c>
      <c r="AA5" s="4" t="s">
        <v>66</v>
      </c>
      <c r="AB5" s="10" t="s">
        <v>45</v>
      </c>
      <c r="AC5" s="8"/>
      <c r="AD5" s="4" t="s">
        <v>46</v>
      </c>
      <c r="AE5" s="4" t="s">
        <v>47</v>
      </c>
      <c r="AF5" s="4" t="s">
        <v>48</v>
      </c>
      <c r="AG5" s="4" t="s">
        <v>71</v>
      </c>
      <c r="AH5" s="4" t="s">
        <v>50</v>
      </c>
      <c r="AI5" s="4" t="s">
        <v>41</v>
      </c>
      <c r="AJ5" s="4" t="s">
        <v>51</v>
      </c>
    </row>
    <row r="6" spans="1:36" x14ac:dyDescent="0.2">
      <c r="A6" s="2" t="s">
        <v>31</v>
      </c>
      <c r="B6" s="7" t="s">
        <v>32</v>
      </c>
      <c r="C6" s="8"/>
      <c r="D6" s="8"/>
      <c r="E6" s="9" t="s">
        <v>33</v>
      </c>
      <c r="F6" s="8"/>
      <c r="G6" s="4" t="s">
        <v>34</v>
      </c>
      <c r="H6" s="4" t="str">
        <f t="shared" si="0"/>
        <v>GREGORY K TEIPEL</v>
      </c>
      <c r="I6" s="4"/>
      <c r="J6" s="3" t="s">
        <v>35</v>
      </c>
      <c r="K6" s="4" t="s">
        <v>72</v>
      </c>
      <c r="L6" s="4" t="s">
        <v>68</v>
      </c>
      <c r="M6" s="4" t="str">
        <f t="shared" si="1"/>
        <v>[PMPM=1]</v>
      </c>
      <c r="O6" s="10" t="s">
        <v>73</v>
      </c>
      <c r="P6" s="8"/>
      <c r="Q6" s="10" t="s">
        <v>74</v>
      </c>
      <c r="R6" s="8"/>
      <c r="S6" s="8"/>
      <c r="T6" s="3" t="s">
        <v>40</v>
      </c>
      <c r="U6" s="10" t="s">
        <v>41</v>
      </c>
      <c r="V6" s="8"/>
      <c r="W6" s="4" t="s">
        <v>42</v>
      </c>
      <c r="X6" s="4" t="str">
        <f t="shared" si="2"/>
        <v>11/1/2025</v>
      </c>
      <c r="Y6" s="4" t="s">
        <v>75</v>
      </c>
      <c r="Z6" s="4" t="str">
        <f t="shared" si="3"/>
        <v>5/1/2022</v>
      </c>
      <c r="AA6" s="4" t="s">
        <v>76</v>
      </c>
      <c r="AB6" s="10" t="s">
        <v>45</v>
      </c>
      <c r="AC6" s="8"/>
      <c r="AD6" s="4" t="s">
        <v>46</v>
      </c>
      <c r="AE6" s="4" t="s">
        <v>47</v>
      </c>
      <c r="AF6" s="4" t="s">
        <v>48</v>
      </c>
      <c r="AG6" s="4" t="s">
        <v>71</v>
      </c>
      <c r="AH6" s="4" t="s">
        <v>50</v>
      </c>
      <c r="AI6" s="4" t="s">
        <v>41</v>
      </c>
      <c r="AJ6" s="4" t="s">
        <v>51</v>
      </c>
    </row>
    <row r="7" spans="1:36" x14ac:dyDescent="0.2">
      <c r="A7" s="2" t="s">
        <v>31</v>
      </c>
      <c r="B7" s="7" t="s">
        <v>32</v>
      </c>
      <c r="C7" s="8"/>
      <c r="D7" s="8"/>
      <c r="E7" s="9" t="s">
        <v>33</v>
      </c>
      <c r="F7" s="8"/>
      <c r="G7" s="4" t="s">
        <v>34</v>
      </c>
      <c r="H7" s="4" t="str">
        <f t="shared" si="0"/>
        <v>GREGORY K TEIPEL</v>
      </c>
      <c r="I7" s="4"/>
      <c r="J7" s="3" t="s">
        <v>35</v>
      </c>
      <c r="K7" s="4" t="s">
        <v>77</v>
      </c>
      <c r="L7" s="4" t="s">
        <v>68</v>
      </c>
      <c r="M7" s="4" t="str">
        <f t="shared" si="1"/>
        <v>[PMPM=1]</v>
      </c>
      <c r="O7" s="10" t="s">
        <v>78</v>
      </c>
      <c r="P7" s="8"/>
      <c r="Q7" s="10" t="s">
        <v>79</v>
      </c>
      <c r="R7" s="8"/>
      <c r="S7" s="8"/>
      <c r="T7" s="3" t="s">
        <v>40</v>
      </c>
      <c r="U7" s="10" t="s">
        <v>41</v>
      </c>
      <c r="V7" s="8"/>
      <c r="W7" s="4" t="s">
        <v>80</v>
      </c>
      <c r="X7" s="4" t="str">
        <f t="shared" si="2"/>
        <v>10/1/2025</v>
      </c>
      <c r="Y7" s="4" t="s">
        <v>81</v>
      </c>
      <c r="Z7" s="4" t="str">
        <f t="shared" si="3"/>
        <v>1/1/2023</v>
      </c>
      <c r="AA7" s="4" t="s">
        <v>82</v>
      </c>
      <c r="AB7" s="10" t="s">
        <v>83</v>
      </c>
      <c r="AC7" s="8"/>
      <c r="AD7" s="4" t="s">
        <v>46</v>
      </c>
      <c r="AE7" s="4" t="s">
        <v>47</v>
      </c>
      <c r="AF7" s="4" t="s">
        <v>48</v>
      </c>
      <c r="AG7" s="4" t="s">
        <v>71</v>
      </c>
      <c r="AH7" s="4" t="s">
        <v>50</v>
      </c>
      <c r="AI7" s="4" t="s">
        <v>41</v>
      </c>
      <c r="AJ7" s="4" t="s">
        <v>51</v>
      </c>
    </row>
    <row r="8" spans="1:36" x14ac:dyDescent="0.2">
      <c r="A8" s="2" t="s">
        <v>31</v>
      </c>
      <c r="B8" s="7" t="s">
        <v>32</v>
      </c>
      <c r="C8" s="8"/>
      <c r="D8" s="8"/>
      <c r="E8" s="9" t="s">
        <v>33</v>
      </c>
      <c r="F8" s="8"/>
      <c r="G8" s="4" t="s">
        <v>34</v>
      </c>
      <c r="H8" s="4" t="str">
        <f t="shared" si="0"/>
        <v>GREGORY K TEIPEL</v>
      </c>
      <c r="I8" s="4"/>
      <c r="J8" s="3" t="s">
        <v>35</v>
      </c>
      <c r="K8" s="4" t="s">
        <v>72</v>
      </c>
      <c r="L8" s="4" t="s">
        <v>68</v>
      </c>
      <c r="M8" s="4" t="str">
        <f t="shared" si="1"/>
        <v>[PMPM=1]</v>
      </c>
      <c r="O8" s="10" t="s">
        <v>84</v>
      </c>
      <c r="P8" s="8"/>
      <c r="Q8" s="10" t="s">
        <v>85</v>
      </c>
      <c r="R8" s="8"/>
      <c r="S8" s="8"/>
      <c r="T8" s="3" t="s">
        <v>40</v>
      </c>
      <c r="U8" s="10" t="s">
        <v>41</v>
      </c>
      <c r="V8" s="8"/>
      <c r="W8" s="4" t="s">
        <v>42</v>
      </c>
      <c r="X8" s="4" t="str">
        <f t="shared" si="2"/>
        <v>11/1/2025</v>
      </c>
      <c r="Y8" s="4" t="s">
        <v>86</v>
      </c>
      <c r="Z8" s="4" t="str">
        <f t="shared" si="3"/>
        <v>3/1/2025</v>
      </c>
      <c r="AA8" s="4" t="s">
        <v>87</v>
      </c>
      <c r="AB8" s="10" t="s">
        <v>45</v>
      </c>
      <c r="AC8" s="8"/>
      <c r="AD8" s="4" t="s">
        <v>46</v>
      </c>
      <c r="AE8" s="4" t="s">
        <v>47</v>
      </c>
      <c r="AF8" s="4" t="s">
        <v>48</v>
      </c>
      <c r="AG8" s="4" t="s">
        <v>71</v>
      </c>
      <c r="AH8" s="4" t="s">
        <v>50</v>
      </c>
      <c r="AI8" s="4" t="s">
        <v>41</v>
      </c>
      <c r="AJ8" s="4" t="s">
        <v>51</v>
      </c>
    </row>
    <row r="9" spans="1:36" x14ac:dyDescent="0.2">
      <c r="A9" s="2" t="s">
        <v>31</v>
      </c>
      <c r="B9" s="7" t="s">
        <v>32</v>
      </c>
      <c r="C9" s="8"/>
      <c r="D9" s="8"/>
      <c r="E9" s="9" t="s">
        <v>33</v>
      </c>
      <c r="F9" s="8"/>
      <c r="G9" s="4" t="s">
        <v>34</v>
      </c>
      <c r="H9" s="4" t="s">
        <v>139</v>
      </c>
      <c r="I9" s="4"/>
      <c r="J9" s="3" t="s">
        <v>35</v>
      </c>
      <c r="K9" s="4" t="s">
        <v>67</v>
      </c>
      <c r="L9" s="4" t="s">
        <v>68</v>
      </c>
      <c r="M9" s="4" t="str">
        <f t="shared" si="1"/>
        <v>[PMPM=1]</v>
      </c>
      <c r="O9" s="10" t="s">
        <v>88</v>
      </c>
      <c r="P9" s="8"/>
      <c r="Q9" s="10" t="s">
        <v>89</v>
      </c>
      <c r="R9" s="8"/>
      <c r="S9" s="8"/>
      <c r="T9" s="3" t="s">
        <v>40</v>
      </c>
      <c r="U9" s="10" t="s">
        <v>41</v>
      </c>
      <c r="V9" s="8"/>
      <c r="W9" s="4" t="s">
        <v>42</v>
      </c>
      <c r="X9" s="4" t="str">
        <f t="shared" si="2"/>
        <v>11/1/2025</v>
      </c>
      <c r="Y9" s="4" t="s">
        <v>90</v>
      </c>
      <c r="Z9" s="4" t="str">
        <f t="shared" si="3"/>
        <v>1/1/2024</v>
      </c>
      <c r="AA9" s="4" t="s">
        <v>91</v>
      </c>
      <c r="AB9" s="10" t="s">
        <v>45</v>
      </c>
      <c r="AC9" s="8"/>
      <c r="AD9" s="4" t="s">
        <v>46</v>
      </c>
      <c r="AE9" s="4" t="s">
        <v>47</v>
      </c>
      <c r="AF9" s="4" t="s">
        <v>48</v>
      </c>
      <c r="AG9" s="4" t="s">
        <v>71</v>
      </c>
      <c r="AH9" s="4" t="s">
        <v>50</v>
      </c>
      <c r="AI9" s="4" t="s">
        <v>41</v>
      </c>
      <c r="AJ9" s="4" t="s">
        <v>51</v>
      </c>
    </row>
    <row r="10" spans="1:36" x14ac:dyDescent="0.2">
      <c r="A10" s="2" t="s">
        <v>31</v>
      </c>
      <c r="B10" s="7" t="s">
        <v>32</v>
      </c>
      <c r="C10" s="8"/>
      <c r="D10" s="8"/>
      <c r="E10" s="9" t="s">
        <v>33</v>
      </c>
      <c r="F10" s="8"/>
      <c r="G10" s="4" t="s">
        <v>92</v>
      </c>
      <c r="H10" s="4" t="str">
        <f t="shared" ref="H10:H11" si="4">MID(G11, FIND("-SU-", G11) + 4, LEN(G11))</f>
        <v>MATTHEW DAUGHERTY</v>
      </c>
      <c r="I10" s="4"/>
      <c r="J10" s="3" t="s">
        <v>35</v>
      </c>
      <c r="K10" s="4" t="s">
        <v>67</v>
      </c>
      <c r="L10" s="4" t="s">
        <v>37</v>
      </c>
      <c r="M10" s="4" t="str">
        <f t="shared" si="1"/>
        <v>[PMPM=2]</v>
      </c>
      <c r="O10" s="10" t="s">
        <v>93</v>
      </c>
      <c r="P10" s="8"/>
      <c r="Q10" s="10" t="s">
        <v>94</v>
      </c>
      <c r="R10" s="8"/>
      <c r="S10" s="8"/>
      <c r="T10" s="3" t="s">
        <v>40</v>
      </c>
      <c r="U10" s="10" t="s">
        <v>41</v>
      </c>
      <c r="V10" s="8"/>
      <c r="W10" s="4" t="s">
        <v>42</v>
      </c>
      <c r="X10" s="4" t="str">
        <f t="shared" si="2"/>
        <v>11/1/2025</v>
      </c>
      <c r="Y10" s="4" t="s">
        <v>95</v>
      </c>
      <c r="Z10" s="4" t="str">
        <f t="shared" si="3"/>
        <v>2/1/2023</v>
      </c>
      <c r="AA10" s="4" t="s">
        <v>82</v>
      </c>
      <c r="AB10" s="10" t="s">
        <v>45</v>
      </c>
      <c r="AC10" s="8"/>
      <c r="AD10" s="4" t="s">
        <v>46</v>
      </c>
      <c r="AE10" s="4" t="s">
        <v>47</v>
      </c>
      <c r="AF10" s="4" t="s">
        <v>48</v>
      </c>
      <c r="AG10" s="4" t="s">
        <v>49</v>
      </c>
      <c r="AH10" s="4" t="s">
        <v>50</v>
      </c>
      <c r="AI10" s="4" t="s">
        <v>41</v>
      </c>
      <c r="AJ10" s="4" t="s">
        <v>96</v>
      </c>
    </row>
    <row r="11" spans="1:36" x14ac:dyDescent="0.2">
      <c r="A11" s="2" t="s">
        <v>31</v>
      </c>
      <c r="B11" s="7" t="s">
        <v>32</v>
      </c>
      <c r="C11" s="8"/>
      <c r="D11" s="8"/>
      <c r="E11" s="9" t="s">
        <v>33</v>
      </c>
      <c r="F11" s="8"/>
      <c r="G11" s="4" t="s">
        <v>92</v>
      </c>
      <c r="H11" s="4" t="str">
        <f t="shared" si="4"/>
        <v>MATTHEW DAUGHERTY</v>
      </c>
      <c r="I11" s="4"/>
      <c r="J11" s="3" t="s">
        <v>35</v>
      </c>
      <c r="K11" s="4" t="s">
        <v>72</v>
      </c>
      <c r="L11" s="4" t="s">
        <v>37</v>
      </c>
      <c r="M11" s="4" t="str">
        <f t="shared" si="1"/>
        <v>[PMPM=2]</v>
      </c>
      <c r="O11" s="10" t="s">
        <v>97</v>
      </c>
      <c r="P11" s="8"/>
      <c r="Q11" s="10" t="s">
        <v>98</v>
      </c>
      <c r="R11" s="8"/>
      <c r="S11" s="8"/>
      <c r="T11" s="3" t="s">
        <v>40</v>
      </c>
      <c r="U11" s="10" t="s">
        <v>41</v>
      </c>
      <c r="V11" s="8"/>
      <c r="W11" s="4" t="s">
        <v>42</v>
      </c>
      <c r="X11" s="4" t="str">
        <f t="shared" si="2"/>
        <v>11/1/2025</v>
      </c>
      <c r="Y11" s="4" t="s">
        <v>99</v>
      </c>
      <c r="Z11" s="4" t="str">
        <f t="shared" si="3"/>
        <v>2/1/2024</v>
      </c>
      <c r="AA11" s="4" t="s">
        <v>100</v>
      </c>
      <c r="AB11" s="10" t="s">
        <v>45</v>
      </c>
      <c r="AC11" s="8"/>
      <c r="AD11" s="4" t="s">
        <v>46</v>
      </c>
      <c r="AE11" s="4" t="s">
        <v>47</v>
      </c>
      <c r="AF11" s="4" t="s">
        <v>48</v>
      </c>
      <c r="AG11" s="4" t="s">
        <v>49</v>
      </c>
      <c r="AH11" s="4" t="s">
        <v>50</v>
      </c>
      <c r="AI11" s="4" t="s">
        <v>41</v>
      </c>
      <c r="AJ11" s="4" t="s">
        <v>96</v>
      </c>
    </row>
    <row r="12" spans="1:36" x14ac:dyDescent="0.2">
      <c r="A12" s="2" t="s">
        <v>31</v>
      </c>
      <c r="B12" s="7" t="s">
        <v>32</v>
      </c>
      <c r="C12" s="8"/>
      <c r="D12" s="8"/>
      <c r="E12" s="9" t="s">
        <v>33</v>
      </c>
      <c r="F12" s="8"/>
      <c r="G12" s="4" t="s">
        <v>92</v>
      </c>
      <c r="H12" s="4" t="s">
        <v>140</v>
      </c>
      <c r="I12" s="4"/>
      <c r="J12" s="3" t="s">
        <v>35</v>
      </c>
      <c r="K12" s="4" t="s">
        <v>101</v>
      </c>
      <c r="L12" s="4" t="s">
        <v>68</v>
      </c>
      <c r="M12" s="4" t="str">
        <f t="shared" si="1"/>
        <v>[PMPM=1]</v>
      </c>
      <c r="O12" s="10" t="s">
        <v>102</v>
      </c>
      <c r="P12" s="8"/>
      <c r="Q12" s="10" t="s">
        <v>103</v>
      </c>
      <c r="R12" s="8"/>
      <c r="S12" s="8"/>
      <c r="T12" s="3" t="s">
        <v>40</v>
      </c>
      <c r="U12" s="10" t="s">
        <v>41</v>
      </c>
      <c r="V12" s="8"/>
      <c r="W12" s="4" t="s">
        <v>42</v>
      </c>
      <c r="X12" s="4" t="str">
        <f t="shared" si="2"/>
        <v>11/1/2025</v>
      </c>
      <c r="Y12" s="4" t="s">
        <v>104</v>
      </c>
      <c r="Z12" s="4" t="str">
        <f t="shared" si="3"/>
        <v>8/1/2025</v>
      </c>
      <c r="AA12" s="4" t="s">
        <v>105</v>
      </c>
      <c r="AB12" s="10" t="s">
        <v>45</v>
      </c>
      <c r="AC12" s="8"/>
      <c r="AD12" s="4" t="s">
        <v>46</v>
      </c>
      <c r="AE12" s="4" t="s">
        <v>47</v>
      </c>
      <c r="AF12" s="4" t="s">
        <v>48</v>
      </c>
      <c r="AG12" s="4" t="s">
        <v>71</v>
      </c>
      <c r="AH12" s="4" t="s">
        <v>50</v>
      </c>
      <c r="AI12" s="4" t="s">
        <v>41</v>
      </c>
      <c r="AJ12" s="4" t="s">
        <v>96</v>
      </c>
    </row>
    <row r="13" spans="1:36" x14ac:dyDescent="0.2">
      <c r="A13" s="2" t="s">
        <v>31</v>
      </c>
      <c r="B13" s="7" t="s">
        <v>32</v>
      </c>
      <c r="C13" s="8"/>
      <c r="D13" s="8"/>
      <c r="E13" s="9" t="s">
        <v>33</v>
      </c>
      <c r="F13" s="8"/>
      <c r="G13" s="4" t="s">
        <v>106</v>
      </c>
      <c r="H13" s="4" t="str">
        <f t="shared" ref="H13:H18" si="5">MID(G14, FIND("-SU-", G14) + 4, LEN(G14))</f>
        <v>MATTHEW JAMES POWERS</v>
      </c>
      <c r="I13" s="4"/>
      <c r="J13" s="3" t="s">
        <v>35</v>
      </c>
      <c r="K13" s="4" t="s">
        <v>107</v>
      </c>
      <c r="L13" s="4" t="s">
        <v>108</v>
      </c>
      <c r="M13" s="4" t="str">
        <f t="shared" si="1"/>
        <v>[PMPM=5]</v>
      </c>
      <c r="O13" s="10" t="s">
        <v>109</v>
      </c>
      <c r="P13" s="8"/>
      <c r="Q13" s="10" t="s">
        <v>110</v>
      </c>
      <c r="R13" s="8"/>
      <c r="S13" s="8"/>
      <c r="T13" s="3" t="s">
        <v>40</v>
      </c>
      <c r="U13" s="10" t="s">
        <v>41</v>
      </c>
      <c r="V13" s="8"/>
      <c r="W13" s="4" t="s">
        <v>42</v>
      </c>
      <c r="X13" s="4" t="str">
        <f t="shared" si="2"/>
        <v>11/1/2025</v>
      </c>
      <c r="Y13" s="4" t="s">
        <v>104</v>
      </c>
      <c r="Z13" s="4" t="str">
        <f t="shared" si="3"/>
        <v>8/1/2025</v>
      </c>
      <c r="AA13" s="4" t="s">
        <v>105</v>
      </c>
      <c r="AB13" s="10" t="s">
        <v>83</v>
      </c>
      <c r="AC13" s="8"/>
      <c r="AD13" s="4" t="s">
        <v>46</v>
      </c>
      <c r="AE13" s="4" t="s">
        <v>47</v>
      </c>
      <c r="AF13" s="4" t="s">
        <v>48</v>
      </c>
      <c r="AG13" s="4" t="s">
        <v>111</v>
      </c>
      <c r="AH13" s="4" t="s">
        <v>50</v>
      </c>
      <c r="AI13" s="4" t="s">
        <v>41</v>
      </c>
      <c r="AJ13" s="4" t="s">
        <v>112</v>
      </c>
    </row>
    <row r="14" spans="1:36" x14ac:dyDescent="0.2">
      <c r="A14" s="2" t="s">
        <v>31</v>
      </c>
      <c r="B14" s="7" t="s">
        <v>32</v>
      </c>
      <c r="C14" s="8"/>
      <c r="D14" s="8"/>
      <c r="E14" s="9" t="s">
        <v>33</v>
      </c>
      <c r="F14" s="8"/>
      <c r="G14" s="4" t="s">
        <v>106</v>
      </c>
      <c r="H14" s="4" t="str">
        <f t="shared" si="5"/>
        <v>MATTHEW JAMES POWERS</v>
      </c>
      <c r="I14" s="4"/>
      <c r="J14" s="3" t="s">
        <v>35</v>
      </c>
      <c r="K14" s="4" t="s">
        <v>113</v>
      </c>
      <c r="L14" s="4" t="s">
        <v>68</v>
      </c>
      <c r="M14" s="4" t="str">
        <f t="shared" si="1"/>
        <v>[PMPM=1]</v>
      </c>
      <c r="O14" s="10" t="s">
        <v>114</v>
      </c>
      <c r="P14" s="8"/>
      <c r="Q14" s="10" t="s">
        <v>115</v>
      </c>
      <c r="R14" s="8"/>
      <c r="S14" s="8"/>
      <c r="T14" s="3" t="s">
        <v>40</v>
      </c>
      <c r="U14" s="10" t="s">
        <v>41</v>
      </c>
      <c r="V14" s="8"/>
      <c r="W14" s="4" t="s">
        <v>80</v>
      </c>
      <c r="X14" s="4" t="str">
        <f t="shared" si="2"/>
        <v>10/1/2025</v>
      </c>
      <c r="Y14" s="4" t="s">
        <v>116</v>
      </c>
      <c r="Z14" s="4" t="str">
        <f t="shared" si="3"/>
        <v>3/1/2023</v>
      </c>
      <c r="AA14" s="4" t="s">
        <v>117</v>
      </c>
      <c r="AB14" s="10" t="s">
        <v>45</v>
      </c>
      <c r="AC14" s="8"/>
      <c r="AD14" s="4" t="s">
        <v>46</v>
      </c>
      <c r="AE14" s="4" t="s">
        <v>47</v>
      </c>
      <c r="AF14" s="4" t="s">
        <v>118</v>
      </c>
      <c r="AG14" s="4" t="s">
        <v>41</v>
      </c>
      <c r="AH14" s="4" t="s">
        <v>50</v>
      </c>
      <c r="AI14" s="4" t="s">
        <v>41</v>
      </c>
      <c r="AJ14" s="4" t="s">
        <v>112</v>
      </c>
    </row>
    <row r="15" spans="1:36" x14ac:dyDescent="0.2">
      <c r="A15" s="2" t="s">
        <v>31</v>
      </c>
      <c r="B15" s="7" t="s">
        <v>32</v>
      </c>
      <c r="C15" s="8"/>
      <c r="D15" s="8"/>
      <c r="E15" s="9" t="s">
        <v>33</v>
      </c>
      <c r="F15" s="8"/>
      <c r="G15" s="4" t="s">
        <v>106</v>
      </c>
      <c r="H15" s="4" t="str">
        <f t="shared" si="5"/>
        <v>MATTHEW JAMES POWERS</v>
      </c>
      <c r="I15" s="4"/>
      <c r="J15" s="3" t="s">
        <v>35</v>
      </c>
      <c r="K15" s="4" t="s">
        <v>36</v>
      </c>
      <c r="L15" s="4" t="s">
        <v>68</v>
      </c>
      <c r="M15" s="4" t="str">
        <f t="shared" si="1"/>
        <v>[PMPM=1]</v>
      </c>
      <c r="O15" s="10" t="s">
        <v>119</v>
      </c>
      <c r="P15" s="8"/>
      <c r="Q15" s="10" t="s">
        <v>120</v>
      </c>
      <c r="R15" s="8"/>
      <c r="S15" s="8"/>
      <c r="T15" s="3" t="s">
        <v>40</v>
      </c>
      <c r="U15" s="10" t="s">
        <v>41</v>
      </c>
      <c r="V15" s="8"/>
      <c r="W15" s="4" t="s">
        <v>42</v>
      </c>
      <c r="X15" s="4" t="str">
        <f t="shared" si="2"/>
        <v>11/1/2025</v>
      </c>
      <c r="Y15" s="4" t="s">
        <v>121</v>
      </c>
      <c r="Z15" s="4" t="str">
        <f t="shared" si="3"/>
        <v>11/1/2023</v>
      </c>
      <c r="AA15" s="4" t="s">
        <v>122</v>
      </c>
      <c r="AB15" s="10" t="s">
        <v>45</v>
      </c>
      <c r="AC15" s="8"/>
      <c r="AD15" s="4" t="s">
        <v>46</v>
      </c>
      <c r="AE15" s="4" t="s">
        <v>47</v>
      </c>
      <c r="AF15" s="4" t="s">
        <v>48</v>
      </c>
      <c r="AG15" s="4" t="s">
        <v>71</v>
      </c>
      <c r="AH15" s="4" t="s">
        <v>50</v>
      </c>
      <c r="AI15" s="4" t="s">
        <v>41</v>
      </c>
      <c r="AJ15" s="4" t="s">
        <v>112</v>
      </c>
    </row>
    <row r="16" spans="1:36" x14ac:dyDescent="0.2">
      <c r="A16" s="2" t="s">
        <v>31</v>
      </c>
      <c r="B16" s="7" t="s">
        <v>32</v>
      </c>
      <c r="C16" s="8"/>
      <c r="D16" s="8"/>
      <c r="E16" s="9" t="s">
        <v>33</v>
      </c>
      <c r="F16" s="8"/>
      <c r="G16" s="4" t="s">
        <v>106</v>
      </c>
      <c r="H16" s="4" t="str">
        <f t="shared" si="5"/>
        <v>MATTHEW JAMES POWERS</v>
      </c>
      <c r="I16" s="4"/>
      <c r="J16" s="3" t="s">
        <v>35</v>
      </c>
      <c r="K16" s="4" t="s">
        <v>107</v>
      </c>
      <c r="L16" s="4" t="s">
        <v>68</v>
      </c>
      <c r="M16" s="4" t="str">
        <f t="shared" si="1"/>
        <v>[PMPM=1]</v>
      </c>
      <c r="O16" s="10" t="s">
        <v>123</v>
      </c>
      <c r="P16" s="8"/>
      <c r="Q16" s="10" t="s">
        <v>124</v>
      </c>
      <c r="R16" s="8"/>
      <c r="S16" s="8"/>
      <c r="T16" s="3" t="s">
        <v>40</v>
      </c>
      <c r="U16" s="10" t="s">
        <v>41</v>
      </c>
      <c r="V16" s="8"/>
      <c r="W16" s="4" t="s">
        <v>42</v>
      </c>
      <c r="X16" s="4" t="str">
        <f t="shared" si="2"/>
        <v>11/1/2025</v>
      </c>
      <c r="Y16" s="4" t="s">
        <v>125</v>
      </c>
      <c r="Z16" s="4" t="str">
        <f t="shared" si="3"/>
        <v>2/1/2025</v>
      </c>
      <c r="AA16" s="4" t="s">
        <v>126</v>
      </c>
      <c r="AB16" s="10" t="s">
        <v>83</v>
      </c>
      <c r="AC16" s="8"/>
      <c r="AD16" s="4" t="s">
        <v>46</v>
      </c>
      <c r="AE16" s="4" t="s">
        <v>47</v>
      </c>
      <c r="AF16" s="4" t="s">
        <v>48</v>
      </c>
      <c r="AG16" s="4" t="s">
        <v>71</v>
      </c>
      <c r="AH16" s="4" t="s">
        <v>50</v>
      </c>
      <c r="AI16" s="4" t="s">
        <v>41</v>
      </c>
      <c r="AJ16" s="4" t="s">
        <v>112</v>
      </c>
    </row>
    <row r="17" spans="1:36" x14ac:dyDescent="0.2">
      <c r="A17" s="2" t="s">
        <v>31</v>
      </c>
      <c r="B17" s="7" t="s">
        <v>32</v>
      </c>
      <c r="C17" s="8"/>
      <c r="D17" s="8"/>
      <c r="E17" s="9" t="s">
        <v>33</v>
      </c>
      <c r="F17" s="8"/>
      <c r="G17" s="4" t="s">
        <v>106</v>
      </c>
      <c r="H17" s="4" t="str">
        <f t="shared" si="5"/>
        <v>MATTHEW JAMES POWERS</v>
      </c>
      <c r="I17" s="4"/>
      <c r="J17" s="3" t="s">
        <v>35</v>
      </c>
      <c r="K17" s="4" t="s">
        <v>107</v>
      </c>
      <c r="L17" s="4" t="s">
        <v>68</v>
      </c>
      <c r="M17" s="4" t="str">
        <f t="shared" si="1"/>
        <v>[PMPM=1]</v>
      </c>
      <c r="O17" s="10" t="s">
        <v>127</v>
      </c>
      <c r="P17" s="8"/>
      <c r="Q17" s="10" t="s">
        <v>128</v>
      </c>
      <c r="R17" s="8"/>
      <c r="S17" s="8"/>
      <c r="T17" s="3" t="s">
        <v>40</v>
      </c>
      <c r="U17" s="10" t="s">
        <v>41</v>
      </c>
      <c r="V17" s="8"/>
      <c r="W17" s="4" t="s">
        <v>42</v>
      </c>
      <c r="X17" s="4" t="str">
        <f t="shared" si="2"/>
        <v>11/1/2025</v>
      </c>
      <c r="Y17" s="4" t="s">
        <v>125</v>
      </c>
      <c r="Z17" s="4" t="str">
        <f t="shared" si="3"/>
        <v>2/1/2025</v>
      </c>
      <c r="AA17" s="4" t="s">
        <v>126</v>
      </c>
      <c r="AB17" s="10" t="s">
        <v>83</v>
      </c>
      <c r="AC17" s="8"/>
      <c r="AD17" s="4" t="s">
        <v>46</v>
      </c>
      <c r="AE17" s="4" t="s">
        <v>47</v>
      </c>
      <c r="AF17" s="4" t="s">
        <v>48</v>
      </c>
      <c r="AG17" s="4" t="s">
        <v>71</v>
      </c>
      <c r="AH17" s="4" t="s">
        <v>50</v>
      </c>
      <c r="AI17" s="4" t="s">
        <v>41</v>
      </c>
      <c r="AJ17" s="4" t="s">
        <v>112</v>
      </c>
    </row>
    <row r="18" spans="1:36" x14ac:dyDescent="0.2">
      <c r="A18" s="2" t="s">
        <v>31</v>
      </c>
      <c r="B18" s="7" t="s">
        <v>32</v>
      </c>
      <c r="C18" s="8"/>
      <c r="D18" s="8"/>
      <c r="E18" s="9" t="s">
        <v>33</v>
      </c>
      <c r="F18" s="8"/>
      <c r="G18" s="4" t="s">
        <v>106</v>
      </c>
      <c r="H18" s="4" t="str">
        <f t="shared" si="5"/>
        <v>MATTHEW JAMES POWERS</v>
      </c>
      <c r="I18" s="4"/>
      <c r="J18" s="3" t="s">
        <v>35</v>
      </c>
      <c r="K18" s="4" t="s">
        <v>67</v>
      </c>
      <c r="L18" s="4" t="s">
        <v>129</v>
      </c>
      <c r="M18" s="4" t="str">
        <f t="shared" si="1"/>
        <v>[PMPM=1-]</v>
      </c>
      <c r="O18" s="10" t="s">
        <v>130</v>
      </c>
      <c r="P18" s="8"/>
      <c r="Q18" s="10" t="s">
        <v>131</v>
      </c>
      <c r="R18" s="8"/>
      <c r="S18" s="8"/>
      <c r="T18" s="3" t="s">
        <v>40</v>
      </c>
      <c r="U18" s="10" t="s">
        <v>41</v>
      </c>
      <c r="V18" s="8"/>
      <c r="W18" s="4" t="s">
        <v>80</v>
      </c>
      <c r="X18" s="4" t="str">
        <f t="shared" si="2"/>
        <v>10/1/2025</v>
      </c>
      <c r="Y18" s="4" t="s">
        <v>132</v>
      </c>
      <c r="Z18" s="4" t="str">
        <f t="shared" si="3"/>
        <v>4/1/2025</v>
      </c>
      <c r="AA18" s="4" t="s">
        <v>133</v>
      </c>
      <c r="AB18" s="10" t="s">
        <v>45</v>
      </c>
      <c r="AC18" s="8"/>
      <c r="AD18" s="4" t="s">
        <v>46</v>
      </c>
      <c r="AE18" s="4" t="s">
        <v>47</v>
      </c>
      <c r="AF18" s="4" t="s">
        <v>48</v>
      </c>
      <c r="AG18" s="4" t="s">
        <v>134</v>
      </c>
      <c r="AH18" s="4" t="s">
        <v>50</v>
      </c>
      <c r="AI18" s="4" t="s">
        <v>41</v>
      </c>
      <c r="AJ18" s="4" t="s">
        <v>112</v>
      </c>
    </row>
    <row r="19" spans="1:36" x14ac:dyDescent="0.2">
      <c r="A19" s="2" t="s">
        <v>31</v>
      </c>
      <c r="B19" s="7" t="s">
        <v>32</v>
      </c>
      <c r="C19" s="8"/>
      <c r="D19" s="8"/>
      <c r="E19" s="9" t="s">
        <v>33</v>
      </c>
      <c r="F19" s="8"/>
      <c r="G19" s="4" t="s">
        <v>106</v>
      </c>
      <c r="H19" s="4" t="str">
        <f>MID(G19, FIND("-SU-", G19) + 4, LEN(G19))</f>
        <v>MATTHEW JAMES POWERS</v>
      </c>
      <c r="I19" s="4"/>
      <c r="J19" s="3" t="s">
        <v>35</v>
      </c>
      <c r="K19" s="4" t="s">
        <v>67</v>
      </c>
      <c r="L19" s="4" t="s">
        <v>68</v>
      </c>
      <c r="M19" s="4" t="str">
        <f t="shared" si="1"/>
        <v>[PMPM=1]</v>
      </c>
      <c r="O19" s="10" t="s">
        <v>135</v>
      </c>
      <c r="P19" s="8"/>
      <c r="Q19" s="10" t="s">
        <v>136</v>
      </c>
      <c r="R19" s="8"/>
      <c r="S19" s="8"/>
      <c r="T19" s="3" t="s">
        <v>40</v>
      </c>
      <c r="U19" s="10" t="s">
        <v>41</v>
      </c>
      <c r="V19" s="8"/>
      <c r="W19" s="4" t="s">
        <v>42</v>
      </c>
      <c r="X19" s="4" t="str">
        <f t="shared" si="2"/>
        <v>11/1/2025</v>
      </c>
      <c r="Y19" s="4" t="s">
        <v>137</v>
      </c>
      <c r="Z19" s="4" t="str">
        <f t="shared" si="3"/>
        <v>6/1/2025</v>
      </c>
      <c r="AA19" s="4" t="s">
        <v>138</v>
      </c>
      <c r="AB19" s="10" t="s">
        <v>45</v>
      </c>
      <c r="AC19" s="8"/>
      <c r="AD19" s="4" t="s">
        <v>46</v>
      </c>
      <c r="AE19" s="4" t="s">
        <v>47</v>
      </c>
      <c r="AF19" s="4" t="s">
        <v>48</v>
      </c>
      <c r="AG19" s="4" t="s">
        <v>71</v>
      </c>
      <c r="AH19" s="4" t="s">
        <v>50</v>
      </c>
      <c r="AI19" s="4" t="s">
        <v>41</v>
      </c>
      <c r="AJ19" s="4" t="s">
        <v>112</v>
      </c>
    </row>
  </sheetData>
  <mergeCells count="115">
    <mergeCell ref="E13:F13"/>
    <mergeCell ref="O13:P13"/>
    <mergeCell ref="Q13:S13"/>
    <mergeCell ref="U13:V13"/>
    <mergeCell ref="AB13:AC13"/>
    <mergeCell ref="B13:D13"/>
    <mergeCell ref="E14:F14"/>
    <mergeCell ref="O14:P14"/>
    <mergeCell ref="Q14:S14"/>
    <mergeCell ref="U14:V14"/>
    <mergeCell ref="AB14:AC14"/>
    <mergeCell ref="E11:F11"/>
    <mergeCell ref="O11:P11"/>
    <mergeCell ref="Q11:S11"/>
    <mergeCell ref="U11:V11"/>
    <mergeCell ref="AB11:AC11"/>
    <mergeCell ref="B11:D11"/>
    <mergeCell ref="E12:F12"/>
    <mergeCell ref="O12:P12"/>
    <mergeCell ref="Q12:S12"/>
    <mergeCell ref="U12:V12"/>
    <mergeCell ref="AB12:AC12"/>
    <mergeCell ref="B12:D12"/>
    <mergeCell ref="E9:F9"/>
    <mergeCell ref="O9:P9"/>
    <mergeCell ref="Q9:S9"/>
    <mergeCell ref="U9:V9"/>
    <mergeCell ref="AB9:AC9"/>
    <mergeCell ref="B9:D9"/>
    <mergeCell ref="E10:F10"/>
    <mergeCell ref="O10:P10"/>
    <mergeCell ref="Q10:S10"/>
    <mergeCell ref="U10:V10"/>
    <mergeCell ref="AB10:AC10"/>
    <mergeCell ref="B10:D10"/>
    <mergeCell ref="E7:F7"/>
    <mergeCell ref="O7:P7"/>
    <mergeCell ref="Q7:S7"/>
    <mergeCell ref="U7:V7"/>
    <mergeCell ref="AB7:AC7"/>
    <mergeCell ref="B7:D7"/>
    <mergeCell ref="E8:F8"/>
    <mergeCell ref="O8:P8"/>
    <mergeCell ref="Q8:S8"/>
    <mergeCell ref="U8:V8"/>
    <mergeCell ref="AB8:AC8"/>
    <mergeCell ref="B8:D8"/>
    <mergeCell ref="B14:D14"/>
    <mergeCell ref="E15:F15"/>
    <mergeCell ref="O15:P15"/>
    <mergeCell ref="Q15:S15"/>
    <mergeCell ref="U15:V15"/>
    <mergeCell ref="AB15:AC15"/>
    <mergeCell ref="B17:D17"/>
    <mergeCell ref="E17:F17"/>
    <mergeCell ref="O17:P17"/>
    <mergeCell ref="Q17:S17"/>
    <mergeCell ref="U17:V17"/>
    <mergeCell ref="AB17:AC17"/>
    <mergeCell ref="B19:D19"/>
    <mergeCell ref="E19:F19"/>
    <mergeCell ref="O19:P19"/>
    <mergeCell ref="Q19:S19"/>
    <mergeCell ref="U19:V19"/>
    <mergeCell ref="AB19:AC19"/>
    <mergeCell ref="B15:D15"/>
    <mergeCell ref="B16:D16"/>
    <mergeCell ref="E16:F16"/>
    <mergeCell ref="O16:P16"/>
    <mergeCell ref="Q16:S16"/>
    <mergeCell ref="U16:V16"/>
    <mergeCell ref="AB16:AC16"/>
    <mergeCell ref="B18:D18"/>
    <mergeCell ref="E18:F18"/>
    <mergeCell ref="O18:P18"/>
    <mergeCell ref="Q18:S18"/>
    <mergeCell ref="U18:V18"/>
    <mergeCell ref="AB18:AC18"/>
    <mergeCell ref="B2:D2"/>
    <mergeCell ref="E2:F2"/>
    <mergeCell ref="O2:P2"/>
    <mergeCell ref="Q2:S2"/>
    <mergeCell ref="U2:V2"/>
    <mergeCell ref="AB2:AC2"/>
    <mergeCell ref="AB1:AC1"/>
    <mergeCell ref="O1:P1"/>
    <mergeCell ref="Q1:S1"/>
    <mergeCell ref="U1:V1"/>
    <mergeCell ref="B1:C1"/>
    <mergeCell ref="D1:E1"/>
    <mergeCell ref="F1:I1"/>
    <mergeCell ref="E3:F3"/>
    <mergeCell ref="E5:F5"/>
    <mergeCell ref="O5:P5"/>
    <mergeCell ref="Q5:S5"/>
    <mergeCell ref="U5:V5"/>
    <mergeCell ref="AB5:AC5"/>
    <mergeCell ref="B5:D5"/>
    <mergeCell ref="E6:F6"/>
    <mergeCell ref="O6:P6"/>
    <mergeCell ref="Q6:S6"/>
    <mergeCell ref="U6:V6"/>
    <mergeCell ref="AB6:AC6"/>
    <mergeCell ref="B4:D4"/>
    <mergeCell ref="E4:F4"/>
    <mergeCell ref="B3:D3"/>
    <mergeCell ref="U3:V3"/>
    <mergeCell ref="U4:V4"/>
    <mergeCell ref="O3:P3"/>
    <mergeCell ref="Q3:S3"/>
    <mergeCell ref="AB3:AC3"/>
    <mergeCell ref="O4:P4"/>
    <mergeCell ref="Q4:S4"/>
    <mergeCell ref="AB4:AC4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cp:lastModifiedBy>Loula Irene Cabel</cp:lastModifiedBy>
  <dcterms:created xsi:type="dcterms:W3CDTF">2025-10-16T18:08:19Z</dcterms:created>
  <dcterms:modified xsi:type="dcterms:W3CDTF">2025-10-20T13:25:02Z</dcterms:modified>
</cp:coreProperties>
</file>