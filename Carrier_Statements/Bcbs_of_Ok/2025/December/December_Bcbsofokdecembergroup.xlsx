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OK\2025\December\"/>
    </mc:Choice>
  </mc:AlternateContent>
  <xr:revisionPtr revIDLastSave="0" documentId="13_ncr:1_{40EC7406-1EBD-42CC-BBDC-EB4121954425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I23" i="2" l="1"/>
  <c r="I22" i="2"/>
  <c r="I16" i="2"/>
  <c r="I6" i="2"/>
  <c r="I4" i="2"/>
  <c r="I5" i="2"/>
  <c r="I7" i="2"/>
  <c r="I8" i="2"/>
  <c r="I9" i="2"/>
  <c r="I10" i="2"/>
  <c r="I11" i="2"/>
  <c r="I12" i="2"/>
  <c r="I13" i="2"/>
  <c r="I14" i="2"/>
  <c r="I15" i="2"/>
  <c r="I17" i="2"/>
  <c r="I18" i="2"/>
  <c r="I19" i="2"/>
  <c r="I20" i="2"/>
  <c r="I21" i="2"/>
  <c r="I24" i="2"/>
  <c r="I25" i="2"/>
  <c r="I26" i="2"/>
  <c r="I27" i="2"/>
  <c r="I28" i="2"/>
  <c r="I3" i="2"/>
</calcChain>
</file>

<file path=xl/sharedStrings.xml><?xml version="1.0" encoding="utf-8"?>
<sst xmlns="http://schemas.openxmlformats.org/spreadsheetml/2006/main" count="767" uniqueCount="105">
  <si>
    <t>Name:</t>
  </si>
  <si>
    <t>MAIN LINE BENEFITS LLC</t>
  </si>
  <si>
    <t>Health Care Service Corporation</t>
  </si>
  <si>
    <t>PR Number:</t>
  </si>
  <si>
    <t>107864406</t>
  </si>
  <si>
    <t xml:space="preserve">       300 East Randolph Street
     Chicago, Illinois 60601 - 5099</t>
  </si>
  <si>
    <t>State:</t>
  </si>
  <si>
    <t>OK</t>
  </si>
  <si>
    <r>
      <t>Producer Commission Data - Group</t>
    </r>
    <r>
      <rPr>
        <sz val="18"/>
        <color rgb="FFFFFFFF"/>
        <rFont val="Arial"/>
        <family val="2"/>
      </rPr>
      <t xml:space="preserve">
For Period: December 2025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</si>
  <si>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</si>
  <si>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</si>
  <si>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</si>
  <si>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</si>
  <si>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</si>
  <si>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</si>
  <si>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</si>
  <si>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</si>
  <si>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</si>
  <si>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</si>
  <si>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</si>
  <si>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</si>
  <si>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</si>
  <si>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</si>
  <si>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</si>
  <si>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</si>
  <si>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</si>
  <si>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</si>
  <si>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</si>
  <si>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</si>
  <si>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</si>
  <si>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</si>
  <si>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</si>
  <si>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</si>
  <si>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</si>
  <si>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</si>
  <si>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107864406-PR-MAIN LINE BENEFITS LLC</t>
  </si>
  <si>
    <t>000000</t>
  </si>
  <si>
    <t>PR</t>
  </si>
  <si>
    <t>2025 OK HCSC Appt Renewal Fee</t>
  </si>
  <si>
    <t>B0000000000</t>
  </si>
  <si>
    <t>0</t>
  </si>
  <si>
    <t>P</t>
  </si>
  <si>
    <t>20251201</t>
  </si>
  <si>
    <t>20260101</t>
  </si>
  <si>
    <t>ApptRenewalFee</t>
  </si>
  <si>
    <t>$01.00</t>
  </si>
  <si>
    <t>000,000.00</t>
  </si>
  <si>
    <t>030.00</t>
  </si>
  <si>
    <t>000,030.00-</t>
  </si>
  <si>
    <t>0,000,000.00</t>
  </si>
  <si>
    <t>0,000,060.00-</t>
  </si>
  <si>
    <t>0000</t>
  </si>
  <si>
    <t>001</t>
  </si>
  <si>
    <t>HEALTH NON-HMO</t>
  </si>
  <si>
    <t>2025 OK HISC Appt Renewal fee</t>
  </si>
  <si>
    <t>107864417-SU-JASON R HOFFMANN</t>
  </si>
  <si>
    <t>107864417</t>
  </si>
  <si>
    <t>107866949-SU-GREGORY K TEIPEL</t>
  </si>
  <si>
    <t>107866949</t>
  </si>
  <si>
    <t>107874337-SU-EUGENE DANIEL ZANGARI</t>
  </si>
  <si>
    <t>107874337</t>
  </si>
  <si>
    <t>0,000,030.00-</t>
  </si>
  <si>
    <t>107879367-SU-MICHELA ROZMAN</t>
  </si>
  <si>
    <t>107879367</t>
  </si>
  <si>
    <t>107888446-SU-MATTHEW DAUGHERTY</t>
  </si>
  <si>
    <t>107888446</t>
  </si>
  <si>
    <t>107928691-SU-GARY PORTUGAL</t>
  </si>
  <si>
    <t>107928691</t>
  </si>
  <si>
    <t>107944690-SU-JOEL N LEE</t>
  </si>
  <si>
    <t>107944690</t>
  </si>
  <si>
    <t>107949126-SU-JONATHAN ALOFF</t>
  </si>
  <si>
    <t>107949126</t>
  </si>
  <si>
    <t>107952992-SU-STEPHANIE E DRAPAC</t>
  </si>
  <si>
    <t>107952992</t>
  </si>
  <si>
    <t>107960289-SU-MATTHEW JAMES POWERS</t>
  </si>
  <si>
    <t>107960289</t>
  </si>
  <si>
    <t>107961241-SU-KIRK ANTHONY TIGUE</t>
  </si>
  <si>
    <t>107961241</t>
  </si>
  <si>
    <t>107963081-SU-TIMOTHY POWERS</t>
  </si>
  <si>
    <t>107963081</t>
  </si>
  <si>
    <t>107966560-SU-JOSEPH EDWARD SEXTON</t>
  </si>
  <si>
    <t>107966560</t>
  </si>
  <si>
    <t>107975902-SU-MICHELLE MCCORKLE</t>
  </si>
  <si>
    <t>107975902</t>
  </si>
  <si>
    <t>107987631-SU-GIOVANNI ANTHONY FLAMMINIO</t>
  </si>
  <si>
    <t>107987631</t>
  </si>
  <si>
    <t>107988750-SU-LENSIE GONZALEZ</t>
  </si>
  <si>
    <t>107988750</t>
  </si>
  <si>
    <t>JASON R HOFFMANN</t>
  </si>
  <si>
    <t>GREGORY K TEIPEL</t>
  </si>
  <si>
    <t>EUGENE DANIEL ZANGARI</t>
  </si>
  <si>
    <t>MICHELA ROZMAN</t>
  </si>
  <si>
    <t>MATTHEW DAUGHERTY</t>
  </si>
  <si>
    <t>GARY PORTUGAL</t>
  </si>
  <si>
    <t>JOEL N LEE</t>
  </si>
  <si>
    <t>JONATHAN ALOFF</t>
  </si>
  <si>
    <t>STEPHANIE E DRAPAC</t>
  </si>
  <si>
    <t>MATTHEW JAMES POWERS</t>
  </si>
  <si>
    <t>KIRK ANTHONY TIGUE</t>
  </si>
  <si>
    <t>TIMOTHY POWERS</t>
  </si>
  <si>
    <t>JOSEPH EDWARD SEXTON</t>
  </si>
  <si>
    <t>MICHELLE MCCORKLE</t>
  </si>
  <si>
    <t>GIOVANNI ANTHONY FLAMMINIO</t>
  </si>
  <si>
    <t>LENSIE GONZALEZ</t>
  </si>
  <si>
    <t>BCBS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</si>
</sst>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right" vertical="top"/>
    </xf>
    <xf numFmtId="0" fontId="5" fillId="3" borderId="1" xfId="0" applyFont="1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6" fillId="0" borderId="0" xfId="0" applyFont="1" applyAlignment="1">
      <alignment vertical="top"/>
    </xf>
    <xf numFmtId="0" fontId="5" fillId="3" borderId="1" xfId="0" applyFont="1" applyFill="1" applyBorder="1" applyAlignment="1">
      <alignment vertical="top" wrapText="1"/>
    </xf>
    <xf numFmtId="0" fontId="6" fillId="0" borderId="0" xfId="0" applyNumberFormat="1" applyFont="1" applyAlignment="1">
      <alignment horizontal="right" vertical="top"/>
    </xf>
    <xf numFmtId="0" fontId="6" fillId="4" borderId="0" xfId="0" applyFont="1" applyFill="1" applyAlignment="1">
      <alignment vertical="top"/>
    </xf>
    <xf numFmtId="0" fontId="6" fillId="4" borderId="0" xfId="0" applyFont="1" applyFill="1" applyAlignment="1">
      <alignment horizontal="right" vertical="top"/>
    </xf>
    <xf numFmtId="0" fontId="6" fillId="4" borderId="0" xfId="0" applyNumberFormat="1" applyFont="1" applyFill="1" applyAlignment="1">
      <alignment horizontal="right" vertical="top"/>
    </xf>
    <xf numFmtId="0" fontId="0" fillId="4" borderId="0" xfId="0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3</xdr:row>
      <xdr:rowOff>0</xdr:rowOff>
    </xdr:from>
    <xdr:to>
      <xdr:col>34</xdr:col>
      <xdr:colOff>892</xdr:colOff>
      <xdr:row>4</xdr:row>
      <xdr:rowOff>202714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H43"/>
  <sheetViews>
    <sheetView showGridLines="0" topLeftCell="A7" workbookViewId="0">
      <selection activeCell="AI13" sqref="A13:XFD40"/>
    </sheetView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5703125" customWidth="1"/>
    <col min="12" max="12" width="27.5703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5703125" customWidth="1"/>
    <col min="20" max="20" width="1.140625" customWidth="1"/>
    <col min="21" max="21" width="21.5703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0.85546875" customWidth="1"/>
    <col min="32" max="32" width="1" customWidth="1"/>
    <col min="33" max="33" width="12.5703125" customWidth="1"/>
    <col min="34" max="34" width="16" customWidth="1"/>
    <col min="35" max="35" width="6.85546875" customWidth="1"/>
  </cols>
  <sheetData>
    <row r="1" spans="1:34" ht="6" customHeight="1" x14ac:dyDescent="0.2"/>
    <row r="2" spans="1:34" ht="13.5" customHeight="1" x14ac:dyDescent="0.2">
      <c r="A2" s="1" t="s">
        <v>0</v>
      </c>
      <c r="C2" s="7" t="s">
        <v>1</v>
      </c>
      <c r="D2" s="7"/>
      <c r="E2" s="7"/>
      <c r="F2" s="7"/>
      <c r="Q2" s="8" t="s">
        <v>2</v>
      </c>
      <c r="R2" s="8"/>
      <c r="S2" s="8"/>
    </row>
    <row r="3" spans="1:34" ht="6.75" customHeight="1" x14ac:dyDescent="0.2">
      <c r="Q3" s="8"/>
      <c r="R3" s="8"/>
      <c r="S3" s="8"/>
    </row>
    <row r="4" spans="1:34" ht="13.5" customHeight="1" x14ac:dyDescent="0.2">
      <c r="A4" s="1" t="s">
        <v>3</v>
      </c>
      <c r="C4" s="7" t="s">
        <v>4</v>
      </c>
      <c r="D4" s="7"/>
      <c r="E4" s="7"/>
      <c r="P4" s="9" t="s">
        <v>5</v>
      </c>
      <c r="Q4" s="9"/>
      <c r="R4" s="9"/>
      <c r="S4" s="9"/>
      <c r="T4" s="9"/>
    </row>
    <row r="5" spans="1:34" ht="20.25" customHeight="1" x14ac:dyDescent="0.2">
      <c r="P5" s="9"/>
      <c r="Q5" s="9"/>
      <c r="R5" s="9"/>
      <c r="S5" s="9"/>
      <c r="T5" s="9"/>
    </row>
    <row r="6" spans="1:34" ht="6.75" customHeight="1" x14ac:dyDescent="0.2"/>
    <row r="7" spans="1:34" ht="13.5" customHeight="1" x14ac:dyDescent="0.2">
      <c r="A7" s="1" t="s">
        <v>6</v>
      </c>
      <c r="C7" s="7" t="s">
        <v>7</v>
      </c>
      <c r="D7" s="7"/>
    </row>
    <row r="8" spans="1:34" ht="5.25" customHeight="1" x14ac:dyDescent="0.2"/>
    <row r="9" spans="1:34" ht="6" customHeight="1" x14ac:dyDescent="0.2"/>
    <row r="10" spans="1:34" ht="25.5" customHeight="1" x14ac:dyDescent="0.2">
      <c r="A10" s="10" t="s">
        <v>8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spans="1:34" ht="28.5" customHeight="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spans="1:34" ht="6" customHeight="1" x14ac:dyDescent="0.2"/>
    <row r="13" spans="1:34" ht="12.75" customHeight="1" x14ac:dyDescent="0.2">
      <c r="A13" s="5" t="s">
        <v>9</v>
      </c>
      <c r="B13" s="5"/>
      <c r="C13" s="11" t="s">
        <v>10</v>
      </c>
      <c r="D13" s="5" t="s">
        <v>11</v>
      </c>
      <c r="E13" s="5"/>
      <c r="F13" s="5"/>
      <c r="G13" s="5"/>
      <c r="H13" s="5" t="s">
        <v>12</v>
      </c>
      <c r="I13" s="5" t="s">
        <v>13</v>
      </c>
      <c r="J13" s="5" t="s">
        <v>14</v>
      </c>
      <c r="K13" s="5" t="s">
        <v>15</v>
      </c>
      <c r="L13" s="5" t="s">
        <v>16</v>
      </c>
      <c r="M13" s="5"/>
      <c r="N13" s="5" t="s">
        <v>17</v>
      </c>
      <c r="O13" s="5" t="s">
        <v>18</v>
      </c>
      <c r="P13" s="5" t="s">
        <v>19</v>
      </c>
      <c r="Q13" s="5"/>
      <c r="R13" s="5" t="s">
        <v>20</v>
      </c>
      <c r="S13" s="5" t="s">
        <v>21</v>
      </c>
      <c r="T13" s="5" t="s">
        <v>22</v>
      </c>
      <c r="U13" s="5"/>
      <c r="V13" s="5" t="s">
        <v>23</v>
      </c>
      <c r="W13" s="5" t="s">
        <v>24</v>
      </c>
      <c r="X13" s="5"/>
      <c r="Y13" s="5" t="s">
        <v>25</v>
      </c>
      <c r="Z13" s="5" t="s">
        <v>26</v>
      </c>
      <c r="AA13" s="5" t="s">
        <v>27</v>
      </c>
      <c r="AB13" s="5" t="s">
        <v>28</v>
      </c>
      <c r="AC13" s="5" t="s">
        <v>29</v>
      </c>
      <c r="AD13" s="5" t="s">
        <v>30</v>
      </c>
      <c r="AE13" s="5" t="s">
        <v>31</v>
      </c>
      <c r="AF13" s="5"/>
      <c r="AG13" s="5" t="s">
        <v>32</v>
      </c>
      <c r="AH13" s="6" t="s">
        <v>33</v>
      </c>
    </row>
    <row r="14" spans="1:34" ht="14.25" customHeight="1" x14ac:dyDescent="0.2">
      <c r="A14" s="5"/>
      <c r="B14" s="5"/>
      <c r="C14" s="11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6"/>
    </row>
    <row r="15" spans="1:34" ht="12.75" customHeight="1" x14ac:dyDescent="0.2">
      <c r="A15" s="4" t="s">
        <v>34</v>
      </c>
      <c r="B15" s="4"/>
      <c r="D15" s="4" t="s">
        <v>35</v>
      </c>
      <c r="E15" s="4"/>
      <c r="F15" s="4"/>
      <c r="G15" s="4"/>
      <c r="H15" s="2" t="s">
        <v>4</v>
      </c>
      <c r="I15" s="2" t="s">
        <v>36</v>
      </c>
      <c r="J15" s="2" t="s">
        <v>37</v>
      </c>
      <c r="K15" s="2" t="s">
        <v>36</v>
      </c>
      <c r="L15" s="4" t="s">
        <v>38</v>
      </c>
      <c r="M15" s="4"/>
      <c r="N15" s="2" t="s">
        <v>39</v>
      </c>
      <c r="O15" s="2" t="s">
        <v>40</v>
      </c>
      <c r="P15" s="4" t="s">
        <v>41</v>
      </c>
      <c r="Q15" s="4"/>
      <c r="R15" s="2" t="s">
        <v>42</v>
      </c>
      <c r="S15" s="2" t="s">
        <v>43</v>
      </c>
      <c r="T15" s="4" t="s">
        <v>44</v>
      </c>
      <c r="U15" s="4"/>
      <c r="V15" s="2" t="s">
        <v>45</v>
      </c>
      <c r="W15" s="4" t="s">
        <v>46</v>
      </c>
      <c r="X15" s="4"/>
      <c r="Y15" s="2" t="s">
        <v>47</v>
      </c>
      <c r="Z15" s="2" t="s">
        <v>48</v>
      </c>
      <c r="AA15" s="2" t="s">
        <v>49</v>
      </c>
      <c r="AB15" s="2" t="s">
        <v>49</v>
      </c>
      <c r="AC15" s="2" t="s">
        <v>50</v>
      </c>
      <c r="AD15" s="2" t="s">
        <v>51</v>
      </c>
      <c r="AE15" s="4" t="s">
        <v>52</v>
      </c>
      <c r="AF15" s="4"/>
      <c r="AH15" s="3" t="s">
        <v>53</v>
      </c>
    </row>
    <row r="16" spans="1:34" ht="12.75" customHeight="1" x14ac:dyDescent="0.2">
      <c r="A16" s="4" t="s">
        <v>34</v>
      </c>
      <c r="B16" s="4"/>
      <c r="D16" s="4" t="s">
        <v>35</v>
      </c>
      <c r="E16" s="4"/>
      <c r="F16" s="4"/>
      <c r="G16" s="4"/>
      <c r="H16" s="2" t="s">
        <v>4</v>
      </c>
      <c r="I16" s="2" t="s">
        <v>36</v>
      </c>
      <c r="J16" s="2" t="s">
        <v>37</v>
      </c>
      <c r="K16" s="2" t="s">
        <v>36</v>
      </c>
      <c r="L16" s="4" t="s">
        <v>54</v>
      </c>
      <c r="M16" s="4"/>
      <c r="N16" s="2" t="s">
        <v>39</v>
      </c>
      <c r="O16" s="2" t="s">
        <v>40</v>
      </c>
      <c r="P16" s="4" t="s">
        <v>41</v>
      </c>
      <c r="Q16" s="4"/>
      <c r="R16" s="2" t="s">
        <v>42</v>
      </c>
      <c r="S16" s="2" t="s">
        <v>43</v>
      </c>
      <c r="T16" s="4" t="s">
        <v>44</v>
      </c>
      <c r="U16" s="4"/>
      <c r="V16" s="2" t="s">
        <v>45</v>
      </c>
      <c r="W16" s="4" t="s">
        <v>46</v>
      </c>
      <c r="X16" s="4"/>
      <c r="Y16" s="2" t="s">
        <v>47</v>
      </c>
      <c r="Z16" s="2" t="s">
        <v>48</v>
      </c>
      <c r="AA16" s="2" t="s">
        <v>49</v>
      </c>
      <c r="AB16" s="2" t="s">
        <v>49</v>
      </c>
      <c r="AC16" s="2" t="s">
        <v>50</v>
      </c>
      <c r="AD16" s="2" t="s">
        <v>51</v>
      </c>
      <c r="AE16" s="4" t="s">
        <v>52</v>
      </c>
      <c r="AF16" s="4"/>
      <c r="AH16" s="3" t="s">
        <v>53</v>
      </c>
    </row>
    <row r="17" spans="1:34" ht="12.75" customHeight="1" x14ac:dyDescent="0.2">
      <c r="A17" s="4" t="s">
        <v>34</v>
      </c>
      <c r="B17" s="4"/>
      <c r="D17" s="4" t="s">
        <v>55</v>
      </c>
      <c r="E17" s="4"/>
      <c r="F17" s="4"/>
      <c r="G17" s="4"/>
      <c r="H17" s="2" t="s">
        <v>56</v>
      </c>
      <c r="I17" s="2" t="s">
        <v>36</v>
      </c>
      <c r="J17" s="2" t="s">
        <v>37</v>
      </c>
      <c r="K17" s="2" t="s">
        <v>36</v>
      </c>
      <c r="L17" s="4" t="s">
        <v>38</v>
      </c>
      <c r="M17" s="4"/>
      <c r="N17" s="2" t="s">
        <v>39</v>
      </c>
      <c r="O17" s="2" t="s">
        <v>40</v>
      </c>
      <c r="P17" s="4" t="s">
        <v>41</v>
      </c>
      <c r="Q17" s="4"/>
      <c r="R17" s="2" t="s">
        <v>42</v>
      </c>
      <c r="S17" s="2" t="s">
        <v>43</v>
      </c>
      <c r="T17" s="4" t="s">
        <v>44</v>
      </c>
      <c r="U17" s="4"/>
      <c r="V17" s="2" t="s">
        <v>45</v>
      </c>
      <c r="W17" s="4" t="s">
        <v>46</v>
      </c>
      <c r="X17" s="4"/>
      <c r="Y17" s="2" t="s">
        <v>47</v>
      </c>
      <c r="Z17" s="2" t="s">
        <v>48</v>
      </c>
      <c r="AA17" s="2" t="s">
        <v>49</v>
      </c>
      <c r="AB17" s="2" t="s">
        <v>49</v>
      </c>
      <c r="AC17" s="2" t="s">
        <v>50</v>
      </c>
      <c r="AD17" s="2" t="s">
        <v>51</v>
      </c>
      <c r="AE17" s="4" t="s">
        <v>52</v>
      </c>
      <c r="AF17" s="4"/>
      <c r="AH17" s="3" t="s">
        <v>53</v>
      </c>
    </row>
    <row r="18" spans="1:34" ht="12.75" customHeight="1" x14ac:dyDescent="0.2">
      <c r="A18" s="4" t="s">
        <v>34</v>
      </c>
      <c r="B18" s="4"/>
      <c r="D18" s="4" t="s">
        <v>55</v>
      </c>
      <c r="E18" s="4"/>
      <c r="F18" s="4"/>
      <c r="G18" s="4"/>
      <c r="H18" s="2" t="s">
        <v>56</v>
      </c>
      <c r="I18" s="2" t="s">
        <v>36</v>
      </c>
      <c r="J18" s="2" t="s">
        <v>37</v>
      </c>
      <c r="K18" s="2" t="s">
        <v>36</v>
      </c>
      <c r="L18" s="4" t="s">
        <v>54</v>
      </c>
      <c r="M18" s="4"/>
      <c r="N18" s="2" t="s">
        <v>39</v>
      </c>
      <c r="O18" s="2" t="s">
        <v>40</v>
      </c>
      <c r="P18" s="4" t="s">
        <v>41</v>
      </c>
      <c r="Q18" s="4"/>
      <c r="R18" s="2" t="s">
        <v>42</v>
      </c>
      <c r="S18" s="2" t="s">
        <v>43</v>
      </c>
      <c r="T18" s="4" t="s">
        <v>44</v>
      </c>
      <c r="U18" s="4"/>
      <c r="V18" s="2" t="s">
        <v>45</v>
      </c>
      <c r="W18" s="4" t="s">
        <v>46</v>
      </c>
      <c r="X18" s="4"/>
      <c r="Y18" s="2" t="s">
        <v>47</v>
      </c>
      <c r="Z18" s="2" t="s">
        <v>48</v>
      </c>
      <c r="AA18" s="2" t="s">
        <v>49</v>
      </c>
      <c r="AB18" s="2" t="s">
        <v>49</v>
      </c>
      <c r="AC18" s="2" t="s">
        <v>50</v>
      </c>
      <c r="AD18" s="2" t="s">
        <v>51</v>
      </c>
      <c r="AE18" s="4" t="s">
        <v>52</v>
      </c>
      <c r="AF18" s="4"/>
      <c r="AH18" s="3" t="s">
        <v>53</v>
      </c>
    </row>
    <row r="19" spans="1:34" ht="12.75" customHeight="1" x14ac:dyDescent="0.2">
      <c r="A19" s="4" t="s">
        <v>34</v>
      </c>
      <c r="B19" s="4"/>
      <c r="D19" s="4" t="s">
        <v>57</v>
      </c>
      <c r="E19" s="4"/>
      <c r="F19" s="4"/>
      <c r="G19" s="4"/>
      <c r="H19" s="2" t="s">
        <v>58</v>
      </c>
      <c r="I19" s="2" t="s">
        <v>36</v>
      </c>
      <c r="J19" s="2" t="s">
        <v>37</v>
      </c>
      <c r="K19" s="2" t="s">
        <v>36</v>
      </c>
      <c r="L19" s="4" t="s">
        <v>38</v>
      </c>
      <c r="M19" s="4"/>
      <c r="N19" s="2" t="s">
        <v>39</v>
      </c>
      <c r="O19" s="2" t="s">
        <v>40</v>
      </c>
      <c r="P19" s="4" t="s">
        <v>41</v>
      </c>
      <c r="Q19" s="4"/>
      <c r="R19" s="2" t="s">
        <v>42</v>
      </c>
      <c r="S19" s="2" t="s">
        <v>43</v>
      </c>
      <c r="T19" s="4" t="s">
        <v>44</v>
      </c>
      <c r="U19" s="4"/>
      <c r="V19" s="2" t="s">
        <v>45</v>
      </c>
      <c r="W19" s="4" t="s">
        <v>46</v>
      </c>
      <c r="X19" s="4"/>
      <c r="Y19" s="2" t="s">
        <v>47</v>
      </c>
      <c r="Z19" s="2" t="s">
        <v>48</v>
      </c>
      <c r="AA19" s="2" t="s">
        <v>49</v>
      </c>
      <c r="AB19" s="2" t="s">
        <v>49</v>
      </c>
      <c r="AC19" s="2" t="s">
        <v>50</v>
      </c>
      <c r="AD19" s="2" t="s">
        <v>51</v>
      </c>
      <c r="AE19" s="4" t="s">
        <v>52</v>
      </c>
      <c r="AF19" s="4"/>
      <c r="AH19" s="3" t="s">
        <v>53</v>
      </c>
    </row>
    <row r="20" spans="1:34" ht="12.75" customHeight="1" x14ac:dyDescent="0.2">
      <c r="A20" s="4" t="s">
        <v>34</v>
      </c>
      <c r="B20" s="4"/>
      <c r="D20" s="4" t="s">
        <v>57</v>
      </c>
      <c r="E20" s="4"/>
      <c r="F20" s="4"/>
      <c r="G20" s="4"/>
      <c r="H20" s="2" t="s">
        <v>58</v>
      </c>
      <c r="I20" s="2" t="s">
        <v>36</v>
      </c>
      <c r="J20" s="2" t="s">
        <v>37</v>
      </c>
      <c r="K20" s="2" t="s">
        <v>36</v>
      </c>
      <c r="L20" s="4" t="s">
        <v>54</v>
      </c>
      <c r="M20" s="4"/>
      <c r="N20" s="2" t="s">
        <v>39</v>
      </c>
      <c r="O20" s="2" t="s">
        <v>40</v>
      </c>
      <c r="P20" s="4" t="s">
        <v>41</v>
      </c>
      <c r="Q20" s="4"/>
      <c r="R20" s="2" t="s">
        <v>42</v>
      </c>
      <c r="S20" s="2" t="s">
        <v>43</v>
      </c>
      <c r="T20" s="4" t="s">
        <v>44</v>
      </c>
      <c r="U20" s="4"/>
      <c r="V20" s="2" t="s">
        <v>45</v>
      </c>
      <c r="W20" s="4" t="s">
        <v>46</v>
      </c>
      <c r="X20" s="4"/>
      <c r="Y20" s="2" t="s">
        <v>47</v>
      </c>
      <c r="Z20" s="2" t="s">
        <v>48</v>
      </c>
      <c r="AA20" s="2" t="s">
        <v>49</v>
      </c>
      <c r="AB20" s="2" t="s">
        <v>49</v>
      </c>
      <c r="AC20" s="2" t="s">
        <v>50</v>
      </c>
      <c r="AD20" s="2" t="s">
        <v>51</v>
      </c>
      <c r="AE20" s="4" t="s">
        <v>52</v>
      </c>
      <c r="AF20" s="4"/>
      <c r="AH20" s="3" t="s">
        <v>53</v>
      </c>
    </row>
    <row r="21" spans="1:34" ht="12.75" customHeight="1" x14ac:dyDescent="0.2">
      <c r="A21" s="4" t="s">
        <v>34</v>
      </c>
      <c r="B21" s="4"/>
      <c r="D21" s="4" t="s">
        <v>59</v>
      </c>
      <c r="E21" s="4"/>
      <c r="F21" s="4"/>
      <c r="G21" s="4"/>
      <c r="H21" s="2" t="s">
        <v>60</v>
      </c>
      <c r="I21" s="2" t="s">
        <v>36</v>
      </c>
      <c r="J21" s="2" t="s">
        <v>37</v>
      </c>
      <c r="K21" s="2" t="s">
        <v>36</v>
      </c>
      <c r="L21" s="4" t="s">
        <v>38</v>
      </c>
      <c r="M21" s="4"/>
      <c r="N21" s="2" t="s">
        <v>39</v>
      </c>
      <c r="O21" s="2" t="s">
        <v>40</v>
      </c>
      <c r="P21" s="4" t="s">
        <v>41</v>
      </c>
      <c r="Q21" s="4"/>
      <c r="R21" s="2" t="s">
        <v>42</v>
      </c>
      <c r="S21" s="2" t="s">
        <v>43</v>
      </c>
      <c r="T21" s="4" t="s">
        <v>44</v>
      </c>
      <c r="U21" s="4"/>
      <c r="V21" s="2" t="s">
        <v>45</v>
      </c>
      <c r="W21" s="4" t="s">
        <v>46</v>
      </c>
      <c r="X21" s="4"/>
      <c r="Y21" s="2" t="s">
        <v>47</v>
      </c>
      <c r="Z21" s="2" t="s">
        <v>48</v>
      </c>
      <c r="AA21" s="2" t="s">
        <v>49</v>
      </c>
      <c r="AB21" s="2" t="s">
        <v>49</v>
      </c>
      <c r="AC21" s="2" t="s">
        <v>61</v>
      </c>
      <c r="AD21" s="2" t="s">
        <v>51</v>
      </c>
      <c r="AE21" s="4" t="s">
        <v>52</v>
      </c>
      <c r="AF21" s="4"/>
      <c r="AH21" s="3" t="s">
        <v>53</v>
      </c>
    </row>
    <row r="22" spans="1:34" ht="12.75" customHeight="1" x14ac:dyDescent="0.2">
      <c r="A22" s="4" t="s">
        <v>34</v>
      </c>
      <c r="B22" s="4"/>
      <c r="D22" s="4" t="s">
        <v>62</v>
      </c>
      <c r="E22" s="4"/>
      <c r="F22" s="4"/>
      <c r="G22" s="4"/>
      <c r="H22" s="2" t="s">
        <v>63</v>
      </c>
      <c r="I22" s="2" t="s">
        <v>36</v>
      </c>
      <c r="J22" s="2" t="s">
        <v>37</v>
      </c>
      <c r="K22" s="2" t="s">
        <v>36</v>
      </c>
      <c r="L22" s="4" t="s">
        <v>38</v>
      </c>
      <c r="M22" s="4"/>
      <c r="N22" s="2" t="s">
        <v>39</v>
      </c>
      <c r="O22" s="2" t="s">
        <v>40</v>
      </c>
      <c r="P22" s="4" t="s">
        <v>41</v>
      </c>
      <c r="Q22" s="4"/>
      <c r="R22" s="2" t="s">
        <v>42</v>
      </c>
      <c r="S22" s="2" t="s">
        <v>43</v>
      </c>
      <c r="T22" s="4" t="s">
        <v>44</v>
      </c>
      <c r="U22" s="4"/>
      <c r="V22" s="2" t="s">
        <v>45</v>
      </c>
      <c r="W22" s="4" t="s">
        <v>46</v>
      </c>
      <c r="X22" s="4"/>
      <c r="Y22" s="2" t="s">
        <v>47</v>
      </c>
      <c r="Z22" s="2" t="s">
        <v>48</v>
      </c>
      <c r="AA22" s="2" t="s">
        <v>49</v>
      </c>
      <c r="AB22" s="2" t="s">
        <v>49</v>
      </c>
      <c r="AC22" s="2" t="s">
        <v>50</v>
      </c>
      <c r="AD22" s="2" t="s">
        <v>51</v>
      </c>
      <c r="AE22" s="4" t="s">
        <v>52</v>
      </c>
      <c r="AF22" s="4"/>
      <c r="AH22" s="3" t="s">
        <v>53</v>
      </c>
    </row>
    <row r="23" spans="1:34" ht="12.75" customHeight="1" x14ac:dyDescent="0.2">
      <c r="A23" s="4" t="s">
        <v>34</v>
      </c>
      <c r="B23" s="4"/>
      <c r="D23" s="4" t="s">
        <v>62</v>
      </c>
      <c r="E23" s="4"/>
      <c r="F23" s="4"/>
      <c r="G23" s="4"/>
      <c r="H23" s="2" t="s">
        <v>63</v>
      </c>
      <c r="I23" s="2" t="s">
        <v>36</v>
      </c>
      <c r="J23" s="2" t="s">
        <v>37</v>
      </c>
      <c r="K23" s="2" t="s">
        <v>36</v>
      </c>
      <c r="L23" s="4" t="s">
        <v>54</v>
      </c>
      <c r="M23" s="4"/>
      <c r="N23" s="2" t="s">
        <v>39</v>
      </c>
      <c r="O23" s="2" t="s">
        <v>40</v>
      </c>
      <c r="P23" s="4" t="s">
        <v>41</v>
      </c>
      <c r="Q23" s="4"/>
      <c r="R23" s="2" t="s">
        <v>42</v>
      </c>
      <c r="S23" s="2" t="s">
        <v>43</v>
      </c>
      <c r="T23" s="4" t="s">
        <v>44</v>
      </c>
      <c r="U23" s="4"/>
      <c r="V23" s="2" t="s">
        <v>45</v>
      </c>
      <c r="W23" s="4" t="s">
        <v>46</v>
      </c>
      <c r="X23" s="4"/>
      <c r="Y23" s="2" t="s">
        <v>47</v>
      </c>
      <c r="Z23" s="2" t="s">
        <v>48</v>
      </c>
      <c r="AA23" s="2" t="s">
        <v>49</v>
      </c>
      <c r="AB23" s="2" t="s">
        <v>49</v>
      </c>
      <c r="AC23" s="2" t="s">
        <v>50</v>
      </c>
      <c r="AD23" s="2" t="s">
        <v>51</v>
      </c>
      <c r="AE23" s="4" t="s">
        <v>52</v>
      </c>
      <c r="AF23" s="4"/>
      <c r="AH23" s="3" t="s">
        <v>53</v>
      </c>
    </row>
    <row r="24" spans="1:34" ht="12.75" customHeight="1" x14ac:dyDescent="0.2">
      <c r="A24" s="4" t="s">
        <v>34</v>
      </c>
      <c r="B24" s="4"/>
      <c r="D24" s="4" t="s">
        <v>64</v>
      </c>
      <c r="E24" s="4"/>
      <c r="F24" s="4"/>
      <c r="G24" s="4"/>
      <c r="H24" s="2" t="s">
        <v>65</v>
      </c>
      <c r="I24" s="2" t="s">
        <v>36</v>
      </c>
      <c r="J24" s="2" t="s">
        <v>37</v>
      </c>
      <c r="K24" s="2" t="s">
        <v>36</v>
      </c>
      <c r="L24" s="4" t="s">
        <v>38</v>
      </c>
      <c r="M24" s="4"/>
      <c r="N24" s="2" t="s">
        <v>39</v>
      </c>
      <c r="O24" s="2" t="s">
        <v>40</v>
      </c>
      <c r="P24" s="4" t="s">
        <v>41</v>
      </c>
      <c r="Q24" s="4"/>
      <c r="R24" s="2" t="s">
        <v>42</v>
      </c>
      <c r="S24" s="2" t="s">
        <v>43</v>
      </c>
      <c r="T24" s="4" t="s">
        <v>44</v>
      </c>
      <c r="U24" s="4"/>
      <c r="V24" s="2" t="s">
        <v>45</v>
      </c>
      <c r="W24" s="4" t="s">
        <v>46</v>
      </c>
      <c r="X24" s="4"/>
      <c r="Y24" s="2" t="s">
        <v>47</v>
      </c>
      <c r="Z24" s="2" t="s">
        <v>48</v>
      </c>
      <c r="AA24" s="2" t="s">
        <v>49</v>
      </c>
      <c r="AB24" s="2" t="s">
        <v>49</v>
      </c>
      <c r="AC24" s="2" t="s">
        <v>61</v>
      </c>
      <c r="AD24" s="2" t="s">
        <v>51</v>
      </c>
      <c r="AE24" s="4" t="s">
        <v>52</v>
      </c>
      <c r="AF24" s="4"/>
      <c r="AH24" s="3" t="s">
        <v>53</v>
      </c>
    </row>
    <row r="25" spans="1:34" ht="12.75" customHeight="1" x14ac:dyDescent="0.2">
      <c r="A25" s="4" t="s">
        <v>34</v>
      </c>
      <c r="B25" s="4"/>
      <c r="D25" s="4" t="s">
        <v>66</v>
      </c>
      <c r="E25" s="4"/>
      <c r="F25" s="4"/>
      <c r="G25" s="4"/>
      <c r="H25" s="2" t="s">
        <v>67</v>
      </c>
      <c r="I25" s="2" t="s">
        <v>36</v>
      </c>
      <c r="J25" s="2" t="s">
        <v>37</v>
      </c>
      <c r="K25" s="2" t="s">
        <v>36</v>
      </c>
      <c r="L25" s="4" t="s">
        <v>38</v>
      </c>
      <c r="M25" s="4"/>
      <c r="N25" s="2" t="s">
        <v>39</v>
      </c>
      <c r="O25" s="2" t="s">
        <v>40</v>
      </c>
      <c r="P25" s="4" t="s">
        <v>41</v>
      </c>
      <c r="Q25" s="4"/>
      <c r="R25" s="2" t="s">
        <v>42</v>
      </c>
      <c r="S25" s="2" t="s">
        <v>43</v>
      </c>
      <c r="T25" s="4" t="s">
        <v>44</v>
      </c>
      <c r="U25" s="4"/>
      <c r="V25" s="2" t="s">
        <v>45</v>
      </c>
      <c r="W25" s="4" t="s">
        <v>46</v>
      </c>
      <c r="X25" s="4"/>
      <c r="Y25" s="2" t="s">
        <v>47</v>
      </c>
      <c r="Z25" s="2" t="s">
        <v>48</v>
      </c>
      <c r="AA25" s="2" t="s">
        <v>49</v>
      </c>
      <c r="AB25" s="2" t="s">
        <v>49</v>
      </c>
      <c r="AC25" s="2" t="s">
        <v>50</v>
      </c>
      <c r="AD25" s="2" t="s">
        <v>51</v>
      </c>
      <c r="AE25" s="4" t="s">
        <v>52</v>
      </c>
      <c r="AF25" s="4"/>
      <c r="AH25" s="3" t="s">
        <v>53</v>
      </c>
    </row>
    <row r="26" spans="1:34" ht="12.75" customHeight="1" x14ac:dyDescent="0.2">
      <c r="A26" s="4" t="s">
        <v>34</v>
      </c>
      <c r="B26" s="4"/>
      <c r="D26" s="4" t="s">
        <v>66</v>
      </c>
      <c r="E26" s="4"/>
      <c r="F26" s="4"/>
      <c r="G26" s="4"/>
      <c r="H26" s="2" t="s">
        <v>67</v>
      </c>
      <c r="I26" s="2" t="s">
        <v>36</v>
      </c>
      <c r="J26" s="2" t="s">
        <v>37</v>
      </c>
      <c r="K26" s="2" t="s">
        <v>36</v>
      </c>
      <c r="L26" s="4" t="s">
        <v>54</v>
      </c>
      <c r="M26" s="4"/>
      <c r="N26" s="2" t="s">
        <v>39</v>
      </c>
      <c r="O26" s="2" t="s">
        <v>40</v>
      </c>
      <c r="P26" s="4" t="s">
        <v>41</v>
      </c>
      <c r="Q26" s="4"/>
      <c r="R26" s="2" t="s">
        <v>42</v>
      </c>
      <c r="S26" s="2" t="s">
        <v>43</v>
      </c>
      <c r="T26" s="4" t="s">
        <v>44</v>
      </c>
      <c r="U26" s="4"/>
      <c r="V26" s="2" t="s">
        <v>45</v>
      </c>
      <c r="W26" s="4" t="s">
        <v>46</v>
      </c>
      <c r="X26" s="4"/>
      <c r="Y26" s="2" t="s">
        <v>47</v>
      </c>
      <c r="Z26" s="2" t="s">
        <v>48</v>
      </c>
      <c r="AA26" s="2" t="s">
        <v>49</v>
      </c>
      <c r="AB26" s="2" t="s">
        <v>49</v>
      </c>
      <c r="AC26" s="2" t="s">
        <v>50</v>
      </c>
      <c r="AD26" s="2" t="s">
        <v>51</v>
      </c>
      <c r="AE26" s="4" t="s">
        <v>52</v>
      </c>
      <c r="AF26" s="4"/>
      <c r="AH26" s="3" t="s">
        <v>53</v>
      </c>
    </row>
    <row r="27" spans="1:34" ht="12.75" customHeight="1" x14ac:dyDescent="0.2">
      <c r="A27" s="4" t="s">
        <v>34</v>
      </c>
      <c r="B27" s="4"/>
      <c r="D27" s="4" t="s">
        <v>68</v>
      </c>
      <c r="E27" s="4"/>
      <c r="F27" s="4"/>
      <c r="G27" s="4"/>
      <c r="H27" s="2" t="s">
        <v>69</v>
      </c>
      <c r="I27" s="2" t="s">
        <v>36</v>
      </c>
      <c r="J27" s="2" t="s">
        <v>37</v>
      </c>
      <c r="K27" s="2" t="s">
        <v>36</v>
      </c>
      <c r="L27" s="4" t="s">
        <v>38</v>
      </c>
      <c r="M27" s="4"/>
      <c r="N27" s="2" t="s">
        <v>39</v>
      </c>
      <c r="O27" s="2" t="s">
        <v>40</v>
      </c>
      <c r="P27" s="4" t="s">
        <v>41</v>
      </c>
      <c r="Q27" s="4"/>
      <c r="R27" s="2" t="s">
        <v>42</v>
      </c>
      <c r="S27" s="2" t="s">
        <v>43</v>
      </c>
      <c r="T27" s="4" t="s">
        <v>44</v>
      </c>
      <c r="U27" s="4"/>
      <c r="V27" s="2" t="s">
        <v>45</v>
      </c>
      <c r="W27" s="4" t="s">
        <v>46</v>
      </c>
      <c r="X27" s="4"/>
      <c r="Y27" s="2" t="s">
        <v>47</v>
      </c>
      <c r="Z27" s="2" t="s">
        <v>48</v>
      </c>
      <c r="AA27" s="2" t="s">
        <v>49</v>
      </c>
      <c r="AB27" s="2" t="s">
        <v>49</v>
      </c>
      <c r="AC27" s="2" t="s">
        <v>61</v>
      </c>
      <c r="AD27" s="2" t="s">
        <v>51</v>
      </c>
      <c r="AE27" s="4" t="s">
        <v>52</v>
      </c>
      <c r="AF27" s="4"/>
      <c r="AH27" s="3" t="s">
        <v>53</v>
      </c>
    </row>
    <row r="28" spans="1:34" ht="12.75" customHeight="1" x14ac:dyDescent="0.2">
      <c r="A28" s="4" t="s">
        <v>34</v>
      </c>
      <c r="B28" s="4"/>
      <c r="D28" s="4" t="s">
        <v>70</v>
      </c>
      <c r="E28" s="4"/>
      <c r="F28" s="4"/>
      <c r="G28" s="4"/>
      <c r="H28" s="2" t="s">
        <v>71</v>
      </c>
      <c r="I28" s="2" t="s">
        <v>36</v>
      </c>
      <c r="J28" s="2" t="s">
        <v>37</v>
      </c>
      <c r="K28" s="2" t="s">
        <v>36</v>
      </c>
      <c r="L28" s="4" t="s">
        <v>38</v>
      </c>
      <c r="M28" s="4"/>
      <c r="N28" s="2" t="s">
        <v>39</v>
      </c>
      <c r="O28" s="2" t="s">
        <v>40</v>
      </c>
      <c r="P28" s="4" t="s">
        <v>41</v>
      </c>
      <c r="Q28" s="4"/>
      <c r="R28" s="2" t="s">
        <v>42</v>
      </c>
      <c r="S28" s="2" t="s">
        <v>43</v>
      </c>
      <c r="T28" s="4" t="s">
        <v>44</v>
      </c>
      <c r="U28" s="4"/>
      <c r="V28" s="2" t="s">
        <v>45</v>
      </c>
      <c r="W28" s="4" t="s">
        <v>46</v>
      </c>
      <c r="X28" s="4"/>
      <c r="Y28" s="2" t="s">
        <v>47</v>
      </c>
      <c r="Z28" s="2" t="s">
        <v>48</v>
      </c>
      <c r="AA28" s="2" t="s">
        <v>49</v>
      </c>
      <c r="AB28" s="2" t="s">
        <v>49</v>
      </c>
      <c r="AC28" s="2" t="s">
        <v>50</v>
      </c>
      <c r="AD28" s="2" t="s">
        <v>51</v>
      </c>
      <c r="AE28" s="4" t="s">
        <v>52</v>
      </c>
      <c r="AF28" s="4"/>
      <c r="AH28" s="3" t="s">
        <v>53</v>
      </c>
    </row>
    <row r="29" spans="1:34" ht="12.75" customHeight="1" x14ac:dyDescent="0.2">
      <c r="A29" s="4" t="s">
        <v>34</v>
      </c>
      <c r="B29" s="4"/>
      <c r="D29" s="4" t="s">
        <v>70</v>
      </c>
      <c r="E29" s="4"/>
      <c r="F29" s="4"/>
      <c r="G29" s="4"/>
      <c r="H29" s="2" t="s">
        <v>71</v>
      </c>
      <c r="I29" s="2" t="s">
        <v>36</v>
      </c>
      <c r="J29" s="2" t="s">
        <v>37</v>
      </c>
      <c r="K29" s="2" t="s">
        <v>36</v>
      </c>
      <c r="L29" s="4" t="s">
        <v>54</v>
      </c>
      <c r="M29" s="4"/>
      <c r="N29" s="2" t="s">
        <v>39</v>
      </c>
      <c r="O29" s="2" t="s">
        <v>40</v>
      </c>
      <c r="P29" s="4" t="s">
        <v>41</v>
      </c>
      <c r="Q29" s="4"/>
      <c r="R29" s="2" t="s">
        <v>42</v>
      </c>
      <c r="S29" s="2" t="s">
        <v>43</v>
      </c>
      <c r="T29" s="4" t="s">
        <v>44</v>
      </c>
      <c r="U29" s="4"/>
      <c r="V29" s="2" t="s">
        <v>45</v>
      </c>
      <c r="W29" s="4" t="s">
        <v>46</v>
      </c>
      <c r="X29" s="4"/>
      <c r="Y29" s="2" t="s">
        <v>47</v>
      </c>
      <c r="Z29" s="2" t="s">
        <v>48</v>
      </c>
      <c r="AA29" s="2" t="s">
        <v>49</v>
      </c>
      <c r="AB29" s="2" t="s">
        <v>49</v>
      </c>
      <c r="AC29" s="2" t="s">
        <v>50</v>
      </c>
      <c r="AD29" s="2" t="s">
        <v>51</v>
      </c>
      <c r="AE29" s="4" t="s">
        <v>52</v>
      </c>
      <c r="AF29" s="4"/>
      <c r="AH29" s="3" t="s">
        <v>53</v>
      </c>
    </row>
    <row r="30" spans="1:34" ht="12.75" customHeight="1" x14ac:dyDescent="0.2">
      <c r="A30" s="4" t="s">
        <v>34</v>
      </c>
      <c r="B30" s="4"/>
      <c r="D30" s="4" t="s">
        <v>72</v>
      </c>
      <c r="E30" s="4"/>
      <c r="F30" s="4"/>
      <c r="G30" s="4"/>
      <c r="H30" s="2" t="s">
        <v>73</v>
      </c>
      <c r="I30" s="2" t="s">
        <v>36</v>
      </c>
      <c r="J30" s="2" t="s">
        <v>37</v>
      </c>
      <c r="K30" s="2" t="s">
        <v>36</v>
      </c>
      <c r="L30" s="4" t="s">
        <v>38</v>
      </c>
      <c r="M30" s="4"/>
      <c r="N30" s="2" t="s">
        <v>39</v>
      </c>
      <c r="O30" s="2" t="s">
        <v>40</v>
      </c>
      <c r="P30" s="4" t="s">
        <v>41</v>
      </c>
      <c r="Q30" s="4"/>
      <c r="R30" s="2" t="s">
        <v>42</v>
      </c>
      <c r="S30" s="2" t="s">
        <v>43</v>
      </c>
      <c r="T30" s="4" t="s">
        <v>44</v>
      </c>
      <c r="U30" s="4"/>
      <c r="V30" s="2" t="s">
        <v>45</v>
      </c>
      <c r="W30" s="4" t="s">
        <v>46</v>
      </c>
      <c r="X30" s="4"/>
      <c r="Y30" s="2" t="s">
        <v>47</v>
      </c>
      <c r="Z30" s="2" t="s">
        <v>48</v>
      </c>
      <c r="AA30" s="2" t="s">
        <v>49</v>
      </c>
      <c r="AB30" s="2" t="s">
        <v>49</v>
      </c>
      <c r="AC30" s="2" t="s">
        <v>50</v>
      </c>
      <c r="AD30" s="2" t="s">
        <v>51</v>
      </c>
      <c r="AE30" s="4" t="s">
        <v>52</v>
      </c>
      <c r="AF30" s="4"/>
      <c r="AH30" s="3" t="s">
        <v>53</v>
      </c>
    </row>
    <row r="31" spans="1:34" ht="12.75" customHeight="1" x14ac:dyDescent="0.2">
      <c r="A31" s="4" t="s">
        <v>34</v>
      </c>
      <c r="B31" s="4"/>
      <c r="D31" s="4" t="s">
        <v>72</v>
      </c>
      <c r="E31" s="4"/>
      <c r="F31" s="4"/>
      <c r="G31" s="4"/>
      <c r="H31" s="2" t="s">
        <v>73</v>
      </c>
      <c r="I31" s="2" t="s">
        <v>36</v>
      </c>
      <c r="J31" s="2" t="s">
        <v>37</v>
      </c>
      <c r="K31" s="2" t="s">
        <v>36</v>
      </c>
      <c r="L31" s="4" t="s">
        <v>54</v>
      </c>
      <c r="M31" s="4"/>
      <c r="N31" s="2" t="s">
        <v>39</v>
      </c>
      <c r="O31" s="2" t="s">
        <v>40</v>
      </c>
      <c r="P31" s="4" t="s">
        <v>41</v>
      </c>
      <c r="Q31" s="4"/>
      <c r="R31" s="2" t="s">
        <v>42</v>
      </c>
      <c r="S31" s="2" t="s">
        <v>43</v>
      </c>
      <c r="T31" s="4" t="s">
        <v>44</v>
      </c>
      <c r="U31" s="4"/>
      <c r="V31" s="2" t="s">
        <v>45</v>
      </c>
      <c r="W31" s="4" t="s">
        <v>46</v>
      </c>
      <c r="X31" s="4"/>
      <c r="Y31" s="2" t="s">
        <v>47</v>
      </c>
      <c r="Z31" s="2" t="s">
        <v>48</v>
      </c>
      <c r="AA31" s="2" t="s">
        <v>49</v>
      </c>
      <c r="AB31" s="2" t="s">
        <v>49</v>
      </c>
      <c r="AC31" s="2" t="s">
        <v>50</v>
      </c>
      <c r="AD31" s="2" t="s">
        <v>51</v>
      </c>
      <c r="AE31" s="4" t="s">
        <v>52</v>
      </c>
      <c r="AF31" s="4"/>
      <c r="AH31" s="3" t="s">
        <v>53</v>
      </c>
    </row>
    <row r="32" spans="1:34" ht="12.75" customHeight="1" x14ac:dyDescent="0.2">
      <c r="A32" s="4" t="s">
        <v>34</v>
      </c>
      <c r="B32" s="4"/>
      <c r="D32" s="4" t="s">
        <v>74</v>
      </c>
      <c r="E32" s="4"/>
      <c r="F32" s="4"/>
      <c r="G32" s="4"/>
      <c r="H32" s="2" t="s">
        <v>75</v>
      </c>
      <c r="I32" s="2" t="s">
        <v>36</v>
      </c>
      <c r="J32" s="2" t="s">
        <v>37</v>
      </c>
      <c r="K32" s="2" t="s">
        <v>36</v>
      </c>
      <c r="L32" s="4" t="s">
        <v>38</v>
      </c>
      <c r="M32" s="4"/>
      <c r="N32" s="2" t="s">
        <v>39</v>
      </c>
      <c r="O32" s="2" t="s">
        <v>40</v>
      </c>
      <c r="P32" s="4" t="s">
        <v>41</v>
      </c>
      <c r="Q32" s="4"/>
      <c r="R32" s="2" t="s">
        <v>42</v>
      </c>
      <c r="S32" s="2" t="s">
        <v>43</v>
      </c>
      <c r="T32" s="4" t="s">
        <v>44</v>
      </c>
      <c r="U32" s="4"/>
      <c r="V32" s="2" t="s">
        <v>45</v>
      </c>
      <c r="W32" s="4" t="s">
        <v>46</v>
      </c>
      <c r="X32" s="4"/>
      <c r="Y32" s="2" t="s">
        <v>47</v>
      </c>
      <c r="Z32" s="2" t="s">
        <v>48</v>
      </c>
      <c r="AA32" s="2" t="s">
        <v>49</v>
      </c>
      <c r="AB32" s="2" t="s">
        <v>49</v>
      </c>
      <c r="AC32" s="2" t="s">
        <v>50</v>
      </c>
      <c r="AD32" s="2" t="s">
        <v>51</v>
      </c>
      <c r="AE32" s="4" t="s">
        <v>52</v>
      </c>
      <c r="AF32" s="4"/>
      <c r="AH32" s="3" t="s">
        <v>53</v>
      </c>
    </row>
    <row r="33" spans="1:34" ht="12.75" customHeight="1" x14ac:dyDescent="0.2">
      <c r="A33" s="4" t="s">
        <v>34</v>
      </c>
      <c r="B33" s="4"/>
      <c r="D33" s="4" t="s">
        <v>74</v>
      </c>
      <c r="E33" s="4"/>
      <c r="F33" s="4"/>
      <c r="G33" s="4"/>
      <c r="H33" s="2" t="s">
        <v>75</v>
      </c>
      <c r="I33" s="2" t="s">
        <v>36</v>
      </c>
      <c r="J33" s="2" t="s">
        <v>37</v>
      </c>
      <c r="K33" s="2" t="s">
        <v>36</v>
      </c>
      <c r="L33" s="4" t="s">
        <v>54</v>
      </c>
      <c r="M33" s="4"/>
      <c r="N33" s="2" t="s">
        <v>39</v>
      </c>
      <c r="O33" s="2" t="s">
        <v>40</v>
      </c>
      <c r="P33" s="4" t="s">
        <v>41</v>
      </c>
      <c r="Q33" s="4"/>
      <c r="R33" s="2" t="s">
        <v>42</v>
      </c>
      <c r="S33" s="2" t="s">
        <v>43</v>
      </c>
      <c r="T33" s="4" t="s">
        <v>44</v>
      </c>
      <c r="U33" s="4"/>
      <c r="V33" s="2" t="s">
        <v>45</v>
      </c>
      <c r="W33" s="4" t="s">
        <v>46</v>
      </c>
      <c r="X33" s="4"/>
      <c r="Y33" s="2" t="s">
        <v>47</v>
      </c>
      <c r="Z33" s="2" t="s">
        <v>48</v>
      </c>
      <c r="AA33" s="2" t="s">
        <v>49</v>
      </c>
      <c r="AB33" s="2" t="s">
        <v>49</v>
      </c>
      <c r="AC33" s="2" t="s">
        <v>50</v>
      </c>
      <c r="AD33" s="2" t="s">
        <v>51</v>
      </c>
      <c r="AE33" s="4" t="s">
        <v>52</v>
      </c>
      <c r="AF33" s="4"/>
      <c r="AH33" s="3" t="s">
        <v>53</v>
      </c>
    </row>
    <row r="34" spans="1:34" ht="12.75" customHeight="1" x14ac:dyDescent="0.2">
      <c r="A34" s="4" t="s">
        <v>34</v>
      </c>
      <c r="B34" s="4"/>
      <c r="D34" s="4" t="s">
        <v>76</v>
      </c>
      <c r="E34" s="4"/>
      <c r="F34" s="4"/>
      <c r="G34" s="4"/>
      <c r="H34" s="2" t="s">
        <v>77</v>
      </c>
      <c r="I34" s="2" t="s">
        <v>36</v>
      </c>
      <c r="J34" s="2" t="s">
        <v>37</v>
      </c>
      <c r="K34" s="2" t="s">
        <v>36</v>
      </c>
      <c r="L34" s="4" t="s">
        <v>38</v>
      </c>
      <c r="M34" s="4"/>
      <c r="N34" s="2" t="s">
        <v>39</v>
      </c>
      <c r="O34" s="2" t="s">
        <v>40</v>
      </c>
      <c r="P34" s="4" t="s">
        <v>41</v>
      </c>
      <c r="Q34" s="4"/>
      <c r="R34" s="2" t="s">
        <v>42</v>
      </c>
      <c r="S34" s="2" t="s">
        <v>43</v>
      </c>
      <c r="T34" s="4" t="s">
        <v>44</v>
      </c>
      <c r="U34" s="4"/>
      <c r="V34" s="2" t="s">
        <v>45</v>
      </c>
      <c r="W34" s="4" t="s">
        <v>46</v>
      </c>
      <c r="X34" s="4"/>
      <c r="Y34" s="2" t="s">
        <v>47</v>
      </c>
      <c r="Z34" s="2" t="s">
        <v>48</v>
      </c>
      <c r="AA34" s="2" t="s">
        <v>49</v>
      </c>
      <c r="AB34" s="2" t="s">
        <v>49</v>
      </c>
      <c r="AC34" s="2" t="s">
        <v>61</v>
      </c>
      <c r="AD34" s="2" t="s">
        <v>51</v>
      </c>
      <c r="AE34" s="4" t="s">
        <v>52</v>
      </c>
      <c r="AF34" s="4"/>
      <c r="AH34" s="3" t="s">
        <v>53</v>
      </c>
    </row>
    <row r="35" spans="1:34" ht="12.75" customHeight="1" x14ac:dyDescent="0.2">
      <c r="A35" s="4" t="s">
        <v>34</v>
      </c>
      <c r="B35" s="4"/>
      <c r="D35" s="4" t="s">
        <v>78</v>
      </c>
      <c r="E35" s="4"/>
      <c r="F35" s="4"/>
      <c r="G35" s="4"/>
      <c r="H35" s="2" t="s">
        <v>79</v>
      </c>
      <c r="I35" s="2" t="s">
        <v>36</v>
      </c>
      <c r="J35" s="2" t="s">
        <v>37</v>
      </c>
      <c r="K35" s="2" t="s">
        <v>36</v>
      </c>
      <c r="L35" s="4" t="s">
        <v>38</v>
      </c>
      <c r="M35" s="4"/>
      <c r="N35" s="2" t="s">
        <v>39</v>
      </c>
      <c r="O35" s="2" t="s">
        <v>40</v>
      </c>
      <c r="P35" s="4" t="s">
        <v>41</v>
      </c>
      <c r="Q35" s="4"/>
      <c r="R35" s="2" t="s">
        <v>42</v>
      </c>
      <c r="S35" s="2" t="s">
        <v>43</v>
      </c>
      <c r="T35" s="4" t="s">
        <v>44</v>
      </c>
      <c r="U35" s="4"/>
      <c r="V35" s="2" t="s">
        <v>45</v>
      </c>
      <c r="W35" s="4" t="s">
        <v>46</v>
      </c>
      <c r="X35" s="4"/>
      <c r="Y35" s="2" t="s">
        <v>47</v>
      </c>
      <c r="Z35" s="2" t="s">
        <v>48</v>
      </c>
      <c r="AA35" s="2" t="s">
        <v>49</v>
      </c>
      <c r="AB35" s="2" t="s">
        <v>49</v>
      </c>
      <c r="AC35" s="2" t="s">
        <v>50</v>
      </c>
      <c r="AD35" s="2" t="s">
        <v>51</v>
      </c>
      <c r="AE35" s="4" t="s">
        <v>52</v>
      </c>
      <c r="AF35" s="4"/>
      <c r="AH35" s="3" t="s">
        <v>53</v>
      </c>
    </row>
    <row r="36" spans="1:34" ht="12.75" customHeight="1" x14ac:dyDescent="0.2">
      <c r="A36" s="4" t="s">
        <v>34</v>
      </c>
      <c r="B36" s="4"/>
      <c r="D36" s="4" t="s">
        <v>78</v>
      </c>
      <c r="E36" s="4"/>
      <c r="F36" s="4"/>
      <c r="G36" s="4"/>
      <c r="H36" s="2" t="s">
        <v>79</v>
      </c>
      <c r="I36" s="2" t="s">
        <v>36</v>
      </c>
      <c r="J36" s="2" t="s">
        <v>37</v>
      </c>
      <c r="K36" s="2" t="s">
        <v>36</v>
      </c>
      <c r="L36" s="4" t="s">
        <v>54</v>
      </c>
      <c r="M36" s="4"/>
      <c r="N36" s="2" t="s">
        <v>39</v>
      </c>
      <c r="O36" s="2" t="s">
        <v>40</v>
      </c>
      <c r="P36" s="4" t="s">
        <v>41</v>
      </c>
      <c r="Q36" s="4"/>
      <c r="R36" s="2" t="s">
        <v>42</v>
      </c>
      <c r="S36" s="2" t="s">
        <v>43</v>
      </c>
      <c r="T36" s="4" t="s">
        <v>44</v>
      </c>
      <c r="U36" s="4"/>
      <c r="V36" s="2" t="s">
        <v>45</v>
      </c>
      <c r="W36" s="4" t="s">
        <v>46</v>
      </c>
      <c r="X36" s="4"/>
      <c r="Y36" s="2" t="s">
        <v>47</v>
      </c>
      <c r="Z36" s="2" t="s">
        <v>48</v>
      </c>
      <c r="AA36" s="2" t="s">
        <v>49</v>
      </c>
      <c r="AB36" s="2" t="s">
        <v>49</v>
      </c>
      <c r="AC36" s="2" t="s">
        <v>50</v>
      </c>
      <c r="AD36" s="2" t="s">
        <v>51</v>
      </c>
      <c r="AE36" s="4" t="s">
        <v>52</v>
      </c>
      <c r="AF36" s="4"/>
      <c r="AH36" s="3" t="s">
        <v>53</v>
      </c>
    </row>
    <row r="37" spans="1:34" ht="12.75" customHeight="1" x14ac:dyDescent="0.2">
      <c r="A37" s="4" t="s">
        <v>34</v>
      </c>
      <c r="B37" s="4"/>
      <c r="D37" s="4" t="s">
        <v>80</v>
      </c>
      <c r="E37" s="4"/>
      <c r="F37" s="4"/>
      <c r="G37" s="4"/>
      <c r="H37" s="2" t="s">
        <v>81</v>
      </c>
      <c r="I37" s="2" t="s">
        <v>36</v>
      </c>
      <c r="J37" s="2" t="s">
        <v>37</v>
      </c>
      <c r="K37" s="2" t="s">
        <v>36</v>
      </c>
      <c r="L37" s="4" t="s">
        <v>38</v>
      </c>
      <c r="M37" s="4"/>
      <c r="N37" s="2" t="s">
        <v>39</v>
      </c>
      <c r="O37" s="2" t="s">
        <v>40</v>
      </c>
      <c r="P37" s="4" t="s">
        <v>41</v>
      </c>
      <c r="Q37" s="4"/>
      <c r="R37" s="2" t="s">
        <v>42</v>
      </c>
      <c r="S37" s="2" t="s">
        <v>43</v>
      </c>
      <c r="T37" s="4" t="s">
        <v>44</v>
      </c>
      <c r="U37" s="4"/>
      <c r="V37" s="2" t="s">
        <v>45</v>
      </c>
      <c r="W37" s="4" t="s">
        <v>46</v>
      </c>
      <c r="X37" s="4"/>
      <c r="Y37" s="2" t="s">
        <v>47</v>
      </c>
      <c r="Z37" s="2" t="s">
        <v>48</v>
      </c>
      <c r="AA37" s="2" t="s">
        <v>49</v>
      </c>
      <c r="AB37" s="2" t="s">
        <v>49</v>
      </c>
      <c r="AC37" s="2" t="s">
        <v>61</v>
      </c>
      <c r="AD37" s="2" t="s">
        <v>51</v>
      </c>
      <c r="AE37" s="4" t="s">
        <v>52</v>
      </c>
      <c r="AF37" s="4"/>
      <c r="AH37" s="3" t="s">
        <v>53</v>
      </c>
    </row>
    <row r="38" spans="1:34" ht="12.75" customHeight="1" x14ac:dyDescent="0.2">
      <c r="A38" s="4" t="s">
        <v>34</v>
      </c>
      <c r="B38" s="4"/>
      <c r="D38" s="4" t="s">
        <v>82</v>
      </c>
      <c r="E38" s="4"/>
      <c r="F38" s="4"/>
      <c r="G38" s="4"/>
      <c r="H38" s="2" t="s">
        <v>83</v>
      </c>
      <c r="I38" s="2" t="s">
        <v>36</v>
      </c>
      <c r="J38" s="2" t="s">
        <v>37</v>
      </c>
      <c r="K38" s="2" t="s">
        <v>36</v>
      </c>
      <c r="L38" s="4" t="s">
        <v>38</v>
      </c>
      <c r="M38" s="4"/>
      <c r="N38" s="2" t="s">
        <v>39</v>
      </c>
      <c r="O38" s="2" t="s">
        <v>40</v>
      </c>
      <c r="P38" s="4" t="s">
        <v>41</v>
      </c>
      <c r="Q38" s="4"/>
      <c r="R38" s="2" t="s">
        <v>42</v>
      </c>
      <c r="S38" s="2" t="s">
        <v>43</v>
      </c>
      <c r="T38" s="4" t="s">
        <v>44</v>
      </c>
      <c r="U38" s="4"/>
      <c r="V38" s="2" t="s">
        <v>45</v>
      </c>
      <c r="W38" s="4" t="s">
        <v>46</v>
      </c>
      <c r="X38" s="4"/>
      <c r="Y38" s="2" t="s">
        <v>47</v>
      </c>
      <c r="Z38" s="2" t="s">
        <v>48</v>
      </c>
      <c r="AA38" s="2" t="s">
        <v>49</v>
      </c>
      <c r="AB38" s="2" t="s">
        <v>49</v>
      </c>
      <c r="AC38" s="2" t="s">
        <v>61</v>
      </c>
      <c r="AD38" s="2" t="s">
        <v>51</v>
      </c>
      <c r="AE38" s="4" t="s">
        <v>52</v>
      </c>
      <c r="AF38" s="4"/>
      <c r="AH38" s="3" t="s">
        <v>53</v>
      </c>
    </row>
    <row r="39" spans="1:34" ht="12.75" customHeight="1" x14ac:dyDescent="0.2">
      <c r="A39" s="4" t="s">
        <v>34</v>
      </c>
      <c r="B39" s="4"/>
      <c r="D39" s="4" t="s">
        <v>84</v>
      </c>
      <c r="E39" s="4"/>
      <c r="F39" s="4"/>
      <c r="G39" s="4"/>
      <c r="H39" s="2" t="s">
        <v>85</v>
      </c>
      <c r="I39" s="2" t="s">
        <v>36</v>
      </c>
      <c r="J39" s="2" t="s">
        <v>37</v>
      </c>
      <c r="K39" s="2" t="s">
        <v>36</v>
      </c>
      <c r="L39" s="4" t="s">
        <v>38</v>
      </c>
      <c r="M39" s="4"/>
      <c r="N39" s="2" t="s">
        <v>39</v>
      </c>
      <c r="O39" s="2" t="s">
        <v>40</v>
      </c>
      <c r="P39" s="4" t="s">
        <v>41</v>
      </c>
      <c r="Q39" s="4"/>
      <c r="R39" s="2" t="s">
        <v>42</v>
      </c>
      <c r="S39" s="2" t="s">
        <v>43</v>
      </c>
      <c r="T39" s="4" t="s">
        <v>44</v>
      </c>
      <c r="U39" s="4"/>
      <c r="V39" s="2" t="s">
        <v>45</v>
      </c>
      <c r="W39" s="4" t="s">
        <v>46</v>
      </c>
      <c r="X39" s="4"/>
      <c r="Y39" s="2" t="s">
        <v>47</v>
      </c>
      <c r="Z39" s="2" t="s">
        <v>48</v>
      </c>
      <c r="AA39" s="2" t="s">
        <v>49</v>
      </c>
      <c r="AB39" s="2" t="s">
        <v>49</v>
      </c>
      <c r="AC39" s="2" t="s">
        <v>61</v>
      </c>
      <c r="AD39" s="2" t="s">
        <v>51</v>
      </c>
      <c r="AE39" s="4" t="s">
        <v>52</v>
      </c>
      <c r="AF39" s="4"/>
      <c r="AH39" s="3" t="s">
        <v>53</v>
      </c>
    </row>
    <row r="40" spans="1:34" ht="12.75" customHeight="1" x14ac:dyDescent="0.2">
      <c r="A40" s="4" t="s">
        <v>34</v>
      </c>
      <c r="B40" s="4"/>
      <c r="D40" s="4" t="s">
        <v>86</v>
      </c>
      <c r="E40" s="4"/>
      <c r="F40" s="4"/>
      <c r="G40" s="4"/>
      <c r="H40" s="2" t="s">
        <v>87</v>
      </c>
      <c r="I40" s="2" t="s">
        <v>36</v>
      </c>
      <c r="J40" s="2" t="s">
        <v>37</v>
      </c>
      <c r="K40" s="2" t="s">
        <v>36</v>
      </c>
      <c r="L40" s="4" t="s">
        <v>38</v>
      </c>
      <c r="M40" s="4"/>
      <c r="N40" s="2" t="s">
        <v>39</v>
      </c>
      <c r="O40" s="2" t="s">
        <v>40</v>
      </c>
      <c r="P40" s="4" t="s">
        <v>41</v>
      </c>
      <c r="Q40" s="4"/>
      <c r="R40" s="2" t="s">
        <v>42</v>
      </c>
      <c r="S40" s="2" t="s">
        <v>43</v>
      </c>
      <c r="T40" s="4" t="s">
        <v>44</v>
      </c>
      <c r="U40" s="4"/>
      <c r="V40" s="2" t="s">
        <v>45</v>
      </c>
      <c r="W40" s="4" t="s">
        <v>46</v>
      </c>
      <c r="X40" s="4"/>
      <c r="Y40" s="2" t="s">
        <v>47</v>
      </c>
      <c r="Z40" s="2" t="s">
        <v>48</v>
      </c>
      <c r="AA40" s="2" t="s">
        <v>49</v>
      </c>
      <c r="AB40" s="2" t="s">
        <v>49</v>
      </c>
      <c r="AC40" s="2" t="s">
        <v>61</v>
      </c>
      <c r="AD40" s="2" t="s">
        <v>51</v>
      </c>
      <c r="AE40" s="4" t="s">
        <v>52</v>
      </c>
      <c r="AF40" s="4"/>
      <c r="AH40" s="3" t="s">
        <v>53</v>
      </c>
    </row>
    <row r="41" spans="1:34" ht="11.25" customHeight="1" x14ac:dyDescent="0.2"/>
    <row r="42" spans="1:34" ht="409.6" customHeight="1" x14ac:dyDescent="0.2"/>
    <row r="43" spans="1:34" ht="12" customHeight="1" x14ac:dyDescent="0.2"/>
  </sheetData>
  <mergeCells count="213">
    <mergeCell ref="C2:F2"/>
    <mergeCell ref="Q2:S3"/>
    <mergeCell ref="C4:E4"/>
    <mergeCell ref="P4:T5"/>
    <mergeCell ref="C7:D7"/>
    <mergeCell ref="A10:AH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W13:X14"/>
    <mergeCell ref="Y13:Y14"/>
    <mergeCell ref="Z13:Z14"/>
    <mergeCell ref="AA13:AA14"/>
    <mergeCell ref="AB13:AB14"/>
    <mergeCell ref="AC13:AC14"/>
    <mergeCell ref="AD13:AD14"/>
    <mergeCell ref="AE13:AF14"/>
    <mergeCell ref="AG13:AG14"/>
    <mergeCell ref="AH13:AH14"/>
    <mergeCell ref="A15:B15"/>
    <mergeCell ref="D15:G15"/>
    <mergeCell ref="L15:M15"/>
    <mergeCell ref="P15:Q15"/>
    <mergeCell ref="T15:U15"/>
    <mergeCell ref="W15:X15"/>
    <mergeCell ref="AE15:AF15"/>
    <mergeCell ref="A16:B16"/>
    <mergeCell ref="D16:G16"/>
    <mergeCell ref="L16:M16"/>
    <mergeCell ref="P16:Q16"/>
    <mergeCell ref="T16:U16"/>
    <mergeCell ref="W16:X16"/>
    <mergeCell ref="AE16:AF16"/>
    <mergeCell ref="A17:B17"/>
    <mergeCell ref="D17:G17"/>
    <mergeCell ref="L17:M17"/>
    <mergeCell ref="P17:Q17"/>
    <mergeCell ref="T17:U17"/>
    <mergeCell ref="W17:X17"/>
    <mergeCell ref="AE17:AF17"/>
    <mergeCell ref="A18:B18"/>
    <mergeCell ref="D18:G18"/>
    <mergeCell ref="L18:M18"/>
    <mergeCell ref="P18:Q18"/>
    <mergeCell ref="T18:U18"/>
    <mergeCell ref="W18:X18"/>
    <mergeCell ref="AE18:AF18"/>
    <mergeCell ref="A19:B19"/>
    <mergeCell ref="D19:G19"/>
    <mergeCell ref="L19:M19"/>
    <mergeCell ref="P19:Q19"/>
    <mergeCell ref="T19:U19"/>
    <mergeCell ref="W19:X19"/>
    <mergeCell ref="AE19:AF19"/>
    <mergeCell ref="A20:B20"/>
    <mergeCell ref="D20:G20"/>
    <mergeCell ref="L20:M20"/>
    <mergeCell ref="P20:Q20"/>
    <mergeCell ref="T20:U20"/>
    <mergeCell ref="W20:X20"/>
    <mergeCell ref="AE20:AF20"/>
    <mergeCell ref="A21:B21"/>
    <mergeCell ref="D21:G21"/>
    <mergeCell ref="L21:M21"/>
    <mergeCell ref="P21:Q21"/>
    <mergeCell ref="T21:U21"/>
    <mergeCell ref="W21:X21"/>
    <mergeCell ref="AE21:AF21"/>
    <mergeCell ref="A22:B22"/>
    <mergeCell ref="D22:G22"/>
    <mergeCell ref="L22:M22"/>
    <mergeCell ref="P22:Q22"/>
    <mergeCell ref="T22:U22"/>
    <mergeCell ref="W22:X22"/>
    <mergeCell ref="AE22:AF22"/>
    <mergeCell ref="A23:B23"/>
    <mergeCell ref="D23:G23"/>
    <mergeCell ref="L23:M23"/>
    <mergeCell ref="P23:Q23"/>
    <mergeCell ref="T23:U23"/>
    <mergeCell ref="W23:X23"/>
    <mergeCell ref="AE23:AF23"/>
    <mergeCell ref="A24:B24"/>
    <mergeCell ref="D24:G24"/>
    <mergeCell ref="L24:M24"/>
    <mergeCell ref="P24:Q24"/>
    <mergeCell ref="T24:U24"/>
    <mergeCell ref="W24:X24"/>
    <mergeCell ref="AE24:AF24"/>
    <mergeCell ref="A25:B25"/>
    <mergeCell ref="D25:G25"/>
    <mergeCell ref="L25:M25"/>
    <mergeCell ref="P25:Q25"/>
    <mergeCell ref="T25:U25"/>
    <mergeCell ref="W25:X25"/>
    <mergeCell ref="AE25:AF25"/>
    <mergeCell ref="A26:B26"/>
    <mergeCell ref="D26:G26"/>
    <mergeCell ref="L26:M26"/>
    <mergeCell ref="P26:Q26"/>
    <mergeCell ref="T26:U26"/>
    <mergeCell ref="W26:X26"/>
    <mergeCell ref="AE26:AF26"/>
    <mergeCell ref="A27:B27"/>
    <mergeCell ref="D27:G27"/>
    <mergeCell ref="L27:M27"/>
    <mergeCell ref="P27:Q27"/>
    <mergeCell ref="T27:U27"/>
    <mergeCell ref="W27:X27"/>
    <mergeCell ref="AE27:AF27"/>
    <mergeCell ref="A28:B28"/>
    <mergeCell ref="D28:G28"/>
    <mergeCell ref="L28:M28"/>
    <mergeCell ref="P28:Q28"/>
    <mergeCell ref="T28:U28"/>
    <mergeCell ref="W28:X28"/>
    <mergeCell ref="AE28:AF28"/>
    <mergeCell ref="A29:B29"/>
    <mergeCell ref="D29:G29"/>
    <mergeCell ref="L29:M29"/>
    <mergeCell ref="P29:Q29"/>
    <mergeCell ref="T29:U29"/>
    <mergeCell ref="W29:X29"/>
    <mergeCell ref="AE29:AF29"/>
    <mergeCell ref="A30:B30"/>
    <mergeCell ref="D30:G30"/>
    <mergeCell ref="L30:M30"/>
    <mergeCell ref="P30:Q30"/>
    <mergeCell ref="T30:U30"/>
    <mergeCell ref="W30:X30"/>
    <mergeCell ref="AE30:AF30"/>
    <mergeCell ref="A31:B31"/>
    <mergeCell ref="D31:G31"/>
    <mergeCell ref="L31:M31"/>
    <mergeCell ref="P31:Q31"/>
    <mergeCell ref="T31:U31"/>
    <mergeCell ref="W31:X31"/>
    <mergeCell ref="AE31:AF31"/>
    <mergeCell ref="A32:B32"/>
    <mergeCell ref="D32:G32"/>
    <mergeCell ref="L32:M32"/>
    <mergeCell ref="P32:Q32"/>
    <mergeCell ref="T32:U32"/>
    <mergeCell ref="W32:X32"/>
    <mergeCell ref="AE32:AF32"/>
    <mergeCell ref="A33:B33"/>
    <mergeCell ref="D33:G33"/>
    <mergeCell ref="L33:M33"/>
    <mergeCell ref="P33:Q33"/>
    <mergeCell ref="T33:U33"/>
    <mergeCell ref="W33:X33"/>
    <mergeCell ref="AE33:AF33"/>
    <mergeCell ref="A34:B34"/>
    <mergeCell ref="D34:G34"/>
    <mergeCell ref="L34:M34"/>
    <mergeCell ref="P34:Q34"/>
    <mergeCell ref="T34:U34"/>
    <mergeCell ref="W34:X34"/>
    <mergeCell ref="AE34:AF34"/>
    <mergeCell ref="A35:B35"/>
    <mergeCell ref="D35:G35"/>
    <mergeCell ref="L35:M35"/>
    <mergeCell ref="P35:Q35"/>
    <mergeCell ref="T35:U35"/>
    <mergeCell ref="W35:X35"/>
    <mergeCell ref="AE35:AF35"/>
    <mergeCell ref="A36:B36"/>
    <mergeCell ref="D36:G36"/>
    <mergeCell ref="L36:M36"/>
    <mergeCell ref="P36:Q36"/>
    <mergeCell ref="T36:U36"/>
    <mergeCell ref="W36:X36"/>
    <mergeCell ref="AE36:AF36"/>
    <mergeCell ref="A37:B37"/>
    <mergeCell ref="D37:G37"/>
    <mergeCell ref="L37:M37"/>
    <mergeCell ref="P37:Q37"/>
    <mergeCell ref="T37:U37"/>
    <mergeCell ref="W37:X37"/>
    <mergeCell ref="AE37:AF37"/>
    <mergeCell ref="A40:B40"/>
    <mergeCell ref="D40:G40"/>
    <mergeCell ref="L40:M40"/>
    <mergeCell ref="P40:Q40"/>
    <mergeCell ref="T40:U40"/>
    <mergeCell ref="W40:X40"/>
    <mergeCell ref="AE40:AF40"/>
    <mergeCell ref="A38:B38"/>
    <mergeCell ref="D38:G38"/>
    <mergeCell ref="L38:M38"/>
    <mergeCell ref="P38:Q38"/>
    <mergeCell ref="T38:U38"/>
    <mergeCell ref="W38:X38"/>
    <mergeCell ref="AE38:AF38"/>
    <mergeCell ref="A39:B39"/>
    <mergeCell ref="D39:G39"/>
    <mergeCell ref="L39:M39"/>
    <mergeCell ref="P39:Q39"/>
    <mergeCell ref="T39:U39"/>
    <mergeCell ref="W39:X39"/>
    <mergeCell ref="AE39:AF39"/>
  </mergeCells>
  <pageMargins left="0.25" right="0.33333333333333298" top="0.33333333333333298" bottom="0.25" header="0" footer="0"/>
  <pageSetup paperSize="0" scale="0" fitToWidth="0" fitToHeight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89D63-B487-4E16-8383-059D187AE5CE}">
  <dimension ref="A1:I28"/>
  <sheetViews>
    <sheetView tabSelected="1" workbookViewId="0">
      <selection activeCell="B10" sqref="B10"/>
    </sheetView>
  </sheetViews>
  <sheetFormatPr defaultRowHeight="12.75" x14ac:dyDescent="0.2"/>
  <cols>
    <col min="1" max="1" width="30.7109375" bestFit="1" customWidth="1"/>
    <col min="2" max="2" width="16.42578125" customWidth="1"/>
    <col min="4" max="4" width="30.42578125" bestFit="1" customWidth="1"/>
    <col min="5" max="5" width="12.28515625" bestFit="1" customWidth="1"/>
    <col min="7" max="7" width="15.85546875" bestFit="1" customWidth="1"/>
    <col min="9" max="9" width="70.28515625" bestFit="1" customWidth="1"/>
  </cols>
  <sheetData>
    <row r="1" spans="1:9" ht="12.75" customHeight="1" x14ac:dyDescent="0.2">
      <c r="A1" s="13"/>
      <c r="B1" s="13"/>
      <c r="C1" s="13" t="s">
        <v>12</v>
      </c>
      <c r="D1" s="13" t="s">
        <v>16</v>
      </c>
      <c r="E1" s="13" t="s">
        <v>17</v>
      </c>
      <c r="F1" s="13" t="s">
        <v>25</v>
      </c>
      <c r="G1" s="13" t="s">
        <v>26</v>
      </c>
    </row>
    <row r="2" spans="1:9" ht="14.25" customHeight="1" x14ac:dyDescent="0.2">
      <c r="A2" s="13"/>
      <c r="B2" s="13"/>
      <c r="C2" s="13"/>
      <c r="D2" s="13"/>
      <c r="E2" s="13"/>
      <c r="F2" s="13"/>
      <c r="G2" s="13"/>
    </row>
    <row r="3" spans="1:9" ht="12.75" customHeight="1" x14ac:dyDescent="0.2">
      <c r="A3" s="12" t="s">
        <v>90</v>
      </c>
      <c r="B3" s="12">
        <v>12047257</v>
      </c>
      <c r="C3" s="2" t="s">
        <v>60</v>
      </c>
      <c r="D3" s="12" t="s">
        <v>38</v>
      </c>
      <c r="E3" s="2" t="s">
        <v>39</v>
      </c>
      <c r="F3" s="14">
        <v>30</v>
      </c>
      <c r="G3" s="2">
        <v>-30</v>
      </c>
      <c r="H3" s="19" t="s">
        <v>104</v>
      </c>
      <c r="I3" t="str">
        <f>CONCATENATE(H3," ",D3)</f>
        <v>BCBS 2025 OK HCSC Appt Renewal Fee</v>
      </c>
    </row>
    <row r="4" spans="1:9" ht="12.75" customHeight="1" x14ac:dyDescent="0.2">
      <c r="A4" s="12" t="s">
        <v>93</v>
      </c>
      <c r="B4" s="12">
        <v>9213293</v>
      </c>
      <c r="C4" s="2" t="s">
        <v>67</v>
      </c>
      <c r="D4" s="12" t="s">
        <v>38</v>
      </c>
      <c r="E4" s="2" t="s">
        <v>39</v>
      </c>
      <c r="F4" s="14">
        <v>30</v>
      </c>
      <c r="G4" s="2">
        <v>-30</v>
      </c>
      <c r="H4" s="19" t="s">
        <v>104</v>
      </c>
      <c r="I4" t="str">
        <f t="shared" ref="I4:I28" si="0">CONCATENATE(H4," ",D4)</f>
        <v>BCBS 2025 OK HCSC Appt Renewal Fee</v>
      </c>
    </row>
    <row r="5" spans="1:9" ht="12.75" customHeight="1" x14ac:dyDescent="0.2">
      <c r="A5" s="12" t="s">
        <v>93</v>
      </c>
      <c r="B5" s="12">
        <v>9213293</v>
      </c>
      <c r="C5" s="2" t="s">
        <v>67</v>
      </c>
      <c r="D5" s="12" t="s">
        <v>54</v>
      </c>
      <c r="E5" s="2" t="s">
        <v>39</v>
      </c>
      <c r="F5" s="14">
        <v>30</v>
      </c>
      <c r="G5" s="2">
        <v>-30</v>
      </c>
      <c r="H5" s="19" t="s">
        <v>104</v>
      </c>
      <c r="I5" t="str">
        <f t="shared" si="0"/>
        <v>BCBS 2025 OK HISC Appt Renewal fee</v>
      </c>
    </row>
    <row r="6" spans="1:9" s="18" customFormat="1" ht="12.75" customHeight="1" x14ac:dyDescent="0.2">
      <c r="A6" s="15" t="s">
        <v>102</v>
      </c>
      <c r="B6" s="15">
        <v>371819</v>
      </c>
      <c r="C6" s="16" t="s">
        <v>85</v>
      </c>
      <c r="D6" s="15" t="s">
        <v>38</v>
      </c>
      <c r="E6" s="16" t="s">
        <v>39</v>
      </c>
      <c r="F6" s="17">
        <v>30</v>
      </c>
      <c r="G6" s="16">
        <v>-30</v>
      </c>
      <c r="H6" s="19" t="s">
        <v>104</v>
      </c>
      <c r="I6" t="str">
        <f>CONCATENATE(H6," ",D6," ","For"," ",A6)</f>
        <v>BCBS 2025 OK HCSC Appt Renewal Fee For GIOVANNI ANTHONY FLAMMINIO</v>
      </c>
    </row>
    <row r="7" spans="1:9" ht="12.75" customHeight="1" x14ac:dyDescent="0.2">
      <c r="A7" s="12" t="s">
        <v>89</v>
      </c>
      <c r="B7" s="12">
        <v>8307933</v>
      </c>
      <c r="C7" s="2" t="s">
        <v>58</v>
      </c>
      <c r="D7" s="12" t="s">
        <v>38</v>
      </c>
      <c r="E7" s="2" t="s">
        <v>39</v>
      </c>
      <c r="F7" s="14">
        <v>30</v>
      </c>
      <c r="G7" s="2">
        <v>-30</v>
      </c>
      <c r="H7" s="19" t="s">
        <v>104</v>
      </c>
      <c r="I7" t="str">
        <f t="shared" si="0"/>
        <v>BCBS 2025 OK HCSC Appt Renewal Fee</v>
      </c>
    </row>
    <row r="8" spans="1:9" ht="12.75" customHeight="1" x14ac:dyDescent="0.2">
      <c r="A8" s="12" t="s">
        <v>89</v>
      </c>
      <c r="B8" s="12">
        <v>8307933</v>
      </c>
      <c r="C8" s="2" t="s">
        <v>58</v>
      </c>
      <c r="D8" s="12" t="s">
        <v>54</v>
      </c>
      <c r="E8" s="2" t="s">
        <v>39</v>
      </c>
      <c r="F8" s="14">
        <v>30</v>
      </c>
      <c r="G8" s="2">
        <v>-30</v>
      </c>
      <c r="H8" s="19" t="s">
        <v>104</v>
      </c>
      <c r="I8" t="str">
        <f t="shared" si="0"/>
        <v>BCBS 2025 OK HISC Appt Renewal fee</v>
      </c>
    </row>
    <row r="9" spans="1:9" ht="12.75" customHeight="1" x14ac:dyDescent="0.2">
      <c r="A9" s="12" t="s">
        <v>88</v>
      </c>
      <c r="B9" s="12">
        <v>15278437</v>
      </c>
      <c r="C9" s="2" t="s">
        <v>4</v>
      </c>
      <c r="D9" s="12" t="s">
        <v>38</v>
      </c>
      <c r="E9" s="2" t="s">
        <v>39</v>
      </c>
      <c r="F9" s="14">
        <v>30</v>
      </c>
      <c r="G9" s="2">
        <v>-30</v>
      </c>
      <c r="H9" s="19" t="s">
        <v>104</v>
      </c>
      <c r="I9" t="str">
        <f t="shared" si="0"/>
        <v>BCBS 2025 OK HCSC Appt Renewal Fee</v>
      </c>
    </row>
    <row r="10" spans="1:9" ht="12.75" customHeight="1" x14ac:dyDescent="0.2">
      <c r="A10" s="12" t="s">
        <v>88</v>
      </c>
      <c r="B10" s="12">
        <v>15278437</v>
      </c>
      <c r="C10" s="2" t="s">
        <v>4</v>
      </c>
      <c r="D10" s="12" t="s">
        <v>54</v>
      </c>
      <c r="E10" s="2" t="s">
        <v>39</v>
      </c>
      <c r="F10" s="14">
        <v>30</v>
      </c>
      <c r="G10" s="2">
        <v>-30</v>
      </c>
      <c r="H10" s="19" t="s">
        <v>104</v>
      </c>
      <c r="I10" t="str">
        <f t="shared" si="0"/>
        <v>BCBS 2025 OK HISC Appt Renewal fee</v>
      </c>
    </row>
    <row r="11" spans="1:9" ht="12.75" customHeight="1" x14ac:dyDescent="0.2">
      <c r="A11" s="12" t="s">
        <v>88</v>
      </c>
      <c r="B11" s="12">
        <v>15278437</v>
      </c>
      <c r="C11" s="2" t="s">
        <v>56</v>
      </c>
      <c r="D11" s="12" t="s">
        <v>38</v>
      </c>
      <c r="E11" s="2" t="s">
        <v>39</v>
      </c>
      <c r="F11" s="14">
        <v>30</v>
      </c>
      <c r="G11" s="2">
        <v>-30</v>
      </c>
      <c r="H11" s="19" t="s">
        <v>104</v>
      </c>
      <c r="I11" t="str">
        <f t="shared" si="0"/>
        <v>BCBS 2025 OK HCSC Appt Renewal Fee</v>
      </c>
    </row>
    <row r="12" spans="1:9" ht="12.75" customHeight="1" x14ac:dyDescent="0.2">
      <c r="A12" s="12" t="s">
        <v>88</v>
      </c>
      <c r="B12" s="12">
        <v>15278437</v>
      </c>
      <c r="C12" s="2" t="s">
        <v>56</v>
      </c>
      <c r="D12" s="12" t="s">
        <v>54</v>
      </c>
      <c r="E12" s="2" t="s">
        <v>39</v>
      </c>
      <c r="F12" s="14">
        <v>30</v>
      </c>
      <c r="G12" s="2">
        <v>-30</v>
      </c>
      <c r="H12" s="19" t="s">
        <v>104</v>
      </c>
      <c r="I12" t="str">
        <f t="shared" si="0"/>
        <v>BCBS 2025 OK HISC Appt Renewal fee</v>
      </c>
    </row>
    <row r="13" spans="1:9" ht="12.75" customHeight="1" x14ac:dyDescent="0.2">
      <c r="A13" s="12" t="s">
        <v>94</v>
      </c>
      <c r="B13" s="12">
        <v>6634327</v>
      </c>
      <c r="C13" s="2" t="s">
        <v>69</v>
      </c>
      <c r="D13" s="12" t="s">
        <v>38</v>
      </c>
      <c r="E13" s="2" t="s">
        <v>39</v>
      </c>
      <c r="F13" s="14">
        <v>30</v>
      </c>
      <c r="G13" s="2">
        <v>-30</v>
      </c>
      <c r="H13" s="19" t="s">
        <v>104</v>
      </c>
      <c r="I13" t="str">
        <f t="shared" si="0"/>
        <v>BCBS 2025 OK HCSC Appt Renewal Fee</v>
      </c>
    </row>
    <row r="14" spans="1:9" ht="12.75" customHeight="1" x14ac:dyDescent="0.2">
      <c r="A14" s="12" t="s">
        <v>95</v>
      </c>
      <c r="B14" s="12">
        <v>16683808</v>
      </c>
      <c r="C14" s="2" t="s">
        <v>71</v>
      </c>
      <c r="D14" s="12" t="s">
        <v>38</v>
      </c>
      <c r="E14" s="2" t="s">
        <v>39</v>
      </c>
      <c r="F14" s="14">
        <v>30</v>
      </c>
      <c r="G14" s="2">
        <v>-30</v>
      </c>
      <c r="H14" s="19" t="s">
        <v>104</v>
      </c>
      <c r="I14" t="str">
        <f t="shared" si="0"/>
        <v>BCBS 2025 OK HCSC Appt Renewal Fee</v>
      </c>
    </row>
    <row r="15" spans="1:9" ht="12.75" customHeight="1" x14ac:dyDescent="0.2">
      <c r="A15" s="12" t="s">
        <v>95</v>
      </c>
      <c r="B15" s="12">
        <v>16683808</v>
      </c>
      <c r="C15" s="2" t="s">
        <v>71</v>
      </c>
      <c r="D15" s="12" t="s">
        <v>54</v>
      </c>
      <c r="E15" s="2" t="s">
        <v>39</v>
      </c>
      <c r="F15" s="14">
        <v>30</v>
      </c>
      <c r="G15" s="2">
        <v>-30</v>
      </c>
      <c r="H15" s="19" t="s">
        <v>104</v>
      </c>
      <c r="I15" t="str">
        <f t="shared" si="0"/>
        <v>BCBS 2025 OK HISC Appt Renewal fee</v>
      </c>
    </row>
    <row r="16" spans="1:9" s="18" customFormat="1" ht="12.75" customHeight="1" x14ac:dyDescent="0.2">
      <c r="A16" s="15" t="s">
        <v>100</v>
      </c>
      <c r="B16" s="15">
        <v>21421111</v>
      </c>
      <c r="C16" s="16" t="s">
        <v>81</v>
      </c>
      <c r="D16" s="15" t="s">
        <v>38</v>
      </c>
      <c r="E16" s="16" t="s">
        <v>39</v>
      </c>
      <c r="F16" s="17">
        <v>30</v>
      </c>
      <c r="G16" s="16">
        <v>-30</v>
      </c>
      <c r="H16" s="19" t="s">
        <v>104</v>
      </c>
      <c r="I16" t="str">
        <f>CONCATENATE(H16," ",D16," ","For"," ",A16)</f>
        <v>BCBS 2025 OK HCSC Appt Renewal Fee For JOSEPH EDWARD SEXTON</v>
      </c>
    </row>
    <row r="17" spans="1:9" ht="12.75" customHeight="1" x14ac:dyDescent="0.2">
      <c r="A17" s="12" t="s">
        <v>98</v>
      </c>
      <c r="B17" s="12">
        <v>21421111</v>
      </c>
      <c r="C17" s="2" t="s">
        <v>77</v>
      </c>
      <c r="D17" s="12" t="s">
        <v>38</v>
      </c>
      <c r="E17" s="2" t="s">
        <v>39</v>
      </c>
      <c r="F17" s="14">
        <v>30</v>
      </c>
      <c r="G17" s="2">
        <v>-30</v>
      </c>
      <c r="H17" s="19" t="s">
        <v>104</v>
      </c>
      <c r="I17" t="str">
        <f t="shared" si="0"/>
        <v>BCBS 2025 OK HCSC Appt Renewal Fee</v>
      </c>
    </row>
    <row r="18" spans="1:9" ht="12.75" customHeight="1" x14ac:dyDescent="0.2">
      <c r="A18" s="12" t="s">
        <v>103</v>
      </c>
      <c r="B18" s="12">
        <v>17859093</v>
      </c>
      <c r="C18" s="2" t="s">
        <v>87</v>
      </c>
      <c r="D18" s="12" t="s">
        <v>38</v>
      </c>
      <c r="E18" s="2" t="s">
        <v>39</v>
      </c>
      <c r="F18" s="14">
        <v>30</v>
      </c>
      <c r="G18" s="2">
        <v>-30</v>
      </c>
      <c r="H18" s="19" t="s">
        <v>104</v>
      </c>
      <c r="I18" t="str">
        <f t="shared" si="0"/>
        <v>BCBS 2025 OK HCSC Appt Renewal Fee</v>
      </c>
    </row>
    <row r="19" spans="1:9" ht="12.75" customHeight="1" x14ac:dyDescent="0.2">
      <c r="A19" s="12" t="s">
        <v>92</v>
      </c>
      <c r="B19" s="12">
        <v>1706194</v>
      </c>
      <c r="C19" s="2" t="s">
        <v>65</v>
      </c>
      <c r="D19" s="12" t="s">
        <v>38</v>
      </c>
      <c r="E19" s="2" t="s">
        <v>39</v>
      </c>
      <c r="F19" s="14">
        <v>30</v>
      </c>
      <c r="G19" s="2">
        <v>-30</v>
      </c>
      <c r="H19" s="19" t="s">
        <v>104</v>
      </c>
      <c r="I19" t="str">
        <f t="shared" si="0"/>
        <v>BCBS 2025 OK HCSC Appt Renewal Fee</v>
      </c>
    </row>
    <row r="20" spans="1:9" ht="12.75" customHeight="1" x14ac:dyDescent="0.2">
      <c r="A20" s="12" t="s">
        <v>97</v>
      </c>
      <c r="B20" s="12">
        <v>21345012</v>
      </c>
      <c r="C20" s="2" t="s">
        <v>75</v>
      </c>
      <c r="D20" s="12" t="s">
        <v>38</v>
      </c>
      <c r="E20" s="2" t="s">
        <v>39</v>
      </c>
      <c r="F20" s="14">
        <v>30</v>
      </c>
      <c r="G20" s="2">
        <v>-30</v>
      </c>
      <c r="H20" s="19" t="s">
        <v>104</v>
      </c>
      <c r="I20" t="str">
        <f t="shared" si="0"/>
        <v>BCBS 2025 OK HCSC Appt Renewal Fee</v>
      </c>
    </row>
    <row r="21" spans="1:9" ht="12.75" customHeight="1" x14ac:dyDescent="0.2">
      <c r="A21" s="12" t="s">
        <v>97</v>
      </c>
      <c r="B21" s="12">
        <v>21345012</v>
      </c>
      <c r="C21" s="2" t="s">
        <v>75</v>
      </c>
      <c r="D21" s="12" t="s">
        <v>54</v>
      </c>
      <c r="E21" s="2" t="s">
        <v>39</v>
      </c>
      <c r="F21" s="14">
        <v>30</v>
      </c>
      <c r="G21" s="2">
        <v>-30</v>
      </c>
      <c r="H21" s="19" t="s">
        <v>104</v>
      </c>
      <c r="I21" t="str">
        <f t="shared" si="0"/>
        <v>BCBS 2025 OK HISC Appt Renewal fee</v>
      </c>
    </row>
    <row r="22" spans="1:9" s="18" customFormat="1" ht="12.75" customHeight="1" x14ac:dyDescent="0.2">
      <c r="A22" s="15" t="s">
        <v>91</v>
      </c>
      <c r="B22" s="15">
        <v>12047257</v>
      </c>
      <c r="C22" s="16" t="s">
        <v>63</v>
      </c>
      <c r="D22" s="15" t="s">
        <v>38</v>
      </c>
      <c r="E22" s="16" t="s">
        <v>39</v>
      </c>
      <c r="F22" s="17">
        <v>30</v>
      </c>
      <c r="G22" s="16">
        <v>-30</v>
      </c>
      <c r="H22" s="19" t="s">
        <v>104</v>
      </c>
      <c r="I22" t="str">
        <f t="shared" ref="I22:I23" si="1">CONCATENATE(H22," ",D22," ","For"," ",A22)</f>
        <v>BCBS 2025 OK HCSC Appt Renewal Fee For MICHELA ROZMAN</v>
      </c>
    </row>
    <row r="23" spans="1:9" s="18" customFormat="1" ht="12.75" customHeight="1" x14ac:dyDescent="0.2">
      <c r="A23" s="15" t="s">
        <v>91</v>
      </c>
      <c r="B23" s="15">
        <v>12047257</v>
      </c>
      <c r="C23" s="16" t="s">
        <v>63</v>
      </c>
      <c r="D23" s="15" t="s">
        <v>54</v>
      </c>
      <c r="E23" s="16" t="s">
        <v>39</v>
      </c>
      <c r="F23" s="17">
        <v>30</v>
      </c>
      <c r="G23" s="16">
        <v>-30</v>
      </c>
      <c r="H23" s="19" t="s">
        <v>104</v>
      </c>
      <c r="I23" t="str">
        <f t="shared" si="1"/>
        <v>BCBS 2025 OK HISC Appt Renewal fee For MICHELA ROZMAN</v>
      </c>
    </row>
    <row r="24" spans="1:9" ht="12.75" customHeight="1" x14ac:dyDescent="0.2">
      <c r="A24" s="12" t="s">
        <v>101</v>
      </c>
      <c r="B24" s="12">
        <v>18710070</v>
      </c>
      <c r="C24" s="2" t="s">
        <v>83</v>
      </c>
      <c r="D24" s="12" t="s">
        <v>38</v>
      </c>
      <c r="E24" s="2" t="s">
        <v>39</v>
      </c>
      <c r="F24" s="14">
        <v>30</v>
      </c>
      <c r="G24" s="2">
        <v>-30</v>
      </c>
      <c r="H24" s="19" t="s">
        <v>104</v>
      </c>
      <c r="I24" t="str">
        <f t="shared" si="0"/>
        <v>BCBS 2025 OK HCSC Appt Renewal Fee</v>
      </c>
    </row>
    <row r="25" spans="1:9" ht="12.75" customHeight="1" x14ac:dyDescent="0.2">
      <c r="A25" s="12" t="s">
        <v>96</v>
      </c>
      <c r="B25" s="12">
        <v>17126004</v>
      </c>
      <c r="C25" s="2" t="s">
        <v>73</v>
      </c>
      <c r="D25" s="12" t="s">
        <v>38</v>
      </c>
      <c r="E25" s="2" t="s">
        <v>39</v>
      </c>
      <c r="F25" s="14">
        <v>30</v>
      </c>
      <c r="G25" s="2">
        <v>-30</v>
      </c>
      <c r="H25" s="19" t="s">
        <v>104</v>
      </c>
      <c r="I25" t="str">
        <f t="shared" si="0"/>
        <v>BCBS 2025 OK HCSC Appt Renewal Fee</v>
      </c>
    </row>
    <row r="26" spans="1:9" ht="12.75" customHeight="1" x14ac:dyDescent="0.2">
      <c r="A26" s="12" t="s">
        <v>96</v>
      </c>
      <c r="B26" s="12">
        <v>17126004</v>
      </c>
      <c r="C26" s="2" t="s">
        <v>73</v>
      </c>
      <c r="D26" s="12" t="s">
        <v>54</v>
      </c>
      <c r="E26" s="2" t="s">
        <v>39</v>
      </c>
      <c r="F26" s="14">
        <v>30</v>
      </c>
      <c r="G26" s="2">
        <v>-30</v>
      </c>
      <c r="H26" s="19" t="s">
        <v>104</v>
      </c>
      <c r="I26" t="str">
        <f t="shared" si="0"/>
        <v>BCBS 2025 OK HISC Appt Renewal fee</v>
      </c>
    </row>
    <row r="27" spans="1:9" ht="12.75" customHeight="1" x14ac:dyDescent="0.2">
      <c r="A27" s="12" t="s">
        <v>99</v>
      </c>
      <c r="B27" s="12">
        <v>17886092</v>
      </c>
      <c r="C27" s="2" t="s">
        <v>79</v>
      </c>
      <c r="D27" s="12" t="s">
        <v>38</v>
      </c>
      <c r="E27" s="2" t="s">
        <v>39</v>
      </c>
      <c r="F27" s="14">
        <v>30</v>
      </c>
      <c r="G27" s="2">
        <v>-30</v>
      </c>
      <c r="H27" s="19" t="s">
        <v>104</v>
      </c>
      <c r="I27" t="str">
        <f t="shared" si="0"/>
        <v>BCBS 2025 OK HCSC Appt Renewal Fee</v>
      </c>
    </row>
    <row r="28" spans="1:9" ht="12.75" customHeight="1" x14ac:dyDescent="0.2">
      <c r="A28" s="12" t="s">
        <v>99</v>
      </c>
      <c r="B28" s="12">
        <v>17886092</v>
      </c>
      <c r="C28" s="2" t="s">
        <v>79</v>
      </c>
      <c r="D28" s="12" t="s">
        <v>54</v>
      </c>
      <c r="E28" s="2" t="s">
        <v>39</v>
      </c>
      <c r="F28" s="14">
        <v>30</v>
      </c>
      <c r="G28" s="2">
        <v>-30</v>
      </c>
      <c r="H28" s="19" t="s">
        <v>104</v>
      </c>
      <c r="I28" t="str">
        <f t="shared" si="0"/>
        <v>BCBS 2025 OK HISC Appt Renewal fee</v>
      </c>
    </row>
  </sheetData>
  <sortState xmlns:xlrd2="http://schemas.microsoft.com/office/spreadsheetml/2017/richdata2" ref="A3:AH28">
    <sortCondition ref="A3:A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Loula Irene Cabel</cp:lastModifiedBy>
  <dcterms:created xsi:type="dcterms:W3CDTF">2026-01-28T16:06:47Z</dcterms:created>
  <dcterms:modified xsi:type="dcterms:W3CDTF">2026-01-30T20:02:18Z</dcterms:modified>
</cp:coreProperties>
</file>