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2025\May\"/>
    </mc:Choice>
  </mc:AlternateContent>
  <xr:revisionPtr revIDLastSave="0" documentId="13_ncr:1_{546D7ACA-ADD2-4509-A3CF-5CB265D10F0F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J5" i="2" l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4" i="2"/>
</calcChain>
</file>

<file path=xl/sharedStrings.xml><?xml version="1.0" encoding="utf-8"?>
<sst xmlns="http://schemas.openxmlformats.org/spreadsheetml/2006/main" count="511" uniqueCount="132">
  <si>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</si>
  <si>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</si>
  <si>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</si>
  <si>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</si>
  <si>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</si>
  <si>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107864406</t>
  </si>
  <si>
    <t>State:</t>
  </si>
  <si>
    <t>OK</t>
  </si>
  <si>
    <r>
      <t>Producer Commission Data - Individual</t>
    </r>
    <r>
      <rPr>
        <sz val="18"/>
        <color rgb="FFFFFFFF"/>
        <rFont val="Arial"/>
        <family val="2"/>
      </rPr>
      <t xml:space="preserve">
For Period: May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</si>
  <si>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</si>
  <si>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</si>
  <si>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</si>
  <si>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</si>
  <si>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</si>
  <si>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</si>
  <si>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</si>
  <si>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</si>
  <si>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</si>
  <si>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</si>
  <si>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</si>
  <si>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</si>
  <si>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</si>
  <si>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</si>
  <si>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</si>
  <si>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</si>
  <si>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</si>
  <si>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</si>
  <si>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</si>
  <si>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</si>
  <si>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</si>
  <si>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</si>
  <si>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</si>
  <si>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</si>
  <si>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</si>
  <si>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107866949-SU-GREGORY K TEIPEL</t>
  </si>
  <si>
    <t>H</t>
  </si>
  <si>
    <t>OB1803</t>
  </si>
  <si>
    <t>2</t>
  </si>
  <si>
    <t>000927812760</t>
  </si>
  <si>
    <t>MCCREA, KARIN</t>
  </si>
  <si>
    <t>P</t>
  </si>
  <si>
    <t>000,000.00</t>
  </si>
  <si>
    <t>20250701</t>
  </si>
  <si>
    <t>20180501</t>
  </si>
  <si>
    <t>086</t>
  </si>
  <si>
    <t>BLUEADVANTAGE^</t>
  </si>
  <si>
    <t>N</t>
  </si>
  <si>
    <t>$01.00</t>
  </si>
  <si>
    <t>020.00</t>
  </si>
  <si>
    <t>000,040.00</t>
  </si>
  <si>
    <t>0.0000</t>
  </si>
  <si>
    <t>107866949</t>
  </si>
  <si>
    <t>% Premium Flat</t>
  </si>
  <si>
    <t>D</t>
  </si>
  <si>
    <t>DO2532</t>
  </si>
  <si>
    <t>000,072.00</t>
  </si>
  <si>
    <t>20250101</t>
  </si>
  <si>
    <t>113</t>
  </si>
  <si>
    <t>DENPPO^</t>
  </si>
  <si>
    <t>100.00</t>
  </si>
  <si>
    <t>0.0400</t>
  </si>
  <si>
    <t>000,002.88</t>
  </si>
  <si>
    <t>IG1201</t>
  </si>
  <si>
    <t>000947060270</t>
  </si>
  <si>
    <t>JEFFERSON, ROBERT</t>
  </si>
  <si>
    <t>20210101</t>
  </si>
  <si>
    <t>054</t>
  </si>
  <si>
    <t>OB1404</t>
  </si>
  <si>
    <t>1</t>
  </si>
  <si>
    <t>000947067612</t>
  </si>
  <si>
    <t>FARROW, KENNETH</t>
  </si>
  <si>
    <t>000,020.00</t>
  </si>
  <si>
    <t>OS1402</t>
  </si>
  <si>
    <t>000947109063</t>
  </si>
  <si>
    <t>CROW, JULIE</t>
  </si>
  <si>
    <t>20220501</t>
  </si>
  <si>
    <t>038</t>
  </si>
  <si>
    <t>OS1407</t>
  </si>
  <si>
    <t>000947121772</t>
  </si>
  <si>
    <t>WICKWARE, LATINA</t>
  </si>
  <si>
    <t>20250601</t>
  </si>
  <si>
    <t>20230101</t>
  </si>
  <si>
    <t>029</t>
  </si>
  <si>
    <t>MYBLUEHEALTH^</t>
  </si>
  <si>
    <t>000947137197</t>
  </si>
  <si>
    <t>DURAN, RAFAEL</t>
  </si>
  <si>
    <t>20250301</t>
  </si>
  <si>
    <t>004</t>
  </si>
  <si>
    <t>000947183187</t>
  </si>
  <si>
    <t>MOORE, JERRY</t>
  </si>
  <si>
    <t>20240101</t>
  </si>
  <si>
    <t>018</t>
  </si>
  <si>
    <t>107888446-SU-MATTHEW DAUGHERTY</t>
  </si>
  <si>
    <t>000947131305</t>
  </si>
  <si>
    <t>TEMPLETON, TODD</t>
  </si>
  <si>
    <t>20230201</t>
  </si>
  <si>
    <t>107888446</t>
  </si>
  <si>
    <t>000947191210</t>
  </si>
  <si>
    <t>TAYLOR, CHARLOTTE</t>
  </si>
  <si>
    <t>20240201</t>
  </si>
  <si>
    <t>017</t>
  </si>
  <si>
    <t>107960289-SU-MATTHEW JAMES POWERS</t>
  </si>
  <si>
    <t>OG1404</t>
  </si>
  <si>
    <t>1-</t>
  </si>
  <si>
    <t>000947135619</t>
  </si>
  <si>
    <t>ISBELL, KANDICE</t>
  </si>
  <si>
    <t>20230301</t>
  </si>
  <si>
    <t>027</t>
  </si>
  <si>
    <t>000,020.00-</t>
  </si>
  <si>
    <t>107960289</t>
  </si>
  <si>
    <t>OG1900</t>
  </si>
  <si>
    <t>000947137780</t>
  </si>
  <si>
    <t>ISBELL, GARY</t>
  </si>
  <si>
    <t>028</t>
  </si>
  <si>
    <t>000947242449</t>
  </si>
  <si>
    <t>ISBELL, JULIE</t>
  </si>
  <si>
    <t>20250201</t>
  </si>
  <si>
    <t>005</t>
  </si>
  <si>
    <t>OB1500</t>
  </si>
  <si>
    <t>000947245334</t>
  </si>
  <si>
    <t>NUNN, CONNER</t>
  </si>
  <si>
    <t>20250401</t>
  </si>
  <si>
    <t>003</t>
  </si>
  <si>
    <t>000947248125</t>
  </si>
  <si>
    <t>CLINE, TODD</t>
  </si>
  <si>
    <t>001</t>
  </si>
  <si>
    <t>[PMPM=2]</t>
  </si>
  <si>
    <t>BCBS of OK Dental Products</t>
  </si>
  <si>
    <t>BCBS of OK 2025 Standard</t>
  </si>
  <si>
    <t>GREGORY K TEIPEL</t>
  </si>
  <si>
    <t>MATTHEW DAUGHERTY</t>
  </si>
  <si>
    <t>MATTHEW JAMES POWERS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</si>
</sst>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6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36"/>
  <sheetViews>
    <sheetView showGridLines="0" workbookViewId="0">
      <selection sqref="A1:XFD1048576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9" t="s">
        <v>0</v>
      </c>
      <c r="S3" s="9"/>
      <c r="T3" s="9"/>
    </row>
    <row r="4" spans="1:33" ht="6.75" customHeight="1" x14ac:dyDescent="0.2">
      <c r="A4" s="10" t="s">
        <v>1</v>
      </c>
      <c r="C4" s="11" t="s">
        <v>2</v>
      </c>
      <c r="D4" s="11"/>
      <c r="E4" s="11"/>
      <c r="F4" s="11"/>
      <c r="G4" s="11"/>
      <c r="H4" s="11"/>
      <c r="R4" s="9"/>
      <c r="S4" s="9"/>
      <c r="T4" s="9"/>
    </row>
    <row r="5" spans="1:33" ht="6.75" customHeight="1" x14ac:dyDescent="0.2">
      <c r="A5" s="10"/>
      <c r="C5" s="11"/>
      <c r="D5" s="11"/>
      <c r="E5" s="11"/>
      <c r="F5" s="11"/>
      <c r="G5" s="11"/>
      <c r="H5" s="11"/>
      <c r="R5" s="9"/>
      <c r="S5" s="9"/>
      <c r="T5" s="9"/>
    </row>
    <row r="6" spans="1:33" ht="33.75" customHeight="1" x14ac:dyDescent="0.2">
      <c r="Q6" s="12" t="s">
        <v>3</v>
      </c>
      <c r="R6" s="12"/>
      <c r="S6" s="12"/>
      <c r="T6" s="12"/>
    </row>
    <row r="7" spans="1:33" ht="7.5" customHeight="1" x14ac:dyDescent="0.2">
      <c r="A7" s="10" t="s">
        <v>4</v>
      </c>
      <c r="C7" s="11" t="s">
        <v>5</v>
      </c>
      <c r="D7" s="11"/>
      <c r="E7" s="11"/>
      <c r="F7" s="11"/>
      <c r="G7" s="11"/>
    </row>
    <row r="8" spans="1:33" ht="6" customHeight="1" x14ac:dyDescent="0.2">
      <c r="A8" s="10"/>
      <c r="C8" s="11"/>
      <c r="D8" s="11"/>
      <c r="E8" s="11"/>
      <c r="F8" s="11"/>
      <c r="G8" s="11"/>
    </row>
    <row r="9" spans="1:33" ht="13.5" customHeight="1" x14ac:dyDescent="0.2">
      <c r="A9" s="1" t="s">
        <v>6</v>
      </c>
      <c r="C9" s="11" t="s">
        <v>7</v>
      </c>
      <c r="D9" s="11"/>
    </row>
    <row r="10" spans="1:33" ht="12" customHeight="1" x14ac:dyDescent="0.2"/>
    <row r="11" spans="1:33" ht="25.5" customHeight="1" x14ac:dyDescent="0.2">
      <c r="A11" s="13" t="s"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spans="1:33" ht="28.5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ht="12.75" customHeight="1" x14ac:dyDescent="0.2">
      <c r="A13" s="8" t="s">
        <v>9</v>
      </c>
      <c r="B13" s="8" t="s">
        <v>10</v>
      </c>
      <c r="C13" s="8"/>
      <c r="D13" s="8" t="s">
        <v>11</v>
      </c>
      <c r="E13" s="8"/>
      <c r="F13" s="8" t="s">
        <v>12</v>
      </c>
      <c r="G13" s="8"/>
      <c r="H13" s="8"/>
      <c r="I13" s="8"/>
      <c r="J13" s="8" t="s">
        <v>13</v>
      </c>
      <c r="K13" s="8" t="s">
        <v>14</v>
      </c>
      <c r="L13" s="8" t="s">
        <v>15</v>
      </c>
      <c r="N13" s="8" t="s">
        <v>16</v>
      </c>
      <c r="O13" s="8"/>
      <c r="P13" s="8" t="s">
        <v>17</v>
      </c>
      <c r="Q13" s="8"/>
      <c r="R13" s="8"/>
      <c r="S13" s="8" t="s">
        <v>18</v>
      </c>
      <c r="T13" s="8" t="s">
        <v>19</v>
      </c>
      <c r="U13" s="8"/>
      <c r="V13" s="8" t="s">
        <v>20</v>
      </c>
      <c r="W13" s="8" t="s">
        <v>21</v>
      </c>
      <c r="X13" s="8" t="s">
        <v>22</v>
      </c>
      <c r="Y13" s="8" t="s">
        <v>23</v>
      </c>
      <c r="Z13" s="8"/>
      <c r="AA13" s="8" t="s">
        <v>24</v>
      </c>
      <c r="AB13" s="8" t="s">
        <v>25</v>
      </c>
      <c r="AC13" s="8" t="s">
        <v>26</v>
      </c>
      <c r="AD13" s="8" t="s">
        <v>27</v>
      </c>
      <c r="AE13" s="8" t="s">
        <v>28</v>
      </c>
      <c r="AF13" s="8" t="s">
        <v>29</v>
      </c>
      <c r="AG13" s="8" t="s">
        <v>30</v>
      </c>
    </row>
    <row r="14" spans="1:33" ht="14.2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0.75" customHeight="1" x14ac:dyDescent="0.2">
      <c r="L15" s="8"/>
      <c r="N15" s="8"/>
      <c r="O15" s="8"/>
    </row>
    <row r="16" spans="1:33" ht="12.75" customHeight="1" x14ac:dyDescent="0.2">
      <c r="A16" s="2" t="s">
        <v>31</v>
      </c>
      <c r="B16" s="5" t="s">
        <v>32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36</v>
      </c>
      <c r="L16" s="4" t="s">
        <v>37</v>
      </c>
      <c r="N16" s="7" t="s">
        <v>38</v>
      </c>
      <c r="O16" s="7"/>
      <c r="P16" s="7" t="s">
        <v>39</v>
      </c>
      <c r="Q16" s="7"/>
      <c r="R16" s="7"/>
      <c r="S16" s="3" t="s">
        <v>40</v>
      </c>
      <c r="T16" s="7" t="s">
        <v>41</v>
      </c>
      <c r="U16" s="7"/>
      <c r="V16" s="4" t="s">
        <v>42</v>
      </c>
      <c r="W16" s="4" t="s">
        <v>43</v>
      </c>
      <c r="X16" s="4" t="s">
        <v>44</v>
      </c>
      <c r="Y16" s="7" t="s">
        <v>45</v>
      </c>
      <c r="Z16" s="7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5" t="s">
        <v>52</v>
      </c>
      <c r="C18" s="5"/>
      <c r="D18" s="5"/>
      <c r="E18" s="6" t="s">
        <v>33</v>
      </c>
      <c r="F18" s="6"/>
      <c r="G18" s="7" t="s">
        <v>34</v>
      </c>
      <c r="H18" s="7"/>
      <c r="I18" s="7"/>
      <c r="J18" s="3" t="s">
        <v>53</v>
      </c>
      <c r="K18" s="4" t="s">
        <v>54</v>
      </c>
      <c r="N18" s="7" t="s">
        <v>38</v>
      </c>
      <c r="O18" s="7"/>
      <c r="P18" s="7" t="s">
        <v>39</v>
      </c>
      <c r="Q18" s="7"/>
      <c r="R18" s="7"/>
      <c r="S18" s="3" t="s">
        <v>40</v>
      </c>
      <c r="T18" s="7" t="s">
        <v>55</v>
      </c>
      <c r="U18" s="7"/>
      <c r="V18" s="4" t="s">
        <v>42</v>
      </c>
      <c r="W18" s="4" t="s">
        <v>56</v>
      </c>
      <c r="X18" s="4" t="s">
        <v>57</v>
      </c>
      <c r="Y18" s="7" t="s">
        <v>58</v>
      </c>
      <c r="Z18" s="7"/>
      <c r="AA18" s="4" t="s">
        <v>46</v>
      </c>
      <c r="AB18" s="4" t="s">
        <v>59</v>
      </c>
      <c r="AC18" s="4" t="s">
        <v>60</v>
      </c>
      <c r="AD18" s="4" t="s">
        <v>61</v>
      </c>
      <c r="AE18" s="4" t="s">
        <v>50</v>
      </c>
      <c r="AF18" s="4" t="s">
        <v>41</v>
      </c>
      <c r="AG18" s="4" t="s">
        <v>51</v>
      </c>
    </row>
    <row r="19" spans="1:33" ht="16.5" customHeight="1" x14ac:dyDescent="0.2">
      <c r="A19" s="2" t="s">
        <v>31</v>
      </c>
      <c r="B19" s="5" t="s">
        <v>32</v>
      </c>
      <c r="C19" s="5"/>
      <c r="D19" s="5"/>
      <c r="E19" s="6" t="s">
        <v>33</v>
      </c>
      <c r="F19" s="6"/>
      <c r="G19" s="7" t="s">
        <v>34</v>
      </c>
      <c r="H19" s="7"/>
      <c r="I19" s="7"/>
      <c r="J19" s="3" t="s">
        <v>35</v>
      </c>
      <c r="K19" s="4" t="s">
        <v>62</v>
      </c>
      <c r="L19" s="4" t="s">
        <v>37</v>
      </c>
      <c r="N19" s="7" t="s">
        <v>63</v>
      </c>
      <c r="O19" s="7"/>
      <c r="P19" s="7" t="s">
        <v>64</v>
      </c>
      <c r="Q19" s="7"/>
      <c r="R19" s="7"/>
      <c r="S19" s="3" t="s">
        <v>40</v>
      </c>
      <c r="T19" s="7" t="s">
        <v>41</v>
      </c>
      <c r="U19" s="7"/>
      <c r="V19" s="4" t="s">
        <v>42</v>
      </c>
      <c r="W19" s="4" t="s">
        <v>65</v>
      </c>
      <c r="X19" s="4" t="s">
        <v>66</v>
      </c>
      <c r="Y19" s="7" t="s">
        <v>45</v>
      </c>
      <c r="Z19" s="7"/>
      <c r="AA19" s="4" t="s">
        <v>46</v>
      </c>
      <c r="AB19" s="4" t="s">
        <v>47</v>
      </c>
      <c r="AC19" s="4" t="s">
        <v>48</v>
      </c>
      <c r="AD19" s="4" t="s">
        <v>49</v>
      </c>
      <c r="AE19" s="4" t="s">
        <v>50</v>
      </c>
      <c r="AF19" s="4" t="s">
        <v>41</v>
      </c>
      <c r="AG19" s="4" t="s">
        <v>51</v>
      </c>
    </row>
    <row r="20" spans="1:33" ht="16.5" customHeight="1" x14ac:dyDescent="0.2">
      <c r="A20" s="2" t="s">
        <v>31</v>
      </c>
      <c r="B20" s="5" t="s">
        <v>32</v>
      </c>
      <c r="C20" s="5"/>
      <c r="D20" s="5"/>
      <c r="E20" s="6" t="s">
        <v>33</v>
      </c>
      <c r="F20" s="6"/>
      <c r="G20" s="7" t="s">
        <v>34</v>
      </c>
      <c r="H20" s="7"/>
      <c r="I20" s="7"/>
      <c r="J20" s="3" t="s">
        <v>35</v>
      </c>
      <c r="K20" s="4" t="s">
        <v>67</v>
      </c>
      <c r="L20" s="4" t="s">
        <v>68</v>
      </c>
      <c r="N20" s="7" t="s">
        <v>69</v>
      </c>
      <c r="O20" s="7"/>
      <c r="P20" s="7" t="s">
        <v>70</v>
      </c>
      <c r="Q20" s="7"/>
      <c r="R20" s="7"/>
      <c r="S20" s="3" t="s">
        <v>40</v>
      </c>
      <c r="T20" s="7" t="s">
        <v>41</v>
      </c>
      <c r="U20" s="7"/>
      <c r="V20" s="4" t="s">
        <v>42</v>
      </c>
      <c r="W20" s="4" t="s">
        <v>65</v>
      </c>
      <c r="X20" s="4" t="s">
        <v>66</v>
      </c>
      <c r="Y20" s="7" t="s">
        <v>45</v>
      </c>
      <c r="Z20" s="7"/>
      <c r="AA20" s="4" t="s">
        <v>46</v>
      </c>
      <c r="AB20" s="4" t="s">
        <v>47</v>
      </c>
      <c r="AC20" s="4" t="s">
        <v>48</v>
      </c>
      <c r="AD20" s="4" t="s">
        <v>71</v>
      </c>
      <c r="AE20" s="4" t="s">
        <v>50</v>
      </c>
      <c r="AF20" s="4" t="s">
        <v>41</v>
      </c>
      <c r="AG20" s="4" t="s">
        <v>51</v>
      </c>
    </row>
    <row r="21" spans="1:33" ht="16.5" customHeight="1" x14ac:dyDescent="0.2">
      <c r="A21" s="2" t="s">
        <v>31</v>
      </c>
      <c r="B21" s="5" t="s">
        <v>32</v>
      </c>
      <c r="C21" s="5"/>
      <c r="D21" s="5"/>
      <c r="E21" s="6" t="s">
        <v>33</v>
      </c>
      <c r="F21" s="6"/>
      <c r="G21" s="7" t="s">
        <v>34</v>
      </c>
      <c r="H21" s="7"/>
      <c r="I21" s="7"/>
      <c r="J21" s="3" t="s">
        <v>35</v>
      </c>
      <c r="K21" s="4" t="s">
        <v>72</v>
      </c>
      <c r="L21" s="4" t="s">
        <v>68</v>
      </c>
      <c r="N21" s="7" t="s">
        <v>73</v>
      </c>
      <c r="O21" s="7"/>
      <c r="P21" s="7" t="s">
        <v>74</v>
      </c>
      <c r="Q21" s="7"/>
      <c r="R21" s="7"/>
      <c r="S21" s="3" t="s">
        <v>40</v>
      </c>
      <c r="T21" s="7" t="s">
        <v>41</v>
      </c>
      <c r="U21" s="7"/>
      <c r="V21" s="4" t="s">
        <v>42</v>
      </c>
      <c r="W21" s="4" t="s">
        <v>75</v>
      </c>
      <c r="X21" s="4" t="s">
        <v>76</v>
      </c>
      <c r="Y21" s="7" t="s">
        <v>45</v>
      </c>
      <c r="Z21" s="7"/>
      <c r="AA21" s="4" t="s">
        <v>46</v>
      </c>
      <c r="AB21" s="4" t="s">
        <v>47</v>
      </c>
      <c r="AC21" s="4" t="s">
        <v>48</v>
      </c>
      <c r="AD21" s="4" t="s">
        <v>71</v>
      </c>
      <c r="AE21" s="4" t="s">
        <v>50</v>
      </c>
      <c r="AF21" s="4" t="s">
        <v>41</v>
      </c>
      <c r="AG21" s="4" t="s">
        <v>51</v>
      </c>
    </row>
    <row r="22" spans="1:33" ht="16.5" customHeight="1" x14ac:dyDescent="0.2">
      <c r="A22" s="2" t="s">
        <v>31</v>
      </c>
      <c r="B22" s="5" t="s">
        <v>32</v>
      </c>
      <c r="C22" s="5"/>
      <c r="D22" s="5"/>
      <c r="E22" s="6" t="s">
        <v>33</v>
      </c>
      <c r="F22" s="6"/>
      <c r="G22" s="7" t="s">
        <v>34</v>
      </c>
      <c r="H22" s="7"/>
      <c r="I22" s="7"/>
      <c r="J22" s="3" t="s">
        <v>35</v>
      </c>
      <c r="K22" s="4" t="s">
        <v>77</v>
      </c>
      <c r="L22" s="4" t="s">
        <v>68</v>
      </c>
      <c r="N22" s="7" t="s">
        <v>78</v>
      </c>
      <c r="O22" s="7"/>
      <c r="P22" s="7" t="s">
        <v>79</v>
      </c>
      <c r="Q22" s="7"/>
      <c r="R22" s="7"/>
      <c r="S22" s="3" t="s">
        <v>40</v>
      </c>
      <c r="T22" s="7" t="s">
        <v>41</v>
      </c>
      <c r="U22" s="7"/>
      <c r="V22" s="4" t="s">
        <v>80</v>
      </c>
      <c r="W22" s="4" t="s">
        <v>81</v>
      </c>
      <c r="X22" s="4" t="s">
        <v>82</v>
      </c>
      <c r="Y22" s="7" t="s">
        <v>83</v>
      </c>
      <c r="Z22" s="7"/>
      <c r="AA22" s="4" t="s">
        <v>46</v>
      </c>
      <c r="AB22" s="4" t="s">
        <v>47</v>
      </c>
      <c r="AC22" s="4" t="s">
        <v>48</v>
      </c>
      <c r="AD22" s="4" t="s">
        <v>71</v>
      </c>
      <c r="AE22" s="4" t="s">
        <v>50</v>
      </c>
      <c r="AF22" s="4" t="s">
        <v>41</v>
      </c>
      <c r="AG22" s="4" t="s">
        <v>51</v>
      </c>
    </row>
    <row r="23" spans="1:33" ht="16.5" customHeight="1" x14ac:dyDescent="0.2">
      <c r="A23" s="2" t="s">
        <v>31</v>
      </c>
      <c r="B23" s="5" t="s">
        <v>32</v>
      </c>
      <c r="C23" s="5"/>
      <c r="D23" s="5"/>
      <c r="E23" s="6" t="s">
        <v>33</v>
      </c>
      <c r="F23" s="6"/>
      <c r="G23" s="7" t="s">
        <v>34</v>
      </c>
      <c r="H23" s="7"/>
      <c r="I23" s="7"/>
      <c r="J23" s="3" t="s">
        <v>35</v>
      </c>
      <c r="K23" s="4" t="s">
        <v>72</v>
      </c>
      <c r="L23" s="4" t="s">
        <v>68</v>
      </c>
      <c r="N23" s="7" t="s">
        <v>84</v>
      </c>
      <c r="O23" s="7"/>
      <c r="P23" s="7" t="s">
        <v>85</v>
      </c>
      <c r="Q23" s="7"/>
      <c r="R23" s="7"/>
      <c r="S23" s="3" t="s">
        <v>40</v>
      </c>
      <c r="T23" s="7" t="s">
        <v>41</v>
      </c>
      <c r="U23" s="7"/>
      <c r="V23" s="4" t="s">
        <v>42</v>
      </c>
      <c r="W23" s="4" t="s">
        <v>86</v>
      </c>
      <c r="X23" s="4" t="s">
        <v>87</v>
      </c>
      <c r="Y23" s="7" t="s">
        <v>45</v>
      </c>
      <c r="Z23" s="7"/>
      <c r="AA23" s="4" t="s">
        <v>46</v>
      </c>
      <c r="AB23" s="4" t="s">
        <v>47</v>
      </c>
      <c r="AC23" s="4" t="s">
        <v>48</v>
      </c>
      <c r="AD23" s="4" t="s">
        <v>71</v>
      </c>
      <c r="AE23" s="4" t="s">
        <v>50</v>
      </c>
      <c r="AF23" s="4" t="s">
        <v>41</v>
      </c>
      <c r="AG23" s="4" t="s">
        <v>51</v>
      </c>
    </row>
    <row r="24" spans="1:33" ht="16.5" customHeight="1" x14ac:dyDescent="0.2">
      <c r="A24" s="2" t="s">
        <v>31</v>
      </c>
      <c r="B24" s="5" t="s">
        <v>32</v>
      </c>
      <c r="C24" s="5"/>
      <c r="D24" s="5"/>
      <c r="E24" s="6" t="s">
        <v>33</v>
      </c>
      <c r="F24" s="6"/>
      <c r="G24" s="7" t="s">
        <v>34</v>
      </c>
      <c r="H24" s="7"/>
      <c r="I24" s="7"/>
      <c r="J24" s="3" t="s">
        <v>35</v>
      </c>
      <c r="K24" s="4" t="s">
        <v>67</v>
      </c>
      <c r="L24" s="4" t="s">
        <v>68</v>
      </c>
      <c r="N24" s="7" t="s">
        <v>88</v>
      </c>
      <c r="O24" s="7"/>
      <c r="P24" s="7" t="s">
        <v>89</v>
      </c>
      <c r="Q24" s="7"/>
      <c r="R24" s="7"/>
      <c r="S24" s="3" t="s">
        <v>40</v>
      </c>
      <c r="T24" s="7" t="s">
        <v>41</v>
      </c>
      <c r="U24" s="7"/>
      <c r="V24" s="4" t="s">
        <v>42</v>
      </c>
      <c r="W24" s="4" t="s">
        <v>90</v>
      </c>
      <c r="X24" s="4" t="s">
        <v>91</v>
      </c>
      <c r="Y24" s="7" t="s">
        <v>45</v>
      </c>
      <c r="Z24" s="7"/>
      <c r="AA24" s="4" t="s">
        <v>46</v>
      </c>
      <c r="AB24" s="4" t="s">
        <v>47</v>
      </c>
      <c r="AC24" s="4" t="s">
        <v>48</v>
      </c>
      <c r="AD24" s="4" t="s">
        <v>71</v>
      </c>
      <c r="AE24" s="4" t="s">
        <v>50</v>
      </c>
      <c r="AF24" s="4" t="s">
        <v>41</v>
      </c>
      <c r="AG24" s="4" t="s">
        <v>51</v>
      </c>
    </row>
    <row r="25" spans="1:33" ht="16.5" customHeight="1" x14ac:dyDescent="0.2">
      <c r="A25" s="2" t="s">
        <v>31</v>
      </c>
      <c r="B25" s="5" t="s">
        <v>32</v>
      </c>
      <c r="C25" s="5"/>
      <c r="D25" s="5"/>
      <c r="E25" s="6" t="s">
        <v>33</v>
      </c>
      <c r="F25" s="6"/>
      <c r="G25" s="7" t="s">
        <v>92</v>
      </c>
      <c r="H25" s="7"/>
      <c r="I25" s="7"/>
      <c r="J25" s="3" t="s">
        <v>35</v>
      </c>
      <c r="K25" s="4" t="s">
        <v>67</v>
      </c>
      <c r="L25" s="4" t="s">
        <v>37</v>
      </c>
      <c r="N25" s="7" t="s">
        <v>93</v>
      </c>
      <c r="O25" s="7"/>
      <c r="P25" s="7" t="s">
        <v>94</v>
      </c>
      <c r="Q25" s="7"/>
      <c r="R25" s="7"/>
      <c r="S25" s="3" t="s">
        <v>40</v>
      </c>
      <c r="T25" s="7" t="s">
        <v>41</v>
      </c>
      <c r="U25" s="7"/>
      <c r="V25" s="4" t="s">
        <v>42</v>
      </c>
      <c r="W25" s="4" t="s">
        <v>95</v>
      </c>
      <c r="X25" s="4" t="s">
        <v>82</v>
      </c>
      <c r="Y25" s="7" t="s">
        <v>45</v>
      </c>
      <c r="Z25" s="7"/>
      <c r="AA25" s="4" t="s">
        <v>46</v>
      </c>
      <c r="AB25" s="4" t="s">
        <v>47</v>
      </c>
      <c r="AC25" s="4" t="s">
        <v>48</v>
      </c>
      <c r="AD25" s="4" t="s">
        <v>49</v>
      </c>
      <c r="AE25" s="4" t="s">
        <v>50</v>
      </c>
      <c r="AF25" s="4" t="s">
        <v>41</v>
      </c>
      <c r="AG25" s="4" t="s">
        <v>96</v>
      </c>
    </row>
    <row r="26" spans="1:33" ht="16.5" customHeight="1" x14ac:dyDescent="0.2">
      <c r="A26" s="2" t="s">
        <v>31</v>
      </c>
      <c r="B26" s="5" t="s">
        <v>32</v>
      </c>
      <c r="C26" s="5"/>
      <c r="D26" s="5"/>
      <c r="E26" s="6" t="s">
        <v>33</v>
      </c>
      <c r="F26" s="6"/>
      <c r="G26" s="7" t="s">
        <v>92</v>
      </c>
      <c r="H26" s="7"/>
      <c r="I26" s="7"/>
      <c r="J26" s="3" t="s">
        <v>35</v>
      </c>
      <c r="K26" s="4" t="s">
        <v>72</v>
      </c>
      <c r="L26" s="4" t="s">
        <v>37</v>
      </c>
      <c r="N26" s="7" t="s">
        <v>97</v>
      </c>
      <c r="O26" s="7"/>
      <c r="P26" s="7" t="s">
        <v>98</v>
      </c>
      <c r="Q26" s="7"/>
      <c r="R26" s="7"/>
      <c r="S26" s="3" t="s">
        <v>40</v>
      </c>
      <c r="T26" s="7" t="s">
        <v>41</v>
      </c>
      <c r="U26" s="7"/>
      <c r="V26" s="4" t="s">
        <v>42</v>
      </c>
      <c r="W26" s="4" t="s">
        <v>99</v>
      </c>
      <c r="X26" s="4" t="s">
        <v>100</v>
      </c>
      <c r="Y26" s="7" t="s">
        <v>45</v>
      </c>
      <c r="Z26" s="7"/>
      <c r="AA26" s="4" t="s">
        <v>46</v>
      </c>
      <c r="AB26" s="4" t="s">
        <v>47</v>
      </c>
      <c r="AC26" s="4" t="s">
        <v>48</v>
      </c>
      <c r="AD26" s="4" t="s">
        <v>49</v>
      </c>
      <c r="AE26" s="4" t="s">
        <v>50</v>
      </c>
      <c r="AF26" s="4" t="s">
        <v>41</v>
      </c>
      <c r="AG26" s="4" t="s">
        <v>96</v>
      </c>
    </row>
    <row r="27" spans="1:33" ht="16.5" customHeight="1" x14ac:dyDescent="0.2">
      <c r="A27" s="2" t="s">
        <v>31</v>
      </c>
      <c r="B27" s="5" t="s">
        <v>32</v>
      </c>
      <c r="C27" s="5"/>
      <c r="D27" s="5"/>
      <c r="E27" s="6" t="s">
        <v>33</v>
      </c>
      <c r="F27" s="6"/>
      <c r="G27" s="7" t="s">
        <v>101</v>
      </c>
      <c r="H27" s="7"/>
      <c r="I27" s="7"/>
      <c r="J27" s="3" t="s">
        <v>35</v>
      </c>
      <c r="K27" s="4" t="s">
        <v>102</v>
      </c>
      <c r="L27" s="4" t="s">
        <v>103</v>
      </c>
      <c r="N27" s="7" t="s">
        <v>104</v>
      </c>
      <c r="O27" s="7"/>
      <c r="P27" s="7" t="s">
        <v>105</v>
      </c>
      <c r="Q27" s="7"/>
      <c r="R27" s="7"/>
      <c r="S27" s="3" t="s">
        <v>40</v>
      </c>
      <c r="T27" s="7" t="s">
        <v>41</v>
      </c>
      <c r="U27" s="7"/>
      <c r="V27" s="4" t="s">
        <v>80</v>
      </c>
      <c r="W27" s="4" t="s">
        <v>106</v>
      </c>
      <c r="X27" s="4" t="s">
        <v>107</v>
      </c>
      <c r="Y27" s="7" t="s">
        <v>45</v>
      </c>
      <c r="Z27" s="7"/>
      <c r="AA27" s="4" t="s">
        <v>46</v>
      </c>
      <c r="AB27" s="4" t="s">
        <v>47</v>
      </c>
      <c r="AC27" s="4" t="s">
        <v>48</v>
      </c>
      <c r="AD27" s="4" t="s">
        <v>108</v>
      </c>
      <c r="AE27" s="4" t="s">
        <v>50</v>
      </c>
      <c r="AF27" s="4" t="s">
        <v>41</v>
      </c>
      <c r="AG27" s="4" t="s">
        <v>109</v>
      </c>
    </row>
    <row r="28" spans="1:33" ht="16.5" customHeight="1" x14ac:dyDescent="0.2">
      <c r="A28" s="2" t="s">
        <v>31</v>
      </c>
      <c r="B28" s="5" t="s">
        <v>32</v>
      </c>
      <c r="C28" s="5"/>
      <c r="D28" s="5"/>
      <c r="E28" s="6" t="s">
        <v>33</v>
      </c>
      <c r="F28" s="6"/>
      <c r="G28" s="7" t="s">
        <v>101</v>
      </c>
      <c r="H28" s="7"/>
      <c r="I28" s="7"/>
      <c r="J28" s="3" t="s">
        <v>35</v>
      </c>
      <c r="K28" s="4" t="s">
        <v>110</v>
      </c>
      <c r="L28" s="4" t="s">
        <v>68</v>
      </c>
      <c r="N28" s="7" t="s">
        <v>111</v>
      </c>
      <c r="O28" s="7"/>
      <c r="P28" s="7" t="s">
        <v>112</v>
      </c>
      <c r="Q28" s="7"/>
      <c r="R28" s="7"/>
      <c r="S28" s="3" t="s">
        <v>40</v>
      </c>
      <c r="T28" s="7" t="s">
        <v>41</v>
      </c>
      <c r="U28" s="7"/>
      <c r="V28" s="4" t="s">
        <v>42</v>
      </c>
      <c r="W28" s="4" t="s">
        <v>106</v>
      </c>
      <c r="X28" s="4" t="s">
        <v>113</v>
      </c>
      <c r="Y28" s="7" t="s">
        <v>45</v>
      </c>
      <c r="Z28" s="7"/>
      <c r="AA28" s="4" t="s">
        <v>46</v>
      </c>
      <c r="AB28" s="4" t="s">
        <v>47</v>
      </c>
      <c r="AC28" s="4" t="s">
        <v>48</v>
      </c>
      <c r="AD28" s="4" t="s">
        <v>71</v>
      </c>
      <c r="AE28" s="4" t="s">
        <v>50</v>
      </c>
      <c r="AF28" s="4" t="s">
        <v>41</v>
      </c>
      <c r="AG28" s="4" t="s">
        <v>109</v>
      </c>
    </row>
    <row r="29" spans="1:33" ht="16.5" customHeight="1" x14ac:dyDescent="0.2">
      <c r="A29" s="2" t="s">
        <v>31</v>
      </c>
      <c r="B29" s="5" t="s">
        <v>32</v>
      </c>
      <c r="C29" s="5"/>
      <c r="D29" s="5"/>
      <c r="E29" s="6" t="s">
        <v>33</v>
      </c>
      <c r="F29" s="6"/>
      <c r="G29" s="7" t="s">
        <v>101</v>
      </c>
      <c r="H29" s="7"/>
      <c r="I29" s="7"/>
      <c r="J29" s="3" t="s">
        <v>35</v>
      </c>
      <c r="K29" s="4" t="s">
        <v>110</v>
      </c>
      <c r="L29" s="4" t="s">
        <v>68</v>
      </c>
      <c r="N29" s="7" t="s">
        <v>111</v>
      </c>
      <c r="O29" s="7"/>
      <c r="P29" s="7" t="s">
        <v>112</v>
      </c>
      <c r="Q29" s="7"/>
      <c r="R29" s="7"/>
      <c r="S29" s="3" t="s">
        <v>40</v>
      </c>
      <c r="T29" s="7" t="s">
        <v>41</v>
      </c>
      <c r="U29" s="7"/>
      <c r="V29" s="4" t="s">
        <v>80</v>
      </c>
      <c r="W29" s="4" t="s">
        <v>106</v>
      </c>
      <c r="X29" s="4" t="s">
        <v>107</v>
      </c>
      <c r="Y29" s="7" t="s">
        <v>45</v>
      </c>
      <c r="Z29" s="7"/>
      <c r="AA29" s="4" t="s">
        <v>46</v>
      </c>
      <c r="AB29" s="4" t="s">
        <v>47</v>
      </c>
      <c r="AC29" s="4" t="s">
        <v>48</v>
      </c>
      <c r="AD29" s="4" t="s">
        <v>71</v>
      </c>
      <c r="AE29" s="4" t="s">
        <v>50</v>
      </c>
      <c r="AF29" s="4" t="s">
        <v>41</v>
      </c>
      <c r="AG29" s="4" t="s">
        <v>109</v>
      </c>
    </row>
    <row r="30" spans="1:33" ht="16.5" customHeight="1" x14ac:dyDescent="0.2">
      <c r="A30" s="2" t="s">
        <v>31</v>
      </c>
      <c r="B30" s="5" t="s">
        <v>32</v>
      </c>
      <c r="C30" s="5"/>
      <c r="D30" s="5"/>
      <c r="E30" s="6" t="s">
        <v>33</v>
      </c>
      <c r="F30" s="6"/>
      <c r="G30" s="7" t="s">
        <v>101</v>
      </c>
      <c r="H30" s="7"/>
      <c r="I30" s="7"/>
      <c r="J30" s="3" t="s">
        <v>35</v>
      </c>
      <c r="K30" s="4" t="s">
        <v>36</v>
      </c>
      <c r="L30" s="4" t="s">
        <v>68</v>
      </c>
      <c r="N30" s="7" t="s">
        <v>114</v>
      </c>
      <c r="O30" s="7"/>
      <c r="P30" s="7" t="s">
        <v>115</v>
      </c>
      <c r="Q30" s="7"/>
      <c r="R30" s="7"/>
      <c r="S30" s="3" t="s">
        <v>40</v>
      </c>
      <c r="T30" s="7" t="s">
        <v>41</v>
      </c>
      <c r="U30" s="7"/>
      <c r="V30" s="4" t="s">
        <v>42</v>
      </c>
      <c r="W30" s="4" t="s">
        <v>116</v>
      </c>
      <c r="X30" s="4" t="s">
        <v>117</v>
      </c>
      <c r="Y30" s="7" t="s">
        <v>45</v>
      </c>
      <c r="Z30" s="7"/>
      <c r="AA30" s="4" t="s">
        <v>46</v>
      </c>
      <c r="AB30" s="4" t="s">
        <v>47</v>
      </c>
      <c r="AC30" s="4" t="s">
        <v>48</v>
      </c>
      <c r="AD30" s="4" t="s">
        <v>71</v>
      </c>
      <c r="AE30" s="4" t="s">
        <v>50</v>
      </c>
      <c r="AF30" s="4" t="s">
        <v>41</v>
      </c>
      <c r="AG30" s="4" t="s">
        <v>109</v>
      </c>
    </row>
    <row r="31" spans="1:33" ht="16.5" customHeight="1" x14ac:dyDescent="0.2">
      <c r="A31" s="2" t="s">
        <v>31</v>
      </c>
      <c r="B31" s="5" t="s">
        <v>32</v>
      </c>
      <c r="C31" s="5"/>
      <c r="D31" s="5"/>
      <c r="E31" s="6" t="s">
        <v>33</v>
      </c>
      <c r="F31" s="6"/>
      <c r="G31" s="7" t="s">
        <v>101</v>
      </c>
      <c r="H31" s="7"/>
      <c r="I31" s="7"/>
      <c r="J31" s="3" t="s">
        <v>35</v>
      </c>
      <c r="K31" s="4" t="s">
        <v>36</v>
      </c>
      <c r="L31" s="4" t="s">
        <v>103</v>
      </c>
      <c r="N31" s="7" t="s">
        <v>114</v>
      </c>
      <c r="O31" s="7"/>
      <c r="P31" s="7" t="s">
        <v>115</v>
      </c>
      <c r="Q31" s="7"/>
      <c r="R31" s="7"/>
      <c r="S31" s="3" t="s">
        <v>40</v>
      </c>
      <c r="T31" s="7" t="s">
        <v>41</v>
      </c>
      <c r="U31" s="7"/>
      <c r="V31" s="4" t="s">
        <v>42</v>
      </c>
      <c r="W31" s="4" t="s">
        <v>116</v>
      </c>
      <c r="X31" s="4" t="s">
        <v>117</v>
      </c>
      <c r="Y31" s="7" t="s">
        <v>45</v>
      </c>
      <c r="Z31" s="7"/>
      <c r="AA31" s="4" t="s">
        <v>46</v>
      </c>
      <c r="AB31" s="4" t="s">
        <v>47</v>
      </c>
      <c r="AC31" s="4" t="s">
        <v>48</v>
      </c>
      <c r="AD31" s="4" t="s">
        <v>108</v>
      </c>
      <c r="AE31" s="4" t="s">
        <v>50</v>
      </c>
      <c r="AF31" s="4" t="s">
        <v>41</v>
      </c>
      <c r="AG31" s="4" t="s">
        <v>109</v>
      </c>
    </row>
    <row r="32" spans="1:33" ht="16.5" customHeight="1" x14ac:dyDescent="0.2">
      <c r="A32" s="2" t="s">
        <v>31</v>
      </c>
      <c r="B32" s="5" t="s">
        <v>32</v>
      </c>
      <c r="C32" s="5"/>
      <c r="D32" s="5"/>
      <c r="E32" s="6" t="s">
        <v>33</v>
      </c>
      <c r="F32" s="6"/>
      <c r="G32" s="7" t="s">
        <v>101</v>
      </c>
      <c r="H32" s="7"/>
      <c r="I32" s="7"/>
      <c r="J32" s="3" t="s">
        <v>35</v>
      </c>
      <c r="K32" s="4" t="s">
        <v>118</v>
      </c>
      <c r="L32" s="4" t="s">
        <v>68</v>
      </c>
      <c r="N32" s="7" t="s">
        <v>114</v>
      </c>
      <c r="O32" s="7"/>
      <c r="P32" s="7" t="s">
        <v>115</v>
      </c>
      <c r="Q32" s="7"/>
      <c r="R32" s="7"/>
      <c r="S32" s="3" t="s">
        <v>40</v>
      </c>
      <c r="T32" s="7" t="s">
        <v>41</v>
      </c>
      <c r="U32" s="7"/>
      <c r="V32" s="4" t="s">
        <v>42</v>
      </c>
      <c r="W32" s="4" t="s">
        <v>116</v>
      </c>
      <c r="X32" s="4" t="s">
        <v>117</v>
      </c>
      <c r="Y32" s="7" t="s">
        <v>83</v>
      </c>
      <c r="Z32" s="7"/>
      <c r="AA32" s="4" t="s">
        <v>46</v>
      </c>
      <c r="AB32" s="4" t="s">
        <v>47</v>
      </c>
      <c r="AC32" s="4" t="s">
        <v>48</v>
      </c>
      <c r="AD32" s="4" t="s">
        <v>71</v>
      </c>
      <c r="AE32" s="4" t="s">
        <v>50</v>
      </c>
      <c r="AF32" s="4" t="s">
        <v>41</v>
      </c>
      <c r="AG32" s="4" t="s">
        <v>109</v>
      </c>
    </row>
    <row r="33" spans="1:33" ht="16.5" customHeight="1" x14ac:dyDescent="0.2">
      <c r="A33" s="2" t="s">
        <v>31</v>
      </c>
      <c r="B33" s="5" t="s">
        <v>32</v>
      </c>
      <c r="C33" s="5"/>
      <c r="D33" s="5"/>
      <c r="E33" s="6" t="s">
        <v>33</v>
      </c>
      <c r="F33" s="6"/>
      <c r="G33" s="7" t="s">
        <v>101</v>
      </c>
      <c r="H33" s="7"/>
      <c r="I33" s="7"/>
      <c r="J33" s="3" t="s">
        <v>35</v>
      </c>
      <c r="K33" s="4" t="s">
        <v>67</v>
      </c>
      <c r="L33" s="4" t="s">
        <v>68</v>
      </c>
      <c r="N33" s="7" t="s">
        <v>119</v>
      </c>
      <c r="O33" s="7"/>
      <c r="P33" s="7" t="s">
        <v>120</v>
      </c>
      <c r="Q33" s="7"/>
      <c r="R33" s="7"/>
      <c r="S33" s="3" t="s">
        <v>40</v>
      </c>
      <c r="T33" s="7" t="s">
        <v>41</v>
      </c>
      <c r="U33" s="7"/>
      <c r="V33" s="4" t="s">
        <v>42</v>
      </c>
      <c r="W33" s="4" t="s">
        <v>121</v>
      </c>
      <c r="X33" s="4" t="s">
        <v>122</v>
      </c>
      <c r="Y33" s="7" t="s">
        <v>45</v>
      </c>
      <c r="Z33" s="7"/>
      <c r="AA33" s="4" t="s">
        <v>46</v>
      </c>
      <c r="AB33" s="4" t="s">
        <v>47</v>
      </c>
      <c r="AC33" s="4" t="s">
        <v>48</v>
      </c>
      <c r="AD33" s="4" t="s">
        <v>71</v>
      </c>
      <c r="AE33" s="4" t="s">
        <v>50</v>
      </c>
      <c r="AF33" s="4" t="s">
        <v>41</v>
      </c>
      <c r="AG33" s="4" t="s">
        <v>109</v>
      </c>
    </row>
    <row r="34" spans="1:33" ht="16.5" customHeight="1" x14ac:dyDescent="0.2">
      <c r="A34" s="2" t="s">
        <v>31</v>
      </c>
      <c r="B34" s="5" t="s">
        <v>32</v>
      </c>
      <c r="C34" s="5"/>
      <c r="D34" s="5"/>
      <c r="E34" s="6" t="s">
        <v>33</v>
      </c>
      <c r="F34" s="6"/>
      <c r="G34" s="7" t="s">
        <v>101</v>
      </c>
      <c r="H34" s="7"/>
      <c r="I34" s="7"/>
      <c r="J34" s="3" t="s">
        <v>35</v>
      </c>
      <c r="K34" s="4" t="s">
        <v>67</v>
      </c>
      <c r="L34" s="4" t="s">
        <v>68</v>
      </c>
      <c r="N34" s="7" t="s">
        <v>123</v>
      </c>
      <c r="O34" s="7"/>
      <c r="P34" s="7" t="s">
        <v>124</v>
      </c>
      <c r="Q34" s="7"/>
      <c r="R34" s="7"/>
      <c r="S34" s="3" t="s">
        <v>40</v>
      </c>
      <c r="T34" s="7" t="s">
        <v>41</v>
      </c>
      <c r="U34" s="7"/>
      <c r="V34" s="4" t="s">
        <v>42</v>
      </c>
      <c r="W34" s="4" t="s">
        <v>80</v>
      </c>
      <c r="X34" s="4" t="s">
        <v>125</v>
      </c>
      <c r="Y34" s="7" t="s">
        <v>45</v>
      </c>
      <c r="Z34" s="7"/>
      <c r="AA34" s="4" t="s">
        <v>46</v>
      </c>
      <c r="AB34" s="4" t="s">
        <v>47</v>
      </c>
      <c r="AC34" s="4" t="s">
        <v>48</v>
      </c>
      <c r="AD34" s="4" t="s">
        <v>71</v>
      </c>
      <c r="AE34" s="4" t="s">
        <v>50</v>
      </c>
      <c r="AF34" s="4" t="s">
        <v>41</v>
      </c>
      <c r="AG34" s="4" t="s">
        <v>109</v>
      </c>
    </row>
    <row r="35" spans="1:33" ht="409.6" customHeight="1" x14ac:dyDescent="0.2"/>
    <row r="36" spans="1:33" ht="12" customHeight="1" x14ac:dyDescent="0.2"/>
  </sheetData>
  <mergeCells count="156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4:D34"/>
    <mergeCell ref="E34:F34"/>
    <mergeCell ref="G34:I34"/>
    <mergeCell ref="N34:O34"/>
    <mergeCell ref="P34:R34"/>
    <mergeCell ref="T34:U34"/>
    <mergeCell ref="Y34:Z34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E072-FFD4-488B-A33F-A9D5D60AF32F}">
  <dimension ref="A1:N22"/>
  <sheetViews>
    <sheetView tabSelected="1" workbookViewId="0">
      <selection activeCell="M1" sqref="M1:M1048576"/>
    </sheetView>
  </sheetViews>
  <sheetFormatPr defaultColWidth="6.85546875" defaultRowHeight="12.75" x14ac:dyDescent="0.2"/>
  <cols>
    <col min="1" max="1" width="27.140625" style="15" customWidth="1"/>
    <col min="2" max="2" width="22" style="15" customWidth="1"/>
    <col min="3" max="3" width="17.42578125" style="15" bestFit="1" customWidth="1"/>
    <col min="4" max="4" width="13.140625" style="15" bestFit="1" customWidth="1"/>
    <col min="5" max="5" width="20.7109375" style="15" customWidth="1"/>
    <col min="6" max="6" width="15.85546875" style="15" bestFit="1" customWidth="1"/>
    <col min="7" max="7" width="11.140625" style="15" bestFit="1" customWidth="1"/>
    <col min="8" max="8" width="11.140625" style="15" customWidth="1"/>
    <col min="9" max="10" width="14.140625" style="15" customWidth="1"/>
    <col min="11" max="11" width="16.42578125" style="15" bestFit="1" customWidth="1"/>
    <col min="12" max="12" width="13.42578125" style="15" customWidth="1"/>
    <col min="13" max="13" width="13.5703125" style="15" customWidth="1"/>
    <col min="14" max="16384" width="6.85546875" style="15"/>
  </cols>
  <sheetData>
    <row r="1" spans="1:14" ht="12.75" customHeight="1" x14ac:dyDescent="0.2">
      <c r="A1" s="14"/>
      <c r="B1" s="14"/>
      <c r="C1" s="14" t="s">
        <v>15</v>
      </c>
      <c r="D1" s="14" t="s">
        <v>16</v>
      </c>
      <c r="E1" s="14" t="s">
        <v>17</v>
      </c>
      <c r="F1" s="14" t="s">
        <v>19</v>
      </c>
      <c r="G1" s="14" t="s">
        <v>20</v>
      </c>
      <c r="H1" s="14"/>
      <c r="I1" s="14" t="s">
        <v>21</v>
      </c>
      <c r="J1" s="14"/>
      <c r="K1" s="14" t="s">
        <v>23</v>
      </c>
      <c r="L1" s="14" t="s">
        <v>26</v>
      </c>
      <c r="M1" s="14" t="s">
        <v>27</v>
      </c>
    </row>
    <row r="2" spans="1:14" ht="14.25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4" ht="0.75" customHeight="1" x14ac:dyDescent="0.2">
      <c r="C3" s="14"/>
      <c r="D3" s="14"/>
    </row>
    <row r="4" spans="1:14" ht="12.75" customHeight="1" x14ac:dyDescent="0.2">
      <c r="A4" s="2">
        <v>8307933</v>
      </c>
      <c r="B4" s="2" t="s">
        <v>129</v>
      </c>
      <c r="C4" s="16" t="s">
        <v>126</v>
      </c>
      <c r="D4" s="16">
        <v>927812760</v>
      </c>
      <c r="E4" s="2" t="s">
        <v>39</v>
      </c>
      <c r="F4" s="2">
        <v>1</v>
      </c>
      <c r="G4" s="16">
        <v>20250701</v>
      </c>
      <c r="H4" s="16" t="str">
        <f>TEXT(DATE(LEFT(G4,4), MID(G4,5,2), RIGHT(G4,2)), "M/d/yyyy")</f>
        <v>7/1/2025</v>
      </c>
      <c r="I4" s="16">
        <v>20180501</v>
      </c>
      <c r="J4" s="16" t="str">
        <f>TEXT(DATE(LEFT(I4,4), MID(I4,5,2), RIGHT(I4,2)), "M/d/yyyy")</f>
        <v>5/1/2018</v>
      </c>
      <c r="K4" s="2" t="s">
        <v>45</v>
      </c>
      <c r="L4" s="16">
        <v>20</v>
      </c>
      <c r="M4" s="2">
        <v>40</v>
      </c>
      <c r="N4" s="15" t="s">
        <v>128</v>
      </c>
    </row>
    <row r="5" spans="1:14" ht="16.5" customHeight="1" x14ac:dyDescent="0.2">
      <c r="A5" s="2">
        <v>8307933</v>
      </c>
      <c r="B5" s="2" t="s">
        <v>129</v>
      </c>
      <c r="D5" s="16">
        <v>1927812760</v>
      </c>
      <c r="E5" s="2" t="s">
        <v>39</v>
      </c>
      <c r="F5" s="2">
        <v>72</v>
      </c>
      <c r="G5" s="16">
        <v>20250701</v>
      </c>
      <c r="H5" s="16" t="str">
        <f t="shared" ref="H5:H21" si="0">TEXT(DATE(LEFT(G5,4), MID(G5,5,2), RIGHT(G5,2)), "M/d/yyyy")</f>
        <v>7/1/2025</v>
      </c>
      <c r="I5" s="16">
        <v>20250101</v>
      </c>
      <c r="J5" s="16" t="str">
        <f t="shared" ref="J5:J21" si="1">TEXT(DATE(LEFT(I5,4), MID(I5,5,2), RIGHT(I5,2)), "M/d/yyyy")</f>
        <v>1/1/2025</v>
      </c>
      <c r="K5" s="2" t="s">
        <v>58</v>
      </c>
      <c r="L5" s="16">
        <v>0.04</v>
      </c>
      <c r="M5" s="2">
        <v>2.88</v>
      </c>
      <c r="N5" s="15" t="s">
        <v>127</v>
      </c>
    </row>
    <row r="6" spans="1:14" ht="16.5" customHeight="1" x14ac:dyDescent="0.2">
      <c r="A6" s="2">
        <v>8307933</v>
      </c>
      <c r="B6" s="2" t="s">
        <v>129</v>
      </c>
      <c r="C6" s="16" t="s">
        <v>126</v>
      </c>
      <c r="D6" s="16">
        <v>947060270</v>
      </c>
      <c r="E6" s="2" t="s">
        <v>64</v>
      </c>
      <c r="F6" s="2">
        <v>1</v>
      </c>
      <c r="G6" s="16">
        <v>20250701</v>
      </c>
      <c r="H6" s="16" t="str">
        <f t="shared" si="0"/>
        <v>7/1/2025</v>
      </c>
      <c r="I6" s="16">
        <v>20210101</v>
      </c>
      <c r="J6" s="16" t="str">
        <f t="shared" si="1"/>
        <v>1/1/2021</v>
      </c>
      <c r="K6" s="2" t="s">
        <v>45</v>
      </c>
      <c r="L6" s="16">
        <v>20</v>
      </c>
      <c r="M6" s="2">
        <v>40</v>
      </c>
      <c r="N6" s="15" t="s">
        <v>128</v>
      </c>
    </row>
    <row r="7" spans="1:14" ht="16.5" customHeight="1" x14ac:dyDescent="0.2">
      <c r="A7" s="2">
        <v>8307933</v>
      </c>
      <c r="B7" s="2" t="s">
        <v>129</v>
      </c>
      <c r="C7" s="16"/>
      <c r="D7" s="16">
        <v>947067612</v>
      </c>
      <c r="E7" s="2" t="s">
        <v>70</v>
      </c>
      <c r="F7" s="2">
        <v>1</v>
      </c>
      <c r="G7" s="16">
        <v>20250701</v>
      </c>
      <c r="H7" s="16" t="str">
        <f t="shared" si="0"/>
        <v>7/1/2025</v>
      </c>
      <c r="I7" s="16">
        <v>20210101</v>
      </c>
      <c r="J7" s="16" t="str">
        <f t="shared" si="1"/>
        <v>1/1/2021</v>
      </c>
      <c r="K7" s="2" t="s">
        <v>45</v>
      </c>
      <c r="L7" s="16">
        <v>20</v>
      </c>
      <c r="M7" s="2">
        <v>20</v>
      </c>
      <c r="N7" s="15" t="s">
        <v>128</v>
      </c>
    </row>
    <row r="8" spans="1:14" ht="16.5" customHeight="1" x14ac:dyDescent="0.2">
      <c r="A8" s="2">
        <v>8307933</v>
      </c>
      <c r="B8" s="2" t="s">
        <v>129</v>
      </c>
      <c r="C8" s="16"/>
      <c r="D8" s="16">
        <v>947109063</v>
      </c>
      <c r="E8" s="2" t="s">
        <v>74</v>
      </c>
      <c r="F8" s="2">
        <v>1</v>
      </c>
      <c r="G8" s="16">
        <v>20250701</v>
      </c>
      <c r="H8" s="16" t="str">
        <f t="shared" si="0"/>
        <v>7/1/2025</v>
      </c>
      <c r="I8" s="16">
        <v>20220501</v>
      </c>
      <c r="J8" s="16" t="str">
        <f t="shared" si="1"/>
        <v>5/1/2022</v>
      </c>
      <c r="K8" s="2" t="s">
        <v>45</v>
      </c>
      <c r="L8" s="16">
        <v>20</v>
      </c>
      <c r="M8" s="2">
        <v>20</v>
      </c>
      <c r="N8" s="15" t="s">
        <v>128</v>
      </c>
    </row>
    <row r="9" spans="1:14" ht="16.5" customHeight="1" x14ac:dyDescent="0.2">
      <c r="A9" s="2">
        <v>8307933</v>
      </c>
      <c r="B9" s="2" t="s">
        <v>129</v>
      </c>
      <c r="C9" s="16"/>
      <c r="D9" s="16">
        <v>947121772</v>
      </c>
      <c r="E9" s="2" t="s">
        <v>79</v>
      </c>
      <c r="F9" s="2">
        <v>1</v>
      </c>
      <c r="G9" s="16">
        <v>20250601</v>
      </c>
      <c r="H9" s="16" t="str">
        <f t="shared" si="0"/>
        <v>6/1/2025</v>
      </c>
      <c r="I9" s="16">
        <v>20230101</v>
      </c>
      <c r="J9" s="16" t="str">
        <f t="shared" si="1"/>
        <v>1/1/2023</v>
      </c>
      <c r="K9" s="2" t="s">
        <v>83</v>
      </c>
      <c r="L9" s="16">
        <v>20</v>
      </c>
      <c r="M9" s="2">
        <v>20</v>
      </c>
      <c r="N9" s="15" t="s">
        <v>128</v>
      </c>
    </row>
    <row r="10" spans="1:14" ht="16.5" customHeight="1" x14ac:dyDescent="0.2">
      <c r="A10" s="2">
        <v>8307933</v>
      </c>
      <c r="B10" s="2" t="s">
        <v>129</v>
      </c>
      <c r="C10" s="16"/>
      <c r="D10" s="16">
        <v>947137197</v>
      </c>
      <c r="E10" s="2" t="s">
        <v>85</v>
      </c>
      <c r="F10" s="2">
        <v>1</v>
      </c>
      <c r="G10" s="16">
        <v>20250701</v>
      </c>
      <c r="H10" s="16" t="str">
        <f t="shared" si="0"/>
        <v>7/1/2025</v>
      </c>
      <c r="I10" s="16">
        <v>20250301</v>
      </c>
      <c r="J10" s="16" t="str">
        <f t="shared" si="1"/>
        <v>3/1/2025</v>
      </c>
      <c r="K10" s="2" t="s">
        <v>45</v>
      </c>
      <c r="L10" s="16">
        <v>20</v>
      </c>
      <c r="M10" s="2">
        <v>20</v>
      </c>
      <c r="N10" s="15" t="s">
        <v>128</v>
      </c>
    </row>
    <row r="11" spans="1:14" ht="16.5" customHeight="1" x14ac:dyDescent="0.2">
      <c r="A11" s="2">
        <v>8307933</v>
      </c>
      <c r="B11" s="2" t="s">
        <v>129</v>
      </c>
      <c r="C11" s="16"/>
      <c r="D11" s="16">
        <v>947183187</v>
      </c>
      <c r="E11" s="2" t="s">
        <v>89</v>
      </c>
      <c r="F11" s="2">
        <v>1</v>
      </c>
      <c r="G11" s="16">
        <v>20250701</v>
      </c>
      <c r="H11" s="16" t="str">
        <f t="shared" si="0"/>
        <v>7/1/2025</v>
      </c>
      <c r="I11" s="16">
        <v>20240101</v>
      </c>
      <c r="J11" s="16" t="str">
        <f t="shared" si="1"/>
        <v>1/1/2024</v>
      </c>
      <c r="K11" s="2" t="s">
        <v>45</v>
      </c>
      <c r="L11" s="16">
        <v>20</v>
      </c>
      <c r="M11" s="2">
        <v>20</v>
      </c>
      <c r="N11" s="15" t="s">
        <v>128</v>
      </c>
    </row>
    <row r="12" spans="1:14" ht="16.5" customHeight="1" x14ac:dyDescent="0.2">
      <c r="A12" s="2">
        <v>1706194</v>
      </c>
      <c r="B12" s="2" t="s">
        <v>130</v>
      </c>
      <c r="C12" s="16" t="s">
        <v>126</v>
      </c>
      <c r="D12" s="16">
        <v>947131305</v>
      </c>
      <c r="E12" s="2" t="s">
        <v>94</v>
      </c>
      <c r="F12" s="2">
        <v>1</v>
      </c>
      <c r="G12" s="16">
        <v>20250701</v>
      </c>
      <c r="H12" s="16" t="str">
        <f t="shared" si="0"/>
        <v>7/1/2025</v>
      </c>
      <c r="I12" s="16">
        <v>20230201</v>
      </c>
      <c r="J12" s="16" t="str">
        <f t="shared" si="1"/>
        <v>2/1/2023</v>
      </c>
      <c r="K12" s="2" t="s">
        <v>45</v>
      </c>
      <c r="L12" s="16">
        <v>20</v>
      </c>
      <c r="M12" s="2">
        <v>40</v>
      </c>
      <c r="N12" s="15" t="s">
        <v>128</v>
      </c>
    </row>
    <row r="13" spans="1:14" ht="16.5" customHeight="1" x14ac:dyDescent="0.2">
      <c r="A13" s="2">
        <v>1706194</v>
      </c>
      <c r="B13" s="2" t="s">
        <v>130</v>
      </c>
      <c r="C13" s="16" t="s">
        <v>126</v>
      </c>
      <c r="D13" s="16">
        <v>947191210</v>
      </c>
      <c r="E13" s="2" t="s">
        <v>98</v>
      </c>
      <c r="F13" s="2">
        <v>1</v>
      </c>
      <c r="G13" s="16">
        <v>20250701</v>
      </c>
      <c r="H13" s="16" t="str">
        <f t="shared" si="0"/>
        <v>7/1/2025</v>
      </c>
      <c r="I13" s="16">
        <v>20240201</v>
      </c>
      <c r="J13" s="16" t="str">
        <f t="shared" si="1"/>
        <v>2/1/2024</v>
      </c>
      <c r="K13" s="2" t="s">
        <v>45</v>
      </c>
      <c r="L13" s="16">
        <v>20</v>
      </c>
      <c r="M13" s="2">
        <v>40</v>
      </c>
      <c r="N13" s="15" t="s">
        <v>128</v>
      </c>
    </row>
    <row r="14" spans="1:14" ht="16.5" customHeight="1" x14ac:dyDescent="0.2">
      <c r="A14" s="2">
        <v>21345012</v>
      </c>
      <c r="B14" s="2" t="s">
        <v>131</v>
      </c>
      <c r="C14" s="2"/>
      <c r="D14" s="16">
        <v>947135619</v>
      </c>
      <c r="E14" s="2" t="s">
        <v>105</v>
      </c>
      <c r="F14" s="2">
        <v>-1</v>
      </c>
      <c r="G14" s="16">
        <v>20250601</v>
      </c>
      <c r="H14" s="16" t="str">
        <f t="shared" si="0"/>
        <v>6/1/2025</v>
      </c>
      <c r="I14" s="16">
        <v>20230301</v>
      </c>
      <c r="J14" s="16" t="str">
        <f t="shared" si="1"/>
        <v>3/1/2023</v>
      </c>
      <c r="K14" s="2" t="s">
        <v>45</v>
      </c>
      <c r="L14" s="16">
        <v>20</v>
      </c>
      <c r="M14" s="2">
        <v>-20</v>
      </c>
      <c r="N14" s="15" t="s">
        <v>128</v>
      </c>
    </row>
    <row r="15" spans="1:14" ht="16.5" customHeight="1" x14ac:dyDescent="0.2">
      <c r="A15" s="2">
        <v>21345012</v>
      </c>
      <c r="B15" s="2" t="s">
        <v>131</v>
      </c>
      <c r="C15" s="16"/>
      <c r="D15" s="16">
        <v>947137780</v>
      </c>
      <c r="E15" s="2" t="s">
        <v>112</v>
      </c>
      <c r="F15" s="2">
        <v>1</v>
      </c>
      <c r="G15" s="16">
        <v>20250701</v>
      </c>
      <c r="H15" s="16" t="str">
        <f t="shared" si="0"/>
        <v>7/1/2025</v>
      </c>
      <c r="I15" s="16">
        <v>20230301</v>
      </c>
      <c r="J15" s="16" t="str">
        <f t="shared" si="1"/>
        <v>3/1/2023</v>
      </c>
      <c r="K15" s="2" t="s">
        <v>45</v>
      </c>
      <c r="L15" s="16">
        <v>20</v>
      </c>
      <c r="M15" s="2">
        <v>20</v>
      </c>
      <c r="N15" s="15" t="s">
        <v>128</v>
      </c>
    </row>
    <row r="16" spans="1:14" ht="16.5" customHeight="1" x14ac:dyDescent="0.2">
      <c r="A16" s="2">
        <v>21345012</v>
      </c>
      <c r="B16" s="2" t="s">
        <v>131</v>
      </c>
      <c r="C16" s="16"/>
      <c r="D16" s="16">
        <v>947137780</v>
      </c>
      <c r="E16" s="2" t="s">
        <v>112</v>
      </c>
      <c r="F16" s="2">
        <v>1</v>
      </c>
      <c r="G16" s="16">
        <v>20250601</v>
      </c>
      <c r="H16" s="16" t="str">
        <f t="shared" si="0"/>
        <v>6/1/2025</v>
      </c>
      <c r="I16" s="16">
        <v>20230301</v>
      </c>
      <c r="J16" s="16" t="str">
        <f t="shared" si="1"/>
        <v>3/1/2023</v>
      </c>
      <c r="K16" s="2" t="s">
        <v>45</v>
      </c>
      <c r="L16" s="16">
        <v>20</v>
      </c>
      <c r="M16" s="2">
        <v>20</v>
      </c>
      <c r="N16" s="15" t="s">
        <v>128</v>
      </c>
    </row>
    <row r="17" spans="1:14" ht="16.5" customHeight="1" x14ac:dyDescent="0.2">
      <c r="A17" s="2">
        <v>21345012</v>
      </c>
      <c r="B17" s="2" t="s">
        <v>131</v>
      </c>
      <c r="C17" s="16"/>
      <c r="D17" s="16">
        <v>947242449</v>
      </c>
      <c r="E17" s="2" t="s">
        <v>115</v>
      </c>
      <c r="F17" s="2">
        <v>1</v>
      </c>
      <c r="G17" s="16">
        <v>20250701</v>
      </c>
      <c r="H17" s="16" t="str">
        <f t="shared" si="0"/>
        <v>7/1/2025</v>
      </c>
      <c r="I17" s="16">
        <v>20250201</v>
      </c>
      <c r="J17" s="16" t="str">
        <f t="shared" si="1"/>
        <v>2/1/2025</v>
      </c>
      <c r="K17" s="2" t="s">
        <v>45</v>
      </c>
      <c r="L17" s="16">
        <v>20</v>
      </c>
      <c r="M17" s="2">
        <v>20</v>
      </c>
      <c r="N17" s="15" t="s">
        <v>128</v>
      </c>
    </row>
    <row r="18" spans="1:14" ht="16.5" customHeight="1" x14ac:dyDescent="0.2">
      <c r="A18" s="2">
        <v>21345012</v>
      </c>
      <c r="B18" s="2" t="s">
        <v>131</v>
      </c>
      <c r="C18" s="2"/>
      <c r="D18" s="16">
        <v>947242449</v>
      </c>
      <c r="E18" s="2" t="s">
        <v>115</v>
      </c>
      <c r="F18" s="2">
        <v>-1</v>
      </c>
      <c r="G18" s="16">
        <v>20250701</v>
      </c>
      <c r="H18" s="16" t="str">
        <f t="shared" si="0"/>
        <v>7/1/2025</v>
      </c>
      <c r="I18" s="16">
        <v>20250201</v>
      </c>
      <c r="J18" s="16" t="str">
        <f t="shared" si="1"/>
        <v>2/1/2025</v>
      </c>
      <c r="K18" s="2" t="s">
        <v>45</v>
      </c>
      <c r="L18" s="16">
        <v>20</v>
      </c>
      <c r="M18" s="2">
        <v>-20</v>
      </c>
      <c r="N18" s="15" t="s">
        <v>128</v>
      </c>
    </row>
    <row r="19" spans="1:14" ht="16.5" customHeight="1" x14ac:dyDescent="0.2">
      <c r="A19" s="2">
        <v>21345012</v>
      </c>
      <c r="B19" s="2" t="s">
        <v>131</v>
      </c>
      <c r="C19" s="16"/>
      <c r="D19" s="16">
        <v>947242449</v>
      </c>
      <c r="E19" s="2" t="s">
        <v>115</v>
      </c>
      <c r="F19" s="2">
        <v>1</v>
      </c>
      <c r="G19" s="16">
        <v>20250701</v>
      </c>
      <c r="H19" s="16" t="str">
        <f t="shared" si="0"/>
        <v>7/1/2025</v>
      </c>
      <c r="I19" s="16">
        <v>20250201</v>
      </c>
      <c r="J19" s="16" t="str">
        <f t="shared" si="1"/>
        <v>2/1/2025</v>
      </c>
      <c r="K19" s="2" t="s">
        <v>83</v>
      </c>
      <c r="L19" s="16">
        <v>20</v>
      </c>
      <c r="M19" s="2">
        <v>20</v>
      </c>
      <c r="N19" s="15" t="s">
        <v>128</v>
      </c>
    </row>
    <row r="20" spans="1:14" ht="16.5" customHeight="1" x14ac:dyDescent="0.2">
      <c r="A20" s="2">
        <v>21345012</v>
      </c>
      <c r="B20" s="2" t="s">
        <v>131</v>
      </c>
      <c r="C20" s="16"/>
      <c r="D20" s="16">
        <v>947245334</v>
      </c>
      <c r="E20" s="2" t="s">
        <v>120</v>
      </c>
      <c r="F20" s="2">
        <v>1</v>
      </c>
      <c r="G20" s="16">
        <v>20250701</v>
      </c>
      <c r="H20" s="16" t="str">
        <f t="shared" si="0"/>
        <v>7/1/2025</v>
      </c>
      <c r="I20" s="16">
        <v>20250401</v>
      </c>
      <c r="J20" s="16" t="str">
        <f t="shared" si="1"/>
        <v>4/1/2025</v>
      </c>
      <c r="K20" s="2" t="s">
        <v>45</v>
      </c>
      <c r="L20" s="16">
        <v>20</v>
      </c>
      <c r="M20" s="2">
        <v>20</v>
      </c>
      <c r="N20" s="15" t="s">
        <v>128</v>
      </c>
    </row>
    <row r="21" spans="1:14" ht="16.5" customHeight="1" x14ac:dyDescent="0.2">
      <c r="A21" s="2">
        <v>21345012</v>
      </c>
      <c r="B21" s="2" t="s">
        <v>131</v>
      </c>
      <c r="C21" s="16"/>
      <c r="D21" s="16">
        <v>947248125</v>
      </c>
      <c r="E21" s="2" t="s">
        <v>124</v>
      </c>
      <c r="F21" s="2">
        <v>1</v>
      </c>
      <c r="G21" s="16">
        <v>20250701</v>
      </c>
      <c r="H21" s="16" t="str">
        <f t="shared" si="0"/>
        <v>7/1/2025</v>
      </c>
      <c r="I21" s="16">
        <v>20250601</v>
      </c>
      <c r="J21" s="16" t="str">
        <f t="shared" si="1"/>
        <v>6/1/2025</v>
      </c>
      <c r="K21" s="2" t="s">
        <v>45</v>
      </c>
      <c r="L21" s="16">
        <v>20</v>
      </c>
      <c r="M21" s="2">
        <v>20</v>
      </c>
      <c r="N21" s="15" t="s">
        <v>128</v>
      </c>
    </row>
    <row r="22" spans="1:14" ht="12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Cabel, Denisse Raeka</cp:lastModifiedBy>
  <dcterms:created xsi:type="dcterms:W3CDTF">2025-06-18T18:58:20Z</dcterms:created>
  <dcterms:modified xsi:type="dcterms:W3CDTF">2025-06-23T19:31:31Z</dcterms:modified>
</cp:coreProperties>
</file>