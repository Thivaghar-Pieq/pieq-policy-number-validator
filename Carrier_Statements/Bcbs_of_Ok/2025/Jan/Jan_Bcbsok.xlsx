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2-19-25\"/>
    </mc:Choice>
  </mc:AlternateContent>
  <xr:revisionPtr revIDLastSave="0" documentId="13_ncr:1_{9B75791F-D498-4D92-A7C0-A1E2E4946D0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3" i="2"/>
  <c r="H4" i="2"/>
  <c r="H5" i="2"/>
  <c r="H6" i="2"/>
  <c r="H7" i="2"/>
  <c r="H8" i="2"/>
  <c r="H9" i="2"/>
  <c r="H10" i="2"/>
  <c r="H11" i="2"/>
  <c r="H12" i="2"/>
  <c r="H13" i="2"/>
  <c r="H14" i="2"/>
  <c r="H3" i="2"/>
</calcChain>
</file>

<file path=xl/sharedStrings.xml><?xml version="1.0" encoding="utf-8"?>
<sst xmlns="http://schemas.openxmlformats.org/spreadsheetml/2006/main" count="381" uniqueCount="114">
  <si>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</si>
  <si>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</si>
  <si>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</si>
  <si>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</si>
  <si>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</si>
  <si>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</si>
  <si>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</si>
  <si>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</si>
  <si>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family val="2"/>
      </rPr>
      <t xml:space="preserve">
For Period: January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</si>
  <si>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</si>
  <si>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</si>
  <si>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</si>
  <si>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</si>
  <si>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</si>
  <si>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</si>
  <si>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</si>
  <si>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</si>
  <si>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</si>
  <si>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</si>
  <si>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</si>
  <si>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</si>
  <si>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</si>
  <si>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</si>
  <si>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</si>
  <si>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</si>
  <si>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</si>
  <si>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</si>
  <si>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</si>
  <si>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</si>
  <si>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</si>
  <si>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</si>
  <si>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</si>
  <si>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</si>
  <si>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</si>
  <si>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</si>
  <si>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</si>
  <si>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</si>
  <si>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</si>
  <si>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</si>
  <si>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</si>
  <si>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</si>
  <si>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</si>
  <si>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20250301</t>
  </si>
  <si>
    <t>20180501</t>
  </si>
  <si>
    <t>082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</si>
  <si>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</si>
  <si>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</si>
  <si>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</si>
  <si>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</si>
  <si>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</si>
  <si>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</si>
  <si>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</si>
  <si>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</si>
  <si>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</si>
  <si>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DO2532</t>
  </si>
  <si>
    <t>000,072.00</t>
  </si>
  <si>
    <t>20250101</t>
  </si>
  <si>
    <t>109</t>
  </si>
  <si>
    <t>DENPPO^</t>
  </si>
  <si>
    <t>100.00</t>
  </si>
  <si>
    <t>0.0400</t>
  </si>
  <si>
    <t>000,002.88</t>
  </si>
  <si>
    <t>OS1402</t>
  </si>
  <si>
    <t>1</t>
  </si>
  <si>
    <t>000927898934</t>
  </si>
  <si>
    <t>HERRING, JON</t>
  </si>
  <si>
    <t>20181001</t>
  </si>
  <si>
    <t>077</t>
  </si>
  <si>
    <t>000,020.00</t>
  </si>
  <si>
    <t>IG1201</t>
  </si>
  <si>
    <t>000947060270</t>
  </si>
  <si>
    <t>JEFFERSON, ROBERT</t>
  </si>
  <si>
    <t>20210101</t>
  </si>
  <si>
    <t>050</t>
  </si>
  <si>
    <t>OB1404</t>
  </si>
  <si>
    <t>000947067612</t>
  </si>
  <si>
    <t>FARROW, KENNETH</t>
  </si>
  <si>
    <t>000947109063</t>
  </si>
  <si>
    <t>CROW, JULIE</t>
  </si>
  <si>
    <t>20220501</t>
  </si>
  <si>
    <t>034</t>
  </si>
  <si>
    <t>OS1407</t>
  </si>
  <si>
    <t>000947121772</t>
  </si>
  <si>
    <t>WICKWARE, LATINA</t>
  </si>
  <si>
    <t>20250201</t>
  </si>
  <si>
    <t>20230101</t>
  </si>
  <si>
    <t>025</t>
  </si>
  <si>
    <t>MYBLUEHEALTH^</t>
  </si>
  <si>
    <t>000947147637</t>
  </si>
  <si>
    <t>STANGL, MARLA</t>
  </si>
  <si>
    <t>20230801</t>
  </si>
  <si>
    <t>019</t>
  </si>
  <si>
    <t>000947183187</t>
  </si>
  <si>
    <t>MOORE, JERRY</t>
  </si>
  <si>
    <t>20240101</t>
  </si>
  <si>
    <t>014</t>
  </si>
  <si>
    <t>000947236600</t>
  </si>
  <si>
    <t>QUAM, CRAIG</t>
  </si>
  <si>
    <t>002</t>
  </si>
  <si>
    <t>107888446-SU-MATTHEW DAUGHERTY</t>
  </si>
  <si>
    <t>000947131305</t>
  </si>
  <si>
    <t>TEMPLETON, TODD</t>
  </si>
  <si>
    <t>20230201</t>
  </si>
  <si>
    <t>107888446</t>
  </si>
  <si>
    <t>000947191210</t>
  </si>
  <si>
    <t>TAYLOR, CHARLOTTE</t>
  </si>
  <si>
    <t>20240201</t>
  </si>
  <si>
    <t>013</t>
  </si>
  <si>
    <t>BCBS of OK Dental Products</t>
  </si>
  <si>
    <t>BCBS of OK 2025 Standard</t>
  </si>
  <si>
    <t>[PMPM=2]</t>
  </si>
  <si>
    <t>SU</t>
  </si>
  <si>
    <t>GREGORY K TEIPEL</t>
  </si>
  <si>
    <t>MATTHEW DAUGHERTY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</si>
</sst>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6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vertical="top"/>
    </xf>
    <xf numFmtId="8" fontId="6" fillId="0" borderId="0" xfId="0" applyNumberFormat="1" applyFont="1" applyAlignment="1">
      <alignment horizontal="right" vertical="top"/>
    </xf>
    <xf numFmtId="8" fontId="6" fillId="0" borderId="0" xfId="0" applyNumberFormat="1" applyFont="1" applyAlignment="1">
      <alignment vertical="top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0"/>
  <sheetViews>
    <sheetView showGridLines="0" tabSelected="1" topLeftCell="K1" workbookViewId="0">
      <selection activeCell="P28" sqref="P28:R28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52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53</v>
      </c>
      <c r="K18" s="4" t="s">
        <v>54</v>
      </c>
      <c r="N18" s="7" t="s">
        <v>38</v>
      </c>
      <c r="O18" s="7"/>
      <c r="P18" s="7" t="s">
        <v>39</v>
      </c>
      <c r="Q18" s="7"/>
      <c r="R18" s="7"/>
      <c r="S18" s="3" t="s">
        <v>40</v>
      </c>
      <c r="T18" s="7" t="s">
        <v>55</v>
      </c>
      <c r="U18" s="7"/>
      <c r="V18" s="4" t="s">
        <v>42</v>
      </c>
      <c r="W18" s="4" t="s">
        <v>56</v>
      </c>
      <c r="X18" s="4" t="s">
        <v>57</v>
      </c>
      <c r="Y18" s="7" t="s">
        <v>58</v>
      </c>
      <c r="Z18" s="7"/>
      <c r="AA18" s="4" t="s">
        <v>46</v>
      </c>
      <c r="AB18" s="4" t="s">
        <v>59</v>
      </c>
      <c r="AC18" s="4" t="s">
        <v>60</v>
      </c>
      <c r="AD18" s="4" t="s">
        <v>61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62</v>
      </c>
      <c r="L19" s="4" t="s">
        <v>63</v>
      </c>
      <c r="N19" s="7" t="s">
        <v>64</v>
      </c>
      <c r="O19" s="7"/>
      <c r="P19" s="7" t="s">
        <v>65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66</v>
      </c>
      <c r="X19" s="4" t="s">
        <v>67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68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69</v>
      </c>
      <c r="L20" s="4" t="s">
        <v>37</v>
      </c>
      <c r="N20" s="7" t="s">
        <v>70</v>
      </c>
      <c r="O20" s="7"/>
      <c r="P20" s="7" t="s">
        <v>71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72</v>
      </c>
      <c r="X20" s="4" t="s">
        <v>73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49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74</v>
      </c>
      <c r="L21" s="4" t="s">
        <v>63</v>
      </c>
      <c r="N21" s="7" t="s">
        <v>75</v>
      </c>
      <c r="O21" s="7"/>
      <c r="P21" s="7" t="s">
        <v>76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72</v>
      </c>
      <c r="X21" s="4" t="s">
        <v>73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68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62</v>
      </c>
      <c r="L22" s="4" t="s">
        <v>63</v>
      </c>
      <c r="N22" s="7" t="s">
        <v>77</v>
      </c>
      <c r="O22" s="7"/>
      <c r="P22" s="7" t="s">
        <v>78</v>
      </c>
      <c r="Q22" s="7"/>
      <c r="R22" s="7"/>
      <c r="S22" s="3" t="s">
        <v>40</v>
      </c>
      <c r="T22" s="7" t="s">
        <v>41</v>
      </c>
      <c r="U22" s="7"/>
      <c r="V22" s="4" t="s">
        <v>42</v>
      </c>
      <c r="W22" s="4" t="s">
        <v>79</v>
      </c>
      <c r="X22" s="4" t="s">
        <v>80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68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81</v>
      </c>
      <c r="L23" s="4" t="s">
        <v>63</v>
      </c>
      <c r="N23" s="7" t="s">
        <v>82</v>
      </c>
      <c r="O23" s="7"/>
      <c r="P23" s="7" t="s">
        <v>83</v>
      </c>
      <c r="Q23" s="7"/>
      <c r="R23" s="7"/>
      <c r="S23" s="3" t="s">
        <v>40</v>
      </c>
      <c r="T23" s="7" t="s">
        <v>41</v>
      </c>
      <c r="U23" s="7"/>
      <c r="V23" s="4" t="s">
        <v>84</v>
      </c>
      <c r="W23" s="4" t="s">
        <v>85</v>
      </c>
      <c r="X23" s="4" t="s">
        <v>86</v>
      </c>
      <c r="Y23" s="7" t="s">
        <v>87</v>
      </c>
      <c r="Z23" s="7"/>
      <c r="AA23" s="4" t="s">
        <v>46</v>
      </c>
      <c r="AB23" s="4" t="s">
        <v>47</v>
      </c>
      <c r="AC23" s="4" t="s">
        <v>48</v>
      </c>
      <c r="AD23" s="4" t="s">
        <v>68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62</v>
      </c>
      <c r="L24" s="4" t="s">
        <v>63</v>
      </c>
      <c r="N24" s="7" t="s">
        <v>88</v>
      </c>
      <c r="O24" s="7"/>
      <c r="P24" s="7" t="s">
        <v>89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90</v>
      </c>
      <c r="X24" s="4" t="s">
        <v>91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68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74</v>
      </c>
      <c r="L25" s="4" t="s">
        <v>63</v>
      </c>
      <c r="N25" s="7" t="s">
        <v>92</v>
      </c>
      <c r="O25" s="7"/>
      <c r="P25" s="7" t="s">
        <v>93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94</v>
      </c>
      <c r="X25" s="4" t="s">
        <v>95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68</v>
      </c>
      <c r="AE25" s="4" t="s">
        <v>50</v>
      </c>
      <c r="AF25" s="4" t="s">
        <v>41</v>
      </c>
      <c r="AG25" s="4" t="s">
        <v>51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34</v>
      </c>
      <c r="H26" s="7"/>
      <c r="I26" s="7"/>
      <c r="J26" s="3" t="s">
        <v>35</v>
      </c>
      <c r="K26" s="4" t="s">
        <v>36</v>
      </c>
      <c r="L26" s="4" t="s">
        <v>37</v>
      </c>
      <c r="N26" s="7" t="s">
        <v>96</v>
      </c>
      <c r="O26" s="7"/>
      <c r="P26" s="7" t="s">
        <v>97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56</v>
      </c>
      <c r="X26" s="4" t="s">
        <v>98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51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99</v>
      </c>
      <c r="H27" s="7"/>
      <c r="I27" s="7"/>
      <c r="J27" s="3" t="s">
        <v>35</v>
      </c>
      <c r="K27" s="4" t="s">
        <v>74</v>
      </c>
      <c r="L27" s="4" t="s">
        <v>37</v>
      </c>
      <c r="N27" s="7" t="s">
        <v>100</v>
      </c>
      <c r="O27" s="7"/>
      <c r="P27" s="7" t="s">
        <v>101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102</v>
      </c>
      <c r="X27" s="4" t="s">
        <v>86</v>
      </c>
      <c r="Y27" s="7" t="s">
        <v>45</v>
      </c>
      <c r="Z27" s="7"/>
      <c r="AA27" s="4" t="s">
        <v>46</v>
      </c>
      <c r="AB27" s="4" t="s">
        <v>47</v>
      </c>
      <c r="AC27" s="4" t="s">
        <v>48</v>
      </c>
      <c r="AD27" s="4" t="s">
        <v>49</v>
      </c>
      <c r="AE27" s="4" t="s">
        <v>50</v>
      </c>
      <c r="AF27" s="4" t="s">
        <v>41</v>
      </c>
      <c r="AG27" s="4" t="s">
        <v>103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99</v>
      </c>
      <c r="H28" s="7"/>
      <c r="I28" s="7"/>
      <c r="J28" s="3" t="s">
        <v>35</v>
      </c>
      <c r="K28" s="4" t="s">
        <v>62</v>
      </c>
      <c r="L28" s="4" t="s">
        <v>37</v>
      </c>
      <c r="N28" s="7" t="s">
        <v>104</v>
      </c>
      <c r="O28" s="7"/>
      <c r="P28" s="7" t="s">
        <v>105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106</v>
      </c>
      <c r="X28" s="4" t="s">
        <v>107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49</v>
      </c>
      <c r="AE28" s="4" t="s">
        <v>50</v>
      </c>
      <c r="AF28" s="4" t="s">
        <v>41</v>
      </c>
      <c r="AG28" s="4" t="s">
        <v>103</v>
      </c>
    </row>
    <row r="29" spans="1:33" ht="409.6" customHeight="1" x14ac:dyDescent="0.2"/>
    <row r="30" spans="1:33" ht="12" customHeight="1" x14ac:dyDescent="0.2"/>
  </sheetData>
  <mergeCells count="114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8:D28"/>
    <mergeCell ref="E28:F28"/>
    <mergeCell ref="G28:I28"/>
    <mergeCell ref="N28:O28"/>
    <mergeCell ref="P28:R28"/>
    <mergeCell ref="T28:U28"/>
    <mergeCell ref="Y28:Z28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03D2-830A-4DD5-80BF-D8FF9537F100}">
  <dimension ref="A1:P14"/>
  <sheetViews>
    <sheetView topLeftCell="B1" workbookViewId="0">
      <selection activeCell="P3" sqref="P3:P14"/>
    </sheetView>
  </sheetViews>
  <sheetFormatPr defaultColWidth="6.85546875" defaultRowHeight="15" customHeight="1" x14ac:dyDescent="0.2"/>
  <cols>
    <col min="1" max="1" width="33.5703125" bestFit="1" customWidth="1"/>
    <col min="2" max="2" width="33.5703125" customWidth="1"/>
    <col min="3" max="3" width="17.42578125" bestFit="1" customWidth="1"/>
    <col min="4" max="4" width="13.140625" bestFit="1" customWidth="1"/>
    <col min="5" max="5" width="20.7109375" customWidth="1"/>
    <col min="6" max="6" width="15.85546875" bestFit="1" customWidth="1"/>
    <col min="7" max="8" width="13.140625" customWidth="1"/>
    <col min="9" max="10" width="14.140625" customWidth="1"/>
    <col min="11" max="11" width="16.42578125" bestFit="1" customWidth="1"/>
    <col min="12" max="13" width="13.42578125" customWidth="1"/>
    <col min="14" max="14" width="13.5703125" customWidth="1"/>
    <col min="15" max="15" width="25.85546875" bestFit="1" customWidth="1"/>
  </cols>
  <sheetData>
    <row r="1" spans="1:16" ht="15" customHeight="1" x14ac:dyDescent="0.2">
      <c r="A1" s="15"/>
      <c r="B1" s="15"/>
      <c r="C1" s="15" t="s">
        <v>15</v>
      </c>
      <c r="D1" s="15" t="s">
        <v>16</v>
      </c>
      <c r="E1" s="15" t="s">
        <v>17</v>
      </c>
      <c r="F1" s="15" t="s">
        <v>19</v>
      </c>
      <c r="G1" s="15" t="s">
        <v>20</v>
      </c>
      <c r="H1" s="15"/>
      <c r="I1" s="15" t="s">
        <v>21</v>
      </c>
      <c r="J1" s="15"/>
      <c r="K1" s="15" t="s">
        <v>23</v>
      </c>
      <c r="L1" s="15" t="s">
        <v>25</v>
      </c>
      <c r="M1" s="15" t="s">
        <v>26</v>
      </c>
      <c r="N1" s="15" t="s">
        <v>27</v>
      </c>
    </row>
    <row r="2" spans="1:16" ht="15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6" ht="15" customHeight="1" x14ac:dyDescent="0.2">
      <c r="A3" t="s">
        <v>112</v>
      </c>
      <c r="B3" s="20">
        <v>8307933</v>
      </c>
      <c r="C3" s="16">
        <v>2</v>
      </c>
      <c r="D3" s="17">
        <v>927812760</v>
      </c>
      <c r="E3" s="14" t="s">
        <v>39</v>
      </c>
      <c r="F3" s="14">
        <v>0</v>
      </c>
      <c r="G3" s="16">
        <v>20250301</v>
      </c>
      <c r="H3" s="16" t="str">
        <f>TEXT(DATE(LEFT(G3,4), MID(G3,5,2), RIGHT(G3,2)), "M/d/yyyy")</f>
        <v>3/1/2025</v>
      </c>
      <c r="I3" s="16">
        <v>20180501</v>
      </c>
      <c r="J3" s="16" t="str">
        <f>TEXT(DATE(LEFT(I3,4), MID(I3,5,2), RIGHT(I3,2)), "M/d/yyyy")</f>
        <v>5/1/2018</v>
      </c>
      <c r="K3" s="14" t="s">
        <v>45</v>
      </c>
      <c r="L3" s="18">
        <v>1</v>
      </c>
      <c r="M3" s="16">
        <v>20</v>
      </c>
      <c r="N3" s="4">
        <v>40</v>
      </c>
      <c r="O3" t="s">
        <v>109</v>
      </c>
      <c r="P3" s="20" t="s">
        <v>110</v>
      </c>
    </row>
    <row r="4" spans="1:16" ht="15" customHeight="1" x14ac:dyDescent="0.2">
      <c r="A4" t="s">
        <v>112</v>
      </c>
      <c r="B4" s="20">
        <v>8307933</v>
      </c>
      <c r="D4" s="17">
        <v>1927812760</v>
      </c>
      <c r="E4" s="14" t="s">
        <v>39</v>
      </c>
      <c r="F4" s="14">
        <v>72</v>
      </c>
      <c r="G4" s="16">
        <v>20250301</v>
      </c>
      <c r="H4" s="16" t="str">
        <f t="shared" ref="H4:H14" si="0">TEXT(DATE(LEFT(G4,4), MID(G4,5,2), RIGHT(G4,2)), "M/d/yyyy")</f>
        <v>3/1/2025</v>
      </c>
      <c r="I4" s="16">
        <v>20240101</v>
      </c>
      <c r="J4" s="16" t="str">
        <f t="shared" ref="J4:J14" si="1">TEXT(DATE(LEFT(I4,4), MID(I4,5,2), RIGHT(I4,2)), "M/d/yyyy")</f>
        <v>1/1/2024</v>
      </c>
      <c r="K4" s="14" t="s">
        <v>58</v>
      </c>
      <c r="L4" s="16">
        <v>100</v>
      </c>
      <c r="M4" s="16">
        <v>0.04</v>
      </c>
      <c r="N4" s="4">
        <v>2.88</v>
      </c>
      <c r="O4" t="s">
        <v>108</v>
      </c>
    </row>
    <row r="5" spans="1:16" ht="15" customHeight="1" x14ac:dyDescent="0.2">
      <c r="A5" t="s">
        <v>112</v>
      </c>
      <c r="B5" s="20">
        <v>8307933</v>
      </c>
      <c r="C5" s="16">
        <v>1</v>
      </c>
      <c r="D5" s="17">
        <v>927898934</v>
      </c>
      <c r="E5" s="14" t="s">
        <v>65</v>
      </c>
      <c r="F5" s="14">
        <v>0</v>
      </c>
      <c r="G5" s="16">
        <v>20250301</v>
      </c>
      <c r="H5" s="16" t="str">
        <f t="shared" si="0"/>
        <v>3/1/2025</v>
      </c>
      <c r="I5" s="16">
        <v>20181001</v>
      </c>
      <c r="J5" s="16" t="str">
        <f t="shared" si="1"/>
        <v>10/1/2018</v>
      </c>
      <c r="K5" s="14" t="s">
        <v>45</v>
      </c>
      <c r="L5" s="18">
        <v>1</v>
      </c>
      <c r="M5" s="16">
        <v>20</v>
      </c>
      <c r="N5" s="4">
        <v>20</v>
      </c>
      <c r="O5" t="s">
        <v>109</v>
      </c>
    </row>
    <row r="6" spans="1:16" ht="15" customHeight="1" x14ac:dyDescent="0.2">
      <c r="A6" t="s">
        <v>112</v>
      </c>
      <c r="B6" s="20">
        <v>8307933</v>
      </c>
      <c r="C6" s="16">
        <v>2</v>
      </c>
      <c r="D6" s="17">
        <v>947060270</v>
      </c>
      <c r="E6" s="14" t="s">
        <v>71</v>
      </c>
      <c r="F6" s="14">
        <v>0</v>
      </c>
      <c r="G6" s="16">
        <v>20250301</v>
      </c>
      <c r="H6" s="16" t="str">
        <f t="shared" si="0"/>
        <v>3/1/2025</v>
      </c>
      <c r="I6" s="16">
        <v>20210101</v>
      </c>
      <c r="J6" s="16" t="str">
        <f t="shared" si="1"/>
        <v>1/1/2021</v>
      </c>
      <c r="K6" s="14" t="s">
        <v>45</v>
      </c>
      <c r="L6" s="18">
        <v>1</v>
      </c>
      <c r="M6" s="16">
        <v>20</v>
      </c>
      <c r="N6" s="4">
        <v>40</v>
      </c>
      <c r="O6" t="s">
        <v>109</v>
      </c>
      <c r="P6" s="20" t="s">
        <v>110</v>
      </c>
    </row>
    <row r="7" spans="1:16" ht="15" customHeight="1" x14ac:dyDescent="0.2">
      <c r="A7" t="s">
        <v>112</v>
      </c>
      <c r="B7" s="20">
        <v>8307933</v>
      </c>
      <c r="C7" s="16">
        <v>1</v>
      </c>
      <c r="D7" s="17">
        <v>947067612</v>
      </c>
      <c r="E7" s="14" t="s">
        <v>76</v>
      </c>
      <c r="F7" s="14">
        <v>0</v>
      </c>
      <c r="G7" s="16">
        <v>20250301</v>
      </c>
      <c r="H7" s="16" t="str">
        <f t="shared" si="0"/>
        <v>3/1/2025</v>
      </c>
      <c r="I7" s="16">
        <v>20210101</v>
      </c>
      <c r="J7" s="16" t="str">
        <f t="shared" si="1"/>
        <v>1/1/2021</v>
      </c>
      <c r="K7" s="14" t="s">
        <v>45</v>
      </c>
      <c r="L7" s="18">
        <v>1</v>
      </c>
      <c r="M7" s="16">
        <v>20</v>
      </c>
      <c r="N7" s="4">
        <v>20</v>
      </c>
      <c r="O7" t="s">
        <v>109</v>
      </c>
    </row>
    <row r="8" spans="1:16" ht="15" customHeight="1" x14ac:dyDescent="0.2">
      <c r="A8" t="s">
        <v>112</v>
      </c>
      <c r="B8" s="20">
        <v>8307933</v>
      </c>
      <c r="C8" s="16">
        <v>1</v>
      </c>
      <c r="D8" s="17">
        <v>947109063</v>
      </c>
      <c r="E8" s="14" t="s">
        <v>78</v>
      </c>
      <c r="F8" s="14">
        <v>0</v>
      </c>
      <c r="G8" s="16">
        <v>20250301</v>
      </c>
      <c r="H8" s="16" t="str">
        <f t="shared" si="0"/>
        <v>3/1/2025</v>
      </c>
      <c r="I8" s="16">
        <v>20220501</v>
      </c>
      <c r="J8" s="16" t="str">
        <f t="shared" si="1"/>
        <v>5/1/2022</v>
      </c>
      <c r="K8" s="14" t="s">
        <v>45</v>
      </c>
      <c r="L8" s="18">
        <v>1</v>
      </c>
      <c r="M8" s="16">
        <v>20</v>
      </c>
      <c r="N8" s="4">
        <v>20</v>
      </c>
      <c r="O8" t="s">
        <v>109</v>
      </c>
    </row>
    <row r="9" spans="1:16" ht="15" customHeight="1" x14ac:dyDescent="0.2">
      <c r="A9" t="s">
        <v>112</v>
      </c>
      <c r="B9" s="20">
        <v>8307933</v>
      </c>
      <c r="C9" s="16">
        <v>1</v>
      </c>
      <c r="D9" s="17">
        <v>947121772</v>
      </c>
      <c r="E9" s="14" t="s">
        <v>83</v>
      </c>
      <c r="F9" s="14">
        <v>0</v>
      </c>
      <c r="G9" s="16">
        <v>20250201</v>
      </c>
      <c r="H9" s="16" t="str">
        <f t="shared" si="0"/>
        <v>2/1/2025</v>
      </c>
      <c r="I9" s="16">
        <v>20230101</v>
      </c>
      <c r="J9" s="16" t="str">
        <f t="shared" si="1"/>
        <v>1/1/2023</v>
      </c>
      <c r="K9" s="14" t="s">
        <v>87</v>
      </c>
      <c r="L9" s="18">
        <v>1</v>
      </c>
      <c r="M9" s="16">
        <v>20</v>
      </c>
      <c r="N9" s="4">
        <v>20</v>
      </c>
      <c r="O9" t="s">
        <v>109</v>
      </c>
    </row>
    <row r="10" spans="1:16" ht="15" customHeight="1" x14ac:dyDescent="0.2">
      <c r="A10" t="s">
        <v>112</v>
      </c>
      <c r="B10" s="20">
        <v>8307933</v>
      </c>
      <c r="C10" s="16">
        <v>1</v>
      </c>
      <c r="D10" s="17">
        <v>947147637</v>
      </c>
      <c r="E10" s="14" t="s">
        <v>89</v>
      </c>
      <c r="F10" s="14">
        <v>0</v>
      </c>
      <c r="G10" s="16">
        <v>20250301</v>
      </c>
      <c r="H10" s="16" t="str">
        <f t="shared" si="0"/>
        <v>3/1/2025</v>
      </c>
      <c r="I10" s="16">
        <v>20230801</v>
      </c>
      <c r="J10" s="16" t="str">
        <f t="shared" si="1"/>
        <v>8/1/2023</v>
      </c>
      <c r="K10" s="14" t="s">
        <v>45</v>
      </c>
      <c r="L10" s="18">
        <v>1</v>
      </c>
      <c r="M10" s="16">
        <v>20</v>
      </c>
      <c r="N10" s="4">
        <v>20</v>
      </c>
      <c r="O10" t="s">
        <v>109</v>
      </c>
    </row>
    <row r="11" spans="1:16" ht="15" customHeight="1" x14ac:dyDescent="0.2">
      <c r="A11" t="s">
        <v>112</v>
      </c>
      <c r="B11" s="20">
        <v>8307933</v>
      </c>
      <c r="C11" s="17">
        <v>1</v>
      </c>
      <c r="D11" s="17">
        <v>947183187</v>
      </c>
      <c r="E11" s="14" t="s">
        <v>93</v>
      </c>
      <c r="F11" s="14">
        <v>0</v>
      </c>
      <c r="G11" s="17">
        <v>20250301</v>
      </c>
      <c r="H11" s="16" t="str">
        <f t="shared" si="0"/>
        <v>3/1/2025</v>
      </c>
      <c r="I11" s="17">
        <v>20240101</v>
      </c>
      <c r="J11" s="16" t="str">
        <f t="shared" si="1"/>
        <v>1/1/2024</v>
      </c>
      <c r="K11" s="14" t="s">
        <v>45</v>
      </c>
      <c r="L11" s="19">
        <v>1</v>
      </c>
      <c r="M11" s="17">
        <v>20</v>
      </c>
      <c r="N11" s="14">
        <v>20</v>
      </c>
      <c r="O11" t="s">
        <v>109</v>
      </c>
    </row>
    <row r="12" spans="1:16" ht="15" customHeight="1" x14ac:dyDescent="0.2">
      <c r="A12" t="s">
        <v>112</v>
      </c>
      <c r="B12" s="20">
        <v>8307933</v>
      </c>
      <c r="C12" s="17">
        <v>2</v>
      </c>
      <c r="D12" s="17">
        <v>947236600</v>
      </c>
      <c r="E12" s="14" t="s">
        <v>97</v>
      </c>
      <c r="F12" s="14">
        <v>0</v>
      </c>
      <c r="G12" s="17">
        <v>20250301</v>
      </c>
      <c r="H12" s="16" t="str">
        <f t="shared" si="0"/>
        <v>3/1/2025</v>
      </c>
      <c r="I12" s="17">
        <v>20250101</v>
      </c>
      <c r="J12" s="16" t="str">
        <f t="shared" si="1"/>
        <v>1/1/2025</v>
      </c>
      <c r="K12" s="14" t="s">
        <v>45</v>
      </c>
      <c r="L12" s="19">
        <v>1</v>
      </c>
      <c r="M12" s="17">
        <v>20</v>
      </c>
      <c r="N12" s="14">
        <v>40</v>
      </c>
      <c r="O12" t="s">
        <v>109</v>
      </c>
      <c r="P12" s="20" t="s">
        <v>110</v>
      </c>
    </row>
    <row r="13" spans="1:16" ht="15" customHeight="1" x14ac:dyDescent="0.2">
      <c r="A13" t="s">
        <v>113</v>
      </c>
      <c r="B13" s="21">
        <v>1706194</v>
      </c>
      <c r="C13" s="16">
        <v>2</v>
      </c>
      <c r="D13" s="17">
        <v>947131305</v>
      </c>
      <c r="E13" s="14" t="s">
        <v>101</v>
      </c>
      <c r="F13" s="14">
        <v>0</v>
      </c>
      <c r="G13" s="16">
        <v>20250301</v>
      </c>
      <c r="H13" s="16" t="str">
        <f t="shared" si="0"/>
        <v>3/1/2025</v>
      </c>
      <c r="I13" s="16">
        <v>20230201</v>
      </c>
      <c r="J13" s="16" t="str">
        <f t="shared" si="1"/>
        <v>2/1/2023</v>
      </c>
      <c r="K13" s="14" t="s">
        <v>45</v>
      </c>
      <c r="L13" s="18">
        <v>1</v>
      </c>
      <c r="M13" s="16">
        <v>20</v>
      </c>
      <c r="N13" s="4">
        <v>40</v>
      </c>
      <c r="O13" t="s">
        <v>109</v>
      </c>
      <c r="P13" s="20" t="s">
        <v>110</v>
      </c>
    </row>
    <row r="14" spans="1:16" ht="15" customHeight="1" x14ac:dyDescent="0.2">
      <c r="A14" t="s">
        <v>113</v>
      </c>
      <c r="B14" s="21">
        <v>1706194</v>
      </c>
      <c r="C14" s="16">
        <v>2</v>
      </c>
      <c r="D14" s="17">
        <v>947191210</v>
      </c>
      <c r="E14" s="14" t="s">
        <v>105</v>
      </c>
      <c r="F14" s="14">
        <v>0</v>
      </c>
      <c r="G14" s="16">
        <v>20250301</v>
      </c>
      <c r="H14" s="16" t="str">
        <f t="shared" si="0"/>
        <v>3/1/2025</v>
      </c>
      <c r="I14" s="16">
        <v>20240201</v>
      </c>
      <c r="J14" s="16" t="str">
        <f t="shared" si="1"/>
        <v>2/1/2024</v>
      </c>
      <c r="K14" s="14" t="s">
        <v>45</v>
      </c>
      <c r="L14" s="18">
        <v>1</v>
      </c>
      <c r="M14" s="16">
        <v>20</v>
      </c>
      <c r="N14" s="4">
        <v>40</v>
      </c>
      <c r="O14" t="s">
        <v>109</v>
      </c>
      <c r="P14" s="20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7E7A-233F-42DB-9553-44D21E443A71}">
  <dimension ref="A1:C12"/>
  <sheetViews>
    <sheetView workbookViewId="0">
      <selection activeCell="C1" sqref="C1:C12"/>
    </sheetView>
  </sheetViews>
  <sheetFormatPr defaultRowHeight="12.75" x14ac:dyDescent="0.2"/>
  <sheetData>
    <row r="1" spans="1:3" x14ac:dyDescent="0.2">
      <c r="A1" s="14">
        <v>107866949</v>
      </c>
      <c r="B1" t="s">
        <v>111</v>
      </c>
      <c r="C1" t="s">
        <v>112</v>
      </c>
    </row>
    <row r="2" spans="1:3" x14ac:dyDescent="0.2">
      <c r="A2" s="14">
        <v>107866949</v>
      </c>
      <c r="B2" t="s">
        <v>111</v>
      </c>
      <c r="C2" t="s">
        <v>112</v>
      </c>
    </row>
    <row r="3" spans="1:3" x14ac:dyDescent="0.2">
      <c r="A3" s="14">
        <v>107866949</v>
      </c>
      <c r="B3" t="s">
        <v>111</v>
      </c>
      <c r="C3" t="s">
        <v>112</v>
      </c>
    </row>
    <row r="4" spans="1:3" x14ac:dyDescent="0.2">
      <c r="A4" s="14">
        <v>107866949</v>
      </c>
      <c r="B4" t="s">
        <v>111</v>
      </c>
      <c r="C4" t="s">
        <v>112</v>
      </c>
    </row>
    <row r="5" spans="1:3" x14ac:dyDescent="0.2">
      <c r="A5" s="14">
        <v>107866949</v>
      </c>
      <c r="B5" t="s">
        <v>111</v>
      </c>
      <c r="C5" t="s">
        <v>112</v>
      </c>
    </row>
    <row r="6" spans="1:3" x14ac:dyDescent="0.2">
      <c r="A6" s="14">
        <v>107866949</v>
      </c>
      <c r="B6" t="s">
        <v>111</v>
      </c>
      <c r="C6" t="s">
        <v>112</v>
      </c>
    </row>
    <row r="7" spans="1:3" x14ac:dyDescent="0.2">
      <c r="A7" s="14">
        <v>107866949</v>
      </c>
      <c r="B7" t="s">
        <v>111</v>
      </c>
      <c r="C7" t="s">
        <v>112</v>
      </c>
    </row>
    <row r="8" spans="1:3" x14ac:dyDescent="0.2">
      <c r="A8" s="14">
        <v>107866949</v>
      </c>
      <c r="B8" t="s">
        <v>111</v>
      </c>
      <c r="C8" t="s">
        <v>112</v>
      </c>
    </row>
    <row r="9" spans="1:3" x14ac:dyDescent="0.2">
      <c r="A9" s="14">
        <v>107866949</v>
      </c>
      <c r="B9" t="s">
        <v>111</v>
      </c>
      <c r="C9" t="s">
        <v>112</v>
      </c>
    </row>
    <row r="10" spans="1:3" x14ac:dyDescent="0.2">
      <c r="A10" s="14">
        <v>107866949</v>
      </c>
      <c r="B10" t="s">
        <v>111</v>
      </c>
      <c r="C10" t="s">
        <v>112</v>
      </c>
    </row>
    <row r="11" spans="1:3" x14ac:dyDescent="0.2">
      <c r="A11" s="14">
        <v>107888446</v>
      </c>
      <c r="B11" t="s">
        <v>111</v>
      </c>
      <c r="C11" t="s">
        <v>113</v>
      </c>
    </row>
    <row r="12" spans="1:3" x14ac:dyDescent="0.2">
      <c r="A12" s="14">
        <v>107888446</v>
      </c>
      <c r="B12" t="s">
        <v>111</v>
      </c>
      <c r="C1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2025-02-19T18:06:54Z</dcterms:created>
  <dcterms:modified xsi:type="dcterms:W3CDTF">2025-02-25T16:34:06Z</dcterms:modified>
</cp:coreProperties>
</file>