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UHONE custom benefits\2026\2026-04-15\"/>
    </mc:Choice>
  </mc:AlternateContent>
  <xr:revisionPtr revIDLastSave="0" documentId="13_ncr:1_{923F9897-7C4C-48E5-80D1-10D1F5233708}" xr6:coauthVersionLast="47" xr6:coauthVersionMax="47" xr10:uidLastSave="{00000000-0000-0000-0000-000000000000}"/>
  <bookViews>
    <workbookView xWindow="-120" yWindow="-120" windowWidth="29040" windowHeight="15720" activeTab="1" xr2:uid="{911419DD-FD9F-4A4D-8781-4056FCF25B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2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<sst xmlns="http://schemas.openxmlformats.org/spreadsheetml/2006/main" count="949" uniqueCount="44">
  <si>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</si>
  <si>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</si>
  <si>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</si>
  <si>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</si>
  <si>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</si>
  <si>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</si>
  <si>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</si>
  <si>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</si>
  <si>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</si>
  <si>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</si>
  <si>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</si>
  <si>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</si>
  <si>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</si>
  <si>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</si>
  <si>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</si>
  <si>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</si>
  <si>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</si>
  <si>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</si>
  <si>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</si>
  <si>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</si>
  <si>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Brandt, Steven</t>
  </si>
  <si>
    <t>AB4724</t>
  </si>
  <si>
    <t>United Healthcare</t>
  </si>
  <si>
    <t>FARMER, MICHELE</t>
  </si>
  <si>
    <t>Hospital SafeGuard</t>
  </si>
  <si>
    <t>Mar</t>
  </si>
  <si>
    <t>No</t>
  </si>
  <si>
    <t>HANEY, MARVIN</t>
  </si>
  <si>
    <t>LEACH, CINDY</t>
  </si>
  <si>
    <t>RAUSCH, KAREN</t>
  </si>
  <si>
    <t>RHEINSCHELD, DANIEL</t>
  </si>
  <si>
    <t>RINEHART, LINDA</t>
  </si>
  <si>
    <t>KESHK, YUSEF</t>
  </si>
  <si>
    <t>Rider</t>
  </si>
  <si>
    <t>Apr</t>
  </si>
  <si>
    <t>KNAPP, ANNA</t>
  </si>
  <si>
    <t>Accident</t>
  </si>
  <si>
    <t>Dental</t>
  </si>
  <si>
    <t>KOENIG-PEREZ, KIMBERLY</t>
  </si>
  <si>
    <t>May</t>
  </si>
  <si>
    <t>Uhone Hospital Safeguard including Riders 18-59</t>
  </si>
  <si>
    <t>Uhone Dental Premier</t>
  </si>
  <si>
    <t>Uhone Accident ProGap/ProGuard/ExpenseGuard: AZ, FL, IN, MD, ME, OH, SC, VA</t>
  </si>
  <si>
    <t>Uhone Hospital Advantage Guard including Riders 18-59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</si>
</sst>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/>
    <xf numFmtId="0" fontId="0" fillId="0" borderId="0" xfId="0" applyBorder="1"/>
    <xf numFmtId="14" fontId="1" fillId="2" borderId="0" xfId="0" applyNumberFormat="1" applyFont="1" applyFill="1" applyBorder="1"/>
    <xf numFmtId="0" fontId="1" fillId="2" borderId="0" xfId="0" applyFont="1" applyFill="1" applyBorder="1"/>
    <xf numFmtId="9" fontId="1" fillId="2" borderId="0" xfId="0" applyNumberFormat="1" applyFont="1" applyFill="1" applyBorder="1"/>
    <xf numFmtId="14" fontId="1" fillId="3" borderId="0" xfId="0" applyNumberFormat="1" applyFont="1" applyFill="1" applyBorder="1"/>
    <xf numFmtId="0" fontId="1" fillId="3" borderId="0" xfId="0" applyFont="1" applyFill="1" applyBorder="1"/>
    <xf numFmtId="9" fontId="1" fillId="3" borderId="0" xfId="0" applyNumberFormat="1" applyFont="1" applyFill="1" applyBorder="1"/>
    <xf numFmtId="14" fontId="1" fillId="4" borderId="0" xfId="0" applyNumberFormat="1" applyFont="1" applyFill="1" applyBorder="1"/>
    <xf numFmtId="0" fontId="1" fillId="4" borderId="0" xfId="0" applyFont="1" applyFill="1" applyBorder="1"/>
    <xf numFmtId="9" fontId="1" fillId="0" borderId="0" xfId="0" applyNumberFormat="1" applyFont="1" applyBorder="1"/>
    <xf numFmtId="1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23FB-8A71-4E9B-AAEE-50912EE1C86E}">
  <dimension ref="A1:Z50"/>
  <sheetViews>
    <sheetView topLeftCell="F19" workbookViewId="0">
      <selection activeCell="F19" sqref="A1:XFD1048576"/>
    </sheetView>
  </sheetViews>
  <sheetFormatPr defaultColWidth="14.42578125" defaultRowHeight="15" x14ac:dyDescent="0.25"/>
  <cols>
    <col min="1" max="3" width="14.42578125" style="2"/>
    <col min="4" max="4" width="10.42578125" style="2" customWidth="1"/>
    <col min="5" max="5" width="11.42578125" style="2" customWidth="1"/>
    <col min="6" max="6" width="9.28515625" style="2" customWidth="1"/>
    <col min="7" max="7" width="16.5703125" style="2" customWidth="1"/>
    <col min="8" max="8" width="11.5703125" style="2" customWidth="1"/>
    <col min="9" max="9" width="17.85546875" style="2" customWidth="1"/>
    <col min="10" max="10" width="12.28515625" style="2" customWidth="1"/>
    <col min="11" max="11" width="12.5703125" style="2" customWidth="1"/>
    <col min="12" max="12" width="18.140625" style="2" bestFit="1" customWidth="1"/>
    <col min="13" max="13" width="11.42578125" style="2" customWidth="1"/>
    <col min="14" max="15" width="7.85546875" style="2" customWidth="1"/>
    <col min="16" max="18" width="14.42578125" style="2"/>
    <col min="19" max="19" width="7.28515625" style="2" customWidth="1"/>
    <col min="20" max="20" width="7.140625" style="2" customWidth="1"/>
    <col min="21" max="16384" width="14.42578125" style="2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6" x14ac:dyDescent="0.25">
      <c r="A2" s="3">
        <v>46127</v>
      </c>
      <c r="B2" s="4" t="s">
        <v>19</v>
      </c>
      <c r="C2" s="4" t="s">
        <v>20</v>
      </c>
      <c r="D2" s="4">
        <v>6344075</v>
      </c>
      <c r="E2" s="4" t="s">
        <v>21</v>
      </c>
      <c r="F2" s="4"/>
      <c r="G2" s="4" t="s">
        <v>22</v>
      </c>
      <c r="H2" s="3">
        <v>46082</v>
      </c>
      <c r="I2" s="4" t="s">
        <v>23</v>
      </c>
      <c r="J2" s="4">
        <v>60807297</v>
      </c>
      <c r="K2" s="4">
        <v>450896372</v>
      </c>
      <c r="L2" s="4" t="s">
        <v>24</v>
      </c>
      <c r="M2" s="3">
        <v>46082</v>
      </c>
      <c r="N2" s="4" t="s">
        <v>25</v>
      </c>
      <c r="O2" s="4">
        <v>-14.77</v>
      </c>
      <c r="P2" s="4">
        <v>-5.91</v>
      </c>
      <c r="Q2" s="4"/>
      <c r="R2" s="4" t="s">
        <v>15</v>
      </c>
      <c r="S2" s="4" t="s">
        <v>26</v>
      </c>
      <c r="T2" s="5">
        <f t="shared" ref="T2:T50" si="0">P2/O2</f>
        <v>0.40013540961408262</v>
      </c>
      <c r="U2" s="4"/>
      <c r="V2" s="4"/>
      <c r="W2" s="4"/>
      <c r="X2" s="4"/>
      <c r="Y2" s="4"/>
      <c r="Z2" s="4"/>
    </row>
    <row r="3" spans="1:26" x14ac:dyDescent="0.25">
      <c r="A3" s="3">
        <v>46127</v>
      </c>
      <c r="B3" s="4" t="s">
        <v>19</v>
      </c>
      <c r="C3" s="4" t="s">
        <v>20</v>
      </c>
      <c r="D3" s="4">
        <v>6344075</v>
      </c>
      <c r="E3" s="4" t="s">
        <v>21</v>
      </c>
      <c r="F3" s="4"/>
      <c r="G3" s="4" t="s">
        <v>22</v>
      </c>
      <c r="H3" s="3">
        <v>46082</v>
      </c>
      <c r="I3" s="4" t="s">
        <v>23</v>
      </c>
      <c r="J3" s="4">
        <v>60807297</v>
      </c>
      <c r="K3" s="4">
        <v>450896372</v>
      </c>
      <c r="L3" s="4" t="s">
        <v>24</v>
      </c>
      <c r="M3" s="3">
        <v>46082</v>
      </c>
      <c r="N3" s="4" t="s">
        <v>25</v>
      </c>
      <c r="O3" s="4">
        <v>-6.94</v>
      </c>
      <c r="P3" s="4">
        <v>-2.78</v>
      </c>
      <c r="Q3" s="4"/>
      <c r="R3" s="4" t="s">
        <v>15</v>
      </c>
      <c r="S3" s="4" t="s">
        <v>26</v>
      </c>
      <c r="T3" s="5">
        <f t="shared" si="0"/>
        <v>0.40057636887608067</v>
      </c>
      <c r="U3" s="4"/>
      <c r="V3" s="4"/>
      <c r="W3" s="4"/>
      <c r="X3" s="4"/>
      <c r="Y3" s="4"/>
      <c r="Z3" s="4"/>
    </row>
    <row r="4" spans="1:26" x14ac:dyDescent="0.25">
      <c r="A4" s="3">
        <v>46127</v>
      </c>
      <c r="B4" s="4" t="s">
        <v>19</v>
      </c>
      <c r="C4" s="4" t="s">
        <v>20</v>
      </c>
      <c r="D4" s="4">
        <v>6344075</v>
      </c>
      <c r="E4" s="4" t="s">
        <v>21</v>
      </c>
      <c r="F4" s="4"/>
      <c r="G4" s="4" t="s">
        <v>22</v>
      </c>
      <c r="H4" s="3">
        <v>46082</v>
      </c>
      <c r="I4" s="4" t="s">
        <v>23</v>
      </c>
      <c r="J4" s="4">
        <v>60807297</v>
      </c>
      <c r="K4" s="4">
        <v>450896372</v>
      </c>
      <c r="L4" s="4" t="s">
        <v>24</v>
      </c>
      <c r="M4" s="3">
        <v>46082</v>
      </c>
      <c r="N4" s="4" t="s">
        <v>25</v>
      </c>
      <c r="O4" s="4">
        <v>-43.33</v>
      </c>
      <c r="P4" s="4">
        <v>-17.329999999999998</v>
      </c>
      <c r="Q4" s="4"/>
      <c r="R4" s="4" t="s">
        <v>15</v>
      </c>
      <c r="S4" s="4" t="s">
        <v>26</v>
      </c>
      <c r="T4" s="5">
        <f t="shared" si="0"/>
        <v>0.39995384260327715</v>
      </c>
      <c r="U4" s="4"/>
      <c r="V4" s="4"/>
      <c r="W4" s="4"/>
      <c r="X4" s="4"/>
      <c r="Y4" s="4"/>
      <c r="Z4" s="4"/>
    </row>
    <row r="5" spans="1:26" x14ac:dyDescent="0.25">
      <c r="A5" s="3">
        <v>46127</v>
      </c>
      <c r="B5" s="4" t="s">
        <v>19</v>
      </c>
      <c r="C5" s="4" t="s">
        <v>20</v>
      </c>
      <c r="D5" s="4">
        <v>6344075</v>
      </c>
      <c r="E5" s="4" t="s">
        <v>21</v>
      </c>
      <c r="F5" s="4"/>
      <c r="G5" s="4" t="s">
        <v>22</v>
      </c>
      <c r="H5" s="3">
        <v>46082</v>
      </c>
      <c r="I5" s="4" t="s">
        <v>23</v>
      </c>
      <c r="J5" s="4">
        <v>60807297</v>
      </c>
      <c r="K5" s="4">
        <v>450896372</v>
      </c>
      <c r="L5" s="4" t="s">
        <v>24</v>
      </c>
      <c r="M5" s="3">
        <v>46082</v>
      </c>
      <c r="N5" s="4" t="s">
        <v>25</v>
      </c>
      <c r="O5" s="4">
        <v>-4.79</v>
      </c>
      <c r="P5" s="4">
        <v>-1.92</v>
      </c>
      <c r="Q5" s="4"/>
      <c r="R5" s="4" t="s">
        <v>15</v>
      </c>
      <c r="S5" s="4" t="s">
        <v>26</v>
      </c>
      <c r="T5" s="5">
        <f t="shared" si="0"/>
        <v>0.40083507306889349</v>
      </c>
      <c r="U5" s="4"/>
      <c r="V5" s="4"/>
      <c r="W5" s="4"/>
      <c r="X5" s="4"/>
      <c r="Y5" s="4"/>
      <c r="Z5" s="4"/>
    </row>
    <row r="6" spans="1:26" x14ac:dyDescent="0.25">
      <c r="A6" s="3">
        <v>46127</v>
      </c>
      <c r="B6" s="4" t="s">
        <v>19</v>
      </c>
      <c r="C6" s="4" t="s">
        <v>20</v>
      </c>
      <c r="D6" s="4">
        <v>6344075</v>
      </c>
      <c r="E6" s="4" t="s">
        <v>21</v>
      </c>
      <c r="F6" s="4"/>
      <c r="G6" s="4" t="s">
        <v>22</v>
      </c>
      <c r="H6" s="3">
        <v>46082</v>
      </c>
      <c r="I6" s="4" t="s">
        <v>23</v>
      </c>
      <c r="J6" s="4">
        <v>60807297</v>
      </c>
      <c r="K6" s="4">
        <v>450896372</v>
      </c>
      <c r="L6" s="4" t="s">
        <v>24</v>
      </c>
      <c r="M6" s="3">
        <v>46082</v>
      </c>
      <c r="N6" s="4" t="s">
        <v>25</v>
      </c>
      <c r="O6" s="4">
        <v>-3.17</v>
      </c>
      <c r="P6" s="4">
        <v>-1.27</v>
      </c>
      <c r="Q6" s="4"/>
      <c r="R6" s="4" t="s">
        <v>15</v>
      </c>
      <c r="S6" s="4" t="s">
        <v>26</v>
      </c>
      <c r="T6" s="5">
        <f t="shared" si="0"/>
        <v>0.40063091482649843</v>
      </c>
      <c r="U6" s="4"/>
      <c r="V6" s="4"/>
      <c r="W6" s="4"/>
      <c r="X6" s="4"/>
      <c r="Y6" s="4"/>
      <c r="Z6" s="4"/>
    </row>
    <row r="7" spans="1:26" x14ac:dyDescent="0.25">
      <c r="A7" s="3">
        <v>46127</v>
      </c>
      <c r="B7" s="4" t="s">
        <v>19</v>
      </c>
      <c r="C7" s="4" t="s">
        <v>20</v>
      </c>
      <c r="D7" s="4">
        <v>6344075</v>
      </c>
      <c r="E7" s="4" t="s">
        <v>21</v>
      </c>
      <c r="F7" s="4"/>
      <c r="G7" s="4" t="s">
        <v>22</v>
      </c>
      <c r="H7" s="3">
        <v>46082</v>
      </c>
      <c r="I7" s="4" t="s">
        <v>23</v>
      </c>
      <c r="J7" s="4">
        <v>60807297</v>
      </c>
      <c r="K7" s="4">
        <v>450896372</v>
      </c>
      <c r="L7" s="4" t="s">
        <v>24</v>
      </c>
      <c r="M7" s="3">
        <v>46082</v>
      </c>
      <c r="N7" s="4" t="s">
        <v>25</v>
      </c>
      <c r="O7" s="4">
        <v>4.79</v>
      </c>
      <c r="P7" s="4">
        <v>1.92</v>
      </c>
      <c r="Q7" s="4"/>
      <c r="R7" s="4" t="s">
        <v>15</v>
      </c>
      <c r="S7" s="4" t="s">
        <v>26</v>
      </c>
      <c r="T7" s="5">
        <f t="shared" si="0"/>
        <v>0.40083507306889349</v>
      </c>
      <c r="U7" s="4"/>
      <c r="V7" s="4"/>
      <c r="W7" s="4"/>
      <c r="X7" s="4"/>
      <c r="Y7" s="4"/>
      <c r="Z7" s="4"/>
    </row>
    <row r="8" spans="1:26" x14ac:dyDescent="0.25">
      <c r="A8" s="3">
        <v>46127</v>
      </c>
      <c r="B8" s="4" t="s">
        <v>19</v>
      </c>
      <c r="C8" s="4" t="s">
        <v>20</v>
      </c>
      <c r="D8" s="4">
        <v>6344075</v>
      </c>
      <c r="E8" s="4" t="s">
        <v>21</v>
      </c>
      <c r="F8" s="4"/>
      <c r="G8" s="4" t="s">
        <v>22</v>
      </c>
      <c r="H8" s="3">
        <v>46082</v>
      </c>
      <c r="I8" s="4" t="s">
        <v>23</v>
      </c>
      <c r="J8" s="4">
        <v>60807297</v>
      </c>
      <c r="K8" s="4">
        <v>450896372</v>
      </c>
      <c r="L8" s="4" t="s">
        <v>24</v>
      </c>
      <c r="M8" s="3">
        <v>46082</v>
      </c>
      <c r="N8" s="4" t="s">
        <v>25</v>
      </c>
      <c r="O8" s="4">
        <v>14.77</v>
      </c>
      <c r="P8" s="4">
        <v>5.91</v>
      </c>
      <c r="Q8" s="4"/>
      <c r="R8" s="4" t="s">
        <v>15</v>
      </c>
      <c r="S8" s="4" t="s">
        <v>26</v>
      </c>
      <c r="T8" s="5">
        <f t="shared" si="0"/>
        <v>0.40013540961408262</v>
      </c>
      <c r="U8" s="4"/>
      <c r="V8" s="4"/>
      <c r="W8" s="4"/>
      <c r="X8" s="4"/>
      <c r="Y8" s="4"/>
      <c r="Z8" s="4"/>
    </row>
    <row r="9" spans="1:26" x14ac:dyDescent="0.25">
      <c r="A9" s="3">
        <v>46127</v>
      </c>
      <c r="B9" s="4" t="s">
        <v>19</v>
      </c>
      <c r="C9" s="4" t="s">
        <v>20</v>
      </c>
      <c r="D9" s="4">
        <v>6344075</v>
      </c>
      <c r="E9" s="4" t="s">
        <v>21</v>
      </c>
      <c r="F9" s="4"/>
      <c r="G9" s="4" t="s">
        <v>22</v>
      </c>
      <c r="H9" s="3">
        <v>46082</v>
      </c>
      <c r="I9" s="4" t="s">
        <v>23</v>
      </c>
      <c r="J9" s="4">
        <v>60807297</v>
      </c>
      <c r="K9" s="4">
        <v>450896372</v>
      </c>
      <c r="L9" s="4" t="s">
        <v>24</v>
      </c>
      <c r="M9" s="3">
        <v>46082</v>
      </c>
      <c r="N9" s="4" t="s">
        <v>25</v>
      </c>
      <c r="O9" s="4">
        <v>6.94</v>
      </c>
      <c r="P9" s="4">
        <v>2.78</v>
      </c>
      <c r="Q9" s="4"/>
      <c r="R9" s="4" t="s">
        <v>15</v>
      </c>
      <c r="S9" s="4" t="s">
        <v>26</v>
      </c>
      <c r="T9" s="5">
        <f t="shared" si="0"/>
        <v>0.40057636887608067</v>
      </c>
      <c r="U9" s="4"/>
      <c r="V9" s="4"/>
      <c r="W9" s="4"/>
      <c r="X9" s="4"/>
      <c r="Y9" s="4"/>
      <c r="Z9" s="4"/>
    </row>
    <row r="10" spans="1:26" x14ac:dyDescent="0.25">
      <c r="A10" s="3">
        <v>46127</v>
      </c>
      <c r="B10" s="4" t="s">
        <v>19</v>
      </c>
      <c r="C10" s="4" t="s">
        <v>20</v>
      </c>
      <c r="D10" s="4">
        <v>6344075</v>
      </c>
      <c r="E10" s="4" t="s">
        <v>21</v>
      </c>
      <c r="F10" s="4"/>
      <c r="G10" s="4" t="s">
        <v>22</v>
      </c>
      <c r="H10" s="3">
        <v>46082</v>
      </c>
      <c r="I10" s="4" t="s">
        <v>23</v>
      </c>
      <c r="J10" s="4">
        <v>60807297</v>
      </c>
      <c r="K10" s="4">
        <v>450896372</v>
      </c>
      <c r="L10" s="4" t="s">
        <v>24</v>
      </c>
      <c r="M10" s="3">
        <v>46082</v>
      </c>
      <c r="N10" s="4" t="s">
        <v>25</v>
      </c>
      <c r="O10" s="4">
        <v>3.17</v>
      </c>
      <c r="P10" s="4">
        <v>1.27</v>
      </c>
      <c r="Q10" s="4"/>
      <c r="R10" s="4" t="s">
        <v>15</v>
      </c>
      <c r="S10" s="4" t="s">
        <v>26</v>
      </c>
      <c r="T10" s="5">
        <f t="shared" si="0"/>
        <v>0.40063091482649843</v>
      </c>
      <c r="U10" s="4"/>
      <c r="V10" s="4"/>
      <c r="W10" s="4"/>
      <c r="X10" s="4"/>
      <c r="Y10" s="4"/>
      <c r="Z10" s="4"/>
    </row>
    <row r="11" spans="1:26" x14ac:dyDescent="0.25">
      <c r="A11" s="3">
        <v>46127</v>
      </c>
      <c r="B11" s="4" t="s">
        <v>19</v>
      </c>
      <c r="C11" s="4" t="s">
        <v>20</v>
      </c>
      <c r="D11" s="4">
        <v>6344075</v>
      </c>
      <c r="E11" s="4" t="s">
        <v>21</v>
      </c>
      <c r="F11" s="4"/>
      <c r="G11" s="4" t="s">
        <v>22</v>
      </c>
      <c r="H11" s="3">
        <v>46082</v>
      </c>
      <c r="I11" s="4" t="s">
        <v>23</v>
      </c>
      <c r="J11" s="4">
        <v>60807297</v>
      </c>
      <c r="K11" s="4">
        <v>450896372</v>
      </c>
      <c r="L11" s="4" t="s">
        <v>24</v>
      </c>
      <c r="M11" s="3">
        <v>46082</v>
      </c>
      <c r="N11" s="4" t="s">
        <v>25</v>
      </c>
      <c r="O11" s="4">
        <v>43.33</v>
      </c>
      <c r="P11" s="4">
        <v>17.329999999999998</v>
      </c>
      <c r="Q11" s="4"/>
      <c r="R11" s="4" t="s">
        <v>15</v>
      </c>
      <c r="S11" s="4" t="s">
        <v>26</v>
      </c>
      <c r="T11" s="5">
        <f t="shared" si="0"/>
        <v>0.39995384260327715</v>
      </c>
      <c r="U11" s="4"/>
      <c r="V11" s="4"/>
      <c r="W11" s="4"/>
      <c r="X11" s="4"/>
      <c r="Y11" s="4"/>
      <c r="Z11" s="4"/>
    </row>
    <row r="12" spans="1:26" x14ac:dyDescent="0.25">
      <c r="A12" s="6">
        <v>46127</v>
      </c>
      <c r="B12" s="7" t="s">
        <v>19</v>
      </c>
      <c r="C12" s="7" t="s">
        <v>20</v>
      </c>
      <c r="D12" s="7">
        <v>6344075</v>
      </c>
      <c r="E12" s="7" t="s">
        <v>21</v>
      </c>
      <c r="F12" s="7"/>
      <c r="G12" s="7" t="s">
        <v>22</v>
      </c>
      <c r="H12" s="6">
        <v>46082</v>
      </c>
      <c r="I12" s="7" t="s">
        <v>27</v>
      </c>
      <c r="J12" s="7">
        <v>60807767</v>
      </c>
      <c r="K12" s="7">
        <v>450892002</v>
      </c>
      <c r="L12" s="7" t="s">
        <v>24</v>
      </c>
      <c r="M12" s="6">
        <v>46082</v>
      </c>
      <c r="N12" s="7" t="s">
        <v>25</v>
      </c>
      <c r="O12" s="7">
        <v>35.549999999999997</v>
      </c>
      <c r="P12" s="7">
        <v>1.42</v>
      </c>
      <c r="Q12" s="7"/>
      <c r="R12" s="7" t="s">
        <v>15</v>
      </c>
      <c r="S12" s="7" t="s">
        <v>26</v>
      </c>
      <c r="T12" s="8">
        <f t="shared" si="0"/>
        <v>3.9943741209563996E-2</v>
      </c>
      <c r="U12" s="7"/>
      <c r="V12" s="7"/>
      <c r="W12" s="7"/>
      <c r="X12" s="7"/>
      <c r="Y12" s="7"/>
      <c r="Z12" s="7"/>
    </row>
    <row r="13" spans="1:26" x14ac:dyDescent="0.25">
      <c r="A13" s="6">
        <v>46127</v>
      </c>
      <c r="B13" s="7" t="s">
        <v>19</v>
      </c>
      <c r="C13" s="7" t="s">
        <v>20</v>
      </c>
      <c r="D13" s="7">
        <v>6344075</v>
      </c>
      <c r="E13" s="7" t="s">
        <v>21</v>
      </c>
      <c r="F13" s="7"/>
      <c r="G13" s="7" t="s">
        <v>22</v>
      </c>
      <c r="H13" s="6">
        <v>46082</v>
      </c>
      <c r="I13" s="7" t="s">
        <v>27</v>
      </c>
      <c r="J13" s="7">
        <v>60807767</v>
      </c>
      <c r="K13" s="7">
        <v>450892002</v>
      </c>
      <c r="L13" s="7" t="s">
        <v>24</v>
      </c>
      <c r="M13" s="6">
        <v>46082</v>
      </c>
      <c r="N13" s="7" t="s">
        <v>25</v>
      </c>
      <c r="O13" s="7">
        <v>5.24</v>
      </c>
      <c r="P13" s="7">
        <v>0.21</v>
      </c>
      <c r="Q13" s="7"/>
      <c r="R13" s="7" t="s">
        <v>15</v>
      </c>
      <c r="S13" s="7" t="s">
        <v>26</v>
      </c>
      <c r="T13" s="8">
        <f t="shared" si="0"/>
        <v>4.0076335877862593E-2</v>
      </c>
      <c r="U13" s="7"/>
      <c r="V13" s="7"/>
      <c r="W13" s="7"/>
      <c r="X13" s="7"/>
      <c r="Y13" s="7"/>
      <c r="Z13" s="7"/>
    </row>
    <row r="14" spans="1:26" x14ac:dyDescent="0.25">
      <c r="A14" s="6">
        <v>46127</v>
      </c>
      <c r="B14" s="7" t="s">
        <v>19</v>
      </c>
      <c r="C14" s="7" t="s">
        <v>20</v>
      </c>
      <c r="D14" s="7">
        <v>6344075</v>
      </c>
      <c r="E14" s="7" t="s">
        <v>21</v>
      </c>
      <c r="F14" s="7"/>
      <c r="G14" s="7" t="s">
        <v>22</v>
      </c>
      <c r="H14" s="6">
        <v>46082</v>
      </c>
      <c r="I14" s="7" t="s">
        <v>27</v>
      </c>
      <c r="J14" s="7">
        <v>60807767</v>
      </c>
      <c r="K14" s="7">
        <v>450892002</v>
      </c>
      <c r="L14" s="7" t="s">
        <v>24</v>
      </c>
      <c r="M14" s="6">
        <v>46082</v>
      </c>
      <c r="N14" s="7" t="s">
        <v>25</v>
      </c>
      <c r="O14" s="7">
        <v>8.3800000000000008</v>
      </c>
      <c r="P14" s="7">
        <v>0.34</v>
      </c>
      <c r="Q14" s="7"/>
      <c r="R14" s="7" t="s">
        <v>15</v>
      </c>
      <c r="S14" s="7" t="s">
        <v>26</v>
      </c>
      <c r="T14" s="8">
        <f t="shared" si="0"/>
        <v>4.0572792362768492E-2</v>
      </c>
      <c r="U14" s="7"/>
      <c r="V14" s="7"/>
      <c r="W14" s="7"/>
      <c r="X14" s="7"/>
      <c r="Y14" s="7"/>
      <c r="Z14" s="7"/>
    </row>
    <row r="15" spans="1:26" x14ac:dyDescent="0.25">
      <c r="A15" s="6">
        <v>46127</v>
      </c>
      <c r="B15" s="7" t="s">
        <v>19</v>
      </c>
      <c r="C15" s="7" t="s">
        <v>20</v>
      </c>
      <c r="D15" s="7">
        <v>6344075</v>
      </c>
      <c r="E15" s="7" t="s">
        <v>21</v>
      </c>
      <c r="F15" s="7"/>
      <c r="G15" s="7" t="s">
        <v>22</v>
      </c>
      <c r="H15" s="6">
        <v>46082</v>
      </c>
      <c r="I15" s="7" t="s">
        <v>27</v>
      </c>
      <c r="J15" s="7">
        <v>60807767</v>
      </c>
      <c r="K15" s="7">
        <v>450892002</v>
      </c>
      <c r="L15" s="7" t="s">
        <v>24</v>
      </c>
      <c r="M15" s="6">
        <v>46082</v>
      </c>
      <c r="N15" s="7" t="s">
        <v>25</v>
      </c>
      <c r="O15" s="7">
        <v>-11.72</v>
      </c>
      <c r="P15" s="7">
        <v>-0.47</v>
      </c>
      <c r="Q15" s="7"/>
      <c r="R15" s="7" t="s">
        <v>15</v>
      </c>
      <c r="S15" s="7" t="s">
        <v>26</v>
      </c>
      <c r="T15" s="8">
        <f t="shared" si="0"/>
        <v>4.0102389078498286E-2</v>
      </c>
      <c r="U15" s="7"/>
      <c r="V15" s="7"/>
      <c r="W15" s="7"/>
      <c r="X15" s="7"/>
      <c r="Y15" s="7"/>
      <c r="Z15" s="7"/>
    </row>
    <row r="16" spans="1:26" x14ac:dyDescent="0.25">
      <c r="A16" s="6">
        <v>46127</v>
      </c>
      <c r="B16" s="7" t="s">
        <v>19</v>
      </c>
      <c r="C16" s="7" t="s">
        <v>20</v>
      </c>
      <c r="D16" s="7">
        <v>6344075</v>
      </c>
      <c r="E16" s="7" t="s">
        <v>21</v>
      </c>
      <c r="F16" s="7"/>
      <c r="G16" s="7" t="s">
        <v>22</v>
      </c>
      <c r="H16" s="6">
        <v>46082</v>
      </c>
      <c r="I16" s="7" t="s">
        <v>27</v>
      </c>
      <c r="J16" s="7">
        <v>60807767</v>
      </c>
      <c r="K16" s="7">
        <v>450892002</v>
      </c>
      <c r="L16" s="7" t="s">
        <v>24</v>
      </c>
      <c r="M16" s="6">
        <v>46082</v>
      </c>
      <c r="N16" s="7" t="s">
        <v>25</v>
      </c>
      <c r="O16" s="7">
        <v>-8.3800000000000008</v>
      </c>
      <c r="P16" s="7">
        <v>-0.34</v>
      </c>
      <c r="Q16" s="7"/>
      <c r="R16" s="7" t="s">
        <v>15</v>
      </c>
      <c r="S16" s="7" t="s">
        <v>26</v>
      </c>
      <c r="T16" s="8">
        <f t="shared" si="0"/>
        <v>4.0572792362768492E-2</v>
      </c>
      <c r="U16" s="7"/>
      <c r="V16" s="7"/>
      <c r="W16" s="7"/>
      <c r="X16" s="7"/>
      <c r="Y16" s="7"/>
      <c r="Z16" s="7"/>
    </row>
    <row r="17" spans="1:26" x14ac:dyDescent="0.25">
      <c r="A17" s="6">
        <v>46127</v>
      </c>
      <c r="B17" s="7" t="s">
        <v>19</v>
      </c>
      <c r="C17" s="7" t="s">
        <v>20</v>
      </c>
      <c r="D17" s="7">
        <v>6344075</v>
      </c>
      <c r="E17" s="7" t="s">
        <v>21</v>
      </c>
      <c r="F17" s="7"/>
      <c r="G17" s="7" t="s">
        <v>22</v>
      </c>
      <c r="H17" s="6">
        <v>46082</v>
      </c>
      <c r="I17" s="7" t="s">
        <v>27</v>
      </c>
      <c r="J17" s="7">
        <v>60807767</v>
      </c>
      <c r="K17" s="7">
        <v>450892002</v>
      </c>
      <c r="L17" s="7" t="s">
        <v>24</v>
      </c>
      <c r="M17" s="6">
        <v>46082</v>
      </c>
      <c r="N17" s="7" t="s">
        <v>25</v>
      </c>
      <c r="O17" s="7">
        <v>-35.549999999999997</v>
      </c>
      <c r="P17" s="7">
        <v>-1.42</v>
      </c>
      <c r="Q17" s="7"/>
      <c r="R17" s="7" t="s">
        <v>15</v>
      </c>
      <c r="S17" s="7" t="s">
        <v>26</v>
      </c>
      <c r="T17" s="8">
        <f t="shared" si="0"/>
        <v>3.9943741209563996E-2</v>
      </c>
      <c r="U17" s="7"/>
      <c r="V17" s="7"/>
      <c r="W17" s="7"/>
      <c r="X17" s="7"/>
      <c r="Y17" s="7"/>
      <c r="Z17" s="7"/>
    </row>
    <row r="18" spans="1:26" x14ac:dyDescent="0.25">
      <c r="A18" s="6">
        <v>46127</v>
      </c>
      <c r="B18" s="7" t="s">
        <v>19</v>
      </c>
      <c r="C18" s="7" t="s">
        <v>20</v>
      </c>
      <c r="D18" s="7">
        <v>6344075</v>
      </c>
      <c r="E18" s="7" t="s">
        <v>21</v>
      </c>
      <c r="F18" s="7"/>
      <c r="G18" s="7" t="s">
        <v>22</v>
      </c>
      <c r="H18" s="6">
        <v>46082</v>
      </c>
      <c r="I18" s="7" t="s">
        <v>27</v>
      </c>
      <c r="J18" s="7">
        <v>60807767</v>
      </c>
      <c r="K18" s="7">
        <v>450892002</v>
      </c>
      <c r="L18" s="7" t="s">
        <v>24</v>
      </c>
      <c r="M18" s="6">
        <v>46082</v>
      </c>
      <c r="N18" s="7" t="s">
        <v>25</v>
      </c>
      <c r="O18" s="7">
        <v>-19.38</v>
      </c>
      <c r="P18" s="7">
        <v>-0.78</v>
      </c>
      <c r="Q18" s="7"/>
      <c r="R18" s="7" t="s">
        <v>15</v>
      </c>
      <c r="S18" s="7" t="s">
        <v>26</v>
      </c>
      <c r="T18" s="8">
        <f t="shared" si="0"/>
        <v>4.0247678018575858E-2</v>
      </c>
      <c r="U18" s="7"/>
      <c r="V18" s="7"/>
      <c r="W18" s="7"/>
      <c r="X18" s="7"/>
      <c r="Y18" s="7"/>
      <c r="Z18" s="7"/>
    </row>
    <row r="19" spans="1:26" x14ac:dyDescent="0.25">
      <c r="A19" s="6">
        <v>46127</v>
      </c>
      <c r="B19" s="7" t="s">
        <v>19</v>
      </c>
      <c r="C19" s="7" t="s">
        <v>20</v>
      </c>
      <c r="D19" s="7">
        <v>6344075</v>
      </c>
      <c r="E19" s="7" t="s">
        <v>21</v>
      </c>
      <c r="F19" s="7"/>
      <c r="G19" s="7" t="s">
        <v>22</v>
      </c>
      <c r="H19" s="6">
        <v>46082</v>
      </c>
      <c r="I19" s="7" t="s">
        <v>27</v>
      </c>
      <c r="J19" s="7">
        <v>60807767</v>
      </c>
      <c r="K19" s="7">
        <v>450892002</v>
      </c>
      <c r="L19" s="7" t="s">
        <v>24</v>
      </c>
      <c r="M19" s="6">
        <v>46082</v>
      </c>
      <c r="N19" s="7" t="s">
        <v>25</v>
      </c>
      <c r="O19" s="7">
        <v>-5.24</v>
      </c>
      <c r="P19" s="7">
        <v>-0.21</v>
      </c>
      <c r="Q19" s="7"/>
      <c r="R19" s="7" t="s">
        <v>15</v>
      </c>
      <c r="S19" s="7" t="s">
        <v>26</v>
      </c>
      <c r="T19" s="8">
        <f t="shared" si="0"/>
        <v>4.0076335877862593E-2</v>
      </c>
      <c r="U19" s="7"/>
      <c r="V19" s="7"/>
      <c r="W19" s="7"/>
      <c r="X19" s="7"/>
      <c r="Y19" s="7"/>
      <c r="Z19" s="7"/>
    </row>
    <row r="20" spans="1:26" x14ac:dyDescent="0.25">
      <c r="A20" s="6">
        <v>46127</v>
      </c>
      <c r="B20" s="7" t="s">
        <v>19</v>
      </c>
      <c r="C20" s="7" t="s">
        <v>20</v>
      </c>
      <c r="D20" s="7">
        <v>6344075</v>
      </c>
      <c r="E20" s="7" t="s">
        <v>21</v>
      </c>
      <c r="F20" s="7"/>
      <c r="G20" s="7" t="s">
        <v>22</v>
      </c>
      <c r="H20" s="6">
        <v>46082</v>
      </c>
      <c r="I20" s="7" t="s">
        <v>27</v>
      </c>
      <c r="J20" s="7">
        <v>60807767</v>
      </c>
      <c r="K20" s="7">
        <v>450892002</v>
      </c>
      <c r="L20" s="7" t="s">
        <v>24</v>
      </c>
      <c r="M20" s="6">
        <v>46082</v>
      </c>
      <c r="N20" s="7" t="s">
        <v>25</v>
      </c>
      <c r="O20" s="7">
        <v>11.72</v>
      </c>
      <c r="P20" s="7">
        <v>0.47</v>
      </c>
      <c r="Q20" s="7"/>
      <c r="R20" s="7" t="s">
        <v>15</v>
      </c>
      <c r="S20" s="7" t="s">
        <v>26</v>
      </c>
      <c r="T20" s="8">
        <f t="shared" si="0"/>
        <v>4.0102389078498286E-2</v>
      </c>
      <c r="U20" s="7"/>
      <c r="V20" s="7"/>
      <c r="W20" s="7"/>
      <c r="X20" s="7"/>
      <c r="Y20" s="7"/>
      <c r="Z20" s="7"/>
    </row>
    <row r="21" spans="1:26" x14ac:dyDescent="0.25">
      <c r="A21" s="6">
        <v>46127</v>
      </c>
      <c r="B21" s="7" t="s">
        <v>19</v>
      </c>
      <c r="C21" s="7" t="s">
        <v>20</v>
      </c>
      <c r="D21" s="7">
        <v>6344075</v>
      </c>
      <c r="E21" s="7" t="s">
        <v>21</v>
      </c>
      <c r="F21" s="7"/>
      <c r="G21" s="7" t="s">
        <v>22</v>
      </c>
      <c r="H21" s="6">
        <v>46082</v>
      </c>
      <c r="I21" s="7" t="s">
        <v>27</v>
      </c>
      <c r="J21" s="7">
        <v>60807767</v>
      </c>
      <c r="K21" s="7">
        <v>450892002</v>
      </c>
      <c r="L21" s="7" t="s">
        <v>24</v>
      </c>
      <c r="M21" s="6">
        <v>46082</v>
      </c>
      <c r="N21" s="7" t="s">
        <v>25</v>
      </c>
      <c r="O21" s="7">
        <v>19.38</v>
      </c>
      <c r="P21" s="7">
        <v>0.78</v>
      </c>
      <c r="Q21" s="7"/>
      <c r="R21" s="7" t="s">
        <v>15</v>
      </c>
      <c r="S21" s="7" t="s">
        <v>26</v>
      </c>
      <c r="T21" s="8">
        <f t="shared" si="0"/>
        <v>4.0247678018575858E-2</v>
      </c>
      <c r="U21" s="7"/>
      <c r="V21" s="7"/>
      <c r="W21" s="7"/>
      <c r="X21" s="7"/>
      <c r="Y21" s="7"/>
      <c r="Z21" s="7"/>
    </row>
    <row r="22" spans="1:26" x14ac:dyDescent="0.25">
      <c r="A22" s="9">
        <v>46127</v>
      </c>
      <c r="B22" s="10" t="s">
        <v>19</v>
      </c>
      <c r="C22" s="10" t="s">
        <v>20</v>
      </c>
      <c r="D22" s="10">
        <v>6344075</v>
      </c>
      <c r="E22" s="10" t="s">
        <v>21</v>
      </c>
      <c r="F22" s="10"/>
      <c r="G22" s="10" t="s">
        <v>22</v>
      </c>
      <c r="H22" s="9">
        <v>46082</v>
      </c>
      <c r="I22" s="10" t="s">
        <v>28</v>
      </c>
      <c r="J22" s="10">
        <v>60887834</v>
      </c>
      <c r="K22" s="10">
        <v>450900370</v>
      </c>
      <c r="L22" s="10" t="s">
        <v>24</v>
      </c>
      <c r="M22" s="9">
        <v>46082</v>
      </c>
      <c r="N22" s="10" t="s">
        <v>25</v>
      </c>
      <c r="O22" s="10">
        <v>41.81</v>
      </c>
      <c r="P22" s="10">
        <v>23</v>
      </c>
      <c r="Q22" s="10"/>
      <c r="R22" s="10" t="s">
        <v>15</v>
      </c>
      <c r="S22" s="10" t="s">
        <v>26</v>
      </c>
      <c r="T22" s="11">
        <f t="shared" si="0"/>
        <v>0.55010762975364746</v>
      </c>
      <c r="U22" s="10"/>
      <c r="V22" s="10"/>
      <c r="W22" s="10"/>
      <c r="X22" s="10"/>
      <c r="Y22" s="10"/>
      <c r="Z22" s="10"/>
    </row>
    <row r="23" spans="1:26" x14ac:dyDescent="0.25">
      <c r="A23" s="12">
        <v>46127</v>
      </c>
      <c r="B23" s="1" t="s">
        <v>19</v>
      </c>
      <c r="C23" s="1" t="s">
        <v>20</v>
      </c>
      <c r="D23" s="1">
        <v>6344075</v>
      </c>
      <c r="E23" s="1" t="s">
        <v>21</v>
      </c>
      <c r="G23" s="1" t="s">
        <v>22</v>
      </c>
      <c r="H23" s="12">
        <v>46082</v>
      </c>
      <c r="I23" s="1" t="s">
        <v>28</v>
      </c>
      <c r="J23" s="1">
        <v>60887834</v>
      </c>
      <c r="K23" s="1">
        <v>450900370</v>
      </c>
      <c r="L23" s="1" t="s">
        <v>24</v>
      </c>
      <c r="M23" s="12">
        <v>46082</v>
      </c>
      <c r="N23" s="1" t="s">
        <v>25</v>
      </c>
      <c r="O23" s="1">
        <v>7.24</v>
      </c>
      <c r="P23" s="1">
        <v>3.98</v>
      </c>
      <c r="R23" s="1" t="s">
        <v>15</v>
      </c>
      <c r="S23" s="1" t="s">
        <v>26</v>
      </c>
      <c r="T23" s="11">
        <f t="shared" si="0"/>
        <v>0.54972375690607733</v>
      </c>
    </row>
    <row r="24" spans="1:26" x14ac:dyDescent="0.25">
      <c r="A24" s="12">
        <v>46127</v>
      </c>
      <c r="B24" s="1" t="s">
        <v>19</v>
      </c>
      <c r="C24" s="1" t="s">
        <v>20</v>
      </c>
      <c r="D24" s="1">
        <v>6344075</v>
      </c>
      <c r="E24" s="1" t="s">
        <v>21</v>
      </c>
      <c r="G24" s="1" t="s">
        <v>22</v>
      </c>
      <c r="H24" s="12">
        <v>46082</v>
      </c>
      <c r="I24" s="1" t="s">
        <v>28</v>
      </c>
      <c r="J24" s="1">
        <v>60887834</v>
      </c>
      <c r="K24" s="1">
        <v>450900370</v>
      </c>
      <c r="L24" s="1" t="s">
        <v>24</v>
      </c>
      <c r="M24" s="12">
        <v>46082</v>
      </c>
      <c r="N24" s="1" t="s">
        <v>25</v>
      </c>
      <c r="O24" s="1">
        <v>6.11</v>
      </c>
      <c r="P24" s="1">
        <v>3.36</v>
      </c>
      <c r="R24" s="1" t="s">
        <v>15</v>
      </c>
      <c r="S24" s="1" t="s">
        <v>26</v>
      </c>
      <c r="T24" s="11">
        <f t="shared" si="0"/>
        <v>0.54991816693944351</v>
      </c>
    </row>
    <row r="25" spans="1:26" x14ac:dyDescent="0.25">
      <c r="A25" s="12">
        <v>46127</v>
      </c>
      <c r="B25" s="1" t="s">
        <v>19</v>
      </c>
      <c r="C25" s="1" t="s">
        <v>20</v>
      </c>
      <c r="D25" s="1">
        <v>6344075</v>
      </c>
      <c r="E25" s="1" t="s">
        <v>21</v>
      </c>
      <c r="G25" s="1" t="s">
        <v>22</v>
      </c>
      <c r="H25" s="12">
        <v>46082</v>
      </c>
      <c r="I25" s="1" t="s">
        <v>28</v>
      </c>
      <c r="J25" s="1">
        <v>60887834</v>
      </c>
      <c r="K25" s="1">
        <v>450900370</v>
      </c>
      <c r="L25" s="1" t="s">
        <v>24</v>
      </c>
      <c r="M25" s="12">
        <v>46082</v>
      </c>
      <c r="N25" s="1" t="s">
        <v>25</v>
      </c>
      <c r="O25" s="1">
        <v>2.86</v>
      </c>
      <c r="P25" s="1">
        <v>1.57</v>
      </c>
      <c r="R25" s="1" t="s">
        <v>15</v>
      </c>
      <c r="S25" s="1" t="s">
        <v>26</v>
      </c>
      <c r="T25" s="11">
        <f t="shared" si="0"/>
        <v>0.54895104895104896</v>
      </c>
    </row>
    <row r="26" spans="1:26" x14ac:dyDescent="0.25">
      <c r="A26" s="12">
        <v>46127</v>
      </c>
      <c r="B26" s="1" t="s">
        <v>19</v>
      </c>
      <c r="C26" s="1" t="s">
        <v>20</v>
      </c>
      <c r="D26" s="1">
        <v>6344075</v>
      </c>
      <c r="E26" s="1" t="s">
        <v>21</v>
      </c>
      <c r="G26" s="1" t="s">
        <v>22</v>
      </c>
      <c r="H26" s="12">
        <v>46082</v>
      </c>
      <c r="I26" s="1" t="s">
        <v>28</v>
      </c>
      <c r="J26" s="1">
        <v>60887834</v>
      </c>
      <c r="K26" s="1">
        <v>450900370</v>
      </c>
      <c r="L26" s="1" t="s">
        <v>24</v>
      </c>
      <c r="M26" s="12">
        <v>46082</v>
      </c>
      <c r="N26" s="1" t="s">
        <v>25</v>
      </c>
      <c r="O26" s="1">
        <v>21.08</v>
      </c>
      <c r="P26" s="1">
        <v>11.59</v>
      </c>
      <c r="R26" s="1" t="s">
        <v>15</v>
      </c>
      <c r="S26" s="1" t="s">
        <v>26</v>
      </c>
      <c r="T26" s="11">
        <f t="shared" si="0"/>
        <v>0.54981024667931688</v>
      </c>
    </row>
    <row r="27" spans="1:26" x14ac:dyDescent="0.25">
      <c r="A27" s="12">
        <v>46127</v>
      </c>
      <c r="B27" s="1" t="s">
        <v>19</v>
      </c>
      <c r="C27" s="1" t="s">
        <v>20</v>
      </c>
      <c r="D27" s="1">
        <v>6344075</v>
      </c>
      <c r="E27" s="1" t="s">
        <v>21</v>
      </c>
      <c r="G27" s="1" t="s">
        <v>22</v>
      </c>
      <c r="H27" s="12">
        <v>46082</v>
      </c>
      <c r="I27" s="1" t="s">
        <v>29</v>
      </c>
      <c r="J27" s="1">
        <v>60887792</v>
      </c>
      <c r="K27" s="1">
        <v>450900222</v>
      </c>
      <c r="L27" s="1" t="s">
        <v>24</v>
      </c>
      <c r="M27" s="12">
        <v>46082</v>
      </c>
      <c r="N27" s="1" t="s">
        <v>25</v>
      </c>
      <c r="O27" s="1">
        <v>2.86</v>
      </c>
      <c r="P27" s="1">
        <v>1.57</v>
      </c>
      <c r="R27" s="1" t="s">
        <v>15</v>
      </c>
      <c r="S27" s="1" t="s">
        <v>26</v>
      </c>
      <c r="T27" s="11">
        <f t="shared" si="0"/>
        <v>0.54895104895104896</v>
      </c>
    </row>
    <row r="28" spans="1:26" x14ac:dyDescent="0.25">
      <c r="A28" s="9">
        <v>46127</v>
      </c>
      <c r="B28" s="10" t="s">
        <v>19</v>
      </c>
      <c r="C28" s="10" t="s">
        <v>20</v>
      </c>
      <c r="D28" s="10">
        <v>6344075</v>
      </c>
      <c r="E28" s="10" t="s">
        <v>21</v>
      </c>
      <c r="F28" s="10"/>
      <c r="G28" s="10" t="s">
        <v>22</v>
      </c>
      <c r="H28" s="9">
        <v>46082</v>
      </c>
      <c r="I28" s="10" t="s">
        <v>29</v>
      </c>
      <c r="J28" s="10">
        <v>60887792</v>
      </c>
      <c r="K28" s="10">
        <v>450900222</v>
      </c>
      <c r="L28" s="10" t="s">
        <v>24</v>
      </c>
      <c r="M28" s="9">
        <v>46082</v>
      </c>
      <c r="N28" s="10" t="s">
        <v>25</v>
      </c>
      <c r="O28" s="10">
        <v>41.81</v>
      </c>
      <c r="P28" s="10">
        <v>23</v>
      </c>
      <c r="Q28" s="10"/>
      <c r="R28" s="10" t="s">
        <v>15</v>
      </c>
      <c r="S28" s="10" t="s">
        <v>26</v>
      </c>
      <c r="T28" s="11">
        <f t="shared" si="0"/>
        <v>0.55010762975364746</v>
      </c>
      <c r="U28" s="10"/>
      <c r="V28" s="10"/>
      <c r="W28" s="10"/>
      <c r="X28" s="10"/>
      <c r="Y28" s="10"/>
      <c r="Z28" s="10"/>
    </row>
    <row r="29" spans="1:26" x14ac:dyDescent="0.25">
      <c r="A29" s="12">
        <v>46127</v>
      </c>
      <c r="B29" s="1" t="s">
        <v>19</v>
      </c>
      <c r="C29" s="1" t="s">
        <v>20</v>
      </c>
      <c r="D29" s="1">
        <v>6344075</v>
      </c>
      <c r="E29" s="1" t="s">
        <v>21</v>
      </c>
      <c r="G29" s="1" t="s">
        <v>22</v>
      </c>
      <c r="H29" s="12">
        <v>46082</v>
      </c>
      <c r="I29" s="1" t="s">
        <v>29</v>
      </c>
      <c r="J29" s="1">
        <v>60887792</v>
      </c>
      <c r="K29" s="1">
        <v>450900222</v>
      </c>
      <c r="L29" s="1" t="s">
        <v>24</v>
      </c>
      <c r="M29" s="12">
        <v>46082</v>
      </c>
      <c r="N29" s="1" t="s">
        <v>25</v>
      </c>
      <c r="O29" s="1">
        <v>7.24</v>
      </c>
      <c r="P29" s="1">
        <v>3.98</v>
      </c>
      <c r="R29" s="1" t="s">
        <v>15</v>
      </c>
      <c r="S29" s="1" t="s">
        <v>26</v>
      </c>
      <c r="T29" s="11">
        <f t="shared" si="0"/>
        <v>0.54972375690607733</v>
      </c>
    </row>
    <row r="30" spans="1:26" x14ac:dyDescent="0.25">
      <c r="A30" s="12">
        <v>46127</v>
      </c>
      <c r="B30" s="1" t="s">
        <v>19</v>
      </c>
      <c r="C30" s="1" t="s">
        <v>20</v>
      </c>
      <c r="D30" s="1">
        <v>6344075</v>
      </c>
      <c r="E30" s="1" t="s">
        <v>21</v>
      </c>
      <c r="G30" s="1" t="s">
        <v>22</v>
      </c>
      <c r="H30" s="12">
        <v>46082</v>
      </c>
      <c r="I30" s="1" t="s">
        <v>29</v>
      </c>
      <c r="J30" s="1">
        <v>60887792</v>
      </c>
      <c r="K30" s="1">
        <v>450900222</v>
      </c>
      <c r="L30" s="1" t="s">
        <v>24</v>
      </c>
      <c r="M30" s="12">
        <v>46082</v>
      </c>
      <c r="N30" s="1" t="s">
        <v>25</v>
      </c>
      <c r="O30" s="1">
        <v>21.08</v>
      </c>
      <c r="P30" s="1">
        <v>11.59</v>
      </c>
      <c r="R30" s="1" t="s">
        <v>15</v>
      </c>
      <c r="S30" s="1" t="s">
        <v>26</v>
      </c>
      <c r="T30" s="11">
        <f t="shared" si="0"/>
        <v>0.54981024667931688</v>
      </c>
    </row>
    <row r="31" spans="1:26" x14ac:dyDescent="0.25">
      <c r="A31" s="12">
        <v>46127</v>
      </c>
      <c r="B31" s="1" t="s">
        <v>19</v>
      </c>
      <c r="C31" s="1" t="s">
        <v>20</v>
      </c>
      <c r="D31" s="1">
        <v>6344075</v>
      </c>
      <c r="E31" s="1" t="s">
        <v>21</v>
      </c>
      <c r="G31" s="1" t="s">
        <v>22</v>
      </c>
      <c r="H31" s="12">
        <v>46082</v>
      </c>
      <c r="I31" s="1" t="s">
        <v>29</v>
      </c>
      <c r="J31" s="1">
        <v>60887792</v>
      </c>
      <c r="K31" s="1">
        <v>450900222</v>
      </c>
      <c r="L31" s="1" t="s">
        <v>24</v>
      </c>
      <c r="M31" s="12">
        <v>46082</v>
      </c>
      <c r="N31" s="1" t="s">
        <v>25</v>
      </c>
      <c r="O31" s="1">
        <v>6.11</v>
      </c>
      <c r="P31" s="1">
        <v>3.36</v>
      </c>
      <c r="R31" s="1" t="s">
        <v>15</v>
      </c>
      <c r="S31" s="1" t="s">
        <v>26</v>
      </c>
      <c r="T31" s="11">
        <f t="shared" si="0"/>
        <v>0.54991816693944351</v>
      </c>
    </row>
    <row r="32" spans="1:26" x14ac:dyDescent="0.25">
      <c r="A32" s="12">
        <v>46127</v>
      </c>
      <c r="B32" s="1" t="s">
        <v>19</v>
      </c>
      <c r="C32" s="1" t="s">
        <v>20</v>
      </c>
      <c r="D32" s="1">
        <v>6344075</v>
      </c>
      <c r="E32" s="1" t="s">
        <v>21</v>
      </c>
      <c r="G32" s="1" t="s">
        <v>22</v>
      </c>
      <c r="H32" s="12">
        <v>46082</v>
      </c>
      <c r="I32" s="1" t="s">
        <v>30</v>
      </c>
      <c r="J32" s="1">
        <v>60807607</v>
      </c>
      <c r="K32" s="1">
        <v>450896649</v>
      </c>
      <c r="L32" s="1" t="s">
        <v>24</v>
      </c>
      <c r="M32" s="12">
        <v>46082</v>
      </c>
      <c r="N32" s="1" t="s">
        <v>25</v>
      </c>
      <c r="O32" s="1">
        <v>7.24</v>
      </c>
      <c r="P32" s="1">
        <v>3.98</v>
      </c>
      <c r="R32" s="1" t="s">
        <v>15</v>
      </c>
      <c r="S32" s="1" t="s">
        <v>26</v>
      </c>
      <c r="T32" s="11">
        <f t="shared" si="0"/>
        <v>0.54972375690607733</v>
      </c>
    </row>
    <row r="33" spans="1:20" x14ac:dyDescent="0.25">
      <c r="A33" s="12">
        <v>46127</v>
      </c>
      <c r="B33" s="1" t="s">
        <v>19</v>
      </c>
      <c r="C33" s="1" t="s">
        <v>20</v>
      </c>
      <c r="D33" s="1">
        <v>6344075</v>
      </c>
      <c r="E33" s="1" t="s">
        <v>21</v>
      </c>
      <c r="G33" s="1" t="s">
        <v>22</v>
      </c>
      <c r="H33" s="12">
        <v>46082</v>
      </c>
      <c r="I33" s="1" t="s">
        <v>30</v>
      </c>
      <c r="J33" s="1">
        <v>60807607</v>
      </c>
      <c r="K33" s="1">
        <v>450896649</v>
      </c>
      <c r="L33" s="1" t="s">
        <v>24</v>
      </c>
      <c r="M33" s="12">
        <v>46082</v>
      </c>
      <c r="N33" s="1" t="s">
        <v>25</v>
      </c>
      <c r="O33" s="1">
        <v>5.94</v>
      </c>
      <c r="P33" s="1">
        <v>3.27</v>
      </c>
      <c r="R33" s="1" t="s">
        <v>15</v>
      </c>
      <c r="S33" s="1" t="s">
        <v>26</v>
      </c>
      <c r="T33" s="11">
        <f t="shared" si="0"/>
        <v>0.5505050505050505</v>
      </c>
    </row>
    <row r="34" spans="1:20" x14ac:dyDescent="0.25">
      <c r="A34" s="12">
        <v>46127</v>
      </c>
      <c r="B34" s="1" t="s">
        <v>19</v>
      </c>
      <c r="C34" s="1" t="s">
        <v>20</v>
      </c>
      <c r="D34" s="1">
        <v>6344075</v>
      </c>
      <c r="E34" s="1" t="s">
        <v>21</v>
      </c>
      <c r="G34" s="1" t="s">
        <v>22</v>
      </c>
      <c r="H34" s="12">
        <v>46082</v>
      </c>
      <c r="I34" s="1" t="s">
        <v>30</v>
      </c>
      <c r="J34" s="1">
        <v>60807607</v>
      </c>
      <c r="K34" s="1">
        <v>450896649</v>
      </c>
      <c r="L34" s="1" t="s">
        <v>24</v>
      </c>
      <c r="M34" s="12">
        <v>46082</v>
      </c>
      <c r="N34" s="1" t="s">
        <v>25</v>
      </c>
      <c r="O34" s="1">
        <v>2.7</v>
      </c>
      <c r="P34" s="1">
        <v>1.49</v>
      </c>
      <c r="R34" s="1" t="s">
        <v>15</v>
      </c>
      <c r="S34" s="1" t="s">
        <v>26</v>
      </c>
      <c r="T34" s="11">
        <f t="shared" si="0"/>
        <v>0.55185185185185182</v>
      </c>
    </row>
    <row r="35" spans="1:20" x14ac:dyDescent="0.25">
      <c r="A35" s="12">
        <v>46127</v>
      </c>
      <c r="B35" s="1" t="s">
        <v>19</v>
      </c>
      <c r="C35" s="1" t="s">
        <v>20</v>
      </c>
      <c r="D35" s="1">
        <v>6344075</v>
      </c>
      <c r="E35" s="1" t="s">
        <v>21</v>
      </c>
      <c r="G35" s="1" t="s">
        <v>22</v>
      </c>
      <c r="H35" s="12">
        <v>46082</v>
      </c>
      <c r="I35" s="1" t="s">
        <v>30</v>
      </c>
      <c r="J35" s="1">
        <v>60807607</v>
      </c>
      <c r="K35" s="1">
        <v>450896649</v>
      </c>
      <c r="L35" s="1" t="s">
        <v>24</v>
      </c>
      <c r="M35" s="12">
        <v>46082</v>
      </c>
      <c r="N35" s="1" t="s">
        <v>25</v>
      </c>
      <c r="O35" s="1">
        <v>40.39</v>
      </c>
      <c r="P35" s="1">
        <v>22.21</v>
      </c>
      <c r="R35" s="1" t="s">
        <v>15</v>
      </c>
      <c r="S35" s="1" t="s">
        <v>26</v>
      </c>
      <c r="T35" s="11">
        <f t="shared" si="0"/>
        <v>0.5498885862837336</v>
      </c>
    </row>
    <row r="36" spans="1:20" x14ac:dyDescent="0.25">
      <c r="A36" s="12">
        <v>46127</v>
      </c>
      <c r="B36" s="1" t="s">
        <v>19</v>
      </c>
      <c r="C36" s="1" t="s">
        <v>20</v>
      </c>
      <c r="D36" s="1">
        <v>6344075</v>
      </c>
      <c r="E36" s="1" t="s">
        <v>21</v>
      </c>
      <c r="G36" s="1" t="s">
        <v>22</v>
      </c>
      <c r="H36" s="12">
        <v>46082</v>
      </c>
      <c r="I36" s="1" t="s">
        <v>30</v>
      </c>
      <c r="J36" s="1">
        <v>60807607</v>
      </c>
      <c r="K36" s="1">
        <v>450896649</v>
      </c>
      <c r="L36" s="1" t="s">
        <v>24</v>
      </c>
      <c r="M36" s="12">
        <v>46082</v>
      </c>
      <c r="N36" s="1" t="s">
        <v>25</v>
      </c>
      <c r="O36" s="1">
        <v>19.84</v>
      </c>
      <c r="P36" s="1">
        <v>10.91</v>
      </c>
      <c r="R36" s="1" t="s">
        <v>15</v>
      </c>
      <c r="S36" s="1" t="s">
        <v>26</v>
      </c>
      <c r="T36" s="11">
        <f t="shared" si="0"/>
        <v>0.54989919354838712</v>
      </c>
    </row>
    <row r="37" spans="1:20" x14ac:dyDescent="0.25">
      <c r="A37" s="12">
        <v>46127</v>
      </c>
      <c r="B37" s="1" t="s">
        <v>19</v>
      </c>
      <c r="C37" s="1" t="s">
        <v>20</v>
      </c>
      <c r="D37" s="1">
        <v>6344075</v>
      </c>
      <c r="E37" s="1" t="s">
        <v>21</v>
      </c>
      <c r="G37" s="1" t="s">
        <v>22</v>
      </c>
      <c r="H37" s="12">
        <v>46082</v>
      </c>
      <c r="I37" s="1" t="s">
        <v>30</v>
      </c>
      <c r="J37" s="1">
        <v>60807607</v>
      </c>
      <c r="K37" s="1">
        <v>450896649</v>
      </c>
      <c r="L37" s="1" t="s">
        <v>24</v>
      </c>
      <c r="M37" s="12">
        <v>46082</v>
      </c>
      <c r="N37" s="1" t="s">
        <v>25</v>
      </c>
      <c r="O37" s="1">
        <v>4.3099999999999996</v>
      </c>
      <c r="P37" s="1">
        <v>2.37</v>
      </c>
      <c r="R37" s="1" t="s">
        <v>15</v>
      </c>
      <c r="S37" s="1" t="s">
        <v>26</v>
      </c>
      <c r="T37" s="11">
        <f t="shared" si="0"/>
        <v>0.54988399071925764</v>
      </c>
    </row>
    <row r="38" spans="1:20" x14ac:dyDescent="0.25">
      <c r="A38" s="12">
        <v>46127</v>
      </c>
      <c r="B38" s="1" t="s">
        <v>19</v>
      </c>
      <c r="C38" s="1" t="s">
        <v>20</v>
      </c>
      <c r="D38" s="1">
        <v>6344075</v>
      </c>
      <c r="E38" s="1" t="s">
        <v>21</v>
      </c>
      <c r="G38" s="1" t="s">
        <v>22</v>
      </c>
      <c r="H38" s="12">
        <v>46082</v>
      </c>
      <c r="I38" s="1" t="s">
        <v>31</v>
      </c>
      <c r="J38" s="1">
        <v>60887858</v>
      </c>
      <c r="K38" s="1">
        <v>450900971</v>
      </c>
      <c r="L38" s="1" t="s">
        <v>24</v>
      </c>
      <c r="M38" s="12">
        <v>46082</v>
      </c>
      <c r="N38" s="1" t="s">
        <v>25</v>
      </c>
      <c r="O38" s="1">
        <v>7.24</v>
      </c>
      <c r="P38" s="1">
        <v>3.98</v>
      </c>
      <c r="R38" s="1" t="s">
        <v>15</v>
      </c>
      <c r="S38" s="1" t="s">
        <v>26</v>
      </c>
      <c r="T38" s="11">
        <f t="shared" si="0"/>
        <v>0.54972375690607733</v>
      </c>
    </row>
    <row r="39" spans="1:20" x14ac:dyDescent="0.25">
      <c r="A39" s="12">
        <v>46127</v>
      </c>
      <c r="B39" s="1" t="s">
        <v>19</v>
      </c>
      <c r="C39" s="1" t="s">
        <v>20</v>
      </c>
      <c r="D39" s="1">
        <v>6344075</v>
      </c>
      <c r="E39" s="1" t="s">
        <v>21</v>
      </c>
      <c r="G39" s="1" t="s">
        <v>22</v>
      </c>
      <c r="H39" s="12">
        <v>46082</v>
      </c>
      <c r="I39" s="1" t="s">
        <v>31</v>
      </c>
      <c r="J39" s="1">
        <v>60887858</v>
      </c>
      <c r="K39" s="1">
        <v>450900971</v>
      </c>
      <c r="L39" s="1" t="s">
        <v>24</v>
      </c>
      <c r="M39" s="12">
        <v>46082</v>
      </c>
      <c r="N39" s="1" t="s">
        <v>25</v>
      </c>
      <c r="O39" s="1">
        <v>22.64</v>
      </c>
      <c r="P39" s="1">
        <v>12.45</v>
      </c>
      <c r="R39" s="1" t="s">
        <v>15</v>
      </c>
      <c r="S39" s="1" t="s">
        <v>26</v>
      </c>
      <c r="T39" s="11">
        <f t="shared" si="0"/>
        <v>0.54991166077738507</v>
      </c>
    </row>
    <row r="40" spans="1:20" x14ac:dyDescent="0.25">
      <c r="A40" s="12">
        <v>46127</v>
      </c>
      <c r="B40" s="1" t="s">
        <v>19</v>
      </c>
      <c r="C40" s="1" t="s">
        <v>20</v>
      </c>
      <c r="D40" s="1">
        <v>6344075</v>
      </c>
      <c r="E40" s="1" t="s">
        <v>21</v>
      </c>
      <c r="G40" s="1" t="s">
        <v>22</v>
      </c>
      <c r="H40" s="12">
        <v>46082</v>
      </c>
      <c r="I40" s="1" t="s">
        <v>31</v>
      </c>
      <c r="J40" s="1">
        <v>60887858</v>
      </c>
      <c r="K40" s="1">
        <v>450900971</v>
      </c>
      <c r="L40" s="1" t="s">
        <v>24</v>
      </c>
      <c r="M40" s="12">
        <v>46082</v>
      </c>
      <c r="N40" s="1" t="s">
        <v>25</v>
      </c>
      <c r="O40" s="1">
        <v>43.27</v>
      </c>
      <c r="P40" s="1">
        <v>23.8</v>
      </c>
      <c r="R40" s="1" t="s">
        <v>15</v>
      </c>
      <c r="S40" s="1" t="s">
        <v>26</v>
      </c>
      <c r="T40" s="11">
        <f t="shared" si="0"/>
        <v>0.55003466605038132</v>
      </c>
    </row>
    <row r="41" spans="1:20" x14ac:dyDescent="0.25">
      <c r="A41" s="12">
        <v>46127</v>
      </c>
      <c r="B41" s="1" t="s">
        <v>19</v>
      </c>
      <c r="C41" s="1" t="s">
        <v>20</v>
      </c>
      <c r="D41" s="1">
        <v>6344075</v>
      </c>
      <c r="E41" s="1" t="s">
        <v>21</v>
      </c>
      <c r="G41" s="1" t="s">
        <v>22</v>
      </c>
      <c r="H41" s="12">
        <v>46082</v>
      </c>
      <c r="I41" s="1" t="s">
        <v>31</v>
      </c>
      <c r="J41" s="1">
        <v>60887858</v>
      </c>
      <c r="K41" s="1">
        <v>450900971</v>
      </c>
      <c r="L41" s="1" t="s">
        <v>24</v>
      </c>
      <c r="M41" s="12">
        <v>46082</v>
      </c>
      <c r="N41" s="1" t="s">
        <v>25</v>
      </c>
      <c r="O41" s="1">
        <v>3</v>
      </c>
      <c r="P41" s="1">
        <v>1.65</v>
      </c>
      <c r="R41" s="1" t="s">
        <v>15</v>
      </c>
      <c r="S41" s="1" t="s">
        <v>26</v>
      </c>
      <c r="T41" s="11">
        <f t="shared" si="0"/>
        <v>0.54999999999999993</v>
      </c>
    </row>
    <row r="42" spans="1:20" x14ac:dyDescent="0.25">
      <c r="A42" s="12">
        <v>46127</v>
      </c>
      <c r="B42" s="1" t="s">
        <v>19</v>
      </c>
      <c r="C42" s="1" t="s">
        <v>20</v>
      </c>
      <c r="D42" s="1">
        <v>6344075</v>
      </c>
      <c r="E42" s="1" t="s">
        <v>21</v>
      </c>
      <c r="G42" s="1" t="s">
        <v>22</v>
      </c>
      <c r="H42" s="12">
        <v>46082</v>
      </c>
      <c r="I42" s="1" t="s">
        <v>31</v>
      </c>
      <c r="J42" s="1">
        <v>60887858</v>
      </c>
      <c r="K42" s="1">
        <v>450900971</v>
      </c>
      <c r="L42" s="1" t="s">
        <v>24</v>
      </c>
      <c r="M42" s="12">
        <v>46082</v>
      </c>
      <c r="N42" s="1" t="s">
        <v>25</v>
      </c>
      <c r="O42" s="1">
        <v>6.23</v>
      </c>
      <c r="P42" s="1">
        <v>3.43</v>
      </c>
      <c r="R42" s="1" t="s">
        <v>15</v>
      </c>
      <c r="S42" s="1" t="s">
        <v>26</v>
      </c>
      <c r="T42" s="11">
        <f t="shared" si="0"/>
        <v>0.550561797752809</v>
      </c>
    </row>
    <row r="43" spans="1:20" x14ac:dyDescent="0.25">
      <c r="A43" s="12">
        <v>46127</v>
      </c>
      <c r="B43" s="1" t="s">
        <v>19</v>
      </c>
      <c r="C43" s="1" t="s">
        <v>20</v>
      </c>
      <c r="D43" s="1">
        <v>6344075</v>
      </c>
      <c r="E43" s="1" t="s">
        <v>21</v>
      </c>
      <c r="G43" s="1" t="s">
        <v>22</v>
      </c>
      <c r="H43" s="12">
        <v>46113</v>
      </c>
      <c r="I43" s="1" t="s">
        <v>32</v>
      </c>
      <c r="J43" s="1">
        <v>62335427</v>
      </c>
      <c r="K43" s="1">
        <v>450974844</v>
      </c>
      <c r="L43" s="1" t="s">
        <v>33</v>
      </c>
      <c r="M43" s="12">
        <v>46113</v>
      </c>
      <c r="N43" s="1" t="s">
        <v>34</v>
      </c>
      <c r="O43" s="1">
        <v>4.79</v>
      </c>
      <c r="P43" s="1">
        <v>1.92</v>
      </c>
      <c r="R43" s="1" t="s">
        <v>15</v>
      </c>
      <c r="S43" s="1" t="s">
        <v>26</v>
      </c>
      <c r="T43" s="11">
        <f t="shared" si="0"/>
        <v>0.40083507306889349</v>
      </c>
    </row>
    <row r="44" spans="1:20" x14ac:dyDescent="0.25">
      <c r="A44" s="12">
        <v>46127</v>
      </c>
      <c r="B44" s="1" t="s">
        <v>19</v>
      </c>
      <c r="C44" s="1" t="s">
        <v>20</v>
      </c>
      <c r="D44" s="1">
        <v>6344075</v>
      </c>
      <c r="E44" s="1" t="s">
        <v>21</v>
      </c>
      <c r="G44" s="1" t="s">
        <v>22</v>
      </c>
      <c r="H44" s="12">
        <v>46113</v>
      </c>
      <c r="I44" s="1" t="s">
        <v>32</v>
      </c>
      <c r="J44" s="1">
        <v>62335427</v>
      </c>
      <c r="K44" s="1">
        <v>450974844</v>
      </c>
      <c r="L44" s="1" t="s">
        <v>33</v>
      </c>
      <c r="M44" s="12">
        <v>46113</v>
      </c>
      <c r="N44" s="1" t="s">
        <v>34</v>
      </c>
      <c r="O44" s="1">
        <v>13.26</v>
      </c>
      <c r="P44" s="1">
        <v>5.3</v>
      </c>
      <c r="R44" s="1" t="s">
        <v>15</v>
      </c>
      <c r="S44" s="1" t="s">
        <v>26</v>
      </c>
      <c r="T44" s="11">
        <f t="shared" si="0"/>
        <v>0.39969834087481143</v>
      </c>
    </row>
    <row r="45" spans="1:20" x14ac:dyDescent="0.25">
      <c r="A45" s="12">
        <v>46127</v>
      </c>
      <c r="B45" s="1" t="s">
        <v>19</v>
      </c>
      <c r="C45" s="1" t="s">
        <v>20</v>
      </c>
      <c r="D45" s="1">
        <v>6344075</v>
      </c>
      <c r="E45" s="1" t="s">
        <v>21</v>
      </c>
      <c r="G45" s="1" t="s">
        <v>22</v>
      </c>
      <c r="H45" s="12">
        <v>46113</v>
      </c>
      <c r="I45" s="1" t="s">
        <v>32</v>
      </c>
      <c r="J45" s="1">
        <v>62335427</v>
      </c>
      <c r="K45" s="1">
        <v>450974844</v>
      </c>
      <c r="L45" s="1" t="s">
        <v>33</v>
      </c>
      <c r="M45" s="12">
        <v>46113</v>
      </c>
      <c r="N45" s="1" t="s">
        <v>34</v>
      </c>
      <c r="O45" s="1">
        <v>3.91</v>
      </c>
      <c r="P45" s="1">
        <v>1.56</v>
      </c>
      <c r="R45" s="1" t="s">
        <v>15</v>
      </c>
      <c r="S45" s="1" t="s">
        <v>26</v>
      </c>
      <c r="T45" s="11">
        <f t="shared" si="0"/>
        <v>0.39897698209718668</v>
      </c>
    </row>
    <row r="46" spans="1:20" x14ac:dyDescent="0.25">
      <c r="A46" s="12">
        <v>46127</v>
      </c>
      <c r="B46" s="1" t="s">
        <v>19</v>
      </c>
      <c r="C46" s="1" t="s">
        <v>20</v>
      </c>
      <c r="D46" s="1">
        <v>6344075</v>
      </c>
      <c r="E46" s="1" t="s">
        <v>21</v>
      </c>
      <c r="G46" s="1" t="s">
        <v>22</v>
      </c>
      <c r="H46" s="12">
        <v>46113</v>
      </c>
      <c r="I46" s="1" t="s">
        <v>32</v>
      </c>
      <c r="J46" s="1">
        <v>62335427</v>
      </c>
      <c r="K46" s="1">
        <v>450974844</v>
      </c>
      <c r="L46" s="1" t="s">
        <v>33</v>
      </c>
      <c r="M46" s="12">
        <v>46113</v>
      </c>
      <c r="N46" s="1" t="s">
        <v>34</v>
      </c>
      <c r="O46" s="1">
        <v>11.08</v>
      </c>
      <c r="P46" s="1">
        <v>4.43</v>
      </c>
      <c r="R46" s="1" t="s">
        <v>15</v>
      </c>
      <c r="S46" s="1" t="s">
        <v>26</v>
      </c>
      <c r="T46" s="11">
        <f t="shared" si="0"/>
        <v>0.39981949458483751</v>
      </c>
    </row>
    <row r="47" spans="1:20" x14ac:dyDescent="0.25">
      <c r="A47" s="12">
        <v>46127</v>
      </c>
      <c r="B47" s="1" t="s">
        <v>19</v>
      </c>
      <c r="C47" s="1" t="s">
        <v>20</v>
      </c>
      <c r="D47" s="1">
        <v>6344075</v>
      </c>
      <c r="E47" s="1" t="s">
        <v>21</v>
      </c>
      <c r="G47" s="1" t="s">
        <v>22</v>
      </c>
      <c r="H47" s="12">
        <v>46113</v>
      </c>
      <c r="I47" s="1" t="s">
        <v>32</v>
      </c>
      <c r="J47" s="1">
        <v>62335427</v>
      </c>
      <c r="K47" s="1">
        <v>450974844</v>
      </c>
      <c r="L47" s="1" t="s">
        <v>33</v>
      </c>
      <c r="M47" s="12">
        <v>46113</v>
      </c>
      <c r="N47" s="1" t="s">
        <v>34</v>
      </c>
      <c r="O47" s="1">
        <v>1.66</v>
      </c>
      <c r="P47" s="1">
        <v>0.66</v>
      </c>
      <c r="R47" s="1" t="s">
        <v>15</v>
      </c>
      <c r="S47" s="1" t="s">
        <v>26</v>
      </c>
      <c r="T47" s="11">
        <f t="shared" si="0"/>
        <v>0.39759036144578319</v>
      </c>
    </row>
    <row r="48" spans="1:20" x14ac:dyDescent="0.25">
      <c r="A48" s="12">
        <v>46127</v>
      </c>
      <c r="B48" s="1" t="s">
        <v>19</v>
      </c>
      <c r="C48" s="1" t="s">
        <v>20</v>
      </c>
      <c r="D48" s="1">
        <v>6344075</v>
      </c>
      <c r="E48" s="1" t="s">
        <v>21</v>
      </c>
      <c r="G48" s="1" t="s">
        <v>22</v>
      </c>
      <c r="H48" s="12">
        <v>46113</v>
      </c>
      <c r="I48" s="1" t="s">
        <v>35</v>
      </c>
      <c r="J48" s="1">
        <v>61669780</v>
      </c>
      <c r="K48" s="1">
        <v>450946467</v>
      </c>
      <c r="L48" s="1" t="s">
        <v>36</v>
      </c>
      <c r="M48" s="12">
        <v>46113</v>
      </c>
      <c r="N48" s="1" t="s">
        <v>34</v>
      </c>
      <c r="O48" s="1">
        <v>15.46</v>
      </c>
      <c r="P48" s="1">
        <v>5.41</v>
      </c>
      <c r="R48" s="1" t="s">
        <v>15</v>
      </c>
      <c r="S48" s="1" t="s">
        <v>26</v>
      </c>
      <c r="T48" s="11">
        <f t="shared" si="0"/>
        <v>0.3499353169469599</v>
      </c>
    </row>
    <row r="49" spans="1:20" x14ac:dyDescent="0.25">
      <c r="A49" s="12">
        <v>46127</v>
      </c>
      <c r="B49" s="1" t="s">
        <v>19</v>
      </c>
      <c r="C49" s="1" t="s">
        <v>20</v>
      </c>
      <c r="D49" s="1">
        <v>6344075</v>
      </c>
      <c r="E49" s="1" t="s">
        <v>21</v>
      </c>
      <c r="G49" s="1" t="s">
        <v>22</v>
      </c>
      <c r="H49" s="12">
        <v>46113</v>
      </c>
      <c r="I49" s="1" t="s">
        <v>35</v>
      </c>
      <c r="J49" s="1">
        <v>61669909</v>
      </c>
      <c r="K49" s="1">
        <v>450946468</v>
      </c>
      <c r="L49" s="1" t="s">
        <v>37</v>
      </c>
      <c r="M49" s="12">
        <v>46113</v>
      </c>
      <c r="N49" s="1" t="s">
        <v>34</v>
      </c>
      <c r="O49" s="1">
        <v>53.2</v>
      </c>
      <c r="P49" s="1">
        <v>21.28</v>
      </c>
      <c r="R49" s="1" t="s">
        <v>15</v>
      </c>
      <c r="S49" s="1" t="s">
        <v>26</v>
      </c>
      <c r="T49" s="11">
        <f t="shared" si="0"/>
        <v>0.4</v>
      </c>
    </row>
    <row r="50" spans="1:20" x14ac:dyDescent="0.25">
      <c r="A50" s="12">
        <v>46127</v>
      </c>
      <c r="B50" s="1" t="s">
        <v>19</v>
      </c>
      <c r="C50" s="1" t="s">
        <v>20</v>
      </c>
      <c r="D50" s="1">
        <v>6344075</v>
      </c>
      <c r="E50" s="1" t="s">
        <v>21</v>
      </c>
      <c r="G50" s="1" t="s">
        <v>22</v>
      </c>
      <c r="H50" s="12">
        <v>46143</v>
      </c>
      <c r="I50" s="1" t="s">
        <v>38</v>
      </c>
      <c r="J50" s="1">
        <v>61180502</v>
      </c>
      <c r="K50" s="1">
        <v>450927987</v>
      </c>
      <c r="L50" s="1" t="s">
        <v>37</v>
      </c>
      <c r="M50" s="12">
        <v>46143</v>
      </c>
      <c r="N50" s="1" t="s">
        <v>39</v>
      </c>
      <c r="O50" s="1">
        <v>53.2</v>
      </c>
      <c r="P50" s="1">
        <v>21.28</v>
      </c>
      <c r="R50" s="1" t="s">
        <v>15</v>
      </c>
      <c r="S50" s="1" t="s">
        <v>26</v>
      </c>
      <c r="T50" s="11">
        <f t="shared" si="0"/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ADA9-0390-4A5D-9108-EE28A8779F06}">
  <dimension ref="A1:Z54"/>
  <sheetViews>
    <sheetView tabSelected="1" topLeftCell="C1" workbookViewId="0">
      <selection activeCell="P2" sqref="P2:P30"/>
    </sheetView>
  </sheetViews>
  <sheetFormatPr defaultColWidth="14.42578125" defaultRowHeight="15" x14ac:dyDescent="0.25"/>
  <cols>
    <col min="1" max="3" width="14.42578125" style="2"/>
    <col min="4" max="4" width="10.42578125" style="2" customWidth="1"/>
    <col min="5" max="5" width="11.42578125" style="2" customWidth="1"/>
    <col min="6" max="6" width="9.28515625" style="2" customWidth="1"/>
    <col min="7" max="7" width="16.5703125" style="2" customWidth="1"/>
    <col min="8" max="8" width="11.5703125" style="2" customWidth="1"/>
    <col min="9" max="9" width="17.85546875" style="2" customWidth="1"/>
    <col min="10" max="10" width="12.28515625" style="2" customWidth="1"/>
    <col min="11" max="11" width="12.5703125" style="2" customWidth="1"/>
    <col min="12" max="12" width="18.140625" style="2" bestFit="1" customWidth="1"/>
    <col min="13" max="13" width="11.42578125" style="2" customWidth="1"/>
    <col min="14" max="15" width="7.85546875" style="2" customWidth="1"/>
    <col min="16" max="18" width="14.42578125" style="2"/>
    <col min="19" max="19" width="7.28515625" style="2" customWidth="1"/>
    <col min="20" max="20" width="7.140625" style="2" customWidth="1"/>
    <col min="21" max="16384" width="14.42578125" style="2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6" x14ac:dyDescent="0.25">
      <c r="A2" s="9">
        <v>46127</v>
      </c>
      <c r="B2" s="10" t="s">
        <v>19</v>
      </c>
      <c r="C2" s="10" t="s">
        <v>20</v>
      </c>
      <c r="D2" s="10">
        <v>19491313</v>
      </c>
      <c r="E2" s="10" t="s">
        <v>21</v>
      </c>
      <c r="F2" s="10"/>
      <c r="G2" s="10" t="s">
        <v>22</v>
      </c>
      <c r="H2" s="9">
        <v>46082</v>
      </c>
      <c r="I2" s="10" t="s">
        <v>28</v>
      </c>
      <c r="J2" s="10">
        <v>60887834</v>
      </c>
      <c r="K2" s="10">
        <v>450900370</v>
      </c>
      <c r="L2" s="10" t="s">
        <v>24</v>
      </c>
      <c r="M2" s="9">
        <f>DATE(YEAR(H2), MONTH(H2) +1, DAY(H2))</f>
        <v>46113</v>
      </c>
      <c r="N2" s="10" t="s">
        <v>25</v>
      </c>
      <c r="O2" s="10">
        <v>41.81</v>
      </c>
      <c r="P2" s="10">
        <v>23</v>
      </c>
      <c r="Q2" s="10"/>
      <c r="R2" s="10" t="s">
        <v>15</v>
      </c>
      <c r="S2" s="10" t="s">
        <v>26</v>
      </c>
      <c r="T2" s="11">
        <f t="shared" ref="T2:T30" si="0">P2/O2</f>
        <v>0.55010762975364746</v>
      </c>
      <c r="U2" s="10" t="s">
        <v>43</v>
      </c>
      <c r="V2" s="10"/>
      <c r="W2" s="10"/>
      <c r="X2" s="10"/>
      <c r="Y2" s="10"/>
      <c r="Z2" s="10"/>
    </row>
    <row r="3" spans="1:26" x14ac:dyDescent="0.25">
      <c r="A3" s="12">
        <v>46127</v>
      </c>
      <c r="B3" s="1" t="s">
        <v>19</v>
      </c>
      <c r="C3" s="1" t="s">
        <v>20</v>
      </c>
      <c r="D3" s="10">
        <v>19491313</v>
      </c>
      <c r="E3" s="1" t="s">
        <v>21</v>
      </c>
      <c r="G3" s="1" t="s">
        <v>22</v>
      </c>
      <c r="H3" s="12">
        <v>46082</v>
      </c>
      <c r="I3" s="1" t="s">
        <v>28</v>
      </c>
      <c r="J3" s="1">
        <v>60887834</v>
      </c>
      <c r="K3" s="1">
        <v>450900370</v>
      </c>
      <c r="L3" s="1" t="s">
        <v>24</v>
      </c>
      <c r="M3" s="9">
        <f t="shared" ref="M3:M30" si="1">DATE(YEAR(H3), MONTH(H3) +1, DAY(H3))</f>
        <v>46113</v>
      </c>
      <c r="N3" s="1" t="s">
        <v>25</v>
      </c>
      <c r="O3" s="1">
        <v>7.24</v>
      </c>
      <c r="P3" s="1">
        <v>3.98</v>
      </c>
      <c r="R3" s="1" t="s">
        <v>15</v>
      </c>
      <c r="S3" s="1" t="s">
        <v>26</v>
      </c>
      <c r="T3" s="11">
        <f t="shared" si="0"/>
        <v>0.54972375690607733</v>
      </c>
      <c r="U3" s="10" t="s">
        <v>43</v>
      </c>
    </row>
    <row r="4" spans="1:26" x14ac:dyDescent="0.25">
      <c r="A4" s="12">
        <v>46127</v>
      </c>
      <c r="B4" s="1" t="s">
        <v>19</v>
      </c>
      <c r="C4" s="1" t="s">
        <v>20</v>
      </c>
      <c r="D4" s="10">
        <v>19491313</v>
      </c>
      <c r="E4" s="1" t="s">
        <v>21</v>
      </c>
      <c r="G4" s="1" t="s">
        <v>22</v>
      </c>
      <c r="H4" s="12">
        <v>46082</v>
      </c>
      <c r="I4" s="1" t="s">
        <v>28</v>
      </c>
      <c r="J4" s="1">
        <v>60887834</v>
      </c>
      <c r="K4" s="1">
        <v>450900370</v>
      </c>
      <c r="L4" s="1" t="s">
        <v>24</v>
      </c>
      <c r="M4" s="9">
        <f t="shared" si="1"/>
        <v>46113</v>
      </c>
      <c r="N4" s="1" t="s">
        <v>25</v>
      </c>
      <c r="O4" s="1">
        <v>6.11</v>
      </c>
      <c r="P4" s="1">
        <v>3.36</v>
      </c>
      <c r="R4" s="1" t="s">
        <v>15</v>
      </c>
      <c r="S4" s="1" t="s">
        <v>26</v>
      </c>
      <c r="T4" s="11">
        <f t="shared" si="0"/>
        <v>0.54991816693944351</v>
      </c>
      <c r="U4" s="10" t="s">
        <v>43</v>
      </c>
    </row>
    <row r="5" spans="1:26" x14ac:dyDescent="0.25">
      <c r="A5" s="12">
        <v>46127</v>
      </c>
      <c r="B5" s="1" t="s">
        <v>19</v>
      </c>
      <c r="C5" s="1" t="s">
        <v>20</v>
      </c>
      <c r="D5" s="10">
        <v>19491313</v>
      </c>
      <c r="E5" s="1" t="s">
        <v>21</v>
      </c>
      <c r="G5" s="1" t="s">
        <v>22</v>
      </c>
      <c r="H5" s="12">
        <v>46082</v>
      </c>
      <c r="I5" s="1" t="s">
        <v>28</v>
      </c>
      <c r="J5" s="1">
        <v>60887834</v>
      </c>
      <c r="K5" s="1">
        <v>450900370</v>
      </c>
      <c r="L5" s="1" t="s">
        <v>24</v>
      </c>
      <c r="M5" s="9">
        <f t="shared" si="1"/>
        <v>46113</v>
      </c>
      <c r="N5" s="1" t="s">
        <v>25</v>
      </c>
      <c r="O5" s="1">
        <v>2.86</v>
      </c>
      <c r="P5" s="1">
        <v>1.57</v>
      </c>
      <c r="R5" s="1" t="s">
        <v>15</v>
      </c>
      <c r="S5" s="1" t="s">
        <v>26</v>
      </c>
      <c r="T5" s="11">
        <f t="shared" si="0"/>
        <v>0.54895104895104896</v>
      </c>
      <c r="U5" s="10" t="s">
        <v>43</v>
      </c>
    </row>
    <row r="6" spans="1:26" x14ac:dyDescent="0.25">
      <c r="A6" s="12">
        <v>46127</v>
      </c>
      <c r="B6" s="1" t="s">
        <v>19</v>
      </c>
      <c r="C6" s="1" t="s">
        <v>20</v>
      </c>
      <c r="D6" s="10">
        <v>19491313</v>
      </c>
      <c r="E6" s="1" t="s">
        <v>21</v>
      </c>
      <c r="G6" s="1" t="s">
        <v>22</v>
      </c>
      <c r="H6" s="12">
        <v>46082</v>
      </c>
      <c r="I6" s="1" t="s">
        <v>28</v>
      </c>
      <c r="J6" s="1">
        <v>60887834</v>
      </c>
      <c r="K6" s="1">
        <v>450900370</v>
      </c>
      <c r="L6" s="1" t="s">
        <v>24</v>
      </c>
      <c r="M6" s="9">
        <f t="shared" si="1"/>
        <v>46113</v>
      </c>
      <c r="N6" s="1" t="s">
        <v>25</v>
      </c>
      <c r="O6" s="1">
        <v>21.08</v>
      </c>
      <c r="P6" s="1">
        <v>11.59</v>
      </c>
      <c r="R6" s="1" t="s">
        <v>15</v>
      </c>
      <c r="S6" s="1" t="s">
        <v>26</v>
      </c>
      <c r="T6" s="11">
        <f t="shared" si="0"/>
        <v>0.54981024667931688</v>
      </c>
      <c r="U6" s="10" t="s">
        <v>43</v>
      </c>
    </row>
    <row r="7" spans="1:26" x14ac:dyDescent="0.25">
      <c r="A7" s="12">
        <v>46127</v>
      </c>
      <c r="B7" s="1" t="s">
        <v>19</v>
      </c>
      <c r="C7" s="1" t="s">
        <v>20</v>
      </c>
      <c r="D7" s="10">
        <v>19491313</v>
      </c>
      <c r="E7" s="1" t="s">
        <v>21</v>
      </c>
      <c r="G7" s="1" t="s">
        <v>22</v>
      </c>
      <c r="H7" s="12">
        <v>46082</v>
      </c>
      <c r="I7" s="1" t="s">
        <v>29</v>
      </c>
      <c r="J7" s="1">
        <v>60887792</v>
      </c>
      <c r="K7" s="1">
        <v>450900222</v>
      </c>
      <c r="L7" s="1" t="s">
        <v>24</v>
      </c>
      <c r="M7" s="9">
        <f t="shared" si="1"/>
        <v>46113</v>
      </c>
      <c r="N7" s="1" t="s">
        <v>25</v>
      </c>
      <c r="O7" s="1">
        <v>2.86</v>
      </c>
      <c r="P7" s="1">
        <v>1.57</v>
      </c>
      <c r="R7" s="1" t="s">
        <v>15</v>
      </c>
      <c r="S7" s="1" t="s">
        <v>26</v>
      </c>
      <c r="T7" s="11">
        <f t="shared" si="0"/>
        <v>0.54895104895104896</v>
      </c>
      <c r="U7" s="10" t="s">
        <v>43</v>
      </c>
    </row>
    <row r="8" spans="1:26" x14ac:dyDescent="0.25">
      <c r="A8" s="9">
        <v>46127</v>
      </c>
      <c r="B8" s="10" t="s">
        <v>19</v>
      </c>
      <c r="C8" s="10" t="s">
        <v>20</v>
      </c>
      <c r="D8" s="10">
        <v>19491313</v>
      </c>
      <c r="E8" s="10" t="s">
        <v>21</v>
      </c>
      <c r="F8" s="10"/>
      <c r="G8" s="10" t="s">
        <v>22</v>
      </c>
      <c r="H8" s="9">
        <v>46082</v>
      </c>
      <c r="I8" s="10" t="s">
        <v>29</v>
      </c>
      <c r="J8" s="10">
        <v>60887792</v>
      </c>
      <c r="K8" s="10">
        <v>450900222</v>
      </c>
      <c r="L8" s="10" t="s">
        <v>24</v>
      </c>
      <c r="M8" s="9">
        <f t="shared" si="1"/>
        <v>46113</v>
      </c>
      <c r="N8" s="10" t="s">
        <v>25</v>
      </c>
      <c r="O8" s="10">
        <v>41.81</v>
      </c>
      <c r="P8" s="10">
        <v>23</v>
      </c>
      <c r="Q8" s="10"/>
      <c r="R8" s="10" t="s">
        <v>15</v>
      </c>
      <c r="S8" s="10" t="s">
        <v>26</v>
      </c>
      <c r="T8" s="11">
        <f t="shared" si="0"/>
        <v>0.55010762975364746</v>
      </c>
      <c r="U8" s="10" t="s">
        <v>43</v>
      </c>
      <c r="V8" s="10"/>
      <c r="W8" s="10"/>
      <c r="X8" s="10"/>
      <c r="Y8" s="10"/>
      <c r="Z8" s="10"/>
    </row>
    <row r="9" spans="1:26" x14ac:dyDescent="0.25">
      <c r="A9" s="12">
        <v>46127</v>
      </c>
      <c r="B9" s="1" t="s">
        <v>19</v>
      </c>
      <c r="C9" s="1" t="s">
        <v>20</v>
      </c>
      <c r="D9" s="10">
        <v>19491313</v>
      </c>
      <c r="E9" s="1" t="s">
        <v>21</v>
      </c>
      <c r="G9" s="1" t="s">
        <v>22</v>
      </c>
      <c r="H9" s="12">
        <v>46082</v>
      </c>
      <c r="I9" s="1" t="s">
        <v>29</v>
      </c>
      <c r="J9" s="1">
        <v>60887792</v>
      </c>
      <c r="K9" s="1">
        <v>450900222</v>
      </c>
      <c r="L9" s="1" t="s">
        <v>24</v>
      </c>
      <c r="M9" s="9">
        <f t="shared" si="1"/>
        <v>46113</v>
      </c>
      <c r="N9" s="1" t="s">
        <v>25</v>
      </c>
      <c r="O9" s="1">
        <v>7.24</v>
      </c>
      <c r="P9" s="1">
        <v>3.98</v>
      </c>
      <c r="R9" s="1" t="s">
        <v>15</v>
      </c>
      <c r="S9" s="1" t="s">
        <v>26</v>
      </c>
      <c r="T9" s="11">
        <f t="shared" si="0"/>
        <v>0.54972375690607733</v>
      </c>
      <c r="U9" s="10" t="s">
        <v>43</v>
      </c>
    </row>
    <row r="10" spans="1:26" x14ac:dyDescent="0.25">
      <c r="A10" s="12">
        <v>46127</v>
      </c>
      <c r="B10" s="1" t="s">
        <v>19</v>
      </c>
      <c r="C10" s="1" t="s">
        <v>20</v>
      </c>
      <c r="D10" s="10">
        <v>19491313</v>
      </c>
      <c r="E10" s="1" t="s">
        <v>21</v>
      </c>
      <c r="G10" s="1" t="s">
        <v>22</v>
      </c>
      <c r="H10" s="12">
        <v>46082</v>
      </c>
      <c r="I10" s="1" t="s">
        <v>29</v>
      </c>
      <c r="J10" s="1">
        <v>60887792</v>
      </c>
      <c r="K10" s="1">
        <v>450900222</v>
      </c>
      <c r="L10" s="1" t="s">
        <v>24</v>
      </c>
      <c r="M10" s="9">
        <f t="shared" si="1"/>
        <v>46113</v>
      </c>
      <c r="N10" s="1" t="s">
        <v>25</v>
      </c>
      <c r="O10" s="1">
        <v>21.08</v>
      </c>
      <c r="P10" s="1">
        <v>11.59</v>
      </c>
      <c r="R10" s="1" t="s">
        <v>15</v>
      </c>
      <c r="S10" s="1" t="s">
        <v>26</v>
      </c>
      <c r="T10" s="11">
        <f t="shared" si="0"/>
        <v>0.54981024667931688</v>
      </c>
      <c r="U10" s="10" t="s">
        <v>43</v>
      </c>
    </row>
    <row r="11" spans="1:26" x14ac:dyDescent="0.25">
      <c r="A11" s="12">
        <v>46127</v>
      </c>
      <c r="B11" s="1" t="s">
        <v>19</v>
      </c>
      <c r="C11" s="1" t="s">
        <v>20</v>
      </c>
      <c r="D11" s="10">
        <v>19491313</v>
      </c>
      <c r="E11" s="1" t="s">
        <v>21</v>
      </c>
      <c r="G11" s="1" t="s">
        <v>22</v>
      </c>
      <c r="H11" s="12">
        <v>46082</v>
      </c>
      <c r="I11" s="1" t="s">
        <v>29</v>
      </c>
      <c r="J11" s="1">
        <v>60887792</v>
      </c>
      <c r="K11" s="1">
        <v>450900222</v>
      </c>
      <c r="L11" s="1" t="s">
        <v>24</v>
      </c>
      <c r="M11" s="9">
        <f t="shared" si="1"/>
        <v>46113</v>
      </c>
      <c r="N11" s="1" t="s">
        <v>25</v>
      </c>
      <c r="O11" s="1">
        <v>6.11</v>
      </c>
      <c r="P11" s="1">
        <v>3.36</v>
      </c>
      <c r="R11" s="1" t="s">
        <v>15</v>
      </c>
      <c r="S11" s="1" t="s">
        <v>26</v>
      </c>
      <c r="T11" s="11">
        <f t="shared" si="0"/>
        <v>0.54991816693944351</v>
      </c>
      <c r="U11" s="10" t="s">
        <v>43</v>
      </c>
    </row>
    <row r="12" spans="1:26" x14ac:dyDescent="0.25">
      <c r="A12" s="12">
        <v>46127</v>
      </c>
      <c r="B12" s="1" t="s">
        <v>19</v>
      </c>
      <c r="C12" s="1" t="s">
        <v>20</v>
      </c>
      <c r="D12" s="10">
        <v>19491313</v>
      </c>
      <c r="E12" s="1" t="s">
        <v>21</v>
      </c>
      <c r="G12" s="1" t="s">
        <v>22</v>
      </c>
      <c r="H12" s="12">
        <v>46082</v>
      </c>
      <c r="I12" s="1" t="s">
        <v>30</v>
      </c>
      <c r="J12" s="1">
        <v>60807607</v>
      </c>
      <c r="K12" s="1">
        <v>450896649</v>
      </c>
      <c r="L12" s="1" t="s">
        <v>24</v>
      </c>
      <c r="M12" s="9">
        <f t="shared" si="1"/>
        <v>46113</v>
      </c>
      <c r="N12" s="1" t="s">
        <v>25</v>
      </c>
      <c r="O12" s="1">
        <v>7.24</v>
      </c>
      <c r="P12" s="1">
        <v>3.98</v>
      </c>
      <c r="R12" s="1" t="s">
        <v>15</v>
      </c>
      <c r="S12" s="1" t="s">
        <v>26</v>
      </c>
      <c r="T12" s="11">
        <f t="shared" si="0"/>
        <v>0.54972375690607733</v>
      </c>
      <c r="U12" s="10" t="s">
        <v>43</v>
      </c>
    </row>
    <row r="13" spans="1:26" x14ac:dyDescent="0.25">
      <c r="A13" s="12">
        <v>46127</v>
      </c>
      <c r="B13" s="1" t="s">
        <v>19</v>
      </c>
      <c r="C13" s="1" t="s">
        <v>20</v>
      </c>
      <c r="D13" s="10">
        <v>19491313</v>
      </c>
      <c r="E13" s="1" t="s">
        <v>21</v>
      </c>
      <c r="G13" s="1" t="s">
        <v>22</v>
      </c>
      <c r="H13" s="12">
        <v>46082</v>
      </c>
      <c r="I13" s="1" t="s">
        <v>30</v>
      </c>
      <c r="J13" s="1">
        <v>60807607</v>
      </c>
      <c r="K13" s="1">
        <v>450896649</v>
      </c>
      <c r="L13" s="1" t="s">
        <v>24</v>
      </c>
      <c r="M13" s="9">
        <f t="shared" si="1"/>
        <v>46113</v>
      </c>
      <c r="N13" s="1" t="s">
        <v>25</v>
      </c>
      <c r="O13" s="1">
        <v>5.94</v>
      </c>
      <c r="P13" s="1">
        <v>3.27</v>
      </c>
      <c r="R13" s="1" t="s">
        <v>15</v>
      </c>
      <c r="S13" s="1" t="s">
        <v>26</v>
      </c>
      <c r="T13" s="11">
        <f t="shared" si="0"/>
        <v>0.5505050505050505</v>
      </c>
      <c r="U13" s="10" t="s">
        <v>43</v>
      </c>
    </row>
    <row r="14" spans="1:26" x14ac:dyDescent="0.25">
      <c r="A14" s="12">
        <v>46127</v>
      </c>
      <c r="B14" s="1" t="s">
        <v>19</v>
      </c>
      <c r="C14" s="1" t="s">
        <v>20</v>
      </c>
      <c r="D14" s="10">
        <v>19491313</v>
      </c>
      <c r="E14" s="1" t="s">
        <v>21</v>
      </c>
      <c r="G14" s="1" t="s">
        <v>22</v>
      </c>
      <c r="H14" s="12">
        <v>46082</v>
      </c>
      <c r="I14" s="1" t="s">
        <v>30</v>
      </c>
      <c r="J14" s="1">
        <v>60807607</v>
      </c>
      <c r="K14" s="1">
        <v>450896649</v>
      </c>
      <c r="L14" s="1" t="s">
        <v>24</v>
      </c>
      <c r="M14" s="9">
        <f t="shared" si="1"/>
        <v>46113</v>
      </c>
      <c r="N14" s="1" t="s">
        <v>25</v>
      </c>
      <c r="O14" s="1">
        <v>2.7</v>
      </c>
      <c r="P14" s="1">
        <v>1.49</v>
      </c>
      <c r="R14" s="1" t="s">
        <v>15</v>
      </c>
      <c r="S14" s="1" t="s">
        <v>26</v>
      </c>
      <c r="T14" s="11">
        <f t="shared" si="0"/>
        <v>0.55185185185185182</v>
      </c>
      <c r="U14" s="10" t="s">
        <v>43</v>
      </c>
    </row>
    <row r="15" spans="1:26" x14ac:dyDescent="0.25">
      <c r="A15" s="12">
        <v>46127</v>
      </c>
      <c r="B15" s="1" t="s">
        <v>19</v>
      </c>
      <c r="C15" s="1" t="s">
        <v>20</v>
      </c>
      <c r="D15" s="10">
        <v>19491313</v>
      </c>
      <c r="E15" s="1" t="s">
        <v>21</v>
      </c>
      <c r="G15" s="1" t="s">
        <v>22</v>
      </c>
      <c r="H15" s="12">
        <v>46082</v>
      </c>
      <c r="I15" s="1" t="s">
        <v>30</v>
      </c>
      <c r="J15" s="1">
        <v>60807607</v>
      </c>
      <c r="K15" s="1">
        <v>450896649</v>
      </c>
      <c r="L15" s="1" t="s">
        <v>24</v>
      </c>
      <c r="M15" s="9">
        <f t="shared" si="1"/>
        <v>46113</v>
      </c>
      <c r="N15" s="1" t="s">
        <v>25</v>
      </c>
      <c r="O15" s="1">
        <v>40.39</v>
      </c>
      <c r="P15" s="1">
        <v>22.21</v>
      </c>
      <c r="R15" s="1" t="s">
        <v>15</v>
      </c>
      <c r="S15" s="1" t="s">
        <v>26</v>
      </c>
      <c r="T15" s="11">
        <f t="shared" si="0"/>
        <v>0.5498885862837336</v>
      </c>
      <c r="U15" s="10" t="s">
        <v>43</v>
      </c>
    </row>
    <row r="16" spans="1:26" x14ac:dyDescent="0.25">
      <c r="A16" s="12">
        <v>46127</v>
      </c>
      <c r="B16" s="1" t="s">
        <v>19</v>
      </c>
      <c r="C16" s="1" t="s">
        <v>20</v>
      </c>
      <c r="D16" s="10">
        <v>19491313</v>
      </c>
      <c r="E16" s="1" t="s">
        <v>21</v>
      </c>
      <c r="G16" s="1" t="s">
        <v>22</v>
      </c>
      <c r="H16" s="12">
        <v>46082</v>
      </c>
      <c r="I16" s="1" t="s">
        <v>30</v>
      </c>
      <c r="J16" s="1">
        <v>60807607</v>
      </c>
      <c r="K16" s="1">
        <v>450896649</v>
      </c>
      <c r="L16" s="1" t="s">
        <v>24</v>
      </c>
      <c r="M16" s="9">
        <f t="shared" si="1"/>
        <v>46113</v>
      </c>
      <c r="N16" s="1" t="s">
        <v>25</v>
      </c>
      <c r="O16" s="1">
        <v>19.84</v>
      </c>
      <c r="P16" s="1">
        <v>10.91</v>
      </c>
      <c r="R16" s="1" t="s">
        <v>15</v>
      </c>
      <c r="S16" s="1" t="s">
        <v>26</v>
      </c>
      <c r="T16" s="11">
        <f t="shared" si="0"/>
        <v>0.54989919354838712</v>
      </c>
      <c r="U16" s="10" t="s">
        <v>43</v>
      </c>
    </row>
    <row r="17" spans="1:21" x14ac:dyDescent="0.25">
      <c r="A17" s="12">
        <v>46127</v>
      </c>
      <c r="B17" s="1" t="s">
        <v>19</v>
      </c>
      <c r="C17" s="1" t="s">
        <v>20</v>
      </c>
      <c r="D17" s="10">
        <v>19491313</v>
      </c>
      <c r="E17" s="1" t="s">
        <v>21</v>
      </c>
      <c r="G17" s="1" t="s">
        <v>22</v>
      </c>
      <c r="H17" s="12">
        <v>46082</v>
      </c>
      <c r="I17" s="1" t="s">
        <v>30</v>
      </c>
      <c r="J17" s="1">
        <v>60807607</v>
      </c>
      <c r="K17" s="1">
        <v>450896649</v>
      </c>
      <c r="L17" s="1" t="s">
        <v>24</v>
      </c>
      <c r="M17" s="9">
        <f t="shared" si="1"/>
        <v>46113</v>
      </c>
      <c r="N17" s="1" t="s">
        <v>25</v>
      </c>
      <c r="O17" s="1">
        <v>4.3099999999999996</v>
      </c>
      <c r="P17" s="1">
        <v>2.37</v>
      </c>
      <c r="R17" s="1" t="s">
        <v>15</v>
      </c>
      <c r="S17" s="1" t="s">
        <v>26</v>
      </c>
      <c r="T17" s="11">
        <f t="shared" si="0"/>
        <v>0.54988399071925764</v>
      </c>
      <c r="U17" s="10" t="s">
        <v>43</v>
      </c>
    </row>
    <row r="18" spans="1:21" x14ac:dyDescent="0.25">
      <c r="A18" s="12">
        <v>46127</v>
      </c>
      <c r="B18" s="1" t="s">
        <v>19</v>
      </c>
      <c r="C18" s="1" t="s">
        <v>20</v>
      </c>
      <c r="D18" s="10">
        <v>19491313</v>
      </c>
      <c r="E18" s="1" t="s">
        <v>21</v>
      </c>
      <c r="G18" s="1" t="s">
        <v>22</v>
      </c>
      <c r="H18" s="12">
        <v>46082</v>
      </c>
      <c r="I18" s="1" t="s">
        <v>31</v>
      </c>
      <c r="J18" s="1">
        <v>60887858</v>
      </c>
      <c r="K18" s="1">
        <v>450900971</v>
      </c>
      <c r="L18" s="1" t="s">
        <v>24</v>
      </c>
      <c r="M18" s="9">
        <f t="shared" si="1"/>
        <v>46113</v>
      </c>
      <c r="N18" s="1" t="s">
        <v>25</v>
      </c>
      <c r="O18" s="1">
        <v>7.24</v>
      </c>
      <c r="P18" s="1">
        <v>3.98</v>
      </c>
      <c r="R18" s="1" t="s">
        <v>15</v>
      </c>
      <c r="S18" s="1" t="s">
        <v>26</v>
      </c>
      <c r="T18" s="11">
        <f t="shared" si="0"/>
        <v>0.54972375690607733</v>
      </c>
      <c r="U18" s="10" t="s">
        <v>43</v>
      </c>
    </row>
    <row r="19" spans="1:21" x14ac:dyDescent="0.25">
      <c r="A19" s="12">
        <v>46127</v>
      </c>
      <c r="B19" s="1" t="s">
        <v>19</v>
      </c>
      <c r="C19" s="1" t="s">
        <v>20</v>
      </c>
      <c r="D19" s="10">
        <v>19491313</v>
      </c>
      <c r="E19" s="1" t="s">
        <v>21</v>
      </c>
      <c r="G19" s="1" t="s">
        <v>22</v>
      </c>
      <c r="H19" s="12">
        <v>46082</v>
      </c>
      <c r="I19" s="1" t="s">
        <v>31</v>
      </c>
      <c r="J19" s="1">
        <v>60887858</v>
      </c>
      <c r="K19" s="1">
        <v>450900971</v>
      </c>
      <c r="L19" s="1" t="s">
        <v>24</v>
      </c>
      <c r="M19" s="9">
        <f t="shared" si="1"/>
        <v>46113</v>
      </c>
      <c r="N19" s="1" t="s">
        <v>25</v>
      </c>
      <c r="O19" s="1">
        <v>22.64</v>
      </c>
      <c r="P19" s="1">
        <v>12.45</v>
      </c>
      <c r="R19" s="1" t="s">
        <v>15</v>
      </c>
      <c r="S19" s="1" t="s">
        <v>26</v>
      </c>
      <c r="T19" s="11">
        <f t="shared" si="0"/>
        <v>0.54991166077738507</v>
      </c>
      <c r="U19" s="10" t="s">
        <v>43</v>
      </c>
    </row>
    <row r="20" spans="1:21" x14ac:dyDescent="0.25">
      <c r="A20" s="12">
        <v>46127</v>
      </c>
      <c r="B20" s="1" t="s">
        <v>19</v>
      </c>
      <c r="C20" s="1" t="s">
        <v>20</v>
      </c>
      <c r="D20" s="10">
        <v>19491313</v>
      </c>
      <c r="E20" s="1" t="s">
        <v>21</v>
      </c>
      <c r="G20" s="1" t="s">
        <v>22</v>
      </c>
      <c r="H20" s="12">
        <v>46082</v>
      </c>
      <c r="I20" s="1" t="s">
        <v>31</v>
      </c>
      <c r="J20" s="1">
        <v>60887858</v>
      </c>
      <c r="K20" s="1">
        <v>450900971</v>
      </c>
      <c r="L20" s="1" t="s">
        <v>24</v>
      </c>
      <c r="M20" s="9">
        <f t="shared" si="1"/>
        <v>46113</v>
      </c>
      <c r="N20" s="1" t="s">
        <v>25</v>
      </c>
      <c r="O20" s="1">
        <v>43.27</v>
      </c>
      <c r="P20" s="1">
        <v>23.8</v>
      </c>
      <c r="R20" s="1" t="s">
        <v>15</v>
      </c>
      <c r="S20" s="1" t="s">
        <v>26</v>
      </c>
      <c r="T20" s="11">
        <f t="shared" si="0"/>
        <v>0.55003466605038132</v>
      </c>
      <c r="U20" s="10" t="s">
        <v>43</v>
      </c>
    </row>
    <row r="21" spans="1:21" x14ac:dyDescent="0.25">
      <c r="A21" s="12">
        <v>46127</v>
      </c>
      <c r="B21" s="1" t="s">
        <v>19</v>
      </c>
      <c r="C21" s="1" t="s">
        <v>20</v>
      </c>
      <c r="D21" s="10">
        <v>19491313</v>
      </c>
      <c r="E21" s="1" t="s">
        <v>21</v>
      </c>
      <c r="G21" s="1" t="s">
        <v>22</v>
      </c>
      <c r="H21" s="12">
        <v>46082</v>
      </c>
      <c r="I21" s="1" t="s">
        <v>31</v>
      </c>
      <c r="J21" s="1">
        <v>60887858</v>
      </c>
      <c r="K21" s="1">
        <v>450900971</v>
      </c>
      <c r="L21" s="1" t="s">
        <v>24</v>
      </c>
      <c r="M21" s="9">
        <f t="shared" si="1"/>
        <v>46113</v>
      </c>
      <c r="N21" s="1" t="s">
        <v>25</v>
      </c>
      <c r="O21" s="1">
        <v>3</v>
      </c>
      <c r="P21" s="1">
        <v>1.65</v>
      </c>
      <c r="R21" s="1" t="s">
        <v>15</v>
      </c>
      <c r="S21" s="1" t="s">
        <v>26</v>
      </c>
      <c r="T21" s="11">
        <f t="shared" si="0"/>
        <v>0.54999999999999993</v>
      </c>
      <c r="U21" s="10" t="s">
        <v>43</v>
      </c>
    </row>
    <row r="22" spans="1:21" x14ac:dyDescent="0.25">
      <c r="A22" s="12">
        <v>46127</v>
      </c>
      <c r="B22" s="1" t="s">
        <v>19</v>
      </c>
      <c r="C22" s="1" t="s">
        <v>20</v>
      </c>
      <c r="D22" s="10">
        <v>19491313</v>
      </c>
      <c r="E22" s="1" t="s">
        <v>21</v>
      </c>
      <c r="G22" s="1" t="s">
        <v>22</v>
      </c>
      <c r="H22" s="12">
        <v>46082</v>
      </c>
      <c r="I22" s="1" t="s">
        <v>31</v>
      </c>
      <c r="J22" s="1">
        <v>60887858</v>
      </c>
      <c r="K22" s="1">
        <v>450900971</v>
      </c>
      <c r="L22" s="1" t="s">
        <v>24</v>
      </c>
      <c r="M22" s="9">
        <f t="shared" si="1"/>
        <v>46113</v>
      </c>
      <c r="N22" s="1" t="s">
        <v>25</v>
      </c>
      <c r="O22" s="1">
        <v>6.23</v>
      </c>
      <c r="P22" s="1">
        <v>3.43</v>
      </c>
      <c r="R22" s="1" t="s">
        <v>15</v>
      </c>
      <c r="S22" s="1" t="s">
        <v>26</v>
      </c>
      <c r="T22" s="11">
        <f t="shared" si="0"/>
        <v>0.550561797752809</v>
      </c>
      <c r="U22" s="10" t="s">
        <v>43</v>
      </c>
    </row>
    <row r="23" spans="1:21" x14ac:dyDescent="0.25">
      <c r="A23" s="12">
        <v>46127</v>
      </c>
      <c r="B23" s="1" t="s">
        <v>19</v>
      </c>
      <c r="C23" s="1" t="s">
        <v>20</v>
      </c>
      <c r="D23" s="10">
        <v>19491313</v>
      </c>
      <c r="E23" s="1" t="s">
        <v>21</v>
      </c>
      <c r="G23" s="1" t="s">
        <v>22</v>
      </c>
      <c r="H23" s="12">
        <v>46113</v>
      </c>
      <c r="I23" s="1" t="s">
        <v>32</v>
      </c>
      <c r="J23" s="1">
        <v>62335427</v>
      </c>
      <c r="K23" s="1">
        <v>450974844</v>
      </c>
      <c r="L23" s="1" t="s">
        <v>33</v>
      </c>
      <c r="M23" s="9">
        <f t="shared" si="1"/>
        <v>46143</v>
      </c>
      <c r="N23" s="1" t="s">
        <v>34</v>
      </c>
      <c r="O23" s="1">
        <v>4.79</v>
      </c>
      <c r="P23" s="1">
        <v>1.92</v>
      </c>
      <c r="R23" s="1" t="s">
        <v>15</v>
      </c>
      <c r="S23" s="1" t="s">
        <v>26</v>
      </c>
      <c r="T23" s="11">
        <f t="shared" si="0"/>
        <v>0.40083507306889349</v>
      </c>
      <c r="U23" s="2" t="s">
        <v>40</v>
      </c>
    </row>
    <row r="24" spans="1:21" x14ac:dyDescent="0.25">
      <c r="A24" s="12">
        <v>46127</v>
      </c>
      <c r="B24" s="1" t="s">
        <v>19</v>
      </c>
      <c r="C24" s="1" t="s">
        <v>20</v>
      </c>
      <c r="D24" s="10">
        <v>19491313</v>
      </c>
      <c r="E24" s="1" t="s">
        <v>21</v>
      </c>
      <c r="G24" s="1" t="s">
        <v>22</v>
      </c>
      <c r="H24" s="12">
        <v>46113</v>
      </c>
      <c r="I24" s="1" t="s">
        <v>32</v>
      </c>
      <c r="J24" s="1">
        <v>62335427</v>
      </c>
      <c r="K24" s="1">
        <v>450974844</v>
      </c>
      <c r="L24" s="1" t="s">
        <v>33</v>
      </c>
      <c r="M24" s="9">
        <f t="shared" si="1"/>
        <v>46143</v>
      </c>
      <c r="N24" s="1" t="s">
        <v>34</v>
      </c>
      <c r="O24" s="1">
        <v>13.26</v>
      </c>
      <c r="P24" s="1">
        <v>5.3</v>
      </c>
      <c r="R24" s="1" t="s">
        <v>15</v>
      </c>
      <c r="S24" s="1" t="s">
        <v>26</v>
      </c>
      <c r="T24" s="11">
        <f t="shared" si="0"/>
        <v>0.39969834087481143</v>
      </c>
      <c r="U24" s="2" t="s">
        <v>40</v>
      </c>
    </row>
    <row r="25" spans="1:21" x14ac:dyDescent="0.25">
      <c r="A25" s="12">
        <v>46127</v>
      </c>
      <c r="B25" s="1" t="s">
        <v>19</v>
      </c>
      <c r="C25" s="1" t="s">
        <v>20</v>
      </c>
      <c r="D25" s="10">
        <v>19491313</v>
      </c>
      <c r="E25" s="1" t="s">
        <v>21</v>
      </c>
      <c r="G25" s="1" t="s">
        <v>22</v>
      </c>
      <c r="H25" s="12">
        <v>46113</v>
      </c>
      <c r="I25" s="1" t="s">
        <v>32</v>
      </c>
      <c r="J25" s="1">
        <v>62335427</v>
      </c>
      <c r="K25" s="1">
        <v>450974844</v>
      </c>
      <c r="L25" s="1" t="s">
        <v>33</v>
      </c>
      <c r="M25" s="9">
        <f t="shared" si="1"/>
        <v>46143</v>
      </c>
      <c r="N25" s="1" t="s">
        <v>34</v>
      </c>
      <c r="O25" s="1">
        <v>3.91</v>
      </c>
      <c r="P25" s="1">
        <v>1.56</v>
      </c>
      <c r="R25" s="1" t="s">
        <v>15</v>
      </c>
      <c r="S25" s="1" t="s">
        <v>26</v>
      </c>
      <c r="T25" s="11">
        <f t="shared" si="0"/>
        <v>0.39897698209718668</v>
      </c>
      <c r="U25" s="2" t="s">
        <v>40</v>
      </c>
    </row>
    <row r="26" spans="1:21" x14ac:dyDescent="0.25">
      <c r="A26" s="12">
        <v>46127</v>
      </c>
      <c r="B26" s="1" t="s">
        <v>19</v>
      </c>
      <c r="C26" s="1" t="s">
        <v>20</v>
      </c>
      <c r="D26" s="10">
        <v>19491313</v>
      </c>
      <c r="E26" s="1" t="s">
        <v>21</v>
      </c>
      <c r="G26" s="1" t="s">
        <v>22</v>
      </c>
      <c r="H26" s="12">
        <v>46113</v>
      </c>
      <c r="I26" s="1" t="s">
        <v>32</v>
      </c>
      <c r="J26" s="1">
        <v>62335427</v>
      </c>
      <c r="K26" s="1">
        <v>450974844</v>
      </c>
      <c r="L26" s="1" t="s">
        <v>33</v>
      </c>
      <c r="M26" s="9">
        <f t="shared" si="1"/>
        <v>46143</v>
      </c>
      <c r="N26" s="1" t="s">
        <v>34</v>
      </c>
      <c r="O26" s="1">
        <v>11.08</v>
      </c>
      <c r="P26" s="1">
        <v>4.43</v>
      </c>
      <c r="R26" s="1" t="s">
        <v>15</v>
      </c>
      <c r="S26" s="1" t="s">
        <v>26</v>
      </c>
      <c r="T26" s="11">
        <f t="shared" si="0"/>
        <v>0.39981949458483751</v>
      </c>
      <c r="U26" s="2" t="s">
        <v>40</v>
      </c>
    </row>
    <row r="27" spans="1:21" x14ac:dyDescent="0.25">
      <c r="A27" s="12">
        <v>46127</v>
      </c>
      <c r="B27" s="1" t="s">
        <v>19</v>
      </c>
      <c r="C27" s="1" t="s">
        <v>20</v>
      </c>
      <c r="D27" s="10">
        <v>19491313</v>
      </c>
      <c r="E27" s="1" t="s">
        <v>21</v>
      </c>
      <c r="G27" s="1" t="s">
        <v>22</v>
      </c>
      <c r="H27" s="12">
        <v>46113</v>
      </c>
      <c r="I27" s="1" t="s">
        <v>32</v>
      </c>
      <c r="J27" s="1">
        <v>62335427</v>
      </c>
      <c r="K27" s="1">
        <v>450974844</v>
      </c>
      <c r="L27" s="1" t="s">
        <v>33</v>
      </c>
      <c r="M27" s="9">
        <f t="shared" si="1"/>
        <v>46143</v>
      </c>
      <c r="N27" s="1" t="s">
        <v>34</v>
      </c>
      <c r="O27" s="1">
        <v>1.66</v>
      </c>
      <c r="P27" s="1">
        <v>0.66</v>
      </c>
      <c r="R27" s="1" t="s">
        <v>15</v>
      </c>
      <c r="S27" s="1" t="s">
        <v>26</v>
      </c>
      <c r="T27" s="11">
        <f t="shared" si="0"/>
        <v>0.39759036144578319</v>
      </c>
      <c r="U27" s="2" t="s">
        <v>40</v>
      </c>
    </row>
    <row r="28" spans="1:21" x14ac:dyDescent="0.25">
      <c r="A28" s="12">
        <v>46127</v>
      </c>
      <c r="B28" s="1" t="s">
        <v>19</v>
      </c>
      <c r="C28" s="1" t="s">
        <v>20</v>
      </c>
      <c r="D28" s="10">
        <v>19491313</v>
      </c>
      <c r="E28" s="1" t="s">
        <v>21</v>
      </c>
      <c r="G28" s="1" t="s">
        <v>22</v>
      </c>
      <c r="H28" s="12">
        <v>46113</v>
      </c>
      <c r="I28" s="1" t="s">
        <v>35</v>
      </c>
      <c r="J28" s="1">
        <v>61669780</v>
      </c>
      <c r="K28" s="1">
        <v>450946467</v>
      </c>
      <c r="L28" s="1" t="s">
        <v>36</v>
      </c>
      <c r="M28" s="9">
        <f t="shared" si="1"/>
        <v>46143</v>
      </c>
      <c r="N28" s="1" t="s">
        <v>34</v>
      </c>
      <c r="O28" s="1">
        <v>15.46</v>
      </c>
      <c r="P28" s="1">
        <v>5.41</v>
      </c>
      <c r="R28" s="1" t="s">
        <v>15</v>
      </c>
      <c r="S28" s="1" t="s">
        <v>26</v>
      </c>
      <c r="T28" s="11">
        <f t="shared" si="0"/>
        <v>0.3499353169469599</v>
      </c>
      <c r="U28" s="2" t="s">
        <v>42</v>
      </c>
    </row>
    <row r="29" spans="1:21" x14ac:dyDescent="0.25">
      <c r="A29" s="12">
        <v>46127</v>
      </c>
      <c r="B29" s="1" t="s">
        <v>19</v>
      </c>
      <c r="C29" s="1" t="s">
        <v>20</v>
      </c>
      <c r="D29" s="10">
        <v>19491313</v>
      </c>
      <c r="E29" s="1" t="s">
        <v>21</v>
      </c>
      <c r="G29" s="1" t="s">
        <v>22</v>
      </c>
      <c r="H29" s="12">
        <v>46113</v>
      </c>
      <c r="I29" s="1" t="s">
        <v>35</v>
      </c>
      <c r="J29" s="1">
        <v>61669909</v>
      </c>
      <c r="K29" s="1">
        <v>450946468</v>
      </c>
      <c r="L29" s="1" t="s">
        <v>37</v>
      </c>
      <c r="M29" s="9">
        <f t="shared" si="1"/>
        <v>46143</v>
      </c>
      <c r="N29" s="1" t="s">
        <v>34</v>
      </c>
      <c r="O29" s="1">
        <v>53.2</v>
      </c>
      <c r="P29" s="1">
        <v>21.28</v>
      </c>
      <c r="R29" s="1" t="s">
        <v>15</v>
      </c>
      <c r="S29" s="1" t="s">
        <v>26</v>
      </c>
      <c r="T29" s="11">
        <f t="shared" si="0"/>
        <v>0.4</v>
      </c>
      <c r="U29" s="2" t="s">
        <v>41</v>
      </c>
    </row>
    <row r="30" spans="1:21" x14ac:dyDescent="0.25">
      <c r="A30" s="12">
        <v>46127</v>
      </c>
      <c r="B30" s="1" t="s">
        <v>19</v>
      </c>
      <c r="C30" s="1" t="s">
        <v>20</v>
      </c>
      <c r="D30" s="10">
        <v>19491313</v>
      </c>
      <c r="E30" s="1" t="s">
        <v>21</v>
      </c>
      <c r="G30" s="1" t="s">
        <v>22</v>
      </c>
      <c r="H30" s="12">
        <v>46143</v>
      </c>
      <c r="I30" s="1" t="s">
        <v>38</v>
      </c>
      <c r="J30" s="1">
        <v>61180502</v>
      </c>
      <c r="K30" s="1">
        <v>450927987</v>
      </c>
      <c r="L30" s="1" t="s">
        <v>37</v>
      </c>
      <c r="M30" s="9">
        <f t="shared" si="1"/>
        <v>46174</v>
      </c>
      <c r="N30" s="1" t="s">
        <v>39</v>
      </c>
      <c r="O30" s="1">
        <v>53.2</v>
      </c>
      <c r="P30" s="1">
        <v>21.28</v>
      </c>
      <c r="R30" s="1" t="s">
        <v>15</v>
      </c>
      <c r="S30" s="1" t="s">
        <v>26</v>
      </c>
      <c r="T30" s="11">
        <f t="shared" si="0"/>
        <v>0.4</v>
      </c>
      <c r="U30" s="2" t="s">
        <v>41</v>
      </c>
    </row>
    <row r="35" spans="1:26" x14ac:dyDescent="0.25">
      <c r="A35" s="3">
        <v>46127</v>
      </c>
      <c r="B35" s="4" t="s">
        <v>19</v>
      </c>
      <c r="C35" s="4" t="s">
        <v>20</v>
      </c>
      <c r="D35" s="4">
        <v>6344075</v>
      </c>
      <c r="E35" s="4" t="s">
        <v>21</v>
      </c>
      <c r="F35" s="4"/>
      <c r="G35" s="4" t="s">
        <v>22</v>
      </c>
      <c r="H35" s="3">
        <v>46082</v>
      </c>
      <c r="I35" s="4" t="s">
        <v>23</v>
      </c>
      <c r="J35" s="4">
        <v>60807297</v>
      </c>
      <c r="K35" s="4">
        <v>450896372</v>
      </c>
      <c r="L35" s="4" t="s">
        <v>24</v>
      </c>
      <c r="M35" s="3">
        <v>46082</v>
      </c>
      <c r="N35" s="4" t="s">
        <v>25</v>
      </c>
      <c r="O35" s="4">
        <v>-14.77</v>
      </c>
      <c r="P35" s="4">
        <v>-5.91</v>
      </c>
      <c r="Q35" s="4"/>
      <c r="R35" s="4" t="s">
        <v>15</v>
      </c>
      <c r="S35" s="4" t="s">
        <v>26</v>
      </c>
      <c r="T35" s="5">
        <f t="shared" ref="T35:T54" si="2">P35/O35</f>
        <v>0.40013540961408262</v>
      </c>
      <c r="U35" s="4"/>
      <c r="V35" s="4"/>
      <c r="W35" s="4"/>
      <c r="X35" s="4"/>
      <c r="Y35" s="4"/>
      <c r="Z35" s="4"/>
    </row>
    <row r="36" spans="1:26" x14ac:dyDescent="0.25">
      <c r="A36" s="3">
        <v>46127</v>
      </c>
      <c r="B36" s="4" t="s">
        <v>19</v>
      </c>
      <c r="C36" s="4" t="s">
        <v>20</v>
      </c>
      <c r="D36" s="4">
        <v>6344075</v>
      </c>
      <c r="E36" s="4" t="s">
        <v>21</v>
      </c>
      <c r="F36" s="4"/>
      <c r="G36" s="4" t="s">
        <v>22</v>
      </c>
      <c r="H36" s="3">
        <v>46082</v>
      </c>
      <c r="I36" s="4" t="s">
        <v>23</v>
      </c>
      <c r="J36" s="4">
        <v>60807297</v>
      </c>
      <c r="K36" s="4">
        <v>450896372</v>
      </c>
      <c r="L36" s="4" t="s">
        <v>24</v>
      </c>
      <c r="M36" s="3">
        <v>46082</v>
      </c>
      <c r="N36" s="4" t="s">
        <v>25</v>
      </c>
      <c r="O36" s="4">
        <v>-6.94</v>
      </c>
      <c r="P36" s="4">
        <v>-2.78</v>
      </c>
      <c r="Q36" s="4"/>
      <c r="R36" s="4" t="s">
        <v>15</v>
      </c>
      <c r="S36" s="4" t="s">
        <v>26</v>
      </c>
      <c r="T36" s="5">
        <f t="shared" si="2"/>
        <v>0.40057636887608067</v>
      </c>
      <c r="U36" s="4"/>
      <c r="V36" s="4"/>
      <c r="W36" s="4"/>
      <c r="X36" s="4"/>
      <c r="Y36" s="4"/>
      <c r="Z36" s="4"/>
    </row>
    <row r="37" spans="1:26" x14ac:dyDescent="0.25">
      <c r="A37" s="3">
        <v>46127</v>
      </c>
      <c r="B37" s="4" t="s">
        <v>19</v>
      </c>
      <c r="C37" s="4" t="s">
        <v>20</v>
      </c>
      <c r="D37" s="4">
        <v>6344075</v>
      </c>
      <c r="E37" s="4" t="s">
        <v>21</v>
      </c>
      <c r="F37" s="4"/>
      <c r="G37" s="4" t="s">
        <v>22</v>
      </c>
      <c r="H37" s="3">
        <v>46082</v>
      </c>
      <c r="I37" s="4" t="s">
        <v>23</v>
      </c>
      <c r="J37" s="4">
        <v>60807297</v>
      </c>
      <c r="K37" s="4">
        <v>450896372</v>
      </c>
      <c r="L37" s="4" t="s">
        <v>24</v>
      </c>
      <c r="M37" s="3">
        <v>46082</v>
      </c>
      <c r="N37" s="4" t="s">
        <v>25</v>
      </c>
      <c r="O37" s="4">
        <v>-43.33</v>
      </c>
      <c r="P37" s="4">
        <v>-17.329999999999998</v>
      </c>
      <c r="Q37" s="4"/>
      <c r="R37" s="4" t="s">
        <v>15</v>
      </c>
      <c r="S37" s="4" t="s">
        <v>26</v>
      </c>
      <c r="T37" s="5">
        <f t="shared" si="2"/>
        <v>0.39995384260327715</v>
      </c>
      <c r="U37" s="4"/>
      <c r="V37" s="4"/>
      <c r="W37" s="4"/>
      <c r="X37" s="4"/>
      <c r="Y37" s="4"/>
      <c r="Z37" s="4"/>
    </row>
    <row r="38" spans="1:26" x14ac:dyDescent="0.25">
      <c r="A38" s="3">
        <v>46127</v>
      </c>
      <c r="B38" s="4" t="s">
        <v>19</v>
      </c>
      <c r="C38" s="4" t="s">
        <v>20</v>
      </c>
      <c r="D38" s="4">
        <v>6344075</v>
      </c>
      <c r="E38" s="4" t="s">
        <v>21</v>
      </c>
      <c r="F38" s="4"/>
      <c r="G38" s="4" t="s">
        <v>22</v>
      </c>
      <c r="H38" s="3">
        <v>46082</v>
      </c>
      <c r="I38" s="4" t="s">
        <v>23</v>
      </c>
      <c r="J38" s="4">
        <v>60807297</v>
      </c>
      <c r="K38" s="4">
        <v>450896372</v>
      </c>
      <c r="L38" s="4" t="s">
        <v>24</v>
      </c>
      <c r="M38" s="3">
        <v>46082</v>
      </c>
      <c r="N38" s="4" t="s">
        <v>25</v>
      </c>
      <c r="O38" s="4">
        <v>-4.79</v>
      </c>
      <c r="P38" s="4">
        <v>-1.92</v>
      </c>
      <c r="Q38" s="4"/>
      <c r="R38" s="4" t="s">
        <v>15</v>
      </c>
      <c r="S38" s="4" t="s">
        <v>26</v>
      </c>
      <c r="T38" s="5">
        <f t="shared" si="2"/>
        <v>0.40083507306889349</v>
      </c>
      <c r="U38" s="4"/>
      <c r="V38" s="4"/>
      <c r="W38" s="4"/>
      <c r="X38" s="4"/>
      <c r="Y38" s="4"/>
      <c r="Z38" s="4"/>
    </row>
    <row r="39" spans="1:26" x14ac:dyDescent="0.25">
      <c r="A39" s="3">
        <v>46127</v>
      </c>
      <c r="B39" s="4" t="s">
        <v>19</v>
      </c>
      <c r="C39" s="4" t="s">
        <v>20</v>
      </c>
      <c r="D39" s="4">
        <v>6344075</v>
      </c>
      <c r="E39" s="4" t="s">
        <v>21</v>
      </c>
      <c r="F39" s="4"/>
      <c r="G39" s="4" t="s">
        <v>22</v>
      </c>
      <c r="H39" s="3">
        <v>46082</v>
      </c>
      <c r="I39" s="4" t="s">
        <v>23</v>
      </c>
      <c r="J39" s="4">
        <v>60807297</v>
      </c>
      <c r="K39" s="4">
        <v>450896372</v>
      </c>
      <c r="L39" s="4" t="s">
        <v>24</v>
      </c>
      <c r="M39" s="3">
        <v>46082</v>
      </c>
      <c r="N39" s="4" t="s">
        <v>25</v>
      </c>
      <c r="O39" s="4">
        <v>-3.17</v>
      </c>
      <c r="P39" s="4">
        <v>-1.27</v>
      </c>
      <c r="Q39" s="4"/>
      <c r="R39" s="4" t="s">
        <v>15</v>
      </c>
      <c r="S39" s="4" t="s">
        <v>26</v>
      </c>
      <c r="T39" s="5">
        <f t="shared" si="2"/>
        <v>0.40063091482649843</v>
      </c>
      <c r="U39" s="4"/>
      <c r="V39" s="4"/>
      <c r="W39" s="4"/>
      <c r="X39" s="4"/>
      <c r="Y39" s="4"/>
      <c r="Z39" s="4"/>
    </row>
    <row r="40" spans="1:26" x14ac:dyDescent="0.25">
      <c r="A40" s="3">
        <v>46127</v>
      </c>
      <c r="B40" s="4" t="s">
        <v>19</v>
      </c>
      <c r="C40" s="4" t="s">
        <v>20</v>
      </c>
      <c r="D40" s="4">
        <v>6344075</v>
      </c>
      <c r="E40" s="4" t="s">
        <v>21</v>
      </c>
      <c r="F40" s="4"/>
      <c r="G40" s="4" t="s">
        <v>22</v>
      </c>
      <c r="H40" s="3">
        <v>46082</v>
      </c>
      <c r="I40" s="4" t="s">
        <v>23</v>
      </c>
      <c r="J40" s="4">
        <v>60807297</v>
      </c>
      <c r="K40" s="4">
        <v>450896372</v>
      </c>
      <c r="L40" s="4" t="s">
        <v>24</v>
      </c>
      <c r="M40" s="3">
        <v>46082</v>
      </c>
      <c r="N40" s="4" t="s">
        <v>25</v>
      </c>
      <c r="O40" s="4">
        <v>4.79</v>
      </c>
      <c r="P40" s="4">
        <v>1.92</v>
      </c>
      <c r="Q40" s="4"/>
      <c r="R40" s="4" t="s">
        <v>15</v>
      </c>
      <c r="S40" s="4" t="s">
        <v>26</v>
      </c>
      <c r="T40" s="5">
        <f t="shared" si="2"/>
        <v>0.40083507306889349</v>
      </c>
      <c r="U40" s="4"/>
      <c r="V40" s="4"/>
      <c r="W40" s="4"/>
      <c r="X40" s="4"/>
      <c r="Y40" s="4"/>
      <c r="Z40" s="4"/>
    </row>
    <row r="41" spans="1:26" x14ac:dyDescent="0.25">
      <c r="A41" s="3">
        <v>46127</v>
      </c>
      <c r="B41" s="4" t="s">
        <v>19</v>
      </c>
      <c r="C41" s="4" t="s">
        <v>20</v>
      </c>
      <c r="D41" s="4">
        <v>6344075</v>
      </c>
      <c r="E41" s="4" t="s">
        <v>21</v>
      </c>
      <c r="F41" s="4"/>
      <c r="G41" s="4" t="s">
        <v>22</v>
      </c>
      <c r="H41" s="3">
        <v>46082</v>
      </c>
      <c r="I41" s="4" t="s">
        <v>23</v>
      </c>
      <c r="J41" s="4">
        <v>60807297</v>
      </c>
      <c r="K41" s="4">
        <v>450896372</v>
      </c>
      <c r="L41" s="4" t="s">
        <v>24</v>
      </c>
      <c r="M41" s="3">
        <v>46082</v>
      </c>
      <c r="N41" s="4" t="s">
        <v>25</v>
      </c>
      <c r="O41" s="4">
        <v>14.77</v>
      </c>
      <c r="P41" s="4">
        <v>5.91</v>
      </c>
      <c r="Q41" s="4"/>
      <c r="R41" s="4" t="s">
        <v>15</v>
      </c>
      <c r="S41" s="4" t="s">
        <v>26</v>
      </c>
      <c r="T41" s="5">
        <f t="shared" si="2"/>
        <v>0.40013540961408262</v>
      </c>
      <c r="U41" s="4"/>
      <c r="V41" s="4"/>
      <c r="W41" s="4"/>
      <c r="X41" s="4"/>
      <c r="Y41" s="4"/>
      <c r="Z41" s="4"/>
    </row>
    <row r="42" spans="1:26" x14ac:dyDescent="0.25">
      <c r="A42" s="3">
        <v>46127</v>
      </c>
      <c r="B42" s="4" t="s">
        <v>19</v>
      </c>
      <c r="C42" s="4" t="s">
        <v>20</v>
      </c>
      <c r="D42" s="4">
        <v>6344075</v>
      </c>
      <c r="E42" s="4" t="s">
        <v>21</v>
      </c>
      <c r="F42" s="4"/>
      <c r="G42" s="4" t="s">
        <v>22</v>
      </c>
      <c r="H42" s="3">
        <v>46082</v>
      </c>
      <c r="I42" s="4" t="s">
        <v>23</v>
      </c>
      <c r="J42" s="4">
        <v>60807297</v>
      </c>
      <c r="K42" s="4">
        <v>450896372</v>
      </c>
      <c r="L42" s="4" t="s">
        <v>24</v>
      </c>
      <c r="M42" s="3">
        <v>46082</v>
      </c>
      <c r="N42" s="4" t="s">
        <v>25</v>
      </c>
      <c r="O42" s="4">
        <v>6.94</v>
      </c>
      <c r="P42" s="4">
        <v>2.78</v>
      </c>
      <c r="Q42" s="4"/>
      <c r="R42" s="4" t="s">
        <v>15</v>
      </c>
      <c r="S42" s="4" t="s">
        <v>26</v>
      </c>
      <c r="T42" s="5">
        <f t="shared" si="2"/>
        <v>0.40057636887608067</v>
      </c>
      <c r="U42" s="4"/>
      <c r="V42" s="4"/>
      <c r="W42" s="4"/>
      <c r="X42" s="4"/>
      <c r="Y42" s="4"/>
      <c r="Z42" s="4"/>
    </row>
    <row r="43" spans="1:26" x14ac:dyDescent="0.25">
      <c r="A43" s="3">
        <v>46127</v>
      </c>
      <c r="B43" s="4" t="s">
        <v>19</v>
      </c>
      <c r="C43" s="4" t="s">
        <v>20</v>
      </c>
      <c r="D43" s="4">
        <v>6344075</v>
      </c>
      <c r="E43" s="4" t="s">
        <v>21</v>
      </c>
      <c r="F43" s="4"/>
      <c r="G43" s="4" t="s">
        <v>22</v>
      </c>
      <c r="H43" s="3">
        <v>46082</v>
      </c>
      <c r="I43" s="4" t="s">
        <v>23</v>
      </c>
      <c r="J43" s="4">
        <v>60807297</v>
      </c>
      <c r="K43" s="4">
        <v>450896372</v>
      </c>
      <c r="L43" s="4" t="s">
        <v>24</v>
      </c>
      <c r="M43" s="3">
        <v>46082</v>
      </c>
      <c r="N43" s="4" t="s">
        <v>25</v>
      </c>
      <c r="O43" s="4">
        <v>3.17</v>
      </c>
      <c r="P43" s="4">
        <v>1.27</v>
      </c>
      <c r="Q43" s="4"/>
      <c r="R43" s="4" t="s">
        <v>15</v>
      </c>
      <c r="S43" s="4" t="s">
        <v>26</v>
      </c>
      <c r="T43" s="5">
        <f t="shared" si="2"/>
        <v>0.40063091482649843</v>
      </c>
      <c r="U43" s="4"/>
      <c r="V43" s="4"/>
      <c r="W43" s="4"/>
      <c r="X43" s="4"/>
      <c r="Y43" s="4"/>
      <c r="Z43" s="4"/>
    </row>
    <row r="44" spans="1:26" x14ac:dyDescent="0.25">
      <c r="A44" s="3">
        <v>46127</v>
      </c>
      <c r="B44" s="4" t="s">
        <v>19</v>
      </c>
      <c r="C44" s="4" t="s">
        <v>20</v>
      </c>
      <c r="D44" s="4">
        <v>6344075</v>
      </c>
      <c r="E44" s="4" t="s">
        <v>21</v>
      </c>
      <c r="F44" s="4"/>
      <c r="G44" s="4" t="s">
        <v>22</v>
      </c>
      <c r="H44" s="3">
        <v>46082</v>
      </c>
      <c r="I44" s="4" t="s">
        <v>23</v>
      </c>
      <c r="J44" s="4">
        <v>60807297</v>
      </c>
      <c r="K44" s="4">
        <v>450896372</v>
      </c>
      <c r="L44" s="4" t="s">
        <v>24</v>
      </c>
      <c r="M44" s="3">
        <v>46082</v>
      </c>
      <c r="N44" s="4" t="s">
        <v>25</v>
      </c>
      <c r="O44" s="4">
        <v>43.33</v>
      </c>
      <c r="P44" s="4">
        <v>17.329999999999998</v>
      </c>
      <c r="Q44" s="4"/>
      <c r="R44" s="4" t="s">
        <v>15</v>
      </c>
      <c r="S44" s="4" t="s">
        <v>26</v>
      </c>
      <c r="T44" s="5">
        <f t="shared" si="2"/>
        <v>0.39995384260327715</v>
      </c>
      <c r="U44" s="4"/>
      <c r="V44" s="4"/>
      <c r="W44" s="4"/>
      <c r="X44" s="4"/>
      <c r="Y44" s="4"/>
      <c r="Z44" s="4"/>
    </row>
    <row r="45" spans="1:26" x14ac:dyDescent="0.25">
      <c r="A45" s="6">
        <v>46127</v>
      </c>
      <c r="B45" s="7" t="s">
        <v>19</v>
      </c>
      <c r="C45" s="7" t="s">
        <v>20</v>
      </c>
      <c r="D45" s="7">
        <v>6344075</v>
      </c>
      <c r="E45" s="7" t="s">
        <v>21</v>
      </c>
      <c r="F45" s="7"/>
      <c r="G45" s="7" t="s">
        <v>22</v>
      </c>
      <c r="H45" s="6">
        <v>46082</v>
      </c>
      <c r="I45" s="7" t="s">
        <v>27</v>
      </c>
      <c r="J45" s="7">
        <v>60807767</v>
      </c>
      <c r="K45" s="7">
        <v>450892002</v>
      </c>
      <c r="L45" s="7" t="s">
        <v>24</v>
      </c>
      <c r="M45" s="6">
        <v>46082</v>
      </c>
      <c r="N45" s="7" t="s">
        <v>25</v>
      </c>
      <c r="O45" s="7">
        <v>35.549999999999997</v>
      </c>
      <c r="P45" s="7">
        <v>1.42</v>
      </c>
      <c r="Q45" s="7"/>
      <c r="R45" s="7" t="s">
        <v>15</v>
      </c>
      <c r="S45" s="7" t="s">
        <v>26</v>
      </c>
      <c r="T45" s="8">
        <f t="shared" si="2"/>
        <v>3.9943741209563996E-2</v>
      </c>
      <c r="U45" s="7"/>
      <c r="V45" s="7"/>
      <c r="W45" s="7"/>
      <c r="X45" s="7"/>
      <c r="Y45" s="7"/>
      <c r="Z45" s="7"/>
    </row>
    <row r="46" spans="1:26" x14ac:dyDescent="0.25">
      <c r="A46" s="6">
        <v>46127</v>
      </c>
      <c r="B46" s="7" t="s">
        <v>19</v>
      </c>
      <c r="C46" s="7" t="s">
        <v>20</v>
      </c>
      <c r="D46" s="7">
        <v>6344075</v>
      </c>
      <c r="E46" s="7" t="s">
        <v>21</v>
      </c>
      <c r="F46" s="7"/>
      <c r="G46" s="7" t="s">
        <v>22</v>
      </c>
      <c r="H46" s="6">
        <v>46082</v>
      </c>
      <c r="I46" s="7" t="s">
        <v>27</v>
      </c>
      <c r="J46" s="7">
        <v>60807767</v>
      </c>
      <c r="K46" s="7">
        <v>450892002</v>
      </c>
      <c r="L46" s="7" t="s">
        <v>24</v>
      </c>
      <c r="M46" s="6">
        <v>46082</v>
      </c>
      <c r="N46" s="7" t="s">
        <v>25</v>
      </c>
      <c r="O46" s="7">
        <v>5.24</v>
      </c>
      <c r="P46" s="7">
        <v>0.21</v>
      </c>
      <c r="Q46" s="7"/>
      <c r="R46" s="7" t="s">
        <v>15</v>
      </c>
      <c r="S46" s="7" t="s">
        <v>26</v>
      </c>
      <c r="T46" s="8">
        <f t="shared" si="2"/>
        <v>4.0076335877862593E-2</v>
      </c>
      <c r="U46" s="7"/>
      <c r="V46" s="7"/>
      <c r="W46" s="7"/>
      <c r="X46" s="7"/>
      <c r="Y46" s="7"/>
      <c r="Z46" s="7"/>
    </row>
    <row r="47" spans="1:26" x14ac:dyDescent="0.25">
      <c r="A47" s="6">
        <v>46127</v>
      </c>
      <c r="B47" s="7" t="s">
        <v>19</v>
      </c>
      <c r="C47" s="7" t="s">
        <v>20</v>
      </c>
      <c r="D47" s="7">
        <v>6344075</v>
      </c>
      <c r="E47" s="7" t="s">
        <v>21</v>
      </c>
      <c r="F47" s="7"/>
      <c r="G47" s="7" t="s">
        <v>22</v>
      </c>
      <c r="H47" s="6">
        <v>46082</v>
      </c>
      <c r="I47" s="7" t="s">
        <v>27</v>
      </c>
      <c r="J47" s="7">
        <v>60807767</v>
      </c>
      <c r="K47" s="7">
        <v>450892002</v>
      </c>
      <c r="L47" s="7" t="s">
        <v>24</v>
      </c>
      <c r="M47" s="6">
        <v>46082</v>
      </c>
      <c r="N47" s="7" t="s">
        <v>25</v>
      </c>
      <c r="O47" s="7">
        <v>8.3800000000000008</v>
      </c>
      <c r="P47" s="7">
        <v>0.34</v>
      </c>
      <c r="Q47" s="7"/>
      <c r="R47" s="7" t="s">
        <v>15</v>
      </c>
      <c r="S47" s="7" t="s">
        <v>26</v>
      </c>
      <c r="T47" s="8">
        <f t="shared" si="2"/>
        <v>4.0572792362768492E-2</v>
      </c>
      <c r="U47" s="7"/>
      <c r="V47" s="7"/>
      <c r="W47" s="7"/>
      <c r="X47" s="7"/>
      <c r="Y47" s="7"/>
      <c r="Z47" s="7"/>
    </row>
    <row r="48" spans="1:26" x14ac:dyDescent="0.25">
      <c r="A48" s="6">
        <v>46127</v>
      </c>
      <c r="B48" s="7" t="s">
        <v>19</v>
      </c>
      <c r="C48" s="7" t="s">
        <v>20</v>
      </c>
      <c r="D48" s="7">
        <v>6344075</v>
      </c>
      <c r="E48" s="7" t="s">
        <v>21</v>
      </c>
      <c r="F48" s="7"/>
      <c r="G48" s="7" t="s">
        <v>22</v>
      </c>
      <c r="H48" s="6">
        <v>46082</v>
      </c>
      <c r="I48" s="7" t="s">
        <v>27</v>
      </c>
      <c r="J48" s="7">
        <v>60807767</v>
      </c>
      <c r="K48" s="7">
        <v>450892002</v>
      </c>
      <c r="L48" s="7" t="s">
        <v>24</v>
      </c>
      <c r="M48" s="6">
        <v>46082</v>
      </c>
      <c r="N48" s="7" t="s">
        <v>25</v>
      </c>
      <c r="O48" s="7">
        <v>-11.72</v>
      </c>
      <c r="P48" s="7">
        <v>-0.47</v>
      </c>
      <c r="Q48" s="7"/>
      <c r="R48" s="7" t="s">
        <v>15</v>
      </c>
      <c r="S48" s="7" t="s">
        <v>26</v>
      </c>
      <c r="T48" s="8">
        <f t="shared" si="2"/>
        <v>4.0102389078498286E-2</v>
      </c>
      <c r="U48" s="7"/>
      <c r="V48" s="7"/>
      <c r="W48" s="7"/>
      <c r="X48" s="7"/>
      <c r="Y48" s="7"/>
      <c r="Z48" s="7"/>
    </row>
    <row r="49" spans="1:26" x14ac:dyDescent="0.25">
      <c r="A49" s="6">
        <v>46127</v>
      </c>
      <c r="B49" s="7" t="s">
        <v>19</v>
      </c>
      <c r="C49" s="7" t="s">
        <v>20</v>
      </c>
      <c r="D49" s="7">
        <v>6344075</v>
      </c>
      <c r="E49" s="7" t="s">
        <v>21</v>
      </c>
      <c r="F49" s="7"/>
      <c r="G49" s="7" t="s">
        <v>22</v>
      </c>
      <c r="H49" s="6">
        <v>46082</v>
      </c>
      <c r="I49" s="7" t="s">
        <v>27</v>
      </c>
      <c r="J49" s="7">
        <v>60807767</v>
      </c>
      <c r="K49" s="7">
        <v>450892002</v>
      </c>
      <c r="L49" s="7" t="s">
        <v>24</v>
      </c>
      <c r="M49" s="6">
        <v>46082</v>
      </c>
      <c r="N49" s="7" t="s">
        <v>25</v>
      </c>
      <c r="O49" s="7">
        <v>-8.3800000000000008</v>
      </c>
      <c r="P49" s="7">
        <v>-0.34</v>
      </c>
      <c r="Q49" s="7"/>
      <c r="R49" s="7" t="s">
        <v>15</v>
      </c>
      <c r="S49" s="7" t="s">
        <v>26</v>
      </c>
      <c r="T49" s="8">
        <f t="shared" si="2"/>
        <v>4.0572792362768492E-2</v>
      </c>
      <c r="U49" s="7"/>
      <c r="V49" s="7"/>
      <c r="W49" s="7"/>
      <c r="X49" s="7"/>
      <c r="Y49" s="7"/>
      <c r="Z49" s="7"/>
    </row>
    <row r="50" spans="1:26" x14ac:dyDescent="0.25">
      <c r="A50" s="6">
        <v>46127</v>
      </c>
      <c r="B50" s="7" t="s">
        <v>19</v>
      </c>
      <c r="C50" s="7" t="s">
        <v>20</v>
      </c>
      <c r="D50" s="7">
        <v>6344075</v>
      </c>
      <c r="E50" s="7" t="s">
        <v>21</v>
      </c>
      <c r="F50" s="7"/>
      <c r="G50" s="7" t="s">
        <v>22</v>
      </c>
      <c r="H50" s="6">
        <v>46082</v>
      </c>
      <c r="I50" s="7" t="s">
        <v>27</v>
      </c>
      <c r="J50" s="7">
        <v>60807767</v>
      </c>
      <c r="K50" s="7">
        <v>450892002</v>
      </c>
      <c r="L50" s="7" t="s">
        <v>24</v>
      </c>
      <c r="M50" s="6">
        <v>46082</v>
      </c>
      <c r="N50" s="7" t="s">
        <v>25</v>
      </c>
      <c r="O50" s="7">
        <v>-35.549999999999997</v>
      </c>
      <c r="P50" s="7">
        <v>-1.42</v>
      </c>
      <c r="Q50" s="7"/>
      <c r="R50" s="7" t="s">
        <v>15</v>
      </c>
      <c r="S50" s="7" t="s">
        <v>26</v>
      </c>
      <c r="T50" s="8">
        <f t="shared" si="2"/>
        <v>3.9943741209563996E-2</v>
      </c>
      <c r="U50" s="7"/>
      <c r="V50" s="7"/>
      <c r="W50" s="7"/>
      <c r="X50" s="7"/>
      <c r="Y50" s="7"/>
      <c r="Z50" s="7"/>
    </row>
    <row r="51" spans="1:26" x14ac:dyDescent="0.25">
      <c r="A51" s="6">
        <v>46127</v>
      </c>
      <c r="B51" s="7" t="s">
        <v>19</v>
      </c>
      <c r="C51" s="7" t="s">
        <v>20</v>
      </c>
      <c r="D51" s="7">
        <v>6344075</v>
      </c>
      <c r="E51" s="7" t="s">
        <v>21</v>
      </c>
      <c r="F51" s="7"/>
      <c r="G51" s="7" t="s">
        <v>22</v>
      </c>
      <c r="H51" s="6">
        <v>46082</v>
      </c>
      <c r="I51" s="7" t="s">
        <v>27</v>
      </c>
      <c r="J51" s="7">
        <v>60807767</v>
      </c>
      <c r="K51" s="7">
        <v>450892002</v>
      </c>
      <c r="L51" s="7" t="s">
        <v>24</v>
      </c>
      <c r="M51" s="6">
        <v>46082</v>
      </c>
      <c r="N51" s="7" t="s">
        <v>25</v>
      </c>
      <c r="O51" s="7">
        <v>-19.38</v>
      </c>
      <c r="P51" s="7">
        <v>-0.78</v>
      </c>
      <c r="Q51" s="7"/>
      <c r="R51" s="7" t="s">
        <v>15</v>
      </c>
      <c r="S51" s="7" t="s">
        <v>26</v>
      </c>
      <c r="T51" s="8">
        <f t="shared" si="2"/>
        <v>4.0247678018575858E-2</v>
      </c>
      <c r="U51" s="7"/>
      <c r="V51" s="7"/>
      <c r="W51" s="7"/>
      <c r="X51" s="7"/>
      <c r="Y51" s="7"/>
      <c r="Z51" s="7"/>
    </row>
    <row r="52" spans="1:26" x14ac:dyDescent="0.25">
      <c r="A52" s="6">
        <v>46127</v>
      </c>
      <c r="B52" s="7" t="s">
        <v>19</v>
      </c>
      <c r="C52" s="7" t="s">
        <v>20</v>
      </c>
      <c r="D52" s="7">
        <v>6344075</v>
      </c>
      <c r="E52" s="7" t="s">
        <v>21</v>
      </c>
      <c r="F52" s="7"/>
      <c r="G52" s="7" t="s">
        <v>22</v>
      </c>
      <c r="H52" s="6">
        <v>46082</v>
      </c>
      <c r="I52" s="7" t="s">
        <v>27</v>
      </c>
      <c r="J52" s="7">
        <v>60807767</v>
      </c>
      <c r="K52" s="7">
        <v>450892002</v>
      </c>
      <c r="L52" s="7" t="s">
        <v>24</v>
      </c>
      <c r="M52" s="6">
        <v>46082</v>
      </c>
      <c r="N52" s="7" t="s">
        <v>25</v>
      </c>
      <c r="O52" s="7">
        <v>-5.24</v>
      </c>
      <c r="P52" s="7">
        <v>-0.21</v>
      </c>
      <c r="Q52" s="7"/>
      <c r="R52" s="7" t="s">
        <v>15</v>
      </c>
      <c r="S52" s="7" t="s">
        <v>26</v>
      </c>
      <c r="T52" s="8">
        <f t="shared" si="2"/>
        <v>4.0076335877862593E-2</v>
      </c>
      <c r="U52" s="7"/>
      <c r="V52" s="7"/>
      <c r="W52" s="7"/>
      <c r="X52" s="7"/>
      <c r="Y52" s="7"/>
      <c r="Z52" s="7"/>
    </row>
    <row r="53" spans="1:26" x14ac:dyDescent="0.25">
      <c r="A53" s="6">
        <v>46127</v>
      </c>
      <c r="B53" s="7" t="s">
        <v>19</v>
      </c>
      <c r="C53" s="7" t="s">
        <v>20</v>
      </c>
      <c r="D53" s="7">
        <v>6344075</v>
      </c>
      <c r="E53" s="7" t="s">
        <v>21</v>
      </c>
      <c r="F53" s="7"/>
      <c r="G53" s="7" t="s">
        <v>22</v>
      </c>
      <c r="H53" s="6">
        <v>46082</v>
      </c>
      <c r="I53" s="7" t="s">
        <v>27</v>
      </c>
      <c r="J53" s="7">
        <v>60807767</v>
      </c>
      <c r="K53" s="7">
        <v>450892002</v>
      </c>
      <c r="L53" s="7" t="s">
        <v>24</v>
      </c>
      <c r="M53" s="6">
        <v>46082</v>
      </c>
      <c r="N53" s="7" t="s">
        <v>25</v>
      </c>
      <c r="O53" s="7">
        <v>11.72</v>
      </c>
      <c r="P53" s="7">
        <v>0.47</v>
      </c>
      <c r="Q53" s="7"/>
      <c r="R53" s="7" t="s">
        <v>15</v>
      </c>
      <c r="S53" s="7" t="s">
        <v>26</v>
      </c>
      <c r="T53" s="8">
        <f t="shared" si="2"/>
        <v>4.0102389078498286E-2</v>
      </c>
      <c r="U53" s="7"/>
      <c r="V53" s="7"/>
      <c r="W53" s="7"/>
      <c r="X53" s="7"/>
      <c r="Y53" s="7"/>
      <c r="Z53" s="7"/>
    </row>
    <row r="54" spans="1:26" x14ac:dyDescent="0.25">
      <c r="A54" s="6">
        <v>46127</v>
      </c>
      <c r="B54" s="7" t="s">
        <v>19</v>
      </c>
      <c r="C54" s="7" t="s">
        <v>20</v>
      </c>
      <c r="D54" s="7">
        <v>6344075</v>
      </c>
      <c r="E54" s="7" t="s">
        <v>21</v>
      </c>
      <c r="F54" s="7"/>
      <c r="G54" s="7" t="s">
        <v>22</v>
      </c>
      <c r="H54" s="6">
        <v>46082</v>
      </c>
      <c r="I54" s="7" t="s">
        <v>27</v>
      </c>
      <c r="J54" s="7">
        <v>60807767</v>
      </c>
      <c r="K54" s="7">
        <v>450892002</v>
      </c>
      <c r="L54" s="7" t="s">
        <v>24</v>
      </c>
      <c r="M54" s="6">
        <v>46082</v>
      </c>
      <c r="N54" s="7" t="s">
        <v>25</v>
      </c>
      <c r="O54" s="7">
        <v>19.38</v>
      </c>
      <c r="P54" s="7">
        <v>0.78</v>
      </c>
      <c r="Q54" s="7"/>
      <c r="R54" s="7" t="s">
        <v>15</v>
      </c>
      <c r="S54" s="7" t="s">
        <v>26</v>
      </c>
      <c r="T54" s="8">
        <f t="shared" si="2"/>
        <v>4.0247678018575858E-2</v>
      </c>
      <c r="U54" s="7"/>
      <c r="V54" s="7"/>
      <c r="W54" s="7"/>
      <c r="X54" s="7"/>
      <c r="Y54" s="7"/>
      <c r="Z5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2026-06-02T16:26:56Z</dcterms:created>
  <dcterms:modified xsi:type="dcterms:W3CDTF">2026-06-02T17:07:20Z</dcterms:modified>
</cp:coreProperties>
</file>