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eritas\10-27-25\"/>
    </mc:Choice>
  </mc:AlternateContent>
  <xr:revisionPtr revIDLastSave="0" documentId="13_ncr:1_{8DD940CD-B488-44BB-957E-81DEF60030C2}" xr6:coauthVersionLast="47" xr6:coauthVersionMax="47" xr10:uidLastSave="{00000000-0000-0000-0000-000000000000}"/>
  <bookViews>
    <workbookView xWindow="-57720" yWindow="-45" windowWidth="29040" windowHeight="15720" activeTab="1" xr2:uid="{509D2967-0C7A-4787-8810-04071889596C}"/>
  </bookViews>
  <sheets>
    <sheet name="Sheet0" sheetId="1" r:id="rId1"/>
    <sheet name="clean sheet" sheetId="2" r:id="rId2"/>
    <sheet name="Sheet4" sheetId="5" r:id="rId3"/>
    <sheet name="Sheet3" sheetId="4" r:id="rId4"/>
    <sheet name="Sheet2" sheetId="3" r:id="rId5"/>
  </sheets>
  <externalReferences>
    <externalReference r:id="rId6"/>
  </externalReferences>
  <definedNames>
    <definedName name="_xlnm._FilterDatabase" localSheetId="1" hidden="1">'clean sheet'!$A$1:$Q$278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5" l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1" i="5"/>
  <c r="B1" i="4" a="1"/>
  <c r="B1" i="4" s="1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1" i="3"/>
  <c r="K235" i="2"/>
  <c r="K233" i="2"/>
  <c r="K229" i="2"/>
  <c r="K257" i="2"/>
  <c r="K94" i="2"/>
  <c r="K96" i="2"/>
  <c r="K84" i="2"/>
  <c r="K64" i="2"/>
  <c r="K21" i="2"/>
  <c r="K256" i="2"/>
  <c r="K236" i="2"/>
  <c r="K230" i="2"/>
  <c r="K267" i="2"/>
  <c r="K237" i="2"/>
  <c r="K234" i="2"/>
  <c r="K127" i="2"/>
  <c r="K113" i="2"/>
  <c r="K91" i="2"/>
  <c r="K92" i="2"/>
  <c r="K93" i="2"/>
  <c r="K85" i="2"/>
  <c r="K128" i="2"/>
  <c r="K87" i="2"/>
  <c r="K231" i="2"/>
  <c r="K258" i="2"/>
  <c r="K95" i="2"/>
  <c r="K97" i="2"/>
  <c r="K86" i="2"/>
  <c r="K65" i="2"/>
  <c r="K22" i="2"/>
  <c r="K273" i="2"/>
  <c r="K274" i="2"/>
  <c r="K271" i="2"/>
  <c r="K272" i="2"/>
  <c r="K268" i="2"/>
  <c r="K269" i="2"/>
  <c r="K270" i="2"/>
  <c r="K263" i="2"/>
  <c r="K264" i="2"/>
  <c r="K261" i="2"/>
  <c r="K262" i="2"/>
  <c r="K265" i="2"/>
  <c r="K260" i="2"/>
  <c r="K259" i="2"/>
  <c r="K244" i="2"/>
  <c r="K245" i="2"/>
  <c r="K246" i="2"/>
  <c r="K240" i="2"/>
  <c r="K241" i="2"/>
  <c r="K247" i="2"/>
  <c r="K248" i="2"/>
  <c r="K249" i="2"/>
  <c r="K250" i="2"/>
  <c r="K251" i="2"/>
  <c r="K254" i="2"/>
  <c r="K255" i="2"/>
  <c r="K242" i="2"/>
  <c r="K243" i="2"/>
  <c r="K252" i="2"/>
  <c r="K253" i="2"/>
  <c r="K239" i="2"/>
  <c r="K238" i="2"/>
  <c r="K232" i="2"/>
  <c r="K223" i="2"/>
  <c r="K224" i="2"/>
  <c r="K225" i="2"/>
  <c r="K226" i="2"/>
  <c r="K227" i="2"/>
  <c r="K228" i="2"/>
  <c r="K219" i="2"/>
  <c r="K220" i="2"/>
  <c r="K217" i="2"/>
  <c r="K218" i="2"/>
  <c r="K221" i="2"/>
  <c r="K222" i="2"/>
  <c r="K208" i="2"/>
  <c r="K209" i="2"/>
  <c r="K216" i="2"/>
  <c r="K213" i="2"/>
  <c r="K214" i="2"/>
  <c r="K215" i="2"/>
  <c r="K210" i="2"/>
  <c r="K211" i="2"/>
  <c r="K212" i="2"/>
  <c r="K199" i="2"/>
  <c r="K200" i="2"/>
  <c r="K207" i="2"/>
  <c r="K197" i="2"/>
  <c r="K198" i="2"/>
  <c r="K206" i="2"/>
  <c r="K201" i="2"/>
  <c r="K202" i="2"/>
  <c r="K203" i="2"/>
  <c r="K204" i="2"/>
  <c r="K205" i="2"/>
  <c r="K183" i="2"/>
  <c r="K184" i="2"/>
  <c r="K177" i="2"/>
  <c r="K178" i="2"/>
  <c r="K175" i="2"/>
  <c r="K176" i="2"/>
  <c r="K191" i="2"/>
  <c r="K192" i="2"/>
  <c r="K185" i="2"/>
  <c r="K186" i="2"/>
  <c r="K195" i="2"/>
  <c r="K196" i="2"/>
  <c r="K189" i="2"/>
  <c r="K190" i="2"/>
  <c r="K187" i="2"/>
  <c r="K188" i="2"/>
  <c r="K193" i="2"/>
  <c r="K194" i="2"/>
  <c r="K179" i="2"/>
  <c r="K180" i="2"/>
  <c r="K181" i="2"/>
  <c r="K182" i="2"/>
  <c r="K167" i="2"/>
  <c r="K151" i="2"/>
  <c r="K152" i="2"/>
  <c r="K153" i="2"/>
  <c r="K169" i="2"/>
  <c r="K170" i="2"/>
  <c r="K158" i="2"/>
  <c r="K159" i="2"/>
  <c r="K168" i="2"/>
  <c r="K156" i="2"/>
  <c r="K157" i="2"/>
  <c r="K165" i="2"/>
  <c r="K166" i="2"/>
  <c r="K172" i="2"/>
  <c r="K173" i="2"/>
  <c r="K174" i="2"/>
  <c r="K161" i="2"/>
  <c r="K162" i="2"/>
  <c r="K163" i="2"/>
  <c r="K164" i="2"/>
  <c r="K171" i="2"/>
  <c r="K160" i="2"/>
  <c r="K154" i="2"/>
  <c r="K155" i="2"/>
  <c r="K143" i="2"/>
  <c r="K144" i="2"/>
  <c r="K145" i="2"/>
  <c r="K146" i="2"/>
  <c r="K147" i="2"/>
  <c r="K148" i="2"/>
  <c r="K141" i="2"/>
  <c r="K138" i="2"/>
  <c r="K149" i="2"/>
  <c r="K150" i="2"/>
  <c r="K142" i="2"/>
  <c r="K139" i="2"/>
  <c r="K140" i="2"/>
  <c r="K133" i="2"/>
  <c r="K129" i="2"/>
  <c r="K130" i="2"/>
  <c r="K132" i="2"/>
  <c r="K131" i="2"/>
  <c r="K135" i="2"/>
  <c r="K136" i="2"/>
  <c r="K137" i="2"/>
  <c r="K134" i="2"/>
  <c r="K126" i="2"/>
  <c r="K118" i="2"/>
  <c r="K119" i="2"/>
  <c r="K120" i="2"/>
  <c r="K121" i="2"/>
  <c r="K115" i="2"/>
  <c r="K124" i="2"/>
  <c r="K125" i="2"/>
  <c r="K123" i="2"/>
  <c r="K122" i="2"/>
  <c r="K114" i="2"/>
  <c r="K116" i="2"/>
  <c r="K117" i="2"/>
  <c r="K101" i="2"/>
  <c r="K106" i="2"/>
  <c r="K107" i="2"/>
  <c r="K108" i="2"/>
  <c r="K109" i="2"/>
  <c r="K110" i="2"/>
  <c r="K98" i="2"/>
  <c r="K111" i="2"/>
  <c r="K112" i="2"/>
  <c r="K100" i="2"/>
  <c r="K99" i="2"/>
  <c r="K102" i="2"/>
  <c r="K103" i="2"/>
  <c r="K104" i="2"/>
  <c r="K105" i="2"/>
  <c r="K88" i="2"/>
  <c r="K89" i="2"/>
  <c r="K90" i="2"/>
  <c r="K81" i="2"/>
  <c r="K78" i="2"/>
  <c r="K79" i="2"/>
  <c r="K80" i="2"/>
  <c r="K76" i="2"/>
  <c r="K77" i="2"/>
  <c r="K82" i="2"/>
  <c r="K83" i="2"/>
  <c r="K68" i="2"/>
  <c r="K69" i="2"/>
  <c r="K70" i="2"/>
  <c r="K66" i="2"/>
  <c r="K67" i="2"/>
  <c r="K71" i="2"/>
  <c r="K72" i="2"/>
  <c r="K73" i="2"/>
  <c r="K74" i="2"/>
  <c r="K75" i="2"/>
  <c r="K55" i="2"/>
  <c r="K56" i="2"/>
  <c r="K61" i="2"/>
  <c r="K57" i="2"/>
  <c r="K62" i="2"/>
  <c r="K63" i="2"/>
  <c r="K58" i="2"/>
  <c r="K59" i="2"/>
  <c r="K60" i="2"/>
  <c r="K46" i="2"/>
  <c r="K54" i="2"/>
  <c r="K43" i="2"/>
  <c r="K44" i="2"/>
  <c r="K45" i="2"/>
  <c r="K40" i="2"/>
  <c r="K41" i="2"/>
  <c r="K42" i="2"/>
  <c r="K49" i="2"/>
  <c r="K52" i="2"/>
  <c r="K53" i="2"/>
  <c r="K50" i="2"/>
  <c r="K51" i="2"/>
  <c r="K47" i="2"/>
  <c r="K48" i="2"/>
  <c r="K38" i="2"/>
  <c r="K39" i="2"/>
  <c r="K32" i="2"/>
  <c r="K33" i="2"/>
  <c r="K31" i="2"/>
  <c r="K36" i="2"/>
  <c r="K37" i="2"/>
  <c r="K29" i="2"/>
  <c r="K30" i="2"/>
  <c r="K34" i="2"/>
  <c r="K35" i="2"/>
  <c r="K24" i="2"/>
  <c r="K25" i="2"/>
  <c r="K26" i="2"/>
  <c r="K23" i="2"/>
  <c r="K27" i="2"/>
  <c r="K28" i="2"/>
  <c r="K17" i="2"/>
  <c r="K18" i="2"/>
  <c r="K13" i="2"/>
  <c r="K14" i="2"/>
  <c r="K15" i="2"/>
  <c r="K16" i="2"/>
  <c r="K19" i="2"/>
  <c r="K20" i="2"/>
  <c r="K12" i="2"/>
  <c r="K4" i="2"/>
  <c r="K5" i="2"/>
  <c r="K6" i="2"/>
  <c r="K7" i="2"/>
  <c r="K9" i="2"/>
  <c r="K8" i="2"/>
  <c r="K10" i="2"/>
  <c r="K11" i="2"/>
  <c r="K2" i="2"/>
  <c r="K3" i="2"/>
  <c r="K277" i="2"/>
  <c r="K275" i="2"/>
  <c r="K278" i="2"/>
  <c r="K276" i="2"/>
  <c r="K26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<sst xmlns="http://schemas.openxmlformats.org/spreadsheetml/2006/main" count="9023" uniqueCount="1059">
  <si>
    <t>Carrier Ident.</t>
  </si>
  <si>
    <t>Subsidiary</t>
  </si>
  <si>
    <t>Policy</t>
  </si>
  <si>
    <t>Division</t>
  </si>
  <si>
    <t>Agent / Agency Name</t>
  </si>
  <si>
    <t>Policyholder</t>
  </si>
  <si>
    <t>Benefit</t>
  </si>
  <si>
    <t>Premium Due Date</t>
  </si>
  <si>
    <t>Premium Paid Date</t>
  </si>
  <si>
    <t>Premium Billed</t>
  </si>
  <si>
    <t>Policy / Division Effective Date</t>
  </si>
  <si>
    <t>Agent / Agency ID</t>
  </si>
  <si>
    <t>Commission</t>
  </si>
  <si>
    <t>Writing Agent Name</t>
  </si>
  <si>
    <t>Policy Type</t>
  </si>
  <si>
    <t>Override</t>
  </si>
  <si>
    <t>Writing Agent AWN</t>
  </si>
  <si>
    <t>XREF</t>
  </si>
  <si>
    <t>Check Number</t>
  </si>
  <si>
    <t>Check Amount</t>
  </si>
  <si>
    <t>Check Date</t>
  </si>
  <si>
    <t>Payee Name</t>
  </si>
  <si>
    <t>Writing Agency AAN</t>
  </si>
  <si>
    <t>Writing Agency Name</t>
  </si>
  <si>
    <t>Writing Payee AAN</t>
  </si>
  <si>
    <t>Commission Year</t>
  </si>
  <si>
    <t>ALIC</t>
  </si>
  <si>
    <t>10</t>
  </si>
  <si>
    <t>2508</t>
  </si>
  <si>
    <t>73194</t>
  </si>
  <si>
    <t>MAIN LINE BENEFITS LLC</t>
  </si>
  <si>
    <t>PAMELA K LUMP</t>
  </si>
  <si>
    <t>DEN</t>
  </si>
  <si>
    <t>20251019</t>
  </si>
  <si>
    <t>20251021</t>
  </si>
  <si>
    <t>20220719</t>
  </si>
  <si>
    <t>X1835</t>
  </si>
  <si>
    <t>HOFFMANN,JASON,R*</t>
  </si>
  <si>
    <t>Individual</t>
  </si>
  <si>
    <t/>
  </si>
  <si>
    <t>9RA4</t>
  </si>
  <si>
    <t>847215364</t>
  </si>
  <si>
    <t>0</t>
  </si>
  <si>
    <t>20251027</t>
  </si>
  <si>
    <t>2</t>
  </si>
  <si>
    <t>HRG</t>
  </si>
  <si>
    <t>2510</t>
  </si>
  <si>
    <t>19817</t>
  </si>
  <si>
    <t>PREETI SODHI</t>
  </si>
  <si>
    <t>20251018</t>
  </si>
  <si>
    <t>20251020</t>
  </si>
  <si>
    <t>20230118</t>
  </si>
  <si>
    <t>847299572</t>
  </si>
  <si>
    <t>19818</t>
  </si>
  <si>
    <t>VIS</t>
  </si>
  <si>
    <t>2511</t>
  </si>
  <si>
    <t>14551</t>
  </si>
  <si>
    <t>KATHLEEN FALLON</t>
  </si>
  <si>
    <t>20251017</t>
  </si>
  <si>
    <t>20230517</t>
  </si>
  <si>
    <t>847355727</t>
  </si>
  <si>
    <t>14552</t>
  </si>
  <si>
    <t>2512</t>
  </si>
  <si>
    <t>18009</t>
  </si>
  <si>
    <t>ELIZABETH DRAKE</t>
  </si>
  <si>
    <t>20230918</t>
  </si>
  <si>
    <t>POWERS,TIMOTHY*</t>
  </si>
  <si>
    <t>0.73</t>
  </si>
  <si>
    <t>010X3704</t>
  </si>
  <si>
    <t>847417672</t>
  </si>
  <si>
    <t>0.03</t>
  </si>
  <si>
    <t>89270</t>
  </si>
  <si>
    <t>ANGELA NOLFI</t>
  </si>
  <si>
    <t>20231117</t>
  </si>
  <si>
    <t>INSKIPT,DEBORAH,LEE*</t>
  </si>
  <si>
    <t>010X2513</t>
  </si>
  <si>
    <t>847460342</t>
  </si>
  <si>
    <t>89476</t>
  </si>
  <si>
    <t>ALESSANDRA NOLFI</t>
  </si>
  <si>
    <t>847460478</t>
  </si>
  <si>
    <t>94325</t>
  </si>
  <si>
    <t>SCOTT CHRISTOPHER AGUGLIA</t>
  </si>
  <si>
    <t>20251023</t>
  </si>
  <si>
    <t>20231121</t>
  </si>
  <si>
    <t>AGUGLIA,SCOTT,CHRISTOPHER*</t>
  </si>
  <si>
    <t>010X4566</t>
  </si>
  <si>
    <t>847463314</t>
  </si>
  <si>
    <t>2513</t>
  </si>
  <si>
    <t>51107</t>
  </si>
  <si>
    <t>LAURIE JASON</t>
  </si>
  <si>
    <t>20251016</t>
  </si>
  <si>
    <t>20231216</t>
  </si>
  <si>
    <t>847485176</t>
  </si>
  <si>
    <t>52855</t>
  </si>
  <si>
    <t>ADAM M MILLER</t>
  </si>
  <si>
    <t>0.33</t>
  </si>
  <si>
    <t>847485882</t>
  </si>
  <si>
    <t>53481</t>
  </si>
  <si>
    <t>SERENE BAKER</t>
  </si>
  <si>
    <t>20231218</t>
  </si>
  <si>
    <t>WILSON-SMITH,CAROLYN,J*</t>
  </si>
  <si>
    <t>010X6206</t>
  </si>
  <si>
    <t>847486232</t>
  </si>
  <si>
    <t>58471</t>
  </si>
  <si>
    <t>SOPHIA HAINES</t>
  </si>
  <si>
    <t>20231221</t>
  </si>
  <si>
    <t>2.32</t>
  </si>
  <si>
    <t>847489023</t>
  </si>
  <si>
    <t>0.07</t>
  </si>
  <si>
    <t>83364</t>
  </si>
  <si>
    <t>JACOB STEVENSON</t>
  </si>
  <si>
    <t>20240116</t>
  </si>
  <si>
    <t>847503721</t>
  </si>
  <si>
    <t>83365</t>
  </si>
  <si>
    <t>83401</t>
  </si>
  <si>
    <t>DANA FRANCUS</t>
  </si>
  <si>
    <t>RICHTER,ADAM,J*</t>
  </si>
  <si>
    <t>010X4783</t>
  </si>
  <si>
    <t>847503742</t>
  </si>
  <si>
    <t>85108</t>
  </si>
  <si>
    <t>GINA LANG</t>
  </si>
  <si>
    <t>20240117</t>
  </si>
  <si>
    <t>MCCORKLE,MICHELLE*</t>
  </si>
  <si>
    <t>010X5405</t>
  </si>
  <si>
    <t>847504766</t>
  </si>
  <si>
    <t>85109</t>
  </si>
  <si>
    <t>85200</t>
  </si>
  <si>
    <t>KAREN JEAN BEYER</t>
  </si>
  <si>
    <t>847504822</t>
  </si>
  <si>
    <t>85201</t>
  </si>
  <si>
    <t>85375</t>
  </si>
  <si>
    <t>RACHEL SCHATZ</t>
  </si>
  <si>
    <t>KUCAN,THOMAS*</t>
  </si>
  <si>
    <t>010P1121</t>
  </si>
  <si>
    <t>847504920</t>
  </si>
  <si>
    <t>89468</t>
  </si>
  <si>
    <t>CAROL REPACK</t>
  </si>
  <si>
    <t>20251022</t>
  </si>
  <si>
    <t>20240120</t>
  </si>
  <si>
    <t>847507293</t>
  </si>
  <si>
    <t>89744</t>
  </si>
  <si>
    <t>GEORGE PARKS</t>
  </si>
  <si>
    <t>20240121</t>
  </si>
  <si>
    <t>847507468</t>
  </si>
  <si>
    <t>2514</t>
  </si>
  <si>
    <t>22514</t>
  </si>
  <si>
    <t>AMY S GRUBB</t>
  </si>
  <si>
    <t>20240217</t>
  </si>
  <si>
    <t>847526227</t>
  </si>
  <si>
    <t>56041</t>
  </si>
  <si>
    <t>KAAZIM IBNREYNOLDS</t>
  </si>
  <si>
    <t>20240318</t>
  </si>
  <si>
    <t>847545822</t>
  </si>
  <si>
    <t>58694</t>
  </si>
  <si>
    <t>JOHN PODOLAK</t>
  </si>
  <si>
    <t>20240319</t>
  </si>
  <si>
    <t>847547382</t>
  </si>
  <si>
    <t>58695</t>
  </si>
  <si>
    <t>58704</t>
  </si>
  <si>
    <t>CARRIE PODOLAK</t>
  </si>
  <si>
    <t>847547390</t>
  </si>
  <si>
    <t>93426</t>
  </si>
  <si>
    <t>CHERYL GALLAGHER</t>
  </si>
  <si>
    <t>20240416</t>
  </si>
  <si>
    <t>1.46</t>
  </si>
  <si>
    <t>847569251</t>
  </si>
  <si>
    <t>0.05</t>
  </si>
  <si>
    <t>93427</t>
  </si>
  <si>
    <t>0.6</t>
  </si>
  <si>
    <t>96462</t>
  </si>
  <si>
    <t>REBECCA WILLIAMS</t>
  </si>
  <si>
    <t>20240418</t>
  </si>
  <si>
    <t>KOZACHECK,ANNE MARIE*</t>
  </si>
  <si>
    <t>010W7663</t>
  </si>
  <si>
    <t>847570964</t>
  </si>
  <si>
    <t>2515</t>
  </si>
  <si>
    <t>28176</t>
  </si>
  <si>
    <t>JAYCEE LOVIC</t>
  </si>
  <si>
    <t>20240516</t>
  </si>
  <si>
    <t>847589102</t>
  </si>
  <si>
    <t>30115</t>
  </si>
  <si>
    <t>MICHELLE LEE GORDESKY</t>
  </si>
  <si>
    <t>20240517</t>
  </si>
  <si>
    <t>847590264</t>
  </si>
  <si>
    <t>30116</t>
  </si>
  <si>
    <t>30339</t>
  </si>
  <si>
    <t>TAMIA DAVIS</t>
  </si>
  <si>
    <t>847590399</t>
  </si>
  <si>
    <t>30340</t>
  </si>
  <si>
    <t>33183</t>
  </si>
  <si>
    <t>VICKI COLLINS</t>
  </si>
  <si>
    <t>20240521</t>
  </si>
  <si>
    <t>847592082</t>
  </si>
  <si>
    <t>33214</t>
  </si>
  <si>
    <t>JAMES COLLINS III</t>
  </si>
  <si>
    <t>847592099</t>
  </si>
  <si>
    <t>33264</t>
  </si>
  <si>
    <t>DEMETRIUS KENNEY</t>
  </si>
  <si>
    <t>847592132</t>
  </si>
  <si>
    <t>62368</t>
  </si>
  <si>
    <t>KELSI KOSINSKI</t>
  </si>
  <si>
    <t>20240618</t>
  </si>
  <si>
    <t>847609348</t>
  </si>
  <si>
    <t>64125</t>
  </si>
  <si>
    <t>BRANDI LANKFORD</t>
  </si>
  <si>
    <t>20240620</t>
  </si>
  <si>
    <t>847610400</t>
  </si>
  <si>
    <t>65006</t>
  </si>
  <si>
    <t>GUILMAR ROSALES ESTRADA</t>
  </si>
  <si>
    <t>KINYUA,JARED*</t>
  </si>
  <si>
    <t>010Y7337</t>
  </si>
  <si>
    <t>847610925</t>
  </si>
  <si>
    <t>66345</t>
  </si>
  <si>
    <t>KALIE SVARNIAS</t>
  </si>
  <si>
    <t>20240621</t>
  </si>
  <si>
    <t>YALE,RICHARD,A*</t>
  </si>
  <si>
    <t>010Y7690</t>
  </si>
  <si>
    <t>847611718</t>
  </si>
  <si>
    <t>67671</t>
  </si>
  <si>
    <t>DANIEL REEDER</t>
  </si>
  <si>
    <t>20251024</t>
  </si>
  <si>
    <t>20240622</t>
  </si>
  <si>
    <t>847612488</t>
  </si>
  <si>
    <t>67672</t>
  </si>
  <si>
    <t>92438</t>
  </si>
  <si>
    <t>DONALD KAMINSKI</t>
  </si>
  <si>
    <t>20240716</t>
  </si>
  <si>
    <t>847626851</t>
  </si>
  <si>
    <t>94064</t>
  </si>
  <si>
    <t>CHRISTOPHER DERAFELO</t>
  </si>
  <si>
    <t>20240717</t>
  </si>
  <si>
    <t>RICHTER,PETER,L K*</t>
  </si>
  <si>
    <t>010X2530</t>
  </si>
  <si>
    <t>847627827</t>
  </si>
  <si>
    <t>95902</t>
  </si>
  <si>
    <t>GREGORY MANGUM</t>
  </si>
  <si>
    <t>20240718</t>
  </si>
  <si>
    <t>847628881</t>
  </si>
  <si>
    <t>95988</t>
  </si>
  <si>
    <t>TERESA DAILEY</t>
  </si>
  <si>
    <t>DEATON,PAMELA,SUE*</t>
  </si>
  <si>
    <t>010Y7689</t>
  </si>
  <si>
    <t>847628936</t>
  </si>
  <si>
    <t>96093</t>
  </si>
  <si>
    <t>JEFFERY M HOLDER</t>
  </si>
  <si>
    <t>847628991</t>
  </si>
  <si>
    <t>96106</t>
  </si>
  <si>
    <t>JOSHUA HOLDER</t>
  </si>
  <si>
    <t>847628999</t>
  </si>
  <si>
    <t>96107</t>
  </si>
  <si>
    <t>2516</t>
  </si>
  <si>
    <t>24264</t>
  </si>
  <si>
    <t>LINDA GRIFFIN</t>
  </si>
  <si>
    <t>20240816</t>
  </si>
  <si>
    <t>TAUGNER,CHRISTIAN*</t>
  </si>
  <si>
    <t>010Y7750</t>
  </si>
  <si>
    <t>847644465</t>
  </si>
  <si>
    <t>24265</t>
  </si>
  <si>
    <t>24948</t>
  </si>
  <si>
    <t>JOEL WATSKY</t>
  </si>
  <si>
    <t>847644847</t>
  </si>
  <si>
    <t>24955</t>
  </si>
  <si>
    <t>EVE WATSKY</t>
  </si>
  <si>
    <t>847644852</t>
  </si>
  <si>
    <t>26071</t>
  </si>
  <si>
    <t>STEPHEN MEYERS</t>
  </si>
  <si>
    <t>20240817</t>
  </si>
  <si>
    <t>MAX,RONALD,JOSEPH*</t>
  </si>
  <si>
    <t>010Z0026</t>
  </si>
  <si>
    <t>847645466</t>
  </si>
  <si>
    <t>26232</t>
  </si>
  <si>
    <t>MARICEL GUERRA</t>
  </si>
  <si>
    <t>847645555</t>
  </si>
  <si>
    <t>26233</t>
  </si>
  <si>
    <t>26309</t>
  </si>
  <si>
    <t>GULISTA SUDAN</t>
  </si>
  <si>
    <t>847645605</t>
  </si>
  <si>
    <t>27517</t>
  </si>
  <si>
    <t>ADRIANNE BROWN</t>
  </si>
  <si>
    <t>20240820</t>
  </si>
  <si>
    <t>847646265</t>
  </si>
  <si>
    <t>27525</t>
  </si>
  <si>
    <t>MARK MALONE</t>
  </si>
  <si>
    <t>847646270</t>
  </si>
  <si>
    <t>29087</t>
  </si>
  <si>
    <t>WILMER MORRIS</t>
  </si>
  <si>
    <t>20240821</t>
  </si>
  <si>
    <t>847647110</t>
  </si>
  <si>
    <t>30562</t>
  </si>
  <si>
    <t>PATRICIA RICHARDSON</t>
  </si>
  <si>
    <t>20240822</t>
  </si>
  <si>
    <t>847647921</t>
  </si>
  <si>
    <t>30652</t>
  </si>
  <si>
    <t>DINA YANNICH</t>
  </si>
  <si>
    <t>FOLEY,CAROL*</t>
  </si>
  <si>
    <t>010W3203</t>
  </si>
  <si>
    <t>847647973</t>
  </si>
  <si>
    <t>43780</t>
  </si>
  <si>
    <t>DEBRA BRUNO</t>
  </si>
  <si>
    <t>20240916</t>
  </si>
  <si>
    <t>847655268</t>
  </si>
  <si>
    <t>54517</t>
  </si>
  <si>
    <t>HA HUYNH</t>
  </si>
  <si>
    <t>20240917</t>
  </si>
  <si>
    <t>847661149</t>
  </si>
  <si>
    <t>54518</t>
  </si>
  <si>
    <t>54707</t>
  </si>
  <si>
    <t>RICKY BRUCE</t>
  </si>
  <si>
    <t>847661249</t>
  </si>
  <si>
    <t>54977</t>
  </si>
  <si>
    <t>BRIAN SMARZ</t>
  </si>
  <si>
    <t>PORTUGAL,GARY*</t>
  </si>
  <si>
    <t>010Y7987</t>
  </si>
  <si>
    <t>847661374</t>
  </si>
  <si>
    <t>54978</t>
  </si>
  <si>
    <t>55862</t>
  </si>
  <si>
    <t>MARCUS WONGUS</t>
  </si>
  <si>
    <t>20240918</t>
  </si>
  <si>
    <t>847661871</t>
  </si>
  <si>
    <t>56084</t>
  </si>
  <si>
    <t>SHELLEY EPPINGER</t>
  </si>
  <si>
    <t>847661990</t>
  </si>
  <si>
    <t>57136</t>
  </si>
  <si>
    <t>ADOLEY YEBOAH-AFARI</t>
  </si>
  <si>
    <t>20240919</t>
  </si>
  <si>
    <t>847662582</t>
  </si>
  <si>
    <t>57207</t>
  </si>
  <si>
    <t>AGUSTIN S VEGA JR</t>
  </si>
  <si>
    <t>ABDUL,SAADIA,S*</t>
  </si>
  <si>
    <t>010Y7357</t>
  </si>
  <si>
    <t>847662623</t>
  </si>
  <si>
    <t>57240</t>
  </si>
  <si>
    <t>MARTHA RENTERIA</t>
  </si>
  <si>
    <t>PORTUGAL,STACEY,A*</t>
  </si>
  <si>
    <t>010Y7990</t>
  </si>
  <si>
    <t>847662643</t>
  </si>
  <si>
    <t>57241</t>
  </si>
  <si>
    <t>57363</t>
  </si>
  <si>
    <t>TIMOTHY J GOLAY</t>
  </si>
  <si>
    <t>GESKE,HEATHER,MARIE*</t>
  </si>
  <si>
    <t>010Y8170</t>
  </si>
  <si>
    <t>847662707</t>
  </si>
  <si>
    <t>57364</t>
  </si>
  <si>
    <t>57380</t>
  </si>
  <si>
    <t>LABARRON JERMAINE CAMPBELL</t>
  </si>
  <si>
    <t>20250919</t>
  </si>
  <si>
    <t>ALOFF,JONATHAN*</t>
  </si>
  <si>
    <t>010Y7820</t>
  </si>
  <si>
    <t>847662717</t>
  </si>
  <si>
    <t>57742</t>
  </si>
  <si>
    <t>SCOTT WALKER</t>
  </si>
  <si>
    <t>847662910</t>
  </si>
  <si>
    <t>59259</t>
  </si>
  <si>
    <t>RODOLFO BASILIO</t>
  </si>
  <si>
    <t>20240920</t>
  </si>
  <si>
    <t>847663766</t>
  </si>
  <si>
    <t>59666</t>
  </si>
  <si>
    <t>NICHOLAS WARNER</t>
  </si>
  <si>
    <t>20240921</t>
  </si>
  <si>
    <t>847664013</t>
  </si>
  <si>
    <t>70419</t>
  </si>
  <si>
    <t>TERRENCE PARKS</t>
  </si>
  <si>
    <t>20251002</t>
  </si>
  <si>
    <t>20251006</t>
  </si>
  <si>
    <t>20241002</t>
  </si>
  <si>
    <t>847670002</t>
  </si>
  <si>
    <t>20251009</t>
  </si>
  <si>
    <t>79657</t>
  </si>
  <si>
    <t>CYLE PORTER</t>
  </si>
  <si>
    <t>20241021</t>
  </si>
  <si>
    <t>847674911</t>
  </si>
  <si>
    <t>86104</t>
  </si>
  <si>
    <t>LAWRENCE KERWIN</t>
  </si>
  <si>
    <t>20241018</t>
  </si>
  <si>
    <t>847678301</t>
  </si>
  <si>
    <t>87397</t>
  </si>
  <si>
    <t>FRANK CHRIS STEWART</t>
  </si>
  <si>
    <t>20241019</t>
  </si>
  <si>
    <t>847678951</t>
  </si>
  <si>
    <t>88372</t>
  </si>
  <si>
    <t>EDGAR PADILLA</t>
  </si>
  <si>
    <t>20241022</t>
  </si>
  <si>
    <t>847679372</t>
  </si>
  <si>
    <t>89544</t>
  </si>
  <si>
    <t>ROSEMARIE WILK</t>
  </si>
  <si>
    <t>STERNER,MURRAY*</t>
  </si>
  <si>
    <t>9WUE</t>
  </si>
  <si>
    <t>847679981</t>
  </si>
  <si>
    <t>2518</t>
  </si>
  <si>
    <t>19443</t>
  </si>
  <si>
    <t>ERICA D RODGERS</t>
  </si>
  <si>
    <t>20241122</t>
  </si>
  <si>
    <t>1.21</t>
  </si>
  <si>
    <t>847695537</t>
  </si>
  <si>
    <t>19444</t>
  </si>
  <si>
    <t>1.14</t>
  </si>
  <si>
    <t>29451</t>
  </si>
  <si>
    <t>THOMAS USELDING</t>
  </si>
  <si>
    <t>20241119</t>
  </si>
  <si>
    <t>WALENGA,DALE,JON*</t>
  </si>
  <si>
    <t>010Z0027</t>
  </si>
  <si>
    <t>847700919</t>
  </si>
  <si>
    <t>30215</t>
  </si>
  <si>
    <t>DAVID SWANSON</t>
  </si>
  <si>
    <t>847701345</t>
  </si>
  <si>
    <t>30216</t>
  </si>
  <si>
    <t>31114</t>
  </si>
  <si>
    <t>SILVANA XHELI</t>
  </si>
  <si>
    <t>847701851</t>
  </si>
  <si>
    <t>31126</t>
  </si>
  <si>
    <t>KSENOFON XHELI</t>
  </si>
  <si>
    <t>847701856</t>
  </si>
  <si>
    <t>33260</t>
  </si>
  <si>
    <t>CHARLENE LEWIS</t>
  </si>
  <si>
    <t>20241120</t>
  </si>
  <si>
    <t>847703047</t>
  </si>
  <si>
    <t>33261</t>
  </si>
  <si>
    <t>34135</t>
  </si>
  <si>
    <t>MATTHEW SEELIG</t>
  </si>
  <si>
    <t>20241121</t>
  </si>
  <si>
    <t>LISKOVEC,FRANK,E*</t>
  </si>
  <si>
    <t>010Y8394</t>
  </si>
  <si>
    <t>847703520</t>
  </si>
  <si>
    <t>34442</t>
  </si>
  <si>
    <t>SHELANE A HANCHER</t>
  </si>
  <si>
    <t>20250220</t>
  </si>
  <si>
    <t>847703675</t>
  </si>
  <si>
    <t>76664</t>
  </si>
  <si>
    <t>KYRSTN M VETTOREL</t>
  </si>
  <si>
    <t>20241216</t>
  </si>
  <si>
    <t>847726413</t>
  </si>
  <si>
    <t>79236</t>
  </si>
  <si>
    <t>PETER D DEFIGLIO</t>
  </si>
  <si>
    <t>20241217</t>
  </si>
  <si>
    <t>847727792</t>
  </si>
  <si>
    <t>79255</t>
  </si>
  <si>
    <t>CATHY CONLEY</t>
  </si>
  <si>
    <t>847727805</t>
  </si>
  <si>
    <t>LSK</t>
  </si>
  <si>
    <t>81228</t>
  </si>
  <si>
    <t>CORI SKELLIE</t>
  </si>
  <si>
    <t>20241218</t>
  </si>
  <si>
    <t>847728985</t>
  </si>
  <si>
    <t>81874</t>
  </si>
  <si>
    <t>JOSEPH KNEPPER</t>
  </si>
  <si>
    <t>847729376</t>
  </si>
  <si>
    <t>81908</t>
  </si>
  <si>
    <t>SHAI SARAF</t>
  </si>
  <si>
    <t>847729397</t>
  </si>
  <si>
    <t>82925</t>
  </si>
  <si>
    <t>KATHLEEN M JODZIS</t>
  </si>
  <si>
    <t>20241219</t>
  </si>
  <si>
    <t>847730022</t>
  </si>
  <si>
    <t>86264</t>
  </si>
  <si>
    <t>PETER KING</t>
  </si>
  <si>
    <t>20241220</t>
  </si>
  <si>
    <t>847732054</t>
  </si>
  <si>
    <t>86773</t>
  </si>
  <si>
    <t>GREGORY WEIMER</t>
  </si>
  <si>
    <t>20241221</t>
  </si>
  <si>
    <t>LUSE,ALISON,L*</t>
  </si>
  <si>
    <t>010H7397</t>
  </si>
  <si>
    <t>847732378</t>
  </si>
  <si>
    <t>87951</t>
  </si>
  <si>
    <t>MARK LOUIS WALTON</t>
  </si>
  <si>
    <t>847733109</t>
  </si>
  <si>
    <t>2519</t>
  </si>
  <si>
    <t>6409</t>
  </si>
  <si>
    <t>KATHY YEAGER</t>
  </si>
  <si>
    <t>20250109</t>
  </si>
  <si>
    <t>2.54</t>
  </si>
  <si>
    <t>847743707</t>
  </si>
  <si>
    <t>0.11</t>
  </si>
  <si>
    <t>14268</t>
  </si>
  <si>
    <t>DIANE LUKAS</t>
  </si>
  <si>
    <t>20250814</t>
  </si>
  <si>
    <t>20250114</t>
  </si>
  <si>
    <t>847748111</t>
  </si>
  <si>
    <t>20250914</t>
  </si>
  <si>
    <t>20251014</t>
  </si>
  <si>
    <t>17032</t>
  </si>
  <si>
    <t>MONICA RAMOS</t>
  </si>
  <si>
    <t>20250120</t>
  </si>
  <si>
    <t>847749714</t>
  </si>
  <si>
    <t>19230</t>
  </si>
  <si>
    <t>JUDITH DREISTADT</t>
  </si>
  <si>
    <t>20250116</t>
  </si>
  <si>
    <t>847750890</t>
  </si>
  <si>
    <t>19919</t>
  </si>
  <si>
    <t>MICHAEL GOODMAN</t>
  </si>
  <si>
    <t>847751294</t>
  </si>
  <si>
    <t>19920</t>
  </si>
  <si>
    <t>20736</t>
  </si>
  <si>
    <t>ALLEN S LENZ</t>
  </si>
  <si>
    <t>847751762</t>
  </si>
  <si>
    <t>20933</t>
  </si>
  <si>
    <t>DARLENE JONES</t>
  </si>
  <si>
    <t>847751867</t>
  </si>
  <si>
    <t>22148</t>
  </si>
  <si>
    <t>MARLA JEAN BARCKHOFF</t>
  </si>
  <si>
    <t>20250117</t>
  </si>
  <si>
    <t>847752510</t>
  </si>
  <si>
    <t>22149</t>
  </si>
  <si>
    <t>22647</t>
  </si>
  <si>
    <t>JONATHAN SNYDER</t>
  </si>
  <si>
    <t>847752799</t>
  </si>
  <si>
    <t>25853</t>
  </si>
  <si>
    <t>GARY GAINES</t>
  </si>
  <si>
    <t>20250121</t>
  </si>
  <si>
    <t>847754607</t>
  </si>
  <si>
    <t>26029</t>
  </si>
  <si>
    <t>JAMES DUNHAM</t>
  </si>
  <si>
    <t>847754709</t>
  </si>
  <si>
    <t>26030</t>
  </si>
  <si>
    <t>27449</t>
  </si>
  <si>
    <t>CASEY REINIG</t>
  </si>
  <si>
    <t>20250122</t>
  </si>
  <si>
    <t>847755511</t>
  </si>
  <si>
    <t>27620</t>
  </si>
  <si>
    <t>STEPHEN D HALAHURICH</t>
  </si>
  <si>
    <t>847755613</t>
  </si>
  <si>
    <t>28590</t>
  </si>
  <si>
    <t>JUDITH A MOHAN</t>
  </si>
  <si>
    <t>20250216</t>
  </si>
  <si>
    <t>847756182</t>
  </si>
  <si>
    <t>28591</t>
  </si>
  <si>
    <t>67472</t>
  </si>
  <si>
    <t>ISHBEL RODRIGUEZ</t>
  </si>
  <si>
    <t>847777707</t>
  </si>
  <si>
    <t>69207</t>
  </si>
  <si>
    <t>KARIN W KENNEDY</t>
  </si>
  <si>
    <t>20250221</t>
  </si>
  <si>
    <t>TATRO,MELISSA*</t>
  </si>
  <si>
    <t>010Z1100</t>
  </si>
  <si>
    <t>847778647</t>
  </si>
  <si>
    <t>69208</t>
  </si>
  <si>
    <t>93781</t>
  </si>
  <si>
    <t>ADRIAN AIKMAN</t>
  </si>
  <si>
    <t>20250317</t>
  </si>
  <si>
    <t>847792270</t>
  </si>
  <si>
    <t>97554</t>
  </si>
  <si>
    <t>GIOCONDA A MORA</t>
  </si>
  <si>
    <t>20250316</t>
  </si>
  <si>
    <t>HORN,JEFFREY,E*</t>
  </si>
  <si>
    <t>010Y8456</t>
  </si>
  <si>
    <t>847794433</t>
  </si>
  <si>
    <t>97555</t>
  </si>
  <si>
    <t>98129</t>
  </si>
  <si>
    <t>JENNIFER ANNE MEIER</t>
  </si>
  <si>
    <t>20250318</t>
  </si>
  <si>
    <t>847794757</t>
  </si>
  <si>
    <t>98130</t>
  </si>
  <si>
    <t>2520</t>
  </si>
  <si>
    <t>5962</t>
  </si>
  <si>
    <t>VALERIE JOHNSON</t>
  </si>
  <si>
    <t>20250322</t>
  </si>
  <si>
    <t>847798998</t>
  </si>
  <si>
    <t>35475</t>
  </si>
  <si>
    <t>DIANNA GIANINO</t>
  </si>
  <si>
    <t>20250416</t>
  </si>
  <si>
    <t>847816175</t>
  </si>
  <si>
    <t>35476</t>
  </si>
  <si>
    <t>36238</t>
  </si>
  <si>
    <t>CAROL TRUDY TUOHY</t>
  </si>
  <si>
    <t>847816609</t>
  </si>
  <si>
    <t>36239</t>
  </si>
  <si>
    <t>37874</t>
  </si>
  <si>
    <t>ZACHANY VEROSTEK</t>
  </si>
  <si>
    <t>20250417</t>
  </si>
  <si>
    <t>847817556</t>
  </si>
  <si>
    <t>37875</t>
  </si>
  <si>
    <t>39924</t>
  </si>
  <si>
    <t>JORDAN FERNANDEZ</t>
  </si>
  <si>
    <t>20250419</t>
  </si>
  <si>
    <t>847818730</t>
  </si>
  <si>
    <t>40036</t>
  </si>
  <si>
    <t>ANN BUZZARD</t>
  </si>
  <si>
    <t>GASTELO,SHAWN,M*</t>
  </si>
  <si>
    <t>010Z6900</t>
  </si>
  <si>
    <t>847818788</t>
  </si>
  <si>
    <t>41182</t>
  </si>
  <si>
    <t>KIMBERLY GAISER</t>
  </si>
  <si>
    <t>20250422</t>
  </si>
  <si>
    <t>847819477</t>
  </si>
  <si>
    <t>71322</t>
  </si>
  <si>
    <t>SHARI LINEBERGER</t>
  </si>
  <si>
    <t>20250516</t>
  </si>
  <si>
    <t>OLIVER,BRITTANY*</t>
  </si>
  <si>
    <t>010Z8933</t>
  </si>
  <si>
    <t>847837269</t>
  </si>
  <si>
    <t>71658</t>
  </si>
  <si>
    <t>EMILY EHA</t>
  </si>
  <si>
    <t>20250517</t>
  </si>
  <si>
    <t>847837494</t>
  </si>
  <si>
    <t>73209</t>
  </si>
  <si>
    <t>BOLA OSUNKIYESI</t>
  </si>
  <si>
    <t>20250520</t>
  </si>
  <si>
    <t>847838412</t>
  </si>
  <si>
    <t>73226</t>
  </si>
  <si>
    <t>WILLIAM SINGLETON</t>
  </si>
  <si>
    <t>847838423</t>
  </si>
  <si>
    <t>75051</t>
  </si>
  <si>
    <t>MONIQUE BENNETT</t>
  </si>
  <si>
    <t>20250521</t>
  </si>
  <si>
    <t>847839520</t>
  </si>
  <si>
    <t>75201</t>
  </si>
  <si>
    <t>JENNIFER R COURTNEY</t>
  </si>
  <si>
    <t>847839608</t>
  </si>
  <si>
    <t>2521</t>
  </si>
  <si>
    <t>2341</t>
  </si>
  <si>
    <t>SEAN NOSE</t>
  </si>
  <si>
    <t>20250617</t>
  </si>
  <si>
    <t>847858176</t>
  </si>
  <si>
    <t>4380</t>
  </si>
  <si>
    <t>MICHAEL COGSWELL</t>
  </si>
  <si>
    <t>20250618</t>
  </si>
  <si>
    <t>847859349</t>
  </si>
  <si>
    <t>4670</t>
  </si>
  <si>
    <t>HECTOR SAENZ JR</t>
  </si>
  <si>
    <t>847859525</t>
  </si>
  <si>
    <t>4671</t>
  </si>
  <si>
    <t>6949</t>
  </si>
  <si>
    <t>GUY HEBERLING</t>
  </si>
  <si>
    <t>20250620</t>
  </si>
  <si>
    <t>847860841</t>
  </si>
  <si>
    <t>6950</t>
  </si>
  <si>
    <t>7189</t>
  </si>
  <si>
    <t>TERGEL KHULGANAI</t>
  </si>
  <si>
    <t>ZANA,NASANDELGER,MUNKHJARGAL*</t>
  </si>
  <si>
    <t>010Y7234</t>
  </si>
  <si>
    <t>847860991</t>
  </si>
  <si>
    <t>7656</t>
  </si>
  <si>
    <t>GREGG HOEPFNER</t>
  </si>
  <si>
    <t>20250621</t>
  </si>
  <si>
    <t>847861267</t>
  </si>
  <si>
    <t>7930</t>
  </si>
  <si>
    <t>DAVID SAIDMAN</t>
  </si>
  <si>
    <t>847861424</t>
  </si>
  <si>
    <t>7951</t>
  </si>
  <si>
    <t>WILLIAM J CARROLL</t>
  </si>
  <si>
    <t>847861438</t>
  </si>
  <si>
    <t>31457</t>
  </si>
  <si>
    <t>ROBERT SACHS</t>
  </si>
  <si>
    <t>20250716</t>
  </si>
  <si>
    <t>847875999</t>
  </si>
  <si>
    <t>32371</t>
  </si>
  <si>
    <t>HAZEL I COX</t>
  </si>
  <si>
    <t>20250719</t>
  </si>
  <si>
    <t>847876552</t>
  </si>
  <si>
    <t>33049</t>
  </si>
  <si>
    <t>AIDAN DONNELLY</t>
  </si>
  <si>
    <t>20250717</t>
  </si>
  <si>
    <t>847876943</t>
  </si>
  <si>
    <t>33089</t>
  </si>
  <si>
    <t>LORI VAUGHAN</t>
  </si>
  <si>
    <t>847876965</t>
  </si>
  <si>
    <t>33518</t>
  </si>
  <si>
    <t>BRANDON W CLARK</t>
  </si>
  <si>
    <t>847877220</t>
  </si>
  <si>
    <t>34820</t>
  </si>
  <si>
    <t>SARA MISIASZEK</t>
  </si>
  <si>
    <t>20250718</t>
  </si>
  <si>
    <t>847877989</t>
  </si>
  <si>
    <t>34821</t>
  </si>
  <si>
    <t>36163</t>
  </si>
  <si>
    <t>MATTHEW JOSEPH DOWD</t>
  </si>
  <si>
    <t>847878765</t>
  </si>
  <si>
    <t>36171</t>
  </si>
  <si>
    <t>MICHAEL S DOWD</t>
  </si>
  <si>
    <t>847878772</t>
  </si>
  <si>
    <t>63972</t>
  </si>
  <si>
    <t>DONNA EINLOTH</t>
  </si>
  <si>
    <t>20250822</t>
  </si>
  <si>
    <t>847895229</t>
  </si>
  <si>
    <t>65407</t>
  </si>
  <si>
    <t>STACY MACK</t>
  </si>
  <si>
    <t>20250816</t>
  </si>
  <si>
    <t>847896092</t>
  </si>
  <si>
    <t>67157</t>
  </si>
  <si>
    <t>CHOLE HOLMES</t>
  </si>
  <si>
    <t>20250819</t>
  </si>
  <si>
    <t>847897112</t>
  </si>
  <si>
    <t>67418</t>
  </si>
  <si>
    <t>CASSANDRA BURKE</t>
  </si>
  <si>
    <t>SHULMAN,JAKE,P*</t>
  </si>
  <si>
    <t>010Z8765</t>
  </si>
  <si>
    <t>847897263</t>
  </si>
  <si>
    <t>67419</t>
  </si>
  <si>
    <t>67549</t>
  </si>
  <si>
    <t>ARTHUR LEE SNODGRASS</t>
  </si>
  <si>
    <t>20250820</t>
  </si>
  <si>
    <t>2.9</t>
  </si>
  <si>
    <t>847897336</t>
  </si>
  <si>
    <t>92012</t>
  </si>
  <si>
    <t>VICTORIA SERY</t>
  </si>
  <si>
    <t>20250922</t>
  </si>
  <si>
    <t>847911599</t>
  </si>
  <si>
    <t>94687</t>
  </si>
  <si>
    <t>JOHN TUGGLE</t>
  </si>
  <si>
    <t>847913129</t>
  </si>
  <si>
    <t>95311</t>
  </si>
  <si>
    <t>LORI T RODIMAK</t>
  </si>
  <si>
    <t>847913484</t>
  </si>
  <si>
    <t>95582</t>
  </si>
  <si>
    <t>JOHN LANGSTROM SOTO</t>
  </si>
  <si>
    <t>PARDUE,THOMAS,D*</t>
  </si>
  <si>
    <t>9J0V</t>
  </si>
  <si>
    <t>847913658</t>
  </si>
  <si>
    <t>95583</t>
  </si>
  <si>
    <t>2523</t>
  </si>
  <si>
    <t>18083</t>
  </si>
  <si>
    <t>TENEKA MILLER</t>
  </si>
  <si>
    <t>847926667</t>
  </si>
  <si>
    <t>20171</t>
  </si>
  <si>
    <t>DOROTHY BARNES</t>
  </si>
  <si>
    <t>847927863</t>
  </si>
  <si>
    <t>20629</t>
  </si>
  <si>
    <t>SAMY KOBROSLY</t>
  </si>
  <si>
    <t>847928138</t>
  </si>
  <si>
    <t>20893</t>
  </si>
  <si>
    <t>YINONG XING</t>
  </si>
  <si>
    <t>847928275</t>
  </si>
  <si>
    <t>21252</t>
  </si>
  <si>
    <t>JENNIFER WOLFORD</t>
  </si>
  <si>
    <t>847928481</t>
  </si>
  <si>
    <t>21837</t>
  </si>
  <si>
    <t>MONIGO KOFA REED</t>
  </si>
  <si>
    <t>LEMON,CATHY*</t>
  </si>
  <si>
    <t>010X6256</t>
  </si>
  <si>
    <t>847928793</t>
  </si>
  <si>
    <t>22483</t>
  </si>
  <si>
    <t>KEVIN BELL</t>
  </si>
  <si>
    <t>847929129</t>
  </si>
  <si>
    <t>24779</t>
  </si>
  <si>
    <t>CYNTHIA EAVES</t>
  </si>
  <si>
    <t>847930454</t>
  </si>
  <si>
    <t>499904</t>
  </si>
  <si>
    <t>77661</t>
  </si>
  <si>
    <t>MICHELE KOLB</t>
  </si>
  <si>
    <t>20180620</t>
  </si>
  <si>
    <t>0943158630</t>
  </si>
  <si>
    <t>499905</t>
  </si>
  <si>
    <t>53626</t>
  </si>
  <si>
    <t>PAMELA SAMUELS</t>
  </si>
  <si>
    <t>20190416</t>
  </si>
  <si>
    <t>0943220900</t>
  </si>
  <si>
    <t>499911</t>
  </si>
  <si>
    <t>36881</t>
  </si>
  <si>
    <t>73207</t>
  </si>
  <si>
    <t>product</t>
  </si>
  <si>
    <t>Mainline benefits</t>
  </si>
  <si>
    <t>percent</t>
  </si>
  <si>
    <t>ABDUL</t>
  </si>
  <si>
    <t>SAADIA</t>
  </si>
  <si>
    <t>S</t>
  </si>
  <si>
    <t>AGUGLIA</t>
  </si>
  <si>
    <t>SCOTT</t>
  </si>
  <si>
    <t>CHRISTOPHER</t>
  </si>
  <si>
    <t>ALOFF</t>
  </si>
  <si>
    <t>JONATHAN</t>
  </si>
  <si>
    <t>DEATON</t>
  </si>
  <si>
    <t>PAMELA</t>
  </si>
  <si>
    <t>SUE</t>
  </si>
  <si>
    <t>FOLEY</t>
  </si>
  <si>
    <t>CAROL</t>
  </si>
  <si>
    <t>GASTELO</t>
  </si>
  <si>
    <t>SHAWN</t>
  </si>
  <si>
    <t>M</t>
  </si>
  <si>
    <t>GESKE</t>
  </si>
  <si>
    <t>HEATHER</t>
  </si>
  <si>
    <t>MARIE</t>
  </si>
  <si>
    <t>HOFFMANN</t>
  </si>
  <si>
    <t>JASON</t>
  </si>
  <si>
    <t>R</t>
  </si>
  <si>
    <t>HORN</t>
  </si>
  <si>
    <t>JEFFREY</t>
  </si>
  <si>
    <t>E</t>
  </si>
  <si>
    <t>INSKIPT</t>
  </si>
  <si>
    <t>DEBORAH</t>
  </si>
  <si>
    <t>LEE</t>
  </si>
  <si>
    <t>KINYUA</t>
  </si>
  <si>
    <t>JARED</t>
  </si>
  <si>
    <t>KOZACHECK</t>
  </si>
  <si>
    <t>ANNE MARIE</t>
  </si>
  <si>
    <t>KUCAN</t>
  </si>
  <si>
    <t>THOMAS</t>
  </si>
  <si>
    <t>LEMON</t>
  </si>
  <si>
    <t>CATHY</t>
  </si>
  <si>
    <t>LISKOVEC</t>
  </si>
  <si>
    <t>FRANK</t>
  </si>
  <si>
    <t>LUSE</t>
  </si>
  <si>
    <t>ALISON</t>
  </si>
  <si>
    <t>L</t>
  </si>
  <si>
    <t>MAX</t>
  </si>
  <si>
    <t>RONALD</t>
  </si>
  <si>
    <t>JOSEPH</t>
  </si>
  <si>
    <t>MCCORKLE</t>
  </si>
  <si>
    <t>MICHELLE</t>
  </si>
  <si>
    <t>OLIVER</t>
  </si>
  <si>
    <t>BRITTANY</t>
  </si>
  <si>
    <t>PARDUE</t>
  </si>
  <si>
    <t>D</t>
  </si>
  <si>
    <t>PORTUGAL</t>
  </si>
  <si>
    <t>GARY</t>
  </si>
  <si>
    <t>STACEY</t>
  </si>
  <si>
    <t>A</t>
  </si>
  <si>
    <t>RICHTER</t>
  </si>
  <si>
    <t>ADAM</t>
  </si>
  <si>
    <t>J</t>
  </si>
  <si>
    <t>PETER</t>
  </si>
  <si>
    <t>L K</t>
  </si>
  <si>
    <t>SHULMAN</t>
  </si>
  <si>
    <t>JAKE</t>
  </si>
  <si>
    <t>P</t>
  </si>
  <si>
    <t>STERNER</t>
  </si>
  <si>
    <t>MURRAY</t>
  </si>
  <si>
    <t>TATRO</t>
  </si>
  <si>
    <t>MELISSA</t>
  </si>
  <si>
    <t>TAUGNER</t>
  </si>
  <si>
    <t>CHRISTIAN</t>
  </si>
  <si>
    <t>WALENGA</t>
  </si>
  <si>
    <t>DALE</t>
  </si>
  <si>
    <t>JON</t>
  </si>
  <si>
    <t>WILSON-SMITH</t>
  </si>
  <si>
    <t>CAROLYN</t>
  </si>
  <si>
    <t>YALE</t>
  </si>
  <si>
    <t>RICHARD</t>
  </si>
  <si>
    <t>ZANA</t>
  </si>
  <si>
    <t>NASANDELGER</t>
  </si>
  <si>
    <t>MUNKHJARGAL</t>
  </si>
  <si>
    <t>SAADIA ABDUL</t>
  </si>
  <si>
    <t>SCOTT AGUGLIA</t>
  </si>
  <si>
    <t>JONATHAN ALOFF</t>
  </si>
  <si>
    <t>PAMELA DEATON</t>
  </si>
  <si>
    <t>CAROL FOLEY</t>
  </si>
  <si>
    <t>SHAWN GASTELO</t>
  </si>
  <si>
    <t>HEATHER GESKE</t>
  </si>
  <si>
    <t>JASON HOFFMANN</t>
  </si>
  <si>
    <t>JEFFREY HORN</t>
  </si>
  <si>
    <t>DEBORAH INSKIPT</t>
  </si>
  <si>
    <t>JARED KINYUA</t>
  </si>
  <si>
    <t>ANNE MARIE KOZACHECK</t>
  </si>
  <si>
    <t>THOMAS KUCAN</t>
  </si>
  <si>
    <t>CATHY LEMON</t>
  </si>
  <si>
    <t>FRANK LISKOVEC</t>
  </si>
  <si>
    <t>ALISON LUSE</t>
  </si>
  <si>
    <t xml:space="preserve"> Mainline benefits</t>
  </si>
  <si>
    <t>RONALD MAX</t>
  </si>
  <si>
    <t>MICHELLE MCCORKLE</t>
  </si>
  <si>
    <t>BRITTANY OLIVER</t>
  </si>
  <si>
    <t>THOMAS PARDUE</t>
  </si>
  <si>
    <t>GARY PORTUGAL</t>
  </si>
  <si>
    <t>STACEY PORTUGAL</t>
  </si>
  <si>
    <t>ADAM RICHTER</t>
  </si>
  <si>
    <t>PETER RICHTER</t>
  </si>
  <si>
    <t>JAKE SHULMAN</t>
  </si>
  <si>
    <t>MURRAY STERNER</t>
  </si>
  <si>
    <t>MELISSA TATRO</t>
  </si>
  <si>
    <t>CHRISTIAN TAUGNER</t>
  </si>
  <si>
    <t>DALE WALENGA</t>
  </si>
  <si>
    <t>CAROLYN WILSON-SMITH</t>
  </si>
  <si>
    <t>RICHARD YALE</t>
  </si>
  <si>
    <t>NASANDELGER ZANA</t>
  </si>
  <si>
    <t>Carolyn Wilson Smith</t>
  </si>
  <si>
    <t>17528908N</t>
  </si>
  <si>
    <t>18710070N</t>
  </si>
  <si>
    <t>8971826N</t>
  </si>
  <si>
    <t>9254978N</t>
  </si>
  <si>
    <t>Ameritas D&amp;V Before 7-17-24</t>
  </si>
  <si>
    <t>Ameritas D&amp;V After 7-17-24</t>
  </si>
  <si>
    <t>Ameritas D&amp;V After 7-17-25</t>
  </si>
  <si>
    <t>Ameritas D&amp;V After 7-17-26</t>
  </si>
  <si>
    <t>Ameritas D&amp;V After 7-17-27</t>
  </si>
  <si>
    <t>Ameritas D&amp;V After 7-17-28</t>
  </si>
  <si>
    <t>Ameritas D&amp;V After 7-17-29</t>
  </si>
  <si>
    <t>Ameritas D&amp;V After 7-17-30</t>
  </si>
  <si>
    <t>Ameritas D&amp;V After 7-17-31</t>
  </si>
  <si>
    <t>Ameritas D&amp;V After 7-17-32</t>
  </si>
  <si>
    <t>Ameritas D&amp;V After 7-17-33</t>
  </si>
  <si>
    <t>Ameritas D&amp;V After 7-17-34</t>
  </si>
  <si>
    <t>Ameritas D&amp;V After 7-17-35</t>
  </si>
  <si>
    <t>Ameritas D&amp;V After 7-17-36</t>
  </si>
  <si>
    <t>Ameritas D&amp;V After 7-17-37</t>
  </si>
  <si>
    <t>Ameritas D&amp;V After 7-17-38</t>
  </si>
  <si>
    <t>Ameritas D&amp;V After 7-17-39</t>
  </si>
  <si>
    <t>Ameritas D&amp;V After 7-17-40</t>
  </si>
  <si>
    <t>Ameritas D&amp;V After 7-17-41</t>
  </si>
  <si>
    <t>Ameritas D&amp;V After 7-17-42</t>
  </si>
  <si>
    <t>Ameritas D&amp;V After 7-17-43</t>
  </si>
  <si>
    <t>Ameritas D&amp;V After 7-17-44</t>
  </si>
  <si>
    <t>Ameritas D&amp;V After 7-17-45</t>
  </si>
  <si>
    <t>Ameritas D&amp;V After 7-17-46</t>
  </si>
  <si>
    <t>Ameritas D&amp;V After 7-17-47</t>
  </si>
  <si>
    <t>Ameritas D&amp;V After 7-17-48</t>
  </si>
  <si>
    <t>Ameritas D&amp;V After 7-17-49</t>
  </si>
  <si>
    <t>Ameritas D&amp;V After 7-17-50</t>
  </si>
  <si>
    <t>Ameritas D&amp;V After 7-17-51</t>
  </si>
  <si>
    <t>Ameritas D&amp;V After 7-17-52</t>
  </si>
  <si>
    <t>Ameritas D&amp;V After 7-17-53</t>
  </si>
  <si>
    <t>Ameritas D&amp;V After 7-17-54</t>
  </si>
  <si>
    <t>Ameritas D&amp;V After 7-17-55</t>
  </si>
  <si>
    <t>Ameritas D&amp;V After 7-17-56</t>
  </si>
  <si>
    <t>Ameritas D&amp;V After 7-17-57</t>
  </si>
  <si>
    <t>Ameritas D&amp;V After 7-17-58</t>
  </si>
  <si>
    <t>Ameritas D&amp;V After 7-17-59</t>
  </si>
  <si>
    <t>Ameritas D&amp;V After 7-17-60</t>
  </si>
  <si>
    <t>Ameritas D&amp;V After 7-17-61</t>
  </si>
  <si>
    <t>Ameritas D&amp;V After 7-17-62</t>
  </si>
  <si>
    <t>Ameritas D&amp;V After 7-17-63</t>
  </si>
  <si>
    <t>Ameritas D&amp;V After 7-17-64</t>
  </si>
  <si>
    <t>Ameritas D&amp;V After 7-17-65</t>
  </si>
  <si>
    <t>Ameritas D&amp;V After 7-17-66</t>
  </si>
  <si>
    <t>Ameritas D&amp;V After 7-17-67</t>
  </si>
  <si>
    <t>Ameritas D&amp;V After 7-17-68</t>
  </si>
  <si>
    <t>Ameritas D&amp;V After 7-17-69</t>
  </si>
  <si>
    <t>Ameritas D&amp;V After 7-17-70</t>
  </si>
  <si>
    <t>Ameritas D&amp;V After 7-17-71</t>
  </si>
  <si>
    <t>Ameritas D&amp;V After 7-17-72</t>
  </si>
  <si>
    <t>Ameritas D&amp;V After 7-17-73</t>
  </si>
  <si>
    <t>Ameritas D&amp;V After 7-17-74</t>
  </si>
  <si>
    <t>Ameritas D&amp;V After 7-17-75</t>
  </si>
  <si>
    <t>Ameritas D&amp;V After 7-17-76</t>
  </si>
  <si>
    <t>Ameritas D&amp;V After 7-17-77</t>
  </si>
  <si>
    <t>Ameritas D&amp;V After 7-17-78</t>
  </si>
  <si>
    <t>Ameritas D&amp;V After 7-17-79</t>
  </si>
  <si>
    <t>Ameritas D&amp;V After 7-17-80</t>
  </si>
  <si>
    <t>Ameritas D&amp;V After 7-17-81</t>
  </si>
  <si>
    <t>Ameritas D&amp;V After 7-17-82</t>
  </si>
  <si>
    <t>Ameritas D&amp;V After 7-17-83</t>
  </si>
  <si>
    <t>Ameritas D&amp;V After 7-17-84</t>
  </si>
  <si>
    <t>Ameritas D&amp;V After 7-17-85</t>
  </si>
  <si>
    <t>Ameritas D&amp;V After 7-17-86</t>
  </si>
  <si>
    <t>Ameritas D&amp;V After 7-17-87</t>
  </si>
  <si>
    <t>Ameritas D&amp;V After 7-17-88</t>
  </si>
  <si>
    <t>Ameritas D&amp;V After 7-17-89</t>
  </si>
  <si>
    <t>Ameritas D&amp;V After 7-17-90</t>
  </si>
  <si>
    <t>Ameritas D&amp;V After 7-17-91</t>
  </si>
  <si>
    <t>Ameritas D&amp;V After 7-17-92</t>
  </si>
  <si>
    <t>Ameritas D&amp;V After 7-17-93</t>
  </si>
  <si>
    <t>Ameritas D&amp;V After 7-17-94</t>
  </si>
  <si>
    <t>Ameritas D&amp;V After 7-17-95</t>
  </si>
  <si>
    <t>Ameritas D&amp;V After 7-17-96</t>
  </si>
  <si>
    <t>Ameritas D&amp;V After 7-17-97</t>
  </si>
  <si>
    <t>Ameritas D&amp;V After 7-17-98</t>
  </si>
  <si>
    <t>Ameritas D&amp;V After 7-17-99</t>
  </si>
  <si>
    <t>Ameritas D&amp;V After 7-17-102</t>
  </si>
  <si>
    <t>Ameritas D&amp;V After 7-17-103</t>
  </si>
  <si>
    <t>Ameritas D&amp;V After 7-17-104</t>
  </si>
  <si>
    <t>Ameritas D&amp;V After 7-17-105</t>
  </si>
  <si>
    <t>Ameritas D&amp;V After 7-17-106</t>
  </si>
  <si>
    <t>Ameritas D&amp;V After 7-17-107</t>
  </si>
  <si>
    <t>Ameritas D&amp;V After 7-17-108</t>
  </si>
  <si>
    <t>Ameritas D&amp;V After 7-17-109</t>
  </si>
  <si>
    <t>Ameritas D&amp;V After 7-17-110</t>
  </si>
  <si>
    <t>Ameritas D&amp;V After 7-17-112</t>
  </si>
  <si>
    <t>Ameritas D&amp;V After 7-17-113</t>
  </si>
  <si>
    <t>Ameritas D&amp;V After 7-17-114</t>
  </si>
  <si>
    <t>Ameritas D&amp;V After 7-17-115</t>
  </si>
  <si>
    <t>Ameritas D&amp;V After 7-17-121</t>
  </si>
  <si>
    <t>Ameritas D&amp;V After 7-17-122</t>
  </si>
  <si>
    <t>Ameritas D&amp;V After 7-17-123</t>
  </si>
  <si>
    <t>Ameritas D&amp;V After 7-17-124</t>
  </si>
  <si>
    <t>Ameritas D&amp;V After 7-17-125</t>
  </si>
  <si>
    <t>Ameritas D&amp;V After 7-17-126</t>
  </si>
  <si>
    <t>Ameritas D&amp;V After 7-17-127</t>
  </si>
  <si>
    <t>Ameritas D&amp;V After 7-17-128</t>
  </si>
  <si>
    <t>Ameritas D&amp;V After 7-17-129</t>
  </si>
  <si>
    <t>Ameritas D&amp;V After 7-17-130</t>
  </si>
  <si>
    <t>Ameritas D&amp;V After 7-17-131</t>
  </si>
  <si>
    <t>Ameritas D&amp;V After 7-17-132</t>
  </si>
  <si>
    <t>Ameritas D&amp;V After 7-17-133</t>
  </si>
  <si>
    <t>Ameritas D&amp;V After 7-17-134</t>
  </si>
  <si>
    <t>Ameritas D&amp;V After 7-17-137</t>
  </si>
  <si>
    <t>Ameritas D&amp;V After 7-17-142</t>
  </si>
  <si>
    <t>Ameritas D&amp;V After 7-17-143</t>
  </si>
  <si>
    <t>Ameritas D&amp;V After 7-17-144</t>
  </si>
  <si>
    <t>Ameritas D&amp;V After 7-17-145</t>
  </si>
  <si>
    <t>Ameritas D&amp;V After 7-17-146</t>
  </si>
  <si>
    <t>Ameritas D&amp;V After 7-17-147</t>
  </si>
  <si>
    <t>Ameritas D&amp;V After 7-17-148</t>
  </si>
  <si>
    <t>Ameritas D&amp;V After 7-17-149</t>
  </si>
  <si>
    <t>Ameritas D&amp;V After 7-17-150</t>
  </si>
  <si>
    <t>Ameritas D&amp;V After 7-17-151</t>
  </si>
  <si>
    <t>Ameritas D&amp;V After 7-17-152</t>
  </si>
  <si>
    <t>Ameritas D&amp;V After 7-17-153</t>
  </si>
  <si>
    <t>Ameritas D&amp;V After 7-17-154</t>
  </si>
  <si>
    <t>Ameritas D&amp;V After 7-17-155</t>
  </si>
  <si>
    <t>Ameritas D&amp;V After 7-17-156</t>
  </si>
  <si>
    <t>Ameritas D&amp;V After 7-17-157</t>
  </si>
  <si>
    <t>Ameritas D&amp;V After 7-17-158</t>
  </si>
  <si>
    <t>Ameritas D&amp;V After 7-17-159</t>
  </si>
  <si>
    <t>Ameritas D&amp;V After 7-17-160</t>
  </si>
  <si>
    <t>Ameritas D&amp;V After 7-17-161</t>
  </si>
  <si>
    <t>Ameritas D&amp;V After 7-17-162</t>
  </si>
  <si>
    <t>Ameritas D&amp;V After 7-17-165</t>
  </si>
  <si>
    <t>Ameritas D&amp;V After 7-17-166</t>
  </si>
  <si>
    <t>Ameritas D&amp;V After 7-17-167</t>
  </si>
  <si>
    <t>Ameritas D&amp;V After 7-17-168</t>
  </si>
  <si>
    <t>Ameritas D&amp;V After 7-17-169</t>
  </si>
  <si>
    <t>Ameritas D&amp;V After 7-17-170</t>
  </si>
  <si>
    <t>Ameritas D&amp;V After 7-17-171</t>
  </si>
  <si>
    <t>Ameritas D&amp;V After 7-17-172</t>
  </si>
  <si>
    <t>Ameritas D&amp;V After 7-17-173</t>
  </si>
  <si>
    <t>Ameritas D&amp;V After 7-17-174</t>
  </si>
  <si>
    <t>Ameritas D&amp;V After 7-17-175</t>
  </si>
  <si>
    <t>Ameritas D&amp;V After 7-17-176</t>
  </si>
  <si>
    <t>Ameritas D&amp;V After 7-17-177</t>
  </si>
  <si>
    <t>Ameritas D&amp;V After 7-17-178</t>
  </si>
  <si>
    <t>Ameritas D&amp;V After 7-17-179</t>
  </si>
  <si>
    <t>Ameritas D&amp;V After 7-17-180</t>
  </si>
  <si>
    <t>Ameritas D&amp;V After 7-17-181</t>
  </si>
  <si>
    <t>Ameritas D&amp;V After 7-17-182</t>
  </si>
  <si>
    <t>Ameritas D&amp;V After 7-17-183</t>
  </si>
  <si>
    <t>Ameritas D&amp;V After 7-17-184</t>
  </si>
  <si>
    <t>Ameritas D&amp;V After 7-17-185</t>
  </si>
  <si>
    <t>Ameritas D&amp;V After 7-17-186</t>
  </si>
  <si>
    <t>Ameritas D&amp;V After 7-17-187</t>
  </si>
  <si>
    <t>Ameritas D&amp;V After 7-17-188</t>
  </si>
  <si>
    <t>Ameritas D&amp;V After 7-17-189</t>
  </si>
  <si>
    <t>Ameritas D&amp;V After 7-17-190</t>
  </si>
  <si>
    <t>Ameritas D&amp;V After 7-17-191</t>
  </si>
  <si>
    <t>Ameritas D&amp;V After 7-17-192</t>
  </si>
  <si>
    <t>Ameritas D&amp;V After 7-17-193</t>
  </si>
  <si>
    <t>Ameritas D&amp;V After 7-17-194</t>
  </si>
  <si>
    <t>Ameritas D&amp;V After 7-17-195</t>
  </si>
  <si>
    <t>Ameritas D&amp;V After 7-17-196</t>
  </si>
  <si>
    <t>Ameritas D&amp;V After 7-17-197</t>
  </si>
  <si>
    <t>Ameritas D&amp;V After 7-17-198</t>
  </si>
  <si>
    <t>Ameritas D&amp;V After 7-17-199</t>
  </si>
  <si>
    <t>Ameritas D&amp;V After 7-17-200</t>
  </si>
  <si>
    <t>Ameritas D&amp;V After 7-17-201</t>
  </si>
  <si>
    <t>Ameritas D&amp;V After 7-17-202</t>
  </si>
  <si>
    <t>Ameritas D&amp;V After 7-17-203</t>
  </si>
  <si>
    <t>Ameritas D&amp;V After 7-17-206</t>
  </si>
  <si>
    <t>Ameritas D&amp;V After 7-17-207</t>
  </si>
  <si>
    <t>Ameritas D&amp;V After 7-17-208</t>
  </si>
  <si>
    <t>Ameritas D&amp;V After 7-17-209</t>
  </si>
  <si>
    <t>Ameritas D&amp;V After 7-17-210</t>
  </si>
  <si>
    <t>Ameritas D&amp;V After 7-17-211</t>
  </si>
  <si>
    <t>Ameritas D&amp;V After 7-17-212</t>
  </si>
  <si>
    <t>Ameritas D&amp;V After 7-17-213</t>
  </si>
  <si>
    <t>Ameritas D&amp;V After 7-17-214</t>
  </si>
  <si>
    <t>Ameritas D&amp;V After 7-17-215</t>
  </si>
  <si>
    <t>Ameritas D&amp;V After 7-17-216</t>
  </si>
  <si>
    <t>Ameritas D&amp;V After 7-17-217</t>
  </si>
  <si>
    <t>Ameritas D&amp;V After 7-17-218</t>
  </si>
  <si>
    <t>Ameritas D&amp;V After 7-17-219</t>
  </si>
  <si>
    <t>Ameritas D&amp;V After 7-17-220</t>
  </si>
  <si>
    <t>Ameritas D&amp;V After 7-17-221</t>
  </si>
  <si>
    <t>Ameritas D&amp;V After 7-17-222</t>
  </si>
  <si>
    <t>Ameritas D&amp;V After 7-17-223</t>
  </si>
  <si>
    <t>Ameritas D&amp;V After 7-17-224</t>
  </si>
  <si>
    <t>Ameritas D&amp;V After 7-17-225</t>
  </si>
  <si>
    <t>Ameritas D&amp;V After 7-17-226</t>
  </si>
  <si>
    <t>Ameritas OVR</t>
  </si>
  <si>
    <t>months</t>
  </si>
  <si>
    <t>paycode</t>
  </si>
  <si>
    <t>AE</t>
  </si>
  <si>
    <t>AV1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</si>
</sst>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2"/>
      <name val="Calibri"/>
    </font>
    <font>
      <b/>
      <sz val="12"/>
      <name val="Calibri"/>
    </font>
    <font>
      <sz val="10"/>
      <name val="Arial"/>
    </font>
    <font>
      <sz val="8"/>
      <name val="Arial"/>
      <family val="2"/>
    </font>
    <font>
      <b/>
      <sz val="12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0" fontId="2" fillId="0" borderId="0" xfId="0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0" fillId="0" borderId="0" xfId="0" applyFill="1" applyAlignment="1">
      <alignment horizontal="left"/>
    </xf>
    <xf numFmtId="0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6" fillId="0" borderId="0" xfId="0" applyNumberFormat="1" applyFont="1" applyAlignment="1">
      <alignment horizontal="left"/>
    </xf>
    <xf numFmtId="9" fontId="1" fillId="0" borderId="0" xfId="1" applyFont="1" applyAlignment="1">
      <alignment horizontal="left"/>
    </xf>
    <xf numFmtId="0" fontId="1" fillId="0" borderId="0" xfId="0" applyNumberFormat="1" applyFont="1" applyFill="1" applyAlignment="1">
      <alignment horizontal="left"/>
    </xf>
    <xf numFmtId="0" fontId="1" fillId="0" borderId="0" xfId="0" applyFont="1" applyFill="1" applyAlignment="1">
      <alignment horizontal="left"/>
    </xf>
    <xf numFmtId="14" fontId="1" fillId="0" borderId="0" xfId="0" applyNumberFormat="1" applyFont="1" applyFill="1" applyAlignment="1">
      <alignment horizontal="left"/>
    </xf>
    <xf numFmtId="9" fontId="1" fillId="0" borderId="0" xfId="1" applyFont="1" applyFill="1" applyAlignment="1">
      <alignment horizontal="left"/>
    </xf>
    <xf numFmtId="0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6" fillId="2" borderId="0" xfId="0" applyNumberFormat="1" applyFont="1" applyFill="1" applyAlignment="1">
      <alignment horizontal="left"/>
    </xf>
    <xf numFmtId="9" fontId="1" fillId="2" borderId="0" xfId="1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</cellXfs>
  <cellStyles count="2">
    <cellStyle name="Normal" xfId="0" builtinId="0"/>
    <cellStyle name="Percent" xfId="1" builtinId="5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lbenefitsco-my.sharepoint.com/personal/jpatel_mlbenefitsco_com/Documents/Desktop/commissions/agent%20roster%20as%20of%207-16-25.xlsx" TargetMode="External"/><Relationship Id="rId1" Type="http://schemas.openxmlformats.org/officeDocument/2006/relationships/externalLinkPath" Target="https://mlbenefitsco-my.sharepoint.com/personal/jpatel_mlbenefitsco_com/Documents/Desktop/commissions/agent%20roster%20as%20of%207-16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inactive"/>
    </sheetNames>
    <sheetDataSet>
      <sheetData sheetId="0" refreshError="1"/>
      <sheetData sheetId="1">
        <row r="1">
          <cell r="A1" t="str">
            <v>Abbie  Hall</v>
          </cell>
        </row>
        <row r="2">
          <cell r="A2" t="str">
            <v>Adam Richter</v>
          </cell>
          <cell r="B2">
            <v>9079571</v>
          </cell>
        </row>
        <row r="3">
          <cell r="A3" t="str">
            <v>Ahmad Hassan</v>
          </cell>
          <cell r="B3">
            <v>2173482</v>
          </cell>
        </row>
        <row r="4">
          <cell r="A4" t="str">
            <v>Aidan  Barber</v>
          </cell>
          <cell r="B4">
            <v>20769090</v>
          </cell>
        </row>
        <row r="5">
          <cell r="A5" t="str">
            <v>Alan Cousar</v>
          </cell>
          <cell r="B5">
            <v>9544903</v>
          </cell>
        </row>
        <row r="6">
          <cell r="A6" t="str">
            <v>Alison Luse</v>
          </cell>
          <cell r="B6">
            <v>9254978</v>
          </cell>
        </row>
        <row r="7">
          <cell r="A7" t="str">
            <v>Ami De Rama</v>
          </cell>
          <cell r="B7">
            <v>5859730</v>
          </cell>
        </row>
        <row r="8">
          <cell r="A8" t="str">
            <v>Anand Munkhbaatar</v>
          </cell>
          <cell r="B8" t="str">
            <v>NA</v>
          </cell>
        </row>
        <row r="9">
          <cell r="A9" t="str">
            <v>Andrea Petrungaro</v>
          </cell>
          <cell r="B9">
            <v>16912722</v>
          </cell>
        </row>
        <row r="10">
          <cell r="A10" t="str">
            <v>Andrew Choi</v>
          </cell>
          <cell r="B10">
            <v>7470776</v>
          </cell>
        </row>
        <row r="11">
          <cell r="A11" t="str">
            <v>Andrew  Goodman</v>
          </cell>
          <cell r="B11">
            <v>593918</v>
          </cell>
        </row>
        <row r="12">
          <cell r="A12" t="str">
            <v>Anne Marie Kozacheck</v>
          </cell>
          <cell r="B12">
            <v>19278370</v>
          </cell>
        </row>
        <row r="13">
          <cell r="A13" t="str">
            <v>Anthony Hunsberger</v>
          </cell>
          <cell r="B13">
            <v>7146581</v>
          </cell>
        </row>
        <row r="14">
          <cell r="A14" t="str">
            <v>Antonia Nevaraz</v>
          </cell>
          <cell r="B14">
            <v>21646325</v>
          </cell>
        </row>
        <row r="15">
          <cell r="A15" t="str">
            <v>Arick Martin</v>
          </cell>
          <cell r="B15">
            <v>15707250</v>
          </cell>
        </row>
        <row r="16">
          <cell r="A16" t="str">
            <v>Arnold  Aloff</v>
          </cell>
          <cell r="B16">
            <v>3475518</v>
          </cell>
        </row>
        <row r="17">
          <cell r="A17" t="str">
            <v>Ashley Teipel</v>
          </cell>
          <cell r="B17">
            <v>20436925</v>
          </cell>
        </row>
        <row r="18">
          <cell r="A18" t="str">
            <v>Autumn Pham</v>
          </cell>
          <cell r="B18">
            <v>21704702</v>
          </cell>
        </row>
        <row r="19">
          <cell r="A19" t="str">
            <v>Barry Brenner</v>
          </cell>
          <cell r="B19">
            <v>21348299</v>
          </cell>
        </row>
        <row r="20">
          <cell r="A20" t="str">
            <v>Barry Schumann</v>
          </cell>
          <cell r="B20">
            <v>19586992</v>
          </cell>
        </row>
        <row r="21">
          <cell r="A21" t="str">
            <v>Brian Raughter</v>
          </cell>
          <cell r="B21">
            <v>18406006</v>
          </cell>
        </row>
        <row r="22">
          <cell r="A22" t="str">
            <v>Brian Strohman</v>
          </cell>
          <cell r="B22">
            <v>21104854</v>
          </cell>
        </row>
        <row r="23">
          <cell r="A23" t="str">
            <v>Brittany Oliver</v>
          </cell>
          <cell r="B23">
            <v>17554531</v>
          </cell>
        </row>
        <row r="24">
          <cell r="A24" t="str">
            <v>Carol Foley</v>
          </cell>
          <cell r="B24">
            <v>17425766</v>
          </cell>
        </row>
        <row r="25">
          <cell r="A25" t="str">
            <v>Carol Fritz</v>
          </cell>
          <cell r="B25">
            <v>19268643</v>
          </cell>
        </row>
        <row r="26">
          <cell r="A26" t="str">
            <v>Carolyn Wilson Smith</v>
          </cell>
          <cell r="B26">
            <v>7387433</v>
          </cell>
        </row>
        <row r="27">
          <cell r="A27" t="str">
            <v>Cassandra McAllister</v>
          </cell>
          <cell r="B27">
            <v>21085517</v>
          </cell>
        </row>
        <row r="28">
          <cell r="A28" t="str">
            <v>Cathy Lemon</v>
          </cell>
          <cell r="B28">
            <v>17195620</v>
          </cell>
        </row>
        <row r="29">
          <cell r="A29" t="str">
            <v>Chad Bender</v>
          </cell>
          <cell r="B29">
            <v>18598357</v>
          </cell>
        </row>
        <row r="30">
          <cell r="A30" t="str">
            <v>Chad Yale</v>
          </cell>
          <cell r="B30">
            <v>20003537</v>
          </cell>
        </row>
        <row r="31">
          <cell r="A31" t="str">
            <v>Cheryl Frazier</v>
          </cell>
          <cell r="B31">
            <v>8499606</v>
          </cell>
        </row>
        <row r="32">
          <cell r="A32" t="str">
            <v>Christian Taugner</v>
          </cell>
          <cell r="B32">
            <v>19681796</v>
          </cell>
        </row>
        <row r="33">
          <cell r="A33" t="str">
            <v>Christopher Brousseau</v>
          </cell>
          <cell r="B33">
            <v>21435997</v>
          </cell>
        </row>
        <row r="34">
          <cell r="A34" t="str">
            <v>Clarissa Powell</v>
          </cell>
          <cell r="B34">
            <v>17785596</v>
          </cell>
        </row>
        <row r="35">
          <cell r="A35" t="str">
            <v>Colleen Finnigan</v>
          </cell>
          <cell r="B35">
            <v>17437820</v>
          </cell>
        </row>
        <row r="36">
          <cell r="A36" t="str">
            <v>Colleen Jerger</v>
          </cell>
          <cell r="B36">
            <v>3333476</v>
          </cell>
        </row>
        <row r="37">
          <cell r="A37" t="str">
            <v>Connor  Green</v>
          </cell>
          <cell r="B37">
            <v>20811434</v>
          </cell>
        </row>
        <row r="38">
          <cell r="A38" t="str">
            <v>Cora Kuykendall</v>
          </cell>
          <cell r="B38">
            <v>22021577</v>
          </cell>
        </row>
        <row r="39">
          <cell r="A39" t="str">
            <v>Curtis Dodd</v>
          </cell>
          <cell r="B39">
            <v>10599300</v>
          </cell>
        </row>
        <row r="40">
          <cell r="A40" t="str">
            <v>Curtis Dean Sparkman</v>
          </cell>
          <cell r="B40">
            <v>21708146</v>
          </cell>
        </row>
        <row r="41">
          <cell r="A41" t="str">
            <v>Dale Walenga</v>
          </cell>
          <cell r="B41">
            <v>8325282</v>
          </cell>
        </row>
        <row r="42">
          <cell r="A42" t="str">
            <v>Danna Green</v>
          </cell>
          <cell r="B42">
            <v>16849453</v>
          </cell>
        </row>
        <row r="43">
          <cell r="A43" t="str">
            <v>Deborah Inskipt</v>
          </cell>
          <cell r="B43">
            <v>17528908</v>
          </cell>
        </row>
        <row r="44">
          <cell r="A44" t="str">
            <v>Deborah Powers</v>
          </cell>
          <cell r="B44">
            <v>19606009</v>
          </cell>
        </row>
        <row r="45">
          <cell r="A45" t="str">
            <v>Dennis Holyn</v>
          </cell>
          <cell r="B45">
            <v>7152559</v>
          </cell>
        </row>
        <row r="46">
          <cell r="A46" t="str">
            <v>Diana Zimmerman</v>
          </cell>
          <cell r="B46">
            <v>17640026</v>
          </cell>
        </row>
        <row r="47">
          <cell r="A47" t="str">
            <v>Dolores Dunbar</v>
          </cell>
          <cell r="B47">
            <v>17774994</v>
          </cell>
        </row>
        <row r="48">
          <cell r="A48" t="str">
            <v xml:space="preserve">Eliseo Tajanlangit </v>
          </cell>
          <cell r="B48">
            <v>18207434</v>
          </cell>
        </row>
        <row r="49">
          <cell r="A49" t="str">
            <v>Erica Solivan</v>
          </cell>
          <cell r="B49">
            <v>21605264</v>
          </cell>
        </row>
        <row r="50">
          <cell r="A50" t="str">
            <v>Esther "Estee" Herrera-Larsen</v>
          </cell>
          <cell r="B50">
            <v>17301495</v>
          </cell>
        </row>
        <row r="51">
          <cell r="A51" t="str">
            <v>Frank Liskovec</v>
          </cell>
          <cell r="B51">
            <v>8814784</v>
          </cell>
        </row>
        <row r="52">
          <cell r="A52" t="str">
            <v>Gary Portugal</v>
          </cell>
          <cell r="B52">
            <v>9213293</v>
          </cell>
        </row>
        <row r="53">
          <cell r="A53" t="str">
            <v>gregory teipel</v>
          </cell>
          <cell r="B53">
            <v>8307933</v>
          </cell>
        </row>
        <row r="54">
          <cell r="A54" t="str">
            <v>Gregg Arenson</v>
          </cell>
          <cell r="B54">
            <v>20776610</v>
          </cell>
        </row>
        <row r="55">
          <cell r="A55" t="str">
            <v>Gregory Hansford</v>
          </cell>
          <cell r="B55">
            <v>17094718</v>
          </cell>
        </row>
        <row r="56">
          <cell r="A56" t="str">
            <v>H Allan</v>
          </cell>
          <cell r="B56">
            <v>8046194</v>
          </cell>
        </row>
        <row r="57">
          <cell r="A57" t="str">
            <v>Heather Geske</v>
          </cell>
          <cell r="B57">
            <v>16865615</v>
          </cell>
        </row>
        <row r="58">
          <cell r="A58" t="str">
            <v>Heidi Berthelsen</v>
          </cell>
          <cell r="B58">
            <v>19617796</v>
          </cell>
        </row>
        <row r="59">
          <cell r="A59" t="str">
            <v>Hilary Bartholomew</v>
          </cell>
          <cell r="B59" t="str">
            <v>NA</v>
          </cell>
        </row>
        <row r="60">
          <cell r="A60" t="str">
            <v>Ines Berg</v>
          </cell>
          <cell r="B60">
            <v>17117649</v>
          </cell>
        </row>
        <row r="61">
          <cell r="A61" t="str">
            <v>Jack  Jerger</v>
          </cell>
          <cell r="B61" t="str">
            <v>NA</v>
          </cell>
        </row>
        <row r="62">
          <cell r="A62" t="str">
            <v>Jacob Yale</v>
          </cell>
          <cell r="B62">
            <v>18754354</v>
          </cell>
        </row>
        <row r="63">
          <cell r="A63" t="str">
            <v>Jake Shulman</v>
          </cell>
          <cell r="B63">
            <v>18201929</v>
          </cell>
        </row>
        <row r="64">
          <cell r="A64" t="str">
            <v>Jalyne Vogel</v>
          </cell>
          <cell r="B64" t="str">
            <v>?</v>
          </cell>
        </row>
        <row r="65">
          <cell r="A65" t="str">
            <v>James Allen</v>
          </cell>
          <cell r="B65">
            <v>17143996</v>
          </cell>
        </row>
        <row r="66">
          <cell r="A66" t="str">
            <v>Jared Kinyua</v>
          </cell>
          <cell r="B66">
            <v>19279958</v>
          </cell>
        </row>
        <row r="67">
          <cell r="A67" t="str">
            <v>Jason Hoffmann</v>
          </cell>
          <cell r="B67">
            <v>15278437</v>
          </cell>
        </row>
        <row r="68">
          <cell r="A68" t="str">
            <v>Jason Roller</v>
          </cell>
          <cell r="B68">
            <v>16228684</v>
          </cell>
        </row>
        <row r="69">
          <cell r="A69" t="str">
            <v>Jeanet Reyes</v>
          </cell>
          <cell r="B69">
            <v>16997303</v>
          </cell>
        </row>
        <row r="70">
          <cell r="A70" t="str">
            <v>Jeffrey Horn</v>
          </cell>
          <cell r="B70">
            <v>2158366</v>
          </cell>
        </row>
        <row r="71">
          <cell r="A71" t="str">
            <v>Jennifer Hess</v>
          </cell>
          <cell r="B71">
            <v>17740520</v>
          </cell>
        </row>
        <row r="72">
          <cell r="A72" t="str">
            <v>Jennifer  Halsaver</v>
          </cell>
          <cell r="B72">
            <v>21564088</v>
          </cell>
        </row>
        <row r="73">
          <cell r="A73" t="str">
            <v>Jennifer  Hunsberger</v>
          </cell>
          <cell r="B73" t="str">
            <v>?</v>
          </cell>
        </row>
        <row r="74">
          <cell r="A74" t="str">
            <v>Jessica Sandifer</v>
          </cell>
          <cell r="B74">
            <v>6115727</v>
          </cell>
        </row>
        <row r="75">
          <cell r="A75" t="str">
            <v>Jill Shepard</v>
          </cell>
          <cell r="B75">
            <v>18142208</v>
          </cell>
        </row>
        <row r="76">
          <cell r="A76" t="str">
            <v>Joel Lee</v>
          </cell>
          <cell r="B76">
            <v>6634327</v>
          </cell>
        </row>
        <row r="77">
          <cell r="A77" t="str">
            <v>John Kelly</v>
          </cell>
          <cell r="B77" t="str">
            <v>working on license</v>
          </cell>
        </row>
        <row r="78">
          <cell r="A78" t="str">
            <v>John Risely</v>
          </cell>
          <cell r="B78">
            <v>20551344</v>
          </cell>
        </row>
        <row r="79">
          <cell r="A79" t="str">
            <v>John Roken</v>
          </cell>
          <cell r="B79">
            <v>18781057</v>
          </cell>
        </row>
        <row r="80">
          <cell r="A80" t="str">
            <v>John Puccio</v>
          </cell>
          <cell r="B80">
            <v>21638421</v>
          </cell>
        </row>
        <row r="81">
          <cell r="A81" t="str">
            <v>John  Karns</v>
          </cell>
          <cell r="B81">
            <v>21128342</v>
          </cell>
        </row>
        <row r="82">
          <cell r="A82" t="str">
            <v>Jonathan Aloff</v>
          </cell>
          <cell r="B82">
            <v>16683808</v>
          </cell>
        </row>
        <row r="83">
          <cell r="A83" t="str">
            <v>Jose Torres</v>
          </cell>
          <cell r="B83">
            <v>20212926</v>
          </cell>
        </row>
        <row r="84">
          <cell r="A84" t="str">
            <v>Joseph Sexton</v>
          </cell>
          <cell r="B84">
            <v>21505953</v>
          </cell>
        </row>
        <row r="85">
          <cell r="A85" t="str">
            <v>Josiah  Luse</v>
          </cell>
          <cell r="B85">
            <v>20405298</v>
          </cell>
        </row>
        <row r="86">
          <cell r="A86" t="str">
            <v>Karen  Flowers</v>
          </cell>
        </row>
        <row r="87">
          <cell r="A87" t="str">
            <v>Kasandra Holland</v>
          </cell>
          <cell r="B87">
            <v>21284072</v>
          </cell>
        </row>
        <row r="88">
          <cell r="A88" t="str">
            <v>Katelan Wick</v>
          </cell>
          <cell r="B88">
            <v>19271047</v>
          </cell>
        </row>
        <row r="89">
          <cell r="A89" t="str">
            <v xml:space="preserve">Katelenn Caltagirone </v>
          </cell>
          <cell r="B89">
            <v>20436896</v>
          </cell>
        </row>
        <row r="90">
          <cell r="A90" t="str">
            <v>Kendall Gillespie</v>
          </cell>
          <cell r="B90">
            <v>21645031</v>
          </cell>
        </row>
        <row r="91">
          <cell r="A91" t="str">
            <v>Kenneth Weitzman</v>
          </cell>
          <cell r="B91">
            <v>17516272</v>
          </cell>
        </row>
        <row r="92">
          <cell r="A92" t="str">
            <v>Kimberly Dickerson</v>
          </cell>
          <cell r="B92">
            <v>16243811</v>
          </cell>
        </row>
        <row r="93">
          <cell r="A93" t="str">
            <v>Kimberly Edwards</v>
          </cell>
          <cell r="B93">
            <v>21128256</v>
          </cell>
        </row>
        <row r="94">
          <cell r="A94" t="str">
            <v>Kimberly Foley</v>
          </cell>
          <cell r="B94">
            <v>21577652</v>
          </cell>
        </row>
        <row r="95">
          <cell r="A95" t="str">
            <v>Kirk Tigue</v>
          </cell>
          <cell r="B95">
            <v>21421111</v>
          </cell>
        </row>
        <row r="96">
          <cell r="A96" t="str">
            <v>LaNeece White</v>
          </cell>
          <cell r="B96">
            <v>13496370</v>
          </cell>
        </row>
        <row r="97">
          <cell r="A97" t="str">
            <v>Latesha Rose</v>
          </cell>
          <cell r="B97">
            <v>21436172</v>
          </cell>
        </row>
        <row r="98">
          <cell r="A98" t="str">
            <v>Laurie Casta</v>
          </cell>
          <cell r="B98">
            <v>20697692</v>
          </cell>
        </row>
        <row r="99">
          <cell r="A99" t="str">
            <v>Leandrus Gaskins</v>
          </cell>
          <cell r="B99">
            <v>19642342</v>
          </cell>
        </row>
        <row r="100">
          <cell r="A100" t="str">
            <v>Lensie Gonzalez</v>
          </cell>
          <cell r="B100">
            <v>17859093</v>
          </cell>
        </row>
        <row r="101">
          <cell r="A101" t="str">
            <v>Linda  Wolfson</v>
          </cell>
          <cell r="B101" t="str">
            <v>NA</v>
          </cell>
        </row>
        <row r="102">
          <cell r="A102" t="str">
            <v>Lori Tunstall</v>
          </cell>
          <cell r="B102">
            <v>18134413</v>
          </cell>
        </row>
        <row r="103">
          <cell r="A103" t="str">
            <v>Luis Ybanez</v>
          </cell>
          <cell r="B103">
            <v>15735937</v>
          </cell>
        </row>
        <row r="104">
          <cell r="A104" t="str">
            <v>Margaret Smith</v>
          </cell>
          <cell r="B104">
            <v>20253958</v>
          </cell>
        </row>
        <row r="105">
          <cell r="A105" t="str">
            <v>Margaret Finnegan</v>
          </cell>
          <cell r="B105">
            <v>19861194</v>
          </cell>
        </row>
        <row r="106">
          <cell r="A106" t="str">
            <v>Marina Obrien</v>
          </cell>
          <cell r="B106">
            <v>16865242</v>
          </cell>
        </row>
        <row r="107">
          <cell r="A107" t="str">
            <v>Marissa Porraz</v>
          </cell>
          <cell r="B107">
            <v>21617661</v>
          </cell>
        </row>
        <row r="108">
          <cell r="A108" t="str">
            <v>Mark Roccia</v>
          </cell>
          <cell r="B108">
            <v>21618313</v>
          </cell>
        </row>
        <row r="109">
          <cell r="A109" t="str">
            <v>Marsha  Sanderock</v>
          </cell>
          <cell r="B109">
            <v>20724564</v>
          </cell>
        </row>
        <row r="110">
          <cell r="A110" t="str">
            <v>matthew daugherty</v>
          </cell>
          <cell r="B110">
            <v>1706194</v>
          </cell>
        </row>
        <row r="111">
          <cell r="A111" t="str">
            <v>Matthew Wasserman</v>
          </cell>
          <cell r="B111">
            <v>21247158</v>
          </cell>
        </row>
        <row r="112">
          <cell r="A112" t="str">
            <v>Matthew Sherman</v>
          </cell>
          <cell r="B112">
            <v>8812322</v>
          </cell>
        </row>
        <row r="113">
          <cell r="A113" t="str">
            <v>Melissa Tatro</v>
          </cell>
          <cell r="B113">
            <v>14177521</v>
          </cell>
        </row>
        <row r="114">
          <cell r="A114" t="str">
            <v>Michael Dunavant</v>
          </cell>
          <cell r="B114">
            <v>18828278</v>
          </cell>
        </row>
        <row r="115">
          <cell r="A115" t="str">
            <v>Michael Foley</v>
          </cell>
          <cell r="B115">
            <v>20995076</v>
          </cell>
        </row>
        <row r="116">
          <cell r="A116" t="str">
            <v>Michael Garnett</v>
          </cell>
          <cell r="B116">
            <v>21222981</v>
          </cell>
        </row>
        <row r="117">
          <cell r="A117" t="str">
            <v>Michael Lutz</v>
          </cell>
          <cell r="B117">
            <v>16751785</v>
          </cell>
        </row>
        <row r="118">
          <cell r="A118" t="str">
            <v>Michael Semprevivo</v>
          </cell>
          <cell r="B118">
            <v>6375605</v>
          </cell>
        </row>
        <row r="119">
          <cell r="A119" t="str">
            <v xml:space="preserve">Michael Wilston </v>
          </cell>
          <cell r="B119">
            <v>20178878</v>
          </cell>
        </row>
        <row r="120">
          <cell r="A120" t="str">
            <v>Michelle Hamel</v>
          </cell>
          <cell r="B120">
            <v>20591229</v>
          </cell>
        </row>
        <row r="121">
          <cell r="A121" t="str">
            <v>Michelle McCorkle</v>
          </cell>
          <cell r="B121">
            <v>18710070</v>
          </cell>
        </row>
        <row r="122">
          <cell r="A122" t="str">
            <v>Murray Sterner</v>
          </cell>
          <cell r="B122">
            <v>16212649</v>
          </cell>
        </row>
        <row r="123">
          <cell r="A123" t="str">
            <v>Nanette Sue Pegors</v>
          </cell>
          <cell r="B123">
            <v>6932235</v>
          </cell>
        </row>
        <row r="124">
          <cell r="A124" t="str">
            <v>Nasandelger Zana</v>
          </cell>
          <cell r="B124">
            <v>20220688</v>
          </cell>
        </row>
        <row r="125">
          <cell r="A125" t="str">
            <v>Nathan Weller</v>
          </cell>
          <cell r="B125">
            <v>19219478</v>
          </cell>
        </row>
        <row r="126">
          <cell r="A126" t="str">
            <v>Nava Livne</v>
          </cell>
          <cell r="B126">
            <v>20552652</v>
          </cell>
        </row>
        <row r="127">
          <cell r="A127" t="str">
            <v>Noah Dionesotes</v>
          </cell>
          <cell r="B127">
            <v>21607778</v>
          </cell>
        </row>
        <row r="128">
          <cell r="A128" t="str">
            <v>Odeny  Fernandez</v>
          </cell>
          <cell r="B128">
            <v>18155813</v>
          </cell>
        </row>
        <row r="129">
          <cell r="A129" t="str">
            <v>Odmaa Enkhtur</v>
          </cell>
          <cell r="B129">
            <v>20999157</v>
          </cell>
        </row>
        <row r="130">
          <cell r="A130" t="str">
            <v>Pamela Deaton</v>
          </cell>
          <cell r="B130">
            <v>8244481</v>
          </cell>
        </row>
        <row r="131">
          <cell r="A131" t="str">
            <v>Patricia  Long</v>
          </cell>
          <cell r="B131">
            <v>18794740</v>
          </cell>
        </row>
        <row r="132">
          <cell r="A132" t="str">
            <v>Patrick Byrne</v>
          </cell>
          <cell r="B132">
            <v>16615811</v>
          </cell>
        </row>
        <row r="133">
          <cell r="A133" t="str">
            <v>Patrick Geske</v>
          </cell>
          <cell r="B133">
            <v>21726248</v>
          </cell>
        </row>
        <row r="134">
          <cell r="A134" t="str">
            <v>Patsamon Thanadabouth</v>
          </cell>
          <cell r="B134">
            <v>8405446</v>
          </cell>
        </row>
        <row r="135">
          <cell r="A135" t="str">
            <v>Paul Berk</v>
          </cell>
          <cell r="B135">
            <v>2048099</v>
          </cell>
        </row>
        <row r="136">
          <cell r="A136" t="str">
            <v>Paul Robinson</v>
          </cell>
          <cell r="B136">
            <v>16983460</v>
          </cell>
        </row>
        <row r="137">
          <cell r="A137" t="str">
            <v>Paul Miller</v>
          </cell>
          <cell r="B137">
            <v>13353571</v>
          </cell>
        </row>
        <row r="138">
          <cell r="A138" t="str">
            <v>Peggy Kolanko</v>
          </cell>
          <cell r="B138">
            <v>1250871</v>
          </cell>
        </row>
        <row r="139">
          <cell r="A139" t="str">
            <v>Peter Elvart</v>
          </cell>
          <cell r="B139">
            <v>6778759</v>
          </cell>
        </row>
        <row r="140">
          <cell r="A140" t="str">
            <v>Peter Richter</v>
          </cell>
          <cell r="B140">
            <v>16509456</v>
          </cell>
        </row>
        <row r="141">
          <cell r="A141" t="str">
            <v>Raluca Cheregi</v>
          </cell>
          <cell r="B141">
            <v>21648482</v>
          </cell>
        </row>
        <row r="142">
          <cell r="A142" t="str">
            <v>Randy Tapper</v>
          </cell>
          <cell r="B142">
            <v>18935660</v>
          </cell>
        </row>
        <row r="143">
          <cell r="A143" t="str">
            <v>Renee Russell</v>
          </cell>
          <cell r="B143" t="str">
            <v>NA</v>
          </cell>
        </row>
        <row r="144">
          <cell r="A144" t="str">
            <v>Ricardo Santos</v>
          </cell>
          <cell r="B144">
            <v>19200754</v>
          </cell>
        </row>
        <row r="145">
          <cell r="A145" t="str">
            <v>Richard Skarnulis</v>
          </cell>
          <cell r="B145">
            <v>13374569</v>
          </cell>
        </row>
        <row r="146">
          <cell r="A146" t="str">
            <v>Richard Wuensch</v>
          </cell>
          <cell r="B146">
            <v>19615078</v>
          </cell>
        </row>
        <row r="147">
          <cell r="A147" t="str">
            <v>Richard Yale</v>
          </cell>
          <cell r="B147">
            <v>16633294</v>
          </cell>
        </row>
        <row r="148">
          <cell r="A148" t="str">
            <v>Robert Adcock</v>
          </cell>
          <cell r="B148">
            <v>20872981</v>
          </cell>
        </row>
        <row r="149">
          <cell r="A149" t="str">
            <v>Robert Shapiro</v>
          </cell>
          <cell r="B149">
            <v>7565575</v>
          </cell>
        </row>
        <row r="150">
          <cell r="A150" t="str">
            <v>Robert  Sievewright</v>
          </cell>
          <cell r="B150">
            <v>7307857</v>
          </cell>
        </row>
        <row r="151">
          <cell r="A151" t="str">
            <v>Ronald Max</v>
          </cell>
          <cell r="B151">
            <v>5442438</v>
          </cell>
        </row>
        <row r="152">
          <cell r="A152" t="str">
            <v>ryan caltagirone</v>
          </cell>
          <cell r="B152">
            <v>8977234</v>
          </cell>
        </row>
        <row r="153">
          <cell r="A153" t="str">
            <v>Ryan Stocker</v>
          </cell>
          <cell r="B153">
            <v>15950276</v>
          </cell>
        </row>
        <row r="154">
          <cell r="A154" t="str">
            <v>Ryan Shepard</v>
          </cell>
          <cell r="B154">
            <v>16170994</v>
          </cell>
        </row>
        <row r="155">
          <cell r="A155" t="str">
            <v>Saadia Abdul</v>
          </cell>
          <cell r="B155">
            <v>19396223</v>
          </cell>
        </row>
        <row r="156">
          <cell r="A156" t="str">
            <v>Sandra Sentman</v>
          </cell>
          <cell r="B156">
            <v>21475206</v>
          </cell>
        </row>
        <row r="157">
          <cell r="A157" t="str">
            <v>Scott Aguglia</v>
          </cell>
          <cell r="B157">
            <v>8971826</v>
          </cell>
        </row>
        <row r="158">
          <cell r="A158" t="str">
            <v>Scott Fine</v>
          </cell>
          <cell r="B158">
            <v>19106640</v>
          </cell>
        </row>
        <row r="159">
          <cell r="A159" t="str">
            <v>Shannon Stump</v>
          </cell>
          <cell r="B159">
            <v>18943687</v>
          </cell>
        </row>
        <row r="160">
          <cell r="A160" t="str">
            <v>Shawn Gastelo</v>
          </cell>
          <cell r="B160">
            <v>21122864</v>
          </cell>
        </row>
        <row r="161">
          <cell r="A161" t="str">
            <v>Shirley Babilya</v>
          </cell>
          <cell r="B161">
            <v>18522974</v>
          </cell>
        </row>
        <row r="162">
          <cell r="A162" t="str">
            <v>Stacey Portugal</v>
          </cell>
          <cell r="B162">
            <v>19645587</v>
          </cell>
        </row>
        <row r="163">
          <cell r="A163" t="str">
            <v>Stephanie Drapac</v>
          </cell>
          <cell r="B163">
            <v>17126004</v>
          </cell>
        </row>
        <row r="164">
          <cell r="A164" t="str">
            <v>Steven Werner</v>
          </cell>
          <cell r="B164">
            <v>19481808</v>
          </cell>
        </row>
        <row r="165">
          <cell r="A165" t="str">
            <v>Steven Brandt</v>
          </cell>
          <cell r="B165">
            <v>19491313</v>
          </cell>
        </row>
        <row r="166">
          <cell r="A166" t="str">
            <v>Steven  Levin</v>
          </cell>
          <cell r="B166">
            <v>1592053</v>
          </cell>
        </row>
        <row r="167">
          <cell r="A167" t="str">
            <v>Taliah Ferguson</v>
          </cell>
          <cell r="B167">
            <v>21561165</v>
          </cell>
        </row>
        <row r="168">
          <cell r="A168" t="str">
            <v>Teri Foster</v>
          </cell>
          <cell r="B168">
            <v>20098658</v>
          </cell>
        </row>
        <row r="169">
          <cell r="A169" t="str">
            <v>Thomas Bentley</v>
          </cell>
          <cell r="B169">
            <v>2118374</v>
          </cell>
        </row>
        <row r="170">
          <cell r="A170" t="str">
            <v>Thomas Ervolina</v>
          </cell>
          <cell r="B170">
            <v>8477730</v>
          </cell>
        </row>
        <row r="171">
          <cell r="A171" t="str">
            <v>Thomas Kucan</v>
          </cell>
          <cell r="B171">
            <v>16202925</v>
          </cell>
        </row>
        <row r="172">
          <cell r="A172" t="str">
            <v>Thomas Serio</v>
          </cell>
          <cell r="B172">
            <v>20490188</v>
          </cell>
        </row>
        <row r="173">
          <cell r="A173" t="str">
            <v>Timothy Hodgman</v>
          </cell>
          <cell r="B173">
            <v>18581063</v>
          </cell>
        </row>
        <row r="174">
          <cell r="A174" t="str">
            <v>Timothy Merced</v>
          </cell>
          <cell r="B174">
            <v>17418075</v>
          </cell>
        </row>
        <row r="175">
          <cell r="A175" t="str">
            <v>Timothy Powers</v>
          </cell>
          <cell r="B175">
            <v>17886092</v>
          </cell>
        </row>
        <row r="176">
          <cell r="A176" t="str">
            <v>thomas pardue</v>
          </cell>
          <cell r="B176">
            <v>371819</v>
          </cell>
        </row>
        <row r="177">
          <cell r="A177" t="str">
            <v>Traci Barton</v>
          </cell>
          <cell r="B177">
            <v>20678727</v>
          </cell>
        </row>
        <row r="178">
          <cell r="A178" t="str">
            <v>victor fuentes</v>
          </cell>
          <cell r="B178">
            <v>21283956</v>
          </cell>
        </row>
        <row r="179">
          <cell r="A179" t="str">
            <v>Wesley Ellis</v>
          </cell>
          <cell r="B179">
            <v>19396919</v>
          </cell>
        </row>
        <row r="180">
          <cell r="A180" t="str">
            <v>William Schaeffer</v>
          </cell>
          <cell r="B180">
            <v>18010408</v>
          </cell>
        </row>
        <row r="181">
          <cell r="A181" t="str">
            <v>William  Geske</v>
          </cell>
          <cell r="B181">
            <v>21313588</v>
          </cell>
        </row>
        <row r="182">
          <cell r="A182" t="str">
            <v>Zameer  Kotadia</v>
          </cell>
          <cell r="B182">
            <v>21101146</v>
          </cell>
        </row>
        <row r="183">
          <cell r="A183" t="str">
            <v>Zulfunar Yavuzkan-Rasin</v>
          </cell>
          <cell r="B183">
            <v>8692488</v>
          </cell>
        </row>
        <row r="184">
          <cell r="A184" t="str">
            <v>Bryan Krobath</v>
          </cell>
          <cell r="B184">
            <v>17429706</v>
          </cell>
        </row>
        <row r="185">
          <cell r="A185" t="str">
            <v>Main line benefits</v>
          </cell>
          <cell r="B185">
            <v>20411454</v>
          </cell>
        </row>
        <row r="186">
          <cell r="A186" t="str">
            <v>Jennifer Mixell-Hoffman</v>
          </cell>
          <cell r="B186">
            <v>4567262</v>
          </cell>
        </row>
        <row r="187">
          <cell r="A187" t="str">
            <v>Jane Zec</v>
          </cell>
          <cell r="B187">
            <v>1487750</v>
          </cell>
        </row>
        <row r="188">
          <cell r="A188" t="str">
            <v>Antennian DeCarlo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7B0BB-A885-4912-804F-4CD4B43E7D46}">
  <dimension ref="A1:Z278"/>
  <sheetViews>
    <sheetView workbookViewId="0">
      <selection sqref="A1:XFD1048576"/>
    </sheetView>
  </sheetViews>
  <sheetFormatPr defaultRowHeight="12.75" x14ac:dyDescent="0.2"/>
  <cols>
    <col min="1" max="1" width="15.5703125" customWidth="1"/>
    <col min="2" max="2" width="12.42578125" customWidth="1"/>
    <col min="3" max="3" width="8.28515625" customWidth="1"/>
    <col min="4" max="4" width="9.7109375" customWidth="1"/>
    <col min="5" max="5" width="24.42578125" customWidth="1"/>
    <col min="6" max="6" width="31.85546875" customWidth="1"/>
    <col min="7" max="7" width="9" customWidth="1"/>
    <col min="8" max="8" width="21.28515625" customWidth="1"/>
    <col min="9" max="9" width="21.7109375" customWidth="1"/>
    <col min="10" max="10" width="17.42578125" customWidth="1"/>
    <col min="11" max="11" width="33.7109375" customWidth="1"/>
    <col min="12" max="12" width="20.28515625" customWidth="1"/>
    <col min="13" max="13" width="14" customWidth="1"/>
    <col min="14" max="14" width="36.85546875" customWidth="1"/>
    <col min="15" max="15" width="13.28515625" customWidth="1"/>
    <col min="16" max="16" width="10.42578125" customWidth="1"/>
    <col min="17" max="17" width="21.85546875" customWidth="1"/>
    <col min="18" max="18" width="13.140625" customWidth="1"/>
    <col min="19" max="19" width="16.7109375" customWidth="1"/>
    <col min="20" max="20" width="16.5703125" customWidth="1"/>
    <col min="21" max="21" width="13.28515625" customWidth="1"/>
    <col min="22" max="22" width="24.42578125" customWidth="1"/>
    <col min="23" max="23" width="22.7109375" customWidth="1"/>
    <col min="24" max="24" width="24.42578125" customWidth="1"/>
    <col min="25" max="25" width="21.42578125" customWidth="1"/>
    <col min="26" max="26" width="19.5703125" customWidth="1"/>
  </cols>
  <sheetData>
    <row r="1" spans="1:2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.75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>
        <v>44.69</v>
      </c>
      <c r="K2" s="1" t="s">
        <v>35</v>
      </c>
      <c r="L2" s="1" t="s">
        <v>36</v>
      </c>
      <c r="M2" s="1">
        <v>1.79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 t="s">
        <v>42</v>
      </c>
      <c r="T2" s="1">
        <v>1522.51</v>
      </c>
      <c r="U2" s="1" t="s">
        <v>43</v>
      </c>
      <c r="V2" s="1" t="s">
        <v>30</v>
      </c>
      <c r="W2" s="1" t="s">
        <v>39</v>
      </c>
      <c r="X2" s="1" t="s">
        <v>30</v>
      </c>
      <c r="Y2" s="1" t="s">
        <v>39</v>
      </c>
      <c r="Z2" s="1" t="s">
        <v>44</v>
      </c>
    </row>
    <row r="3" spans="1:26" ht="15.75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45</v>
      </c>
      <c r="H3" s="1" t="s">
        <v>33</v>
      </c>
      <c r="I3" s="1" t="s">
        <v>34</v>
      </c>
      <c r="J3" s="1">
        <v>1.5</v>
      </c>
      <c r="K3" s="1" t="s">
        <v>35</v>
      </c>
      <c r="L3" s="1" t="s">
        <v>36</v>
      </c>
      <c r="M3" s="1">
        <v>0.06</v>
      </c>
      <c r="N3" s="1" t="s">
        <v>37</v>
      </c>
      <c r="O3" s="1" t="s">
        <v>38</v>
      </c>
      <c r="P3" s="1" t="s">
        <v>39</v>
      </c>
      <c r="Q3" s="1" t="s">
        <v>40</v>
      </c>
      <c r="R3" s="1" t="s">
        <v>41</v>
      </c>
      <c r="S3" s="1" t="s">
        <v>42</v>
      </c>
      <c r="T3" s="1">
        <v>1522.51</v>
      </c>
      <c r="U3" s="1" t="s">
        <v>43</v>
      </c>
      <c r="V3" s="1" t="s">
        <v>30</v>
      </c>
      <c r="W3" s="1" t="s">
        <v>39</v>
      </c>
      <c r="X3" s="1" t="s">
        <v>30</v>
      </c>
      <c r="Y3" s="1" t="s">
        <v>39</v>
      </c>
      <c r="Z3" s="1" t="s">
        <v>44</v>
      </c>
    </row>
    <row r="4" spans="1:26" ht="15.75" x14ac:dyDescent="0.25">
      <c r="A4" s="1" t="s">
        <v>26</v>
      </c>
      <c r="B4" s="1" t="s">
        <v>27</v>
      </c>
      <c r="C4" s="1" t="s">
        <v>46</v>
      </c>
      <c r="D4" s="1" t="s">
        <v>47</v>
      </c>
      <c r="E4" s="1" t="s">
        <v>30</v>
      </c>
      <c r="F4" s="1" t="s">
        <v>48</v>
      </c>
      <c r="G4" s="1" t="s">
        <v>32</v>
      </c>
      <c r="H4" s="1" t="s">
        <v>49</v>
      </c>
      <c r="I4" s="1" t="s">
        <v>50</v>
      </c>
      <c r="J4" s="1">
        <v>21.11</v>
      </c>
      <c r="K4" s="1" t="s">
        <v>51</v>
      </c>
      <c r="L4" s="1" t="s">
        <v>36</v>
      </c>
      <c r="M4" s="1">
        <v>0.42</v>
      </c>
      <c r="N4" s="1" t="s">
        <v>39</v>
      </c>
      <c r="O4" s="1" t="s">
        <v>38</v>
      </c>
      <c r="P4" s="1" t="s">
        <v>39</v>
      </c>
      <c r="Q4" s="1" t="s">
        <v>39</v>
      </c>
      <c r="R4" s="1" t="s">
        <v>52</v>
      </c>
      <c r="S4" s="1" t="s">
        <v>42</v>
      </c>
      <c r="T4" s="1">
        <v>1522.51</v>
      </c>
      <c r="U4" s="1" t="s">
        <v>43</v>
      </c>
      <c r="V4" s="1" t="s">
        <v>30</v>
      </c>
      <c r="W4" s="1" t="s">
        <v>39</v>
      </c>
      <c r="X4" s="1" t="s">
        <v>30</v>
      </c>
      <c r="Y4" s="1" t="s">
        <v>39</v>
      </c>
      <c r="Z4" s="1" t="s">
        <v>44</v>
      </c>
    </row>
    <row r="5" spans="1:26" ht="15.75" x14ac:dyDescent="0.25">
      <c r="A5" s="1" t="s">
        <v>26</v>
      </c>
      <c r="B5" s="1" t="s">
        <v>27</v>
      </c>
      <c r="C5" s="1" t="s">
        <v>46</v>
      </c>
      <c r="D5" s="1" t="s">
        <v>53</v>
      </c>
      <c r="E5" s="1" t="s">
        <v>30</v>
      </c>
      <c r="F5" s="1" t="s">
        <v>48</v>
      </c>
      <c r="G5" s="1" t="s">
        <v>54</v>
      </c>
      <c r="H5" s="1" t="s">
        <v>49</v>
      </c>
      <c r="I5" s="1" t="s">
        <v>50</v>
      </c>
      <c r="J5" s="1">
        <v>10.67</v>
      </c>
      <c r="K5" s="1" t="s">
        <v>51</v>
      </c>
      <c r="L5" s="1" t="s">
        <v>36</v>
      </c>
      <c r="M5" s="1">
        <v>0.21</v>
      </c>
      <c r="N5" s="1" t="s">
        <v>39</v>
      </c>
      <c r="O5" s="1" t="s">
        <v>38</v>
      </c>
      <c r="P5" s="1" t="s">
        <v>39</v>
      </c>
      <c r="Q5" s="1" t="s">
        <v>39</v>
      </c>
      <c r="R5" s="1" t="s">
        <v>52</v>
      </c>
      <c r="S5" s="1" t="s">
        <v>42</v>
      </c>
      <c r="T5" s="1">
        <v>1522.51</v>
      </c>
      <c r="U5" s="1" t="s">
        <v>43</v>
      </c>
      <c r="V5" s="1" t="s">
        <v>30</v>
      </c>
      <c r="W5" s="1" t="s">
        <v>39</v>
      </c>
      <c r="X5" s="1" t="s">
        <v>30</v>
      </c>
      <c r="Y5" s="1" t="s">
        <v>39</v>
      </c>
      <c r="Z5" s="1" t="s">
        <v>44</v>
      </c>
    </row>
    <row r="6" spans="1:26" ht="15.75" x14ac:dyDescent="0.25">
      <c r="A6" s="1" t="s">
        <v>26</v>
      </c>
      <c r="B6" s="1" t="s">
        <v>27</v>
      </c>
      <c r="C6" s="1" t="s">
        <v>55</v>
      </c>
      <c r="D6" s="1" t="s">
        <v>56</v>
      </c>
      <c r="E6" s="1" t="s">
        <v>30</v>
      </c>
      <c r="F6" s="1" t="s">
        <v>57</v>
      </c>
      <c r="G6" s="1" t="s">
        <v>32</v>
      </c>
      <c r="H6" s="1" t="s">
        <v>58</v>
      </c>
      <c r="I6" s="1" t="s">
        <v>50</v>
      </c>
      <c r="J6" s="1">
        <v>83.94</v>
      </c>
      <c r="K6" s="1" t="s">
        <v>59</v>
      </c>
      <c r="L6" s="1" t="s">
        <v>36</v>
      </c>
      <c r="M6" s="1">
        <v>8.39</v>
      </c>
      <c r="N6" s="1" t="s">
        <v>39</v>
      </c>
      <c r="O6" s="1" t="s">
        <v>38</v>
      </c>
      <c r="P6" s="1" t="s">
        <v>39</v>
      </c>
      <c r="Q6" s="1" t="s">
        <v>39</v>
      </c>
      <c r="R6" s="1" t="s">
        <v>60</v>
      </c>
      <c r="S6" s="1" t="s">
        <v>42</v>
      </c>
      <c r="T6" s="1">
        <v>1522.51</v>
      </c>
      <c r="U6" s="1" t="s">
        <v>43</v>
      </c>
      <c r="V6" s="1" t="s">
        <v>30</v>
      </c>
      <c r="W6" s="1" t="s">
        <v>39</v>
      </c>
      <c r="X6" s="1" t="s">
        <v>30</v>
      </c>
      <c r="Y6" s="1" t="s">
        <v>39</v>
      </c>
      <c r="Z6" s="1" t="s">
        <v>44</v>
      </c>
    </row>
    <row r="7" spans="1:26" ht="15.75" x14ac:dyDescent="0.25">
      <c r="A7" s="1" t="s">
        <v>26</v>
      </c>
      <c r="B7" s="1" t="s">
        <v>27</v>
      </c>
      <c r="C7" s="1" t="s">
        <v>55</v>
      </c>
      <c r="D7" s="1" t="s">
        <v>56</v>
      </c>
      <c r="E7" s="1" t="s">
        <v>30</v>
      </c>
      <c r="F7" s="1" t="s">
        <v>57</v>
      </c>
      <c r="G7" s="1" t="s">
        <v>45</v>
      </c>
      <c r="H7" s="1" t="s">
        <v>58</v>
      </c>
      <c r="I7" s="1" t="s">
        <v>50</v>
      </c>
      <c r="J7" s="1">
        <v>2.69</v>
      </c>
      <c r="K7" s="1" t="s">
        <v>59</v>
      </c>
      <c r="L7" s="1" t="s">
        <v>36</v>
      </c>
      <c r="M7" s="1">
        <v>0.27</v>
      </c>
      <c r="N7" s="1" t="s">
        <v>39</v>
      </c>
      <c r="O7" s="1" t="s">
        <v>38</v>
      </c>
      <c r="P7" s="1" t="s">
        <v>39</v>
      </c>
      <c r="Q7" s="1" t="s">
        <v>39</v>
      </c>
      <c r="R7" s="1" t="s">
        <v>60</v>
      </c>
      <c r="S7" s="1" t="s">
        <v>42</v>
      </c>
      <c r="T7" s="1">
        <v>1522.51</v>
      </c>
      <c r="U7" s="1" t="s">
        <v>43</v>
      </c>
      <c r="V7" s="1" t="s">
        <v>30</v>
      </c>
      <c r="W7" s="1" t="s">
        <v>39</v>
      </c>
      <c r="X7" s="1" t="s">
        <v>30</v>
      </c>
      <c r="Y7" s="1" t="s">
        <v>39</v>
      </c>
      <c r="Z7" s="1" t="s">
        <v>44</v>
      </c>
    </row>
    <row r="8" spans="1:26" ht="15.75" x14ac:dyDescent="0.25">
      <c r="A8" s="1" t="s">
        <v>26</v>
      </c>
      <c r="B8" s="1" t="s">
        <v>27</v>
      </c>
      <c r="C8" s="1" t="s">
        <v>55</v>
      </c>
      <c r="D8" s="1" t="s">
        <v>61</v>
      </c>
      <c r="E8" s="1" t="s">
        <v>30</v>
      </c>
      <c r="F8" s="1" t="s">
        <v>57</v>
      </c>
      <c r="G8" s="1" t="s">
        <v>54</v>
      </c>
      <c r="H8" s="1" t="s">
        <v>58</v>
      </c>
      <c r="I8" s="1" t="s">
        <v>50</v>
      </c>
      <c r="J8" s="1">
        <v>24.06</v>
      </c>
      <c r="K8" s="1" t="s">
        <v>59</v>
      </c>
      <c r="L8" s="1" t="s">
        <v>36</v>
      </c>
      <c r="M8" s="1">
        <v>2.89</v>
      </c>
      <c r="N8" s="1" t="s">
        <v>39</v>
      </c>
      <c r="O8" s="1" t="s">
        <v>38</v>
      </c>
      <c r="P8" s="1" t="s">
        <v>39</v>
      </c>
      <c r="Q8" s="1" t="s">
        <v>39</v>
      </c>
      <c r="R8" s="1" t="s">
        <v>60</v>
      </c>
      <c r="S8" s="1" t="s">
        <v>42</v>
      </c>
      <c r="T8" s="1">
        <v>1522.51</v>
      </c>
      <c r="U8" s="1" t="s">
        <v>43</v>
      </c>
      <c r="V8" s="1" t="s">
        <v>30</v>
      </c>
      <c r="W8" s="1" t="s">
        <v>39</v>
      </c>
      <c r="X8" s="1" t="s">
        <v>30</v>
      </c>
      <c r="Y8" s="1" t="s">
        <v>39</v>
      </c>
      <c r="Z8" s="1" t="s">
        <v>44</v>
      </c>
    </row>
    <row r="9" spans="1:26" ht="15.75" x14ac:dyDescent="0.25">
      <c r="A9" s="1" t="s">
        <v>26</v>
      </c>
      <c r="B9" s="1" t="s">
        <v>27</v>
      </c>
      <c r="C9" s="1" t="s">
        <v>62</v>
      </c>
      <c r="D9" s="1" t="s">
        <v>63</v>
      </c>
      <c r="E9" s="1" t="s">
        <v>30</v>
      </c>
      <c r="F9" s="1" t="s">
        <v>64</v>
      </c>
      <c r="G9" s="1" t="s">
        <v>32</v>
      </c>
      <c r="H9" s="1" t="s">
        <v>49</v>
      </c>
      <c r="I9" s="1" t="s">
        <v>50</v>
      </c>
      <c r="J9" s="1">
        <v>36.29</v>
      </c>
      <c r="K9" s="1" t="s">
        <v>65</v>
      </c>
      <c r="L9" s="1" t="s">
        <v>36</v>
      </c>
      <c r="M9" s="1">
        <v>0</v>
      </c>
      <c r="N9" s="1" t="s">
        <v>66</v>
      </c>
      <c r="O9" s="1" t="s">
        <v>38</v>
      </c>
      <c r="P9" s="1" t="s">
        <v>67</v>
      </c>
      <c r="Q9" s="1" t="s">
        <v>68</v>
      </c>
      <c r="R9" s="1" t="s">
        <v>69</v>
      </c>
      <c r="S9" s="1" t="s">
        <v>42</v>
      </c>
      <c r="T9" s="1">
        <v>1522.51</v>
      </c>
      <c r="U9" s="1" t="s">
        <v>43</v>
      </c>
      <c r="V9" s="1" t="s">
        <v>30</v>
      </c>
      <c r="W9" s="1" t="s">
        <v>39</v>
      </c>
      <c r="X9" s="1" t="s">
        <v>30</v>
      </c>
      <c r="Y9" s="1" t="s">
        <v>39</v>
      </c>
      <c r="Z9" s="1" t="s">
        <v>44</v>
      </c>
    </row>
    <row r="10" spans="1:26" ht="15.75" x14ac:dyDescent="0.25">
      <c r="A10" s="1" t="s">
        <v>26</v>
      </c>
      <c r="B10" s="1" t="s">
        <v>27</v>
      </c>
      <c r="C10" s="1" t="s">
        <v>62</v>
      </c>
      <c r="D10" s="1" t="s">
        <v>63</v>
      </c>
      <c r="E10" s="1" t="s">
        <v>30</v>
      </c>
      <c r="F10" s="1" t="s">
        <v>64</v>
      </c>
      <c r="G10" s="1" t="s">
        <v>45</v>
      </c>
      <c r="H10" s="1" t="s">
        <v>49</v>
      </c>
      <c r="I10" s="1" t="s">
        <v>50</v>
      </c>
      <c r="J10" s="1">
        <v>1.5</v>
      </c>
      <c r="K10" s="1" t="s">
        <v>65</v>
      </c>
      <c r="L10" s="1" t="s">
        <v>36</v>
      </c>
      <c r="M10" s="1">
        <v>0</v>
      </c>
      <c r="N10" s="1" t="s">
        <v>66</v>
      </c>
      <c r="O10" s="1" t="s">
        <v>38</v>
      </c>
      <c r="P10" s="1" t="s">
        <v>70</v>
      </c>
      <c r="Q10" s="1" t="s">
        <v>68</v>
      </c>
      <c r="R10" s="1" t="s">
        <v>69</v>
      </c>
      <c r="S10" s="1" t="s">
        <v>42</v>
      </c>
      <c r="T10" s="1">
        <v>1522.51</v>
      </c>
      <c r="U10" s="1" t="s">
        <v>43</v>
      </c>
      <c r="V10" s="1" t="s">
        <v>30</v>
      </c>
      <c r="W10" s="1" t="s">
        <v>39</v>
      </c>
      <c r="X10" s="1" t="s">
        <v>30</v>
      </c>
      <c r="Y10" s="1" t="s">
        <v>39</v>
      </c>
      <c r="Z10" s="1" t="s">
        <v>44</v>
      </c>
    </row>
    <row r="11" spans="1:26" ht="15.75" x14ac:dyDescent="0.25">
      <c r="A11" s="1" t="s">
        <v>26</v>
      </c>
      <c r="B11" s="1" t="s">
        <v>27</v>
      </c>
      <c r="C11" s="1" t="s">
        <v>62</v>
      </c>
      <c r="D11" s="1" t="s">
        <v>71</v>
      </c>
      <c r="E11" s="1" t="s">
        <v>30</v>
      </c>
      <c r="F11" s="1" t="s">
        <v>72</v>
      </c>
      <c r="G11" s="1" t="s">
        <v>32</v>
      </c>
      <c r="H11" s="1" t="s">
        <v>58</v>
      </c>
      <c r="I11" s="1" t="s">
        <v>50</v>
      </c>
      <c r="J11" s="1">
        <v>36.29</v>
      </c>
      <c r="K11" s="1" t="s">
        <v>73</v>
      </c>
      <c r="L11" s="1" t="s">
        <v>36</v>
      </c>
      <c r="M11" s="1">
        <v>1.45</v>
      </c>
      <c r="N11" s="1" t="s">
        <v>74</v>
      </c>
      <c r="O11" s="1" t="s">
        <v>38</v>
      </c>
      <c r="P11" s="1" t="s">
        <v>39</v>
      </c>
      <c r="Q11" s="1" t="s">
        <v>75</v>
      </c>
      <c r="R11" s="1" t="s">
        <v>76</v>
      </c>
      <c r="S11" s="1" t="s">
        <v>42</v>
      </c>
      <c r="T11" s="1">
        <v>1522.51</v>
      </c>
      <c r="U11" s="1" t="s">
        <v>43</v>
      </c>
      <c r="V11" s="1" t="s">
        <v>30</v>
      </c>
      <c r="W11" s="1" t="s">
        <v>39</v>
      </c>
      <c r="X11" s="1" t="s">
        <v>30</v>
      </c>
      <c r="Y11" s="1" t="s">
        <v>39</v>
      </c>
      <c r="Z11" s="1" t="s">
        <v>44</v>
      </c>
    </row>
    <row r="12" spans="1:26" ht="15.75" x14ac:dyDescent="0.25">
      <c r="A12" s="1" t="s">
        <v>26</v>
      </c>
      <c r="B12" s="1" t="s">
        <v>27</v>
      </c>
      <c r="C12" s="1" t="s">
        <v>62</v>
      </c>
      <c r="D12" s="1" t="s">
        <v>71</v>
      </c>
      <c r="E12" s="1" t="s">
        <v>30</v>
      </c>
      <c r="F12" s="1" t="s">
        <v>72</v>
      </c>
      <c r="G12" s="1" t="s">
        <v>45</v>
      </c>
      <c r="H12" s="1" t="s">
        <v>58</v>
      </c>
      <c r="I12" s="1" t="s">
        <v>50</v>
      </c>
      <c r="J12" s="1">
        <v>1.5</v>
      </c>
      <c r="K12" s="1" t="s">
        <v>73</v>
      </c>
      <c r="L12" s="1" t="s">
        <v>36</v>
      </c>
      <c r="M12" s="1">
        <v>0.06</v>
      </c>
      <c r="N12" s="1" t="s">
        <v>74</v>
      </c>
      <c r="O12" s="1" t="s">
        <v>38</v>
      </c>
      <c r="P12" s="1" t="s">
        <v>39</v>
      </c>
      <c r="Q12" s="1" t="s">
        <v>75</v>
      </c>
      <c r="R12" s="1" t="s">
        <v>76</v>
      </c>
      <c r="S12" s="1" t="s">
        <v>42</v>
      </c>
      <c r="T12" s="1">
        <v>1522.51</v>
      </c>
      <c r="U12" s="1" t="s">
        <v>43</v>
      </c>
      <c r="V12" s="1" t="s">
        <v>30</v>
      </c>
      <c r="W12" s="1" t="s">
        <v>39</v>
      </c>
      <c r="X12" s="1" t="s">
        <v>30</v>
      </c>
      <c r="Y12" s="1" t="s">
        <v>39</v>
      </c>
      <c r="Z12" s="1" t="s">
        <v>44</v>
      </c>
    </row>
    <row r="13" spans="1:26" ht="15.75" x14ac:dyDescent="0.25">
      <c r="A13" s="1" t="s">
        <v>26</v>
      </c>
      <c r="B13" s="1" t="s">
        <v>27</v>
      </c>
      <c r="C13" s="1" t="s">
        <v>62</v>
      </c>
      <c r="D13" s="1" t="s">
        <v>77</v>
      </c>
      <c r="E13" s="1" t="s">
        <v>30</v>
      </c>
      <c r="F13" s="1" t="s">
        <v>78</v>
      </c>
      <c r="G13" s="1" t="s">
        <v>32</v>
      </c>
      <c r="H13" s="1" t="s">
        <v>58</v>
      </c>
      <c r="I13" s="1" t="s">
        <v>50</v>
      </c>
      <c r="J13" s="1">
        <v>36.29</v>
      </c>
      <c r="K13" s="1" t="s">
        <v>73</v>
      </c>
      <c r="L13" s="1" t="s">
        <v>36</v>
      </c>
      <c r="M13" s="1">
        <v>1.45</v>
      </c>
      <c r="N13" s="1" t="s">
        <v>74</v>
      </c>
      <c r="O13" s="1" t="s">
        <v>38</v>
      </c>
      <c r="P13" s="1" t="s">
        <v>39</v>
      </c>
      <c r="Q13" s="1" t="s">
        <v>75</v>
      </c>
      <c r="R13" s="1" t="s">
        <v>79</v>
      </c>
      <c r="S13" s="1" t="s">
        <v>42</v>
      </c>
      <c r="T13" s="1">
        <v>1522.51</v>
      </c>
      <c r="U13" s="1" t="s">
        <v>43</v>
      </c>
      <c r="V13" s="1" t="s">
        <v>30</v>
      </c>
      <c r="W13" s="1" t="s">
        <v>39</v>
      </c>
      <c r="X13" s="1" t="s">
        <v>30</v>
      </c>
      <c r="Y13" s="1" t="s">
        <v>39</v>
      </c>
      <c r="Z13" s="1" t="s">
        <v>44</v>
      </c>
    </row>
    <row r="14" spans="1:26" ht="15.75" x14ac:dyDescent="0.25">
      <c r="A14" s="1" t="s">
        <v>26</v>
      </c>
      <c r="B14" s="1" t="s">
        <v>27</v>
      </c>
      <c r="C14" s="1" t="s">
        <v>62</v>
      </c>
      <c r="D14" s="1" t="s">
        <v>77</v>
      </c>
      <c r="E14" s="1" t="s">
        <v>30</v>
      </c>
      <c r="F14" s="1" t="s">
        <v>78</v>
      </c>
      <c r="G14" s="1" t="s">
        <v>45</v>
      </c>
      <c r="H14" s="1" t="s">
        <v>58</v>
      </c>
      <c r="I14" s="1" t="s">
        <v>50</v>
      </c>
      <c r="J14" s="1">
        <v>1.5</v>
      </c>
      <c r="K14" s="1" t="s">
        <v>73</v>
      </c>
      <c r="L14" s="1" t="s">
        <v>36</v>
      </c>
      <c r="M14" s="1">
        <v>0.06</v>
      </c>
      <c r="N14" s="1" t="s">
        <v>74</v>
      </c>
      <c r="O14" s="1" t="s">
        <v>38</v>
      </c>
      <c r="P14" s="1" t="s">
        <v>39</v>
      </c>
      <c r="Q14" s="1" t="s">
        <v>75</v>
      </c>
      <c r="R14" s="1" t="s">
        <v>79</v>
      </c>
      <c r="S14" s="1" t="s">
        <v>42</v>
      </c>
      <c r="T14" s="1">
        <v>1522.51</v>
      </c>
      <c r="U14" s="1" t="s">
        <v>43</v>
      </c>
      <c r="V14" s="1" t="s">
        <v>30</v>
      </c>
      <c r="W14" s="1" t="s">
        <v>39</v>
      </c>
      <c r="X14" s="1" t="s">
        <v>30</v>
      </c>
      <c r="Y14" s="1" t="s">
        <v>39</v>
      </c>
      <c r="Z14" s="1" t="s">
        <v>44</v>
      </c>
    </row>
    <row r="15" spans="1:26" ht="15.75" x14ac:dyDescent="0.25">
      <c r="A15" s="1" t="s">
        <v>26</v>
      </c>
      <c r="B15" s="1" t="s">
        <v>27</v>
      </c>
      <c r="C15" s="1" t="s">
        <v>62</v>
      </c>
      <c r="D15" s="1" t="s">
        <v>80</v>
      </c>
      <c r="E15" s="1" t="s">
        <v>30</v>
      </c>
      <c r="F15" s="1" t="s">
        <v>81</v>
      </c>
      <c r="G15" s="1" t="s">
        <v>54</v>
      </c>
      <c r="H15" s="1" t="s">
        <v>34</v>
      </c>
      <c r="I15" s="1" t="s">
        <v>82</v>
      </c>
      <c r="J15" s="1">
        <v>16.34</v>
      </c>
      <c r="K15" s="1" t="s">
        <v>83</v>
      </c>
      <c r="L15" s="1" t="s">
        <v>36</v>
      </c>
      <c r="M15" s="1">
        <v>0.65</v>
      </c>
      <c r="N15" s="1" t="s">
        <v>84</v>
      </c>
      <c r="O15" s="1" t="s">
        <v>38</v>
      </c>
      <c r="P15" s="1" t="s">
        <v>39</v>
      </c>
      <c r="Q15" s="1" t="s">
        <v>85</v>
      </c>
      <c r="R15" s="1" t="s">
        <v>86</v>
      </c>
      <c r="S15" s="1" t="s">
        <v>42</v>
      </c>
      <c r="T15" s="1">
        <v>1522.51</v>
      </c>
      <c r="U15" s="1" t="s">
        <v>43</v>
      </c>
      <c r="V15" s="1" t="s">
        <v>30</v>
      </c>
      <c r="W15" s="1" t="s">
        <v>39</v>
      </c>
      <c r="X15" s="1" t="s">
        <v>30</v>
      </c>
      <c r="Y15" s="1" t="s">
        <v>39</v>
      </c>
      <c r="Z15" s="1" t="s">
        <v>44</v>
      </c>
    </row>
    <row r="16" spans="1:26" ht="15.75" x14ac:dyDescent="0.25">
      <c r="A16" s="1" t="s">
        <v>26</v>
      </c>
      <c r="B16" s="1" t="s">
        <v>27</v>
      </c>
      <c r="C16" s="1" t="s">
        <v>87</v>
      </c>
      <c r="D16" s="1" t="s">
        <v>88</v>
      </c>
      <c r="E16" s="1" t="s">
        <v>30</v>
      </c>
      <c r="F16" s="1" t="s">
        <v>89</v>
      </c>
      <c r="G16" s="1" t="s">
        <v>32</v>
      </c>
      <c r="H16" s="1" t="s">
        <v>90</v>
      </c>
      <c r="I16" s="1" t="s">
        <v>50</v>
      </c>
      <c r="J16" s="1">
        <v>78.97</v>
      </c>
      <c r="K16" s="1" t="s">
        <v>91</v>
      </c>
      <c r="L16" s="1" t="s">
        <v>36</v>
      </c>
      <c r="M16" s="1">
        <v>3.16</v>
      </c>
      <c r="N16" s="1" t="s">
        <v>37</v>
      </c>
      <c r="O16" s="1" t="s">
        <v>38</v>
      </c>
      <c r="P16" s="1" t="s">
        <v>39</v>
      </c>
      <c r="Q16" s="1" t="s">
        <v>40</v>
      </c>
      <c r="R16" s="1" t="s">
        <v>92</v>
      </c>
      <c r="S16" s="1" t="s">
        <v>42</v>
      </c>
      <c r="T16" s="1">
        <v>1522.51</v>
      </c>
      <c r="U16" s="1" t="s">
        <v>43</v>
      </c>
      <c r="V16" s="1" t="s">
        <v>30</v>
      </c>
      <c r="W16" s="1" t="s">
        <v>39</v>
      </c>
      <c r="X16" s="1" t="s">
        <v>30</v>
      </c>
      <c r="Y16" s="1" t="s">
        <v>39</v>
      </c>
      <c r="Z16" s="1" t="s">
        <v>44</v>
      </c>
    </row>
    <row r="17" spans="1:26" ht="15.75" x14ac:dyDescent="0.25">
      <c r="A17" s="1" t="s">
        <v>26</v>
      </c>
      <c r="B17" s="1" t="s">
        <v>27</v>
      </c>
      <c r="C17" s="1" t="s">
        <v>87</v>
      </c>
      <c r="D17" s="1" t="s">
        <v>93</v>
      </c>
      <c r="E17" s="1" t="s">
        <v>30</v>
      </c>
      <c r="F17" s="1" t="s">
        <v>94</v>
      </c>
      <c r="G17" s="1" t="s">
        <v>54</v>
      </c>
      <c r="H17" s="1" t="s">
        <v>90</v>
      </c>
      <c r="I17" s="1" t="s">
        <v>50</v>
      </c>
      <c r="J17" s="1">
        <v>16.34</v>
      </c>
      <c r="K17" s="1" t="s">
        <v>91</v>
      </c>
      <c r="L17" s="1" t="s">
        <v>36</v>
      </c>
      <c r="M17" s="1">
        <v>0</v>
      </c>
      <c r="N17" s="1" t="s">
        <v>66</v>
      </c>
      <c r="O17" s="1" t="s">
        <v>38</v>
      </c>
      <c r="P17" s="1" t="s">
        <v>95</v>
      </c>
      <c r="Q17" s="1" t="s">
        <v>68</v>
      </c>
      <c r="R17" s="1" t="s">
        <v>96</v>
      </c>
      <c r="S17" s="1" t="s">
        <v>42</v>
      </c>
      <c r="T17" s="1">
        <v>1522.51</v>
      </c>
      <c r="U17" s="1" t="s">
        <v>43</v>
      </c>
      <c r="V17" s="1" t="s">
        <v>30</v>
      </c>
      <c r="W17" s="1" t="s">
        <v>39</v>
      </c>
      <c r="X17" s="1" t="s">
        <v>30</v>
      </c>
      <c r="Y17" s="1" t="s">
        <v>39</v>
      </c>
      <c r="Z17" s="1" t="s">
        <v>44</v>
      </c>
    </row>
    <row r="18" spans="1:26" ht="15.75" x14ac:dyDescent="0.25">
      <c r="A18" s="1" t="s">
        <v>26</v>
      </c>
      <c r="B18" s="1" t="s">
        <v>27</v>
      </c>
      <c r="C18" s="1" t="s">
        <v>87</v>
      </c>
      <c r="D18" s="1" t="s">
        <v>97</v>
      </c>
      <c r="E18" s="1" t="s">
        <v>30</v>
      </c>
      <c r="F18" s="1" t="s">
        <v>98</v>
      </c>
      <c r="G18" s="1" t="s">
        <v>32</v>
      </c>
      <c r="H18" s="1" t="s">
        <v>49</v>
      </c>
      <c r="I18" s="1" t="s">
        <v>50</v>
      </c>
      <c r="J18" s="1">
        <v>33.700000000000003</v>
      </c>
      <c r="K18" s="1" t="s">
        <v>99</v>
      </c>
      <c r="L18" s="1" t="s">
        <v>36</v>
      </c>
      <c r="M18" s="1">
        <v>1.35</v>
      </c>
      <c r="N18" s="1" t="s">
        <v>100</v>
      </c>
      <c r="O18" s="1" t="s">
        <v>38</v>
      </c>
      <c r="P18" s="1" t="s">
        <v>39</v>
      </c>
      <c r="Q18" s="1" t="s">
        <v>101</v>
      </c>
      <c r="R18" s="1" t="s">
        <v>102</v>
      </c>
      <c r="S18" s="1" t="s">
        <v>42</v>
      </c>
      <c r="T18" s="1">
        <v>1522.51</v>
      </c>
      <c r="U18" s="1" t="s">
        <v>43</v>
      </c>
      <c r="V18" s="1" t="s">
        <v>30</v>
      </c>
      <c r="W18" s="1" t="s">
        <v>39</v>
      </c>
      <c r="X18" s="1" t="s">
        <v>30</v>
      </c>
      <c r="Y18" s="1" t="s">
        <v>39</v>
      </c>
      <c r="Z18" s="1" t="s">
        <v>44</v>
      </c>
    </row>
    <row r="19" spans="1:26" ht="15.75" x14ac:dyDescent="0.25">
      <c r="A19" s="1" t="s">
        <v>26</v>
      </c>
      <c r="B19" s="1" t="s">
        <v>27</v>
      </c>
      <c r="C19" s="1" t="s">
        <v>87</v>
      </c>
      <c r="D19" s="1" t="s">
        <v>103</v>
      </c>
      <c r="E19" s="1" t="s">
        <v>30</v>
      </c>
      <c r="F19" s="1" t="s">
        <v>104</v>
      </c>
      <c r="G19" s="1" t="s">
        <v>32</v>
      </c>
      <c r="H19" s="1" t="s">
        <v>34</v>
      </c>
      <c r="I19" s="1" t="s">
        <v>82</v>
      </c>
      <c r="J19" s="1">
        <v>116.14</v>
      </c>
      <c r="K19" s="1" t="s">
        <v>105</v>
      </c>
      <c r="L19" s="1" t="s">
        <v>36</v>
      </c>
      <c r="M19" s="1">
        <v>0</v>
      </c>
      <c r="N19" s="1" t="s">
        <v>66</v>
      </c>
      <c r="O19" s="1" t="s">
        <v>38</v>
      </c>
      <c r="P19" s="1" t="s">
        <v>106</v>
      </c>
      <c r="Q19" s="1" t="s">
        <v>68</v>
      </c>
      <c r="R19" s="1" t="s">
        <v>107</v>
      </c>
      <c r="S19" s="1" t="s">
        <v>42</v>
      </c>
      <c r="T19" s="1">
        <v>1522.51</v>
      </c>
      <c r="U19" s="1" t="s">
        <v>43</v>
      </c>
      <c r="V19" s="1" t="s">
        <v>30</v>
      </c>
      <c r="W19" s="1" t="s">
        <v>39</v>
      </c>
      <c r="X19" s="1" t="s">
        <v>30</v>
      </c>
      <c r="Y19" s="1" t="s">
        <v>39</v>
      </c>
      <c r="Z19" s="1" t="s">
        <v>44</v>
      </c>
    </row>
    <row r="20" spans="1:26" ht="15.75" x14ac:dyDescent="0.25">
      <c r="A20" s="1" t="s">
        <v>26</v>
      </c>
      <c r="B20" s="1" t="s">
        <v>27</v>
      </c>
      <c r="C20" s="1" t="s">
        <v>87</v>
      </c>
      <c r="D20" s="1" t="s">
        <v>103</v>
      </c>
      <c r="E20" s="1" t="s">
        <v>30</v>
      </c>
      <c r="F20" s="1" t="s">
        <v>104</v>
      </c>
      <c r="G20" s="1" t="s">
        <v>45</v>
      </c>
      <c r="H20" s="1" t="s">
        <v>34</v>
      </c>
      <c r="I20" s="1" t="s">
        <v>82</v>
      </c>
      <c r="J20" s="1">
        <v>3.44</v>
      </c>
      <c r="K20" s="1" t="s">
        <v>105</v>
      </c>
      <c r="L20" s="1" t="s">
        <v>36</v>
      </c>
      <c r="M20" s="1">
        <v>0</v>
      </c>
      <c r="N20" s="1" t="s">
        <v>66</v>
      </c>
      <c r="O20" s="1" t="s">
        <v>38</v>
      </c>
      <c r="P20" s="1" t="s">
        <v>108</v>
      </c>
      <c r="Q20" s="1" t="s">
        <v>68</v>
      </c>
      <c r="R20" s="1" t="s">
        <v>107</v>
      </c>
      <c r="S20" s="1" t="s">
        <v>42</v>
      </c>
      <c r="T20" s="1">
        <v>1522.51</v>
      </c>
      <c r="U20" s="1" t="s">
        <v>43</v>
      </c>
      <c r="V20" s="1" t="s">
        <v>30</v>
      </c>
      <c r="W20" s="1" t="s">
        <v>39</v>
      </c>
      <c r="X20" s="1" t="s">
        <v>30</v>
      </c>
      <c r="Y20" s="1" t="s">
        <v>39</v>
      </c>
      <c r="Z20" s="1" t="s">
        <v>44</v>
      </c>
    </row>
    <row r="21" spans="1:26" ht="15.75" x14ac:dyDescent="0.25">
      <c r="A21" s="1" t="s">
        <v>26</v>
      </c>
      <c r="B21" s="1" t="s">
        <v>27</v>
      </c>
      <c r="C21" s="1" t="s">
        <v>87</v>
      </c>
      <c r="D21" s="1" t="s">
        <v>109</v>
      </c>
      <c r="E21" s="1" t="s">
        <v>30</v>
      </c>
      <c r="F21" s="1" t="s">
        <v>110</v>
      </c>
      <c r="G21" s="1" t="s">
        <v>32</v>
      </c>
      <c r="H21" s="1" t="s">
        <v>90</v>
      </c>
      <c r="I21" s="1" t="s">
        <v>50</v>
      </c>
      <c r="J21" s="1">
        <v>36.29</v>
      </c>
      <c r="K21" s="1" t="s">
        <v>111</v>
      </c>
      <c r="L21" s="1" t="s">
        <v>36</v>
      </c>
      <c r="M21" s="1">
        <v>1.45</v>
      </c>
      <c r="N21" s="1" t="s">
        <v>74</v>
      </c>
      <c r="O21" s="1" t="s">
        <v>38</v>
      </c>
      <c r="P21" s="1" t="s">
        <v>39</v>
      </c>
      <c r="Q21" s="1" t="s">
        <v>75</v>
      </c>
      <c r="R21" s="1" t="s">
        <v>112</v>
      </c>
      <c r="S21" s="1" t="s">
        <v>42</v>
      </c>
      <c r="T21" s="1">
        <v>1522.51</v>
      </c>
      <c r="U21" s="1" t="s">
        <v>43</v>
      </c>
      <c r="V21" s="1" t="s">
        <v>30</v>
      </c>
      <c r="W21" s="1" t="s">
        <v>39</v>
      </c>
      <c r="X21" s="1" t="s">
        <v>30</v>
      </c>
      <c r="Y21" s="1" t="s">
        <v>39</v>
      </c>
      <c r="Z21" s="1" t="s">
        <v>44</v>
      </c>
    </row>
    <row r="22" spans="1:26" ht="15.75" x14ac:dyDescent="0.25">
      <c r="A22" s="1" t="s">
        <v>26</v>
      </c>
      <c r="B22" s="1" t="s">
        <v>27</v>
      </c>
      <c r="C22" s="1" t="s">
        <v>87</v>
      </c>
      <c r="D22" s="1" t="s">
        <v>109</v>
      </c>
      <c r="E22" s="1" t="s">
        <v>30</v>
      </c>
      <c r="F22" s="1" t="s">
        <v>110</v>
      </c>
      <c r="G22" s="1" t="s">
        <v>45</v>
      </c>
      <c r="H22" s="1" t="s">
        <v>90</v>
      </c>
      <c r="I22" s="1" t="s">
        <v>50</v>
      </c>
      <c r="J22" s="1">
        <v>1.5</v>
      </c>
      <c r="K22" s="1" t="s">
        <v>111</v>
      </c>
      <c r="L22" s="1" t="s">
        <v>36</v>
      </c>
      <c r="M22" s="1">
        <v>0.06</v>
      </c>
      <c r="N22" s="1" t="s">
        <v>74</v>
      </c>
      <c r="O22" s="1" t="s">
        <v>38</v>
      </c>
      <c r="P22" s="1" t="s">
        <v>39</v>
      </c>
      <c r="Q22" s="1" t="s">
        <v>75</v>
      </c>
      <c r="R22" s="1" t="s">
        <v>112</v>
      </c>
      <c r="S22" s="1" t="s">
        <v>42</v>
      </c>
      <c r="T22" s="1">
        <v>1522.51</v>
      </c>
      <c r="U22" s="1" t="s">
        <v>43</v>
      </c>
      <c r="V22" s="1" t="s">
        <v>30</v>
      </c>
      <c r="W22" s="1" t="s">
        <v>39</v>
      </c>
      <c r="X22" s="1" t="s">
        <v>30</v>
      </c>
      <c r="Y22" s="1" t="s">
        <v>39</v>
      </c>
      <c r="Z22" s="1" t="s">
        <v>44</v>
      </c>
    </row>
    <row r="23" spans="1:26" ht="15.75" x14ac:dyDescent="0.25">
      <c r="A23" s="1" t="s">
        <v>26</v>
      </c>
      <c r="B23" s="1" t="s">
        <v>27</v>
      </c>
      <c r="C23" s="1" t="s">
        <v>87</v>
      </c>
      <c r="D23" s="1" t="s">
        <v>113</v>
      </c>
      <c r="E23" s="1" t="s">
        <v>30</v>
      </c>
      <c r="F23" s="1" t="s">
        <v>110</v>
      </c>
      <c r="G23" s="1" t="s">
        <v>54</v>
      </c>
      <c r="H23" s="1" t="s">
        <v>90</v>
      </c>
      <c r="I23" s="1" t="s">
        <v>50</v>
      </c>
      <c r="J23" s="1">
        <v>10.67</v>
      </c>
      <c r="K23" s="1" t="s">
        <v>111</v>
      </c>
      <c r="L23" s="1" t="s">
        <v>36</v>
      </c>
      <c r="M23" s="1">
        <v>0.43</v>
      </c>
      <c r="N23" s="1" t="s">
        <v>74</v>
      </c>
      <c r="O23" s="1" t="s">
        <v>38</v>
      </c>
      <c r="P23" s="1" t="s">
        <v>39</v>
      </c>
      <c r="Q23" s="1" t="s">
        <v>75</v>
      </c>
      <c r="R23" s="1" t="s">
        <v>112</v>
      </c>
      <c r="S23" s="1" t="s">
        <v>42</v>
      </c>
      <c r="T23" s="1">
        <v>1522.51</v>
      </c>
      <c r="U23" s="1" t="s">
        <v>43</v>
      </c>
      <c r="V23" s="1" t="s">
        <v>30</v>
      </c>
      <c r="W23" s="1" t="s">
        <v>39</v>
      </c>
      <c r="X23" s="1" t="s">
        <v>30</v>
      </c>
      <c r="Y23" s="1" t="s">
        <v>39</v>
      </c>
      <c r="Z23" s="1" t="s">
        <v>44</v>
      </c>
    </row>
    <row r="24" spans="1:26" ht="15.75" x14ac:dyDescent="0.25">
      <c r="A24" s="1" t="s">
        <v>26</v>
      </c>
      <c r="B24" s="1" t="s">
        <v>27</v>
      </c>
      <c r="C24" s="1" t="s">
        <v>87</v>
      </c>
      <c r="D24" s="1" t="s">
        <v>114</v>
      </c>
      <c r="E24" s="1" t="s">
        <v>30</v>
      </c>
      <c r="F24" s="1" t="s">
        <v>115</v>
      </c>
      <c r="G24" s="1" t="s">
        <v>32</v>
      </c>
      <c r="H24" s="1" t="s">
        <v>90</v>
      </c>
      <c r="I24" s="1" t="s">
        <v>50</v>
      </c>
      <c r="J24" s="1">
        <v>42.35</v>
      </c>
      <c r="K24" s="1" t="s">
        <v>111</v>
      </c>
      <c r="L24" s="1" t="s">
        <v>36</v>
      </c>
      <c r="M24" s="1">
        <v>1.69</v>
      </c>
      <c r="N24" s="1" t="s">
        <v>116</v>
      </c>
      <c r="O24" s="1" t="s">
        <v>38</v>
      </c>
      <c r="P24" s="1" t="s">
        <v>39</v>
      </c>
      <c r="Q24" s="1" t="s">
        <v>117</v>
      </c>
      <c r="R24" s="1" t="s">
        <v>118</v>
      </c>
      <c r="S24" s="1" t="s">
        <v>42</v>
      </c>
      <c r="T24" s="1">
        <v>1522.51</v>
      </c>
      <c r="U24" s="1" t="s">
        <v>43</v>
      </c>
      <c r="V24" s="1" t="s">
        <v>30</v>
      </c>
      <c r="W24" s="1" t="s">
        <v>39</v>
      </c>
      <c r="X24" s="1" t="s">
        <v>30</v>
      </c>
      <c r="Y24" s="1" t="s">
        <v>39</v>
      </c>
      <c r="Z24" s="1" t="s">
        <v>44</v>
      </c>
    </row>
    <row r="25" spans="1:26" ht="15.75" x14ac:dyDescent="0.25">
      <c r="A25" s="1" t="s">
        <v>26</v>
      </c>
      <c r="B25" s="1" t="s">
        <v>27</v>
      </c>
      <c r="C25" s="1" t="s">
        <v>87</v>
      </c>
      <c r="D25" s="1" t="s">
        <v>114</v>
      </c>
      <c r="E25" s="1" t="s">
        <v>30</v>
      </c>
      <c r="F25" s="1" t="s">
        <v>115</v>
      </c>
      <c r="G25" s="1" t="s">
        <v>45</v>
      </c>
      <c r="H25" s="1" t="s">
        <v>90</v>
      </c>
      <c r="I25" s="1" t="s">
        <v>50</v>
      </c>
      <c r="J25" s="1">
        <v>1.5</v>
      </c>
      <c r="K25" s="1" t="s">
        <v>111</v>
      </c>
      <c r="L25" s="1" t="s">
        <v>36</v>
      </c>
      <c r="M25" s="1">
        <v>0.06</v>
      </c>
      <c r="N25" s="1" t="s">
        <v>116</v>
      </c>
      <c r="O25" s="1" t="s">
        <v>38</v>
      </c>
      <c r="P25" s="1" t="s">
        <v>39</v>
      </c>
      <c r="Q25" s="1" t="s">
        <v>117</v>
      </c>
      <c r="R25" s="1" t="s">
        <v>118</v>
      </c>
      <c r="S25" s="1" t="s">
        <v>42</v>
      </c>
      <c r="T25" s="1">
        <v>1522.51</v>
      </c>
      <c r="U25" s="1" t="s">
        <v>43</v>
      </c>
      <c r="V25" s="1" t="s">
        <v>30</v>
      </c>
      <c r="W25" s="1" t="s">
        <v>39</v>
      </c>
      <c r="X25" s="1" t="s">
        <v>30</v>
      </c>
      <c r="Y25" s="1" t="s">
        <v>39</v>
      </c>
      <c r="Z25" s="1" t="s">
        <v>44</v>
      </c>
    </row>
    <row r="26" spans="1:26" ht="15.75" x14ac:dyDescent="0.25">
      <c r="A26" s="1" t="s">
        <v>26</v>
      </c>
      <c r="B26" s="1" t="s">
        <v>27</v>
      </c>
      <c r="C26" s="1" t="s">
        <v>87</v>
      </c>
      <c r="D26" s="1" t="s">
        <v>119</v>
      </c>
      <c r="E26" s="1" t="s">
        <v>30</v>
      </c>
      <c r="F26" s="1" t="s">
        <v>120</v>
      </c>
      <c r="G26" s="1" t="s">
        <v>32</v>
      </c>
      <c r="H26" s="1" t="s">
        <v>58</v>
      </c>
      <c r="I26" s="1" t="s">
        <v>50</v>
      </c>
      <c r="J26" s="1">
        <v>31.82</v>
      </c>
      <c r="K26" s="1" t="s">
        <v>121</v>
      </c>
      <c r="L26" s="1" t="s">
        <v>36</v>
      </c>
      <c r="M26" s="1">
        <v>1.27</v>
      </c>
      <c r="N26" s="1" t="s">
        <v>122</v>
      </c>
      <c r="O26" s="1" t="s">
        <v>38</v>
      </c>
      <c r="P26" s="1" t="s">
        <v>39</v>
      </c>
      <c r="Q26" s="1" t="s">
        <v>123</v>
      </c>
      <c r="R26" s="1" t="s">
        <v>124</v>
      </c>
      <c r="S26" s="1" t="s">
        <v>42</v>
      </c>
      <c r="T26" s="1">
        <v>1522.51</v>
      </c>
      <c r="U26" s="1" t="s">
        <v>43</v>
      </c>
      <c r="V26" s="1" t="s">
        <v>30</v>
      </c>
      <c r="W26" s="1" t="s">
        <v>39</v>
      </c>
      <c r="X26" s="1" t="s">
        <v>30</v>
      </c>
      <c r="Y26" s="1" t="s">
        <v>39</v>
      </c>
      <c r="Z26" s="1" t="s">
        <v>44</v>
      </c>
    </row>
    <row r="27" spans="1:26" ht="15.75" x14ac:dyDescent="0.25">
      <c r="A27" s="1" t="s">
        <v>26</v>
      </c>
      <c r="B27" s="1" t="s">
        <v>27</v>
      </c>
      <c r="C27" s="1" t="s">
        <v>87</v>
      </c>
      <c r="D27" s="1" t="s">
        <v>125</v>
      </c>
      <c r="E27" s="1" t="s">
        <v>30</v>
      </c>
      <c r="F27" s="1" t="s">
        <v>120</v>
      </c>
      <c r="G27" s="1" t="s">
        <v>54</v>
      </c>
      <c r="H27" s="1" t="s">
        <v>58</v>
      </c>
      <c r="I27" s="1" t="s">
        <v>50</v>
      </c>
      <c r="J27" s="1">
        <v>16.34</v>
      </c>
      <c r="K27" s="1" t="s">
        <v>121</v>
      </c>
      <c r="L27" s="1" t="s">
        <v>36</v>
      </c>
      <c r="M27" s="1">
        <v>0.65</v>
      </c>
      <c r="N27" s="1" t="s">
        <v>122</v>
      </c>
      <c r="O27" s="1" t="s">
        <v>38</v>
      </c>
      <c r="P27" s="1" t="s">
        <v>39</v>
      </c>
      <c r="Q27" s="1" t="s">
        <v>123</v>
      </c>
      <c r="R27" s="1" t="s">
        <v>124</v>
      </c>
      <c r="S27" s="1" t="s">
        <v>42</v>
      </c>
      <c r="T27" s="1">
        <v>1522.51</v>
      </c>
      <c r="U27" s="1" t="s">
        <v>43</v>
      </c>
      <c r="V27" s="1" t="s">
        <v>30</v>
      </c>
      <c r="W27" s="1" t="s">
        <v>39</v>
      </c>
      <c r="X27" s="1" t="s">
        <v>30</v>
      </c>
      <c r="Y27" s="1" t="s">
        <v>39</v>
      </c>
      <c r="Z27" s="1" t="s">
        <v>44</v>
      </c>
    </row>
    <row r="28" spans="1:26" ht="15.75" x14ac:dyDescent="0.25">
      <c r="A28" s="1" t="s">
        <v>26</v>
      </c>
      <c r="B28" s="1" t="s">
        <v>27</v>
      </c>
      <c r="C28" s="1" t="s">
        <v>87</v>
      </c>
      <c r="D28" s="1" t="s">
        <v>126</v>
      </c>
      <c r="E28" s="1" t="s">
        <v>30</v>
      </c>
      <c r="F28" s="1" t="s">
        <v>127</v>
      </c>
      <c r="G28" s="1" t="s">
        <v>32</v>
      </c>
      <c r="H28" s="1" t="s">
        <v>58</v>
      </c>
      <c r="I28" s="1" t="s">
        <v>50</v>
      </c>
      <c r="J28" s="1">
        <v>36.29</v>
      </c>
      <c r="K28" s="1" t="s">
        <v>121</v>
      </c>
      <c r="L28" s="1" t="s">
        <v>36</v>
      </c>
      <c r="M28" s="1">
        <v>1.45</v>
      </c>
      <c r="N28" s="1" t="s">
        <v>84</v>
      </c>
      <c r="O28" s="1" t="s">
        <v>38</v>
      </c>
      <c r="P28" s="1" t="s">
        <v>39</v>
      </c>
      <c r="Q28" s="1" t="s">
        <v>85</v>
      </c>
      <c r="R28" s="1" t="s">
        <v>128</v>
      </c>
      <c r="S28" s="1" t="s">
        <v>42</v>
      </c>
      <c r="T28" s="1">
        <v>1522.51</v>
      </c>
      <c r="U28" s="1" t="s">
        <v>43</v>
      </c>
      <c r="V28" s="1" t="s">
        <v>30</v>
      </c>
      <c r="W28" s="1" t="s">
        <v>39</v>
      </c>
      <c r="X28" s="1" t="s">
        <v>30</v>
      </c>
      <c r="Y28" s="1" t="s">
        <v>39</v>
      </c>
      <c r="Z28" s="1" t="s">
        <v>44</v>
      </c>
    </row>
    <row r="29" spans="1:26" ht="15.75" x14ac:dyDescent="0.25">
      <c r="A29" s="1" t="s">
        <v>26</v>
      </c>
      <c r="B29" s="1" t="s">
        <v>27</v>
      </c>
      <c r="C29" s="1" t="s">
        <v>87</v>
      </c>
      <c r="D29" s="1" t="s">
        <v>126</v>
      </c>
      <c r="E29" s="1" t="s">
        <v>30</v>
      </c>
      <c r="F29" s="1" t="s">
        <v>127</v>
      </c>
      <c r="G29" s="1" t="s">
        <v>45</v>
      </c>
      <c r="H29" s="1" t="s">
        <v>58</v>
      </c>
      <c r="I29" s="1" t="s">
        <v>50</v>
      </c>
      <c r="J29" s="1">
        <v>1.5</v>
      </c>
      <c r="K29" s="1" t="s">
        <v>121</v>
      </c>
      <c r="L29" s="1" t="s">
        <v>36</v>
      </c>
      <c r="M29" s="1">
        <v>0.06</v>
      </c>
      <c r="N29" s="1" t="s">
        <v>84</v>
      </c>
      <c r="O29" s="1" t="s">
        <v>38</v>
      </c>
      <c r="P29" s="1" t="s">
        <v>39</v>
      </c>
      <c r="Q29" s="1" t="s">
        <v>85</v>
      </c>
      <c r="R29" s="1" t="s">
        <v>128</v>
      </c>
      <c r="S29" s="1" t="s">
        <v>42</v>
      </c>
      <c r="T29" s="1">
        <v>1522.51</v>
      </c>
      <c r="U29" s="1" t="s">
        <v>43</v>
      </c>
      <c r="V29" s="1" t="s">
        <v>30</v>
      </c>
      <c r="W29" s="1" t="s">
        <v>39</v>
      </c>
      <c r="X29" s="1" t="s">
        <v>30</v>
      </c>
      <c r="Y29" s="1" t="s">
        <v>39</v>
      </c>
      <c r="Z29" s="1" t="s">
        <v>44</v>
      </c>
    </row>
    <row r="30" spans="1:26" ht="15.75" x14ac:dyDescent="0.25">
      <c r="A30" s="1" t="s">
        <v>26</v>
      </c>
      <c r="B30" s="1" t="s">
        <v>27</v>
      </c>
      <c r="C30" s="1" t="s">
        <v>87</v>
      </c>
      <c r="D30" s="1" t="s">
        <v>129</v>
      </c>
      <c r="E30" s="1" t="s">
        <v>30</v>
      </c>
      <c r="F30" s="1" t="s">
        <v>127</v>
      </c>
      <c r="G30" s="1" t="s">
        <v>54</v>
      </c>
      <c r="H30" s="1" t="s">
        <v>58</v>
      </c>
      <c r="I30" s="1" t="s">
        <v>50</v>
      </c>
      <c r="J30" s="1">
        <v>16.34</v>
      </c>
      <c r="K30" s="1" t="s">
        <v>121</v>
      </c>
      <c r="L30" s="1" t="s">
        <v>36</v>
      </c>
      <c r="M30" s="1">
        <v>0.65</v>
      </c>
      <c r="N30" s="1" t="s">
        <v>84</v>
      </c>
      <c r="O30" s="1" t="s">
        <v>38</v>
      </c>
      <c r="P30" s="1" t="s">
        <v>39</v>
      </c>
      <c r="Q30" s="1" t="s">
        <v>85</v>
      </c>
      <c r="R30" s="1" t="s">
        <v>128</v>
      </c>
      <c r="S30" s="1" t="s">
        <v>42</v>
      </c>
      <c r="T30" s="1">
        <v>1522.51</v>
      </c>
      <c r="U30" s="1" t="s">
        <v>43</v>
      </c>
      <c r="V30" s="1" t="s">
        <v>30</v>
      </c>
      <c r="W30" s="1" t="s">
        <v>39</v>
      </c>
      <c r="X30" s="1" t="s">
        <v>30</v>
      </c>
      <c r="Y30" s="1" t="s">
        <v>39</v>
      </c>
      <c r="Z30" s="1" t="s">
        <v>44</v>
      </c>
    </row>
    <row r="31" spans="1:26" ht="15.75" x14ac:dyDescent="0.25">
      <c r="A31" s="1" t="s">
        <v>26</v>
      </c>
      <c r="B31" s="1" t="s">
        <v>27</v>
      </c>
      <c r="C31" s="1" t="s">
        <v>87</v>
      </c>
      <c r="D31" s="1" t="s">
        <v>130</v>
      </c>
      <c r="E31" s="1" t="s">
        <v>30</v>
      </c>
      <c r="F31" s="1" t="s">
        <v>131</v>
      </c>
      <c r="G31" s="1" t="s">
        <v>32</v>
      </c>
      <c r="H31" s="1" t="s">
        <v>58</v>
      </c>
      <c r="I31" s="1" t="s">
        <v>50</v>
      </c>
      <c r="J31" s="1">
        <v>46.59</v>
      </c>
      <c r="K31" s="1" t="s">
        <v>121</v>
      </c>
      <c r="L31" s="1" t="s">
        <v>36</v>
      </c>
      <c r="M31" s="1">
        <v>1.86</v>
      </c>
      <c r="N31" s="1" t="s">
        <v>132</v>
      </c>
      <c r="O31" s="1" t="s">
        <v>38</v>
      </c>
      <c r="P31" s="1" t="s">
        <v>39</v>
      </c>
      <c r="Q31" s="1" t="s">
        <v>133</v>
      </c>
      <c r="R31" s="1" t="s">
        <v>134</v>
      </c>
      <c r="S31" s="1" t="s">
        <v>42</v>
      </c>
      <c r="T31" s="1">
        <v>1522.51</v>
      </c>
      <c r="U31" s="1" t="s">
        <v>43</v>
      </c>
      <c r="V31" s="1" t="s">
        <v>30</v>
      </c>
      <c r="W31" s="1" t="s">
        <v>39</v>
      </c>
      <c r="X31" s="1" t="s">
        <v>30</v>
      </c>
      <c r="Y31" s="1" t="s">
        <v>39</v>
      </c>
      <c r="Z31" s="1" t="s">
        <v>44</v>
      </c>
    </row>
    <row r="32" spans="1:26" ht="15.75" x14ac:dyDescent="0.25">
      <c r="A32" s="1" t="s">
        <v>26</v>
      </c>
      <c r="B32" s="1" t="s">
        <v>27</v>
      </c>
      <c r="C32" s="1" t="s">
        <v>87</v>
      </c>
      <c r="D32" s="1" t="s">
        <v>130</v>
      </c>
      <c r="E32" s="1" t="s">
        <v>30</v>
      </c>
      <c r="F32" s="1" t="s">
        <v>131</v>
      </c>
      <c r="G32" s="1" t="s">
        <v>45</v>
      </c>
      <c r="H32" s="1" t="s">
        <v>58</v>
      </c>
      <c r="I32" s="1" t="s">
        <v>50</v>
      </c>
      <c r="J32" s="1">
        <v>1.5</v>
      </c>
      <c r="K32" s="1" t="s">
        <v>121</v>
      </c>
      <c r="L32" s="1" t="s">
        <v>36</v>
      </c>
      <c r="M32" s="1">
        <v>0.06</v>
      </c>
      <c r="N32" s="1" t="s">
        <v>132</v>
      </c>
      <c r="O32" s="1" t="s">
        <v>38</v>
      </c>
      <c r="P32" s="1" t="s">
        <v>39</v>
      </c>
      <c r="Q32" s="1" t="s">
        <v>133</v>
      </c>
      <c r="R32" s="1" t="s">
        <v>134</v>
      </c>
      <c r="S32" s="1" t="s">
        <v>42</v>
      </c>
      <c r="T32" s="1">
        <v>1522.51</v>
      </c>
      <c r="U32" s="1" t="s">
        <v>43</v>
      </c>
      <c r="V32" s="1" t="s">
        <v>30</v>
      </c>
      <c r="W32" s="1" t="s">
        <v>39</v>
      </c>
      <c r="X32" s="1" t="s">
        <v>30</v>
      </c>
      <c r="Y32" s="1" t="s">
        <v>39</v>
      </c>
      <c r="Z32" s="1" t="s">
        <v>44</v>
      </c>
    </row>
    <row r="33" spans="1:26" ht="15.75" x14ac:dyDescent="0.25">
      <c r="A33" s="1" t="s">
        <v>26</v>
      </c>
      <c r="B33" s="1" t="s">
        <v>27</v>
      </c>
      <c r="C33" s="1" t="s">
        <v>87</v>
      </c>
      <c r="D33" s="1" t="s">
        <v>135</v>
      </c>
      <c r="E33" s="1" t="s">
        <v>30</v>
      </c>
      <c r="F33" s="1" t="s">
        <v>136</v>
      </c>
      <c r="G33" s="1" t="s">
        <v>32</v>
      </c>
      <c r="H33" s="1" t="s">
        <v>50</v>
      </c>
      <c r="I33" s="1" t="s">
        <v>137</v>
      </c>
      <c r="J33" s="1">
        <v>36.29</v>
      </c>
      <c r="K33" s="1" t="s">
        <v>138</v>
      </c>
      <c r="L33" s="1" t="s">
        <v>36</v>
      </c>
      <c r="M33" s="1">
        <v>1.45</v>
      </c>
      <c r="N33" s="1" t="s">
        <v>74</v>
      </c>
      <c r="O33" s="1" t="s">
        <v>38</v>
      </c>
      <c r="P33" s="1" t="s">
        <v>39</v>
      </c>
      <c r="Q33" s="1" t="s">
        <v>75</v>
      </c>
      <c r="R33" s="1" t="s">
        <v>139</v>
      </c>
      <c r="S33" s="1" t="s">
        <v>42</v>
      </c>
      <c r="T33" s="1">
        <v>1522.51</v>
      </c>
      <c r="U33" s="1" t="s">
        <v>43</v>
      </c>
      <c r="V33" s="1" t="s">
        <v>30</v>
      </c>
      <c r="W33" s="1" t="s">
        <v>39</v>
      </c>
      <c r="X33" s="1" t="s">
        <v>30</v>
      </c>
      <c r="Y33" s="1" t="s">
        <v>39</v>
      </c>
      <c r="Z33" s="1" t="s">
        <v>44</v>
      </c>
    </row>
    <row r="34" spans="1:26" ht="15.75" x14ac:dyDescent="0.25">
      <c r="A34" s="1" t="s">
        <v>26</v>
      </c>
      <c r="B34" s="1" t="s">
        <v>27</v>
      </c>
      <c r="C34" s="1" t="s">
        <v>87</v>
      </c>
      <c r="D34" s="1" t="s">
        <v>135</v>
      </c>
      <c r="E34" s="1" t="s">
        <v>30</v>
      </c>
      <c r="F34" s="1" t="s">
        <v>136</v>
      </c>
      <c r="G34" s="1" t="s">
        <v>45</v>
      </c>
      <c r="H34" s="1" t="s">
        <v>50</v>
      </c>
      <c r="I34" s="1" t="s">
        <v>137</v>
      </c>
      <c r="J34" s="1">
        <v>1.5</v>
      </c>
      <c r="K34" s="1" t="s">
        <v>138</v>
      </c>
      <c r="L34" s="1" t="s">
        <v>36</v>
      </c>
      <c r="M34" s="1">
        <v>0.06</v>
      </c>
      <c r="N34" s="1" t="s">
        <v>74</v>
      </c>
      <c r="O34" s="1" t="s">
        <v>38</v>
      </c>
      <c r="P34" s="1" t="s">
        <v>39</v>
      </c>
      <c r="Q34" s="1" t="s">
        <v>75</v>
      </c>
      <c r="R34" s="1" t="s">
        <v>139</v>
      </c>
      <c r="S34" s="1" t="s">
        <v>42</v>
      </c>
      <c r="T34" s="1">
        <v>1522.51</v>
      </c>
      <c r="U34" s="1" t="s">
        <v>43</v>
      </c>
      <c r="V34" s="1" t="s">
        <v>30</v>
      </c>
      <c r="W34" s="1" t="s">
        <v>39</v>
      </c>
      <c r="X34" s="1" t="s">
        <v>30</v>
      </c>
      <c r="Y34" s="1" t="s">
        <v>39</v>
      </c>
      <c r="Z34" s="1" t="s">
        <v>44</v>
      </c>
    </row>
    <row r="35" spans="1:26" ht="15.75" x14ac:dyDescent="0.25">
      <c r="A35" s="1" t="s">
        <v>26</v>
      </c>
      <c r="B35" s="1" t="s">
        <v>27</v>
      </c>
      <c r="C35" s="1" t="s">
        <v>87</v>
      </c>
      <c r="D35" s="1" t="s">
        <v>140</v>
      </c>
      <c r="E35" s="1" t="s">
        <v>30</v>
      </c>
      <c r="F35" s="1" t="s">
        <v>141</v>
      </c>
      <c r="G35" s="1" t="s">
        <v>32</v>
      </c>
      <c r="H35" s="1" t="s">
        <v>34</v>
      </c>
      <c r="I35" s="1" t="s">
        <v>82</v>
      </c>
      <c r="J35" s="1">
        <v>42.35</v>
      </c>
      <c r="K35" s="1" t="s">
        <v>142</v>
      </c>
      <c r="L35" s="1" t="s">
        <v>36</v>
      </c>
      <c r="M35" s="1">
        <v>1.69</v>
      </c>
      <c r="N35" s="1" t="s">
        <v>132</v>
      </c>
      <c r="O35" s="1" t="s">
        <v>38</v>
      </c>
      <c r="P35" s="1" t="s">
        <v>39</v>
      </c>
      <c r="Q35" s="1" t="s">
        <v>133</v>
      </c>
      <c r="R35" s="1" t="s">
        <v>143</v>
      </c>
      <c r="S35" s="1" t="s">
        <v>42</v>
      </c>
      <c r="T35" s="1">
        <v>1522.51</v>
      </c>
      <c r="U35" s="1" t="s">
        <v>43</v>
      </c>
      <c r="V35" s="1" t="s">
        <v>30</v>
      </c>
      <c r="W35" s="1" t="s">
        <v>39</v>
      </c>
      <c r="X35" s="1" t="s">
        <v>30</v>
      </c>
      <c r="Y35" s="1" t="s">
        <v>39</v>
      </c>
      <c r="Z35" s="1" t="s">
        <v>44</v>
      </c>
    </row>
    <row r="36" spans="1:26" ht="15.75" x14ac:dyDescent="0.25">
      <c r="A36" s="1" t="s">
        <v>26</v>
      </c>
      <c r="B36" s="1" t="s">
        <v>27</v>
      </c>
      <c r="C36" s="1" t="s">
        <v>87</v>
      </c>
      <c r="D36" s="1" t="s">
        <v>140</v>
      </c>
      <c r="E36" s="1" t="s">
        <v>30</v>
      </c>
      <c r="F36" s="1" t="s">
        <v>141</v>
      </c>
      <c r="G36" s="1" t="s">
        <v>45</v>
      </c>
      <c r="H36" s="1" t="s">
        <v>34</v>
      </c>
      <c r="I36" s="1" t="s">
        <v>82</v>
      </c>
      <c r="J36" s="1">
        <v>1.5</v>
      </c>
      <c r="K36" s="1" t="s">
        <v>142</v>
      </c>
      <c r="L36" s="1" t="s">
        <v>36</v>
      </c>
      <c r="M36" s="1">
        <v>0.06</v>
      </c>
      <c r="N36" s="1" t="s">
        <v>132</v>
      </c>
      <c r="O36" s="1" t="s">
        <v>38</v>
      </c>
      <c r="P36" s="1" t="s">
        <v>39</v>
      </c>
      <c r="Q36" s="1" t="s">
        <v>133</v>
      </c>
      <c r="R36" s="1" t="s">
        <v>143</v>
      </c>
      <c r="S36" s="1" t="s">
        <v>42</v>
      </c>
      <c r="T36" s="1">
        <v>1522.51</v>
      </c>
      <c r="U36" s="1" t="s">
        <v>43</v>
      </c>
      <c r="V36" s="1" t="s">
        <v>30</v>
      </c>
      <c r="W36" s="1" t="s">
        <v>39</v>
      </c>
      <c r="X36" s="1" t="s">
        <v>30</v>
      </c>
      <c r="Y36" s="1" t="s">
        <v>39</v>
      </c>
      <c r="Z36" s="1" t="s">
        <v>44</v>
      </c>
    </row>
    <row r="37" spans="1:26" ht="15.75" x14ac:dyDescent="0.25">
      <c r="A37" s="1" t="s">
        <v>26</v>
      </c>
      <c r="B37" s="1" t="s">
        <v>27</v>
      </c>
      <c r="C37" s="1" t="s">
        <v>144</v>
      </c>
      <c r="D37" s="1" t="s">
        <v>145</v>
      </c>
      <c r="E37" s="1" t="s">
        <v>30</v>
      </c>
      <c r="F37" s="1" t="s">
        <v>146</v>
      </c>
      <c r="G37" s="1" t="s">
        <v>54</v>
      </c>
      <c r="H37" s="1" t="s">
        <v>58</v>
      </c>
      <c r="I37" s="1" t="s">
        <v>50</v>
      </c>
      <c r="J37" s="1">
        <v>29.34</v>
      </c>
      <c r="K37" s="1" t="s">
        <v>147</v>
      </c>
      <c r="L37" s="1" t="s">
        <v>36</v>
      </c>
      <c r="M37" s="1">
        <v>1.17</v>
      </c>
      <c r="N37" s="1" t="s">
        <v>37</v>
      </c>
      <c r="O37" s="1" t="s">
        <v>38</v>
      </c>
      <c r="P37" s="1" t="s">
        <v>39</v>
      </c>
      <c r="Q37" s="1" t="s">
        <v>40</v>
      </c>
      <c r="R37" s="1" t="s">
        <v>148</v>
      </c>
      <c r="S37" s="1" t="s">
        <v>42</v>
      </c>
      <c r="T37" s="1">
        <v>1522.51</v>
      </c>
      <c r="U37" s="1" t="s">
        <v>43</v>
      </c>
      <c r="V37" s="1" t="s">
        <v>30</v>
      </c>
      <c r="W37" s="1" t="s">
        <v>39</v>
      </c>
      <c r="X37" s="1" t="s">
        <v>30</v>
      </c>
      <c r="Y37" s="1" t="s">
        <v>39</v>
      </c>
      <c r="Z37" s="1" t="s">
        <v>44</v>
      </c>
    </row>
    <row r="38" spans="1:26" ht="15.75" x14ac:dyDescent="0.25">
      <c r="A38" s="1" t="s">
        <v>26</v>
      </c>
      <c r="B38" s="1" t="s">
        <v>27</v>
      </c>
      <c r="C38" s="1" t="s">
        <v>144</v>
      </c>
      <c r="D38" s="1" t="s">
        <v>149</v>
      </c>
      <c r="E38" s="1" t="s">
        <v>30</v>
      </c>
      <c r="F38" s="1" t="s">
        <v>150</v>
      </c>
      <c r="G38" s="1" t="s">
        <v>32</v>
      </c>
      <c r="H38" s="1" t="s">
        <v>49</v>
      </c>
      <c r="I38" s="1" t="s">
        <v>50</v>
      </c>
      <c r="J38" s="1">
        <v>40.729999999999997</v>
      </c>
      <c r="K38" s="1" t="s">
        <v>151</v>
      </c>
      <c r="L38" s="1" t="s">
        <v>36</v>
      </c>
      <c r="M38" s="1">
        <v>1.63</v>
      </c>
      <c r="N38" s="1" t="s">
        <v>132</v>
      </c>
      <c r="O38" s="1" t="s">
        <v>38</v>
      </c>
      <c r="P38" s="1" t="s">
        <v>39</v>
      </c>
      <c r="Q38" s="1" t="s">
        <v>133</v>
      </c>
      <c r="R38" s="1" t="s">
        <v>152</v>
      </c>
      <c r="S38" s="1" t="s">
        <v>42</v>
      </c>
      <c r="T38" s="1">
        <v>1522.51</v>
      </c>
      <c r="U38" s="1" t="s">
        <v>43</v>
      </c>
      <c r="V38" s="1" t="s">
        <v>30</v>
      </c>
      <c r="W38" s="1" t="s">
        <v>39</v>
      </c>
      <c r="X38" s="1" t="s">
        <v>30</v>
      </c>
      <c r="Y38" s="1" t="s">
        <v>39</v>
      </c>
      <c r="Z38" s="1" t="s">
        <v>44</v>
      </c>
    </row>
    <row r="39" spans="1:26" ht="15.75" x14ac:dyDescent="0.25">
      <c r="A39" s="1" t="s">
        <v>26</v>
      </c>
      <c r="B39" s="1" t="s">
        <v>27</v>
      </c>
      <c r="C39" s="1" t="s">
        <v>144</v>
      </c>
      <c r="D39" s="1" t="s">
        <v>153</v>
      </c>
      <c r="E39" s="1" t="s">
        <v>30</v>
      </c>
      <c r="F39" s="1" t="s">
        <v>154</v>
      </c>
      <c r="G39" s="1" t="s">
        <v>32</v>
      </c>
      <c r="H39" s="1" t="s">
        <v>33</v>
      </c>
      <c r="I39" s="1" t="s">
        <v>34</v>
      </c>
      <c r="J39" s="1">
        <v>36.29</v>
      </c>
      <c r="K39" s="1" t="s">
        <v>155</v>
      </c>
      <c r="L39" s="1" t="s">
        <v>36</v>
      </c>
      <c r="M39" s="1">
        <v>0</v>
      </c>
      <c r="N39" s="1" t="s">
        <v>66</v>
      </c>
      <c r="O39" s="1" t="s">
        <v>38</v>
      </c>
      <c r="P39" s="1" t="s">
        <v>67</v>
      </c>
      <c r="Q39" s="1" t="s">
        <v>68</v>
      </c>
      <c r="R39" s="1" t="s">
        <v>156</v>
      </c>
      <c r="S39" s="1" t="s">
        <v>42</v>
      </c>
      <c r="T39" s="1">
        <v>1522.51</v>
      </c>
      <c r="U39" s="1" t="s">
        <v>43</v>
      </c>
      <c r="V39" s="1" t="s">
        <v>30</v>
      </c>
      <c r="W39" s="1" t="s">
        <v>39</v>
      </c>
      <c r="X39" s="1" t="s">
        <v>30</v>
      </c>
      <c r="Y39" s="1" t="s">
        <v>39</v>
      </c>
      <c r="Z39" s="1" t="s">
        <v>44</v>
      </c>
    </row>
    <row r="40" spans="1:26" ht="15.75" x14ac:dyDescent="0.25">
      <c r="A40" s="1" t="s">
        <v>26</v>
      </c>
      <c r="B40" s="1" t="s">
        <v>27</v>
      </c>
      <c r="C40" s="1" t="s">
        <v>144</v>
      </c>
      <c r="D40" s="1" t="s">
        <v>153</v>
      </c>
      <c r="E40" s="1" t="s">
        <v>30</v>
      </c>
      <c r="F40" s="1" t="s">
        <v>154</v>
      </c>
      <c r="G40" s="1" t="s">
        <v>45</v>
      </c>
      <c r="H40" s="1" t="s">
        <v>33</v>
      </c>
      <c r="I40" s="1" t="s">
        <v>34</v>
      </c>
      <c r="J40" s="1">
        <v>1.5</v>
      </c>
      <c r="K40" s="1" t="s">
        <v>155</v>
      </c>
      <c r="L40" s="1" t="s">
        <v>36</v>
      </c>
      <c r="M40" s="1">
        <v>0</v>
      </c>
      <c r="N40" s="1" t="s">
        <v>66</v>
      </c>
      <c r="O40" s="1" t="s">
        <v>38</v>
      </c>
      <c r="P40" s="1" t="s">
        <v>70</v>
      </c>
      <c r="Q40" s="1" t="s">
        <v>68</v>
      </c>
      <c r="R40" s="1" t="s">
        <v>156</v>
      </c>
      <c r="S40" s="1" t="s">
        <v>42</v>
      </c>
      <c r="T40" s="1">
        <v>1522.51</v>
      </c>
      <c r="U40" s="1" t="s">
        <v>43</v>
      </c>
      <c r="V40" s="1" t="s">
        <v>30</v>
      </c>
      <c r="W40" s="1" t="s">
        <v>39</v>
      </c>
      <c r="X40" s="1" t="s">
        <v>30</v>
      </c>
      <c r="Y40" s="1" t="s">
        <v>39</v>
      </c>
      <c r="Z40" s="1" t="s">
        <v>44</v>
      </c>
    </row>
    <row r="41" spans="1:26" ht="15.75" x14ac:dyDescent="0.25">
      <c r="A41" s="1" t="s">
        <v>26</v>
      </c>
      <c r="B41" s="1" t="s">
        <v>27</v>
      </c>
      <c r="C41" s="1" t="s">
        <v>144</v>
      </c>
      <c r="D41" s="1" t="s">
        <v>157</v>
      </c>
      <c r="E41" s="1" t="s">
        <v>30</v>
      </c>
      <c r="F41" s="1" t="s">
        <v>154</v>
      </c>
      <c r="G41" s="1" t="s">
        <v>54</v>
      </c>
      <c r="H41" s="1" t="s">
        <v>33</v>
      </c>
      <c r="I41" s="1" t="s">
        <v>34</v>
      </c>
      <c r="J41" s="1">
        <v>16.34</v>
      </c>
      <c r="K41" s="1" t="s">
        <v>155</v>
      </c>
      <c r="L41" s="1" t="s">
        <v>36</v>
      </c>
      <c r="M41" s="1">
        <v>0</v>
      </c>
      <c r="N41" s="1" t="s">
        <v>66</v>
      </c>
      <c r="O41" s="1" t="s">
        <v>38</v>
      </c>
      <c r="P41" s="1" t="s">
        <v>95</v>
      </c>
      <c r="Q41" s="1" t="s">
        <v>68</v>
      </c>
      <c r="R41" s="1" t="s">
        <v>156</v>
      </c>
      <c r="S41" s="1" t="s">
        <v>42</v>
      </c>
      <c r="T41" s="1">
        <v>1522.51</v>
      </c>
      <c r="U41" s="1" t="s">
        <v>43</v>
      </c>
      <c r="V41" s="1" t="s">
        <v>30</v>
      </c>
      <c r="W41" s="1" t="s">
        <v>39</v>
      </c>
      <c r="X41" s="1" t="s">
        <v>30</v>
      </c>
      <c r="Y41" s="1" t="s">
        <v>39</v>
      </c>
      <c r="Z41" s="1" t="s">
        <v>44</v>
      </c>
    </row>
    <row r="42" spans="1:26" ht="15.75" x14ac:dyDescent="0.25">
      <c r="A42" s="1" t="s">
        <v>26</v>
      </c>
      <c r="B42" s="1" t="s">
        <v>27</v>
      </c>
      <c r="C42" s="1" t="s">
        <v>144</v>
      </c>
      <c r="D42" s="1" t="s">
        <v>158</v>
      </c>
      <c r="E42" s="1" t="s">
        <v>30</v>
      </c>
      <c r="F42" s="1" t="s">
        <v>159</v>
      </c>
      <c r="G42" s="1" t="s">
        <v>32</v>
      </c>
      <c r="H42" s="1" t="s">
        <v>33</v>
      </c>
      <c r="I42" s="1" t="s">
        <v>34</v>
      </c>
      <c r="J42" s="1">
        <v>36.29</v>
      </c>
      <c r="K42" s="1" t="s">
        <v>155</v>
      </c>
      <c r="L42" s="1" t="s">
        <v>36</v>
      </c>
      <c r="M42" s="1">
        <v>0</v>
      </c>
      <c r="N42" s="1" t="s">
        <v>66</v>
      </c>
      <c r="O42" s="1" t="s">
        <v>38</v>
      </c>
      <c r="P42" s="1" t="s">
        <v>67</v>
      </c>
      <c r="Q42" s="1" t="s">
        <v>68</v>
      </c>
      <c r="R42" s="1" t="s">
        <v>160</v>
      </c>
      <c r="S42" s="1" t="s">
        <v>42</v>
      </c>
      <c r="T42" s="1">
        <v>1522.51</v>
      </c>
      <c r="U42" s="1" t="s">
        <v>43</v>
      </c>
      <c r="V42" s="1" t="s">
        <v>30</v>
      </c>
      <c r="W42" s="1" t="s">
        <v>39</v>
      </c>
      <c r="X42" s="1" t="s">
        <v>30</v>
      </c>
      <c r="Y42" s="1" t="s">
        <v>39</v>
      </c>
      <c r="Z42" s="1" t="s">
        <v>44</v>
      </c>
    </row>
    <row r="43" spans="1:26" ht="15.75" x14ac:dyDescent="0.25">
      <c r="A43" s="1" t="s">
        <v>26</v>
      </c>
      <c r="B43" s="1" t="s">
        <v>27</v>
      </c>
      <c r="C43" s="1" t="s">
        <v>144</v>
      </c>
      <c r="D43" s="1" t="s">
        <v>158</v>
      </c>
      <c r="E43" s="1" t="s">
        <v>30</v>
      </c>
      <c r="F43" s="1" t="s">
        <v>159</v>
      </c>
      <c r="G43" s="1" t="s">
        <v>45</v>
      </c>
      <c r="H43" s="1" t="s">
        <v>33</v>
      </c>
      <c r="I43" s="1" t="s">
        <v>34</v>
      </c>
      <c r="J43" s="1">
        <v>1.5</v>
      </c>
      <c r="K43" s="1" t="s">
        <v>155</v>
      </c>
      <c r="L43" s="1" t="s">
        <v>36</v>
      </c>
      <c r="M43" s="1">
        <v>0</v>
      </c>
      <c r="N43" s="1" t="s">
        <v>66</v>
      </c>
      <c r="O43" s="1" t="s">
        <v>38</v>
      </c>
      <c r="P43" s="1" t="s">
        <v>70</v>
      </c>
      <c r="Q43" s="1" t="s">
        <v>68</v>
      </c>
      <c r="R43" s="1" t="s">
        <v>160</v>
      </c>
      <c r="S43" s="1" t="s">
        <v>42</v>
      </c>
      <c r="T43" s="1">
        <v>1522.51</v>
      </c>
      <c r="U43" s="1" t="s">
        <v>43</v>
      </c>
      <c r="V43" s="1" t="s">
        <v>30</v>
      </c>
      <c r="W43" s="1" t="s">
        <v>39</v>
      </c>
      <c r="X43" s="1" t="s">
        <v>30</v>
      </c>
      <c r="Y43" s="1" t="s">
        <v>39</v>
      </c>
      <c r="Z43" s="1" t="s">
        <v>44</v>
      </c>
    </row>
    <row r="44" spans="1:26" ht="15.75" x14ac:dyDescent="0.25">
      <c r="A44" s="1" t="s">
        <v>26</v>
      </c>
      <c r="B44" s="1" t="s">
        <v>27</v>
      </c>
      <c r="C44" s="1" t="s">
        <v>144</v>
      </c>
      <c r="D44" s="1" t="s">
        <v>161</v>
      </c>
      <c r="E44" s="1" t="s">
        <v>30</v>
      </c>
      <c r="F44" s="1" t="s">
        <v>162</v>
      </c>
      <c r="G44" s="1" t="s">
        <v>32</v>
      </c>
      <c r="H44" s="1" t="s">
        <v>90</v>
      </c>
      <c r="I44" s="1" t="s">
        <v>50</v>
      </c>
      <c r="J44" s="1">
        <v>72.59</v>
      </c>
      <c r="K44" s="1" t="s">
        <v>163</v>
      </c>
      <c r="L44" s="1" t="s">
        <v>36</v>
      </c>
      <c r="M44" s="1">
        <v>0</v>
      </c>
      <c r="N44" s="1" t="s">
        <v>66</v>
      </c>
      <c r="O44" s="1" t="s">
        <v>38</v>
      </c>
      <c r="P44" s="1" t="s">
        <v>164</v>
      </c>
      <c r="Q44" s="1" t="s">
        <v>68</v>
      </c>
      <c r="R44" s="1" t="s">
        <v>165</v>
      </c>
      <c r="S44" s="1" t="s">
        <v>42</v>
      </c>
      <c r="T44" s="1">
        <v>1522.51</v>
      </c>
      <c r="U44" s="1" t="s">
        <v>43</v>
      </c>
      <c r="V44" s="1" t="s">
        <v>30</v>
      </c>
      <c r="W44" s="1" t="s">
        <v>39</v>
      </c>
      <c r="X44" s="1" t="s">
        <v>30</v>
      </c>
      <c r="Y44" s="1" t="s">
        <v>39</v>
      </c>
      <c r="Z44" s="1" t="s">
        <v>44</v>
      </c>
    </row>
    <row r="45" spans="1:26" ht="15.75" x14ac:dyDescent="0.25">
      <c r="A45" s="1" t="s">
        <v>26</v>
      </c>
      <c r="B45" s="1" t="s">
        <v>27</v>
      </c>
      <c r="C45" s="1" t="s">
        <v>144</v>
      </c>
      <c r="D45" s="1" t="s">
        <v>161</v>
      </c>
      <c r="E45" s="1" t="s">
        <v>30</v>
      </c>
      <c r="F45" s="1" t="s">
        <v>162</v>
      </c>
      <c r="G45" s="1" t="s">
        <v>45</v>
      </c>
      <c r="H45" s="1" t="s">
        <v>90</v>
      </c>
      <c r="I45" s="1" t="s">
        <v>50</v>
      </c>
      <c r="J45" s="1">
        <v>2.69</v>
      </c>
      <c r="K45" s="1" t="s">
        <v>163</v>
      </c>
      <c r="L45" s="1" t="s">
        <v>36</v>
      </c>
      <c r="M45" s="1">
        <v>0</v>
      </c>
      <c r="N45" s="1" t="s">
        <v>66</v>
      </c>
      <c r="O45" s="1" t="s">
        <v>38</v>
      </c>
      <c r="P45" s="1" t="s">
        <v>166</v>
      </c>
      <c r="Q45" s="1" t="s">
        <v>68</v>
      </c>
      <c r="R45" s="1" t="s">
        <v>165</v>
      </c>
      <c r="S45" s="1" t="s">
        <v>42</v>
      </c>
      <c r="T45" s="1">
        <v>1522.51</v>
      </c>
      <c r="U45" s="1" t="s">
        <v>43</v>
      </c>
      <c r="V45" s="1" t="s">
        <v>30</v>
      </c>
      <c r="W45" s="1" t="s">
        <v>39</v>
      </c>
      <c r="X45" s="1" t="s">
        <v>30</v>
      </c>
      <c r="Y45" s="1" t="s">
        <v>39</v>
      </c>
      <c r="Z45" s="1" t="s">
        <v>44</v>
      </c>
    </row>
    <row r="46" spans="1:26" ht="15.75" x14ac:dyDescent="0.25">
      <c r="A46" s="1" t="s">
        <v>26</v>
      </c>
      <c r="B46" s="1" t="s">
        <v>27</v>
      </c>
      <c r="C46" s="1" t="s">
        <v>144</v>
      </c>
      <c r="D46" s="1" t="s">
        <v>167</v>
      </c>
      <c r="E46" s="1" t="s">
        <v>30</v>
      </c>
      <c r="F46" s="1" t="s">
        <v>162</v>
      </c>
      <c r="G46" s="1" t="s">
        <v>54</v>
      </c>
      <c r="H46" s="1" t="s">
        <v>90</v>
      </c>
      <c r="I46" s="1" t="s">
        <v>50</v>
      </c>
      <c r="J46" s="1">
        <v>30.07</v>
      </c>
      <c r="K46" s="1" t="s">
        <v>163</v>
      </c>
      <c r="L46" s="1" t="s">
        <v>36</v>
      </c>
      <c r="M46" s="1">
        <v>0</v>
      </c>
      <c r="N46" s="1" t="s">
        <v>66</v>
      </c>
      <c r="O46" s="1" t="s">
        <v>38</v>
      </c>
      <c r="P46" s="1" t="s">
        <v>168</v>
      </c>
      <c r="Q46" s="1" t="s">
        <v>68</v>
      </c>
      <c r="R46" s="1" t="s">
        <v>165</v>
      </c>
      <c r="S46" s="1" t="s">
        <v>42</v>
      </c>
      <c r="T46" s="1">
        <v>1522.51</v>
      </c>
      <c r="U46" s="1" t="s">
        <v>43</v>
      </c>
      <c r="V46" s="1" t="s">
        <v>30</v>
      </c>
      <c r="W46" s="1" t="s">
        <v>39</v>
      </c>
      <c r="X46" s="1" t="s">
        <v>30</v>
      </c>
      <c r="Y46" s="1" t="s">
        <v>39</v>
      </c>
      <c r="Z46" s="1" t="s">
        <v>44</v>
      </c>
    </row>
    <row r="47" spans="1:26" ht="15.75" x14ac:dyDescent="0.25">
      <c r="A47" s="1" t="s">
        <v>26</v>
      </c>
      <c r="B47" s="1" t="s">
        <v>27</v>
      </c>
      <c r="C47" s="1" t="s">
        <v>144</v>
      </c>
      <c r="D47" s="1" t="s">
        <v>169</v>
      </c>
      <c r="E47" s="1" t="s">
        <v>30</v>
      </c>
      <c r="F47" s="1" t="s">
        <v>170</v>
      </c>
      <c r="G47" s="1" t="s">
        <v>32</v>
      </c>
      <c r="H47" s="1" t="s">
        <v>49</v>
      </c>
      <c r="I47" s="1" t="s">
        <v>50</v>
      </c>
      <c r="J47" s="1">
        <v>67.069999999999993</v>
      </c>
      <c r="K47" s="1" t="s">
        <v>171</v>
      </c>
      <c r="L47" s="1" t="s">
        <v>36</v>
      </c>
      <c r="M47" s="1">
        <v>2.68</v>
      </c>
      <c r="N47" s="1" t="s">
        <v>172</v>
      </c>
      <c r="O47" s="1" t="s">
        <v>38</v>
      </c>
      <c r="P47" s="1" t="s">
        <v>39</v>
      </c>
      <c r="Q47" s="1" t="s">
        <v>173</v>
      </c>
      <c r="R47" s="1" t="s">
        <v>174</v>
      </c>
      <c r="S47" s="1" t="s">
        <v>42</v>
      </c>
      <c r="T47" s="1">
        <v>1522.51</v>
      </c>
      <c r="U47" s="1" t="s">
        <v>43</v>
      </c>
      <c r="V47" s="1" t="s">
        <v>30</v>
      </c>
      <c r="W47" s="1" t="s">
        <v>39</v>
      </c>
      <c r="X47" s="1" t="s">
        <v>30</v>
      </c>
      <c r="Y47" s="1" t="s">
        <v>39</v>
      </c>
      <c r="Z47" s="1" t="s">
        <v>44</v>
      </c>
    </row>
    <row r="48" spans="1:26" ht="15.75" x14ac:dyDescent="0.25">
      <c r="A48" s="1" t="s">
        <v>26</v>
      </c>
      <c r="B48" s="1" t="s">
        <v>27</v>
      </c>
      <c r="C48" s="1" t="s">
        <v>175</v>
      </c>
      <c r="D48" s="1" t="s">
        <v>176</v>
      </c>
      <c r="E48" s="1" t="s">
        <v>30</v>
      </c>
      <c r="F48" s="1" t="s">
        <v>177</v>
      </c>
      <c r="G48" s="1" t="s">
        <v>32</v>
      </c>
      <c r="H48" s="1" t="s">
        <v>90</v>
      </c>
      <c r="I48" s="1" t="s">
        <v>50</v>
      </c>
      <c r="J48" s="1">
        <v>36.29</v>
      </c>
      <c r="K48" s="1" t="s">
        <v>178</v>
      </c>
      <c r="L48" s="1" t="s">
        <v>36</v>
      </c>
      <c r="M48" s="1">
        <v>1.45</v>
      </c>
      <c r="N48" s="1" t="s">
        <v>74</v>
      </c>
      <c r="O48" s="1" t="s">
        <v>38</v>
      </c>
      <c r="P48" s="1" t="s">
        <v>39</v>
      </c>
      <c r="Q48" s="1" t="s">
        <v>75</v>
      </c>
      <c r="R48" s="1" t="s">
        <v>179</v>
      </c>
      <c r="S48" s="1" t="s">
        <v>42</v>
      </c>
      <c r="T48" s="1">
        <v>1522.51</v>
      </c>
      <c r="U48" s="1" t="s">
        <v>43</v>
      </c>
      <c r="V48" s="1" t="s">
        <v>30</v>
      </c>
      <c r="W48" s="1" t="s">
        <v>39</v>
      </c>
      <c r="X48" s="1" t="s">
        <v>30</v>
      </c>
      <c r="Y48" s="1" t="s">
        <v>39</v>
      </c>
      <c r="Z48" s="1" t="s">
        <v>44</v>
      </c>
    </row>
    <row r="49" spans="1:26" ht="15.75" x14ac:dyDescent="0.25">
      <c r="A49" s="1" t="s">
        <v>26</v>
      </c>
      <c r="B49" s="1" t="s">
        <v>27</v>
      </c>
      <c r="C49" s="1" t="s">
        <v>175</v>
      </c>
      <c r="D49" s="1" t="s">
        <v>176</v>
      </c>
      <c r="E49" s="1" t="s">
        <v>30</v>
      </c>
      <c r="F49" s="1" t="s">
        <v>177</v>
      </c>
      <c r="G49" s="1" t="s">
        <v>45</v>
      </c>
      <c r="H49" s="1" t="s">
        <v>90</v>
      </c>
      <c r="I49" s="1" t="s">
        <v>50</v>
      </c>
      <c r="J49" s="1">
        <v>1.5</v>
      </c>
      <c r="K49" s="1" t="s">
        <v>178</v>
      </c>
      <c r="L49" s="1" t="s">
        <v>36</v>
      </c>
      <c r="M49" s="1">
        <v>0.06</v>
      </c>
      <c r="N49" s="1" t="s">
        <v>74</v>
      </c>
      <c r="O49" s="1" t="s">
        <v>38</v>
      </c>
      <c r="P49" s="1" t="s">
        <v>39</v>
      </c>
      <c r="Q49" s="1" t="s">
        <v>75</v>
      </c>
      <c r="R49" s="1" t="s">
        <v>179</v>
      </c>
      <c r="S49" s="1" t="s">
        <v>42</v>
      </c>
      <c r="T49" s="1">
        <v>1522.51</v>
      </c>
      <c r="U49" s="1" t="s">
        <v>43</v>
      </c>
      <c r="V49" s="1" t="s">
        <v>30</v>
      </c>
      <c r="W49" s="1" t="s">
        <v>39</v>
      </c>
      <c r="X49" s="1" t="s">
        <v>30</v>
      </c>
      <c r="Y49" s="1" t="s">
        <v>39</v>
      </c>
      <c r="Z49" s="1" t="s">
        <v>44</v>
      </c>
    </row>
    <row r="50" spans="1:26" ht="15.75" x14ac:dyDescent="0.25">
      <c r="A50" s="1" t="s">
        <v>26</v>
      </c>
      <c r="B50" s="1" t="s">
        <v>27</v>
      </c>
      <c r="C50" s="1" t="s">
        <v>175</v>
      </c>
      <c r="D50" s="1" t="s">
        <v>180</v>
      </c>
      <c r="E50" s="1" t="s">
        <v>30</v>
      </c>
      <c r="F50" s="1" t="s">
        <v>181</v>
      </c>
      <c r="G50" s="1" t="s">
        <v>32</v>
      </c>
      <c r="H50" s="1" t="s">
        <v>58</v>
      </c>
      <c r="I50" s="1" t="s">
        <v>50</v>
      </c>
      <c r="J50" s="1">
        <v>31.82</v>
      </c>
      <c r="K50" s="1" t="s">
        <v>182</v>
      </c>
      <c r="L50" s="1" t="s">
        <v>36</v>
      </c>
      <c r="M50" s="1">
        <v>1.27</v>
      </c>
      <c r="N50" s="1" t="s">
        <v>84</v>
      </c>
      <c r="O50" s="1" t="s">
        <v>38</v>
      </c>
      <c r="P50" s="1" t="s">
        <v>39</v>
      </c>
      <c r="Q50" s="1" t="s">
        <v>85</v>
      </c>
      <c r="R50" s="1" t="s">
        <v>183</v>
      </c>
      <c r="S50" s="1" t="s">
        <v>42</v>
      </c>
      <c r="T50" s="1">
        <v>1522.51</v>
      </c>
      <c r="U50" s="1" t="s">
        <v>43</v>
      </c>
      <c r="V50" s="1" t="s">
        <v>30</v>
      </c>
      <c r="W50" s="1" t="s">
        <v>39</v>
      </c>
      <c r="X50" s="1" t="s">
        <v>30</v>
      </c>
      <c r="Y50" s="1" t="s">
        <v>39</v>
      </c>
      <c r="Z50" s="1" t="s">
        <v>44</v>
      </c>
    </row>
    <row r="51" spans="1:26" ht="15.75" x14ac:dyDescent="0.25">
      <c r="A51" s="1" t="s">
        <v>26</v>
      </c>
      <c r="B51" s="1" t="s">
        <v>27</v>
      </c>
      <c r="C51" s="1" t="s">
        <v>175</v>
      </c>
      <c r="D51" s="1" t="s">
        <v>184</v>
      </c>
      <c r="E51" s="1" t="s">
        <v>30</v>
      </c>
      <c r="F51" s="1" t="s">
        <v>181</v>
      </c>
      <c r="G51" s="1" t="s">
        <v>54</v>
      </c>
      <c r="H51" s="1" t="s">
        <v>58</v>
      </c>
      <c r="I51" s="1" t="s">
        <v>50</v>
      </c>
      <c r="J51" s="1">
        <v>10.67</v>
      </c>
      <c r="K51" s="1" t="s">
        <v>182</v>
      </c>
      <c r="L51" s="1" t="s">
        <v>36</v>
      </c>
      <c r="M51" s="1">
        <v>0.43</v>
      </c>
      <c r="N51" s="1" t="s">
        <v>84</v>
      </c>
      <c r="O51" s="1" t="s">
        <v>38</v>
      </c>
      <c r="P51" s="1" t="s">
        <v>39</v>
      </c>
      <c r="Q51" s="1" t="s">
        <v>85</v>
      </c>
      <c r="R51" s="1" t="s">
        <v>183</v>
      </c>
      <c r="S51" s="1" t="s">
        <v>42</v>
      </c>
      <c r="T51" s="1">
        <v>1522.51</v>
      </c>
      <c r="U51" s="1" t="s">
        <v>43</v>
      </c>
      <c r="V51" s="1" t="s">
        <v>30</v>
      </c>
      <c r="W51" s="1" t="s">
        <v>39</v>
      </c>
      <c r="X51" s="1" t="s">
        <v>30</v>
      </c>
      <c r="Y51" s="1" t="s">
        <v>39</v>
      </c>
      <c r="Z51" s="1" t="s">
        <v>44</v>
      </c>
    </row>
    <row r="52" spans="1:26" ht="15.75" x14ac:dyDescent="0.25">
      <c r="A52" s="1" t="s">
        <v>26</v>
      </c>
      <c r="B52" s="1" t="s">
        <v>27</v>
      </c>
      <c r="C52" s="1" t="s">
        <v>175</v>
      </c>
      <c r="D52" s="1" t="s">
        <v>185</v>
      </c>
      <c r="E52" s="1" t="s">
        <v>30</v>
      </c>
      <c r="F52" s="1" t="s">
        <v>186</v>
      </c>
      <c r="G52" s="1" t="s">
        <v>32</v>
      </c>
      <c r="H52" s="1" t="s">
        <v>58</v>
      </c>
      <c r="I52" s="1" t="s">
        <v>50</v>
      </c>
      <c r="J52" s="1">
        <v>107.9</v>
      </c>
      <c r="K52" s="1" t="s">
        <v>182</v>
      </c>
      <c r="L52" s="1" t="s">
        <v>36</v>
      </c>
      <c r="M52" s="1">
        <v>4.32</v>
      </c>
      <c r="N52" s="1" t="s">
        <v>84</v>
      </c>
      <c r="O52" s="1" t="s">
        <v>38</v>
      </c>
      <c r="P52" s="1" t="s">
        <v>39</v>
      </c>
      <c r="Q52" s="1" t="s">
        <v>85</v>
      </c>
      <c r="R52" s="1" t="s">
        <v>187</v>
      </c>
      <c r="S52" s="1" t="s">
        <v>42</v>
      </c>
      <c r="T52" s="1">
        <v>1522.51</v>
      </c>
      <c r="U52" s="1" t="s">
        <v>43</v>
      </c>
      <c r="V52" s="1" t="s">
        <v>30</v>
      </c>
      <c r="W52" s="1" t="s">
        <v>39</v>
      </c>
      <c r="X52" s="1" t="s">
        <v>30</v>
      </c>
      <c r="Y52" s="1" t="s">
        <v>39</v>
      </c>
      <c r="Z52" s="1" t="s">
        <v>44</v>
      </c>
    </row>
    <row r="53" spans="1:26" ht="15.75" x14ac:dyDescent="0.25">
      <c r="A53" s="1" t="s">
        <v>26</v>
      </c>
      <c r="B53" s="1" t="s">
        <v>27</v>
      </c>
      <c r="C53" s="1" t="s">
        <v>175</v>
      </c>
      <c r="D53" s="1" t="s">
        <v>188</v>
      </c>
      <c r="E53" s="1" t="s">
        <v>30</v>
      </c>
      <c r="F53" s="1" t="s">
        <v>186</v>
      </c>
      <c r="G53" s="1" t="s">
        <v>54</v>
      </c>
      <c r="H53" s="1" t="s">
        <v>58</v>
      </c>
      <c r="I53" s="1" t="s">
        <v>50</v>
      </c>
      <c r="J53" s="1">
        <v>29.34</v>
      </c>
      <c r="K53" s="1" t="s">
        <v>182</v>
      </c>
      <c r="L53" s="1" t="s">
        <v>36</v>
      </c>
      <c r="M53" s="1">
        <v>1.17</v>
      </c>
      <c r="N53" s="1" t="s">
        <v>84</v>
      </c>
      <c r="O53" s="1" t="s">
        <v>38</v>
      </c>
      <c r="P53" s="1" t="s">
        <v>39</v>
      </c>
      <c r="Q53" s="1" t="s">
        <v>85</v>
      </c>
      <c r="R53" s="1" t="s">
        <v>187</v>
      </c>
      <c r="S53" s="1" t="s">
        <v>42</v>
      </c>
      <c r="T53" s="1">
        <v>1522.51</v>
      </c>
      <c r="U53" s="1" t="s">
        <v>43</v>
      </c>
      <c r="V53" s="1" t="s">
        <v>30</v>
      </c>
      <c r="W53" s="1" t="s">
        <v>39</v>
      </c>
      <c r="X53" s="1" t="s">
        <v>30</v>
      </c>
      <c r="Y53" s="1" t="s">
        <v>39</v>
      </c>
      <c r="Z53" s="1" t="s">
        <v>44</v>
      </c>
    </row>
    <row r="54" spans="1:26" ht="15.75" x14ac:dyDescent="0.25">
      <c r="A54" s="1" t="s">
        <v>26</v>
      </c>
      <c r="B54" s="1" t="s">
        <v>27</v>
      </c>
      <c r="C54" s="1" t="s">
        <v>175</v>
      </c>
      <c r="D54" s="1" t="s">
        <v>189</v>
      </c>
      <c r="E54" s="1" t="s">
        <v>30</v>
      </c>
      <c r="F54" s="1" t="s">
        <v>190</v>
      </c>
      <c r="G54" s="1" t="s">
        <v>32</v>
      </c>
      <c r="H54" s="1" t="s">
        <v>34</v>
      </c>
      <c r="I54" s="1" t="s">
        <v>82</v>
      </c>
      <c r="J54" s="1">
        <v>93.17</v>
      </c>
      <c r="K54" s="1" t="s">
        <v>191</v>
      </c>
      <c r="L54" s="1" t="s">
        <v>36</v>
      </c>
      <c r="M54" s="1">
        <v>3.72</v>
      </c>
      <c r="N54" s="1" t="s">
        <v>116</v>
      </c>
      <c r="O54" s="1" t="s">
        <v>38</v>
      </c>
      <c r="P54" s="1" t="s">
        <v>39</v>
      </c>
      <c r="Q54" s="1" t="s">
        <v>117</v>
      </c>
      <c r="R54" s="1" t="s">
        <v>192</v>
      </c>
      <c r="S54" s="1" t="s">
        <v>42</v>
      </c>
      <c r="T54" s="1">
        <v>1522.51</v>
      </c>
      <c r="U54" s="1" t="s">
        <v>43</v>
      </c>
      <c r="V54" s="1" t="s">
        <v>30</v>
      </c>
      <c r="W54" s="1" t="s">
        <v>39</v>
      </c>
      <c r="X54" s="1" t="s">
        <v>30</v>
      </c>
      <c r="Y54" s="1" t="s">
        <v>39</v>
      </c>
      <c r="Z54" s="1" t="s">
        <v>44</v>
      </c>
    </row>
    <row r="55" spans="1:26" ht="15.75" x14ac:dyDescent="0.25">
      <c r="A55" s="1" t="s">
        <v>26</v>
      </c>
      <c r="B55" s="1" t="s">
        <v>27</v>
      </c>
      <c r="C55" s="1" t="s">
        <v>175</v>
      </c>
      <c r="D55" s="1" t="s">
        <v>189</v>
      </c>
      <c r="E55" s="1" t="s">
        <v>30</v>
      </c>
      <c r="F55" s="1" t="s">
        <v>190</v>
      </c>
      <c r="G55" s="1" t="s">
        <v>45</v>
      </c>
      <c r="H55" s="1" t="s">
        <v>34</v>
      </c>
      <c r="I55" s="1" t="s">
        <v>82</v>
      </c>
      <c r="J55" s="1">
        <v>2.69</v>
      </c>
      <c r="K55" s="1" t="s">
        <v>191</v>
      </c>
      <c r="L55" s="1" t="s">
        <v>36</v>
      </c>
      <c r="M55" s="1">
        <v>0.11</v>
      </c>
      <c r="N55" s="1" t="s">
        <v>116</v>
      </c>
      <c r="O55" s="1" t="s">
        <v>38</v>
      </c>
      <c r="P55" s="1" t="s">
        <v>39</v>
      </c>
      <c r="Q55" s="1" t="s">
        <v>117</v>
      </c>
      <c r="R55" s="1" t="s">
        <v>192</v>
      </c>
      <c r="S55" s="1" t="s">
        <v>42</v>
      </c>
      <c r="T55" s="1">
        <v>1522.51</v>
      </c>
      <c r="U55" s="1" t="s">
        <v>43</v>
      </c>
      <c r="V55" s="1" t="s">
        <v>30</v>
      </c>
      <c r="W55" s="1" t="s">
        <v>39</v>
      </c>
      <c r="X55" s="1" t="s">
        <v>30</v>
      </c>
      <c r="Y55" s="1" t="s">
        <v>39</v>
      </c>
      <c r="Z55" s="1" t="s">
        <v>44</v>
      </c>
    </row>
    <row r="56" spans="1:26" ht="15.75" x14ac:dyDescent="0.25">
      <c r="A56" s="1" t="s">
        <v>26</v>
      </c>
      <c r="B56" s="1" t="s">
        <v>27</v>
      </c>
      <c r="C56" s="1" t="s">
        <v>175</v>
      </c>
      <c r="D56" s="1" t="s">
        <v>193</v>
      </c>
      <c r="E56" s="1" t="s">
        <v>30</v>
      </c>
      <c r="F56" s="1" t="s">
        <v>194</v>
      </c>
      <c r="G56" s="1" t="s">
        <v>32</v>
      </c>
      <c r="H56" s="1" t="s">
        <v>34</v>
      </c>
      <c r="I56" s="1" t="s">
        <v>82</v>
      </c>
      <c r="J56" s="1">
        <v>93.17</v>
      </c>
      <c r="K56" s="1" t="s">
        <v>191</v>
      </c>
      <c r="L56" s="1" t="s">
        <v>36</v>
      </c>
      <c r="M56" s="1">
        <v>3.72</v>
      </c>
      <c r="N56" s="1" t="s">
        <v>116</v>
      </c>
      <c r="O56" s="1" t="s">
        <v>38</v>
      </c>
      <c r="P56" s="1" t="s">
        <v>39</v>
      </c>
      <c r="Q56" s="1" t="s">
        <v>117</v>
      </c>
      <c r="R56" s="1" t="s">
        <v>195</v>
      </c>
      <c r="S56" s="1" t="s">
        <v>42</v>
      </c>
      <c r="T56" s="1">
        <v>1522.51</v>
      </c>
      <c r="U56" s="1" t="s">
        <v>43</v>
      </c>
      <c r="V56" s="1" t="s">
        <v>30</v>
      </c>
      <c r="W56" s="1" t="s">
        <v>39</v>
      </c>
      <c r="X56" s="1" t="s">
        <v>30</v>
      </c>
      <c r="Y56" s="1" t="s">
        <v>39</v>
      </c>
      <c r="Z56" s="1" t="s">
        <v>44</v>
      </c>
    </row>
    <row r="57" spans="1:26" ht="15.75" x14ac:dyDescent="0.25">
      <c r="A57" s="1" t="s">
        <v>26</v>
      </c>
      <c r="B57" s="1" t="s">
        <v>27</v>
      </c>
      <c r="C57" s="1" t="s">
        <v>175</v>
      </c>
      <c r="D57" s="1" t="s">
        <v>193</v>
      </c>
      <c r="E57" s="1" t="s">
        <v>30</v>
      </c>
      <c r="F57" s="1" t="s">
        <v>194</v>
      </c>
      <c r="G57" s="1" t="s">
        <v>45</v>
      </c>
      <c r="H57" s="1" t="s">
        <v>34</v>
      </c>
      <c r="I57" s="1" t="s">
        <v>82</v>
      </c>
      <c r="J57" s="1">
        <v>2.69</v>
      </c>
      <c r="K57" s="1" t="s">
        <v>191</v>
      </c>
      <c r="L57" s="1" t="s">
        <v>36</v>
      </c>
      <c r="M57" s="1">
        <v>0.11</v>
      </c>
      <c r="N57" s="1" t="s">
        <v>116</v>
      </c>
      <c r="O57" s="1" t="s">
        <v>38</v>
      </c>
      <c r="P57" s="1" t="s">
        <v>39</v>
      </c>
      <c r="Q57" s="1" t="s">
        <v>117</v>
      </c>
      <c r="R57" s="1" t="s">
        <v>195</v>
      </c>
      <c r="S57" s="1" t="s">
        <v>42</v>
      </c>
      <c r="T57" s="1">
        <v>1522.51</v>
      </c>
      <c r="U57" s="1" t="s">
        <v>43</v>
      </c>
      <c r="V57" s="1" t="s">
        <v>30</v>
      </c>
      <c r="W57" s="1" t="s">
        <v>39</v>
      </c>
      <c r="X57" s="1" t="s">
        <v>30</v>
      </c>
      <c r="Y57" s="1" t="s">
        <v>39</v>
      </c>
      <c r="Z57" s="1" t="s">
        <v>44</v>
      </c>
    </row>
    <row r="58" spans="1:26" ht="15.75" x14ac:dyDescent="0.25">
      <c r="A58" s="1" t="s">
        <v>26</v>
      </c>
      <c r="B58" s="1" t="s">
        <v>27</v>
      </c>
      <c r="C58" s="1" t="s">
        <v>175</v>
      </c>
      <c r="D58" s="1" t="s">
        <v>196</v>
      </c>
      <c r="E58" s="1" t="s">
        <v>30</v>
      </c>
      <c r="F58" s="1" t="s">
        <v>197</v>
      </c>
      <c r="G58" s="1" t="s">
        <v>32</v>
      </c>
      <c r="H58" s="1" t="s">
        <v>34</v>
      </c>
      <c r="I58" s="1" t="s">
        <v>82</v>
      </c>
      <c r="J58" s="1">
        <v>36.29</v>
      </c>
      <c r="K58" s="1" t="s">
        <v>191</v>
      </c>
      <c r="L58" s="1" t="s">
        <v>36</v>
      </c>
      <c r="M58" s="1">
        <v>1.45</v>
      </c>
      <c r="N58" s="1" t="s">
        <v>74</v>
      </c>
      <c r="O58" s="1" t="s">
        <v>38</v>
      </c>
      <c r="P58" s="1" t="s">
        <v>39</v>
      </c>
      <c r="Q58" s="1" t="s">
        <v>75</v>
      </c>
      <c r="R58" s="1" t="s">
        <v>198</v>
      </c>
      <c r="S58" s="1" t="s">
        <v>42</v>
      </c>
      <c r="T58" s="1">
        <v>1522.51</v>
      </c>
      <c r="U58" s="1" t="s">
        <v>43</v>
      </c>
      <c r="V58" s="1" t="s">
        <v>30</v>
      </c>
      <c r="W58" s="1" t="s">
        <v>39</v>
      </c>
      <c r="X58" s="1" t="s">
        <v>30</v>
      </c>
      <c r="Y58" s="1" t="s">
        <v>39</v>
      </c>
      <c r="Z58" s="1" t="s">
        <v>44</v>
      </c>
    </row>
    <row r="59" spans="1:26" ht="15.75" x14ac:dyDescent="0.25">
      <c r="A59" s="1" t="s">
        <v>26</v>
      </c>
      <c r="B59" s="1" t="s">
        <v>27</v>
      </c>
      <c r="C59" s="1" t="s">
        <v>175</v>
      </c>
      <c r="D59" s="1" t="s">
        <v>196</v>
      </c>
      <c r="E59" s="1" t="s">
        <v>30</v>
      </c>
      <c r="F59" s="1" t="s">
        <v>197</v>
      </c>
      <c r="G59" s="1" t="s">
        <v>45</v>
      </c>
      <c r="H59" s="1" t="s">
        <v>34</v>
      </c>
      <c r="I59" s="1" t="s">
        <v>82</v>
      </c>
      <c r="J59" s="1">
        <v>1.5</v>
      </c>
      <c r="K59" s="1" t="s">
        <v>191</v>
      </c>
      <c r="L59" s="1" t="s">
        <v>36</v>
      </c>
      <c r="M59" s="1">
        <v>0.06</v>
      </c>
      <c r="N59" s="1" t="s">
        <v>74</v>
      </c>
      <c r="O59" s="1" t="s">
        <v>38</v>
      </c>
      <c r="P59" s="1" t="s">
        <v>39</v>
      </c>
      <c r="Q59" s="1" t="s">
        <v>75</v>
      </c>
      <c r="R59" s="1" t="s">
        <v>198</v>
      </c>
      <c r="S59" s="1" t="s">
        <v>42</v>
      </c>
      <c r="T59" s="1">
        <v>1522.51</v>
      </c>
      <c r="U59" s="1" t="s">
        <v>43</v>
      </c>
      <c r="V59" s="1" t="s">
        <v>30</v>
      </c>
      <c r="W59" s="1" t="s">
        <v>39</v>
      </c>
      <c r="X59" s="1" t="s">
        <v>30</v>
      </c>
      <c r="Y59" s="1" t="s">
        <v>39</v>
      </c>
      <c r="Z59" s="1" t="s">
        <v>44</v>
      </c>
    </row>
    <row r="60" spans="1:26" ht="15.75" x14ac:dyDescent="0.25">
      <c r="A60" s="1" t="s">
        <v>26</v>
      </c>
      <c r="B60" s="1" t="s">
        <v>27</v>
      </c>
      <c r="C60" s="1" t="s">
        <v>175</v>
      </c>
      <c r="D60" s="1" t="s">
        <v>199</v>
      </c>
      <c r="E60" s="1" t="s">
        <v>30</v>
      </c>
      <c r="F60" s="1" t="s">
        <v>200</v>
      </c>
      <c r="G60" s="1" t="s">
        <v>32</v>
      </c>
      <c r="H60" s="1" t="s">
        <v>49</v>
      </c>
      <c r="I60" s="1" t="s">
        <v>50</v>
      </c>
      <c r="J60" s="1">
        <v>44.03</v>
      </c>
      <c r="K60" s="1" t="s">
        <v>201</v>
      </c>
      <c r="L60" s="1" t="s">
        <v>36</v>
      </c>
      <c r="M60" s="1">
        <v>1.76</v>
      </c>
      <c r="N60" s="1" t="s">
        <v>172</v>
      </c>
      <c r="O60" s="1" t="s">
        <v>38</v>
      </c>
      <c r="P60" s="1" t="s">
        <v>39</v>
      </c>
      <c r="Q60" s="1" t="s">
        <v>173</v>
      </c>
      <c r="R60" s="1" t="s">
        <v>202</v>
      </c>
      <c r="S60" s="1" t="s">
        <v>42</v>
      </c>
      <c r="T60" s="1">
        <v>1522.51</v>
      </c>
      <c r="U60" s="1" t="s">
        <v>43</v>
      </c>
      <c r="V60" s="1" t="s">
        <v>30</v>
      </c>
      <c r="W60" s="1" t="s">
        <v>39</v>
      </c>
      <c r="X60" s="1" t="s">
        <v>30</v>
      </c>
      <c r="Y60" s="1" t="s">
        <v>39</v>
      </c>
      <c r="Z60" s="1" t="s">
        <v>44</v>
      </c>
    </row>
    <row r="61" spans="1:26" ht="15.75" x14ac:dyDescent="0.25">
      <c r="A61" s="1" t="s">
        <v>26</v>
      </c>
      <c r="B61" s="1" t="s">
        <v>27</v>
      </c>
      <c r="C61" s="1" t="s">
        <v>175</v>
      </c>
      <c r="D61" s="1" t="s">
        <v>199</v>
      </c>
      <c r="E61" s="1" t="s">
        <v>30</v>
      </c>
      <c r="F61" s="1" t="s">
        <v>200</v>
      </c>
      <c r="G61" s="1" t="s">
        <v>45</v>
      </c>
      <c r="H61" s="1" t="s">
        <v>49</v>
      </c>
      <c r="I61" s="1" t="s">
        <v>50</v>
      </c>
      <c r="J61" s="1">
        <v>1.5</v>
      </c>
      <c r="K61" s="1" t="s">
        <v>201</v>
      </c>
      <c r="L61" s="1" t="s">
        <v>36</v>
      </c>
      <c r="M61" s="1">
        <v>0.06</v>
      </c>
      <c r="N61" s="1" t="s">
        <v>172</v>
      </c>
      <c r="O61" s="1" t="s">
        <v>38</v>
      </c>
      <c r="P61" s="1" t="s">
        <v>39</v>
      </c>
      <c r="Q61" s="1" t="s">
        <v>173</v>
      </c>
      <c r="R61" s="1" t="s">
        <v>202</v>
      </c>
      <c r="S61" s="1" t="s">
        <v>42</v>
      </c>
      <c r="T61" s="1">
        <v>1522.51</v>
      </c>
      <c r="U61" s="1" t="s">
        <v>43</v>
      </c>
      <c r="V61" s="1" t="s">
        <v>30</v>
      </c>
      <c r="W61" s="1" t="s">
        <v>39</v>
      </c>
      <c r="X61" s="1" t="s">
        <v>30</v>
      </c>
      <c r="Y61" s="1" t="s">
        <v>39</v>
      </c>
      <c r="Z61" s="1" t="s">
        <v>44</v>
      </c>
    </row>
    <row r="62" spans="1:26" ht="15.75" x14ac:dyDescent="0.25">
      <c r="A62" s="1" t="s">
        <v>26</v>
      </c>
      <c r="B62" s="1" t="s">
        <v>27</v>
      </c>
      <c r="C62" s="1" t="s">
        <v>175</v>
      </c>
      <c r="D62" s="1" t="s">
        <v>203</v>
      </c>
      <c r="E62" s="1" t="s">
        <v>30</v>
      </c>
      <c r="F62" s="1" t="s">
        <v>204</v>
      </c>
      <c r="G62" s="1" t="s">
        <v>32</v>
      </c>
      <c r="H62" s="1" t="s">
        <v>50</v>
      </c>
      <c r="I62" s="1" t="s">
        <v>137</v>
      </c>
      <c r="J62" s="1">
        <v>69.010000000000005</v>
      </c>
      <c r="K62" s="1" t="s">
        <v>205</v>
      </c>
      <c r="L62" s="1" t="s">
        <v>36</v>
      </c>
      <c r="M62" s="1">
        <v>2.76</v>
      </c>
      <c r="N62" s="1" t="s">
        <v>132</v>
      </c>
      <c r="O62" s="1" t="s">
        <v>38</v>
      </c>
      <c r="P62" s="1" t="s">
        <v>39</v>
      </c>
      <c r="Q62" s="1" t="s">
        <v>133</v>
      </c>
      <c r="R62" s="1" t="s">
        <v>206</v>
      </c>
      <c r="S62" s="1" t="s">
        <v>42</v>
      </c>
      <c r="T62" s="1">
        <v>1522.51</v>
      </c>
      <c r="U62" s="1" t="s">
        <v>43</v>
      </c>
      <c r="V62" s="1" t="s">
        <v>30</v>
      </c>
      <c r="W62" s="1" t="s">
        <v>39</v>
      </c>
      <c r="X62" s="1" t="s">
        <v>30</v>
      </c>
      <c r="Y62" s="1" t="s">
        <v>39</v>
      </c>
      <c r="Z62" s="1" t="s">
        <v>44</v>
      </c>
    </row>
    <row r="63" spans="1:26" ht="15.75" x14ac:dyDescent="0.25">
      <c r="A63" s="1" t="s">
        <v>26</v>
      </c>
      <c r="B63" s="1" t="s">
        <v>27</v>
      </c>
      <c r="C63" s="1" t="s">
        <v>175</v>
      </c>
      <c r="D63" s="1" t="s">
        <v>207</v>
      </c>
      <c r="E63" s="1" t="s">
        <v>30</v>
      </c>
      <c r="F63" s="1" t="s">
        <v>208</v>
      </c>
      <c r="G63" s="1" t="s">
        <v>32</v>
      </c>
      <c r="H63" s="1" t="s">
        <v>50</v>
      </c>
      <c r="I63" s="1" t="s">
        <v>137</v>
      </c>
      <c r="J63" s="1">
        <v>42.35</v>
      </c>
      <c r="K63" s="1" t="s">
        <v>205</v>
      </c>
      <c r="L63" s="1" t="s">
        <v>36</v>
      </c>
      <c r="M63" s="1">
        <v>1.69</v>
      </c>
      <c r="N63" s="1" t="s">
        <v>209</v>
      </c>
      <c r="O63" s="1" t="s">
        <v>38</v>
      </c>
      <c r="P63" s="1" t="s">
        <v>39</v>
      </c>
      <c r="Q63" s="1" t="s">
        <v>210</v>
      </c>
      <c r="R63" s="1" t="s">
        <v>211</v>
      </c>
      <c r="S63" s="1" t="s">
        <v>42</v>
      </c>
      <c r="T63" s="1">
        <v>1522.51</v>
      </c>
      <c r="U63" s="1" t="s">
        <v>43</v>
      </c>
      <c r="V63" s="1" t="s">
        <v>30</v>
      </c>
      <c r="W63" s="1" t="s">
        <v>39</v>
      </c>
      <c r="X63" s="1" t="s">
        <v>30</v>
      </c>
      <c r="Y63" s="1" t="s">
        <v>39</v>
      </c>
      <c r="Z63" s="1" t="s">
        <v>44</v>
      </c>
    </row>
    <row r="64" spans="1:26" ht="15.75" x14ac:dyDescent="0.25">
      <c r="A64" s="1" t="s">
        <v>26</v>
      </c>
      <c r="B64" s="1" t="s">
        <v>27</v>
      </c>
      <c r="C64" s="1" t="s">
        <v>175</v>
      </c>
      <c r="D64" s="1" t="s">
        <v>207</v>
      </c>
      <c r="E64" s="1" t="s">
        <v>30</v>
      </c>
      <c r="F64" s="1" t="s">
        <v>208</v>
      </c>
      <c r="G64" s="1" t="s">
        <v>45</v>
      </c>
      <c r="H64" s="1" t="s">
        <v>50</v>
      </c>
      <c r="I64" s="1" t="s">
        <v>137</v>
      </c>
      <c r="J64" s="1">
        <v>1.5</v>
      </c>
      <c r="K64" s="1" t="s">
        <v>205</v>
      </c>
      <c r="L64" s="1" t="s">
        <v>36</v>
      </c>
      <c r="M64" s="1">
        <v>0.06</v>
      </c>
      <c r="N64" s="1" t="s">
        <v>209</v>
      </c>
      <c r="O64" s="1" t="s">
        <v>38</v>
      </c>
      <c r="P64" s="1" t="s">
        <v>39</v>
      </c>
      <c r="Q64" s="1" t="s">
        <v>210</v>
      </c>
      <c r="R64" s="1" t="s">
        <v>211</v>
      </c>
      <c r="S64" s="1" t="s">
        <v>42</v>
      </c>
      <c r="T64" s="1">
        <v>1522.51</v>
      </c>
      <c r="U64" s="1" t="s">
        <v>43</v>
      </c>
      <c r="V64" s="1" t="s">
        <v>30</v>
      </c>
      <c r="W64" s="1" t="s">
        <v>39</v>
      </c>
      <c r="X64" s="1" t="s">
        <v>30</v>
      </c>
      <c r="Y64" s="1" t="s">
        <v>39</v>
      </c>
      <c r="Z64" s="1" t="s">
        <v>44</v>
      </c>
    </row>
    <row r="65" spans="1:26" ht="15.75" x14ac:dyDescent="0.25">
      <c r="A65" s="1" t="s">
        <v>26</v>
      </c>
      <c r="B65" s="1" t="s">
        <v>27</v>
      </c>
      <c r="C65" s="1" t="s">
        <v>175</v>
      </c>
      <c r="D65" s="1" t="s">
        <v>212</v>
      </c>
      <c r="E65" s="1" t="s">
        <v>30</v>
      </c>
      <c r="F65" s="1" t="s">
        <v>213</v>
      </c>
      <c r="G65" s="1" t="s">
        <v>54</v>
      </c>
      <c r="H65" s="1" t="s">
        <v>34</v>
      </c>
      <c r="I65" s="1" t="s">
        <v>82</v>
      </c>
      <c r="J65" s="1">
        <v>16.34</v>
      </c>
      <c r="K65" s="1" t="s">
        <v>214</v>
      </c>
      <c r="L65" s="1" t="s">
        <v>36</v>
      </c>
      <c r="M65" s="1">
        <v>0.65</v>
      </c>
      <c r="N65" s="1" t="s">
        <v>215</v>
      </c>
      <c r="O65" s="1" t="s">
        <v>38</v>
      </c>
      <c r="P65" s="1" t="s">
        <v>39</v>
      </c>
      <c r="Q65" s="1" t="s">
        <v>216</v>
      </c>
      <c r="R65" s="1" t="s">
        <v>217</v>
      </c>
      <c r="S65" s="1" t="s">
        <v>42</v>
      </c>
      <c r="T65" s="1">
        <v>1522.51</v>
      </c>
      <c r="U65" s="1" t="s">
        <v>43</v>
      </c>
      <c r="V65" s="1" t="s">
        <v>30</v>
      </c>
      <c r="W65" s="1" t="s">
        <v>39</v>
      </c>
      <c r="X65" s="1" t="s">
        <v>30</v>
      </c>
      <c r="Y65" s="1" t="s">
        <v>39</v>
      </c>
      <c r="Z65" s="1" t="s">
        <v>44</v>
      </c>
    </row>
    <row r="66" spans="1:26" ht="15.75" x14ac:dyDescent="0.25">
      <c r="A66" s="1" t="s">
        <v>26</v>
      </c>
      <c r="B66" s="1" t="s">
        <v>27</v>
      </c>
      <c r="C66" s="1" t="s">
        <v>175</v>
      </c>
      <c r="D66" s="1" t="s">
        <v>218</v>
      </c>
      <c r="E66" s="1" t="s">
        <v>30</v>
      </c>
      <c r="F66" s="1" t="s">
        <v>219</v>
      </c>
      <c r="G66" s="1" t="s">
        <v>32</v>
      </c>
      <c r="H66" s="1" t="s">
        <v>137</v>
      </c>
      <c r="I66" s="1" t="s">
        <v>220</v>
      </c>
      <c r="J66" s="1">
        <v>36.29</v>
      </c>
      <c r="K66" s="1" t="s">
        <v>221</v>
      </c>
      <c r="L66" s="1" t="s">
        <v>36</v>
      </c>
      <c r="M66" s="1">
        <v>1.45</v>
      </c>
      <c r="N66" s="1" t="s">
        <v>74</v>
      </c>
      <c r="O66" s="1" t="s">
        <v>38</v>
      </c>
      <c r="P66" s="1" t="s">
        <v>39</v>
      </c>
      <c r="Q66" s="1" t="s">
        <v>75</v>
      </c>
      <c r="R66" s="1" t="s">
        <v>222</v>
      </c>
      <c r="S66" s="1" t="s">
        <v>42</v>
      </c>
      <c r="T66" s="1">
        <v>1522.51</v>
      </c>
      <c r="U66" s="1" t="s">
        <v>43</v>
      </c>
      <c r="V66" s="1" t="s">
        <v>30</v>
      </c>
      <c r="W66" s="1" t="s">
        <v>39</v>
      </c>
      <c r="X66" s="1" t="s">
        <v>30</v>
      </c>
      <c r="Y66" s="1" t="s">
        <v>39</v>
      </c>
      <c r="Z66" s="1" t="s">
        <v>44</v>
      </c>
    </row>
    <row r="67" spans="1:26" ht="15.75" x14ac:dyDescent="0.25">
      <c r="A67" s="1" t="s">
        <v>26</v>
      </c>
      <c r="B67" s="1" t="s">
        <v>27</v>
      </c>
      <c r="C67" s="1" t="s">
        <v>175</v>
      </c>
      <c r="D67" s="1" t="s">
        <v>218</v>
      </c>
      <c r="E67" s="1" t="s">
        <v>30</v>
      </c>
      <c r="F67" s="1" t="s">
        <v>219</v>
      </c>
      <c r="G67" s="1" t="s">
        <v>45</v>
      </c>
      <c r="H67" s="1" t="s">
        <v>137</v>
      </c>
      <c r="I67" s="1" t="s">
        <v>220</v>
      </c>
      <c r="J67" s="1">
        <v>1.5</v>
      </c>
      <c r="K67" s="1" t="s">
        <v>221</v>
      </c>
      <c r="L67" s="1" t="s">
        <v>36</v>
      </c>
      <c r="M67" s="1">
        <v>0.06</v>
      </c>
      <c r="N67" s="1" t="s">
        <v>74</v>
      </c>
      <c r="O67" s="1" t="s">
        <v>38</v>
      </c>
      <c r="P67" s="1" t="s">
        <v>39</v>
      </c>
      <c r="Q67" s="1" t="s">
        <v>75</v>
      </c>
      <c r="R67" s="1" t="s">
        <v>222</v>
      </c>
      <c r="S67" s="1" t="s">
        <v>42</v>
      </c>
      <c r="T67" s="1">
        <v>1522.51</v>
      </c>
      <c r="U67" s="1" t="s">
        <v>43</v>
      </c>
      <c r="V67" s="1" t="s">
        <v>30</v>
      </c>
      <c r="W67" s="1" t="s">
        <v>39</v>
      </c>
      <c r="X67" s="1" t="s">
        <v>30</v>
      </c>
      <c r="Y67" s="1" t="s">
        <v>39</v>
      </c>
      <c r="Z67" s="1" t="s">
        <v>44</v>
      </c>
    </row>
    <row r="68" spans="1:26" ht="15.75" x14ac:dyDescent="0.25">
      <c r="A68" s="1" t="s">
        <v>26</v>
      </c>
      <c r="B68" s="1" t="s">
        <v>27</v>
      </c>
      <c r="C68" s="1" t="s">
        <v>175</v>
      </c>
      <c r="D68" s="1" t="s">
        <v>223</v>
      </c>
      <c r="E68" s="1" t="s">
        <v>30</v>
      </c>
      <c r="F68" s="1" t="s">
        <v>219</v>
      </c>
      <c r="G68" s="1" t="s">
        <v>54</v>
      </c>
      <c r="H68" s="1" t="s">
        <v>137</v>
      </c>
      <c r="I68" s="1" t="s">
        <v>220</v>
      </c>
      <c r="J68" s="1">
        <v>16.34</v>
      </c>
      <c r="K68" s="1" t="s">
        <v>221</v>
      </c>
      <c r="L68" s="1" t="s">
        <v>36</v>
      </c>
      <c r="M68" s="1">
        <v>0.65</v>
      </c>
      <c r="N68" s="1" t="s">
        <v>74</v>
      </c>
      <c r="O68" s="1" t="s">
        <v>38</v>
      </c>
      <c r="P68" s="1" t="s">
        <v>39</v>
      </c>
      <c r="Q68" s="1" t="s">
        <v>75</v>
      </c>
      <c r="R68" s="1" t="s">
        <v>222</v>
      </c>
      <c r="S68" s="1" t="s">
        <v>42</v>
      </c>
      <c r="T68" s="1">
        <v>1522.51</v>
      </c>
      <c r="U68" s="1" t="s">
        <v>43</v>
      </c>
      <c r="V68" s="1" t="s">
        <v>30</v>
      </c>
      <c r="W68" s="1" t="s">
        <v>39</v>
      </c>
      <c r="X68" s="1" t="s">
        <v>30</v>
      </c>
      <c r="Y68" s="1" t="s">
        <v>39</v>
      </c>
      <c r="Z68" s="1" t="s">
        <v>44</v>
      </c>
    </row>
    <row r="69" spans="1:26" ht="15.75" x14ac:dyDescent="0.25">
      <c r="A69" s="1" t="s">
        <v>26</v>
      </c>
      <c r="B69" s="1" t="s">
        <v>27</v>
      </c>
      <c r="C69" s="1" t="s">
        <v>175</v>
      </c>
      <c r="D69" s="1" t="s">
        <v>224</v>
      </c>
      <c r="E69" s="1" t="s">
        <v>30</v>
      </c>
      <c r="F69" s="1" t="s">
        <v>225</v>
      </c>
      <c r="G69" s="1" t="s">
        <v>32</v>
      </c>
      <c r="H69" s="1" t="s">
        <v>90</v>
      </c>
      <c r="I69" s="1" t="s">
        <v>50</v>
      </c>
      <c r="J69" s="1">
        <v>72.59</v>
      </c>
      <c r="K69" s="1" t="s">
        <v>226</v>
      </c>
      <c r="L69" s="1" t="s">
        <v>36</v>
      </c>
      <c r="M69" s="1">
        <v>2.9</v>
      </c>
      <c r="N69" s="1" t="s">
        <v>74</v>
      </c>
      <c r="O69" s="1" t="s">
        <v>38</v>
      </c>
      <c r="P69" s="1" t="s">
        <v>39</v>
      </c>
      <c r="Q69" s="1" t="s">
        <v>75</v>
      </c>
      <c r="R69" s="1" t="s">
        <v>227</v>
      </c>
      <c r="S69" s="1" t="s">
        <v>42</v>
      </c>
      <c r="T69" s="1">
        <v>1522.51</v>
      </c>
      <c r="U69" s="1" t="s">
        <v>43</v>
      </c>
      <c r="V69" s="1" t="s">
        <v>30</v>
      </c>
      <c r="W69" s="1" t="s">
        <v>39</v>
      </c>
      <c r="X69" s="1" t="s">
        <v>30</v>
      </c>
      <c r="Y69" s="1" t="s">
        <v>39</v>
      </c>
      <c r="Z69" s="1" t="s">
        <v>44</v>
      </c>
    </row>
    <row r="70" spans="1:26" ht="15.75" x14ac:dyDescent="0.25">
      <c r="A70" s="1" t="s">
        <v>26</v>
      </c>
      <c r="B70" s="1" t="s">
        <v>27</v>
      </c>
      <c r="C70" s="1" t="s">
        <v>175</v>
      </c>
      <c r="D70" s="1" t="s">
        <v>224</v>
      </c>
      <c r="E70" s="1" t="s">
        <v>30</v>
      </c>
      <c r="F70" s="1" t="s">
        <v>225</v>
      </c>
      <c r="G70" s="1" t="s">
        <v>45</v>
      </c>
      <c r="H70" s="1" t="s">
        <v>90</v>
      </c>
      <c r="I70" s="1" t="s">
        <v>50</v>
      </c>
      <c r="J70" s="1">
        <v>2.69</v>
      </c>
      <c r="K70" s="1" t="s">
        <v>226</v>
      </c>
      <c r="L70" s="1" t="s">
        <v>36</v>
      </c>
      <c r="M70" s="1">
        <v>0.11</v>
      </c>
      <c r="N70" s="1" t="s">
        <v>74</v>
      </c>
      <c r="O70" s="1" t="s">
        <v>38</v>
      </c>
      <c r="P70" s="1" t="s">
        <v>39</v>
      </c>
      <c r="Q70" s="1" t="s">
        <v>75</v>
      </c>
      <c r="R70" s="1" t="s">
        <v>227</v>
      </c>
      <c r="S70" s="1" t="s">
        <v>42</v>
      </c>
      <c r="T70" s="1">
        <v>1522.51</v>
      </c>
      <c r="U70" s="1" t="s">
        <v>43</v>
      </c>
      <c r="V70" s="1" t="s">
        <v>30</v>
      </c>
      <c r="W70" s="1" t="s">
        <v>39</v>
      </c>
      <c r="X70" s="1" t="s">
        <v>30</v>
      </c>
      <c r="Y70" s="1" t="s">
        <v>39</v>
      </c>
      <c r="Z70" s="1" t="s">
        <v>44</v>
      </c>
    </row>
    <row r="71" spans="1:26" ht="15.75" x14ac:dyDescent="0.25">
      <c r="A71" s="1" t="s">
        <v>26</v>
      </c>
      <c r="B71" s="1" t="s">
        <v>27</v>
      </c>
      <c r="C71" s="1" t="s">
        <v>175</v>
      </c>
      <c r="D71" s="1" t="s">
        <v>228</v>
      </c>
      <c r="E71" s="1" t="s">
        <v>30</v>
      </c>
      <c r="F71" s="1" t="s">
        <v>229</v>
      </c>
      <c r="G71" s="1" t="s">
        <v>54</v>
      </c>
      <c r="H71" s="1" t="s">
        <v>58</v>
      </c>
      <c r="I71" s="1" t="s">
        <v>50</v>
      </c>
      <c r="J71" s="1">
        <v>16.34</v>
      </c>
      <c r="K71" s="1" t="s">
        <v>230</v>
      </c>
      <c r="L71" s="1" t="s">
        <v>36</v>
      </c>
      <c r="M71" s="1">
        <v>0.65</v>
      </c>
      <c r="N71" s="1" t="s">
        <v>231</v>
      </c>
      <c r="O71" s="1" t="s">
        <v>38</v>
      </c>
      <c r="P71" s="1" t="s">
        <v>39</v>
      </c>
      <c r="Q71" s="1" t="s">
        <v>232</v>
      </c>
      <c r="R71" s="1" t="s">
        <v>233</v>
      </c>
      <c r="S71" s="1" t="s">
        <v>42</v>
      </c>
      <c r="T71" s="1">
        <v>1522.51</v>
      </c>
      <c r="U71" s="1" t="s">
        <v>43</v>
      </c>
      <c r="V71" s="1" t="s">
        <v>30</v>
      </c>
      <c r="W71" s="1" t="s">
        <v>39</v>
      </c>
      <c r="X71" s="1" t="s">
        <v>30</v>
      </c>
      <c r="Y71" s="1" t="s">
        <v>39</v>
      </c>
      <c r="Z71" s="1" t="s">
        <v>44</v>
      </c>
    </row>
    <row r="72" spans="1:26" ht="15.75" x14ac:dyDescent="0.25">
      <c r="A72" s="1" t="s">
        <v>26</v>
      </c>
      <c r="B72" s="1" t="s">
        <v>27</v>
      </c>
      <c r="C72" s="1" t="s">
        <v>175</v>
      </c>
      <c r="D72" s="1" t="s">
        <v>234</v>
      </c>
      <c r="E72" s="1" t="s">
        <v>30</v>
      </c>
      <c r="F72" s="1" t="s">
        <v>235</v>
      </c>
      <c r="G72" s="1" t="s">
        <v>32</v>
      </c>
      <c r="H72" s="1" t="s">
        <v>49</v>
      </c>
      <c r="I72" s="1" t="s">
        <v>50</v>
      </c>
      <c r="J72" s="1">
        <v>93.17</v>
      </c>
      <c r="K72" s="1" t="s">
        <v>236</v>
      </c>
      <c r="L72" s="1" t="s">
        <v>36</v>
      </c>
      <c r="M72" s="1">
        <v>3.72</v>
      </c>
      <c r="N72" s="1" t="s">
        <v>116</v>
      </c>
      <c r="O72" s="1" t="s">
        <v>38</v>
      </c>
      <c r="P72" s="1" t="s">
        <v>39</v>
      </c>
      <c r="Q72" s="1" t="s">
        <v>117</v>
      </c>
      <c r="R72" s="1" t="s">
        <v>237</v>
      </c>
      <c r="S72" s="1" t="s">
        <v>42</v>
      </c>
      <c r="T72" s="1">
        <v>1522.51</v>
      </c>
      <c r="U72" s="1" t="s">
        <v>43</v>
      </c>
      <c r="V72" s="1" t="s">
        <v>30</v>
      </c>
      <c r="W72" s="1" t="s">
        <v>39</v>
      </c>
      <c r="X72" s="1" t="s">
        <v>30</v>
      </c>
      <c r="Y72" s="1" t="s">
        <v>39</v>
      </c>
      <c r="Z72" s="1" t="s">
        <v>44</v>
      </c>
    </row>
    <row r="73" spans="1:26" ht="15.75" x14ac:dyDescent="0.25">
      <c r="A73" s="1" t="s">
        <v>26</v>
      </c>
      <c r="B73" s="1" t="s">
        <v>27</v>
      </c>
      <c r="C73" s="1" t="s">
        <v>175</v>
      </c>
      <c r="D73" s="1" t="s">
        <v>234</v>
      </c>
      <c r="E73" s="1" t="s">
        <v>30</v>
      </c>
      <c r="F73" s="1" t="s">
        <v>235</v>
      </c>
      <c r="G73" s="1" t="s">
        <v>45</v>
      </c>
      <c r="H73" s="1" t="s">
        <v>49</v>
      </c>
      <c r="I73" s="1" t="s">
        <v>50</v>
      </c>
      <c r="J73" s="1">
        <v>2.69</v>
      </c>
      <c r="K73" s="1" t="s">
        <v>236</v>
      </c>
      <c r="L73" s="1" t="s">
        <v>36</v>
      </c>
      <c r="M73" s="1">
        <v>0.11</v>
      </c>
      <c r="N73" s="1" t="s">
        <v>116</v>
      </c>
      <c r="O73" s="1" t="s">
        <v>38</v>
      </c>
      <c r="P73" s="1" t="s">
        <v>39</v>
      </c>
      <c r="Q73" s="1" t="s">
        <v>117</v>
      </c>
      <c r="R73" s="1" t="s">
        <v>237</v>
      </c>
      <c r="S73" s="1" t="s">
        <v>42</v>
      </c>
      <c r="T73" s="1">
        <v>1522.51</v>
      </c>
      <c r="U73" s="1" t="s">
        <v>43</v>
      </c>
      <c r="V73" s="1" t="s">
        <v>30</v>
      </c>
      <c r="W73" s="1" t="s">
        <v>39</v>
      </c>
      <c r="X73" s="1" t="s">
        <v>30</v>
      </c>
      <c r="Y73" s="1" t="s">
        <v>39</v>
      </c>
      <c r="Z73" s="1" t="s">
        <v>44</v>
      </c>
    </row>
    <row r="74" spans="1:26" ht="15.75" x14ac:dyDescent="0.25">
      <c r="A74" s="1" t="s">
        <v>26</v>
      </c>
      <c r="B74" s="1" t="s">
        <v>27</v>
      </c>
      <c r="C74" s="1" t="s">
        <v>175</v>
      </c>
      <c r="D74" s="1" t="s">
        <v>238</v>
      </c>
      <c r="E74" s="1" t="s">
        <v>30</v>
      </c>
      <c r="F74" s="1" t="s">
        <v>239</v>
      </c>
      <c r="G74" s="1" t="s">
        <v>32</v>
      </c>
      <c r="H74" s="1" t="s">
        <v>49</v>
      </c>
      <c r="I74" s="1" t="s">
        <v>50</v>
      </c>
      <c r="J74" s="1">
        <v>37.43</v>
      </c>
      <c r="K74" s="1" t="s">
        <v>236</v>
      </c>
      <c r="L74" s="1" t="s">
        <v>36</v>
      </c>
      <c r="M74" s="1">
        <v>1.5</v>
      </c>
      <c r="N74" s="1" t="s">
        <v>240</v>
      </c>
      <c r="O74" s="1" t="s">
        <v>38</v>
      </c>
      <c r="P74" s="1" t="s">
        <v>39</v>
      </c>
      <c r="Q74" s="1" t="s">
        <v>241</v>
      </c>
      <c r="R74" s="1" t="s">
        <v>242</v>
      </c>
      <c r="S74" s="1" t="s">
        <v>42</v>
      </c>
      <c r="T74" s="1">
        <v>1522.51</v>
      </c>
      <c r="U74" s="1" t="s">
        <v>43</v>
      </c>
      <c r="V74" s="1" t="s">
        <v>30</v>
      </c>
      <c r="W74" s="1" t="s">
        <v>39</v>
      </c>
      <c r="X74" s="1" t="s">
        <v>30</v>
      </c>
      <c r="Y74" s="1" t="s">
        <v>39</v>
      </c>
      <c r="Z74" s="1" t="s">
        <v>44</v>
      </c>
    </row>
    <row r="75" spans="1:26" ht="15.75" x14ac:dyDescent="0.25">
      <c r="A75" s="1" t="s">
        <v>26</v>
      </c>
      <c r="B75" s="1" t="s">
        <v>27</v>
      </c>
      <c r="C75" s="1" t="s">
        <v>175</v>
      </c>
      <c r="D75" s="1" t="s">
        <v>243</v>
      </c>
      <c r="E75" s="1" t="s">
        <v>30</v>
      </c>
      <c r="F75" s="1" t="s">
        <v>244</v>
      </c>
      <c r="G75" s="1" t="s">
        <v>32</v>
      </c>
      <c r="H75" s="1" t="s">
        <v>49</v>
      </c>
      <c r="I75" s="1" t="s">
        <v>50</v>
      </c>
      <c r="J75" s="1">
        <v>36.29</v>
      </c>
      <c r="K75" s="1" t="s">
        <v>236</v>
      </c>
      <c r="L75" s="1" t="s">
        <v>36</v>
      </c>
      <c r="M75" s="1">
        <v>1.45</v>
      </c>
      <c r="N75" s="1" t="s">
        <v>74</v>
      </c>
      <c r="O75" s="1" t="s">
        <v>38</v>
      </c>
      <c r="P75" s="1" t="s">
        <v>39</v>
      </c>
      <c r="Q75" s="1" t="s">
        <v>75</v>
      </c>
      <c r="R75" s="1" t="s">
        <v>245</v>
      </c>
      <c r="S75" s="1" t="s">
        <v>42</v>
      </c>
      <c r="T75" s="1">
        <v>1522.51</v>
      </c>
      <c r="U75" s="1" t="s">
        <v>43</v>
      </c>
      <c r="V75" s="1" t="s">
        <v>30</v>
      </c>
      <c r="W75" s="1" t="s">
        <v>39</v>
      </c>
      <c r="X75" s="1" t="s">
        <v>30</v>
      </c>
      <c r="Y75" s="1" t="s">
        <v>39</v>
      </c>
      <c r="Z75" s="1" t="s">
        <v>44</v>
      </c>
    </row>
    <row r="76" spans="1:26" ht="15.75" x14ac:dyDescent="0.25">
      <c r="A76" s="1" t="s">
        <v>26</v>
      </c>
      <c r="B76" s="1" t="s">
        <v>27</v>
      </c>
      <c r="C76" s="1" t="s">
        <v>175</v>
      </c>
      <c r="D76" s="1" t="s">
        <v>243</v>
      </c>
      <c r="E76" s="1" t="s">
        <v>30</v>
      </c>
      <c r="F76" s="1" t="s">
        <v>244</v>
      </c>
      <c r="G76" s="1" t="s">
        <v>45</v>
      </c>
      <c r="H76" s="1" t="s">
        <v>49</v>
      </c>
      <c r="I76" s="1" t="s">
        <v>50</v>
      </c>
      <c r="J76" s="1">
        <v>1.5</v>
      </c>
      <c r="K76" s="1" t="s">
        <v>236</v>
      </c>
      <c r="L76" s="1" t="s">
        <v>36</v>
      </c>
      <c r="M76" s="1">
        <v>0.06</v>
      </c>
      <c r="N76" s="1" t="s">
        <v>74</v>
      </c>
      <c r="O76" s="1" t="s">
        <v>38</v>
      </c>
      <c r="P76" s="1" t="s">
        <v>39</v>
      </c>
      <c r="Q76" s="1" t="s">
        <v>75</v>
      </c>
      <c r="R76" s="1" t="s">
        <v>245</v>
      </c>
      <c r="S76" s="1" t="s">
        <v>42</v>
      </c>
      <c r="T76" s="1">
        <v>1522.51</v>
      </c>
      <c r="U76" s="1" t="s">
        <v>43</v>
      </c>
      <c r="V76" s="1" t="s">
        <v>30</v>
      </c>
      <c r="W76" s="1" t="s">
        <v>39</v>
      </c>
      <c r="X76" s="1" t="s">
        <v>30</v>
      </c>
      <c r="Y76" s="1" t="s">
        <v>39</v>
      </c>
      <c r="Z76" s="1" t="s">
        <v>44</v>
      </c>
    </row>
    <row r="77" spans="1:26" ht="15.75" x14ac:dyDescent="0.25">
      <c r="A77" s="1" t="s">
        <v>26</v>
      </c>
      <c r="B77" s="1" t="s">
        <v>27</v>
      </c>
      <c r="C77" s="1" t="s">
        <v>175</v>
      </c>
      <c r="D77" s="1" t="s">
        <v>246</v>
      </c>
      <c r="E77" s="1" t="s">
        <v>30</v>
      </c>
      <c r="F77" s="1" t="s">
        <v>247</v>
      </c>
      <c r="G77" s="1" t="s">
        <v>32</v>
      </c>
      <c r="H77" s="1" t="s">
        <v>49</v>
      </c>
      <c r="I77" s="1" t="s">
        <v>50</v>
      </c>
      <c r="J77" s="1">
        <v>36.29</v>
      </c>
      <c r="K77" s="1" t="s">
        <v>236</v>
      </c>
      <c r="L77" s="1" t="s">
        <v>36</v>
      </c>
      <c r="M77" s="1">
        <v>1.45</v>
      </c>
      <c r="N77" s="1" t="s">
        <v>74</v>
      </c>
      <c r="O77" s="1" t="s">
        <v>38</v>
      </c>
      <c r="P77" s="1" t="s">
        <v>39</v>
      </c>
      <c r="Q77" s="1" t="s">
        <v>75</v>
      </c>
      <c r="R77" s="1" t="s">
        <v>248</v>
      </c>
      <c r="S77" s="1" t="s">
        <v>42</v>
      </c>
      <c r="T77" s="1">
        <v>1522.51</v>
      </c>
      <c r="U77" s="1" t="s">
        <v>43</v>
      </c>
      <c r="V77" s="1" t="s">
        <v>30</v>
      </c>
      <c r="W77" s="1" t="s">
        <v>39</v>
      </c>
      <c r="X77" s="1" t="s">
        <v>30</v>
      </c>
      <c r="Y77" s="1" t="s">
        <v>39</v>
      </c>
      <c r="Z77" s="1" t="s">
        <v>44</v>
      </c>
    </row>
    <row r="78" spans="1:26" ht="15.75" x14ac:dyDescent="0.25">
      <c r="A78" s="1" t="s">
        <v>26</v>
      </c>
      <c r="B78" s="1" t="s">
        <v>27</v>
      </c>
      <c r="C78" s="1" t="s">
        <v>175</v>
      </c>
      <c r="D78" s="1" t="s">
        <v>246</v>
      </c>
      <c r="E78" s="1" t="s">
        <v>30</v>
      </c>
      <c r="F78" s="1" t="s">
        <v>247</v>
      </c>
      <c r="G78" s="1" t="s">
        <v>45</v>
      </c>
      <c r="H78" s="1" t="s">
        <v>49</v>
      </c>
      <c r="I78" s="1" t="s">
        <v>50</v>
      </c>
      <c r="J78" s="1">
        <v>1.5</v>
      </c>
      <c r="K78" s="1" t="s">
        <v>236</v>
      </c>
      <c r="L78" s="1" t="s">
        <v>36</v>
      </c>
      <c r="M78" s="1">
        <v>0.06</v>
      </c>
      <c r="N78" s="1" t="s">
        <v>74</v>
      </c>
      <c r="O78" s="1" t="s">
        <v>38</v>
      </c>
      <c r="P78" s="1" t="s">
        <v>39</v>
      </c>
      <c r="Q78" s="1" t="s">
        <v>75</v>
      </c>
      <c r="R78" s="1" t="s">
        <v>248</v>
      </c>
      <c r="S78" s="1" t="s">
        <v>42</v>
      </c>
      <c r="T78" s="1">
        <v>1522.51</v>
      </c>
      <c r="U78" s="1" t="s">
        <v>43</v>
      </c>
      <c r="V78" s="1" t="s">
        <v>30</v>
      </c>
      <c r="W78" s="1" t="s">
        <v>39</v>
      </c>
      <c r="X78" s="1" t="s">
        <v>30</v>
      </c>
      <c r="Y78" s="1" t="s">
        <v>39</v>
      </c>
      <c r="Z78" s="1" t="s">
        <v>44</v>
      </c>
    </row>
    <row r="79" spans="1:26" ht="15.75" x14ac:dyDescent="0.25">
      <c r="A79" s="1" t="s">
        <v>26</v>
      </c>
      <c r="B79" s="1" t="s">
        <v>27</v>
      </c>
      <c r="C79" s="1" t="s">
        <v>175</v>
      </c>
      <c r="D79" s="1" t="s">
        <v>249</v>
      </c>
      <c r="E79" s="1" t="s">
        <v>30</v>
      </c>
      <c r="F79" s="1" t="s">
        <v>247</v>
      </c>
      <c r="G79" s="1" t="s">
        <v>54</v>
      </c>
      <c r="H79" s="1" t="s">
        <v>49</v>
      </c>
      <c r="I79" s="1" t="s">
        <v>50</v>
      </c>
      <c r="J79" s="1">
        <v>16.34</v>
      </c>
      <c r="K79" s="1" t="s">
        <v>236</v>
      </c>
      <c r="L79" s="1" t="s">
        <v>36</v>
      </c>
      <c r="M79" s="1">
        <v>0.65</v>
      </c>
      <c r="N79" s="1" t="s">
        <v>74</v>
      </c>
      <c r="O79" s="1" t="s">
        <v>38</v>
      </c>
      <c r="P79" s="1" t="s">
        <v>39</v>
      </c>
      <c r="Q79" s="1" t="s">
        <v>75</v>
      </c>
      <c r="R79" s="1" t="s">
        <v>248</v>
      </c>
      <c r="S79" s="1" t="s">
        <v>42</v>
      </c>
      <c r="T79" s="1">
        <v>1522.51</v>
      </c>
      <c r="U79" s="1" t="s">
        <v>43</v>
      </c>
      <c r="V79" s="1" t="s">
        <v>30</v>
      </c>
      <c r="W79" s="1" t="s">
        <v>39</v>
      </c>
      <c r="X79" s="1" t="s">
        <v>30</v>
      </c>
      <c r="Y79" s="1" t="s">
        <v>39</v>
      </c>
      <c r="Z79" s="1" t="s">
        <v>44</v>
      </c>
    </row>
    <row r="80" spans="1:26" ht="15.75" x14ac:dyDescent="0.25">
      <c r="A80" s="1" t="s">
        <v>26</v>
      </c>
      <c r="B80" s="1" t="s">
        <v>27</v>
      </c>
      <c r="C80" s="1" t="s">
        <v>250</v>
      </c>
      <c r="D80" s="1" t="s">
        <v>251</v>
      </c>
      <c r="E80" s="1" t="s">
        <v>30</v>
      </c>
      <c r="F80" s="1" t="s">
        <v>252</v>
      </c>
      <c r="G80" s="1" t="s">
        <v>32</v>
      </c>
      <c r="H80" s="1" t="s">
        <v>90</v>
      </c>
      <c r="I80" s="1" t="s">
        <v>50</v>
      </c>
      <c r="J80" s="1">
        <v>41.17</v>
      </c>
      <c r="K80" s="1" t="s">
        <v>253</v>
      </c>
      <c r="L80" s="1" t="s">
        <v>36</v>
      </c>
      <c r="M80" s="1">
        <v>1.65</v>
      </c>
      <c r="N80" s="1" t="s">
        <v>254</v>
      </c>
      <c r="O80" s="1" t="s">
        <v>38</v>
      </c>
      <c r="P80" s="1" t="s">
        <v>39</v>
      </c>
      <c r="Q80" s="1" t="s">
        <v>255</v>
      </c>
      <c r="R80" s="1" t="s">
        <v>256</v>
      </c>
      <c r="S80" s="1" t="s">
        <v>42</v>
      </c>
      <c r="T80" s="1">
        <v>1522.51</v>
      </c>
      <c r="U80" s="1" t="s">
        <v>43</v>
      </c>
      <c r="V80" s="1" t="s">
        <v>30</v>
      </c>
      <c r="W80" s="1" t="s">
        <v>39</v>
      </c>
      <c r="X80" s="1" t="s">
        <v>30</v>
      </c>
      <c r="Y80" s="1" t="s">
        <v>39</v>
      </c>
      <c r="Z80" s="1" t="s">
        <v>44</v>
      </c>
    </row>
    <row r="81" spans="1:26" ht="15.75" x14ac:dyDescent="0.25">
      <c r="A81" s="1" t="s">
        <v>26</v>
      </c>
      <c r="B81" s="1" t="s">
        <v>27</v>
      </c>
      <c r="C81" s="1" t="s">
        <v>250</v>
      </c>
      <c r="D81" s="1" t="s">
        <v>257</v>
      </c>
      <c r="E81" s="1" t="s">
        <v>30</v>
      </c>
      <c r="F81" s="1" t="s">
        <v>252</v>
      </c>
      <c r="G81" s="1" t="s">
        <v>54</v>
      </c>
      <c r="H81" s="1" t="s">
        <v>90</v>
      </c>
      <c r="I81" s="1" t="s">
        <v>50</v>
      </c>
      <c r="J81" s="1">
        <v>16.34</v>
      </c>
      <c r="K81" s="1" t="s">
        <v>253</v>
      </c>
      <c r="L81" s="1" t="s">
        <v>36</v>
      </c>
      <c r="M81" s="1">
        <v>0.65</v>
      </c>
      <c r="N81" s="1" t="s">
        <v>254</v>
      </c>
      <c r="O81" s="1" t="s">
        <v>38</v>
      </c>
      <c r="P81" s="1" t="s">
        <v>39</v>
      </c>
      <c r="Q81" s="1" t="s">
        <v>255</v>
      </c>
      <c r="R81" s="1" t="s">
        <v>256</v>
      </c>
      <c r="S81" s="1" t="s">
        <v>42</v>
      </c>
      <c r="T81" s="1">
        <v>1522.51</v>
      </c>
      <c r="U81" s="1" t="s">
        <v>43</v>
      </c>
      <c r="V81" s="1" t="s">
        <v>30</v>
      </c>
      <c r="W81" s="1" t="s">
        <v>39</v>
      </c>
      <c r="X81" s="1" t="s">
        <v>30</v>
      </c>
      <c r="Y81" s="1" t="s">
        <v>39</v>
      </c>
      <c r="Z81" s="1" t="s">
        <v>44</v>
      </c>
    </row>
    <row r="82" spans="1:26" ht="15.75" x14ac:dyDescent="0.25">
      <c r="A82" s="1" t="s">
        <v>26</v>
      </c>
      <c r="B82" s="1" t="s">
        <v>27</v>
      </c>
      <c r="C82" s="1" t="s">
        <v>250</v>
      </c>
      <c r="D82" s="1" t="s">
        <v>258</v>
      </c>
      <c r="E82" s="1" t="s">
        <v>30</v>
      </c>
      <c r="F82" s="1" t="s">
        <v>259</v>
      </c>
      <c r="G82" s="1" t="s">
        <v>32</v>
      </c>
      <c r="H82" s="1" t="s">
        <v>90</v>
      </c>
      <c r="I82" s="1" t="s">
        <v>50</v>
      </c>
      <c r="J82" s="1">
        <v>77.08</v>
      </c>
      <c r="K82" s="1" t="s">
        <v>253</v>
      </c>
      <c r="L82" s="1" t="s">
        <v>36</v>
      </c>
      <c r="M82" s="1">
        <v>3.08</v>
      </c>
      <c r="N82" s="1" t="s">
        <v>116</v>
      </c>
      <c r="O82" s="1" t="s">
        <v>38</v>
      </c>
      <c r="P82" s="1" t="s">
        <v>39</v>
      </c>
      <c r="Q82" s="1" t="s">
        <v>117</v>
      </c>
      <c r="R82" s="1" t="s">
        <v>260</v>
      </c>
      <c r="S82" s="1" t="s">
        <v>42</v>
      </c>
      <c r="T82" s="1">
        <v>1522.51</v>
      </c>
      <c r="U82" s="1" t="s">
        <v>43</v>
      </c>
      <c r="V82" s="1" t="s">
        <v>30</v>
      </c>
      <c r="W82" s="1" t="s">
        <v>39</v>
      </c>
      <c r="X82" s="1" t="s">
        <v>30</v>
      </c>
      <c r="Y82" s="1" t="s">
        <v>39</v>
      </c>
      <c r="Z82" s="1" t="s">
        <v>44</v>
      </c>
    </row>
    <row r="83" spans="1:26" ht="15.75" x14ac:dyDescent="0.25">
      <c r="A83" s="1" t="s">
        <v>26</v>
      </c>
      <c r="B83" s="1" t="s">
        <v>27</v>
      </c>
      <c r="C83" s="1" t="s">
        <v>250</v>
      </c>
      <c r="D83" s="1" t="s">
        <v>258</v>
      </c>
      <c r="E83" s="1" t="s">
        <v>30</v>
      </c>
      <c r="F83" s="1" t="s">
        <v>259</v>
      </c>
      <c r="G83" s="1" t="s">
        <v>45</v>
      </c>
      <c r="H83" s="1" t="s">
        <v>90</v>
      </c>
      <c r="I83" s="1" t="s">
        <v>50</v>
      </c>
      <c r="J83" s="1">
        <v>2.69</v>
      </c>
      <c r="K83" s="1" t="s">
        <v>253</v>
      </c>
      <c r="L83" s="1" t="s">
        <v>36</v>
      </c>
      <c r="M83" s="1">
        <v>0.11</v>
      </c>
      <c r="N83" s="1" t="s">
        <v>116</v>
      </c>
      <c r="O83" s="1" t="s">
        <v>38</v>
      </c>
      <c r="P83" s="1" t="s">
        <v>39</v>
      </c>
      <c r="Q83" s="1" t="s">
        <v>117</v>
      </c>
      <c r="R83" s="1" t="s">
        <v>260</v>
      </c>
      <c r="S83" s="1" t="s">
        <v>42</v>
      </c>
      <c r="T83" s="1">
        <v>1522.51</v>
      </c>
      <c r="U83" s="1" t="s">
        <v>43</v>
      </c>
      <c r="V83" s="1" t="s">
        <v>30</v>
      </c>
      <c r="W83" s="1" t="s">
        <v>39</v>
      </c>
      <c r="X83" s="1" t="s">
        <v>30</v>
      </c>
      <c r="Y83" s="1" t="s">
        <v>39</v>
      </c>
      <c r="Z83" s="1" t="s">
        <v>44</v>
      </c>
    </row>
    <row r="84" spans="1:26" ht="15.75" x14ac:dyDescent="0.25">
      <c r="A84" s="1" t="s">
        <v>26</v>
      </c>
      <c r="B84" s="1" t="s">
        <v>27</v>
      </c>
      <c r="C84" s="1" t="s">
        <v>250</v>
      </c>
      <c r="D84" s="1" t="s">
        <v>261</v>
      </c>
      <c r="E84" s="1" t="s">
        <v>30</v>
      </c>
      <c r="F84" s="1" t="s">
        <v>262</v>
      </c>
      <c r="G84" s="1" t="s">
        <v>32</v>
      </c>
      <c r="H84" s="1" t="s">
        <v>90</v>
      </c>
      <c r="I84" s="1" t="s">
        <v>50</v>
      </c>
      <c r="J84" s="1">
        <v>38.54</v>
      </c>
      <c r="K84" s="1" t="s">
        <v>253</v>
      </c>
      <c r="L84" s="1" t="s">
        <v>36</v>
      </c>
      <c r="M84" s="1">
        <v>1.54</v>
      </c>
      <c r="N84" s="1" t="s">
        <v>116</v>
      </c>
      <c r="O84" s="1" t="s">
        <v>38</v>
      </c>
      <c r="P84" s="1" t="s">
        <v>39</v>
      </c>
      <c r="Q84" s="1" t="s">
        <v>117</v>
      </c>
      <c r="R84" s="1" t="s">
        <v>263</v>
      </c>
      <c r="S84" s="1" t="s">
        <v>42</v>
      </c>
      <c r="T84" s="1">
        <v>1522.51</v>
      </c>
      <c r="U84" s="1" t="s">
        <v>43</v>
      </c>
      <c r="V84" s="1" t="s">
        <v>30</v>
      </c>
      <c r="W84" s="1" t="s">
        <v>39</v>
      </c>
      <c r="X84" s="1" t="s">
        <v>30</v>
      </c>
      <c r="Y84" s="1" t="s">
        <v>39</v>
      </c>
      <c r="Z84" s="1" t="s">
        <v>44</v>
      </c>
    </row>
    <row r="85" spans="1:26" ht="15.75" x14ac:dyDescent="0.25">
      <c r="A85" s="1" t="s">
        <v>26</v>
      </c>
      <c r="B85" s="1" t="s">
        <v>27</v>
      </c>
      <c r="C85" s="1" t="s">
        <v>250</v>
      </c>
      <c r="D85" s="1" t="s">
        <v>261</v>
      </c>
      <c r="E85" s="1" t="s">
        <v>30</v>
      </c>
      <c r="F85" s="1" t="s">
        <v>262</v>
      </c>
      <c r="G85" s="1" t="s">
        <v>45</v>
      </c>
      <c r="H85" s="1" t="s">
        <v>90</v>
      </c>
      <c r="I85" s="1" t="s">
        <v>50</v>
      </c>
      <c r="J85" s="1">
        <v>1.5</v>
      </c>
      <c r="K85" s="1" t="s">
        <v>253</v>
      </c>
      <c r="L85" s="1" t="s">
        <v>36</v>
      </c>
      <c r="M85" s="1">
        <v>0.06</v>
      </c>
      <c r="N85" s="1" t="s">
        <v>116</v>
      </c>
      <c r="O85" s="1" t="s">
        <v>38</v>
      </c>
      <c r="P85" s="1" t="s">
        <v>39</v>
      </c>
      <c r="Q85" s="1" t="s">
        <v>117</v>
      </c>
      <c r="R85" s="1" t="s">
        <v>263</v>
      </c>
      <c r="S85" s="1" t="s">
        <v>42</v>
      </c>
      <c r="T85" s="1">
        <v>1522.51</v>
      </c>
      <c r="U85" s="1" t="s">
        <v>43</v>
      </c>
      <c r="V85" s="1" t="s">
        <v>30</v>
      </c>
      <c r="W85" s="1" t="s">
        <v>39</v>
      </c>
      <c r="X85" s="1" t="s">
        <v>30</v>
      </c>
      <c r="Y85" s="1" t="s">
        <v>39</v>
      </c>
      <c r="Z85" s="1" t="s">
        <v>44</v>
      </c>
    </row>
    <row r="86" spans="1:26" ht="15.75" x14ac:dyDescent="0.25">
      <c r="A86" s="1" t="s">
        <v>26</v>
      </c>
      <c r="B86" s="1" t="s">
        <v>27</v>
      </c>
      <c r="C86" s="1" t="s">
        <v>250</v>
      </c>
      <c r="D86" s="1" t="s">
        <v>264</v>
      </c>
      <c r="E86" s="1" t="s">
        <v>30</v>
      </c>
      <c r="F86" s="1" t="s">
        <v>265</v>
      </c>
      <c r="G86" s="1" t="s">
        <v>32</v>
      </c>
      <c r="H86" s="1" t="s">
        <v>58</v>
      </c>
      <c r="I86" s="1" t="s">
        <v>50</v>
      </c>
      <c r="J86" s="1">
        <v>93.17</v>
      </c>
      <c r="K86" s="1" t="s">
        <v>266</v>
      </c>
      <c r="L86" s="1" t="s">
        <v>36</v>
      </c>
      <c r="M86" s="1">
        <v>3.72</v>
      </c>
      <c r="N86" s="1" t="s">
        <v>267</v>
      </c>
      <c r="O86" s="1" t="s">
        <v>38</v>
      </c>
      <c r="P86" s="1" t="s">
        <v>39</v>
      </c>
      <c r="Q86" s="1" t="s">
        <v>268</v>
      </c>
      <c r="R86" s="1" t="s">
        <v>269</v>
      </c>
      <c r="S86" s="1" t="s">
        <v>42</v>
      </c>
      <c r="T86" s="1">
        <v>1522.51</v>
      </c>
      <c r="U86" s="1" t="s">
        <v>43</v>
      </c>
      <c r="V86" s="1" t="s">
        <v>30</v>
      </c>
      <c r="W86" s="1" t="s">
        <v>39</v>
      </c>
      <c r="X86" s="1" t="s">
        <v>30</v>
      </c>
      <c r="Y86" s="1" t="s">
        <v>39</v>
      </c>
      <c r="Z86" s="1" t="s">
        <v>44</v>
      </c>
    </row>
    <row r="87" spans="1:26" ht="15.75" x14ac:dyDescent="0.25">
      <c r="A87" s="1" t="s">
        <v>26</v>
      </c>
      <c r="B87" s="1" t="s">
        <v>27</v>
      </c>
      <c r="C87" s="1" t="s">
        <v>250</v>
      </c>
      <c r="D87" s="1" t="s">
        <v>264</v>
      </c>
      <c r="E87" s="1" t="s">
        <v>30</v>
      </c>
      <c r="F87" s="1" t="s">
        <v>265</v>
      </c>
      <c r="G87" s="1" t="s">
        <v>45</v>
      </c>
      <c r="H87" s="1" t="s">
        <v>58</v>
      </c>
      <c r="I87" s="1" t="s">
        <v>50</v>
      </c>
      <c r="J87" s="1">
        <v>2.69</v>
      </c>
      <c r="K87" s="1" t="s">
        <v>266</v>
      </c>
      <c r="L87" s="1" t="s">
        <v>36</v>
      </c>
      <c r="M87" s="1">
        <v>0.11</v>
      </c>
      <c r="N87" s="1" t="s">
        <v>267</v>
      </c>
      <c r="O87" s="1" t="s">
        <v>38</v>
      </c>
      <c r="P87" s="1" t="s">
        <v>39</v>
      </c>
      <c r="Q87" s="1" t="s">
        <v>268</v>
      </c>
      <c r="R87" s="1" t="s">
        <v>269</v>
      </c>
      <c r="S87" s="1" t="s">
        <v>42</v>
      </c>
      <c r="T87" s="1">
        <v>1522.51</v>
      </c>
      <c r="U87" s="1" t="s">
        <v>43</v>
      </c>
      <c r="V87" s="1" t="s">
        <v>30</v>
      </c>
      <c r="W87" s="1" t="s">
        <v>39</v>
      </c>
      <c r="X87" s="1" t="s">
        <v>30</v>
      </c>
      <c r="Y87" s="1" t="s">
        <v>39</v>
      </c>
      <c r="Z87" s="1" t="s">
        <v>44</v>
      </c>
    </row>
    <row r="88" spans="1:26" ht="15.75" x14ac:dyDescent="0.25">
      <c r="A88" s="1" t="s">
        <v>26</v>
      </c>
      <c r="B88" s="1" t="s">
        <v>27</v>
      </c>
      <c r="C88" s="1" t="s">
        <v>250</v>
      </c>
      <c r="D88" s="1" t="s">
        <v>270</v>
      </c>
      <c r="E88" s="1" t="s">
        <v>30</v>
      </c>
      <c r="F88" s="1" t="s">
        <v>271</v>
      </c>
      <c r="G88" s="1" t="s">
        <v>32</v>
      </c>
      <c r="H88" s="1" t="s">
        <v>58</v>
      </c>
      <c r="I88" s="1" t="s">
        <v>137</v>
      </c>
      <c r="J88" s="1">
        <v>23.51</v>
      </c>
      <c r="K88" s="1" t="s">
        <v>266</v>
      </c>
      <c r="L88" s="1" t="s">
        <v>36</v>
      </c>
      <c r="M88" s="1">
        <v>0.94</v>
      </c>
      <c r="N88" s="1" t="s">
        <v>254</v>
      </c>
      <c r="O88" s="1" t="s">
        <v>38</v>
      </c>
      <c r="P88" s="1" t="s">
        <v>39</v>
      </c>
      <c r="Q88" s="1" t="s">
        <v>255</v>
      </c>
      <c r="R88" s="1" t="s">
        <v>272</v>
      </c>
      <c r="S88" s="1" t="s">
        <v>42</v>
      </c>
      <c r="T88" s="1">
        <v>1522.51</v>
      </c>
      <c r="U88" s="1" t="s">
        <v>43</v>
      </c>
      <c r="V88" s="1" t="s">
        <v>30</v>
      </c>
      <c r="W88" s="1" t="s">
        <v>39</v>
      </c>
      <c r="X88" s="1" t="s">
        <v>30</v>
      </c>
      <c r="Y88" s="1" t="s">
        <v>39</v>
      </c>
      <c r="Z88" s="1" t="s">
        <v>44</v>
      </c>
    </row>
    <row r="89" spans="1:26" ht="15.75" x14ac:dyDescent="0.25">
      <c r="A89" s="1" t="s">
        <v>26</v>
      </c>
      <c r="B89" s="1" t="s">
        <v>27</v>
      </c>
      <c r="C89" s="1" t="s">
        <v>250</v>
      </c>
      <c r="D89" s="1" t="s">
        <v>273</v>
      </c>
      <c r="E89" s="1" t="s">
        <v>30</v>
      </c>
      <c r="F89" s="1" t="s">
        <v>271</v>
      </c>
      <c r="G89" s="1" t="s">
        <v>54</v>
      </c>
      <c r="H89" s="1" t="s">
        <v>58</v>
      </c>
      <c r="I89" s="1" t="s">
        <v>137</v>
      </c>
      <c r="J89" s="1">
        <v>16.34</v>
      </c>
      <c r="K89" s="1" t="s">
        <v>266</v>
      </c>
      <c r="L89" s="1" t="s">
        <v>36</v>
      </c>
      <c r="M89" s="1">
        <v>0.65</v>
      </c>
      <c r="N89" s="1" t="s">
        <v>254</v>
      </c>
      <c r="O89" s="1" t="s">
        <v>38</v>
      </c>
      <c r="P89" s="1" t="s">
        <v>39</v>
      </c>
      <c r="Q89" s="1" t="s">
        <v>255</v>
      </c>
      <c r="R89" s="1" t="s">
        <v>272</v>
      </c>
      <c r="S89" s="1" t="s">
        <v>42</v>
      </c>
      <c r="T89" s="1">
        <v>1522.51</v>
      </c>
      <c r="U89" s="1" t="s">
        <v>43</v>
      </c>
      <c r="V89" s="1" t="s">
        <v>30</v>
      </c>
      <c r="W89" s="1" t="s">
        <v>39</v>
      </c>
      <c r="X89" s="1" t="s">
        <v>30</v>
      </c>
      <c r="Y89" s="1" t="s">
        <v>39</v>
      </c>
      <c r="Z89" s="1" t="s">
        <v>44</v>
      </c>
    </row>
    <row r="90" spans="1:26" ht="15.75" x14ac:dyDescent="0.25">
      <c r="A90" s="1" t="s">
        <v>26</v>
      </c>
      <c r="B90" s="1" t="s">
        <v>27</v>
      </c>
      <c r="C90" s="1" t="s">
        <v>250</v>
      </c>
      <c r="D90" s="1" t="s">
        <v>274</v>
      </c>
      <c r="E90" s="1" t="s">
        <v>30</v>
      </c>
      <c r="F90" s="1" t="s">
        <v>275</v>
      </c>
      <c r="G90" s="1" t="s">
        <v>32</v>
      </c>
      <c r="H90" s="1" t="s">
        <v>58</v>
      </c>
      <c r="I90" s="1" t="s">
        <v>50</v>
      </c>
      <c r="J90" s="1">
        <v>51.24</v>
      </c>
      <c r="K90" s="1" t="s">
        <v>266</v>
      </c>
      <c r="L90" s="1" t="s">
        <v>36</v>
      </c>
      <c r="M90" s="1">
        <v>2.0499999999999998</v>
      </c>
      <c r="N90" s="1" t="s">
        <v>132</v>
      </c>
      <c r="O90" s="1" t="s">
        <v>38</v>
      </c>
      <c r="P90" s="1" t="s">
        <v>39</v>
      </c>
      <c r="Q90" s="1" t="s">
        <v>133</v>
      </c>
      <c r="R90" s="1" t="s">
        <v>276</v>
      </c>
      <c r="S90" s="1" t="s">
        <v>42</v>
      </c>
      <c r="T90" s="1">
        <v>1522.51</v>
      </c>
      <c r="U90" s="1" t="s">
        <v>43</v>
      </c>
      <c r="V90" s="1" t="s">
        <v>30</v>
      </c>
      <c r="W90" s="1" t="s">
        <v>39</v>
      </c>
      <c r="X90" s="1" t="s">
        <v>30</v>
      </c>
      <c r="Y90" s="1" t="s">
        <v>39</v>
      </c>
      <c r="Z90" s="1" t="s">
        <v>44</v>
      </c>
    </row>
    <row r="91" spans="1:26" ht="15.75" x14ac:dyDescent="0.25">
      <c r="A91" s="1" t="s">
        <v>26</v>
      </c>
      <c r="B91" s="1" t="s">
        <v>27</v>
      </c>
      <c r="C91" s="1" t="s">
        <v>250</v>
      </c>
      <c r="D91" s="1" t="s">
        <v>274</v>
      </c>
      <c r="E91" s="1" t="s">
        <v>30</v>
      </c>
      <c r="F91" s="1" t="s">
        <v>275</v>
      </c>
      <c r="G91" s="1" t="s">
        <v>45</v>
      </c>
      <c r="H91" s="1" t="s">
        <v>58</v>
      </c>
      <c r="I91" s="1" t="s">
        <v>50</v>
      </c>
      <c r="J91" s="1">
        <v>1.5</v>
      </c>
      <c r="K91" s="1" t="s">
        <v>266</v>
      </c>
      <c r="L91" s="1" t="s">
        <v>36</v>
      </c>
      <c r="M91" s="1">
        <v>0.06</v>
      </c>
      <c r="N91" s="1" t="s">
        <v>132</v>
      </c>
      <c r="O91" s="1" t="s">
        <v>38</v>
      </c>
      <c r="P91" s="1" t="s">
        <v>39</v>
      </c>
      <c r="Q91" s="1" t="s">
        <v>133</v>
      </c>
      <c r="R91" s="1" t="s">
        <v>276</v>
      </c>
      <c r="S91" s="1" t="s">
        <v>42</v>
      </c>
      <c r="T91" s="1">
        <v>1522.51</v>
      </c>
      <c r="U91" s="1" t="s">
        <v>43</v>
      </c>
      <c r="V91" s="1" t="s">
        <v>30</v>
      </c>
      <c r="W91" s="1" t="s">
        <v>39</v>
      </c>
      <c r="X91" s="1" t="s">
        <v>30</v>
      </c>
      <c r="Y91" s="1" t="s">
        <v>39</v>
      </c>
      <c r="Z91" s="1" t="s">
        <v>44</v>
      </c>
    </row>
    <row r="92" spans="1:26" ht="15.75" x14ac:dyDescent="0.25">
      <c r="A92" s="1" t="s">
        <v>26</v>
      </c>
      <c r="B92" s="1" t="s">
        <v>27</v>
      </c>
      <c r="C92" s="1" t="s">
        <v>250</v>
      </c>
      <c r="D92" s="1" t="s">
        <v>277</v>
      </c>
      <c r="E92" s="1" t="s">
        <v>30</v>
      </c>
      <c r="F92" s="1" t="s">
        <v>278</v>
      </c>
      <c r="G92" s="1" t="s">
        <v>32</v>
      </c>
      <c r="H92" s="1" t="s">
        <v>50</v>
      </c>
      <c r="I92" s="1" t="s">
        <v>137</v>
      </c>
      <c r="J92" s="1">
        <v>42.35</v>
      </c>
      <c r="K92" s="1" t="s">
        <v>279</v>
      </c>
      <c r="L92" s="1" t="s">
        <v>36</v>
      </c>
      <c r="M92" s="1">
        <v>1.69</v>
      </c>
      <c r="N92" s="1" t="s">
        <v>209</v>
      </c>
      <c r="O92" s="1" t="s">
        <v>38</v>
      </c>
      <c r="P92" s="1" t="s">
        <v>39</v>
      </c>
      <c r="Q92" s="1" t="s">
        <v>210</v>
      </c>
      <c r="R92" s="1" t="s">
        <v>280</v>
      </c>
      <c r="S92" s="1" t="s">
        <v>42</v>
      </c>
      <c r="T92" s="1">
        <v>1522.51</v>
      </c>
      <c r="U92" s="1" t="s">
        <v>43</v>
      </c>
      <c r="V92" s="1" t="s">
        <v>30</v>
      </c>
      <c r="W92" s="1" t="s">
        <v>39</v>
      </c>
      <c r="X92" s="1" t="s">
        <v>30</v>
      </c>
      <c r="Y92" s="1" t="s">
        <v>39</v>
      </c>
      <c r="Z92" s="1" t="s">
        <v>44</v>
      </c>
    </row>
    <row r="93" spans="1:26" ht="15.75" x14ac:dyDescent="0.25">
      <c r="A93" s="1" t="s">
        <v>26</v>
      </c>
      <c r="B93" s="1" t="s">
        <v>27</v>
      </c>
      <c r="C93" s="1" t="s">
        <v>250</v>
      </c>
      <c r="D93" s="1" t="s">
        <v>277</v>
      </c>
      <c r="E93" s="1" t="s">
        <v>30</v>
      </c>
      <c r="F93" s="1" t="s">
        <v>278</v>
      </c>
      <c r="G93" s="1" t="s">
        <v>45</v>
      </c>
      <c r="H93" s="1" t="s">
        <v>50</v>
      </c>
      <c r="I93" s="1" t="s">
        <v>137</v>
      </c>
      <c r="J93" s="1">
        <v>1.5</v>
      </c>
      <c r="K93" s="1" t="s">
        <v>279</v>
      </c>
      <c r="L93" s="1" t="s">
        <v>36</v>
      </c>
      <c r="M93" s="1">
        <v>0.06</v>
      </c>
      <c r="N93" s="1" t="s">
        <v>209</v>
      </c>
      <c r="O93" s="1" t="s">
        <v>38</v>
      </c>
      <c r="P93" s="1" t="s">
        <v>39</v>
      </c>
      <c r="Q93" s="1" t="s">
        <v>210</v>
      </c>
      <c r="R93" s="1" t="s">
        <v>280</v>
      </c>
      <c r="S93" s="1" t="s">
        <v>42</v>
      </c>
      <c r="T93" s="1">
        <v>1522.51</v>
      </c>
      <c r="U93" s="1" t="s">
        <v>43</v>
      </c>
      <c r="V93" s="1" t="s">
        <v>30</v>
      </c>
      <c r="W93" s="1" t="s">
        <v>39</v>
      </c>
      <c r="X93" s="1" t="s">
        <v>30</v>
      </c>
      <c r="Y93" s="1" t="s">
        <v>39</v>
      </c>
      <c r="Z93" s="1" t="s">
        <v>44</v>
      </c>
    </row>
    <row r="94" spans="1:26" ht="15.75" x14ac:dyDescent="0.25">
      <c r="A94" s="1" t="s">
        <v>26</v>
      </c>
      <c r="B94" s="1" t="s">
        <v>27</v>
      </c>
      <c r="C94" s="1" t="s">
        <v>250</v>
      </c>
      <c r="D94" s="1" t="s">
        <v>281</v>
      </c>
      <c r="E94" s="1" t="s">
        <v>30</v>
      </c>
      <c r="F94" s="1" t="s">
        <v>282</v>
      </c>
      <c r="G94" s="1" t="s">
        <v>32</v>
      </c>
      <c r="H94" s="1" t="s">
        <v>50</v>
      </c>
      <c r="I94" s="1" t="s">
        <v>137</v>
      </c>
      <c r="J94" s="1">
        <v>45.59</v>
      </c>
      <c r="K94" s="1" t="s">
        <v>279</v>
      </c>
      <c r="L94" s="1" t="s">
        <v>36</v>
      </c>
      <c r="M94" s="1">
        <v>1.82</v>
      </c>
      <c r="N94" s="1" t="s">
        <v>254</v>
      </c>
      <c r="O94" s="1" t="s">
        <v>38</v>
      </c>
      <c r="P94" s="1" t="s">
        <v>39</v>
      </c>
      <c r="Q94" s="1" t="s">
        <v>255</v>
      </c>
      <c r="R94" s="1" t="s">
        <v>283</v>
      </c>
      <c r="S94" s="1" t="s">
        <v>42</v>
      </c>
      <c r="T94" s="1">
        <v>1522.51</v>
      </c>
      <c r="U94" s="1" t="s">
        <v>43</v>
      </c>
      <c r="V94" s="1" t="s">
        <v>30</v>
      </c>
      <c r="W94" s="1" t="s">
        <v>39</v>
      </c>
      <c r="X94" s="1" t="s">
        <v>30</v>
      </c>
      <c r="Y94" s="1" t="s">
        <v>39</v>
      </c>
      <c r="Z94" s="1" t="s">
        <v>44</v>
      </c>
    </row>
    <row r="95" spans="1:26" ht="15.75" x14ac:dyDescent="0.25">
      <c r="A95" s="1" t="s">
        <v>26</v>
      </c>
      <c r="B95" s="1" t="s">
        <v>27</v>
      </c>
      <c r="C95" s="1" t="s">
        <v>250</v>
      </c>
      <c r="D95" s="1" t="s">
        <v>281</v>
      </c>
      <c r="E95" s="1" t="s">
        <v>30</v>
      </c>
      <c r="F95" s="1" t="s">
        <v>282</v>
      </c>
      <c r="G95" s="1" t="s">
        <v>45</v>
      </c>
      <c r="H95" s="1" t="s">
        <v>50</v>
      </c>
      <c r="I95" s="1" t="s">
        <v>137</v>
      </c>
      <c r="J95" s="1">
        <v>1.5</v>
      </c>
      <c r="K95" s="1" t="s">
        <v>279</v>
      </c>
      <c r="L95" s="1" t="s">
        <v>36</v>
      </c>
      <c r="M95" s="1">
        <v>0.06</v>
      </c>
      <c r="N95" s="1" t="s">
        <v>254</v>
      </c>
      <c r="O95" s="1" t="s">
        <v>38</v>
      </c>
      <c r="P95" s="1" t="s">
        <v>39</v>
      </c>
      <c r="Q95" s="1" t="s">
        <v>255</v>
      </c>
      <c r="R95" s="1" t="s">
        <v>283</v>
      </c>
      <c r="S95" s="1" t="s">
        <v>42</v>
      </c>
      <c r="T95" s="1">
        <v>1522.51</v>
      </c>
      <c r="U95" s="1" t="s">
        <v>43</v>
      </c>
      <c r="V95" s="1" t="s">
        <v>30</v>
      </c>
      <c r="W95" s="1" t="s">
        <v>39</v>
      </c>
      <c r="X95" s="1" t="s">
        <v>30</v>
      </c>
      <c r="Y95" s="1" t="s">
        <v>39</v>
      </c>
      <c r="Z95" s="1" t="s">
        <v>44</v>
      </c>
    </row>
    <row r="96" spans="1:26" ht="15.75" x14ac:dyDescent="0.25">
      <c r="A96" s="1" t="s">
        <v>26</v>
      </c>
      <c r="B96" s="1" t="s">
        <v>27</v>
      </c>
      <c r="C96" s="1" t="s">
        <v>250</v>
      </c>
      <c r="D96" s="1" t="s">
        <v>284</v>
      </c>
      <c r="E96" s="1" t="s">
        <v>30</v>
      </c>
      <c r="F96" s="1" t="s">
        <v>285</v>
      </c>
      <c r="G96" s="1" t="s">
        <v>32</v>
      </c>
      <c r="H96" s="1" t="s">
        <v>34</v>
      </c>
      <c r="I96" s="1" t="s">
        <v>82</v>
      </c>
      <c r="J96" s="1">
        <v>46.59</v>
      </c>
      <c r="K96" s="1" t="s">
        <v>286</v>
      </c>
      <c r="L96" s="1" t="s">
        <v>36</v>
      </c>
      <c r="M96" s="1">
        <v>1.86</v>
      </c>
      <c r="N96" s="1" t="s">
        <v>267</v>
      </c>
      <c r="O96" s="1" t="s">
        <v>38</v>
      </c>
      <c r="P96" s="1" t="s">
        <v>39</v>
      </c>
      <c r="Q96" s="1" t="s">
        <v>268</v>
      </c>
      <c r="R96" s="1" t="s">
        <v>287</v>
      </c>
      <c r="S96" s="1" t="s">
        <v>42</v>
      </c>
      <c r="T96" s="1">
        <v>1522.51</v>
      </c>
      <c r="U96" s="1" t="s">
        <v>43</v>
      </c>
      <c r="V96" s="1" t="s">
        <v>30</v>
      </c>
      <c r="W96" s="1" t="s">
        <v>39</v>
      </c>
      <c r="X96" s="1" t="s">
        <v>30</v>
      </c>
      <c r="Y96" s="1" t="s">
        <v>39</v>
      </c>
      <c r="Z96" s="1" t="s">
        <v>44</v>
      </c>
    </row>
    <row r="97" spans="1:26" ht="15.75" x14ac:dyDescent="0.25">
      <c r="A97" s="1" t="s">
        <v>26</v>
      </c>
      <c r="B97" s="1" t="s">
        <v>27</v>
      </c>
      <c r="C97" s="1" t="s">
        <v>250</v>
      </c>
      <c r="D97" s="1" t="s">
        <v>284</v>
      </c>
      <c r="E97" s="1" t="s">
        <v>30</v>
      </c>
      <c r="F97" s="1" t="s">
        <v>285</v>
      </c>
      <c r="G97" s="1" t="s">
        <v>45</v>
      </c>
      <c r="H97" s="1" t="s">
        <v>34</v>
      </c>
      <c r="I97" s="1" t="s">
        <v>82</v>
      </c>
      <c r="J97" s="1">
        <v>1.5</v>
      </c>
      <c r="K97" s="1" t="s">
        <v>286</v>
      </c>
      <c r="L97" s="1" t="s">
        <v>36</v>
      </c>
      <c r="M97" s="1">
        <v>0.06</v>
      </c>
      <c r="N97" s="1" t="s">
        <v>267</v>
      </c>
      <c r="O97" s="1" t="s">
        <v>38</v>
      </c>
      <c r="P97" s="1" t="s">
        <v>39</v>
      </c>
      <c r="Q97" s="1" t="s">
        <v>268</v>
      </c>
      <c r="R97" s="1" t="s">
        <v>287</v>
      </c>
      <c r="S97" s="1" t="s">
        <v>42</v>
      </c>
      <c r="T97" s="1">
        <v>1522.51</v>
      </c>
      <c r="U97" s="1" t="s">
        <v>43</v>
      </c>
      <c r="V97" s="1" t="s">
        <v>30</v>
      </c>
      <c r="W97" s="1" t="s">
        <v>39</v>
      </c>
      <c r="X97" s="1" t="s">
        <v>30</v>
      </c>
      <c r="Y97" s="1" t="s">
        <v>39</v>
      </c>
      <c r="Z97" s="1" t="s">
        <v>44</v>
      </c>
    </row>
    <row r="98" spans="1:26" ht="15.75" x14ac:dyDescent="0.25">
      <c r="A98" s="1" t="s">
        <v>26</v>
      </c>
      <c r="B98" s="1" t="s">
        <v>27</v>
      </c>
      <c r="C98" s="1" t="s">
        <v>250</v>
      </c>
      <c r="D98" s="1" t="s">
        <v>288</v>
      </c>
      <c r="E98" s="1" t="s">
        <v>30</v>
      </c>
      <c r="F98" s="1" t="s">
        <v>289</v>
      </c>
      <c r="G98" s="1" t="s">
        <v>32</v>
      </c>
      <c r="H98" s="1" t="s">
        <v>137</v>
      </c>
      <c r="I98" s="1" t="s">
        <v>220</v>
      </c>
      <c r="J98" s="1">
        <v>46.59</v>
      </c>
      <c r="K98" s="1" t="s">
        <v>290</v>
      </c>
      <c r="L98" s="1" t="s">
        <v>36</v>
      </c>
      <c r="M98" s="1">
        <v>1.86</v>
      </c>
      <c r="N98" s="1" t="s">
        <v>116</v>
      </c>
      <c r="O98" s="1" t="s">
        <v>38</v>
      </c>
      <c r="P98" s="1" t="s">
        <v>39</v>
      </c>
      <c r="Q98" s="1" t="s">
        <v>117</v>
      </c>
      <c r="R98" s="1" t="s">
        <v>291</v>
      </c>
      <c r="S98" s="1" t="s">
        <v>42</v>
      </c>
      <c r="T98" s="1">
        <v>1522.51</v>
      </c>
      <c r="U98" s="1" t="s">
        <v>43</v>
      </c>
      <c r="V98" s="1" t="s">
        <v>30</v>
      </c>
      <c r="W98" s="1" t="s">
        <v>39</v>
      </c>
      <c r="X98" s="1" t="s">
        <v>30</v>
      </c>
      <c r="Y98" s="1" t="s">
        <v>39</v>
      </c>
      <c r="Z98" s="1" t="s">
        <v>44</v>
      </c>
    </row>
    <row r="99" spans="1:26" ht="15.75" x14ac:dyDescent="0.25">
      <c r="A99" s="1" t="s">
        <v>26</v>
      </c>
      <c r="B99" s="1" t="s">
        <v>27</v>
      </c>
      <c r="C99" s="1" t="s">
        <v>250</v>
      </c>
      <c r="D99" s="1" t="s">
        <v>288</v>
      </c>
      <c r="E99" s="1" t="s">
        <v>30</v>
      </c>
      <c r="F99" s="1" t="s">
        <v>289</v>
      </c>
      <c r="G99" s="1" t="s">
        <v>45</v>
      </c>
      <c r="H99" s="1" t="s">
        <v>137</v>
      </c>
      <c r="I99" s="1" t="s">
        <v>220</v>
      </c>
      <c r="J99" s="1">
        <v>1.5</v>
      </c>
      <c r="K99" s="1" t="s">
        <v>290</v>
      </c>
      <c r="L99" s="1" t="s">
        <v>36</v>
      </c>
      <c r="M99" s="1">
        <v>0.06</v>
      </c>
      <c r="N99" s="1" t="s">
        <v>116</v>
      </c>
      <c r="O99" s="1" t="s">
        <v>38</v>
      </c>
      <c r="P99" s="1" t="s">
        <v>39</v>
      </c>
      <c r="Q99" s="1" t="s">
        <v>117</v>
      </c>
      <c r="R99" s="1" t="s">
        <v>291</v>
      </c>
      <c r="S99" s="1" t="s">
        <v>42</v>
      </c>
      <c r="T99" s="1">
        <v>1522.51</v>
      </c>
      <c r="U99" s="1" t="s">
        <v>43</v>
      </c>
      <c r="V99" s="1" t="s">
        <v>30</v>
      </c>
      <c r="W99" s="1" t="s">
        <v>39</v>
      </c>
      <c r="X99" s="1" t="s">
        <v>30</v>
      </c>
      <c r="Y99" s="1" t="s">
        <v>39</v>
      </c>
      <c r="Z99" s="1" t="s">
        <v>44</v>
      </c>
    </row>
    <row r="100" spans="1:26" ht="15.75" x14ac:dyDescent="0.25">
      <c r="A100" s="1" t="s">
        <v>26</v>
      </c>
      <c r="B100" s="1" t="s">
        <v>27</v>
      </c>
      <c r="C100" s="1" t="s">
        <v>250</v>
      </c>
      <c r="D100" s="1" t="s">
        <v>292</v>
      </c>
      <c r="E100" s="1" t="s">
        <v>30</v>
      </c>
      <c r="F100" s="1" t="s">
        <v>293</v>
      </c>
      <c r="G100" s="1" t="s">
        <v>32</v>
      </c>
      <c r="H100" s="1" t="s">
        <v>137</v>
      </c>
      <c r="I100" s="1" t="s">
        <v>220</v>
      </c>
      <c r="J100" s="1">
        <v>100.3</v>
      </c>
      <c r="K100" s="1" t="s">
        <v>290</v>
      </c>
      <c r="L100" s="1" t="s">
        <v>36</v>
      </c>
      <c r="M100" s="1">
        <v>4.01</v>
      </c>
      <c r="N100" s="1" t="s">
        <v>294</v>
      </c>
      <c r="O100" s="1" t="s">
        <v>38</v>
      </c>
      <c r="P100" s="1" t="s">
        <v>39</v>
      </c>
      <c r="Q100" s="1" t="s">
        <v>295</v>
      </c>
      <c r="R100" s="1" t="s">
        <v>296</v>
      </c>
      <c r="S100" s="1" t="s">
        <v>42</v>
      </c>
      <c r="T100" s="1">
        <v>1522.51</v>
      </c>
      <c r="U100" s="1" t="s">
        <v>43</v>
      </c>
      <c r="V100" s="1" t="s">
        <v>30</v>
      </c>
      <c r="W100" s="1" t="s">
        <v>39</v>
      </c>
      <c r="X100" s="1" t="s">
        <v>30</v>
      </c>
      <c r="Y100" s="1" t="s">
        <v>39</v>
      </c>
      <c r="Z100" s="1" t="s">
        <v>44</v>
      </c>
    </row>
    <row r="101" spans="1:26" ht="15.75" x14ac:dyDescent="0.25">
      <c r="A101" s="1" t="s">
        <v>26</v>
      </c>
      <c r="B101" s="1" t="s">
        <v>27</v>
      </c>
      <c r="C101" s="1" t="s">
        <v>250</v>
      </c>
      <c r="D101" s="1" t="s">
        <v>292</v>
      </c>
      <c r="E101" s="1" t="s">
        <v>30</v>
      </c>
      <c r="F101" s="1" t="s">
        <v>293</v>
      </c>
      <c r="G101" s="1" t="s">
        <v>45</v>
      </c>
      <c r="H101" s="1" t="s">
        <v>137</v>
      </c>
      <c r="I101" s="1" t="s">
        <v>220</v>
      </c>
      <c r="J101" s="1">
        <v>2.69</v>
      </c>
      <c r="K101" s="1" t="s">
        <v>290</v>
      </c>
      <c r="L101" s="1" t="s">
        <v>36</v>
      </c>
      <c r="M101" s="1">
        <v>0.11</v>
      </c>
      <c r="N101" s="1" t="s">
        <v>294</v>
      </c>
      <c r="O101" s="1" t="s">
        <v>38</v>
      </c>
      <c r="P101" s="1" t="s">
        <v>39</v>
      </c>
      <c r="Q101" s="1" t="s">
        <v>295</v>
      </c>
      <c r="R101" s="1" t="s">
        <v>296</v>
      </c>
      <c r="S101" s="1" t="s">
        <v>42</v>
      </c>
      <c r="T101" s="1">
        <v>1522.51</v>
      </c>
      <c r="U101" s="1" t="s">
        <v>43</v>
      </c>
      <c r="V101" s="1" t="s">
        <v>30</v>
      </c>
      <c r="W101" s="1" t="s">
        <v>39</v>
      </c>
      <c r="X101" s="1" t="s">
        <v>30</v>
      </c>
      <c r="Y101" s="1" t="s">
        <v>39</v>
      </c>
      <c r="Z101" s="1" t="s">
        <v>44</v>
      </c>
    </row>
    <row r="102" spans="1:26" ht="15.75" x14ac:dyDescent="0.25">
      <c r="A102" s="1" t="s">
        <v>26</v>
      </c>
      <c r="B102" s="1" t="s">
        <v>27</v>
      </c>
      <c r="C102" s="1" t="s">
        <v>250</v>
      </c>
      <c r="D102" s="1" t="s">
        <v>297</v>
      </c>
      <c r="E102" s="1" t="s">
        <v>30</v>
      </c>
      <c r="F102" s="1" t="s">
        <v>298</v>
      </c>
      <c r="G102" s="1" t="s">
        <v>32</v>
      </c>
      <c r="H102" s="1" t="s">
        <v>90</v>
      </c>
      <c r="I102" s="1" t="s">
        <v>50</v>
      </c>
      <c r="J102" s="1">
        <v>37.03</v>
      </c>
      <c r="K102" s="1" t="s">
        <v>299</v>
      </c>
      <c r="L102" s="1" t="s">
        <v>36</v>
      </c>
      <c r="M102" s="1">
        <v>1.48</v>
      </c>
      <c r="N102" s="1" t="s">
        <v>267</v>
      </c>
      <c r="O102" s="1" t="s">
        <v>38</v>
      </c>
      <c r="P102" s="1" t="s">
        <v>39</v>
      </c>
      <c r="Q102" s="1" t="s">
        <v>268</v>
      </c>
      <c r="R102" s="1" t="s">
        <v>300</v>
      </c>
      <c r="S102" s="1" t="s">
        <v>42</v>
      </c>
      <c r="T102" s="1">
        <v>1522.51</v>
      </c>
      <c r="U102" s="1" t="s">
        <v>43</v>
      </c>
      <c r="V102" s="1" t="s">
        <v>30</v>
      </c>
      <c r="W102" s="1" t="s">
        <v>39</v>
      </c>
      <c r="X102" s="1" t="s">
        <v>30</v>
      </c>
      <c r="Y102" s="1" t="s">
        <v>39</v>
      </c>
      <c r="Z102" s="1" t="s">
        <v>44</v>
      </c>
    </row>
    <row r="103" spans="1:26" ht="15.75" x14ac:dyDescent="0.25">
      <c r="A103" s="1" t="s">
        <v>26</v>
      </c>
      <c r="B103" s="1" t="s">
        <v>27</v>
      </c>
      <c r="C103" s="1" t="s">
        <v>250</v>
      </c>
      <c r="D103" s="1" t="s">
        <v>301</v>
      </c>
      <c r="E103" s="1" t="s">
        <v>30</v>
      </c>
      <c r="F103" s="1" t="s">
        <v>302</v>
      </c>
      <c r="G103" s="1" t="s">
        <v>32</v>
      </c>
      <c r="H103" s="1" t="s">
        <v>58</v>
      </c>
      <c r="I103" s="1" t="s">
        <v>50</v>
      </c>
      <c r="J103" s="1">
        <v>36.29</v>
      </c>
      <c r="K103" s="1" t="s">
        <v>303</v>
      </c>
      <c r="L103" s="1" t="s">
        <v>36</v>
      </c>
      <c r="M103" s="1">
        <v>1.45</v>
      </c>
      <c r="N103" s="1" t="s">
        <v>74</v>
      </c>
      <c r="O103" s="1" t="s">
        <v>38</v>
      </c>
      <c r="P103" s="1" t="s">
        <v>39</v>
      </c>
      <c r="Q103" s="1" t="s">
        <v>75</v>
      </c>
      <c r="R103" s="1" t="s">
        <v>304</v>
      </c>
      <c r="S103" s="1" t="s">
        <v>42</v>
      </c>
      <c r="T103" s="1">
        <v>1522.51</v>
      </c>
      <c r="U103" s="1" t="s">
        <v>43</v>
      </c>
      <c r="V103" s="1" t="s">
        <v>30</v>
      </c>
      <c r="W103" s="1" t="s">
        <v>39</v>
      </c>
      <c r="X103" s="1" t="s">
        <v>30</v>
      </c>
      <c r="Y103" s="1" t="s">
        <v>39</v>
      </c>
      <c r="Z103" s="1" t="s">
        <v>44</v>
      </c>
    </row>
    <row r="104" spans="1:26" ht="15.75" x14ac:dyDescent="0.25">
      <c r="A104" s="1" t="s">
        <v>26</v>
      </c>
      <c r="B104" s="1" t="s">
        <v>27</v>
      </c>
      <c r="C104" s="1" t="s">
        <v>250</v>
      </c>
      <c r="D104" s="1" t="s">
        <v>301</v>
      </c>
      <c r="E104" s="1" t="s">
        <v>30</v>
      </c>
      <c r="F104" s="1" t="s">
        <v>302</v>
      </c>
      <c r="G104" s="1" t="s">
        <v>45</v>
      </c>
      <c r="H104" s="1" t="s">
        <v>58</v>
      </c>
      <c r="I104" s="1" t="s">
        <v>50</v>
      </c>
      <c r="J104" s="1">
        <v>1.5</v>
      </c>
      <c r="K104" s="1" t="s">
        <v>303</v>
      </c>
      <c r="L104" s="1" t="s">
        <v>36</v>
      </c>
      <c r="M104" s="1">
        <v>0.06</v>
      </c>
      <c r="N104" s="1" t="s">
        <v>74</v>
      </c>
      <c r="O104" s="1" t="s">
        <v>38</v>
      </c>
      <c r="P104" s="1" t="s">
        <v>39</v>
      </c>
      <c r="Q104" s="1" t="s">
        <v>75</v>
      </c>
      <c r="R104" s="1" t="s">
        <v>304</v>
      </c>
      <c r="S104" s="1" t="s">
        <v>42</v>
      </c>
      <c r="T104" s="1">
        <v>1522.51</v>
      </c>
      <c r="U104" s="1" t="s">
        <v>43</v>
      </c>
      <c r="V104" s="1" t="s">
        <v>30</v>
      </c>
      <c r="W104" s="1" t="s">
        <v>39</v>
      </c>
      <c r="X104" s="1" t="s">
        <v>30</v>
      </c>
      <c r="Y104" s="1" t="s">
        <v>39</v>
      </c>
      <c r="Z104" s="1" t="s">
        <v>44</v>
      </c>
    </row>
    <row r="105" spans="1:26" ht="15.75" x14ac:dyDescent="0.25">
      <c r="A105" s="1" t="s">
        <v>26</v>
      </c>
      <c r="B105" s="1" t="s">
        <v>27</v>
      </c>
      <c r="C105" s="1" t="s">
        <v>250</v>
      </c>
      <c r="D105" s="1" t="s">
        <v>305</v>
      </c>
      <c r="E105" s="1" t="s">
        <v>30</v>
      </c>
      <c r="F105" s="1" t="s">
        <v>302</v>
      </c>
      <c r="G105" s="1" t="s">
        <v>54</v>
      </c>
      <c r="H105" s="1" t="s">
        <v>58</v>
      </c>
      <c r="I105" s="1" t="s">
        <v>50</v>
      </c>
      <c r="J105" s="1">
        <v>16.34</v>
      </c>
      <c r="K105" s="1" t="s">
        <v>303</v>
      </c>
      <c r="L105" s="1" t="s">
        <v>36</v>
      </c>
      <c r="M105" s="1">
        <v>0.65</v>
      </c>
      <c r="N105" s="1" t="s">
        <v>74</v>
      </c>
      <c r="O105" s="1" t="s">
        <v>38</v>
      </c>
      <c r="P105" s="1" t="s">
        <v>39</v>
      </c>
      <c r="Q105" s="1" t="s">
        <v>75</v>
      </c>
      <c r="R105" s="1" t="s">
        <v>304</v>
      </c>
      <c r="S105" s="1" t="s">
        <v>42</v>
      </c>
      <c r="T105" s="1">
        <v>1522.51</v>
      </c>
      <c r="U105" s="1" t="s">
        <v>43</v>
      </c>
      <c r="V105" s="1" t="s">
        <v>30</v>
      </c>
      <c r="W105" s="1" t="s">
        <v>39</v>
      </c>
      <c r="X105" s="1" t="s">
        <v>30</v>
      </c>
      <c r="Y105" s="1" t="s">
        <v>39</v>
      </c>
      <c r="Z105" s="1" t="s">
        <v>44</v>
      </c>
    </row>
    <row r="106" spans="1:26" ht="15.75" x14ac:dyDescent="0.25">
      <c r="A106" s="1" t="s">
        <v>26</v>
      </c>
      <c r="B106" s="1" t="s">
        <v>27</v>
      </c>
      <c r="C106" s="1" t="s">
        <v>250</v>
      </c>
      <c r="D106" s="1" t="s">
        <v>306</v>
      </c>
      <c r="E106" s="1" t="s">
        <v>30</v>
      </c>
      <c r="F106" s="1" t="s">
        <v>307</v>
      </c>
      <c r="G106" s="1" t="s">
        <v>32</v>
      </c>
      <c r="H106" s="1" t="s">
        <v>58</v>
      </c>
      <c r="I106" s="1" t="s">
        <v>50</v>
      </c>
      <c r="J106" s="1">
        <v>38.54</v>
      </c>
      <c r="K106" s="1" t="s">
        <v>303</v>
      </c>
      <c r="L106" s="1" t="s">
        <v>36</v>
      </c>
      <c r="M106" s="1">
        <v>1.54</v>
      </c>
      <c r="N106" s="1" t="s">
        <v>267</v>
      </c>
      <c r="O106" s="1" t="s">
        <v>38</v>
      </c>
      <c r="P106" s="1" t="s">
        <v>39</v>
      </c>
      <c r="Q106" s="1" t="s">
        <v>268</v>
      </c>
      <c r="R106" s="1" t="s">
        <v>308</v>
      </c>
      <c r="S106" s="1" t="s">
        <v>42</v>
      </c>
      <c r="T106" s="1">
        <v>1522.51</v>
      </c>
      <c r="U106" s="1" t="s">
        <v>43</v>
      </c>
      <c r="V106" s="1" t="s">
        <v>30</v>
      </c>
      <c r="W106" s="1" t="s">
        <v>39</v>
      </c>
      <c r="X106" s="1" t="s">
        <v>30</v>
      </c>
      <c r="Y106" s="1" t="s">
        <v>39</v>
      </c>
      <c r="Z106" s="1" t="s">
        <v>44</v>
      </c>
    </row>
    <row r="107" spans="1:26" ht="15.75" x14ac:dyDescent="0.25">
      <c r="A107" s="1" t="s">
        <v>26</v>
      </c>
      <c r="B107" s="1" t="s">
        <v>27</v>
      </c>
      <c r="C107" s="1" t="s">
        <v>250</v>
      </c>
      <c r="D107" s="1" t="s">
        <v>306</v>
      </c>
      <c r="E107" s="1" t="s">
        <v>30</v>
      </c>
      <c r="F107" s="1" t="s">
        <v>307</v>
      </c>
      <c r="G107" s="1" t="s">
        <v>45</v>
      </c>
      <c r="H107" s="1" t="s">
        <v>58</v>
      </c>
      <c r="I107" s="1" t="s">
        <v>50</v>
      </c>
      <c r="J107" s="1">
        <v>1.5</v>
      </c>
      <c r="K107" s="1" t="s">
        <v>303</v>
      </c>
      <c r="L107" s="1" t="s">
        <v>36</v>
      </c>
      <c r="M107" s="1">
        <v>0.06</v>
      </c>
      <c r="N107" s="1" t="s">
        <v>267</v>
      </c>
      <c r="O107" s="1" t="s">
        <v>38</v>
      </c>
      <c r="P107" s="1" t="s">
        <v>39</v>
      </c>
      <c r="Q107" s="1" t="s">
        <v>268</v>
      </c>
      <c r="R107" s="1" t="s">
        <v>308</v>
      </c>
      <c r="S107" s="1" t="s">
        <v>42</v>
      </c>
      <c r="T107" s="1">
        <v>1522.51</v>
      </c>
      <c r="U107" s="1" t="s">
        <v>43</v>
      </c>
      <c r="V107" s="1" t="s">
        <v>30</v>
      </c>
      <c r="W107" s="1" t="s">
        <v>39</v>
      </c>
      <c r="X107" s="1" t="s">
        <v>30</v>
      </c>
      <c r="Y107" s="1" t="s">
        <v>39</v>
      </c>
      <c r="Z107" s="1" t="s">
        <v>44</v>
      </c>
    </row>
    <row r="108" spans="1:26" ht="15.75" x14ac:dyDescent="0.25">
      <c r="A108" s="1" t="s">
        <v>26</v>
      </c>
      <c r="B108" s="1" t="s">
        <v>27</v>
      </c>
      <c r="C108" s="1" t="s">
        <v>250</v>
      </c>
      <c r="D108" s="1" t="s">
        <v>309</v>
      </c>
      <c r="E108" s="1" t="s">
        <v>30</v>
      </c>
      <c r="F108" s="1" t="s">
        <v>310</v>
      </c>
      <c r="G108" s="1" t="s">
        <v>32</v>
      </c>
      <c r="H108" s="1" t="s">
        <v>58</v>
      </c>
      <c r="I108" s="1" t="s">
        <v>50</v>
      </c>
      <c r="J108" s="1">
        <v>22.84</v>
      </c>
      <c r="K108" s="1" t="s">
        <v>303</v>
      </c>
      <c r="L108" s="1" t="s">
        <v>36</v>
      </c>
      <c r="M108" s="1">
        <v>0.91</v>
      </c>
      <c r="N108" s="1" t="s">
        <v>311</v>
      </c>
      <c r="O108" s="1" t="s">
        <v>38</v>
      </c>
      <c r="P108" s="1" t="s">
        <v>39</v>
      </c>
      <c r="Q108" s="1" t="s">
        <v>312</v>
      </c>
      <c r="R108" s="1" t="s">
        <v>313</v>
      </c>
      <c r="S108" s="1" t="s">
        <v>42</v>
      </c>
      <c r="T108" s="1">
        <v>1522.51</v>
      </c>
      <c r="U108" s="1" t="s">
        <v>43</v>
      </c>
      <c r="V108" s="1" t="s">
        <v>30</v>
      </c>
      <c r="W108" s="1" t="s">
        <v>39</v>
      </c>
      <c r="X108" s="1" t="s">
        <v>30</v>
      </c>
      <c r="Y108" s="1" t="s">
        <v>39</v>
      </c>
      <c r="Z108" s="1" t="s">
        <v>44</v>
      </c>
    </row>
    <row r="109" spans="1:26" ht="15.75" x14ac:dyDescent="0.25">
      <c r="A109" s="1" t="s">
        <v>26</v>
      </c>
      <c r="B109" s="1" t="s">
        <v>27</v>
      </c>
      <c r="C109" s="1" t="s">
        <v>250</v>
      </c>
      <c r="D109" s="1" t="s">
        <v>314</v>
      </c>
      <c r="E109" s="1" t="s">
        <v>30</v>
      </c>
      <c r="F109" s="1" t="s">
        <v>310</v>
      </c>
      <c r="G109" s="1" t="s">
        <v>54</v>
      </c>
      <c r="H109" s="1" t="s">
        <v>58</v>
      </c>
      <c r="I109" s="1" t="s">
        <v>50</v>
      </c>
      <c r="J109" s="1">
        <v>7.24</v>
      </c>
      <c r="K109" s="1" t="s">
        <v>303</v>
      </c>
      <c r="L109" s="1" t="s">
        <v>36</v>
      </c>
      <c r="M109" s="1">
        <v>0.28999999999999998</v>
      </c>
      <c r="N109" s="1" t="s">
        <v>311</v>
      </c>
      <c r="O109" s="1" t="s">
        <v>38</v>
      </c>
      <c r="P109" s="1" t="s">
        <v>39</v>
      </c>
      <c r="Q109" s="1" t="s">
        <v>312</v>
      </c>
      <c r="R109" s="1" t="s">
        <v>313</v>
      </c>
      <c r="S109" s="1" t="s">
        <v>42</v>
      </c>
      <c r="T109" s="1">
        <v>1522.51</v>
      </c>
      <c r="U109" s="1" t="s">
        <v>43</v>
      </c>
      <c r="V109" s="1" t="s">
        <v>30</v>
      </c>
      <c r="W109" s="1" t="s">
        <v>39</v>
      </c>
      <c r="X109" s="1" t="s">
        <v>30</v>
      </c>
      <c r="Y109" s="1" t="s">
        <v>39</v>
      </c>
      <c r="Z109" s="1" t="s">
        <v>44</v>
      </c>
    </row>
    <row r="110" spans="1:26" ht="15.75" x14ac:dyDescent="0.25">
      <c r="A110" s="1" t="s">
        <v>26</v>
      </c>
      <c r="B110" s="1" t="s">
        <v>27</v>
      </c>
      <c r="C110" s="1" t="s">
        <v>250</v>
      </c>
      <c r="D110" s="1" t="s">
        <v>315</v>
      </c>
      <c r="E110" s="1" t="s">
        <v>30</v>
      </c>
      <c r="F110" s="1" t="s">
        <v>316</v>
      </c>
      <c r="G110" s="1" t="s">
        <v>32</v>
      </c>
      <c r="H110" s="1" t="s">
        <v>49</v>
      </c>
      <c r="I110" s="1" t="s">
        <v>50</v>
      </c>
      <c r="J110" s="1">
        <v>33.700000000000003</v>
      </c>
      <c r="K110" s="1" t="s">
        <v>317</v>
      </c>
      <c r="L110" s="1" t="s">
        <v>36</v>
      </c>
      <c r="M110" s="1">
        <v>1.35</v>
      </c>
      <c r="N110" s="1" t="s">
        <v>267</v>
      </c>
      <c r="O110" s="1" t="s">
        <v>38</v>
      </c>
      <c r="P110" s="1" t="s">
        <v>39</v>
      </c>
      <c r="Q110" s="1" t="s">
        <v>268</v>
      </c>
      <c r="R110" s="1" t="s">
        <v>318</v>
      </c>
      <c r="S110" s="1" t="s">
        <v>42</v>
      </c>
      <c r="T110" s="1">
        <v>1522.51</v>
      </c>
      <c r="U110" s="1" t="s">
        <v>43</v>
      </c>
      <c r="V110" s="1" t="s">
        <v>30</v>
      </c>
      <c r="W110" s="1" t="s">
        <v>39</v>
      </c>
      <c r="X110" s="1" t="s">
        <v>30</v>
      </c>
      <c r="Y110" s="1" t="s">
        <v>39</v>
      </c>
      <c r="Z110" s="1" t="s">
        <v>44</v>
      </c>
    </row>
    <row r="111" spans="1:26" ht="15.75" x14ac:dyDescent="0.25">
      <c r="A111" s="1" t="s">
        <v>26</v>
      </c>
      <c r="B111" s="1" t="s">
        <v>27</v>
      </c>
      <c r="C111" s="1" t="s">
        <v>250</v>
      </c>
      <c r="D111" s="1" t="s">
        <v>319</v>
      </c>
      <c r="E111" s="1" t="s">
        <v>30</v>
      </c>
      <c r="F111" s="1" t="s">
        <v>320</v>
      </c>
      <c r="G111" s="1" t="s">
        <v>32</v>
      </c>
      <c r="H111" s="1" t="s">
        <v>49</v>
      </c>
      <c r="I111" s="1" t="s">
        <v>50</v>
      </c>
      <c r="J111" s="1">
        <v>36.29</v>
      </c>
      <c r="K111" s="1" t="s">
        <v>317</v>
      </c>
      <c r="L111" s="1" t="s">
        <v>36</v>
      </c>
      <c r="M111" s="1">
        <v>1.45</v>
      </c>
      <c r="N111" s="1" t="s">
        <v>74</v>
      </c>
      <c r="O111" s="1" t="s">
        <v>38</v>
      </c>
      <c r="P111" s="1" t="s">
        <v>39</v>
      </c>
      <c r="Q111" s="1" t="s">
        <v>75</v>
      </c>
      <c r="R111" s="1" t="s">
        <v>321</v>
      </c>
      <c r="S111" s="1" t="s">
        <v>42</v>
      </c>
      <c r="T111" s="1">
        <v>1522.51</v>
      </c>
      <c r="U111" s="1" t="s">
        <v>43</v>
      </c>
      <c r="V111" s="1" t="s">
        <v>30</v>
      </c>
      <c r="W111" s="1" t="s">
        <v>39</v>
      </c>
      <c r="X111" s="1" t="s">
        <v>30</v>
      </c>
      <c r="Y111" s="1" t="s">
        <v>39</v>
      </c>
      <c r="Z111" s="1" t="s">
        <v>44</v>
      </c>
    </row>
    <row r="112" spans="1:26" ht="15.75" x14ac:dyDescent="0.25">
      <c r="A112" s="1" t="s">
        <v>26</v>
      </c>
      <c r="B112" s="1" t="s">
        <v>27</v>
      </c>
      <c r="C112" s="1" t="s">
        <v>250</v>
      </c>
      <c r="D112" s="1" t="s">
        <v>319</v>
      </c>
      <c r="E112" s="1" t="s">
        <v>30</v>
      </c>
      <c r="F112" s="1" t="s">
        <v>320</v>
      </c>
      <c r="G112" s="1" t="s">
        <v>45</v>
      </c>
      <c r="H112" s="1" t="s">
        <v>49</v>
      </c>
      <c r="I112" s="1" t="s">
        <v>50</v>
      </c>
      <c r="J112" s="1">
        <v>1.5</v>
      </c>
      <c r="K112" s="1" t="s">
        <v>317</v>
      </c>
      <c r="L112" s="1" t="s">
        <v>36</v>
      </c>
      <c r="M112" s="1">
        <v>0.06</v>
      </c>
      <c r="N112" s="1" t="s">
        <v>74</v>
      </c>
      <c r="O112" s="1" t="s">
        <v>38</v>
      </c>
      <c r="P112" s="1" t="s">
        <v>39</v>
      </c>
      <c r="Q112" s="1" t="s">
        <v>75</v>
      </c>
      <c r="R112" s="1" t="s">
        <v>321</v>
      </c>
      <c r="S112" s="1" t="s">
        <v>42</v>
      </c>
      <c r="T112" s="1">
        <v>1522.51</v>
      </c>
      <c r="U112" s="1" t="s">
        <v>43</v>
      </c>
      <c r="V112" s="1" t="s">
        <v>30</v>
      </c>
      <c r="W112" s="1" t="s">
        <v>39</v>
      </c>
      <c r="X112" s="1" t="s">
        <v>30</v>
      </c>
      <c r="Y112" s="1" t="s">
        <v>39</v>
      </c>
      <c r="Z112" s="1" t="s">
        <v>44</v>
      </c>
    </row>
    <row r="113" spans="1:26" ht="15.75" x14ac:dyDescent="0.25">
      <c r="A113" s="1" t="s">
        <v>26</v>
      </c>
      <c r="B113" s="1" t="s">
        <v>27</v>
      </c>
      <c r="C113" s="1" t="s">
        <v>250</v>
      </c>
      <c r="D113" s="1" t="s">
        <v>322</v>
      </c>
      <c r="E113" s="1" t="s">
        <v>30</v>
      </c>
      <c r="F113" s="1" t="s">
        <v>323</v>
      </c>
      <c r="G113" s="1" t="s">
        <v>32</v>
      </c>
      <c r="H113" s="1" t="s">
        <v>33</v>
      </c>
      <c r="I113" s="1" t="s">
        <v>34</v>
      </c>
      <c r="J113" s="1">
        <v>42.35</v>
      </c>
      <c r="K113" s="1" t="s">
        <v>324</v>
      </c>
      <c r="L113" s="1" t="s">
        <v>36</v>
      </c>
      <c r="M113" s="1">
        <v>1.69</v>
      </c>
      <c r="N113" s="1" t="s">
        <v>267</v>
      </c>
      <c r="O113" s="1" t="s">
        <v>38</v>
      </c>
      <c r="P113" s="1" t="s">
        <v>39</v>
      </c>
      <c r="Q113" s="1" t="s">
        <v>268</v>
      </c>
      <c r="R113" s="1" t="s">
        <v>325</v>
      </c>
      <c r="S113" s="1" t="s">
        <v>42</v>
      </c>
      <c r="T113" s="1">
        <v>1522.51</v>
      </c>
      <c r="U113" s="1" t="s">
        <v>43</v>
      </c>
      <c r="V113" s="1" t="s">
        <v>30</v>
      </c>
      <c r="W113" s="1" t="s">
        <v>39</v>
      </c>
      <c r="X113" s="1" t="s">
        <v>30</v>
      </c>
      <c r="Y113" s="1" t="s">
        <v>39</v>
      </c>
      <c r="Z113" s="1" t="s">
        <v>44</v>
      </c>
    </row>
    <row r="114" spans="1:26" ht="15.75" x14ac:dyDescent="0.25">
      <c r="A114" s="1" t="s">
        <v>26</v>
      </c>
      <c r="B114" s="1" t="s">
        <v>27</v>
      </c>
      <c r="C114" s="1" t="s">
        <v>250</v>
      </c>
      <c r="D114" s="1" t="s">
        <v>322</v>
      </c>
      <c r="E114" s="1" t="s">
        <v>30</v>
      </c>
      <c r="F114" s="1" t="s">
        <v>323</v>
      </c>
      <c r="G114" s="1" t="s">
        <v>45</v>
      </c>
      <c r="H114" s="1" t="s">
        <v>33</v>
      </c>
      <c r="I114" s="1" t="s">
        <v>34</v>
      </c>
      <c r="J114" s="1">
        <v>1.5</v>
      </c>
      <c r="K114" s="1" t="s">
        <v>324</v>
      </c>
      <c r="L114" s="1" t="s">
        <v>36</v>
      </c>
      <c r="M114" s="1">
        <v>0.06</v>
      </c>
      <c r="N114" s="1" t="s">
        <v>267</v>
      </c>
      <c r="O114" s="1" t="s">
        <v>38</v>
      </c>
      <c r="P114" s="1" t="s">
        <v>39</v>
      </c>
      <c r="Q114" s="1" t="s">
        <v>268</v>
      </c>
      <c r="R114" s="1" t="s">
        <v>325</v>
      </c>
      <c r="S114" s="1" t="s">
        <v>42</v>
      </c>
      <c r="T114" s="1">
        <v>1522.51</v>
      </c>
      <c r="U114" s="1" t="s">
        <v>43</v>
      </c>
      <c r="V114" s="1" t="s">
        <v>30</v>
      </c>
      <c r="W114" s="1" t="s">
        <v>39</v>
      </c>
      <c r="X114" s="1" t="s">
        <v>30</v>
      </c>
      <c r="Y114" s="1" t="s">
        <v>39</v>
      </c>
      <c r="Z114" s="1" t="s">
        <v>44</v>
      </c>
    </row>
    <row r="115" spans="1:26" ht="15.75" x14ac:dyDescent="0.25">
      <c r="A115" s="1" t="s">
        <v>26</v>
      </c>
      <c r="B115" s="1" t="s">
        <v>27</v>
      </c>
      <c r="C115" s="1" t="s">
        <v>250</v>
      </c>
      <c r="D115" s="1" t="s">
        <v>326</v>
      </c>
      <c r="E115" s="1" t="s">
        <v>30</v>
      </c>
      <c r="F115" s="1" t="s">
        <v>327</v>
      </c>
      <c r="G115" s="1" t="s">
        <v>32</v>
      </c>
      <c r="H115" s="1" t="s">
        <v>33</v>
      </c>
      <c r="I115" s="1" t="s">
        <v>34</v>
      </c>
      <c r="J115" s="1">
        <v>61.14</v>
      </c>
      <c r="K115" s="1" t="s">
        <v>324</v>
      </c>
      <c r="L115" s="1" t="s">
        <v>36</v>
      </c>
      <c r="M115" s="1">
        <v>2.4500000000000002</v>
      </c>
      <c r="N115" s="1" t="s">
        <v>328</v>
      </c>
      <c r="O115" s="1" t="s">
        <v>38</v>
      </c>
      <c r="P115" s="1" t="s">
        <v>39</v>
      </c>
      <c r="Q115" s="1" t="s">
        <v>329</v>
      </c>
      <c r="R115" s="1" t="s">
        <v>330</v>
      </c>
      <c r="S115" s="1" t="s">
        <v>42</v>
      </c>
      <c r="T115" s="1">
        <v>1522.51</v>
      </c>
      <c r="U115" s="1" t="s">
        <v>43</v>
      </c>
      <c r="V115" s="1" t="s">
        <v>30</v>
      </c>
      <c r="W115" s="1" t="s">
        <v>39</v>
      </c>
      <c r="X115" s="1" t="s">
        <v>30</v>
      </c>
      <c r="Y115" s="1" t="s">
        <v>39</v>
      </c>
      <c r="Z115" s="1" t="s">
        <v>44</v>
      </c>
    </row>
    <row r="116" spans="1:26" ht="15.75" x14ac:dyDescent="0.25">
      <c r="A116" s="1" t="s">
        <v>26</v>
      </c>
      <c r="B116" s="1" t="s">
        <v>27</v>
      </c>
      <c r="C116" s="1" t="s">
        <v>250</v>
      </c>
      <c r="D116" s="1" t="s">
        <v>331</v>
      </c>
      <c r="E116" s="1" t="s">
        <v>30</v>
      </c>
      <c r="F116" s="1" t="s">
        <v>332</v>
      </c>
      <c r="G116" s="1" t="s">
        <v>32</v>
      </c>
      <c r="H116" s="1" t="s">
        <v>33</v>
      </c>
      <c r="I116" s="1" t="s">
        <v>34</v>
      </c>
      <c r="J116" s="1">
        <v>47.14</v>
      </c>
      <c r="K116" s="1" t="s">
        <v>324</v>
      </c>
      <c r="L116" s="1" t="s">
        <v>36</v>
      </c>
      <c r="M116" s="1">
        <v>1.89</v>
      </c>
      <c r="N116" s="1" t="s">
        <v>333</v>
      </c>
      <c r="O116" s="1" t="s">
        <v>38</v>
      </c>
      <c r="P116" s="1" t="s">
        <v>39</v>
      </c>
      <c r="Q116" s="1" t="s">
        <v>334</v>
      </c>
      <c r="R116" s="1" t="s">
        <v>335</v>
      </c>
      <c r="S116" s="1" t="s">
        <v>42</v>
      </c>
      <c r="T116" s="1">
        <v>1522.51</v>
      </c>
      <c r="U116" s="1" t="s">
        <v>43</v>
      </c>
      <c r="V116" s="1" t="s">
        <v>30</v>
      </c>
      <c r="W116" s="1" t="s">
        <v>39</v>
      </c>
      <c r="X116" s="1" t="s">
        <v>30</v>
      </c>
      <c r="Y116" s="1" t="s">
        <v>39</v>
      </c>
      <c r="Z116" s="1" t="s">
        <v>44</v>
      </c>
    </row>
    <row r="117" spans="1:26" ht="15.75" x14ac:dyDescent="0.25">
      <c r="A117" s="1" t="s">
        <v>26</v>
      </c>
      <c r="B117" s="1" t="s">
        <v>27</v>
      </c>
      <c r="C117" s="1" t="s">
        <v>250</v>
      </c>
      <c r="D117" s="1" t="s">
        <v>336</v>
      </c>
      <c r="E117" s="1" t="s">
        <v>30</v>
      </c>
      <c r="F117" s="1" t="s">
        <v>332</v>
      </c>
      <c r="G117" s="1" t="s">
        <v>54</v>
      </c>
      <c r="H117" s="1" t="s">
        <v>33</v>
      </c>
      <c r="I117" s="1" t="s">
        <v>34</v>
      </c>
      <c r="J117" s="1">
        <v>16.34</v>
      </c>
      <c r="K117" s="1" t="s">
        <v>324</v>
      </c>
      <c r="L117" s="1" t="s">
        <v>36</v>
      </c>
      <c r="M117" s="1">
        <v>0.65</v>
      </c>
      <c r="N117" s="1" t="s">
        <v>333</v>
      </c>
      <c r="O117" s="1" t="s">
        <v>38</v>
      </c>
      <c r="P117" s="1" t="s">
        <v>39</v>
      </c>
      <c r="Q117" s="1" t="s">
        <v>334</v>
      </c>
      <c r="R117" s="1" t="s">
        <v>335</v>
      </c>
      <c r="S117" s="1" t="s">
        <v>42</v>
      </c>
      <c r="T117" s="1">
        <v>1522.51</v>
      </c>
      <c r="U117" s="1" t="s">
        <v>43</v>
      </c>
      <c r="V117" s="1" t="s">
        <v>30</v>
      </c>
      <c r="W117" s="1" t="s">
        <v>39</v>
      </c>
      <c r="X117" s="1" t="s">
        <v>30</v>
      </c>
      <c r="Y117" s="1" t="s">
        <v>39</v>
      </c>
      <c r="Z117" s="1" t="s">
        <v>44</v>
      </c>
    </row>
    <row r="118" spans="1:26" ht="15.75" x14ac:dyDescent="0.25">
      <c r="A118" s="1" t="s">
        <v>26</v>
      </c>
      <c r="B118" s="1" t="s">
        <v>27</v>
      </c>
      <c r="C118" s="1" t="s">
        <v>250</v>
      </c>
      <c r="D118" s="1" t="s">
        <v>337</v>
      </c>
      <c r="E118" s="1" t="s">
        <v>30</v>
      </c>
      <c r="F118" s="1" t="s">
        <v>338</v>
      </c>
      <c r="G118" s="1" t="s">
        <v>32</v>
      </c>
      <c r="H118" s="1" t="s">
        <v>33</v>
      </c>
      <c r="I118" s="1" t="s">
        <v>34</v>
      </c>
      <c r="J118" s="1">
        <v>150.96</v>
      </c>
      <c r="K118" s="1" t="s">
        <v>324</v>
      </c>
      <c r="L118" s="1" t="s">
        <v>36</v>
      </c>
      <c r="M118" s="1">
        <v>6.04</v>
      </c>
      <c r="N118" s="1" t="s">
        <v>339</v>
      </c>
      <c r="O118" s="1" t="s">
        <v>38</v>
      </c>
      <c r="P118" s="1" t="s">
        <v>39</v>
      </c>
      <c r="Q118" s="1" t="s">
        <v>340</v>
      </c>
      <c r="R118" s="1" t="s">
        <v>341</v>
      </c>
      <c r="S118" s="1" t="s">
        <v>42</v>
      </c>
      <c r="T118" s="1">
        <v>1522.51</v>
      </c>
      <c r="U118" s="1" t="s">
        <v>43</v>
      </c>
      <c r="V118" s="1" t="s">
        <v>30</v>
      </c>
      <c r="W118" s="1" t="s">
        <v>39</v>
      </c>
      <c r="X118" s="1" t="s">
        <v>30</v>
      </c>
      <c r="Y118" s="1" t="s">
        <v>39</v>
      </c>
      <c r="Z118" s="1" t="s">
        <v>44</v>
      </c>
    </row>
    <row r="119" spans="1:26" ht="15.75" x14ac:dyDescent="0.25">
      <c r="A119" s="1" t="s">
        <v>26</v>
      </c>
      <c r="B119" s="1" t="s">
        <v>27</v>
      </c>
      <c r="C119" s="1" t="s">
        <v>250</v>
      </c>
      <c r="D119" s="1" t="s">
        <v>342</v>
      </c>
      <c r="E119" s="1" t="s">
        <v>30</v>
      </c>
      <c r="F119" s="1" t="s">
        <v>338</v>
      </c>
      <c r="G119" s="1" t="s">
        <v>54</v>
      </c>
      <c r="H119" s="1" t="s">
        <v>33</v>
      </c>
      <c r="I119" s="1" t="s">
        <v>34</v>
      </c>
      <c r="J119" s="1">
        <v>29.34</v>
      </c>
      <c r="K119" s="1" t="s">
        <v>324</v>
      </c>
      <c r="L119" s="1" t="s">
        <v>36</v>
      </c>
      <c r="M119" s="1">
        <v>1.17</v>
      </c>
      <c r="N119" s="1" t="s">
        <v>339</v>
      </c>
      <c r="O119" s="1" t="s">
        <v>38</v>
      </c>
      <c r="P119" s="1" t="s">
        <v>39</v>
      </c>
      <c r="Q119" s="1" t="s">
        <v>340</v>
      </c>
      <c r="R119" s="1" t="s">
        <v>341</v>
      </c>
      <c r="S119" s="1" t="s">
        <v>42</v>
      </c>
      <c r="T119" s="1">
        <v>1522.51</v>
      </c>
      <c r="U119" s="1" t="s">
        <v>43</v>
      </c>
      <c r="V119" s="1" t="s">
        <v>30</v>
      </c>
      <c r="W119" s="1" t="s">
        <v>39</v>
      </c>
      <c r="X119" s="1" t="s">
        <v>30</v>
      </c>
      <c r="Y119" s="1" t="s">
        <v>39</v>
      </c>
      <c r="Z119" s="1" t="s">
        <v>44</v>
      </c>
    </row>
    <row r="120" spans="1:26" ht="15.75" x14ac:dyDescent="0.25">
      <c r="A120" s="1" t="s">
        <v>26</v>
      </c>
      <c r="B120" s="1" t="s">
        <v>27</v>
      </c>
      <c r="C120" s="1" t="s">
        <v>250</v>
      </c>
      <c r="D120" s="1" t="s">
        <v>343</v>
      </c>
      <c r="E120" s="1" t="s">
        <v>30</v>
      </c>
      <c r="F120" s="1" t="s">
        <v>344</v>
      </c>
      <c r="G120" s="1" t="s">
        <v>32</v>
      </c>
      <c r="H120" s="1" t="s">
        <v>345</v>
      </c>
      <c r="I120" s="1" t="s">
        <v>34</v>
      </c>
      <c r="J120" s="1">
        <v>18.73</v>
      </c>
      <c r="K120" s="1" t="s">
        <v>324</v>
      </c>
      <c r="L120" s="1" t="s">
        <v>36</v>
      </c>
      <c r="M120" s="1">
        <v>0.75</v>
      </c>
      <c r="N120" s="1" t="s">
        <v>346</v>
      </c>
      <c r="O120" s="1" t="s">
        <v>38</v>
      </c>
      <c r="P120" s="1" t="s">
        <v>39</v>
      </c>
      <c r="Q120" s="1" t="s">
        <v>347</v>
      </c>
      <c r="R120" s="1" t="s">
        <v>348</v>
      </c>
      <c r="S120" s="1" t="s">
        <v>42</v>
      </c>
      <c r="T120" s="1">
        <v>1522.51</v>
      </c>
      <c r="U120" s="1" t="s">
        <v>43</v>
      </c>
      <c r="V120" s="1" t="s">
        <v>30</v>
      </c>
      <c r="W120" s="1" t="s">
        <v>39</v>
      </c>
      <c r="X120" s="1" t="s">
        <v>30</v>
      </c>
      <c r="Y120" s="1" t="s">
        <v>39</v>
      </c>
      <c r="Z120" s="1" t="s">
        <v>44</v>
      </c>
    </row>
    <row r="121" spans="1:26" ht="15.75" x14ac:dyDescent="0.25">
      <c r="A121" s="1" t="s">
        <v>26</v>
      </c>
      <c r="B121" s="1" t="s">
        <v>27</v>
      </c>
      <c r="C121" s="1" t="s">
        <v>250</v>
      </c>
      <c r="D121" s="1" t="s">
        <v>343</v>
      </c>
      <c r="E121" s="1" t="s">
        <v>30</v>
      </c>
      <c r="F121" s="1" t="s">
        <v>344</v>
      </c>
      <c r="G121" s="1" t="s">
        <v>32</v>
      </c>
      <c r="H121" s="1" t="s">
        <v>33</v>
      </c>
      <c r="I121" s="1" t="s">
        <v>34</v>
      </c>
      <c r="J121" s="1">
        <v>18.73</v>
      </c>
      <c r="K121" s="1" t="s">
        <v>324</v>
      </c>
      <c r="L121" s="1" t="s">
        <v>36</v>
      </c>
      <c r="M121" s="1">
        <v>0.75</v>
      </c>
      <c r="N121" s="1" t="s">
        <v>346</v>
      </c>
      <c r="O121" s="1" t="s">
        <v>38</v>
      </c>
      <c r="P121" s="1" t="s">
        <v>39</v>
      </c>
      <c r="Q121" s="1" t="s">
        <v>347</v>
      </c>
      <c r="R121" s="1" t="s">
        <v>348</v>
      </c>
      <c r="S121" s="1" t="s">
        <v>42</v>
      </c>
      <c r="T121" s="1">
        <v>1522.51</v>
      </c>
      <c r="U121" s="1" t="s">
        <v>43</v>
      </c>
      <c r="V121" s="1" t="s">
        <v>30</v>
      </c>
      <c r="W121" s="1" t="s">
        <v>39</v>
      </c>
      <c r="X121" s="1" t="s">
        <v>30</v>
      </c>
      <c r="Y121" s="1" t="s">
        <v>39</v>
      </c>
      <c r="Z121" s="1" t="s">
        <v>44</v>
      </c>
    </row>
    <row r="122" spans="1:26" ht="15.75" x14ac:dyDescent="0.25">
      <c r="A122" s="1" t="s">
        <v>26</v>
      </c>
      <c r="B122" s="1" t="s">
        <v>27</v>
      </c>
      <c r="C122" s="1" t="s">
        <v>250</v>
      </c>
      <c r="D122" s="1" t="s">
        <v>349</v>
      </c>
      <c r="E122" s="1" t="s">
        <v>30</v>
      </c>
      <c r="F122" s="1" t="s">
        <v>350</v>
      </c>
      <c r="G122" s="1" t="s">
        <v>32</v>
      </c>
      <c r="H122" s="1" t="s">
        <v>33</v>
      </c>
      <c r="I122" s="1" t="s">
        <v>34</v>
      </c>
      <c r="J122" s="1">
        <v>40.729999999999997</v>
      </c>
      <c r="K122" s="1" t="s">
        <v>324</v>
      </c>
      <c r="L122" s="1" t="s">
        <v>36</v>
      </c>
      <c r="M122" s="1">
        <v>1.63</v>
      </c>
      <c r="N122" s="1" t="s">
        <v>267</v>
      </c>
      <c r="O122" s="1" t="s">
        <v>38</v>
      </c>
      <c r="P122" s="1" t="s">
        <v>39</v>
      </c>
      <c r="Q122" s="1" t="s">
        <v>268</v>
      </c>
      <c r="R122" s="1" t="s">
        <v>351</v>
      </c>
      <c r="S122" s="1" t="s">
        <v>42</v>
      </c>
      <c r="T122" s="1">
        <v>1522.51</v>
      </c>
      <c r="U122" s="1" t="s">
        <v>43</v>
      </c>
      <c r="V122" s="1" t="s">
        <v>30</v>
      </c>
      <c r="W122" s="1" t="s">
        <v>39</v>
      </c>
      <c r="X122" s="1" t="s">
        <v>30</v>
      </c>
      <c r="Y122" s="1" t="s">
        <v>39</v>
      </c>
      <c r="Z122" s="1" t="s">
        <v>44</v>
      </c>
    </row>
    <row r="123" spans="1:26" ht="15.75" x14ac:dyDescent="0.25">
      <c r="A123" s="1" t="s">
        <v>26</v>
      </c>
      <c r="B123" s="1" t="s">
        <v>27</v>
      </c>
      <c r="C123" s="1" t="s">
        <v>250</v>
      </c>
      <c r="D123" s="1" t="s">
        <v>352</v>
      </c>
      <c r="E123" s="1" t="s">
        <v>30</v>
      </c>
      <c r="F123" s="1" t="s">
        <v>353</v>
      </c>
      <c r="G123" s="1" t="s">
        <v>32</v>
      </c>
      <c r="H123" s="1" t="s">
        <v>50</v>
      </c>
      <c r="I123" s="1" t="s">
        <v>137</v>
      </c>
      <c r="J123" s="1">
        <v>61.14</v>
      </c>
      <c r="K123" s="1" t="s">
        <v>354</v>
      </c>
      <c r="L123" s="1" t="s">
        <v>36</v>
      </c>
      <c r="M123" s="1">
        <v>2.4500000000000002</v>
      </c>
      <c r="N123" s="1" t="s">
        <v>311</v>
      </c>
      <c r="O123" s="1" t="s">
        <v>38</v>
      </c>
      <c r="P123" s="1" t="s">
        <v>39</v>
      </c>
      <c r="Q123" s="1" t="s">
        <v>312</v>
      </c>
      <c r="R123" s="1" t="s">
        <v>355</v>
      </c>
      <c r="S123" s="1" t="s">
        <v>42</v>
      </c>
      <c r="T123" s="1">
        <v>1522.51</v>
      </c>
      <c r="U123" s="1" t="s">
        <v>43</v>
      </c>
      <c r="V123" s="1" t="s">
        <v>30</v>
      </c>
      <c r="W123" s="1" t="s">
        <v>39</v>
      </c>
      <c r="X123" s="1" t="s">
        <v>30</v>
      </c>
      <c r="Y123" s="1" t="s">
        <v>39</v>
      </c>
      <c r="Z123" s="1" t="s">
        <v>44</v>
      </c>
    </row>
    <row r="124" spans="1:26" ht="15.75" x14ac:dyDescent="0.25">
      <c r="A124" s="1" t="s">
        <v>26</v>
      </c>
      <c r="B124" s="1" t="s">
        <v>27</v>
      </c>
      <c r="C124" s="1" t="s">
        <v>250</v>
      </c>
      <c r="D124" s="1" t="s">
        <v>356</v>
      </c>
      <c r="E124" s="1" t="s">
        <v>30</v>
      </c>
      <c r="F124" s="1" t="s">
        <v>357</v>
      </c>
      <c r="G124" s="1" t="s">
        <v>32</v>
      </c>
      <c r="H124" s="1" t="s">
        <v>34</v>
      </c>
      <c r="I124" s="1" t="s">
        <v>82</v>
      </c>
      <c r="J124" s="1">
        <v>36.29</v>
      </c>
      <c r="K124" s="1" t="s">
        <v>358</v>
      </c>
      <c r="L124" s="1" t="s">
        <v>36</v>
      </c>
      <c r="M124" s="1">
        <v>1.45</v>
      </c>
      <c r="N124" s="1" t="s">
        <v>74</v>
      </c>
      <c r="O124" s="1" t="s">
        <v>38</v>
      </c>
      <c r="P124" s="1" t="s">
        <v>39</v>
      </c>
      <c r="Q124" s="1" t="s">
        <v>75</v>
      </c>
      <c r="R124" s="1" t="s">
        <v>359</v>
      </c>
      <c r="S124" s="1" t="s">
        <v>42</v>
      </c>
      <c r="T124" s="1">
        <v>1522.51</v>
      </c>
      <c r="U124" s="1" t="s">
        <v>43</v>
      </c>
      <c r="V124" s="1" t="s">
        <v>30</v>
      </c>
      <c r="W124" s="1" t="s">
        <v>39</v>
      </c>
      <c r="X124" s="1" t="s">
        <v>30</v>
      </c>
      <c r="Y124" s="1" t="s">
        <v>39</v>
      </c>
      <c r="Z124" s="1" t="s">
        <v>44</v>
      </c>
    </row>
    <row r="125" spans="1:26" ht="15.75" x14ac:dyDescent="0.25">
      <c r="A125" s="1" t="s">
        <v>26</v>
      </c>
      <c r="B125" s="1" t="s">
        <v>27</v>
      </c>
      <c r="C125" s="1" t="s">
        <v>250</v>
      </c>
      <c r="D125" s="1" t="s">
        <v>356</v>
      </c>
      <c r="E125" s="1" t="s">
        <v>30</v>
      </c>
      <c r="F125" s="1" t="s">
        <v>357</v>
      </c>
      <c r="G125" s="1" t="s">
        <v>45</v>
      </c>
      <c r="H125" s="1" t="s">
        <v>34</v>
      </c>
      <c r="I125" s="1" t="s">
        <v>82</v>
      </c>
      <c r="J125" s="1">
        <v>1.5</v>
      </c>
      <c r="K125" s="1" t="s">
        <v>358</v>
      </c>
      <c r="L125" s="1" t="s">
        <v>36</v>
      </c>
      <c r="M125" s="1">
        <v>0.06</v>
      </c>
      <c r="N125" s="1" t="s">
        <v>74</v>
      </c>
      <c r="O125" s="1" t="s">
        <v>38</v>
      </c>
      <c r="P125" s="1" t="s">
        <v>39</v>
      </c>
      <c r="Q125" s="1" t="s">
        <v>75</v>
      </c>
      <c r="R125" s="1" t="s">
        <v>359</v>
      </c>
      <c r="S125" s="1" t="s">
        <v>42</v>
      </c>
      <c r="T125" s="1">
        <v>1522.51</v>
      </c>
      <c r="U125" s="1" t="s">
        <v>43</v>
      </c>
      <c r="V125" s="1" t="s">
        <v>30</v>
      </c>
      <c r="W125" s="1" t="s">
        <v>39</v>
      </c>
      <c r="X125" s="1" t="s">
        <v>30</v>
      </c>
      <c r="Y125" s="1" t="s">
        <v>39</v>
      </c>
      <c r="Z125" s="1" t="s">
        <v>44</v>
      </c>
    </row>
    <row r="126" spans="1:26" ht="15.75" x14ac:dyDescent="0.25">
      <c r="A126" s="1" t="s">
        <v>26</v>
      </c>
      <c r="B126" s="1" t="s">
        <v>27</v>
      </c>
      <c r="C126" s="1" t="s">
        <v>250</v>
      </c>
      <c r="D126" s="1" t="s">
        <v>360</v>
      </c>
      <c r="E126" s="1" t="s">
        <v>30</v>
      </c>
      <c r="F126" s="1" t="s">
        <v>361</v>
      </c>
      <c r="G126" s="1" t="s">
        <v>32</v>
      </c>
      <c r="H126" s="1" t="s">
        <v>362</v>
      </c>
      <c r="I126" s="1" t="s">
        <v>363</v>
      </c>
      <c r="J126" s="1">
        <v>38.54</v>
      </c>
      <c r="K126" s="1" t="s">
        <v>364</v>
      </c>
      <c r="L126" s="1" t="s">
        <v>36</v>
      </c>
      <c r="M126" s="1">
        <v>1.54</v>
      </c>
      <c r="N126" s="1" t="s">
        <v>267</v>
      </c>
      <c r="O126" s="1" t="s">
        <v>38</v>
      </c>
      <c r="P126" s="1" t="s">
        <v>39</v>
      </c>
      <c r="Q126" s="1" t="s">
        <v>268</v>
      </c>
      <c r="R126" s="1" t="s">
        <v>365</v>
      </c>
      <c r="S126" s="1" t="s">
        <v>42</v>
      </c>
      <c r="T126" s="1">
        <v>1522.51</v>
      </c>
      <c r="U126" s="1" t="s">
        <v>43</v>
      </c>
      <c r="V126" s="1" t="s">
        <v>30</v>
      </c>
      <c r="W126" s="1" t="s">
        <v>39</v>
      </c>
      <c r="X126" s="1" t="s">
        <v>30</v>
      </c>
      <c r="Y126" s="1" t="s">
        <v>39</v>
      </c>
      <c r="Z126" s="1" t="s">
        <v>44</v>
      </c>
    </row>
    <row r="127" spans="1:26" ht="15.75" x14ac:dyDescent="0.25">
      <c r="A127" s="1" t="s">
        <v>26</v>
      </c>
      <c r="B127" s="1" t="s">
        <v>27</v>
      </c>
      <c r="C127" s="1" t="s">
        <v>250</v>
      </c>
      <c r="D127" s="1" t="s">
        <v>360</v>
      </c>
      <c r="E127" s="1" t="s">
        <v>30</v>
      </c>
      <c r="F127" s="1" t="s">
        <v>361</v>
      </c>
      <c r="G127" s="1" t="s">
        <v>45</v>
      </c>
      <c r="H127" s="1" t="s">
        <v>362</v>
      </c>
      <c r="I127" s="1" t="s">
        <v>363</v>
      </c>
      <c r="J127" s="1">
        <v>1.5</v>
      </c>
      <c r="K127" s="1" t="s">
        <v>364</v>
      </c>
      <c r="L127" s="1" t="s">
        <v>36</v>
      </c>
      <c r="M127" s="1">
        <v>0.06</v>
      </c>
      <c r="N127" s="1" t="s">
        <v>267</v>
      </c>
      <c r="O127" s="1" t="s">
        <v>38</v>
      </c>
      <c r="P127" s="1" t="s">
        <v>39</v>
      </c>
      <c r="Q127" s="1" t="s">
        <v>268</v>
      </c>
      <c r="R127" s="1" t="s">
        <v>365</v>
      </c>
      <c r="S127" s="1" t="s">
        <v>42</v>
      </c>
      <c r="T127" s="1">
        <v>1522.51</v>
      </c>
      <c r="U127" s="1" t="s">
        <v>43</v>
      </c>
      <c r="V127" s="1" t="s">
        <v>30</v>
      </c>
      <c r="W127" s="1" t="s">
        <v>39</v>
      </c>
      <c r="X127" s="1" t="s">
        <v>30</v>
      </c>
      <c r="Y127" s="1" t="s">
        <v>39</v>
      </c>
      <c r="Z127" s="1" t="s">
        <v>44</v>
      </c>
    </row>
    <row r="128" spans="1:26" ht="15.75" x14ac:dyDescent="0.25">
      <c r="A128" s="1" t="s">
        <v>26</v>
      </c>
      <c r="B128" s="1" t="s">
        <v>27</v>
      </c>
      <c r="C128" s="1" t="s">
        <v>250</v>
      </c>
      <c r="D128" s="1" t="s">
        <v>360</v>
      </c>
      <c r="E128" s="1" t="s">
        <v>30</v>
      </c>
      <c r="F128" s="1" t="s">
        <v>361</v>
      </c>
      <c r="G128" s="1" t="s">
        <v>32</v>
      </c>
      <c r="H128" s="1" t="s">
        <v>362</v>
      </c>
      <c r="I128" s="1" t="s">
        <v>366</v>
      </c>
      <c r="J128" s="1">
        <v>-38.54</v>
      </c>
      <c r="K128" s="1" t="s">
        <v>364</v>
      </c>
      <c r="L128" s="1" t="s">
        <v>36</v>
      </c>
      <c r="M128" s="1">
        <v>-1.54</v>
      </c>
      <c r="N128" s="1" t="s">
        <v>267</v>
      </c>
      <c r="O128" s="1" t="s">
        <v>38</v>
      </c>
      <c r="P128" s="1" t="s">
        <v>39</v>
      </c>
      <c r="Q128" s="1" t="s">
        <v>268</v>
      </c>
      <c r="R128" s="1" t="s">
        <v>365</v>
      </c>
      <c r="S128" s="1" t="s">
        <v>42</v>
      </c>
      <c r="T128" s="1">
        <v>1522.51</v>
      </c>
      <c r="U128" s="1" t="s">
        <v>43</v>
      </c>
      <c r="V128" s="1" t="s">
        <v>30</v>
      </c>
      <c r="W128" s="1" t="s">
        <v>39</v>
      </c>
      <c r="X128" s="1" t="s">
        <v>30</v>
      </c>
      <c r="Y128" s="1" t="s">
        <v>39</v>
      </c>
      <c r="Z128" s="1" t="s">
        <v>44</v>
      </c>
    </row>
    <row r="129" spans="1:26" ht="15.75" x14ac:dyDescent="0.25">
      <c r="A129" s="1" t="s">
        <v>26</v>
      </c>
      <c r="B129" s="1" t="s">
        <v>27</v>
      </c>
      <c r="C129" s="1" t="s">
        <v>250</v>
      </c>
      <c r="D129" s="1" t="s">
        <v>360</v>
      </c>
      <c r="E129" s="1" t="s">
        <v>30</v>
      </c>
      <c r="F129" s="1" t="s">
        <v>361</v>
      </c>
      <c r="G129" s="1" t="s">
        <v>45</v>
      </c>
      <c r="H129" s="1" t="s">
        <v>362</v>
      </c>
      <c r="I129" s="1" t="s">
        <v>366</v>
      </c>
      <c r="J129" s="1">
        <v>-1.5</v>
      </c>
      <c r="K129" s="1" t="s">
        <v>364</v>
      </c>
      <c r="L129" s="1" t="s">
        <v>36</v>
      </c>
      <c r="M129" s="1">
        <v>-0.06</v>
      </c>
      <c r="N129" s="1" t="s">
        <v>267</v>
      </c>
      <c r="O129" s="1" t="s">
        <v>38</v>
      </c>
      <c r="P129" s="1" t="s">
        <v>39</v>
      </c>
      <c r="Q129" s="1" t="s">
        <v>268</v>
      </c>
      <c r="R129" s="1" t="s">
        <v>365</v>
      </c>
      <c r="S129" s="1" t="s">
        <v>42</v>
      </c>
      <c r="T129" s="1">
        <v>1522.51</v>
      </c>
      <c r="U129" s="1" t="s">
        <v>43</v>
      </c>
      <c r="V129" s="1" t="s">
        <v>30</v>
      </c>
      <c r="W129" s="1" t="s">
        <v>39</v>
      </c>
      <c r="X129" s="1" t="s">
        <v>30</v>
      </c>
      <c r="Y129" s="1" t="s">
        <v>39</v>
      </c>
      <c r="Z129" s="1" t="s">
        <v>44</v>
      </c>
    </row>
    <row r="130" spans="1:26" ht="15.75" x14ac:dyDescent="0.25">
      <c r="A130" s="1" t="s">
        <v>26</v>
      </c>
      <c r="B130" s="1" t="s">
        <v>27</v>
      </c>
      <c r="C130" s="1" t="s">
        <v>250</v>
      </c>
      <c r="D130" s="1" t="s">
        <v>360</v>
      </c>
      <c r="E130" s="1" t="s">
        <v>30</v>
      </c>
      <c r="F130" s="1" t="s">
        <v>361</v>
      </c>
      <c r="G130" s="1" t="s">
        <v>32</v>
      </c>
      <c r="H130" s="1" t="s">
        <v>362</v>
      </c>
      <c r="I130" s="1" t="s">
        <v>137</v>
      </c>
      <c r="J130" s="1">
        <v>38.54</v>
      </c>
      <c r="K130" s="1" t="s">
        <v>364</v>
      </c>
      <c r="L130" s="1" t="s">
        <v>36</v>
      </c>
      <c r="M130" s="1">
        <v>1.54</v>
      </c>
      <c r="N130" s="1" t="s">
        <v>267</v>
      </c>
      <c r="O130" s="1" t="s">
        <v>38</v>
      </c>
      <c r="P130" s="1" t="s">
        <v>39</v>
      </c>
      <c r="Q130" s="1" t="s">
        <v>268</v>
      </c>
      <c r="R130" s="1" t="s">
        <v>365</v>
      </c>
      <c r="S130" s="1" t="s">
        <v>42</v>
      </c>
      <c r="T130" s="1">
        <v>1522.51</v>
      </c>
      <c r="U130" s="1" t="s">
        <v>43</v>
      </c>
      <c r="V130" s="1" t="s">
        <v>30</v>
      </c>
      <c r="W130" s="1" t="s">
        <v>39</v>
      </c>
      <c r="X130" s="1" t="s">
        <v>30</v>
      </c>
      <c r="Y130" s="1" t="s">
        <v>39</v>
      </c>
      <c r="Z130" s="1" t="s">
        <v>44</v>
      </c>
    </row>
    <row r="131" spans="1:26" ht="15.75" x14ac:dyDescent="0.25">
      <c r="A131" s="1" t="s">
        <v>26</v>
      </c>
      <c r="B131" s="1" t="s">
        <v>27</v>
      </c>
      <c r="C131" s="1" t="s">
        <v>250</v>
      </c>
      <c r="D131" s="1" t="s">
        <v>360</v>
      </c>
      <c r="E131" s="1" t="s">
        <v>30</v>
      </c>
      <c r="F131" s="1" t="s">
        <v>361</v>
      </c>
      <c r="G131" s="1" t="s">
        <v>45</v>
      </c>
      <c r="H131" s="1" t="s">
        <v>362</v>
      </c>
      <c r="I131" s="1" t="s">
        <v>137</v>
      </c>
      <c r="J131" s="1">
        <v>1.5</v>
      </c>
      <c r="K131" s="1" t="s">
        <v>364</v>
      </c>
      <c r="L131" s="1" t="s">
        <v>36</v>
      </c>
      <c r="M131" s="1">
        <v>0.06</v>
      </c>
      <c r="N131" s="1" t="s">
        <v>267</v>
      </c>
      <c r="O131" s="1" t="s">
        <v>38</v>
      </c>
      <c r="P131" s="1" t="s">
        <v>39</v>
      </c>
      <c r="Q131" s="1" t="s">
        <v>268</v>
      </c>
      <c r="R131" s="1" t="s">
        <v>365</v>
      </c>
      <c r="S131" s="1" t="s">
        <v>42</v>
      </c>
      <c r="T131" s="1">
        <v>1522.51</v>
      </c>
      <c r="U131" s="1" t="s">
        <v>43</v>
      </c>
      <c r="V131" s="1" t="s">
        <v>30</v>
      </c>
      <c r="W131" s="1" t="s">
        <v>39</v>
      </c>
      <c r="X131" s="1" t="s">
        <v>30</v>
      </c>
      <c r="Y131" s="1" t="s">
        <v>39</v>
      </c>
      <c r="Z131" s="1" t="s">
        <v>44</v>
      </c>
    </row>
    <row r="132" spans="1:26" ht="15.75" x14ac:dyDescent="0.25">
      <c r="A132" s="1" t="s">
        <v>26</v>
      </c>
      <c r="B132" s="1" t="s">
        <v>27</v>
      </c>
      <c r="C132" s="1" t="s">
        <v>250</v>
      </c>
      <c r="D132" s="1" t="s">
        <v>367</v>
      </c>
      <c r="E132" s="1" t="s">
        <v>30</v>
      </c>
      <c r="F132" s="1" t="s">
        <v>368</v>
      </c>
      <c r="G132" s="1" t="s">
        <v>32</v>
      </c>
      <c r="H132" s="1" t="s">
        <v>34</v>
      </c>
      <c r="I132" s="1" t="s">
        <v>82</v>
      </c>
      <c r="J132" s="1">
        <v>40.729999999999997</v>
      </c>
      <c r="K132" s="1" t="s">
        <v>369</v>
      </c>
      <c r="L132" s="1" t="s">
        <v>36</v>
      </c>
      <c r="M132" s="1">
        <v>1.63</v>
      </c>
      <c r="N132" s="1" t="s">
        <v>267</v>
      </c>
      <c r="O132" s="1" t="s">
        <v>38</v>
      </c>
      <c r="P132" s="1" t="s">
        <v>39</v>
      </c>
      <c r="Q132" s="1" t="s">
        <v>268</v>
      </c>
      <c r="R132" s="1" t="s">
        <v>370</v>
      </c>
      <c r="S132" s="1" t="s">
        <v>42</v>
      </c>
      <c r="T132" s="1">
        <v>1522.51</v>
      </c>
      <c r="U132" s="1" t="s">
        <v>43</v>
      </c>
      <c r="V132" s="1" t="s">
        <v>30</v>
      </c>
      <c r="W132" s="1" t="s">
        <v>39</v>
      </c>
      <c r="X132" s="1" t="s">
        <v>30</v>
      </c>
      <c r="Y132" s="1" t="s">
        <v>39</v>
      </c>
      <c r="Z132" s="1" t="s">
        <v>44</v>
      </c>
    </row>
    <row r="133" spans="1:26" ht="15.75" x14ac:dyDescent="0.25">
      <c r="A133" s="1" t="s">
        <v>26</v>
      </c>
      <c r="B133" s="1" t="s">
        <v>27</v>
      </c>
      <c r="C133" s="1" t="s">
        <v>250</v>
      </c>
      <c r="D133" s="1" t="s">
        <v>371</v>
      </c>
      <c r="E133" s="1" t="s">
        <v>30</v>
      </c>
      <c r="F133" s="1" t="s">
        <v>372</v>
      </c>
      <c r="G133" s="1" t="s">
        <v>54</v>
      </c>
      <c r="H133" s="1" t="s">
        <v>49</v>
      </c>
      <c r="I133" s="1" t="s">
        <v>50</v>
      </c>
      <c r="J133" s="1">
        <v>16.34</v>
      </c>
      <c r="K133" s="1" t="s">
        <v>373</v>
      </c>
      <c r="L133" s="1" t="s">
        <v>36</v>
      </c>
      <c r="M133" s="1">
        <v>0.65</v>
      </c>
      <c r="N133" s="1" t="s">
        <v>74</v>
      </c>
      <c r="O133" s="1" t="s">
        <v>38</v>
      </c>
      <c r="P133" s="1" t="s">
        <v>39</v>
      </c>
      <c r="Q133" s="1" t="s">
        <v>75</v>
      </c>
      <c r="R133" s="1" t="s">
        <v>374</v>
      </c>
      <c r="S133" s="1" t="s">
        <v>42</v>
      </c>
      <c r="T133" s="1">
        <v>1522.51</v>
      </c>
      <c r="U133" s="1" t="s">
        <v>43</v>
      </c>
      <c r="V133" s="1" t="s">
        <v>30</v>
      </c>
      <c r="W133" s="1" t="s">
        <v>39</v>
      </c>
      <c r="X133" s="1" t="s">
        <v>30</v>
      </c>
      <c r="Y133" s="1" t="s">
        <v>39</v>
      </c>
      <c r="Z133" s="1" t="s">
        <v>44</v>
      </c>
    </row>
    <row r="134" spans="1:26" ht="15.75" x14ac:dyDescent="0.25">
      <c r="A134" s="1" t="s">
        <v>26</v>
      </c>
      <c r="B134" s="1" t="s">
        <v>27</v>
      </c>
      <c r="C134" s="1" t="s">
        <v>250</v>
      </c>
      <c r="D134" s="1" t="s">
        <v>375</v>
      </c>
      <c r="E134" s="1" t="s">
        <v>30</v>
      </c>
      <c r="F134" s="1" t="s">
        <v>376</v>
      </c>
      <c r="G134" s="1" t="s">
        <v>32</v>
      </c>
      <c r="H134" s="1" t="s">
        <v>33</v>
      </c>
      <c r="I134" s="1" t="s">
        <v>34</v>
      </c>
      <c r="J134" s="1">
        <v>65.760000000000005</v>
      </c>
      <c r="K134" s="1" t="s">
        <v>377</v>
      </c>
      <c r="L134" s="1" t="s">
        <v>36</v>
      </c>
      <c r="M134" s="1">
        <v>2.63</v>
      </c>
      <c r="N134" s="1" t="s">
        <v>333</v>
      </c>
      <c r="O134" s="1" t="s">
        <v>38</v>
      </c>
      <c r="P134" s="1" t="s">
        <v>39</v>
      </c>
      <c r="Q134" s="1" t="s">
        <v>334</v>
      </c>
      <c r="R134" s="1" t="s">
        <v>378</v>
      </c>
      <c r="S134" s="1" t="s">
        <v>42</v>
      </c>
      <c r="T134" s="1">
        <v>1522.51</v>
      </c>
      <c r="U134" s="1" t="s">
        <v>43</v>
      </c>
      <c r="V134" s="1" t="s">
        <v>30</v>
      </c>
      <c r="W134" s="1" t="s">
        <v>39</v>
      </c>
      <c r="X134" s="1" t="s">
        <v>30</v>
      </c>
      <c r="Y134" s="1" t="s">
        <v>39</v>
      </c>
      <c r="Z134" s="1" t="s">
        <v>44</v>
      </c>
    </row>
    <row r="135" spans="1:26" ht="15.75" x14ac:dyDescent="0.25">
      <c r="A135" s="1" t="s">
        <v>26</v>
      </c>
      <c r="B135" s="1" t="s">
        <v>27</v>
      </c>
      <c r="C135" s="1" t="s">
        <v>250</v>
      </c>
      <c r="D135" s="1" t="s">
        <v>375</v>
      </c>
      <c r="E135" s="1" t="s">
        <v>30</v>
      </c>
      <c r="F135" s="1" t="s">
        <v>376</v>
      </c>
      <c r="G135" s="1" t="s">
        <v>45</v>
      </c>
      <c r="H135" s="1" t="s">
        <v>33</v>
      </c>
      <c r="I135" s="1" t="s">
        <v>34</v>
      </c>
      <c r="J135" s="1">
        <v>1.5</v>
      </c>
      <c r="K135" s="1" t="s">
        <v>377</v>
      </c>
      <c r="L135" s="1" t="s">
        <v>36</v>
      </c>
      <c r="M135" s="1">
        <v>0.06</v>
      </c>
      <c r="N135" s="1" t="s">
        <v>333</v>
      </c>
      <c r="O135" s="1" t="s">
        <v>38</v>
      </c>
      <c r="P135" s="1" t="s">
        <v>39</v>
      </c>
      <c r="Q135" s="1" t="s">
        <v>334</v>
      </c>
      <c r="R135" s="1" t="s">
        <v>378</v>
      </c>
      <c r="S135" s="1" t="s">
        <v>42</v>
      </c>
      <c r="T135" s="1">
        <v>1522.51</v>
      </c>
      <c r="U135" s="1" t="s">
        <v>43</v>
      </c>
      <c r="V135" s="1" t="s">
        <v>30</v>
      </c>
      <c r="W135" s="1" t="s">
        <v>39</v>
      </c>
      <c r="X135" s="1" t="s">
        <v>30</v>
      </c>
      <c r="Y135" s="1" t="s">
        <v>39</v>
      </c>
      <c r="Z135" s="1" t="s">
        <v>44</v>
      </c>
    </row>
    <row r="136" spans="1:26" ht="15.75" x14ac:dyDescent="0.25">
      <c r="A136" s="1" t="s">
        <v>26</v>
      </c>
      <c r="B136" s="1" t="s">
        <v>27</v>
      </c>
      <c r="C136" s="1" t="s">
        <v>250</v>
      </c>
      <c r="D136" s="1" t="s">
        <v>379</v>
      </c>
      <c r="E136" s="1" t="s">
        <v>30</v>
      </c>
      <c r="F136" s="1" t="s">
        <v>380</v>
      </c>
      <c r="G136" s="1" t="s">
        <v>32</v>
      </c>
      <c r="H136" s="1" t="s">
        <v>137</v>
      </c>
      <c r="I136" s="1" t="s">
        <v>220</v>
      </c>
      <c r="J136" s="1">
        <v>40.729999999999997</v>
      </c>
      <c r="K136" s="1" t="s">
        <v>381</v>
      </c>
      <c r="L136" s="1" t="s">
        <v>36</v>
      </c>
      <c r="M136" s="1">
        <v>1.63</v>
      </c>
      <c r="N136" s="1" t="s">
        <v>267</v>
      </c>
      <c r="O136" s="1" t="s">
        <v>38</v>
      </c>
      <c r="P136" s="1" t="s">
        <v>39</v>
      </c>
      <c r="Q136" s="1" t="s">
        <v>268</v>
      </c>
      <c r="R136" s="1" t="s">
        <v>382</v>
      </c>
      <c r="S136" s="1" t="s">
        <v>42</v>
      </c>
      <c r="T136" s="1">
        <v>1522.51</v>
      </c>
      <c r="U136" s="1" t="s">
        <v>43</v>
      </c>
      <c r="V136" s="1" t="s">
        <v>30</v>
      </c>
      <c r="W136" s="1" t="s">
        <v>39</v>
      </c>
      <c r="X136" s="1" t="s">
        <v>30</v>
      </c>
      <c r="Y136" s="1" t="s">
        <v>39</v>
      </c>
      <c r="Z136" s="1" t="s">
        <v>44</v>
      </c>
    </row>
    <row r="137" spans="1:26" ht="15.75" x14ac:dyDescent="0.25">
      <c r="A137" s="1" t="s">
        <v>26</v>
      </c>
      <c r="B137" s="1" t="s">
        <v>27</v>
      </c>
      <c r="C137" s="1" t="s">
        <v>250</v>
      </c>
      <c r="D137" s="1" t="s">
        <v>383</v>
      </c>
      <c r="E137" s="1" t="s">
        <v>30</v>
      </c>
      <c r="F137" s="1" t="s">
        <v>384</v>
      </c>
      <c r="G137" s="1" t="s">
        <v>32</v>
      </c>
      <c r="H137" s="1" t="s">
        <v>137</v>
      </c>
      <c r="I137" s="1" t="s">
        <v>220</v>
      </c>
      <c r="J137" s="1">
        <v>57.36</v>
      </c>
      <c r="K137" s="1" t="s">
        <v>381</v>
      </c>
      <c r="L137" s="1" t="s">
        <v>36</v>
      </c>
      <c r="M137" s="1">
        <v>2.29</v>
      </c>
      <c r="N137" s="1" t="s">
        <v>385</v>
      </c>
      <c r="O137" s="1" t="s">
        <v>38</v>
      </c>
      <c r="P137" s="1" t="s">
        <v>39</v>
      </c>
      <c r="Q137" s="1" t="s">
        <v>386</v>
      </c>
      <c r="R137" s="1" t="s">
        <v>387</v>
      </c>
      <c r="S137" s="1" t="s">
        <v>42</v>
      </c>
      <c r="T137" s="1">
        <v>1522.51</v>
      </c>
      <c r="U137" s="1" t="s">
        <v>43</v>
      </c>
      <c r="V137" s="1" t="s">
        <v>30</v>
      </c>
      <c r="W137" s="1" t="s">
        <v>39</v>
      </c>
      <c r="X137" s="1" t="s">
        <v>30</v>
      </c>
      <c r="Y137" s="1" t="s">
        <v>39</v>
      </c>
      <c r="Z137" s="1" t="s">
        <v>44</v>
      </c>
    </row>
    <row r="138" spans="1:26" ht="15.75" x14ac:dyDescent="0.25">
      <c r="A138" s="1" t="s">
        <v>26</v>
      </c>
      <c r="B138" s="1" t="s">
        <v>27</v>
      </c>
      <c r="C138" s="1" t="s">
        <v>250</v>
      </c>
      <c r="D138" s="1" t="s">
        <v>383</v>
      </c>
      <c r="E138" s="1" t="s">
        <v>30</v>
      </c>
      <c r="F138" s="1" t="s">
        <v>384</v>
      </c>
      <c r="G138" s="1" t="s">
        <v>45</v>
      </c>
      <c r="H138" s="1" t="s">
        <v>137</v>
      </c>
      <c r="I138" s="1" t="s">
        <v>220</v>
      </c>
      <c r="J138" s="1">
        <v>1.5</v>
      </c>
      <c r="K138" s="1" t="s">
        <v>381</v>
      </c>
      <c r="L138" s="1" t="s">
        <v>36</v>
      </c>
      <c r="M138" s="1">
        <v>0.06</v>
      </c>
      <c r="N138" s="1" t="s">
        <v>385</v>
      </c>
      <c r="O138" s="1" t="s">
        <v>38</v>
      </c>
      <c r="P138" s="1" t="s">
        <v>39</v>
      </c>
      <c r="Q138" s="1" t="s">
        <v>386</v>
      </c>
      <c r="R138" s="1" t="s">
        <v>387</v>
      </c>
      <c r="S138" s="1" t="s">
        <v>42</v>
      </c>
      <c r="T138" s="1">
        <v>1522.51</v>
      </c>
      <c r="U138" s="1" t="s">
        <v>43</v>
      </c>
      <c r="V138" s="1" t="s">
        <v>30</v>
      </c>
      <c r="W138" s="1" t="s">
        <v>39</v>
      </c>
      <c r="X138" s="1" t="s">
        <v>30</v>
      </c>
      <c r="Y138" s="1" t="s">
        <v>39</v>
      </c>
      <c r="Z138" s="1" t="s">
        <v>44</v>
      </c>
    </row>
    <row r="139" spans="1:26" ht="15.75" x14ac:dyDescent="0.25">
      <c r="A139" s="1" t="s">
        <v>26</v>
      </c>
      <c r="B139" s="1" t="s">
        <v>27</v>
      </c>
      <c r="C139" s="1" t="s">
        <v>388</v>
      </c>
      <c r="D139" s="1" t="s">
        <v>389</v>
      </c>
      <c r="E139" s="1" t="s">
        <v>30</v>
      </c>
      <c r="F139" s="1" t="s">
        <v>390</v>
      </c>
      <c r="G139" s="1" t="s">
        <v>32</v>
      </c>
      <c r="H139" s="1" t="s">
        <v>137</v>
      </c>
      <c r="I139" s="1" t="s">
        <v>220</v>
      </c>
      <c r="J139" s="1">
        <v>17.27</v>
      </c>
      <c r="K139" s="1" t="s">
        <v>391</v>
      </c>
      <c r="L139" s="1" t="s">
        <v>36</v>
      </c>
      <c r="M139" s="1">
        <v>0</v>
      </c>
      <c r="N139" s="1" t="s">
        <v>66</v>
      </c>
      <c r="O139" s="1" t="s">
        <v>38</v>
      </c>
      <c r="P139" s="1" t="s">
        <v>392</v>
      </c>
      <c r="Q139" s="1" t="s">
        <v>68</v>
      </c>
      <c r="R139" s="1" t="s">
        <v>393</v>
      </c>
      <c r="S139" s="1" t="s">
        <v>42</v>
      </c>
      <c r="T139" s="1">
        <v>1522.51</v>
      </c>
      <c r="U139" s="1" t="s">
        <v>43</v>
      </c>
      <c r="V139" s="1" t="s">
        <v>30</v>
      </c>
      <c r="W139" s="1" t="s">
        <v>39</v>
      </c>
      <c r="X139" s="1" t="s">
        <v>30</v>
      </c>
      <c r="Y139" s="1" t="s">
        <v>39</v>
      </c>
      <c r="Z139" s="1" t="s">
        <v>44</v>
      </c>
    </row>
    <row r="140" spans="1:26" ht="15.75" x14ac:dyDescent="0.25">
      <c r="A140" s="1" t="s">
        <v>26</v>
      </c>
      <c r="B140" s="1" t="s">
        <v>27</v>
      </c>
      <c r="C140" s="1" t="s">
        <v>388</v>
      </c>
      <c r="D140" s="1" t="s">
        <v>394</v>
      </c>
      <c r="E140" s="1" t="s">
        <v>30</v>
      </c>
      <c r="F140" s="1" t="s">
        <v>390</v>
      </c>
      <c r="G140" s="1" t="s">
        <v>54</v>
      </c>
      <c r="H140" s="1" t="s">
        <v>137</v>
      </c>
      <c r="I140" s="1" t="s">
        <v>220</v>
      </c>
      <c r="J140" s="1">
        <v>16.34</v>
      </c>
      <c r="K140" s="1" t="s">
        <v>391</v>
      </c>
      <c r="L140" s="1" t="s">
        <v>36</v>
      </c>
      <c r="M140" s="1">
        <v>0</v>
      </c>
      <c r="N140" s="1" t="s">
        <v>66</v>
      </c>
      <c r="O140" s="1" t="s">
        <v>38</v>
      </c>
      <c r="P140" s="1" t="s">
        <v>395</v>
      </c>
      <c r="Q140" s="1" t="s">
        <v>68</v>
      </c>
      <c r="R140" s="1" t="s">
        <v>393</v>
      </c>
      <c r="S140" s="1" t="s">
        <v>42</v>
      </c>
      <c r="T140" s="1">
        <v>1522.51</v>
      </c>
      <c r="U140" s="1" t="s">
        <v>43</v>
      </c>
      <c r="V140" s="1" t="s">
        <v>30</v>
      </c>
      <c r="W140" s="1" t="s">
        <v>39</v>
      </c>
      <c r="X140" s="1" t="s">
        <v>30</v>
      </c>
      <c r="Y140" s="1" t="s">
        <v>39</v>
      </c>
      <c r="Z140" s="1" t="s">
        <v>44</v>
      </c>
    </row>
    <row r="141" spans="1:26" ht="15.75" x14ac:dyDescent="0.25">
      <c r="A141" s="1" t="s">
        <v>26</v>
      </c>
      <c r="B141" s="1" t="s">
        <v>27</v>
      </c>
      <c r="C141" s="1" t="s">
        <v>388</v>
      </c>
      <c r="D141" s="1" t="s">
        <v>396</v>
      </c>
      <c r="E141" s="1" t="s">
        <v>30</v>
      </c>
      <c r="F141" s="1" t="s">
        <v>397</v>
      </c>
      <c r="G141" s="1" t="s">
        <v>32</v>
      </c>
      <c r="H141" s="1" t="s">
        <v>33</v>
      </c>
      <c r="I141" s="1" t="s">
        <v>34</v>
      </c>
      <c r="J141" s="1">
        <v>41.17</v>
      </c>
      <c r="K141" s="1" t="s">
        <v>398</v>
      </c>
      <c r="L141" s="1" t="s">
        <v>36</v>
      </c>
      <c r="M141" s="1">
        <v>15.23</v>
      </c>
      <c r="N141" s="1" t="s">
        <v>399</v>
      </c>
      <c r="O141" s="1" t="s">
        <v>38</v>
      </c>
      <c r="P141" s="1" t="s">
        <v>39</v>
      </c>
      <c r="Q141" s="1" t="s">
        <v>400</v>
      </c>
      <c r="R141" s="1" t="s">
        <v>401</v>
      </c>
      <c r="S141" s="1" t="s">
        <v>42</v>
      </c>
      <c r="T141" s="1">
        <v>1522.51</v>
      </c>
      <c r="U141" s="1" t="s">
        <v>43</v>
      </c>
      <c r="V141" s="1" t="s">
        <v>30</v>
      </c>
      <c r="W141" s="1" t="s">
        <v>39</v>
      </c>
      <c r="X141" s="1" t="s">
        <v>30</v>
      </c>
      <c r="Y141" s="1" t="s">
        <v>39</v>
      </c>
      <c r="Z141" s="1" t="s">
        <v>44</v>
      </c>
    </row>
    <row r="142" spans="1:26" ht="15.75" x14ac:dyDescent="0.25">
      <c r="A142" s="1" t="s">
        <v>26</v>
      </c>
      <c r="B142" s="1" t="s">
        <v>27</v>
      </c>
      <c r="C142" s="1" t="s">
        <v>388</v>
      </c>
      <c r="D142" s="1" t="s">
        <v>402</v>
      </c>
      <c r="E142" s="1" t="s">
        <v>30</v>
      </c>
      <c r="F142" s="1" t="s">
        <v>403</v>
      </c>
      <c r="G142" s="1" t="s">
        <v>32</v>
      </c>
      <c r="H142" s="1" t="s">
        <v>33</v>
      </c>
      <c r="I142" s="1" t="s">
        <v>34</v>
      </c>
      <c r="J142" s="1">
        <v>45.29</v>
      </c>
      <c r="K142" s="1" t="s">
        <v>398</v>
      </c>
      <c r="L142" s="1" t="s">
        <v>36</v>
      </c>
      <c r="M142" s="1">
        <v>16.760000000000002</v>
      </c>
      <c r="N142" s="1" t="s">
        <v>399</v>
      </c>
      <c r="O142" s="1" t="s">
        <v>38</v>
      </c>
      <c r="P142" s="1" t="s">
        <v>39</v>
      </c>
      <c r="Q142" s="1" t="s">
        <v>400</v>
      </c>
      <c r="R142" s="1" t="s">
        <v>404</v>
      </c>
      <c r="S142" s="1" t="s">
        <v>42</v>
      </c>
      <c r="T142" s="1">
        <v>1522.51</v>
      </c>
      <c r="U142" s="1" t="s">
        <v>43</v>
      </c>
      <c r="V142" s="1" t="s">
        <v>30</v>
      </c>
      <c r="W142" s="1" t="s">
        <v>39</v>
      </c>
      <c r="X142" s="1" t="s">
        <v>30</v>
      </c>
      <c r="Y142" s="1" t="s">
        <v>39</v>
      </c>
      <c r="Z142" s="1" t="s">
        <v>44</v>
      </c>
    </row>
    <row r="143" spans="1:26" ht="15.75" x14ac:dyDescent="0.25">
      <c r="A143" s="1" t="s">
        <v>26</v>
      </c>
      <c r="B143" s="1" t="s">
        <v>27</v>
      </c>
      <c r="C143" s="1" t="s">
        <v>388</v>
      </c>
      <c r="D143" s="1" t="s">
        <v>405</v>
      </c>
      <c r="E143" s="1" t="s">
        <v>30</v>
      </c>
      <c r="F143" s="1" t="s">
        <v>403</v>
      </c>
      <c r="G143" s="1" t="s">
        <v>54</v>
      </c>
      <c r="H143" s="1" t="s">
        <v>33</v>
      </c>
      <c r="I143" s="1" t="s">
        <v>34</v>
      </c>
      <c r="J143" s="1">
        <v>10.67</v>
      </c>
      <c r="K143" s="1" t="s">
        <v>398</v>
      </c>
      <c r="L143" s="1" t="s">
        <v>36</v>
      </c>
      <c r="M143" s="1">
        <v>3.95</v>
      </c>
      <c r="N143" s="1" t="s">
        <v>399</v>
      </c>
      <c r="O143" s="1" t="s">
        <v>38</v>
      </c>
      <c r="P143" s="1" t="s">
        <v>39</v>
      </c>
      <c r="Q143" s="1" t="s">
        <v>400</v>
      </c>
      <c r="R143" s="1" t="s">
        <v>404</v>
      </c>
      <c r="S143" s="1" t="s">
        <v>42</v>
      </c>
      <c r="T143" s="1">
        <v>1522.51</v>
      </c>
      <c r="U143" s="1" t="s">
        <v>43</v>
      </c>
      <c r="V143" s="1" t="s">
        <v>30</v>
      </c>
      <c r="W143" s="1" t="s">
        <v>39</v>
      </c>
      <c r="X143" s="1" t="s">
        <v>30</v>
      </c>
      <c r="Y143" s="1" t="s">
        <v>39</v>
      </c>
      <c r="Z143" s="1" t="s">
        <v>44</v>
      </c>
    </row>
    <row r="144" spans="1:26" ht="15.75" x14ac:dyDescent="0.25">
      <c r="A144" s="1" t="s">
        <v>26</v>
      </c>
      <c r="B144" s="1" t="s">
        <v>27</v>
      </c>
      <c r="C144" s="1" t="s">
        <v>388</v>
      </c>
      <c r="D144" s="1" t="s">
        <v>406</v>
      </c>
      <c r="E144" s="1" t="s">
        <v>30</v>
      </c>
      <c r="F144" s="1" t="s">
        <v>407</v>
      </c>
      <c r="G144" s="1" t="s">
        <v>54</v>
      </c>
      <c r="H144" s="1" t="s">
        <v>33</v>
      </c>
      <c r="I144" s="1" t="s">
        <v>34</v>
      </c>
      <c r="J144" s="1">
        <v>19.63</v>
      </c>
      <c r="K144" s="1" t="s">
        <v>398</v>
      </c>
      <c r="L144" s="1" t="s">
        <v>36</v>
      </c>
      <c r="M144" s="1">
        <v>7.26</v>
      </c>
      <c r="N144" s="1" t="s">
        <v>399</v>
      </c>
      <c r="O144" s="1" t="s">
        <v>38</v>
      </c>
      <c r="P144" s="1" t="s">
        <v>39</v>
      </c>
      <c r="Q144" s="1" t="s">
        <v>400</v>
      </c>
      <c r="R144" s="1" t="s">
        <v>408</v>
      </c>
      <c r="S144" s="1" t="s">
        <v>42</v>
      </c>
      <c r="T144" s="1">
        <v>1522.51</v>
      </c>
      <c r="U144" s="1" t="s">
        <v>43</v>
      </c>
      <c r="V144" s="1" t="s">
        <v>30</v>
      </c>
      <c r="W144" s="1" t="s">
        <v>39</v>
      </c>
      <c r="X144" s="1" t="s">
        <v>30</v>
      </c>
      <c r="Y144" s="1" t="s">
        <v>39</v>
      </c>
      <c r="Z144" s="1" t="s">
        <v>44</v>
      </c>
    </row>
    <row r="145" spans="1:26" ht="15.75" x14ac:dyDescent="0.25">
      <c r="A145" s="1" t="s">
        <v>26</v>
      </c>
      <c r="B145" s="1" t="s">
        <v>27</v>
      </c>
      <c r="C145" s="1" t="s">
        <v>388</v>
      </c>
      <c r="D145" s="1" t="s">
        <v>409</v>
      </c>
      <c r="E145" s="1" t="s">
        <v>30</v>
      </c>
      <c r="F145" s="1" t="s">
        <v>410</v>
      </c>
      <c r="G145" s="1" t="s">
        <v>32</v>
      </c>
      <c r="H145" s="1" t="s">
        <v>33</v>
      </c>
      <c r="I145" s="1" t="s">
        <v>34</v>
      </c>
      <c r="J145" s="1">
        <v>41.17</v>
      </c>
      <c r="K145" s="1" t="s">
        <v>398</v>
      </c>
      <c r="L145" s="1" t="s">
        <v>36</v>
      </c>
      <c r="M145" s="1">
        <v>15.23</v>
      </c>
      <c r="N145" s="1" t="s">
        <v>399</v>
      </c>
      <c r="O145" s="1" t="s">
        <v>38</v>
      </c>
      <c r="P145" s="1" t="s">
        <v>39</v>
      </c>
      <c r="Q145" s="1" t="s">
        <v>400</v>
      </c>
      <c r="R145" s="1" t="s">
        <v>411</v>
      </c>
      <c r="S145" s="1" t="s">
        <v>42</v>
      </c>
      <c r="T145" s="1">
        <v>1522.51</v>
      </c>
      <c r="U145" s="1" t="s">
        <v>43</v>
      </c>
      <c r="V145" s="1" t="s">
        <v>30</v>
      </c>
      <c r="W145" s="1" t="s">
        <v>39</v>
      </c>
      <c r="X145" s="1" t="s">
        <v>30</v>
      </c>
      <c r="Y145" s="1" t="s">
        <v>39</v>
      </c>
      <c r="Z145" s="1" t="s">
        <v>44</v>
      </c>
    </row>
    <row r="146" spans="1:26" ht="15.75" x14ac:dyDescent="0.25">
      <c r="A146" s="1" t="s">
        <v>26</v>
      </c>
      <c r="B146" s="1" t="s">
        <v>27</v>
      </c>
      <c r="C146" s="1" t="s">
        <v>388</v>
      </c>
      <c r="D146" s="1" t="s">
        <v>412</v>
      </c>
      <c r="E146" s="1" t="s">
        <v>30</v>
      </c>
      <c r="F146" s="1" t="s">
        <v>413</v>
      </c>
      <c r="G146" s="1" t="s">
        <v>32</v>
      </c>
      <c r="H146" s="1" t="s">
        <v>50</v>
      </c>
      <c r="I146" s="1" t="s">
        <v>137</v>
      </c>
      <c r="J146" s="1">
        <v>54.02</v>
      </c>
      <c r="K146" s="1" t="s">
        <v>414</v>
      </c>
      <c r="L146" s="1" t="s">
        <v>36</v>
      </c>
      <c r="M146" s="1">
        <v>19.989999999999998</v>
      </c>
      <c r="N146" s="1" t="s">
        <v>267</v>
      </c>
      <c r="O146" s="1" t="s">
        <v>38</v>
      </c>
      <c r="P146" s="1" t="s">
        <v>39</v>
      </c>
      <c r="Q146" s="1" t="s">
        <v>268</v>
      </c>
      <c r="R146" s="1" t="s">
        <v>415</v>
      </c>
      <c r="S146" s="1" t="s">
        <v>42</v>
      </c>
      <c r="T146" s="1">
        <v>1522.51</v>
      </c>
      <c r="U146" s="1" t="s">
        <v>43</v>
      </c>
      <c r="V146" s="1" t="s">
        <v>30</v>
      </c>
      <c r="W146" s="1" t="s">
        <v>39</v>
      </c>
      <c r="X146" s="1" t="s">
        <v>30</v>
      </c>
      <c r="Y146" s="1" t="s">
        <v>39</v>
      </c>
      <c r="Z146" s="1" t="s">
        <v>44</v>
      </c>
    </row>
    <row r="147" spans="1:26" ht="15.75" x14ac:dyDescent="0.25">
      <c r="A147" s="1" t="s">
        <v>26</v>
      </c>
      <c r="B147" s="1" t="s">
        <v>27</v>
      </c>
      <c r="C147" s="1" t="s">
        <v>388</v>
      </c>
      <c r="D147" s="1" t="s">
        <v>412</v>
      </c>
      <c r="E147" s="1" t="s">
        <v>30</v>
      </c>
      <c r="F147" s="1" t="s">
        <v>413</v>
      </c>
      <c r="G147" s="1" t="s">
        <v>45</v>
      </c>
      <c r="H147" s="1" t="s">
        <v>50</v>
      </c>
      <c r="I147" s="1" t="s">
        <v>137</v>
      </c>
      <c r="J147" s="1">
        <v>1.5</v>
      </c>
      <c r="K147" s="1" t="s">
        <v>414</v>
      </c>
      <c r="L147" s="1" t="s">
        <v>36</v>
      </c>
      <c r="M147" s="1">
        <v>0.55000000000000004</v>
      </c>
      <c r="N147" s="1" t="s">
        <v>267</v>
      </c>
      <c r="O147" s="1" t="s">
        <v>38</v>
      </c>
      <c r="P147" s="1" t="s">
        <v>39</v>
      </c>
      <c r="Q147" s="1" t="s">
        <v>268</v>
      </c>
      <c r="R147" s="1" t="s">
        <v>415</v>
      </c>
      <c r="S147" s="1" t="s">
        <v>42</v>
      </c>
      <c r="T147" s="1">
        <v>1522.51</v>
      </c>
      <c r="U147" s="1" t="s">
        <v>43</v>
      </c>
      <c r="V147" s="1" t="s">
        <v>30</v>
      </c>
      <c r="W147" s="1" t="s">
        <v>39</v>
      </c>
      <c r="X147" s="1" t="s">
        <v>30</v>
      </c>
      <c r="Y147" s="1" t="s">
        <v>39</v>
      </c>
      <c r="Z147" s="1" t="s">
        <v>44</v>
      </c>
    </row>
    <row r="148" spans="1:26" ht="15.75" x14ac:dyDescent="0.25">
      <c r="A148" s="1" t="s">
        <v>26</v>
      </c>
      <c r="B148" s="1" t="s">
        <v>27</v>
      </c>
      <c r="C148" s="1" t="s">
        <v>388</v>
      </c>
      <c r="D148" s="1" t="s">
        <v>416</v>
      </c>
      <c r="E148" s="1" t="s">
        <v>30</v>
      </c>
      <c r="F148" s="1" t="s">
        <v>413</v>
      </c>
      <c r="G148" s="1" t="s">
        <v>54</v>
      </c>
      <c r="H148" s="1" t="s">
        <v>50</v>
      </c>
      <c r="I148" s="1" t="s">
        <v>137</v>
      </c>
      <c r="J148" s="1">
        <v>10.67</v>
      </c>
      <c r="K148" s="1" t="s">
        <v>414</v>
      </c>
      <c r="L148" s="1" t="s">
        <v>36</v>
      </c>
      <c r="M148" s="1">
        <v>3.95</v>
      </c>
      <c r="N148" s="1" t="s">
        <v>267</v>
      </c>
      <c r="O148" s="1" t="s">
        <v>38</v>
      </c>
      <c r="P148" s="1" t="s">
        <v>39</v>
      </c>
      <c r="Q148" s="1" t="s">
        <v>268</v>
      </c>
      <c r="R148" s="1" t="s">
        <v>415</v>
      </c>
      <c r="S148" s="1" t="s">
        <v>42</v>
      </c>
      <c r="T148" s="1">
        <v>1522.51</v>
      </c>
      <c r="U148" s="1" t="s">
        <v>43</v>
      </c>
      <c r="V148" s="1" t="s">
        <v>30</v>
      </c>
      <c r="W148" s="1" t="s">
        <v>39</v>
      </c>
      <c r="X148" s="1" t="s">
        <v>30</v>
      </c>
      <c r="Y148" s="1" t="s">
        <v>39</v>
      </c>
      <c r="Z148" s="1" t="s">
        <v>44</v>
      </c>
    </row>
    <row r="149" spans="1:26" ht="15.75" x14ac:dyDescent="0.25">
      <c r="A149" s="1" t="s">
        <v>26</v>
      </c>
      <c r="B149" s="1" t="s">
        <v>27</v>
      </c>
      <c r="C149" s="1" t="s">
        <v>388</v>
      </c>
      <c r="D149" s="1" t="s">
        <v>417</v>
      </c>
      <c r="E149" s="1" t="s">
        <v>30</v>
      </c>
      <c r="F149" s="1" t="s">
        <v>418</v>
      </c>
      <c r="G149" s="1" t="s">
        <v>32</v>
      </c>
      <c r="H149" s="1" t="s">
        <v>34</v>
      </c>
      <c r="I149" s="1" t="s">
        <v>82</v>
      </c>
      <c r="J149" s="1">
        <v>42.63</v>
      </c>
      <c r="K149" s="1" t="s">
        <v>419</v>
      </c>
      <c r="L149" s="1" t="s">
        <v>36</v>
      </c>
      <c r="M149" s="1">
        <v>15.77</v>
      </c>
      <c r="N149" s="1" t="s">
        <v>420</v>
      </c>
      <c r="O149" s="1" t="s">
        <v>38</v>
      </c>
      <c r="P149" s="1" t="s">
        <v>39</v>
      </c>
      <c r="Q149" s="1" t="s">
        <v>421</v>
      </c>
      <c r="R149" s="1" t="s">
        <v>422</v>
      </c>
      <c r="S149" s="1" t="s">
        <v>42</v>
      </c>
      <c r="T149" s="1">
        <v>1522.51</v>
      </c>
      <c r="U149" s="1" t="s">
        <v>43</v>
      </c>
      <c r="V149" s="1" t="s">
        <v>30</v>
      </c>
      <c r="W149" s="1" t="s">
        <v>39</v>
      </c>
      <c r="X149" s="1" t="s">
        <v>30</v>
      </c>
      <c r="Y149" s="1" t="s">
        <v>39</v>
      </c>
      <c r="Z149" s="1" t="s">
        <v>44</v>
      </c>
    </row>
    <row r="150" spans="1:26" ht="15.75" x14ac:dyDescent="0.25">
      <c r="A150" s="1" t="s">
        <v>26</v>
      </c>
      <c r="B150" s="1" t="s">
        <v>27</v>
      </c>
      <c r="C150" s="1" t="s">
        <v>388</v>
      </c>
      <c r="D150" s="1" t="s">
        <v>423</v>
      </c>
      <c r="E150" s="1" t="s">
        <v>30</v>
      </c>
      <c r="F150" s="1" t="s">
        <v>424</v>
      </c>
      <c r="G150" s="1" t="s">
        <v>32</v>
      </c>
      <c r="H150" s="1" t="s">
        <v>50</v>
      </c>
      <c r="I150" s="1" t="s">
        <v>137</v>
      </c>
      <c r="J150" s="1">
        <v>17.27</v>
      </c>
      <c r="K150" s="1" t="s">
        <v>425</v>
      </c>
      <c r="L150" s="1" t="s">
        <v>36</v>
      </c>
      <c r="M150" s="1">
        <v>0</v>
      </c>
      <c r="N150" s="1" t="s">
        <v>66</v>
      </c>
      <c r="O150" s="1" t="s">
        <v>38</v>
      </c>
      <c r="P150" s="1" t="s">
        <v>392</v>
      </c>
      <c r="Q150" s="1" t="s">
        <v>68</v>
      </c>
      <c r="R150" s="1" t="s">
        <v>426</v>
      </c>
      <c r="S150" s="1" t="s">
        <v>42</v>
      </c>
      <c r="T150" s="1">
        <v>1522.51</v>
      </c>
      <c r="U150" s="1" t="s">
        <v>43</v>
      </c>
      <c r="V150" s="1" t="s">
        <v>30</v>
      </c>
      <c r="W150" s="1" t="s">
        <v>39</v>
      </c>
      <c r="X150" s="1" t="s">
        <v>30</v>
      </c>
      <c r="Y150" s="1" t="s">
        <v>39</v>
      </c>
      <c r="Z150" s="1" t="s">
        <v>44</v>
      </c>
    </row>
    <row r="151" spans="1:26" ht="15.75" x14ac:dyDescent="0.25">
      <c r="A151" s="1" t="s">
        <v>26</v>
      </c>
      <c r="B151" s="1" t="s">
        <v>27</v>
      </c>
      <c r="C151" s="1" t="s">
        <v>388</v>
      </c>
      <c r="D151" s="1" t="s">
        <v>427</v>
      </c>
      <c r="E151" s="1" t="s">
        <v>30</v>
      </c>
      <c r="F151" s="1" t="s">
        <v>428</v>
      </c>
      <c r="G151" s="1" t="s">
        <v>54</v>
      </c>
      <c r="H151" s="1" t="s">
        <v>90</v>
      </c>
      <c r="I151" s="1" t="s">
        <v>50</v>
      </c>
      <c r="J151" s="1">
        <v>16.34</v>
      </c>
      <c r="K151" s="1" t="s">
        <v>429</v>
      </c>
      <c r="L151" s="1" t="s">
        <v>36</v>
      </c>
      <c r="M151" s="1">
        <v>6.05</v>
      </c>
      <c r="N151" s="1" t="s">
        <v>84</v>
      </c>
      <c r="O151" s="1" t="s">
        <v>38</v>
      </c>
      <c r="P151" s="1" t="s">
        <v>39</v>
      </c>
      <c r="Q151" s="1" t="s">
        <v>85</v>
      </c>
      <c r="R151" s="1" t="s">
        <v>430</v>
      </c>
      <c r="S151" s="1" t="s">
        <v>42</v>
      </c>
      <c r="T151" s="1">
        <v>1522.51</v>
      </c>
      <c r="U151" s="1" t="s">
        <v>43</v>
      </c>
      <c r="V151" s="1" t="s">
        <v>30</v>
      </c>
      <c r="W151" s="1" t="s">
        <v>39</v>
      </c>
      <c r="X151" s="1" t="s">
        <v>30</v>
      </c>
      <c r="Y151" s="1" t="s">
        <v>39</v>
      </c>
      <c r="Z151" s="1" t="s">
        <v>44</v>
      </c>
    </row>
    <row r="152" spans="1:26" ht="15.75" x14ac:dyDescent="0.25">
      <c r="A152" s="1" t="s">
        <v>26</v>
      </c>
      <c r="B152" s="1" t="s">
        <v>27</v>
      </c>
      <c r="C152" s="1" t="s">
        <v>388</v>
      </c>
      <c r="D152" s="1" t="s">
        <v>431</v>
      </c>
      <c r="E152" s="1" t="s">
        <v>30</v>
      </c>
      <c r="F152" s="1" t="s">
        <v>432</v>
      </c>
      <c r="G152" s="1" t="s">
        <v>32</v>
      </c>
      <c r="H152" s="1" t="s">
        <v>58</v>
      </c>
      <c r="I152" s="1" t="s">
        <v>50</v>
      </c>
      <c r="J152" s="1">
        <v>61.69</v>
      </c>
      <c r="K152" s="1" t="s">
        <v>433</v>
      </c>
      <c r="L152" s="1" t="s">
        <v>36</v>
      </c>
      <c r="M152" s="1">
        <v>22.83</v>
      </c>
      <c r="N152" s="1" t="s">
        <v>311</v>
      </c>
      <c r="O152" s="1" t="s">
        <v>38</v>
      </c>
      <c r="P152" s="1" t="s">
        <v>39</v>
      </c>
      <c r="Q152" s="1" t="s">
        <v>312</v>
      </c>
      <c r="R152" s="1" t="s">
        <v>434</v>
      </c>
      <c r="S152" s="1" t="s">
        <v>42</v>
      </c>
      <c r="T152" s="1">
        <v>1522.51</v>
      </c>
      <c r="U152" s="1" t="s">
        <v>43</v>
      </c>
      <c r="V152" s="1" t="s">
        <v>30</v>
      </c>
      <c r="W152" s="1" t="s">
        <v>39</v>
      </c>
      <c r="X152" s="1" t="s">
        <v>30</v>
      </c>
      <c r="Y152" s="1" t="s">
        <v>39</v>
      </c>
      <c r="Z152" s="1" t="s">
        <v>44</v>
      </c>
    </row>
    <row r="153" spans="1:26" ht="15.75" x14ac:dyDescent="0.25">
      <c r="A153" s="1" t="s">
        <v>26</v>
      </c>
      <c r="B153" s="1" t="s">
        <v>27</v>
      </c>
      <c r="C153" s="1" t="s">
        <v>388</v>
      </c>
      <c r="D153" s="1" t="s">
        <v>431</v>
      </c>
      <c r="E153" s="1" t="s">
        <v>30</v>
      </c>
      <c r="F153" s="1" t="s">
        <v>432</v>
      </c>
      <c r="G153" s="1" t="s">
        <v>45</v>
      </c>
      <c r="H153" s="1" t="s">
        <v>58</v>
      </c>
      <c r="I153" s="1" t="s">
        <v>50</v>
      </c>
      <c r="J153" s="1">
        <v>1.5</v>
      </c>
      <c r="K153" s="1" t="s">
        <v>433</v>
      </c>
      <c r="L153" s="1" t="s">
        <v>36</v>
      </c>
      <c r="M153" s="1">
        <v>0.55000000000000004</v>
      </c>
      <c r="N153" s="1" t="s">
        <v>311</v>
      </c>
      <c r="O153" s="1" t="s">
        <v>38</v>
      </c>
      <c r="P153" s="1" t="s">
        <v>39</v>
      </c>
      <c r="Q153" s="1" t="s">
        <v>312</v>
      </c>
      <c r="R153" s="1" t="s">
        <v>434</v>
      </c>
      <c r="S153" s="1" t="s">
        <v>42</v>
      </c>
      <c r="T153" s="1">
        <v>1522.51</v>
      </c>
      <c r="U153" s="1" t="s">
        <v>43</v>
      </c>
      <c r="V153" s="1" t="s">
        <v>30</v>
      </c>
      <c r="W153" s="1" t="s">
        <v>39</v>
      </c>
      <c r="X153" s="1" t="s">
        <v>30</v>
      </c>
      <c r="Y153" s="1" t="s">
        <v>39</v>
      </c>
      <c r="Z153" s="1" t="s">
        <v>44</v>
      </c>
    </row>
    <row r="154" spans="1:26" ht="15.75" x14ac:dyDescent="0.25">
      <c r="A154" s="1" t="s">
        <v>26</v>
      </c>
      <c r="B154" s="1" t="s">
        <v>27</v>
      </c>
      <c r="C154" s="1" t="s">
        <v>388</v>
      </c>
      <c r="D154" s="1" t="s">
        <v>435</v>
      </c>
      <c r="E154" s="1" t="s">
        <v>30</v>
      </c>
      <c r="F154" s="1" t="s">
        <v>436</v>
      </c>
      <c r="G154" s="1" t="s">
        <v>32</v>
      </c>
      <c r="H154" s="1" t="s">
        <v>58</v>
      </c>
      <c r="I154" s="1" t="s">
        <v>50</v>
      </c>
      <c r="J154" s="1">
        <v>41.61</v>
      </c>
      <c r="K154" s="1" t="s">
        <v>433</v>
      </c>
      <c r="L154" s="1" t="s">
        <v>36</v>
      </c>
      <c r="M154" s="1">
        <v>15.39</v>
      </c>
      <c r="N154" s="1" t="s">
        <v>209</v>
      </c>
      <c r="O154" s="1" t="s">
        <v>38</v>
      </c>
      <c r="P154" s="1" t="s">
        <v>39</v>
      </c>
      <c r="Q154" s="1" t="s">
        <v>210</v>
      </c>
      <c r="R154" s="1" t="s">
        <v>437</v>
      </c>
      <c r="S154" s="1" t="s">
        <v>42</v>
      </c>
      <c r="T154" s="1">
        <v>1522.51</v>
      </c>
      <c r="U154" s="1" t="s">
        <v>43</v>
      </c>
      <c r="V154" s="1" t="s">
        <v>30</v>
      </c>
      <c r="W154" s="1" t="s">
        <v>39</v>
      </c>
      <c r="X154" s="1" t="s">
        <v>30</v>
      </c>
      <c r="Y154" s="1" t="s">
        <v>39</v>
      </c>
      <c r="Z154" s="1" t="s">
        <v>44</v>
      </c>
    </row>
    <row r="155" spans="1:26" ht="15.75" x14ac:dyDescent="0.25">
      <c r="A155" s="1" t="s">
        <v>26</v>
      </c>
      <c r="B155" s="1" t="s">
        <v>27</v>
      </c>
      <c r="C155" s="1" t="s">
        <v>388</v>
      </c>
      <c r="D155" s="1" t="s">
        <v>435</v>
      </c>
      <c r="E155" s="1" t="s">
        <v>30</v>
      </c>
      <c r="F155" s="1" t="s">
        <v>436</v>
      </c>
      <c r="G155" s="1" t="s">
        <v>438</v>
      </c>
      <c r="H155" s="1" t="s">
        <v>58</v>
      </c>
      <c r="I155" s="1" t="s">
        <v>50</v>
      </c>
      <c r="J155" s="1">
        <v>0.75</v>
      </c>
      <c r="K155" s="1" t="s">
        <v>433</v>
      </c>
      <c r="L155" s="1" t="s">
        <v>36</v>
      </c>
      <c r="M155" s="1">
        <v>0.28000000000000003</v>
      </c>
      <c r="N155" s="1" t="s">
        <v>209</v>
      </c>
      <c r="O155" s="1" t="s">
        <v>38</v>
      </c>
      <c r="P155" s="1" t="s">
        <v>39</v>
      </c>
      <c r="Q155" s="1" t="s">
        <v>210</v>
      </c>
      <c r="R155" s="1" t="s">
        <v>437</v>
      </c>
      <c r="S155" s="1" t="s">
        <v>42</v>
      </c>
      <c r="T155" s="1">
        <v>1522.51</v>
      </c>
      <c r="U155" s="1" t="s">
        <v>43</v>
      </c>
      <c r="V155" s="1" t="s">
        <v>30</v>
      </c>
      <c r="W155" s="1" t="s">
        <v>39</v>
      </c>
      <c r="X155" s="1" t="s">
        <v>30</v>
      </c>
      <c r="Y155" s="1" t="s">
        <v>39</v>
      </c>
      <c r="Z155" s="1" t="s">
        <v>44</v>
      </c>
    </row>
    <row r="156" spans="1:26" ht="15.75" x14ac:dyDescent="0.25">
      <c r="A156" s="1" t="s">
        <v>26</v>
      </c>
      <c r="B156" s="1" t="s">
        <v>27</v>
      </c>
      <c r="C156" s="1" t="s">
        <v>388</v>
      </c>
      <c r="D156" s="1" t="s">
        <v>439</v>
      </c>
      <c r="E156" s="1" t="s">
        <v>30</v>
      </c>
      <c r="F156" s="1" t="s">
        <v>440</v>
      </c>
      <c r="G156" s="1" t="s">
        <v>54</v>
      </c>
      <c r="H156" s="1" t="s">
        <v>49</v>
      </c>
      <c r="I156" s="1" t="s">
        <v>50</v>
      </c>
      <c r="J156" s="1">
        <v>16.34</v>
      </c>
      <c r="K156" s="1" t="s">
        <v>441</v>
      </c>
      <c r="L156" s="1" t="s">
        <v>36</v>
      </c>
      <c r="M156" s="1">
        <v>6.05</v>
      </c>
      <c r="N156" s="1" t="s">
        <v>74</v>
      </c>
      <c r="O156" s="1" t="s">
        <v>38</v>
      </c>
      <c r="P156" s="1" t="s">
        <v>39</v>
      </c>
      <c r="Q156" s="1" t="s">
        <v>75</v>
      </c>
      <c r="R156" s="1" t="s">
        <v>442</v>
      </c>
      <c r="S156" s="1" t="s">
        <v>42</v>
      </c>
      <c r="T156" s="1">
        <v>1522.51</v>
      </c>
      <c r="U156" s="1" t="s">
        <v>43</v>
      </c>
      <c r="V156" s="1" t="s">
        <v>30</v>
      </c>
      <c r="W156" s="1" t="s">
        <v>39</v>
      </c>
      <c r="X156" s="1" t="s">
        <v>30</v>
      </c>
      <c r="Y156" s="1" t="s">
        <v>39</v>
      </c>
      <c r="Z156" s="1" t="s">
        <v>44</v>
      </c>
    </row>
    <row r="157" spans="1:26" ht="15.75" x14ac:dyDescent="0.25">
      <c r="A157" s="1" t="s">
        <v>26</v>
      </c>
      <c r="B157" s="1" t="s">
        <v>27</v>
      </c>
      <c r="C157" s="1" t="s">
        <v>388</v>
      </c>
      <c r="D157" s="1" t="s">
        <v>443</v>
      </c>
      <c r="E157" s="1" t="s">
        <v>30</v>
      </c>
      <c r="F157" s="1" t="s">
        <v>444</v>
      </c>
      <c r="G157" s="1" t="s">
        <v>32</v>
      </c>
      <c r="H157" s="1" t="s">
        <v>49</v>
      </c>
      <c r="I157" s="1" t="s">
        <v>50</v>
      </c>
      <c r="J157" s="1">
        <v>40.51</v>
      </c>
      <c r="K157" s="1" t="s">
        <v>441</v>
      </c>
      <c r="L157" s="1" t="s">
        <v>36</v>
      </c>
      <c r="M157" s="1">
        <v>14.99</v>
      </c>
      <c r="N157" s="1" t="s">
        <v>328</v>
      </c>
      <c r="O157" s="1" t="s">
        <v>38</v>
      </c>
      <c r="P157" s="1" t="s">
        <v>39</v>
      </c>
      <c r="Q157" s="1" t="s">
        <v>329</v>
      </c>
      <c r="R157" s="1" t="s">
        <v>445</v>
      </c>
      <c r="S157" s="1" t="s">
        <v>42</v>
      </c>
      <c r="T157" s="1">
        <v>1522.51</v>
      </c>
      <c r="U157" s="1" t="s">
        <v>43</v>
      </c>
      <c r="V157" s="1" t="s">
        <v>30</v>
      </c>
      <c r="W157" s="1" t="s">
        <v>39</v>
      </c>
      <c r="X157" s="1" t="s">
        <v>30</v>
      </c>
      <c r="Y157" s="1" t="s">
        <v>39</v>
      </c>
      <c r="Z157" s="1" t="s">
        <v>44</v>
      </c>
    </row>
    <row r="158" spans="1:26" ht="15.75" x14ac:dyDescent="0.25">
      <c r="A158" s="1" t="s">
        <v>26</v>
      </c>
      <c r="B158" s="1" t="s">
        <v>27</v>
      </c>
      <c r="C158" s="1" t="s">
        <v>388</v>
      </c>
      <c r="D158" s="1" t="s">
        <v>443</v>
      </c>
      <c r="E158" s="1" t="s">
        <v>30</v>
      </c>
      <c r="F158" s="1" t="s">
        <v>444</v>
      </c>
      <c r="G158" s="1" t="s">
        <v>45</v>
      </c>
      <c r="H158" s="1" t="s">
        <v>49</v>
      </c>
      <c r="I158" s="1" t="s">
        <v>50</v>
      </c>
      <c r="J158" s="1">
        <v>1.5</v>
      </c>
      <c r="K158" s="1" t="s">
        <v>441</v>
      </c>
      <c r="L158" s="1" t="s">
        <v>36</v>
      </c>
      <c r="M158" s="1">
        <v>0.55000000000000004</v>
      </c>
      <c r="N158" s="1" t="s">
        <v>328</v>
      </c>
      <c r="O158" s="1" t="s">
        <v>38</v>
      </c>
      <c r="P158" s="1" t="s">
        <v>39</v>
      </c>
      <c r="Q158" s="1" t="s">
        <v>329</v>
      </c>
      <c r="R158" s="1" t="s">
        <v>445</v>
      </c>
      <c r="S158" s="1" t="s">
        <v>42</v>
      </c>
      <c r="T158" s="1">
        <v>1522.51</v>
      </c>
      <c r="U158" s="1" t="s">
        <v>43</v>
      </c>
      <c r="V158" s="1" t="s">
        <v>30</v>
      </c>
      <c r="W158" s="1" t="s">
        <v>39</v>
      </c>
      <c r="X158" s="1" t="s">
        <v>30</v>
      </c>
      <c r="Y158" s="1" t="s">
        <v>39</v>
      </c>
      <c r="Z158" s="1" t="s">
        <v>44</v>
      </c>
    </row>
    <row r="159" spans="1:26" ht="15.75" x14ac:dyDescent="0.25">
      <c r="A159" s="1" t="s">
        <v>26</v>
      </c>
      <c r="B159" s="1" t="s">
        <v>27</v>
      </c>
      <c r="C159" s="1" t="s">
        <v>388</v>
      </c>
      <c r="D159" s="1" t="s">
        <v>446</v>
      </c>
      <c r="E159" s="1" t="s">
        <v>30</v>
      </c>
      <c r="F159" s="1" t="s">
        <v>447</v>
      </c>
      <c r="G159" s="1" t="s">
        <v>54</v>
      </c>
      <c r="H159" s="1" t="s">
        <v>49</v>
      </c>
      <c r="I159" s="1" t="s">
        <v>50</v>
      </c>
      <c r="J159" s="1">
        <v>16.34</v>
      </c>
      <c r="K159" s="1" t="s">
        <v>441</v>
      </c>
      <c r="L159" s="1" t="s">
        <v>36</v>
      </c>
      <c r="M159" s="1">
        <v>6.05</v>
      </c>
      <c r="N159" s="1" t="s">
        <v>215</v>
      </c>
      <c r="O159" s="1" t="s">
        <v>38</v>
      </c>
      <c r="P159" s="1" t="s">
        <v>39</v>
      </c>
      <c r="Q159" s="1" t="s">
        <v>216</v>
      </c>
      <c r="R159" s="1" t="s">
        <v>448</v>
      </c>
      <c r="S159" s="1" t="s">
        <v>42</v>
      </c>
      <c r="T159" s="1">
        <v>1522.51</v>
      </c>
      <c r="U159" s="1" t="s">
        <v>43</v>
      </c>
      <c r="V159" s="1" t="s">
        <v>30</v>
      </c>
      <c r="W159" s="1" t="s">
        <v>39</v>
      </c>
      <c r="X159" s="1" t="s">
        <v>30</v>
      </c>
      <c r="Y159" s="1" t="s">
        <v>39</v>
      </c>
      <c r="Z159" s="1" t="s">
        <v>44</v>
      </c>
    </row>
    <row r="160" spans="1:26" ht="15.75" x14ac:dyDescent="0.25">
      <c r="A160" s="1" t="s">
        <v>26</v>
      </c>
      <c r="B160" s="1" t="s">
        <v>27</v>
      </c>
      <c r="C160" s="1" t="s">
        <v>388</v>
      </c>
      <c r="D160" s="1" t="s">
        <v>449</v>
      </c>
      <c r="E160" s="1" t="s">
        <v>30</v>
      </c>
      <c r="F160" s="1" t="s">
        <v>450</v>
      </c>
      <c r="G160" s="1" t="s">
        <v>54</v>
      </c>
      <c r="H160" s="1" t="s">
        <v>33</v>
      </c>
      <c r="I160" s="1" t="s">
        <v>34</v>
      </c>
      <c r="J160" s="1">
        <v>16.34</v>
      </c>
      <c r="K160" s="1" t="s">
        <v>451</v>
      </c>
      <c r="L160" s="1" t="s">
        <v>36</v>
      </c>
      <c r="M160" s="1">
        <v>0</v>
      </c>
      <c r="N160" s="1" t="s">
        <v>66</v>
      </c>
      <c r="O160" s="1" t="s">
        <v>38</v>
      </c>
      <c r="P160" s="1" t="s">
        <v>395</v>
      </c>
      <c r="Q160" s="1" t="s">
        <v>68</v>
      </c>
      <c r="R160" s="1" t="s">
        <v>452</v>
      </c>
      <c r="S160" s="1" t="s">
        <v>42</v>
      </c>
      <c r="T160" s="1">
        <v>1522.51</v>
      </c>
      <c r="U160" s="1" t="s">
        <v>43</v>
      </c>
      <c r="V160" s="1" t="s">
        <v>30</v>
      </c>
      <c r="W160" s="1" t="s">
        <v>39</v>
      </c>
      <c r="X160" s="1" t="s">
        <v>30</v>
      </c>
      <c r="Y160" s="1" t="s">
        <v>39</v>
      </c>
      <c r="Z160" s="1" t="s">
        <v>44</v>
      </c>
    </row>
    <row r="161" spans="1:26" ht="15.75" x14ac:dyDescent="0.25">
      <c r="A161" s="1" t="s">
        <v>26</v>
      </c>
      <c r="B161" s="1" t="s">
        <v>27</v>
      </c>
      <c r="C161" s="1" t="s">
        <v>388</v>
      </c>
      <c r="D161" s="1" t="s">
        <v>453</v>
      </c>
      <c r="E161" s="1" t="s">
        <v>30</v>
      </c>
      <c r="F161" s="1" t="s">
        <v>454</v>
      </c>
      <c r="G161" s="1" t="s">
        <v>54</v>
      </c>
      <c r="H161" s="1" t="s">
        <v>50</v>
      </c>
      <c r="I161" s="1" t="s">
        <v>137</v>
      </c>
      <c r="J161" s="1">
        <v>13.07</v>
      </c>
      <c r="K161" s="1" t="s">
        <v>455</v>
      </c>
      <c r="L161" s="1" t="s">
        <v>36</v>
      </c>
      <c r="M161" s="1">
        <v>4.84</v>
      </c>
      <c r="N161" s="1" t="s">
        <v>215</v>
      </c>
      <c r="O161" s="1" t="s">
        <v>38</v>
      </c>
      <c r="P161" s="1" t="s">
        <v>39</v>
      </c>
      <c r="Q161" s="1" t="s">
        <v>216</v>
      </c>
      <c r="R161" s="1" t="s">
        <v>456</v>
      </c>
      <c r="S161" s="1" t="s">
        <v>42</v>
      </c>
      <c r="T161" s="1">
        <v>1522.51</v>
      </c>
      <c r="U161" s="1" t="s">
        <v>43</v>
      </c>
      <c r="V161" s="1" t="s">
        <v>30</v>
      </c>
      <c r="W161" s="1" t="s">
        <v>39</v>
      </c>
      <c r="X161" s="1" t="s">
        <v>30</v>
      </c>
      <c r="Y161" s="1" t="s">
        <v>39</v>
      </c>
      <c r="Z161" s="1" t="s">
        <v>44</v>
      </c>
    </row>
    <row r="162" spans="1:26" ht="15.75" x14ac:dyDescent="0.25">
      <c r="A162" s="1" t="s">
        <v>26</v>
      </c>
      <c r="B162" s="1" t="s">
        <v>27</v>
      </c>
      <c r="C162" s="1" t="s">
        <v>388</v>
      </c>
      <c r="D162" s="1" t="s">
        <v>457</v>
      </c>
      <c r="E162" s="1" t="s">
        <v>30</v>
      </c>
      <c r="F162" s="1" t="s">
        <v>458</v>
      </c>
      <c r="G162" s="1" t="s">
        <v>54</v>
      </c>
      <c r="H162" s="1" t="s">
        <v>34</v>
      </c>
      <c r="I162" s="1" t="s">
        <v>82</v>
      </c>
      <c r="J162" s="1">
        <v>10.67</v>
      </c>
      <c r="K162" s="1" t="s">
        <v>459</v>
      </c>
      <c r="L162" s="1" t="s">
        <v>36</v>
      </c>
      <c r="M162" s="1">
        <v>3.95</v>
      </c>
      <c r="N162" s="1" t="s">
        <v>460</v>
      </c>
      <c r="O162" s="1" t="s">
        <v>38</v>
      </c>
      <c r="P162" s="1" t="s">
        <v>39</v>
      </c>
      <c r="Q162" s="1" t="s">
        <v>461</v>
      </c>
      <c r="R162" s="1" t="s">
        <v>462</v>
      </c>
      <c r="S162" s="1" t="s">
        <v>42</v>
      </c>
      <c r="T162" s="1">
        <v>1522.51</v>
      </c>
      <c r="U162" s="1" t="s">
        <v>43</v>
      </c>
      <c r="V162" s="1" t="s">
        <v>30</v>
      </c>
      <c r="W162" s="1" t="s">
        <v>39</v>
      </c>
      <c r="X162" s="1" t="s">
        <v>30</v>
      </c>
      <c r="Y162" s="1" t="s">
        <v>39</v>
      </c>
      <c r="Z162" s="1" t="s">
        <v>44</v>
      </c>
    </row>
    <row r="163" spans="1:26" ht="15.75" x14ac:dyDescent="0.25">
      <c r="A163" s="1" t="s">
        <v>26</v>
      </c>
      <c r="B163" s="1" t="s">
        <v>27</v>
      </c>
      <c r="C163" s="1" t="s">
        <v>388</v>
      </c>
      <c r="D163" s="1" t="s">
        <v>463</v>
      </c>
      <c r="E163" s="1" t="s">
        <v>30</v>
      </c>
      <c r="F163" s="1" t="s">
        <v>464</v>
      </c>
      <c r="G163" s="1" t="s">
        <v>32</v>
      </c>
      <c r="H163" s="1" t="s">
        <v>34</v>
      </c>
      <c r="I163" s="1" t="s">
        <v>82</v>
      </c>
      <c r="J163" s="1">
        <v>61.69</v>
      </c>
      <c r="K163" s="1" t="s">
        <v>459</v>
      </c>
      <c r="L163" s="1" t="s">
        <v>36</v>
      </c>
      <c r="M163" s="1">
        <v>22.83</v>
      </c>
      <c r="N163" s="1" t="s">
        <v>311</v>
      </c>
      <c r="O163" s="1" t="s">
        <v>38</v>
      </c>
      <c r="P163" s="1" t="s">
        <v>39</v>
      </c>
      <c r="Q163" s="1" t="s">
        <v>312</v>
      </c>
      <c r="R163" s="1" t="s">
        <v>465</v>
      </c>
      <c r="S163" s="1" t="s">
        <v>42</v>
      </c>
      <c r="T163" s="1">
        <v>1522.51</v>
      </c>
      <c r="U163" s="1" t="s">
        <v>43</v>
      </c>
      <c r="V163" s="1" t="s">
        <v>30</v>
      </c>
      <c r="W163" s="1" t="s">
        <v>39</v>
      </c>
      <c r="X163" s="1" t="s">
        <v>30</v>
      </c>
      <c r="Y163" s="1" t="s">
        <v>39</v>
      </c>
      <c r="Z163" s="1" t="s">
        <v>44</v>
      </c>
    </row>
    <row r="164" spans="1:26" ht="15.75" x14ac:dyDescent="0.25">
      <c r="A164" s="1" t="s">
        <v>26</v>
      </c>
      <c r="B164" s="1" t="s">
        <v>27</v>
      </c>
      <c r="C164" s="1" t="s">
        <v>388</v>
      </c>
      <c r="D164" s="1" t="s">
        <v>463</v>
      </c>
      <c r="E164" s="1" t="s">
        <v>30</v>
      </c>
      <c r="F164" s="1" t="s">
        <v>464</v>
      </c>
      <c r="G164" s="1" t="s">
        <v>45</v>
      </c>
      <c r="H164" s="1" t="s">
        <v>34</v>
      </c>
      <c r="I164" s="1" t="s">
        <v>82</v>
      </c>
      <c r="J164" s="1">
        <v>1.5</v>
      </c>
      <c r="K164" s="1" t="s">
        <v>459</v>
      </c>
      <c r="L164" s="1" t="s">
        <v>36</v>
      </c>
      <c r="M164" s="1">
        <v>0.55000000000000004</v>
      </c>
      <c r="N164" s="1" t="s">
        <v>311</v>
      </c>
      <c r="O164" s="1" t="s">
        <v>38</v>
      </c>
      <c r="P164" s="1" t="s">
        <v>39</v>
      </c>
      <c r="Q164" s="1" t="s">
        <v>312</v>
      </c>
      <c r="R164" s="1" t="s">
        <v>465</v>
      </c>
      <c r="S164" s="1" t="s">
        <v>42</v>
      </c>
      <c r="T164" s="1">
        <v>1522.51</v>
      </c>
      <c r="U164" s="1" t="s">
        <v>43</v>
      </c>
      <c r="V164" s="1" t="s">
        <v>30</v>
      </c>
      <c r="W164" s="1" t="s">
        <v>39</v>
      </c>
      <c r="X164" s="1" t="s">
        <v>30</v>
      </c>
      <c r="Y164" s="1" t="s">
        <v>39</v>
      </c>
      <c r="Z164" s="1" t="s">
        <v>44</v>
      </c>
    </row>
    <row r="165" spans="1:26" ht="15.75" x14ac:dyDescent="0.25">
      <c r="A165" s="1" t="s">
        <v>26</v>
      </c>
      <c r="B165" s="1" t="s">
        <v>27</v>
      </c>
      <c r="C165" s="1" t="s">
        <v>466</v>
      </c>
      <c r="D165" s="1" t="s">
        <v>467</v>
      </c>
      <c r="E165" s="1" t="s">
        <v>30</v>
      </c>
      <c r="F165" s="1" t="s">
        <v>468</v>
      </c>
      <c r="G165" s="1" t="s">
        <v>32</v>
      </c>
      <c r="H165" s="1" t="s">
        <v>366</v>
      </c>
      <c r="I165" s="1" t="s">
        <v>137</v>
      </c>
      <c r="J165" s="1">
        <v>36.29</v>
      </c>
      <c r="K165" s="1" t="s">
        <v>469</v>
      </c>
      <c r="L165" s="1" t="s">
        <v>36</v>
      </c>
      <c r="M165" s="1">
        <v>0</v>
      </c>
      <c r="N165" s="1" t="s">
        <v>66</v>
      </c>
      <c r="O165" s="1" t="s">
        <v>38</v>
      </c>
      <c r="P165" s="1" t="s">
        <v>470</v>
      </c>
      <c r="Q165" s="1" t="s">
        <v>68</v>
      </c>
      <c r="R165" s="1" t="s">
        <v>471</v>
      </c>
      <c r="S165" s="1" t="s">
        <v>42</v>
      </c>
      <c r="T165" s="1">
        <v>1522.51</v>
      </c>
      <c r="U165" s="1" t="s">
        <v>43</v>
      </c>
      <c r="V165" s="1" t="s">
        <v>30</v>
      </c>
      <c r="W165" s="1" t="s">
        <v>39</v>
      </c>
      <c r="X165" s="1" t="s">
        <v>30</v>
      </c>
      <c r="Y165" s="1" t="s">
        <v>39</v>
      </c>
      <c r="Z165" s="1" t="s">
        <v>44</v>
      </c>
    </row>
    <row r="166" spans="1:26" ht="15.75" x14ac:dyDescent="0.25">
      <c r="A166" s="1" t="s">
        <v>26</v>
      </c>
      <c r="B166" s="1" t="s">
        <v>27</v>
      </c>
      <c r="C166" s="1" t="s">
        <v>466</v>
      </c>
      <c r="D166" s="1" t="s">
        <v>467</v>
      </c>
      <c r="E166" s="1" t="s">
        <v>30</v>
      </c>
      <c r="F166" s="1" t="s">
        <v>468</v>
      </c>
      <c r="G166" s="1" t="s">
        <v>45</v>
      </c>
      <c r="H166" s="1" t="s">
        <v>366</v>
      </c>
      <c r="I166" s="1" t="s">
        <v>137</v>
      </c>
      <c r="J166" s="1">
        <v>1.5</v>
      </c>
      <c r="K166" s="1" t="s">
        <v>469</v>
      </c>
      <c r="L166" s="1" t="s">
        <v>36</v>
      </c>
      <c r="M166" s="1">
        <v>0</v>
      </c>
      <c r="N166" s="1" t="s">
        <v>66</v>
      </c>
      <c r="O166" s="1" t="s">
        <v>38</v>
      </c>
      <c r="P166" s="1" t="s">
        <v>472</v>
      </c>
      <c r="Q166" s="1" t="s">
        <v>68</v>
      </c>
      <c r="R166" s="1" t="s">
        <v>471</v>
      </c>
      <c r="S166" s="1" t="s">
        <v>42</v>
      </c>
      <c r="T166" s="1">
        <v>1522.51</v>
      </c>
      <c r="U166" s="1" t="s">
        <v>43</v>
      </c>
      <c r="V166" s="1" t="s">
        <v>30</v>
      </c>
      <c r="W166" s="1" t="s">
        <v>39</v>
      </c>
      <c r="X166" s="1" t="s">
        <v>30</v>
      </c>
      <c r="Y166" s="1" t="s">
        <v>39</v>
      </c>
      <c r="Z166" s="1" t="s">
        <v>44</v>
      </c>
    </row>
    <row r="167" spans="1:26" ht="15.75" x14ac:dyDescent="0.25">
      <c r="A167" s="1" t="s">
        <v>26</v>
      </c>
      <c r="B167" s="1" t="s">
        <v>27</v>
      </c>
      <c r="C167" s="1" t="s">
        <v>466</v>
      </c>
      <c r="D167" s="1" t="s">
        <v>473</v>
      </c>
      <c r="E167" s="1" t="s">
        <v>30</v>
      </c>
      <c r="F167" s="1" t="s">
        <v>474</v>
      </c>
      <c r="G167" s="1" t="s">
        <v>54</v>
      </c>
      <c r="H167" s="1" t="s">
        <v>475</v>
      </c>
      <c r="I167" s="1" t="s">
        <v>137</v>
      </c>
      <c r="J167" s="1">
        <v>16.34</v>
      </c>
      <c r="K167" s="1" t="s">
        <v>476</v>
      </c>
      <c r="L167" s="1" t="s">
        <v>36</v>
      </c>
      <c r="M167" s="1">
        <v>0</v>
      </c>
      <c r="N167" s="1" t="s">
        <v>66</v>
      </c>
      <c r="O167" s="1" t="s">
        <v>38</v>
      </c>
      <c r="P167" s="1" t="s">
        <v>395</v>
      </c>
      <c r="Q167" s="1" t="s">
        <v>68</v>
      </c>
      <c r="R167" s="1" t="s">
        <v>477</v>
      </c>
      <c r="S167" s="1" t="s">
        <v>42</v>
      </c>
      <c r="T167" s="1">
        <v>1522.51</v>
      </c>
      <c r="U167" s="1" t="s">
        <v>43</v>
      </c>
      <c r="V167" s="1" t="s">
        <v>30</v>
      </c>
      <c r="W167" s="1" t="s">
        <v>39</v>
      </c>
      <c r="X167" s="1" t="s">
        <v>30</v>
      </c>
      <c r="Y167" s="1" t="s">
        <v>39</v>
      </c>
      <c r="Z167" s="1" t="s">
        <v>44</v>
      </c>
    </row>
    <row r="168" spans="1:26" ht="15.75" x14ac:dyDescent="0.25">
      <c r="A168" s="1" t="s">
        <v>26</v>
      </c>
      <c r="B168" s="1" t="s">
        <v>27</v>
      </c>
      <c r="C168" s="1" t="s">
        <v>466</v>
      </c>
      <c r="D168" s="1" t="s">
        <v>473</v>
      </c>
      <c r="E168" s="1" t="s">
        <v>30</v>
      </c>
      <c r="F168" s="1" t="s">
        <v>474</v>
      </c>
      <c r="G168" s="1" t="s">
        <v>54</v>
      </c>
      <c r="H168" s="1" t="s">
        <v>478</v>
      </c>
      <c r="I168" s="1" t="s">
        <v>137</v>
      </c>
      <c r="J168" s="1">
        <v>16.34</v>
      </c>
      <c r="K168" s="1" t="s">
        <v>476</v>
      </c>
      <c r="L168" s="1" t="s">
        <v>36</v>
      </c>
      <c r="M168" s="1">
        <v>0</v>
      </c>
      <c r="N168" s="1" t="s">
        <v>66</v>
      </c>
      <c r="O168" s="1" t="s">
        <v>38</v>
      </c>
      <c r="P168" s="1" t="s">
        <v>395</v>
      </c>
      <c r="Q168" s="1" t="s">
        <v>68</v>
      </c>
      <c r="R168" s="1" t="s">
        <v>477</v>
      </c>
      <c r="S168" s="1" t="s">
        <v>42</v>
      </c>
      <c r="T168" s="1">
        <v>1522.51</v>
      </c>
      <c r="U168" s="1" t="s">
        <v>43</v>
      </c>
      <c r="V168" s="1" t="s">
        <v>30</v>
      </c>
      <c r="W168" s="1" t="s">
        <v>39</v>
      </c>
      <c r="X168" s="1" t="s">
        <v>30</v>
      </c>
      <c r="Y168" s="1" t="s">
        <v>39</v>
      </c>
      <c r="Z168" s="1" t="s">
        <v>44</v>
      </c>
    </row>
    <row r="169" spans="1:26" ht="15.75" x14ac:dyDescent="0.25">
      <c r="A169" s="1" t="s">
        <v>26</v>
      </c>
      <c r="B169" s="1" t="s">
        <v>27</v>
      </c>
      <c r="C169" s="1" t="s">
        <v>466</v>
      </c>
      <c r="D169" s="1" t="s">
        <v>473</v>
      </c>
      <c r="E169" s="1" t="s">
        <v>30</v>
      </c>
      <c r="F169" s="1" t="s">
        <v>474</v>
      </c>
      <c r="G169" s="1" t="s">
        <v>54</v>
      </c>
      <c r="H169" s="1" t="s">
        <v>479</v>
      </c>
      <c r="I169" s="1" t="s">
        <v>137</v>
      </c>
      <c r="J169" s="1">
        <v>16.34</v>
      </c>
      <c r="K169" s="1" t="s">
        <v>476</v>
      </c>
      <c r="L169" s="1" t="s">
        <v>36</v>
      </c>
      <c r="M169" s="1">
        <v>0</v>
      </c>
      <c r="N169" s="1" t="s">
        <v>66</v>
      </c>
      <c r="O169" s="1" t="s">
        <v>38</v>
      </c>
      <c r="P169" s="1" t="s">
        <v>395</v>
      </c>
      <c r="Q169" s="1" t="s">
        <v>68</v>
      </c>
      <c r="R169" s="1" t="s">
        <v>477</v>
      </c>
      <c r="S169" s="1" t="s">
        <v>42</v>
      </c>
      <c r="T169" s="1">
        <v>1522.51</v>
      </c>
      <c r="U169" s="1" t="s">
        <v>43</v>
      </c>
      <c r="V169" s="1" t="s">
        <v>30</v>
      </c>
      <c r="W169" s="1" t="s">
        <v>39</v>
      </c>
      <c r="X169" s="1" t="s">
        <v>30</v>
      </c>
      <c r="Y169" s="1" t="s">
        <v>39</v>
      </c>
      <c r="Z169" s="1" t="s">
        <v>44</v>
      </c>
    </row>
    <row r="170" spans="1:26" ht="15.75" x14ac:dyDescent="0.25">
      <c r="A170" s="1" t="s">
        <v>26</v>
      </c>
      <c r="B170" s="1" t="s">
        <v>27</v>
      </c>
      <c r="C170" s="1" t="s">
        <v>466</v>
      </c>
      <c r="D170" s="1" t="s">
        <v>480</v>
      </c>
      <c r="E170" s="1" t="s">
        <v>30</v>
      </c>
      <c r="F170" s="1" t="s">
        <v>481</v>
      </c>
      <c r="G170" s="1" t="s">
        <v>32</v>
      </c>
      <c r="H170" s="1" t="s">
        <v>50</v>
      </c>
      <c r="I170" s="1" t="s">
        <v>137</v>
      </c>
      <c r="J170" s="1">
        <v>20.96</v>
      </c>
      <c r="K170" s="1" t="s">
        <v>482</v>
      </c>
      <c r="L170" s="1" t="s">
        <v>36</v>
      </c>
      <c r="M170" s="1">
        <v>7.76</v>
      </c>
      <c r="N170" s="1" t="s">
        <v>172</v>
      </c>
      <c r="O170" s="1" t="s">
        <v>38</v>
      </c>
      <c r="P170" s="1" t="s">
        <v>39</v>
      </c>
      <c r="Q170" s="1" t="s">
        <v>173</v>
      </c>
      <c r="R170" s="1" t="s">
        <v>483</v>
      </c>
      <c r="S170" s="1" t="s">
        <v>42</v>
      </c>
      <c r="T170" s="1">
        <v>1522.51</v>
      </c>
      <c r="U170" s="1" t="s">
        <v>43</v>
      </c>
      <c r="V170" s="1" t="s">
        <v>30</v>
      </c>
      <c r="W170" s="1" t="s">
        <v>39</v>
      </c>
      <c r="X170" s="1" t="s">
        <v>30</v>
      </c>
      <c r="Y170" s="1" t="s">
        <v>39</v>
      </c>
      <c r="Z170" s="1" t="s">
        <v>44</v>
      </c>
    </row>
    <row r="171" spans="1:26" ht="15.75" x14ac:dyDescent="0.25">
      <c r="A171" s="1" t="s">
        <v>26</v>
      </c>
      <c r="B171" s="1" t="s">
        <v>27</v>
      </c>
      <c r="C171" s="1" t="s">
        <v>466</v>
      </c>
      <c r="D171" s="1" t="s">
        <v>484</v>
      </c>
      <c r="E171" s="1" t="s">
        <v>30</v>
      </c>
      <c r="F171" s="1" t="s">
        <v>485</v>
      </c>
      <c r="G171" s="1" t="s">
        <v>54</v>
      </c>
      <c r="H171" s="1" t="s">
        <v>90</v>
      </c>
      <c r="I171" s="1" t="s">
        <v>50</v>
      </c>
      <c r="J171" s="1">
        <v>30.07</v>
      </c>
      <c r="K171" s="1" t="s">
        <v>486</v>
      </c>
      <c r="L171" s="1" t="s">
        <v>36</v>
      </c>
      <c r="M171" s="1">
        <v>11.13</v>
      </c>
      <c r="N171" s="1" t="s">
        <v>74</v>
      </c>
      <c r="O171" s="1" t="s">
        <v>38</v>
      </c>
      <c r="P171" s="1" t="s">
        <v>39</v>
      </c>
      <c r="Q171" s="1" t="s">
        <v>75</v>
      </c>
      <c r="R171" s="1" t="s">
        <v>487</v>
      </c>
      <c r="S171" s="1" t="s">
        <v>42</v>
      </c>
      <c r="T171" s="1">
        <v>1522.51</v>
      </c>
      <c r="U171" s="1" t="s">
        <v>43</v>
      </c>
      <c r="V171" s="1" t="s">
        <v>30</v>
      </c>
      <c r="W171" s="1" t="s">
        <v>39</v>
      </c>
      <c r="X171" s="1" t="s">
        <v>30</v>
      </c>
      <c r="Y171" s="1" t="s">
        <v>39</v>
      </c>
      <c r="Z171" s="1" t="s">
        <v>44</v>
      </c>
    </row>
    <row r="172" spans="1:26" ht="15.75" x14ac:dyDescent="0.25">
      <c r="A172" s="1" t="s">
        <v>26</v>
      </c>
      <c r="B172" s="1" t="s">
        <v>27</v>
      </c>
      <c r="C172" s="1" t="s">
        <v>466</v>
      </c>
      <c r="D172" s="1" t="s">
        <v>488</v>
      </c>
      <c r="E172" s="1" t="s">
        <v>30</v>
      </c>
      <c r="F172" s="1" t="s">
        <v>489</v>
      </c>
      <c r="G172" s="1" t="s">
        <v>32</v>
      </c>
      <c r="H172" s="1" t="s">
        <v>90</v>
      </c>
      <c r="I172" s="1" t="s">
        <v>50</v>
      </c>
      <c r="J172" s="1">
        <v>36.29</v>
      </c>
      <c r="K172" s="1" t="s">
        <v>486</v>
      </c>
      <c r="L172" s="1" t="s">
        <v>36</v>
      </c>
      <c r="M172" s="1">
        <v>13.43</v>
      </c>
      <c r="N172" s="1" t="s">
        <v>74</v>
      </c>
      <c r="O172" s="1" t="s">
        <v>38</v>
      </c>
      <c r="P172" s="1" t="s">
        <v>39</v>
      </c>
      <c r="Q172" s="1" t="s">
        <v>75</v>
      </c>
      <c r="R172" s="1" t="s">
        <v>490</v>
      </c>
      <c r="S172" s="1" t="s">
        <v>42</v>
      </c>
      <c r="T172" s="1">
        <v>1522.51</v>
      </c>
      <c r="U172" s="1" t="s">
        <v>43</v>
      </c>
      <c r="V172" s="1" t="s">
        <v>30</v>
      </c>
      <c r="W172" s="1" t="s">
        <v>39</v>
      </c>
      <c r="X172" s="1" t="s">
        <v>30</v>
      </c>
      <c r="Y172" s="1" t="s">
        <v>39</v>
      </c>
      <c r="Z172" s="1" t="s">
        <v>44</v>
      </c>
    </row>
    <row r="173" spans="1:26" ht="15.75" x14ac:dyDescent="0.25">
      <c r="A173" s="1" t="s">
        <v>26</v>
      </c>
      <c r="B173" s="1" t="s">
        <v>27</v>
      </c>
      <c r="C173" s="1" t="s">
        <v>466</v>
      </c>
      <c r="D173" s="1" t="s">
        <v>488</v>
      </c>
      <c r="E173" s="1" t="s">
        <v>30</v>
      </c>
      <c r="F173" s="1" t="s">
        <v>489</v>
      </c>
      <c r="G173" s="1" t="s">
        <v>45</v>
      </c>
      <c r="H173" s="1" t="s">
        <v>90</v>
      </c>
      <c r="I173" s="1" t="s">
        <v>50</v>
      </c>
      <c r="J173" s="1">
        <v>1.5</v>
      </c>
      <c r="K173" s="1" t="s">
        <v>486</v>
      </c>
      <c r="L173" s="1" t="s">
        <v>36</v>
      </c>
      <c r="M173" s="1">
        <v>0.55000000000000004</v>
      </c>
      <c r="N173" s="1" t="s">
        <v>74</v>
      </c>
      <c r="O173" s="1" t="s">
        <v>38</v>
      </c>
      <c r="P173" s="1" t="s">
        <v>39</v>
      </c>
      <c r="Q173" s="1" t="s">
        <v>75</v>
      </c>
      <c r="R173" s="1" t="s">
        <v>490</v>
      </c>
      <c r="S173" s="1" t="s">
        <v>42</v>
      </c>
      <c r="T173" s="1">
        <v>1522.51</v>
      </c>
      <c r="U173" s="1" t="s">
        <v>43</v>
      </c>
      <c r="V173" s="1" t="s">
        <v>30</v>
      </c>
      <c r="W173" s="1" t="s">
        <v>39</v>
      </c>
      <c r="X173" s="1" t="s">
        <v>30</v>
      </c>
      <c r="Y173" s="1" t="s">
        <v>39</v>
      </c>
      <c r="Z173" s="1" t="s">
        <v>44</v>
      </c>
    </row>
    <row r="174" spans="1:26" ht="15.75" x14ac:dyDescent="0.25">
      <c r="A174" s="1" t="s">
        <v>26</v>
      </c>
      <c r="B174" s="1" t="s">
        <v>27</v>
      </c>
      <c r="C174" s="1" t="s">
        <v>466</v>
      </c>
      <c r="D174" s="1" t="s">
        <v>491</v>
      </c>
      <c r="E174" s="1" t="s">
        <v>30</v>
      </c>
      <c r="F174" s="1" t="s">
        <v>489</v>
      </c>
      <c r="G174" s="1" t="s">
        <v>54</v>
      </c>
      <c r="H174" s="1" t="s">
        <v>90</v>
      </c>
      <c r="I174" s="1" t="s">
        <v>50</v>
      </c>
      <c r="J174" s="1">
        <v>16.34</v>
      </c>
      <c r="K174" s="1" t="s">
        <v>486</v>
      </c>
      <c r="L174" s="1" t="s">
        <v>36</v>
      </c>
      <c r="M174" s="1">
        <v>6.05</v>
      </c>
      <c r="N174" s="1" t="s">
        <v>74</v>
      </c>
      <c r="O174" s="1" t="s">
        <v>38</v>
      </c>
      <c r="P174" s="1" t="s">
        <v>39</v>
      </c>
      <c r="Q174" s="1" t="s">
        <v>75</v>
      </c>
      <c r="R174" s="1" t="s">
        <v>490</v>
      </c>
      <c r="S174" s="1" t="s">
        <v>42</v>
      </c>
      <c r="T174" s="1">
        <v>1522.51</v>
      </c>
      <c r="U174" s="1" t="s">
        <v>43</v>
      </c>
      <c r="V174" s="1" t="s">
        <v>30</v>
      </c>
      <c r="W174" s="1" t="s">
        <v>39</v>
      </c>
      <c r="X174" s="1" t="s">
        <v>30</v>
      </c>
      <c r="Y174" s="1" t="s">
        <v>39</v>
      </c>
      <c r="Z174" s="1" t="s">
        <v>44</v>
      </c>
    </row>
    <row r="175" spans="1:26" ht="15.75" x14ac:dyDescent="0.25">
      <c r="A175" s="1" t="s">
        <v>26</v>
      </c>
      <c r="B175" s="1" t="s">
        <v>27</v>
      </c>
      <c r="C175" s="1" t="s">
        <v>466</v>
      </c>
      <c r="D175" s="1" t="s">
        <v>492</v>
      </c>
      <c r="E175" s="1" t="s">
        <v>30</v>
      </c>
      <c r="F175" s="1" t="s">
        <v>493</v>
      </c>
      <c r="G175" s="1" t="s">
        <v>32</v>
      </c>
      <c r="H175" s="1" t="s">
        <v>90</v>
      </c>
      <c r="I175" s="1" t="s">
        <v>50</v>
      </c>
      <c r="J175" s="1">
        <v>65.09</v>
      </c>
      <c r="K175" s="1" t="s">
        <v>486</v>
      </c>
      <c r="L175" s="1" t="s">
        <v>36</v>
      </c>
      <c r="M175" s="1">
        <v>24.08</v>
      </c>
      <c r="N175" s="1" t="s">
        <v>84</v>
      </c>
      <c r="O175" s="1" t="s">
        <v>38</v>
      </c>
      <c r="P175" s="1" t="s">
        <v>39</v>
      </c>
      <c r="Q175" s="1" t="s">
        <v>85</v>
      </c>
      <c r="R175" s="1" t="s">
        <v>494</v>
      </c>
      <c r="S175" s="1" t="s">
        <v>42</v>
      </c>
      <c r="T175" s="1">
        <v>1522.51</v>
      </c>
      <c r="U175" s="1" t="s">
        <v>43</v>
      </c>
      <c r="V175" s="1" t="s">
        <v>30</v>
      </c>
      <c r="W175" s="1" t="s">
        <v>39</v>
      </c>
      <c r="X175" s="1" t="s">
        <v>30</v>
      </c>
      <c r="Y175" s="1" t="s">
        <v>39</v>
      </c>
      <c r="Z175" s="1" t="s">
        <v>44</v>
      </c>
    </row>
    <row r="176" spans="1:26" ht="15.75" x14ac:dyDescent="0.25">
      <c r="A176" s="1" t="s">
        <v>26</v>
      </c>
      <c r="B176" s="1" t="s">
        <v>27</v>
      </c>
      <c r="C176" s="1" t="s">
        <v>466</v>
      </c>
      <c r="D176" s="1" t="s">
        <v>495</v>
      </c>
      <c r="E176" s="1" t="s">
        <v>30</v>
      </c>
      <c r="F176" s="1" t="s">
        <v>496</v>
      </c>
      <c r="G176" s="1" t="s">
        <v>32</v>
      </c>
      <c r="H176" s="1" t="s">
        <v>90</v>
      </c>
      <c r="I176" s="1" t="s">
        <v>50</v>
      </c>
      <c r="J176" s="1">
        <v>37.03</v>
      </c>
      <c r="K176" s="1" t="s">
        <v>486</v>
      </c>
      <c r="L176" s="1" t="s">
        <v>36</v>
      </c>
      <c r="M176" s="1">
        <v>13.7</v>
      </c>
      <c r="N176" s="1" t="s">
        <v>116</v>
      </c>
      <c r="O176" s="1" t="s">
        <v>38</v>
      </c>
      <c r="P176" s="1" t="s">
        <v>39</v>
      </c>
      <c r="Q176" s="1" t="s">
        <v>117</v>
      </c>
      <c r="R176" s="1" t="s">
        <v>497</v>
      </c>
      <c r="S176" s="1" t="s">
        <v>42</v>
      </c>
      <c r="T176" s="1">
        <v>1522.51</v>
      </c>
      <c r="U176" s="1" t="s">
        <v>43</v>
      </c>
      <c r="V176" s="1" t="s">
        <v>30</v>
      </c>
      <c r="W176" s="1" t="s">
        <v>39</v>
      </c>
      <c r="X176" s="1" t="s">
        <v>30</v>
      </c>
      <c r="Y176" s="1" t="s">
        <v>39</v>
      </c>
      <c r="Z176" s="1" t="s">
        <v>44</v>
      </c>
    </row>
    <row r="177" spans="1:26" ht="15.75" x14ac:dyDescent="0.25">
      <c r="A177" s="1" t="s">
        <v>26</v>
      </c>
      <c r="B177" s="1" t="s">
        <v>27</v>
      </c>
      <c r="C177" s="1" t="s">
        <v>466</v>
      </c>
      <c r="D177" s="1" t="s">
        <v>498</v>
      </c>
      <c r="E177" s="1" t="s">
        <v>30</v>
      </c>
      <c r="F177" s="1" t="s">
        <v>499</v>
      </c>
      <c r="G177" s="1" t="s">
        <v>32</v>
      </c>
      <c r="H177" s="1" t="s">
        <v>58</v>
      </c>
      <c r="I177" s="1" t="s">
        <v>50</v>
      </c>
      <c r="J177" s="1">
        <v>107.9</v>
      </c>
      <c r="K177" s="1" t="s">
        <v>500</v>
      </c>
      <c r="L177" s="1" t="s">
        <v>36</v>
      </c>
      <c r="M177" s="1">
        <v>39.92</v>
      </c>
      <c r="N177" s="1" t="s">
        <v>84</v>
      </c>
      <c r="O177" s="1" t="s">
        <v>38</v>
      </c>
      <c r="P177" s="1" t="s">
        <v>39</v>
      </c>
      <c r="Q177" s="1" t="s">
        <v>85</v>
      </c>
      <c r="R177" s="1" t="s">
        <v>501</v>
      </c>
      <c r="S177" s="1" t="s">
        <v>42</v>
      </c>
      <c r="T177" s="1">
        <v>1522.51</v>
      </c>
      <c r="U177" s="1" t="s">
        <v>43</v>
      </c>
      <c r="V177" s="1" t="s">
        <v>30</v>
      </c>
      <c r="W177" s="1" t="s">
        <v>39</v>
      </c>
      <c r="X177" s="1" t="s">
        <v>30</v>
      </c>
      <c r="Y177" s="1" t="s">
        <v>39</v>
      </c>
      <c r="Z177" s="1" t="s">
        <v>44</v>
      </c>
    </row>
    <row r="178" spans="1:26" ht="15.75" x14ac:dyDescent="0.25">
      <c r="A178" s="1" t="s">
        <v>26</v>
      </c>
      <c r="B178" s="1" t="s">
        <v>27</v>
      </c>
      <c r="C178" s="1" t="s">
        <v>466</v>
      </c>
      <c r="D178" s="1" t="s">
        <v>502</v>
      </c>
      <c r="E178" s="1" t="s">
        <v>30</v>
      </c>
      <c r="F178" s="1" t="s">
        <v>499</v>
      </c>
      <c r="G178" s="1" t="s">
        <v>54</v>
      </c>
      <c r="H178" s="1" t="s">
        <v>58</v>
      </c>
      <c r="I178" s="1" t="s">
        <v>50</v>
      </c>
      <c r="J178" s="1">
        <v>29.34</v>
      </c>
      <c r="K178" s="1" t="s">
        <v>500</v>
      </c>
      <c r="L178" s="1" t="s">
        <v>36</v>
      </c>
      <c r="M178" s="1">
        <v>10.86</v>
      </c>
      <c r="N178" s="1" t="s">
        <v>84</v>
      </c>
      <c r="O178" s="1" t="s">
        <v>38</v>
      </c>
      <c r="P178" s="1" t="s">
        <v>39</v>
      </c>
      <c r="Q178" s="1" t="s">
        <v>85</v>
      </c>
      <c r="R178" s="1" t="s">
        <v>501</v>
      </c>
      <c r="S178" s="1" t="s">
        <v>42</v>
      </c>
      <c r="T178" s="1">
        <v>1522.51</v>
      </c>
      <c r="U178" s="1" t="s">
        <v>43</v>
      </c>
      <c r="V178" s="1" t="s">
        <v>30</v>
      </c>
      <c r="W178" s="1" t="s">
        <v>39</v>
      </c>
      <c r="X178" s="1" t="s">
        <v>30</v>
      </c>
      <c r="Y178" s="1" t="s">
        <v>39</v>
      </c>
      <c r="Z178" s="1" t="s">
        <v>44</v>
      </c>
    </row>
    <row r="179" spans="1:26" ht="15.75" x14ac:dyDescent="0.25">
      <c r="A179" s="1" t="s">
        <v>26</v>
      </c>
      <c r="B179" s="1" t="s">
        <v>27</v>
      </c>
      <c r="C179" s="1" t="s">
        <v>466</v>
      </c>
      <c r="D179" s="1" t="s">
        <v>503</v>
      </c>
      <c r="E179" s="1" t="s">
        <v>30</v>
      </c>
      <c r="F179" s="1" t="s">
        <v>504</v>
      </c>
      <c r="G179" s="1" t="s">
        <v>54</v>
      </c>
      <c r="H179" s="1" t="s">
        <v>58</v>
      </c>
      <c r="I179" s="1" t="s">
        <v>50</v>
      </c>
      <c r="J179" s="1">
        <v>19.63</v>
      </c>
      <c r="K179" s="1" t="s">
        <v>500</v>
      </c>
      <c r="L179" s="1" t="s">
        <v>36</v>
      </c>
      <c r="M179" s="1">
        <v>7.26</v>
      </c>
      <c r="N179" s="1" t="s">
        <v>460</v>
      </c>
      <c r="O179" s="1" t="s">
        <v>38</v>
      </c>
      <c r="P179" s="1" t="s">
        <v>39</v>
      </c>
      <c r="Q179" s="1" t="s">
        <v>461</v>
      </c>
      <c r="R179" s="1" t="s">
        <v>505</v>
      </c>
      <c r="S179" s="1" t="s">
        <v>42</v>
      </c>
      <c r="T179" s="1">
        <v>1522.51</v>
      </c>
      <c r="U179" s="1" t="s">
        <v>43</v>
      </c>
      <c r="V179" s="1" t="s">
        <v>30</v>
      </c>
      <c r="W179" s="1" t="s">
        <v>39</v>
      </c>
      <c r="X179" s="1" t="s">
        <v>30</v>
      </c>
      <c r="Y179" s="1" t="s">
        <v>39</v>
      </c>
      <c r="Z179" s="1" t="s">
        <v>44</v>
      </c>
    </row>
    <row r="180" spans="1:26" ht="15.75" x14ac:dyDescent="0.25">
      <c r="A180" s="1" t="s">
        <v>26</v>
      </c>
      <c r="B180" s="1" t="s">
        <v>27</v>
      </c>
      <c r="C180" s="1" t="s">
        <v>466</v>
      </c>
      <c r="D180" s="1" t="s">
        <v>506</v>
      </c>
      <c r="E180" s="1" t="s">
        <v>30</v>
      </c>
      <c r="F180" s="1" t="s">
        <v>507</v>
      </c>
      <c r="G180" s="1" t="s">
        <v>54</v>
      </c>
      <c r="H180" s="1" t="s">
        <v>34</v>
      </c>
      <c r="I180" s="1" t="s">
        <v>82</v>
      </c>
      <c r="J180" s="1">
        <v>19.63</v>
      </c>
      <c r="K180" s="1" t="s">
        <v>508</v>
      </c>
      <c r="L180" s="1" t="s">
        <v>36</v>
      </c>
      <c r="M180" s="1">
        <v>7.26</v>
      </c>
      <c r="N180" s="1" t="s">
        <v>460</v>
      </c>
      <c r="O180" s="1" t="s">
        <v>38</v>
      </c>
      <c r="P180" s="1" t="s">
        <v>39</v>
      </c>
      <c r="Q180" s="1" t="s">
        <v>461</v>
      </c>
      <c r="R180" s="1" t="s">
        <v>509</v>
      </c>
      <c r="S180" s="1" t="s">
        <v>42</v>
      </c>
      <c r="T180" s="1">
        <v>1522.51</v>
      </c>
      <c r="U180" s="1" t="s">
        <v>43</v>
      </c>
      <c r="V180" s="1" t="s">
        <v>30</v>
      </c>
      <c r="W180" s="1" t="s">
        <v>39</v>
      </c>
      <c r="X180" s="1" t="s">
        <v>30</v>
      </c>
      <c r="Y180" s="1" t="s">
        <v>39</v>
      </c>
      <c r="Z180" s="1" t="s">
        <v>44</v>
      </c>
    </row>
    <row r="181" spans="1:26" ht="15.75" x14ac:dyDescent="0.25">
      <c r="A181" s="1" t="s">
        <v>26</v>
      </c>
      <c r="B181" s="1" t="s">
        <v>27</v>
      </c>
      <c r="C181" s="1" t="s">
        <v>466</v>
      </c>
      <c r="D181" s="1" t="s">
        <v>510</v>
      </c>
      <c r="E181" s="1" t="s">
        <v>30</v>
      </c>
      <c r="F181" s="1" t="s">
        <v>511</v>
      </c>
      <c r="G181" s="1" t="s">
        <v>32</v>
      </c>
      <c r="H181" s="1" t="s">
        <v>34</v>
      </c>
      <c r="I181" s="1" t="s">
        <v>82</v>
      </c>
      <c r="J181" s="1">
        <v>54.21</v>
      </c>
      <c r="K181" s="1" t="s">
        <v>508</v>
      </c>
      <c r="L181" s="1" t="s">
        <v>36</v>
      </c>
      <c r="M181" s="1">
        <v>20.059999999999999</v>
      </c>
      <c r="N181" s="1" t="s">
        <v>294</v>
      </c>
      <c r="O181" s="1" t="s">
        <v>38</v>
      </c>
      <c r="P181" s="1" t="s">
        <v>39</v>
      </c>
      <c r="Q181" s="1" t="s">
        <v>295</v>
      </c>
      <c r="R181" s="1" t="s">
        <v>512</v>
      </c>
      <c r="S181" s="1" t="s">
        <v>42</v>
      </c>
      <c r="T181" s="1">
        <v>1522.51</v>
      </c>
      <c r="U181" s="1" t="s">
        <v>43</v>
      </c>
      <c r="V181" s="1" t="s">
        <v>30</v>
      </c>
      <c r="W181" s="1" t="s">
        <v>39</v>
      </c>
      <c r="X181" s="1" t="s">
        <v>30</v>
      </c>
      <c r="Y181" s="1" t="s">
        <v>39</v>
      </c>
      <c r="Z181" s="1" t="s">
        <v>44</v>
      </c>
    </row>
    <row r="182" spans="1:26" ht="15.75" x14ac:dyDescent="0.25">
      <c r="A182" s="1" t="s">
        <v>26</v>
      </c>
      <c r="B182" s="1" t="s">
        <v>27</v>
      </c>
      <c r="C182" s="1" t="s">
        <v>466</v>
      </c>
      <c r="D182" s="1" t="s">
        <v>510</v>
      </c>
      <c r="E182" s="1" t="s">
        <v>30</v>
      </c>
      <c r="F182" s="1" t="s">
        <v>511</v>
      </c>
      <c r="G182" s="1" t="s">
        <v>45</v>
      </c>
      <c r="H182" s="1" t="s">
        <v>34</v>
      </c>
      <c r="I182" s="1" t="s">
        <v>82</v>
      </c>
      <c r="J182" s="1">
        <v>1.5</v>
      </c>
      <c r="K182" s="1" t="s">
        <v>508</v>
      </c>
      <c r="L182" s="1" t="s">
        <v>36</v>
      </c>
      <c r="M182" s="1">
        <v>0.55000000000000004</v>
      </c>
      <c r="N182" s="1" t="s">
        <v>294</v>
      </c>
      <c r="O182" s="1" t="s">
        <v>38</v>
      </c>
      <c r="P182" s="1" t="s">
        <v>39</v>
      </c>
      <c r="Q182" s="1" t="s">
        <v>295</v>
      </c>
      <c r="R182" s="1" t="s">
        <v>512</v>
      </c>
      <c r="S182" s="1" t="s">
        <v>42</v>
      </c>
      <c r="T182" s="1">
        <v>1522.51</v>
      </c>
      <c r="U182" s="1" t="s">
        <v>43</v>
      </c>
      <c r="V182" s="1" t="s">
        <v>30</v>
      </c>
      <c r="W182" s="1" t="s">
        <v>39</v>
      </c>
      <c r="X182" s="1" t="s">
        <v>30</v>
      </c>
      <c r="Y182" s="1" t="s">
        <v>39</v>
      </c>
      <c r="Z182" s="1" t="s">
        <v>44</v>
      </c>
    </row>
    <row r="183" spans="1:26" ht="15.75" x14ac:dyDescent="0.25">
      <c r="A183" s="1" t="s">
        <v>26</v>
      </c>
      <c r="B183" s="1" t="s">
        <v>27</v>
      </c>
      <c r="C183" s="1" t="s">
        <v>466</v>
      </c>
      <c r="D183" s="1" t="s">
        <v>513</v>
      </c>
      <c r="E183" s="1" t="s">
        <v>30</v>
      </c>
      <c r="F183" s="1" t="s">
        <v>511</v>
      </c>
      <c r="G183" s="1" t="s">
        <v>54</v>
      </c>
      <c r="H183" s="1" t="s">
        <v>34</v>
      </c>
      <c r="I183" s="1" t="s">
        <v>82</v>
      </c>
      <c r="J183" s="1">
        <v>13.07</v>
      </c>
      <c r="K183" s="1" t="s">
        <v>508</v>
      </c>
      <c r="L183" s="1" t="s">
        <v>36</v>
      </c>
      <c r="M183" s="1">
        <v>4.84</v>
      </c>
      <c r="N183" s="1" t="s">
        <v>294</v>
      </c>
      <c r="O183" s="1" t="s">
        <v>38</v>
      </c>
      <c r="P183" s="1" t="s">
        <v>39</v>
      </c>
      <c r="Q183" s="1" t="s">
        <v>295</v>
      </c>
      <c r="R183" s="1" t="s">
        <v>512</v>
      </c>
      <c r="S183" s="1" t="s">
        <v>42</v>
      </c>
      <c r="T183" s="1">
        <v>1522.51</v>
      </c>
      <c r="U183" s="1" t="s">
        <v>43</v>
      </c>
      <c r="V183" s="1" t="s">
        <v>30</v>
      </c>
      <c r="W183" s="1" t="s">
        <v>39</v>
      </c>
      <c r="X183" s="1" t="s">
        <v>30</v>
      </c>
      <c r="Y183" s="1" t="s">
        <v>39</v>
      </c>
      <c r="Z183" s="1" t="s">
        <v>44</v>
      </c>
    </row>
    <row r="184" spans="1:26" ht="15.75" x14ac:dyDescent="0.25">
      <c r="A184" s="1" t="s">
        <v>26</v>
      </c>
      <c r="B184" s="1" t="s">
        <v>27</v>
      </c>
      <c r="C184" s="1" t="s">
        <v>466</v>
      </c>
      <c r="D184" s="1" t="s">
        <v>514</v>
      </c>
      <c r="E184" s="1" t="s">
        <v>30</v>
      </c>
      <c r="F184" s="1" t="s">
        <v>515</v>
      </c>
      <c r="G184" s="1" t="s">
        <v>54</v>
      </c>
      <c r="H184" s="1" t="s">
        <v>137</v>
      </c>
      <c r="I184" s="1" t="s">
        <v>220</v>
      </c>
      <c r="J184" s="1">
        <v>30.07</v>
      </c>
      <c r="K184" s="1" t="s">
        <v>516</v>
      </c>
      <c r="L184" s="1" t="s">
        <v>36</v>
      </c>
      <c r="M184" s="1">
        <v>11.13</v>
      </c>
      <c r="N184" s="1" t="s">
        <v>74</v>
      </c>
      <c r="O184" s="1" t="s">
        <v>38</v>
      </c>
      <c r="P184" s="1" t="s">
        <v>39</v>
      </c>
      <c r="Q184" s="1" t="s">
        <v>75</v>
      </c>
      <c r="R184" s="1" t="s">
        <v>517</v>
      </c>
      <c r="S184" s="1" t="s">
        <v>42</v>
      </c>
      <c r="T184" s="1">
        <v>1522.51</v>
      </c>
      <c r="U184" s="1" t="s">
        <v>43</v>
      </c>
      <c r="V184" s="1" t="s">
        <v>30</v>
      </c>
      <c r="W184" s="1" t="s">
        <v>39</v>
      </c>
      <c r="X184" s="1" t="s">
        <v>30</v>
      </c>
      <c r="Y184" s="1" t="s">
        <v>39</v>
      </c>
      <c r="Z184" s="1" t="s">
        <v>44</v>
      </c>
    </row>
    <row r="185" spans="1:26" ht="15.75" x14ac:dyDescent="0.25">
      <c r="A185" s="1" t="s">
        <v>26</v>
      </c>
      <c r="B185" s="1" t="s">
        <v>27</v>
      </c>
      <c r="C185" s="1" t="s">
        <v>466</v>
      </c>
      <c r="D185" s="1" t="s">
        <v>518</v>
      </c>
      <c r="E185" s="1" t="s">
        <v>30</v>
      </c>
      <c r="F185" s="1" t="s">
        <v>519</v>
      </c>
      <c r="G185" s="1" t="s">
        <v>32</v>
      </c>
      <c r="H185" s="1" t="s">
        <v>137</v>
      </c>
      <c r="I185" s="1" t="s">
        <v>220</v>
      </c>
      <c r="J185" s="1">
        <v>36.29</v>
      </c>
      <c r="K185" s="1" t="s">
        <v>516</v>
      </c>
      <c r="L185" s="1" t="s">
        <v>36</v>
      </c>
      <c r="M185" s="1">
        <v>0</v>
      </c>
      <c r="N185" s="1" t="s">
        <v>66</v>
      </c>
      <c r="O185" s="1" t="s">
        <v>38</v>
      </c>
      <c r="P185" s="1" t="s">
        <v>470</v>
      </c>
      <c r="Q185" s="1" t="s">
        <v>68</v>
      </c>
      <c r="R185" s="1" t="s">
        <v>520</v>
      </c>
      <c r="S185" s="1" t="s">
        <v>42</v>
      </c>
      <c r="T185" s="1">
        <v>1522.51</v>
      </c>
      <c r="U185" s="1" t="s">
        <v>43</v>
      </c>
      <c r="V185" s="1" t="s">
        <v>30</v>
      </c>
      <c r="W185" s="1" t="s">
        <v>39</v>
      </c>
      <c r="X185" s="1" t="s">
        <v>30</v>
      </c>
      <c r="Y185" s="1" t="s">
        <v>39</v>
      </c>
      <c r="Z185" s="1" t="s">
        <v>44</v>
      </c>
    </row>
    <row r="186" spans="1:26" ht="15.75" x14ac:dyDescent="0.25">
      <c r="A186" s="1" t="s">
        <v>26</v>
      </c>
      <c r="B186" s="1" t="s">
        <v>27</v>
      </c>
      <c r="C186" s="1" t="s">
        <v>466</v>
      </c>
      <c r="D186" s="1" t="s">
        <v>518</v>
      </c>
      <c r="E186" s="1" t="s">
        <v>30</v>
      </c>
      <c r="F186" s="1" t="s">
        <v>519</v>
      </c>
      <c r="G186" s="1" t="s">
        <v>45</v>
      </c>
      <c r="H186" s="1" t="s">
        <v>137</v>
      </c>
      <c r="I186" s="1" t="s">
        <v>220</v>
      </c>
      <c r="J186" s="1">
        <v>1.5</v>
      </c>
      <c r="K186" s="1" t="s">
        <v>516</v>
      </c>
      <c r="L186" s="1" t="s">
        <v>36</v>
      </c>
      <c r="M186" s="1">
        <v>0</v>
      </c>
      <c r="N186" s="1" t="s">
        <v>66</v>
      </c>
      <c r="O186" s="1" t="s">
        <v>38</v>
      </c>
      <c r="P186" s="1" t="s">
        <v>472</v>
      </c>
      <c r="Q186" s="1" t="s">
        <v>68</v>
      </c>
      <c r="R186" s="1" t="s">
        <v>520</v>
      </c>
      <c r="S186" s="1" t="s">
        <v>42</v>
      </c>
      <c r="T186" s="1">
        <v>1522.51</v>
      </c>
      <c r="U186" s="1" t="s">
        <v>43</v>
      </c>
      <c r="V186" s="1" t="s">
        <v>30</v>
      </c>
      <c r="W186" s="1" t="s">
        <v>39</v>
      </c>
      <c r="X186" s="1" t="s">
        <v>30</v>
      </c>
      <c r="Y186" s="1" t="s">
        <v>39</v>
      </c>
      <c r="Z186" s="1" t="s">
        <v>44</v>
      </c>
    </row>
    <row r="187" spans="1:26" ht="15.75" x14ac:dyDescent="0.25">
      <c r="A187" s="1" t="s">
        <v>26</v>
      </c>
      <c r="B187" s="1" t="s">
        <v>27</v>
      </c>
      <c r="C187" s="1" t="s">
        <v>466</v>
      </c>
      <c r="D187" s="1" t="s">
        <v>521</v>
      </c>
      <c r="E187" s="1" t="s">
        <v>30</v>
      </c>
      <c r="F187" s="1" t="s">
        <v>522</v>
      </c>
      <c r="G187" s="1" t="s">
        <v>32</v>
      </c>
      <c r="H187" s="1" t="s">
        <v>90</v>
      </c>
      <c r="I187" s="1" t="s">
        <v>50</v>
      </c>
      <c r="J187" s="1">
        <v>36.29</v>
      </c>
      <c r="K187" s="1" t="s">
        <v>523</v>
      </c>
      <c r="L187" s="1" t="s">
        <v>36</v>
      </c>
      <c r="M187" s="1">
        <v>0</v>
      </c>
      <c r="N187" s="1" t="s">
        <v>66</v>
      </c>
      <c r="O187" s="1" t="s">
        <v>38</v>
      </c>
      <c r="P187" s="1" t="s">
        <v>470</v>
      </c>
      <c r="Q187" s="1" t="s">
        <v>68</v>
      </c>
      <c r="R187" s="1" t="s">
        <v>524</v>
      </c>
      <c r="S187" s="1" t="s">
        <v>42</v>
      </c>
      <c r="T187" s="1">
        <v>1522.51</v>
      </c>
      <c r="U187" s="1" t="s">
        <v>43</v>
      </c>
      <c r="V187" s="1" t="s">
        <v>30</v>
      </c>
      <c r="W187" s="1" t="s">
        <v>39</v>
      </c>
      <c r="X187" s="1" t="s">
        <v>30</v>
      </c>
      <c r="Y187" s="1" t="s">
        <v>39</v>
      </c>
      <c r="Z187" s="1" t="s">
        <v>44</v>
      </c>
    </row>
    <row r="188" spans="1:26" ht="15.75" x14ac:dyDescent="0.25">
      <c r="A188" s="1" t="s">
        <v>26</v>
      </c>
      <c r="B188" s="1" t="s">
        <v>27</v>
      </c>
      <c r="C188" s="1" t="s">
        <v>466</v>
      </c>
      <c r="D188" s="1" t="s">
        <v>521</v>
      </c>
      <c r="E188" s="1" t="s">
        <v>30</v>
      </c>
      <c r="F188" s="1" t="s">
        <v>522</v>
      </c>
      <c r="G188" s="1" t="s">
        <v>45</v>
      </c>
      <c r="H188" s="1" t="s">
        <v>90</v>
      </c>
      <c r="I188" s="1" t="s">
        <v>50</v>
      </c>
      <c r="J188" s="1">
        <v>1.5</v>
      </c>
      <c r="K188" s="1" t="s">
        <v>523</v>
      </c>
      <c r="L188" s="1" t="s">
        <v>36</v>
      </c>
      <c r="M188" s="1">
        <v>0</v>
      </c>
      <c r="N188" s="1" t="s">
        <v>66</v>
      </c>
      <c r="O188" s="1" t="s">
        <v>38</v>
      </c>
      <c r="P188" s="1" t="s">
        <v>472</v>
      </c>
      <c r="Q188" s="1" t="s">
        <v>68</v>
      </c>
      <c r="R188" s="1" t="s">
        <v>524</v>
      </c>
      <c r="S188" s="1" t="s">
        <v>42</v>
      </c>
      <c r="T188" s="1">
        <v>1522.51</v>
      </c>
      <c r="U188" s="1" t="s">
        <v>43</v>
      </c>
      <c r="V188" s="1" t="s">
        <v>30</v>
      </c>
      <c r="W188" s="1" t="s">
        <v>39</v>
      </c>
      <c r="X188" s="1" t="s">
        <v>30</v>
      </c>
      <c r="Y188" s="1" t="s">
        <v>39</v>
      </c>
      <c r="Z188" s="1" t="s">
        <v>44</v>
      </c>
    </row>
    <row r="189" spans="1:26" ht="15.75" x14ac:dyDescent="0.25">
      <c r="A189" s="1" t="s">
        <v>26</v>
      </c>
      <c r="B189" s="1" t="s">
        <v>27</v>
      </c>
      <c r="C189" s="1" t="s">
        <v>466</v>
      </c>
      <c r="D189" s="1" t="s">
        <v>525</v>
      </c>
      <c r="E189" s="1" t="s">
        <v>30</v>
      </c>
      <c r="F189" s="1" t="s">
        <v>522</v>
      </c>
      <c r="G189" s="1" t="s">
        <v>54</v>
      </c>
      <c r="H189" s="1" t="s">
        <v>90</v>
      </c>
      <c r="I189" s="1" t="s">
        <v>50</v>
      </c>
      <c r="J189" s="1">
        <v>16.34</v>
      </c>
      <c r="K189" s="1" t="s">
        <v>523</v>
      </c>
      <c r="L189" s="1" t="s">
        <v>36</v>
      </c>
      <c r="M189" s="1">
        <v>0</v>
      </c>
      <c r="N189" s="1" t="s">
        <v>66</v>
      </c>
      <c r="O189" s="1" t="s">
        <v>38</v>
      </c>
      <c r="P189" s="1" t="s">
        <v>395</v>
      </c>
      <c r="Q189" s="1" t="s">
        <v>68</v>
      </c>
      <c r="R189" s="1" t="s">
        <v>524</v>
      </c>
      <c r="S189" s="1" t="s">
        <v>42</v>
      </c>
      <c r="T189" s="1">
        <v>1522.51</v>
      </c>
      <c r="U189" s="1" t="s">
        <v>43</v>
      </c>
      <c r="V189" s="1" t="s">
        <v>30</v>
      </c>
      <c r="W189" s="1" t="s">
        <v>39</v>
      </c>
      <c r="X189" s="1" t="s">
        <v>30</v>
      </c>
      <c r="Y189" s="1" t="s">
        <v>39</v>
      </c>
      <c r="Z189" s="1" t="s">
        <v>44</v>
      </c>
    </row>
    <row r="190" spans="1:26" ht="15.75" x14ac:dyDescent="0.25">
      <c r="A190" s="1" t="s">
        <v>26</v>
      </c>
      <c r="B190" s="1" t="s">
        <v>27</v>
      </c>
      <c r="C190" s="1" t="s">
        <v>466</v>
      </c>
      <c r="D190" s="1" t="s">
        <v>526</v>
      </c>
      <c r="E190" s="1" t="s">
        <v>30</v>
      </c>
      <c r="F190" s="1" t="s">
        <v>527</v>
      </c>
      <c r="G190" s="1" t="s">
        <v>32</v>
      </c>
      <c r="H190" s="1" t="s">
        <v>50</v>
      </c>
      <c r="I190" s="1" t="s">
        <v>137</v>
      </c>
      <c r="J190" s="1">
        <v>57.28</v>
      </c>
      <c r="K190" s="1" t="s">
        <v>425</v>
      </c>
      <c r="L190" s="1" t="s">
        <v>36</v>
      </c>
      <c r="M190" s="1">
        <v>21.19</v>
      </c>
      <c r="N190" s="1" t="s">
        <v>254</v>
      </c>
      <c r="O190" s="1" t="s">
        <v>38</v>
      </c>
      <c r="P190" s="1" t="s">
        <v>39</v>
      </c>
      <c r="Q190" s="1" t="s">
        <v>255</v>
      </c>
      <c r="R190" s="1" t="s">
        <v>528</v>
      </c>
      <c r="S190" s="1" t="s">
        <v>42</v>
      </c>
      <c r="T190" s="1">
        <v>1522.51</v>
      </c>
      <c r="U190" s="1" t="s">
        <v>43</v>
      </c>
      <c r="V190" s="1" t="s">
        <v>30</v>
      </c>
      <c r="W190" s="1" t="s">
        <v>39</v>
      </c>
      <c r="X190" s="1" t="s">
        <v>30</v>
      </c>
      <c r="Y190" s="1" t="s">
        <v>39</v>
      </c>
      <c r="Z190" s="1" t="s">
        <v>44</v>
      </c>
    </row>
    <row r="191" spans="1:26" ht="15.75" x14ac:dyDescent="0.25">
      <c r="A191" s="1" t="s">
        <v>26</v>
      </c>
      <c r="B191" s="1" t="s">
        <v>27</v>
      </c>
      <c r="C191" s="1" t="s">
        <v>466</v>
      </c>
      <c r="D191" s="1" t="s">
        <v>529</v>
      </c>
      <c r="E191" s="1" t="s">
        <v>30</v>
      </c>
      <c r="F191" s="1" t="s">
        <v>530</v>
      </c>
      <c r="G191" s="1" t="s">
        <v>32</v>
      </c>
      <c r="H191" s="1" t="s">
        <v>34</v>
      </c>
      <c r="I191" s="1" t="s">
        <v>82</v>
      </c>
      <c r="J191" s="1">
        <v>45.29</v>
      </c>
      <c r="K191" s="1" t="s">
        <v>531</v>
      </c>
      <c r="L191" s="1" t="s">
        <v>36</v>
      </c>
      <c r="M191" s="1">
        <v>16.760000000000002</v>
      </c>
      <c r="N191" s="1" t="s">
        <v>532</v>
      </c>
      <c r="O191" s="1" t="s">
        <v>38</v>
      </c>
      <c r="P191" s="1" t="s">
        <v>39</v>
      </c>
      <c r="Q191" s="1" t="s">
        <v>533</v>
      </c>
      <c r="R191" s="1" t="s">
        <v>534</v>
      </c>
      <c r="S191" s="1" t="s">
        <v>42</v>
      </c>
      <c r="T191" s="1">
        <v>1522.51</v>
      </c>
      <c r="U191" s="1" t="s">
        <v>43</v>
      </c>
      <c r="V191" s="1" t="s">
        <v>30</v>
      </c>
      <c r="W191" s="1" t="s">
        <v>39</v>
      </c>
      <c r="X191" s="1" t="s">
        <v>30</v>
      </c>
      <c r="Y191" s="1" t="s">
        <v>39</v>
      </c>
      <c r="Z191" s="1" t="s">
        <v>44</v>
      </c>
    </row>
    <row r="192" spans="1:26" ht="15.75" x14ac:dyDescent="0.25">
      <c r="A192" s="1" t="s">
        <v>26</v>
      </c>
      <c r="B192" s="1" t="s">
        <v>27</v>
      </c>
      <c r="C192" s="1" t="s">
        <v>466</v>
      </c>
      <c r="D192" s="1" t="s">
        <v>535</v>
      </c>
      <c r="E192" s="1" t="s">
        <v>30</v>
      </c>
      <c r="F192" s="1" t="s">
        <v>530</v>
      </c>
      <c r="G192" s="1" t="s">
        <v>54</v>
      </c>
      <c r="H192" s="1" t="s">
        <v>34</v>
      </c>
      <c r="I192" s="1" t="s">
        <v>82</v>
      </c>
      <c r="J192" s="1">
        <v>16.34</v>
      </c>
      <c r="K192" s="1" t="s">
        <v>531</v>
      </c>
      <c r="L192" s="1" t="s">
        <v>36</v>
      </c>
      <c r="M192" s="1">
        <v>6.05</v>
      </c>
      <c r="N192" s="1" t="s">
        <v>532</v>
      </c>
      <c r="O192" s="1" t="s">
        <v>38</v>
      </c>
      <c r="P192" s="1" t="s">
        <v>39</v>
      </c>
      <c r="Q192" s="1" t="s">
        <v>533</v>
      </c>
      <c r="R192" s="1" t="s">
        <v>534</v>
      </c>
      <c r="S192" s="1" t="s">
        <v>42</v>
      </c>
      <c r="T192" s="1">
        <v>1522.51</v>
      </c>
      <c r="U192" s="1" t="s">
        <v>43</v>
      </c>
      <c r="V192" s="1" t="s">
        <v>30</v>
      </c>
      <c r="W192" s="1" t="s">
        <v>39</v>
      </c>
      <c r="X192" s="1" t="s">
        <v>30</v>
      </c>
      <c r="Y192" s="1" t="s">
        <v>39</v>
      </c>
      <c r="Z192" s="1" t="s">
        <v>44</v>
      </c>
    </row>
    <row r="193" spans="1:26" ht="15.75" x14ac:dyDescent="0.25">
      <c r="A193" s="1" t="s">
        <v>26</v>
      </c>
      <c r="B193" s="1" t="s">
        <v>27</v>
      </c>
      <c r="C193" s="1" t="s">
        <v>466</v>
      </c>
      <c r="D193" s="1" t="s">
        <v>536</v>
      </c>
      <c r="E193" s="1" t="s">
        <v>30</v>
      </c>
      <c r="F193" s="1" t="s">
        <v>537</v>
      </c>
      <c r="G193" s="1" t="s">
        <v>32</v>
      </c>
      <c r="H193" s="1" t="s">
        <v>58</v>
      </c>
      <c r="I193" s="1" t="s">
        <v>50</v>
      </c>
      <c r="J193" s="1">
        <v>20.96</v>
      </c>
      <c r="K193" s="1" t="s">
        <v>538</v>
      </c>
      <c r="L193" s="1" t="s">
        <v>36</v>
      </c>
      <c r="M193" s="1">
        <v>7.76</v>
      </c>
      <c r="N193" s="1" t="s">
        <v>231</v>
      </c>
      <c r="O193" s="1" t="s">
        <v>38</v>
      </c>
      <c r="P193" s="1" t="s">
        <v>39</v>
      </c>
      <c r="Q193" s="1" t="s">
        <v>232</v>
      </c>
      <c r="R193" s="1" t="s">
        <v>539</v>
      </c>
      <c r="S193" s="1" t="s">
        <v>42</v>
      </c>
      <c r="T193" s="1">
        <v>1522.51</v>
      </c>
      <c r="U193" s="1" t="s">
        <v>43</v>
      </c>
      <c r="V193" s="1" t="s">
        <v>30</v>
      </c>
      <c r="W193" s="1" t="s">
        <v>39</v>
      </c>
      <c r="X193" s="1" t="s">
        <v>30</v>
      </c>
      <c r="Y193" s="1" t="s">
        <v>39</v>
      </c>
      <c r="Z193" s="1" t="s">
        <v>44</v>
      </c>
    </row>
    <row r="194" spans="1:26" ht="15.75" x14ac:dyDescent="0.25">
      <c r="A194" s="1" t="s">
        <v>26</v>
      </c>
      <c r="B194" s="1" t="s">
        <v>27</v>
      </c>
      <c r="C194" s="1" t="s">
        <v>466</v>
      </c>
      <c r="D194" s="1" t="s">
        <v>540</v>
      </c>
      <c r="E194" s="1" t="s">
        <v>30</v>
      </c>
      <c r="F194" s="1" t="s">
        <v>541</v>
      </c>
      <c r="G194" s="1" t="s">
        <v>32</v>
      </c>
      <c r="H194" s="1" t="s">
        <v>90</v>
      </c>
      <c r="I194" s="1" t="s">
        <v>50</v>
      </c>
      <c r="J194" s="1">
        <v>61.69</v>
      </c>
      <c r="K194" s="1" t="s">
        <v>542</v>
      </c>
      <c r="L194" s="1" t="s">
        <v>36</v>
      </c>
      <c r="M194" s="1">
        <v>22.83</v>
      </c>
      <c r="N194" s="1" t="s">
        <v>543</v>
      </c>
      <c r="O194" s="1" t="s">
        <v>38</v>
      </c>
      <c r="P194" s="1" t="s">
        <v>39</v>
      </c>
      <c r="Q194" s="1" t="s">
        <v>544</v>
      </c>
      <c r="R194" s="1" t="s">
        <v>545</v>
      </c>
      <c r="S194" s="1" t="s">
        <v>42</v>
      </c>
      <c r="T194" s="1">
        <v>1522.51</v>
      </c>
      <c r="U194" s="1" t="s">
        <v>43</v>
      </c>
      <c r="V194" s="1" t="s">
        <v>30</v>
      </c>
      <c r="W194" s="1" t="s">
        <v>39</v>
      </c>
      <c r="X194" s="1" t="s">
        <v>30</v>
      </c>
      <c r="Y194" s="1" t="s">
        <v>39</v>
      </c>
      <c r="Z194" s="1" t="s">
        <v>44</v>
      </c>
    </row>
    <row r="195" spans="1:26" ht="15.75" x14ac:dyDescent="0.25">
      <c r="A195" s="1" t="s">
        <v>26</v>
      </c>
      <c r="B195" s="1" t="s">
        <v>27</v>
      </c>
      <c r="C195" s="1" t="s">
        <v>466</v>
      </c>
      <c r="D195" s="1" t="s">
        <v>540</v>
      </c>
      <c r="E195" s="1" t="s">
        <v>30</v>
      </c>
      <c r="F195" s="1" t="s">
        <v>541</v>
      </c>
      <c r="G195" s="1" t="s">
        <v>45</v>
      </c>
      <c r="H195" s="1" t="s">
        <v>90</v>
      </c>
      <c r="I195" s="1" t="s">
        <v>50</v>
      </c>
      <c r="J195" s="1">
        <v>1.5</v>
      </c>
      <c r="K195" s="1" t="s">
        <v>542</v>
      </c>
      <c r="L195" s="1" t="s">
        <v>36</v>
      </c>
      <c r="M195" s="1">
        <v>0.55000000000000004</v>
      </c>
      <c r="N195" s="1" t="s">
        <v>543</v>
      </c>
      <c r="O195" s="1" t="s">
        <v>38</v>
      </c>
      <c r="P195" s="1" t="s">
        <v>39</v>
      </c>
      <c r="Q195" s="1" t="s">
        <v>544</v>
      </c>
      <c r="R195" s="1" t="s">
        <v>545</v>
      </c>
      <c r="S195" s="1" t="s">
        <v>42</v>
      </c>
      <c r="T195" s="1">
        <v>1522.51</v>
      </c>
      <c r="U195" s="1" t="s">
        <v>43</v>
      </c>
      <c r="V195" s="1" t="s">
        <v>30</v>
      </c>
      <c r="W195" s="1" t="s">
        <v>39</v>
      </c>
      <c r="X195" s="1" t="s">
        <v>30</v>
      </c>
      <c r="Y195" s="1" t="s">
        <v>39</v>
      </c>
      <c r="Z195" s="1" t="s">
        <v>44</v>
      </c>
    </row>
    <row r="196" spans="1:26" ht="15.75" x14ac:dyDescent="0.25">
      <c r="A196" s="1" t="s">
        <v>26</v>
      </c>
      <c r="B196" s="1" t="s">
        <v>27</v>
      </c>
      <c r="C196" s="1" t="s">
        <v>466</v>
      </c>
      <c r="D196" s="1" t="s">
        <v>546</v>
      </c>
      <c r="E196" s="1" t="s">
        <v>30</v>
      </c>
      <c r="F196" s="1" t="s">
        <v>541</v>
      </c>
      <c r="G196" s="1" t="s">
        <v>54</v>
      </c>
      <c r="H196" s="1" t="s">
        <v>90</v>
      </c>
      <c r="I196" s="1" t="s">
        <v>50</v>
      </c>
      <c r="J196" s="1">
        <v>16.34</v>
      </c>
      <c r="K196" s="1" t="s">
        <v>542</v>
      </c>
      <c r="L196" s="1" t="s">
        <v>36</v>
      </c>
      <c r="M196" s="1">
        <v>6.05</v>
      </c>
      <c r="N196" s="1" t="s">
        <v>543</v>
      </c>
      <c r="O196" s="1" t="s">
        <v>38</v>
      </c>
      <c r="P196" s="1" t="s">
        <v>39</v>
      </c>
      <c r="Q196" s="1" t="s">
        <v>544</v>
      </c>
      <c r="R196" s="1" t="s">
        <v>545</v>
      </c>
      <c r="S196" s="1" t="s">
        <v>42</v>
      </c>
      <c r="T196" s="1">
        <v>1522.51</v>
      </c>
      <c r="U196" s="1" t="s">
        <v>43</v>
      </c>
      <c r="V196" s="1" t="s">
        <v>30</v>
      </c>
      <c r="W196" s="1" t="s">
        <v>39</v>
      </c>
      <c r="X196" s="1" t="s">
        <v>30</v>
      </c>
      <c r="Y196" s="1" t="s">
        <v>39</v>
      </c>
      <c r="Z196" s="1" t="s">
        <v>44</v>
      </c>
    </row>
    <row r="197" spans="1:26" ht="15.75" x14ac:dyDescent="0.25">
      <c r="A197" s="1" t="s">
        <v>26</v>
      </c>
      <c r="B197" s="1" t="s">
        <v>27</v>
      </c>
      <c r="C197" s="1" t="s">
        <v>466</v>
      </c>
      <c r="D197" s="1" t="s">
        <v>547</v>
      </c>
      <c r="E197" s="1" t="s">
        <v>30</v>
      </c>
      <c r="F197" s="1" t="s">
        <v>548</v>
      </c>
      <c r="G197" s="1" t="s">
        <v>32</v>
      </c>
      <c r="H197" s="1" t="s">
        <v>49</v>
      </c>
      <c r="I197" s="1" t="s">
        <v>50</v>
      </c>
      <c r="J197" s="1">
        <v>45.29</v>
      </c>
      <c r="K197" s="1" t="s">
        <v>549</v>
      </c>
      <c r="L197" s="1" t="s">
        <v>36</v>
      </c>
      <c r="M197" s="1">
        <v>16.760000000000002</v>
      </c>
      <c r="N197" s="1" t="s">
        <v>254</v>
      </c>
      <c r="O197" s="1" t="s">
        <v>38</v>
      </c>
      <c r="P197" s="1" t="s">
        <v>39</v>
      </c>
      <c r="Q197" s="1" t="s">
        <v>255</v>
      </c>
      <c r="R197" s="1" t="s">
        <v>550</v>
      </c>
      <c r="S197" s="1" t="s">
        <v>42</v>
      </c>
      <c r="T197" s="1">
        <v>1522.51</v>
      </c>
      <c r="U197" s="1" t="s">
        <v>43</v>
      </c>
      <c r="V197" s="1" t="s">
        <v>30</v>
      </c>
      <c r="W197" s="1" t="s">
        <v>39</v>
      </c>
      <c r="X197" s="1" t="s">
        <v>30</v>
      </c>
      <c r="Y197" s="1" t="s">
        <v>39</v>
      </c>
      <c r="Z197" s="1" t="s">
        <v>44</v>
      </c>
    </row>
    <row r="198" spans="1:26" ht="15.75" x14ac:dyDescent="0.25">
      <c r="A198" s="1" t="s">
        <v>26</v>
      </c>
      <c r="B198" s="1" t="s">
        <v>27</v>
      </c>
      <c r="C198" s="1" t="s">
        <v>466</v>
      </c>
      <c r="D198" s="1" t="s">
        <v>551</v>
      </c>
      <c r="E198" s="1" t="s">
        <v>30</v>
      </c>
      <c r="F198" s="1" t="s">
        <v>548</v>
      </c>
      <c r="G198" s="1" t="s">
        <v>54</v>
      </c>
      <c r="H198" s="1" t="s">
        <v>49</v>
      </c>
      <c r="I198" s="1" t="s">
        <v>50</v>
      </c>
      <c r="J198" s="1">
        <v>10.67</v>
      </c>
      <c r="K198" s="1" t="s">
        <v>549</v>
      </c>
      <c r="L198" s="1" t="s">
        <v>36</v>
      </c>
      <c r="M198" s="1">
        <v>3.95</v>
      </c>
      <c r="N198" s="1" t="s">
        <v>254</v>
      </c>
      <c r="O198" s="1" t="s">
        <v>38</v>
      </c>
      <c r="P198" s="1" t="s">
        <v>39</v>
      </c>
      <c r="Q198" s="1" t="s">
        <v>255</v>
      </c>
      <c r="R198" s="1" t="s">
        <v>550</v>
      </c>
      <c r="S198" s="1" t="s">
        <v>42</v>
      </c>
      <c r="T198" s="1">
        <v>1522.51</v>
      </c>
      <c r="U198" s="1" t="s">
        <v>43</v>
      </c>
      <c r="V198" s="1" t="s">
        <v>30</v>
      </c>
      <c r="W198" s="1" t="s">
        <v>39</v>
      </c>
      <c r="X198" s="1" t="s">
        <v>30</v>
      </c>
      <c r="Y198" s="1" t="s">
        <v>39</v>
      </c>
      <c r="Z198" s="1" t="s">
        <v>44</v>
      </c>
    </row>
    <row r="199" spans="1:26" ht="15.75" x14ac:dyDescent="0.25">
      <c r="A199" s="1" t="s">
        <v>26</v>
      </c>
      <c r="B199" s="1" t="s">
        <v>27</v>
      </c>
      <c r="C199" s="1" t="s">
        <v>552</v>
      </c>
      <c r="D199" s="1" t="s">
        <v>553</v>
      </c>
      <c r="E199" s="1" t="s">
        <v>30</v>
      </c>
      <c r="F199" s="1" t="s">
        <v>554</v>
      </c>
      <c r="G199" s="1" t="s">
        <v>32</v>
      </c>
      <c r="H199" s="1" t="s">
        <v>137</v>
      </c>
      <c r="I199" s="1" t="s">
        <v>220</v>
      </c>
      <c r="J199" s="1">
        <v>58.15</v>
      </c>
      <c r="K199" s="1" t="s">
        <v>555</v>
      </c>
      <c r="L199" s="1" t="s">
        <v>36</v>
      </c>
      <c r="M199" s="1">
        <v>21.52</v>
      </c>
      <c r="N199" s="1" t="s">
        <v>333</v>
      </c>
      <c r="O199" s="1" t="s">
        <v>38</v>
      </c>
      <c r="P199" s="1" t="s">
        <v>39</v>
      </c>
      <c r="Q199" s="1" t="s">
        <v>334</v>
      </c>
      <c r="R199" s="1" t="s">
        <v>556</v>
      </c>
      <c r="S199" s="1" t="s">
        <v>42</v>
      </c>
      <c r="T199" s="1">
        <v>1522.51</v>
      </c>
      <c r="U199" s="1" t="s">
        <v>43</v>
      </c>
      <c r="V199" s="1" t="s">
        <v>30</v>
      </c>
      <c r="W199" s="1" t="s">
        <v>39</v>
      </c>
      <c r="X199" s="1" t="s">
        <v>30</v>
      </c>
      <c r="Y199" s="1" t="s">
        <v>39</v>
      </c>
      <c r="Z199" s="1" t="s">
        <v>44</v>
      </c>
    </row>
    <row r="200" spans="1:26" ht="15.75" x14ac:dyDescent="0.25">
      <c r="A200" s="1" t="s">
        <v>26</v>
      </c>
      <c r="B200" s="1" t="s">
        <v>27</v>
      </c>
      <c r="C200" s="1" t="s">
        <v>552</v>
      </c>
      <c r="D200" s="1" t="s">
        <v>553</v>
      </c>
      <c r="E200" s="1" t="s">
        <v>30</v>
      </c>
      <c r="F200" s="1" t="s">
        <v>554</v>
      </c>
      <c r="G200" s="1" t="s">
        <v>45</v>
      </c>
      <c r="H200" s="1" t="s">
        <v>137</v>
      </c>
      <c r="I200" s="1" t="s">
        <v>220</v>
      </c>
      <c r="J200" s="1">
        <v>1.5</v>
      </c>
      <c r="K200" s="1" t="s">
        <v>555</v>
      </c>
      <c r="L200" s="1" t="s">
        <v>36</v>
      </c>
      <c r="M200" s="1">
        <v>0.55000000000000004</v>
      </c>
      <c r="N200" s="1" t="s">
        <v>333</v>
      </c>
      <c r="O200" s="1" t="s">
        <v>38</v>
      </c>
      <c r="P200" s="1" t="s">
        <v>39</v>
      </c>
      <c r="Q200" s="1" t="s">
        <v>334</v>
      </c>
      <c r="R200" s="1" t="s">
        <v>556</v>
      </c>
      <c r="S200" s="1" t="s">
        <v>42</v>
      </c>
      <c r="T200" s="1">
        <v>1522.51</v>
      </c>
      <c r="U200" s="1" t="s">
        <v>43</v>
      </c>
      <c r="V200" s="1" t="s">
        <v>30</v>
      </c>
      <c r="W200" s="1" t="s">
        <v>39</v>
      </c>
      <c r="X200" s="1" t="s">
        <v>30</v>
      </c>
      <c r="Y200" s="1" t="s">
        <v>39</v>
      </c>
      <c r="Z200" s="1" t="s">
        <v>44</v>
      </c>
    </row>
    <row r="201" spans="1:26" ht="15.75" x14ac:dyDescent="0.25">
      <c r="A201" s="1" t="s">
        <v>26</v>
      </c>
      <c r="B201" s="1" t="s">
        <v>27</v>
      </c>
      <c r="C201" s="1" t="s">
        <v>552</v>
      </c>
      <c r="D201" s="1" t="s">
        <v>557</v>
      </c>
      <c r="E201" s="1" t="s">
        <v>30</v>
      </c>
      <c r="F201" s="1" t="s">
        <v>558</v>
      </c>
      <c r="G201" s="1" t="s">
        <v>32</v>
      </c>
      <c r="H201" s="1" t="s">
        <v>90</v>
      </c>
      <c r="I201" s="1" t="s">
        <v>50</v>
      </c>
      <c r="J201" s="1">
        <v>36.29</v>
      </c>
      <c r="K201" s="1" t="s">
        <v>559</v>
      </c>
      <c r="L201" s="1" t="s">
        <v>36</v>
      </c>
      <c r="M201" s="1">
        <v>13.43</v>
      </c>
      <c r="N201" s="1" t="s">
        <v>74</v>
      </c>
      <c r="O201" s="1" t="s">
        <v>38</v>
      </c>
      <c r="P201" s="1" t="s">
        <v>39</v>
      </c>
      <c r="Q201" s="1" t="s">
        <v>75</v>
      </c>
      <c r="R201" s="1" t="s">
        <v>560</v>
      </c>
      <c r="S201" s="1" t="s">
        <v>42</v>
      </c>
      <c r="T201" s="1">
        <v>1522.51</v>
      </c>
      <c r="U201" s="1" t="s">
        <v>43</v>
      </c>
      <c r="V201" s="1" t="s">
        <v>30</v>
      </c>
      <c r="W201" s="1" t="s">
        <v>39</v>
      </c>
      <c r="X201" s="1" t="s">
        <v>30</v>
      </c>
      <c r="Y201" s="1" t="s">
        <v>39</v>
      </c>
      <c r="Z201" s="1" t="s">
        <v>44</v>
      </c>
    </row>
    <row r="202" spans="1:26" ht="15.75" x14ac:dyDescent="0.25">
      <c r="A202" s="1" t="s">
        <v>26</v>
      </c>
      <c r="B202" s="1" t="s">
        <v>27</v>
      </c>
      <c r="C202" s="1" t="s">
        <v>552</v>
      </c>
      <c r="D202" s="1" t="s">
        <v>557</v>
      </c>
      <c r="E202" s="1" t="s">
        <v>30</v>
      </c>
      <c r="F202" s="1" t="s">
        <v>558</v>
      </c>
      <c r="G202" s="1" t="s">
        <v>45</v>
      </c>
      <c r="H202" s="1" t="s">
        <v>90</v>
      </c>
      <c r="I202" s="1" t="s">
        <v>50</v>
      </c>
      <c r="J202" s="1">
        <v>1.5</v>
      </c>
      <c r="K202" s="1" t="s">
        <v>559</v>
      </c>
      <c r="L202" s="1" t="s">
        <v>36</v>
      </c>
      <c r="M202" s="1">
        <v>0.55000000000000004</v>
      </c>
      <c r="N202" s="1" t="s">
        <v>74</v>
      </c>
      <c r="O202" s="1" t="s">
        <v>38</v>
      </c>
      <c r="P202" s="1" t="s">
        <v>39</v>
      </c>
      <c r="Q202" s="1" t="s">
        <v>75</v>
      </c>
      <c r="R202" s="1" t="s">
        <v>560</v>
      </c>
      <c r="S202" s="1" t="s">
        <v>42</v>
      </c>
      <c r="T202" s="1">
        <v>1522.51</v>
      </c>
      <c r="U202" s="1" t="s">
        <v>43</v>
      </c>
      <c r="V202" s="1" t="s">
        <v>30</v>
      </c>
      <c r="W202" s="1" t="s">
        <v>39</v>
      </c>
      <c r="X202" s="1" t="s">
        <v>30</v>
      </c>
      <c r="Y202" s="1" t="s">
        <v>39</v>
      </c>
      <c r="Z202" s="1" t="s">
        <v>44</v>
      </c>
    </row>
    <row r="203" spans="1:26" ht="15.75" x14ac:dyDescent="0.25">
      <c r="A203" s="1" t="s">
        <v>26</v>
      </c>
      <c r="B203" s="1" t="s">
        <v>27</v>
      </c>
      <c r="C203" s="1" t="s">
        <v>552</v>
      </c>
      <c r="D203" s="1" t="s">
        <v>561</v>
      </c>
      <c r="E203" s="1" t="s">
        <v>30</v>
      </c>
      <c r="F203" s="1" t="s">
        <v>558</v>
      </c>
      <c r="G203" s="1" t="s">
        <v>54</v>
      </c>
      <c r="H203" s="1" t="s">
        <v>90</v>
      </c>
      <c r="I203" s="1" t="s">
        <v>50</v>
      </c>
      <c r="J203" s="1">
        <v>16.34</v>
      </c>
      <c r="K203" s="1" t="s">
        <v>559</v>
      </c>
      <c r="L203" s="1" t="s">
        <v>36</v>
      </c>
      <c r="M203" s="1">
        <v>6.05</v>
      </c>
      <c r="N203" s="1" t="s">
        <v>74</v>
      </c>
      <c r="O203" s="1" t="s">
        <v>38</v>
      </c>
      <c r="P203" s="1" t="s">
        <v>39</v>
      </c>
      <c r="Q203" s="1" t="s">
        <v>75</v>
      </c>
      <c r="R203" s="1" t="s">
        <v>560</v>
      </c>
      <c r="S203" s="1" t="s">
        <v>42</v>
      </c>
      <c r="T203" s="1">
        <v>1522.51</v>
      </c>
      <c r="U203" s="1" t="s">
        <v>43</v>
      </c>
      <c r="V203" s="1" t="s">
        <v>30</v>
      </c>
      <c r="W203" s="1" t="s">
        <v>39</v>
      </c>
      <c r="X203" s="1" t="s">
        <v>30</v>
      </c>
      <c r="Y203" s="1" t="s">
        <v>39</v>
      </c>
      <c r="Z203" s="1" t="s">
        <v>44</v>
      </c>
    </row>
    <row r="204" spans="1:26" ht="15.75" x14ac:dyDescent="0.25">
      <c r="A204" s="1" t="s">
        <v>26</v>
      </c>
      <c r="B204" s="1" t="s">
        <v>27</v>
      </c>
      <c r="C204" s="1" t="s">
        <v>552</v>
      </c>
      <c r="D204" s="1" t="s">
        <v>562</v>
      </c>
      <c r="E204" s="1" t="s">
        <v>30</v>
      </c>
      <c r="F204" s="1" t="s">
        <v>563</v>
      </c>
      <c r="G204" s="1" t="s">
        <v>32</v>
      </c>
      <c r="H204" s="1" t="s">
        <v>90</v>
      </c>
      <c r="I204" s="1" t="s">
        <v>50</v>
      </c>
      <c r="J204" s="1">
        <v>17.559999999999999</v>
      </c>
      <c r="K204" s="1" t="s">
        <v>559</v>
      </c>
      <c r="L204" s="1" t="s">
        <v>36</v>
      </c>
      <c r="M204" s="1">
        <v>6.5</v>
      </c>
      <c r="N204" s="1" t="s">
        <v>294</v>
      </c>
      <c r="O204" s="1" t="s">
        <v>38</v>
      </c>
      <c r="P204" s="1" t="s">
        <v>39</v>
      </c>
      <c r="Q204" s="1" t="s">
        <v>295</v>
      </c>
      <c r="R204" s="1" t="s">
        <v>564</v>
      </c>
      <c r="S204" s="1" t="s">
        <v>42</v>
      </c>
      <c r="T204" s="1">
        <v>1522.51</v>
      </c>
      <c r="U204" s="1" t="s">
        <v>43</v>
      </c>
      <c r="V204" s="1" t="s">
        <v>30</v>
      </c>
      <c r="W204" s="1" t="s">
        <v>39</v>
      </c>
      <c r="X204" s="1" t="s">
        <v>30</v>
      </c>
      <c r="Y204" s="1" t="s">
        <v>39</v>
      </c>
      <c r="Z204" s="1" t="s">
        <v>44</v>
      </c>
    </row>
    <row r="205" spans="1:26" ht="15.75" x14ac:dyDescent="0.25">
      <c r="A205" s="1" t="s">
        <v>26</v>
      </c>
      <c r="B205" s="1" t="s">
        <v>27</v>
      </c>
      <c r="C205" s="1" t="s">
        <v>552</v>
      </c>
      <c r="D205" s="1" t="s">
        <v>565</v>
      </c>
      <c r="E205" s="1" t="s">
        <v>30</v>
      </c>
      <c r="F205" s="1" t="s">
        <v>563</v>
      </c>
      <c r="G205" s="1" t="s">
        <v>54</v>
      </c>
      <c r="H205" s="1" t="s">
        <v>90</v>
      </c>
      <c r="I205" s="1" t="s">
        <v>50</v>
      </c>
      <c r="J205" s="1">
        <v>10.67</v>
      </c>
      <c r="K205" s="1" t="s">
        <v>559</v>
      </c>
      <c r="L205" s="1" t="s">
        <v>36</v>
      </c>
      <c r="M205" s="1">
        <v>3.95</v>
      </c>
      <c r="N205" s="1" t="s">
        <v>294</v>
      </c>
      <c r="O205" s="1" t="s">
        <v>38</v>
      </c>
      <c r="P205" s="1" t="s">
        <v>39</v>
      </c>
      <c r="Q205" s="1" t="s">
        <v>295</v>
      </c>
      <c r="R205" s="1" t="s">
        <v>564</v>
      </c>
      <c r="S205" s="1" t="s">
        <v>42</v>
      </c>
      <c r="T205" s="1">
        <v>1522.51</v>
      </c>
      <c r="U205" s="1" t="s">
        <v>43</v>
      </c>
      <c r="V205" s="1" t="s">
        <v>30</v>
      </c>
      <c r="W205" s="1" t="s">
        <v>39</v>
      </c>
      <c r="X205" s="1" t="s">
        <v>30</v>
      </c>
      <c r="Y205" s="1" t="s">
        <v>39</v>
      </c>
      <c r="Z205" s="1" t="s">
        <v>44</v>
      </c>
    </row>
    <row r="206" spans="1:26" ht="15.75" x14ac:dyDescent="0.25">
      <c r="A206" s="1" t="s">
        <v>26</v>
      </c>
      <c r="B206" s="1" t="s">
        <v>27</v>
      </c>
      <c r="C206" s="1" t="s">
        <v>552</v>
      </c>
      <c r="D206" s="1" t="s">
        <v>566</v>
      </c>
      <c r="E206" s="1" t="s">
        <v>30</v>
      </c>
      <c r="F206" s="1" t="s">
        <v>567</v>
      </c>
      <c r="G206" s="1" t="s">
        <v>32</v>
      </c>
      <c r="H206" s="1" t="s">
        <v>58</v>
      </c>
      <c r="I206" s="1" t="s">
        <v>50</v>
      </c>
      <c r="J206" s="1">
        <v>36.29</v>
      </c>
      <c r="K206" s="1" t="s">
        <v>568</v>
      </c>
      <c r="L206" s="1" t="s">
        <v>36</v>
      </c>
      <c r="M206" s="1">
        <v>13.43</v>
      </c>
      <c r="N206" s="1" t="s">
        <v>74</v>
      </c>
      <c r="O206" s="1" t="s">
        <v>38</v>
      </c>
      <c r="P206" s="1" t="s">
        <v>39</v>
      </c>
      <c r="Q206" s="1" t="s">
        <v>75</v>
      </c>
      <c r="R206" s="1" t="s">
        <v>569</v>
      </c>
      <c r="S206" s="1" t="s">
        <v>42</v>
      </c>
      <c r="T206" s="1">
        <v>1522.51</v>
      </c>
      <c r="U206" s="1" t="s">
        <v>43</v>
      </c>
      <c r="V206" s="1" t="s">
        <v>30</v>
      </c>
      <c r="W206" s="1" t="s">
        <v>39</v>
      </c>
      <c r="X206" s="1" t="s">
        <v>30</v>
      </c>
      <c r="Y206" s="1" t="s">
        <v>39</v>
      </c>
      <c r="Z206" s="1" t="s">
        <v>44</v>
      </c>
    </row>
    <row r="207" spans="1:26" ht="15.75" x14ac:dyDescent="0.25">
      <c r="A207" s="1" t="s">
        <v>26</v>
      </c>
      <c r="B207" s="1" t="s">
        <v>27</v>
      </c>
      <c r="C207" s="1" t="s">
        <v>552</v>
      </c>
      <c r="D207" s="1" t="s">
        <v>566</v>
      </c>
      <c r="E207" s="1" t="s">
        <v>30</v>
      </c>
      <c r="F207" s="1" t="s">
        <v>567</v>
      </c>
      <c r="G207" s="1" t="s">
        <v>45</v>
      </c>
      <c r="H207" s="1" t="s">
        <v>58</v>
      </c>
      <c r="I207" s="1" t="s">
        <v>50</v>
      </c>
      <c r="J207" s="1">
        <v>1.5</v>
      </c>
      <c r="K207" s="1" t="s">
        <v>568</v>
      </c>
      <c r="L207" s="1" t="s">
        <v>36</v>
      </c>
      <c r="M207" s="1">
        <v>0.55000000000000004</v>
      </c>
      <c r="N207" s="1" t="s">
        <v>74</v>
      </c>
      <c r="O207" s="1" t="s">
        <v>38</v>
      </c>
      <c r="P207" s="1" t="s">
        <v>39</v>
      </c>
      <c r="Q207" s="1" t="s">
        <v>75</v>
      </c>
      <c r="R207" s="1" t="s">
        <v>569</v>
      </c>
      <c r="S207" s="1" t="s">
        <v>42</v>
      </c>
      <c r="T207" s="1">
        <v>1522.51</v>
      </c>
      <c r="U207" s="1" t="s">
        <v>43</v>
      </c>
      <c r="V207" s="1" t="s">
        <v>30</v>
      </c>
      <c r="W207" s="1" t="s">
        <v>39</v>
      </c>
      <c r="X207" s="1" t="s">
        <v>30</v>
      </c>
      <c r="Y207" s="1" t="s">
        <v>39</v>
      </c>
      <c r="Z207" s="1" t="s">
        <v>44</v>
      </c>
    </row>
    <row r="208" spans="1:26" ht="15.75" x14ac:dyDescent="0.25">
      <c r="A208" s="1" t="s">
        <v>26</v>
      </c>
      <c r="B208" s="1" t="s">
        <v>27</v>
      </c>
      <c r="C208" s="1" t="s">
        <v>552</v>
      </c>
      <c r="D208" s="1" t="s">
        <v>570</v>
      </c>
      <c r="E208" s="1" t="s">
        <v>30</v>
      </c>
      <c r="F208" s="1" t="s">
        <v>567</v>
      </c>
      <c r="G208" s="1" t="s">
        <v>54</v>
      </c>
      <c r="H208" s="1" t="s">
        <v>58</v>
      </c>
      <c r="I208" s="1" t="s">
        <v>50</v>
      </c>
      <c r="J208" s="1">
        <v>10.67</v>
      </c>
      <c r="K208" s="1" t="s">
        <v>568</v>
      </c>
      <c r="L208" s="1" t="s">
        <v>36</v>
      </c>
      <c r="M208" s="1">
        <v>3.95</v>
      </c>
      <c r="N208" s="1" t="s">
        <v>74</v>
      </c>
      <c r="O208" s="1" t="s">
        <v>38</v>
      </c>
      <c r="P208" s="1" t="s">
        <v>39</v>
      </c>
      <c r="Q208" s="1" t="s">
        <v>75</v>
      </c>
      <c r="R208" s="1" t="s">
        <v>569</v>
      </c>
      <c r="S208" s="1" t="s">
        <v>42</v>
      </c>
      <c r="T208" s="1">
        <v>1522.51</v>
      </c>
      <c r="U208" s="1" t="s">
        <v>43</v>
      </c>
      <c r="V208" s="1" t="s">
        <v>30</v>
      </c>
      <c r="W208" s="1" t="s">
        <v>39</v>
      </c>
      <c r="X208" s="1" t="s">
        <v>30</v>
      </c>
      <c r="Y208" s="1" t="s">
        <v>39</v>
      </c>
      <c r="Z208" s="1" t="s">
        <v>44</v>
      </c>
    </row>
    <row r="209" spans="1:26" ht="15.75" x14ac:dyDescent="0.25">
      <c r="A209" s="1" t="s">
        <v>26</v>
      </c>
      <c r="B209" s="1" t="s">
        <v>27</v>
      </c>
      <c r="C209" s="1" t="s">
        <v>552</v>
      </c>
      <c r="D209" s="1" t="s">
        <v>571</v>
      </c>
      <c r="E209" s="1" t="s">
        <v>30</v>
      </c>
      <c r="F209" s="1" t="s">
        <v>572</v>
      </c>
      <c r="G209" s="1" t="s">
        <v>32</v>
      </c>
      <c r="H209" s="1" t="s">
        <v>33</v>
      </c>
      <c r="I209" s="1" t="s">
        <v>34</v>
      </c>
      <c r="J209" s="1">
        <v>40.729999999999997</v>
      </c>
      <c r="K209" s="1" t="s">
        <v>573</v>
      </c>
      <c r="L209" s="1" t="s">
        <v>36</v>
      </c>
      <c r="M209" s="1">
        <v>15.07</v>
      </c>
      <c r="N209" s="1" t="s">
        <v>267</v>
      </c>
      <c r="O209" s="1" t="s">
        <v>38</v>
      </c>
      <c r="P209" s="1" t="s">
        <v>39</v>
      </c>
      <c r="Q209" s="1" t="s">
        <v>268</v>
      </c>
      <c r="R209" s="1" t="s">
        <v>574</v>
      </c>
      <c r="S209" s="1" t="s">
        <v>42</v>
      </c>
      <c r="T209" s="1">
        <v>1522.51</v>
      </c>
      <c r="U209" s="1" t="s">
        <v>43</v>
      </c>
      <c r="V209" s="1" t="s">
        <v>30</v>
      </c>
      <c r="W209" s="1" t="s">
        <v>39</v>
      </c>
      <c r="X209" s="1" t="s">
        <v>30</v>
      </c>
      <c r="Y209" s="1" t="s">
        <v>39</v>
      </c>
      <c r="Z209" s="1" t="s">
        <v>44</v>
      </c>
    </row>
    <row r="210" spans="1:26" ht="15.75" x14ac:dyDescent="0.25">
      <c r="A210" s="1" t="s">
        <v>26</v>
      </c>
      <c r="B210" s="1" t="s">
        <v>27</v>
      </c>
      <c r="C210" s="1" t="s">
        <v>552</v>
      </c>
      <c r="D210" s="1" t="s">
        <v>575</v>
      </c>
      <c r="E210" s="1" t="s">
        <v>30</v>
      </c>
      <c r="F210" s="1" t="s">
        <v>576</v>
      </c>
      <c r="G210" s="1" t="s">
        <v>32</v>
      </c>
      <c r="H210" s="1" t="s">
        <v>33</v>
      </c>
      <c r="I210" s="1" t="s">
        <v>34</v>
      </c>
      <c r="J210" s="1">
        <v>37.03</v>
      </c>
      <c r="K210" s="1" t="s">
        <v>573</v>
      </c>
      <c r="L210" s="1" t="s">
        <v>36</v>
      </c>
      <c r="M210" s="1">
        <v>13.7</v>
      </c>
      <c r="N210" s="1" t="s">
        <v>577</v>
      </c>
      <c r="O210" s="1" t="s">
        <v>38</v>
      </c>
      <c r="P210" s="1" t="s">
        <v>39</v>
      </c>
      <c r="Q210" s="1" t="s">
        <v>578</v>
      </c>
      <c r="R210" s="1" t="s">
        <v>579</v>
      </c>
      <c r="S210" s="1" t="s">
        <v>42</v>
      </c>
      <c r="T210" s="1">
        <v>1522.51</v>
      </c>
      <c r="U210" s="1" t="s">
        <v>43</v>
      </c>
      <c r="V210" s="1" t="s">
        <v>30</v>
      </c>
      <c r="W210" s="1" t="s">
        <v>39</v>
      </c>
      <c r="X210" s="1" t="s">
        <v>30</v>
      </c>
      <c r="Y210" s="1" t="s">
        <v>39</v>
      </c>
      <c r="Z210" s="1" t="s">
        <v>44</v>
      </c>
    </row>
    <row r="211" spans="1:26" ht="15.75" x14ac:dyDescent="0.25">
      <c r="A211" s="1" t="s">
        <v>26</v>
      </c>
      <c r="B211" s="1" t="s">
        <v>27</v>
      </c>
      <c r="C211" s="1" t="s">
        <v>552</v>
      </c>
      <c r="D211" s="1" t="s">
        <v>580</v>
      </c>
      <c r="E211" s="1" t="s">
        <v>30</v>
      </c>
      <c r="F211" s="1" t="s">
        <v>581</v>
      </c>
      <c r="G211" s="1" t="s">
        <v>32</v>
      </c>
      <c r="H211" s="1" t="s">
        <v>137</v>
      </c>
      <c r="I211" s="1" t="s">
        <v>220</v>
      </c>
      <c r="J211" s="1">
        <v>36.29</v>
      </c>
      <c r="K211" s="1" t="s">
        <v>582</v>
      </c>
      <c r="L211" s="1" t="s">
        <v>36</v>
      </c>
      <c r="M211" s="1">
        <v>0</v>
      </c>
      <c r="N211" s="1" t="s">
        <v>66</v>
      </c>
      <c r="O211" s="1" t="s">
        <v>38</v>
      </c>
      <c r="P211" s="1" t="s">
        <v>470</v>
      </c>
      <c r="Q211" s="1" t="s">
        <v>68</v>
      </c>
      <c r="R211" s="1" t="s">
        <v>583</v>
      </c>
      <c r="S211" s="1" t="s">
        <v>42</v>
      </c>
      <c r="T211" s="1">
        <v>1522.51</v>
      </c>
      <c r="U211" s="1" t="s">
        <v>43</v>
      </c>
      <c r="V211" s="1" t="s">
        <v>30</v>
      </c>
      <c r="W211" s="1" t="s">
        <v>39</v>
      </c>
      <c r="X211" s="1" t="s">
        <v>30</v>
      </c>
      <c r="Y211" s="1" t="s">
        <v>39</v>
      </c>
      <c r="Z211" s="1" t="s">
        <v>44</v>
      </c>
    </row>
    <row r="212" spans="1:26" ht="15.75" x14ac:dyDescent="0.25">
      <c r="A212" s="1" t="s">
        <v>26</v>
      </c>
      <c r="B212" s="1" t="s">
        <v>27</v>
      </c>
      <c r="C212" s="1" t="s">
        <v>552</v>
      </c>
      <c r="D212" s="1" t="s">
        <v>580</v>
      </c>
      <c r="E212" s="1" t="s">
        <v>30</v>
      </c>
      <c r="F212" s="1" t="s">
        <v>581</v>
      </c>
      <c r="G212" s="1" t="s">
        <v>45</v>
      </c>
      <c r="H212" s="1" t="s">
        <v>137</v>
      </c>
      <c r="I212" s="1" t="s">
        <v>220</v>
      </c>
      <c r="J212" s="1">
        <v>1.5</v>
      </c>
      <c r="K212" s="1" t="s">
        <v>582</v>
      </c>
      <c r="L212" s="1" t="s">
        <v>36</v>
      </c>
      <c r="M212" s="1">
        <v>0</v>
      </c>
      <c r="N212" s="1" t="s">
        <v>66</v>
      </c>
      <c r="O212" s="1" t="s">
        <v>38</v>
      </c>
      <c r="P212" s="1" t="s">
        <v>472</v>
      </c>
      <c r="Q212" s="1" t="s">
        <v>68</v>
      </c>
      <c r="R212" s="1" t="s">
        <v>583</v>
      </c>
      <c r="S212" s="1" t="s">
        <v>42</v>
      </c>
      <c r="T212" s="1">
        <v>1522.51</v>
      </c>
      <c r="U212" s="1" t="s">
        <v>43</v>
      </c>
      <c r="V212" s="1" t="s">
        <v>30</v>
      </c>
      <c r="W212" s="1" t="s">
        <v>39</v>
      </c>
      <c r="X212" s="1" t="s">
        <v>30</v>
      </c>
      <c r="Y212" s="1" t="s">
        <v>39</v>
      </c>
      <c r="Z212" s="1" t="s">
        <v>44</v>
      </c>
    </row>
    <row r="213" spans="1:26" ht="15.75" x14ac:dyDescent="0.25">
      <c r="A213" s="1" t="s">
        <v>26</v>
      </c>
      <c r="B213" s="1" t="s">
        <v>27</v>
      </c>
      <c r="C213" s="1" t="s">
        <v>552</v>
      </c>
      <c r="D213" s="1" t="s">
        <v>584</v>
      </c>
      <c r="E213" s="1" t="s">
        <v>30</v>
      </c>
      <c r="F213" s="1" t="s">
        <v>585</v>
      </c>
      <c r="G213" s="1" t="s">
        <v>32</v>
      </c>
      <c r="H213" s="1" t="s">
        <v>90</v>
      </c>
      <c r="I213" s="1" t="s">
        <v>50</v>
      </c>
      <c r="J213" s="1">
        <v>84.7</v>
      </c>
      <c r="K213" s="1" t="s">
        <v>586</v>
      </c>
      <c r="L213" s="1" t="s">
        <v>36</v>
      </c>
      <c r="M213" s="1">
        <v>31.33</v>
      </c>
      <c r="N213" s="1" t="s">
        <v>587</v>
      </c>
      <c r="O213" s="1" t="s">
        <v>38</v>
      </c>
      <c r="P213" s="1" t="s">
        <v>39</v>
      </c>
      <c r="Q213" s="1" t="s">
        <v>588</v>
      </c>
      <c r="R213" s="1" t="s">
        <v>589</v>
      </c>
      <c r="S213" s="1" t="s">
        <v>42</v>
      </c>
      <c r="T213" s="1">
        <v>1522.51</v>
      </c>
      <c r="U213" s="1" t="s">
        <v>43</v>
      </c>
      <c r="V213" s="1" t="s">
        <v>30</v>
      </c>
      <c r="W213" s="1" t="s">
        <v>39</v>
      </c>
      <c r="X213" s="1" t="s">
        <v>30</v>
      </c>
      <c r="Y213" s="1" t="s">
        <v>39</v>
      </c>
      <c r="Z213" s="1" t="s">
        <v>44</v>
      </c>
    </row>
    <row r="214" spans="1:26" ht="15.75" x14ac:dyDescent="0.25">
      <c r="A214" s="1" t="s">
        <v>26</v>
      </c>
      <c r="B214" s="1" t="s">
        <v>27</v>
      </c>
      <c r="C214" s="1" t="s">
        <v>552</v>
      </c>
      <c r="D214" s="1" t="s">
        <v>584</v>
      </c>
      <c r="E214" s="1" t="s">
        <v>30</v>
      </c>
      <c r="F214" s="1" t="s">
        <v>585</v>
      </c>
      <c r="G214" s="1" t="s">
        <v>45</v>
      </c>
      <c r="H214" s="1" t="s">
        <v>90</v>
      </c>
      <c r="I214" s="1" t="s">
        <v>50</v>
      </c>
      <c r="J214" s="1">
        <v>2.69</v>
      </c>
      <c r="K214" s="1" t="s">
        <v>586</v>
      </c>
      <c r="L214" s="1" t="s">
        <v>36</v>
      </c>
      <c r="M214" s="1">
        <v>1</v>
      </c>
      <c r="N214" s="1" t="s">
        <v>587</v>
      </c>
      <c r="O214" s="1" t="s">
        <v>38</v>
      </c>
      <c r="P214" s="1" t="s">
        <v>39</v>
      </c>
      <c r="Q214" s="1" t="s">
        <v>588</v>
      </c>
      <c r="R214" s="1" t="s">
        <v>589</v>
      </c>
      <c r="S214" s="1" t="s">
        <v>42</v>
      </c>
      <c r="T214" s="1">
        <v>1522.51</v>
      </c>
      <c r="U214" s="1" t="s">
        <v>43</v>
      </c>
      <c r="V214" s="1" t="s">
        <v>30</v>
      </c>
      <c r="W214" s="1" t="s">
        <v>39</v>
      </c>
      <c r="X214" s="1" t="s">
        <v>30</v>
      </c>
      <c r="Y214" s="1" t="s">
        <v>39</v>
      </c>
      <c r="Z214" s="1" t="s">
        <v>44</v>
      </c>
    </row>
    <row r="215" spans="1:26" ht="15.75" x14ac:dyDescent="0.25">
      <c r="A215" s="1" t="s">
        <v>26</v>
      </c>
      <c r="B215" s="1" t="s">
        <v>27</v>
      </c>
      <c r="C215" s="1" t="s">
        <v>552</v>
      </c>
      <c r="D215" s="1" t="s">
        <v>590</v>
      </c>
      <c r="E215" s="1" t="s">
        <v>30</v>
      </c>
      <c r="F215" s="1" t="s">
        <v>591</v>
      </c>
      <c r="G215" s="1" t="s">
        <v>32</v>
      </c>
      <c r="H215" s="1" t="s">
        <v>58</v>
      </c>
      <c r="I215" s="1" t="s">
        <v>50</v>
      </c>
      <c r="J215" s="1">
        <v>37.03</v>
      </c>
      <c r="K215" s="1" t="s">
        <v>592</v>
      </c>
      <c r="L215" s="1" t="s">
        <v>36</v>
      </c>
      <c r="M215" s="1">
        <v>13.7</v>
      </c>
      <c r="N215" s="1" t="s">
        <v>267</v>
      </c>
      <c r="O215" s="1" t="s">
        <v>38</v>
      </c>
      <c r="P215" s="1" t="s">
        <v>39</v>
      </c>
      <c r="Q215" s="1" t="s">
        <v>268</v>
      </c>
      <c r="R215" s="1" t="s">
        <v>593</v>
      </c>
      <c r="S215" s="1" t="s">
        <v>42</v>
      </c>
      <c r="T215" s="1">
        <v>1522.51</v>
      </c>
      <c r="U215" s="1" t="s">
        <v>43</v>
      </c>
      <c r="V215" s="1" t="s">
        <v>30</v>
      </c>
      <c r="W215" s="1" t="s">
        <v>39</v>
      </c>
      <c r="X215" s="1" t="s">
        <v>30</v>
      </c>
      <c r="Y215" s="1" t="s">
        <v>39</v>
      </c>
      <c r="Z215" s="1" t="s">
        <v>44</v>
      </c>
    </row>
    <row r="216" spans="1:26" ht="15.75" x14ac:dyDescent="0.25">
      <c r="A216" s="1" t="s">
        <v>26</v>
      </c>
      <c r="B216" s="1" t="s">
        <v>27</v>
      </c>
      <c r="C216" s="1" t="s">
        <v>552</v>
      </c>
      <c r="D216" s="1" t="s">
        <v>594</v>
      </c>
      <c r="E216" s="1" t="s">
        <v>30</v>
      </c>
      <c r="F216" s="1" t="s">
        <v>595</v>
      </c>
      <c r="G216" s="1" t="s">
        <v>32</v>
      </c>
      <c r="H216" s="1" t="s">
        <v>50</v>
      </c>
      <c r="I216" s="1" t="s">
        <v>137</v>
      </c>
      <c r="J216" s="1">
        <v>125.94</v>
      </c>
      <c r="K216" s="1" t="s">
        <v>596</v>
      </c>
      <c r="L216" s="1" t="s">
        <v>36</v>
      </c>
      <c r="M216" s="1">
        <v>46.6</v>
      </c>
      <c r="N216" s="1" t="s">
        <v>209</v>
      </c>
      <c r="O216" s="1" t="s">
        <v>38</v>
      </c>
      <c r="P216" s="1" t="s">
        <v>39</v>
      </c>
      <c r="Q216" s="1" t="s">
        <v>210</v>
      </c>
      <c r="R216" s="1" t="s">
        <v>597</v>
      </c>
      <c r="S216" s="1" t="s">
        <v>42</v>
      </c>
      <c r="T216" s="1">
        <v>1522.51</v>
      </c>
      <c r="U216" s="1" t="s">
        <v>43</v>
      </c>
      <c r="V216" s="1" t="s">
        <v>30</v>
      </c>
      <c r="W216" s="1" t="s">
        <v>39</v>
      </c>
      <c r="X216" s="1" t="s">
        <v>30</v>
      </c>
      <c r="Y216" s="1" t="s">
        <v>39</v>
      </c>
      <c r="Z216" s="1" t="s">
        <v>44</v>
      </c>
    </row>
    <row r="217" spans="1:26" ht="15.75" x14ac:dyDescent="0.25">
      <c r="A217" s="1" t="s">
        <v>26</v>
      </c>
      <c r="B217" s="1" t="s">
        <v>27</v>
      </c>
      <c r="C217" s="1" t="s">
        <v>552</v>
      </c>
      <c r="D217" s="1" t="s">
        <v>598</v>
      </c>
      <c r="E217" s="1" t="s">
        <v>30</v>
      </c>
      <c r="F217" s="1" t="s">
        <v>599</v>
      </c>
      <c r="G217" s="1" t="s">
        <v>32</v>
      </c>
      <c r="H217" s="1" t="s">
        <v>50</v>
      </c>
      <c r="I217" s="1" t="s">
        <v>137</v>
      </c>
      <c r="J217" s="1">
        <v>38.54</v>
      </c>
      <c r="K217" s="1" t="s">
        <v>596</v>
      </c>
      <c r="L217" s="1" t="s">
        <v>36</v>
      </c>
      <c r="M217" s="1">
        <v>14.26</v>
      </c>
      <c r="N217" s="1" t="s">
        <v>267</v>
      </c>
      <c r="O217" s="1" t="s">
        <v>38</v>
      </c>
      <c r="P217" s="1" t="s">
        <v>39</v>
      </c>
      <c r="Q217" s="1" t="s">
        <v>268</v>
      </c>
      <c r="R217" s="1" t="s">
        <v>600</v>
      </c>
      <c r="S217" s="1" t="s">
        <v>42</v>
      </c>
      <c r="T217" s="1">
        <v>1522.51</v>
      </c>
      <c r="U217" s="1" t="s">
        <v>43</v>
      </c>
      <c r="V217" s="1" t="s">
        <v>30</v>
      </c>
      <c r="W217" s="1" t="s">
        <v>39</v>
      </c>
      <c r="X217" s="1" t="s">
        <v>30</v>
      </c>
      <c r="Y217" s="1" t="s">
        <v>39</v>
      </c>
      <c r="Z217" s="1" t="s">
        <v>44</v>
      </c>
    </row>
    <row r="218" spans="1:26" ht="15.75" x14ac:dyDescent="0.25">
      <c r="A218" s="1" t="s">
        <v>26</v>
      </c>
      <c r="B218" s="1" t="s">
        <v>27</v>
      </c>
      <c r="C218" s="1" t="s">
        <v>552</v>
      </c>
      <c r="D218" s="1" t="s">
        <v>598</v>
      </c>
      <c r="E218" s="1" t="s">
        <v>30</v>
      </c>
      <c r="F218" s="1" t="s">
        <v>599</v>
      </c>
      <c r="G218" s="1" t="s">
        <v>45</v>
      </c>
      <c r="H218" s="1" t="s">
        <v>50</v>
      </c>
      <c r="I218" s="1" t="s">
        <v>137</v>
      </c>
      <c r="J218" s="1">
        <v>1.5</v>
      </c>
      <c r="K218" s="1" t="s">
        <v>596</v>
      </c>
      <c r="L218" s="1" t="s">
        <v>36</v>
      </c>
      <c r="M218" s="1">
        <v>0.55000000000000004</v>
      </c>
      <c r="N218" s="1" t="s">
        <v>267</v>
      </c>
      <c r="O218" s="1" t="s">
        <v>38</v>
      </c>
      <c r="P218" s="1" t="s">
        <v>39</v>
      </c>
      <c r="Q218" s="1" t="s">
        <v>268</v>
      </c>
      <c r="R218" s="1" t="s">
        <v>600</v>
      </c>
      <c r="S218" s="1" t="s">
        <v>42</v>
      </c>
      <c r="T218" s="1">
        <v>1522.51</v>
      </c>
      <c r="U218" s="1" t="s">
        <v>43</v>
      </c>
      <c r="V218" s="1" t="s">
        <v>30</v>
      </c>
      <c r="W218" s="1" t="s">
        <v>39</v>
      </c>
      <c r="X218" s="1" t="s">
        <v>30</v>
      </c>
      <c r="Y218" s="1" t="s">
        <v>39</v>
      </c>
      <c r="Z218" s="1" t="s">
        <v>44</v>
      </c>
    </row>
    <row r="219" spans="1:26" ht="15.75" x14ac:dyDescent="0.25">
      <c r="A219" s="1" t="s">
        <v>26</v>
      </c>
      <c r="B219" s="1" t="s">
        <v>27</v>
      </c>
      <c r="C219" s="1" t="s">
        <v>552</v>
      </c>
      <c r="D219" s="1" t="s">
        <v>601</v>
      </c>
      <c r="E219" s="1" t="s">
        <v>30</v>
      </c>
      <c r="F219" s="1" t="s">
        <v>602</v>
      </c>
      <c r="G219" s="1" t="s">
        <v>32</v>
      </c>
      <c r="H219" s="1" t="s">
        <v>34</v>
      </c>
      <c r="I219" s="1" t="s">
        <v>82</v>
      </c>
      <c r="J219" s="1">
        <v>38.54</v>
      </c>
      <c r="K219" s="1" t="s">
        <v>603</v>
      </c>
      <c r="L219" s="1" t="s">
        <v>36</v>
      </c>
      <c r="M219" s="1">
        <v>14.26</v>
      </c>
      <c r="N219" s="1" t="s">
        <v>209</v>
      </c>
      <c r="O219" s="1" t="s">
        <v>38</v>
      </c>
      <c r="P219" s="1" t="s">
        <v>39</v>
      </c>
      <c r="Q219" s="1" t="s">
        <v>210</v>
      </c>
      <c r="R219" s="1" t="s">
        <v>604</v>
      </c>
      <c r="S219" s="1" t="s">
        <v>42</v>
      </c>
      <c r="T219" s="1">
        <v>1522.51</v>
      </c>
      <c r="U219" s="1" t="s">
        <v>43</v>
      </c>
      <c r="V219" s="1" t="s">
        <v>30</v>
      </c>
      <c r="W219" s="1" t="s">
        <v>39</v>
      </c>
      <c r="X219" s="1" t="s">
        <v>30</v>
      </c>
      <c r="Y219" s="1" t="s">
        <v>39</v>
      </c>
      <c r="Z219" s="1" t="s">
        <v>44</v>
      </c>
    </row>
    <row r="220" spans="1:26" ht="15.75" x14ac:dyDescent="0.25">
      <c r="A220" s="1" t="s">
        <v>26</v>
      </c>
      <c r="B220" s="1" t="s">
        <v>27</v>
      </c>
      <c r="C220" s="1" t="s">
        <v>552</v>
      </c>
      <c r="D220" s="1" t="s">
        <v>601</v>
      </c>
      <c r="E220" s="1" t="s">
        <v>30</v>
      </c>
      <c r="F220" s="1" t="s">
        <v>602</v>
      </c>
      <c r="G220" s="1" t="s">
        <v>45</v>
      </c>
      <c r="H220" s="1" t="s">
        <v>34</v>
      </c>
      <c r="I220" s="1" t="s">
        <v>82</v>
      </c>
      <c r="J220" s="1">
        <v>1.5</v>
      </c>
      <c r="K220" s="1" t="s">
        <v>603</v>
      </c>
      <c r="L220" s="1" t="s">
        <v>36</v>
      </c>
      <c r="M220" s="1">
        <v>0.55000000000000004</v>
      </c>
      <c r="N220" s="1" t="s">
        <v>209</v>
      </c>
      <c r="O220" s="1" t="s">
        <v>38</v>
      </c>
      <c r="P220" s="1" t="s">
        <v>39</v>
      </c>
      <c r="Q220" s="1" t="s">
        <v>210</v>
      </c>
      <c r="R220" s="1" t="s">
        <v>604</v>
      </c>
      <c r="S220" s="1" t="s">
        <v>42</v>
      </c>
      <c r="T220" s="1">
        <v>1522.51</v>
      </c>
      <c r="U220" s="1" t="s">
        <v>43</v>
      </c>
      <c r="V220" s="1" t="s">
        <v>30</v>
      </c>
      <c r="W220" s="1" t="s">
        <v>39</v>
      </c>
      <c r="X220" s="1" t="s">
        <v>30</v>
      </c>
      <c r="Y220" s="1" t="s">
        <v>39</v>
      </c>
      <c r="Z220" s="1" t="s">
        <v>44</v>
      </c>
    </row>
    <row r="221" spans="1:26" ht="15.75" x14ac:dyDescent="0.25">
      <c r="A221" s="1" t="s">
        <v>26</v>
      </c>
      <c r="B221" s="1" t="s">
        <v>27</v>
      </c>
      <c r="C221" s="1" t="s">
        <v>552</v>
      </c>
      <c r="D221" s="1" t="s">
        <v>605</v>
      </c>
      <c r="E221" s="1" t="s">
        <v>30</v>
      </c>
      <c r="F221" s="1" t="s">
        <v>606</v>
      </c>
      <c r="G221" s="1" t="s">
        <v>32</v>
      </c>
      <c r="H221" s="1" t="s">
        <v>34</v>
      </c>
      <c r="I221" s="1" t="s">
        <v>82</v>
      </c>
      <c r="J221" s="1">
        <v>45.29</v>
      </c>
      <c r="K221" s="1" t="s">
        <v>603</v>
      </c>
      <c r="L221" s="1" t="s">
        <v>36</v>
      </c>
      <c r="M221" s="1">
        <v>16.760000000000002</v>
      </c>
      <c r="N221" s="1" t="s">
        <v>532</v>
      </c>
      <c r="O221" s="1" t="s">
        <v>38</v>
      </c>
      <c r="P221" s="1" t="s">
        <v>39</v>
      </c>
      <c r="Q221" s="1" t="s">
        <v>533</v>
      </c>
      <c r="R221" s="1" t="s">
        <v>607</v>
      </c>
      <c r="S221" s="1" t="s">
        <v>42</v>
      </c>
      <c r="T221" s="1">
        <v>1522.51</v>
      </c>
      <c r="U221" s="1" t="s">
        <v>43</v>
      </c>
      <c r="V221" s="1" t="s">
        <v>30</v>
      </c>
      <c r="W221" s="1" t="s">
        <v>39</v>
      </c>
      <c r="X221" s="1" t="s">
        <v>30</v>
      </c>
      <c r="Y221" s="1" t="s">
        <v>39</v>
      </c>
      <c r="Z221" s="1" t="s">
        <v>44</v>
      </c>
    </row>
    <row r="222" spans="1:26" ht="15.75" x14ac:dyDescent="0.25">
      <c r="A222" s="1" t="s">
        <v>26</v>
      </c>
      <c r="B222" s="1" t="s">
        <v>27</v>
      </c>
      <c r="C222" s="1" t="s">
        <v>608</v>
      </c>
      <c r="D222" s="1" t="s">
        <v>609</v>
      </c>
      <c r="E222" s="1" t="s">
        <v>30</v>
      </c>
      <c r="F222" s="1" t="s">
        <v>610</v>
      </c>
      <c r="G222" s="1" t="s">
        <v>32</v>
      </c>
      <c r="H222" s="1" t="s">
        <v>58</v>
      </c>
      <c r="I222" s="1" t="s">
        <v>50</v>
      </c>
      <c r="J222" s="1">
        <v>107.9</v>
      </c>
      <c r="K222" s="1" t="s">
        <v>611</v>
      </c>
      <c r="L222" s="1" t="s">
        <v>36</v>
      </c>
      <c r="M222" s="1">
        <v>39.92</v>
      </c>
      <c r="N222" s="1" t="s">
        <v>122</v>
      </c>
      <c r="O222" s="1" t="s">
        <v>38</v>
      </c>
      <c r="P222" s="1" t="s">
        <v>39</v>
      </c>
      <c r="Q222" s="1" t="s">
        <v>123</v>
      </c>
      <c r="R222" s="1" t="s">
        <v>612</v>
      </c>
      <c r="S222" s="1" t="s">
        <v>42</v>
      </c>
      <c r="T222" s="1">
        <v>1522.51</v>
      </c>
      <c r="U222" s="1" t="s">
        <v>43</v>
      </c>
      <c r="V222" s="1" t="s">
        <v>30</v>
      </c>
      <c r="W222" s="1" t="s">
        <v>39</v>
      </c>
      <c r="X222" s="1" t="s">
        <v>30</v>
      </c>
      <c r="Y222" s="1" t="s">
        <v>39</v>
      </c>
      <c r="Z222" s="1" t="s">
        <v>44</v>
      </c>
    </row>
    <row r="223" spans="1:26" ht="15.75" x14ac:dyDescent="0.25">
      <c r="A223" s="1" t="s">
        <v>26</v>
      </c>
      <c r="B223" s="1" t="s">
        <v>27</v>
      </c>
      <c r="C223" s="1" t="s">
        <v>608</v>
      </c>
      <c r="D223" s="1" t="s">
        <v>613</v>
      </c>
      <c r="E223" s="1" t="s">
        <v>30</v>
      </c>
      <c r="F223" s="1" t="s">
        <v>614</v>
      </c>
      <c r="G223" s="1" t="s">
        <v>54</v>
      </c>
      <c r="H223" s="1" t="s">
        <v>49</v>
      </c>
      <c r="I223" s="1" t="s">
        <v>50</v>
      </c>
      <c r="J223" s="1">
        <v>16.34</v>
      </c>
      <c r="K223" s="1" t="s">
        <v>615</v>
      </c>
      <c r="L223" s="1" t="s">
        <v>36</v>
      </c>
      <c r="M223" s="1">
        <v>6.05</v>
      </c>
      <c r="N223" s="1" t="s">
        <v>333</v>
      </c>
      <c r="O223" s="1" t="s">
        <v>38</v>
      </c>
      <c r="P223" s="1" t="s">
        <v>39</v>
      </c>
      <c r="Q223" s="1" t="s">
        <v>334</v>
      </c>
      <c r="R223" s="1" t="s">
        <v>616</v>
      </c>
      <c r="S223" s="1" t="s">
        <v>42</v>
      </c>
      <c r="T223" s="1">
        <v>1522.51</v>
      </c>
      <c r="U223" s="1" t="s">
        <v>43</v>
      </c>
      <c r="V223" s="1" t="s">
        <v>30</v>
      </c>
      <c r="W223" s="1" t="s">
        <v>39</v>
      </c>
      <c r="X223" s="1" t="s">
        <v>30</v>
      </c>
      <c r="Y223" s="1" t="s">
        <v>39</v>
      </c>
      <c r="Z223" s="1" t="s">
        <v>44</v>
      </c>
    </row>
    <row r="224" spans="1:26" ht="15.75" x14ac:dyDescent="0.25">
      <c r="A224" s="1" t="s">
        <v>26</v>
      </c>
      <c r="B224" s="1" t="s">
        <v>27</v>
      </c>
      <c r="C224" s="1" t="s">
        <v>608</v>
      </c>
      <c r="D224" s="1" t="s">
        <v>617</v>
      </c>
      <c r="E224" s="1" t="s">
        <v>30</v>
      </c>
      <c r="F224" s="1" t="s">
        <v>618</v>
      </c>
      <c r="G224" s="1" t="s">
        <v>32</v>
      </c>
      <c r="H224" s="1" t="s">
        <v>49</v>
      </c>
      <c r="I224" s="1" t="s">
        <v>50</v>
      </c>
      <c r="J224" s="1">
        <v>48.06</v>
      </c>
      <c r="K224" s="1" t="s">
        <v>615</v>
      </c>
      <c r="L224" s="1" t="s">
        <v>36</v>
      </c>
      <c r="M224" s="1">
        <v>17.78</v>
      </c>
      <c r="N224" s="1" t="s">
        <v>209</v>
      </c>
      <c r="O224" s="1" t="s">
        <v>38</v>
      </c>
      <c r="P224" s="1" t="s">
        <v>39</v>
      </c>
      <c r="Q224" s="1" t="s">
        <v>210</v>
      </c>
      <c r="R224" s="1" t="s">
        <v>619</v>
      </c>
      <c r="S224" s="1" t="s">
        <v>42</v>
      </c>
      <c r="T224" s="1">
        <v>1522.51</v>
      </c>
      <c r="U224" s="1" t="s">
        <v>43</v>
      </c>
      <c r="V224" s="1" t="s">
        <v>30</v>
      </c>
      <c r="W224" s="1" t="s">
        <v>39</v>
      </c>
      <c r="X224" s="1" t="s">
        <v>30</v>
      </c>
      <c r="Y224" s="1" t="s">
        <v>39</v>
      </c>
      <c r="Z224" s="1" t="s">
        <v>44</v>
      </c>
    </row>
    <row r="225" spans="1:26" ht="15.75" x14ac:dyDescent="0.25">
      <c r="A225" s="1" t="s">
        <v>26</v>
      </c>
      <c r="B225" s="1" t="s">
        <v>27</v>
      </c>
      <c r="C225" s="1" t="s">
        <v>608</v>
      </c>
      <c r="D225" s="1" t="s">
        <v>617</v>
      </c>
      <c r="E225" s="1" t="s">
        <v>30</v>
      </c>
      <c r="F225" s="1" t="s">
        <v>618</v>
      </c>
      <c r="G225" s="1" t="s">
        <v>45</v>
      </c>
      <c r="H225" s="1" t="s">
        <v>49</v>
      </c>
      <c r="I225" s="1" t="s">
        <v>50</v>
      </c>
      <c r="J225" s="1">
        <v>1.5</v>
      </c>
      <c r="K225" s="1" t="s">
        <v>615</v>
      </c>
      <c r="L225" s="1" t="s">
        <v>36</v>
      </c>
      <c r="M225" s="1">
        <v>0.56000000000000005</v>
      </c>
      <c r="N225" s="1" t="s">
        <v>209</v>
      </c>
      <c r="O225" s="1" t="s">
        <v>38</v>
      </c>
      <c r="P225" s="1" t="s">
        <v>39</v>
      </c>
      <c r="Q225" s="1" t="s">
        <v>210</v>
      </c>
      <c r="R225" s="1" t="s">
        <v>619</v>
      </c>
      <c r="S225" s="1" t="s">
        <v>42</v>
      </c>
      <c r="T225" s="1">
        <v>1522.51</v>
      </c>
      <c r="U225" s="1" t="s">
        <v>43</v>
      </c>
      <c r="V225" s="1" t="s">
        <v>30</v>
      </c>
      <c r="W225" s="1" t="s">
        <v>39</v>
      </c>
      <c r="X225" s="1" t="s">
        <v>30</v>
      </c>
      <c r="Y225" s="1" t="s">
        <v>39</v>
      </c>
      <c r="Z225" s="1" t="s">
        <v>44</v>
      </c>
    </row>
    <row r="226" spans="1:26" ht="15.75" x14ac:dyDescent="0.25">
      <c r="A226" s="1" t="s">
        <v>26</v>
      </c>
      <c r="B226" s="1" t="s">
        <v>27</v>
      </c>
      <c r="C226" s="1" t="s">
        <v>608</v>
      </c>
      <c r="D226" s="1" t="s">
        <v>620</v>
      </c>
      <c r="E226" s="1" t="s">
        <v>30</v>
      </c>
      <c r="F226" s="1" t="s">
        <v>618</v>
      </c>
      <c r="G226" s="1" t="s">
        <v>54</v>
      </c>
      <c r="H226" s="1" t="s">
        <v>49</v>
      </c>
      <c r="I226" s="1" t="s">
        <v>50</v>
      </c>
      <c r="J226" s="1">
        <v>16.34</v>
      </c>
      <c r="K226" s="1" t="s">
        <v>615</v>
      </c>
      <c r="L226" s="1" t="s">
        <v>36</v>
      </c>
      <c r="M226" s="1">
        <v>6.05</v>
      </c>
      <c r="N226" s="1" t="s">
        <v>209</v>
      </c>
      <c r="O226" s="1" t="s">
        <v>38</v>
      </c>
      <c r="P226" s="1" t="s">
        <v>39</v>
      </c>
      <c r="Q226" s="1" t="s">
        <v>210</v>
      </c>
      <c r="R226" s="1" t="s">
        <v>619</v>
      </c>
      <c r="S226" s="1" t="s">
        <v>42</v>
      </c>
      <c r="T226" s="1">
        <v>1522.51</v>
      </c>
      <c r="U226" s="1" t="s">
        <v>43</v>
      </c>
      <c r="V226" s="1" t="s">
        <v>30</v>
      </c>
      <c r="W226" s="1" t="s">
        <v>39</v>
      </c>
      <c r="X226" s="1" t="s">
        <v>30</v>
      </c>
      <c r="Y226" s="1" t="s">
        <v>39</v>
      </c>
      <c r="Z226" s="1" t="s">
        <v>44</v>
      </c>
    </row>
    <row r="227" spans="1:26" ht="15.75" x14ac:dyDescent="0.25">
      <c r="A227" s="1" t="s">
        <v>26</v>
      </c>
      <c r="B227" s="1" t="s">
        <v>27</v>
      </c>
      <c r="C227" s="1" t="s">
        <v>608</v>
      </c>
      <c r="D227" s="1" t="s">
        <v>621</v>
      </c>
      <c r="E227" s="1" t="s">
        <v>30</v>
      </c>
      <c r="F227" s="1" t="s">
        <v>622</v>
      </c>
      <c r="G227" s="1" t="s">
        <v>32</v>
      </c>
      <c r="H227" s="1" t="s">
        <v>50</v>
      </c>
      <c r="I227" s="1" t="s">
        <v>137</v>
      </c>
      <c r="J227" s="1">
        <v>41.94</v>
      </c>
      <c r="K227" s="1" t="s">
        <v>623</v>
      </c>
      <c r="L227" s="1" t="s">
        <v>36</v>
      </c>
      <c r="M227" s="1">
        <v>15.52</v>
      </c>
      <c r="N227" s="1" t="s">
        <v>254</v>
      </c>
      <c r="O227" s="1" t="s">
        <v>38</v>
      </c>
      <c r="P227" s="1" t="s">
        <v>39</v>
      </c>
      <c r="Q227" s="1" t="s">
        <v>255</v>
      </c>
      <c r="R227" s="1" t="s">
        <v>624</v>
      </c>
      <c r="S227" s="1" t="s">
        <v>42</v>
      </c>
      <c r="T227" s="1">
        <v>1522.51</v>
      </c>
      <c r="U227" s="1" t="s">
        <v>43</v>
      </c>
      <c r="V227" s="1" t="s">
        <v>30</v>
      </c>
      <c r="W227" s="1" t="s">
        <v>39</v>
      </c>
      <c r="X227" s="1" t="s">
        <v>30</v>
      </c>
      <c r="Y227" s="1" t="s">
        <v>39</v>
      </c>
      <c r="Z227" s="1" t="s">
        <v>44</v>
      </c>
    </row>
    <row r="228" spans="1:26" ht="15.75" x14ac:dyDescent="0.25">
      <c r="A228" s="1" t="s">
        <v>26</v>
      </c>
      <c r="B228" s="1" t="s">
        <v>27</v>
      </c>
      <c r="C228" s="1" t="s">
        <v>608</v>
      </c>
      <c r="D228" s="1" t="s">
        <v>621</v>
      </c>
      <c r="E228" s="1" t="s">
        <v>30</v>
      </c>
      <c r="F228" s="1" t="s">
        <v>622</v>
      </c>
      <c r="G228" s="1" t="s">
        <v>45</v>
      </c>
      <c r="H228" s="1" t="s">
        <v>50</v>
      </c>
      <c r="I228" s="1" t="s">
        <v>137</v>
      </c>
      <c r="J228" s="1">
        <v>1.5</v>
      </c>
      <c r="K228" s="1" t="s">
        <v>623</v>
      </c>
      <c r="L228" s="1" t="s">
        <v>36</v>
      </c>
      <c r="M228" s="1">
        <v>0.55000000000000004</v>
      </c>
      <c r="N228" s="1" t="s">
        <v>254</v>
      </c>
      <c r="O228" s="1" t="s">
        <v>38</v>
      </c>
      <c r="P228" s="1" t="s">
        <v>39</v>
      </c>
      <c r="Q228" s="1" t="s">
        <v>255</v>
      </c>
      <c r="R228" s="1" t="s">
        <v>624</v>
      </c>
      <c r="S228" s="1" t="s">
        <v>42</v>
      </c>
      <c r="T228" s="1">
        <v>1522.51</v>
      </c>
      <c r="U228" s="1" t="s">
        <v>43</v>
      </c>
      <c r="V228" s="1" t="s">
        <v>30</v>
      </c>
      <c r="W228" s="1" t="s">
        <v>39</v>
      </c>
      <c r="X228" s="1" t="s">
        <v>30</v>
      </c>
      <c r="Y228" s="1" t="s">
        <v>39</v>
      </c>
      <c r="Z228" s="1" t="s">
        <v>44</v>
      </c>
    </row>
    <row r="229" spans="1:26" ht="15.75" x14ac:dyDescent="0.25">
      <c r="A229" s="1" t="s">
        <v>26</v>
      </c>
      <c r="B229" s="1" t="s">
        <v>27</v>
      </c>
      <c r="C229" s="1" t="s">
        <v>608</v>
      </c>
      <c r="D229" s="1" t="s">
        <v>625</v>
      </c>
      <c r="E229" s="1" t="s">
        <v>30</v>
      </c>
      <c r="F229" s="1" t="s">
        <v>622</v>
      </c>
      <c r="G229" s="1" t="s">
        <v>54</v>
      </c>
      <c r="H229" s="1" t="s">
        <v>50</v>
      </c>
      <c r="I229" s="1" t="s">
        <v>137</v>
      </c>
      <c r="J229" s="1">
        <v>11.88</v>
      </c>
      <c r="K229" s="1" t="s">
        <v>623</v>
      </c>
      <c r="L229" s="1" t="s">
        <v>36</v>
      </c>
      <c r="M229" s="1">
        <v>4.4000000000000004</v>
      </c>
      <c r="N229" s="1" t="s">
        <v>254</v>
      </c>
      <c r="O229" s="1" t="s">
        <v>38</v>
      </c>
      <c r="P229" s="1" t="s">
        <v>39</v>
      </c>
      <c r="Q229" s="1" t="s">
        <v>255</v>
      </c>
      <c r="R229" s="1" t="s">
        <v>624</v>
      </c>
      <c r="S229" s="1" t="s">
        <v>42</v>
      </c>
      <c r="T229" s="1">
        <v>1522.51</v>
      </c>
      <c r="U229" s="1" t="s">
        <v>43</v>
      </c>
      <c r="V229" s="1" t="s">
        <v>30</v>
      </c>
      <c r="W229" s="1" t="s">
        <v>39</v>
      </c>
      <c r="X229" s="1" t="s">
        <v>30</v>
      </c>
      <c r="Y229" s="1" t="s">
        <v>39</v>
      </c>
      <c r="Z229" s="1" t="s">
        <v>44</v>
      </c>
    </row>
    <row r="230" spans="1:26" ht="15.75" x14ac:dyDescent="0.25">
      <c r="A230" s="1" t="s">
        <v>26</v>
      </c>
      <c r="B230" s="1" t="s">
        <v>27</v>
      </c>
      <c r="C230" s="1" t="s">
        <v>608</v>
      </c>
      <c r="D230" s="1" t="s">
        <v>626</v>
      </c>
      <c r="E230" s="1" t="s">
        <v>30</v>
      </c>
      <c r="F230" s="1" t="s">
        <v>627</v>
      </c>
      <c r="G230" s="1" t="s">
        <v>32</v>
      </c>
      <c r="H230" s="1" t="s">
        <v>50</v>
      </c>
      <c r="I230" s="1" t="s">
        <v>137</v>
      </c>
      <c r="J230" s="1">
        <v>90.58</v>
      </c>
      <c r="K230" s="1" t="s">
        <v>623</v>
      </c>
      <c r="L230" s="1" t="s">
        <v>36</v>
      </c>
      <c r="M230" s="1">
        <v>33.51</v>
      </c>
      <c r="N230" s="1" t="s">
        <v>628</v>
      </c>
      <c r="O230" s="1" t="s">
        <v>38</v>
      </c>
      <c r="P230" s="1" t="s">
        <v>39</v>
      </c>
      <c r="Q230" s="1" t="s">
        <v>629</v>
      </c>
      <c r="R230" s="1" t="s">
        <v>630</v>
      </c>
      <c r="S230" s="1" t="s">
        <v>42</v>
      </c>
      <c r="T230" s="1">
        <v>1522.51</v>
      </c>
      <c r="U230" s="1" t="s">
        <v>43</v>
      </c>
      <c r="V230" s="1" t="s">
        <v>30</v>
      </c>
      <c r="W230" s="1" t="s">
        <v>39</v>
      </c>
      <c r="X230" s="1" t="s">
        <v>30</v>
      </c>
      <c r="Y230" s="1" t="s">
        <v>39</v>
      </c>
      <c r="Z230" s="1" t="s">
        <v>44</v>
      </c>
    </row>
    <row r="231" spans="1:26" ht="15.75" x14ac:dyDescent="0.25">
      <c r="A231" s="1" t="s">
        <v>26</v>
      </c>
      <c r="B231" s="1" t="s">
        <v>27</v>
      </c>
      <c r="C231" s="1" t="s">
        <v>608</v>
      </c>
      <c r="D231" s="1" t="s">
        <v>631</v>
      </c>
      <c r="E231" s="1" t="s">
        <v>30</v>
      </c>
      <c r="F231" s="1" t="s">
        <v>632</v>
      </c>
      <c r="G231" s="1" t="s">
        <v>32</v>
      </c>
      <c r="H231" s="1" t="s">
        <v>34</v>
      </c>
      <c r="I231" s="1" t="s">
        <v>82</v>
      </c>
      <c r="J231" s="1">
        <v>42.35</v>
      </c>
      <c r="K231" s="1" t="s">
        <v>633</v>
      </c>
      <c r="L231" s="1" t="s">
        <v>36</v>
      </c>
      <c r="M231" s="1">
        <v>15.67</v>
      </c>
      <c r="N231" s="1" t="s">
        <v>267</v>
      </c>
      <c r="O231" s="1" t="s">
        <v>38</v>
      </c>
      <c r="P231" s="1" t="s">
        <v>39</v>
      </c>
      <c r="Q231" s="1" t="s">
        <v>268</v>
      </c>
      <c r="R231" s="1" t="s">
        <v>634</v>
      </c>
      <c r="S231" s="1" t="s">
        <v>42</v>
      </c>
      <c r="T231" s="1">
        <v>1522.51</v>
      </c>
      <c r="U231" s="1" t="s">
        <v>43</v>
      </c>
      <c r="V231" s="1" t="s">
        <v>30</v>
      </c>
      <c r="W231" s="1" t="s">
        <v>39</v>
      </c>
      <c r="X231" s="1" t="s">
        <v>30</v>
      </c>
      <c r="Y231" s="1" t="s">
        <v>39</v>
      </c>
      <c r="Z231" s="1" t="s">
        <v>44</v>
      </c>
    </row>
    <row r="232" spans="1:26" ht="15.75" x14ac:dyDescent="0.25">
      <c r="A232" s="1" t="s">
        <v>26</v>
      </c>
      <c r="B232" s="1" t="s">
        <v>27</v>
      </c>
      <c r="C232" s="1" t="s">
        <v>608</v>
      </c>
      <c r="D232" s="1" t="s">
        <v>631</v>
      </c>
      <c r="E232" s="1" t="s">
        <v>30</v>
      </c>
      <c r="F232" s="1" t="s">
        <v>632</v>
      </c>
      <c r="G232" s="1" t="s">
        <v>45</v>
      </c>
      <c r="H232" s="1" t="s">
        <v>34</v>
      </c>
      <c r="I232" s="1" t="s">
        <v>82</v>
      </c>
      <c r="J232" s="1">
        <v>1.5</v>
      </c>
      <c r="K232" s="1" t="s">
        <v>633</v>
      </c>
      <c r="L232" s="1" t="s">
        <v>36</v>
      </c>
      <c r="M232" s="1">
        <v>0.55000000000000004</v>
      </c>
      <c r="N232" s="1" t="s">
        <v>267</v>
      </c>
      <c r="O232" s="1" t="s">
        <v>38</v>
      </c>
      <c r="P232" s="1" t="s">
        <v>39</v>
      </c>
      <c r="Q232" s="1" t="s">
        <v>268</v>
      </c>
      <c r="R232" s="1" t="s">
        <v>634</v>
      </c>
      <c r="S232" s="1" t="s">
        <v>42</v>
      </c>
      <c r="T232" s="1">
        <v>1522.51</v>
      </c>
      <c r="U232" s="1" t="s">
        <v>43</v>
      </c>
      <c r="V232" s="1" t="s">
        <v>30</v>
      </c>
      <c r="W232" s="1" t="s">
        <v>39</v>
      </c>
      <c r="X232" s="1" t="s">
        <v>30</v>
      </c>
      <c r="Y232" s="1" t="s">
        <v>39</v>
      </c>
      <c r="Z232" s="1" t="s">
        <v>44</v>
      </c>
    </row>
    <row r="233" spans="1:26" ht="15.75" x14ac:dyDescent="0.25">
      <c r="A233" s="1" t="s">
        <v>26</v>
      </c>
      <c r="B233" s="1" t="s">
        <v>27</v>
      </c>
      <c r="C233" s="1" t="s">
        <v>608</v>
      </c>
      <c r="D233" s="1" t="s">
        <v>635</v>
      </c>
      <c r="E233" s="1" t="s">
        <v>30</v>
      </c>
      <c r="F233" s="1" t="s">
        <v>636</v>
      </c>
      <c r="G233" s="1" t="s">
        <v>32</v>
      </c>
      <c r="H233" s="1" t="s">
        <v>34</v>
      </c>
      <c r="I233" s="1" t="s">
        <v>82</v>
      </c>
      <c r="J233" s="1">
        <v>51.24</v>
      </c>
      <c r="K233" s="1" t="s">
        <v>633</v>
      </c>
      <c r="L233" s="1" t="s">
        <v>36</v>
      </c>
      <c r="M233" s="1">
        <v>18.96</v>
      </c>
      <c r="N233" s="1" t="s">
        <v>267</v>
      </c>
      <c r="O233" s="1" t="s">
        <v>38</v>
      </c>
      <c r="P233" s="1" t="s">
        <v>39</v>
      </c>
      <c r="Q233" s="1" t="s">
        <v>268</v>
      </c>
      <c r="R233" s="1" t="s">
        <v>637</v>
      </c>
      <c r="S233" s="1" t="s">
        <v>42</v>
      </c>
      <c r="T233" s="1">
        <v>1522.51</v>
      </c>
      <c r="U233" s="1" t="s">
        <v>43</v>
      </c>
      <c r="V233" s="1" t="s">
        <v>30</v>
      </c>
      <c r="W233" s="1" t="s">
        <v>39</v>
      </c>
      <c r="X233" s="1" t="s">
        <v>30</v>
      </c>
      <c r="Y233" s="1" t="s">
        <v>39</v>
      </c>
      <c r="Z233" s="1" t="s">
        <v>44</v>
      </c>
    </row>
    <row r="234" spans="1:26" ht="15.75" x14ac:dyDescent="0.25">
      <c r="A234" s="1" t="s">
        <v>26</v>
      </c>
      <c r="B234" s="1" t="s">
        <v>27</v>
      </c>
      <c r="C234" s="1" t="s">
        <v>608</v>
      </c>
      <c r="D234" s="1" t="s">
        <v>635</v>
      </c>
      <c r="E234" s="1" t="s">
        <v>30</v>
      </c>
      <c r="F234" s="1" t="s">
        <v>636</v>
      </c>
      <c r="G234" s="1" t="s">
        <v>45</v>
      </c>
      <c r="H234" s="1" t="s">
        <v>34</v>
      </c>
      <c r="I234" s="1" t="s">
        <v>82</v>
      </c>
      <c r="J234" s="1">
        <v>1.5</v>
      </c>
      <c r="K234" s="1" t="s">
        <v>633</v>
      </c>
      <c r="L234" s="1" t="s">
        <v>36</v>
      </c>
      <c r="M234" s="1">
        <v>0.55000000000000004</v>
      </c>
      <c r="N234" s="1" t="s">
        <v>267</v>
      </c>
      <c r="O234" s="1" t="s">
        <v>38</v>
      </c>
      <c r="P234" s="1" t="s">
        <v>39</v>
      </c>
      <c r="Q234" s="1" t="s">
        <v>268</v>
      </c>
      <c r="R234" s="1" t="s">
        <v>637</v>
      </c>
      <c r="S234" s="1" t="s">
        <v>42</v>
      </c>
      <c r="T234" s="1">
        <v>1522.51</v>
      </c>
      <c r="U234" s="1" t="s">
        <v>43</v>
      </c>
      <c r="V234" s="1" t="s">
        <v>30</v>
      </c>
      <c r="W234" s="1" t="s">
        <v>39</v>
      </c>
      <c r="X234" s="1" t="s">
        <v>30</v>
      </c>
      <c r="Y234" s="1" t="s">
        <v>39</v>
      </c>
      <c r="Z234" s="1" t="s">
        <v>44</v>
      </c>
    </row>
    <row r="235" spans="1:26" ht="15.75" x14ac:dyDescent="0.25">
      <c r="A235" s="1" t="s">
        <v>26</v>
      </c>
      <c r="B235" s="1" t="s">
        <v>27</v>
      </c>
      <c r="C235" s="1" t="s">
        <v>608</v>
      </c>
      <c r="D235" s="1" t="s">
        <v>638</v>
      </c>
      <c r="E235" s="1" t="s">
        <v>30</v>
      </c>
      <c r="F235" s="1" t="s">
        <v>639</v>
      </c>
      <c r="G235" s="1" t="s">
        <v>32</v>
      </c>
      <c r="H235" s="1" t="s">
        <v>34</v>
      </c>
      <c r="I235" s="1" t="s">
        <v>82</v>
      </c>
      <c r="J235" s="1">
        <v>114.72</v>
      </c>
      <c r="K235" s="1" t="s">
        <v>633</v>
      </c>
      <c r="L235" s="1" t="s">
        <v>36</v>
      </c>
      <c r="M235" s="1">
        <v>42.44</v>
      </c>
      <c r="N235" s="1" t="s">
        <v>385</v>
      </c>
      <c r="O235" s="1" t="s">
        <v>38</v>
      </c>
      <c r="P235" s="1" t="s">
        <v>39</v>
      </c>
      <c r="Q235" s="1" t="s">
        <v>386</v>
      </c>
      <c r="R235" s="1" t="s">
        <v>640</v>
      </c>
      <c r="S235" s="1" t="s">
        <v>42</v>
      </c>
      <c r="T235" s="1">
        <v>1522.51</v>
      </c>
      <c r="U235" s="1" t="s">
        <v>43</v>
      </c>
      <c r="V235" s="1" t="s">
        <v>30</v>
      </c>
      <c r="W235" s="1" t="s">
        <v>39</v>
      </c>
      <c r="X235" s="1" t="s">
        <v>30</v>
      </c>
      <c r="Y235" s="1" t="s">
        <v>39</v>
      </c>
      <c r="Z235" s="1" t="s">
        <v>44</v>
      </c>
    </row>
    <row r="236" spans="1:26" ht="15.75" x14ac:dyDescent="0.25">
      <c r="A236" s="1" t="s">
        <v>26</v>
      </c>
      <c r="B236" s="1" t="s">
        <v>27</v>
      </c>
      <c r="C236" s="1" t="s">
        <v>608</v>
      </c>
      <c r="D236" s="1" t="s">
        <v>638</v>
      </c>
      <c r="E236" s="1" t="s">
        <v>30</v>
      </c>
      <c r="F236" s="1" t="s">
        <v>639</v>
      </c>
      <c r="G236" s="1" t="s">
        <v>45</v>
      </c>
      <c r="H236" s="1" t="s">
        <v>34</v>
      </c>
      <c r="I236" s="1" t="s">
        <v>82</v>
      </c>
      <c r="J236" s="1">
        <v>2.69</v>
      </c>
      <c r="K236" s="1" t="s">
        <v>633</v>
      </c>
      <c r="L236" s="1" t="s">
        <v>36</v>
      </c>
      <c r="M236" s="1">
        <v>1</v>
      </c>
      <c r="N236" s="1" t="s">
        <v>385</v>
      </c>
      <c r="O236" s="1" t="s">
        <v>38</v>
      </c>
      <c r="P236" s="1" t="s">
        <v>39</v>
      </c>
      <c r="Q236" s="1" t="s">
        <v>386</v>
      </c>
      <c r="R236" s="1" t="s">
        <v>640</v>
      </c>
      <c r="S236" s="1" t="s">
        <v>42</v>
      </c>
      <c r="T236" s="1">
        <v>1522.51</v>
      </c>
      <c r="U236" s="1" t="s">
        <v>43</v>
      </c>
      <c r="V236" s="1" t="s">
        <v>30</v>
      </c>
      <c r="W236" s="1" t="s">
        <v>39</v>
      </c>
      <c r="X236" s="1" t="s">
        <v>30</v>
      </c>
      <c r="Y236" s="1" t="s">
        <v>39</v>
      </c>
      <c r="Z236" s="1" t="s">
        <v>44</v>
      </c>
    </row>
    <row r="237" spans="1:26" ht="15.75" x14ac:dyDescent="0.25">
      <c r="A237" s="1" t="s">
        <v>26</v>
      </c>
      <c r="B237" s="1" t="s">
        <v>27</v>
      </c>
      <c r="C237" s="1" t="s">
        <v>608</v>
      </c>
      <c r="D237" s="1" t="s">
        <v>641</v>
      </c>
      <c r="E237" s="1" t="s">
        <v>30</v>
      </c>
      <c r="F237" s="1" t="s">
        <v>642</v>
      </c>
      <c r="G237" s="1" t="s">
        <v>32</v>
      </c>
      <c r="H237" s="1" t="s">
        <v>90</v>
      </c>
      <c r="I237" s="1" t="s">
        <v>50</v>
      </c>
      <c r="J237" s="1">
        <v>84.7</v>
      </c>
      <c r="K237" s="1" t="s">
        <v>643</v>
      </c>
      <c r="L237" s="1" t="s">
        <v>36</v>
      </c>
      <c r="M237" s="1">
        <v>31.33</v>
      </c>
      <c r="N237" s="1" t="s">
        <v>267</v>
      </c>
      <c r="O237" s="1" t="s">
        <v>38</v>
      </c>
      <c r="P237" s="1" t="s">
        <v>39</v>
      </c>
      <c r="Q237" s="1" t="s">
        <v>268</v>
      </c>
      <c r="R237" s="1" t="s">
        <v>644</v>
      </c>
      <c r="S237" s="1" t="s">
        <v>42</v>
      </c>
      <c r="T237" s="1">
        <v>1522.51</v>
      </c>
      <c r="U237" s="1" t="s">
        <v>43</v>
      </c>
      <c r="V237" s="1" t="s">
        <v>30</v>
      </c>
      <c r="W237" s="1" t="s">
        <v>39</v>
      </c>
      <c r="X237" s="1" t="s">
        <v>30</v>
      </c>
      <c r="Y237" s="1" t="s">
        <v>39</v>
      </c>
      <c r="Z237" s="1" t="s">
        <v>44</v>
      </c>
    </row>
    <row r="238" spans="1:26" ht="15.75" x14ac:dyDescent="0.25">
      <c r="A238" s="1" t="s">
        <v>26</v>
      </c>
      <c r="B238" s="1" t="s">
        <v>27</v>
      </c>
      <c r="C238" s="1" t="s">
        <v>608</v>
      </c>
      <c r="D238" s="1" t="s">
        <v>641</v>
      </c>
      <c r="E238" s="1" t="s">
        <v>30</v>
      </c>
      <c r="F238" s="1" t="s">
        <v>642</v>
      </c>
      <c r="G238" s="1" t="s">
        <v>45</v>
      </c>
      <c r="H238" s="1" t="s">
        <v>90</v>
      </c>
      <c r="I238" s="1" t="s">
        <v>50</v>
      </c>
      <c r="J238" s="1">
        <v>2.69</v>
      </c>
      <c r="K238" s="1" t="s">
        <v>643</v>
      </c>
      <c r="L238" s="1" t="s">
        <v>36</v>
      </c>
      <c r="M238" s="1">
        <v>1</v>
      </c>
      <c r="N238" s="1" t="s">
        <v>267</v>
      </c>
      <c r="O238" s="1" t="s">
        <v>38</v>
      </c>
      <c r="P238" s="1" t="s">
        <v>39</v>
      </c>
      <c r="Q238" s="1" t="s">
        <v>268</v>
      </c>
      <c r="R238" s="1" t="s">
        <v>644</v>
      </c>
      <c r="S238" s="1" t="s">
        <v>42</v>
      </c>
      <c r="T238" s="1">
        <v>1522.51</v>
      </c>
      <c r="U238" s="1" t="s">
        <v>43</v>
      </c>
      <c r="V238" s="1" t="s">
        <v>30</v>
      </c>
      <c r="W238" s="1" t="s">
        <v>39</v>
      </c>
      <c r="X238" s="1" t="s">
        <v>30</v>
      </c>
      <c r="Y238" s="1" t="s">
        <v>39</v>
      </c>
      <c r="Z238" s="1" t="s">
        <v>44</v>
      </c>
    </row>
    <row r="239" spans="1:26" ht="15.75" x14ac:dyDescent="0.25">
      <c r="A239" s="1" t="s">
        <v>26</v>
      </c>
      <c r="B239" s="1" t="s">
        <v>27</v>
      </c>
      <c r="C239" s="1" t="s">
        <v>608</v>
      </c>
      <c r="D239" s="1" t="s">
        <v>645</v>
      </c>
      <c r="E239" s="1" t="s">
        <v>30</v>
      </c>
      <c r="F239" s="1" t="s">
        <v>646</v>
      </c>
      <c r="G239" s="1" t="s">
        <v>32</v>
      </c>
      <c r="H239" s="1" t="s">
        <v>33</v>
      </c>
      <c r="I239" s="1" t="s">
        <v>34</v>
      </c>
      <c r="J239" s="1">
        <v>36.29</v>
      </c>
      <c r="K239" s="1" t="s">
        <v>647</v>
      </c>
      <c r="L239" s="1" t="s">
        <v>36</v>
      </c>
      <c r="M239" s="1">
        <v>13.43</v>
      </c>
      <c r="N239" s="1" t="s">
        <v>74</v>
      </c>
      <c r="O239" s="1" t="s">
        <v>38</v>
      </c>
      <c r="P239" s="1" t="s">
        <v>39</v>
      </c>
      <c r="Q239" s="1" t="s">
        <v>75</v>
      </c>
      <c r="R239" s="1" t="s">
        <v>648</v>
      </c>
      <c r="S239" s="1" t="s">
        <v>42</v>
      </c>
      <c r="T239" s="1">
        <v>1522.51</v>
      </c>
      <c r="U239" s="1" t="s">
        <v>43</v>
      </c>
      <c r="V239" s="1" t="s">
        <v>30</v>
      </c>
      <c r="W239" s="1" t="s">
        <v>39</v>
      </c>
      <c r="X239" s="1" t="s">
        <v>30</v>
      </c>
      <c r="Y239" s="1" t="s">
        <v>39</v>
      </c>
      <c r="Z239" s="1" t="s">
        <v>44</v>
      </c>
    </row>
    <row r="240" spans="1:26" ht="15.75" x14ac:dyDescent="0.25">
      <c r="A240" s="1" t="s">
        <v>26</v>
      </c>
      <c r="B240" s="1" t="s">
        <v>27</v>
      </c>
      <c r="C240" s="1" t="s">
        <v>608</v>
      </c>
      <c r="D240" s="1" t="s">
        <v>645</v>
      </c>
      <c r="E240" s="1" t="s">
        <v>30</v>
      </c>
      <c r="F240" s="1" t="s">
        <v>646</v>
      </c>
      <c r="G240" s="1" t="s">
        <v>45</v>
      </c>
      <c r="H240" s="1" t="s">
        <v>33</v>
      </c>
      <c r="I240" s="1" t="s">
        <v>34</v>
      </c>
      <c r="J240" s="1">
        <v>1.5</v>
      </c>
      <c r="K240" s="1" t="s">
        <v>647</v>
      </c>
      <c r="L240" s="1" t="s">
        <v>36</v>
      </c>
      <c r="M240" s="1">
        <v>0.55000000000000004</v>
      </c>
      <c r="N240" s="1" t="s">
        <v>74</v>
      </c>
      <c r="O240" s="1" t="s">
        <v>38</v>
      </c>
      <c r="P240" s="1" t="s">
        <v>39</v>
      </c>
      <c r="Q240" s="1" t="s">
        <v>75</v>
      </c>
      <c r="R240" s="1" t="s">
        <v>648</v>
      </c>
      <c r="S240" s="1" t="s">
        <v>42</v>
      </c>
      <c r="T240" s="1">
        <v>1522.51</v>
      </c>
      <c r="U240" s="1" t="s">
        <v>43</v>
      </c>
      <c r="V240" s="1" t="s">
        <v>30</v>
      </c>
      <c r="W240" s="1" t="s">
        <v>39</v>
      </c>
      <c r="X240" s="1" t="s">
        <v>30</v>
      </c>
      <c r="Y240" s="1" t="s">
        <v>39</v>
      </c>
      <c r="Z240" s="1" t="s">
        <v>44</v>
      </c>
    </row>
    <row r="241" spans="1:26" ht="15.75" x14ac:dyDescent="0.25">
      <c r="A241" s="1" t="s">
        <v>26</v>
      </c>
      <c r="B241" s="1" t="s">
        <v>27</v>
      </c>
      <c r="C241" s="1" t="s">
        <v>608</v>
      </c>
      <c r="D241" s="1" t="s">
        <v>649</v>
      </c>
      <c r="E241" s="1" t="s">
        <v>30</v>
      </c>
      <c r="F241" s="1" t="s">
        <v>650</v>
      </c>
      <c r="G241" s="1" t="s">
        <v>32</v>
      </c>
      <c r="H241" s="1" t="s">
        <v>58</v>
      </c>
      <c r="I241" s="1" t="s">
        <v>50</v>
      </c>
      <c r="J241" s="1">
        <v>17.27</v>
      </c>
      <c r="K241" s="1" t="s">
        <v>651</v>
      </c>
      <c r="L241" s="1" t="s">
        <v>36</v>
      </c>
      <c r="M241" s="1">
        <v>6.39</v>
      </c>
      <c r="N241" s="1" t="s">
        <v>74</v>
      </c>
      <c r="O241" s="1" t="s">
        <v>38</v>
      </c>
      <c r="P241" s="1" t="s">
        <v>39</v>
      </c>
      <c r="Q241" s="1" t="s">
        <v>75</v>
      </c>
      <c r="R241" s="1" t="s">
        <v>652</v>
      </c>
      <c r="S241" s="1" t="s">
        <v>42</v>
      </c>
      <c r="T241" s="1">
        <v>1522.51</v>
      </c>
      <c r="U241" s="1" t="s">
        <v>43</v>
      </c>
      <c r="V241" s="1" t="s">
        <v>30</v>
      </c>
      <c r="W241" s="1" t="s">
        <v>39</v>
      </c>
      <c r="X241" s="1" t="s">
        <v>30</v>
      </c>
      <c r="Y241" s="1" t="s">
        <v>39</v>
      </c>
      <c r="Z241" s="1" t="s">
        <v>44</v>
      </c>
    </row>
    <row r="242" spans="1:26" ht="15.75" x14ac:dyDescent="0.25">
      <c r="A242" s="1" t="s">
        <v>26</v>
      </c>
      <c r="B242" s="1" t="s">
        <v>27</v>
      </c>
      <c r="C242" s="1" t="s">
        <v>608</v>
      </c>
      <c r="D242" s="1" t="s">
        <v>653</v>
      </c>
      <c r="E242" s="1" t="s">
        <v>30</v>
      </c>
      <c r="F242" s="1" t="s">
        <v>654</v>
      </c>
      <c r="G242" s="1" t="s">
        <v>54</v>
      </c>
      <c r="H242" s="1" t="s">
        <v>58</v>
      </c>
      <c r="I242" s="1" t="s">
        <v>50</v>
      </c>
      <c r="J242" s="1">
        <v>30.07</v>
      </c>
      <c r="K242" s="1" t="s">
        <v>651</v>
      </c>
      <c r="L242" s="1" t="s">
        <v>36</v>
      </c>
      <c r="M242" s="1">
        <v>11.13</v>
      </c>
      <c r="N242" s="1" t="s">
        <v>240</v>
      </c>
      <c r="O242" s="1" t="s">
        <v>38</v>
      </c>
      <c r="P242" s="1" t="s">
        <v>39</v>
      </c>
      <c r="Q242" s="1" t="s">
        <v>241</v>
      </c>
      <c r="R242" s="1" t="s">
        <v>655</v>
      </c>
      <c r="S242" s="1" t="s">
        <v>42</v>
      </c>
      <c r="T242" s="1">
        <v>1522.51</v>
      </c>
      <c r="U242" s="1" t="s">
        <v>43</v>
      </c>
      <c r="V242" s="1" t="s">
        <v>30</v>
      </c>
      <c r="W242" s="1" t="s">
        <v>39</v>
      </c>
      <c r="X242" s="1" t="s">
        <v>30</v>
      </c>
      <c r="Y242" s="1" t="s">
        <v>39</v>
      </c>
      <c r="Z242" s="1" t="s">
        <v>44</v>
      </c>
    </row>
    <row r="243" spans="1:26" ht="15.75" x14ac:dyDescent="0.25">
      <c r="A243" s="1" t="s">
        <v>26</v>
      </c>
      <c r="B243" s="1" t="s">
        <v>27</v>
      </c>
      <c r="C243" s="1" t="s">
        <v>608</v>
      </c>
      <c r="D243" s="1" t="s">
        <v>656</v>
      </c>
      <c r="E243" s="1" t="s">
        <v>30</v>
      </c>
      <c r="F243" s="1" t="s">
        <v>657</v>
      </c>
      <c r="G243" s="1" t="s">
        <v>32</v>
      </c>
      <c r="H243" s="1" t="s">
        <v>58</v>
      </c>
      <c r="I243" s="1" t="s">
        <v>50</v>
      </c>
      <c r="J243" s="1">
        <v>40.729999999999997</v>
      </c>
      <c r="K243" s="1" t="s">
        <v>651</v>
      </c>
      <c r="L243" s="1" t="s">
        <v>36</v>
      </c>
      <c r="M243" s="1">
        <v>15.07</v>
      </c>
      <c r="N243" s="1" t="s">
        <v>267</v>
      </c>
      <c r="O243" s="1" t="s">
        <v>38</v>
      </c>
      <c r="P243" s="1" t="s">
        <v>39</v>
      </c>
      <c r="Q243" s="1" t="s">
        <v>268</v>
      </c>
      <c r="R243" s="1" t="s">
        <v>658</v>
      </c>
      <c r="S243" s="1" t="s">
        <v>42</v>
      </c>
      <c r="T243" s="1">
        <v>1522.51</v>
      </c>
      <c r="U243" s="1" t="s">
        <v>43</v>
      </c>
      <c r="V243" s="1" t="s">
        <v>30</v>
      </c>
      <c r="W243" s="1" t="s">
        <v>39</v>
      </c>
      <c r="X243" s="1" t="s">
        <v>30</v>
      </c>
      <c r="Y243" s="1" t="s">
        <v>39</v>
      </c>
      <c r="Z243" s="1" t="s">
        <v>44</v>
      </c>
    </row>
    <row r="244" spans="1:26" ht="15.75" x14ac:dyDescent="0.25">
      <c r="A244" s="1" t="s">
        <v>26</v>
      </c>
      <c r="B244" s="1" t="s">
        <v>27</v>
      </c>
      <c r="C244" s="1" t="s">
        <v>608</v>
      </c>
      <c r="D244" s="1" t="s">
        <v>659</v>
      </c>
      <c r="E244" s="1" t="s">
        <v>30</v>
      </c>
      <c r="F244" s="1" t="s">
        <v>660</v>
      </c>
      <c r="G244" s="1" t="s">
        <v>32</v>
      </c>
      <c r="H244" s="1" t="s">
        <v>49</v>
      </c>
      <c r="I244" s="1" t="s">
        <v>50</v>
      </c>
      <c r="J244" s="1">
        <v>33.78</v>
      </c>
      <c r="K244" s="1" t="s">
        <v>661</v>
      </c>
      <c r="L244" s="1" t="s">
        <v>36</v>
      </c>
      <c r="M244" s="1">
        <v>12.5</v>
      </c>
      <c r="N244" s="1" t="s">
        <v>587</v>
      </c>
      <c r="O244" s="1" t="s">
        <v>38</v>
      </c>
      <c r="P244" s="1" t="s">
        <v>39</v>
      </c>
      <c r="Q244" s="1" t="s">
        <v>588</v>
      </c>
      <c r="R244" s="1" t="s">
        <v>662</v>
      </c>
      <c r="S244" s="1" t="s">
        <v>42</v>
      </c>
      <c r="T244" s="1">
        <v>1522.51</v>
      </c>
      <c r="U244" s="1" t="s">
        <v>43</v>
      </c>
      <c r="V244" s="1" t="s">
        <v>30</v>
      </c>
      <c r="W244" s="1" t="s">
        <v>39</v>
      </c>
      <c r="X244" s="1" t="s">
        <v>30</v>
      </c>
      <c r="Y244" s="1" t="s">
        <v>39</v>
      </c>
      <c r="Z244" s="1" t="s">
        <v>44</v>
      </c>
    </row>
    <row r="245" spans="1:26" ht="15.75" x14ac:dyDescent="0.25">
      <c r="A245" s="1" t="s">
        <v>26</v>
      </c>
      <c r="B245" s="1" t="s">
        <v>27</v>
      </c>
      <c r="C245" s="1" t="s">
        <v>608</v>
      </c>
      <c r="D245" s="1" t="s">
        <v>663</v>
      </c>
      <c r="E245" s="1" t="s">
        <v>30</v>
      </c>
      <c r="F245" s="1" t="s">
        <v>660</v>
      </c>
      <c r="G245" s="1" t="s">
        <v>54</v>
      </c>
      <c r="H245" s="1" t="s">
        <v>49</v>
      </c>
      <c r="I245" s="1" t="s">
        <v>50</v>
      </c>
      <c r="J245" s="1">
        <v>10.67</v>
      </c>
      <c r="K245" s="1" t="s">
        <v>661</v>
      </c>
      <c r="L245" s="1" t="s">
        <v>36</v>
      </c>
      <c r="M245" s="1">
        <v>3.95</v>
      </c>
      <c r="N245" s="1" t="s">
        <v>587</v>
      </c>
      <c r="O245" s="1" t="s">
        <v>38</v>
      </c>
      <c r="P245" s="1" t="s">
        <v>39</v>
      </c>
      <c r="Q245" s="1" t="s">
        <v>588</v>
      </c>
      <c r="R245" s="1" t="s">
        <v>662</v>
      </c>
      <c r="S245" s="1" t="s">
        <v>42</v>
      </c>
      <c r="T245" s="1">
        <v>1522.51</v>
      </c>
      <c r="U245" s="1" t="s">
        <v>43</v>
      </c>
      <c r="V245" s="1" t="s">
        <v>30</v>
      </c>
      <c r="W245" s="1" t="s">
        <v>39</v>
      </c>
      <c r="X245" s="1" t="s">
        <v>30</v>
      </c>
      <c r="Y245" s="1" t="s">
        <v>39</v>
      </c>
      <c r="Z245" s="1" t="s">
        <v>44</v>
      </c>
    </row>
    <row r="246" spans="1:26" ht="15.75" x14ac:dyDescent="0.25">
      <c r="A246" s="1" t="s">
        <v>26</v>
      </c>
      <c r="B246" s="1" t="s">
        <v>27</v>
      </c>
      <c r="C246" s="1" t="s">
        <v>608</v>
      </c>
      <c r="D246" s="1" t="s">
        <v>664</v>
      </c>
      <c r="E246" s="1" t="s">
        <v>30</v>
      </c>
      <c r="F246" s="1" t="s">
        <v>665</v>
      </c>
      <c r="G246" s="1" t="s">
        <v>32</v>
      </c>
      <c r="H246" s="1" t="s">
        <v>33</v>
      </c>
      <c r="I246" s="1" t="s">
        <v>34</v>
      </c>
      <c r="J246" s="1">
        <v>57.28</v>
      </c>
      <c r="K246" s="1" t="s">
        <v>647</v>
      </c>
      <c r="L246" s="1" t="s">
        <v>36</v>
      </c>
      <c r="M246" s="1">
        <v>21.19</v>
      </c>
      <c r="N246" s="1" t="s">
        <v>311</v>
      </c>
      <c r="O246" s="1" t="s">
        <v>38</v>
      </c>
      <c r="P246" s="1" t="s">
        <v>39</v>
      </c>
      <c r="Q246" s="1" t="s">
        <v>312</v>
      </c>
      <c r="R246" s="1" t="s">
        <v>666</v>
      </c>
      <c r="S246" s="1" t="s">
        <v>42</v>
      </c>
      <c r="T246" s="1">
        <v>1522.51</v>
      </c>
      <c r="U246" s="1" t="s">
        <v>43</v>
      </c>
      <c r="V246" s="1" t="s">
        <v>30</v>
      </c>
      <c r="W246" s="1" t="s">
        <v>39</v>
      </c>
      <c r="X246" s="1" t="s">
        <v>30</v>
      </c>
      <c r="Y246" s="1" t="s">
        <v>39</v>
      </c>
      <c r="Z246" s="1" t="s">
        <v>44</v>
      </c>
    </row>
    <row r="247" spans="1:26" ht="15.75" x14ac:dyDescent="0.25">
      <c r="A247" s="1" t="s">
        <v>26</v>
      </c>
      <c r="B247" s="1" t="s">
        <v>27</v>
      </c>
      <c r="C247" s="1" t="s">
        <v>608</v>
      </c>
      <c r="D247" s="1" t="s">
        <v>667</v>
      </c>
      <c r="E247" s="1" t="s">
        <v>30</v>
      </c>
      <c r="F247" s="1" t="s">
        <v>668</v>
      </c>
      <c r="G247" s="1" t="s">
        <v>32</v>
      </c>
      <c r="H247" s="1" t="s">
        <v>33</v>
      </c>
      <c r="I247" s="1" t="s">
        <v>34</v>
      </c>
      <c r="J247" s="1">
        <v>57.28</v>
      </c>
      <c r="K247" s="1" t="s">
        <v>647</v>
      </c>
      <c r="L247" s="1" t="s">
        <v>36</v>
      </c>
      <c r="M247" s="1">
        <v>21.19</v>
      </c>
      <c r="N247" s="1" t="s">
        <v>311</v>
      </c>
      <c r="O247" s="1" t="s">
        <v>38</v>
      </c>
      <c r="P247" s="1" t="s">
        <v>39</v>
      </c>
      <c r="Q247" s="1" t="s">
        <v>312</v>
      </c>
      <c r="R247" s="1" t="s">
        <v>669</v>
      </c>
      <c r="S247" s="1" t="s">
        <v>42</v>
      </c>
      <c r="T247" s="1">
        <v>1522.51</v>
      </c>
      <c r="U247" s="1" t="s">
        <v>43</v>
      </c>
      <c r="V247" s="1" t="s">
        <v>30</v>
      </c>
      <c r="W247" s="1" t="s">
        <v>39</v>
      </c>
      <c r="X247" s="1" t="s">
        <v>30</v>
      </c>
      <c r="Y247" s="1" t="s">
        <v>39</v>
      </c>
      <c r="Z247" s="1" t="s">
        <v>44</v>
      </c>
    </row>
    <row r="248" spans="1:26" ht="15.75" x14ac:dyDescent="0.25">
      <c r="A248" s="1" t="s">
        <v>26</v>
      </c>
      <c r="B248" s="1" t="s">
        <v>27</v>
      </c>
      <c r="C248" s="1" t="s">
        <v>608</v>
      </c>
      <c r="D248" s="1" t="s">
        <v>670</v>
      </c>
      <c r="E248" s="1" t="s">
        <v>30</v>
      </c>
      <c r="F248" s="1" t="s">
        <v>671</v>
      </c>
      <c r="G248" s="1" t="s">
        <v>32</v>
      </c>
      <c r="H248" s="1" t="s">
        <v>137</v>
      </c>
      <c r="I248" s="1" t="s">
        <v>220</v>
      </c>
      <c r="J248" s="1">
        <v>72.59</v>
      </c>
      <c r="K248" s="1" t="s">
        <v>672</v>
      </c>
      <c r="L248" s="1" t="s">
        <v>36</v>
      </c>
      <c r="M248" s="1">
        <v>26.85</v>
      </c>
      <c r="N248" s="1" t="s">
        <v>74</v>
      </c>
      <c r="O248" s="1" t="s">
        <v>38</v>
      </c>
      <c r="P248" s="1" t="s">
        <v>39</v>
      </c>
      <c r="Q248" s="1" t="s">
        <v>75</v>
      </c>
      <c r="R248" s="1" t="s">
        <v>673</v>
      </c>
      <c r="S248" s="1" t="s">
        <v>42</v>
      </c>
      <c r="T248" s="1">
        <v>1522.51</v>
      </c>
      <c r="U248" s="1" t="s">
        <v>43</v>
      </c>
      <c r="V248" s="1" t="s">
        <v>30</v>
      </c>
      <c r="W248" s="1" t="s">
        <v>39</v>
      </c>
      <c r="X248" s="1" t="s">
        <v>30</v>
      </c>
      <c r="Y248" s="1" t="s">
        <v>39</v>
      </c>
      <c r="Z248" s="1" t="s">
        <v>44</v>
      </c>
    </row>
    <row r="249" spans="1:26" ht="15.75" x14ac:dyDescent="0.25">
      <c r="A249" s="1" t="s">
        <v>26</v>
      </c>
      <c r="B249" s="1" t="s">
        <v>27</v>
      </c>
      <c r="C249" s="1" t="s">
        <v>608</v>
      </c>
      <c r="D249" s="1" t="s">
        <v>670</v>
      </c>
      <c r="E249" s="1" t="s">
        <v>30</v>
      </c>
      <c r="F249" s="1" t="s">
        <v>671</v>
      </c>
      <c r="G249" s="1" t="s">
        <v>45</v>
      </c>
      <c r="H249" s="1" t="s">
        <v>137</v>
      </c>
      <c r="I249" s="1" t="s">
        <v>220</v>
      </c>
      <c r="J249" s="1">
        <v>2.69</v>
      </c>
      <c r="K249" s="1" t="s">
        <v>672</v>
      </c>
      <c r="L249" s="1" t="s">
        <v>36</v>
      </c>
      <c r="M249" s="1">
        <v>1</v>
      </c>
      <c r="N249" s="1" t="s">
        <v>74</v>
      </c>
      <c r="O249" s="1" t="s">
        <v>38</v>
      </c>
      <c r="P249" s="1" t="s">
        <v>39</v>
      </c>
      <c r="Q249" s="1" t="s">
        <v>75</v>
      </c>
      <c r="R249" s="1" t="s">
        <v>673</v>
      </c>
      <c r="S249" s="1" t="s">
        <v>42</v>
      </c>
      <c r="T249" s="1">
        <v>1522.51</v>
      </c>
      <c r="U249" s="1" t="s">
        <v>43</v>
      </c>
      <c r="V249" s="1" t="s">
        <v>30</v>
      </c>
      <c r="W249" s="1" t="s">
        <v>39</v>
      </c>
      <c r="X249" s="1" t="s">
        <v>30</v>
      </c>
      <c r="Y249" s="1" t="s">
        <v>39</v>
      </c>
      <c r="Z249" s="1" t="s">
        <v>44</v>
      </c>
    </row>
    <row r="250" spans="1:26" ht="15.75" x14ac:dyDescent="0.25">
      <c r="A250" s="1" t="s">
        <v>26</v>
      </c>
      <c r="B250" s="1" t="s">
        <v>27</v>
      </c>
      <c r="C250" s="1" t="s">
        <v>608</v>
      </c>
      <c r="D250" s="1" t="s">
        <v>674</v>
      </c>
      <c r="E250" s="1" t="s">
        <v>30</v>
      </c>
      <c r="F250" s="1" t="s">
        <v>675</v>
      </c>
      <c r="G250" s="1" t="s">
        <v>54</v>
      </c>
      <c r="H250" s="1" t="s">
        <v>90</v>
      </c>
      <c r="I250" s="1" t="s">
        <v>50</v>
      </c>
      <c r="J250" s="1">
        <v>16.34</v>
      </c>
      <c r="K250" s="1" t="s">
        <v>676</v>
      </c>
      <c r="L250" s="1" t="s">
        <v>36</v>
      </c>
      <c r="M250" s="1">
        <v>6.05</v>
      </c>
      <c r="N250" s="1" t="s">
        <v>339</v>
      </c>
      <c r="O250" s="1" t="s">
        <v>38</v>
      </c>
      <c r="P250" s="1" t="s">
        <v>39</v>
      </c>
      <c r="Q250" s="1" t="s">
        <v>340</v>
      </c>
      <c r="R250" s="1" t="s">
        <v>677</v>
      </c>
      <c r="S250" s="1" t="s">
        <v>42</v>
      </c>
      <c r="T250" s="1">
        <v>1522.51</v>
      </c>
      <c r="U250" s="1" t="s">
        <v>43</v>
      </c>
      <c r="V250" s="1" t="s">
        <v>30</v>
      </c>
      <c r="W250" s="1" t="s">
        <v>39</v>
      </c>
      <c r="X250" s="1" t="s">
        <v>30</v>
      </c>
      <c r="Y250" s="1" t="s">
        <v>39</v>
      </c>
      <c r="Z250" s="1" t="s">
        <v>44</v>
      </c>
    </row>
    <row r="251" spans="1:26" ht="15.75" x14ac:dyDescent="0.25">
      <c r="A251" s="1" t="s">
        <v>26</v>
      </c>
      <c r="B251" s="1" t="s">
        <v>27</v>
      </c>
      <c r="C251" s="1" t="s">
        <v>608</v>
      </c>
      <c r="D251" s="1" t="s">
        <v>678</v>
      </c>
      <c r="E251" s="1" t="s">
        <v>30</v>
      </c>
      <c r="F251" s="1" t="s">
        <v>679</v>
      </c>
      <c r="G251" s="1" t="s">
        <v>54</v>
      </c>
      <c r="H251" s="1" t="s">
        <v>33</v>
      </c>
      <c r="I251" s="1" t="s">
        <v>34</v>
      </c>
      <c r="J251" s="1">
        <v>16.34</v>
      </c>
      <c r="K251" s="1" t="s">
        <v>680</v>
      </c>
      <c r="L251" s="1" t="s">
        <v>36</v>
      </c>
      <c r="M251" s="1">
        <v>6.05</v>
      </c>
      <c r="N251" s="1" t="s">
        <v>399</v>
      </c>
      <c r="O251" s="1" t="s">
        <v>38</v>
      </c>
      <c r="P251" s="1" t="s">
        <v>39</v>
      </c>
      <c r="Q251" s="1" t="s">
        <v>400</v>
      </c>
      <c r="R251" s="1" t="s">
        <v>681</v>
      </c>
      <c r="S251" s="1" t="s">
        <v>42</v>
      </c>
      <c r="T251" s="1">
        <v>1522.51</v>
      </c>
      <c r="U251" s="1" t="s">
        <v>43</v>
      </c>
      <c r="V251" s="1" t="s">
        <v>30</v>
      </c>
      <c r="W251" s="1" t="s">
        <v>39</v>
      </c>
      <c r="X251" s="1" t="s">
        <v>30</v>
      </c>
      <c r="Y251" s="1" t="s">
        <v>39</v>
      </c>
      <c r="Z251" s="1" t="s">
        <v>44</v>
      </c>
    </row>
    <row r="252" spans="1:26" ht="15.75" x14ac:dyDescent="0.25">
      <c r="A252" s="1" t="s">
        <v>26</v>
      </c>
      <c r="B252" s="1" t="s">
        <v>27</v>
      </c>
      <c r="C252" s="1" t="s">
        <v>608</v>
      </c>
      <c r="D252" s="1" t="s">
        <v>682</v>
      </c>
      <c r="E252" s="1" t="s">
        <v>30</v>
      </c>
      <c r="F252" s="1" t="s">
        <v>683</v>
      </c>
      <c r="G252" s="1" t="s">
        <v>32</v>
      </c>
      <c r="H252" s="1" t="s">
        <v>33</v>
      </c>
      <c r="I252" s="1" t="s">
        <v>34</v>
      </c>
      <c r="J252" s="1">
        <v>29.58</v>
      </c>
      <c r="K252" s="1" t="s">
        <v>680</v>
      </c>
      <c r="L252" s="1" t="s">
        <v>36</v>
      </c>
      <c r="M252" s="1">
        <v>10.94</v>
      </c>
      <c r="N252" s="1" t="s">
        <v>684</v>
      </c>
      <c r="O252" s="1" t="s">
        <v>38</v>
      </c>
      <c r="P252" s="1" t="s">
        <v>39</v>
      </c>
      <c r="Q252" s="1" t="s">
        <v>685</v>
      </c>
      <c r="R252" s="1" t="s">
        <v>686</v>
      </c>
      <c r="S252" s="1" t="s">
        <v>42</v>
      </c>
      <c r="T252" s="1">
        <v>1522.51</v>
      </c>
      <c r="U252" s="1" t="s">
        <v>43</v>
      </c>
      <c r="V252" s="1" t="s">
        <v>30</v>
      </c>
      <c r="W252" s="1" t="s">
        <v>39</v>
      </c>
      <c r="X252" s="1" t="s">
        <v>30</v>
      </c>
      <c r="Y252" s="1" t="s">
        <v>39</v>
      </c>
      <c r="Z252" s="1" t="s">
        <v>44</v>
      </c>
    </row>
    <row r="253" spans="1:26" ht="15.75" x14ac:dyDescent="0.25">
      <c r="A253" s="1" t="s">
        <v>26</v>
      </c>
      <c r="B253" s="1" t="s">
        <v>27</v>
      </c>
      <c r="C253" s="1" t="s">
        <v>608</v>
      </c>
      <c r="D253" s="1" t="s">
        <v>687</v>
      </c>
      <c r="E253" s="1" t="s">
        <v>30</v>
      </c>
      <c r="F253" s="1" t="s">
        <v>683</v>
      </c>
      <c r="G253" s="1" t="s">
        <v>54</v>
      </c>
      <c r="H253" s="1" t="s">
        <v>33</v>
      </c>
      <c r="I253" s="1" t="s">
        <v>34</v>
      </c>
      <c r="J253" s="1">
        <v>9.66</v>
      </c>
      <c r="K253" s="1" t="s">
        <v>680</v>
      </c>
      <c r="L253" s="1" t="s">
        <v>36</v>
      </c>
      <c r="M253" s="1">
        <v>3.57</v>
      </c>
      <c r="N253" s="1" t="s">
        <v>684</v>
      </c>
      <c r="O253" s="1" t="s">
        <v>38</v>
      </c>
      <c r="P253" s="1" t="s">
        <v>39</v>
      </c>
      <c r="Q253" s="1" t="s">
        <v>685</v>
      </c>
      <c r="R253" s="1" t="s">
        <v>686</v>
      </c>
      <c r="S253" s="1" t="s">
        <v>42</v>
      </c>
      <c r="T253" s="1">
        <v>1522.51</v>
      </c>
      <c r="U253" s="1" t="s">
        <v>43</v>
      </c>
      <c r="V253" s="1" t="s">
        <v>30</v>
      </c>
      <c r="W253" s="1" t="s">
        <v>39</v>
      </c>
      <c r="X253" s="1" t="s">
        <v>30</v>
      </c>
      <c r="Y253" s="1" t="s">
        <v>39</v>
      </c>
      <c r="Z253" s="1" t="s">
        <v>44</v>
      </c>
    </row>
    <row r="254" spans="1:26" ht="15.75" x14ac:dyDescent="0.25">
      <c r="A254" s="1" t="s">
        <v>26</v>
      </c>
      <c r="B254" s="1" t="s">
        <v>27</v>
      </c>
      <c r="C254" s="1" t="s">
        <v>608</v>
      </c>
      <c r="D254" s="1" t="s">
        <v>688</v>
      </c>
      <c r="E254" s="1" t="s">
        <v>30</v>
      </c>
      <c r="F254" s="1" t="s">
        <v>689</v>
      </c>
      <c r="G254" s="1" t="s">
        <v>32</v>
      </c>
      <c r="H254" s="1" t="s">
        <v>50</v>
      </c>
      <c r="I254" s="1" t="s">
        <v>137</v>
      </c>
      <c r="J254" s="1">
        <v>72.59</v>
      </c>
      <c r="K254" s="1" t="s">
        <v>690</v>
      </c>
      <c r="L254" s="1" t="s">
        <v>36</v>
      </c>
      <c r="M254" s="1">
        <v>0</v>
      </c>
      <c r="N254" s="1" t="s">
        <v>66</v>
      </c>
      <c r="O254" s="1" t="s">
        <v>38</v>
      </c>
      <c r="P254" s="1" t="s">
        <v>691</v>
      </c>
      <c r="Q254" s="1" t="s">
        <v>68</v>
      </c>
      <c r="R254" s="1" t="s">
        <v>692</v>
      </c>
      <c r="S254" s="1" t="s">
        <v>42</v>
      </c>
      <c r="T254" s="1">
        <v>1522.51</v>
      </c>
      <c r="U254" s="1" t="s">
        <v>43</v>
      </c>
      <c r="V254" s="1" t="s">
        <v>30</v>
      </c>
      <c r="W254" s="1" t="s">
        <v>39</v>
      </c>
      <c r="X254" s="1" t="s">
        <v>30</v>
      </c>
      <c r="Y254" s="1" t="s">
        <v>39</v>
      </c>
      <c r="Z254" s="1" t="s">
        <v>44</v>
      </c>
    </row>
    <row r="255" spans="1:26" ht="15.75" x14ac:dyDescent="0.25">
      <c r="A255" s="1" t="s">
        <v>26</v>
      </c>
      <c r="B255" s="1" t="s">
        <v>27</v>
      </c>
      <c r="C255" s="1" t="s">
        <v>608</v>
      </c>
      <c r="D255" s="1" t="s">
        <v>688</v>
      </c>
      <c r="E255" s="1" t="s">
        <v>30</v>
      </c>
      <c r="F255" s="1" t="s">
        <v>689</v>
      </c>
      <c r="G255" s="1" t="s">
        <v>45</v>
      </c>
      <c r="H255" s="1" t="s">
        <v>50</v>
      </c>
      <c r="I255" s="1" t="s">
        <v>137</v>
      </c>
      <c r="J255" s="1">
        <v>2.69</v>
      </c>
      <c r="K255" s="1" t="s">
        <v>690</v>
      </c>
      <c r="L255" s="1" t="s">
        <v>36</v>
      </c>
      <c r="M255" s="1">
        <v>0</v>
      </c>
      <c r="N255" s="1" t="s">
        <v>66</v>
      </c>
      <c r="O255" s="1" t="s">
        <v>38</v>
      </c>
      <c r="P255" s="1" t="s">
        <v>472</v>
      </c>
      <c r="Q255" s="1" t="s">
        <v>68</v>
      </c>
      <c r="R255" s="1" t="s">
        <v>692</v>
      </c>
      <c r="S255" s="1" t="s">
        <v>42</v>
      </c>
      <c r="T255" s="1">
        <v>1522.51</v>
      </c>
      <c r="U255" s="1" t="s">
        <v>43</v>
      </c>
      <c r="V255" s="1" t="s">
        <v>30</v>
      </c>
      <c r="W255" s="1" t="s">
        <v>39</v>
      </c>
      <c r="X255" s="1" t="s">
        <v>30</v>
      </c>
      <c r="Y255" s="1" t="s">
        <v>39</v>
      </c>
      <c r="Z255" s="1" t="s">
        <v>44</v>
      </c>
    </row>
    <row r="256" spans="1:26" ht="15.75" x14ac:dyDescent="0.25">
      <c r="A256" s="1" t="s">
        <v>26</v>
      </c>
      <c r="B256" s="1" t="s">
        <v>27</v>
      </c>
      <c r="C256" s="1" t="s">
        <v>608</v>
      </c>
      <c r="D256" s="1" t="s">
        <v>693</v>
      </c>
      <c r="E256" s="1" t="s">
        <v>30</v>
      </c>
      <c r="F256" s="1" t="s">
        <v>694</v>
      </c>
      <c r="G256" s="1" t="s">
        <v>32</v>
      </c>
      <c r="H256" s="1" t="s">
        <v>137</v>
      </c>
      <c r="I256" s="1" t="s">
        <v>220</v>
      </c>
      <c r="J256" s="1">
        <v>46.59</v>
      </c>
      <c r="K256" s="1" t="s">
        <v>695</v>
      </c>
      <c r="L256" s="1" t="s">
        <v>36</v>
      </c>
      <c r="M256" s="1">
        <v>17.239999999999998</v>
      </c>
      <c r="N256" s="1" t="s">
        <v>132</v>
      </c>
      <c r="O256" s="1" t="s">
        <v>38</v>
      </c>
      <c r="P256" s="1" t="s">
        <v>39</v>
      </c>
      <c r="Q256" s="1" t="s">
        <v>133</v>
      </c>
      <c r="R256" s="1" t="s">
        <v>696</v>
      </c>
      <c r="S256" s="1" t="s">
        <v>42</v>
      </c>
      <c r="T256" s="1">
        <v>1522.51</v>
      </c>
      <c r="U256" s="1" t="s">
        <v>43</v>
      </c>
      <c r="V256" s="1" t="s">
        <v>30</v>
      </c>
      <c r="W256" s="1" t="s">
        <v>39</v>
      </c>
      <c r="X256" s="1" t="s">
        <v>30</v>
      </c>
      <c r="Y256" s="1" t="s">
        <v>39</v>
      </c>
      <c r="Z256" s="1" t="s">
        <v>44</v>
      </c>
    </row>
    <row r="257" spans="1:26" ht="15.75" x14ac:dyDescent="0.25">
      <c r="A257" s="1" t="s">
        <v>26</v>
      </c>
      <c r="B257" s="1" t="s">
        <v>27</v>
      </c>
      <c r="C257" s="1" t="s">
        <v>608</v>
      </c>
      <c r="D257" s="1" t="s">
        <v>693</v>
      </c>
      <c r="E257" s="1" t="s">
        <v>30</v>
      </c>
      <c r="F257" s="1" t="s">
        <v>694</v>
      </c>
      <c r="G257" s="1" t="s">
        <v>45</v>
      </c>
      <c r="H257" s="1" t="s">
        <v>137</v>
      </c>
      <c r="I257" s="1" t="s">
        <v>220</v>
      </c>
      <c r="J257" s="1">
        <v>1.5</v>
      </c>
      <c r="K257" s="1" t="s">
        <v>695</v>
      </c>
      <c r="L257" s="1" t="s">
        <v>36</v>
      </c>
      <c r="M257" s="1">
        <v>0.55000000000000004</v>
      </c>
      <c r="N257" s="1" t="s">
        <v>132</v>
      </c>
      <c r="O257" s="1" t="s">
        <v>38</v>
      </c>
      <c r="P257" s="1" t="s">
        <v>39</v>
      </c>
      <c r="Q257" s="1" t="s">
        <v>133</v>
      </c>
      <c r="R257" s="1" t="s">
        <v>696</v>
      </c>
      <c r="S257" s="1" t="s">
        <v>42</v>
      </c>
      <c r="T257" s="1">
        <v>1522.51</v>
      </c>
      <c r="U257" s="1" t="s">
        <v>43</v>
      </c>
      <c r="V257" s="1" t="s">
        <v>30</v>
      </c>
      <c r="W257" s="1" t="s">
        <v>39</v>
      </c>
      <c r="X257" s="1" t="s">
        <v>30</v>
      </c>
      <c r="Y257" s="1" t="s">
        <v>39</v>
      </c>
      <c r="Z257" s="1" t="s">
        <v>44</v>
      </c>
    </row>
    <row r="258" spans="1:26" ht="15.75" x14ac:dyDescent="0.25">
      <c r="A258" s="1" t="s">
        <v>26</v>
      </c>
      <c r="B258" s="1" t="s">
        <v>27</v>
      </c>
      <c r="C258" s="1" t="s">
        <v>608</v>
      </c>
      <c r="D258" s="1" t="s">
        <v>697</v>
      </c>
      <c r="E258" s="1" t="s">
        <v>30</v>
      </c>
      <c r="F258" s="1" t="s">
        <v>698</v>
      </c>
      <c r="G258" s="1" t="s">
        <v>32</v>
      </c>
      <c r="H258" s="1" t="s">
        <v>33</v>
      </c>
      <c r="I258" s="1" t="s">
        <v>34</v>
      </c>
      <c r="J258" s="1">
        <v>42.35</v>
      </c>
      <c r="K258" s="1" t="s">
        <v>345</v>
      </c>
      <c r="L258" s="1" t="s">
        <v>36</v>
      </c>
      <c r="M258" s="1">
        <v>15.67</v>
      </c>
      <c r="N258" s="1" t="s">
        <v>267</v>
      </c>
      <c r="O258" s="1" t="s">
        <v>38</v>
      </c>
      <c r="P258" s="1" t="s">
        <v>39</v>
      </c>
      <c r="Q258" s="1" t="s">
        <v>268</v>
      </c>
      <c r="R258" s="1" t="s">
        <v>699</v>
      </c>
      <c r="S258" s="1" t="s">
        <v>42</v>
      </c>
      <c r="T258" s="1">
        <v>1522.51</v>
      </c>
      <c r="U258" s="1" t="s">
        <v>43</v>
      </c>
      <c r="V258" s="1" t="s">
        <v>30</v>
      </c>
      <c r="W258" s="1" t="s">
        <v>39</v>
      </c>
      <c r="X258" s="1" t="s">
        <v>30</v>
      </c>
      <c r="Y258" s="1" t="s">
        <v>39</v>
      </c>
      <c r="Z258" s="1" t="s">
        <v>44</v>
      </c>
    </row>
    <row r="259" spans="1:26" ht="15.75" x14ac:dyDescent="0.25">
      <c r="A259" s="1" t="s">
        <v>26</v>
      </c>
      <c r="B259" s="1" t="s">
        <v>27</v>
      </c>
      <c r="C259" s="1" t="s">
        <v>608</v>
      </c>
      <c r="D259" s="1" t="s">
        <v>697</v>
      </c>
      <c r="E259" s="1" t="s">
        <v>30</v>
      </c>
      <c r="F259" s="1" t="s">
        <v>698</v>
      </c>
      <c r="G259" s="1" t="s">
        <v>45</v>
      </c>
      <c r="H259" s="1" t="s">
        <v>33</v>
      </c>
      <c r="I259" s="1" t="s">
        <v>34</v>
      </c>
      <c r="J259" s="1">
        <v>1.5</v>
      </c>
      <c r="K259" s="1" t="s">
        <v>345</v>
      </c>
      <c r="L259" s="1" t="s">
        <v>36</v>
      </c>
      <c r="M259" s="1">
        <v>0.55000000000000004</v>
      </c>
      <c r="N259" s="1" t="s">
        <v>267</v>
      </c>
      <c r="O259" s="1" t="s">
        <v>38</v>
      </c>
      <c r="P259" s="1" t="s">
        <v>39</v>
      </c>
      <c r="Q259" s="1" t="s">
        <v>268</v>
      </c>
      <c r="R259" s="1" t="s">
        <v>699</v>
      </c>
      <c r="S259" s="1" t="s">
        <v>42</v>
      </c>
      <c r="T259" s="1">
        <v>1522.51</v>
      </c>
      <c r="U259" s="1" t="s">
        <v>43</v>
      </c>
      <c r="V259" s="1" t="s">
        <v>30</v>
      </c>
      <c r="W259" s="1" t="s">
        <v>39</v>
      </c>
      <c r="X259" s="1" t="s">
        <v>30</v>
      </c>
      <c r="Y259" s="1" t="s">
        <v>39</v>
      </c>
      <c r="Z259" s="1" t="s">
        <v>44</v>
      </c>
    </row>
    <row r="260" spans="1:26" ht="15.75" x14ac:dyDescent="0.25">
      <c r="A260" s="1" t="s">
        <v>26</v>
      </c>
      <c r="B260" s="1" t="s">
        <v>27</v>
      </c>
      <c r="C260" s="1" t="s">
        <v>608</v>
      </c>
      <c r="D260" s="1" t="s">
        <v>700</v>
      </c>
      <c r="E260" s="1" t="s">
        <v>30</v>
      </c>
      <c r="F260" s="1" t="s">
        <v>701</v>
      </c>
      <c r="G260" s="1" t="s">
        <v>32</v>
      </c>
      <c r="H260" s="1" t="s">
        <v>33</v>
      </c>
      <c r="I260" s="1" t="s">
        <v>34</v>
      </c>
      <c r="J260" s="1">
        <v>46.59</v>
      </c>
      <c r="K260" s="1" t="s">
        <v>345</v>
      </c>
      <c r="L260" s="1" t="s">
        <v>36</v>
      </c>
      <c r="M260" s="1">
        <v>17.239999999999998</v>
      </c>
      <c r="N260" s="1" t="s">
        <v>267</v>
      </c>
      <c r="O260" s="1" t="s">
        <v>38</v>
      </c>
      <c r="P260" s="1" t="s">
        <v>39</v>
      </c>
      <c r="Q260" s="1" t="s">
        <v>268</v>
      </c>
      <c r="R260" s="1" t="s">
        <v>702</v>
      </c>
      <c r="S260" s="1" t="s">
        <v>42</v>
      </c>
      <c r="T260" s="1">
        <v>1522.51</v>
      </c>
      <c r="U260" s="1" t="s">
        <v>43</v>
      </c>
      <c r="V260" s="1" t="s">
        <v>30</v>
      </c>
      <c r="W260" s="1" t="s">
        <v>39</v>
      </c>
      <c r="X260" s="1" t="s">
        <v>30</v>
      </c>
      <c r="Y260" s="1" t="s">
        <v>39</v>
      </c>
      <c r="Z260" s="1" t="s">
        <v>44</v>
      </c>
    </row>
    <row r="261" spans="1:26" ht="15.75" x14ac:dyDescent="0.25">
      <c r="A261" s="1" t="s">
        <v>26</v>
      </c>
      <c r="B261" s="1" t="s">
        <v>27</v>
      </c>
      <c r="C261" s="1" t="s">
        <v>608</v>
      </c>
      <c r="D261" s="1" t="s">
        <v>700</v>
      </c>
      <c r="E261" s="1" t="s">
        <v>30</v>
      </c>
      <c r="F261" s="1" t="s">
        <v>701</v>
      </c>
      <c r="G261" s="1" t="s">
        <v>45</v>
      </c>
      <c r="H261" s="1" t="s">
        <v>33</v>
      </c>
      <c r="I261" s="1" t="s">
        <v>34</v>
      </c>
      <c r="J261" s="1">
        <v>1.5</v>
      </c>
      <c r="K261" s="1" t="s">
        <v>345</v>
      </c>
      <c r="L261" s="1" t="s">
        <v>36</v>
      </c>
      <c r="M261" s="1">
        <v>0.55000000000000004</v>
      </c>
      <c r="N261" s="1" t="s">
        <v>267</v>
      </c>
      <c r="O261" s="1" t="s">
        <v>38</v>
      </c>
      <c r="P261" s="1" t="s">
        <v>39</v>
      </c>
      <c r="Q261" s="1" t="s">
        <v>268</v>
      </c>
      <c r="R261" s="1" t="s">
        <v>702</v>
      </c>
      <c r="S261" s="1" t="s">
        <v>42</v>
      </c>
      <c r="T261" s="1">
        <v>1522.51</v>
      </c>
      <c r="U261" s="1" t="s">
        <v>43</v>
      </c>
      <c r="V261" s="1" t="s">
        <v>30</v>
      </c>
      <c r="W261" s="1" t="s">
        <v>39</v>
      </c>
      <c r="X261" s="1" t="s">
        <v>30</v>
      </c>
      <c r="Y261" s="1" t="s">
        <v>39</v>
      </c>
      <c r="Z261" s="1" t="s">
        <v>44</v>
      </c>
    </row>
    <row r="262" spans="1:26" ht="15.75" x14ac:dyDescent="0.25">
      <c r="A262" s="1" t="s">
        <v>26</v>
      </c>
      <c r="B262" s="1" t="s">
        <v>27</v>
      </c>
      <c r="C262" s="1" t="s">
        <v>608</v>
      </c>
      <c r="D262" s="1" t="s">
        <v>703</v>
      </c>
      <c r="E262" s="1" t="s">
        <v>30</v>
      </c>
      <c r="F262" s="1" t="s">
        <v>704</v>
      </c>
      <c r="G262" s="1" t="s">
        <v>32</v>
      </c>
      <c r="H262" s="1" t="s">
        <v>33</v>
      </c>
      <c r="I262" s="1" t="s">
        <v>34</v>
      </c>
      <c r="J262" s="1">
        <v>39.15</v>
      </c>
      <c r="K262" s="1" t="s">
        <v>345</v>
      </c>
      <c r="L262" s="1" t="s">
        <v>36</v>
      </c>
      <c r="M262" s="1">
        <v>14.49</v>
      </c>
      <c r="N262" s="1" t="s">
        <v>705</v>
      </c>
      <c r="O262" s="1" t="s">
        <v>38</v>
      </c>
      <c r="P262" s="1" t="s">
        <v>39</v>
      </c>
      <c r="Q262" s="1" t="s">
        <v>706</v>
      </c>
      <c r="R262" s="1" t="s">
        <v>707</v>
      </c>
      <c r="S262" s="1" t="s">
        <v>42</v>
      </c>
      <c r="T262" s="1">
        <v>1522.51</v>
      </c>
      <c r="U262" s="1" t="s">
        <v>43</v>
      </c>
      <c r="V262" s="1" t="s">
        <v>30</v>
      </c>
      <c r="W262" s="1" t="s">
        <v>39</v>
      </c>
      <c r="X262" s="1" t="s">
        <v>30</v>
      </c>
      <c r="Y262" s="1" t="s">
        <v>39</v>
      </c>
      <c r="Z262" s="1" t="s">
        <v>44</v>
      </c>
    </row>
    <row r="263" spans="1:26" ht="15.75" x14ac:dyDescent="0.25">
      <c r="A263" s="1" t="s">
        <v>26</v>
      </c>
      <c r="B263" s="1" t="s">
        <v>27</v>
      </c>
      <c r="C263" s="1" t="s">
        <v>608</v>
      </c>
      <c r="D263" s="1" t="s">
        <v>708</v>
      </c>
      <c r="E263" s="1" t="s">
        <v>30</v>
      </c>
      <c r="F263" s="1" t="s">
        <v>704</v>
      </c>
      <c r="G263" s="1" t="s">
        <v>54</v>
      </c>
      <c r="H263" s="1" t="s">
        <v>33</v>
      </c>
      <c r="I263" s="1" t="s">
        <v>34</v>
      </c>
      <c r="J263" s="1">
        <v>16.34</v>
      </c>
      <c r="K263" s="1" t="s">
        <v>345</v>
      </c>
      <c r="L263" s="1" t="s">
        <v>36</v>
      </c>
      <c r="M263" s="1">
        <v>6.05</v>
      </c>
      <c r="N263" s="1" t="s">
        <v>705</v>
      </c>
      <c r="O263" s="1" t="s">
        <v>38</v>
      </c>
      <c r="P263" s="1" t="s">
        <v>39</v>
      </c>
      <c r="Q263" s="1" t="s">
        <v>706</v>
      </c>
      <c r="R263" s="1" t="s">
        <v>707</v>
      </c>
      <c r="S263" s="1" t="s">
        <v>42</v>
      </c>
      <c r="T263" s="1">
        <v>1522.51</v>
      </c>
      <c r="U263" s="1" t="s">
        <v>43</v>
      </c>
      <c r="V263" s="1" t="s">
        <v>30</v>
      </c>
      <c r="W263" s="1" t="s">
        <v>39</v>
      </c>
      <c r="X263" s="1" t="s">
        <v>30</v>
      </c>
      <c r="Y263" s="1" t="s">
        <v>39</v>
      </c>
      <c r="Z263" s="1" t="s">
        <v>44</v>
      </c>
    </row>
    <row r="264" spans="1:26" ht="15.75" x14ac:dyDescent="0.25">
      <c r="A264" s="1" t="s">
        <v>26</v>
      </c>
      <c r="B264" s="1" t="s">
        <v>27</v>
      </c>
      <c r="C264" s="1" t="s">
        <v>709</v>
      </c>
      <c r="D264" s="1" t="s">
        <v>710</v>
      </c>
      <c r="E264" s="1" t="s">
        <v>30</v>
      </c>
      <c r="F264" s="1" t="s">
        <v>711</v>
      </c>
      <c r="G264" s="1" t="s">
        <v>32</v>
      </c>
      <c r="H264" s="1" t="s">
        <v>90</v>
      </c>
      <c r="I264" s="1" t="s">
        <v>50</v>
      </c>
      <c r="J264" s="1">
        <v>40.729999999999997</v>
      </c>
      <c r="K264" s="1" t="s">
        <v>90</v>
      </c>
      <c r="L264" s="1" t="s">
        <v>36</v>
      </c>
      <c r="M264" s="1">
        <v>15.07</v>
      </c>
      <c r="N264" s="1" t="s">
        <v>267</v>
      </c>
      <c r="O264" s="1" t="s">
        <v>38</v>
      </c>
      <c r="P264" s="1" t="s">
        <v>39</v>
      </c>
      <c r="Q264" s="1" t="s">
        <v>268</v>
      </c>
      <c r="R264" s="1" t="s">
        <v>712</v>
      </c>
      <c r="S264" s="1" t="s">
        <v>42</v>
      </c>
      <c r="T264" s="1">
        <v>1522.51</v>
      </c>
      <c r="U264" s="1" t="s">
        <v>43</v>
      </c>
      <c r="V264" s="1" t="s">
        <v>30</v>
      </c>
      <c r="W264" s="1" t="s">
        <v>39</v>
      </c>
      <c r="X264" s="1" t="s">
        <v>30</v>
      </c>
      <c r="Y264" s="1" t="s">
        <v>39</v>
      </c>
      <c r="Z264" s="1" t="s">
        <v>44</v>
      </c>
    </row>
    <row r="265" spans="1:26" ht="15.75" x14ac:dyDescent="0.25">
      <c r="A265" s="1" t="s">
        <v>26</v>
      </c>
      <c r="B265" s="1" t="s">
        <v>27</v>
      </c>
      <c r="C265" s="1" t="s">
        <v>709</v>
      </c>
      <c r="D265" s="1" t="s">
        <v>713</v>
      </c>
      <c r="E265" s="1" t="s">
        <v>30</v>
      </c>
      <c r="F265" s="1" t="s">
        <v>714</v>
      </c>
      <c r="G265" s="1" t="s">
        <v>32</v>
      </c>
      <c r="H265" s="1" t="s">
        <v>58</v>
      </c>
      <c r="I265" s="1" t="s">
        <v>50</v>
      </c>
      <c r="J265" s="1">
        <v>37.03</v>
      </c>
      <c r="K265" s="1" t="s">
        <v>58</v>
      </c>
      <c r="L265" s="1" t="s">
        <v>36</v>
      </c>
      <c r="M265" s="1">
        <v>13.7</v>
      </c>
      <c r="N265" s="1" t="s">
        <v>116</v>
      </c>
      <c r="O265" s="1" t="s">
        <v>38</v>
      </c>
      <c r="P265" s="1" t="s">
        <v>39</v>
      </c>
      <c r="Q265" s="1" t="s">
        <v>117</v>
      </c>
      <c r="R265" s="1" t="s">
        <v>715</v>
      </c>
      <c r="S265" s="1" t="s">
        <v>42</v>
      </c>
      <c r="T265" s="1">
        <v>1522.51</v>
      </c>
      <c r="U265" s="1" t="s">
        <v>43</v>
      </c>
      <c r="V265" s="1" t="s">
        <v>30</v>
      </c>
      <c r="W265" s="1" t="s">
        <v>39</v>
      </c>
      <c r="X265" s="1" t="s">
        <v>30</v>
      </c>
      <c r="Y265" s="1" t="s">
        <v>39</v>
      </c>
      <c r="Z265" s="1" t="s">
        <v>44</v>
      </c>
    </row>
    <row r="266" spans="1:26" ht="15.75" x14ac:dyDescent="0.25">
      <c r="A266" s="1" t="s">
        <v>26</v>
      </c>
      <c r="B266" s="1" t="s">
        <v>27</v>
      </c>
      <c r="C266" s="1" t="s">
        <v>709</v>
      </c>
      <c r="D266" s="1" t="s">
        <v>716</v>
      </c>
      <c r="E266" s="1" t="s">
        <v>30</v>
      </c>
      <c r="F266" s="1" t="s">
        <v>717</v>
      </c>
      <c r="G266" s="1" t="s">
        <v>32</v>
      </c>
      <c r="H266" s="1" t="s">
        <v>49</v>
      </c>
      <c r="I266" s="1" t="s">
        <v>50</v>
      </c>
      <c r="J266" s="1">
        <v>42.35</v>
      </c>
      <c r="K266" s="1" t="s">
        <v>49</v>
      </c>
      <c r="L266" s="1" t="s">
        <v>36</v>
      </c>
      <c r="M266" s="1">
        <v>15.67</v>
      </c>
      <c r="N266" s="1" t="s">
        <v>116</v>
      </c>
      <c r="O266" s="1" t="s">
        <v>38</v>
      </c>
      <c r="P266" s="1" t="s">
        <v>39</v>
      </c>
      <c r="Q266" s="1" t="s">
        <v>117</v>
      </c>
      <c r="R266" s="1" t="s">
        <v>718</v>
      </c>
      <c r="S266" s="1" t="s">
        <v>42</v>
      </c>
      <c r="T266" s="1">
        <v>1522.51</v>
      </c>
      <c r="U266" s="1" t="s">
        <v>43</v>
      </c>
      <c r="V266" s="1" t="s">
        <v>30</v>
      </c>
      <c r="W266" s="1" t="s">
        <v>39</v>
      </c>
      <c r="X266" s="1" t="s">
        <v>30</v>
      </c>
      <c r="Y266" s="1" t="s">
        <v>39</v>
      </c>
      <c r="Z266" s="1" t="s">
        <v>44</v>
      </c>
    </row>
    <row r="267" spans="1:26" ht="15.75" x14ac:dyDescent="0.25">
      <c r="A267" s="1" t="s">
        <v>26</v>
      </c>
      <c r="B267" s="1" t="s">
        <v>27</v>
      </c>
      <c r="C267" s="1" t="s">
        <v>709</v>
      </c>
      <c r="D267" s="1" t="s">
        <v>716</v>
      </c>
      <c r="E267" s="1" t="s">
        <v>30</v>
      </c>
      <c r="F267" s="1" t="s">
        <v>717</v>
      </c>
      <c r="G267" s="1" t="s">
        <v>45</v>
      </c>
      <c r="H267" s="1" t="s">
        <v>49</v>
      </c>
      <c r="I267" s="1" t="s">
        <v>50</v>
      </c>
      <c r="J267" s="1">
        <v>1.5</v>
      </c>
      <c r="K267" s="1" t="s">
        <v>49</v>
      </c>
      <c r="L267" s="1" t="s">
        <v>36</v>
      </c>
      <c r="M267" s="1">
        <v>0.55000000000000004</v>
      </c>
      <c r="N267" s="1" t="s">
        <v>116</v>
      </c>
      <c r="O267" s="1" t="s">
        <v>38</v>
      </c>
      <c r="P267" s="1" t="s">
        <v>39</v>
      </c>
      <c r="Q267" s="1" t="s">
        <v>117</v>
      </c>
      <c r="R267" s="1" t="s">
        <v>718</v>
      </c>
      <c r="S267" s="1" t="s">
        <v>42</v>
      </c>
      <c r="T267" s="1">
        <v>1522.51</v>
      </c>
      <c r="U267" s="1" t="s">
        <v>43</v>
      </c>
      <c r="V267" s="1" t="s">
        <v>30</v>
      </c>
      <c r="W267" s="1" t="s">
        <v>39</v>
      </c>
      <c r="X267" s="1" t="s">
        <v>30</v>
      </c>
      <c r="Y267" s="1" t="s">
        <v>39</v>
      </c>
      <c r="Z267" s="1" t="s">
        <v>44</v>
      </c>
    </row>
    <row r="268" spans="1:26" ht="15.75" x14ac:dyDescent="0.25">
      <c r="A268" s="1" t="s">
        <v>26</v>
      </c>
      <c r="B268" s="1" t="s">
        <v>27</v>
      </c>
      <c r="C268" s="1" t="s">
        <v>709</v>
      </c>
      <c r="D268" s="1" t="s">
        <v>719</v>
      </c>
      <c r="E268" s="1" t="s">
        <v>30</v>
      </c>
      <c r="F268" s="1" t="s">
        <v>720</v>
      </c>
      <c r="G268" s="1" t="s">
        <v>54</v>
      </c>
      <c r="H268" s="1" t="s">
        <v>50</v>
      </c>
      <c r="I268" s="1" t="s">
        <v>137</v>
      </c>
      <c r="J268" s="1">
        <v>16.34</v>
      </c>
      <c r="K268" s="1" t="s">
        <v>50</v>
      </c>
      <c r="L268" s="1" t="s">
        <v>36</v>
      </c>
      <c r="M268" s="1">
        <v>6.05</v>
      </c>
      <c r="N268" s="1" t="s">
        <v>172</v>
      </c>
      <c r="O268" s="1" t="s">
        <v>38</v>
      </c>
      <c r="P268" s="1" t="s">
        <v>39</v>
      </c>
      <c r="Q268" s="1" t="s">
        <v>173</v>
      </c>
      <c r="R268" s="1" t="s">
        <v>721</v>
      </c>
      <c r="S268" s="1" t="s">
        <v>42</v>
      </c>
      <c r="T268" s="1">
        <v>1522.51</v>
      </c>
      <c r="U268" s="1" t="s">
        <v>43</v>
      </c>
      <c r="V268" s="1" t="s">
        <v>30</v>
      </c>
      <c r="W268" s="1" t="s">
        <v>39</v>
      </c>
      <c r="X268" s="1" t="s">
        <v>30</v>
      </c>
      <c r="Y268" s="1" t="s">
        <v>39</v>
      </c>
      <c r="Z268" s="1" t="s">
        <v>44</v>
      </c>
    </row>
    <row r="269" spans="1:26" ht="15.75" x14ac:dyDescent="0.25">
      <c r="A269" s="1" t="s">
        <v>26</v>
      </c>
      <c r="B269" s="1" t="s">
        <v>27</v>
      </c>
      <c r="C269" s="1" t="s">
        <v>709</v>
      </c>
      <c r="D269" s="1" t="s">
        <v>722</v>
      </c>
      <c r="E269" s="1" t="s">
        <v>30</v>
      </c>
      <c r="F269" s="1" t="s">
        <v>723</v>
      </c>
      <c r="G269" s="1" t="s">
        <v>32</v>
      </c>
      <c r="H269" s="1" t="s">
        <v>49</v>
      </c>
      <c r="I269" s="1" t="s">
        <v>50</v>
      </c>
      <c r="J269" s="1">
        <v>138.53</v>
      </c>
      <c r="K269" s="1" t="s">
        <v>49</v>
      </c>
      <c r="L269" s="1" t="s">
        <v>36</v>
      </c>
      <c r="M269" s="1">
        <v>51.26</v>
      </c>
      <c r="N269" s="1" t="s">
        <v>267</v>
      </c>
      <c r="O269" s="1" t="s">
        <v>38</v>
      </c>
      <c r="P269" s="1" t="s">
        <v>39</v>
      </c>
      <c r="Q269" s="1" t="s">
        <v>268</v>
      </c>
      <c r="R269" s="1" t="s">
        <v>724</v>
      </c>
      <c r="S269" s="1" t="s">
        <v>42</v>
      </c>
      <c r="T269" s="1">
        <v>1522.51</v>
      </c>
      <c r="U269" s="1" t="s">
        <v>43</v>
      </c>
      <c r="V269" s="1" t="s">
        <v>30</v>
      </c>
      <c r="W269" s="1" t="s">
        <v>39</v>
      </c>
      <c r="X269" s="1" t="s">
        <v>30</v>
      </c>
      <c r="Y269" s="1" t="s">
        <v>39</v>
      </c>
      <c r="Z269" s="1" t="s">
        <v>44</v>
      </c>
    </row>
    <row r="270" spans="1:26" ht="15.75" x14ac:dyDescent="0.25">
      <c r="A270" s="1" t="s">
        <v>26</v>
      </c>
      <c r="B270" s="1" t="s">
        <v>27</v>
      </c>
      <c r="C270" s="1" t="s">
        <v>709</v>
      </c>
      <c r="D270" s="1" t="s">
        <v>725</v>
      </c>
      <c r="E270" s="1" t="s">
        <v>30</v>
      </c>
      <c r="F270" s="1" t="s">
        <v>726</v>
      </c>
      <c r="G270" s="1" t="s">
        <v>32</v>
      </c>
      <c r="H270" s="1" t="s">
        <v>33</v>
      </c>
      <c r="I270" s="1" t="s">
        <v>34</v>
      </c>
      <c r="J270" s="1">
        <v>37.03</v>
      </c>
      <c r="K270" s="1" t="s">
        <v>33</v>
      </c>
      <c r="L270" s="1" t="s">
        <v>36</v>
      </c>
      <c r="M270" s="1">
        <v>13.7</v>
      </c>
      <c r="N270" s="1" t="s">
        <v>727</v>
      </c>
      <c r="O270" s="1" t="s">
        <v>38</v>
      </c>
      <c r="P270" s="1" t="s">
        <v>39</v>
      </c>
      <c r="Q270" s="1" t="s">
        <v>728</v>
      </c>
      <c r="R270" s="1" t="s">
        <v>729</v>
      </c>
      <c r="S270" s="1" t="s">
        <v>42</v>
      </c>
      <c r="T270" s="1">
        <v>1522.51</v>
      </c>
      <c r="U270" s="1" t="s">
        <v>43</v>
      </c>
      <c r="V270" s="1" t="s">
        <v>30</v>
      </c>
      <c r="W270" s="1" t="s">
        <v>39</v>
      </c>
      <c r="X270" s="1" t="s">
        <v>30</v>
      </c>
      <c r="Y270" s="1" t="s">
        <v>39</v>
      </c>
      <c r="Z270" s="1" t="s">
        <v>44</v>
      </c>
    </row>
    <row r="271" spans="1:26" ht="15.75" x14ac:dyDescent="0.25">
      <c r="A271" s="1" t="s">
        <v>26</v>
      </c>
      <c r="B271" s="1" t="s">
        <v>27</v>
      </c>
      <c r="C271" s="1" t="s">
        <v>709</v>
      </c>
      <c r="D271" s="1" t="s">
        <v>730</v>
      </c>
      <c r="E271" s="1" t="s">
        <v>30</v>
      </c>
      <c r="F271" s="1" t="s">
        <v>731</v>
      </c>
      <c r="G271" s="1" t="s">
        <v>32</v>
      </c>
      <c r="H271" s="1" t="s">
        <v>34</v>
      </c>
      <c r="I271" s="1" t="s">
        <v>82</v>
      </c>
      <c r="J271" s="1">
        <v>42.35</v>
      </c>
      <c r="K271" s="1" t="s">
        <v>34</v>
      </c>
      <c r="L271" s="1" t="s">
        <v>36</v>
      </c>
      <c r="M271" s="1">
        <v>15.67</v>
      </c>
      <c r="N271" s="1" t="s">
        <v>267</v>
      </c>
      <c r="O271" s="1" t="s">
        <v>38</v>
      </c>
      <c r="P271" s="1" t="s">
        <v>39</v>
      </c>
      <c r="Q271" s="1" t="s">
        <v>268</v>
      </c>
      <c r="R271" s="1" t="s">
        <v>732</v>
      </c>
      <c r="S271" s="1" t="s">
        <v>42</v>
      </c>
      <c r="T271" s="1">
        <v>1522.51</v>
      </c>
      <c r="U271" s="1" t="s">
        <v>43</v>
      </c>
      <c r="V271" s="1" t="s">
        <v>30</v>
      </c>
      <c r="W271" s="1" t="s">
        <v>39</v>
      </c>
      <c r="X271" s="1" t="s">
        <v>30</v>
      </c>
      <c r="Y271" s="1" t="s">
        <v>39</v>
      </c>
      <c r="Z271" s="1" t="s">
        <v>44</v>
      </c>
    </row>
    <row r="272" spans="1:26" ht="15.75" x14ac:dyDescent="0.25">
      <c r="A272" s="1" t="s">
        <v>26</v>
      </c>
      <c r="B272" s="1" t="s">
        <v>27</v>
      </c>
      <c r="C272" s="1" t="s">
        <v>709</v>
      </c>
      <c r="D272" s="1" t="s">
        <v>730</v>
      </c>
      <c r="E272" s="1" t="s">
        <v>30</v>
      </c>
      <c r="F272" s="1" t="s">
        <v>731</v>
      </c>
      <c r="G272" s="1" t="s">
        <v>45</v>
      </c>
      <c r="H272" s="1" t="s">
        <v>34</v>
      </c>
      <c r="I272" s="1" t="s">
        <v>82</v>
      </c>
      <c r="J272" s="1">
        <v>1.5</v>
      </c>
      <c r="K272" s="1" t="s">
        <v>34</v>
      </c>
      <c r="L272" s="1" t="s">
        <v>36</v>
      </c>
      <c r="M272" s="1">
        <v>0.55000000000000004</v>
      </c>
      <c r="N272" s="1" t="s">
        <v>267</v>
      </c>
      <c r="O272" s="1" t="s">
        <v>38</v>
      </c>
      <c r="P272" s="1" t="s">
        <v>39</v>
      </c>
      <c r="Q272" s="1" t="s">
        <v>268</v>
      </c>
      <c r="R272" s="1" t="s">
        <v>732</v>
      </c>
      <c r="S272" s="1" t="s">
        <v>42</v>
      </c>
      <c r="T272" s="1">
        <v>1522.51</v>
      </c>
      <c r="U272" s="1" t="s">
        <v>43</v>
      </c>
      <c r="V272" s="1" t="s">
        <v>30</v>
      </c>
      <c r="W272" s="1" t="s">
        <v>39</v>
      </c>
      <c r="X272" s="1" t="s">
        <v>30</v>
      </c>
      <c r="Y272" s="1" t="s">
        <v>39</v>
      </c>
      <c r="Z272" s="1" t="s">
        <v>44</v>
      </c>
    </row>
    <row r="273" spans="1:26" ht="15.75" x14ac:dyDescent="0.25">
      <c r="A273" s="1" t="s">
        <v>26</v>
      </c>
      <c r="B273" s="1" t="s">
        <v>27</v>
      </c>
      <c r="C273" s="1" t="s">
        <v>709</v>
      </c>
      <c r="D273" s="1" t="s">
        <v>733</v>
      </c>
      <c r="E273" s="1" t="s">
        <v>30</v>
      </c>
      <c r="F273" s="1" t="s">
        <v>734</v>
      </c>
      <c r="G273" s="1" t="s">
        <v>32</v>
      </c>
      <c r="H273" s="1" t="s">
        <v>137</v>
      </c>
      <c r="I273" s="1" t="s">
        <v>220</v>
      </c>
      <c r="J273" s="1">
        <v>42.35</v>
      </c>
      <c r="K273" s="1" t="s">
        <v>137</v>
      </c>
      <c r="L273" s="1" t="s">
        <v>36</v>
      </c>
      <c r="M273" s="1">
        <v>15.67</v>
      </c>
      <c r="N273" s="1" t="s">
        <v>116</v>
      </c>
      <c r="O273" s="1" t="s">
        <v>38</v>
      </c>
      <c r="P273" s="1" t="s">
        <v>39</v>
      </c>
      <c r="Q273" s="1" t="s">
        <v>117</v>
      </c>
      <c r="R273" s="1" t="s">
        <v>735</v>
      </c>
      <c r="S273" s="1" t="s">
        <v>42</v>
      </c>
      <c r="T273" s="1">
        <v>1522.51</v>
      </c>
      <c r="U273" s="1" t="s">
        <v>43</v>
      </c>
      <c r="V273" s="1" t="s">
        <v>30</v>
      </c>
      <c r="W273" s="1" t="s">
        <v>39</v>
      </c>
      <c r="X273" s="1" t="s">
        <v>30</v>
      </c>
      <c r="Y273" s="1" t="s">
        <v>39</v>
      </c>
      <c r="Z273" s="1" t="s">
        <v>44</v>
      </c>
    </row>
    <row r="274" spans="1:26" ht="15.75" x14ac:dyDescent="0.25">
      <c r="A274" s="1" t="s">
        <v>26</v>
      </c>
      <c r="B274" s="1" t="s">
        <v>27</v>
      </c>
      <c r="C274" s="1" t="s">
        <v>709</v>
      </c>
      <c r="D274" s="1" t="s">
        <v>733</v>
      </c>
      <c r="E274" s="1" t="s">
        <v>30</v>
      </c>
      <c r="F274" s="1" t="s">
        <v>734</v>
      </c>
      <c r="G274" s="1" t="s">
        <v>45</v>
      </c>
      <c r="H274" s="1" t="s">
        <v>137</v>
      </c>
      <c r="I274" s="1" t="s">
        <v>220</v>
      </c>
      <c r="J274" s="1">
        <v>1.5</v>
      </c>
      <c r="K274" s="1" t="s">
        <v>137</v>
      </c>
      <c r="L274" s="1" t="s">
        <v>36</v>
      </c>
      <c r="M274" s="1">
        <v>0.55000000000000004</v>
      </c>
      <c r="N274" s="1" t="s">
        <v>116</v>
      </c>
      <c r="O274" s="1" t="s">
        <v>38</v>
      </c>
      <c r="P274" s="1" t="s">
        <v>39</v>
      </c>
      <c r="Q274" s="1" t="s">
        <v>117</v>
      </c>
      <c r="R274" s="1" t="s">
        <v>735</v>
      </c>
      <c r="S274" s="1" t="s">
        <v>42</v>
      </c>
      <c r="T274" s="1">
        <v>1522.51</v>
      </c>
      <c r="U274" s="1" t="s">
        <v>43</v>
      </c>
      <c r="V274" s="1" t="s">
        <v>30</v>
      </c>
      <c r="W274" s="1" t="s">
        <v>39</v>
      </c>
      <c r="X274" s="1" t="s">
        <v>30</v>
      </c>
      <c r="Y274" s="1" t="s">
        <v>39</v>
      </c>
      <c r="Z274" s="1" t="s">
        <v>44</v>
      </c>
    </row>
    <row r="275" spans="1:26" ht="15.75" x14ac:dyDescent="0.25">
      <c r="A275" s="1" t="s">
        <v>26</v>
      </c>
      <c r="B275" s="1" t="s">
        <v>27</v>
      </c>
      <c r="C275" s="1" t="s">
        <v>736</v>
      </c>
      <c r="D275" s="1" t="s">
        <v>737</v>
      </c>
      <c r="E275" s="1" t="s">
        <v>30</v>
      </c>
      <c r="F275" s="1" t="s">
        <v>738</v>
      </c>
      <c r="G275" s="1" t="s">
        <v>32</v>
      </c>
      <c r="H275" s="1" t="s">
        <v>50</v>
      </c>
      <c r="I275" s="1" t="s">
        <v>137</v>
      </c>
      <c r="J275" s="1">
        <v>196.98</v>
      </c>
      <c r="K275" s="1" t="s">
        <v>739</v>
      </c>
      <c r="L275" s="1" t="s">
        <v>36</v>
      </c>
      <c r="M275" s="1">
        <v>3.94</v>
      </c>
      <c r="N275" s="1" t="s">
        <v>39</v>
      </c>
      <c r="O275" s="1" t="s">
        <v>38</v>
      </c>
      <c r="P275" s="1" t="s">
        <v>39</v>
      </c>
      <c r="Q275" s="1" t="s">
        <v>39</v>
      </c>
      <c r="R275" s="1" t="s">
        <v>740</v>
      </c>
      <c r="S275" s="1" t="s">
        <v>42</v>
      </c>
      <c r="T275" s="1">
        <v>1522.51</v>
      </c>
      <c r="U275" s="1" t="s">
        <v>43</v>
      </c>
      <c r="V275" s="1" t="s">
        <v>30</v>
      </c>
      <c r="W275" s="1" t="s">
        <v>39</v>
      </c>
      <c r="X275" s="1" t="s">
        <v>30</v>
      </c>
      <c r="Y275" s="1" t="s">
        <v>39</v>
      </c>
      <c r="Z275" s="1" t="s">
        <v>44</v>
      </c>
    </row>
    <row r="276" spans="1:26" ht="15.75" x14ac:dyDescent="0.25">
      <c r="A276" s="1" t="s">
        <v>26</v>
      </c>
      <c r="B276" s="1" t="s">
        <v>27</v>
      </c>
      <c r="C276" s="1" t="s">
        <v>741</v>
      </c>
      <c r="D276" s="1" t="s">
        <v>742</v>
      </c>
      <c r="E276" s="1" t="s">
        <v>30</v>
      </c>
      <c r="F276" s="1" t="s">
        <v>743</v>
      </c>
      <c r="G276" s="1" t="s">
        <v>32</v>
      </c>
      <c r="H276" s="1" t="s">
        <v>90</v>
      </c>
      <c r="I276" s="1" t="s">
        <v>50</v>
      </c>
      <c r="J276" s="1">
        <v>45.97</v>
      </c>
      <c r="K276" s="1" t="s">
        <v>744</v>
      </c>
      <c r="L276" s="1" t="s">
        <v>36</v>
      </c>
      <c r="M276" s="1">
        <v>0.92</v>
      </c>
      <c r="N276" s="1" t="s">
        <v>39</v>
      </c>
      <c r="O276" s="1" t="s">
        <v>38</v>
      </c>
      <c r="P276" s="1" t="s">
        <v>39</v>
      </c>
      <c r="Q276" s="1" t="s">
        <v>39</v>
      </c>
      <c r="R276" s="1" t="s">
        <v>745</v>
      </c>
      <c r="S276" s="1" t="s">
        <v>42</v>
      </c>
      <c r="T276" s="1">
        <v>1522.51</v>
      </c>
      <c r="U276" s="1" t="s">
        <v>43</v>
      </c>
      <c r="V276" s="1" t="s">
        <v>30</v>
      </c>
      <c r="W276" s="1" t="s">
        <v>39</v>
      </c>
      <c r="X276" s="1" t="s">
        <v>30</v>
      </c>
      <c r="Y276" s="1" t="s">
        <v>39</v>
      </c>
      <c r="Z276" s="1" t="s">
        <v>44</v>
      </c>
    </row>
    <row r="277" spans="1:26" ht="15.75" x14ac:dyDescent="0.25">
      <c r="A277" s="1" t="s">
        <v>26</v>
      </c>
      <c r="B277" s="1" t="s">
        <v>27</v>
      </c>
      <c r="C277" s="1" t="s">
        <v>746</v>
      </c>
      <c r="D277" s="1" t="s">
        <v>747</v>
      </c>
      <c r="E277" s="1" t="s">
        <v>30</v>
      </c>
      <c r="F277" s="1" t="s">
        <v>738</v>
      </c>
      <c r="G277" s="1" t="s">
        <v>54</v>
      </c>
      <c r="H277" s="1" t="s">
        <v>50</v>
      </c>
      <c r="I277" s="1" t="s">
        <v>137</v>
      </c>
      <c r="J277" s="1">
        <v>44.94</v>
      </c>
      <c r="K277" s="1" t="s">
        <v>739</v>
      </c>
      <c r="L277" s="1" t="s">
        <v>36</v>
      </c>
      <c r="M277" s="1">
        <v>0.9</v>
      </c>
      <c r="N277" s="1" t="s">
        <v>39</v>
      </c>
      <c r="O277" s="1" t="s">
        <v>38</v>
      </c>
      <c r="P277" s="1" t="s">
        <v>39</v>
      </c>
      <c r="Q277" s="1" t="s">
        <v>39</v>
      </c>
      <c r="R277" s="1" t="s">
        <v>740</v>
      </c>
      <c r="S277" s="1" t="s">
        <v>42</v>
      </c>
      <c r="T277" s="1">
        <v>1522.51</v>
      </c>
      <c r="U277" s="1" t="s">
        <v>43</v>
      </c>
      <c r="V277" s="1" t="s">
        <v>30</v>
      </c>
      <c r="W277" s="1" t="s">
        <v>39</v>
      </c>
      <c r="X277" s="1" t="s">
        <v>30</v>
      </c>
      <c r="Y277" s="1" t="s">
        <v>39</v>
      </c>
      <c r="Z277" s="1" t="s">
        <v>44</v>
      </c>
    </row>
    <row r="278" spans="1:26" ht="15.75" x14ac:dyDescent="0.25">
      <c r="A278" s="1" t="s">
        <v>26</v>
      </c>
      <c r="B278" s="1" t="s">
        <v>27</v>
      </c>
      <c r="C278" s="1" t="s">
        <v>746</v>
      </c>
      <c r="D278" s="1" t="s">
        <v>748</v>
      </c>
      <c r="E278" s="1" t="s">
        <v>30</v>
      </c>
      <c r="F278" s="1" t="s">
        <v>743</v>
      </c>
      <c r="G278" s="1" t="s">
        <v>54</v>
      </c>
      <c r="H278" s="1" t="s">
        <v>90</v>
      </c>
      <c r="I278" s="1" t="s">
        <v>50</v>
      </c>
      <c r="J278" s="1">
        <v>10.67</v>
      </c>
      <c r="K278" s="1" t="s">
        <v>744</v>
      </c>
      <c r="L278" s="1" t="s">
        <v>36</v>
      </c>
      <c r="M278" s="1">
        <v>0.21</v>
      </c>
      <c r="N278" s="1" t="s">
        <v>39</v>
      </c>
      <c r="O278" s="1" t="s">
        <v>38</v>
      </c>
      <c r="P278" s="1" t="s">
        <v>39</v>
      </c>
      <c r="Q278" s="1" t="s">
        <v>39</v>
      </c>
      <c r="R278" s="1" t="s">
        <v>745</v>
      </c>
      <c r="S278" s="1" t="s">
        <v>42</v>
      </c>
      <c r="T278" s="1">
        <v>1522.51</v>
      </c>
      <c r="U278" s="1" t="s">
        <v>43</v>
      </c>
      <c r="V278" s="1" t="s">
        <v>30</v>
      </c>
      <c r="W278" s="1" t="s">
        <v>39</v>
      </c>
      <c r="X278" s="1" t="s">
        <v>30</v>
      </c>
      <c r="Y278" s="1" t="s">
        <v>39</v>
      </c>
      <c r="Z278" s="1" t="s">
        <v>44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24184-5D46-4377-BF55-7A952DED6070}">
  <dimension ref="A1:Q278"/>
  <sheetViews>
    <sheetView tabSelected="1" topLeftCell="A93" workbookViewId="0">
      <selection activeCell="B104" sqref="B104"/>
    </sheetView>
  </sheetViews>
  <sheetFormatPr defaultRowHeight="12.75" x14ac:dyDescent="0.2"/>
  <cols>
    <col min="1" max="1" width="7.85546875" style="21" bestFit="1" customWidth="1"/>
    <col min="2" max="2" width="8.7109375" style="21" bestFit="1" customWidth="1"/>
    <col min="3" max="3" width="32.7109375" style="21" bestFit="1" customWidth="1"/>
    <col min="4" max="4" width="29.140625" style="21" bestFit="1" customWidth="1"/>
    <col min="5" max="5" width="31.5703125" style="21" bestFit="1" customWidth="1"/>
    <col min="6" max="6" width="20.140625" style="21" bestFit="1" customWidth="1"/>
    <col min="7" max="7" width="8.42578125" style="22" bestFit="1" customWidth="1"/>
    <col min="8" max="8" width="9.28515625" style="22" bestFit="1" customWidth="1"/>
    <col min="9" max="9" width="16" style="21" bestFit="1" customWidth="1"/>
    <col min="10" max="10" width="12.5703125" style="21" bestFit="1" customWidth="1"/>
    <col min="11" max="11" width="8.5703125" style="21" bestFit="1" customWidth="1"/>
    <col min="12" max="12" width="20.85546875" style="21" bestFit="1" customWidth="1"/>
    <col min="13" max="13" width="25.5703125" style="21" bestFit="1" customWidth="1"/>
    <col min="14" max="14" width="12.140625" style="21" bestFit="1" customWidth="1"/>
    <col min="15" max="15" width="9.5703125" style="21" bestFit="1" customWidth="1"/>
    <col min="16" max="16" width="17.7109375" style="21" bestFit="1" customWidth="1"/>
    <col min="17" max="17" width="11.28515625" style="21" bestFit="1" customWidth="1"/>
    <col min="18" max="16384" width="9.140625" style="6"/>
  </cols>
  <sheetData>
    <row r="1" spans="1:17" ht="15" customHeight="1" x14ac:dyDescent="0.25">
      <c r="A1" s="4" t="s">
        <v>2</v>
      </c>
      <c r="B1" s="4" t="s">
        <v>3</v>
      </c>
      <c r="C1" s="4" t="s">
        <v>5</v>
      </c>
      <c r="D1" s="4" t="s">
        <v>749</v>
      </c>
      <c r="E1" s="4" t="s">
        <v>10</v>
      </c>
      <c r="F1" s="4" t="s">
        <v>8</v>
      </c>
      <c r="G1" s="5" t="s">
        <v>1055</v>
      </c>
      <c r="H1" s="5" t="s">
        <v>1056</v>
      </c>
      <c r="I1" s="4" t="s">
        <v>9</v>
      </c>
      <c r="J1" s="4" t="s">
        <v>12</v>
      </c>
      <c r="K1" s="4" t="s">
        <v>751</v>
      </c>
      <c r="L1" s="4" t="s">
        <v>16</v>
      </c>
      <c r="M1" s="4" t="s">
        <v>13</v>
      </c>
      <c r="N1" s="4" t="s">
        <v>14</v>
      </c>
      <c r="O1" s="4" t="s">
        <v>15</v>
      </c>
      <c r="P1" s="4" t="s">
        <v>25</v>
      </c>
      <c r="Q1" s="4" t="s">
        <v>17</v>
      </c>
    </row>
    <row r="2" spans="1:17" ht="15.75" x14ac:dyDescent="0.25">
      <c r="A2" s="7">
        <v>2523</v>
      </c>
      <c r="B2" s="7">
        <v>24779</v>
      </c>
      <c r="C2" s="8" t="s">
        <v>734</v>
      </c>
      <c r="D2" s="8" t="s">
        <v>1052</v>
      </c>
      <c r="E2" s="9">
        <v>45952</v>
      </c>
      <c r="F2" s="9">
        <v>45954</v>
      </c>
      <c r="G2" s="7">
        <v>0</v>
      </c>
      <c r="H2" s="10" t="s">
        <v>1057</v>
      </c>
      <c r="I2" s="8">
        <v>42.35</v>
      </c>
      <c r="J2" s="8">
        <v>15.67</v>
      </c>
      <c r="K2" s="11">
        <f>SUM(J2/I2)</f>
        <v>0.37001180637544273</v>
      </c>
      <c r="L2" s="8">
        <v>9079571</v>
      </c>
      <c r="M2" s="8" t="s">
        <v>853</v>
      </c>
      <c r="N2" s="8" t="s">
        <v>38</v>
      </c>
      <c r="O2" s="8" t="s">
        <v>39</v>
      </c>
      <c r="P2" s="7">
        <v>2</v>
      </c>
      <c r="Q2" s="7">
        <v>847930454</v>
      </c>
    </row>
    <row r="3" spans="1:17" ht="15.75" x14ac:dyDescent="0.25">
      <c r="A3" s="7">
        <v>2523</v>
      </c>
      <c r="B3" s="7">
        <v>24779</v>
      </c>
      <c r="C3" s="8" t="s">
        <v>734</v>
      </c>
      <c r="D3" s="8" t="s">
        <v>1053</v>
      </c>
      <c r="E3" s="9">
        <v>45952</v>
      </c>
      <c r="F3" s="9">
        <v>45954</v>
      </c>
      <c r="G3" s="7">
        <v>0</v>
      </c>
      <c r="H3" s="10" t="s">
        <v>1057</v>
      </c>
      <c r="I3" s="8">
        <v>1.5</v>
      </c>
      <c r="J3" s="8">
        <v>0.55000000000000004</v>
      </c>
      <c r="K3" s="11">
        <f>SUM(J3/I3)</f>
        <v>0.3666666666666667</v>
      </c>
      <c r="L3" s="8">
        <v>9079571</v>
      </c>
      <c r="M3" s="8" t="s">
        <v>853</v>
      </c>
      <c r="N3" s="8" t="s">
        <v>38</v>
      </c>
      <c r="O3" s="8" t="s">
        <v>39</v>
      </c>
      <c r="P3" s="7">
        <v>2</v>
      </c>
      <c r="Q3" s="7">
        <v>847930454</v>
      </c>
    </row>
    <row r="4" spans="1:17" ht="15.75" x14ac:dyDescent="0.25">
      <c r="A4" s="7">
        <v>2523</v>
      </c>
      <c r="B4" s="7">
        <v>20171</v>
      </c>
      <c r="C4" s="8" t="s">
        <v>714</v>
      </c>
      <c r="D4" s="8" t="s">
        <v>1044</v>
      </c>
      <c r="E4" s="9">
        <v>45947</v>
      </c>
      <c r="F4" s="9">
        <v>45950</v>
      </c>
      <c r="G4" s="7">
        <v>0</v>
      </c>
      <c r="H4" s="10" t="s">
        <v>1057</v>
      </c>
      <c r="I4" s="8">
        <v>37.03</v>
      </c>
      <c r="J4" s="8">
        <v>13.7</v>
      </c>
      <c r="K4" s="11">
        <f>SUM(J4/I4)</f>
        <v>0.3699702943559276</v>
      </c>
      <c r="L4" s="8">
        <v>9079571</v>
      </c>
      <c r="M4" s="8" t="s">
        <v>853</v>
      </c>
      <c r="N4" s="8" t="s">
        <v>38</v>
      </c>
      <c r="O4" s="8" t="s">
        <v>39</v>
      </c>
      <c r="P4" s="7">
        <v>2</v>
      </c>
      <c r="Q4" s="7">
        <v>847927863</v>
      </c>
    </row>
    <row r="5" spans="1:17" ht="15.75" x14ac:dyDescent="0.25">
      <c r="A5" s="7">
        <v>2523</v>
      </c>
      <c r="B5" s="7">
        <v>20629</v>
      </c>
      <c r="C5" s="8" t="s">
        <v>717</v>
      </c>
      <c r="D5" s="8" t="s">
        <v>1045</v>
      </c>
      <c r="E5" s="9">
        <v>45948</v>
      </c>
      <c r="F5" s="9">
        <v>45950</v>
      </c>
      <c r="G5" s="7">
        <v>0</v>
      </c>
      <c r="H5" s="10" t="s">
        <v>1057</v>
      </c>
      <c r="I5" s="8">
        <v>42.35</v>
      </c>
      <c r="J5" s="8">
        <v>15.67</v>
      </c>
      <c r="K5" s="11">
        <f>SUM(J5/I5)</f>
        <v>0.37001180637544273</v>
      </c>
      <c r="L5" s="8">
        <v>9079571</v>
      </c>
      <c r="M5" s="8" t="s">
        <v>853</v>
      </c>
      <c r="N5" s="8" t="s">
        <v>38</v>
      </c>
      <c r="O5" s="8" t="s">
        <v>39</v>
      </c>
      <c r="P5" s="7">
        <v>2</v>
      </c>
      <c r="Q5" s="7">
        <v>847928138</v>
      </c>
    </row>
    <row r="6" spans="1:17" ht="15.75" x14ac:dyDescent="0.25">
      <c r="A6" s="7">
        <v>2523</v>
      </c>
      <c r="B6" s="7">
        <v>20629</v>
      </c>
      <c r="C6" s="8" t="s">
        <v>717</v>
      </c>
      <c r="D6" s="8" t="s">
        <v>1046</v>
      </c>
      <c r="E6" s="9">
        <v>45948</v>
      </c>
      <c r="F6" s="9">
        <v>45950</v>
      </c>
      <c r="G6" s="7">
        <v>0</v>
      </c>
      <c r="H6" s="10" t="s">
        <v>1057</v>
      </c>
      <c r="I6" s="8">
        <v>1.5</v>
      </c>
      <c r="J6" s="8">
        <v>0.55000000000000004</v>
      </c>
      <c r="K6" s="11">
        <f>SUM(J6/I6)</f>
        <v>0.3666666666666667</v>
      </c>
      <c r="L6" s="8">
        <v>9079571</v>
      </c>
      <c r="M6" s="8" t="s">
        <v>853</v>
      </c>
      <c r="N6" s="8" t="s">
        <v>38</v>
      </c>
      <c r="O6" s="8" t="s">
        <v>39</v>
      </c>
      <c r="P6" s="7">
        <v>2</v>
      </c>
      <c r="Q6" s="7">
        <v>847928138</v>
      </c>
    </row>
    <row r="7" spans="1:17" ht="15.75" x14ac:dyDescent="0.25">
      <c r="A7" s="7">
        <v>2523</v>
      </c>
      <c r="B7" s="7">
        <v>20893</v>
      </c>
      <c r="C7" s="8" t="s">
        <v>720</v>
      </c>
      <c r="D7" s="8" t="s">
        <v>1049</v>
      </c>
      <c r="E7" s="9">
        <v>45950</v>
      </c>
      <c r="F7" s="9">
        <v>45952</v>
      </c>
      <c r="G7" s="7">
        <v>0</v>
      </c>
      <c r="H7" s="10" t="s">
        <v>1057</v>
      </c>
      <c r="I7" s="8">
        <v>16.34</v>
      </c>
      <c r="J7" s="8">
        <v>6.05</v>
      </c>
      <c r="K7" s="11">
        <f>SUM(J7/I7)</f>
        <v>0.37025703794369647</v>
      </c>
      <c r="L7" s="8">
        <v>19278370</v>
      </c>
      <c r="M7" s="8" t="s">
        <v>841</v>
      </c>
      <c r="N7" s="8" t="s">
        <v>38</v>
      </c>
      <c r="O7" s="8" t="s">
        <v>39</v>
      </c>
      <c r="P7" s="7">
        <v>2</v>
      </c>
      <c r="Q7" s="7">
        <v>847928275</v>
      </c>
    </row>
    <row r="8" spans="1:17" ht="15.75" x14ac:dyDescent="0.25">
      <c r="A8" s="7">
        <v>2523</v>
      </c>
      <c r="B8" s="7">
        <v>21837</v>
      </c>
      <c r="C8" s="8" t="s">
        <v>726</v>
      </c>
      <c r="D8" s="8" t="s">
        <v>1048</v>
      </c>
      <c r="E8" s="9">
        <v>45949</v>
      </c>
      <c r="F8" s="9">
        <v>45951</v>
      </c>
      <c r="G8" s="7">
        <v>0</v>
      </c>
      <c r="H8" s="10" t="s">
        <v>1057</v>
      </c>
      <c r="I8" s="8">
        <v>37.03</v>
      </c>
      <c r="J8" s="8">
        <v>13.7</v>
      </c>
      <c r="K8" s="11">
        <f>SUM(J8/I8)</f>
        <v>0.3699702943559276</v>
      </c>
      <c r="L8" s="8">
        <v>17195620</v>
      </c>
      <c r="M8" s="8" t="s">
        <v>843</v>
      </c>
      <c r="N8" s="8" t="s">
        <v>38</v>
      </c>
      <c r="O8" s="8" t="s">
        <v>39</v>
      </c>
      <c r="P8" s="7">
        <v>2</v>
      </c>
      <c r="Q8" s="7">
        <v>847928793</v>
      </c>
    </row>
    <row r="9" spans="1:17" ht="15.75" x14ac:dyDescent="0.25">
      <c r="A9" s="7">
        <v>2523</v>
      </c>
      <c r="B9" s="7">
        <v>21252</v>
      </c>
      <c r="C9" s="8" t="s">
        <v>723</v>
      </c>
      <c r="D9" s="8" t="s">
        <v>1047</v>
      </c>
      <c r="E9" s="9">
        <v>45948</v>
      </c>
      <c r="F9" s="9">
        <v>45950</v>
      </c>
      <c r="G9" s="7">
        <v>0</v>
      </c>
      <c r="H9" s="10" t="s">
        <v>1057</v>
      </c>
      <c r="I9" s="8">
        <v>138.53</v>
      </c>
      <c r="J9" s="8">
        <v>51.26</v>
      </c>
      <c r="K9" s="11">
        <f>SUM(J9/I9)</f>
        <v>0.37002815274669743</v>
      </c>
      <c r="L9" s="8">
        <v>5442438</v>
      </c>
      <c r="M9" s="8" t="s">
        <v>847</v>
      </c>
      <c r="N9" s="8" t="s">
        <v>38</v>
      </c>
      <c r="O9" s="8" t="s">
        <v>39</v>
      </c>
      <c r="P9" s="7">
        <v>2</v>
      </c>
      <c r="Q9" s="7">
        <v>847928481</v>
      </c>
    </row>
    <row r="10" spans="1:17" ht="15.75" x14ac:dyDescent="0.25">
      <c r="A10" s="7">
        <v>2523</v>
      </c>
      <c r="B10" s="7">
        <v>22483</v>
      </c>
      <c r="C10" s="8" t="s">
        <v>731</v>
      </c>
      <c r="D10" s="8" t="s">
        <v>1050</v>
      </c>
      <c r="E10" s="9">
        <v>45951</v>
      </c>
      <c r="F10" s="9">
        <v>45953</v>
      </c>
      <c r="G10" s="7">
        <v>0</v>
      </c>
      <c r="H10" s="10" t="s">
        <v>1057</v>
      </c>
      <c r="I10" s="8">
        <v>42.35</v>
      </c>
      <c r="J10" s="8">
        <v>15.67</v>
      </c>
      <c r="K10" s="11">
        <f>SUM(J10/I10)</f>
        <v>0.37001180637544273</v>
      </c>
      <c r="L10" s="8">
        <v>5442438</v>
      </c>
      <c r="M10" s="8" t="s">
        <v>847</v>
      </c>
      <c r="N10" s="8" t="s">
        <v>38</v>
      </c>
      <c r="O10" s="8" t="s">
        <v>39</v>
      </c>
      <c r="P10" s="7">
        <v>2</v>
      </c>
      <c r="Q10" s="7">
        <v>847929129</v>
      </c>
    </row>
    <row r="11" spans="1:17" ht="15.75" x14ac:dyDescent="0.25">
      <c r="A11" s="7">
        <v>2523</v>
      </c>
      <c r="B11" s="7">
        <v>22483</v>
      </c>
      <c r="C11" s="8" t="s">
        <v>731</v>
      </c>
      <c r="D11" s="8" t="s">
        <v>1051</v>
      </c>
      <c r="E11" s="9">
        <v>45951</v>
      </c>
      <c r="F11" s="9">
        <v>45953</v>
      </c>
      <c r="G11" s="7">
        <v>0</v>
      </c>
      <c r="H11" s="10" t="s">
        <v>1057</v>
      </c>
      <c r="I11" s="8">
        <v>1.5</v>
      </c>
      <c r="J11" s="8">
        <v>0.55000000000000004</v>
      </c>
      <c r="K11" s="11">
        <f>SUM(J11/I11)</f>
        <v>0.3666666666666667</v>
      </c>
      <c r="L11" s="8">
        <v>5442438</v>
      </c>
      <c r="M11" s="8" t="s">
        <v>847</v>
      </c>
      <c r="N11" s="8" t="s">
        <v>38</v>
      </c>
      <c r="O11" s="8" t="s">
        <v>39</v>
      </c>
      <c r="P11" s="7">
        <v>2</v>
      </c>
      <c r="Q11" s="7">
        <v>847929129</v>
      </c>
    </row>
    <row r="12" spans="1:17" ht="15.75" x14ac:dyDescent="0.25">
      <c r="A12" s="7">
        <v>2523</v>
      </c>
      <c r="B12" s="7">
        <v>18083</v>
      </c>
      <c r="C12" s="8" t="s">
        <v>711</v>
      </c>
      <c r="D12" s="8" t="s">
        <v>1043</v>
      </c>
      <c r="E12" s="9">
        <v>45946</v>
      </c>
      <c r="F12" s="9">
        <v>45950</v>
      </c>
      <c r="G12" s="7">
        <v>0</v>
      </c>
      <c r="H12" s="10" t="s">
        <v>1057</v>
      </c>
      <c r="I12" s="8">
        <v>40.729999999999997</v>
      </c>
      <c r="J12" s="8">
        <v>15.07</v>
      </c>
      <c r="K12" s="11">
        <f>SUM(J12/I12)</f>
        <v>0.36999754480726743</v>
      </c>
      <c r="L12" s="8">
        <v>5442438</v>
      </c>
      <c r="M12" s="8" t="s">
        <v>847</v>
      </c>
      <c r="N12" s="8" t="s">
        <v>38</v>
      </c>
      <c r="O12" s="8" t="s">
        <v>39</v>
      </c>
      <c r="P12" s="7">
        <v>2</v>
      </c>
      <c r="Q12" s="7">
        <v>847926667</v>
      </c>
    </row>
    <row r="13" spans="1:17" ht="15.75" x14ac:dyDescent="0.25">
      <c r="A13" s="7">
        <v>2521</v>
      </c>
      <c r="B13" s="7">
        <v>94687</v>
      </c>
      <c r="C13" s="8" t="s">
        <v>698</v>
      </c>
      <c r="D13" s="8" t="s">
        <v>1035</v>
      </c>
      <c r="E13" s="9">
        <v>45919</v>
      </c>
      <c r="F13" s="9">
        <v>45951</v>
      </c>
      <c r="G13" s="7">
        <v>1</v>
      </c>
      <c r="H13" s="10" t="s">
        <v>1057</v>
      </c>
      <c r="I13" s="8">
        <v>42.35</v>
      </c>
      <c r="J13" s="8">
        <v>15.67</v>
      </c>
      <c r="K13" s="11">
        <f>SUM(J13/I13)</f>
        <v>0.37001180637544273</v>
      </c>
      <c r="L13" s="8">
        <v>5442438</v>
      </c>
      <c r="M13" s="8" t="s">
        <v>847</v>
      </c>
      <c r="N13" s="8" t="s">
        <v>38</v>
      </c>
      <c r="O13" s="8" t="s">
        <v>39</v>
      </c>
      <c r="P13" s="7">
        <v>2</v>
      </c>
      <c r="Q13" s="7">
        <v>847913129</v>
      </c>
    </row>
    <row r="14" spans="1:17" ht="15.75" x14ac:dyDescent="0.25">
      <c r="A14" s="7">
        <v>2521</v>
      </c>
      <c r="B14" s="7">
        <v>94687</v>
      </c>
      <c r="C14" s="8" t="s">
        <v>698</v>
      </c>
      <c r="D14" s="8" t="s">
        <v>1036</v>
      </c>
      <c r="E14" s="9">
        <v>45919</v>
      </c>
      <c r="F14" s="9">
        <v>45951</v>
      </c>
      <c r="G14" s="7">
        <v>1</v>
      </c>
      <c r="H14" s="10" t="s">
        <v>1057</v>
      </c>
      <c r="I14" s="8">
        <v>1.5</v>
      </c>
      <c r="J14" s="8">
        <v>0.55000000000000004</v>
      </c>
      <c r="K14" s="11">
        <f>SUM(J14/I14)</f>
        <v>0.3666666666666667</v>
      </c>
      <c r="L14" s="8">
        <v>5442438</v>
      </c>
      <c r="M14" s="8" t="s">
        <v>847</v>
      </c>
      <c r="N14" s="8" t="s">
        <v>38</v>
      </c>
      <c r="O14" s="8" t="s">
        <v>39</v>
      </c>
      <c r="P14" s="7">
        <v>2</v>
      </c>
      <c r="Q14" s="7">
        <v>847913129</v>
      </c>
    </row>
    <row r="15" spans="1:17" ht="15.75" x14ac:dyDescent="0.25">
      <c r="A15" s="7">
        <v>2521</v>
      </c>
      <c r="B15" s="7">
        <v>95311</v>
      </c>
      <c r="C15" s="8" t="s">
        <v>701</v>
      </c>
      <c r="D15" s="8" t="s">
        <v>1037</v>
      </c>
      <c r="E15" s="9">
        <v>45919</v>
      </c>
      <c r="F15" s="9">
        <v>45951</v>
      </c>
      <c r="G15" s="7">
        <v>1</v>
      </c>
      <c r="H15" s="10" t="s">
        <v>1057</v>
      </c>
      <c r="I15" s="8">
        <v>46.59</v>
      </c>
      <c r="J15" s="8">
        <v>17.239999999999998</v>
      </c>
      <c r="K15" s="11">
        <f>SUM(J15/I15)</f>
        <v>0.37003648851684906</v>
      </c>
      <c r="L15" s="8">
        <v>5442438</v>
      </c>
      <c r="M15" s="8" t="s">
        <v>847</v>
      </c>
      <c r="N15" s="8" t="s">
        <v>38</v>
      </c>
      <c r="O15" s="8" t="s">
        <v>39</v>
      </c>
      <c r="P15" s="7">
        <v>2</v>
      </c>
      <c r="Q15" s="7">
        <v>847913484</v>
      </c>
    </row>
    <row r="16" spans="1:17" ht="15.75" x14ac:dyDescent="0.25">
      <c r="A16" s="7">
        <v>2521</v>
      </c>
      <c r="B16" s="7">
        <v>95311</v>
      </c>
      <c r="C16" s="8" t="s">
        <v>701</v>
      </c>
      <c r="D16" s="8" t="s">
        <v>1038</v>
      </c>
      <c r="E16" s="9">
        <v>45919</v>
      </c>
      <c r="F16" s="9">
        <v>45951</v>
      </c>
      <c r="G16" s="7">
        <v>1</v>
      </c>
      <c r="H16" s="10" t="s">
        <v>1057</v>
      </c>
      <c r="I16" s="8">
        <v>1.5</v>
      </c>
      <c r="J16" s="8">
        <v>0.55000000000000004</v>
      </c>
      <c r="K16" s="11">
        <f>SUM(J16/I16)</f>
        <v>0.3666666666666667</v>
      </c>
      <c r="L16" s="8">
        <v>5442438</v>
      </c>
      <c r="M16" s="8" t="s">
        <v>847</v>
      </c>
      <c r="N16" s="8" t="s">
        <v>38</v>
      </c>
      <c r="O16" s="8" t="s">
        <v>39</v>
      </c>
      <c r="P16" s="7">
        <v>2</v>
      </c>
      <c r="Q16" s="7">
        <v>847913484</v>
      </c>
    </row>
    <row r="17" spans="1:17" ht="15.75" x14ac:dyDescent="0.25">
      <c r="A17" s="16">
        <v>2521</v>
      </c>
      <c r="B17" s="16">
        <v>92012</v>
      </c>
      <c r="C17" s="17" t="s">
        <v>694</v>
      </c>
      <c r="D17" s="17" t="s">
        <v>1041</v>
      </c>
      <c r="E17" s="18">
        <v>45922</v>
      </c>
      <c r="F17" s="18">
        <v>45954</v>
      </c>
      <c r="G17" s="16">
        <v>1</v>
      </c>
      <c r="H17" s="19" t="s">
        <v>1058</v>
      </c>
      <c r="I17" s="17">
        <v>46.59</v>
      </c>
      <c r="J17" s="17">
        <v>17.239999999999998</v>
      </c>
      <c r="K17" s="20">
        <f>SUM(J17/I17)</f>
        <v>0.37003648851684906</v>
      </c>
      <c r="L17" s="17">
        <v>16202925</v>
      </c>
      <c r="M17" s="17" t="s">
        <v>842</v>
      </c>
      <c r="N17" s="17" t="s">
        <v>38</v>
      </c>
      <c r="O17" s="17" t="s">
        <v>39</v>
      </c>
      <c r="P17" s="16">
        <v>2</v>
      </c>
      <c r="Q17" s="16">
        <v>847911599</v>
      </c>
    </row>
    <row r="18" spans="1:17" ht="15.75" x14ac:dyDescent="0.25">
      <c r="A18" s="16">
        <v>2521</v>
      </c>
      <c r="B18" s="16">
        <v>92012</v>
      </c>
      <c r="C18" s="17" t="s">
        <v>694</v>
      </c>
      <c r="D18" s="17" t="s">
        <v>1042</v>
      </c>
      <c r="E18" s="18">
        <v>45922</v>
      </c>
      <c r="F18" s="18">
        <v>45954</v>
      </c>
      <c r="G18" s="16">
        <v>1</v>
      </c>
      <c r="H18" s="19" t="s">
        <v>1058</v>
      </c>
      <c r="I18" s="17">
        <v>1.5</v>
      </c>
      <c r="J18" s="17">
        <v>0.55000000000000004</v>
      </c>
      <c r="K18" s="20">
        <f>SUM(J18/I18)</f>
        <v>0.3666666666666667</v>
      </c>
      <c r="L18" s="17">
        <v>16202925</v>
      </c>
      <c r="M18" s="17" t="s">
        <v>842</v>
      </c>
      <c r="N18" s="17" t="s">
        <v>38</v>
      </c>
      <c r="O18" s="17" t="s">
        <v>39</v>
      </c>
      <c r="P18" s="16">
        <v>2</v>
      </c>
      <c r="Q18" s="16">
        <v>847911599</v>
      </c>
    </row>
    <row r="19" spans="1:17" ht="15.75" x14ac:dyDescent="0.25">
      <c r="A19" s="16">
        <v>2521</v>
      </c>
      <c r="B19" s="16">
        <v>95582</v>
      </c>
      <c r="C19" s="17" t="s">
        <v>704</v>
      </c>
      <c r="D19" s="17" t="s">
        <v>1039</v>
      </c>
      <c r="E19" s="18">
        <v>45919</v>
      </c>
      <c r="F19" s="18">
        <v>45951</v>
      </c>
      <c r="G19" s="16">
        <v>1</v>
      </c>
      <c r="H19" s="19" t="s">
        <v>1058</v>
      </c>
      <c r="I19" s="17">
        <v>39.15</v>
      </c>
      <c r="J19" s="17">
        <v>14.49</v>
      </c>
      <c r="K19" s="20">
        <f>SUM(J19/I19)</f>
        <v>0.37011494252873567</v>
      </c>
      <c r="L19" s="17">
        <v>371819</v>
      </c>
      <c r="M19" s="17" t="s">
        <v>850</v>
      </c>
      <c r="N19" s="17" t="s">
        <v>38</v>
      </c>
      <c r="O19" s="17" t="s">
        <v>39</v>
      </c>
      <c r="P19" s="16">
        <v>2</v>
      </c>
      <c r="Q19" s="16">
        <v>847913658</v>
      </c>
    </row>
    <row r="20" spans="1:17" ht="15.75" x14ac:dyDescent="0.25">
      <c r="A20" s="16">
        <v>2521</v>
      </c>
      <c r="B20" s="16">
        <v>95583</v>
      </c>
      <c r="C20" s="17" t="s">
        <v>704</v>
      </c>
      <c r="D20" s="17" t="s">
        <v>1040</v>
      </c>
      <c r="E20" s="18">
        <v>45919</v>
      </c>
      <c r="F20" s="18">
        <v>45951</v>
      </c>
      <c r="G20" s="16">
        <v>1</v>
      </c>
      <c r="H20" s="19" t="s">
        <v>1058</v>
      </c>
      <c r="I20" s="17">
        <v>16.34</v>
      </c>
      <c r="J20" s="17">
        <v>6.05</v>
      </c>
      <c r="K20" s="20">
        <f>SUM(J20/I20)</f>
        <v>0.37025703794369647</v>
      </c>
      <c r="L20" s="17">
        <v>371819</v>
      </c>
      <c r="M20" s="17" t="s">
        <v>850</v>
      </c>
      <c r="N20" s="17" t="s">
        <v>38</v>
      </c>
      <c r="O20" s="17" t="s">
        <v>39</v>
      </c>
      <c r="P20" s="16">
        <v>2</v>
      </c>
      <c r="Q20" s="16">
        <v>847913658</v>
      </c>
    </row>
    <row r="21" spans="1:17" ht="15.75" x14ac:dyDescent="0.25">
      <c r="A21" s="7">
        <v>2521</v>
      </c>
      <c r="B21" s="7">
        <v>67549</v>
      </c>
      <c r="C21" s="8" t="s">
        <v>689</v>
      </c>
      <c r="D21" s="8" t="s">
        <v>1054</v>
      </c>
      <c r="E21" s="9">
        <v>45889</v>
      </c>
      <c r="F21" s="9">
        <v>45952</v>
      </c>
      <c r="G21" s="7">
        <v>2</v>
      </c>
      <c r="H21" s="10" t="s">
        <v>1057</v>
      </c>
      <c r="I21" s="7">
        <v>0.11</v>
      </c>
      <c r="J21" s="7">
        <v>0.11</v>
      </c>
      <c r="K21" s="11">
        <f>SUM(J21/I21)</f>
        <v>1</v>
      </c>
      <c r="L21" s="8">
        <v>20411454</v>
      </c>
      <c r="M21" s="8" t="s">
        <v>846</v>
      </c>
      <c r="N21" s="8" t="s">
        <v>38</v>
      </c>
      <c r="O21" s="7">
        <v>0.11</v>
      </c>
      <c r="P21" s="7">
        <v>2</v>
      </c>
      <c r="Q21" s="7">
        <v>847897336</v>
      </c>
    </row>
    <row r="22" spans="1:17" ht="15.75" x14ac:dyDescent="0.25">
      <c r="A22" s="7">
        <v>2521</v>
      </c>
      <c r="B22" s="7">
        <v>67549</v>
      </c>
      <c r="C22" s="8" t="s">
        <v>689</v>
      </c>
      <c r="D22" s="8" t="s">
        <v>1054</v>
      </c>
      <c r="E22" s="9">
        <v>45889</v>
      </c>
      <c r="F22" s="9">
        <v>45952</v>
      </c>
      <c r="G22" s="7">
        <v>2</v>
      </c>
      <c r="H22" s="10" t="s">
        <v>1057</v>
      </c>
      <c r="I22" s="7">
        <v>2.9</v>
      </c>
      <c r="J22" s="7">
        <v>2.9</v>
      </c>
      <c r="K22" s="11">
        <f>SUM(J22/I22)</f>
        <v>1</v>
      </c>
      <c r="L22" s="8">
        <v>20411454</v>
      </c>
      <c r="M22" s="8" t="s">
        <v>846</v>
      </c>
      <c r="N22" s="8" t="s">
        <v>38</v>
      </c>
      <c r="O22" s="7">
        <v>2.9</v>
      </c>
      <c r="P22" s="7">
        <v>2</v>
      </c>
      <c r="Q22" s="7">
        <v>847897336</v>
      </c>
    </row>
    <row r="23" spans="1:17" ht="15.75" x14ac:dyDescent="0.25">
      <c r="A23" s="16">
        <v>2521</v>
      </c>
      <c r="B23" s="16">
        <v>67157</v>
      </c>
      <c r="C23" s="17" t="s">
        <v>679</v>
      </c>
      <c r="D23" s="17" t="s">
        <v>1030</v>
      </c>
      <c r="E23" s="18">
        <v>45888</v>
      </c>
      <c r="F23" s="18">
        <v>45951</v>
      </c>
      <c r="G23" s="16">
        <v>2</v>
      </c>
      <c r="H23" s="19" t="s">
        <v>1058</v>
      </c>
      <c r="I23" s="17">
        <v>16.34</v>
      </c>
      <c r="J23" s="17">
        <v>6.05</v>
      </c>
      <c r="K23" s="20">
        <f>SUM(J23/I23)</f>
        <v>0.37025703794369647</v>
      </c>
      <c r="L23" s="17">
        <v>8325282</v>
      </c>
      <c r="M23" s="17" t="s">
        <v>859</v>
      </c>
      <c r="N23" s="17" t="s">
        <v>38</v>
      </c>
      <c r="O23" s="17" t="s">
        <v>39</v>
      </c>
      <c r="P23" s="16">
        <v>2</v>
      </c>
      <c r="Q23" s="16">
        <v>847897112</v>
      </c>
    </row>
    <row r="24" spans="1:17" ht="15.75" x14ac:dyDescent="0.25">
      <c r="A24" s="7">
        <v>2521</v>
      </c>
      <c r="B24" s="7">
        <v>63972</v>
      </c>
      <c r="C24" s="8" t="s">
        <v>671</v>
      </c>
      <c r="D24" s="8" t="s">
        <v>1033</v>
      </c>
      <c r="E24" s="9">
        <v>45891</v>
      </c>
      <c r="F24" s="9">
        <v>45954</v>
      </c>
      <c r="G24" s="7">
        <v>2</v>
      </c>
      <c r="H24" s="10" t="s">
        <v>1057</v>
      </c>
      <c r="I24" s="8">
        <v>72.59</v>
      </c>
      <c r="J24" s="8">
        <v>26.85</v>
      </c>
      <c r="K24" s="11">
        <f>SUM(J24/I24)</f>
        <v>0.36988565918170546</v>
      </c>
      <c r="L24" s="8" t="s">
        <v>864</v>
      </c>
      <c r="M24" s="8" t="s">
        <v>839</v>
      </c>
      <c r="N24" s="8" t="s">
        <v>38</v>
      </c>
      <c r="O24" s="8" t="s">
        <v>39</v>
      </c>
      <c r="P24" s="7">
        <v>2</v>
      </c>
      <c r="Q24" s="7">
        <v>847895229</v>
      </c>
    </row>
    <row r="25" spans="1:17" ht="15.75" x14ac:dyDescent="0.25">
      <c r="A25" s="7">
        <v>2521</v>
      </c>
      <c r="B25" s="7">
        <v>63972</v>
      </c>
      <c r="C25" s="8" t="s">
        <v>671</v>
      </c>
      <c r="D25" s="8" t="s">
        <v>1034</v>
      </c>
      <c r="E25" s="9">
        <v>45891</v>
      </c>
      <c r="F25" s="9">
        <v>45954</v>
      </c>
      <c r="G25" s="7">
        <v>2</v>
      </c>
      <c r="H25" s="10" t="s">
        <v>1057</v>
      </c>
      <c r="I25" s="8">
        <v>2.69</v>
      </c>
      <c r="J25" s="8">
        <v>1</v>
      </c>
      <c r="K25" s="11">
        <f>SUM(J25/I25)</f>
        <v>0.37174721189591081</v>
      </c>
      <c r="L25" s="8" t="s">
        <v>864</v>
      </c>
      <c r="M25" s="8" t="s">
        <v>839</v>
      </c>
      <c r="N25" s="8" t="s">
        <v>38</v>
      </c>
      <c r="O25" s="8" t="s">
        <v>39</v>
      </c>
      <c r="P25" s="7">
        <v>2</v>
      </c>
      <c r="Q25" s="7">
        <v>847895229</v>
      </c>
    </row>
    <row r="26" spans="1:17" ht="15.75" x14ac:dyDescent="0.25">
      <c r="A26" s="16">
        <v>2521</v>
      </c>
      <c r="B26" s="16">
        <v>65407</v>
      </c>
      <c r="C26" s="17" t="s">
        <v>675</v>
      </c>
      <c r="D26" s="17" t="s">
        <v>1029</v>
      </c>
      <c r="E26" s="18">
        <v>45885</v>
      </c>
      <c r="F26" s="18">
        <v>45950</v>
      </c>
      <c r="G26" s="16">
        <v>2</v>
      </c>
      <c r="H26" s="19" t="s">
        <v>1058</v>
      </c>
      <c r="I26" s="17">
        <v>16.34</v>
      </c>
      <c r="J26" s="17">
        <v>6.05</v>
      </c>
      <c r="K26" s="20">
        <f>SUM(J26/I26)</f>
        <v>0.37025703794369647</v>
      </c>
      <c r="L26" s="17">
        <v>16865615</v>
      </c>
      <c r="M26" s="17" t="s">
        <v>836</v>
      </c>
      <c r="N26" s="17" t="s">
        <v>38</v>
      </c>
      <c r="O26" s="17" t="s">
        <v>39</v>
      </c>
      <c r="P26" s="16">
        <v>2</v>
      </c>
      <c r="Q26" s="16">
        <v>847896092</v>
      </c>
    </row>
    <row r="27" spans="1:17" ht="15.75" x14ac:dyDescent="0.25">
      <c r="A27" s="16">
        <v>2521</v>
      </c>
      <c r="B27" s="16">
        <v>67418</v>
      </c>
      <c r="C27" s="17" t="s">
        <v>683</v>
      </c>
      <c r="D27" s="17" t="s">
        <v>1031</v>
      </c>
      <c r="E27" s="18">
        <v>45888</v>
      </c>
      <c r="F27" s="18">
        <v>45951</v>
      </c>
      <c r="G27" s="16">
        <v>2</v>
      </c>
      <c r="H27" s="19" t="s">
        <v>1058</v>
      </c>
      <c r="I27" s="17">
        <v>29.58</v>
      </c>
      <c r="J27" s="17">
        <v>10.94</v>
      </c>
      <c r="K27" s="20">
        <f>SUM(J27/I27)</f>
        <v>0.36984448951994592</v>
      </c>
      <c r="L27" s="17">
        <v>18201929</v>
      </c>
      <c r="M27" s="17" t="s">
        <v>855</v>
      </c>
      <c r="N27" s="17" t="s">
        <v>38</v>
      </c>
      <c r="O27" s="17" t="s">
        <v>39</v>
      </c>
      <c r="P27" s="16">
        <v>2</v>
      </c>
      <c r="Q27" s="16">
        <v>847897263</v>
      </c>
    </row>
    <row r="28" spans="1:17" ht="15.75" x14ac:dyDescent="0.25">
      <c r="A28" s="16">
        <v>2521</v>
      </c>
      <c r="B28" s="16">
        <v>67419</v>
      </c>
      <c r="C28" s="17" t="s">
        <v>683</v>
      </c>
      <c r="D28" s="17" t="s">
        <v>1032</v>
      </c>
      <c r="E28" s="18">
        <v>45888</v>
      </c>
      <c r="F28" s="18">
        <v>45951</v>
      </c>
      <c r="G28" s="16">
        <v>2</v>
      </c>
      <c r="H28" s="19" t="s">
        <v>1058</v>
      </c>
      <c r="I28" s="17">
        <v>9.66</v>
      </c>
      <c r="J28" s="17">
        <v>3.57</v>
      </c>
      <c r="K28" s="20">
        <f>SUM(J28/I28)</f>
        <v>0.36956521739130432</v>
      </c>
      <c r="L28" s="17">
        <v>18201929</v>
      </c>
      <c r="M28" s="17" t="s">
        <v>855</v>
      </c>
      <c r="N28" s="17" t="s">
        <v>38</v>
      </c>
      <c r="O28" s="17" t="s">
        <v>39</v>
      </c>
      <c r="P28" s="16">
        <v>2</v>
      </c>
      <c r="Q28" s="16">
        <v>847897263</v>
      </c>
    </row>
    <row r="29" spans="1:17" ht="15.75" x14ac:dyDescent="0.25">
      <c r="A29" s="16">
        <v>2521</v>
      </c>
      <c r="B29" s="16">
        <v>34820</v>
      </c>
      <c r="C29" s="17" t="s">
        <v>660</v>
      </c>
      <c r="D29" s="17" t="s">
        <v>1023</v>
      </c>
      <c r="E29" s="18">
        <v>45856</v>
      </c>
      <c r="F29" s="18">
        <v>45950</v>
      </c>
      <c r="G29" s="16">
        <v>3</v>
      </c>
      <c r="H29" s="19" t="s">
        <v>1058</v>
      </c>
      <c r="I29" s="17">
        <v>33.78</v>
      </c>
      <c r="J29" s="17">
        <v>12.5</v>
      </c>
      <c r="K29" s="20">
        <f>SUM(J29/I29)</f>
        <v>0.37004144464179989</v>
      </c>
      <c r="L29" s="17">
        <v>17554531</v>
      </c>
      <c r="M29" s="17" t="s">
        <v>849</v>
      </c>
      <c r="N29" s="17" t="s">
        <v>38</v>
      </c>
      <c r="O29" s="17" t="s">
        <v>39</v>
      </c>
      <c r="P29" s="16">
        <v>2</v>
      </c>
      <c r="Q29" s="16">
        <v>847877989</v>
      </c>
    </row>
    <row r="30" spans="1:17" ht="15.75" x14ac:dyDescent="0.25">
      <c r="A30" s="16">
        <v>2521</v>
      </c>
      <c r="B30" s="16">
        <v>34821</v>
      </c>
      <c r="C30" s="17" t="s">
        <v>660</v>
      </c>
      <c r="D30" s="17" t="s">
        <v>1024</v>
      </c>
      <c r="E30" s="18">
        <v>45856</v>
      </c>
      <c r="F30" s="18">
        <v>45950</v>
      </c>
      <c r="G30" s="16">
        <v>3</v>
      </c>
      <c r="H30" s="19" t="s">
        <v>1058</v>
      </c>
      <c r="I30" s="17">
        <v>10.67</v>
      </c>
      <c r="J30" s="17">
        <v>3.95</v>
      </c>
      <c r="K30" s="20">
        <f>SUM(J30/I30)</f>
        <v>0.3701968134957826</v>
      </c>
      <c r="L30" s="17">
        <v>17554531</v>
      </c>
      <c r="M30" s="17" t="s">
        <v>849</v>
      </c>
      <c r="N30" s="17" t="s">
        <v>38</v>
      </c>
      <c r="O30" s="17" t="s">
        <v>39</v>
      </c>
      <c r="P30" s="16">
        <v>2</v>
      </c>
      <c r="Q30" s="16">
        <v>847877989</v>
      </c>
    </row>
    <row r="31" spans="1:17" ht="15.75" x14ac:dyDescent="0.25">
      <c r="A31" s="7">
        <v>2521</v>
      </c>
      <c r="B31" s="7">
        <v>33049</v>
      </c>
      <c r="C31" s="8" t="s">
        <v>650</v>
      </c>
      <c r="D31" s="8" t="s">
        <v>1020</v>
      </c>
      <c r="E31" s="9">
        <v>45855</v>
      </c>
      <c r="F31" s="9">
        <v>45950</v>
      </c>
      <c r="G31" s="7">
        <v>3</v>
      </c>
      <c r="H31" s="10" t="s">
        <v>1057</v>
      </c>
      <c r="I31" s="8">
        <v>17.27</v>
      </c>
      <c r="J31" s="8">
        <v>6.39</v>
      </c>
      <c r="K31" s="11">
        <f>SUM(J31/I31)</f>
        <v>0.370005790387956</v>
      </c>
      <c r="L31" s="8" t="s">
        <v>864</v>
      </c>
      <c r="M31" s="8" t="s">
        <v>839</v>
      </c>
      <c r="N31" s="8" t="s">
        <v>38</v>
      </c>
      <c r="O31" s="8" t="s">
        <v>39</v>
      </c>
      <c r="P31" s="7">
        <v>2</v>
      </c>
      <c r="Q31" s="7">
        <v>847876943</v>
      </c>
    </row>
    <row r="32" spans="1:17" ht="15.75" x14ac:dyDescent="0.25">
      <c r="A32" s="7">
        <v>2521</v>
      </c>
      <c r="B32" s="7">
        <v>32371</v>
      </c>
      <c r="C32" s="8" t="s">
        <v>646</v>
      </c>
      <c r="D32" s="8" t="s">
        <v>1025</v>
      </c>
      <c r="E32" s="9">
        <v>45857</v>
      </c>
      <c r="F32" s="9">
        <v>45951</v>
      </c>
      <c r="G32" s="7">
        <v>3</v>
      </c>
      <c r="H32" s="10" t="s">
        <v>1057</v>
      </c>
      <c r="I32" s="8">
        <v>36.29</v>
      </c>
      <c r="J32" s="8">
        <v>13.43</v>
      </c>
      <c r="K32" s="11">
        <f>SUM(J32/I32)</f>
        <v>0.37007440066133923</v>
      </c>
      <c r="L32" s="8" t="s">
        <v>864</v>
      </c>
      <c r="M32" s="8" t="s">
        <v>839</v>
      </c>
      <c r="N32" s="8" t="s">
        <v>38</v>
      </c>
      <c r="O32" s="8" t="s">
        <v>39</v>
      </c>
      <c r="P32" s="7">
        <v>2</v>
      </c>
      <c r="Q32" s="7">
        <v>847876552</v>
      </c>
    </row>
    <row r="33" spans="1:17" ht="15.75" x14ac:dyDescent="0.25">
      <c r="A33" s="7">
        <v>2521</v>
      </c>
      <c r="B33" s="7">
        <v>32371</v>
      </c>
      <c r="C33" s="8" t="s">
        <v>646</v>
      </c>
      <c r="D33" s="8" t="s">
        <v>1026</v>
      </c>
      <c r="E33" s="9">
        <v>45857</v>
      </c>
      <c r="F33" s="9">
        <v>45951</v>
      </c>
      <c r="G33" s="7">
        <v>3</v>
      </c>
      <c r="H33" s="10" t="s">
        <v>1057</v>
      </c>
      <c r="I33" s="8">
        <v>1.5</v>
      </c>
      <c r="J33" s="8">
        <v>0.55000000000000004</v>
      </c>
      <c r="K33" s="11">
        <f>SUM(J33/I33)</f>
        <v>0.3666666666666667</v>
      </c>
      <c r="L33" s="8" t="s">
        <v>864</v>
      </c>
      <c r="M33" s="8" t="s">
        <v>839</v>
      </c>
      <c r="N33" s="8" t="s">
        <v>38</v>
      </c>
      <c r="O33" s="8" t="s">
        <v>39</v>
      </c>
      <c r="P33" s="7">
        <v>2</v>
      </c>
      <c r="Q33" s="7">
        <v>847876552</v>
      </c>
    </row>
    <row r="34" spans="1:17" ht="15.75" x14ac:dyDescent="0.25">
      <c r="A34" s="7">
        <v>2521</v>
      </c>
      <c r="B34" s="7">
        <v>36163</v>
      </c>
      <c r="C34" s="8" t="s">
        <v>665</v>
      </c>
      <c r="D34" s="8" t="s">
        <v>1027</v>
      </c>
      <c r="E34" s="9">
        <v>45857</v>
      </c>
      <c r="F34" s="9">
        <v>45951</v>
      </c>
      <c r="G34" s="7">
        <v>3</v>
      </c>
      <c r="H34" s="10" t="s">
        <v>1057</v>
      </c>
      <c r="I34" s="8">
        <v>57.28</v>
      </c>
      <c r="J34" s="8">
        <v>21.19</v>
      </c>
      <c r="K34" s="11">
        <f>SUM(J34/I34)</f>
        <v>0.36993715083798884</v>
      </c>
      <c r="L34" s="8">
        <v>9213293</v>
      </c>
      <c r="M34" s="8" t="s">
        <v>851</v>
      </c>
      <c r="N34" s="8" t="s">
        <v>38</v>
      </c>
      <c r="O34" s="8" t="s">
        <v>39</v>
      </c>
      <c r="P34" s="7">
        <v>2</v>
      </c>
      <c r="Q34" s="7">
        <v>847878765</v>
      </c>
    </row>
    <row r="35" spans="1:17" ht="15.75" x14ac:dyDescent="0.25">
      <c r="A35" s="7">
        <v>2521</v>
      </c>
      <c r="B35" s="7">
        <v>36171</v>
      </c>
      <c r="C35" s="8" t="s">
        <v>668</v>
      </c>
      <c r="D35" s="8" t="s">
        <v>1028</v>
      </c>
      <c r="E35" s="9">
        <v>45857</v>
      </c>
      <c r="F35" s="9">
        <v>45951</v>
      </c>
      <c r="G35" s="7">
        <v>3</v>
      </c>
      <c r="H35" s="10" t="s">
        <v>1057</v>
      </c>
      <c r="I35" s="8">
        <v>57.28</v>
      </c>
      <c r="J35" s="8">
        <v>21.19</v>
      </c>
      <c r="K35" s="11">
        <f>SUM(J35/I35)</f>
        <v>0.36993715083798884</v>
      </c>
      <c r="L35" s="8">
        <v>9213293</v>
      </c>
      <c r="M35" s="8" t="s">
        <v>851</v>
      </c>
      <c r="N35" s="8" t="s">
        <v>38</v>
      </c>
      <c r="O35" s="8" t="s">
        <v>39</v>
      </c>
      <c r="P35" s="7">
        <v>2</v>
      </c>
      <c r="Q35" s="7">
        <v>847878772</v>
      </c>
    </row>
    <row r="36" spans="1:17" ht="15.75" x14ac:dyDescent="0.25">
      <c r="A36" s="16">
        <v>2521</v>
      </c>
      <c r="B36" s="16">
        <v>33089</v>
      </c>
      <c r="C36" s="17" t="s">
        <v>654</v>
      </c>
      <c r="D36" s="17" t="s">
        <v>1021</v>
      </c>
      <c r="E36" s="18">
        <v>45855</v>
      </c>
      <c r="F36" s="18">
        <v>45950</v>
      </c>
      <c r="G36" s="16">
        <v>3</v>
      </c>
      <c r="H36" s="19" t="s">
        <v>1058</v>
      </c>
      <c r="I36" s="17">
        <v>30.07</v>
      </c>
      <c r="J36" s="17">
        <v>11.13</v>
      </c>
      <c r="K36" s="20">
        <f>SUM(J36/I36)</f>
        <v>0.37013634852011973</v>
      </c>
      <c r="L36" s="17">
        <v>8244481</v>
      </c>
      <c r="M36" s="17" t="s">
        <v>833</v>
      </c>
      <c r="N36" s="17" t="s">
        <v>38</v>
      </c>
      <c r="O36" s="17" t="s">
        <v>39</v>
      </c>
      <c r="P36" s="16">
        <v>2</v>
      </c>
      <c r="Q36" s="16">
        <v>847876965</v>
      </c>
    </row>
    <row r="37" spans="1:17" ht="15.75" x14ac:dyDescent="0.25">
      <c r="A37" s="7">
        <v>2521</v>
      </c>
      <c r="B37" s="7">
        <v>33518</v>
      </c>
      <c r="C37" s="8" t="s">
        <v>657</v>
      </c>
      <c r="D37" s="8" t="s">
        <v>1022</v>
      </c>
      <c r="E37" s="9">
        <v>45855</v>
      </c>
      <c r="F37" s="9">
        <v>45950</v>
      </c>
      <c r="G37" s="7">
        <v>3</v>
      </c>
      <c r="H37" s="10" t="s">
        <v>1057</v>
      </c>
      <c r="I37" s="8">
        <v>40.729999999999997</v>
      </c>
      <c r="J37" s="8">
        <v>15.07</v>
      </c>
      <c r="K37" s="11">
        <f>SUM(J37/I37)</f>
        <v>0.36999754480726743</v>
      </c>
      <c r="L37" s="8">
        <v>5442438</v>
      </c>
      <c r="M37" s="8" t="s">
        <v>847</v>
      </c>
      <c r="N37" s="8" t="s">
        <v>38</v>
      </c>
      <c r="O37" s="8" t="s">
        <v>39</v>
      </c>
      <c r="P37" s="7">
        <v>2</v>
      </c>
      <c r="Q37" s="7">
        <v>847877220</v>
      </c>
    </row>
    <row r="38" spans="1:17" ht="15.75" x14ac:dyDescent="0.25">
      <c r="A38" s="7">
        <v>2521</v>
      </c>
      <c r="B38" s="7">
        <v>31457</v>
      </c>
      <c r="C38" s="8" t="s">
        <v>642</v>
      </c>
      <c r="D38" s="8" t="s">
        <v>1018</v>
      </c>
      <c r="E38" s="9">
        <v>45854</v>
      </c>
      <c r="F38" s="9">
        <v>45950</v>
      </c>
      <c r="G38" s="7">
        <v>3</v>
      </c>
      <c r="H38" s="10" t="s">
        <v>1057</v>
      </c>
      <c r="I38" s="8">
        <v>84.7</v>
      </c>
      <c r="J38" s="8">
        <v>31.33</v>
      </c>
      <c r="K38" s="11">
        <f>SUM(J38/I38)</f>
        <v>0.36989374262101532</v>
      </c>
      <c r="L38" s="8">
        <v>5442438</v>
      </c>
      <c r="M38" s="8" t="s">
        <v>847</v>
      </c>
      <c r="N38" s="8" t="s">
        <v>38</v>
      </c>
      <c r="O38" s="8" t="s">
        <v>39</v>
      </c>
      <c r="P38" s="7">
        <v>2</v>
      </c>
      <c r="Q38" s="7">
        <v>847875999</v>
      </c>
    </row>
    <row r="39" spans="1:17" ht="15.75" x14ac:dyDescent="0.25">
      <c r="A39" s="7">
        <v>2521</v>
      </c>
      <c r="B39" s="7">
        <v>31457</v>
      </c>
      <c r="C39" s="8" t="s">
        <v>642</v>
      </c>
      <c r="D39" s="8" t="s">
        <v>1019</v>
      </c>
      <c r="E39" s="9">
        <v>45854</v>
      </c>
      <c r="F39" s="9">
        <v>45950</v>
      </c>
      <c r="G39" s="7">
        <v>3</v>
      </c>
      <c r="H39" s="10" t="s">
        <v>1057</v>
      </c>
      <c r="I39" s="8">
        <v>2.69</v>
      </c>
      <c r="J39" s="8">
        <v>1</v>
      </c>
      <c r="K39" s="11">
        <f>SUM(J39/I39)</f>
        <v>0.37174721189591081</v>
      </c>
      <c r="L39" s="8">
        <v>5442438</v>
      </c>
      <c r="M39" s="8" t="s">
        <v>847</v>
      </c>
      <c r="N39" s="8" t="s">
        <v>38</v>
      </c>
      <c r="O39" s="8" t="s">
        <v>39</v>
      </c>
      <c r="P39" s="7">
        <v>2</v>
      </c>
      <c r="Q39" s="7">
        <v>847875999</v>
      </c>
    </row>
    <row r="40" spans="1:17" ht="15.75" x14ac:dyDescent="0.25">
      <c r="A40" s="16">
        <v>2521</v>
      </c>
      <c r="B40" s="16">
        <v>6949</v>
      </c>
      <c r="C40" s="17" t="s">
        <v>622</v>
      </c>
      <c r="D40" s="17" t="s">
        <v>1008</v>
      </c>
      <c r="E40" s="18">
        <v>45828</v>
      </c>
      <c r="F40" s="18">
        <v>45952</v>
      </c>
      <c r="G40" s="16">
        <v>4</v>
      </c>
      <c r="H40" s="19" t="s">
        <v>1058</v>
      </c>
      <c r="I40" s="17">
        <v>41.94</v>
      </c>
      <c r="J40" s="17">
        <v>15.52</v>
      </c>
      <c r="K40" s="20">
        <f>SUM(J40/I40)</f>
        <v>0.37005245588936575</v>
      </c>
      <c r="L40" s="17">
        <v>19681796</v>
      </c>
      <c r="M40" s="17" t="s">
        <v>858</v>
      </c>
      <c r="N40" s="17" t="s">
        <v>38</v>
      </c>
      <c r="O40" s="17" t="s">
        <v>39</v>
      </c>
      <c r="P40" s="16">
        <v>2</v>
      </c>
      <c r="Q40" s="16">
        <v>847860841</v>
      </c>
    </row>
    <row r="41" spans="1:17" ht="15.75" x14ac:dyDescent="0.25">
      <c r="A41" s="16">
        <v>2521</v>
      </c>
      <c r="B41" s="16">
        <v>6949</v>
      </c>
      <c r="C41" s="17" t="s">
        <v>622</v>
      </c>
      <c r="D41" s="17" t="s">
        <v>1009</v>
      </c>
      <c r="E41" s="18">
        <v>45828</v>
      </c>
      <c r="F41" s="18">
        <v>45952</v>
      </c>
      <c r="G41" s="16">
        <v>4</v>
      </c>
      <c r="H41" s="19" t="s">
        <v>1058</v>
      </c>
      <c r="I41" s="17">
        <v>1.5</v>
      </c>
      <c r="J41" s="17">
        <v>0.55000000000000004</v>
      </c>
      <c r="K41" s="20">
        <f>SUM(J41/I41)</f>
        <v>0.3666666666666667</v>
      </c>
      <c r="L41" s="17">
        <v>19681796</v>
      </c>
      <c r="M41" s="17" t="s">
        <v>858</v>
      </c>
      <c r="N41" s="17" t="s">
        <v>38</v>
      </c>
      <c r="O41" s="17" t="s">
        <v>39</v>
      </c>
      <c r="P41" s="16">
        <v>2</v>
      </c>
      <c r="Q41" s="16">
        <v>847860841</v>
      </c>
    </row>
    <row r="42" spans="1:17" ht="15.75" x14ac:dyDescent="0.25">
      <c r="A42" s="16">
        <v>2521</v>
      </c>
      <c r="B42" s="16">
        <v>6950</v>
      </c>
      <c r="C42" s="17" t="s">
        <v>622</v>
      </c>
      <c r="D42" s="17" t="s">
        <v>1010</v>
      </c>
      <c r="E42" s="18">
        <v>45828</v>
      </c>
      <c r="F42" s="18">
        <v>45952</v>
      </c>
      <c r="G42" s="16">
        <v>4</v>
      </c>
      <c r="H42" s="19" t="s">
        <v>1058</v>
      </c>
      <c r="I42" s="17">
        <v>11.88</v>
      </c>
      <c r="J42" s="17">
        <v>4.4000000000000004</v>
      </c>
      <c r="K42" s="20">
        <f>SUM(J42/I42)</f>
        <v>0.37037037037037035</v>
      </c>
      <c r="L42" s="17">
        <v>19681796</v>
      </c>
      <c r="M42" s="17" t="s">
        <v>858</v>
      </c>
      <c r="N42" s="17" t="s">
        <v>38</v>
      </c>
      <c r="O42" s="17" t="s">
        <v>39</v>
      </c>
      <c r="P42" s="16">
        <v>2</v>
      </c>
      <c r="Q42" s="16">
        <v>847860841</v>
      </c>
    </row>
    <row r="43" spans="1:17" ht="15.75" x14ac:dyDescent="0.25">
      <c r="A43" s="7">
        <v>2521</v>
      </c>
      <c r="B43" s="7">
        <v>4670</v>
      </c>
      <c r="C43" s="8" t="s">
        <v>618</v>
      </c>
      <c r="D43" s="8" t="s">
        <v>1004</v>
      </c>
      <c r="E43" s="9">
        <v>45826</v>
      </c>
      <c r="F43" s="9">
        <v>45950</v>
      </c>
      <c r="G43" s="7">
        <v>4</v>
      </c>
      <c r="H43" s="10" t="s">
        <v>1057</v>
      </c>
      <c r="I43" s="8">
        <v>48.06</v>
      </c>
      <c r="J43" s="8">
        <v>17.78</v>
      </c>
      <c r="K43" s="11">
        <f>SUM(J43/I43)</f>
        <v>0.36995422388680815</v>
      </c>
      <c r="L43" s="8">
        <v>19279958</v>
      </c>
      <c r="M43" s="8" t="s">
        <v>840</v>
      </c>
      <c r="N43" s="8" t="s">
        <v>38</v>
      </c>
      <c r="O43" s="8" t="s">
        <v>39</v>
      </c>
      <c r="P43" s="7">
        <v>2</v>
      </c>
      <c r="Q43" s="7">
        <v>847859525</v>
      </c>
    </row>
    <row r="44" spans="1:17" ht="15.75" x14ac:dyDescent="0.25">
      <c r="A44" s="7">
        <v>2521</v>
      </c>
      <c r="B44" s="7">
        <v>4670</v>
      </c>
      <c r="C44" s="8" t="s">
        <v>618</v>
      </c>
      <c r="D44" s="8" t="s">
        <v>1005</v>
      </c>
      <c r="E44" s="9">
        <v>45826</v>
      </c>
      <c r="F44" s="9">
        <v>45950</v>
      </c>
      <c r="G44" s="7">
        <v>4</v>
      </c>
      <c r="H44" s="10" t="s">
        <v>1057</v>
      </c>
      <c r="I44" s="8">
        <v>1.5</v>
      </c>
      <c r="J44" s="8">
        <v>0.56000000000000005</v>
      </c>
      <c r="K44" s="11">
        <f>SUM(J44/I44)</f>
        <v>0.37333333333333335</v>
      </c>
      <c r="L44" s="8">
        <v>19279958</v>
      </c>
      <c r="M44" s="8" t="s">
        <v>840</v>
      </c>
      <c r="N44" s="8" t="s">
        <v>38</v>
      </c>
      <c r="O44" s="8" t="s">
        <v>39</v>
      </c>
      <c r="P44" s="7">
        <v>2</v>
      </c>
      <c r="Q44" s="7">
        <v>847859525</v>
      </c>
    </row>
    <row r="45" spans="1:17" ht="15.75" x14ac:dyDescent="0.25">
      <c r="A45" s="7">
        <v>2521</v>
      </c>
      <c r="B45" s="7">
        <v>4671</v>
      </c>
      <c r="C45" s="8" t="s">
        <v>618</v>
      </c>
      <c r="D45" s="8" t="s">
        <v>1006</v>
      </c>
      <c r="E45" s="9">
        <v>45826</v>
      </c>
      <c r="F45" s="9">
        <v>45950</v>
      </c>
      <c r="G45" s="7">
        <v>4</v>
      </c>
      <c r="H45" s="10" t="s">
        <v>1057</v>
      </c>
      <c r="I45" s="8">
        <v>16.34</v>
      </c>
      <c r="J45" s="8">
        <v>6.05</v>
      </c>
      <c r="K45" s="11">
        <f>SUM(J45/I45)</f>
        <v>0.37025703794369647</v>
      </c>
      <c r="L45" s="8">
        <v>19279958</v>
      </c>
      <c r="M45" s="8" t="s">
        <v>840</v>
      </c>
      <c r="N45" s="8" t="s">
        <v>38</v>
      </c>
      <c r="O45" s="8" t="s">
        <v>39</v>
      </c>
      <c r="P45" s="7">
        <v>2</v>
      </c>
      <c r="Q45" s="7">
        <v>847859525</v>
      </c>
    </row>
    <row r="46" spans="1:17" ht="15.75" x14ac:dyDescent="0.25">
      <c r="A46" s="7">
        <v>2521</v>
      </c>
      <c r="B46" s="7">
        <v>2341</v>
      </c>
      <c r="C46" s="8" t="s">
        <v>610</v>
      </c>
      <c r="D46" s="8" t="s">
        <v>1003</v>
      </c>
      <c r="E46" s="9">
        <v>45825</v>
      </c>
      <c r="F46" s="9">
        <v>45950</v>
      </c>
      <c r="G46" s="7">
        <v>4</v>
      </c>
      <c r="H46" s="10" t="s">
        <v>1057</v>
      </c>
      <c r="I46" s="8">
        <v>107.9</v>
      </c>
      <c r="J46" s="8">
        <v>39.92</v>
      </c>
      <c r="K46" s="11">
        <f>SUM(J46/I46)</f>
        <v>0.36997219647822055</v>
      </c>
      <c r="L46" s="8" t="s">
        <v>865</v>
      </c>
      <c r="M46" s="8" t="s">
        <v>848</v>
      </c>
      <c r="N46" s="8" t="s">
        <v>38</v>
      </c>
      <c r="O46" s="8" t="s">
        <v>39</v>
      </c>
      <c r="P46" s="7">
        <v>2</v>
      </c>
      <c r="Q46" s="7">
        <v>847858176</v>
      </c>
    </row>
    <row r="47" spans="1:17" ht="15.75" x14ac:dyDescent="0.25">
      <c r="A47" s="7">
        <v>2521</v>
      </c>
      <c r="B47" s="7">
        <v>7951</v>
      </c>
      <c r="C47" s="8" t="s">
        <v>639</v>
      </c>
      <c r="D47" s="8" t="s">
        <v>1012</v>
      </c>
      <c r="E47" s="9">
        <v>45829</v>
      </c>
      <c r="F47" s="9">
        <v>45953</v>
      </c>
      <c r="G47" s="7">
        <v>4</v>
      </c>
      <c r="H47" s="10" t="s">
        <v>1057</v>
      </c>
      <c r="I47" s="8">
        <v>114.72</v>
      </c>
      <c r="J47" s="8">
        <v>42.44</v>
      </c>
      <c r="K47" s="11">
        <f>SUM(J47/I47)</f>
        <v>0.36994421199442118</v>
      </c>
      <c r="L47" s="8">
        <v>16212649</v>
      </c>
      <c r="M47" s="8" t="s">
        <v>856</v>
      </c>
      <c r="N47" s="8" t="s">
        <v>38</v>
      </c>
      <c r="O47" s="8" t="s">
        <v>39</v>
      </c>
      <c r="P47" s="7">
        <v>2</v>
      </c>
      <c r="Q47" s="7">
        <v>847861438</v>
      </c>
    </row>
    <row r="48" spans="1:17" ht="15.75" x14ac:dyDescent="0.25">
      <c r="A48" s="7">
        <v>2521</v>
      </c>
      <c r="B48" s="7">
        <v>7951</v>
      </c>
      <c r="C48" s="8" t="s">
        <v>639</v>
      </c>
      <c r="D48" s="8" t="s">
        <v>1013</v>
      </c>
      <c r="E48" s="9">
        <v>45829</v>
      </c>
      <c r="F48" s="9">
        <v>45953</v>
      </c>
      <c r="G48" s="7">
        <v>4</v>
      </c>
      <c r="H48" s="10" t="s">
        <v>1057</v>
      </c>
      <c r="I48" s="8">
        <v>2.69</v>
      </c>
      <c r="J48" s="8">
        <v>1</v>
      </c>
      <c r="K48" s="11">
        <f>SUM(J48/I48)</f>
        <v>0.37174721189591081</v>
      </c>
      <c r="L48" s="8">
        <v>16212649</v>
      </c>
      <c r="M48" s="8" t="s">
        <v>856</v>
      </c>
      <c r="N48" s="8" t="s">
        <v>38</v>
      </c>
      <c r="O48" s="8" t="s">
        <v>39</v>
      </c>
      <c r="P48" s="7">
        <v>2</v>
      </c>
      <c r="Q48" s="7">
        <v>847861438</v>
      </c>
    </row>
    <row r="49" spans="1:17" ht="15.75" x14ac:dyDescent="0.25">
      <c r="A49" s="16">
        <v>2521</v>
      </c>
      <c r="B49" s="16">
        <v>7189</v>
      </c>
      <c r="C49" s="17" t="s">
        <v>627</v>
      </c>
      <c r="D49" s="17" t="s">
        <v>1011</v>
      </c>
      <c r="E49" s="18">
        <v>45828</v>
      </c>
      <c r="F49" s="18">
        <v>45952</v>
      </c>
      <c r="G49" s="16">
        <v>4</v>
      </c>
      <c r="H49" s="19" t="s">
        <v>1058</v>
      </c>
      <c r="I49" s="17">
        <v>90.58</v>
      </c>
      <c r="J49" s="17">
        <v>33.51</v>
      </c>
      <c r="K49" s="20">
        <f>SUM(J49/I49)</f>
        <v>0.36994921616250825</v>
      </c>
      <c r="L49" s="17">
        <v>20220688</v>
      </c>
      <c r="M49" s="17" t="s">
        <v>862</v>
      </c>
      <c r="N49" s="17" t="s">
        <v>38</v>
      </c>
      <c r="O49" s="17" t="s">
        <v>39</v>
      </c>
      <c r="P49" s="16">
        <v>2</v>
      </c>
      <c r="Q49" s="16">
        <v>847860991</v>
      </c>
    </row>
    <row r="50" spans="1:17" ht="15.75" x14ac:dyDescent="0.25">
      <c r="A50" s="7">
        <v>2521</v>
      </c>
      <c r="B50" s="7">
        <v>7930</v>
      </c>
      <c r="C50" s="8" t="s">
        <v>636</v>
      </c>
      <c r="D50" s="8" t="s">
        <v>1016</v>
      </c>
      <c r="E50" s="9">
        <v>45829</v>
      </c>
      <c r="F50" s="9">
        <v>45953</v>
      </c>
      <c r="G50" s="7">
        <v>4</v>
      </c>
      <c r="H50" s="10" t="s">
        <v>1057</v>
      </c>
      <c r="I50" s="8">
        <v>51.24</v>
      </c>
      <c r="J50" s="8">
        <v>18.96</v>
      </c>
      <c r="K50" s="11">
        <f>SUM(J50/I50)</f>
        <v>0.37002341920374709</v>
      </c>
      <c r="L50" s="8">
        <v>5442438</v>
      </c>
      <c r="M50" s="8" t="s">
        <v>847</v>
      </c>
      <c r="N50" s="8" t="s">
        <v>38</v>
      </c>
      <c r="O50" s="8" t="s">
        <v>39</v>
      </c>
      <c r="P50" s="7">
        <v>2</v>
      </c>
      <c r="Q50" s="7">
        <v>847861424</v>
      </c>
    </row>
    <row r="51" spans="1:17" ht="15.75" x14ac:dyDescent="0.25">
      <c r="A51" s="7">
        <v>2521</v>
      </c>
      <c r="B51" s="7">
        <v>7930</v>
      </c>
      <c r="C51" s="8" t="s">
        <v>636</v>
      </c>
      <c r="D51" s="8" t="s">
        <v>1017</v>
      </c>
      <c r="E51" s="9">
        <v>45829</v>
      </c>
      <c r="F51" s="9">
        <v>45953</v>
      </c>
      <c r="G51" s="7">
        <v>4</v>
      </c>
      <c r="H51" s="10" t="s">
        <v>1057</v>
      </c>
      <c r="I51" s="8">
        <v>1.5</v>
      </c>
      <c r="J51" s="8">
        <v>0.55000000000000004</v>
      </c>
      <c r="K51" s="11">
        <f>SUM(J51/I51)</f>
        <v>0.3666666666666667</v>
      </c>
      <c r="L51" s="8">
        <v>5442438</v>
      </c>
      <c r="M51" s="8" t="s">
        <v>847</v>
      </c>
      <c r="N51" s="8" t="s">
        <v>38</v>
      </c>
      <c r="O51" s="8" t="s">
        <v>39</v>
      </c>
      <c r="P51" s="7">
        <v>2</v>
      </c>
      <c r="Q51" s="7">
        <v>847861424</v>
      </c>
    </row>
    <row r="52" spans="1:17" ht="15.75" x14ac:dyDescent="0.25">
      <c r="A52" s="7">
        <v>2521</v>
      </c>
      <c r="B52" s="7">
        <v>7656</v>
      </c>
      <c r="C52" s="8" t="s">
        <v>632</v>
      </c>
      <c r="D52" s="8" t="s">
        <v>1014</v>
      </c>
      <c r="E52" s="9">
        <v>45829</v>
      </c>
      <c r="F52" s="9">
        <v>45953</v>
      </c>
      <c r="G52" s="7">
        <v>4</v>
      </c>
      <c r="H52" s="10" t="s">
        <v>1057</v>
      </c>
      <c r="I52" s="8">
        <v>42.35</v>
      </c>
      <c r="J52" s="8">
        <v>15.67</v>
      </c>
      <c r="K52" s="11">
        <f>SUM(J52/I52)</f>
        <v>0.37001180637544273</v>
      </c>
      <c r="L52" s="8">
        <v>5442438</v>
      </c>
      <c r="M52" s="8" t="s">
        <v>847</v>
      </c>
      <c r="N52" s="8" t="s">
        <v>38</v>
      </c>
      <c r="O52" s="8" t="s">
        <v>39</v>
      </c>
      <c r="P52" s="7">
        <v>2</v>
      </c>
      <c r="Q52" s="7">
        <v>847861267</v>
      </c>
    </row>
    <row r="53" spans="1:17" ht="15.75" x14ac:dyDescent="0.25">
      <c r="A53" s="7">
        <v>2521</v>
      </c>
      <c r="B53" s="7">
        <v>7656</v>
      </c>
      <c r="C53" s="8" t="s">
        <v>632</v>
      </c>
      <c r="D53" s="8" t="s">
        <v>1015</v>
      </c>
      <c r="E53" s="9">
        <v>45829</v>
      </c>
      <c r="F53" s="9">
        <v>45953</v>
      </c>
      <c r="G53" s="7">
        <v>4</v>
      </c>
      <c r="H53" s="10" t="s">
        <v>1057</v>
      </c>
      <c r="I53" s="8">
        <v>1.5</v>
      </c>
      <c r="J53" s="8">
        <v>0.55000000000000004</v>
      </c>
      <c r="K53" s="11">
        <f>SUM(J53/I53)</f>
        <v>0.3666666666666667</v>
      </c>
      <c r="L53" s="8">
        <v>5442438</v>
      </c>
      <c r="M53" s="8" t="s">
        <v>847</v>
      </c>
      <c r="N53" s="8" t="s">
        <v>38</v>
      </c>
      <c r="O53" s="8" t="s">
        <v>39</v>
      </c>
      <c r="P53" s="7">
        <v>2</v>
      </c>
      <c r="Q53" s="7">
        <v>847861267</v>
      </c>
    </row>
    <row r="54" spans="1:17" ht="15.75" x14ac:dyDescent="0.25">
      <c r="A54" s="16">
        <v>2521</v>
      </c>
      <c r="B54" s="16">
        <v>4380</v>
      </c>
      <c r="C54" s="17" t="s">
        <v>614</v>
      </c>
      <c r="D54" s="17" t="s">
        <v>1007</v>
      </c>
      <c r="E54" s="18">
        <v>45826</v>
      </c>
      <c r="F54" s="18">
        <v>45950</v>
      </c>
      <c r="G54" s="16">
        <v>4</v>
      </c>
      <c r="H54" s="19" t="s">
        <v>1058</v>
      </c>
      <c r="I54" s="17">
        <v>16.34</v>
      </c>
      <c r="J54" s="17">
        <v>6.05</v>
      </c>
      <c r="K54" s="20">
        <f>SUM(J54/I54)</f>
        <v>0.37025703794369647</v>
      </c>
      <c r="L54" s="17">
        <v>19645587</v>
      </c>
      <c r="M54" s="17" t="s">
        <v>852</v>
      </c>
      <c r="N54" s="17" t="s">
        <v>38</v>
      </c>
      <c r="O54" s="17" t="s">
        <v>39</v>
      </c>
      <c r="P54" s="16">
        <v>2</v>
      </c>
      <c r="Q54" s="16">
        <v>847859349</v>
      </c>
    </row>
    <row r="55" spans="1:17" ht="15.75" x14ac:dyDescent="0.25">
      <c r="A55" s="16">
        <v>2520</v>
      </c>
      <c r="B55" s="16">
        <v>71322</v>
      </c>
      <c r="C55" s="17" t="s">
        <v>585</v>
      </c>
      <c r="D55" s="17" t="s">
        <v>994</v>
      </c>
      <c r="E55" s="18">
        <v>45793</v>
      </c>
      <c r="F55" s="18">
        <v>45950</v>
      </c>
      <c r="G55" s="16">
        <v>5</v>
      </c>
      <c r="H55" s="19" t="s">
        <v>1058</v>
      </c>
      <c r="I55" s="17">
        <v>84.7</v>
      </c>
      <c r="J55" s="17">
        <v>31.33</v>
      </c>
      <c r="K55" s="20">
        <f>SUM(J55/I55)</f>
        <v>0.36989374262101532</v>
      </c>
      <c r="L55" s="17">
        <v>17554531</v>
      </c>
      <c r="M55" s="17" t="s">
        <v>849</v>
      </c>
      <c r="N55" s="17" t="s">
        <v>38</v>
      </c>
      <c r="O55" s="17" t="s">
        <v>39</v>
      </c>
      <c r="P55" s="16">
        <v>2</v>
      </c>
      <c r="Q55" s="16">
        <v>847837269</v>
      </c>
    </row>
    <row r="56" spans="1:17" ht="15.75" x14ac:dyDescent="0.25">
      <c r="A56" s="16">
        <v>2520</v>
      </c>
      <c r="B56" s="16">
        <v>71322</v>
      </c>
      <c r="C56" s="17" t="s">
        <v>585</v>
      </c>
      <c r="D56" s="17" t="s">
        <v>995</v>
      </c>
      <c r="E56" s="18">
        <v>45793</v>
      </c>
      <c r="F56" s="18">
        <v>45950</v>
      </c>
      <c r="G56" s="16">
        <v>5</v>
      </c>
      <c r="H56" s="19" t="s">
        <v>1058</v>
      </c>
      <c r="I56" s="17">
        <v>2.69</v>
      </c>
      <c r="J56" s="17">
        <v>1</v>
      </c>
      <c r="K56" s="20">
        <f>SUM(J56/I56)</f>
        <v>0.37174721189591081</v>
      </c>
      <c r="L56" s="17">
        <v>17554531</v>
      </c>
      <c r="M56" s="17" t="s">
        <v>849</v>
      </c>
      <c r="N56" s="17" t="s">
        <v>38</v>
      </c>
      <c r="O56" s="17" t="s">
        <v>39</v>
      </c>
      <c r="P56" s="16">
        <v>2</v>
      </c>
      <c r="Q56" s="16">
        <v>847837269</v>
      </c>
    </row>
    <row r="57" spans="1:17" ht="15.75" x14ac:dyDescent="0.25">
      <c r="A57" s="7">
        <v>2520</v>
      </c>
      <c r="B57" s="7">
        <v>73209</v>
      </c>
      <c r="C57" s="8" t="s">
        <v>595</v>
      </c>
      <c r="D57" s="8" t="s">
        <v>997</v>
      </c>
      <c r="E57" s="9">
        <v>45797</v>
      </c>
      <c r="F57" s="9">
        <v>45952</v>
      </c>
      <c r="G57" s="7">
        <v>5</v>
      </c>
      <c r="H57" s="10" t="s">
        <v>1057</v>
      </c>
      <c r="I57" s="8">
        <v>125.94</v>
      </c>
      <c r="J57" s="8">
        <v>46.6</v>
      </c>
      <c r="K57" s="11">
        <f>SUM(J57/I57)</f>
        <v>0.37001746863585838</v>
      </c>
      <c r="L57" s="8">
        <v>19279958</v>
      </c>
      <c r="M57" s="8" t="s">
        <v>840</v>
      </c>
      <c r="N57" s="8" t="s">
        <v>38</v>
      </c>
      <c r="O57" s="8" t="s">
        <v>39</v>
      </c>
      <c r="P57" s="7">
        <v>2</v>
      </c>
      <c r="Q57" s="7">
        <v>847838412</v>
      </c>
    </row>
    <row r="58" spans="1:17" ht="15.75" x14ac:dyDescent="0.25">
      <c r="A58" s="7">
        <v>2520</v>
      </c>
      <c r="B58" s="7">
        <v>75051</v>
      </c>
      <c r="C58" s="8" t="s">
        <v>602</v>
      </c>
      <c r="D58" s="8" t="s">
        <v>1000</v>
      </c>
      <c r="E58" s="9">
        <v>45798</v>
      </c>
      <c r="F58" s="9">
        <v>45953</v>
      </c>
      <c r="G58" s="7">
        <v>5</v>
      </c>
      <c r="H58" s="10" t="s">
        <v>1057</v>
      </c>
      <c r="I58" s="8">
        <v>38.54</v>
      </c>
      <c r="J58" s="8">
        <v>14.26</v>
      </c>
      <c r="K58" s="11">
        <f>SUM(J58/I58)</f>
        <v>0.37000518941359628</v>
      </c>
      <c r="L58" s="8">
        <v>19279958</v>
      </c>
      <c r="M58" s="8" t="s">
        <v>840</v>
      </c>
      <c r="N58" s="8" t="s">
        <v>38</v>
      </c>
      <c r="O58" s="8" t="s">
        <v>39</v>
      </c>
      <c r="P58" s="7">
        <v>2</v>
      </c>
      <c r="Q58" s="7">
        <v>847839520</v>
      </c>
    </row>
    <row r="59" spans="1:17" ht="15.75" x14ac:dyDescent="0.25">
      <c r="A59" s="7">
        <v>2520</v>
      </c>
      <c r="B59" s="7">
        <v>75051</v>
      </c>
      <c r="C59" s="8" t="s">
        <v>602</v>
      </c>
      <c r="D59" s="8" t="s">
        <v>1001</v>
      </c>
      <c r="E59" s="9">
        <v>45798</v>
      </c>
      <c r="F59" s="9">
        <v>45953</v>
      </c>
      <c r="G59" s="7">
        <v>5</v>
      </c>
      <c r="H59" s="10" t="s">
        <v>1057</v>
      </c>
      <c r="I59" s="8">
        <v>1.5</v>
      </c>
      <c r="J59" s="8">
        <v>0.55000000000000004</v>
      </c>
      <c r="K59" s="11">
        <f>SUM(J59/I59)</f>
        <v>0.3666666666666667</v>
      </c>
      <c r="L59" s="8">
        <v>19279958</v>
      </c>
      <c r="M59" s="8" t="s">
        <v>840</v>
      </c>
      <c r="N59" s="8" t="s">
        <v>38</v>
      </c>
      <c r="O59" s="8" t="s">
        <v>39</v>
      </c>
      <c r="P59" s="7">
        <v>2</v>
      </c>
      <c r="Q59" s="7">
        <v>847839520</v>
      </c>
    </row>
    <row r="60" spans="1:17" ht="15.75" x14ac:dyDescent="0.25">
      <c r="A60" s="7">
        <v>2520</v>
      </c>
      <c r="B60" s="7">
        <v>75201</v>
      </c>
      <c r="C60" s="8" t="s">
        <v>606</v>
      </c>
      <c r="D60" s="8" t="s">
        <v>1002</v>
      </c>
      <c r="E60" s="9">
        <v>45798</v>
      </c>
      <c r="F60" s="9">
        <v>45953</v>
      </c>
      <c r="G60" s="7">
        <v>5</v>
      </c>
      <c r="H60" s="10" t="s">
        <v>1057</v>
      </c>
      <c r="I60" s="8">
        <v>45.29</v>
      </c>
      <c r="J60" s="8">
        <v>16.760000000000002</v>
      </c>
      <c r="K60" s="11">
        <f>SUM(J60/I60)</f>
        <v>0.37005961580922947</v>
      </c>
      <c r="L60" s="8">
        <v>14177521</v>
      </c>
      <c r="M60" s="8" t="s">
        <v>857</v>
      </c>
      <c r="N60" s="8" t="s">
        <v>38</v>
      </c>
      <c r="O60" s="8" t="s">
        <v>39</v>
      </c>
      <c r="P60" s="7">
        <v>2</v>
      </c>
      <c r="Q60" s="7">
        <v>847839608</v>
      </c>
    </row>
    <row r="61" spans="1:17" ht="15.75" x14ac:dyDescent="0.25">
      <c r="A61" s="7">
        <v>2520</v>
      </c>
      <c r="B61" s="7">
        <v>71658</v>
      </c>
      <c r="C61" s="8" t="s">
        <v>591</v>
      </c>
      <c r="D61" s="8" t="s">
        <v>996</v>
      </c>
      <c r="E61" s="9">
        <v>45794</v>
      </c>
      <c r="F61" s="9">
        <v>45950</v>
      </c>
      <c r="G61" s="7">
        <v>5</v>
      </c>
      <c r="H61" s="10" t="s">
        <v>1057</v>
      </c>
      <c r="I61" s="8">
        <v>37.03</v>
      </c>
      <c r="J61" s="8">
        <v>13.7</v>
      </c>
      <c r="K61" s="11">
        <f>SUM(J61/I61)</f>
        <v>0.3699702943559276</v>
      </c>
      <c r="L61" s="8">
        <v>5442438</v>
      </c>
      <c r="M61" s="8" t="s">
        <v>847</v>
      </c>
      <c r="N61" s="8" t="s">
        <v>38</v>
      </c>
      <c r="O61" s="8" t="s">
        <v>39</v>
      </c>
      <c r="P61" s="7">
        <v>2</v>
      </c>
      <c r="Q61" s="7">
        <v>847837494</v>
      </c>
    </row>
    <row r="62" spans="1:17" ht="15.75" x14ac:dyDescent="0.25">
      <c r="A62" s="7">
        <v>2520</v>
      </c>
      <c r="B62" s="7">
        <v>73226</v>
      </c>
      <c r="C62" s="8" t="s">
        <v>599</v>
      </c>
      <c r="D62" s="8" t="s">
        <v>998</v>
      </c>
      <c r="E62" s="9">
        <v>45797</v>
      </c>
      <c r="F62" s="9">
        <v>45952</v>
      </c>
      <c r="G62" s="7">
        <v>5</v>
      </c>
      <c r="H62" s="10" t="s">
        <v>1057</v>
      </c>
      <c r="I62" s="8">
        <v>38.54</v>
      </c>
      <c r="J62" s="8">
        <v>14.26</v>
      </c>
      <c r="K62" s="11">
        <f>SUM(J62/I62)</f>
        <v>0.37000518941359628</v>
      </c>
      <c r="L62" s="8">
        <v>5442438</v>
      </c>
      <c r="M62" s="8" t="s">
        <v>847</v>
      </c>
      <c r="N62" s="8" t="s">
        <v>38</v>
      </c>
      <c r="O62" s="8" t="s">
        <v>39</v>
      </c>
      <c r="P62" s="7">
        <v>2</v>
      </c>
      <c r="Q62" s="7">
        <v>847838423</v>
      </c>
    </row>
    <row r="63" spans="1:17" ht="15.75" x14ac:dyDescent="0.25">
      <c r="A63" s="7">
        <v>2520</v>
      </c>
      <c r="B63" s="7">
        <v>73226</v>
      </c>
      <c r="C63" s="8" t="s">
        <v>599</v>
      </c>
      <c r="D63" s="8" t="s">
        <v>999</v>
      </c>
      <c r="E63" s="9">
        <v>45797</v>
      </c>
      <c r="F63" s="9">
        <v>45952</v>
      </c>
      <c r="G63" s="7">
        <v>5</v>
      </c>
      <c r="H63" s="10" t="s">
        <v>1057</v>
      </c>
      <c r="I63" s="8">
        <v>1.5</v>
      </c>
      <c r="J63" s="8">
        <v>0.55000000000000004</v>
      </c>
      <c r="K63" s="11">
        <f>SUM(J63/I63)</f>
        <v>0.3666666666666667</v>
      </c>
      <c r="L63" s="8">
        <v>5442438</v>
      </c>
      <c r="M63" s="8" t="s">
        <v>847</v>
      </c>
      <c r="N63" s="8" t="s">
        <v>38</v>
      </c>
      <c r="O63" s="8" t="s">
        <v>39</v>
      </c>
      <c r="P63" s="7">
        <v>2</v>
      </c>
      <c r="Q63" s="7">
        <v>847838423</v>
      </c>
    </row>
    <row r="64" spans="1:17" ht="15.75" x14ac:dyDescent="0.25">
      <c r="A64" s="7">
        <v>2520</v>
      </c>
      <c r="B64" s="7">
        <v>41182</v>
      </c>
      <c r="C64" s="8" t="s">
        <v>581</v>
      </c>
      <c r="D64" s="8" t="s">
        <v>1054</v>
      </c>
      <c r="E64" s="9">
        <v>45769</v>
      </c>
      <c r="F64" s="9">
        <v>45954</v>
      </c>
      <c r="G64" s="7">
        <v>6</v>
      </c>
      <c r="H64" s="10" t="s">
        <v>1057</v>
      </c>
      <c r="I64" s="7">
        <v>0.11</v>
      </c>
      <c r="J64" s="7">
        <v>0.11</v>
      </c>
      <c r="K64" s="11">
        <f>SUM(J64/I64)</f>
        <v>1</v>
      </c>
      <c r="L64" s="8">
        <v>20411454</v>
      </c>
      <c r="M64" s="8" t="s">
        <v>846</v>
      </c>
      <c r="N64" s="8" t="s">
        <v>38</v>
      </c>
      <c r="O64" s="7">
        <v>0.11</v>
      </c>
      <c r="P64" s="7">
        <v>2</v>
      </c>
      <c r="Q64" s="7">
        <v>847819477</v>
      </c>
    </row>
    <row r="65" spans="1:17" ht="15.75" x14ac:dyDescent="0.25">
      <c r="A65" s="7">
        <v>2520</v>
      </c>
      <c r="B65" s="7">
        <v>41182</v>
      </c>
      <c r="C65" s="8" t="s">
        <v>581</v>
      </c>
      <c r="D65" s="8" t="s">
        <v>1054</v>
      </c>
      <c r="E65" s="9">
        <v>45769</v>
      </c>
      <c r="F65" s="9">
        <v>45954</v>
      </c>
      <c r="G65" s="7">
        <v>6</v>
      </c>
      <c r="H65" s="10" t="s">
        <v>1057</v>
      </c>
      <c r="I65" s="7">
        <v>2.54</v>
      </c>
      <c r="J65" s="7">
        <v>2.54</v>
      </c>
      <c r="K65" s="11">
        <f>SUM(J65/I65)</f>
        <v>1</v>
      </c>
      <c r="L65" s="8">
        <v>20411454</v>
      </c>
      <c r="M65" s="8" t="s">
        <v>846</v>
      </c>
      <c r="N65" s="8" t="s">
        <v>38</v>
      </c>
      <c r="O65" s="7">
        <v>2.54</v>
      </c>
      <c r="P65" s="7">
        <v>2</v>
      </c>
      <c r="Q65" s="7">
        <v>847819477</v>
      </c>
    </row>
    <row r="66" spans="1:17" ht="15.75" x14ac:dyDescent="0.25">
      <c r="A66" s="7">
        <v>2520</v>
      </c>
      <c r="B66" s="7">
        <v>36238</v>
      </c>
      <c r="C66" s="8" t="s">
        <v>563</v>
      </c>
      <c r="D66" s="8" t="s">
        <v>984</v>
      </c>
      <c r="E66" s="9">
        <v>45763</v>
      </c>
      <c r="F66" s="9">
        <v>45950</v>
      </c>
      <c r="G66" s="7">
        <v>6</v>
      </c>
      <c r="H66" s="10" t="s">
        <v>1057</v>
      </c>
      <c r="I66" s="8">
        <v>17.559999999999999</v>
      </c>
      <c r="J66" s="8">
        <v>6.5</v>
      </c>
      <c r="K66" s="11">
        <f>SUM(J66/I66)</f>
        <v>0.37015945330296129</v>
      </c>
      <c r="L66" s="8">
        <v>17425766</v>
      </c>
      <c r="M66" s="8" t="s">
        <v>834</v>
      </c>
      <c r="N66" s="8" t="s">
        <v>38</v>
      </c>
      <c r="O66" s="8" t="s">
        <v>39</v>
      </c>
      <c r="P66" s="7">
        <v>2</v>
      </c>
      <c r="Q66" s="7">
        <v>847816609</v>
      </c>
    </row>
    <row r="67" spans="1:17" ht="15.75" x14ac:dyDescent="0.25">
      <c r="A67" s="7">
        <v>2520</v>
      </c>
      <c r="B67" s="7">
        <v>36239</v>
      </c>
      <c r="C67" s="8" t="s">
        <v>563</v>
      </c>
      <c r="D67" s="8" t="s">
        <v>985</v>
      </c>
      <c r="E67" s="9">
        <v>45763</v>
      </c>
      <c r="F67" s="9">
        <v>45950</v>
      </c>
      <c r="G67" s="7">
        <v>6</v>
      </c>
      <c r="H67" s="10" t="s">
        <v>1057</v>
      </c>
      <c r="I67" s="8">
        <v>10.67</v>
      </c>
      <c r="J67" s="8">
        <v>3.95</v>
      </c>
      <c r="K67" s="11">
        <f>SUM(J67/I67)</f>
        <v>0.3701968134957826</v>
      </c>
      <c r="L67" s="8">
        <v>17425766</v>
      </c>
      <c r="M67" s="8" t="s">
        <v>834</v>
      </c>
      <c r="N67" s="8" t="s">
        <v>38</v>
      </c>
      <c r="O67" s="8" t="s">
        <v>39</v>
      </c>
      <c r="P67" s="7">
        <v>2</v>
      </c>
      <c r="Q67" s="7">
        <v>847816609</v>
      </c>
    </row>
    <row r="68" spans="1:17" ht="15.75" x14ac:dyDescent="0.25">
      <c r="A68" s="7">
        <v>2520</v>
      </c>
      <c r="B68" s="7">
        <v>35475</v>
      </c>
      <c r="C68" s="8" t="s">
        <v>558</v>
      </c>
      <c r="D68" s="8" t="s">
        <v>986</v>
      </c>
      <c r="E68" s="9">
        <v>45763</v>
      </c>
      <c r="F68" s="9">
        <v>45950</v>
      </c>
      <c r="G68" s="7">
        <v>6</v>
      </c>
      <c r="H68" s="10" t="s">
        <v>1057</v>
      </c>
      <c r="I68" s="8">
        <v>36.29</v>
      </c>
      <c r="J68" s="8">
        <v>13.43</v>
      </c>
      <c r="K68" s="11">
        <f>SUM(J68/I68)</f>
        <v>0.37007440066133923</v>
      </c>
      <c r="L68" s="8" t="s">
        <v>864</v>
      </c>
      <c r="M68" s="8" t="s">
        <v>839</v>
      </c>
      <c r="N68" s="8" t="s">
        <v>38</v>
      </c>
      <c r="O68" s="8" t="s">
        <v>39</v>
      </c>
      <c r="P68" s="7">
        <v>2</v>
      </c>
      <c r="Q68" s="7">
        <v>847816175</v>
      </c>
    </row>
    <row r="69" spans="1:17" ht="15.75" x14ac:dyDescent="0.25">
      <c r="A69" s="7">
        <v>2520</v>
      </c>
      <c r="B69" s="7">
        <v>35475</v>
      </c>
      <c r="C69" s="8" t="s">
        <v>558</v>
      </c>
      <c r="D69" s="8" t="s">
        <v>987</v>
      </c>
      <c r="E69" s="9">
        <v>45763</v>
      </c>
      <c r="F69" s="9">
        <v>45950</v>
      </c>
      <c r="G69" s="7">
        <v>6</v>
      </c>
      <c r="H69" s="10" t="s">
        <v>1057</v>
      </c>
      <c r="I69" s="8">
        <v>1.5</v>
      </c>
      <c r="J69" s="8">
        <v>0.55000000000000004</v>
      </c>
      <c r="K69" s="11">
        <f>SUM(J69/I69)</f>
        <v>0.3666666666666667</v>
      </c>
      <c r="L69" s="8" t="s">
        <v>864</v>
      </c>
      <c r="M69" s="8" t="s">
        <v>839</v>
      </c>
      <c r="N69" s="8" t="s">
        <v>38</v>
      </c>
      <c r="O69" s="8" t="s">
        <v>39</v>
      </c>
      <c r="P69" s="7">
        <v>2</v>
      </c>
      <c r="Q69" s="7">
        <v>847816175</v>
      </c>
    </row>
    <row r="70" spans="1:17" ht="15.75" x14ac:dyDescent="0.25">
      <c r="A70" s="7">
        <v>2520</v>
      </c>
      <c r="B70" s="7">
        <v>35476</v>
      </c>
      <c r="C70" s="8" t="s">
        <v>558</v>
      </c>
      <c r="D70" s="8" t="s">
        <v>988</v>
      </c>
      <c r="E70" s="9">
        <v>45763</v>
      </c>
      <c r="F70" s="9">
        <v>45950</v>
      </c>
      <c r="G70" s="7">
        <v>6</v>
      </c>
      <c r="H70" s="10" t="s">
        <v>1057</v>
      </c>
      <c r="I70" s="8">
        <v>16.34</v>
      </c>
      <c r="J70" s="8">
        <v>6.05</v>
      </c>
      <c r="K70" s="11">
        <f>SUM(J70/I70)</f>
        <v>0.37025703794369647</v>
      </c>
      <c r="L70" s="8" t="s">
        <v>864</v>
      </c>
      <c r="M70" s="8" t="s">
        <v>839</v>
      </c>
      <c r="N70" s="8" t="s">
        <v>38</v>
      </c>
      <c r="O70" s="8" t="s">
        <v>39</v>
      </c>
      <c r="P70" s="7">
        <v>2</v>
      </c>
      <c r="Q70" s="7">
        <v>847816175</v>
      </c>
    </row>
    <row r="71" spans="1:17" ht="15.75" x14ac:dyDescent="0.25">
      <c r="A71" s="7">
        <v>2520</v>
      </c>
      <c r="B71" s="7">
        <v>37874</v>
      </c>
      <c r="C71" s="8" t="s">
        <v>567</v>
      </c>
      <c r="D71" s="8" t="s">
        <v>989</v>
      </c>
      <c r="E71" s="9">
        <v>45764</v>
      </c>
      <c r="F71" s="9">
        <v>45950</v>
      </c>
      <c r="G71" s="7">
        <v>6</v>
      </c>
      <c r="H71" s="10" t="s">
        <v>1057</v>
      </c>
      <c r="I71" s="8">
        <v>36.29</v>
      </c>
      <c r="J71" s="8">
        <v>13.43</v>
      </c>
      <c r="K71" s="11">
        <f>SUM(J71/I71)</f>
        <v>0.37007440066133923</v>
      </c>
      <c r="L71" s="8" t="s">
        <v>864</v>
      </c>
      <c r="M71" s="8" t="s">
        <v>839</v>
      </c>
      <c r="N71" s="8" t="s">
        <v>38</v>
      </c>
      <c r="O71" s="8" t="s">
        <v>39</v>
      </c>
      <c r="P71" s="7">
        <v>2</v>
      </c>
      <c r="Q71" s="7">
        <v>847817556</v>
      </c>
    </row>
    <row r="72" spans="1:17" ht="15.75" x14ac:dyDescent="0.25">
      <c r="A72" s="7">
        <v>2520</v>
      </c>
      <c r="B72" s="7">
        <v>37874</v>
      </c>
      <c r="C72" s="8" t="s">
        <v>567</v>
      </c>
      <c r="D72" s="8" t="s">
        <v>990</v>
      </c>
      <c r="E72" s="9">
        <v>45764</v>
      </c>
      <c r="F72" s="9">
        <v>45950</v>
      </c>
      <c r="G72" s="7">
        <v>6</v>
      </c>
      <c r="H72" s="10" t="s">
        <v>1057</v>
      </c>
      <c r="I72" s="8">
        <v>1.5</v>
      </c>
      <c r="J72" s="8">
        <v>0.55000000000000004</v>
      </c>
      <c r="K72" s="11">
        <f>SUM(J72/I72)</f>
        <v>0.3666666666666667</v>
      </c>
      <c r="L72" s="8" t="s">
        <v>864</v>
      </c>
      <c r="M72" s="8" t="s">
        <v>839</v>
      </c>
      <c r="N72" s="8" t="s">
        <v>38</v>
      </c>
      <c r="O72" s="8" t="s">
        <v>39</v>
      </c>
      <c r="P72" s="7">
        <v>2</v>
      </c>
      <c r="Q72" s="7">
        <v>847817556</v>
      </c>
    </row>
    <row r="73" spans="1:17" ht="15.75" x14ac:dyDescent="0.25">
      <c r="A73" s="7">
        <v>2520</v>
      </c>
      <c r="B73" s="7">
        <v>37875</v>
      </c>
      <c r="C73" s="8" t="s">
        <v>567</v>
      </c>
      <c r="D73" s="8" t="s">
        <v>991</v>
      </c>
      <c r="E73" s="9">
        <v>45764</v>
      </c>
      <c r="F73" s="9">
        <v>45950</v>
      </c>
      <c r="G73" s="7">
        <v>6</v>
      </c>
      <c r="H73" s="10" t="s">
        <v>1057</v>
      </c>
      <c r="I73" s="8">
        <v>10.67</v>
      </c>
      <c r="J73" s="8">
        <v>3.95</v>
      </c>
      <c r="K73" s="11">
        <f>SUM(J73/I73)</f>
        <v>0.3701968134957826</v>
      </c>
      <c r="L73" s="8" t="s">
        <v>864</v>
      </c>
      <c r="M73" s="8" t="s">
        <v>839</v>
      </c>
      <c r="N73" s="8" t="s">
        <v>38</v>
      </c>
      <c r="O73" s="8" t="s">
        <v>39</v>
      </c>
      <c r="P73" s="7">
        <v>2</v>
      </c>
      <c r="Q73" s="7">
        <v>847817556</v>
      </c>
    </row>
    <row r="74" spans="1:17" ht="15.75" x14ac:dyDescent="0.25">
      <c r="A74" s="7">
        <v>2520</v>
      </c>
      <c r="B74" s="7">
        <v>39924</v>
      </c>
      <c r="C74" s="8" t="s">
        <v>572</v>
      </c>
      <c r="D74" s="8" t="s">
        <v>992</v>
      </c>
      <c r="E74" s="9">
        <v>45766</v>
      </c>
      <c r="F74" s="9">
        <v>45951</v>
      </c>
      <c r="G74" s="7">
        <v>6</v>
      </c>
      <c r="H74" s="10" t="s">
        <v>1057</v>
      </c>
      <c r="I74" s="8">
        <v>40.729999999999997</v>
      </c>
      <c r="J74" s="8">
        <v>15.07</v>
      </c>
      <c r="K74" s="11">
        <f>SUM(J74/I74)</f>
        <v>0.36999754480726743</v>
      </c>
      <c r="L74" s="8">
        <v>5442438</v>
      </c>
      <c r="M74" s="8" t="s">
        <v>847</v>
      </c>
      <c r="N74" s="8" t="s">
        <v>38</v>
      </c>
      <c r="O74" s="8" t="s">
        <v>39</v>
      </c>
      <c r="P74" s="7">
        <v>2</v>
      </c>
      <c r="Q74" s="7">
        <v>847818730</v>
      </c>
    </row>
    <row r="75" spans="1:17" ht="15.75" x14ac:dyDescent="0.25">
      <c r="A75" s="7">
        <v>2520</v>
      </c>
      <c r="B75" s="7">
        <v>40036</v>
      </c>
      <c r="C75" s="8" t="s">
        <v>576</v>
      </c>
      <c r="D75" s="8" t="s">
        <v>993</v>
      </c>
      <c r="E75" s="9">
        <v>45766</v>
      </c>
      <c r="F75" s="9">
        <v>45951</v>
      </c>
      <c r="G75" s="7">
        <v>6</v>
      </c>
      <c r="H75" s="10" t="s">
        <v>1057</v>
      </c>
      <c r="I75" s="8">
        <v>37.03</v>
      </c>
      <c r="J75" s="8">
        <v>13.7</v>
      </c>
      <c r="K75" s="11">
        <f>SUM(J75/I75)</f>
        <v>0.3699702943559276</v>
      </c>
      <c r="L75" s="8">
        <v>21122864</v>
      </c>
      <c r="M75" s="8" t="s">
        <v>835</v>
      </c>
      <c r="N75" s="8" t="s">
        <v>38</v>
      </c>
      <c r="O75" s="8" t="s">
        <v>39</v>
      </c>
      <c r="P75" s="7">
        <v>2</v>
      </c>
      <c r="Q75" s="7">
        <v>847818788</v>
      </c>
    </row>
    <row r="76" spans="1:17" ht="15.75" x14ac:dyDescent="0.25">
      <c r="A76" s="16">
        <v>2519</v>
      </c>
      <c r="B76" s="16">
        <v>98129</v>
      </c>
      <c r="C76" s="17" t="s">
        <v>548</v>
      </c>
      <c r="D76" s="17" t="s">
        <v>980</v>
      </c>
      <c r="E76" s="18">
        <v>45734</v>
      </c>
      <c r="F76" s="18">
        <v>45950</v>
      </c>
      <c r="G76" s="16">
        <v>7</v>
      </c>
      <c r="H76" s="19" t="s">
        <v>1058</v>
      </c>
      <c r="I76" s="17">
        <v>45.29</v>
      </c>
      <c r="J76" s="17">
        <v>16.760000000000002</v>
      </c>
      <c r="K76" s="20">
        <f>SUM(J76/I76)</f>
        <v>0.37005961580922947</v>
      </c>
      <c r="L76" s="17">
        <v>19681796</v>
      </c>
      <c r="M76" s="17" t="s">
        <v>858</v>
      </c>
      <c r="N76" s="17" t="s">
        <v>38</v>
      </c>
      <c r="O76" s="17" t="s">
        <v>39</v>
      </c>
      <c r="P76" s="16">
        <v>2</v>
      </c>
      <c r="Q76" s="16">
        <v>847794757</v>
      </c>
    </row>
    <row r="77" spans="1:17" ht="15.75" x14ac:dyDescent="0.25">
      <c r="A77" s="16">
        <v>2519</v>
      </c>
      <c r="B77" s="16">
        <v>98130</v>
      </c>
      <c r="C77" s="17" t="s">
        <v>548</v>
      </c>
      <c r="D77" s="17" t="s">
        <v>981</v>
      </c>
      <c r="E77" s="18">
        <v>45734</v>
      </c>
      <c r="F77" s="18">
        <v>45950</v>
      </c>
      <c r="G77" s="16">
        <v>7</v>
      </c>
      <c r="H77" s="19" t="s">
        <v>1058</v>
      </c>
      <c r="I77" s="17">
        <v>10.67</v>
      </c>
      <c r="J77" s="17">
        <v>3.95</v>
      </c>
      <c r="K77" s="20">
        <f>SUM(J77/I77)</f>
        <v>0.3701968134957826</v>
      </c>
      <c r="L77" s="17">
        <v>19681796</v>
      </c>
      <c r="M77" s="17" t="s">
        <v>858</v>
      </c>
      <c r="N77" s="17" t="s">
        <v>38</v>
      </c>
      <c r="O77" s="17" t="s">
        <v>39</v>
      </c>
      <c r="P77" s="16">
        <v>2</v>
      </c>
      <c r="Q77" s="16">
        <v>847794757</v>
      </c>
    </row>
    <row r="78" spans="1:17" ht="15.75" x14ac:dyDescent="0.25">
      <c r="A78" s="16">
        <v>2519</v>
      </c>
      <c r="B78" s="16">
        <v>97554</v>
      </c>
      <c r="C78" s="17" t="s">
        <v>541</v>
      </c>
      <c r="D78" s="17" t="s">
        <v>976</v>
      </c>
      <c r="E78" s="18">
        <v>45732</v>
      </c>
      <c r="F78" s="18">
        <v>45950</v>
      </c>
      <c r="G78" s="16">
        <v>7</v>
      </c>
      <c r="H78" s="19" t="s">
        <v>1058</v>
      </c>
      <c r="I78" s="17">
        <v>61.69</v>
      </c>
      <c r="J78" s="17">
        <v>22.83</v>
      </c>
      <c r="K78" s="20">
        <f>SUM(J78/I78)</f>
        <v>0.37007618738855569</v>
      </c>
      <c r="L78" s="17">
        <v>2158366</v>
      </c>
      <c r="M78" s="17" t="s">
        <v>838</v>
      </c>
      <c r="N78" s="17" t="s">
        <v>38</v>
      </c>
      <c r="O78" s="17" t="s">
        <v>39</v>
      </c>
      <c r="P78" s="16">
        <v>2</v>
      </c>
      <c r="Q78" s="16">
        <v>847794433</v>
      </c>
    </row>
    <row r="79" spans="1:17" ht="15.75" x14ac:dyDescent="0.25">
      <c r="A79" s="16">
        <v>2519</v>
      </c>
      <c r="B79" s="16">
        <v>97554</v>
      </c>
      <c r="C79" s="17" t="s">
        <v>541</v>
      </c>
      <c r="D79" s="17" t="s">
        <v>977</v>
      </c>
      <c r="E79" s="18">
        <v>45732</v>
      </c>
      <c r="F79" s="18">
        <v>45950</v>
      </c>
      <c r="G79" s="16">
        <v>7</v>
      </c>
      <c r="H79" s="19" t="s">
        <v>1058</v>
      </c>
      <c r="I79" s="17">
        <v>1.5</v>
      </c>
      <c r="J79" s="17">
        <v>0.55000000000000004</v>
      </c>
      <c r="K79" s="20">
        <f>SUM(J79/I79)</f>
        <v>0.3666666666666667</v>
      </c>
      <c r="L79" s="17">
        <v>2158366</v>
      </c>
      <c r="M79" s="17" t="s">
        <v>838</v>
      </c>
      <c r="N79" s="17" t="s">
        <v>38</v>
      </c>
      <c r="O79" s="17" t="s">
        <v>39</v>
      </c>
      <c r="P79" s="16">
        <v>2</v>
      </c>
      <c r="Q79" s="16">
        <v>847794433</v>
      </c>
    </row>
    <row r="80" spans="1:17" ht="15.75" x14ac:dyDescent="0.25">
      <c r="A80" s="16">
        <v>2519</v>
      </c>
      <c r="B80" s="16">
        <v>97555</v>
      </c>
      <c r="C80" s="17" t="s">
        <v>541</v>
      </c>
      <c r="D80" s="17" t="s">
        <v>978</v>
      </c>
      <c r="E80" s="18">
        <v>45732</v>
      </c>
      <c r="F80" s="18">
        <v>45950</v>
      </c>
      <c r="G80" s="16">
        <v>7</v>
      </c>
      <c r="H80" s="19" t="s">
        <v>1058</v>
      </c>
      <c r="I80" s="17">
        <v>16.34</v>
      </c>
      <c r="J80" s="17">
        <v>6.05</v>
      </c>
      <c r="K80" s="20">
        <f>SUM(J80/I80)</f>
        <v>0.37025703794369647</v>
      </c>
      <c r="L80" s="17">
        <v>2158366</v>
      </c>
      <c r="M80" s="17" t="s">
        <v>838</v>
      </c>
      <c r="N80" s="17" t="s">
        <v>38</v>
      </c>
      <c r="O80" s="17" t="s">
        <v>39</v>
      </c>
      <c r="P80" s="16">
        <v>2</v>
      </c>
      <c r="Q80" s="16">
        <v>847794433</v>
      </c>
    </row>
    <row r="81" spans="1:17" ht="15.75" x14ac:dyDescent="0.25">
      <c r="A81" s="16">
        <v>2519</v>
      </c>
      <c r="B81" s="16">
        <v>93781</v>
      </c>
      <c r="C81" s="17" t="s">
        <v>537</v>
      </c>
      <c r="D81" s="17" t="s">
        <v>979</v>
      </c>
      <c r="E81" s="18">
        <v>45733</v>
      </c>
      <c r="F81" s="18">
        <v>45950</v>
      </c>
      <c r="G81" s="16">
        <v>7</v>
      </c>
      <c r="H81" s="19" t="s">
        <v>1058</v>
      </c>
      <c r="I81" s="17">
        <v>20.96</v>
      </c>
      <c r="J81" s="17">
        <v>7.76</v>
      </c>
      <c r="K81" s="20">
        <f>SUM(J81/I81)</f>
        <v>0.37022900763358774</v>
      </c>
      <c r="L81" s="17">
        <v>16509456</v>
      </c>
      <c r="M81" s="17" t="s">
        <v>854</v>
      </c>
      <c r="N81" s="17" t="s">
        <v>38</v>
      </c>
      <c r="O81" s="17" t="s">
        <v>39</v>
      </c>
      <c r="P81" s="16">
        <v>2</v>
      </c>
      <c r="Q81" s="16">
        <v>847792270</v>
      </c>
    </row>
    <row r="82" spans="1:17" ht="15.75" x14ac:dyDescent="0.25">
      <c r="A82" s="16">
        <v>2520</v>
      </c>
      <c r="B82" s="16">
        <v>5962</v>
      </c>
      <c r="C82" s="17" t="s">
        <v>554</v>
      </c>
      <c r="D82" s="17" t="s">
        <v>982</v>
      </c>
      <c r="E82" s="18">
        <v>45738</v>
      </c>
      <c r="F82" s="18">
        <v>45954</v>
      </c>
      <c r="G82" s="16">
        <v>7</v>
      </c>
      <c r="H82" s="19" t="s">
        <v>1058</v>
      </c>
      <c r="I82" s="17">
        <v>58.15</v>
      </c>
      <c r="J82" s="17">
        <v>21.52</v>
      </c>
      <c r="K82" s="20">
        <f>SUM(J82/I82)</f>
        <v>0.37007738607050733</v>
      </c>
      <c r="L82" s="17">
        <v>19645587</v>
      </c>
      <c r="M82" s="17" t="s">
        <v>852</v>
      </c>
      <c r="N82" s="17" t="s">
        <v>38</v>
      </c>
      <c r="O82" s="17" t="s">
        <v>39</v>
      </c>
      <c r="P82" s="16">
        <v>2</v>
      </c>
      <c r="Q82" s="16">
        <v>847798998</v>
      </c>
    </row>
    <row r="83" spans="1:17" ht="15.75" x14ac:dyDescent="0.25">
      <c r="A83" s="16">
        <v>2520</v>
      </c>
      <c r="B83" s="16">
        <v>5962</v>
      </c>
      <c r="C83" s="17" t="s">
        <v>554</v>
      </c>
      <c r="D83" s="17" t="s">
        <v>983</v>
      </c>
      <c r="E83" s="18">
        <v>45738</v>
      </c>
      <c r="F83" s="18">
        <v>45954</v>
      </c>
      <c r="G83" s="16">
        <v>7</v>
      </c>
      <c r="H83" s="19" t="s">
        <v>1058</v>
      </c>
      <c r="I83" s="17">
        <v>1.5</v>
      </c>
      <c r="J83" s="17">
        <v>0.55000000000000004</v>
      </c>
      <c r="K83" s="20">
        <f>SUM(J83/I83)</f>
        <v>0.3666666666666667</v>
      </c>
      <c r="L83" s="17">
        <v>19645587</v>
      </c>
      <c r="M83" s="17" t="s">
        <v>852</v>
      </c>
      <c r="N83" s="17" t="s">
        <v>38</v>
      </c>
      <c r="O83" s="17" t="s">
        <v>39</v>
      </c>
      <c r="P83" s="16">
        <v>2</v>
      </c>
      <c r="Q83" s="16">
        <v>847798998</v>
      </c>
    </row>
    <row r="84" spans="1:17" ht="15.75" x14ac:dyDescent="0.25">
      <c r="A84" s="7">
        <v>2519</v>
      </c>
      <c r="B84" s="7">
        <v>28590</v>
      </c>
      <c r="C84" s="8" t="s">
        <v>522</v>
      </c>
      <c r="D84" s="8" t="s">
        <v>1054</v>
      </c>
      <c r="E84" s="9">
        <v>45704</v>
      </c>
      <c r="F84" s="9">
        <v>45950</v>
      </c>
      <c r="G84" s="7">
        <v>8</v>
      </c>
      <c r="H84" s="7" t="s">
        <v>1057</v>
      </c>
      <c r="I84" s="7">
        <v>0.11</v>
      </c>
      <c r="J84" s="7">
        <v>0.11</v>
      </c>
      <c r="K84" s="11">
        <f>SUM(J84/I84)</f>
        <v>1</v>
      </c>
      <c r="L84" s="8">
        <v>20411454</v>
      </c>
      <c r="M84" s="8" t="s">
        <v>846</v>
      </c>
      <c r="N84" s="8" t="s">
        <v>38</v>
      </c>
      <c r="O84" s="7">
        <v>0.11</v>
      </c>
      <c r="P84" s="7">
        <v>2</v>
      </c>
      <c r="Q84" s="7">
        <v>847756182</v>
      </c>
    </row>
    <row r="85" spans="1:17" ht="15.75" x14ac:dyDescent="0.25">
      <c r="A85" s="7">
        <v>2519</v>
      </c>
      <c r="B85" s="7">
        <v>28591</v>
      </c>
      <c r="C85" s="8" t="s">
        <v>522</v>
      </c>
      <c r="D85" s="8" t="s">
        <v>1054</v>
      </c>
      <c r="E85" s="9">
        <v>45704</v>
      </c>
      <c r="F85" s="9">
        <v>45950</v>
      </c>
      <c r="G85" s="7">
        <v>8</v>
      </c>
      <c r="H85" s="7" t="s">
        <v>1057</v>
      </c>
      <c r="I85" s="7">
        <v>1.1399999999999999</v>
      </c>
      <c r="J85" s="7">
        <v>1.1399999999999999</v>
      </c>
      <c r="K85" s="11">
        <f>SUM(J85/I85)</f>
        <v>1</v>
      </c>
      <c r="L85" s="8">
        <v>20411454</v>
      </c>
      <c r="M85" s="8" t="s">
        <v>846</v>
      </c>
      <c r="N85" s="8" t="s">
        <v>38</v>
      </c>
      <c r="O85" s="7">
        <v>1.1399999999999999</v>
      </c>
      <c r="P85" s="7">
        <v>2</v>
      </c>
      <c r="Q85" s="7">
        <v>847756182</v>
      </c>
    </row>
    <row r="86" spans="1:17" ht="15.75" x14ac:dyDescent="0.25">
      <c r="A86" s="7">
        <v>2519</v>
      </c>
      <c r="B86" s="7">
        <v>28590</v>
      </c>
      <c r="C86" s="8" t="s">
        <v>522</v>
      </c>
      <c r="D86" s="8" t="s">
        <v>1054</v>
      </c>
      <c r="E86" s="9">
        <v>45704</v>
      </c>
      <c r="F86" s="9">
        <v>45950</v>
      </c>
      <c r="G86" s="7">
        <v>8</v>
      </c>
      <c r="H86" s="7" t="s">
        <v>1057</v>
      </c>
      <c r="I86" s="7">
        <v>2.54</v>
      </c>
      <c r="J86" s="7">
        <v>2.54</v>
      </c>
      <c r="K86" s="11">
        <f>SUM(J86/I86)</f>
        <v>1</v>
      </c>
      <c r="L86" s="8">
        <v>20411454</v>
      </c>
      <c r="M86" s="8" t="s">
        <v>846</v>
      </c>
      <c r="N86" s="8" t="s">
        <v>38</v>
      </c>
      <c r="O86" s="7">
        <v>2.54</v>
      </c>
      <c r="P86" s="7">
        <v>2</v>
      </c>
      <c r="Q86" s="7">
        <v>847756182</v>
      </c>
    </row>
    <row r="87" spans="1:17" ht="15.75" x14ac:dyDescent="0.25">
      <c r="A87" s="7">
        <v>2518</v>
      </c>
      <c r="B87" s="7">
        <v>34442</v>
      </c>
      <c r="C87" s="8" t="s">
        <v>424</v>
      </c>
      <c r="D87" s="8" t="s">
        <v>1054</v>
      </c>
      <c r="E87" s="9">
        <v>45708</v>
      </c>
      <c r="F87" s="9">
        <v>45952</v>
      </c>
      <c r="G87" s="7">
        <v>8</v>
      </c>
      <c r="H87" s="7" t="s">
        <v>1057</v>
      </c>
      <c r="I87" s="7">
        <v>1.21</v>
      </c>
      <c r="J87" s="7">
        <v>1.21</v>
      </c>
      <c r="K87" s="11">
        <f>SUM(J87/I87)</f>
        <v>1</v>
      </c>
      <c r="L87" s="8">
        <v>20411454</v>
      </c>
      <c r="M87" s="8" t="s">
        <v>846</v>
      </c>
      <c r="N87" s="8" t="s">
        <v>38</v>
      </c>
      <c r="O87" s="7">
        <v>1.21</v>
      </c>
      <c r="P87" s="7">
        <v>2</v>
      </c>
      <c r="Q87" s="7">
        <v>847703675</v>
      </c>
    </row>
    <row r="88" spans="1:17" ht="15.75" x14ac:dyDescent="0.25">
      <c r="A88" s="16">
        <v>2519</v>
      </c>
      <c r="B88" s="16">
        <v>67472</v>
      </c>
      <c r="C88" s="17" t="s">
        <v>527</v>
      </c>
      <c r="D88" s="17" t="s">
        <v>973</v>
      </c>
      <c r="E88" s="18">
        <v>45708</v>
      </c>
      <c r="F88" s="18">
        <v>45952</v>
      </c>
      <c r="G88" s="16">
        <v>8</v>
      </c>
      <c r="H88" s="19" t="s">
        <v>1058</v>
      </c>
      <c r="I88" s="17">
        <v>57.28</v>
      </c>
      <c r="J88" s="17">
        <v>21.19</v>
      </c>
      <c r="K88" s="20">
        <f>SUM(J88/I88)</f>
        <v>0.36993715083798884</v>
      </c>
      <c r="L88" s="17">
        <v>19681796</v>
      </c>
      <c r="M88" s="17" t="s">
        <v>858</v>
      </c>
      <c r="N88" s="17" t="s">
        <v>38</v>
      </c>
      <c r="O88" s="17" t="s">
        <v>39</v>
      </c>
      <c r="P88" s="16">
        <v>2</v>
      </c>
      <c r="Q88" s="16">
        <v>847777707</v>
      </c>
    </row>
    <row r="89" spans="1:17" ht="15.75" x14ac:dyDescent="0.25">
      <c r="A89" s="7">
        <v>2519</v>
      </c>
      <c r="B89" s="7">
        <v>69207</v>
      </c>
      <c r="C89" s="8" t="s">
        <v>530</v>
      </c>
      <c r="D89" s="8" t="s">
        <v>974</v>
      </c>
      <c r="E89" s="9">
        <v>45709</v>
      </c>
      <c r="F89" s="9">
        <v>45953</v>
      </c>
      <c r="G89" s="7">
        <v>8</v>
      </c>
      <c r="H89" s="10" t="s">
        <v>1057</v>
      </c>
      <c r="I89" s="8">
        <v>45.29</v>
      </c>
      <c r="J89" s="8">
        <v>16.760000000000002</v>
      </c>
      <c r="K89" s="11">
        <f>SUM(J89/I89)</f>
        <v>0.37005961580922947</v>
      </c>
      <c r="L89" s="8">
        <v>14177521</v>
      </c>
      <c r="M89" s="8" t="s">
        <v>857</v>
      </c>
      <c r="N89" s="8" t="s">
        <v>38</v>
      </c>
      <c r="O89" s="8" t="s">
        <v>39</v>
      </c>
      <c r="P89" s="7">
        <v>2</v>
      </c>
      <c r="Q89" s="7">
        <v>847778647</v>
      </c>
    </row>
    <row r="90" spans="1:17" ht="15.75" x14ac:dyDescent="0.25">
      <c r="A90" s="7">
        <v>2519</v>
      </c>
      <c r="B90" s="7">
        <v>69208</v>
      </c>
      <c r="C90" s="8" t="s">
        <v>530</v>
      </c>
      <c r="D90" s="8" t="s">
        <v>975</v>
      </c>
      <c r="E90" s="9">
        <v>45709</v>
      </c>
      <c r="F90" s="9">
        <v>45953</v>
      </c>
      <c r="G90" s="7">
        <v>8</v>
      </c>
      <c r="H90" s="7" t="s">
        <v>1057</v>
      </c>
      <c r="I90" s="8">
        <v>16.34</v>
      </c>
      <c r="J90" s="8">
        <v>6.05</v>
      </c>
      <c r="K90" s="11">
        <f>SUM(J90/I90)</f>
        <v>0.37025703794369647</v>
      </c>
      <c r="L90" s="8">
        <v>14177521</v>
      </c>
      <c r="M90" s="8" t="s">
        <v>857</v>
      </c>
      <c r="N90" s="8" t="s">
        <v>38</v>
      </c>
      <c r="O90" s="8" t="s">
        <v>39</v>
      </c>
      <c r="P90" s="7">
        <v>2</v>
      </c>
      <c r="Q90" s="7">
        <v>847778647</v>
      </c>
    </row>
    <row r="91" spans="1:17" ht="15.75" x14ac:dyDescent="0.25">
      <c r="A91" s="7">
        <v>2519</v>
      </c>
      <c r="B91" s="7">
        <v>14268</v>
      </c>
      <c r="C91" s="8" t="s">
        <v>474</v>
      </c>
      <c r="D91" s="8" t="s">
        <v>1054</v>
      </c>
      <c r="E91" s="9">
        <v>45671</v>
      </c>
      <c r="F91" s="9">
        <v>45952</v>
      </c>
      <c r="G91" s="7">
        <v>9</v>
      </c>
      <c r="H91" s="7" t="s">
        <v>1057</v>
      </c>
      <c r="I91" s="7">
        <v>1.1399999999999999</v>
      </c>
      <c r="J91" s="7">
        <v>1.1399999999999999</v>
      </c>
      <c r="K91" s="11">
        <f>SUM(J91/I91)</f>
        <v>1</v>
      </c>
      <c r="L91" s="8">
        <v>20411454</v>
      </c>
      <c r="M91" s="8" t="s">
        <v>846</v>
      </c>
      <c r="N91" s="8" t="s">
        <v>38</v>
      </c>
      <c r="O91" s="7">
        <v>1.1399999999999999</v>
      </c>
      <c r="P91" s="7">
        <v>2</v>
      </c>
      <c r="Q91" s="7">
        <v>847748111</v>
      </c>
    </row>
    <row r="92" spans="1:17" ht="15.75" x14ac:dyDescent="0.25">
      <c r="A92" s="7">
        <v>2519</v>
      </c>
      <c r="B92" s="7">
        <v>14268</v>
      </c>
      <c r="C92" s="8" t="s">
        <v>474</v>
      </c>
      <c r="D92" s="8" t="s">
        <v>1054</v>
      </c>
      <c r="E92" s="9">
        <v>45671</v>
      </c>
      <c r="F92" s="9">
        <v>45952</v>
      </c>
      <c r="G92" s="7">
        <v>9</v>
      </c>
      <c r="H92" s="7" t="s">
        <v>1057</v>
      </c>
      <c r="I92" s="7">
        <v>1.1399999999999999</v>
      </c>
      <c r="J92" s="7">
        <v>1.1399999999999999</v>
      </c>
      <c r="K92" s="11">
        <f>SUM(J92/I92)</f>
        <v>1</v>
      </c>
      <c r="L92" s="8">
        <v>20411454</v>
      </c>
      <c r="M92" s="8" t="s">
        <v>846</v>
      </c>
      <c r="N92" s="8" t="s">
        <v>38</v>
      </c>
      <c r="O92" s="7">
        <v>1.1399999999999999</v>
      </c>
      <c r="P92" s="7">
        <v>2</v>
      </c>
      <c r="Q92" s="7">
        <v>847748111</v>
      </c>
    </row>
    <row r="93" spans="1:17" ht="15.75" x14ac:dyDescent="0.25">
      <c r="A93" s="7">
        <v>2519</v>
      </c>
      <c r="B93" s="7">
        <v>14268</v>
      </c>
      <c r="C93" s="8" t="s">
        <v>474</v>
      </c>
      <c r="D93" s="8" t="s">
        <v>1054</v>
      </c>
      <c r="E93" s="9">
        <v>45671</v>
      </c>
      <c r="F93" s="9">
        <v>45952</v>
      </c>
      <c r="G93" s="7">
        <v>9</v>
      </c>
      <c r="H93" s="7" t="s">
        <v>1057</v>
      </c>
      <c r="I93" s="7">
        <v>1.1399999999999999</v>
      </c>
      <c r="J93" s="7">
        <v>1.1399999999999999</v>
      </c>
      <c r="K93" s="11">
        <f>SUM(J93/I93)</f>
        <v>1</v>
      </c>
      <c r="L93" s="8">
        <v>20411454</v>
      </c>
      <c r="M93" s="8" t="s">
        <v>846</v>
      </c>
      <c r="N93" s="8" t="s">
        <v>38</v>
      </c>
      <c r="O93" s="7">
        <v>1.1399999999999999</v>
      </c>
      <c r="P93" s="7">
        <v>2</v>
      </c>
      <c r="Q93" s="7">
        <v>847748111</v>
      </c>
    </row>
    <row r="94" spans="1:17" ht="15.75" x14ac:dyDescent="0.25">
      <c r="A94" s="7">
        <v>2519</v>
      </c>
      <c r="B94" s="7">
        <v>6409</v>
      </c>
      <c r="C94" s="8" t="s">
        <v>468</v>
      </c>
      <c r="D94" s="8" t="s">
        <v>1054</v>
      </c>
      <c r="E94" s="9">
        <v>45666</v>
      </c>
      <c r="F94" s="9">
        <v>45952</v>
      </c>
      <c r="G94" s="7">
        <v>9</v>
      </c>
      <c r="H94" s="7" t="s">
        <v>1057</v>
      </c>
      <c r="I94" s="7">
        <v>0.11</v>
      </c>
      <c r="J94" s="7">
        <v>0.11</v>
      </c>
      <c r="K94" s="11">
        <f>SUM(J94/I94)</f>
        <v>1</v>
      </c>
      <c r="L94" s="8">
        <v>20411454</v>
      </c>
      <c r="M94" s="8" t="s">
        <v>846</v>
      </c>
      <c r="N94" s="8" t="s">
        <v>38</v>
      </c>
      <c r="O94" s="7">
        <v>0.11</v>
      </c>
      <c r="P94" s="7">
        <v>2</v>
      </c>
      <c r="Q94" s="7">
        <v>847743707</v>
      </c>
    </row>
    <row r="95" spans="1:17" ht="15.75" x14ac:dyDescent="0.25">
      <c r="A95" s="7">
        <v>2519</v>
      </c>
      <c r="B95" s="7">
        <v>6409</v>
      </c>
      <c r="C95" s="8" t="s">
        <v>468</v>
      </c>
      <c r="D95" s="8" t="s">
        <v>1054</v>
      </c>
      <c r="E95" s="9">
        <v>45666</v>
      </c>
      <c r="F95" s="9">
        <v>45952</v>
      </c>
      <c r="G95" s="7">
        <v>9</v>
      </c>
      <c r="H95" s="7" t="s">
        <v>1057</v>
      </c>
      <c r="I95" s="7">
        <v>2.54</v>
      </c>
      <c r="J95" s="7">
        <v>2.54</v>
      </c>
      <c r="K95" s="11">
        <f>SUM(J95/I95)</f>
        <v>1</v>
      </c>
      <c r="L95" s="8">
        <v>20411454</v>
      </c>
      <c r="M95" s="8" t="s">
        <v>846</v>
      </c>
      <c r="N95" s="8" t="s">
        <v>38</v>
      </c>
      <c r="O95" s="7">
        <v>2.54</v>
      </c>
      <c r="P95" s="7">
        <v>2</v>
      </c>
      <c r="Q95" s="7">
        <v>847743707</v>
      </c>
    </row>
    <row r="96" spans="1:17" ht="15.75" x14ac:dyDescent="0.25">
      <c r="A96" s="7">
        <v>2519</v>
      </c>
      <c r="B96" s="7">
        <v>27620</v>
      </c>
      <c r="C96" s="8" t="s">
        <v>519</v>
      </c>
      <c r="D96" s="8" t="s">
        <v>1054</v>
      </c>
      <c r="E96" s="9">
        <v>45679</v>
      </c>
      <c r="F96" s="9">
        <v>45954</v>
      </c>
      <c r="G96" s="7">
        <v>9</v>
      </c>
      <c r="H96" s="7" t="s">
        <v>1057</v>
      </c>
      <c r="I96" s="7">
        <v>0.11</v>
      </c>
      <c r="J96" s="7">
        <v>0.11</v>
      </c>
      <c r="K96" s="11">
        <f>SUM(J96/I96)</f>
        <v>1</v>
      </c>
      <c r="L96" s="8">
        <v>20411454</v>
      </c>
      <c r="M96" s="8" t="s">
        <v>846</v>
      </c>
      <c r="N96" s="8" t="s">
        <v>38</v>
      </c>
      <c r="O96" s="7">
        <v>0.11</v>
      </c>
      <c r="P96" s="7">
        <v>2</v>
      </c>
      <c r="Q96" s="7">
        <v>847755613</v>
      </c>
    </row>
    <row r="97" spans="1:17" ht="15.75" x14ac:dyDescent="0.25">
      <c r="A97" s="7">
        <v>2519</v>
      </c>
      <c r="B97" s="7">
        <v>27620</v>
      </c>
      <c r="C97" s="8" t="s">
        <v>519</v>
      </c>
      <c r="D97" s="8" t="s">
        <v>1054</v>
      </c>
      <c r="E97" s="9">
        <v>45679</v>
      </c>
      <c r="F97" s="9">
        <v>45954</v>
      </c>
      <c r="G97" s="7">
        <v>9</v>
      </c>
      <c r="H97" s="7" t="s">
        <v>1057</v>
      </c>
      <c r="I97" s="7">
        <v>2.54</v>
      </c>
      <c r="J97" s="7">
        <v>2.54</v>
      </c>
      <c r="K97" s="11">
        <f>SUM(J97/I97)</f>
        <v>1</v>
      </c>
      <c r="L97" s="8">
        <v>20411454</v>
      </c>
      <c r="M97" s="8" t="s">
        <v>846</v>
      </c>
      <c r="N97" s="8" t="s">
        <v>38</v>
      </c>
      <c r="O97" s="7">
        <v>2.54</v>
      </c>
      <c r="P97" s="7">
        <v>2</v>
      </c>
      <c r="Q97" s="7">
        <v>847755613</v>
      </c>
    </row>
    <row r="98" spans="1:17" ht="15.75" x14ac:dyDescent="0.25">
      <c r="A98" s="7">
        <v>2519</v>
      </c>
      <c r="B98" s="7">
        <v>20933</v>
      </c>
      <c r="C98" s="8" t="s">
        <v>496</v>
      </c>
      <c r="D98" s="8" t="s">
        <v>958</v>
      </c>
      <c r="E98" s="9">
        <v>45673</v>
      </c>
      <c r="F98" s="9">
        <v>45950</v>
      </c>
      <c r="G98" s="7">
        <v>9</v>
      </c>
      <c r="H98" s="7" t="s">
        <v>1057</v>
      </c>
      <c r="I98" s="8">
        <v>37.03</v>
      </c>
      <c r="J98" s="8">
        <v>13.7</v>
      </c>
      <c r="K98" s="11">
        <f>SUM(J98/I98)</f>
        <v>0.3699702943559276</v>
      </c>
      <c r="L98" s="8">
        <v>9079571</v>
      </c>
      <c r="M98" s="8" t="s">
        <v>853</v>
      </c>
      <c r="N98" s="8" t="s">
        <v>38</v>
      </c>
      <c r="O98" s="8" t="s">
        <v>39</v>
      </c>
      <c r="P98" s="7">
        <v>2</v>
      </c>
      <c r="Q98" s="7">
        <v>847751867</v>
      </c>
    </row>
    <row r="99" spans="1:17" ht="15.75" x14ac:dyDescent="0.25">
      <c r="A99" s="7">
        <v>2519</v>
      </c>
      <c r="B99" s="7">
        <v>25853</v>
      </c>
      <c r="C99" s="8" t="s">
        <v>507</v>
      </c>
      <c r="D99" s="8" t="s">
        <v>968</v>
      </c>
      <c r="E99" s="9">
        <v>45678</v>
      </c>
      <c r="F99" s="9">
        <v>45953</v>
      </c>
      <c r="G99" s="7">
        <v>9</v>
      </c>
      <c r="H99" s="7" t="s">
        <v>1057</v>
      </c>
      <c r="I99" s="8">
        <v>19.63</v>
      </c>
      <c r="J99" s="8">
        <v>7.26</v>
      </c>
      <c r="K99" s="11">
        <f>SUM(J99/I99)</f>
        <v>0.36984207845134998</v>
      </c>
      <c r="L99" s="8" t="s">
        <v>867</v>
      </c>
      <c r="M99" s="8" t="s">
        <v>845</v>
      </c>
      <c r="N99" s="8" t="s">
        <v>38</v>
      </c>
      <c r="O99" s="8" t="s">
        <v>39</v>
      </c>
      <c r="P99" s="7">
        <v>2</v>
      </c>
      <c r="Q99" s="7">
        <v>847754607</v>
      </c>
    </row>
    <row r="100" spans="1:17" ht="15.75" x14ac:dyDescent="0.25">
      <c r="A100" s="7">
        <v>2519</v>
      </c>
      <c r="B100" s="7">
        <v>22647</v>
      </c>
      <c r="C100" s="8" t="s">
        <v>504</v>
      </c>
      <c r="D100" s="8" t="s">
        <v>964</v>
      </c>
      <c r="E100" s="9">
        <v>45674</v>
      </c>
      <c r="F100" s="9">
        <v>45950</v>
      </c>
      <c r="G100" s="7">
        <v>9</v>
      </c>
      <c r="H100" s="7" t="s">
        <v>1057</v>
      </c>
      <c r="I100" s="8">
        <v>19.63</v>
      </c>
      <c r="J100" s="8">
        <v>7.26</v>
      </c>
      <c r="K100" s="11">
        <f>SUM(J100/I100)</f>
        <v>0.36984207845134998</v>
      </c>
      <c r="L100" s="8" t="s">
        <v>867</v>
      </c>
      <c r="M100" s="8" t="s">
        <v>845</v>
      </c>
      <c r="N100" s="8" t="s">
        <v>38</v>
      </c>
      <c r="O100" s="8" t="s">
        <v>39</v>
      </c>
      <c r="P100" s="7">
        <v>2</v>
      </c>
      <c r="Q100" s="7">
        <v>847752799</v>
      </c>
    </row>
    <row r="101" spans="1:17" ht="15.75" x14ac:dyDescent="0.25">
      <c r="A101" s="7">
        <v>2519</v>
      </c>
      <c r="B101" s="7">
        <v>17032</v>
      </c>
      <c r="C101" s="8" t="s">
        <v>481</v>
      </c>
      <c r="D101" s="8" t="s">
        <v>967</v>
      </c>
      <c r="E101" s="9">
        <v>45677</v>
      </c>
      <c r="F101" s="9">
        <v>45952</v>
      </c>
      <c r="G101" s="7">
        <v>9</v>
      </c>
      <c r="H101" s="7" t="s">
        <v>1057</v>
      </c>
      <c r="I101" s="8">
        <v>20.96</v>
      </c>
      <c r="J101" s="8">
        <v>7.76</v>
      </c>
      <c r="K101" s="11">
        <f>SUM(J101/I101)</f>
        <v>0.37022900763358774</v>
      </c>
      <c r="L101" s="8">
        <v>19278370</v>
      </c>
      <c r="M101" s="8" t="s">
        <v>841</v>
      </c>
      <c r="N101" s="8" t="s">
        <v>38</v>
      </c>
      <c r="O101" s="8" t="s">
        <v>39</v>
      </c>
      <c r="P101" s="7">
        <v>2</v>
      </c>
      <c r="Q101" s="7">
        <v>847749714</v>
      </c>
    </row>
    <row r="102" spans="1:17" ht="15.75" x14ac:dyDescent="0.25">
      <c r="A102" s="7">
        <v>2519</v>
      </c>
      <c r="B102" s="7">
        <v>26029</v>
      </c>
      <c r="C102" s="8" t="s">
        <v>511</v>
      </c>
      <c r="D102" s="8" t="s">
        <v>969</v>
      </c>
      <c r="E102" s="9">
        <v>45678</v>
      </c>
      <c r="F102" s="9">
        <v>45953</v>
      </c>
      <c r="G102" s="7">
        <v>9</v>
      </c>
      <c r="H102" s="7" t="s">
        <v>1057</v>
      </c>
      <c r="I102" s="8">
        <v>54.21</v>
      </c>
      <c r="J102" s="8">
        <v>20.059999999999999</v>
      </c>
      <c r="K102" s="11">
        <f>SUM(J102/I102)</f>
        <v>0.37004242759638439</v>
      </c>
      <c r="L102" s="8">
        <v>17425766</v>
      </c>
      <c r="M102" s="8" t="s">
        <v>834</v>
      </c>
      <c r="N102" s="8" t="s">
        <v>38</v>
      </c>
      <c r="O102" s="8" t="s">
        <v>39</v>
      </c>
      <c r="P102" s="7">
        <v>2</v>
      </c>
      <c r="Q102" s="7">
        <v>847754709</v>
      </c>
    </row>
    <row r="103" spans="1:17" ht="15.75" x14ac:dyDescent="0.25">
      <c r="A103" s="7">
        <v>2519</v>
      </c>
      <c r="B103" s="7">
        <v>26029</v>
      </c>
      <c r="C103" s="8" t="s">
        <v>511</v>
      </c>
      <c r="D103" s="8" t="s">
        <v>970</v>
      </c>
      <c r="E103" s="9">
        <v>45678</v>
      </c>
      <c r="F103" s="9">
        <v>45953</v>
      </c>
      <c r="G103" s="7">
        <v>9</v>
      </c>
      <c r="H103" s="7" t="s">
        <v>1057</v>
      </c>
      <c r="I103" s="8">
        <v>1.5</v>
      </c>
      <c r="J103" s="8">
        <v>0.55000000000000004</v>
      </c>
      <c r="K103" s="11">
        <f>SUM(J103/I103)</f>
        <v>0.3666666666666667</v>
      </c>
      <c r="L103" s="8">
        <v>17425766</v>
      </c>
      <c r="M103" s="8" t="s">
        <v>834</v>
      </c>
      <c r="N103" s="8" t="s">
        <v>38</v>
      </c>
      <c r="O103" s="8" t="s">
        <v>39</v>
      </c>
      <c r="P103" s="7">
        <v>2</v>
      </c>
      <c r="Q103" s="7">
        <v>847754709</v>
      </c>
    </row>
    <row r="104" spans="1:17" ht="15.75" x14ac:dyDescent="0.25">
      <c r="A104" s="7">
        <v>2519</v>
      </c>
      <c r="B104" s="7">
        <v>26030</v>
      </c>
      <c r="C104" s="8" t="s">
        <v>511</v>
      </c>
      <c r="D104" s="8" t="s">
        <v>971</v>
      </c>
      <c r="E104" s="9">
        <v>45678</v>
      </c>
      <c r="F104" s="9">
        <v>45953</v>
      </c>
      <c r="G104" s="7">
        <v>9</v>
      </c>
      <c r="H104" s="7" t="s">
        <v>1057</v>
      </c>
      <c r="I104" s="8">
        <v>13.07</v>
      </c>
      <c r="J104" s="8">
        <v>4.84</v>
      </c>
      <c r="K104" s="11">
        <f>SUM(J104/I104)</f>
        <v>0.37031369548584542</v>
      </c>
      <c r="L104" s="8">
        <v>17425766</v>
      </c>
      <c r="M104" s="8" t="s">
        <v>834</v>
      </c>
      <c r="N104" s="8" t="s">
        <v>38</v>
      </c>
      <c r="O104" s="8" t="s">
        <v>39</v>
      </c>
      <c r="P104" s="7">
        <v>2</v>
      </c>
      <c r="Q104" s="7">
        <v>847754709</v>
      </c>
    </row>
    <row r="105" spans="1:17" ht="15.75" x14ac:dyDescent="0.25">
      <c r="A105" s="7">
        <v>2519</v>
      </c>
      <c r="B105" s="7">
        <v>27449</v>
      </c>
      <c r="C105" s="8" t="s">
        <v>515</v>
      </c>
      <c r="D105" s="8" t="s">
        <v>972</v>
      </c>
      <c r="E105" s="9">
        <v>45679</v>
      </c>
      <c r="F105" s="9">
        <v>45954</v>
      </c>
      <c r="G105" s="7">
        <v>9</v>
      </c>
      <c r="H105" s="7" t="s">
        <v>1057</v>
      </c>
      <c r="I105" s="8">
        <v>30.07</v>
      </c>
      <c r="J105" s="8">
        <v>11.13</v>
      </c>
      <c r="K105" s="11">
        <f>SUM(J105/I105)</f>
        <v>0.37013634852011973</v>
      </c>
      <c r="L105" s="8" t="s">
        <v>864</v>
      </c>
      <c r="M105" s="8" t="s">
        <v>839</v>
      </c>
      <c r="N105" s="8" t="s">
        <v>38</v>
      </c>
      <c r="O105" s="8" t="s">
        <v>39</v>
      </c>
      <c r="P105" s="7">
        <v>2</v>
      </c>
      <c r="Q105" s="7">
        <v>847755511</v>
      </c>
    </row>
    <row r="106" spans="1:17" ht="15.75" x14ac:dyDescent="0.25">
      <c r="A106" s="7">
        <v>2519</v>
      </c>
      <c r="B106" s="7">
        <v>19230</v>
      </c>
      <c r="C106" s="8" t="s">
        <v>485</v>
      </c>
      <c r="D106" s="8" t="s">
        <v>959</v>
      </c>
      <c r="E106" s="9">
        <v>45673</v>
      </c>
      <c r="F106" s="9">
        <v>45950</v>
      </c>
      <c r="G106" s="7">
        <v>9</v>
      </c>
      <c r="H106" s="7" t="s">
        <v>1057</v>
      </c>
      <c r="I106" s="8">
        <v>30.07</v>
      </c>
      <c r="J106" s="8">
        <v>11.13</v>
      </c>
      <c r="K106" s="11">
        <f>SUM(J106/I106)</f>
        <v>0.37013634852011973</v>
      </c>
      <c r="L106" s="8" t="s">
        <v>864</v>
      </c>
      <c r="M106" s="8" t="s">
        <v>839</v>
      </c>
      <c r="N106" s="8" t="s">
        <v>38</v>
      </c>
      <c r="O106" s="8" t="s">
        <v>39</v>
      </c>
      <c r="P106" s="7">
        <v>2</v>
      </c>
      <c r="Q106" s="7">
        <v>847750890</v>
      </c>
    </row>
    <row r="107" spans="1:17" ht="15.75" x14ac:dyDescent="0.25">
      <c r="A107" s="7">
        <v>2519</v>
      </c>
      <c r="B107" s="7">
        <v>19919</v>
      </c>
      <c r="C107" s="8" t="s">
        <v>489</v>
      </c>
      <c r="D107" s="8" t="s">
        <v>960</v>
      </c>
      <c r="E107" s="9">
        <v>45673</v>
      </c>
      <c r="F107" s="9">
        <v>45950</v>
      </c>
      <c r="G107" s="7">
        <v>9</v>
      </c>
      <c r="H107" s="7" t="s">
        <v>1057</v>
      </c>
      <c r="I107" s="8">
        <v>36.29</v>
      </c>
      <c r="J107" s="8">
        <v>13.43</v>
      </c>
      <c r="K107" s="11">
        <f>SUM(J107/I107)</f>
        <v>0.37007440066133923</v>
      </c>
      <c r="L107" s="8" t="s">
        <v>864</v>
      </c>
      <c r="M107" s="8" t="s">
        <v>839</v>
      </c>
      <c r="N107" s="8" t="s">
        <v>38</v>
      </c>
      <c r="O107" s="8" t="s">
        <v>39</v>
      </c>
      <c r="P107" s="7">
        <v>2</v>
      </c>
      <c r="Q107" s="7">
        <v>847751294</v>
      </c>
    </row>
    <row r="108" spans="1:17" ht="15.75" x14ac:dyDescent="0.25">
      <c r="A108" s="7">
        <v>2519</v>
      </c>
      <c r="B108" s="7">
        <v>19919</v>
      </c>
      <c r="C108" s="8" t="s">
        <v>489</v>
      </c>
      <c r="D108" s="8" t="s">
        <v>961</v>
      </c>
      <c r="E108" s="9">
        <v>45673</v>
      </c>
      <c r="F108" s="9">
        <v>45950</v>
      </c>
      <c r="G108" s="7">
        <v>9</v>
      </c>
      <c r="H108" s="7" t="s">
        <v>1057</v>
      </c>
      <c r="I108" s="8">
        <v>1.5</v>
      </c>
      <c r="J108" s="8">
        <v>0.55000000000000004</v>
      </c>
      <c r="K108" s="11">
        <f>SUM(J108/I108)</f>
        <v>0.3666666666666667</v>
      </c>
      <c r="L108" s="8" t="s">
        <v>864</v>
      </c>
      <c r="M108" s="8" t="s">
        <v>839</v>
      </c>
      <c r="N108" s="8" t="s">
        <v>38</v>
      </c>
      <c r="O108" s="8" t="s">
        <v>39</v>
      </c>
      <c r="P108" s="7">
        <v>2</v>
      </c>
      <c r="Q108" s="7">
        <v>847751294</v>
      </c>
    </row>
    <row r="109" spans="1:17" ht="15.75" x14ac:dyDescent="0.25">
      <c r="A109" s="7">
        <v>2519</v>
      </c>
      <c r="B109" s="7">
        <v>19920</v>
      </c>
      <c r="C109" s="8" t="s">
        <v>489</v>
      </c>
      <c r="D109" s="8" t="s">
        <v>962</v>
      </c>
      <c r="E109" s="9">
        <v>45673</v>
      </c>
      <c r="F109" s="9">
        <v>45950</v>
      </c>
      <c r="G109" s="7">
        <v>9</v>
      </c>
      <c r="H109" s="7" t="s">
        <v>1057</v>
      </c>
      <c r="I109" s="8">
        <v>16.34</v>
      </c>
      <c r="J109" s="8">
        <v>6.05</v>
      </c>
      <c r="K109" s="11">
        <f>SUM(J109/I109)</f>
        <v>0.37025703794369647</v>
      </c>
      <c r="L109" s="8" t="s">
        <v>864</v>
      </c>
      <c r="M109" s="8" t="s">
        <v>839</v>
      </c>
      <c r="N109" s="8" t="s">
        <v>38</v>
      </c>
      <c r="O109" s="8" t="s">
        <v>39</v>
      </c>
      <c r="P109" s="7">
        <v>2</v>
      </c>
      <c r="Q109" s="7">
        <v>847751294</v>
      </c>
    </row>
    <row r="110" spans="1:17" ht="15.75" x14ac:dyDescent="0.25">
      <c r="A110" s="16">
        <v>2519</v>
      </c>
      <c r="B110" s="16">
        <v>20736</v>
      </c>
      <c r="C110" s="17" t="s">
        <v>493</v>
      </c>
      <c r="D110" s="17" t="s">
        <v>963</v>
      </c>
      <c r="E110" s="18">
        <v>45673</v>
      </c>
      <c r="F110" s="18">
        <v>45950</v>
      </c>
      <c r="G110" s="16">
        <v>9</v>
      </c>
      <c r="H110" s="16" t="s">
        <v>1057</v>
      </c>
      <c r="I110" s="17">
        <v>65.09</v>
      </c>
      <c r="J110" s="17">
        <v>24.08</v>
      </c>
      <c r="K110" s="20">
        <f>SUM(J110/I110)</f>
        <v>0.36994930096789058</v>
      </c>
      <c r="L110" s="17" t="s">
        <v>866</v>
      </c>
      <c r="M110" s="17" t="s">
        <v>831</v>
      </c>
      <c r="N110" s="17" t="s">
        <v>38</v>
      </c>
      <c r="O110" s="17" t="s">
        <v>39</v>
      </c>
      <c r="P110" s="16">
        <v>2</v>
      </c>
      <c r="Q110" s="16">
        <v>847751762</v>
      </c>
    </row>
    <row r="111" spans="1:17" ht="15.75" x14ac:dyDescent="0.25">
      <c r="A111" s="16">
        <v>2519</v>
      </c>
      <c r="B111" s="16">
        <v>22148</v>
      </c>
      <c r="C111" s="17" t="s">
        <v>499</v>
      </c>
      <c r="D111" s="17" t="s">
        <v>965</v>
      </c>
      <c r="E111" s="18">
        <v>45674</v>
      </c>
      <c r="F111" s="18">
        <v>45950</v>
      </c>
      <c r="G111" s="16">
        <v>9</v>
      </c>
      <c r="H111" s="16" t="s">
        <v>1057</v>
      </c>
      <c r="I111" s="17">
        <v>107.9</v>
      </c>
      <c r="J111" s="17">
        <v>39.92</v>
      </c>
      <c r="K111" s="20">
        <f>SUM(J111/I111)</f>
        <v>0.36997219647822055</v>
      </c>
      <c r="L111" s="17" t="s">
        <v>866</v>
      </c>
      <c r="M111" s="17" t="s">
        <v>831</v>
      </c>
      <c r="N111" s="17" t="s">
        <v>38</v>
      </c>
      <c r="O111" s="17" t="s">
        <v>39</v>
      </c>
      <c r="P111" s="16">
        <v>2</v>
      </c>
      <c r="Q111" s="16">
        <v>847752510</v>
      </c>
    </row>
    <row r="112" spans="1:17" ht="15.75" x14ac:dyDescent="0.25">
      <c r="A112" s="16">
        <v>2519</v>
      </c>
      <c r="B112" s="16">
        <v>22149</v>
      </c>
      <c r="C112" s="17" t="s">
        <v>499</v>
      </c>
      <c r="D112" s="17" t="s">
        <v>966</v>
      </c>
      <c r="E112" s="18">
        <v>45674</v>
      </c>
      <c r="F112" s="18">
        <v>45950</v>
      </c>
      <c r="G112" s="16">
        <v>9</v>
      </c>
      <c r="H112" s="16" t="s">
        <v>1057</v>
      </c>
      <c r="I112" s="17">
        <v>29.34</v>
      </c>
      <c r="J112" s="17">
        <v>10.86</v>
      </c>
      <c r="K112" s="20">
        <f>SUM(J112/I112)</f>
        <v>0.37014314928425357</v>
      </c>
      <c r="L112" s="17" t="s">
        <v>866</v>
      </c>
      <c r="M112" s="17" t="s">
        <v>831</v>
      </c>
      <c r="N112" s="17" t="s">
        <v>38</v>
      </c>
      <c r="O112" s="17" t="s">
        <v>39</v>
      </c>
      <c r="P112" s="16">
        <v>2</v>
      </c>
      <c r="Q112" s="16">
        <v>847752510</v>
      </c>
    </row>
    <row r="113" spans="1:17" ht="15.75" x14ac:dyDescent="0.25">
      <c r="A113" s="7">
        <v>2518</v>
      </c>
      <c r="B113" s="7">
        <v>82925</v>
      </c>
      <c r="C113" s="8" t="s">
        <v>450</v>
      </c>
      <c r="D113" s="8" t="s">
        <v>1054</v>
      </c>
      <c r="E113" s="9">
        <v>45645</v>
      </c>
      <c r="F113" s="9">
        <v>45951</v>
      </c>
      <c r="G113" s="7">
        <v>10</v>
      </c>
      <c r="H113" s="10" t="s">
        <v>1057</v>
      </c>
      <c r="I113" s="7">
        <v>1.1399999999999999</v>
      </c>
      <c r="J113" s="7">
        <v>1.1399999999999999</v>
      </c>
      <c r="K113" s="11">
        <f>SUM(J113/I113)</f>
        <v>1</v>
      </c>
      <c r="L113" s="8">
        <v>20411454</v>
      </c>
      <c r="M113" s="8" t="s">
        <v>846</v>
      </c>
      <c r="N113" s="8" t="s">
        <v>38</v>
      </c>
      <c r="O113" s="7">
        <v>1.1399999999999999</v>
      </c>
      <c r="P113" s="7">
        <v>2</v>
      </c>
      <c r="Q113" s="7">
        <v>847730022</v>
      </c>
    </row>
    <row r="114" spans="1:17" ht="15.75" x14ac:dyDescent="0.25">
      <c r="A114" s="7">
        <v>2518</v>
      </c>
      <c r="B114" s="7">
        <v>86773</v>
      </c>
      <c r="C114" s="8" t="s">
        <v>458</v>
      </c>
      <c r="D114" s="8" t="s">
        <v>955</v>
      </c>
      <c r="E114" s="9">
        <v>45647</v>
      </c>
      <c r="F114" s="9">
        <v>45953</v>
      </c>
      <c r="G114" s="7">
        <v>10</v>
      </c>
      <c r="H114" s="10" t="s">
        <v>1057</v>
      </c>
      <c r="I114" s="8">
        <v>10.67</v>
      </c>
      <c r="J114" s="8">
        <v>3.95</v>
      </c>
      <c r="K114" s="11">
        <f>SUM(J114/I114)</f>
        <v>0.3701968134957826</v>
      </c>
      <c r="L114" s="8">
        <v>9254978</v>
      </c>
      <c r="M114" s="8" t="s">
        <v>845</v>
      </c>
      <c r="N114" s="8" t="s">
        <v>38</v>
      </c>
      <c r="O114" s="8" t="s">
        <v>39</v>
      </c>
      <c r="P114" s="7">
        <v>2</v>
      </c>
      <c r="Q114" s="7">
        <v>847732378</v>
      </c>
    </row>
    <row r="115" spans="1:17" ht="15.75" x14ac:dyDescent="0.25">
      <c r="A115" s="7">
        <v>2518</v>
      </c>
      <c r="B115" s="7">
        <v>81228</v>
      </c>
      <c r="C115" s="8" t="s">
        <v>440</v>
      </c>
      <c r="D115" s="8" t="s">
        <v>950</v>
      </c>
      <c r="E115" s="9">
        <v>45644</v>
      </c>
      <c r="F115" s="9">
        <v>45950</v>
      </c>
      <c r="G115" s="7">
        <v>10</v>
      </c>
      <c r="H115" s="10" t="s">
        <v>1057</v>
      </c>
      <c r="I115" s="8">
        <v>16.34</v>
      </c>
      <c r="J115" s="8">
        <v>6.05</v>
      </c>
      <c r="K115" s="11">
        <f>SUM(J115/I115)</f>
        <v>0.37025703794369647</v>
      </c>
      <c r="L115" s="8">
        <v>17528908</v>
      </c>
      <c r="M115" s="8" t="s">
        <v>839</v>
      </c>
      <c r="N115" s="8" t="s">
        <v>38</v>
      </c>
      <c r="O115" s="8" t="s">
        <v>39</v>
      </c>
      <c r="P115" s="7">
        <v>2</v>
      </c>
      <c r="Q115" s="7">
        <v>847728985</v>
      </c>
    </row>
    <row r="116" spans="1:17" ht="15.75" x14ac:dyDescent="0.25">
      <c r="A116" s="7">
        <v>2518</v>
      </c>
      <c r="B116" s="7">
        <v>87951</v>
      </c>
      <c r="C116" s="8" t="s">
        <v>464</v>
      </c>
      <c r="D116" s="8" t="s">
        <v>956</v>
      </c>
      <c r="E116" s="9">
        <v>45647</v>
      </c>
      <c r="F116" s="9">
        <v>45953</v>
      </c>
      <c r="G116" s="7">
        <v>10</v>
      </c>
      <c r="H116" s="10" t="s">
        <v>1057</v>
      </c>
      <c r="I116" s="8">
        <v>61.69</v>
      </c>
      <c r="J116" s="8">
        <v>22.83</v>
      </c>
      <c r="K116" s="11">
        <f>SUM(J116/I116)</f>
        <v>0.37007618738855569</v>
      </c>
      <c r="L116" s="8">
        <v>9213293</v>
      </c>
      <c r="M116" s="8" t="s">
        <v>851</v>
      </c>
      <c r="N116" s="8" t="s">
        <v>38</v>
      </c>
      <c r="O116" s="8" t="s">
        <v>39</v>
      </c>
      <c r="P116" s="7">
        <v>2</v>
      </c>
      <c r="Q116" s="7">
        <v>847733109</v>
      </c>
    </row>
    <row r="117" spans="1:17" ht="15.75" x14ac:dyDescent="0.25">
      <c r="A117" s="7">
        <v>2518</v>
      </c>
      <c r="B117" s="7">
        <v>87951</v>
      </c>
      <c r="C117" s="8" t="s">
        <v>464</v>
      </c>
      <c r="D117" s="8" t="s">
        <v>957</v>
      </c>
      <c r="E117" s="9">
        <v>45647</v>
      </c>
      <c r="F117" s="9">
        <v>45953</v>
      </c>
      <c r="G117" s="7">
        <v>10</v>
      </c>
      <c r="H117" s="10" t="s">
        <v>1057</v>
      </c>
      <c r="I117" s="8">
        <v>1.5</v>
      </c>
      <c r="J117" s="8">
        <v>0.55000000000000004</v>
      </c>
      <c r="K117" s="11">
        <f>SUM(J117/I117)</f>
        <v>0.3666666666666667</v>
      </c>
      <c r="L117" s="8">
        <v>9213293</v>
      </c>
      <c r="M117" s="8" t="s">
        <v>851</v>
      </c>
      <c r="N117" s="8" t="s">
        <v>38</v>
      </c>
      <c r="O117" s="8" t="s">
        <v>39</v>
      </c>
      <c r="P117" s="7">
        <v>2</v>
      </c>
      <c r="Q117" s="7">
        <v>847733109</v>
      </c>
    </row>
    <row r="118" spans="1:17" ht="15.75" x14ac:dyDescent="0.25">
      <c r="A118" s="7">
        <v>2518</v>
      </c>
      <c r="B118" s="7">
        <v>79236</v>
      </c>
      <c r="C118" s="8" t="s">
        <v>432</v>
      </c>
      <c r="D118" s="8" t="s">
        <v>946</v>
      </c>
      <c r="E118" s="9">
        <v>45643</v>
      </c>
      <c r="F118" s="9">
        <v>45950</v>
      </c>
      <c r="G118" s="7">
        <v>10</v>
      </c>
      <c r="H118" s="10" t="s">
        <v>1057</v>
      </c>
      <c r="I118" s="8">
        <v>61.69</v>
      </c>
      <c r="J118" s="8">
        <v>22.83</v>
      </c>
      <c r="K118" s="11">
        <f>SUM(J118/I118)</f>
        <v>0.37007618738855569</v>
      </c>
      <c r="L118" s="8">
        <v>9213293</v>
      </c>
      <c r="M118" s="8" t="s">
        <v>851</v>
      </c>
      <c r="N118" s="8" t="s">
        <v>38</v>
      </c>
      <c r="O118" s="8" t="s">
        <v>39</v>
      </c>
      <c r="P118" s="7">
        <v>2</v>
      </c>
      <c r="Q118" s="7">
        <v>847727792</v>
      </c>
    </row>
    <row r="119" spans="1:17" ht="15.75" x14ac:dyDescent="0.25">
      <c r="A119" s="7">
        <v>2518</v>
      </c>
      <c r="B119" s="7">
        <v>79236</v>
      </c>
      <c r="C119" s="8" t="s">
        <v>432</v>
      </c>
      <c r="D119" s="8" t="s">
        <v>947</v>
      </c>
      <c r="E119" s="9">
        <v>45643</v>
      </c>
      <c r="F119" s="9">
        <v>45950</v>
      </c>
      <c r="G119" s="7">
        <v>10</v>
      </c>
      <c r="H119" s="10" t="s">
        <v>1057</v>
      </c>
      <c r="I119" s="8">
        <v>1.5</v>
      </c>
      <c r="J119" s="8">
        <v>0.55000000000000004</v>
      </c>
      <c r="K119" s="11">
        <f>SUM(J119/I119)</f>
        <v>0.3666666666666667</v>
      </c>
      <c r="L119" s="8">
        <v>9213293</v>
      </c>
      <c r="M119" s="8" t="s">
        <v>851</v>
      </c>
      <c r="N119" s="8" t="s">
        <v>38</v>
      </c>
      <c r="O119" s="8" t="s">
        <v>39</v>
      </c>
      <c r="P119" s="7">
        <v>2</v>
      </c>
      <c r="Q119" s="7">
        <v>847727792</v>
      </c>
    </row>
    <row r="120" spans="1:17" ht="15.75" x14ac:dyDescent="0.25">
      <c r="A120" s="7">
        <v>2518</v>
      </c>
      <c r="B120" s="7">
        <v>79255</v>
      </c>
      <c r="C120" s="8" t="s">
        <v>436</v>
      </c>
      <c r="D120" s="8" t="s">
        <v>948</v>
      </c>
      <c r="E120" s="9">
        <v>45643</v>
      </c>
      <c r="F120" s="9">
        <v>45950</v>
      </c>
      <c r="G120" s="7">
        <v>10</v>
      </c>
      <c r="H120" s="10" t="s">
        <v>1057</v>
      </c>
      <c r="I120" s="8">
        <v>41.61</v>
      </c>
      <c r="J120" s="8">
        <v>15.39</v>
      </c>
      <c r="K120" s="11">
        <f>SUM(J120/I120)</f>
        <v>0.36986301369863017</v>
      </c>
      <c r="L120" s="8">
        <v>19279958</v>
      </c>
      <c r="M120" s="8" t="s">
        <v>840</v>
      </c>
      <c r="N120" s="8" t="s">
        <v>38</v>
      </c>
      <c r="O120" s="8" t="s">
        <v>39</v>
      </c>
      <c r="P120" s="7">
        <v>2</v>
      </c>
      <c r="Q120" s="7">
        <v>847727805</v>
      </c>
    </row>
    <row r="121" spans="1:17" ht="15.75" x14ac:dyDescent="0.25">
      <c r="A121" s="7">
        <v>2518</v>
      </c>
      <c r="B121" s="7">
        <v>79255</v>
      </c>
      <c r="C121" s="8" t="s">
        <v>436</v>
      </c>
      <c r="D121" s="8" t="s">
        <v>949</v>
      </c>
      <c r="E121" s="9">
        <v>45643</v>
      </c>
      <c r="F121" s="9">
        <v>45950</v>
      </c>
      <c r="G121" s="7">
        <v>10</v>
      </c>
      <c r="H121" s="10" t="s">
        <v>1057</v>
      </c>
      <c r="I121" s="8">
        <v>0.75</v>
      </c>
      <c r="J121" s="8">
        <v>0.28000000000000003</v>
      </c>
      <c r="K121" s="11">
        <f>SUM(J121/I121)</f>
        <v>0.37333333333333335</v>
      </c>
      <c r="L121" s="8">
        <v>19279958</v>
      </c>
      <c r="M121" s="8" t="s">
        <v>840</v>
      </c>
      <c r="N121" s="8" t="s">
        <v>38</v>
      </c>
      <c r="O121" s="8" t="s">
        <v>39</v>
      </c>
      <c r="P121" s="7">
        <v>2</v>
      </c>
      <c r="Q121" s="7">
        <v>847727805</v>
      </c>
    </row>
    <row r="122" spans="1:17" ht="15.75" x14ac:dyDescent="0.25">
      <c r="A122" s="12">
        <v>2518</v>
      </c>
      <c r="B122" s="12">
        <v>86264</v>
      </c>
      <c r="C122" s="13" t="s">
        <v>454</v>
      </c>
      <c r="D122" s="13" t="s">
        <v>954</v>
      </c>
      <c r="E122" s="14">
        <v>45646</v>
      </c>
      <c r="F122" s="14">
        <v>45952</v>
      </c>
      <c r="G122" s="12">
        <v>10</v>
      </c>
      <c r="H122" s="10" t="s">
        <v>1057</v>
      </c>
      <c r="I122" s="13">
        <v>13.07</v>
      </c>
      <c r="J122" s="13">
        <v>4.84</v>
      </c>
      <c r="K122" s="15">
        <f>SUM(J122/I122)</f>
        <v>0.37031369548584542</v>
      </c>
      <c r="L122" s="13">
        <v>16633294</v>
      </c>
      <c r="M122" s="13" t="s">
        <v>861</v>
      </c>
      <c r="N122" s="13" t="s">
        <v>38</v>
      </c>
      <c r="O122" s="13" t="s">
        <v>39</v>
      </c>
      <c r="P122" s="12">
        <v>2</v>
      </c>
      <c r="Q122" s="12">
        <v>847732054</v>
      </c>
    </row>
    <row r="123" spans="1:17" ht="15.75" x14ac:dyDescent="0.25">
      <c r="A123" s="12">
        <v>2518</v>
      </c>
      <c r="B123" s="12">
        <v>81908</v>
      </c>
      <c r="C123" s="13" t="s">
        <v>447</v>
      </c>
      <c r="D123" s="13" t="s">
        <v>951</v>
      </c>
      <c r="E123" s="14">
        <v>45644</v>
      </c>
      <c r="F123" s="14">
        <v>45950</v>
      </c>
      <c r="G123" s="12">
        <v>10</v>
      </c>
      <c r="H123" s="10" t="s">
        <v>1057</v>
      </c>
      <c r="I123" s="13">
        <v>16.34</v>
      </c>
      <c r="J123" s="13">
        <v>6.05</v>
      </c>
      <c r="K123" s="15">
        <f>SUM(J123/I123)</f>
        <v>0.37025703794369647</v>
      </c>
      <c r="L123" s="13">
        <v>16633294</v>
      </c>
      <c r="M123" s="13" t="s">
        <v>861</v>
      </c>
      <c r="N123" s="13" t="s">
        <v>38</v>
      </c>
      <c r="O123" s="13" t="s">
        <v>39</v>
      </c>
      <c r="P123" s="12">
        <v>2</v>
      </c>
      <c r="Q123" s="12">
        <v>847729397</v>
      </c>
    </row>
    <row r="124" spans="1:17" ht="15.75" x14ac:dyDescent="0.25">
      <c r="A124" s="12">
        <v>2518</v>
      </c>
      <c r="B124" s="12">
        <v>81874</v>
      </c>
      <c r="C124" s="13" t="s">
        <v>444</v>
      </c>
      <c r="D124" s="13" t="s">
        <v>952</v>
      </c>
      <c r="E124" s="14">
        <v>45644</v>
      </c>
      <c r="F124" s="14">
        <v>45950</v>
      </c>
      <c r="G124" s="12">
        <v>10</v>
      </c>
      <c r="H124" s="10" t="s">
        <v>1057</v>
      </c>
      <c r="I124" s="13">
        <v>40.51</v>
      </c>
      <c r="J124" s="13">
        <v>14.99</v>
      </c>
      <c r="K124" s="15">
        <f>SUM(J124/I124)</f>
        <v>0.37003209084176747</v>
      </c>
      <c r="L124" s="13">
        <v>19396223</v>
      </c>
      <c r="M124" s="13" t="s">
        <v>830</v>
      </c>
      <c r="N124" s="13" t="s">
        <v>38</v>
      </c>
      <c r="O124" s="13" t="s">
        <v>39</v>
      </c>
      <c r="P124" s="12">
        <v>2</v>
      </c>
      <c r="Q124" s="12">
        <v>847729376</v>
      </c>
    </row>
    <row r="125" spans="1:17" ht="15.75" x14ac:dyDescent="0.25">
      <c r="A125" s="12">
        <v>2518</v>
      </c>
      <c r="B125" s="12">
        <v>81874</v>
      </c>
      <c r="C125" s="13" t="s">
        <v>444</v>
      </c>
      <c r="D125" s="13" t="s">
        <v>953</v>
      </c>
      <c r="E125" s="14">
        <v>45644</v>
      </c>
      <c r="F125" s="14">
        <v>45950</v>
      </c>
      <c r="G125" s="12">
        <v>10</v>
      </c>
      <c r="H125" s="10" t="s">
        <v>1057</v>
      </c>
      <c r="I125" s="13">
        <v>1.5</v>
      </c>
      <c r="J125" s="13">
        <v>0.55000000000000004</v>
      </c>
      <c r="K125" s="15">
        <f>SUM(J125/I125)</f>
        <v>0.3666666666666667</v>
      </c>
      <c r="L125" s="13">
        <v>19396223</v>
      </c>
      <c r="M125" s="13" t="s">
        <v>830</v>
      </c>
      <c r="N125" s="13" t="s">
        <v>38</v>
      </c>
      <c r="O125" s="13" t="s">
        <v>39</v>
      </c>
      <c r="P125" s="12">
        <v>2</v>
      </c>
      <c r="Q125" s="12">
        <v>847729376</v>
      </c>
    </row>
    <row r="126" spans="1:17" ht="15.75" x14ac:dyDescent="0.25">
      <c r="A126" s="12">
        <v>2518</v>
      </c>
      <c r="B126" s="12">
        <v>76664</v>
      </c>
      <c r="C126" s="13" t="s">
        <v>428</v>
      </c>
      <c r="D126" s="13" t="s">
        <v>945</v>
      </c>
      <c r="E126" s="14">
        <v>45642</v>
      </c>
      <c r="F126" s="14">
        <v>45950</v>
      </c>
      <c r="G126" s="12">
        <v>10</v>
      </c>
      <c r="H126" s="10" t="s">
        <v>1057</v>
      </c>
      <c r="I126" s="13">
        <v>16.34</v>
      </c>
      <c r="J126" s="13">
        <v>6.05</v>
      </c>
      <c r="K126" s="15">
        <f>SUM(J126/I126)</f>
        <v>0.37025703794369647</v>
      </c>
      <c r="L126" s="13">
        <v>8971826</v>
      </c>
      <c r="M126" s="13" t="s">
        <v>831</v>
      </c>
      <c r="N126" s="13" t="s">
        <v>38</v>
      </c>
      <c r="O126" s="13" t="s">
        <v>39</v>
      </c>
      <c r="P126" s="12">
        <v>2</v>
      </c>
      <c r="Q126" s="12">
        <v>847726413</v>
      </c>
    </row>
    <row r="127" spans="1:17" ht="15.75" x14ac:dyDescent="0.25">
      <c r="A127" s="12">
        <v>2518</v>
      </c>
      <c r="B127" s="12">
        <v>19444</v>
      </c>
      <c r="C127" s="13" t="s">
        <v>390</v>
      </c>
      <c r="D127" s="13" t="s">
        <v>1054</v>
      </c>
      <c r="E127" s="14">
        <v>45618</v>
      </c>
      <c r="F127" s="14">
        <v>45954</v>
      </c>
      <c r="G127" s="12">
        <v>11</v>
      </c>
      <c r="H127" s="10" t="s">
        <v>1057</v>
      </c>
      <c r="I127" s="12">
        <v>1.1399999999999999</v>
      </c>
      <c r="J127" s="12">
        <v>1.1399999999999999</v>
      </c>
      <c r="K127" s="15">
        <f>SUM(J127/I127)</f>
        <v>1</v>
      </c>
      <c r="L127" s="13">
        <v>20411454</v>
      </c>
      <c r="M127" s="13" t="s">
        <v>846</v>
      </c>
      <c r="N127" s="13" t="s">
        <v>38</v>
      </c>
      <c r="O127" s="12">
        <v>1.1399999999999999</v>
      </c>
      <c r="P127" s="12">
        <v>2</v>
      </c>
      <c r="Q127" s="12">
        <v>847695537</v>
      </c>
    </row>
    <row r="128" spans="1:17" ht="15.75" x14ac:dyDescent="0.25">
      <c r="A128" s="12">
        <v>2518</v>
      </c>
      <c r="B128" s="12">
        <v>19443</v>
      </c>
      <c r="C128" s="13" t="s">
        <v>390</v>
      </c>
      <c r="D128" s="13" t="s">
        <v>1054</v>
      </c>
      <c r="E128" s="14">
        <v>45618</v>
      </c>
      <c r="F128" s="14">
        <v>45954</v>
      </c>
      <c r="G128" s="12">
        <v>11</v>
      </c>
      <c r="H128" s="10" t="s">
        <v>1057</v>
      </c>
      <c r="I128" s="12">
        <v>1.21</v>
      </c>
      <c r="J128" s="12">
        <v>1.21</v>
      </c>
      <c r="K128" s="15">
        <f>SUM(J128/I128)</f>
        <v>1</v>
      </c>
      <c r="L128" s="13">
        <v>20411454</v>
      </c>
      <c r="M128" s="13" t="s">
        <v>846</v>
      </c>
      <c r="N128" s="13" t="s">
        <v>38</v>
      </c>
      <c r="O128" s="12">
        <v>1.21</v>
      </c>
      <c r="P128" s="12">
        <v>2</v>
      </c>
      <c r="Q128" s="12">
        <v>847695537</v>
      </c>
    </row>
    <row r="129" spans="1:17" ht="15.75" x14ac:dyDescent="0.25">
      <c r="A129" s="12">
        <v>2518</v>
      </c>
      <c r="B129" s="12">
        <v>30215</v>
      </c>
      <c r="C129" s="13" t="s">
        <v>403</v>
      </c>
      <c r="D129" s="13" t="s">
        <v>937</v>
      </c>
      <c r="E129" s="14">
        <v>45615</v>
      </c>
      <c r="F129" s="14">
        <v>45951</v>
      </c>
      <c r="G129" s="12">
        <v>11</v>
      </c>
      <c r="H129" s="10" t="s">
        <v>1057</v>
      </c>
      <c r="I129" s="13">
        <v>45.29</v>
      </c>
      <c r="J129" s="13">
        <v>16.760000000000002</v>
      </c>
      <c r="K129" s="15">
        <f>SUM(J129/I129)</f>
        <v>0.37005961580922947</v>
      </c>
      <c r="L129" s="13">
        <v>8325282</v>
      </c>
      <c r="M129" s="13" t="s">
        <v>859</v>
      </c>
      <c r="N129" s="13" t="s">
        <v>38</v>
      </c>
      <c r="O129" s="13" t="s">
        <v>39</v>
      </c>
      <c r="P129" s="12">
        <v>2</v>
      </c>
      <c r="Q129" s="12">
        <v>847701345</v>
      </c>
    </row>
    <row r="130" spans="1:17" ht="15.75" x14ac:dyDescent="0.25">
      <c r="A130" s="12">
        <v>2518</v>
      </c>
      <c r="B130" s="12">
        <v>30216</v>
      </c>
      <c r="C130" s="13" t="s">
        <v>403</v>
      </c>
      <c r="D130" s="13" t="s">
        <v>938</v>
      </c>
      <c r="E130" s="14">
        <v>45615</v>
      </c>
      <c r="F130" s="14">
        <v>45951</v>
      </c>
      <c r="G130" s="12">
        <v>11</v>
      </c>
      <c r="H130" s="10" t="s">
        <v>1057</v>
      </c>
      <c r="I130" s="13">
        <v>10.67</v>
      </c>
      <c r="J130" s="13">
        <v>3.95</v>
      </c>
      <c r="K130" s="15">
        <f>SUM(J130/I130)</f>
        <v>0.3701968134957826</v>
      </c>
      <c r="L130" s="13">
        <v>8325282</v>
      </c>
      <c r="M130" s="13" t="s">
        <v>859</v>
      </c>
      <c r="N130" s="13" t="s">
        <v>38</v>
      </c>
      <c r="O130" s="13" t="s">
        <v>39</v>
      </c>
      <c r="P130" s="12">
        <v>2</v>
      </c>
      <c r="Q130" s="12">
        <v>847701345</v>
      </c>
    </row>
    <row r="131" spans="1:17" ht="15.75" x14ac:dyDescent="0.25">
      <c r="A131" s="12">
        <v>2518</v>
      </c>
      <c r="B131" s="12">
        <v>31126</v>
      </c>
      <c r="C131" s="13" t="s">
        <v>410</v>
      </c>
      <c r="D131" s="13" t="s">
        <v>940</v>
      </c>
      <c r="E131" s="14">
        <v>45615</v>
      </c>
      <c r="F131" s="14">
        <v>45951</v>
      </c>
      <c r="G131" s="12">
        <v>11</v>
      </c>
      <c r="H131" s="10" t="s">
        <v>1057</v>
      </c>
      <c r="I131" s="13">
        <v>41.17</v>
      </c>
      <c r="J131" s="13">
        <v>15.23</v>
      </c>
      <c r="K131" s="15">
        <f>SUM(J131/I131)</f>
        <v>0.36992956035948504</v>
      </c>
      <c r="L131" s="13">
        <v>8325282</v>
      </c>
      <c r="M131" s="13" t="s">
        <v>859</v>
      </c>
      <c r="N131" s="13" t="s">
        <v>38</v>
      </c>
      <c r="O131" s="13" t="s">
        <v>39</v>
      </c>
      <c r="P131" s="12">
        <v>2</v>
      </c>
      <c r="Q131" s="12">
        <v>847701856</v>
      </c>
    </row>
    <row r="132" spans="1:17" ht="15.75" x14ac:dyDescent="0.25">
      <c r="A132" s="12">
        <v>2518</v>
      </c>
      <c r="B132" s="12">
        <v>31114</v>
      </c>
      <c r="C132" s="13" t="s">
        <v>407</v>
      </c>
      <c r="D132" s="13" t="s">
        <v>939</v>
      </c>
      <c r="E132" s="14">
        <v>45615</v>
      </c>
      <c r="F132" s="14">
        <v>45951</v>
      </c>
      <c r="G132" s="12">
        <v>11</v>
      </c>
      <c r="H132" s="10" t="s">
        <v>1057</v>
      </c>
      <c r="I132" s="13">
        <v>19.63</v>
      </c>
      <c r="J132" s="13">
        <v>7.26</v>
      </c>
      <c r="K132" s="15">
        <f>SUM(J132/I132)</f>
        <v>0.36984207845134998</v>
      </c>
      <c r="L132" s="13">
        <v>8325282</v>
      </c>
      <c r="M132" s="13" t="s">
        <v>859</v>
      </c>
      <c r="N132" s="13" t="s">
        <v>38</v>
      </c>
      <c r="O132" s="13" t="s">
        <v>39</v>
      </c>
      <c r="P132" s="12">
        <v>2</v>
      </c>
      <c r="Q132" s="12">
        <v>847701851</v>
      </c>
    </row>
    <row r="133" spans="1:17" ht="15.75" x14ac:dyDescent="0.25">
      <c r="A133" s="12">
        <v>2518</v>
      </c>
      <c r="B133" s="12">
        <v>29451</v>
      </c>
      <c r="C133" s="13" t="s">
        <v>397</v>
      </c>
      <c r="D133" s="13" t="s">
        <v>936</v>
      </c>
      <c r="E133" s="14">
        <v>45615</v>
      </c>
      <c r="F133" s="14">
        <v>45951</v>
      </c>
      <c r="G133" s="12">
        <v>11</v>
      </c>
      <c r="H133" s="10" t="s">
        <v>1057</v>
      </c>
      <c r="I133" s="13">
        <v>41.17</v>
      </c>
      <c r="J133" s="13">
        <v>15.23</v>
      </c>
      <c r="K133" s="15">
        <f>SUM(J133/I133)</f>
        <v>0.36992956035948504</v>
      </c>
      <c r="L133" s="13">
        <v>8325282</v>
      </c>
      <c r="M133" s="13" t="s">
        <v>859</v>
      </c>
      <c r="N133" s="13" t="s">
        <v>38</v>
      </c>
      <c r="O133" s="13" t="s">
        <v>39</v>
      </c>
      <c r="P133" s="12">
        <v>2</v>
      </c>
      <c r="Q133" s="12">
        <v>847700919</v>
      </c>
    </row>
    <row r="134" spans="1:17" ht="15.75" x14ac:dyDescent="0.25">
      <c r="A134" s="12">
        <v>2518</v>
      </c>
      <c r="B134" s="12">
        <v>34135</v>
      </c>
      <c r="C134" s="13" t="s">
        <v>418</v>
      </c>
      <c r="D134" s="13" t="s">
        <v>944</v>
      </c>
      <c r="E134" s="14">
        <v>45617</v>
      </c>
      <c r="F134" s="14">
        <v>45953</v>
      </c>
      <c r="G134" s="12">
        <v>11</v>
      </c>
      <c r="H134" s="10" t="s">
        <v>1057</v>
      </c>
      <c r="I134" s="13">
        <v>42.63</v>
      </c>
      <c r="J134" s="13">
        <v>15.77</v>
      </c>
      <c r="K134" s="15">
        <f>SUM(J134/I134)</f>
        <v>0.36992728125733049</v>
      </c>
      <c r="L134" s="13">
        <v>8814784</v>
      </c>
      <c r="M134" s="13" t="s">
        <v>844</v>
      </c>
      <c r="N134" s="13" t="s">
        <v>38</v>
      </c>
      <c r="O134" s="13" t="s">
        <v>39</v>
      </c>
      <c r="P134" s="12">
        <v>2</v>
      </c>
      <c r="Q134" s="12">
        <v>847703520</v>
      </c>
    </row>
    <row r="135" spans="1:17" ht="15.75" x14ac:dyDescent="0.25">
      <c r="A135" s="12">
        <v>2518</v>
      </c>
      <c r="B135" s="12">
        <v>33260</v>
      </c>
      <c r="C135" s="13" t="s">
        <v>413</v>
      </c>
      <c r="D135" s="13" t="s">
        <v>941</v>
      </c>
      <c r="E135" s="14">
        <v>45616</v>
      </c>
      <c r="F135" s="14">
        <v>45952</v>
      </c>
      <c r="G135" s="12">
        <v>11</v>
      </c>
      <c r="H135" s="10" t="s">
        <v>1057</v>
      </c>
      <c r="I135" s="13">
        <v>54.02</v>
      </c>
      <c r="J135" s="13">
        <v>19.989999999999998</v>
      </c>
      <c r="K135" s="15">
        <f>SUM(J135/I135)</f>
        <v>0.37004813032210288</v>
      </c>
      <c r="L135" s="13">
        <v>5442438</v>
      </c>
      <c r="M135" s="13" t="s">
        <v>847</v>
      </c>
      <c r="N135" s="13" t="s">
        <v>38</v>
      </c>
      <c r="O135" s="13" t="s">
        <v>39</v>
      </c>
      <c r="P135" s="12">
        <v>2</v>
      </c>
      <c r="Q135" s="12">
        <v>847703047</v>
      </c>
    </row>
    <row r="136" spans="1:17" ht="15.75" x14ac:dyDescent="0.25">
      <c r="A136" s="12">
        <v>2518</v>
      </c>
      <c r="B136" s="12">
        <v>33260</v>
      </c>
      <c r="C136" s="13" t="s">
        <v>413</v>
      </c>
      <c r="D136" s="13" t="s">
        <v>942</v>
      </c>
      <c r="E136" s="14">
        <v>45616</v>
      </c>
      <c r="F136" s="14">
        <v>45952</v>
      </c>
      <c r="G136" s="12">
        <v>11</v>
      </c>
      <c r="H136" s="10" t="s">
        <v>1057</v>
      </c>
      <c r="I136" s="13">
        <v>1.5</v>
      </c>
      <c r="J136" s="13">
        <v>0.55000000000000004</v>
      </c>
      <c r="K136" s="15">
        <f>SUM(J136/I136)</f>
        <v>0.3666666666666667</v>
      </c>
      <c r="L136" s="13">
        <v>5442438</v>
      </c>
      <c r="M136" s="13" t="s">
        <v>847</v>
      </c>
      <c r="N136" s="13" t="s">
        <v>38</v>
      </c>
      <c r="O136" s="13" t="s">
        <v>39</v>
      </c>
      <c r="P136" s="12">
        <v>2</v>
      </c>
      <c r="Q136" s="12">
        <v>847703047</v>
      </c>
    </row>
    <row r="137" spans="1:17" ht="15.75" x14ac:dyDescent="0.25">
      <c r="A137" s="12">
        <v>2518</v>
      </c>
      <c r="B137" s="12">
        <v>33261</v>
      </c>
      <c r="C137" s="13" t="s">
        <v>413</v>
      </c>
      <c r="D137" s="13" t="s">
        <v>943</v>
      </c>
      <c r="E137" s="14">
        <v>45616</v>
      </c>
      <c r="F137" s="14">
        <v>45952</v>
      </c>
      <c r="G137" s="12">
        <v>11</v>
      </c>
      <c r="H137" s="10" t="s">
        <v>1057</v>
      </c>
      <c r="I137" s="13">
        <v>10.67</v>
      </c>
      <c r="J137" s="13">
        <v>3.95</v>
      </c>
      <c r="K137" s="15">
        <f>SUM(J137/I137)</f>
        <v>0.3701968134957826</v>
      </c>
      <c r="L137" s="13">
        <v>5442438</v>
      </c>
      <c r="M137" s="13" t="s">
        <v>847</v>
      </c>
      <c r="N137" s="13" t="s">
        <v>38</v>
      </c>
      <c r="O137" s="13" t="s">
        <v>39</v>
      </c>
      <c r="P137" s="12">
        <v>2</v>
      </c>
      <c r="Q137" s="12">
        <v>847703047</v>
      </c>
    </row>
    <row r="138" spans="1:17" ht="15.75" x14ac:dyDescent="0.25">
      <c r="A138" s="12">
        <v>2516</v>
      </c>
      <c r="B138" s="12">
        <v>86104</v>
      </c>
      <c r="C138" s="13" t="s">
        <v>372</v>
      </c>
      <c r="D138" s="13" t="s">
        <v>929</v>
      </c>
      <c r="E138" s="14">
        <v>45583</v>
      </c>
      <c r="F138" s="14">
        <v>45950</v>
      </c>
      <c r="G138" s="12">
        <v>12</v>
      </c>
      <c r="H138" s="10" t="s">
        <v>1057</v>
      </c>
      <c r="I138" s="13">
        <v>16.34</v>
      </c>
      <c r="J138" s="13">
        <v>0.65</v>
      </c>
      <c r="K138" s="15">
        <f>SUM(J138/I138)</f>
        <v>3.9779681762545899E-2</v>
      </c>
      <c r="L138" s="13">
        <v>17528908</v>
      </c>
      <c r="M138" s="13" t="s">
        <v>839</v>
      </c>
      <c r="N138" s="13" t="s">
        <v>38</v>
      </c>
      <c r="O138" s="13" t="s">
        <v>39</v>
      </c>
      <c r="P138" s="12">
        <v>2</v>
      </c>
      <c r="Q138" s="12">
        <v>847678301</v>
      </c>
    </row>
    <row r="139" spans="1:17" ht="15.75" x14ac:dyDescent="0.25">
      <c r="A139" s="12">
        <v>2516</v>
      </c>
      <c r="B139" s="12">
        <v>89544</v>
      </c>
      <c r="C139" s="13" t="s">
        <v>384</v>
      </c>
      <c r="D139" s="13" t="s">
        <v>933</v>
      </c>
      <c r="E139" s="14">
        <v>45587</v>
      </c>
      <c r="F139" s="14">
        <v>45954</v>
      </c>
      <c r="G139" s="12">
        <v>12</v>
      </c>
      <c r="H139" s="10" t="s">
        <v>1057</v>
      </c>
      <c r="I139" s="13">
        <v>57.36</v>
      </c>
      <c r="J139" s="13">
        <v>2.29</v>
      </c>
      <c r="K139" s="15">
        <f>SUM(J139/I139)</f>
        <v>3.9923291492329149E-2</v>
      </c>
      <c r="L139" s="13">
        <v>16212649</v>
      </c>
      <c r="M139" s="13" t="s">
        <v>856</v>
      </c>
      <c r="N139" s="13" t="s">
        <v>38</v>
      </c>
      <c r="O139" s="13" t="s">
        <v>39</v>
      </c>
      <c r="P139" s="12">
        <v>2</v>
      </c>
      <c r="Q139" s="12">
        <v>847679981</v>
      </c>
    </row>
    <row r="140" spans="1:17" ht="15.75" x14ac:dyDescent="0.25">
      <c r="A140" s="12">
        <v>2516</v>
      </c>
      <c r="B140" s="12">
        <v>89544</v>
      </c>
      <c r="C140" s="13" t="s">
        <v>384</v>
      </c>
      <c r="D140" s="13" t="s">
        <v>934</v>
      </c>
      <c r="E140" s="14">
        <v>45587</v>
      </c>
      <c r="F140" s="14">
        <v>45954</v>
      </c>
      <c r="G140" s="12">
        <v>12</v>
      </c>
      <c r="H140" s="10" t="s">
        <v>1057</v>
      </c>
      <c r="I140" s="13">
        <v>1.5</v>
      </c>
      <c r="J140" s="13">
        <v>0.06</v>
      </c>
      <c r="K140" s="15">
        <f>SUM(J140/I140)</f>
        <v>0.04</v>
      </c>
      <c r="L140" s="13">
        <v>16212649</v>
      </c>
      <c r="M140" s="13" t="s">
        <v>856</v>
      </c>
      <c r="N140" s="13" t="s">
        <v>38</v>
      </c>
      <c r="O140" s="13" t="s">
        <v>39</v>
      </c>
      <c r="P140" s="12">
        <v>2</v>
      </c>
      <c r="Q140" s="12">
        <v>847679981</v>
      </c>
    </row>
    <row r="141" spans="1:17" ht="15.75" x14ac:dyDescent="0.25">
      <c r="A141" s="12">
        <v>2516</v>
      </c>
      <c r="B141" s="12">
        <v>79657</v>
      </c>
      <c r="C141" s="13" t="s">
        <v>368</v>
      </c>
      <c r="D141" s="13" t="s">
        <v>932</v>
      </c>
      <c r="E141" s="14">
        <v>45586</v>
      </c>
      <c r="F141" s="14">
        <v>45953</v>
      </c>
      <c r="G141" s="12">
        <v>12</v>
      </c>
      <c r="H141" s="10" t="s">
        <v>1057</v>
      </c>
      <c r="I141" s="13">
        <v>40.729999999999997</v>
      </c>
      <c r="J141" s="13">
        <v>1.63</v>
      </c>
      <c r="K141" s="15">
        <f>SUM(J141/I141)</f>
        <v>4.0019641541861037E-2</v>
      </c>
      <c r="L141" s="13">
        <v>5442438</v>
      </c>
      <c r="M141" s="13" t="s">
        <v>847</v>
      </c>
      <c r="N141" s="13" t="s">
        <v>38</v>
      </c>
      <c r="O141" s="13" t="s">
        <v>39</v>
      </c>
      <c r="P141" s="12">
        <v>2</v>
      </c>
      <c r="Q141" s="12">
        <v>847674911</v>
      </c>
    </row>
    <row r="142" spans="1:17" ht="15.75" x14ac:dyDescent="0.25">
      <c r="A142" s="12">
        <v>2516</v>
      </c>
      <c r="B142" s="12">
        <v>88372</v>
      </c>
      <c r="C142" s="13" t="s">
        <v>380</v>
      </c>
      <c r="D142" s="13" t="s">
        <v>935</v>
      </c>
      <c r="E142" s="14">
        <v>45587</v>
      </c>
      <c r="F142" s="14">
        <v>45954</v>
      </c>
      <c r="G142" s="12">
        <v>12</v>
      </c>
      <c r="H142" s="10" t="s">
        <v>1057</v>
      </c>
      <c r="I142" s="13">
        <v>40.729999999999997</v>
      </c>
      <c r="J142" s="13">
        <v>1.63</v>
      </c>
      <c r="K142" s="15">
        <f>SUM(J142/I142)</f>
        <v>4.0019641541861037E-2</v>
      </c>
      <c r="L142" s="13">
        <v>5442438</v>
      </c>
      <c r="M142" s="13" t="s">
        <v>847</v>
      </c>
      <c r="N142" s="13" t="s">
        <v>38</v>
      </c>
      <c r="O142" s="13" t="s">
        <v>39</v>
      </c>
      <c r="P142" s="12">
        <v>2</v>
      </c>
      <c r="Q142" s="12">
        <v>847679372</v>
      </c>
    </row>
    <row r="143" spans="1:17" ht="15.75" x14ac:dyDescent="0.25">
      <c r="A143" s="12">
        <v>2516</v>
      </c>
      <c r="B143" s="12">
        <v>70419</v>
      </c>
      <c r="C143" s="13" t="s">
        <v>361</v>
      </c>
      <c r="D143" s="13" t="s">
        <v>923</v>
      </c>
      <c r="E143" s="14">
        <v>45567</v>
      </c>
      <c r="F143" s="14">
        <v>45936</v>
      </c>
      <c r="G143" s="12">
        <v>12</v>
      </c>
      <c r="H143" s="10" t="s">
        <v>1057</v>
      </c>
      <c r="I143" s="13">
        <v>38.54</v>
      </c>
      <c r="J143" s="13">
        <v>1.54</v>
      </c>
      <c r="K143" s="15">
        <f>SUM(J143/I143)</f>
        <v>3.9958484691229895E-2</v>
      </c>
      <c r="L143" s="13">
        <v>5442438</v>
      </c>
      <c r="M143" s="13" t="s">
        <v>847</v>
      </c>
      <c r="N143" s="13" t="s">
        <v>38</v>
      </c>
      <c r="O143" s="13" t="s">
        <v>39</v>
      </c>
      <c r="P143" s="12">
        <v>2</v>
      </c>
      <c r="Q143" s="12">
        <v>847670002</v>
      </c>
    </row>
    <row r="144" spans="1:17" ht="15.75" x14ac:dyDescent="0.25">
      <c r="A144" s="12">
        <v>2516</v>
      </c>
      <c r="B144" s="12">
        <v>70419</v>
      </c>
      <c r="C144" s="13" t="s">
        <v>361</v>
      </c>
      <c r="D144" s="13" t="s">
        <v>924</v>
      </c>
      <c r="E144" s="14">
        <v>45567</v>
      </c>
      <c r="F144" s="14">
        <v>45936</v>
      </c>
      <c r="G144" s="12">
        <v>12</v>
      </c>
      <c r="H144" s="10" t="s">
        <v>1057</v>
      </c>
      <c r="I144" s="13">
        <v>1.5</v>
      </c>
      <c r="J144" s="13">
        <v>0.06</v>
      </c>
      <c r="K144" s="15">
        <f>SUM(J144/I144)</f>
        <v>0.04</v>
      </c>
      <c r="L144" s="13">
        <v>5442438</v>
      </c>
      <c r="M144" s="13" t="s">
        <v>847</v>
      </c>
      <c r="N144" s="13" t="s">
        <v>38</v>
      </c>
      <c r="O144" s="13" t="s">
        <v>39</v>
      </c>
      <c r="P144" s="12">
        <v>2</v>
      </c>
      <c r="Q144" s="12">
        <v>847670002</v>
      </c>
    </row>
    <row r="145" spans="1:17" ht="15.75" x14ac:dyDescent="0.25">
      <c r="A145" s="12">
        <v>2516</v>
      </c>
      <c r="B145" s="12">
        <v>70419</v>
      </c>
      <c r="C145" s="13" t="s">
        <v>361</v>
      </c>
      <c r="D145" s="13" t="s">
        <v>925</v>
      </c>
      <c r="E145" s="14">
        <v>45567</v>
      </c>
      <c r="F145" s="14">
        <v>45939</v>
      </c>
      <c r="G145" s="12">
        <v>12</v>
      </c>
      <c r="H145" s="10" t="s">
        <v>1057</v>
      </c>
      <c r="I145" s="13">
        <v>-38.54</v>
      </c>
      <c r="J145" s="13">
        <v>-1.54</v>
      </c>
      <c r="K145" s="15">
        <f>SUM(J145/I145)</f>
        <v>3.9958484691229895E-2</v>
      </c>
      <c r="L145" s="13">
        <v>5442438</v>
      </c>
      <c r="M145" s="13" t="s">
        <v>847</v>
      </c>
      <c r="N145" s="13" t="s">
        <v>38</v>
      </c>
      <c r="O145" s="13" t="s">
        <v>39</v>
      </c>
      <c r="P145" s="12">
        <v>2</v>
      </c>
      <c r="Q145" s="12">
        <v>847670002</v>
      </c>
    </row>
    <row r="146" spans="1:17" ht="15.75" x14ac:dyDescent="0.25">
      <c r="A146" s="12">
        <v>2516</v>
      </c>
      <c r="B146" s="12">
        <v>70419</v>
      </c>
      <c r="C146" s="13" t="s">
        <v>361</v>
      </c>
      <c r="D146" s="13" t="s">
        <v>926</v>
      </c>
      <c r="E146" s="14">
        <v>45567</v>
      </c>
      <c r="F146" s="14">
        <v>45939</v>
      </c>
      <c r="G146" s="12">
        <v>12</v>
      </c>
      <c r="H146" s="10" t="s">
        <v>1057</v>
      </c>
      <c r="I146" s="13">
        <v>-1.5</v>
      </c>
      <c r="J146" s="13">
        <v>-0.06</v>
      </c>
      <c r="K146" s="15">
        <f>SUM(J146/I146)</f>
        <v>0.04</v>
      </c>
      <c r="L146" s="13">
        <v>5442438</v>
      </c>
      <c r="M146" s="13" t="s">
        <v>847</v>
      </c>
      <c r="N146" s="13" t="s">
        <v>38</v>
      </c>
      <c r="O146" s="13" t="s">
        <v>39</v>
      </c>
      <c r="P146" s="12">
        <v>2</v>
      </c>
      <c r="Q146" s="12">
        <v>847670002</v>
      </c>
    </row>
    <row r="147" spans="1:17" ht="15.75" x14ac:dyDescent="0.25">
      <c r="A147" s="12">
        <v>2516</v>
      </c>
      <c r="B147" s="12">
        <v>70419</v>
      </c>
      <c r="C147" s="13" t="s">
        <v>361</v>
      </c>
      <c r="D147" s="13" t="s">
        <v>927</v>
      </c>
      <c r="E147" s="14">
        <v>45567</v>
      </c>
      <c r="F147" s="14">
        <v>45952</v>
      </c>
      <c r="G147" s="12">
        <v>12</v>
      </c>
      <c r="H147" s="10" t="s">
        <v>1057</v>
      </c>
      <c r="I147" s="13">
        <v>38.54</v>
      </c>
      <c r="J147" s="13">
        <v>1.54</v>
      </c>
      <c r="K147" s="15">
        <f>SUM(J147/I147)</f>
        <v>3.9958484691229895E-2</v>
      </c>
      <c r="L147" s="13">
        <v>5442438</v>
      </c>
      <c r="M147" s="13" t="s">
        <v>847</v>
      </c>
      <c r="N147" s="13" t="s">
        <v>38</v>
      </c>
      <c r="O147" s="13" t="s">
        <v>39</v>
      </c>
      <c r="P147" s="12">
        <v>2</v>
      </c>
      <c r="Q147" s="12">
        <v>847670002</v>
      </c>
    </row>
    <row r="148" spans="1:17" ht="15.75" x14ac:dyDescent="0.25">
      <c r="A148" s="12">
        <v>2516</v>
      </c>
      <c r="B148" s="12">
        <v>70419</v>
      </c>
      <c r="C148" s="13" t="s">
        <v>361</v>
      </c>
      <c r="D148" s="13" t="s">
        <v>928</v>
      </c>
      <c r="E148" s="14">
        <v>45567</v>
      </c>
      <c r="F148" s="14">
        <v>45952</v>
      </c>
      <c r="G148" s="12">
        <v>12</v>
      </c>
      <c r="H148" s="10" t="s">
        <v>1057</v>
      </c>
      <c r="I148" s="13">
        <v>1.5</v>
      </c>
      <c r="J148" s="13">
        <v>0.06</v>
      </c>
      <c r="K148" s="15">
        <f>SUM(J148/I148)</f>
        <v>0.04</v>
      </c>
      <c r="L148" s="13">
        <v>5442438</v>
      </c>
      <c r="M148" s="13" t="s">
        <v>847</v>
      </c>
      <c r="N148" s="13" t="s">
        <v>38</v>
      </c>
      <c r="O148" s="13" t="s">
        <v>39</v>
      </c>
      <c r="P148" s="12">
        <v>2</v>
      </c>
      <c r="Q148" s="12">
        <v>847670002</v>
      </c>
    </row>
    <row r="149" spans="1:17" ht="15.75" x14ac:dyDescent="0.25">
      <c r="A149" s="12">
        <v>2516</v>
      </c>
      <c r="B149" s="12">
        <v>87397</v>
      </c>
      <c r="C149" s="13" t="s">
        <v>376</v>
      </c>
      <c r="D149" s="13" t="s">
        <v>930</v>
      </c>
      <c r="E149" s="14">
        <v>45584</v>
      </c>
      <c r="F149" s="14">
        <v>45951</v>
      </c>
      <c r="G149" s="12">
        <v>12</v>
      </c>
      <c r="H149" s="10" t="s">
        <v>1057</v>
      </c>
      <c r="I149" s="13">
        <v>65.760000000000005</v>
      </c>
      <c r="J149" s="13">
        <v>2.63</v>
      </c>
      <c r="K149" s="15">
        <f>SUM(J149/I149)</f>
        <v>3.9993917274939166E-2</v>
      </c>
      <c r="L149" s="13">
        <v>19645587</v>
      </c>
      <c r="M149" s="13" t="s">
        <v>852</v>
      </c>
      <c r="N149" s="13" t="s">
        <v>38</v>
      </c>
      <c r="O149" s="13" t="s">
        <v>39</v>
      </c>
      <c r="P149" s="12">
        <v>2</v>
      </c>
      <c r="Q149" s="12">
        <v>847678951</v>
      </c>
    </row>
    <row r="150" spans="1:17" ht="15.75" x14ac:dyDescent="0.25">
      <c r="A150" s="12">
        <v>2516</v>
      </c>
      <c r="B150" s="12">
        <v>87397</v>
      </c>
      <c r="C150" s="13" t="s">
        <v>376</v>
      </c>
      <c r="D150" s="13" t="s">
        <v>931</v>
      </c>
      <c r="E150" s="14">
        <v>45584</v>
      </c>
      <c r="F150" s="14">
        <v>45951</v>
      </c>
      <c r="G150" s="12">
        <v>12</v>
      </c>
      <c r="H150" s="10" t="s">
        <v>1057</v>
      </c>
      <c r="I150" s="13">
        <v>1.5</v>
      </c>
      <c r="J150" s="13">
        <v>0.06</v>
      </c>
      <c r="K150" s="15">
        <f>SUM(J150/I150)</f>
        <v>0.04</v>
      </c>
      <c r="L150" s="13">
        <v>19645587</v>
      </c>
      <c r="M150" s="13" t="s">
        <v>852</v>
      </c>
      <c r="N150" s="13" t="s">
        <v>38</v>
      </c>
      <c r="O150" s="13" t="s">
        <v>39</v>
      </c>
      <c r="P150" s="12">
        <v>2</v>
      </c>
      <c r="Q150" s="12">
        <v>847678951</v>
      </c>
    </row>
    <row r="151" spans="1:17" ht="15.75" x14ac:dyDescent="0.25">
      <c r="A151" s="12">
        <v>2516</v>
      </c>
      <c r="B151" s="12">
        <v>54517</v>
      </c>
      <c r="C151" s="13" t="s">
        <v>302</v>
      </c>
      <c r="D151" s="13" t="s">
        <v>900</v>
      </c>
      <c r="E151" s="14">
        <v>45552</v>
      </c>
      <c r="F151" s="14">
        <v>45950</v>
      </c>
      <c r="G151" s="12">
        <v>13</v>
      </c>
      <c r="H151" s="10" t="s">
        <v>1057</v>
      </c>
      <c r="I151" s="13">
        <v>36.29</v>
      </c>
      <c r="J151" s="13">
        <v>1.45</v>
      </c>
      <c r="K151" s="15">
        <f>SUM(J151/I151)</f>
        <v>3.9955910719206393E-2</v>
      </c>
      <c r="L151" s="13">
        <v>17528908</v>
      </c>
      <c r="M151" s="13" t="s">
        <v>839</v>
      </c>
      <c r="N151" s="13" t="s">
        <v>38</v>
      </c>
      <c r="O151" s="13" t="s">
        <v>39</v>
      </c>
      <c r="P151" s="12">
        <v>2</v>
      </c>
      <c r="Q151" s="12">
        <v>847661149</v>
      </c>
    </row>
    <row r="152" spans="1:17" ht="15.75" x14ac:dyDescent="0.25">
      <c r="A152" s="12">
        <v>2516</v>
      </c>
      <c r="B152" s="12">
        <v>54517</v>
      </c>
      <c r="C152" s="13" t="s">
        <v>302</v>
      </c>
      <c r="D152" s="13" t="s">
        <v>901</v>
      </c>
      <c r="E152" s="14">
        <v>45552</v>
      </c>
      <c r="F152" s="14">
        <v>45950</v>
      </c>
      <c r="G152" s="12">
        <v>13</v>
      </c>
      <c r="H152" s="10" t="s">
        <v>1057</v>
      </c>
      <c r="I152" s="13">
        <v>1.5</v>
      </c>
      <c r="J152" s="13">
        <v>0.06</v>
      </c>
      <c r="K152" s="15">
        <f>SUM(J152/I152)</f>
        <v>0.04</v>
      </c>
      <c r="L152" s="13">
        <v>17528908</v>
      </c>
      <c r="M152" s="13" t="s">
        <v>839</v>
      </c>
      <c r="N152" s="13" t="s">
        <v>38</v>
      </c>
      <c r="O152" s="13" t="s">
        <v>39</v>
      </c>
      <c r="P152" s="12">
        <v>2</v>
      </c>
      <c r="Q152" s="12">
        <v>847661149</v>
      </c>
    </row>
    <row r="153" spans="1:17" ht="15.75" x14ac:dyDescent="0.25">
      <c r="A153" s="12">
        <v>2516</v>
      </c>
      <c r="B153" s="12">
        <v>54518</v>
      </c>
      <c r="C153" s="13" t="s">
        <v>302</v>
      </c>
      <c r="D153" s="13" t="s">
        <v>902</v>
      </c>
      <c r="E153" s="14">
        <v>45552</v>
      </c>
      <c r="F153" s="14">
        <v>45950</v>
      </c>
      <c r="G153" s="12">
        <v>13</v>
      </c>
      <c r="H153" s="10" t="s">
        <v>1057</v>
      </c>
      <c r="I153" s="13">
        <v>16.34</v>
      </c>
      <c r="J153" s="13">
        <v>0.65</v>
      </c>
      <c r="K153" s="15">
        <f>SUM(J153/I153)</f>
        <v>3.9779681762545899E-2</v>
      </c>
      <c r="L153" s="13">
        <v>17528908</v>
      </c>
      <c r="M153" s="13" t="s">
        <v>839</v>
      </c>
      <c r="N153" s="13" t="s">
        <v>38</v>
      </c>
      <c r="O153" s="13" t="s">
        <v>39</v>
      </c>
      <c r="P153" s="12">
        <v>2</v>
      </c>
      <c r="Q153" s="12">
        <v>847661149</v>
      </c>
    </row>
    <row r="154" spans="1:17" ht="15.75" x14ac:dyDescent="0.25">
      <c r="A154" s="12">
        <v>2516</v>
      </c>
      <c r="B154" s="12">
        <v>59666</v>
      </c>
      <c r="C154" s="13" t="s">
        <v>357</v>
      </c>
      <c r="D154" s="13" t="s">
        <v>921</v>
      </c>
      <c r="E154" s="14">
        <v>45556</v>
      </c>
      <c r="F154" s="14">
        <v>45953</v>
      </c>
      <c r="G154" s="12">
        <v>13</v>
      </c>
      <c r="H154" s="10" t="s">
        <v>1057</v>
      </c>
      <c r="I154" s="13">
        <v>36.29</v>
      </c>
      <c r="J154" s="13">
        <v>1.45</v>
      </c>
      <c r="K154" s="15">
        <f>SUM(J154/I154)</f>
        <v>3.9955910719206393E-2</v>
      </c>
      <c r="L154" s="13">
        <v>17528908</v>
      </c>
      <c r="M154" s="13" t="s">
        <v>839</v>
      </c>
      <c r="N154" s="13" t="s">
        <v>38</v>
      </c>
      <c r="O154" s="13" t="s">
        <v>39</v>
      </c>
      <c r="P154" s="12">
        <v>2</v>
      </c>
      <c r="Q154" s="12">
        <v>847664013</v>
      </c>
    </row>
    <row r="155" spans="1:17" ht="15.75" x14ac:dyDescent="0.25">
      <c r="A155" s="12">
        <v>2516</v>
      </c>
      <c r="B155" s="12">
        <v>59666</v>
      </c>
      <c r="C155" s="13" t="s">
        <v>357</v>
      </c>
      <c r="D155" s="13" t="s">
        <v>922</v>
      </c>
      <c r="E155" s="14">
        <v>45556</v>
      </c>
      <c r="F155" s="14">
        <v>45953</v>
      </c>
      <c r="G155" s="12">
        <v>13</v>
      </c>
      <c r="H155" s="10" t="s">
        <v>1057</v>
      </c>
      <c r="I155" s="13">
        <v>1.5</v>
      </c>
      <c r="J155" s="13">
        <v>0.06</v>
      </c>
      <c r="K155" s="15">
        <f>SUM(J155/I155)</f>
        <v>0.04</v>
      </c>
      <c r="L155" s="13">
        <v>17528908</v>
      </c>
      <c r="M155" s="13" t="s">
        <v>839</v>
      </c>
      <c r="N155" s="13" t="s">
        <v>38</v>
      </c>
      <c r="O155" s="13" t="s">
        <v>39</v>
      </c>
      <c r="P155" s="12">
        <v>2</v>
      </c>
      <c r="Q155" s="12">
        <v>847664013</v>
      </c>
    </row>
    <row r="156" spans="1:17" ht="15.75" x14ac:dyDescent="0.25">
      <c r="A156" s="12">
        <v>2516</v>
      </c>
      <c r="B156" s="12">
        <v>56084</v>
      </c>
      <c r="C156" s="13" t="s">
        <v>320</v>
      </c>
      <c r="D156" s="13" t="s">
        <v>907</v>
      </c>
      <c r="E156" s="14">
        <v>45553</v>
      </c>
      <c r="F156" s="14">
        <v>45950</v>
      </c>
      <c r="G156" s="12">
        <v>13</v>
      </c>
      <c r="H156" s="10" t="s">
        <v>1057</v>
      </c>
      <c r="I156" s="13">
        <v>36.29</v>
      </c>
      <c r="J156" s="13">
        <v>1.45</v>
      </c>
      <c r="K156" s="15">
        <f>SUM(J156/I156)</f>
        <v>3.9955910719206393E-2</v>
      </c>
      <c r="L156" s="13">
        <v>17528908</v>
      </c>
      <c r="M156" s="13" t="s">
        <v>839</v>
      </c>
      <c r="N156" s="13" t="s">
        <v>38</v>
      </c>
      <c r="O156" s="13" t="s">
        <v>39</v>
      </c>
      <c r="P156" s="12">
        <v>2</v>
      </c>
      <c r="Q156" s="12">
        <v>847661990</v>
      </c>
    </row>
    <row r="157" spans="1:17" ht="15.75" x14ac:dyDescent="0.25">
      <c r="A157" s="12">
        <v>2516</v>
      </c>
      <c r="B157" s="12">
        <v>56084</v>
      </c>
      <c r="C157" s="13" t="s">
        <v>320</v>
      </c>
      <c r="D157" s="13" t="s">
        <v>908</v>
      </c>
      <c r="E157" s="14">
        <v>45553</v>
      </c>
      <c r="F157" s="14">
        <v>45950</v>
      </c>
      <c r="G157" s="12">
        <v>13</v>
      </c>
      <c r="H157" s="10" t="s">
        <v>1057</v>
      </c>
      <c r="I157" s="13">
        <v>1.5</v>
      </c>
      <c r="J157" s="13">
        <v>0.06</v>
      </c>
      <c r="K157" s="15">
        <f>SUM(J157/I157)</f>
        <v>0.04</v>
      </c>
      <c r="L157" s="13">
        <v>17528908</v>
      </c>
      <c r="M157" s="13" t="s">
        <v>839</v>
      </c>
      <c r="N157" s="13" t="s">
        <v>38</v>
      </c>
      <c r="O157" s="13" t="s">
        <v>39</v>
      </c>
      <c r="P157" s="12">
        <v>2</v>
      </c>
      <c r="Q157" s="12">
        <v>847661990</v>
      </c>
    </row>
    <row r="158" spans="1:17" ht="15.75" x14ac:dyDescent="0.25">
      <c r="A158" s="12">
        <v>2516</v>
      </c>
      <c r="B158" s="12">
        <v>54977</v>
      </c>
      <c r="C158" s="13" t="s">
        <v>310</v>
      </c>
      <c r="D158" s="13" t="s">
        <v>903</v>
      </c>
      <c r="E158" s="14">
        <v>45552</v>
      </c>
      <c r="F158" s="14">
        <v>45950</v>
      </c>
      <c r="G158" s="12">
        <v>13</v>
      </c>
      <c r="H158" s="10" t="s">
        <v>1057</v>
      </c>
      <c r="I158" s="13">
        <v>22.84</v>
      </c>
      <c r="J158" s="13">
        <v>0.91</v>
      </c>
      <c r="K158" s="15">
        <f>SUM(J158/I158)</f>
        <v>3.9842381786339753E-2</v>
      </c>
      <c r="L158" s="13">
        <v>9213293</v>
      </c>
      <c r="M158" s="13" t="s">
        <v>851</v>
      </c>
      <c r="N158" s="13" t="s">
        <v>38</v>
      </c>
      <c r="O158" s="13" t="s">
        <v>39</v>
      </c>
      <c r="P158" s="12">
        <v>2</v>
      </c>
      <c r="Q158" s="12">
        <v>847661374</v>
      </c>
    </row>
    <row r="159" spans="1:17" ht="15.75" x14ac:dyDescent="0.25">
      <c r="A159" s="12">
        <v>2516</v>
      </c>
      <c r="B159" s="12">
        <v>54978</v>
      </c>
      <c r="C159" s="13" t="s">
        <v>310</v>
      </c>
      <c r="D159" s="13" t="s">
        <v>904</v>
      </c>
      <c r="E159" s="14">
        <v>45552</v>
      </c>
      <c r="F159" s="14">
        <v>45950</v>
      </c>
      <c r="G159" s="12">
        <v>13</v>
      </c>
      <c r="H159" s="10" t="s">
        <v>1057</v>
      </c>
      <c r="I159" s="13">
        <v>7.24</v>
      </c>
      <c r="J159" s="13">
        <v>0.28999999999999998</v>
      </c>
      <c r="K159" s="15">
        <f>SUM(J159/I159)</f>
        <v>4.0055248618784525E-2</v>
      </c>
      <c r="L159" s="13">
        <v>9213293</v>
      </c>
      <c r="M159" s="13" t="s">
        <v>851</v>
      </c>
      <c r="N159" s="13" t="s">
        <v>38</v>
      </c>
      <c r="O159" s="13" t="s">
        <v>39</v>
      </c>
      <c r="P159" s="12">
        <v>2</v>
      </c>
      <c r="Q159" s="12">
        <v>847661374</v>
      </c>
    </row>
    <row r="160" spans="1:17" ht="15.75" x14ac:dyDescent="0.25">
      <c r="A160" s="12">
        <v>2516</v>
      </c>
      <c r="B160" s="12">
        <v>59259</v>
      </c>
      <c r="C160" s="13" t="s">
        <v>353</v>
      </c>
      <c r="D160" s="13" t="s">
        <v>920</v>
      </c>
      <c r="E160" s="14">
        <v>45555</v>
      </c>
      <c r="F160" s="14">
        <v>45952</v>
      </c>
      <c r="G160" s="12">
        <v>13</v>
      </c>
      <c r="H160" s="10" t="s">
        <v>1057</v>
      </c>
      <c r="I160" s="13">
        <v>61.14</v>
      </c>
      <c r="J160" s="13">
        <v>2.4500000000000002</v>
      </c>
      <c r="K160" s="15">
        <f>SUM(J160/I160)</f>
        <v>4.0071965979718682E-2</v>
      </c>
      <c r="L160" s="13">
        <v>9213293</v>
      </c>
      <c r="M160" s="13" t="s">
        <v>851</v>
      </c>
      <c r="N160" s="13" t="s">
        <v>38</v>
      </c>
      <c r="O160" s="13" t="s">
        <v>39</v>
      </c>
      <c r="P160" s="12">
        <v>2</v>
      </c>
      <c r="Q160" s="12">
        <v>847663766</v>
      </c>
    </row>
    <row r="161" spans="1:17" ht="15.75" x14ac:dyDescent="0.25">
      <c r="A161" s="12">
        <v>2516</v>
      </c>
      <c r="B161" s="12">
        <v>57363</v>
      </c>
      <c r="C161" s="13" t="s">
        <v>338</v>
      </c>
      <c r="D161" s="13" t="s">
        <v>910</v>
      </c>
      <c r="E161" s="14">
        <v>45554</v>
      </c>
      <c r="F161" s="14">
        <v>45951</v>
      </c>
      <c r="G161" s="12">
        <v>13</v>
      </c>
      <c r="H161" s="10" t="s">
        <v>1057</v>
      </c>
      <c r="I161" s="13">
        <v>150.96</v>
      </c>
      <c r="J161" s="13">
        <v>6.04</v>
      </c>
      <c r="K161" s="15">
        <f>SUM(J161/I161)</f>
        <v>4.0010598834128247E-2</v>
      </c>
      <c r="L161" s="13">
        <v>16865615</v>
      </c>
      <c r="M161" s="13" t="s">
        <v>836</v>
      </c>
      <c r="N161" s="13" t="s">
        <v>38</v>
      </c>
      <c r="O161" s="13" t="s">
        <v>39</v>
      </c>
      <c r="P161" s="12">
        <v>2</v>
      </c>
      <c r="Q161" s="12">
        <v>847662707</v>
      </c>
    </row>
    <row r="162" spans="1:17" ht="15.75" x14ac:dyDescent="0.25">
      <c r="A162" s="12">
        <v>2516</v>
      </c>
      <c r="B162" s="12">
        <v>57364</v>
      </c>
      <c r="C162" s="13" t="s">
        <v>338</v>
      </c>
      <c r="D162" s="13" t="s">
        <v>911</v>
      </c>
      <c r="E162" s="14">
        <v>45554</v>
      </c>
      <c r="F162" s="14">
        <v>45951</v>
      </c>
      <c r="G162" s="12">
        <v>13</v>
      </c>
      <c r="H162" s="10" t="s">
        <v>1057</v>
      </c>
      <c r="I162" s="13">
        <v>29.34</v>
      </c>
      <c r="J162" s="13">
        <v>1.17</v>
      </c>
      <c r="K162" s="15">
        <f>SUM(J162/I162)</f>
        <v>3.9877300613496931E-2</v>
      </c>
      <c r="L162" s="13">
        <v>16865615</v>
      </c>
      <c r="M162" s="13" t="s">
        <v>836</v>
      </c>
      <c r="N162" s="13" t="s">
        <v>38</v>
      </c>
      <c r="O162" s="13" t="s">
        <v>39</v>
      </c>
      <c r="P162" s="12">
        <v>2</v>
      </c>
      <c r="Q162" s="12">
        <v>847662707</v>
      </c>
    </row>
    <row r="163" spans="1:17" ht="15.75" x14ac:dyDescent="0.25">
      <c r="A163" s="12">
        <v>2516</v>
      </c>
      <c r="B163" s="12">
        <v>57380</v>
      </c>
      <c r="C163" s="13" t="s">
        <v>344</v>
      </c>
      <c r="D163" s="13" t="s">
        <v>912</v>
      </c>
      <c r="E163" s="14">
        <v>45554</v>
      </c>
      <c r="F163" s="14">
        <v>45951</v>
      </c>
      <c r="G163" s="12">
        <v>13</v>
      </c>
      <c r="H163" s="10" t="s">
        <v>1057</v>
      </c>
      <c r="I163" s="13">
        <v>18.73</v>
      </c>
      <c r="J163" s="13">
        <v>0.75</v>
      </c>
      <c r="K163" s="15">
        <f>SUM(J163/I163)</f>
        <v>4.0042712226374802E-2</v>
      </c>
      <c r="L163" s="13">
        <v>16683808</v>
      </c>
      <c r="M163" s="13" t="s">
        <v>832</v>
      </c>
      <c r="N163" s="13" t="s">
        <v>38</v>
      </c>
      <c r="O163" s="13" t="s">
        <v>39</v>
      </c>
      <c r="P163" s="12">
        <v>2</v>
      </c>
      <c r="Q163" s="12">
        <v>847662717</v>
      </c>
    </row>
    <row r="164" spans="1:17" ht="15.75" x14ac:dyDescent="0.25">
      <c r="A164" s="12">
        <v>2516</v>
      </c>
      <c r="B164" s="12">
        <v>57380</v>
      </c>
      <c r="C164" s="13" t="s">
        <v>344</v>
      </c>
      <c r="D164" s="13" t="s">
        <v>913</v>
      </c>
      <c r="E164" s="14">
        <v>45554</v>
      </c>
      <c r="F164" s="14">
        <v>45951</v>
      </c>
      <c r="G164" s="12">
        <v>13</v>
      </c>
      <c r="H164" s="10" t="s">
        <v>1057</v>
      </c>
      <c r="I164" s="13">
        <v>18.73</v>
      </c>
      <c r="J164" s="13">
        <v>0.75</v>
      </c>
      <c r="K164" s="15">
        <f>SUM(J164/I164)</f>
        <v>4.0042712226374802E-2</v>
      </c>
      <c r="L164" s="13">
        <v>16683808</v>
      </c>
      <c r="M164" s="13" t="s">
        <v>832</v>
      </c>
      <c r="N164" s="13" t="s">
        <v>38</v>
      </c>
      <c r="O164" s="13" t="s">
        <v>39</v>
      </c>
      <c r="P164" s="12">
        <v>2</v>
      </c>
      <c r="Q164" s="12">
        <v>847662717</v>
      </c>
    </row>
    <row r="165" spans="1:17" ht="15.75" x14ac:dyDescent="0.25">
      <c r="A165" s="12">
        <v>2516</v>
      </c>
      <c r="B165" s="12">
        <v>57136</v>
      </c>
      <c r="C165" s="13" t="s">
        <v>323</v>
      </c>
      <c r="D165" s="13" t="s">
        <v>914</v>
      </c>
      <c r="E165" s="14">
        <v>45554</v>
      </c>
      <c r="F165" s="14">
        <v>45951</v>
      </c>
      <c r="G165" s="12">
        <v>13</v>
      </c>
      <c r="H165" s="10" t="s">
        <v>1057</v>
      </c>
      <c r="I165" s="13">
        <v>42.35</v>
      </c>
      <c r="J165" s="13">
        <v>1.69</v>
      </c>
      <c r="K165" s="15">
        <f>SUM(J165/I165)</f>
        <v>3.9905548996458082E-2</v>
      </c>
      <c r="L165" s="13">
        <v>5442438</v>
      </c>
      <c r="M165" s="13" t="s">
        <v>847</v>
      </c>
      <c r="N165" s="13" t="s">
        <v>38</v>
      </c>
      <c r="O165" s="13" t="s">
        <v>39</v>
      </c>
      <c r="P165" s="12">
        <v>2</v>
      </c>
      <c r="Q165" s="12">
        <v>847662582</v>
      </c>
    </row>
    <row r="166" spans="1:17" ht="15.75" x14ac:dyDescent="0.25">
      <c r="A166" s="12">
        <v>2516</v>
      </c>
      <c r="B166" s="12">
        <v>57136</v>
      </c>
      <c r="C166" s="13" t="s">
        <v>323</v>
      </c>
      <c r="D166" s="13" t="s">
        <v>915</v>
      </c>
      <c r="E166" s="14">
        <v>45554</v>
      </c>
      <c r="F166" s="14">
        <v>45951</v>
      </c>
      <c r="G166" s="12">
        <v>13</v>
      </c>
      <c r="H166" s="10" t="s">
        <v>1057</v>
      </c>
      <c r="I166" s="13">
        <v>1.5</v>
      </c>
      <c r="J166" s="13">
        <v>0.06</v>
      </c>
      <c r="K166" s="15">
        <f>SUM(J166/I166)</f>
        <v>0.04</v>
      </c>
      <c r="L166" s="13">
        <v>5442438</v>
      </c>
      <c r="M166" s="13" t="s">
        <v>847</v>
      </c>
      <c r="N166" s="13" t="s">
        <v>38</v>
      </c>
      <c r="O166" s="13" t="s">
        <v>39</v>
      </c>
      <c r="P166" s="12">
        <v>2</v>
      </c>
      <c r="Q166" s="12">
        <v>847662582</v>
      </c>
    </row>
    <row r="167" spans="1:17" ht="15.75" x14ac:dyDescent="0.25">
      <c r="A167" s="12">
        <v>2516</v>
      </c>
      <c r="B167" s="12">
        <v>43780</v>
      </c>
      <c r="C167" s="13" t="s">
        <v>298</v>
      </c>
      <c r="D167" s="13" t="s">
        <v>899</v>
      </c>
      <c r="E167" s="14">
        <v>45551</v>
      </c>
      <c r="F167" s="14">
        <v>45950</v>
      </c>
      <c r="G167" s="12">
        <v>13</v>
      </c>
      <c r="H167" s="10" t="s">
        <v>1057</v>
      </c>
      <c r="I167" s="13">
        <v>37.03</v>
      </c>
      <c r="J167" s="13">
        <v>1.48</v>
      </c>
      <c r="K167" s="15">
        <f>SUM(J167/I167)</f>
        <v>3.9967593842830135E-2</v>
      </c>
      <c r="L167" s="13">
        <v>5442438</v>
      </c>
      <c r="M167" s="13" t="s">
        <v>847</v>
      </c>
      <c r="N167" s="13" t="s">
        <v>38</v>
      </c>
      <c r="O167" s="13" t="s">
        <v>39</v>
      </c>
      <c r="P167" s="12">
        <v>2</v>
      </c>
      <c r="Q167" s="12">
        <v>847655268</v>
      </c>
    </row>
    <row r="168" spans="1:17" ht="15.75" x14ac:dyDescent="0.25">
      <c r="A168" s="12">
        <v>2516</v>
      </c>
      <c r="B168" s="12">
        <v>55862</v>
      </c>
      <c r="C168" s="13" t="s">
        <v>316</v>
      </c>
      <c r="D168" s="13" t="s">
        <v>909</v>
      </c>
      <c r="E168" s="14">
        <v>45553</v>
      </c>
      <c r="F168" s="14">
        <v>45950</v>
      </c>
      <c r="G168" s="12">
        <v>13</v>
      </c>
      <c r="H168" s="10" t="s">
        <v>1057</v>
      </c>
      <c r="I168" s="13">
        <v>33.700000000000003</v>
      </c>
      <c r="J168" s="13">
        <v>1.35</v>
      </c>
      <c r="K168" s="15">
        <f>SUM(J168/I168)</f>
        <v>4.0059347181008904E-2</v>
      </c>
      <c r="L168" s="13">
        <v>5442438</v>
      </c>
      <c r="M168" s="13" t="s">
        <v>847</v>
      </c>
      <c r="N168" s="13" t="s">
        <v>38</v>
      </c>
      <c r="O168" s="13" t="s">
        <v>39</v>
      </c>
      <c r="P168" s="12">
        <v>2</v>
      </c>
      <c r="Q168" s="12">
        <v>847661871</v>
      </c>
    </row>
    <row r="169" spans="1:17" ht="15.75" x14ac:dyDescent="0.25">
      <c r="A169" s="12">
        <v>2516</v>
      </c>
      <c r="B169" s="12">
        <v>54707</v>
      </c>
      <c r="C169" s="13" t="s">
        <v>307</v>
      </c>
      <c r="D169" s="13" t="s">
        <v>905</v>
      </c>
      <c r="E169" s="14">
        <v>45552</v>
      </c>
      <c r="F169" s="14">
        <v>45950</v>
      </c>
      <c r="G169" s="12">
        <v>13</v>
      </c>
      <c r="H169" s="10" t="s">
        <v>1057</v>
      </c>
      <c r="I169" s="13">
        <v>38.54</v>
      </c>
      <c r="J169" s="13">
        <v>1.54</v>
      </c>
      <c r="K169" s="15">
        <f>SUM(J169/I169)</f>
        <v>3.9958484691229895E-2</v>
      </c>
      <c r="L169" s="13">
        <v>5442438</v>
      </c>
      <c r="M169" s="13" t="s">
        <v>847</v>
      </c>
      <c r="N169" s="13" t="s">
        <v>38</v>
      </c>
      <c r="O169" s="13" t="s">
        <v>39</v>
      </c>
      <c r="P169" s="12">
        <v>2</v>
      </c>
      <c r="Q169" s="12">
        <v>847661249</v>
      </c>
    </row>
    <row r="170" spans="1:17" ht="15.75" x14ac:dyDescent="0.25">
      <c r="A170" s="12">
        <v>2516</v>
      </c>
      <c r="B170" s="12">
        <v>54707</v>
      </c>
      <c r="C170" s="13" t="s">
        <v>307</v>
      </c>
      <c r="D170" s="13" t="s">
        <v>906</v>
      </c>
      <c r="E170" s="14">
        <v>45552</v>
      </c>
      <c r="F170" s="14">
        <v>45950</v>
      </c>
      <c r="G170" s="12">
        <v>13</v>
      </c>
      <c r="H170" s="10" t="s">
        <v>1057</v>
      </c>
      <c r="I170" s="13">
        <v>1.5</v>
      </c>
      <c r="J170" s="13">
        <v>0.06</v>
      </c>
      <c r="K170" s="15">
        <f>SUM(J170/I170)</f>
        <v>0.04</v>
      </c>
      <c r="L170" s="13">
        <v>5442438</v>
      </c>
      <c r="M170" s="13" t="s">
        <v>847</v>
      </c>
      <c r="N170" s="13" t="s">
        <v>38</v>
      </c>
      <c r="O170" s="13" t="s">
        <v>39</v>
      </c>
      <c r="P170" s="12">
        <v>2</v>
      </c>
      <c r="Q170" s="12">
        <v>847661249</v>
      </c>
    </row>
    <row r="171" spans="1:17" ht="15.75" x14ac:dyDescent="0.25">
      <c r="A171" s="12">
        <v>2516</v>
      </c>
      <c r="B171" s="12">
        <v>57742</v>
      </c>
      <c r="C171" s="13" t="s">
        <v>350</v>
      </c>
      <c r="D171" s="13" t="s">
        <v>916</v>
      </c>
      <c r="E171" s="14">
        <v>45554</v>
      </c>
      <c r="F171" s="14">
        <v>45951</v>
      </c>
      <c r="G171" s="12">
        <v>13</v>
      </c>
      <c r="H171" s="10" t="s">
        <v>1057</v>
      </c>
      <c r="I171" s="13">
        <v>40.729999999999997</v>
      </c>
      <c r="J171" s="13">
        <v>1.63</v>
      </c>
      <c r="K171" s="15">
        <f>SUM(J171/I171)</f>
        <v>4.0019641541861037E-2</v>
      </c>
      <c r="L171" s="13">
        <v>5442438</v>
      </c>
      <c r="M171" s="13" t="s">
        <v>847</v>
      </c>
      <c r="N171" s="13" t="s">
        <v>38</v>
      </c>
      <c r="O171" s="13" t="s">
        <v>39</v>
      </c>
      <c r="P171" s="12">
        <v>2</v>
      </c>
      <c r="Q171" s="12">
        <v>847662910</v>
      </c>
    </row>
    <row r="172" spans="1:17" ht="15.75" x14ac:dyDescent="0.25">
      <c r="A172" s="12">
        <v>2516</v>
      </c>
      <c r="B172" s="12">
        <v>57207</v>
      </c>
      <c r="C172" s="13" t="s">
        <v>327</v>
      </c>
      <c r="D172" s="13" t="s">
        <v>917</v>
      </c>
      <c r="E172" s="14">
        <v>45554</v>
      </c>
      <c r="F172" s="14">
        <v>45951</v>
      </c>
      <c r="G172" s="12">
        <v>13</v>
      </c>
      <c r="H172" s="10" t="s">
        <v>1057</v>
      </c>
      <c r="I172" s="13">
        <v>61.14</v>
      </c>
      <c r="J172" s="13">
        <v>2.4500000000000002</v>
      </c>
      <c r="K172" s="15">
        <f>SUM(J172/I172)</f>
        <v>4.0071965979718682E-2</v>
      </c>
      <c r="L172" s="13">
        <v>19396223</v>
      </c>
      <c r="M172" s="13" t="s">
        <v>830</v>
      </c>
      <c r="N172" s="13" t="s">
        <v>38</v>
      </c>
      <c r="O172" s="13" t="s">
        <v>39</v>
      </c>
      <c r="P172" s="12">
        <v>2</v>
      </c>
      <c r="Q172" s="12">
        <v>847662623</v>
      </c>
    </row>
    <row r="173" spans="1:17" ht="15.75" x14ac:dyDescent="0.25">
      <c r="A173" s="12">
        <v>2516</v>
      </c>
      <c r="B173" s="12">
        <v>57240</v>
      </c>
      <c r="C173" s="13" t="s">
        <v>332</v>
      </c>
      <c r="D173" s="13" t="s">
        <v>918</v>
      </c>
      <c r="E173" s="14">
        <v>45554</v>
      </c>
      <c r="F173" s="14">
        <v>45951</v>
      </c>
      <c r="G173" s="12">
        <v>13</v>
      </c>
      <c r="H173" s="10" t="s">
        <v>1057</v>
      </c>
      <c r="I173" s="13">
        <v>47.14</v>
      </c>
      <c r="J173" s="13">
        <v>1.89</v>
      </c>
      <c r="K173" s="15">
        <f>SUM(J173/I173)</f>
        <v>4.0093338990241832E-2</v>
      </c>
      <c r="L173" s="13">
        <v>19645587</v>
      </c>
      <c r="M173" s="13" t="s">
        <v>852</v>
      </c>
      <c r="N173" s="13" t="s">
        <v>38</v>
      </c>
      <c r="O173" s="13" t="s">
        <v>39</v>
      </c>
      <c r="P173" s="12">
        <v>2</v>
      </c>
      <c r="Q173" s="12">
        <v>847662643</v>
      </c>
    </row>
    <row r="174" spans="1:17" ht="15.75" x14ac:dyDescent="0.25">
      <c r="A174" s="12">
        <v>2516</v>
      </c>
      <c r="B174" s="12">
        <v>57241</v>
      </c>
      <c r="C174" s="13" t="s">
        <v>332</v>
      </c>
      <c r="D174" s="13" t="s">
        <v>919</v>
      </c>
      <c r="E174" s="14">
        <v>45554</v>
      </c>
      <c r="F174" s="14">
        <v>45951</v>
      </c>
      <c r="G174" s="12">
        <v>13</v>
      </c>
      <c r="H174" s="10" t="s">
        <v>1057</v>
      </c>
      <c r="I174" s="13">
        <v>16.34</v>
      </c>
      <c r="J174" s="13">
        <v>0.65</v>
      </c>
      <c r="K174" s="15">
        <f>SUM(J174/I174)</f>
        <v>3.9779681762545899E-2</v>
      </c>
      <c r="L174" s="13">
        <v>19645587</v>
      </c>
      <c r="M174" s="13" t="s">
        <v>852</v>
      </c>
      <c r="N174" s="13" t="s">
        <v>38</v>
      </c>
      <c r="O174" s="13" t="s">
        <v>39</v>
      </c>
      <c r="P174" s="12">
        <v>2</v>
      </c>
      <c r="Q174" s="12">
        <v>847662643</v>
      </c>
    </row>
    <row r="175" spans="1:17" ht="15.75" x14ac:dyDescent="0.25">
      <c r="A175" s="12">
        <v>2516</v>
      </c>
      <c r="B175" s="12">
        <v>24955</v>
      </c>
      <c r="C175" s="13" t="s">
        <v>262</v>
      </c>
      <c r="D175" s="13" t="s">
        <v>879</v>
      </c>
      <c r="E175" s="14">
        <v>45520</v>
      </c>
      <c r="F175" s="14">
        <v>45950</v>
      </c>
      <c r="G175" s="12">
        <v>14</v>
      </c>
      <c r="H175" s="10" t="s">
        <v>1057</v>
      </c>
      <c r="I175" s="13">
        <v>38.54</v>
      </c>
      <c r="J175" s="13">
        <v>1.54</v>
      </c>
      <c r="K175" s="15">
        <f>SUM(J175/I175)</f>
        <v>3.9958484691229895E-2</v>
      </c>
      <c r="L175" s="13">
        <v>9079571</v>
      </c>
      <c r="M175" s="13" t="s">
        <v>853</v>
      </c>
      <c r="N175" s="13" t="s">
        <v>38</v>
      </c>
      <c r="O175" s="13" t="s">
        <v>39</v>
      </c>
      <c r="P175" s="12">
        <v>2</v>
      </c>
      <c r="Q175" s="12">
        <v>847644852</v>
      </c>
    </row>
    <row r="176" spans="1:17" ht="15.75" x14ac:dyDescent="0.25">
      <c r="A176" s="12">
        <v>2516</v>
      </c>
      <c r="B176" s="12">
        <v>24955</v>
      </c>
      <c r="C176" s="13" t="s">
        <v>262</v>
      </c>
      <c r="D176" s="13" t="s">
        <v>880</v>
      </c>
      <c r="E176" s="14">
        <v>45520</v>
      </c>
      <c r="F176" s="14">
        <v>45950</v>
      </c>
      <c r="G176" s="12">
        <v>14</v>
      </c>
      <c r="H176" s="10" t="s">
        <v>1057</v>
      </c>
      <c r="I176" s="13">
        <v>1.5</v>
      </c>
      <c r="J176" s="13">
        <v>0.06</v>
      </c>
      <c r="K176" s="15">
        <f>SUM(J176/I176)</f>
        <v>0.04</v>
      </c>
      <c r="L176" s="13">
        <v>9079571</v>
      </c>
      <c r="M176" s="13" t="s">
        <v>853</v>
      </c>
      <c r="N176" s="13" t="s">
        <v>38</v>
      </c>
      <c r="O176" s="13" t="s">
        <v>39</v>
      </c>
      <c r="P176" s="12">
        <v>2</v>
      </c>
      <c r="Q176" s="12">
        <v>847644852</v>
      </c>
    </row>
    <row r="177" spans="1:17" ht="15.75" x14ac:dyDescent="0.25">
      <c r="A177" s="12">
        <v>2516</v>
      </c>
      <c r="B177" s="12">
        <v>24948</v>
      </c>
      <c r="C177" s="13" t="s">
        <v>259</v>
      </c>
      <c r="D177" s="13" t="s">
        <v>877</v>
      </c>
      <c r="E177" s="14">
        <v>45520</v>
      </c>
      <c r="F177" s="14">
        <v>45950</v>
      </c>
      <c r="G177" s="12">
        <v>14</v>
      </c>
      <c r="H177" s="10" t="s">
        <v>1057</v>
      </c>
      <c r="I177" s="13">
        <v>77.08</v>
      </c>
      <c r="J177" s="13">
        <v>3.08</v>
      </c>
      <c r="K177" s="15">
        <f>SUM(J177/I177)</f>
        <v>3.9958484691229895E-2</v>
      </c>
      <c r="L177" s="13">
        <v>9079571</v>
      </c>
      <c r="M177" s="13" t="s">
        <v>853</v>
      </c>
      <c r="N177" s="13" t="s">
        <v>38</v>
      </c>
      <c r="O177" s="13" t="s">
        <v>39</v>
      </c>
      <c r="P177" s="12">
        <v>2</v>
      </c>
      <c r="Q177" s="12">
        <v>847644847</v>
      </c>
    </row>
    <row r="178" spans="1:17" ht="15.75" x14ac:dyDescent="0.25">
      <c r="A178" s="12">
        <v>2516</v>
      </c>
      <c r="B178" s="12">
        <v>24948</v>
      </c>
      <c r="C178" s="13" t="s">
        <v>259</v>
      </c>
      <c r="D178" s="13" t="s">
        <v>878</v>
      </c>
      <c r="E178" s="14">
        <v>45520</v>
      </c>
      <c r="F178" s="14">
        <v>45950</v>
      </c>
      <c r="G178" s="12">
        <v>14</v>
      </c>
      <c r="H178" s="10" t="s">
        <v>1057</v>
      </c>
      <c r="I178" s="13">
        <v>2.69</v>
      </c>
      <c r="J178" s="13">
        <v>0.11</v>
      </c>
      <c r="K178" s="15">
        <f>SUM(J178/I178)</f>
        <v>4.0892193308550186E-2</v>
      </c>
      <c r="L178" s="13">
        <v>9079571</v>
      </c>
      <c r="M178" s="13" t="s">
        <v>853</v>
      </c>
      <c r="N178" s="13" t="s">
        <v>38</v>
      </c>
      <c r="O178" s="13" t="s">
        <v>39</v>
      </c>
      <c r="P178" s="12">
        <v>2</v>
      </c>
      <c r="Q178" s="12">
        <v>847644847</v>
      </c>
    </row>
    <row r="179" spans="1:17" ht="15.75" x14ac:dyDescent="0.25">
      <c r="A179" s="12">
        <v>2516</v>
      </c>
      <c r="B179" s="12">
        <v>30562</v>
      </c>
      <c r="C179" s="13" t="s">
        <v>289</v>
      </c>
      <c r="D179" s="13" t="s">
        <v>895</v>
      </c>
      <c r="E179" s="14">
        <v>45526</v>
      </c>
      <c r="F179" s="14">
        <v>45954</v>
      </c>
      <c r="G179" s="12">
        <v>14</v>
      </c>
      <c r="H179" s="10" t="s">
        <v>1057</v>
      </c>
      <c r="I179" s="13">
        <v>46.59</v>
      </c>
      <c r="J179" s="13">
        <v>1.86</v>
      </c>
      <c r="K179" s="15">
        <f>SUM(J179/I179)</f>
        <v>3.9922730199613649E-2</v>
      </c>
      <c r="L179" s="13">
        <v>9079571</v>
      </c>
      <c r="M179" s="13" t="s">
        <v>853</v>
      </c>
      <c r="N179" s="13" t="s">
        <v>38</v>
      </c>
      <c r="O179" s="13" t="s">
        <v>39</v>
      </c>
      <c r="P179" s="12">
        <v>2</v>
      </c>
      <c r="Q179" s="12">
        <v>847647921</v>
      </c>
    </row>
    <row r="180" spans="1:17" ht="15.75" x14ac:dyDescent="0.25">
      <c r="A180" s="12">
        <v>2516</v>
      </c>
      <c r="B180" s="12">
        <v>30562</v>
      </c>
      <c r="C180" s="13" t="s">
        <v>289</v>
      </c>
      <c r="D180" s="13" t="s">
        <v>896</v>
      </c>
      <c r="E180" s="14">
        <v>45526</v>
      </c>
      <c r="F180" s="14">
        <v>45954</v>
      </c>
      <c r="G180" s="12">
        <v>14</v>
      </c>
      <c r="H180" s="10" t="s">
        <v>1057</v>
      </c>
      <c r="I180" s="13">
        <v>1.5</v>
      </c>
      <c r="J180" s="13">
        <v>0.06</v>
      </c>
      <c r="K180" s="15">
        <f>SUM(J180/I180)</f>
        <v>0.04</v>
      </c>
      <c r="L180" s="13">
        <v>9079571</v>
      </c>
      <c r="M180" s="13" t="s">
        <v>853</v>
      </c>
      <c r="N180" s="13" t="s">
        <v>38</v>
      </c>
      <c r="O180" s="13" t="s">
        <v>39</v>
      </c>
      <c r="P180" s="12">
        <v>2</v>
      </c>
      <c r="Q180" s="12">
        <v>847647921</v>
      </c>
    </row>
    <row r="181" spans="1:17" ht="15.75" x14ac:dyDescent="0.25">
      <c r="A181" s="12">
        <v>2516</v>
      </c>
      <c r="B181" s="12">
        <v>30652</v>
      </c>
      <c r="C181" s="13" t="s">
        <v>293</v>
      </c>
      <c r="D181" s="13" t="s">
        <v>897</v>
      </c>
      <c r="E181" s="14">
        <v>45526</v>
      </c>
      <c r="F181" s="14">
        <v>45954</v>
      </c>
      <c r="G181" s="12">
        <v>14</v>
      </c>
      <c r="H181" s="10" t="s">
        <v>1057</v>
      </c>
      <c r="I181" s="13">
        <v>100.3</v>
      </c>
      <c r="J181" s="13">
        <v>4.01</v>
      </c>
      <c r="K181" s="15">
        <f>SUM(J181/I181)</f>
        <v>3.9980059820538386E-2</v>
      </c>
      <c r="L181" s="13">
        <v>17425766</v>
      </c>
      <c r="M181" s="13" t="s">
        <v>834</v>
      </c>
      <c r="N181" s="13" t="s">
        <v>38</v>
      </c>
      <c r="O181" s="13" t="s">
        <v>39</v>
      </c>
      <c r="P181" s="12">
        <v>2</v>
      </c>
      <c r="Q181" s="12">
        <v>847647973</v>
      </c>
    </row>
    <row r="182" spans="1:17" ht="15.75" x14ac:dyDescent="0.25">
      <c r="A182" s="12">
        <v>2516</v>
      </c>
      <c r="B182" s="12">
        <v>30652</v>
      </c>
      <c r="C182" s="13" t="s">
        <v>293</v>
      </c>
      <c r="D182" s="13" t="s">
        <v>898</v>
      </c>
      <c r="E182" s="14">
        <v>45526</v>
      </c>
      <c r="F182" s="14">
        <v>45954</v>
      </c>
      <c r="G182" s="12">
        <v>14</v>
      </c>
      <c r="H182" s="10" t="s">
        <v>1057</v>
      </c>
      <c r="I182" s="13">
        <v>2.69</v>
      </c>
      <c r="J182" s="13">
        <v>0.11</v>
      </c>
      <c r="K182" s="15">
        <f>SUM(J182/I182)</f>
        <v>4.0892193308550186E-2</v>
      </c>
      <c r="L182" s="13">
        <v>17425766</v>
      </c>
      <c r="M182" s="13" t="s">
        <v>834</v>
      </c>
      <c r="N182" s="13" t="s">
        <v>38</v>
      </c>
      <c r="O182" s="13" t="s">
        <v>39</v>
      </c>
      <c r="P182" s="12">
        <v>2</v>
      </c>
      <c r="Q182" s="12">
        <v>847647973</v>
      </c>
    </row>
    <row r="183" spans="1:17" ht="15.75" x14ac:dyDescent="0.25">
      <c r="A183" s="12">
        <v>2516</v>
      </c>
      <c r="B183" s="12">
        <v>24264</v>
      </c>
      <c r="C183" s="13" t="s">
        <v>252</v>
      </c>
      <c r="D183" s="13" t="s">
        <v>881</v>
      </c>
      <c r="E183" s="14">
        <v>45520</v>
      </c>
      <c r="F183" s="14">
        <v>45950</v>
      </c>
      <c r="G183" s="12">
        <v>14</v>
      </c>
      <c r="H183" s="10" t="s">
        <v>1057</v>
      </c>
      <c r="I183" s="13">
        <v>41.17</v>
      </c>
      <c r="J183" s="13">
        <v>1.65</v>
      </c>
      <c r="K183" s="15">
        <f>SUM(J183/I183)</f>
        <v>4.0077726499878549E-2</v>
      </c>
      <c r="L183" s="13">
        <v>19681796</v>
      </c>
      <c r="M183" s="13" t="s">
        <v>858</v>
      </c>
      <c r="N183" s="13" t="s">
        <v>38</v>
      </c>
      <c r="O183" s="13" t="s">
        <v>39</v>
      </c>
      <c r="P183" s="12">
        <v>2</v>
      </c>
      <c r="Q183" s="12">
        <v>847644465</v>
      </c>
    </row>
    <row r="184" spans="1:17" ht="15.75" x14ac:dyDescent="0.25">
      <c r="A184" s="12">
        <v>2516</v>
      </c>
      <c r="B184" s="12">
        <v>24265</v>
      </c>
      <c r="C184" s="13" t="s">
        <v>252</v>
      </c>
      <c r="D184" s="13" t="s">
        <v>882</v>
      </c>
      <c r="E184" s="14">
        <v>45520</v>
      </c>
      <c r="F184" s="14">
        <v>45950</v>
      </c>
      <c r="G184" s="12">
        <v>14</v>
      </c>
      <c r="H184" s="10" t="s">
        <v>1057</v>
      </c>
      <c r="I184" s="13">
        <v>16.34</v>
      </c>
      <c r="J184" s="13">
        <v>0.65</v>
      </c>
      <c r="K184" s="15">
        <f>SUM(J184/I184)</f>
        <v>3.9779681762545899E-2</v>
      </c>
      <c r="L184" s="13">
        <v>19681796</v>
      </c>
      <c r="M184" s="13" t="s">
        <v>858</v>
      </c>
      <c r="N184" s="13" t="s">
        <v>38</v>
      </c>
      <c r="O184" s="13" t="s">
        <v>39</v>
      </c>
      <c r="P184" s="12">
        <v>2</v>
      </c>
      <c r="Q184" s="12">
        <v>847644465</v>
      </c>
    </row>
    <row r="185" spans="1:17" ht="15.75" x14ac:dyDescent="0.25">
      <c r="A185" s="12">
        <v>2516</v>
      </c>
      <c r="B185" s="12">
        <v>26232</v>
      </c>
      <c r="C185" s="13" t="s">
        <v>271</v>
      </c>
      <c r="D185" s="13" t="s">
        <v>883</v>
      </c>
      <c r="E185" s="14">
        <v>45521</v>
      </c>
      <c r="F185" s="14">
        <v>45952</v>
      </c>
      <c r="G185" s="12">
        <v>14</v>
      </c>
      <c r="H185" s="10" t="s">
        <v>1057</v>
      </c>
      <c r="I185" s="13">
        <v>23.51</v>
      </c>
      <c r="J185" s="13">
        <v>0.94</v>
      </c>
      <c r="K185" s="15">
        <f>SUM(J185/I185)</f>
        <v>3.9982985963419815E-2</v>
      </c>
      <c r="L185" s="13">
        <v>19681796</v>
      </c>
      <c r="M185" s="13" t="s">
        <v>858</v>
      </c>
      <c r="N185" s="13" t="s">
        <v>38</v>
      </c>
      <c r="O185" s="13" t="s">
        <v>39</v>
      </c>
      <c r="P185" s="12">
        <v>2</v>
      </c>
      <c r="Q185" s="12">
        <v>847645555</v>
      </c>
    </row>
    <row r="186" spans="1:17" ht="15.75" x14ac:dyDescent="0.25">
      <c r="A186" s="12">
        <v>2516</v>
      </c>
      <c r="B186" s="12">
        <v>26233</v>
      </c>
      <c r="C186" s="13" t="s">
        <v>271</v>
      </c>
      <c r="D186" s="13" t="s">
        <v>884</v>
      </c>
      <c r="E186" s="14">
        <v>45521</v>
      </c>
      <c r="F186" s="14">
        <v>45952</v>
      </c>
      <c r="G186" s="12">
        <v>14</v>
      </c>
      <c r="H186" s="10" t="s">
        <v>1057</v>
      </c>
      <c r="I186" s="13">
        <v>16.34</v>
      </c>
      <c r="J186" s="13">
        <v>0.65</v>
      </c>
      <c r="K186" s="15">
        <f>SUM(J186/I186)</f>
        <v>3.9779681762545899E-2</v>
      </c>
      <c r="L186" s="13">
        <v>19681796</v>
      </c>
      <c r="M186" s="13" t="s">
        <v>858</v>
      </c>
      <c r="N186" s="13" t="s">
        <v>38</v>
      </c>
      <c r="O186" s="13" t="s">
        <v>39</v>
      </c>
      <c r="P186" s="12">
        <v>2</v>
      </c>
      <c r="Q186" s="12">
        <v>847645555</v>
      </c>
    </row>
    <row r="187" spans="1:17" ht="15.75" x14ac:dyDescent="0.25">
      <c r="A187" s="12">
        <v>2516</v>
      </c>
      <c r="B187" s="12">
        <v>27525</v>
      </c>
      <c r="C187" s="13" t="s">
        <v>282</v>
      </c>
      <c r="D187" s="13" t="s">
        <v>889</v>
      </c>
      <c r="E187" s="14">
        <v>45524</v>
      </c>
      <c r="F187" s="14">
        <v>45952</v>
      </c>
      <c r="G187" s="12">
        <v>14</v>
      </c>
      <c r="H187" s="10" t="s">
        <v>1057</v>
      </c>
      <c r="I187" s="13">
        <v>45.59</v>
      </c>
      <c r="J187" s="13">
        <v>1.82</v>
      </c>
      <c r="K187" s="15">
        <f>SUM(J187/I187)</f>
        <v>3.9921035314762009E-2</v>
      </c>
      <c r="L187" s="13">
        <v>19681796</v>
      </c>
      <c r="M187" s="13" t="s">
        <v>858</v>
      </c>
      <c r="N187" s="13" t="s">
        <v>38</v>
      </c>
      <c r="O187" s="13" t="s">
        <v>39</v>
      </c>
      <c r="P187" s="12">
        <v>2</v>
      </c>
      <c r="Q187" s="12">
        <v>847646270</v>
      </c>
    </row>
    <row r="188" spans="1:17" ht="15.75" x14ac:dyDescent="0.25">
      <c r="A188" s="12">
        <v>2516</v>
      </c>
      <c r="B188" s="12">
        <v>27525</v>
      </c>
      <c r="C188" s="13" t="s">
        <v>282</v>
      </c>
      <c r="D188" s="13" t="s">
        <v>890</v>
      </c>
      <c r="E188" s="14">
        <v>45524</v>
      </c>
      <c r="F188" s="14">
        <v>45952</v>
      </c>
      <c r="G188" s="12">
        <v>14</v>
      </c>
      <c r="H188" s="10" t="s">
        <v>1057</v>
      </c>
      <c r="I188" s="13">
        <v>1.5</v>
      </c>
      <c r="J188" s="13">
        <v>0.06</v>
      </c>
      <c r="K188" s="15">
        <f>SUM(J188/I188)</f>
        <v>0.04</v>
      </c>
      <c r="L188" s="13">
        <v>19681796</v>
      </c>
      <c r="M188" s="13" t="s">
        <v>858</v>
      </c>
      <c r="N188" s="13" t="s">
        <v>38</v>
      </c>
      <c r="O188" s="13" t="s">
        <v>39</v>
      </c>
      <c r="P188" s="12">
        <v>2</v>
      </c>
      <c r="Q188" s="12">
        <v>847646270</v>
      </c>
    </row>
    <row r="189" spans="1:17" ht="15.75" x14ac:dyDescent="0.25">
      <c r="A189" s="12">
        <v>2516</v>
      </c>
      <c r="B189" s="12">
        <v>27517</v>
      </c>
      <c r="C189" s="13" t="s">
        <v>278</v>
      </c>
      <c r="D189" s="13" t="s">
        <v>891</v>
      </c>
      <c r="E189" s="14">
        <v>45524</v>
      </c>
      <c r="F189" s="14">
        <v>45952</v>
      </c>
      <c r="G189" s="12">
        <v>14</v>
      </c>
      <c r="H189" s="10" t="s">
        <v>1057</v>
      </c>
      <c r="I189" s="13">
        <v>42.35</v>
      </c>
      <c r="J189" s="13">
        <v>1.69</v>
      </c>
      <c r="K189" s="15">
        <f>SUM(J189/I189)</f>
        <v>3.9905548996458082E-2</v>
      </c>
      <c r="L189" s="13">
        <v>19279958</v>
      </c>
      <c r="M189" s="13" t="s">
        <v>840</v>
      </c>
      <c r="N189" s="13" t="s">
        <v>38</v>
      </c>
      <c r="O189" s="13" t="s">
        <v>39</v>
      </c>
      <c r="P189" s="12">
        <v>2</v>
      </c>
      <c r="Q189" s="12">
        <v>847646265</v>
      </c>
    </row>
    <row r="190" spans="1:17" ht="15.75" x14ac:dyDescent="0.25">
      <c r="A190" s="12">
        <v>2516</v>
      </c>
      <c r="B190" s="12">
        <v>27517</v>
      </c>
      <c r="C190" s="13" t="s">
        <v>278</v>
      </c>
      <c r="D190" s="13" t="s">
        <v>892</v>
      </c>
      <c r="E190" s="14">
        <v>45524</v>
      </c>
      <c r="F190" s="14">
        <v>45952</v>
      </c>
      <c r="G190" s="12">
        <v>14</v>
      </c>
      <c r="H190" s="10" t="s">
        <v>1057</v>
      </c>
      <c r="I190" s="13">
        <v>1.5</v>
      </c>
      <c r="J190" s="13">
        <v>0.06</v>
      </c>
      <c r="K190" s="15">
        <f>SUM(J190/I190)</f>
        <v>0.04</v>
      </c>
      <c r="L190" s="13">
        <v>19279958</v>
      </c>
      <c r="M190" s="13" t="s">
        <v>840</v>
      </c>
      <c r="N190" s="13" t="s">
        <v>38</v>
      </c>
      <c r="O190" s="13" t="s">
        <v>39</v>
      </c>
      <c r="P190" s="12">
        <v>2</v>
      </c>
      <c r="Q190" s="12">
        <v>847646265</v>
      </c>
    </row>
    <row r="191" spans="1:17" ht="15.75" x14ac:dyDescent="0.25">
      <c r="A191" s="12">
        <v>2516</v>
      </c>
      <c r="B191" s="12">
        <v>26071</v>
      </c>
      <c r="C191" s="13" t="s">
        <v>265</v>
      </c>
      <c r="D191" s="13" t="s">
        <v>885</v>
      </c>
      <c r="E191" s="14">
        <v>45521</v>
      </c>
      <c r="F191" s="14">
        <v>45950</v>
      </c>
      <c r="G191" s="12">
        <v>14</v>
      </c>
      <c r="H191" s="10" t="s">
        <v>1057</v>
      </c>
      <c r="I191" s="13">
        <v>93.17</v>
      </c>
      <c r="J191" s="13">
        <v>3.72</v>
      </c>
      <c r="K191" s="15">
        <f>SUM(J191/I191)</f>
        <v>3.9927015133626703E-2</v>
      </c>
      <c r="L191" s="13">
        <v>5442438</v>
      </c>
      <c r="M191" s="13" t="s">
        <v>847</v>
      </c>
      <c r="N191" s="13" t="s">
        <v>38</v>
      </c>
      <c r="O191" s="13" t="s">
        <v>39</v>
      </c>
      <c r="P191" s="12">
        <v>2</v>
      </c>
      <c r="Q191" s="12">
        <v>847645466</v>
      </c>
    </row>
    <row r="192" spans="1:17" ht="15.75" x14ac:dyDescent="0.25">
      <c r="A192" s="12">
        <v>2516</v>
      </c>
      <c r="B192" s="12">
        <v>26071</v>
      </c>
      <c r="C192" s="13" t="s">
        <v>265</v>
      </c>
      <c r="D192" s="13" t="s">
        <v>886</v>
      </c>
      <c r="E192" s="14">
        <v>45521</v>
      </c>
      <c r="F192" s="14">
        <v>45950</v>
      </c>
      <c r="G192" s="12">
        <v>14</v>
      </c>
      <c r="H192" s="10" t="s">
        <v>1057</v>
      </c>
      <c r="I192" s="13">
        <v>2.69</v>
      </c>
      <c r="J192" s="13">
        <v>0.11</v>
      </c>
      <c r="K192" s="15">
        <f>SUM(J192/I192)</f>
        <v>4.0892193308550186E-2</v>
      </c>
      <c r="L192" s="13">
        <v>5442438</v>
      </c>
      <c r="M192" s="13" t="s">
        <v>847</v>
      </c>
      <c r="N192" s="13" t="s">
        <v>38</v>
      </c>
      <c r="O192" s="13" t="s">
        <v>39</v>
      </c>
      <c r="P192" s="12">
        <v>2</v>
      </c>
      <c r="Q192" s="12">
        <v>847645466</v>
      </c>
    </row>
    <row r="193" spans="1:17" ht="15.75" x14ac:dyDescent="0.25">
      <c r="A193" s="12">
        <v>2516</v>
      </c>
      <c r="B193" s="12">
        <v>29087</v>
      </c>
      <c r="C193" s="13" t="s">
        <v>285</v>
      </c>
      <c r="D193" s="13" t="s">
        <v>893</v>
      </c>
      <c r="E193" s="14">
        <v>45525</v>
      </c>
      <c r="F193" s="14">
        <v>45953</v>
      </c>
      <c r="G193" s="12">
        <v>14</v>
      </c>
      <c r="H193" s="10" t="s">
        <v>1057</v>
      </c>
      <c r="I193" s="13">
        <v>46.59</v>
      </c>
      <c r="J193" s="13">
        <v>1.86</v>
      </c>
      <c r="K193" s="15">
        <f>SUM(J193/I193)</f>
        <v>3.9922730199613649E-2</v>
      </c>
      <c r="L193" s="13">
        <v>5442438</v>
      </c>
      <c r="M193" s="13" t="s">
        <v>847</v>
      </c>
      <c r="N193" s="13" t="s">
        <v>38</v>
      </c>
      <c r="O193" s="13" t="s">
        <v>39</v>
      </c>
      <c r="P193" s="12">
        <v>2</v>
      </c>
      <c r="Q193" s="12">
        <v>847647110</v>
      </c>
    </row>
    <row r="194" spans="1:17" ht="15.75" x14ac:dyDescent="0.25">
      <c r="A194" s="12">
        <v>2516</v>
      </c>
      <c r="B194" s="12">
        <v>29087</v>
      </c>
      <c r="C194" s="13" t="s">
        <v>285</v>
      </c>
      <c r="D194" s="13" t="s">
        <v>894</v>
      </c>
      <c r="E194" s="14">
        <v>45525</v>
      </c>
      <c r="F194" s="14">
        <v>45953</v>
      </c>
      <c r="G194" s="12">
        <v>14</v>
      </c>
      <c r="H194" s="10" t="s">
        <v>1057</v>
      </c>
      <c r="I194" s="13">
        <v>1.5</v>
      </c>
      <c r="J194" s="13">
        <v>0.06</v>
      </c>
      <c r="K194" s="15">
        <f>SUM(J194/I194)</f>
        <v>0.04</v>
      </c>
      <c r="L194" s="13">
        <v>5442438</v>
      </c>
      <c r="M194" s="13" t="s">
        <v>847</v>
      </c>
      <c r="N194" s="13" t="s">
        <v>38</v>
      </c>
      <c r="O194" s="13" t="s">
        <v>39</v>
      </c>
      <c r="P194" s="12">
        <v>2</v>
      </c>
      <c r="Q194" s="12">
        <v>847647110</v>
      </c>
    </row>
    <row r="195" spans="1:17" ht="15.75" x14ac:dyDescent="0.25">
      <c r="A195" s="12">
        <v>2516</v>
      </c>
      <c r="B195" s="12">
        <v>26309</v>
      </c>
      <c r="C195" s="13" t="s">
        <v>275</v>
      </c>
      <c r="D195" s="13" t="s">
        <v>887</v>
      </c>
      <c r="E195" s="14">
        <v>45521</v>
      </c>
      <c r="F195" s="14">
        <v>45950</v>
      </c>
      <c r="G195" s="12">
        <v>14</v>
      </c>
      <c r="H195" s="10" t="s">
        <v>1057</v>
      </c>
      <c r="I195" s="13">
        <v>51.24</v>
      </c>
      <c r="J195" s="13">
        <v>2.0499999999999998</v>
      </c>
      <c r="K195" s="15">
        <f>SUM(J195/I195)</f>
        <v>4.000780640124902E-2</v>
      </c>
      <c r="L195" s="13">
        <v>16202925</v>
      </c>
      <c r="M195" s="13" t="s">
        <v>842</v>
      </c>
      <c r="N195" s="13" t="s">
        <v>38</v>
      </c>
      <c r="O195" s="13" t="s">
        <v>39</v>
      </c>
      <c r="P195" s="12">
        <v>2</v>
      </c>
      <c r="Q195" s="12">
        <v>847645605</v>
      </c>
    </row>
    <row r="196" spans="1:17" ht="15.75" x14ac:dyDescent="0.25">
      <c r="A196" s="12">
        <v>2516</v>
      </c>
      <c r="B196" s="12">
        <v>26309</v>
      </c>
      <c r="C196" s="13" t="s">
        <v>275</v>
      </c>
      <c r="D196" s="13" t="s">
        <v>888</v>
      </c>
      <c r="E196" s="14">
        <v>45521</v>
      </c>
      <c r="F196" s="14">
        <v>45950</v>
      </c>
      <c r="G196" s="12">
        <v>14</v>
      </c>
      <c r="H196" s="10" t="s">
        <v>1057</v>
      </c>
      <c r="I196" s="13">
        <v>1.5</v>
      </c>
      <c r="J196" s="13">
        <v>0.06</v>
      </c>
      <c r="K196" s="15">
        <f>SUM(J196/I196)</f>
        <v>0.04</v>
      </c>
      <c r="L196" s="13">
        <v>16202925</v>
      </c>
      <c r="M196" s="13" t="s">
        <v>842</v>
      </c>
      <c r="N196" s="13" t="s">
        <v>38</v>
      </c>
      <c r="O196" s="13" t="s">
        <v>39</v>
      </c>
      <c r="P196" s="12">
        <v>2</v>
      </c>
      <c r="Q196" s="12">
        <v>847645605</v>
      </c>
    </row>
    <row r="197" spans="1:17" ht="15.75" x14ac:dyDescent="0.25">
      <c r="A197" s="12">
        <v>2515</v>
      </c>
      <c r="B197" s="12">
        <v>95902</v>
      </c>
      <c r="C197" s="13" t="s">
        <v>235</v>
      </c>
      <c r="D197" s="13" t="s">
        <v>869</v>
      </c>
      <c r="E197" s="14">
        <v>45491</v>
      </c>
      <c r="F197" s="14">
        <v>45950</v>
      </c>
      <c r="G197" s="12">
        <v>15</v>
      </c>
      <c r="H197" s="10" t="s">
        <v>1057</v>
      </c>
      <c r="I197" s="13">
        <v>93.17</v>
      </c>
      <c r="J197" s="13">
        <v>3.72</v>
      </c>
      <c r="K197" s="15">
        <f>SUM(J197/I197)</f>
        <v>3.9927015133626703E-2</v>
      </c>
      <c r="L197" s="13">
        <v>9079571</v>
      </c>
      <c r="M197" s="13" t="s">
        <v>853</v>
      </c>
      <c r="N197" s="13" t="s">
        <v>38</v>
      </c>
      <c r="O197" s="13" t="s">
        <v>39</v>
      </c>
      <c r="P197" s="12">
        <v>2</v>
      </c>
      <c r="Q197" s="12">
        <v>847628881</v>
      </c>
    </row>
    <row r="198" spans="1:17" ht="15.75" x14ac:dyDescent="0.25">
      <c r="A198" s="12">
        <v>2515</v>
      </c>
      <c r="B198" s="12">
        <v>95902</v>
      </c>
      <c r="C198" s="13" t="s">
        <v>235</v>
      </c>
      <c r="D198" s="13" t="s">
        <v>870</v>
      </c>
      <c r="E198" s="14">
        <v>45491</v>
      </c>
      <c r="F198" s="14">
        <v>45950</v>
      </c>
      <c r="G198" s="12">
        <v>15</v>
      </c>
      <c r="H198" s="10" t="s">
        <v>1057</v>
      </c>
      <c r="I198" s="13">
        <v>2.69</v>
      </c>
      <c r="J198" s="13">
        <v>0.11</v>
      </c>
      <c r="K198" s="15">
        <f>SUM(J198/I198)</f>
        <v>4.0892193308550186E-2</v>
      </c>
      <c r="L198" s="13">
        <v>9079571</v>
      </c>
      <c r="M198" s="13" t="s">
        <v>853</v>
      </c>
      <c r="N198" s="13" t="s">
        <v>38</v>
      </c>
      <c r="O198" s="13" t="s">
        <v>39</v>
      </c>
      <c r="P198" s="12">
        <v>2</v>
      </c>
      <c r="Q198" s="12">
        <v>847628881</v>
      </c>
    </row>
    <row r="199" spans="1:17" ht="15.75" x14ac:dyDescent="0.25">
      <c r="A199" s="12">
        <v>2515</v>
      </c>
      <c r="B199" s="12">
        <v>92438</v>
      </c>
      <c r="C199" s="13" t="s">
        <v>225</v>
      </c>
      <c r="D199" s="13" t="s">
        <v>868</v>
      </c>
      <c r="E199" s="14">
        <v>45489</v>
      </c>
      <c r="F199" s="14">
        <v>45950</v>
      </c>
      <c r="G199" s="12">
        <v>15</v>
      </c>
      <c r="H199" s="10" t="s">
        <v>1057</v>
      </c>
      <c r="I199" s="13">
        <v>72.59</v>
      </c>
      <c r="J199" s="13">
        <v>2.9</v>
      </c>
      <c r="K199" s="15">
        <f>SUM(J199/I199)</f>
        <v>3.995040639206502E-2</v>
      </c>
      <c r="L199" s="13">
        <v>17528908</v>
      </c>
      <c r="M199" s="13" t="s">
        <v>839</v>
      </c>
      <c r="N199" s="13" t="s">
        <v>38</v>
      </c>
      <c r="O199" s="13" t="s">
        <v>39</v>
      </c>
      <c r="P199" s="12">
        <v>2</v>
      </c>
      <c r="Q199" s="12">
        <v>847626851</v>
      </c>
    </row>
    <row r="200" spans="1:17" ht="15.75" x14ac:dyDescent="0.25">
      <c r="A200" s="12">
        <v>2515</v>
      </c>
      <c r="B200" s="12">
        <v>92438</v>
      </c>
      <c r="C200" s="13" t="s">
        <v>225</v>
      </c>
      <c r="D200" s="13" t="s">
        <v>868</v>
      </c>
      <c r="E200" s="14">
        <v>45489</v>
      </c>
      <c r="F200" s="14">
        <v>45950</v>
      </c>
      <c r="G200" s="12">
        <v>15</v>
      </c>
      <c r="H200" s="10" t="s">
        <v>1057</v>
      </c>
      <c r="I200" s="13">
        <v>2.69</v>
      </c>
      <c r="J200" s="13">
        <v>0.11</v>
      </c>
      <c r="K200" s="15">
        <f>SUM(J200/I200)</f>
        <v>4.0892193308550186E-2</v>
      </c>
      <c r="L200" s="13">
        <v>17528908</v>
      </c>
      <c r="M200" s="13" t="s">
        <v>839</v>
      </c>
      <c r="N200" s="13" t="s">
        <v>38</v>
      </c>
      <c r="O200" s="13" t="s">
        <v>39</v>
      </c>
      <c r="P200" s="12">
        <v>2</v>
      </c>
      <c r="Q200" s="12">
        <v>847626851</v>
      </c>
    </row>
    <row r="201" spans="1:17" ht="15.75" x14ac:dyDescent="0.25">
      <c r="A201" s="12">
        <v>2515</v>
      </c>
      <c r="B201" s="12">
        <v>96093</v>
      </c>
      <c r="C201" s="13" t="s">
        <v>244</v>
      </c>
      <c r="D201" s="13" t="s">
        <v>871</v>
      </c>
      <c r="E201" s="14">
        <v>45491</v>
      </c>
      <c r="F201" s="14">
        <v>45950</v>
      </c>
      <c r="G201" s="12">
        <v>15</v>
      </c>
      <c r="H201" s="10" t="s">
        <v>1057</v>
      </c>
      <c r="I201" s="13">
        <v>36.29</v>
      </c>
      <c r="J201" s="13">
        <v>1.45</v>
      </c>
      <c r="K201" s="15">
        <f>SUM(J201/I201)</f>
        <v>3.9955910719206393E-2</v>
      </c>
      <c r="L201" s="13">
        <v>17528908</v>
      </c>
      <c r="M201" s="13" t="s">
        <v>839</v>
      </c>
      <c r="N201" s="13" t="s">
        <v>38</v>
      </c>
      <c r="O201" s="13" t="s">
        <v>39</v>
      </c>
      <c r="P201" s="12">
        <v>2</v>
      </c>
      <c r="Q201" s="12">
        <v>847628991</v>
      </c>
    </row>
    <row r="202" spans="1:17" ht="15.75" x14ac:dyDescent="0.25">
      <c r="A202" s="12">
        <v>2515</v>
      </c>
      <c r="B202" s="12">
        <v>96093</v>
      </c>
      <c r="C202" s="13" t="s">
        <v>244</v>
      </c>
      <c r="D202" s="13" t="s">
        <v>872</v>
      </c>
      <c r="E202" s="14">
        <v>45491</v>
      </c>
      <c r="F202" s="14">
        <v>45950</v>
      </c>
      <c r="G202" s="12">
        <v>15</v>
      </c>
      <c r="H202" s="10" t="s">
        <v>1057</v>
      </c>
      <c r="I202" s="13">
        <v>1.5</v>
      </c>
      <c r="J202" s="13">
        <v>0.06</v>
      </c>
      <c r="K202" s="15">
        <f>SUM(J202/I202)</f>
        <v>0.04</v>
      </c>
      <c r="L202" s="13">
        <v>17528908</v>
      </c>
      <c r="M202" s="13" t="s">
        <v>839</v>
      </c>
      <c r="N202" s="13" t="s">
        <v>38</v>
      </c>
      <c r="O202" s="13" t="s">
        <v>39</v>
      </c>
      <c r="P202" s="12">
        <v>2</v>
      </c>
      <c r="Q202" s="12">
        <v>847628991</v>
      </c>
    </row>
    <row r="203" spans="1:17" ht="15.75" x14ac:dyDescent="0.25">
      <c r="A203" s="12">
        <v>2515</v>
      </c>
      <c r="B203" s="12">
        <v>96106</v>
      </c>
      <c r="C203" s="13" t="s">
        <v>247</v>
      </c>
      <c r="D203" s="13" t="s">
        <v>873</v>
      </c>
      <c r="E203" s="14">
        <v>45491</v>
      </c>
      <c r="F203" s="14">
        <v>45950</v>
      </c>
      <c r="G203" s="12">
        <v>15</v>
      </c>
      <c r="H203" s="10" t="s">
        <v>1057</v>
      </c>
      <c r="I203" s="13">
        <v>36.29</v>
      </c>
      <c r="J203" s="13">
        <v>1.45</v>
      </c>
      <c r="K203" s="15">
        <f>SUM(J203/I203)</f>
        <v>3.9955910719206393E-2</v>
      </c>
      <c r="L203" s="13">
        <v>17528908</v>
      </c>
      <c r="M203" s="13" t="s">
        <v>839</v>
      </c>
      <c r="N203" s="13" t="s">
        <v>38</v>
      </c>
      <c r="O203" s="13" t="s">
        <v>39</v>
      </c>
      <c r="P203" s="12">
        <v>2</v>
      </c>
      <c r="Q203" s="12">
        <v>847628999</v>
      </c>
    </row>
    <row r="204" spans="1:17" ht="15.75" x14ac:dyDescent="0.25">
      <c r="A204" s="12">
        <v>2515</v>
      </c>
      <c r="B204" s="12">
        <v>96106</v>
      </c>
      <c r="C204" s="13" t="s">
        <v>247</v>
      </c>
      <c r="D204" s="13" t="s">
        <v>874</v>
      </c>
      <c r="E204" s="14">
        <v>45491</v>
      </c>
      <c r="F204" s="14">
        <v>45950</v>
      </c>
      <c r="G204" s="12">
        <v>15</v>
      </c>
      <c r="H204" s="10" t="s">
        <v>1057</v>
      </c>
      <c r="I204" s="13">
        <v>1.5</v>
      </c>
      <c r="J204" s="13">
        <v>0.06</v>
      </c>
      <c r="K204" s="15">
        <f>SUM(J204/I204)</f>
        <v>0.04</v>
      </c>
      <c r="L204" s="13">
        <v>17528908</v>
      </c>
      <c r="M204" s="13" t="s">
        <v>839</v>
      </c>
      <c r="N204" s="13" t="s">
        <v>38</v>
      </c>
      <c r="O204" s="13" t="s">
        <v>39</v>
      </c>
      <c r="P204" s="12">
        <v>2</v>
      </c>
      <c r="Q204" s="12">
        <v>847628999</v>
      </c>
    </row>
    <row r="205" spans="1:17" ht="15.75" x14ac:dyDescent="0.25">
      <c r="A205" s="12">
        <v>2515</v>
      </c>
      <c r="B205" s="12">
        <v>96107</v>
      </c>
      <c r="C205" s="13" t="s">
        <v>247</v>
      </c>
      <c r="D205" s="13" t="s">
        <v>875</v>
      </c>
      <c r="E205" s="14">
        <v>45491</v>
      </c>
      <c r="F205" s="14">
        <v>45950</v>
      </c>
      <c r="G205" s="12">
        <v>15</v>
      </c>
      <c r="H205" s="10" t="s">
        <v>1057</v>
      </c>
      <c r="I205" s="13">
        <v>16.34</v>
      </c>
      <c r="J205" s="13">
        <v>0.65</v>
      </c>
      <c r="K205" s="15">
        <f>SUM(J205/I205)</f>
        <v>3.9779681762545899E-2</v>
      </c>
      <c r="L205" s="13">
        <v>17528908</v>
      </c>
      <c r="M205" s="13" t="s">
        <v>839</v>
      </c>
      <c r="N205" s="13" t="s">
        <v>38</v>
      </c>
      <c r="O205" s="13" t="s">
        <v>39</v>
      </c>
      <c r="P205" s="12">
        <v>2</v>
      </c>
      <c r="Q205" s="12">
        <v>847628999</v>
      </c>
    </row>
    <row r="206" spans="1:17" ht="15.75" x14ac:dyDescent="0.25">
      <c r="A206" s="12">
        <v>2515</v>
      </c>
      <c r="B206" s="12">
        <v>95988</v>
      </c>
      <c r="C206" s="13" t="s">
        <v>239</v>
      </c>
      <c r="D206" s="13" t="s">
        <v>876</v>
      </c>
      <c r="E206" s="14">
        <v>45491</v>
      </c>
      <c r="F206" s="14">
        <v>45950</v>
      </c>
      <c r="G206" s="12">
        <v>15</v>
      </c>
      <c r="H206" s="10" t="s">
        <v>1057</v>
      </c>
      <c r="I206" s="13">
        <v>37.43</v>
      </c>
      <c r="J206" s="13">
        <v>1.5</v>
      </c>
      <c r="K206" s="15">
        <f>SUM(J206/I206)</f>
        <v>4.0074806305102857E-2</v>
      </c>
      <c r="L206" s="13">
        <v>8244481</v>
      </c>
      <c r="M206" s="13" t="s">
        <v>833</v>
      </c>
      <c r="N206" s="13" t="s">
        <v>38</v>
      </c>
      <c r="O206" s="13" t="s">
        <v>39</v>
      </c>
      <c r="P206" s="12">
        <v>2</v>
      </c>
      <c r="Q206" s="12">
        <v>847628936</v>
      </c>
    </row>
    <row r="207" spans="1:17" ht="15.75" x14ac:dyDescent="0.25">
      <c r="A207" s="12">
        <v>2515</v>
      </c>
      <c r="B207" s="12">
        <v>94064</v>
      </c>
      <c r="C207" s="13" t="s">
        <v>229</v>
      </c>
      <c r="D207" s="13" t="s">
        <v>868</v>
      </c>
      <c r="E207" s="14">
        <v>45490</v>
      </c>
      <c r="F207" s="14">
        <v>45950</v>
      </c>
      <c r="G207" s="12">
        <v>15</v>
      </c>
      <c r="H207" s="10" t="s">
        <v>1057</v>
      </c>
      <c r="I207" s="13">
        <v>16.34</v>
      </c>
      <c r="J207" s="13">
        <v>0.65</v>
      </c>
      <c r="K207" s="15">
        <f>SUM(J207/I207)</f>
        <v>3.9779681762545899E-2</v>
      </c>
      <c r="L207" s="13">
        <v>16509456</v>
      </c>
      <c r="M207" s="13" t="s">
        <v>854</v>
      </c>
      <c r="N207" s="13" t="s">
        <v>38</v>
      </c>
      <c r="O207" s="13" t="s">
        <v>39</v>
      </c>
      <c r="P207" s="12">
        <v>2</v>
      </c>
      <c r="Q207" s="12">
        <v>847627827</v>
      </c>
    </row>
    <row r="208" spans="1:17" ht="15.75" x14ac:dyDescent="0.25">
      <c r="A208" s="12">
        <v>2515</v>
      </c>
      <c r="B208" s="12">
        <v>62368</v>
      </c>
      <c r="C208" s="13" t="s">
        <v>200</v>
      </c>
      <c r="D208" s="13" t="s">
        <v>868</v>
      </c>
      <c r="E208" s="14">
        <v>45461</v>
      </c>
      <c r="F208" s="14">
        <v>45950</v>
      </c>
      <c r="G208" s="12">
        <v>16</v>
      </c>
      <c r="H208" s="10" t="s">
        <v>1057</v>
      </c>
      <c r="I208" s="13">
        <v>44.03</v>
      </c>
      <c r="J208" s="13">
        <v>1.76</v>
      </c>
      <c r="K208" s="15">
        <f>SUM(J208/I208)</f>
        <v>3.9972745855098794E-2</v>
      </c>
      <c r="L208" s="13">
        <v>19278370</v>
      </c>
      <c r="M208" s="13" t="s">
        <v>841</v>
      </c>
      <c r="N208" s="13" t="s">
        <v>38</v>
      </c>
      <c r="O208" s="13" t="s">
        <v>39</v>
      </c>
      <c r="P208" s="12">
        <v>2</v>
      </c>
      <c r="Q208" s="12">
        <v>847609348</v>
      </c>
    </row>
    <row r="209" spans="1:17" ht="15.75" x14ac:dyDescent="0.25">
      <c r="A209" s="12">
        <v>2515</v>
      </c>
      <c r="B209" s="12">
        <v>62368</v>
      </c>
      <c r="C209" s="13" t="s">
        <v>200</v>
      </c>
      <c r="D209" s="13" t="s">
        <v>868</v>
      </c>
      <c r="E209" s="14">
        <v>45461</v>
      </c>
      <c r="F209" s="14">
        <v>45950</v>
      </c>
      <c r="G209" s="12">
        <v>16</v>
      </c>
      <c r="H209" s="10" t="s">
        <v>1057</v>
      </c>
      <c r="I209" s="13">
        <v>1.5</v>
      </c>
      <c r="J209" s="13">
        <v>0.06</v>
      </c>
      <c r="K209" s="15">
        <f>SUM(J209/I209)</f>
        <v>0.04</v>
      </c>
      <c r="L209" s="13">
        <v>19278370</v>
      </c>
      <c r="M209" s="13" t="s">
        <v>841</v>
      </c>
      <c r="N209" s="13" t="s">
        <v>38</v>
      </c>
      <c r="O209" s="13" t="s">
        <v>39</v>
      </c>
      <c r="P209" s="12">
        <v>2</v>
      </c>
      <c r="Q209" s="12">
        <v>847609348</v>
      </c>
    </row>
    <row r="210" spans="1:17" ht="15.75" x14ac:dyDescent="0.25">
      <c r="A210" s="12">
        <v>2515</v>
      </c>
      <c r="B210" s="12">
        <v>67671</v>
      </c>
      <c r="C210" s="13" t="s">
        <v>219</v>
      </c>
      <c r="D210" s="13" t="s">
        <v>868</v>
      </c>
      <c r="E210" s="14">
        <v>45465</v>
      </c>
      <c r="F210" s="14">
        <v>45954</v>
      </c>
      <c r="G210" s="12">
        <v>16</v>
      </c>
      <c r="H210" s="10" t="s">
        <v>1057</v>
      </c>
      <c r="I210" s="13">
        <v>36.29</v>
      </c>
      <c r="J210" s="13">
        <v>1.45</v>
      </c>
      <c r="K210" s="15">
        <f>SUM(J210/I210)</f>
        <v>3.9955910719206393E-2</v>
      </c>
      <c r="L210" s="13">
        <v>17528908</v>
      </c>
      <c r="M210" s="13" t="s">
        <v>839</v>
      </c>
      <c r="N210" s="13" t="s">
        <v>38</v>
      </c>
      <c r="O210" s="13" t="s">
        <v>39</v>
      </c>
      <c r="P210" s="12">
        <v>2</v>
      </c>
      <c r="Q210" s="12">
        <v>847612488</v>
      </c>
    </row>
    <row r="211" spans="1:17" ht="15.75" x14ac:dyDescent="0.25">
      <c r="A211" s="12">
        <v>2515</v>
      </c>
      <c r="B211" s="12">
        <v>67671</v>
      </c>
      <c r="C211" s="13" t="s">
        <v>219</v>
      </c>
      <c r="D211" s="13" t="s">
        <v>868</v>
      </c>
      <c r="E211" s="14">
        <v>45465</v>
      </c>
      <c r="F211" s="14">
        <v>45954</v>
      </c>
      <c r="G211" s="12">
        <v>16</v>
      </c>
      <c r="H211" s="10" t="s">
        <v>1057</v>
      </c>
      <c r="I211" s="13">
        <v>1.5</v>
      </c>
      <c r="J211" s="13">
        <v>0.06</v>
      </c>
      <c r="K211" s="15">
        <f>SUM(J211/I211)</f>
        <v>0.04</v>
      </c>
      <c r="L211" s="13">
        <v>17528908</v>
      </c>
      <c r="M211" s="13" t="s">
        <v>839</v>
      </c>
      <c r="N211" s="13" t="s">
        <v>38</v>
      </c>
      <c r="O211" s="13" t="s">
        <v>39</v>
      </c>
      <c r="P211" s="12">
        <v>2</v>
      </c>
      <c r="Q211" s="12">
        <v>847612488</v>
      </c>
    </row>
    <row r="212" spans="1:17" ht="15.75" x14ac:dyDescent="0.25">
      <c r="A212" s="12">
        <v>2515</v>
      </c>
      <c r="B212" s="12">
        <v>67672</v>
      </c>
      <c r="C212" s="13" t="s">
        <v>219</v>
      </c>
      <c r="D212" s="13" t="s">
        <v>868</v>
      </c>
      <c r="E212" s="14">
        <v>45465</v>
      </c>
      <c r="F212" s="14">
        <v>45954</v>
      </c>
      <c r="G212" s="12">
        <v>16</v>
      </c>
      <c r="H212" s="10" t="s">
        <v>1057</v>
      </c>
      <c r="I212" s="13">
        <v>16.34</v>
      </c>
      <c r="J212" s="13">
        <v>0.65</v>
      </c>
      <c r="K212" s="15">
        <f>SUM(J212/I212)</f>
        <v>3.9779681762545899E-2</v>
      </c>
      <c r="L212" s="13">
        <v>17528908</v>
      </c>
      <c r="M212" s="13" t="s">
        <v>839</v>
      </c>
      <c r="N212" s="13" t="s">
        <v>38</v>
      </c>
      <c r="O212" s="13" t="s">
        <v>39</v>
      </c>
      <c r="P212" s="12">
        <v>2</v>
      </c>
      <c r="Q212" s="12">
        <v>847612488</v>
      </c>
    </row>
    <row r="213" spans="1:17" ht="15.75" x14ac:dyDescent="0.25">
      <c r="A213" s="12">
        <v>2515</v>
      </c>
      <c r="B213" s="12">
        <v>65006</v>
      </c>
      <c r="C213" s="13" t="s">
        <v>208</v>
      </c>
      <c r="D213" s="13" t="s">
        <v>868</v>
      </c>
      <c r="E213" s="14">
        <v>45463</v>
      </c>
      <c r="F213" s="14">
        <v>45952</v>
      </c>
      <c r="G213" s="12">
        <v>16</v>
      </c>
      <c r="H213" s="10" t="s">
        <v>1057</v>
      </c>
      <c r="I213" s="13">
        <v>42.35</v>
      </c>
      <c r="J213" s="13">
        <v>1.69</v>
      </c>
      <c r="K213" s="15">
        <f>SUM(J213/I213)</f>
        <v>3.9905548996458082E-2</v>
      </c>
      <c r="L213" s="13">
        <v>19279958</v>
      </c>
      <c r="M213" s="13" t="s">
        <v>840</v>
      </c>
      <c r="N213" s="13" t="s">
        <v>38</v>
      </c>
      <c r="O213" s="13" t="s">
        <v>39</v>
      </c>
      <c r="P213" s="12">
        <v>2</v>
      </c>
      <c r="Q213" s="12">
        <v>847610925</v>
      </c>
    </row>
    <row r="214" spans="1:17" ht="15.75" x14ac:dyDescent="0.25">
      <c r="A214" s="12">
        <v>2515</v>
      </c>
      <c r="B214" s="12">
        <v>65006</v>
      </c>
      <c r="C214" s="13" t="s">
        <v>208</v>
      </c>
      <c r="D214" s="13" t="s">
        <v>868</v>
      </c>
      <c r="E214" s="14">
        <v>45463</v>
      </c>
      <c r="F214" s="14">
        <v>45952</v>
      </c>
      <c r="G214" s="12">
        <v>16</v>
      </c>
      <c r="H214" s="10" t="s">
        <v>1057</v>
      </c>
      <c r="I214" s="13">
        <v>1.5</v>
      </c>
      <c r="J214" s="13">
        <v>0.06</v>
      </c>
      <c r="K214" s="15">
        <f>SUM(J214/I214)</f>
        <v>0.04</v>
      </c>
      <c r="L214" s="13">
        <v>19279958</v>
      </c>
      <c r="M214" s="13" t="s">
        <v>840</v>
      </c>
      <c r="N214" s="13" t="s">
        <v>38</v>
      </c>
      <c r="O214" s="13" t="s">
        <v>39</v>
      </c>
      <c r="P214" s="12">
        <v>2</v>
      </c>
      <c r="Q214" s="12">
        <v>847610925</v>
      </c>
    </row>
    <row r="215" spans="1:17" ht="15.75" x14ac:dyDescent="0.25">
      <c r="A215" s="12">
        <v>2515</v>
      </c>
      <c r="B215" s="12">
        <v>66345</v>
      </c>
      <c r="C215" s="13" t="s">
        <v>213</v>
      </c>
      <c r="D215" s="13" t="s">
        <v>868</v>
      </c>
      <c r="E215" s="14">
        <v>45464</v>
      </c>
      <c r="F215" s="14">
        <v>45953</v>
      </c>
      <c r="G215" s="12">
        <v>16</v>
      </c>
      <c r="H215" s="10" t="s">
        <v>1057</v>
      </c>
      <c r="I215" s="13">
        <v>16.34</v>
      </c>
      <c r="J215" s="13">
        <v>0.65</v>
      </c>
      <c r="K215" s="15">
        <f>SUM(J215/I215)</f>
        <v>3.9779681762545899E-2</v>
      </c>
      <c r="L215" s="13">
        <v>16633294</v>
      </c>
      <c r="M215" s="13" t="s">
        <v>861</v>
      </c>
      <c r="N215" s="13" t="s">
        <v>38</v>
      </c>
      <c r="O215" s="13" t="s">
        <v>39</v>
      </c>
      <c r="P215" s="12">
        <v>2</v>
      </c>
      <c r="Q215" s="12">
        <v>847611718</v>
      </c>
    </row>
    <row r="216" spans="1:17" ht="15.75" x14ac:dyDescent="0.25">
      <c r="A216" s="12">
        <v>2515</v>
      </c>
      <c r="B216" s="12">
        <v>64125</v>
      </c>
      <c r="C216" s="13" t="s">
        <v>204</v>
      </c>
      <c r="D216" s="13" t="s">
        <v>868</v>
      </c>
      <c r="E216" s="14">
        <v>45463</v>
      </c>
      <c r="F216" s="14">
        <v>45952</v>
      </c>
      <c r="G216" s="12">
        <v>16</v>
      </c>
      <c r="H216" s="10" t="s">
        <v>1057</v>
      </c>
      <c r="I216" s="13">
        <v>69.010000000000005</v>
      </c>
      <c r="J216" s="13">
        <v>2.76</v>
      </c>
      <c r="K216" s="15">
        <f>SUM(J216/I216)</f>
        <v>3.9994203738588606E-2</v>
      </c>
      <c r="L216" s="13">
        <v>16202925</v>
      </c>
      <c r="M216" s="13" t="s">
        <v>842</v>
      </c>
      <c r="N216" s="13" t="s">
        <v>38</v>
      </c>
      <c r="O216" s="13" t="s">
        <v>39</v>
      </c>
      <c r="P216" s="12">
        <v>2</v>
      </c>
      <c r="Q216" s="12">
        <v>847610400</v>
      </c>
    </row>
    <row r="217" spans="1:17" ht="15.75" x14ac:dyDescent="0.25">
      <c r="A217" s="12">
        <v>2515</v>
      </c>
      <c r="B217" s="12">
        <v>33214</v>
      </c>
      <c r="C217" s="13" t="s">
        <v>194</v>
      </c>
      <c r="D217" s="13" t="s">
        <v>868</v>
      </c>
      <c r="E217" s="14">
        <v>45433</v>
      </c>
      <c r="F217" s="14">
        <v>45953</v>
      </c>
      <c r="G217" s="12">
        <v>17</v>
      </c>
      <c r="H217" s="10" t="s">
        <v>1057</v>
      </c>
      <c r="I217" s="13">
        <v>93.17</v>
      </c>
      <c r="J217" s="13">
        <v>3.72</v>
      </c>
      <c r="K217" s="15">
        <f>SUM(J217/I217)</f>
        <v>3.9927015133626703E-2</v>
      </c>
      <c r="L217" s="13">
        <v>9079571</v>
      </c>
      <c r="M217" s="13" t="s">
        <v>853</v>
      </c>
      <c r="N217" s="13" t="s">
        <v>38</v>
      </c>
      <c r="O217" s="13" t="s">
        <v>39</v>
      </c>
      <c r="P217" s="12">
        <v>2</v>
      </c>
      <c r="Q217" s="12">
        <v>847592099</v>
      </c>
    </row>
    <row r="218" spans="1:17" ht="15.75" x14ac:dyDescent="0.25">
      <c r="A218" s="12">
        <v>2515</v>
      </c>
      <c r="B218" s="12">
        <v>33214</v>
      </c>
      <c r="C218" s="13" t="s">
        <v>194</v>
      </c>
      <c r="D218" s="13" t="s">
        <v>868</v>
      </c>
      <c r="E218" s="14">
        <v>45433</v>
      </c>
      <c r="F218" s="14">
        <v>45953</v>
      </c>
      <c r="G218" s="12">
        <v>17</v>
      </c>
      <c r="H218" s="10" t="s">
        <v>1057</v>
      </c>
      <c r="I218" s="13">
        <v>2.69</v>
      </c>
      <c r="J218" s="13">
        <v>0.11</v>
      </c>
      <c r="K218" s="15">
        <f>SUM(J218/I218)</f>
        <v>4.0892193308550186E-2</v>
      </c>
      <c r="L218" s="13">
        <v>9079571</v>
      </c>
      <c r="M218" s="13" t="s">
        <v>853</v>
      </c>
      <c r="N218" s="13" t="s">
        <v>38</v>
      </c>
      <c r="O218" s="13" t="s">
        <v>39</v>
      </c>
      <c r="P218" s="12">
        <v>2</v>
      </c>
      <c r="Q218" s="12">
        <v>847592099</v>
      </c>
    </row>
    <row r="219" spans="1:17" ht="15.75" x14ac:dyDescent="0.25">
      <c r="A219" s="12">
        <v>2515</v>
      </c>
      <c r="B219" s="12">
        <v>33183</v>
      </c>
      <c r="C219" s="13" t="s">
        <v>190</v>
      </c>
      <c r="D219" s="13" t="s">
        <v>868</v>
      </c>
      <c r="E219" s="14">
        <v>45433</v>
      </c>
      <c r="F219" s="14">
        <v>45953</v>
      </c>
      <c r="G219" s="12">
        <v>17</v>
      </c>
      <c r="H219" s="10" t="s">
        <v>1057</v>
      </c>
      <c r="I219" s="13">
        <v>93.17</v>
      </c>
      <c r="J219" s="13">
        <v>3.72</v>
      </c>
      <c r="K219" s="15">
        <f>SUM(J219/I219)</f>
        <v>3.9927015133626703E-2</v>
      </c>
      <c r="L219" s="13">
        <v>9079571</v>
      </c>
      <c r="M219" s="13" t="s">
        <v>853</v>
      </c>
      <c r="N219" s="13" t="s">
        <v>38</v>
      </c>
      <c r="O219" s="13" t="s">
        <v>39</v>
      </c>
      <c r="P219" s="12">
        <v>2</v>
      </c>
      <c r="Q219" s="12">
        <v>847592082</v>
      </c>
    </row>
    <row r="220" spans="1:17" ht="15.75" x14ac:dyDescent="0.25">
      <c r="A220" s="12">
        <v>2515</v>
      </c>
      <c r="B220" s="12">
        <v>33183</v>
      </c>
      <c r="C220" s="13" t="s">
        <v>190</v>
      </c>
      <c r="D220" s="13" t="s">
        <v>868</v>
      </c>
      <c r="E220" s="14">
        <v>45433</v>
      </c>
      <c r="F220" s="14">
        <v>45953</v>
      </c>
      <c r="G220" s="12">
        <v>17</v>
      </c>
      <c r="H220" s="10" t="s">
        <v>1057</v>
      </c>
      <c r="I220" s="13">
        <v>2.69</v>
      </c>
      <c r="J220" s="13">
        <v>0.11</v>
      </c>
      <c r="K220" s="15">
        <f>SUM(J220/I220)</f>
        <v>4.0892193308550186E-2</v>
      </c>
      <c r="L220" s="13">
        <v>9079571</v>
      </c>
      <c r="M220" s="13" t="s">
        <v>853</v>
      </c>
      <c r="N220" s="13" t="s">
        <v>38</v>
      </c>
      <c r="O220" s="13" t="s">
        <v>39</v>
      </c>
      <c r="P220" s="12">
        <v>2</v>
      </c>
      <c r="Q220" s="12">
        <v>847592082</v>
      </c>
    </row>
    <row r="221" spans="1:17" ht="15.75" x14ac:dyDescent="0.25">
      <c r="A221" s="12">
        <v>2515</v>
      </c>
      <c r="B221" s="12">
        <v>33264</v>
      </c>
      <c r="C221" s="13" t="s">
        <v>197</v>
      </c>
      <c r="D221" s="13" t="s">
        <v>868</v>
      </c>
      <c r="E221" s="14">
        <v>45433</v>
      </c>
      <c r="F221" s="14">
        <v>45953</v>
      </c>
      <c r="G221" s="12">
        <v>17</v>
      </c>
      <c r="H221" s="10" t="s">
        <v>1057</v>
      </c>
      <c r="I221" s="13">
        <v>36.29</v>
      </c>
      <c r="J221" s="13">
        <v>1.45</v>
      </c>
      <c r="K221" s="15">
        <f>SUM(J221/I221)</f>
        <v>3.9955910719206393E-2</v>
      </c>
      <c r="L221" s="13">
        <v>17528908</v>
      </c>
      <c r="M221" s="13" t="s">
        <v>839</v>
      </c>
      <c r="N221" s="13" t="s">
        <v>38</v>
      </c>
      <c r="O221" s="13" t="s">
        <v>39</v>
      </c>
      <c r="P221" s="12">
        <v>2</v>
      </c>
      <c r="Q221" s="12">
        <v>847592132</v>
      </c>
    </row>
    <row r="222" spans="1:17" ht="15.75" x14ac:dyDescent="0.25">
      <c r="A222" s="12">
        <v>2515</v>
      </c>
      <c r="B222" s="12">
        <v>33264</v>
      </c>
      <c r="C222" s="13" t="s">
        <v>197</v>
      </c>
      <c r="D222" s="13" t="s">
        <v>868</v>
      </c>
      <c r="E222" s="14">
        <v>45433</v>
      </c>
      <c r="F222" s="14">
        <v>45953</v>
      </c>
      <c r="G222" s="12">
        <v>17</v>
      </c>
      <c r="H222" s="10" t="s">
        <v>1057</v>
      </c>
      <c r="I222" s="13">
        <v>1.5</v>
      </c>
      <c r="J222" s="13">
        <v>0.06</v>
      </c>
      <c r="K222" s="15">
        <f>SUM(J222/I222)</f>
        <v>0.04</v>
      </c>
      <c r="L222" s="13">
        <v>17528908</v>
      </c>
      <c r="M222" s="13" t="s">
        <v>839</v>
      </c>
      <c r="N222" s="13" t="s">
        <v>38</v>
      </c>
      <c r="O222" s="13" t="s">
        <v>39</v>
      </c>
      <c r="P222" s="12">
        <v>2</v>
      </c>
      <c r="Q222" s="12">
        <v>847592132</v>
      </c>
    </row>
    <row r="223" spans="1:17" ht="15.75" x14ac:dyDescent="0.25">
      <c r="A223" s="12">
        <v>2515</v>
      </c>
      <c r="B223" s="12">
        <v>28176</v>
      </c>
      <c r="C223" s="13" t="s">
        <v>177</v>
      </c>
      <c r="D223" s="13" t="s">
        <v>868</v>
      </c>
      <c r="E223" s="14">
        <v>45428</v>
      </c>
      <c r="F223" s="14">
        <v>45950</v>
      </c>
      <c r="G223" s="12">
        <v>17</v>
      </c>
      <c r="H223" s="10" t="s">
        <v>1057</v>
      </c>
      <c r="I223" s="13">
        <v>36.29</v>
      </c>
      <c r="J223" s="13">
        <v>1.45</v>
      </c>
      <c r="K223" s="15">
        <f>SUM(J223/I223)</f>
        <v>3.9955910719206393E-2</v>
      </c>
      <c r="L223" s="13">
        <v>17528908</v>
      </c>
      <c r="M223" s="13" t="s">
        <v>839</v>
      </c>
      <c r="N223" s="13" t="s">
        <v>38</v>
      </c>
      <c r="O223" s="13" t="s">
        <v>39</v>
      </c>
      <c r="P223" s="12">
        <v>2</v>
      </c>
      <c r="Q223" s="12">
        <v>847589102</v>
      </c>
    </row>
    <row r="224" spans="1:17" ht="15.75" x14ac:dyDescent="0.25">
      <c r="A224" s="12">
        <v>2515</v>
      </c>
      <c r="B224" s="12">
        <v>28176</v>
      </c>
      <c r="C224" s="13" t="s">
        <v>177</v>
      </c>
      <c r="D224" s="13" t="s">
        <v>868</v>
      </c>
      <c r="E224" s="14">
        <v>45428</v>
      </c>
      <c r="F224" s="14">
        <v>45950</v>
      </c>
      <c r="G224" s="12">
        <v>17</v>
      </c>
      <c r="H224" s="10" t="s">
        <v>1057</v>
      </c>
      <c r="I224" s="13">
        <v>1.5</v>
      </c>
      <c r="J224" s="13">
        <v>0.06</v>
      </c>
      <c r="K224" s="15">
        <f>SUM(J224/I224)</f>
        <v>0.04</v>
      </c>
      <c r="L224" s="13">
        <v>17528908</v>
      </c>
      <c r="M224" s="13" t="s">
        <v>839</v>
      </c>
      <c r="N224" s="13" t="s">
        <v>38</v>
      </c>
      <c r="O224" s="13" t="s">
        <v>39</v>
      </c>
      <c r="P224" s="12">
        <v>2</v>
      </c>
      <c r="Q224" s="12">
        <v>847589102</v>
      </c>
    </row>
    <row r="225" spans="1:17" ht="15.75" x14ac:dyDescent="0.25">
      <c r="A225" s="12">
        <v>2515</v>
      </c>
      <c r="B225" s="12">
        <v>30115</v>
      </c>
      <c r="C225" s="13" t="s">
        <v>181</v>
      </c>
      <c r="D225" s="13" t="s">
        <v>868</v>
      </c>
      <c r="E225" s="14">
        <v>45429</v>
      </c>
      <c r="F225" s="14">
        <v>45950</v>
      </c>
      <c r="G225" s="12">
        <v>17</v>
      </c>
      <c r="H225" s="10" t="s">
        <v>1057</v>
      </c>
      <c r="I225" s="13">
        <v>31.82</v>
      </c>
      <c r="J225" s="13">
        <v>1.27</v>
      </c>
      <c r="K225" s="15">
        <f>SUM(J225/I225)</f>
        <v>3.9912005028284098E-2</v>
      </c>
      <c r="L225" s="13">
        <v>8971826</v>
      </c>
      <c r="M225" s="13" t="s">
        <v>831</v>
      </c>
      <c r="N225" s="13" t="s">
        <v>38</v>
      </c>
      <c r="O225" s="13" t="s">
        <v>39</v>
      </c>
      <c r="P225" s="12">
        <v>2</v>
      </c>
      <c r="Q225" s="12">
        <v>847590264</v>
      </c>
    </row>
    <row r="226" spans="1:17" ht="15.75" x14ac:dyDescent="0.25">
      <c r="A226" s="12">
        <v>2515</v>
      </c>
      <c r="B226" s="12">
        <v>30116</v>
      </c>
      <c r="C226" s="13" t="s">
        <v>181</v>
      </c>
      <c r="D226" s="13" t="s">
        <v>868</v>
      </c>
      <c r="E226" s="14">
        <v>45429</v>
      </c>
      <c r="F226" s="14">
        <v>45950</v>
      </c>
      <c r="G226" s="12">
        <v>17</v>
      </c>
      <c r="H226" s="10" t="s">
        <v>1057</v>
      </c>
      <c r="I226" s="13">
        <v>10.67</v>
      </c>
      <c r="J226" s="13">
        <v>0.43</v>
      </c>
      <c r="K226" s="15">
        <f>SUM(J226/I226)</f>
        <v>4.0299906279287721E-2</v>
      </c>
      <c r="L226" s="13">
        <v>8971826</v>
      </c>
      <c r="M226" s="13" t="s">
        <v>831</v>
      </c>
      <c r="N226" s="13" t="s">
        <v>38</v>
      </c>
      <c r="O226" s="13" t="s">
        <v>39</v>
      </c>
      <c r="P226" s="12">
        <v>2</v>
      </c>
      <c r="Q226" s="12">
        <v>847590264</v>
      </c>
    </row>
    <row r="227" spans="1:17" ht="15.75" x14ac:dyDescent="0.25">
      <c r="A227" s="12">
        <v>2515</v>
      </c>
      <c r="B227" s="12">
        <v>30339</v>
      </c>
      <c r="C227" s="13" t="s">
        <v>186</v>
      </c>
      <c r="D227" s="13" t="s">
        <v>868</v>
      </c>
      <c r="E227" s="14">
        <v>45429</v>
      </c>
      <c r="F227" s="14">
        <v>45950</v>
      </c>
      <c r="G227" s="12">
        <v>17</v>
      </c>
      <c r="H227" s="10" t="s">
        <v>1057</v>
      </c>
      <c r="I227" s="13">
        <v>107.9</v>
      </c>
      <c r="J227" s="13">
        <v>4.32</v>
      </c>
      <c r="K227" s="15">
        <f>SUM(J227/I227)</f>
        <v>4.003707136237257E-2</v>
      </c>
      <c r="L227" s="13">
        <v>8971826</v>
      </c>
      <c r="M227" s="13" t="s">
        <v>831</v>
      </c>
      <c r="N227" s="13" t="s">
        <v>38</v>
      </c>
      <c r="O227" s="13" t="s">
        <v>39</v>
      </c>
      <c r="P227" s="12">
        <v>2</v>
      </c>
      <c r="Q227" s="12">
        <v>847590399</v>
      </c>
    </row>
    <row r="228" spans="1:17" ht="15.75" x14ac:dyDescent="0.25">
      <c r="A228" s="12">
        <v>2515</v>
      </c>
      <c r="B228" s="12">
        <v>30340</v>
      </c>
      <c r="C228" s="13" t="s">
        <v>186</v>
      </c>
      <c r="D228" s="13" t="s">
        <v>868</v>
      </c>
      <c r="E228" s="14">
        <v>45429</v>
      </c>
      <c r="F228" s="14">
        <v>45950</v>
      </c>
      <c r="G228" s="12">
        <v>17</v>
      </c>
      <c r="H228" s="10" t="s">
        <v>1057</v>
      </c>
      <c r="I228" s="13">
        <v>29.34</v>
      </c>
      <c r="J228" s="13">
        <v>1.17</v>
      </c>
      <c r="K228" s="15">
        <f>SUM(J228/I228)</f>
        <v>3.9877300613496931E-2</v>
      </c>
      <c r="L228" s="13">
        <v>8971826</v>
      </c>
      <c r="M228" s="13" t="s">
        <v>831</v>
      </c>
      <c r="N228" s="13" t="s">
        <v>38</v>
      </c>
      <c r="O228" s="13" t="s">
        <v>39</v>
      </c>
      <c r="P228" s="12">
        <v>2</v>
      </c>
      <c r="Q228" s="12">
        <v>847590399</v>
      </c>
    </row>
    <row r="229" spans="1:17" ht="15.75" x14ac:dyDescent="0.25">
      <c r="A229" s="12">
        <v>2514</v>
      </c>
      <c r="B229" s="12">
        <v>93426</v>
      </c>
      <c r="C229" s="13" t="s">
        <v>162</v>
      </c>
      <c r="D229" s="13" t="s">
        <v>1054</v>
      </c>
      <c r="E229" s="14">
        <v>45398</v>
      </c>
      <c r="F229" s="14">
        <v>45950</v>
      </c>
      <c r="G229" s="12">
        <v>18</v>
      </c>
      <c r="H229" s="10" t="s">
        <v>1057</v>
      </c>
      <c r="I229" s="12">
        <v>0.05</v>
      </c>
      <c r="J229" s="12">
        <v>0.05</v>
      </c>
      <c r="K229" s="15">
        <f>SUM(J229/I229)</f>
        <v>1</v>
      </c>
      <c r="L229" s="13">
        <v>20411454</v>
      </c>
      <c r="M229" s="13" t="s">
        <v>846</v>
      </c>
      <c r="N229" s="13" t="s">
        <v>38</v>
      </c>
      <c r="O229" s="12">
        <v>0.05</v>
      </c>
      <c r="P229" s="12">
        <v>2</v>
      </c>
      <c r="Q229" s="12">
        <v>847569251</v>
      </c>
    </row>
    <row r="230" spans="1:17" ht="15.75" x14ac:dyDescent="0.25">
      <c r="A230" s="12">
        <v>2514</v>
      </c>
      <c r="B230" s="12">
        <v>93427</v>
      </c>
      <c r="C230" s="13" t="s">
        <v>162</v>
      </c>
      <c r="D230" s="13" t="s">
        <v>1054</v>
      </c>
      <c r="E230" s="14">
        <v>45398</v>
      </c>
      <c r="F230" s="14">
        <v>45950</v>
      </c>
      <c r="G230" s="12">
        <v>18</v>
      </c>
      <c r="H230" s="10" t="s">
        <v>1057</v>
      </c>
      <c r="I230" s="12">
        <v>0.6</v>
      </c>
      <c r="J230" s="12">
        <v>0.6</v>
      </c>
      <c r="K230" s="15">
        <f>SUM(J230/I230)</f>
        <v>1</v>
      </c>
      <c r="L230" s="13">
        <v>20411454</v>
      </c>
      <c r="M230" s="13" t="s">
        <v>846</v>
      </c>
      <c r="N230" s="13" t="s">
        <v>38</v>
      </c>
      <c r="O230" s="12">
        <v>0.6</v>
      </c>
      <c r="P230" s="12">
        <v>2</v>
      </c>
      <c r="Q230" s="12">
        <v>847569251</v>
      </c>
    </row>
    <row r="231" spans="1:17" ht="15.75" x14ac:dyDescent="0.25">
      <c r="A231" s="12">
        <v>2514</v>
      </c>
      <c r="B231" s="12">
        <v>93426</v>
      </c>
      <c r="C231" s="13" t="s">
        <v>162</v>
      </c>
      <c r="D231" s="13" t="s">
        <v>1054</v>
      </c>
      <c r="E231" s="14">
        <v>45398</v>
      </c>
      <c r="F231" s="14">
        <v>45950</v>
      </c>
      <c r="G231" s="12">
        <v>18</v>
      </c>
      <c r="H231" s="10" t="s">
        <v>1057</v>
      </c>
      <c r="I231" s="12">
        <v>1.46</v>
      </c>
      <c r="J231" s="12">
        <v>1.46</v>
      </c>
      <c r="K231" s="15">
        <f>SUM(J231/I231)</f>
        <v>1</v>
      </c>
      <c r="L231" s="13">
        <v>20411454</v>
      </c>
      <c r="M231" s="13" t="s">
        <v>846</v>
      </c>
      <c r="N231" s="13" t="s">
        <v>38</v>
      </c>
      <c r="O231" s="12">
        <v>1.46</v>
      </c>
      <c r="P231" s="12">
        <v>2</v>
      </c>
      <c r="Q231" s="12">
        <v>847569251</v>
      </c>
    </row>
    <row r="232" spans="1:17" ht="15.75" x14ac:dyDescent="0.25">
      <c r="A232" s="12">
        <v>2514</v>
      </c>
      <c r="B232" s="12">
        <v>96462</v>
      </c>
      <c r="C232" s="13" t="s">
        <v>170</v>
      </c>
      <c r="D232" s="13" t="s">
        <v>868</v>
      </c>
      <c r="E232" s="14">
        <v>45400</v>
      </c>
      <c r="F232" s="14">
        <v>45950</v>
      </c>
      <c r="G232" s="12">
        <v>18</v>
      </c>
      <c r="H232" s="10" t="s">
        <v>1057</v>
      </c>
      <c r="I232" s="13">
        <v>67.069999999999993</v>
      </c>
      <c r="J232" s="13">
        <v>2.68</v>
      </c>
      <c r="K232" s="15">
        <f>SUM(J232/I232)</f>
        <v>3.9958252571939773E-2</v>
      </c>
      <c r="L232" s="13">
        <v>19278370</v>
      </c>
      <c r="M232" s="13" t="s">
        <v>841</v>
      </c>
      <c r="N232" s="13" t="s">
        <v>38</v>
      </c>
      <c r="O232" s="13" t="s">
        <v>39</v>
      </c>
      <c r="P232" s="12">
        <v>2</v>
      </c>
      <c r="Q232" s="12">
        <v>847570964</v>
      </c>
    </row>
    <row r="233" spans="1:17" ht="15.75" x14ac:dyDescent="0.25">
      <c r="A233" s="12">
        <v>2514</v>
      </c>
      <c r="B233" s="12">
        <v>58704</v>
      </c>
      <c r="C233" s="13" t="s">
        <v>159</v>
      </c>
      <c r="D233" s="13" t="s">
        <v>1054</v>
      </c>
      <c r="E233" s="14">
        <v>45370</v>
      </c>
      <c r="F233" s="14">
        <v>45951</v>
      </c>
      <c r="G233" s="12">
        <v>19</v>
      </c>
      <c r="H233" s="10" t="s">
        <v>1057</v>
      </c>
      <c r="I233" s="12">
        <v>0.03</v>
      </c>
      <c r="J233" s="12">
        <v>0.03</v>
      </c>
      <c r="K233" s="15">
        <f>SUM(J233/I233)</f>
        <v>1</v>
      </c>
      <c r="L233" s="13">
        <v>20411454</v>
      </c>
      <c r="M233" s="13" t="s">
        <v>846</v>
      </c>
      <c r="N233" s="13" t="s">
        <v>38</v>
      </c>
      <c r="O233" s="12">
        <v>0.03</v>
      </c>
      <c r="P233" s="12">
        <v>2</v>
      </c>
      <c r="Q233" s="12">
        <v>847547390</v>
      </c>
    </row>
    <row r="234" spans="1:17" ht="15.75" x14ac:dyDescent="0.25">
      <c r="A234" s="12">
        <v>2514</v>
      </c>
      <c r="B234" s="12">
        <v>58704</v>
      </c>
      <c r="C234" s="13" t="s">
        <v>159</v>
      </c>
      <c r="D234" s="13" t="s">
        <v>1054</v>
      </c>
      <c r="E234" s="14">
        <v>45370</v>
      </c>
      <c r="F234" s="14">
        <v>45951</v>
      </c>
      <c r="G234" s="12">
        <v>19</v>
      </c>
      <c r="H234" s="10" t="s">
        <v>1057</v>
      </c>
      <c r="I234" s="12">
        <v>0.73</v>
      </c>
      <c r="J234" s="12">
        <v>0.73</v>
      </c>
      <c r="K234" s="15">
        <f>SUM(J234/I234)</f>
        <v>1</v>
      </c>
      <c r="L234" s="13">
        <v>20411454</v>
      </c>
      <c r="M234" s="13" t="s">
        <v>846</v>
      </c>
      <c r="N234" s="13" t="s">
        <v>38</v>
      </c>
      <c r="O234" s="12">
        <v>0.73</v>
      </c>
      <c r="P234" s="12">
        <v>2</v>
      </c>
      <c r="Q234" s="12">
        <v>847547390</v>
      </c>
    </row>
    <row r="235" spans="1:17" ht="15.75" x14ac:dyDescent="0.25">
      <c r="A235" s="12">
        <v>2514</v>
      </c>
      <c r="B235" s="12">
        <v>58694</v>
      </c>
      <c r="C235" s="13" t="s">
        <v>154</v>
      </c>
      <c r="D235" s="13" t="s">
        <v>1054</v>
      </c>
      <c r="E235" s="14">
        <v>45370</v>
      </c>
      <c r="F235" s="14">
        <v>45951</v>
      </c>
      <c r="G235" s="12">
        <v>19</v>
      </c>
      <c r="H235" s="10" t="s">
        <v>1057</v>
      </c>
      <c r="I235" s="12">
        <v>0.03</v>
      </c>
      <c r="J235" s="12">
        <v>0.03</v>
      </c>
      <c r="K235" s="15">
        <f>SUM(J235/I235)</f>
        <v>1</v>
      </c>
      <c r="L235" s="13">
        <v>20411454</v>
      </c>
      <c r="M235" s="13" t="s">
        <v>846</v>
      </c>
      <c r="N235" s="13" t="s">
        <v>38</v>
      </c>
      <c r="O235" s="12">
        <v>0.03</v>
      </c>
      <c r="P235" s="12">
        <v>2</v>
      </c>
      <c r="Q235" s="12">
        <v>847547382</v>
      </c>
    </row>
    <row r="236" spans="1:17" ht="15.75" x14ac:dyDescent="0.25">
      <c r="A236" s="12">
        <v>2514</v>
      </c>
      <c r="B236" s="12">
        <v>58695</v>
      </c>
      <c r="C236" s="13" t="s">
        <v>154</v>
      </c>
      <c r="D236" s="13" t="s">
        <v>1054</v>
      </c>
      <c r="E236" s="14">
        <v>45370</v>
      </c>
      <c r="F236" s="14">
        <v>45951</v>
      </c>
      <c r="G236" s="12">
        <v>19</v>
      </c>
      <c r="H236" s="10" t="s">
        <v>1057</v>
      </c>
      <c r="I236" s="12">
        <v>0.33</v>
      </c>
      <c r="J236" s="12">
        <v>0.33</v>
      </c>
      <c r="K236" s="15">
        <f>SUM(J236/I236)</f>
        <v>1</v>
      </c>
      <c r="L236" s="13">
        <v>20411454</v>
      </c>
      <c r="M236" s="13" t="s">
        <v>846</v>
      </c>
      <c r="N236" s="13" t="s">
        <v>38</v>
      </c>
      <c r="O236" s="12">
        <v>0.33</v>
      </c>
      <c r="P236" s="12">
        <v>2</v>
      </c>
      <c r="Q236" s="12">
        <v>847547382</v>
      </c>
    </row>
    <row r="237" spans="1:17" ht="15.75" x14ac:dyDescent="0.25">
      <c r="A237" s="12">
        <v>2514</v>
      </c>
      <c r="B237" s="12">
        <v>58694</v>
      </c>
      <c r="C237" s="13" t="s">
        <v>154</v>
      </c>
      <c r="D237" s="13" t="s">
        <v>1054</v>
      </c>
      <c r="E237" s="14">
        <v>45370</v>
      </c>
      <c r="F237" s="14">
        <v>45951</v>
      </c>
      <c r="G237" s="12">
        <v>19</v>
      </c>
      <c r="H237" s="10" t="s">
        <v>1057</v>
      </c>
      <c r="I237" s="12">
        <v>0.73</v>
      </c>
      <c r="J237" s="12">
        <v>0.73</v>
      </c>
      <c r="K237" s="15">
        <f>SUM(J237/I237)</f>
        <v>1</v>
      </c>
      <c r="L237" s="13">
        <v>20411454</v>
      </c>
      <c r="M237" s="13" t="s">
        <v>846</v>
      </c>
      <c r="N237" s="13" t="s">
        <v>38</v>
      </c>
      <c r="O237" s="12">
        <v>0.73</v>
      </c>
      <c r="P237" s="12">
        <v>2</v>
      </c>
      <c r="Q237" s="12">
        <v>847547382</v>
      </c>
    </row>
    <row r="238" spans="1:17" ht="15.75" x14ac:dyDescent="0.25">
      <c r="A238" s="12">
        <v>2514</v>
      </c>
      <c r="B238" s="12">
        <v>56041</v>
      </c>
      <c r="C238" s="13" t="s">
        <v>150</v>
      </c>
      <c r="D238" s="13" t="s">
        <v>868</v>
      </c>
      <c r="E238" s="14">
        <v>45369</v>
      </c>
      <c r="F238" s="14">
        <v>45950</v>
      </c>
      <c r="G238" s="12">
        <v>19</v>
      </c>
      <c r="H238" s="10" t="s">
        <v>1057</v>
      </c>
      <c r="I238" s="13">
        <v>40.729999999999997</v>
      </c>
      <c r="J238" s="13">
        <v>1.63</v>
      </c>
      <c r="K238" s="15">
        <f>SUM(J238/I238)</f>
        <v>4.0019641541861037E-2</v>
      </c>
      <c r="L238" s="13">
        <v>16202925</v>
      </c>
      <c r="M238" s="13" t="s">
        <v>842</v>
      </c>
      <c r="N238" s="13" t="s">
        <v>38</v>
      </c>
      <c r="O238" s="13" t="s">
        <v>39</v>
      </c>
      <c r="P238" s="12">
        <v>2</v>
      </c>
      <c r="Q238" s="12">
        <v>847545822</v>
      </c>
    </row>
    <row r="239" spans="1:17" ht="15.75" x14ac:dyDescent="0.25">
      <c r="A239" s="12">
        <v>2514</v>
      </c>
      <c r="B239" s="12">
        <v>22514</v>
      </c>
      <c r="C239" s="13" t="s">
        <v>146</v>
      </c>
      <c r="D239" s="13" t="s">
        <v>868</v>
      </c>
      <c r="E239" s="14">
        <v>45339</v>
      </c>
      <c r="F239" s="14">
        <v>45950</v>
      </c>
      <c r="G239" s="12">
        <v>20</v>
      </c>
      <c r="H239" s="10" t="s">
        <v>1057</v>
      </c>
      <c r="I239" s="13">
        <v>29.34</v>
      </c>
      <c r="J239" s="13">
        <v>1.17</v>
      </c>
      <c r="K239" s="15">
        <f>SUM(J239/I239)</f>
        <v>3.9877300613496931E-2</v>
      </c>
      <c r="L239" s="13">
        <v>15278437</v>
      </c>
      <c r="M239" s="13" t="s">
        <v>837</v>
      </c>
      <c r="N239" s="13" t="s">
        <v>38</v>
      </c>
      <c r="O239" s="13" t="s">
        <v>39</v>
      </c>
      <c r="P239" s="12">
        <v>2</v>
      </c>
      <c r="Q239" s="12">
        <v>847526227</v>
      </c>
    </row>
    <row r="240" spans="1:17" ht="15.75" x14ac:dyDescent="0.25">
      <c r="A240" s="12">
        <v>2513</v>
      </c>
      <c r="B240" s="12">
        <v>83401</v>
      </c>
      <c r="C240" s="13" t="s">
        <v>115</v>
      </c>
      <c r="D240" s="13" t="s">
        <v>868</v>
      </c>
      <c r="E240" s="14">
        <v>45307</v>
      </c>
      <c r="F240" s="14">
        <v>45950</v>
      </c>
      <c r="G240" s="12">
        <v>21</v>
      </c>
      <c r="H240" s="10" t="s">
        <v>1057</v>
      </c>
      <c r="I240" s="13">
        <v>42.35</v>
      </c>
      <c r="J240" s="13">
        <v>1.69</v>
      </c>
      <c r="K240" s="15">
        <f>SUM(J240/I240)</f>
        <v>3.9905548996458082E-2</v>
      </c>
      <c r="L240" s="13">
        <v>9079571</v>
      </c>
      <c r="M240" s="13" t="s">
        <v>853</v>
      </c>
      <c r="N240" s="13" t="s">
        <v>38</v>
      </c>
      <c r="O240" s="13" t="s">
        <v>39</v>
      </c>
      <c r="P240" s="12">
        <v>2</v>
      </c>
      <c r="Q240" s="12">
        <v>847503742</v>
      </c>
    </row>
    <row r="241" spans="1:17" ht="15.75" x14ac:dyDescent="0.25">
      <c r="A241" s="12">
        <v>2513</v>
      </c>
      <c r="B241" s="12">
        <v>83401</v>
      </c>
      <c r="C241" s="13" t="s">
        <v>115</v>
      </c>
      <c r="D241" s="13" t="s">
        <v>868</v>
      </c>
      <c r="E241" s="14">
        <v>45307</v>
      </c>
      <c r="F241" s="14">
        <v>45950</v>
      </c>
      <c r="G241" s="12">
        <v>21</v>
      </c>
      <c r="H241" s="10" t="s">
        <v>1057</v>
      </c>
      <c r="I241" s="13">
        <v>1.5</v>
      </c>
      <c r="J241" s="13">
        <v>0.06</v>
      </c>
      <c r="K241" s="15">
        <f>SUM(J241/I241)</f>
        <v>0.04</v>
      </c>
      <c r="L241" s="13">
        <v>9079571</v>
      </c>
      <c r="M241" s="13" t="s">
        <v>853</v>
      </c>
      <c r="N241" s="13" t="s">
        <v>38</v>
      </c>
      <c r="O241" s="13" t="s">
        <v>39</v>
      </c>
      <c r="P241" s="12">
        <v>2</v>
      </c>
      <c r="Q241" s="12">
        <v>847503742</v>
      </c>
    </row>
    <row r="242" spans="1:17" ht="15.75" x14ac:dyDescent="0.25">
      <c r="A242" s="12">
        <v>2513</v>
      </c>
      <c r="B242" s="12">
        <v>89468</v>
      </c>
      <c r="C242" s="13" t="s">
        <v>136</v>
      </c>
      <c r="D242" s="13" t="s">
        <v>868</v>
      </c>
      <c r="E242" s="14">
        <v>45311</v>
      </c>
      <c r="F242" s="14">
        <v>45952</v>
      </c>
      <c r="G242" s="12">
        <v>21</v>
      </c>
      <c r="H242" s="10" t="s">
        <v>1057</v>
      </c>
      <c r="I242" s="13">
        <v>36.29</v>
      </c>
      <c r="J242" s="13">
        <v>1.45</v>
      </c>
      <c r="K242" s="15">
        <f>SUM(J242/I242)</f>
        <v>3.9955910719206393E-2</v>
      </c>
      <c r="L242" s="13">
        <v>17528908</v>
      </c>
      <c r="M242" s="13" t="s">
        <v>839</v>
      </c>
      <c r="N242" s="13" t="s">
        <v>38</v>
      </c>
      <c r="O242" s="13" t="s">
        <v>39</v>
      </c>
      <c r="P242" s="12">
        <v>2</v>
      </c>
      <c r="Q242" s="12">
        <v>847507293</v>
      </c>
    </row>
    <row r="243" spans="1:17" ht="15.75" x14ac:dyDescent="0.25">
      <c r="A243" s="12">
        <v>2513</v>
      </c>
      <c r="B243" s="12">
        <v>89468</v>
      </c>
      <c r="C243" s="13" t="s">
        <v>136</v>
      </c>
      <c r="D243" s="13" t="s">
        <v>868</v>
      </c>
      <c r="E243" s="14">
        <v>45311</v>
      </c>
      <c r="F243" s="14">
        <v>45952</v>
      </c>
      <c r="G243" s="12">
        <v>21</v>
      </c>
      <c r="H243" s="10" t="s">
        <v>1057</v>
      </c>
      <c r="I243" s="13">
        <v>1.5</v>
      </c>
      <c r="J243" s="13">
        <v>0.06</v>
      </c>
      <c r="K243" s="15">
        <f>SUM(J243/I243)</f>
        <v>0.04</v>
      </c>
      <c r="L243" s="13">
        <v>17528908</v>
      </c>
      <c r="M243" s="13" t="s">
        <v>839</v>
      </c>
      <c r="N243" s="13" t="s">
        <v>38</v>
      </c>
      <c r="O243" s="13" t="s">
        <v>39</v>
      </c>
      <c r="P243" s="12">
        <v>2</v>
      </c>
      <c r="Q243" s="12">
        <v>847507293</v>
      </c>
    </row>
    <row r="244" spans="1:17" ht="15.75" x14ac:dyDescent="0.25">
      <c r="A244" s="12">
        <v>2513</v>
      </c>
      <c r="B244" s="12">
        <v>83364</v>
      </c>
      <c r="C244" s="13" t="s">
        <v>110</v>
      </c>
      <c r="D244" s="13" t="s">
        <v>868</v>
      </c>
      <c r="E244" s="14">
        <v>45307</v>
      </c>
      <c r="F244" s="14">
        <v>45950</v>
      </c>
      <c r="G244" s="12">
        <v>21</v>
      </c>
      <c r="H244" s="10" t="s">
        <v>1057</v>
      </c>
      <c r="I244" s="13">
        <v>36.29</v>
      </c>
      <c r="J244" s="13">
        <v>1.45</v>
      </c>
      <c r="K244" s="15">
        <f>SUM(J244/I244)</f>
        <v>3.9955910719206393E-2</v>
      </c>
      <c r="L244" s="13">
        <v>17528908</v>
      </c>
      <c r="M244" s="13" t="s">
        <v>839</v>
      </c>
      <c r="N244" s="13" t="s">
        <v>38</v>
      </c>
      <c r="O244" s="13" t="s">
        <v>39</v>
      </c>
      <c r="P244" s="12">
        <v>2</v>
      </c>
      <c r="Q244" s="12">
        <v>847503721</v>
      </c>
    </row>
    <row r="245" spans="1:17" ht="15.75" x14ac:dyDescent="0.25">
      <c r="A245" s="12">
        <v>2513</v>
      </c>
      <c r="B245" s="12">
        <v>83364</v>
      </c>
      <c r="C245" s="13" t="s">
        <v>110</v>
      </c>
      <c r="D245" s="13" t="s">
        <v>868</v>
      </c>
      <c r="E245" s="14">
        <v>45307</v>
      </c>
      <c r="F245" s="14">
        <v>45950</v>
      </c>
      <c r="G245" s="12">
        <v>21</v>
      </c>
      <c r="H245" s="10" t="s">
        <v>1057</v>
      </c>
      <c r="I245" s="13">
        <v>1.5</v>
      </c>
      <c r="J245" s="13">
        <v>0.06</v>
      </c>
      <c r="K245" s="15">
        <f>SUM(J245/I245)</f>
        <v>0.04</v>
      </c>
      <c r="L245" s="13">
        <v>17528908</v>
      </c>
      <c r="M245" s="13" t="s">
        <v>839</v>
      </c>
      <c r="N245" s="13" t="s">
        <v>38</v>
      </c>
      <c r="O245" s="13" t="s">
        <v>39</v>
      </c>
      <c r="P245" s="12">
        <v>2</v>
      </c>
      <c r="Q245" s="12">
        <v>847503721</v>
      </c>
    </row>
    <row r="246" spans="1:17" ht="15.75" x14ac:dyDescent="0.25">
      <c r="A246" s="12">
        <v>2513</v>
      </c>
      <c r="B246" s="12">
        <v>83365</v>
      </c>
      <c r="C246" s="13" t="s">
        <v>110</v>
      </c>
      <c r="D246" s="13" t="s">
        <v>868</v>
      </c>
      <c r="E246" s="14">
        <v>45307</v>
      </c>
      <c r="F246" s="14">
        <v>45950</v>
      </c>
      <c r="G246" s="12">
        <v>21</v>
      </c>
      <c r="H246" s="10" t="s">
        <v>1057</v>
      </c>
      <c r="I246" s="13">
        <v>10.67</v>
      </c>
      <c r="J246" s="13">
        <v>0.43</v>
      </c>
      <c r="K246" s="15">
        <f>SUM(J246/I246)</f>
        <v>4.0299906279287721E-2</v>
      </c>
      <c r="L246" s="13">
        <v>17528908</v>
      </c>
      <c r="M246" s="13" t="s">
        <v>839</v>
      </c>
      <c r="N246" s="13" t="s">
        <v>38</v>
      </c>
      <c r="O246" s="13" t="s">
        <v>39</v>
      </c>
      <c r="P246" s="12">
        <v>2</v>
      </c>
      <c r="Q246" s="12">
        <v>847503721</v>
      </c>
    </row>
    <row r="247" spans="1:17" ht="15.75" x14ac:dyDescent="0.25">
      <c r="A247" s="12">
        <v>2513</v>
      </c>
      <c r="B247" s="12">
        <v>85108</v>
      </c>
      <c r="C247" s="13" t="s">
        <v>120</v>
      </c>
      <c r="D247" s="13" t="s">
        <v>868</v>
      </c>
      <c r="E247" s="14">
        <v>45308</v>
      </c>
      <c r="F247" s="14">
        <v>45950</v>
      </c>
      <c r="G247" s="12">
        <v>21</v>
      </c>
      <c r="H247" s="10" t="s">
        <v>1057</v>
      </c>
      <c r="I247" s="13">
        <v>31.82</v>
      </c>
      <c r="J247" s="13">
        <v>1.27</v>
      </c>
      <c r="K247" s="15">
        <f>SUM(J247/I247)</f>
        <v>3.9912005028284098E-2</v>
      </c>
      <c r="L247" s="13">
        <v>18710070</v>
      </c>
      <c r="M247" s="13" t="s">
        <v>848</v>
      </c>
      <c r="N247" s="13" t="s">
        <v>38</v>
      </c>
      <c r="O247" s="13" t="s">
        <v>39</v>
      </c>
      <c r="P247" s="12">
        <v>2</v>
      </c>
      <c r="Q247" s="12">
        <v>847504766</v>
      </c>
    </row>
    <row r="248" spans="1:17" ht="15.75" x14ac:dyDescent="0.25">
      <c r="A248" s="12">
        <v>2513</v>
      </c>
      <c r="B248" s="12">
        <v>85109</v>
      </c>
      <c r="C248" s="13" t="s">
        <v>120</v>
      </c>
      <c r="D248" s="13" t="s">
        <v>868</v>
      </c>
      <c r="E248" s="14">
        <v>45308</v>
      </c>
      <c r="F248" s="14">
        <v>45950</v>
      </c>
      <c r="G248" s="12">
        <v>21</v>
      </c>
      <c r="H248" s="10" t="s">
        <v>1057</v>
      </c>
      <c r="I248" s="13">
        <v>16.34</v>
      </c>
      <c r="J248" s="13">
        <v>0.65</v>
      </c>
      <c r="K248" s="15">
        <f>SUM(J248/I248)</f>
        <v>3.9779681762545899E-2</v>
      </c>
      <c r="L248" s="13">
        <v>18710070</v>
      </c>
      <c r="M248" s="13" t="s">
        <v>848</v>
      </c>
      <c r="N248" s="13" t="s">
        <v>38</v>
      </c>
      <c r="O248" s="13" t="s">
        <v>39</v>
      </c>
      <c r="P248" s="12">
        <v>2</v>
      </c>
      <c r="Q248" s="12">
        <v>847504766</v>
      </c>
    </row>
    <row r="249" spans="1:17" ht="15.75" x14ac:dyDescent="0.25">
      <c r="A249" s="12">
        <v>2513</v>
      </c>
      <c r="B249" s="12">
        <v>85200</v>
      </c>
      <c r="C249" s="13" t="s">
        <v>127</v>
      </c>
      <c r="D249" s="13" t="s">
        <v>868</v>
      </c>
      <c r="E249" s="14">
        <v>45308</v>
      </c>
      <c r="F249" s="14">
        <v>45950</v>
      </c>
      <c r="G249" s="12">
        <v>21</v>
      </c>
      <c r="H249" s="10" t="s">
        <v>1057</v>
      </c>
      <c r="I249" s="13">
        <v>36.29</v>
      </c>
      <c r="J249" s="13">
        <v>1.45</v>
      </c>
      <c r="K249" s="15">
        <f>SUM(J249/I249)</f>
        <v>3.9955910719206393E-2</v>
      </c>
      <c r="L249" s="13">
        <v>8971826</v>
      </c>
      <c r="M249" s="13" t="s">
        <v>831</v>
      </c>
      <c r="N249" s="13" t="s">
        <v>38</v>
      </c>
      <c r="O249" s="13" t="s">
        <v>39</v>
      </c>
      <c r="P249" s="12">
        <v>2</v>
      </c>
      <c r="Q249" s="12">
        <v>847504822</v>
      </c>
    </row>
    <row r="250" spans="1:17" ht="15.75" x14ac:dyDescent="0.25">
      <c r="A250" s="12">
        <v>2513</v>
      </c>
      <c r="B250" s="12">
        <v>85200</v>
      </c>
      <c r="C250" s="13" t="s">
        <v>127</v>
      </c>
      <c r="D250" s="13" t="s">
        <v>868</v>
      </c>
      <c r="E250" s="14">
        <v>45308</v>
      </c>
      <c r="F250" s="14">
        <v>45950</v>
      </c>
      <c r="G250" s="12">
        <v>21</v>
      </c>
      <c r="H250" s="10" t="s">
        <v>1057</v>
      </c>
      <c r="I250" s="13">
        <v>1.5</v>
      </c>
      <c r="J250" s="13">
        <v>0.06</v>
      </c>
      <c r="K250" s="15">
        <f>SUM(J250/I250)</f>
        <v>0.04</v>
      </c>
      <c r="L250" s="13">
        <v>8971826</v>
      </c>
      <c r="M250" s="13" t="s">
        <v>831</v>
      </c>
      <c r="N250" s="13" t="s">
        <v>38</v>
      </c>
      <c r="O250" s="13" t="s">
        <v>39</v>
      </c>
      <c r="P250" s="12">
        <v>2</v>
      </c>
      <c r="Q250" s="12">
        <v>847504822</v>
      </c>
    </row>
    <row r="251" spans="1:17" ht="15.75" x14ac:dyDescent="0.25">
      <c r="A251" s="12">
        <v>2513</v>
      </c>
      <c r="B251" s="12">
        <v>85201</v>
      </c>
      <c r="C251" s="13" t="s">
        <v>127</v>
      </c>
      <c r="D251" s="13" t="s">
        <v>868</v>
      </c>
      <c r="E251" s="14">
        <v>45308</v>
      </c>
      <c r="F251" s="14">
        <v>45950</v>
      </c>
      <c r="G251" s="12">
        <v>21</v>
      </c>
      <c r="H251" s="10" t="s">
        <v>1057</v>
      </c>
      <c r="I251" s="13">
        <v>16.34</v>
      </c>
      <c r="J251" s="13">
        <v>0.65</v>
      </c>
      <c r="K251" s="15">
        <f>SUM(J251/I251)</f>
        <v>3.9779681762545899E-2</v>
      </c>
      <c r="L251" s="13">
        <v>8971826</v>
      </c>
      <c r="M251" s="13" t="s">
        <v>831</v>
      </c>
      <c r="N251" s="13" t="s">
        <v>38</v>
      </c>
      <c r="O251" s="13" t="s">
        <v>39</v>
      </c>
      <c r="P251" s="12">
        <v>2</v>
      </c>
      <c r="Q251" s="12">
        <v>847504822</v>
      </c>
    </row>
    <row r="252" spans="1:17" ht="15.75" x14ac:dyDescent="0.25">
      <c r="A252" s="12">
        <v>2513</v>
      </c>
      <c r="B252" s="12">
        <v>89744</v>
      </c>
      <c r="C252" s="13" t="s">
        <v>141</v>
      </c>
      <c r="D252" s="13" t="s">
        <v>868</v>
      </c>
      <c r="E252" s="14">
        <v>45312</v>
      </c>
      <c r="F252" s="14">
        <v>45953</v>
      </c>
      <c r="G252" s="12">
        <v>21</v>
      </c>
      <c r="H252" s="10" t="s">
        <v>1057</v>
      </c>
      <c r="I252" s="13">
        <v>42.35</v>
      </c>
      <c r="J252" s="13">
        <v>1.69</v>
      </c>
      <c r="K252" s="15">
        <f>SUM(J252/I252)</f>
        <v>3.9905548996458082E-2</v>
      </c>
      <c r="L252" s="13">
        <v>16202925</v>
      </c>
      <c r="M252" s="13" t="s">
        <v>842</v>
      </c>
      <c r="N252" s="13" t="s">
        <v>38</v>
      </c>
      <c r="O252" s="13" t="s">
        <v>39</v>
      </c>
      <c r="P252" s="12">
        <v>2</v>
      </c>
      <c r="Q252" s="12">
        <v>847507468</v>
      </c>
    </row>
    <row r="253" spans="1:17" ht="15.75" x14ac:dyDescent="0.25">
      <c r="A253" s="12">
        <v>2513</v>
      </c>
      <c r="B253" s="12">
        <v>89744</v>
      </c>
      <c r="C253" s="13" t="s">
        <v>141</v>
      </c>
      <c r="D253" s="13" t="s">
        <v>868</v>
      </c>
      <c r="E253" s="14">
        <v>45312</v>
      </c>
      <c r="F253" s="14">
        <v>45953</v>
      </c>
      <c r="G253" s="12">
        <v>21</v>
      </c>
      <c r="H253" s="10" t="s">
        <v>1057</v>
      </c>
      <c r="I253" s="13">
        <v>1.5</v>
      </c>
      <c r="J253" s="13">
        <v>0.06</v>
      </c>
      <c r="K253" s="15">
        <f>SUM(J253/I253)</f>
        <v>0.04</v>
      </c>
      <c r="L253" s="13">
        <v>16202925</v>
      </c>
      <c r="M253" s="13" t="s">
        <v>842</v>
      </c>
      <c r="N253" s="13" t="s">
        <v>38</v>
      </c>
      <c r="O253" s="13" t="s">
        <v>39</v>
      </c>
      <c r="P253" s="12">
        <v>2</v>
      </c>
      <c r="Q253" s="12">
        <v>847507468</v>
      </c>
    </row>
    <row r="254" spans="1:17" ht="15.75" x14ac:dyDescent="0.25">
      <c r="A254" s="12">
        <v>2513</v>
      </c>
      <c r="B254" s="12">
        <v>85375</v>
      </c>
      <c r="C254" s="13" t="s">
        <v>131</v>
      </c>
      <c r="D254" s="13" t="s">
        <v>868</v>
      </c>
      <c r="E254" s="14">
        <v>45308</v>
      </c>
      <c r="F254" s="14">
        <v>45950</v>
      </c>
      <c r="G254" s="12">
        <v>21</v>
      </c>
      <c r="H254" s="10" t="s">
        <v>1057</v>
      </c>
      <c r="I254" s="13">
        <v>46.59</v>
      </c>
      <c r="J254" s="13">
        <v>1.86</v>
      </c>
      <c r="K254" s="15">
        <f>SUM(J254/I254)</f>
        <v>3.9922730199613649E-2</v>
      </c>
      <c r="L254" s="13">
        <v>16202925</v>
      </c>
      <c r="M254" s="13" t="s">
        <v>842</v>
      </c>
      <c r="N254" s="13" t="s">
        <v>38</v>
      </c>
      <c r="O254" s="13" t="s">
        <v>39</v>
      </c>
      <c r="P254" s="12">
        <v>2</v>
      </c>
      <c r="Q254" s="12">
        <v>847504920</v>
      </c>
    </row>
    <row r="255" spans="1:17" ht="15.75" x14ac:dyDescent="0.25">
      <c r="A255" s="12">
        <v>2513</v>
      </c>
      <c r="B255" s="12">
        <v>85375</v>
      </c>
      <c r="C255" s="13" t="s">
        <v>131</v>
      </c>
      <c r="D255" s="13" t="s">
        <v>868</v>
      </c>
      <c r="E255" s="14">
        <v>45308</v>
      </c>
      <c r="F255" s="14">
        <v>45950</v>
      </c>
      <c r="G255" s="12">
        <v>21</v>
      </c>
      <c r="H255" s="10" t="s">
        <v>1057</v>
      </c>
      <c r="I255" s="13">
        <v>1.5</v>
      </c>
      <c r="J255" s="13">
        <v>0.06</v>
      </c>
      <c r="K255" s="15">
        <f>SUM(J255/I255)</f>
        <v>0.04</v>
      </c>
      <c r="L255" s="13">
        <v>16202925</v>
      </c>
      <c r="M255" s="13" t="s">
        <v>842</v>
      </c>
      <c r="N255" s="13" t="s">
        <v>38</v>
      </c>
      <c r="O255" s="13" t="s">
        <v>39</v>
      </c>
      <c r="P255" s="12">
        <v>2</v>
      </c>
      <c r="Q255" s="12">
        <v>847504920</v>
      </c>
    </row>
    <row r="256" spans="1:17" ht="15.75" x14ac:dyDescent="0.25">
      <c r="A256" s="12">
        <v>2513</v>
      </c>
      <c r="B256" s="12">
        <v>52855</v>
      </c>
      <c r="C256" s="13" t="s">
        <v>94</v>
      </c>
      <c r="D256" s="13" t="s">
        <v>1054</v>
      </c>
      <c r="E256" s="14">
        <v>45276</v>
      </c>
      <c r="F256" s="14">
        <v>45950</v>
      </c>
      <c r="G256" s="12">
        <v>22</v>
      </c>
      <c r="H256" s="10" t="s">
        <v>1057</v>
      </c>
      <c r="I256" s="12">
        <v>0.33</v>
      </c>
      <c r="J256" s="12">
        <v>0.33</v>
      </c>
      <c r="K256" s="15">
        <f>SUM(J256/I256)</f>
        <v>1</v>
      </c>
      <c r="L256" s="13">
        <v>20411454</v>
      </c>
      <c r="M256" s="13" t="s">
        <v>846</v>
      </c>
      <c r="N256" s="13" t="s">
        <v>38</v>
      </c>
      <c r="O256" s="12">
        <v>0.33</v>
      </c>
      <c r="P256" s="12">
        <v>2</v>
      </c>
      <c r="Q256" s="12">
        <v>847485882</v>
      </c>
    </row>
    <row r="257" spans="1:17" ht="15.75" x14ac:dyDescent="0.25">
      <c r="A257" s="12">
        <v>2513</v>
      </c>
      <c r="B257" s="12">
        <v>58471</v>
      </c>
      <c r="C257" s="13" t="s">
        <v>104</v>
      </c>
      <c r="D257" s="13" t="s">
        <v>1054</v>
      </c>
      <c r="E257" s="14">
        <v>45281</v>
      </c>
      <c r="F257" s="14">
        <v>45953</v>
      </c>
      <c r="G257" s="12">
        <v>22</v>
      </c>
      <c r="H257" s="10" t="s">
        <v>1057</v>
      </c>
      <c r="I257" s="12">
        <v>7.0000000000000007E-2</v>
      </c>
      <c r="J257" s="12">
        <v>7.0000000000000007E-2</v>
      </c>
      <c r="K257" s="15">
        <f>SUM(J257/I257)</f>
        <v>1</v>
      </c>
      <c r="L257" s="13">
        <v>20411454</v>
      </c>
      <c r="M257" s="13" t="s">
        <v>846</v>
      </c>
      <c r="N257" s="13" t="s">
        <v>38</v>
      </c>
      <c r="O257" s="12">
        <v>7.0000000000000007E-2</v>
      </c>
      <c r="P257" s="12">
        <v>2</v>
      </c>
      <c r="Q257" s="12">
        <v>847489023</v>
      </c>
    </row>
    <row r="258" spans="1:17" ht="15.75" x14ac:dyDescent="0.25">
      <c r="A258" s="12">
        <v>2513</v>
      </c>
      <c r="B258" s="12">
        <v>58471</v>
      </c>
      <c r="C258" s="13" t="s">
        <v>104</v>
      </c>
      <c r="D258" s="13" t="s">
        <v>1054</v>
      </c>
      <c r="E258" s="14">
        <v>45281</v>
      </c>
      <c r="F258" s="14">
        <v>45953</v>
      </c>
      <c r="G258" s="12">
        <v>22</v>
      </c>
      <c r="H258" s="10" t="s">
        <v>1057</v>
      </c>
      <c r="I258" s="12">
        <v>2.3199999999999998</v>
      </c>
      <c r="J258" s="12">
        <v>2.3199999999999998</v>
      </c>
      <c r="K258" s="15">
        <f>SUM(J258/I258)</f>
        <v>1</v>
      </c>
      <c r="L258" s="13">
        <v>20411454</v>
      </c>
      <c r="M258" s="13" t="s">
        <v>846</v>
      </c>
      <c r="N258" s="13" t="s">
        <v>38</v>
      </c>
      <c r="O258" s="12">
        <v>2.3199999999999998</v>
      </c>
      <c r="P258" s="12">
        <v>2</v>
      </c>
      <c r="Q258" s="12">
        <v>847489023</v>
      </c>
    </row>
    <row r="259" spans="1:17" ht="15.75" x14ac:dyDescent="0.25">
      <c r="A259" s="12">
        <v>2513</v>
      </c>
      <c r="B259" s="12">
        <v>53481</v>
      </c>
      <c r="C259" s="13" t="s">
        <v>98</v>
      </c>
      <c r="D259" s="13" t="s">
        <v>868</v>
      </c>
      <c r="E259" s="14">
        <v>45278</v>
      </c>
      <c r="F259" s="14">
        <v>45950</v>
      </c>
      <c r="G259" s="12">
        <v>22</v>
      </c>
      <c r="H259" s="10" t="s">
        <v>1057</v>
      </c>
      <c r="I259" s="13">
        <v>33.700000000000003</v>
      </c>
      <c r="J259" s="13">
        <v>1.35</v>
      </c>
      <c r="K259" s="15">
        <f>SUM(J259/I259)</f>
        <v>4.0059347181008904E-2</v>
      </c>
      <c r="L259" s="13">
        <v>7387433</v>
      </c>
      <c r="M259" s="13" t="s">
        <v>860</v>
      </c>
      <c r="N259" s="13" t="s">
        <v>38</v>
      </c>
      <c r="O259" s="13" t="s">
        <v>39</v>
      </c>
      <c r="P259" s="12">
        <v>2</v>
      </c>
      <c r="Q259" s="12">
        <v>847486232</v>
      </c>
    </row>
    <row r="260" spans="1:17" ht="15.75" x14ac:dyDescent="0.25">
      <c r="A260" s="12">
        <v>2513</v>
      </c>
      <c r="B260" s="12">
        <v>51107</v>
      </c>
      <c r="C260" s="13" t="s">
        <v>89</v>
      </c>
      <c r="D260" s="13" t="s">
        <v>868</v>
      </c>
      <c r="E260" s="14">
        <v>45276</v>
      </c>
      <c r="F260" s="14">
        <v>45950</v>
      </c>
      <c r="G260" s="12">
        <v>22</v>
      </c>
      <c r="H260" s="10" t="s">
        <v>1057</v>
      </c>
      <c r="I260" s="13">
        <v>78.97</v>
      </c>
      <c r="J260" s="13">
        <v>3.16</v>
      </c>
      <c r="K260" s="15">
        <f>SUM(J260/I260)</f>
        <v>4.0015195643915411E-2</v>
      </c>
      <c r="L260" s="13">
        <v>15278437</v>
      </c>
      <c r="M260" s="13" t="s">
        <v>837</v>
      </c>
      <c r="N260" s="13" t="s">
        <v>38</v>
      </c>
      <c r="O260" s="13" t="s">
        <v>39</v>
      </c>
      <c r="P260" s="12">
        <v>2</v>
      </c>
      <c r="Q260" s="12">
        <v>847485176</v>
      </c>
    </row>
    <row r="261" spans="1:17" ht="15.75" x14ac:dyDescent="0.25">
      <c r="A261" s="12">
        <v>2512</v>
      </c>
      <c r="B261" s="12">
        <v>89476</v>
      </c>
      <c r="C261" s="13" t="s">
        <v>78</v>
      </c>
      <c r="D261" s="13" t="s">
        <v>868</v>
      </c>
      <c r="E261" s="14">
        <v>45247</v>
      </c>
      <c r="F261" s="14">
        <v>45950</v>
      </c>
      <c r="G261" s="12">
        <v>23</v>
      </c>
      <c r="H261" s="10" t="s">
        <v>1057</v>
      </c>
      <c r="I261" s="13">
        <v>36.29</v>
      </c>
      <c r="J261" s="13">
        <v>1.45</v>
      </c>
      <c r="K261" s="15">
        <f>SUM(J261/I261)</f>
        <v>3.9955910719206393E-2</v>
      </c>
      <c r="L261" s="13">
        <v>17528908</v>
      </c>
      <c r="M261" s="13" t="s">
        <v>839</v>
      </c>
      <c r="N261" s="13" t="s">
        <v>38</v>
      </c>
      <c r="O261" s="13" t="s">
        <v>39</v>
      </c>
      <c r="P261" s="12">
        <v>2</v>
      </c>
      <c r="Q261" s="12">
        <v>847460478</v>
      </c>
    </row>
    <row r="262" spans="1:17" ht="15.75" x14ac:dyDescent="0.25">
      <c r="A262" s="12">
        <v>2512</v>
      </c>
      <c r="B262" s="12">
        <v>89476</v>
      </c>
      <c r="C262" s="13" t="s">
        <v>78</v>
      </c>
      <c r="D262" s="13" t="s">
        <v>868</v>
      </c>
      <c r="E262" s="14">
        <v>45247</v>
      </c>
      <c r="F262" s="14">
        <v>45950</v>
      </c>
      <c r="G262" s="12">
        <v>23</v>
      </c>
      <c r="H262" s="10" t="s">
        <v>1057</v>
      </c>
      <c r="I262" s="13">
        <v>1.5</v>
      </c>
      <c r="J262" s="13">
        <v>0.06</v>
      </c>
      <c r="K262" s="15">
        <f>SUM(J262/I262)</f>
        <v>0.04</v>
      </c>
      <c r="L262" s="13">
        <v>17528908</v>
      </c>
      <c r="M262" s="13" t="s">
        <v>839</v>
      </c>
      <c r="N262" s="13" t="s">
        <v>38</v>
      </c>
      <c r="O262" s="13" t="s">
        <v>39</v>
      </c>
      <c r="P262" s="12">
        <v>2</v>
      </c>
      <c r="Q262" s="12">
        <v>847460478</v>
      </c>
    </row>
    <row r="263" spans="1:17" ht="15.75" x14ac:dyDescent="0.25">
      <c r="A263" s="12">
        <v>2512</v>
      </c>
      <c r="B263" s="12">
        <v>89270</v>
      </c>
      <c r="C263" s="13" t="s">
        <v>72</v>
      </c>
      <c r="D263" s="13" t="s">
        <v>868</v>
      </c>
      <c r="E263" s="14">
        <v>45247</v>
      </c>
      <c r="F263" s="14">
        <v>45950</v>
      </c>
      <c r="G263" s="12">
        <v>23</v>
      </c>
      <c r="H263" s="10" t="s">
        <v>1057</v>
      </c>
      <c r="I263" s="13">
        <v>36.29</v>
      </c>
      <c r="J263" s="13">
        <v>1.45</v>
      </c>
      <c r="K263" s="15">
        <f>SUM(J263/I263)</f>
        <v>3.9955910719206393E-2</v>
      </c>
      <c r="L263" s="13">
        <v>17528908</v>
      </c>
      <c r="M263" s="13" t="s">
        <v>839</v>
      </c>
      <c r="N263" s="13" t="s">
        <v>38</v>
      </c>
      <c r="O263" s="13" t="s">
        <v>39</v>
      </c>
      <c r="P263" s="12">
        <v>2</v>
      </c>
      <c r="Q263" s="12">
        <v>847460342</v>
      </c>
    </row>
    <row r="264" spans="1:17" ht="15.75" x14ac:dyDescent="0.25">
      <c r="A264" s="12">
        <v>2512</v>
      </c>
      <c r="B264" s="12">
        <v>89270</v>
      </c>
      <c r="C264" s="13" t="s">
        <v>72</v>
      </c>
      <c r="D264" s="13" t="s">
        <v>868</v>
      </c>
      <c r="E264" s="14">
        <v>45247</v>
      </c>
      <c r="F264" s="14">
        <v>45950</v>
      </c>
      <c r="G264" s="12">
        <v>23</v>
      </c>
      <c r="H264" s="10" t="s">
        <v>1057</v>
      </c>
      <c r="I264" s="13">
        <v>1.5</v>
      </c>
      <c r="J264" s="13">
        <v>0.06</v>
      </c>
      <c r="K264" s="15">
        <f>SUM(J264/I264)</f>
        <v>0.04</v>
      </c>
      <c r="L264" s="13">
        <v>17528908</v>
      </c>
      <c r="M264" s="13" t="s">
        <v>839</v>
      </c>
      <c r="N264" s="13" t="s">
        <v>38</v>
      </c>
      <c r="O264" s="13" t="s">
        <v>39</v>
      </c>
      <c r="P264" s="12">
        <v>2</v>
      </c>
      <c r="Q264" s="12">
        <v>847460342</v>
      </c>
    </row>
    <row r="265" spans="1:17" ht="15.75" x14ac:dyDescent="0.25">
      <c r="A265" s="12">
        <v>2512</v>
      </c>
      <c r="B265" s="12">
        <v>94325</v>
      </c>
      <c r="C265" s="13" t="s">
        <v>81</v>
      </c>
      <c r="D265" s="13" t="s">
        <v>868</v>
      </c>
      <c r="E265" s="14">
        <v>45251</v>
      </c>
      <c r="F265" s="14">
        <v>45953</v>
      </c>
      <c r="G265" s="12">
        <v>23</v>
      </c>
      <c r="H265" s="10" t="s">
        <v>1057</v>
      </c>
      <c r="I265" s="13">
        <v>16.34</v>
      </c>
      <c r="J265" s="13">
        <v>0.65</v>
      </c>
      <c r="K265" s="15">
        <f>SUM(J265/I265)</f>
        <v>3.9779681762545899E-2</v>
      </c>
      <c r="L265" s="13">
        <v>8971826</v>
      </c>
      <c r="M265" s="13" t="s">
        <v>831</v>
      </c>
      <c r="N265" s="13" t="s">
        <v>38</v>
      </c>
      <c r="O265" s="13" t="s">
        <v>39</v>
      </c>
      <c r="P265" s="12">
        <v>2</v>
      </c>
      <c r="Q265" s="12">
        <v>847463314</v>
      </c>
    </row>
    <row r="266" spans="1:17" ht="15.75" x14ac:dyDescent="0.25">
      <c r="A266" s="12">
        <v>2512</v>
      </c>
      <c r="B266" s="12">
        <v>18009</v>
      </c>
      <c r="C266" s="13" t="s">
        <v>64</v>
      </c>
      <c r="D266" s="13" t="s">
        <v>1054</v>
      </c>
      <c r="E266" s="14">
        <v>45187</v>
      </c>
      <c r="F266" s="14">
        <v>45950</v>
      </c>
      <c r="G266" s="12">
        <v>25</v>
      </c>
      <c r="H266" s="10" t="s">
        <v>1057</v>
      </c>
      <c r="I266" s="12">
        <v>0.03</v>
      </c>
      <c r="J266" s="12">
        <v>0.03</v>
      </c>
      <c r="K266" s="15">
        <f>SUM(J266/I266)</f>
        <v>1</v>
      </c>
      <c r="L266" s="13">
        <v>20411454</v>
      </c>
      <c r="M266" s="13" t="s">
        <v>846</v>
      </c>
      <c r="N266" s="13" t="s">
        <v>38</v>
      </c>
      <c r="O266" s="12">
        <v>0.03</v>
      </c>
      <c r="P266" s="12">
        <v>2</v>
      </c>
      <c r="Q266" s="12">
        <v>847417672</v>
      </c>
    </row>
    <row r="267" spans="1:17" ht="15.75" x14ac:dyDescent="0.25">
      <c r="A267" s="12">
        <v>2512</v>
      </c>
      <c r="B267" s="12">
        <v>18009</v>
      </c>
      <c r="C267" s="13" t="s">
        <v>64</v>
      </c>
      <c r="D267" s="13" t="s">
        <v>1054</v>
      </c>
      <c r="E267" s="14">
        <v>45187</v>
      </c>
      <c r="F267" s="14">
        <v>45950</v>
      </c>
      <c r="G267" s="12">
        <v>25</v>
      </c>
      <c r="H267" s="10" t="s">
        <v>1057</v>
      </c>
      <c r="I267" s="12">
        <v>0.73</v>
      </c>
      <c r="J267" s="12">
        <v>0.73</v>
      </c>
      <c r="K267" s="15">
        <f>SUM(J267/I267)</f>
        <v>1</v>
      </c>
      <c r="L267" s="13">
        <v>20411454</v>
      </c>
      <c r="M267" s="13" t="s">
        <v>846</v>
      </c>
      <c r="N267" s="13" t="s">
        <v>38</v>
      </c>
      <c r="O267" s="12">
        <v>0.73</v>
      </c>
      <c r="P267" s="12">
        <v>2</v>
      </c>
      <c r="Q267" s="12">
        <v>847417672</v>
      </c>
    </row>
    <row r="268" spans="1:17" ht="15.75" x14ac:dyDescent="0.25">
      <c r="A268" s="12">
        <v>2511</v>
      </c>
      <c r="B268" s="12">
        <v>14551</v>
      </c>
      <c r="C268" s="13" t="s">
        <v>57</v>
      </c>
      <c r="D268" s="13" t="s">
        <v>1054</v>
      </c>
      <c r="E268" s="14">
        <v>45063</v>
      </c>
      <c r="F268" s="14">
        <v>45950</v>
      </c>
      <c r="G268" s="12">
        <v>29</v>
      </c>
      <c r="H268" s="10" t="s">
        <v>1057</v>
      </c>
      <c r="I268" s="13">
        <v>8.39</v>
      </c>
      <c r="J268" s="13">
        <v>8.39</v>
      </c>
      <c r="K268" s="15">
        <f>SUM(J268/I268)</f>
        <v>1</v>
      </c>
      <c r="L268" s="13">
        <v>20411454</v>
      </c>
      <c r="M268" s="13" t="s">
        <v>846</v>
      </c>
      <c r="N268" s="13" t="s">
        <v>38</v>
      </c>
      <c r="O268" s="13" t="s">
        <v>39</v>
      </c>
      <c r="P268" s="12">
        <v>2</v>
      </c>
      <c r="Q268" s="12">
        <v>847355727</v>
      </c>
    </row>
    <row r="269" spans="1:17" ht="15.75" x14ac:dyDescent="0.25">
      <c r="A269" s="12">
        <v>2511</v>
      </c>
      <c r="B269" s="12">
        <v>14551</v>
      </c>
      <c r="C269" s="13" t="s">
        <v>57</v>
      </c>
      <c r="D269" s="13" t="s">
        <v>1054</v>
      </c>
      <c r="E269" s="14">
        <v>45063</v>
      </c>
      <c r="F269" s="14">
        <v>45950</v>
      </c>
      <c r="G269" s="12">
        <v>29</v>
      </c>
      <c r="H269" s="10" t="s">
        <v>1057</v>
      </c>
      <c r="I269" s="13">
        <v>0.27</v>
      </c>
      <c r="J269" s="13">
        <v>0.27</v>
      </c>
      <c r="K269" s="15">
        <f>SUM(J269/I269)</f>
        <v>1</v>
      </c>
      <c r="L269" s="13">
        <v>20411454</v>
      </c>
      <c r="M269" s="13" t="s">
        <v>846</v>
      </c>
      <c r="N269" s="13" t="s">
        <v>38</v>
      </c>
      <c r="O269" s="13" t="s">
        <v>39</v>
      </c>
      <c r="P269" s="12">
        <v>2</v>
      </c>
      <c r="Q269" s="12">
        <v>847355727</v>
      </c>
    </row>
    <row r="270" spans="1:17" ht="15.75" x14ac:dyDescent="0.25">
      <c r="A270" s="12">
        <v>2511</v>
      </c>
      <c r="B270" s="12">
        <v>14552</v>
      </c>
      <c r="C270" s="13" t="s">
        <v>57</v>
      </c>
      <c r="D270" s="13" t="s">
        <v>1054</v>
      </c>
      <c r="E270" s="14">
        <v>45063</v>
      </c>
      <c r="F270" s="14">
        <v>45950</v>
      </c>
      <c r="G270" s="12">
        <v>29</v>
      </c>
      <c r="H270" s="10" t="s">
        <v>1057</v>
      </c>
      <c r="I270" s="13">
        <v>2.89</v>
      </c>
      <c r="J270" s="13">
        <v>2.89</v>
      </c>
      <c r="K270" s="15">
        <f>SUM(J270/I270)</f>
        <v>1</v>
      </c>
      <c r="L270" s="13">
        <v>20411454</v>
      </c>
      <c r="M270" s="13" t="s">
        <v>846</v>
      </c>
      <c r="N270" s="13" t="s">
        <v>38</v>
      </c>
      <c r="O270" s="13" t="s">
        <v>39</v>
      </c>
      <c r="P270" s="12">
        <v>2</v>
      </c>
      <c r="Q270" s="12">
        <v>847355727</v>
      </c>
    </row>
    <row r="271" spans="1:17" ht="15.75" x14ac:dyDescent="0.25">
      <c r="A271" s="12">
        <v>2510</v>
      </c>
      <c r="B271" s="12">
        <v>19817</v>
      </c>
      <c r="C271" s="13" t="s">
        <v>48</v>
      </c>
      <c r="D271" s="13" t="s">
        <v>1054</v>
      </c>
      <c r="E271" s="14">
        <v>44944</v>
      </c>
      <c r="F271" s="14">
        <v>45950</v>
      </c>
      <c r="G271" s="12">
        <v>33</v>
      </c>
      <c r="H271" s="10" t="s">
        <v>1057</v>
      </c>
      <c r="I271" s="13">
        <v>0.42</v>
      </c>
      <c r="J271" s="13">
        <v>0.42</v>
      </c>
      <c r="K271" s="15">
        <f>SUM(J271/I271)</f>
        <v>1</v>
      </c>
      <c r="L271" s="13">
        <v>20411454</v>
      </c>
      <c r="M271" s="13" t="s">
        <v>846</v>
      </c>
      <c r="N271" s="13" t="s">
        <v>38</v>
      </c>
      <c r="O271" s="13" t="s">
        <v>39</v>
      </c>
      <c r="P271" s="12">
        <v>2</v>
      </c>
      <c r="Q271" s="12">
        <v>847299572</v>
      </c>
    </row>
    <row r="272" spans="1:17" ht="15.75" x14ac:dyDescent="0.25">
      <c r="A272" s="12">
        <v>2510</v>
      </c>
      <c r="B272" s="12">
        <v>19818</v>
      </c>
      <c r="C272" s="13" t="s">
        <v>48</v>
      </c>
      <c r="D272" s="13" t="s">
        <v>1054</v>
      </c>
      <c r="E272" s="14">
        <v>44944</v>
      </c>
      <c r="F272" s="14">
        <v>45950</v>
      </c>
      <c r="G272" s="12">
        <v>33</v>
      </c>
      <c r="H272" s="10" t="s">
        <v>1057</v>
      </c>
      <c r="I272" s="13">
        <v>0.21</v>
      </c>
      <c r="J272" s="13">
        <v>0.21</v>
      </c>
      <c r="K272" s="15">
        <f>SUM(J272/I272)</f>
        <v>1</v>
      </c>
      <c r="L272" s="13">
        <v>20411454</v>
      </c>
      <c r="M272" s="13" t="s">
        <v>846</v>
      </c>
      <c r="N272" s="13" t="s">
        <v>38</v>
      </c>
      <c r="O272" s="13" t="s">
        <v>39</v>
      </c>
      <c r="P272" s="12">
        <v>2</v>
      </c>
      <c r="Q272" s="12">
        <v>847299572</v>
      </c>
    </row>
    <row r="273" spans="1:17" ht="15.75" x14ac:dyDescent="0.25">
      <c r="A273" s="12">
        <v>2508</v>
      </c>
      <c r="B273" s="12">
        <v>73194</v>
      </c>
      <c r="C273" s="13" t="s">
        <v>31</v>
      </c>
      <c r="D273" s="13" t="s">
        <v>868</v>
      </c>
      <c r="E273" s="14">
        <v>44761</v>
      </c>
      <c r="F273" s="14">
        <v>45951</v>
      </c>
      <c r="G273" s="12">
        <v>39</v>
      </c>
      <c r="H273" s="10" t="s">
        <v>1057</v>
      </c>
      <c r="I273" s="13">
        <v>44.69</v>
      </c>
      <c r="J273" s="13">
        <v>1.79</v>
      </c>
      <c r="K273" s="15">
        <f>SUM(J273/I273)</f>
        <v>4.0053703289326476E-2</v>
      </c>
      <c r="L273" s="13">
        <v>15278437</v>
      </c>
      <c r="M273" s="13" t="s">
        <v>837</v>
      </c>
      <c r="N273" s="13" t="s">
        <v>38</v>
      </c>
      <c r="O273" s="13" t="s">
        <v>39</v>
      </c>
      <c r="P273" s="12">
        <v>2</v>
      </c>
      <c r="Q273" s="12">
        <v>847215364</v>
      </c>
    </row>
    <row r="274" spans="1:17" ht="15.75" x14ac:dyDescent="0.25">
      <c r="A274" s="12">
        <v>2508</v>
      </c>
      <c r="B274" s="12">
        <v>73194</v>
      </c>
      <c r="C274" s="13" t="s">
        <v>31</v>
      </c>
      <c r="D274" s="13" t="s">
        <v>868</v>
      </c>
      <c r="E274" s="14">
        <v>44761</v>
      </c>
      <c r="F274" s="14">
        <v>45951</v>
      </c>
      <c r="G274" s="12">
        <v>39</v>
      </c>
      <c r="H274" s="10" t="s">
        <v>1057</v>
      </c>
      <c r="I274" s="13">
        <v>1.5</v>
      </c>
      <c r="J274" s="13">
        <v>0.06</v>
      </c>
      <c r="K274" s="15">
        <f>SUM(J274/I274)</f>
        <v>0.04</v>
      </c>
      <c r="L274" s="13">
        <v>15278437</v>
      </c>
      <c r="M274" s="13" t="s">
        <v>837</v>
      </c>
      <c r="N274" s="13" t="s">
        <v>38</v>
      </c>
      <c r="O274" s="13" t="s">
        <v>39</v>
      </c>
      <c r="P274" s="12">
        <v>2</v>
      </c>
      <c r="Q274" s="12">
        <v>847215364</v>
      </c>
    </row>
    <row r="275" spans="1:17" ht="15.75" x14ac:dyDescent="0.25">
      <c r="A275" s="12">
        <v>499905</v>
      </c>
      <c r="B275" s="12">
        <v>53626</v>
      </c>
      <c r="C275" s="13" t="s">
        <v>743</v>
      </c>
      <c r="D275" s="13" t="s">
        <v>1054</v>
      </c>
      <c r="E275" s="14">
        <v>43571</v>
      </c>
      <c r="F275" s="14">
        <v>45950</v>
      </c>
      <c r="G275" s="12">
        <v>78</v>
      </c>
      <c r="H275" s="10" t="s">
        <v>1057</v>
      </c>
      <c r="I275" s="13">
        <v>0.92</v>
      </c>
      <c r="J275" s="13">
        <v>0.92</v>
      </c>
      <c r="K275" s="15">
        <f>SUM(J275/I275)</f>
        <v>1</v>
      </c>
      <c r="L275" s="13">
        <v>20411454</v>
      </c>
      <c r="M275" s="13" t="s">
        <v>846</v>
      </c>
      <c r="N275" s="13" t="s">
        <v>38</v>
      </c>
      <c r="O275" s="13" t="s">
        <v>39</v>
      </c>
      <c r="P275" s="12">
        <v>2</v>
      </c>
      <c r="Q275" s="12">
        <v>943220900</v>
      </c>
    </row>
    <row r="276" spans="1:17" ht="15.75" x14ac:dyDescent="0.25">
      <c r="A276" s="12">
        <v>499911</v>
      </c>
      <c r="B276" s="12">
        <v>73207</v>
      </c>
      <c r="C276" s="13" t="s">
        <v>743</v>
      </c>
      <c r="D276" s="13" t="s">
        <v>1054</v>
      </c>
      <c r="E276" s="14">
        <v>43571</v>
      </c>
      <c r="F276" s="14">
        <v>45950</v>
      </c>
      <c r="G276" s="12">
        <v>78</v>
      </c>
      <c r="H276" s="10" t="s">
        <v>1057</v>
      </c>
      <c r="I276" s="13">
        <v>0.21</v>
      </c>
      <c r="J276" s="13">
        <v>0.21</v>
      </c>
      <c r="K276" s="15">
        <f>SUM(J276/I276)</f>
        <v>1</v>
      </c>
      <c r="L276" s="13">
        <v>20411454</v>
      </c>
      <c r="M276" s="13" t="s">
        <v>846</v>
      </c>
      <c r="N276" s="13" t="s">
        <v>38</v>
      </c>
      <c r="O276" s="13" t="s">
        <v>39</v>
      </c>
      <c r="P276" s="12">
        <v>2</v>
      </c>
      <c r="Q276" s="12">
        <v>943220900</v>
      </c>
    </row>
    <row r="277" spans="1:17" ht="15.75" x14ac:dyDescent="0.25">
      <c r="A277" s="12">
        <v>499904</v>
      </c>
      <c r="B277" s="12">
        <v>77661</v>
      </c>
      <c r="C277" s="13" t="s">
        <v>738</v>
      </c>
      <c r="D277" s="13" t="s">
        <v>1054</v>
      </c>
      <c r="E277" s="14">
        <v>43271</v>
      </c>
      <c r="F277" s="14">
        <v>45952</v>
      </c>
      <c r="G277" s="12">
        <v>88</v>
      </c>
      <c r="H277" s="10" t="s">
        <v>1057</v>
      </c>
      <c r="I277" s="13">
        <v>3.94</v>
      </c>
      <c r="J277" s="13">
        <v>3.94</v>
      </c>
      <c r="K277" s="15">
        <f>SUM(J277/I277)</f>
        <v>1</v>
      </c>
      <c r="L277" s="13">
        <v>20411454</v>
      </c>
      <c r="M277" s="13" t="s">
        <v>846</v>
      </c>
      <c r="N277" s="13" t="s">
        <v>38</v>
      </c>
      <c r="O277" s="13" t="s">
        <v>39</v>
      </c>
      <c r="P277" s="12">
        <v>2</v>
      </c>
      <c r="Q277" s="12">
        <v>943158630</v>
      </c>
    </row>
    <row r="278" spans="1:17" ht="15.75" x14ac:dyDescent="0.25">
      <c r="A278" s="12">
        <v>499911</v>
      </c>
      <c r="B278" s="12">
        <v>36881</v>
      </c>
      <c r="C278" s="13" t="s">
        <v>738</v>
      </c>
      <c r="D278" s="13" t="s">
        <v>1054</v>
      </c>
      <c r="E278" s="14">
        <v>43271</v>
      </c>
      <c r="F278" s="14">
        <v>45952</v>
      </c>
      <c r="G278" s="12">
        <v>88</v>
      </c>
      <c r="H278" s="10" t="s">
        <v>1057</v>
      </c>
      <c r="I278" s="13">
        <v>0.9</v>
      </c>
      <c r="J278" s="13">
        <v>0.9</v>
      </c>
      <c r="K278" s="15">
        <f>SUM(J278/I278)</f>
        <v>1</v>
      </c>
      <c r="L278" s="13">
        <v>20411454</v>
      </c>
      <c r="M278" s="13" t="s">
        <v>846</v>
      </c>
      <c r="N278" s="13" t="s">
        <v>38</v>
      </c>
      <c r="O278" s="13" t="s">
        <v>39</v>
      </c>
      <c r="P278" s="12">
        <v>2</v>
      </c>
      <c r="Q278" s="12">
        <v>943158630</v>
      </c>
    </row>
  </sheetData>
  <sortState xmlns:xlrd2="http://schemas.microsoft.com/office/spreadsheetml/2017/richdata2" ref="A2:P278">
    <sortCondition sortBy="cellColor" ref="A2:A278" dxfId="1"/>
  </sortState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0F08B-4E93-41B0-8E9C-5513DBA0005F}">
  <dimension ref="A1:C277"/>
  <sheetViews>
    <sheetView workbookViewId="0">
      <selection activeCell="C1" sqref="C1:C277"/>
    </sheetView>
  </sheetViews>
  <sheetFormatPr defaultRowHeight="12.75" x14ac:dyDescent="0.2"/>
  <cols>
    <col min="1" max="2" width="10.140625" bestFit="1" customWidth="1"/>
  </cols>
  <sheetData>
    <row r="1" spans="1:3" x14ac:dyDescent="0.2">
      <c r="A1" s="3">
        <v>45276</v>
      </c>
      <c r="B1" s="3">
        <v>45950</v>
      </c>
      <c r="C1">
        <f>DATEDIF(A1,B1,"M")</f>
        <v>22</v>
      </c>
    </row>
    <row r="2" spans="1:3" x14ac:dyDescent="0.2">
      <c r="A2" s="3">
        <v>45889</v>
      </c>
      <c r="B2" s="3">
        <v>45952</v>
      </c>
      <c r="C2">
        <f t="shared" ref="C2:C65" si="0">DATEDIF(A2,B2,"M")</f>
        <v>2</v>
      </c>
    </row>
    <row r="3" spans="1:3" x14ac:dyDescent="0.2">
      <c r="A3" s="3">
        <v>45889</v>
      </c>
      <c r="B3" s="3">
        <v>45952</v>
      </c>
      <c r="C3">
        <f t="shared" si="0"/>
        <v>2</v>
      </c>
    </row>
    <row r="4" spans="1:3" x14ac:dyDescent="0.2">
      <c r="A4" s="3">
        <v>45370</v>
      </c>
      <c r="B4" s="3">
        <v>45951</v>
      </c>
      <c r="C4">
        <f t="shared" si="0"/>
        <v>19</v>
      </c>
    </row>
    <row r="5" spans="1:3" x14ac:dyDescent="0.2">
      <c r="A5" s="3">
        <v>45370</v>
      </c>
      <c r="B5" s="3">
        <v>45951</v>
      </c>
      <c r="C5">
        <f t="shared" si="0"/>
        <v>19</v>
      </c>
    </row>
    <row r="6" spans="1:3" x14ac:dyDescent="0.2">
      <c r="A6" s="3">
        <v>45398</v>
      </c>
      <c r="B6" s="3">
        <v>45950</v>
      </c>
      <c r="C6">
        <f t="shared" si="0"/>
        <v>18</v>
      </c>
    </row>
    <row r="7" spans="1:3" x14ac:dyDescent="0.2">
      <c r="A7" s="3">
        <v>45398</v>
      </c>
      <c r="B7" s="3">
        <v>45950</v>
      </c>
      <c r="C7">
        <f t="shared" si="0"/>
        <v>18</v>
      </c>
    </row>
    <row r="8" spans="1:3" x14ac:dyDescent="0.2">
      <c r="A8" s="3">
        <v>45398</v>
      </c>
      <c r="B8" s="3">
        <v>45950</v>
      </c>
      <c r="C8">
        <f t="shared" si="0"/>
        <v>18</v>
      </c>
    </row>
    <row r="9" spans="1:3" x14ac:dyDescent="0.2">
      <c r="A9" s="3">
        <v>45671</v>
      </c>
      <c r="B9" s="3">
        <v>45952</v>
      </c>
      <c r="C9">
        <f t="shared" si="0"/>
        <v>9</v>
      </c>
    </row>
    <row r="10" spans="1:3" x14ac:dyDescent="0.2">
      <c r="A10" s="3">
        <v>45671</v>
      </c>
      <c r="B10" s="3">
        <v>45952</v>
      </c>
      <c r="C10">
        <f t="shared" si="0"/>
        <v>9</v>
      </c>
    </row>
    <row r="11" spans="1:3" x14ac:dyDescent="0.2">
      <c r="A11" s="3">
        <v>45671</v>
      </c>
      <c r="B11" s="3">
        <v>45952</v>
      </c>
      <c r="C11">
        <f t="shared" si="0"/>
        <v>9</v>
      </c>
    </row>
    <row r="12" spans="1:3" x14ac:dyDescent="0.2">
      <c r="A12" s="3">
        <v>45187</v>
      </c>
      <c r="B12" s="3">
        <v>45950</v>
      </c>
      <c r="C12">
        <f t="shared" si="0"/>
        <v>25</v>
      </c>
    </row>
    <row r="13" spans="1:3" x14ac:dyDescent="0.2">
      <c r="A13" s="3">
        <v>45187</v>
      </c>
      <c r="B13" s="3">
        <v>45950</v>
      </c>
      <c r="C13">
        <f t="shared" si="0"/>
        <v>25</v>
      </c>
    </row>
    <row r="14" spans="1:3" x14ac:dyDescent="0.2">
      <c r="A14" s="3">
        <v>45618</v>
      </c>
      <c r="B14" s="3">
        <v>45954</v>
      </c>
      <c r="C14">
        <f t="shared" si="0"/>
        <v>11</v>
      </c>
    </row>
    <row r="15" spans="1:3" x14ac:dyDescent="0.2">
      <c r="A15" s="3">
        <v>45618</v>
      </c>
      <c r="B15" s="3">
        <v>45954</v>
      </c>
      <c r="C15">
        <f t="shared" si="0"/>
        <v>11</v>
      </c>
    </row>
    <row r="16" spans="1:3" x14ac:dyDescent="0.2">
      <c r="A16" s="3">
        <v>45370</v>
      </c>
      <c r="B16" s="3">
        <v>45951</v>
      </c>
      <c r="C16">
        <f t="shared" si="0"/>
        <v>19</v>
      </c>
    </row>
    <row r="17" spans="1:3" x14ac:dyDescent="0.2">
      <c r="A17" s="3">
        <v>45370</v>
      </c>
      <c r="B17" s="3">
        <v>45951</v>
      </c>
      <c r="C17">
        <f t="shared" si="0"/>
        <v>19</v>
      </c>
    </row>
    <row r="18" spans="1:3" x14ac:dyDescent="0.2">
      <c r="A18" s="3">
        <v>45370</v>
      </c>
      <c r="B18" s="3">
        <v>45951</v>
      </c>
      <c r="C18">
        <f t="shared" si="0"/>
        <v>19</v>
      </c>
    </row>
    <row r="19" spans="1:3" x14ac:dyDescent="0.2">
      <c r="A19" s="3">
        <v>45704</v>
      </c>
      <c r="B19" s="3">
        <v>45950</v>
      </c>
      <c r="C19">
        <f t="shared" si="0"/>
        <v>8</v>
      </c>
    </row>
    <row r="20" spans="1:3" x14ac:dyDescent="0.2">
      <c r="A20" s="3">
        <v>45704</v>
      </c>
      <c r="B20" s="3">
        <v>45950</v>
      </c>
      <c r="C20">
        <f t="shared" si="0"/>
        <v>8</v>
      </c>
    </row>
    <row r="21" spans="1:3" x14ac:dyDescent="0.2">
      <c r="A21" s="3">
        <v>45704</v>
      </c>
      <c r="B21" s="3">
        <v>45950</v>
      </c>
      <c r="C21">
        <f t="shared" si="0"/>
        <v>8</v>
      </c>
    </row>
    <row r="22" spans="1:3" x14ac:dyDescent="0.2">
      <c r="A22" s="3">
        <v>45063</v>
      </c>
      <c r="B22" s="3">
        <v>45950</v>
      </c>
      <c r="C22">
        <f t="shared" si="0"/>
        <v>29</v>
      </c>
    </row>
    <row r="23" spans="1:3" x14ac:dyDescent="0.2">
      <c r="A23" s="3">
        <v>45063</v>
      </c>
      <c r="B23" s="3">
        <v>45950</v>
      </c>
      <c r="C23">
        <f t="shared" si="0"/>
        <v>29</v>
      </c>
    </row>
    <row r="24" spans="1:3" x14ac:dyDescent="0.2">
      <c r="A24" s="3">
        <v>45063</v>
      </c>
      <c r="B24" s="3">
        <v>45950</v>
      </c>
      <c r="C24">
        <f t="shared" si="0"/>
        <v>29</v>
      </c>
    </row>
    <row r="25" spans="1:3" x14ac:dyDescent="0.2">
      <c r="A25" s="3">
        <v>45645</v>
      </c>
      <c r="B25" s="3">
        <v>45951</v>
      </c>
      <c r="C25">
        <f t="shared" si="0"/>
        <v>10</v>
      </c>
    </row>
    <row r="26" spans="1:3" x14ac:dyDescent="0.2">
      <c r="A26" s="3">
        <v>45666</v>
      </c>
      <c r="B26" s="3">
        <v>45952</v>
      </c>
      <c r="C26">
        <f t="shared" si="0"/>
        <v>9</v>
      </c>
    </row>
    <row r="27" spans="1:3" x14ac:dyDescent="0.2">
      <c r="A27" s="3">
        <v>45666</v>
      </c>
      <c r="B27" s="3">
        <v>45952</v>
      </c>
      <c r="C27">
        <f t="shared" si="0"/>
        <v>9</v>
      </c>
    </row>
    <row r="28" spans="1:3" x14ac:dyDescent="0.2">
      <c r="A28" s="3">
        <v>45769</v>
      </c>
      <c r="B28" s="3">
        <v>45954</v>
      </c>
      <c r="C28">
        <f t="shared" si="0"/>
        <v>6</v>
      </c>
    </row>
    <row r="29" spans="1:3" x14ac:dyDescent="0.2">
      <c r="A29" s="3">
        <v>45769</v>
      </c>
      <c r="B29" s="3">
        <v>45954</v>
      </c>
      <c r="C29">
        <f t="shared" si="0"/>
        <v>6</v>
      </c>
    </row>
    <row r="30" spans="1:3" x14ac:dyDescent="0.2">
      <c r="A30" s="3">
        <v>43271</v>
      </c>
      <c r="B30" s="3">
        <v>45952</v>
      </c>
      <c r="C30">
        <f t="shared" si="0"/>
        <v>88</v>
      </c>
    </row>
    <row r="31" spans="1:3" x14ac:dyDescent="0.2">
      <c r="A31" s="3">
        <v>43271</v>
      </c>
      <c r="B31" s="3">
        <v>45952</v>
      </c>
      <c r="C31">
        <f t="shared" si="0"/>
        <v>88</v>
      </c>
    </row>
    <row r="32" spans="1:3" x14ac:dyDescent="0.2">
      <c r="A32" s="3">
        <v>43571</v>
      </c>
      <c r="B32" s="3">
        <v>45950</v>
      </c>
      <c r="C32">
        <f t="shared" si="0"/>
        <v>78</v>
      </c>
    </row>
    <row r="33" spans="1:3" x14ac:dyDescent="0.2">
      <c r="A33" s="3">
        <v>43571</v>
      </c>
      <c r="B33" s="3">
        <v>45950</v>
      </c>
      <c r="C33">
        <f t="shared" si="0"/>
        <v>78</v>
      </c>
    </row>
    <row r="34" spans="1:3" x14ac:dyDescent="0.2">
      <c r="A34" s="3">
        <v>44944</v>
      </c>
      <c r="B34" s="3">
        <v>45950</v>
      </c>
      <c r="C34">
        <f t="shared" si="0"/>
        <v>33</v>
      </c>
    </row>
    <row r="35" spans="1:3" x14ac:dyDescent="0.2">
      <c r="A35" s="3">
        <v>44944</v>
      </c>
      <c r="B35" s="3">
        <v>45950</v>
      </c>
      <c r="C35">
        <f t="shared" si="0"/>
        <v>33</v>
      </c>
    </row>
    <row r="36" spans="1:3" x14ac:dyDescent="0.2">
      <c r="A36" s="3">
        <v>45708</v>
      </c>
      <c r="B36" s="3">
        <v>45952</v>
      </c>
      <c r="C36">
        <f t="shared" si="0"/>
        <v>8</v>
      </c>
    </row>
    <row r="37" spans="1:3" x14ac:dyDescent="0.2">
      <c r="A37" s="3">
        <v>45281</v>
      </c>
      <c r="B37" s="3">
        <v>45953</v>
      </c>
      <c r="C37">
        <f t="shared" si="0"/>
        <v>22</v>
      </c>
    </row>
    <row r="38" spans="1:3" x14ac:dyDescent="0.2">
      <c r="A38" s="3">
        <v>45281</v>
      </c>
      <c r="B38" s="3">
        <v>45953</v>
      </c>
      <c r="C38">
        <f t="shared" si="0"/>
        <v>22</v>
      </c>
    </row>
    <row r="39" spans="1:3" x14ac:dyDescent="0.2">
      <c r="A39" s="3">
        <v>45679</v>
      </c>
      <c r="B39" s="3">
        <v>45954</v>
      </c>
      <c r="C39">
        <f t="shared" si="0"/>
        <v>9</v>
      </c>
    </row>
    <row r="40" spans="1:3" x14ac:dyDescent="0.2">
      <c r="A40" s="3">
        <v>45679</v>
      </c>
      <c r="B40" s="3">
        <v>45954</v>
      </c>
      <c r="C40">
        <f t="shared" si="0"/>
        <v>9</v>
      </c>
    </row>
    <row r="41" spans="1:3" x14ac:dyDescent="0.2">
      <c r="A41" s="3">
        <v>45952</v>
      </c>
      <c r="B41" s="3">
        <v>45954</v>
      </c>
      <c r="C41">
        <f t="shared" si="0"/>
        <v>0</v>
      </c>
    </row>
    <row r="42" spans="1:3" x14ac:dyDescent="0.2">
      <c r="A42" s="3">
        <v>45952</v>
      </c>
      <c r="B42" s="3">
        <v>45954</v>
      </c>
      <c r="C42">
        <f t="shared" si="0"/>
        <v>0</v>
      </c>
    </row>
    <row r="43" spans="1:3" x14ac:dyDescent="0.2">
      <c r="A43" s="3">
        <v>45307</v>
      </c>
      <c r="B43" s="3">
        <v>45950</v>
      </c>
      <c r="C43">
        <f t="shared" si="0"/>
        <v>21</v>
      </c>
    </row>
    <row r="44" spans="1:3" x14ac:dyDescent="0.2">
      <c r="A44" s="3">
        <v>45307</v>
      </c>
      <c r="B44" s="3">
        <v>45950</v>
      </c>
      <c r="C44">
        <f t="shared" si="0"/>
        <v>21</v>
      </c>
    </row>
    <row r="45" spans="1:3" x14ac:dyDescent="0.2">
      <c r="A45" s="3">
        <v>45673</v>
      </c>
      <c r="B45" s="3">
        <v>45950</v>
      </c>
      <c r="C45">
        <f t="shared" si="0"/>
        <v>9</v>
      </c>
    </row>
    <row r="46" spans="1:3" x14ac:dyDescent="0.2">
      <c r="A46" s="3">
        <v>45947</v>
      </c>
      <c r="B46" s="3">
        <v>45950</v>
      </c>
      <c r="C46">
        <f t="shared" si="0"/>
        <v>0</v>
      </c>
    </row>
    <row r="47" spans="1:3" x14ac:dyDescent="0.2">
      <c r="A47" s="3">
        <v>45520</v>
      </c>
      <c r="B47" s="3">
        <v>45950</v>
      </c>
      <c r="C47">
        <f t="shared" si="0"/>
        <v>14</v>
      </c>
    </row>
    <row r="48" spans="1:3" x14ac:dyDescent="0.2">
      <c r="A48" s="3">
        <v>45520</v>
      </c>
      <c r="B48" s="3">
        <v>45950</v>
      </c>
      <c r="C48">
        <f t="shared" si="0"/>
        <v>14</v>
      </c>
    </row>
    <row r="49" spans="1:3" x14ac:dyDescent="0.2">
      <c r="A49" s="3">
        <v>45491</v>
      </c>
      <c r="B49" s="3">
        <v>45950</v>
      </c>
      <c r="C49">
        <f t="shared" si="0"/>
        <v>15</v>
      </c>
    </row>
    <row r="50" spans="1:3" x14ac:dyDescent="0.2">
      <c r="A50" s="3">
        <v>45491</v>
      </c>
      <c r="B50" s="3">
        <v>45950</v>
      </c>
      <c r="C50">
        <f t="shared" si="0"/>
        <v>15</v>
      </c>
    </row>
    <row r="51" spans="1:3" x14ac:dyDescent="0.2">
      <c r="A51" s="3">
        <v>45433</v>
      </c>
      <c r="B51" s="3">
        <v>45953</v>
      </c>
      <c r="C51">
        <f t="shared" si="0"/>
        <v>17</v>
      </c>
    </row>
    <row r="52" spans="1:3" x14ac:dyDescent="0.2">
      <c r="A52" s="3">
        <v>45433</v>
      </c>
      <c r="B52" s="3">
        <v>45953</v>
      </c>
      <c r="C52">
        <f t="shared" si="0"/>
        <v>17</v>
      </c>
    </row>
    <row r="53" spans="1:3" x14ac:dyDescent="0.2">
      <c r="A53" s="3">
        <v>45520</v>
      </c>
      <c r="B53" s="3">
        <v>45950</v>
      </c>
      <c r="C53">
        <f t="shared" si="0"/>
        <v>14</v>
      </c>
    </row>
    <row r="54" spans="1:3" x14ac:dyDescent="0.2">
      <c r="A54" s="3">
        <v>45520</v>
      </c>
      <c r="B54" s="3">
        <v>45950</v>
      </c>
      <c r="C54">
        <f t="shared" si="0"/>
        <v>14</v>
      </c>
    </row>
    <row r="55" spans="1:3" x14ac:dyDescent="0.2">
      <c r="A55" s="3">
        <v>45526</v>
      </c>
      <c r="B55" s="3">
        <v>45954</v>
      </c>
      <c r="C55">
        <f t="shared" si="0"/>
        <v>14</v>
      </c>
    </row>
    <row r="56" spans="1:3" x14ac:dyDescent="0.2">
      <c r="A56" s="3">
        <v>45526</v>
      </c>
      <c r="B56" s="3">
        <v>45954</v>
      </c>
      <c r="C56">
        <f t="shared" si="0"/>
        <v>14</v>
      </c>
    </row>
    <row r="57" spans="1:3" x14ac:dyDescent="0.2">
      <c r="A57" s="3">
        <v>45948</v>
      </c>
      <c r="B57" s="3">
        <v>45950</v>
      </c>
      <c r="C57">
        <f t="shared" si="0"/>
        <v>0</v>
      </c>
    </row>
    <row r="58" spans="1:3" x14ac:dyDescent="0.2">
      <c r="A58" s="3">
        <v>45948</v>
      </c>
      <c r="B58" s="3">
        <v>45950</v>
      </c>
      <c r="C58">
        <f t="shared" si="0"/>
        <v>0</v>
      </c>
    </row>
    <row r="59" spans="1:3" x14ac:dyDescent="0.2">
      <c r="A59" s="3">
        <v>45433</v>
      </c>
      <c r="B59" s="3">
        <v>45953</v>
      </c>
      <c r="C59">
        <f t="shared" si="0"/>
        <v>17</v>
      </c>
    </row>
    <row r="60" spans="1:3" x14ac:dyDescent="0.2">
      <c r="A60" s="3">
        <v>45433</v>
      </c>
      <c r="B60" s="3">
        <v>45953</v>
      </c>
      <c r="C60">
        <f t="shared" si="0"/>
        <v>17</v>
      </c>
    </row>
    <row r="61" spans="1:3" x14ac:dyDescent="0.2">
      <c r="A61" s="3">
        <v>45678</v>
      </c>
      <c r="B61" s="3">
        <v>45953</v>
      </c>
      <c r="C61">
        <f t="shared" si="0"/>
        <v>9</v>
      </c>
    </row>
    <row r="62" spans="1:3" x14ac:dyDescent="0.2">
      <c r="A62" s="3">
        <v>45647</v>
      </c>
      <c r="B62" s="3">
        <v>45953</v>
      </c>
      <c r="C62">
        <f t="shared" si="0"/>
        <v>10</v>
      </c>
    </row>
    <row r="63" spans="1:3" x14ac:dyDescent="0.2">
      <c r="A63" s="3">
        <v>45674</v>
      </c>
      <c r="B63" s="3">
        <v>45950</v>
      </c>
      <c r="C63">
        <f t="shared" si="0"/>
        <v>9</v>
      </c>
    </row>
    <row r="64" spans="1:3" x14ac:dyDescent="0.2">
      <c r="A64" s="3">
        <v>45461</v>
      </c>
      <c r="B64" s="3">
        <v>45950</v>
      </c>
      <c r="C64">
        <f t="shared" si="0"/>
        <v>16</v>
      </c>
    </row>
    <row r="65" spans="1:3" x14ac:dyDescent="0.2">
      <c r="A65" s="3">
        <v>45461</v>
      </c>
      <c r="B65" s="3">
        <v>45950</v>
      </c>
      <c r="C65">
        <f t="shared" si="0"/>
        <v>16</v>
      </c>
    </row>
    <row r="66" spans="1:3" x14ac:dyDescent="0.2">
      <c r="A66" s="3">
        <v>45677</v>
      </c>
      <c r="B66" s="3">
        <v>45952</v>
      </c>
      <c r="C66">
        <f t="shared" ref="C66:C129" si="1">DATEDIF(A66,B66,"M")</f>
        <v>9</v>
      </c>
    </row>
    <row r="67" spans="1:3" x14ac:dyDescent="0.2">
      <c r="A67" s="3">
        <v>45400</v>
      </c>
      <c r="B67" s="3">
        <v>45950</v>
      </c>
      <c r="C67">
        <f t="shared" si="1"/>
        <v>18</v>
      </c>
    </row>
    <row r="68" spans="1:3" x14ac:dyDescent="0.2">
      <c r="A68" s="3">
        <v>45950</v>
      </c>
      <c r="B68" s="3">
        <v>45952</v>
      </c>
      <c r="C68">
        <f t="shared" si="1"/>
        <v>0</v>
      </c>
    </row>
    <row r="69" spans="1:3" x14ac:dyDescent="0.2">
      <c r="A69" s="3">
        <v>45856</v>
      </c>
      <c r="B69" s="3">
        <v>45950</v>
      </c>
      <c r="C69">
        <f t="shared" si="1"/>
        <v>3</v>
      </c>
    </row>
    <row r="70" spans="1:3" x14ac:dyDescent="0.2">
      <c r="A70" s="3">
        <v>45856</v>
      </c>
      <c r="B70" s="3">
        <v>45950</v>
      </c>
      <c r="C70">
        <f t="shared" si="1"/>
        <v>3</v>
      </c>
    </row>
    <row r="71" spans="1:3" x14ac:dyDescent="0.2">
      <c r="A71" s="3">
        <v>45793</v>
      </c>
      <c r="B71" s="3">
        <v>45950</v>
      </c>
      <c r="C71">
        <f t="shared" si="1"/>
        <v>5</v>
      </c>
    </row>
    <row r="72" spans="1:3" x14ac:dyDescent="0.2">
      <c r="A72" s="3">
        <v>45793</v>
      </c>
      <c r="B72" s="3">
        <v>45950</v>
      </c>
      <c r="C72">
        <f t="shared" si="1"/>
        <v>5</v>
      </c>
    </row>
    <row r="73" spans="1:3" x14ac:dyDescent="0.2">
      <c r="A73" s="3">
        <v>45763</v>
      </c>
      <c r="B73" s="3">
        <v>45950</v>
      </c>
      <c r="C73">
        <f t="shared" si="1"/>
        <v>6</v>
      </c>
    </row>
    <row r="74" spans="1:3" x14ac:dyDescent="0.2">
      <c r="A74" s="3">
        <v>45763</v>
      </c>
      <c r="B74" s="3">
        <v>45950</v>
      </c>
      <c r="C74">
        <f t="shared" si="1"/>
        <v>6</v>
      </c>
    </row>
    <row r="75" spans="1:3" x14ac:dyDescent="0.2">
      <c r="A75" s="3">
        <v>45526</v>
      </c>
      <c r="B75" s="3">
        <v>45954</v>
      </c>
      <c r="C75">
        <f t="shared" si="1"/>
        <v>14</v>
      </c>
    </row>
    <row r="76" spans="1:3" x14ac:dyDescent="0.2">
      <c r="A76" s="3">
        <v>45526</v>
      </c>
      <c r="B76" s="3">
        <v>45954</v>
      </c>
      <c r="C76">
        <f t="shared" si="1"/>
        <v>14</v>
      </c>
    </row>
    <row r="77" spans="1:3" x14ac:dyDescent="0.2">
      <c r="A77" s="3">
        <v>45678</v>
      </c>
      <c r="B77" s="3">
        <v>45953</v>
      </c>
      <c r="C77">
        <f t="shared" si="1"/>
        <v>9</v>
      </c>
    </row>
    <row r="78" spans="1:3" x14ac:dyDescent="0.2">
      <c r="A78" s="3">
        <v>45678</v>
      </c>
      <c r="B78" s="3">
        <v>45953</v>
      </c>
      <c r="C78">
        <f t="shared" si="1"/>
        <v>9</v>
      </c>
    </row>
    <row r="79" spans="1:3" x14ac:dyDescent="0.2">
      <c r="A79" s="3">
        <v>45678</v>
      </c>
      <c r="B79" s="3">
        <v>45953</v>
      </c>
      <c r="C79">
        <f t="shared" si="1"/>
        <v>9</v>
      </c>
    </row>
    <row r="80" spans="1:3" x14ac:dyDescent="0.2">
      <c r="A80" s="3">
        <v>45278</v>
      </c>
      <c r="B80" s="3">
        <v>45950</v>
      </c>
      <c r="C80">
        <f t="shared" si="1"/>
        <v>22</v>
      </c>
    </row>
    <row r="81" spans="1:3" x14ac:dyDescent="0.2">
      <c r="A81" s="3">
        <v>45949</v>
      </c>
      <c r="B81" s="3">
        <v>45951</v>
      </c>
      <c r="C81">
        <f t="shared" si="1"/>
        <v>0</v>
      </c>
    </row>
    <row r="82" spans="1:3" x14ac:dyDescent="0.2">
      <c r="A82" s="3">
        <v>45828</v>
      </c>
      <c r="B82" s="3">
        <v>45952</v>
      </c>
      <c r="C82">
        <f t="shared" si="1"/>
        <v>4</v>
      </c>
    </row>
    <row r="83" spans="1:3" x14ac:dyDescent="0.2">
      <c r="A83" s="3">
        <v>45828</v>
      </c>
      <c r="B83" s="3">
        <v>45952</v>
      </c>
      <c r="C83">
        <f t="shared" si="1"/>
        <v>4</v>
      </c>
    </row>
    <row r="84" spans="1:3" x14ac:dyDescent="0.2">
      <c r="A84" s="3">
        <v>45828</v>
      </c>
      <c r="B84" s="3">
        <v>45952</v>
      </c>
      <c r="C84">
        <f t="shared" si="1"/>
        <v>4</v>
      </c>
    </row>
    <row r="85" spans="1:3" x14ac:dyDescent="0.2">
      <c r="A85" s="3">
        <v>45708</v>
      </c>
      <c r="B85" s="3">
        <v>45952</v>
      </c>
      <c r="C85">
        <f t="shared" si="1"/>
        <v>8</v>
      </c>
    </row>
    <row r="86" spans="1:3" x14ac:dyDescent="0.2">
      <c r="A86" s="3">
        <v>45734</v>
      </c>
      <c r="B86" s="3">
        <v>45950</v>
      </c>
      <c r="C86">
        <f t="shared" si="1"/>
        <v>7</v>
      </c>
    </row>
    <row r="87" spans="1:3" x14ac:dyDescent="0.2">
      <c r="A87" s="3">
        <v>45734</v>
      </c>
      <c r="B87" s="3">
        <v>45950</v>
      </c>
      <c r="C87">
        <f t="shared" si="1"/>
        <v>7</v>
      </c>
    </row>
    <row r="88" spans="1:3" x14ac:dyDescent="0.2">
      <c r="A88" s="3">
        <v>45520</v>
      </c>
      <c r="B88" s="3">
        <v>45950</v>
      </c>
      <c r="C88">
        <f t="shared" si="1"/>
        <v>14</v>
      </c>
    </row>
    <row r="89" spans="1:3" x14ac:dyDescent="0.2">
      <c r="A89" s="3">
        <v>45520</v>
      </c>
      <c r="B89" s="3">
        <v>45950</v>
      </c>
      <c r="C89">
        <f t="shared" si="1"/>
        <v>14</v>
      </c>
    </row>
    <row r="90" spans="1:3" x14ac:dyDescent="0.2">
      <c r="A90" s="3">
        <v>45521</v>
      </c>
      <c r="B90" s="3">
        <v>45952</v>
      </c>
      <c r="C90">
        <f t="shared" si="1"/>
        <v>14</v>
      </c>
    </row>
    <row r="91" spans="1:3" x14ac:dyDescent="0.2">
      <c r="A91" s="3">
        <v>45521</v>
      </c>
      <c r="B91" s="3">
        <v>45952</v>
      </c>
      <c r="C91">
        <f t="shared" si="1"/>
        <v>14</v>
      </c>
    </row>
    <row r="92" spans="1:3" x14ac:dyDescent="0.2">
      <c r="A92" s="3">
        <v>45524</v>
      </c>
      <c r="B92" s="3">
        <v>45952</v>
      </c>
      <c r="C92">
        <f t="shared" si="1"/>
        <v>14</v>
      </c>
    </row>
    <row r="93" spans="1:3" x14ac:dyDescent="0.2">
      <c r="A93" s="3">
        <v>45524</v>
      </c>
      <c r="B93" s="3">
        <v>45952</v>
      </c>
      <c r="C93">
        <f t="shared" si="1"/>
        <v>14</v>
      </c>
    </row>
    <row r="94" spans="1:3" x14ac:dyDescent="0.2">
      <c r="A94" s="3">
        <v>45888</v>
      </c>
      <c r="B94" s="3">
        <v>45951</v>
      </c>
      <c r="C94">
        <f t="shared" si="1"/>
        <v>2</v>
      </c>
    </row>
    <row r="95" spans="1:3" x14ac:dyDescent="0.2">
      <c r="A95" s="3">
        <v>45615</v>
      </c>
      <c r="B95" s="3">
        <v>45951</v>
      </c>
      <c r="C95">
        <f t="shared" si="1"/>
        <v>11</v>
      </c>
    </row>
    <row r="96" spans="1:3" x14ac:dyDescent="0.2">
      <c r="A96" s="3">
        <v>45615</v>
      </c>
      <c r="B96" s="3">
        <v>45951</v>
      </c>
      <c r="C96">
        <f t="shared" si="1"/>
        <v>11</v>
      </c>
    </row>
    <row r="97" spans="1:3" x14ac:dyDescent="0.2">
      <c r="A97" s="3">
        <v>45615</v>
      </c>
      <c r="B97" s="3">
        <v>45951</v>
      </c>
      <c r="C97">
        <f t="shared" si="1"/>
        <v>11</v>
      </c>
    </row>
    <row r="98" spans="1:3" x14ac:dyDescent="0.2">
      <c r="A98" s="3">
        <v>45615</v>
      </c>
      <c r="B98" s="3">
        <v>45951</v>
      </c>
      <c r="C98">
        <f t="shared" si="1"/>
        <v>11</v>
      </c>
    </row>
    <row r="99" spans="1:3" x14ac:dyDescent="0.2">
      <c r="A99" s="3">
        <v>45615</v>
      </c>
      <c r="B99" s="3">
        <v>45951</v>
      </c>
      <c r="C99">
        <f t="shared" si="1"/>
        <v>11</v>
      </c>
    </row>
    <row r="100" spans="1:3" x14ac:dyDescent="0.2">
      <c r="A100" s="3">
        <v>45855</v>
      </c>
      <c r="B100" s="3">
        <v>45950</v>
      </c>
      <c r="C100">
        <f t="shared" si="1"/>
        <v>3</v>
      </c>
    </row>
    <row r="101" spans="1:3" x14ac:dyDescent="0.2">
      <c r="A101" s="3">
        <v>45247</v>
      </c>
      <c r="B101" s="3">
        <v>45950</v>
      </c>
      <c r="C101">
        <f t="shared" si="1"/>
        <v>23</v>
      </c>
    </row>
    <row r="102" spans="1:3" x14ac:dyDescent="0.2">
      <c r="A102" s="3">
        <v>45247</v>
      </c>
      <c r="B102" s="3">
        <v>45950</v>
      </c>
      <c r="C102">
        <f t="shared" si="1"/>
        <v>23</v>
      </c>
    </row>
    <row r="103" spans="1:3" x14ac:dyDescent="0.2">
      <c r="A103" s="3">
        <v>45247</v>
      </c>
      <c r="B103" s="3">
        <v>45950</v>
      </c>
      <c r="C103">
        <f t="shared" si="1"/>
        <v>23</v>
      </c>
    </row>
    <row r="104" spans="1:3" x14ac:dyDescent="0.2">
      <c r="A104" s="3">
        <v>45247</v>
      </c>
      <c r="B104" s="3">
        <v>45950</v>
      </c>
      <c r="C104">
        <f t="shared" si="1"/>
        <v>23</v>
      </c>
    </row>
    <row r="105" spans="1:3" x14ac:dyDescent="0.2">
      <c r="A105" s="3">
        <v>45311</v>
      </c>
      <c r="B105" s="3">
        <v>45952</v>
      </c>
      <c r="C105">
        <f t="shared" si="1"/>
        <v>21</v>
      </c>
    </row>
    <row r="106" spans="1:3" x14ac:dyDescent="0.2">
      <c r="A106" s="3">
        <v>45311</v>
      </c>
      <c r="B106" s="3">
        <v>45952</v>
      </c>
      <c r="C106">
        <f t="shared" si="1"/>
        <v>21</v>
      </c>
    </row>
    <row r="107" spans="1:3" x14ac:dyDescent="0.2">
      <c r="A107" s="3">
        <v>45679</v>
      </c>
      <c r="B107" s="3">
        <v>45954</v>
      </c>
      <c r="C107">
        <f t="shared" si="1"/>
        <v>9</v>
      </c>
    </row>
    <row r="108" spans="1:3" x14ac:dyDescent="0.2">
      <c r="A108" s="3">
        <v>45644</v>
      </c>
      <c r="B108" s="3">
        <v>45950</v>
      </c>
      <c r="C108">
        <f t="shared" si="1"/>
        <v>10</v>
      </c>
    </row>
    <row r="109" spans="1:3" x14ac:dyDescent="0.2">
      <c r="A109" s="3">
        <v>45465</v>
      </c>
      <c r="B109" s="3">
        <v>45954</v>
      </c>
      <c r="C109">
        <f t="shared" si="1"/>
        <v>16</v>
      </c>
    </row>
    <row r="110" spans="1:3" x14ac:dyDescent="0.2">
      <c r="A110" s="3">
        <v>45465</v>
      </c>
      <c r="B110" s="3">
        <v>45954</v>
      </c>
      <c r="C110">
        <f t="shared" si="1"/>
        <v>16</v>
      </c>
    </row>
    <row r="111" spans="1:3" x14ac:dyDescent="0.2">
      <c r="A111" s="3">
        <v>45465</v>
      </c>
      <c r="B111" s="3">
        <v>45954</v>
      </c>
      <c r="C111">
        <f t="shared" si="1"/>
        <v>16</v>
      </c>
    </row>
    <row r="112" spans="1:3" x14ac:dyDescent="0.2">
      <c r="A112" s="3">
        <v>45433</v>
      </c>
      <c r="B112" s="3">
        <v>45953</v>
      </c>
      <c r="C112">
        <f t="shared" si="1"/>
        <v>17</v>
      </c>
    </row>
    <row r="113" spans="1:3" x14ac:dyDescent="0.2">
      <c r="A113" s="3">
        <v>45433</v>
      </c>
      <c r="B113" s="3">
        <v>45953</v>
      </c>
      <c r="C113">
        <f t="shared" si="1"/>
        <v>17</v>
      </c>
    </row>
    <row r="114" spans="1:3" x14ac:dyDescent="0.2">
      <c r="A114" s="3">
        <v>45763</v>
      </c>
      <c r="B114" s="3">
        <v>45950</v>
      </c>
      <c r="C114">
        <f t="shared" si="1"/>
        <v>6</v>
      </c>
    </row>
    <row r="115" spans="1:3" x14ac:dyDescent="0.2">
      <c r="A115" s="3">
        <v>45763</v>
      </c>
      <c r="B115" s="3">
        <v>45950</v>
      </c>
      <c r="C115">
        <f t="shared" si="1"/>
        <v>6</v>
      </c>
    </row>
    <row r="116" spans="1:3" x14ac:dyDescent="0.2">
      <c r="A116" s="3">
        <v>45763</v>
      </c>
      <c r="B116" s="3">
        <v>45950</v>
      </c>
      <c r="C116">
        <f t="shared" si="1"/>
        <v>6</v>
      </c>
    </row>
    <row r="117" spans="1:3" x14ac:dyDescent="0.2">
      <c r="A117" s="3">
        <v>45489</v>
      </c>
      <c r="B117" s="3">
        <v>45950</v>
      </c>
      <c r="C117">
        <f t="shared" si="1"/>
        <v>15</v>
      </c>
    </row>
    <row r="118" spans="1:3" x14ac:dyDescent="0.2">
      <c r="A118" s="3">
        <v>45489</v>
      </c>
      <c r="B118" s="3">
        <v>45950</v>
      </c>
      <c r="C118">
        <f t="shared" si="1"/>
        <v>15</v>
      </c>
    </row>
    <row r="119" spans="1:3" x14ac:dyDescent="0.2">
      <c r="A119" s="3">
        <v>45891</v>
      </c>
      <c r="B119" s="3">
        <v>45954</v>
      </c>
      <c r="C119">
        <f t="shared" si="1"/>
        <v>2</v>
      </c>
    </row>
    <row r="120" spans="1:3" x14ac:dyDescent="0.2">
      <c r="A120" s="3">
        <v>45891</v>
      </c>
      <c r="B120" s="3">
        <v>45954</v>
      </c>
      <c r="C120">
        <f t="shared" si="1"/>
        <v>2</v>
      </c>
    </row>
    <row r="121" spans="1:3" x14ac:dyDescent="0.2">
      <c r="A121" s="3">
        <v>45552</v>
      </c>
      <c r="B121" s="3">
        <v>45950</v>
      </c>
      <c r="C121">
        <f t="shared" si="1"/>
        <v>13</v>
      </c>
    </row>
    <row r="122" spans="1:3" x14ac:dyDescent="0.2">
      <c r="A122" s="3">
        <v>45552</v>
      </c>
      <c r="B122" s="3">
        <v>45950</v>
      </c>
      <c r="C122">
        <f t="shared" si="1"/>
        <v>13</v>
      </c>
    </row>
    <row r="123" spans="1:3" x14ac:dyDescent="0.2">
      <c r="A123" s="3">
        <v>45552</v>
      </c>
      <c r="B123" s="3">
        <v>45950</v>
      </c>
      <c r="C123">
        <f t="shared" si="1"/>
        <v>13</v>
      </c>
    </row>
    <row r="124" spans="1:3" x14ac:dyDescent="0.2">
      <c r="A124" s="3">
        <v>45857</v>
      </c>
      <c r="B124" s="3">
        <v>45951</v>
      </c>
      <c r="C124">
        <f t="shared" si="1"/>
        <v>3</v>
      </c>
    </row>
    <row r="125" spans="1:3" x14ac:dyDescent="0.2">
      <c r="A125" s="3">
        <v>45857</v>
      </c>
      <c r="B125" s="3">
        <v>45951</v>
      </c>
      <c r="C125">
        <f t="shared" si="1"/>
        <v>3</v>
      </c>
    </row>
    <row r="126" spans="1:3" x14ac:dyDescent="0.2">
      <c r="A126" s="3">
        <v>45307</v>
      </c>
      <c r="B126" s="3">
        <v>45950</v>
      </c>
      <c r="C126">
        <f t="shared" si="1"/>
        <v>21</v>
      </c>
    </row>
    <row r="127" spans="1:3" x14ac:dyDescent="0.2">
      <c r="A127" s="3">
        <v>45307</v>
      </c>
      <c r="B127" s="3">
        <v>45950</v>
      </c>
      <c r="C127">
        <f t="shared" si="1"/>
        <v>21</v>
      </c>
    </row>
    <row r="128" spans="1:3" x14ac:dyDescent="0.2">
      <c r="A128" s="3">
        <v>45307</v>
      </c>
      <c r="B128" s="3">
        <v>45950</v>
      </c>
      <c r="C128">
        <f t="shared" si="1"/>
        <v>21</v>
      </c>
    </row>
    <row r="129" spans="1:3" x14ac:dyDescent="0.2">
      <c r="A129" s="3">
        <v>45428</v>
      </c>
      <c r="B129" s="3">
        <v>45950</v>
      </c>
      <c r="C129">
        <f t="shared" si="1"/>
        <v>17</v>
      </c>
    </row>
    <row r="130" spans="1:3" x14ac:dyDescent="0.2">
      <c r="A130" s="3">
        <v>45428</v>
      </c>
      <c r="B130" s="3">
        <v>45950</v>
      </c>
      <c r="C130">
        <f t="shared" ref="C130:C193" si="2">DATEDIF(A130,B130,"M")</f>
        <v>17</v>
      </c>
    </row>
    <row r="131" spans="1:3" x14ac:dyDescent="0.2">
      <c r="A131" s="3">
        <v>45491</v>
      </c>
      <c r="B131" s="3">
        <v>45950</v>
      </c>
      <c r="C131">
        <f t="shared" si="2"/>
        <v>15</v>
      </c>
    </row>
    <row r="132" spans="1:3" x14ac:dyDescent="0.2">
      <c r="A132" s="3">
        <v>45491</v>
      </c>
      <c r="B132" s="3">
        <v>45950</v>
      </c>
      <c r="C132">
        <f t="shared" si="2"/>
        <v>15</v>
      </c>
    </row>
    <row r="133" spans="1:3" x14ac:dyDescent="0.2">
      <c r="A133" s="3">
        <v>45491</v>
      </c>
      <c r="B133" s="3">
        <v>45950</v>
      </c>
      <c r="C133">
        <f t="shared" si="2"/>
        <v>15</v>
      </c>
    </row>
    <row r="134" spans="1:3" x14ac:dyDescent="0.2">
      <c r="A134" s="3">
        <v>45491</v>
      </c>
      <c r="B134" s="3">
        <v>45950</v>
      </c>
      <c r="C134">
        <f t="shared" si="2"/>
        <v>15</v>
      </c>
    </row>
    <row r="135" spans="1:3" x14ac:dyDescent="0.2">
      <c r="A135" s="3">
        <v>45491</v>
      </c>
      <c r="B135" s="3">
        <v>45950</v>
      </c>
      <c r="C135">
        <f t="shared" si="2"/>
        <v>15</v>
      </c>
    </row>
    <row r="136" spans="1:3" x14ac:dyDescent="0.2">
      <c r="A136" s="3">
        <v>45673</v>
      </c>
      <c r="B136" s="3">
        <v>45950</v>
      </c>
      <c r="C136">
        <f t="shared" si="2"/>
        <v>9</v>
      </c>
    </row>
    <row r="137" spans="1:3" x14ac:dyDescent="0.2">
      <c r="A137" s="3">
        <v>45583</v>
      </c>
      <c r="B137" s="3">
        <v>45950</v>
      </c>
      <c r="C137">
        <f t="shared" si="2"/>
        <v>12</v>
      </c>
    </row>
    <row r="138" spans="1:3" x14ac:dyDescent="0.2">
      <c r="A138" s="3">
        <v>45673</v>
      </c>
      <c r="B138" s="3">
        <v>45950</v>
      </c>
      <c r="C138">
        <f t="shared" si="2"/>
        <v>9</v>
      </c>
    </row>
    <row r="139" spans="1:3" x14ac:dyDescent="0.2">
      <c r="A139" s="3">
        <v>45673</v>
      </c>
      <c r="B139" s="3">
        <v>45950</v>
      </c>
      <c r="C139">
        <f t="shared" si="2"/>
        <v>9</v>
      </c>
    </row>
    <row r="140" spans="1:3" x14ac:dyDescent="0.2">
      <c r="A140" s="3">
        <v>45673</v>
      </c>
      <c r="B140" s="3">
        <v>45950</v>
      </c>
      <c r="C140">
        <f t="shared" si="2"/>
        <v>9</v>
      </c>
    </row>
    <row r="141" spans="1:3" x14ac:dyDescent="0.2">
      <c r="A141" s="3">
        <v>45556</v>
      </c>
      <c r="B141" s="3">
        <v>45953</v>
      </c>
      <c r="C141">
        <f t="shared" si="2"/>
        <v>13</v>
      </c>
    </row>
    <row r="142" spans="1:3" x14ac:dyDescent="0.2">
      <c r="A142" s="3">
        <v>45556</v>
      </c>
      <c r="B142" s="3">
        <v>45953</v>
      </c>
      <c r="C142">
        <f t="shared" si="2"/>
        <v>13</v>
      </c>
    </row>
    <row r="143" spans="1:3" x14ac:dyDescent="0.2">
      <c r="A143" s="3">
        <v>45553</v>
      </c>
      <c r="B143" s="3">
        <v>45950</v>
      </c>
      <c r="C143">
        <f t="shared" si="2"/>
        <v>13</v>
      </c>
    </row>
    <row r="144" spans="1:3" x14ac:dyDescent="0.2">
      <c r="A144" s="3">
        <v>45553</v>
      </c>
      <c r="B144" s="3">
        <v>45950</v>
      </c>
      <c r="C144">
        <f t="shared" si="2"/>
        <v>13</v>
      </c>
    </row>
    <row r="145" spans="1:3" x14ac:dyDescent="0.2">
      <c r="A145" s="3">
        <v>45764</v>
      </c>
      <c r="B145" s="3">
        <v>45950</v>
      </c>
      <c r="C145">
        <f t="shared" si="2"/>
        <v>6</v>
      </c>
    </row>
    <row r="146" spans="1:3" x14ac:dyDescent="0.2">
      <c r="A146" s="3">
        <v>45764</v>
      </c>
      <c r="B146" s="3">
        <v>45950</v>
      </c>
      <c r="C146">
        <f t="shared" si="2"/>
        <v>6</v>
      </c>
    </row>
    <row r="147" spans="1:3" x14ac:dyDescent="0.2">
      <c r="A147" s="3">
        <v>45764</v>
      </c>
      <c r="B147" s="3">
        <v>45950</v>
      </c>
      <c r="C147">
        <f t="shared" si="2"/>
        <v>6</v>
      </c>
    </row>
    <row r="148" spans="1:3" x14ac:dyDescent="0.2">
      <c r="A148" s="3">
        <v>45617</v>
      </c>
      <c r="B148" s="3">
        <v>45953</v>
      </c>
      <c r="C148">
        <f t="shared" si="2"/>
        <v>11</v>
      </c>
    </row>
    <row r="149" spans="1:3" x14ac:dyDescent="0.2">
      <c r="A149" s="3">
        <v>45552</v>
      </c>
      <c r="B149" s="3">
        <v>45950</v>
      </c>
      <c r="C149">
        <f t="shared" si="2"/>
        <v>13</v>
      </c>
    </row>
    <row r="150" spans="1:3" x14ac:dyDescent="0.2">
      <c r="A150" s="3">
        <v>45552</v>
      </c>
      <c r="B150" s="3">
        <v>45950</v>
      </c>
      <c r="C150">
        <f t="shared" si="2"/>
        <v>13</v>
      </c>
    </row>
    <row r="151" spans="1:3" x14ac:dyDescent="0.2">
      <c r="A151" s="3">
        <v>45647</v>
      </c>
      <c r="B151" s="3">
        <v>45953</v>
      </c>
      <c r="C151">
        <f t="shared" si="2"/>
        <v>10</v>
      </c>
    </row>
    <row r="152" spans="1:3" x14ac:dyDescent="0.2">
      <c r="A152" s="3">
        <v>45647</v>
      </c>
      <c r="B152" s="3">
        <v>45953</v>
      </c>
      <c r="C152">
        <f t="shared" si="2"/>
        <v>10</v>
      </c>
    </row>
    <row r="153" spans="1:3" x14ac:dyDescent="0.2">
      <c r="A153" s="3">
        <v>45857</v>
      </c>
      <c r="B153" s="3">
        <v>45951</v>
      </c>
      <c r="C153">
        <f t="shared" si="2"/>
        <v>3</v>
      </c>
    </row>
    <row r="154" spans="1:3" x14ac:dyDescent="0.2">
      <c r="A154" s="3">
        <v>45857</v>
      </c>
      <c r="B154" s="3">
        <v>45951</v>
      </c>
      <c r="C154">
        <f t="shared" si="2"/>
        <v>3</v>
      </c>
    </row>
    <row r="155" spans="1:3" x14ac:dyDescent="0.2">
      <c r="A155" s="3">
        <v>45643</v>
      </c>
      <c r="B155" s="3">
        <v>45950</v>
      </c>
      <c r="C155">
        <f t="shared" si="2"/>
        <v>10</v>
      </c>
    </row>
    <row r="156" spans="1:3" x14ac:dyDescent="0.2">
      <c r="A156" s="3">
        <v>45643</v>
      </c>
      <c r="B156" s="3">
        <v>45950</v>
      </c>
      <c r="C156">
        <f t="shared" si="2"/>
        <v>10</v>
      </c>
    </row>
    <row r="157" spans="1:3" x14ac:dyDescent="0.2">
      <c r="A157" s="3">
        <v>45555</v>
      </c>
      <c r="B157" s="3">
        <v>45952</v>
      </c>
      <c r="C157">
        <f t="shared" si="2"/>
        <v>13</v>
      </c>
    </row>
    <row r="158" spans="1:3" x14ac:dyDescent="0.2">
      <c r="A158" s="3">
        <v>45885</v>
      </c>
      <c r="B158" s="3">
        <v>45950</v>
      </c>
      <c r="C158">
        <f t="shared" si="2"/>
        <v>2</v>
      </c>
    </row>
    <row r="159" spans="1:3" x14ac:dyDescent="0.2">
      <c r="A159" s="3">
        <v>45554</v>
      </c>
      <c r="B159" s="3">
        <v>45951</v>
      </c>
      <c r="C159">
        <f t="shared" si="2"/>
        <v>13</v>
      </c>
    </row>
    <row r="160" spans="1:3" x14ac:dyDescent="0.2">
      <c r="A160" s="3">
        <v>45554</v>
      </c>
      <c r="B160" s="3">
        <v>45951</v>
      </c>
      <c r="C160">
        <f t="shared" si="2"/>
        <v>13</v>
      </c>
    </row>
    <row r="161" spans="1:3" x14ac:dyDescent="0.2">
      <c r="A161" s="3">
        <v>45888</v>
      </c>
      <c r="B161" s="3">
        <v>45951</v>
      </c>
      <c r="C161">
        <f t="shared" si="2"/>
        <v>2</v>
      </c>
    </row>
    <row r="162" spans="1:3" x14ac:dyDescent="0.2">
      <c r="A162" s="3">
        <v>45888</v>
      </c>
      <c r="B162" s="3">
        <v>45951</v>
      </c>
      <c r="C162">
        <f t="shared" si="2"/>
        <v>2</v>
      </c>
    </row>
    <row r="163" spans="1:3" x14ac:dyDescent="0.2">
      <c r="A163" s="3">
        <v>45524</v>
      </c>
      <c r="B163" s="3">
        <v>45952</v>
      </c>
      <c r="C163">
        <f t="shared" si="2"/>
        <v>14</v>
      </c>
    </row>
    <row r="164" spans="1:3" x14ac:dyDescent="0.2">
      <c r="A164" s="3">
        <v>45524</v>
      </c>
      <c r="B164" s="3">
        <v>45952</v>
      </c>
      <c r="C164">
        <f t="shared" si="2"/>
        <v>14</v>
      </c>
    </row>
    <row r="165" spans="1:3" x14ac:dyDescent="0.2">
      <c r="A165" s="3">
        <v>45797</v>
      </c>
      <c r="B165" s="3">
        <v>45952</v>
      </c>
      <c r="C165">
        <f t="shared" si="2"/>
        <v>5</v>
      </c>
    </row>
    <row r="166" spans="1:3" x14ac:dyDescent="0.2">
      <c r="A166" s="3">
        <v>45643</v>
      </c>
      <c r="B166" s="3">
        <v>45950</v>
      </c>
      <c r="C166">
        <f t="shared" si="2"/>
        <v>10</v>
      </c>
    </row>
    <row r="167" spans="1:3" x14ac:dyDescent="0.2">
      <c r="A167" s="3">
        <v>45643</v>
      </c>
      <c r="B167" s="3">
        <v>45950</v>
      </c>
      <c r="C167">
        <f t="shared" si="2"/>
        <v>10</v>
      </c>
    </row>
    <row r="168" spans="1:3" x14ac:dyDescent="0.2">
      <c r="A168" s="3">
        <v>45463</v>
      </c>
      <c r="B168" s="3">
        <v>45952</v>
      </c>
      <c r="C168">
        <f t="shared" si="2"/>
        <v>16</v>
      </c>
    </row>
    <row r="169" spans="1:3" x14ac:dyDescent="0.2">
      <c r="A169" s="3">
        <v>45463</v>
      </c>
      <c r="B169" s="3">
        <v>45952</v>
      </c>
      <c r="C169">
        <f t="shared" si="2"/>
        <v>16</v>
      </c>
    </row>
    <row r="170" spans="1:3" x14ac:dyDescent="0.2">
      <c r="A170" s="3">
        <v>45826</v>
      </c>
      <c r="B170" s="3">
        <v>45950</v>
      </c>
      <c r="C170">
        <f t="shared" si="2"/>
        <v>4</v>
      </c>
    </row>
    <row r="171" spans="1:3" x14ac:dyDescent="0.2">
      <c r="A171" s="3">
        <v>45826</v>
      </c>
      <c r="B171" s="3">
        <v>45950</v>
      </c>
      <c r="C171">
        <f t="shared" si="2"/>
        <v>4</v>
      </c>
    </row>
    <row r="172" spans="1:3" x14ac:dyDescent="0.2">
      <c r="A172" s="3">
        <v>45826</v>
      </c>
      <c r="B172" s="3">
        <v>45950</v>
      </c>
      <c r="C172">
        <f t="shared" si="2"/>
        <v>4</v>
      </c>
    </row>
    <row r="173" spans="1:3" x14ac:dyDescent="0.2">
      <c r="A173" s="3">
        <v>45798</v>
      </c>
      <c r="B173" s="3">
        <v>45953</v>
      </c>
      <c r="C173">
        <f t="shared" si="2"/>
        <v>5</v>
      </c>
    </row>
    <row r="174" spans="1:3" x14ac:dyDescent="0.2">
      <c r="A174" s="3">
        <v>45798</v>
      </c>
      <c r="B174" s="3">
        <v>45953</v>
      </c>
      <c r="C174">
        <f t="shared" si="2"/>
        <v>5</v>
      </c>
    </row>
    <row r="175" spans="1:3" x14ac:dyDescent="0.2">
      <c r="A175" s="3">
        <v>45339</v>
      </c>
      <c r="B175" s="3">
        <v>45950</v>
      </c>
      <c r="C175">
        <f t="shared" si="2"/>
        <v>20</v>
      </c>
    </row>
    <row r="176" spans="1:3" x14ac:dyDescent="0.2">
      <c r="A176" s="3">
        <v>45276</v>
      </c>
      <c r="B176" s="3">
        <v>45950</v>
      </c>
      <c r="C176">
        <f t="shared" si="2"/>
        <v>22</v>
      </c>
    </row>
    <row r="177" spans="1:3" x14ac:dyDescent="0.2">
      <c r="A177" s="3">
        <v>44761</v>
      </c>
      <c r="B177" s="3">
        <v>45951</v>
      </c>
      <c r="C177">
        <f t="shared" si="2"/>
        <v>39</v>
      </c>
    </row>
    <row r="178" spans="1:3" x14ac:dyDescent="0.2">
      <c r="A178" s="3">
        <v>44761</v>
      </c>
      <c r="B178" s="3">
        <v>45951</v>
      </c>
      <c r="C178">
        <f t="shared" si="2"/>
        <v>39</v>
      </c>
    </row>
    <row r="179" spans="1:3" x14ac:dyDescent="0.2">
      <c r="A179" s="3">
        <v>45732</v>
      </c>
      <c r="B179" s="3">
        <v>45950</v>
      </c>
      <c r="C179">
        <f t="shared" si="2"/>
        <v>7</v>
      </c>
    </row>
    <row r="180" spans="1:3" x14ac:dyDescent="0.2">
      <c r="A180" s="3">
        <v>45732</v>
      </c>
      <c r="B180" s="3">
        <v>45950</v>
      </c>
      <c r="C180">
        <f t="shared" si="2"/>
        <v>7</v>
      </c>
    </row>
    <row r="181" spans="1:3" x14ac:dyDescent="0.2">
      <c r="A181" s="3">
        <v>45732</v>
      </c>
      <c r="B181" s="3">
        <v>45950</v>
      </c>
      <c r="C181">
        <f t="shared" si="2"/>
        <v>7</v>
      </c>
    </row>
    <row r="182" spans="1:3" x14ac:dyDescent="0.2">
      <c r="A182" s="3">
        <v>45554</v>
      </c>
      <c r="B182" s="3">
        <v>45951</v>
      </c>
      <c r="C182">
        <f t="shared" si="2"/>
        <v>13</v>
      </c>
    </row>
    <row r="183" spans="1:3" x14ac:dyDescent="0.2">
      <c r="A183" s="3">
        <v>45554</v>
      </c>
      <c r="B183" s="3">
        <v>45951</v>
      </c>
      <c r="C183">
        <f t="shared" si="2"/>
        <v>13</v>
      </c>
    </row>
    <row r="184" spans="1:3" x14ac:dyDescent="0.2">
      <c r="A184" s="3">
        <v>45798</v>
      </c>
      <c r="B184" s="3">
        <v>45953</v>
      </c>
      <c r="C184">
        <f t="shared" si="2"/>
        <v>5</v>
      </c>
    </row>
    <row r="185" spans="1:3" x14ac:dyDescent="0.2">
      <c r="A185" s="3">
        <v>45709</v>
      </c>
      <c r="B185" s="3">
        <v>45953</v>
      </c>
      <c r="C185">
        <f t="shared" si="2"/>
        <v>8</v>
      </c>
    </row>
    <row r="186" spans="1:3" x14ac:dyDescent="0.2">
      <c r="A186" s="3">
        <v>45709</v>
      </c>
      <c r="B186" s="3">
        <v>45953</v>
      </c>
      <c r="C186">
        <f t="shared" si="2"/>
        <v>8</v>
      </c>
    </row>
    <row r="187" spans="1:3" x14ac:dyDescent="0.2">
      <c r="A187" s="3">
        <v>45308</v>
      </c>
      <c r="B187" s="3">
        <v>45950</v>
      </c>
      <c r="C187">
        <f t="shared" si="2"/>
        <v>21</v>
      </c>
    </row>
    <row r="188" spans="1:3" x14ac:dyDescent="0.2">
      <c r="A188" s="3">
        <v>45308</v>
      </c>
      <c r="B188" s="3">
        <v>45950</v>
      </c>
      <c r="C188">
        <f t="shared" si="2"/>
        <v>21</v>
      </c>
    </row>
    <row r="189" spans="1:3" x14ac:dyDescent="0.2">
      <c r="A189" s="3">
        <v>45825</v>
      </c>
      <c r="B189" s="3">
        <v>45950</v>
      </c>
      <c r="C189">
        <f t="shared" si="2"/>
        <v>4</v>
      </c>
    </row>
    <row r="190" spans="1:3" x14ac:dyDescent="0.2">
      <c r="A190" s="3">
        <v>45587</v>
      </c>
      <c r="B190" s="3">
        <v>45954</v>
      </c>
      <c r="C190">
        <f t="shared" si="2"/>
        <v>12</v>
      </c>
    </row>
    <row r="191" spans="1:3" x14ac:dyDescent="0.2">
      <c r="A191" s="3">
        <v>45587</v>
      </c>
      <c r="B191" s="3">
        <v>45954</v>
      </c>
      <c r="C191">
        <f t="shared" si="2"/>
        <v>12</v>
      </c>
    </row>
    <row r="192" spans="1:3" x14ac:dyDescent="0.2">
      <c r="A192" s="3">
        <v>45829</v>
      </c>
      <c r="B192" s="3">
        <v>45953</v>
      </c>
      <c r="C192">
        <f t="shared" si="2"/>
        <v>4</v>
      </c>
    </row>
    <row r="193" spans="1:3" x14ac:dyDescent="0.2">
      <c r="A193" s="3">
        <v>45829</v>
      </c>
      <c r="B193" s="3">
        <v>45953</v>
      </c>
      <c r="C193">
        <f t="shared" si="2"/>
        <v>4</v>
      </c>
    </row>
    <row r="194" spans="1:3" x14ac:dyDescent="0.2">
      <c r="A194" s="3">
        <v>45828</v>
      </c>
      <c r="B194" s="3">
        <v>45952</v>
      </c>
      <c r="C194">
        <f t="shared" ref="C194:C257" si="3">DATEDIF(A194,B194,"M")</f>
        <v>4</v>
      </c>
    </row>
    <row r="195" spans="1:3" x14ac:dyDescent="0.2">
      <c r="A195" s="3">
        <v>45855</v>
      </c>
      <c r="B195" s="3">
        <v>45950</v>
      </c>
      <c r="C195">
        <f t="shared" si="3"/>
        <v>3</v>
      </c>
    </row>
    <row r="196" spans="1:3" x14ac:dyDescent="0.2">
      <c r="A196" s="3">
        <v>45491</v>
      </c>
      <c r="B196" s="3">
        <v>45950</v>
      </c>
      <c r="C196">
        <f t="shared" si="3"/>
        <v>15</v>
      </c>
    </row>
    <row r="197" spans="1:3" x14ac:dyDescent="0.2">
      <c r="A197" s="3">
        <v>45733</v>
      </c>
      <c r="B197" s="3">
        <v>45950</v>
      </c>
      <c r="C197">
        <f t="shared" si="3"/>
        <v>7</v>
      </c>
    </row>
    <row r="198" spans="1:3" x14ac:dyDescent="0.2">
      <c r="A198" s="3">
        <v>45490</v>
      </c>
      <c r="B198" s="3">
        <v>45950</v>
      </c>
      <c r="C198">
        <f t="shared" si="3"/>
        <v>15</v>
      </c>
    </row>
    <row r="199" spans="1:3" x14ac:dyDescent="0.2">
      <c r="A199" s="3">
        <v>45464</v>
      </c>
      <c r="B199" s="3">
        <v>45953</v>
      </c>
      <c r="C199">
        <f t="shared" si="3"/>
        <v>16</v>
      </c>
    </row>
    <row r="200" spans="1:3" x14ac:dyDescent="0.2">
      <c r="A200" s="3">
        <v>45646</v>
      </c>
      <c r="B200" s="3">
        <v>45952</v>
      </c>
      <c r="C200">
        <f t="shared" si="3"/>
        <v>10</v>
      </c>
    </row>
    <row r="201" spans="1:3" x14ac:dyDescent="0.2">
      <c r="A201" s="3">
        <v>45644</v>
      </c>
      <c r="B201" s="3">
        <v>45950</v>
      </c>
      <c r="C201">
        <f t="shared" si="3"/>
        <v>10</v>
      </c>
    </row>
    <row r="202" spans="1:3" x14ac:dyDescent="0.2">
      <c r="A202" s="3">
        <v>45554</v>
      </c>
      <c r="B202" s="3">
        <v>45951</v>
      </c>
      <c r="C202">
        <f t="shared" si="3"/>
        <v>13</v>
      </c>
    </row>
    <row r="203" spans="1:3" x14ac:dyDescent="0.2">
      <c r="A203" s="3">
        <v>45554</v>
      </c>
      <c r="B203" s="3">
        <v>45951</v>
      </c>
      <c r="C203">
        <f t="shared" si="3"/>
        <v>13</v>
      </c>
    </row>
    <row r="204" spans="1:3" x14ac:dyDescent="0.2">
      <c r="A204" s="3">
        <v>45855</v>
      </c>
      <c r="B204" s="3">
        <v>45950</v>
      </c>
      <c r="C204">
        <f t="shared" si="3"/>
        <v>3</v>
      </c>
    </row>
    <row r="205" spans="1:3" x14ac:dyDescent="0.2">
      <c r="A205" s="3">
        <v>45616</v>
      </c>
      <c r="B205" s="3">
        <v>45952</v>
      </c>
      <c r="C205">
        <f t="shared" si="3"/>
        <v>11</v>
      </c>
    </row>
    <row r="206" spans="1:3" x14ac:dyDescent="0.2">
      <c r="A206" s="3">
        <v>45616</v>
      </c>
      <c r="B206" s="3">
        <v>45952</v>
      </c>
      <c r="C206">
        <f t="shared" si="3"/>
        <v>11</v>
      </c>
    </row>
    <row r="207" spans="1:3" x14ac:dyDescent="0.2">
      <c r="A207" s="3">
        <v>45616</v>
      </c>
      <c r="B207" s="3">
        <v>45952</v>
      </c>
      <c r="C207">
        <f t="shared" si="3"/>
        <v>11</v>
      </c>
    </row>
    <row r="208" spans="1:3" x14ac:dyDescent="0.2">
      <c r="A208" s="3">
        <v>45586</v>
      </c>
      <c r="B208" s="3">
        <v>45953</v>
      </c>
      <c r="C208">
        <f t="shared" si="3"/>
        <v>12</v>
      </c>
    </row>
    <row r="209" spans="1:3" x14ac:dyDescent="0.2">
      <c r="A209" s="3">
        <v>45829</v>
      </c>
      <c r="B209" s="3">
        <v>45953</v>
      </c>
      <c r="C209">
        <f t="shared" si="3"/>
        <v>4</v>
      </c>
    </row>
    <row r="210" spans="1:3" x14ac:dyDescent="0.2">
      <c r="A210" s="3">
        <v>45829</v>
      </c>
      <c r="B210" s="3">
        <v>45953</v>
      </c>
      <c r="C210">
        <f t="shared" si="3"/>
        <v>4</v>
      </c>
    </row>
    <row r="211" spans="1:3" x14ac:dyDescent="0.2">
      <c r="A211" s="3">
        <v>45551</v>
      </c>
      <c r="B211" s="3">
        <v>45950</v>
      </c>
      <c r="C211">
        <f t="shared" si="3"/>
        <v>13</v>
      </c>
    </row>
    <row r="212" spans="1:3" x14ac:dyDescent="0.2">
      <c r="A212" s="3">
        <v>45587</v>
      </c>
      <c r="B212" s="3">
        <v>45954</v>
      </c>
      <c r="C212">
        <f t="shared" si="3"/>
        <v>12</v>
      </c>
    </row>
    <row r="213" spans="1:3" x14ac:dyDescent="0.2">
      <c r="A213" s="3">
        <v>45794</v>
      </c>
      <c r="B213" s="3">
        <v>45950</v>
      </c>
      <c r="C213">
        <f t="shared" si="3"/>
        <v>5</v>
      </c>
    </row>
    <row r="214" spans="1:3" x14ac:dyDescent="0.2">
      <c r="A214" s="3">
        <v>45829</v>
      </c>
      <c r="B214" s="3">
        <v>45953</v>
      </c>
      <c r="C214">
        <f t="shared" si="3"/>
        <v>4</v>
      </c>
    </row>
    <row r="215" spans="1:3" x14ac:dyDescent="0.2">
      <c r="A215" s="3">
        <v>45829</v>
      </c>
      <c r="B215" s="3">
        <v>45953</v>
      </c>
      <c r="C215">
        <f t="shared" si="3"/>
        <v>4</v>
      </c>
    </row>
    <row r="216" spans="1:3" x14ac:dyDescent="0.2">
      <c r="A216" s="3">
        <v>45948</v>
      </c>
      <c r="B216" s="3">
        <v>45950</v>
      </c>
      <c r="C216">
        <f t="shared" si="3"/>
        <v>0</v>
      </c>
    </row>
    <row r="217" spans="1:3" x14ac:dyDescent="0.2">
      <c r="A217" s="3">
        <v>45919</v>
      </c>
      <c r="B217" s="3">
        <v>45951</v>
      </c>
      <c r="C217">
        <f t="shared" si="3"/>
        <v>1</v>
      </c>
    </row>
    <row r="218" spans="1:3" x14ac:dyDescent="0.2">
      <c r="A218" s="3">
        <v>45919</v>
      </c>
      <c r="B218" s="3">
        <v>45951</v>
      </c>
      <c r="C218">
        <f t="shared" si="3"/>
        <v>1</v>
      </c>
    </row>
    <row r="219" spans="1:3" x14ac:dyDescent="0.2">
      <c r="A219" s="3">
        <v>45766</v>
      </c>
      <c r="B219" s="3">
        <v>45951</v>
      </c>
      <c r="C219">
        <f t="shared" si="3"/>
        <v>6</v>
      </c>
    </row>
    <row r="220" spans="1:3" x14ac:dyDescent="0.2">
      <c r="A220" s="3">
        <v>45951</v>
      </c>
      <c r="B220" s="3">
        <v>45953</v>
      </c>
      <c r="C220">
        <f t="shared" si="3"/>
        <v>0</v>
      </c>
    </row>
    <row r="221" spans="1:3" x14ac:dyDescent="0.2">
      <c r="A221" s="3">
        <v>45951</v>
      </c>
      <c r="B221" s="3">
        <v>45953</v>
      </c>
      <c r="C221">
        <f t="shared" si="3"/>
        <v>0</v>
      </c>
    </row>
    <row r="222" spans="1:3" x14ac:dyDescent="0.2">
      <c r="A222" s="3">
        <v>45919</v>
      </c>
      <c r="B222" s="3">
        <v>45951</v>
      </c>
      <c r="C222">
        <f t="shared" si="3"/>
        <v>1</v>
      </c>
    </row>
    <row r="223" spans="1:3" x14ac:dyDescent="0.2">
      <c r="A223" s="3">
        <v>45919</v>
      </c>
      <c r="B223" s="3">
        <v>45951</v>
      </c>
      <c r="C223">
        <f t="shared" si="3"/>
        <v>1</v>
      </c>
    </row>
    <row r="224" spans="1:3" x14ac:dyDescent="0.2">
      <c r="A224" s="3">
        <v>45553</v>
      </c>
      <c r="B224" s="3">
        <v>45950</v>
      </c>
      <c r="C224">
        <f t="shared" si="3"/>
        <v>13</v>
      </c>
    </row>
    <row r="225" spans="1:3" x14ac:dyDescent="0.2">
      <c r="A225" s="3">
        <v>45552</v>
      </c>
      <c r="B225" s="3">
        <v>45950</v>
      </c>
      <c r="C225">
        <f t="shared" si="3"/>
        <v>13</v>
      </c>
    </row>
    <row r="226" spans="1:3" x14ac:dyDescent="0.2">
      <c r="A226" s="3">
        <v>45552</v>
      </c>
      <c r="B226" s="3">
        <v>45950</v>
      </c>
      <c r="C226">
        <f t="shared" si="3"/>
        <v>13</v>
      </c>
    </row>
    <row r="227" spans="1:3" x14ac:dyDescent="0.2">
      <c r="A227" s="3">
        <v>45854</v>
      </c>
      <c r="B227" s="3">
        <v>45950</v>
      </c>
      <c r="C227">
        <f t="shared" si="3"/>
        <v>3</v>
      </c>
    </row>
    <row r="228" spans="1:3" x14ac:dyDescent="0.2">
      <c r="A228" s="3">
        <v>45854</v>
      </c>
      <c r="B228" s="3">
        <v>45950</v>
      </c>
      <c r="C228">
        <f t="shared" si="3"/>
        <v>3</v>
      </c>
    </row>
    <row r="229" spans="1:3" x14ac:dyDescent="0.2">
      <c r="A229" s="3">
        <v>45554</v>
      </c>
      <c r="B229" s="3">
        <v>45951</v>
      </c>
      <c r="C229">
        <f t="shared" si="3"/>
        <v>13</v>
      </c>
    </row>
    <row r="230" spans="1:3" x14ac:dyDescent="0.2">
      <c r="A230" s="3">
        <v>45521</v>
      </c>
      <c r="B230" s="3">
        <v>45950</v>
      </c>
      <c r="C230">
        <f t="shared" si="3"/>
        <v>14</v>
      </c>
    </row>
    <row r="231" spans="1:3" x14ac:dyDescent="0.2">
      <c r="A231" s="3">
        <v>45521</v>
      </c>
      <c r="B231" s="3">
        <v>45950</v>
      </c>
      <c r="C231">
        <f t="shared" si="3"/>
        <v>14</v>
      </c>
    </row>
    <row r="232" spans="1:3" x14ac:dyDescent="0.2">
      <c r="A232" s="3">
        <v>45946</v>
      </c>
      <c r="B232" s="3">
        <v>45950</v>
      </c>
      <c r="C232">
        <f t="shared" si="3"/>
        <v>0</v>
      </c>
    </row>
    <row r="233" spans="1:3" x14ac:dyDescent="0.2">
      <c r="A233" s="3">
        <v>45567</v>
      </c>
      <c r="B233" s="3">
        <v>45936</v>
      </c>
      <c r="C233">
        <f t="shared" si="3"/>
        <v>12</v>
      </c>
    </row>
    <row r="234" spans="1:3" x14ac:dyDescent="0.2">
      <c r="A234" s="3">
        <v>45567</v>
      </c>
      <c r="B234" s="3">
        <v>45936</v>
      </c>
      <c r="C234">
        <f t="shared" si="3"/>
        <v>12</v>
      </c>
    </row>
    <row r="235" spans="1:3" x14ac:dyDescent="0.2">
      <c r="A235" s="3">
        <v>45567</v>
      </c>
      <c r="B235" s="3">
        <v>45939</v>
      </c>
      <c r="C235">
        <f t="shared" si="3"/>
        <v>12</v>
      </c>
    </row>
    <row r="236" spans="1:3" x14ac:dyDescent="0.2">
      <c r="A236" s="3">
        <v>45567</v>
      </c>
      <c r="B236" s="3">
        <v>45939</v>
      </c>
      <c r="C236">
        <f t="shared" si="3"/>
        <v>12</v>
      </c>
    </row>
    <row r="237" spans="1:3" x14ac:dyDescent="0.2">
      <c r="A237" s="3">
        <v>45567</v>
      </c>
      <c r="B237" s="3">
        <v>45952</v>
      </c>
      <c r="C237">
        <f t="shared" si="3"/>
        <v>12</v>
      </c>
    </row>
    <row r="238" spans="1:3" x14ac:dyDescent="0.2">
      <c r="A238" s="3">
        <v>45567</v>
      </c>
      <c r="B238" s="3">
        <v>45952</v>
      </c>
      <c r="C238">
        <f t="shared" si="3"/>
        <v>12</v>
      </c>
    </row>
    <row r="239" spans="1:3" x14ac:dyDescent="0.2">
      <c r="A239" s="3">
        <v>45797</v>
      </c>
      <c r="B239" s="3">
        <v>45952</v>
      </c>
      <c r="C239">
        <f t="shared" si="3"/>
        <v>5</v>
      </c>
    </row>
    <row r="240" spans="1:3" x14ac:dyDescent="0.2">
      <c r="A240" s="3">
        <v>45797</v>
      </c>
      <c r="B240" s="3">
        <v>45952</v>
      </c>
      <c r="C240">
        <f t="shared" si="3"/>
        <v>5</v>
      </c>
    </row>
    <row r="241" spans="1:3" x14ac:dyDescent="0.2">
      <c r="A241" s="3">
        <v>45525</v>
      </c>
      <c r="B241" s="3">
        <v>45953</v>
      </c>
      <c r="C241">
        <f t="shared" si="3"/>
        <v>14</v>
      </c>
    </row>
    <row r="242" spans="1:3" x14ac:dyDescent="0.2">
      <c r="A242" s="3">
        <v>45525</v>
      </c>
      <c r="B242" s="3">
        <v>45953</v>
      </c>
      <c r="C242">
        <f t="shared" si="3"/>
        <v>14</v>
      </c>
    </row>
    <row r="243" spans="1:3" x14ac:dyDescent="0.2">
      <c r="A243" s="3">
        <v>45554</v>
      </c>
      <c r="B243" s="3">
        <v>45951</v>
      </c>
      <c r="C243">
        <f t="shared" si="3"/>
        <v>13</v>
      </c>
    </row>
    <row r="244" spans="1:3" x14ac:dyDescent="0.2">
      <c r="A244" s="3">
        <v>45644</v>
      </c>
      <c r="B244" s="3">
        <v>45950</v>
      </c>
      <c r="C244">
        <f t="shared" si="3"/>
        <v>10</v>
      </c>
    </row>
    <row r="245" spans="1:3" x14ac:dyDescent="0.2">
      <c r="A245" s="3">
        <v>45644</v>
      </c>
      <c r="B245" s="3">
        <v>45950</v>
      </c>
      <c r="C245">
        <f t="shared" si="3"/>
        <v>10</v>
      </c>
    </row>
    <row r="246" spans="1:3" x14ac:dyDescent="0.2">
      <c r="A246" s="3">
        <v>45673</v>
      </c>
      <c r="B246" s="3">
        <v>45950</v>
      </c>
      <c r="C246">
        <f t="shared" si="3"/>
        <v>9</v>
      </c>
    </row>
    <row r="247" spans="1:3" x14ac:dyDescent="0.2">
      <c r="A247" s="3">
        <v>45308</v>
      </c>
      <c r="B247" s="3">
        <v>45950</v>
      </c>
      <c r="C247">
        <f t="shared" si="3"/>
        <v>21</v>
      </c>
    </row>
    <row r="248" spans="1:3" x14ac:dyDescent="0.2">
      <c r="A248" s="3">
        <v>45308</v>
      </c>
      <c r="B248" s="3">
        <v>45950</v>
      </c>
      <c r="C248">
        <f t="shared" si="3"/>
        <v>21</v>
      </c>
    </row>
    <row r="249" spans="1:3" x14ac:dyDescent="0.2">
      <c r="A249" s="3">
        <v>45308</v>
      </c>
      <c r="B249" s="3">
        <v>45950</v>
      </c>
      <c r="C249">
        <f t="shared" si="3"/>
        <v>21</v>
      </c>
    </row>
    <row r="250" spans="1:3" x14ac:dyDescent="0.2">
      <c r="A250" s="3">
        <v>45642</v>
      </c>
      <c r="B250" s="3">
        <v>45950</v>
      </c>
      <c r="C250">
        <f t="shared" si="3"/>
        <v>10</v>
      </c>
    </row>
    <row r="251" spans="1:3" x14ac:dyDescent="0.2">
      <c r="A251" s="3">
        <v>45674</v>
      </c>
      <c r="B251" s="3">
        <v>45950</v>
      </c>
      <c r="C251">
        <f t="shared" si="3"/>
        <v>9</v>
      </c>
    </row>
    <row r="252" spans="1:3" x14ac:dyDescent="0.2">
      <c r="A252" s="3">
        <v>45674</v>
      </c>
      <c r="B252" s="3">
        <v>45950</v>
      </c>
      <c r="C252">
        <f t="shared" si="3"/>
        <v>9</v>
      </c>
    </row>
    <row r="253" spans="1:3" x14ac:dyDescent="0.2">
      <c r="A253" s="3">
        <v>45429</v>
      </c>
      <c r="B253" s="3">
        <v>45950</v>
      </c>
      <c r="C253">
        <f t="shared" si="3"/>
        <v>17</v>
      </c>
    </row>
    <row r="254" spans="1:3" x14ac:dyDescent="0.2">
      <c r="A254" s="3">
        <v>45429</v>
      </c>
      <c r="B254" s="3">
        <v>45950</v>
      </c>
      <c r="C254">
        <f t="shared" si="3"/>
        <v>17</v>
      </c>
    </row>
    <row r="255" spans="1:3" x14ac:dyDescent="0.2">
      <c r="A255" s="3">
        <v>45251</v>
      </c>
      <c r="B255" s="3">
        <v>45953</v>
      </c>
      <c r="C255">
        <f t="shared" si="3"/>
        <v>23</v>
      </c>
    </row>
    <row r="256" spans="1:3" x14ac:dyDescent="0.2">
      <c r="A256" s="3">
        <v>45429</v>
      </c>
      <c r="B256" s="3">
        <v>45950</v>
      </c>
      <c r="C256">
        <f t="shared" si="3"/>
        <v>17</v>
      </c>
    </row>
    <row r="257" spans="1:3" x14ac:dyDescent="0.2">
      <c r="A257" s="3">
        <v>45429</v>
      </c>
      <c r="B257" s="3">
        <v>45950</v>
      </c>
      <c r="C257">
        <f t="shared" si="3"/>
        <v>17</v>
      </c>
    </row>
    <row r="258" spans="1:3" x14ac:dyDescent="0.2">
      <c r="A258" s="3">
        <v>45766</v>
      </c>
      <c r="B258" s="3">
        <v>45951</v>
      </c>
      <c r="C258">
        <f t="shared" ref="C258:C277" si="4">DATEDIF(A258,B258,"M")</f>
        <v>6</v>
      </c>
    </row>
    <row r="259" spans="1:3" x14ac:dyDescent="0.2">
      <c r="A259" s="3">
        <v>45584</v>
      </c>
      <c r="B259" s="3">
        <v>45951</v>
      </c>
      <c r="C259">
        <f t="shared" si="4"/>
        <v>12</v>
      </c>
    </row>
    <row r="260" spans="1:3" x14ac:dyDescent="0.2">
      <c r="A260" s="3">
        <v>45584</v>
      </c>
      <c r="B260" s="3">
        <v>45951</v>
      </c>
      <c r="C260">
        <f t="shared" si="4"/>
        <v>12</v>
      </c>
    </row>
    <row r="261" spans="1:3" x14ac:dyDescent="0.2">
      <c r="A261" s="3">
        <v>45554</v>
      </c>
      <c r="B261" s="3">
        <v>45951</v>
      </c>
      <c r="C261">
        <f t="shared" si="4"/>
        <v>13</v>
      </c>
    </row>
    <row r="262" spans="1:3" x14ac:dyDescent="0.2">
      <c r="A262" s="3">
        <v>45554</v>
      </c>
      <c r="B262" s="3">
        <v>45951</v>
      </c>
      <c r="C262">
        <f t="shared" si="4"/>
        <v>13</v>
      </c>
    </row>
    <row r="263" spans="1:3" x14ac:dyDescent="0.2">
      <c r="A263" s="3">
        <v>45826</v>
      </c>
      <c r="B263" s="3">
        <v>45950</v>
      </c>
      <c r="C263">
        <f t="shared" si="4"/>
        <v>4</v>
      </c>
    </row>
    <row r="264" spans="1:3" x14ac:dyDescent="0.2">
      <c r="A264" s="3">
        <v>45738</v>
      </c>
      <c r="B264" s="3">
        <v>45954</v>
      </c>
      <c r="C264">
        <f t="shared" si="4"/>
        <v>7</v>
      </c>
    </row>
    <row r="265" spans="1:3" x14ac:dyDescent="0.2">
      <c r="A265" s="3">
        <v>45738</v>
      </c>
      <c r="B265" s="3">
        <v>45954</v>
      </c>
      <c r="C265">
        <f t="shared" si="4"/>
        <v>7</v>
      </c>
    </row>
    <row r="266" spans="1:3" x14ac:dyDescent="0.2">
      <c r="A266" s="3">
        <v>45463</v>
      </c>
      <c r="B266" s="3">
        <v>45952</v>
      </c>
      <c r="C266">
        <f t="shared" si="4"/>
        <v>16</v>
      </c>
    </row>
    <row r="267" spans="1:3" x14ac:dyDescent="0.2">
      <c r="A267" s="3">
        <v>45312</v>
      </c>
      <c r="B267" s="3">
        <v>45953</v>
      </c>
      <c r="C267">
        <f t="shared" si="4"/>
        <v>21</v>
      </c>
    </row>
    <row r="268" spans="1:3" x14ac:dyDescent="0.2">
      <c r="A268" s="3">
        <v>45312</v>
      </c>
      <c r="B268" s="3">
        <v>45953</v>
      </c>
      <c r="C268">
        <f t="shared" si="4"/>
        <v>21</v>
      </c>
    </row>
    <row r="269" spans="1:3" x14ac:dyDescent="0.2">
      <c r="A269" s="3">
        <v>45521</v>
      </c>
      <c r="B269" s="3">
        <v>45950</v>
      </c>
      <c r="C269">
        <f t="shared" si="4"/>
        <v>14</v>
      </c>
    </row>
    <row r="270" spans="1:3" x14ac:dyDescent="0.2">
      <c r="A270" s="3">
        <v>45521</v>
      </c>
      <c r="B270" s="3">
        <v>45950</v>
      </c>
      <c r="C270">
        <f t="shared" si="4"/>
        <v>14</v>
      </c>
    </row>
    <row r="271" spans="1:3" x14ac:dyDescent="0.2">
      <c r="A271" s="3">
        <v>45369</v>
      </c>
      <c r="B271" s="3">
        <v>45950</v>
      </c>
      <c r="C271">
        <f t="shared" si="4"/>
        <v>19</v>
      </c>
    </row>
    <row r="272" spans="1:3" x14ac:dyDescent="0.2">
      <c r="A272" s="3">
        <v>45308</v>
      </c>
      <c r="B272" s="3">
        <v>45950</v>
      </c>
      <c r="C272">
        <f t="shared" si="4"/>
        <v>21</v>
      </c>
    </row>
    <row r="273" spans="1:3" x14ac:dyDescent="0.2">
      <c r="A273" s="3">
        <v>45308</v>
      </c>
      <c r="B273" s="3">
        <v>45950</v>
      </c>
      <c r="C273">
        <f t="shared" si="4"/>
        <v>21</v>
      </c>
    </row>
    <row r="274" spans="1:3" x14ac:dyDescent="0.2">
      <c r="A274" s="3">
        <v>45922</v>
      </c>
      <c r="B274" s="3">
        <v>45954</v>
      </c>
      <c r="C274">
        <f t="shared" si="4"/>
        <v>1</v>
      </c>
    </row>
    <row r="275" spans="1:3" x14ac:dyDescent="0.2">
      <c r="A275" s="3">
        <v>45922</v>
      </c>
      <c r="B275" s="3">
        <v>45954</v>
      </c>
      <c r="C275">
        <f t="shared" si="4"/>
        <v>1</v>
      </c>
    </row>
    <row r="276" spans="1:3" x14ac:dyDescent="0.2">
      <c r="A276" s="3">
        <v>45919</v>
      </c>
      <c r="B276" s="3">
        <v>45951</v>
      </c>
      <c r="C276">
        <f t="shared" si="4"/>
        <v>1</v>
      </c>
    </row>
    <row r="277" spans="1:3" x14ac:dyDescent="0.2">
      <c r="A277" s="3">
        <v>45919</v>
      </c>
      <c r="B277" s="3">
        <v>45951</v>
      </c>
      <c r="C277">
        <f t="shared" si="4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077A9-9D8F-431A-9B54-A64CA58C1F20}">
  <dimension ref="A1:B277"/>
  <sheetViews>
    <sheetView workbookViewId="0">
      <selection activeCell="B277" sqref="B1:B277"/>
    </sheetView>
  </sheetViews>
  <sheetFormatPr defaultRowHeight="12.75" x14ac:dyDescent="0.2"/>
  <cols>
    <col min="2" max="2" width="9" bestFit="1" customWidth="1"/>
  </cols>
  <sheetData>
    <row r="1" spans="1:2" x14ac:dyDescent="0.2">
      <c r="A1" t="s">
        <v>830</v>
      </c>
      <c r="B1" cm="1">
        <f t="array" ref="B1:B277">VLOOKUP(A1:A277,[1]Sheet2!$A$1:$B$188,2,FALSE)</f>
        <v>19396223</v>
      </c>
    </row>
    <row r="2" spans="1:2" x14ac:dyDescent="0.2">
      <c r="A2" t="s">
        <v>830</v>
      </c>
      <c r="B2">
        <v>19396223</v>
      </c>
    </row>
    <row r="3" spans="1:2" x14ac:dyDescent="0.2">
      <c r="A3" t="s">
        <v>830</v>
      </c>
      <c r="B3">
        <v>19396223</v>
      </c>
    </row>
    <row r="4" spans="1:2" x14ac:dyDescent="0.2">
      <c r="A4" t="s">
        <v>831</v>
      </c>
      <c r="B4">
        <v>8971826</v>
      </c>
    </row>
    <row r="5" spans="1:2" x14ac:dyDescent="0.2">
      <c r="A5" t="s">
        <v>831</v>
      </c>
      <c r="B5">
        <v>8971826</v>
      </c>
    </row>
    <row r="6" spans="1:2" x14ac:dyDescent="0.2">
      <c r="A6" t="s">
        <v>831</v>
      </c>
      <c r="B6">
        <v>8971826</v>
      </c>
    </row>
    <row r="7" spans="1:2" x14ac:dyDescent="0.2">
      <c r="A7" t="s">
        <v>831</v>
      </c>
      <c r="B7">
        <v>8971826</v>
      </c>
    </row>
    <row r="8" spans="1:2" x14ac:dyDescent="0.2">
      <c r="A8" t="s">
        <v>831</v>
      </c>
      <c r="B8">
        <v>8971826</v>
      </c>
    </row>
    <row r="9" spans="1:2" x14ac:dyDescent="0.2">
      <c r="A9" t="s">
        <v>831</v>
      </c>
      <c r="B9">
        <v>8971826</v>
      </c>
    </row>
    <row r="10" spans="1:2" x14ac:dyDescent="0.2">
      <c r="A10" t="s">
        <v>831</v>
      </c>
      <c r="B10">
        <v>8971826</v>
      </c>
    </row>
    <row r="11" spans="1:2" x14ac:dyDescent="0.2">
      <c r="A11" t="s">
        <v>831</v>
      </c>
      <c r="B11">
        <v>8971826</v>
      </c>
    </row>
    <row r="12" spans="1:2" x14ac:dyDescent="0.2">
      <c r="A12" t="s">
        <v>831</v>
      </c>
      <c r="B12">
        <v>8971826</v>
      </c>
    </row>
    <row r="13" spans="1:2" x14ac:dyDescent="0.2">
      <c r="A13" t="s">
        <v>831</v>
      </c>
      <c r="B13">
        <v>8971826</v>
      </c>
    </row>
    <row r="14" spans="1:2" x14ac:dyDescent="0.2">
      <c r="A14" t="s">
        <v>831</v>
      </c>
      <c r="B14">
        <v>8971826</v>
      </c>
    </row>
    <row r="15" spans="1:2" x14ac:dyDescent="0.2">
      <c r="A15" t="s">
        <v>831</v>
      </c>
      <c r="B15">
        <v>8971826</v>
      </c>
    </row>
    <row r="16" spans="1:2" x14ac:dyDescent="0.2">
      <c r="A16" t="s">
        <v>832</v>
      </c>
      <c r="B16">
        <v>16683808</v>
      </c>
    </row>
    <row r="17" spans="1:2" x14ac:dyDescent="0.2">
      <c r="A17" t="s">
        <v>832</v>
      </c>
      <c r="B17">
        <v>16683808</v>
      </c>
    </row>
    <row r="18" spans="1:2" x14ac:dyDescent="0.2">
      <c r="A18" t="s">
        <v>833</v>
      </c>
      <c r="B18">
        <v>8244481</v>
      </c>
    </row>
    <row r="19" spans="1:2" x14ac:dyDescent="0.2">
      <c r="A19" t="s">
        <v>833</v>
      </c>
      <c r="B19">
        <v>8244481</v>
      </c>
    </row>
    <row r="20" spans="1:2" x14ac:dyDescent="0.2">
      <c r="A20" t="s">
        <v>834</v>
      </c>
      <c r="B20">
        <v>17425766</v>
      </c>
    </row>
    <row r="21" spans="1:2" x14ac:dyDescent="0.2">
      <c r="A21" t="s">
        <v>834</v>
      </c>
      <c r="B21">
        <v>17425766</v>
      </c>
    </row>
    <row r="22" spans="1:2" x14ac:dyDescent="0.2">
      <c r="A22" t="s">
        <v>834</v>
      </c>
      <c r="B22">
        <v>17425766</v>
      </c>
    </row>
    <row r="23" spans="1:2" x14ac:dyDescent="0.2">
      <c r="A23" t="s">
        <v>834</v>
      </c>
      <c r="B23">
        <v>17425766</v>
      </c>
    </row>
    <row r="24" spans="1:2" x14ac:dyDescent="0.2">
      <c r="A24" t="s">
        <v>834</v>
      </c>
      <c r="B24">
        <v>17425766</v>
      </c>
    </row>
    <row r="25" spans="1:2" x14ac:dyDescent="0.2">
      <c r="A25" t="s">
        <v>834</v>
      </c>
      <c r="B25">
        <v>17425766</v>
      </c>
    </row>
    <row r="26" spans="1:2" x14ac:dyDescent="0.2">
      <c r="A26" t="s">
        <v>834</v>
      </c>
      <c r="B26">
        <v>17425766</v>
      </c>
    </row>
    <row r="27" spans="1:2" x14ac:dyDescent="0.2">
      <c r="A27" t="s">
        <v>835</v>
      </c>
      <c r="B27">
        <v>21122864</v>
      </c>
    </row>
    <row r="28" spans="1:2" x14ac:dyDescent="0.2">
      <c r="A28" t="s">
        <v>836</v>
      </c>
      <c r="B28">
        <v>16865615</v>
      </c>
    </row>
    <row r="29" spans="1:2" x14ac:dyDescent="0.2">
      <c r="A29" t="s">
        <v>836</v>
      </c>
      <c r="B29">
        <v>16865615</v>
      </c>
    </row>
    <row r="30" spans="1:2" x14ac:dyDescent="0.2">
      <c r="A30" t="s">
        <v>836</v>
      </c>
      <c r="B30">
        <v>16865615</v>
      </c>
    </row>
    <row r="31" spans="1:2" x14ac:dyDescent="0.2">
      <c r="A31" t="s">
        <v>837</v>
      </c>
      <c r="B31">
        <v>15278437</v>
      </c>
    </row>
    <row r="32" spans="1:2" x14ac:dyDescent="0.2">
      <c r="A32" t="s">
        <v>837</v>
      </c>
      <c r="B32">
        <v>15278437</v>
      </c>
    </row>
    <row r="33" spans="1:2" x14ac:dyDescent="0.2">
      <c r="A33" t="s">
        <v>837</v>
      </c>
      <c r="B33">
        <v>15278437</v>
      </c>
    </row>
    <row r="34" spans="1:2" x14ac:dyDescent="0.2">
      <c r="A34" t="s">
        <v>837</v>
      </c>
      <c r="B34">
        <v>15278437</v>
      </c>
    </row>
    <row r="35" spans="1:2" x14ac:dyDescent="0.2">
      <c r="A35" t="s">
        <v>838</v>
      </c>
      <c r="B35">
        <v>2158366</v>
      </c>
    </row>
    <row r="36" spans="1:2" x14ac:dyDescent="0.2">
      <c r="A36" t="s">
        <v>838</v>
      </c>
      <c r="B36">
        <v>2158366</v>
      </c>
    </row>
    <row r="37" spans="1:2" x14ac:dyDescent="0.2">
      <c r="A37" t="s">
        <v>838</v>
      </c>
      <c r="B37">
        <v>2158366</v>
      </c>
    </row>
    <row r="38" spans="1:2" x14ac:dyDescent="0.2">
      <c r="A38" t="s">
        <v>839</v>
      </c>
      <c r="B38">
        <v>17528908</v>
      </c>
    </row>
    <row r="39" spans="1:2" x14ac:dyDescent="0.2">
      <c r="A39" t="s">
        <v>839</v>
      </c>
      <c r="B39">
        <v>17528908</v>
      </c>
    </row>
    <row r="40" spans="1:2" x14ac:dyDescent="0.2">
      <c r="A40" t="s">
        <v>839</v>
      </c>
      <c r="B40">
        <v>17528908</v>
      </c>
    </row>
    <row r="41" spans="1:2" x14ac:dyDescent="0.2">
      <c r="A41" t="s">
        <v>839</v>
      </c>
      <c r="B41">
        <v>17528908</v>
      </c>
    </row>
    <row r="42" spans="1:2" x14ac:dyDescent="0.2">
      <c r="A42" t="s">
        <v>839</v>
      </c>
      <c r="B42">
        <v>17528908</v>
      </c>
    </row>
    <row r="43" spans="1:2" x14ac:dyDescent="0.2">
      <c r="A43" t="s">
        <v>839</v>
      </c>
      <c r="B43">
        <v>17528908</v>
      </c>
    </row>
    <row r="44" spans="1:2" x14ac:dyDescent="0.2">
      <c r="A44" t="s">
        <v>839</v>
      </c>
      <c r="B44">
        <v>17528908</v>
      </c>
    </row>
    <row r="45" spans="1:2" x14ac:dyDescent="0.2">
      <c r="A45" t="s">
        <v>839</v>
      </c>
      <c r="B45">
        <v>17528908</v>
      </c>
    </row>
    <row r="46" spans="1:2" x14ac:dyDescent="0.2">
      <c r="A46" t="s">
        <v>839</v>
      </c>
      <c r="B46">
        <v>17528908</v>
      </c>
    </row>
    <row r="47" spans="1:2" x14ac:dyDescent="0.2">
      <c r="A47" t="s">
        <v>839</v>
      </c>
      <c r="B47">
        <v>17528908</v>
      </c>
    </row>
    <row r="48" spans="1:2" x14ac:dyDescent="0.2">
      <c r="A48" t="s">
        <v>839</v>
      </c>
      <c r="B48">
        <v>17528908</v>
      </c>
    </row>
    <row r="49" spans="1:2" x14ac:dyDescent="0.2">
      <c r="A49" t="s">
        <v>839</v>
      </c>
      <c r="B49">
        <v>17528908</v>
      </c>
    </row>
    <row r="50" spans="1:2" x14ac:dyDescent="0.2">
      <c r="A50" t="s">
        <v>839</v>
      </c>
      <c r="B50">
        <v>17528908</v>
      </c>
    </row>
    <row r="51" spans="1:2" x14ac:dyDescent="0.2">
      <c r="A51" t="s">
        <v>839</v>
      </c>
      <c r="B51">
        <v>17528908</v>
      </c>
    </row>
    <row r="52" spans="1:2" x14ac:dyDescent="0.2">
      <c r="A52" t="s">
        <v>839</v>
      </c>
      <c r="B52">
        <v>17528908</v>
      </c>
    </row>
    <row r="53" spans="1:2" x14ac:dyDescent="0.2">
      <c r="A53" t="s">
        <v>839</v>
      </c>
      <c r="B53">
        <v>17528908</v>
      </c>
    </row>
    <row r="54" spans="1:2" x14ac:dyDescent="0.2">
      <c r="A54" t="s">
        <v>839</v>
      </c>
      <c r="B54">
        <v>17528908</v>
      </c>
    </row>
    <row r="55" spans="1:2" x14ac:dyDescent="0.2">
      <c r="A55" t="s">
        <v>839</v>
      </c>
      <c r="B55">
        <v>17528908</v>
      </c>
    </row>
    <row r="56" spans="1:2" x14ac:dyDescent="0.2">
      <c r="A56" t="s">
        <v>839</v>
      </c>
      <c r="B56">
        <v>17528908</v>
      </c>
    </row>
    <row r="57" spans="1:2" x14ac:dyDescent="0.2">
      <c r="A57" t="s">
        <v>839</v>
      </c>
      <c r="B57">
        <v>17528908</v>
      </c>
    </row>
    <row r="58" spans="1:2" x14ac:dyDescent="0.2">
      <c r="A58" t="s">
        <v>839</v>
      </c>
      <c r="B58">
        <v>17528908</v>
      </c>
    </row>
    <row r="59" spans="1:2" x14ac:dyDescent="0.2">
      <c r="A59" t="s">
        <v>839</v>
      </c>
      <c r="B59">
        <v>17528908</v>
      </c>
    </row>
    <row r="60" spans="1:2" x14ac:dyDescent="0.2">
      <c r="A60" t="s">
        <v>839</v>
      </c>
      <c r="B60">
        <v>17528908</v>
      </c>
    </row>
    <row r="61" spans="1:2" x14ac:dyDescent="0.2">
      <c r="A61" t="s">
        <v>839</v>
      </c>
      <c r="B61">
        <v>17528908</v>
      </c>
    </row>
    <row r="62" spans="1:2" x14ac:dyDescent="0.2">
      <c r="A62" t="s">
        <v>839</v>
      </c>
      <c r="B62">
        <v>17528908</v>
      </c>
    </row>
    <row r="63" spans="1:2" x14ac:dyDescent="0.2">
      <c r="A63" t="s">
        <v>839</v>
      </c>
      <c r="B63">
        <v>17528908</v>
      </c>
    </row>
    <row r="64" spans="1:2" x14ac:dyDescent="0.2">
      <c r="A64" t="s">
        <v>839</v>
      </c>
      <c r="B64">
        <v>17528908</v>
      </c>
    </row>
    <row r="65" spans="1:2" x14ac:dyDescent="0.2">
      <c r="A65" t="s">
        <v>839</v>
      </c>
      <c r="B65">
        <v>17528908</v>
      </c>
    </row>
    <row r="66" spans="1:2" x14ac:dyDescent="0.2">
      <c r="A66" t="s">
        <v>839</v>
      </c>
      <c r="B66">
        <v>17528908</v>
      </c>
    </row>
    <row r="67" spans="1:2" x14ac:dyDescent="0.2">
      <c r="A67" t="s">
        <v>839</v>
      </c>
      <c r="B67">
        <v>17528908</v>
      </c>
    </row>
    <row r="68" spans="1:2" x14ac:dyDescent="0.2">
      <c r="A68" t="s">
        <v>839</v>
      </c>
      <c r="B68">
        <v>17528908</v>
      </c>
    </row>
    <row r="69" spans="1:2" x14ac:dyDescent="0.2">
      <c r="A69" t="s">
        <v>839</v>
      </c>
      <c r="B69">
        <v>17528908</v>
      </c>
    </row>
    <row r="70" spans="1:2" x14ac:dyDescent="0.2">
      <c r="A70" t="s">
        <v>839</v>
      </c>
      <c r="B70">
        <v>17528908</v>
      </c>
    </row>
    <row r="71" spans="1:2" x14ac:dyDescent="0.2">
      <c r="A71" t="s">
        <v>839</v>
      </c>
      <c r="B71">
        <v>17528908</v>
      </c>
    </row>
    <row r="72" spans="1:2" x14ac:dyDescent="0.2">
      <c r="A72" t="s">
        <v>839</v>
      </c>
      <c r="B72">
        <v>17528908</v>
      </c>
    </row>
    <row r="73" spans="1:2" x14ac:dyDescent="0.2">
      <c r="A73" t="s">
        <v>839</v>
      </c>
      <c r="B73">
        <v>17528908</v>
      </c>
    </row>
    <row r="74" spans="1:2" x14ac:dyDescent="0.2">
      <c r="A74" t="s">
        <v>839</v>
      </c>
      <c r="B74">
        <v>17528908</v>
      </c>
    </row>
    <row r="75" spans="1:2" x14ac:dyDescent="0.2">
      <c r="A75" t="s">
        <v>839</v>
      </c>
      <c r="B75">
        <v>17528908</v>
      </c>
    </row>
    <row r="76" spans="1:2" x14ac:dyDescent="0.2">
      <c r="A76" t="s">
        <v>839</v>
      </c>
      <c r="B76">
        <v>17528908</v>
      </c>
    </row>
    <row r="77" spans="1:2" x14ac:dyDescent="0.2">
      <c r="A77" t="s">
        <v>839</v>
      </c>
      <c r="B77">
        <v>17528908</v>
      </c>
    </row>
    <row r="78" spans="1:2" x14ac:dyDescent="0.2">
      <c r="A78" t="s">
        <v>839</v>
      </c>
      <c r="B78">
        <v>17528908</v>
      </c>
    </row>
    <row r="79" spans="1:2" x14ac:dyDescent="0.2">
      <c r="A79" t="s">
        <v>839</v>
      </c>
      <c r="B79">
        <v>17528908</v>
      </c>
    </row>
    <row r="80" spans="1:2" x14ac:dyDescent="0.2">
      <c r="A80" t="s">
        <v>839</v>
      </c>
      <c r="B80">
        <v>17528908</v>
      </c>
    </row>
    <row r="81" spans="1:2" x14ac:dyDescent="0.2">
      <c r="A81" t="s">
        <v>839</v>
      </c>
      <c r="B81">
        <v>17528908</v>
      </c>
    </row>
    <row r="82" spans="1:2" x14ac:dyDescent="0.2">
      <c r="A82" t="s">
        <v>839</v>
      </c>
      <c r="B82">
        <v>17528908</v>
      </c>
    </row>
    <row r="83" spans="1:2" x14ac:dyDescent="0.2">
      <c r="A83" t="s">
        <v>839</v>
      </c>
      <c r="B83">
        <v>17528908</v>
      </c>
    </row>
    <row r="84" spans="1:2" x14ac:dyDescent="0.2">
      <c r="A84" t="s">
        <v>839</v>
      </c>
      <c r="B84">
        <v>17528908</v>
      </c>
    </row>
    <row r="85" spans="1:2" x14ac:dyDescent="0.2">
      <c r="A85" t="s">
        <v>839</v>
      </c>
      <c r="B85">
        <v>17528908</v>
      </c>
    </row>
    <row r="86" spans="1:2" x14ac:dyDescent="0.2">
      <c r="A86" t="s">
        <v>840</v>
      </c>
      <c r="B86">
        <v>19279958</v>
      </c>
    </row>
    <row r="87" spans="1:2" x14ac:dyDescent="0.2">
      <c r="A87" t="s">
        <v>840</v>
      </c>
      <c r="B87">
        <v>19279958</v>
      </c>
    </row>
    <row r="88" spans="1:2" x14ac:dyDescent="0.2">
      <c r="A88" t="s">
        <v>840</v>
      </c>
      <c r="B88">
        <v>19279958</v>
      </c>
    </row>
    <row r="89" spans="1:2" x14ac:dyDescent="0.2">
      <c r="A89" t="s">
        <v>840</v>
      </c>
      <c r="B89">
        <v>19279958</v>
      </c>
    </row>
    <row r="90" spans="1:2" x14ac:dyDescent="0.2">
      <c r="A90" t="s">
        <v>840</v>
      </c>
      <c r="B90">
        <v>19279958</v>
      </c>
    </row>
    <row r="91" spans="1:2" x14ac:dyDescent="0.2">
      <c r="A91" t="s">
        <v>840</v>
      </c>
      <c r="B91">
        <v>19279958</v>
      </c>
    </row>
    <row r="92" spans="1:2" x14ac:dyDescent="0.2">
      <c r="A92" t="s">
        <v>840</v>
      </c>
      <c r="B92">
        <v>19279958</v>
      </c>
    </row>
    <row r="93" spans="1:2" x14ac:dyDescent="0.2">
      <c r="A93" t="s">
        <v>840</v>
      </c>
      <c r="B93">
        <v>19279958</v>
      </c>
    </row>
    <row r="94" spans="1:2" x14ac:dyDescent="0.2">
      <c r="A94" t="s">
        <v>840</v>
      </c>
      <c r="B94">
        <v>19279958</v>
      </c>
    </row>
    <row r="95" spans="1:2" x14ac:dyDescent="0.2">
      <c r="A95" t="s">
        <v>840</v>
      </c>
      <c r="B95">
        <v>19279958</v>
      </c>
    </row>
    <row r="96" spans="1:2" x14ac:dyDescent="0.2">
      <c r="A96" t="s">
        <v>840</v>
      </c>
      <c r="B96">
        <v>19279958</v>
      </c>
    </row>
    <row r="97" spans="1:2" x14ac:dyDescent="0.2">
      <c r="A97" t="s">
        <v>840</v>
      </c>
      <c r="B97">
        <v>19279958</v>
      </c>
    </row>
    <row r="98" spans="1:2" x14ac:dyDescent="0.2">
      <c r="A98" t="s">
        <v>841</v>
      </c>
      <c r="B98">
        <v>19278370</v>
      </c>
    </row>
    <row r="99" spans="1:2" x14ac:dyDescent="0.2">
      <c r="A99" t="s">
        <v>841</v>
      </c>
      <c r="B99">
        <v>19278370</v>
      </c>
    </row>
    <row r="100" spans="1:2" x14ac:dyDescent="0.2">
      <c r="A100" t="s">
        <v>841</v>
      </c>
      <c r="B100">
        <v>19278370</v>
      </c>
    </row>
    <row r="101" spans="1:2" x14ac:dyDescent="0.2">
      <c r="A101" t="s">
        <v>841</v>
      </c>
      <c r="B101">
        <v>19278370</v>
      </c>
    </row>
    <row r="102" spans="1:2" x14ac:dyDescent="0.2">
      <c r="A102" t="s">
        <v>841</v>
      </c>
      <c r="B102">
        <v>19278370</v>
      </c>
    </row>
    <row r="103" spans="1:2" x14ac:dyDescent="0.2">
      <c r="A103" t="s">
        <v>842</v>
      </c>
      <c r="B103">
        <v>16202925</v>
      </c>
    </row>
    <row r="104" spans="1:2" x14ac:dyDescent="0.2">
      <c r="A104" t="s">
        <v>842</v>
      </c>
      <c r="B104">
        <v>16202925</v>
      </c>
    </row>
    <row r="105" spans="1:2" x14ac:dyDescent="0.2">
      <c r="A105" t="s">
        <v>842</v>
      </c>
      <c r="B105">
        <v>16202925</v>
      </c>
    </row>
    <row r="106" spans="1:2" x14ac:dyDescent="0.2">
      <c r="A106" t="s">
        <v>842</v>
      </c>
      <c r="B106">
        <v>16202925</v>
      </c>
    </row>
    <row r="107" spans="1:2" x14ac:dyDescent="0.2">
      <c r="A107" t="s">
        <v>842</v>
      </c>
      <c r="B107">
        <v>16202925</v>
      </c>
    </row>
    <row r="108" spans="1:2" x14ac:dyDescent="0.2">
      <c r="A108" t="s">
        <v>842</v>
      </c>
      <c r="B108">
        <v>16202925</v>
      </c>
    </row>
    <row r="109" spans="1:2" x14ac:dyDescent="0.2">
      <c r="A109" t="s">
        <v>842</v>
      </c>
      <c r="B109">
        <v>16202925</v>
      </c>
    </row>
    <row r="110" spans="1:2" x14ac:dyDescent="0.2">
      <c r="A110" t="s">
        <v>842</v>
      </c>
      <c r="B110">
        <v>16202925</v>
      </c>
    </row>
    <row r="111" spans="1:2" x14ac:dyDescent="0.2">
      <c r="A111" t="s">
        <v>842</v>
      </c>
      <c r="B111">
        <v>16202925</v>
      </c>
    </row>
    <row r="112" spans="1:2" x14ac:dyDescent="0.2">
      <c r="A112" t="s">
        <v>842</v>
      </c>
      <c r="B112">
        <v>16202925</v>
      </c>
    </row>
    <row r="113" spans="1:2" x14ac:dyDescent="0.2">
      <c r="A113" t="s">
        <v>843</v>
      </c>
      <c r="B113">
        <v>17195620</v>
      </c>
    </row>
    <row r="114" spans="1:2" x14ac:dyDescent="0.2">
      <c r="A114" t="s">
        <v>844</v>
      </c>
      <c r="B114">
        <v>8814784</v>
      </c>
    </row>
    <row r="115" spans="1:2" x14ac:dyDescent="0.2">
      <c r="A115" t="s">
        <v>845</v>
      </c>
      <c r="B115">
        <v>9254978</v>
      </c>
    </row>
    <row r="116" spans="1:2" x14ac:dyDescent="0.2">
      <c r="A116" t="s">
        <v>845</v>
      </c>
      <c r="B116">
        <v>9254978</v>
      </c>
    </row>
    <row r="117" spans="1:2" x14ac:dyDescent="0.2">
      <c r="A117" t="s">
        <v>845</v>
      </c>
      <c r="B117">
        <v>9254978</v>
      </c>
    </row>
    <row r="118" spans="1:2" x14ac:dyDescent="0.2">
      <c r="A118" t="s">
        <v>846</v>
      </c>
      <c r="B118" t="e">
        <v>#N/A</v>
      </c>
    </row>
    <row r="119" spans="1:2" x14ac:dyDescent="0.2">
      <c r="A119" t="s">
        <v>846</v>
      </c>
      <c r="B119" t="e">
        <v>#N/A</v>
      </c>
    </row>
    <row r="120" spans="1:2" x14ac:dyDescent="0.2">
      <c r="A120" t="s">
        <v>846</v>
      </c>
      <c r="B120" t="e">
        <v>#N/A</v>
      </c>
    </row>
    <row r="121" spans="1:2" x14ac:dyDescent="0.2">
      <c r="A121" t="s">
        <v>846</v>
      </c>
      <c r="B121" t="e">
        <v>#N/A</v>
      </c>
    </row>
    <row r="122" spans="1:2" x14ac:dyDescent="0.2">
      <c r="A122" t="s">
        <v>846</v>
      </c>
      <c r="B122" t="e">
        <v>#N/A</v>
      </c>
    </row>
    <row r="123" spans="1:2" x14ac:dyDescent="0.2">
      <c r="A123" t="s">
        <v>846</v>
      </c>
      <c r="B123" t="e">
        <v>#N/A</v>
      </c>
    </row>
    <row r="124" spans="1:2" x14ac:dyDescent="0.2">
      <c r="A124" t="s">
        <v>846</v>
      </c>
      <c r="B124" t="e">
        <v>#N/A</v>
      </c>
    </row>
    <row r="125" spans="1:2" x14ac:dyDescent="0.2">
      <c r="A125" t="s">
        <v>846</v>
      </c>
      <c r="B125" t="e">
        <v>#N/A</v>
      </c>
    </row>
    <row r="126" spans="1:2" x14ac:dyDescent="0.2">
      <c r="A126" t="s">
        <v>846</v>
      </c>
      <c r="B126" t="e">
        <v>#N/A</v>
      </c>
    </row>
    <row r="127" spans="1:2" x14ac:dyDescent="0.2">
      <c r="A127" t="s">
        <v>846</v>
      </c>
      <c r="B127" t="e">
        <v>#N/A</v>
      </c>
    </row>
    <row r="128" spans="1:2" x14ac:dyDescent="0.2">
      <c r="A128" t="s">
        <v>846</v>
      </c>
      <c r="B128" t="e">
        <v>#N/A</v>
      </c>
    </row>
    <row r="129" spans="1:2" x14ac:dyDescent="0.2">
      <c r="A129" t="s">
        <v>846</v>
      </c>
      <c r="B129" t="e">
        <v>#N/A</v>
      </c>
    </row>
    <row r="130" spans="1:2" x14ac:dyDescent="0.2">
      <c r="A130" t="s">
        <v>846</v>
      </c>
      <c r="B130" t="e">
        <v>#N/A</v>
      </c>
    </row>
    <row r="131" spans="1:2" x14ac:dyDescent="0.2">
      <c r="A131" t="s">
        <v>846</v>
      </c>
      <c r="B131" t="e">
        <v>#N/A</v>
      </c>
    </row>
    <row r="132" spans="1:2" x14ac:dyDescent="0.2">
      <c r="A132" t="s">
        <v>846</v>
      </c>
      <c r="B132" t="e">
        <v>#N/A</v>
      </c>
    </row>
    <row r="133" spans="1:2" x14ac:dyDescent="0.2">
      <c r="A133" t="s">
        <v>846</v>
      </c>
      <c r="B133" t="e">
        <v>#N/A</v>
      </c>
    </row>
    <row r="134" spans="1:2" x14ac:dyDescent="0.2">
      <c r="A134" t="s">
        <v>846</v>
      </c>
      <c r="B134" t="e">
        <v>#N/A</v>
      </c>
    </row>
    <row r="135" spans="1:2" x14ac:dyDescent="0.2">
      <c r="A135" t="s">
        <v>846</v>
      </c>
      <c r="B135" t="e">
        <v>#N/A</v>
      </c>
    </row>
    <row r="136" spans="1:2" x14ac:dyDescent="0.2">
      <c r="A136" t="s">
        <v>846</v>
      </c>
      <c r="B136" t="e">
        <v>#N/A</v>
      </c>
    </row>
    <row r="137" spans="1:2" x14ac:dyDescent="0.2">
      <c r="A137" t="s">
        <v>846</v>
      </c>
      <c r="B137" t="e">
        <v>#N/A</v>
      </c>
    </row>
    <row r="138" spans="1:2" x14ac:dyDescent="0.2">
      <c r="A138" t="s">
        <v>846</v>
      </c>
      <c r="B138" t="e">
        <v>#N/A</v>
      </c>
    </row>
    <row r="139" spans="1:2" x14ac:dyDescent="0.2">
      <c r="A139" t="s">
        <v>846</v>
      </c>
      <c r="B139" t="e">
        <v>#N/A</v>
      </c>
    </row>
    <row r="140" spans="1:2" x14ac:dyDescent="0.2">
      <c r="A140" t="s">
        <v>846</v>
      </c>
      <c r="B140" t="e">
        <v>#N/A</v>
      </c>
    </row>
    <row r="141" spans="1:2" x14ac:dyDescent="0.2">
      <c r="A141" t="s">
        <v>846</v>
      </c>
      <c r="B141" t="e">
        <v>#N/A</v>
      </c>
    </row>
    <row r="142" spans="1:2" x14ac:dyDescent="0.2">
      <c r="A142" t="s">
        <v>846</v>
      </c>
      <c r="B142" t="e">
        <v>#N/A</v>
      </c>
    </row>
    <row r="143" spans="1:2" x14ac:dyDescent="0.2">
      <c r="A143" t="s">
        <v>846</v>
      </c>
      <c r="B143" t="e">
        <v>#N/A</v>
      </c>
    </row>
    <row r="144" spans="1:2" x14ac:dyDescent="0.2">
      <c r="A144" t="s">
        <v>846</v>
      </c>
      <c r="B144" t="e">
        <v>#N/A</v>
      </c>
    </row>
    <row r="145" spans="1:2" x14ac:dyDescent="0.2">
      <c r="A145" t="s">
        <v>846</v>
      </c>
      <c r="B145" t="e">
        <v>#N/A</v>
      </c>
    </row>
    <row r="146" spans="1:2" x14ac:dyDescent="0.2">
      <c r="A146" t="s">
        <v>846</v>
      </c>
      <c r="B146" t="e">
        <v>#N/A</v>
      </c>
    </row>
    <row r="147" spans="1:2" x14ac:dyDescent="0.2">
      <c r="A147" t="s">
        <v>846</v>
      </c>
      <c r="B147" t="e">
        <v>#N/A</v>
      </c>
    </row>
    <row r="148" spans="1:2" x14ac:dyDescent="0.2">
      <c r="A148" t="s">
        <v>846</v>
      </c>
      <c r="B148" t="e">
        <v>#N/A</v>
      </c>
    </row>
    <row r="149" spans="1:2" x14ac:dyDescent="0.2">
      <c r="A149" t="s">
        <v>846</v>
      </c>
      <c r="B149" t="e">
        <v>#N/A</v>
      </c>
    </row>
    <row r="150" spans="1:2" x14ac:dyDescent="0.2">
      <c r="A150" t="s">
        <v>846</v>
      </c>
      <c r="B150" t="e">
        <v>#N/A</v>
      </c>
    </row>
    <row r="151" spans="1:2" x14ac:dyDescent="0.2">
      <c r="A151" t="s">
        <v>846</v>
      </c>
      <c r="B151" t="e">
        <v>#N/A</v>
      </c>
    </row>
    <row r="152" spans="1:2" x14ac:dyDescent="0.2">
      <c r="A152" t="s">
        <v>846</v>
      </c>
      <c r="B152" t="e">
        <v>#N/A</v>
      </c>
    </row>
    <row r="153" spans="1:2" x14ac:dyDescent="0.2">
      <c r="A153" t="s">
        <v>846</v>
      </c>
      <c r="B153" t="e">
        <v>#N/A</v>
      </c>
    </row>
    <row r="154" spans="1:2" x14ac:dyDescent="0.2">
      <c r="A154" t="s">
        <v>846</v>
      </c>
      <c r="B154" t="e">
        <v>#N/A</v>
      </c>
    </row>
    <row r="155" spans="1:2" x14ac:dyDescent="0.2">
      <c r="A155" t="s">
        <v>846</v>
      </c>
      <c r="B155" t="e">
        <v>#N/A</v>
      </c>
    </row>
    <row r="156" spans="1:2" x14ac:dyDescent="0.2">
      <c r="A156" t="s">
        <v>846</v>
      </c>
      <c r="B156" t="e">
        <v>#N/A</v>
      </c>
    </row>
    <row r="157" spans="1:2" x14ac:dyDescent="0.2">
      <c r="A157" t="s">
        <v>846</v>
      </c>
      <c r="B157" t="e">
        <v>#N/A</v>
      </c>
    </row>
    <row r="158" spans="1:2" x14ac:dyDescent="0.2">
      <c r="A158" t="s">
        <v>847</v>
      </c>
      <c r="B158">
        <v>5442438</v>
      </c>
    </row>
    <row r="159" spans="1:2" x14ac:dyDescent="0.2">
      <c r="A159" t="s">
        <v>847</v>
      </c>
      <c r="B159">
        <v>5442438</v>
      </c>
    </row>
    <row r="160" spans="1:2" x14ac:dyDescent="0.2">
      <c r="A160" t="s">
        <v>847</v>
      </c>
      <c r="B160">
        <v>5442438</v>
      </c>
    </row>
    <row r="161" spans="1:2" x14ac:dyDescent="0.2">
      <c r="A161" t="s">
        <v>847</v>
      </c>
      <c r="B161">
        <v>5442438</v>
      </c>
    </row>
    <row r="162" spans="1:2" x14ac:dyDescent="0.2">
      <c r="A162" t="s">
        <v>847</v>
      </c>
      <c r="B162">
        <v>5442438</v>
      </c>
    </row>
    <row r="163" spans="1:2" x14ac:dyDescent="0.2">
      <c r="A163" t="s">
        <v>847</v>
      </c>
      <c r="B163">
        <v>5442438</v>
      </c>
    </row>
    <row r="164" spans="1:2" x14ac:dyDescent="0.2">
      <c r="A164" t="s">
        <v>847</v>
      </c>
      <c r="B164">
        <v>5442438</v>
      </c>
    </row>
    <row r="165" spans="1:2" x14ac:dyDescent="0.2">
      <c r="A165" t="s">
        <v>847</v>
      </c>
      <c r="B165">
        <v>5442438</v>
      </c>
    </row>
    <row r="166" spans="1:2" x14ac:dyDescent="0.2">
      <c r="A166" t="s">
        <v>847</v>
      </c>
      <c r="B166">
        <v>5442438</v>
      </c>
    </row>
    <row r="167" spans="1:2" x14ac:dyDescent="0.2">
      <c r="A167" t="s">
        <v>847</v>
      </c>
      <c r="B167">
        <v>5442438</v>
      </c>
    </row>
    <row r="168" spans="1:2" x14ac:dyDescent="0.2">
      <c r="A168" t="s">
        <v>847</v>
      </c>
      <c r="B168">
        <v>5442438</v>
      </c>
    </row>
    <row r="169" spans="1:2" x14ac:dyDescent="0.2">
      <c r="A169" t="s">
        <v>847</v>
      </c>
      <c r="B169">
        <v>5442438</v>
      </c>
    </row>
    <row r="170" spans="1:2" x14ac:dyDescent="0.2">
      <c r="A170" t="s">
        <v>847</v>
      </c>
      <c r="B170">
        <v>5442438</v>
      </c>
    </row>
    <row r="171" spans="1:2" x14ac:dyDescent="0.2">
      <c r="A171" t="s">
        <v>847</v>
      </c>
      <c r="B171">
        <v>5442438</v>
      </c>
    </row>
    <row r="172" spans="1:2" x14ac:dyDescent="0.2">
      <c r="A172" t="s">
        <v>847</v>
      </c>
      <c r="B172">
        <v>5442438</v>
      </c>
    </row>
    <row r="173" spans="1:2" x14ac:dyDescent="0.2">
      <c r="A173" t="s">
        <v>847</v>
      </c>
      <c r="B173">
        <v>5442438</v>
      </c>
    </row>
    <row r="174" spans="1:2" x14ac:dyDescent="0.2">
      <c r="A174" t="s">
        <v>847</v>
      </c>
      <c r="B174">
        <v>5442438</v>
      </c>
    </row>
    <row r="175" spans="1:2" x14ac:dyDescent="0.2">
      <c r="A175" t="s">
        <v>847</v>
      </c>
      <c r="B175">
        <v>5442438</v>
      </c>
    </row>
    <row r="176" spans="1:2" x14ac:dyDescent="0.2">
      <c r="A176" t="s">
        <v>847</v>
      </c>
      <c r="B176">
        <v>5442438</v>
      </c>
    </row>
    <row r="177" spans="1:2" x14ac:dyDescent="0.2">
      <c r="A177" t="s">
        <v>847</v>
      </c>
      <c r="B177">
        <v>5442438</v>
      </c>
    </row>
    <row r="178" spans="1:2" x14ac:dyDescent="0.2">
      <c r="A178" t="s">
        <v>847</v>
      </c>
      <c r="B178">
        <v>5442438</v>
      </c>
    </row>
    <row r="179" spans="1:2" x14ac:dyDescent="0.2">
      <c r="A179" t="s">
        <v>847</v>
      </c>
      <c r="B179">
        <v>5442438</v>
      </c>
    </row>
    <row r="180" spans="1:2" x14ac:dyDescent="0.2">
      <c r="A180" t="s">
        <v>847</v>
      </c>
      <c r="B180">
        <v>5442438</v>
      </c>
    </row>
    <row r="181" spans="1:2" x14ac:dyDescent="0.2">
      <c r="A181" t="s">
        <v>847</v>
      </c>
      <c r="B181">
        <v>5442438</v>
      </c>
    </row>
    <row r="182" spans="1:2" x14ac:dyDescent="0.2">
      <c r="A182" t="s">
        <v>847</v>
      </c>
      <c r="B182">
        <v>5442438</v>
      </c>
    </row>
    <row r="183" spans="1:2" x14ac:dyDescent="0.2">
      <c r="A183" t="s">
        <v>847</v>
      </c>
      <c r="B183">
        <v>5442438</v>
      </c>
    </row>
    <row r="184" spans="1:2" x14ac:dyDescent="0.2">
      <c r="A184" t="s">
        <v>847</v>
      </c>
      <c r="B184">
        <v>5442438</v>
      </c>
    </row>
    <row r="185" spans="1:2" x14ac:dyDescent="0.2">
      <c r="A185" t="s">
        <v>847</v>
      </c>
      <c r="B185">
        <v>5442438</v>
      </c>
    </row>
    <row r="186" spans="1:2" x14ac:dyDescent="0.2">
      <c r="A186" t="s">
        <v>847</v>
      </c>
      <c r="B186">
        <v>5442438</v>
      </c>
    </row>
    <row r="187" spans="1:2" x14ac:dyDescent="0.2">
      <c r="A187" t="s">
        <v>847</v>
      </c>
      <c r="B187">
        <v>5442438</v>
      </c>
    </row>
    <row r="188" spans="1:2" x14ac:dyDescent="0.2">
      <c r="A188" t="s">
        <v>847</v>
      </c>
      <c r="B188">
        <v>5442438</v>
      </c>
    </row>
    <row r="189" spans="1:2" x14ac:dyDescent="0.2">
      <c r="A189" t="s">
        <v>847</v>
      </c>
      <c r="B189">
        <v>5442438</v>
      </c>
    </row>
    <row r="190" spans="1:2" x14ac:dyDescent="0.2">
      <c r="A190" t="s">
        <v>847</v>
      </c>
      <c r="B190">
        <v>5442438</v>
      </c>
    </row>
    <row r="191" spans="1:2" x14ac:dyDescent="0.2">
      <c r="A191" t="s">
        <v>847</v>
      </c>
      <c r="B191">
        <v>5442438</v>
      </c>
    </row>
    <row r="192" spans="1:2" x14ac:dyDescent="0.2">
      <c r="A192" t="s">
        <v>847</v>
      </c>
      <c r="B192">
        <v>5442438</v>
      </c>
    </row>
    <row r="193" spans="1:2" x14ac:dyDescent="0.2">
      <c r="A193" t="s">
        <v>847</v>
      </c>
      <c r="B193">
        <v>5442438</v>
      </c>
    </row>
    <row r="194" spans="1:2" x14ac:dyDescent="0.2">
      <c r="A194" t="s">
        <v>847</v>
      </c>
      <c r="B194">
        <v>5442438</v>
      </c>
    </row>
    <row r="195" spans="1:2" x14ac:dyDescent="0.2">
      <c r="A195" t="s">
        <v>847</v>
      </c>
      <c r="B195">
        <v>5442438</v>
      </c>
    </row>
    <row r="196" spans="1:2" x14ac:dyDescent="0.2">
      <c r="A196" t="s">
        <v>847</v>
      </c>
      <c r="B196">
        <v>5442438</v>
      </c>
    </row>
    <row r="197" spans="1:2" x14ac:dyDescent="0.2">
      <c r="A197" t="s">
        <v>847</v>
      </c>
      <c r="B197">
        <v>5442438</v>
      </c>
    </row>
    <row r="198" spans="1:2" x14ac:dyDescent="0.2">
      <c r="A198" t="s">
        <v>847</v>
      </c>
      <c r="B198">
        <v>5442438</v>
      </c>
    </row>
    <row r="199" spans="1:2" x14ac:dyDescent="0.2">
      <c r="A199" t="s">
        <v>848</v>
      </c>
      <c r="B199">
        <v>18710070</v>
      </c>
    </row>
    <row r="200" spans="1:2" x14ac:dyDescent="0.2">
      <c r="A200" t="s">
        <v>848</v>
      </c>
      <c r="B200">
        <v>18710070</v>
      </c>
    </row>
    <row r="201" spans="1:2" x14ac:dyDescent="0.2">
      <c r="A201" t="s">
        <v>848</v>
      </c>
      <c r="B201">
        <v>18710070</v>
      </c>
    </row>
    <row r="202" spans="1:2" x14ac:dyDescent="0.2">
      <c r="A202" t="s">
        <v>849</v>
      </c>
      <c r="B202">
        <v>17554531</v>
      </c>
    </row>
    <row r="203" spans="1:2" x14ac:dyDescent="0.2">
      <c r="A203" t="s">
        <v>849</v>
      </c>
      <c r="B203">
        <v>17554531</v>
      </c>
    </row>
    <row r="204" spans="1:2" x14ac:dyDescent="0.2">
      <c r="A204" t="s">
        <v>849</v>
      </c>
      <c r="B204">
        <v>17554531</v>
      </c>
    </row>
    <row r="205" spans="1:2" x14ac:dyDescent="0.2">
      <c r="A205" t="s">
        <v>849</v>
      </c>
      <c r="B205">
        <v>17554531</v>
      </c>
    </row>
    <row r="206" spans="1:2" x14ac:dyDescent="0.2">
      <c r="A206" t="s">
        <v>850</v>
      </c>
      <c r="B206">
        <v>371819</v>
      </c>
    </row>
    <row r="207" spans="1:2" x14ac:dyDescent="0.2">
      <c r="A207" t="s">
        <v>850</v>
      </c>
      <c r="B207">
        <v>371819</v>
      </c>
    </row>
    <row r="208" spans="1:2" x14ac:dyDescent="0.2">
      <c r="A208" t="s">
        <v>851</v>
      </c>
      <c r="B208">
        <v>9213293</v>
      </c>
    </row>
    <row r="209" spans="1:2" x14ac:dyDescent="0.2">
      <c r="A209" t="s">
        <v>851</v>
      </c>
      <c r="B209">
        <v>9213293</v>
      </c>
    </row>
    <row r="210" spans="1:2" x14ac:dyDescent="0.2">
      <c r="A210" t="s">
        <v>851</v>
      </c>
      <c r="B210">
        <v>9213293</v>
      </c>
    </row>
    <row r="211" spans="1:2" x14ac:dyDescent="0.2">
      <c r="A211" t="s">
        <v>851</v>
      </c>
      <c r="B211">
        <v>9213293</v>
      </c>
    </row>
    <row r="212" spans="1:2" x14ac:dyDescent="0.2">
      <c r="A212" t="s">
        <v>851</v>
      </c>
      <c r="B212">
        <v>9213293</v>
      </c>
    </row>
    <row r="213" spans="1:2" x14ac:dyDescent="0.2">
      <c r="A213" t="s">
        <v>851</v>
      </c>
      <c r="B213">
        <v>9213293</v>
      </c>
    </row>
    <row r="214" spans="1:2" x14ac:dyDescent="0.2">
      <c r="A214" t="s">
        <v>851</v>
      </c>
      <c r="B214">
        <v>9213293</v>
      </c>
    </row>
    <row r="215" spans="1:2" x14ac:dyDescent="0.2">
      <c r="A215" t="s">
        <v>851</v>
      </c>
      <c r="B215">
        <v>9213293</v>
      </c>
    </row>
    <row r="216" spans="1:2" x14ac:dyDescent="0.2">
      <c r="A216" t="s">
        <v>851</v>
      </c>
      <c r="B216">
        <v>9213293</v>
      </c>
    </row>
    <row r="217" spans="1:2" x14ac:dyDescent="0.2">
      <c r="A217" t="s">
        <v>852</v>
      </c>
      <c r="B217">
        <v>19645587</v>
      </c>
    </row>
    <row r="218" spans="1:2" x14ac:dyDescent="0.2">
      <c r="A218" t="s">
        <v>852</v>
      </c>
      <c r="B218">
        <v>19645587</v>
      </c>
    </row>
    <row r="219" spans="1:2" x14ac:dyDescent="0.2">
      <c r="A219" t="s">
        <v>852</v>
      </c>
      <c r="B219">
        <v>19645587</v>
      </c>
    </row>
    <row r="220" spans="1:2" x14ac:dyDescent="0.2">
      <c r="A220" t="s">
        <v>852</v>
      </c>
      <c r="B220">
        <v>19645587</v>
      </c>
    </row>
    <row r="221" spans="1:2" x14ac:dyDescent="0.2">
      <c r="A221" t="s">
        <v>852</v>
      </c>
      <c r="B221">
        <v>19645587</v>
      </c>
    </row>
    <row r="222" spans="1:2" x14ac:dyDescent="0.2">
      <c r="A222" t="s">
        <v>852</v>
      </c>
      <c r="B222">
        <v>19645587</v>
      </c>
    </row>
    <row r="223" spans="1:2" x14ac:dyDescent="0.2">
      <c r="A223" t="s">
        <v>852</v>
      </c>
      <c r="B223">
        <v>19645587</v>
      </c>
    </row>
    <row r="224" spans="1:2" x14ac:dyDescent="0.2">
      <c r="A224" t="s">
        <v>853</v>
      </c>
      <c r="B224">
        <v>9079571</v>
      </c>
    </row>
    <row r="225" spans="1:2" x14ac:dyDescent="0.2">
      <c r="A225" t="s">
        <v>853</v>
      </c>
      <c r="B225">
        <v>9079571</v>
      </c>
    </row>
    <row r="226" spans="1:2" x14ac:dyDescent="0.2">
      <c r="A226" t="s">
        <v>853</v>
      </c>
      <c r="B226">
        <v>9079571</v>
      </c>
    </row>
    <row r="227" spans="1:2" x14ac:dyDescent="0.2">
      <c r="A227" t="s">
        <v>853</v>
      </c>
      <c r="B227">
        <v>9079571</v>
      </c>
    </row>
    <row r="228" spans="1:2" x14ac:dyDescent="0.2">
      <c r="A228" t="s">
        <v>853</v>
      </c>
      <c r="B228">
        <v>9079571</v>
      </c>
    </row>
    <row r="229" spans="1:2" x14ac:dyDescent="0.2">
      <c r="A229" t="s">
        <v>853</v>
      </c>
      <c r="B229">
        <v>9079571</v>
      </c>
    </row>
    <row r="230" spans="1:2" x14ac:dyDescent="0.2">
      <c r="A230" t="s">
        <v>853</v>
      </c>
      <c r="B230">
        <v>9079571</v>
      </c>
    </row>
    <row r="231" spans="1:2" x14ac:dyDescent="0.2">
      <c r="A231" t="s">
        <v>853</v>
      </c>
      <c r="B231">
        <v>9079571</v>
      </c>
    </row>
    <row r="232" spans="1:2" x14ac:dyDescent="0.2">
      <c r="A232" t="s">
        <v>853</v>
      </c>
      <c r="B232">
        <v>9079571</v>
      </c>
    </row>
    <row r="233" spans="1:2" x14ac:dyDescent="0.2">
      <c r="A233" t="s">
        <v>853</v>
      </c>
      <c r="B233">
        <v>9079571</v>
      </c>
    </row>
    <row r="234" spans="1:2" x14ac:dyDescent="0.2">
      <c r="A234" t="s">
        <v>853</v>
      </c>
      <c r="B234">
        <v>9079571</v>
      </c>
    </row>
    <row r="235" spans="1:2" x14ac:dyDescent="0.2">
      <c r="A235" t="s">
        <v>853</v>
      </c>
      <c r="B235">
        <v>9079571</v>
      </c>
    </row>
    <row r="236" spans="1:2" x14ac:dyDescent="0.2">
      <c r="A236" t="s">
        <v>853</v>
      </c>
      <c r="B236">
        <v>9079571</v>
      </c>
    </row>
    <row r="237" spans="1:2" x14ac:dyDescent="0.2">
      <c r="A237" t="s">
        <v>853</v>
      </c>
      <c r="B237">
        <v>9079571</v>
      </c>
    </row>
    <row r="238" spans="1:2" x14ac:dyDescent="0.2">
      <c r="A238" t="s">
        <v>853</v>
      </c>
      <c r="B238">
        <v>9079571</v>
      </c>
    </row>
    <row r="239" spans="1:2" x14ac:dyDescent="0.2">
      <c r="A239" t="s">
        <v>853</v>
      </c>
      <c r="B239">
        <v>9079571</v>
      </c>
    </row>
    <row r="240" spans="1:2" x14ac:dyDescent="0.2">
      <c r="A240" t="s">
        <v>853</v>
      </c>
      <c r="B240">
        <v>9079571</v>
      </c>
    </row>
    <row r="241" spans="1:2" x14ac:dyDescent="0.2">
      <c r="A241" t="s">
        <v>853</v>
      </c>
      <c r="B241">
        <v>9079571</v>
      </c>
    </row>
    <row r="242" spans="1:2" x14ac:dyDescent="0.2">
      <c r="A242" t="s">
        <v>853</v>
      </c>
      <c r="B242">
        <v>9079571</v>
      </c>
    </row>
    <row r="243" spans="1:2" x14ac:dyDescent="0.2">
      <c r="A243" t="s">
        <v>853</v>
      </c>
      <c r="B243">
        <v>9079571</v>
      </c>
    </row>
    <row r="244" spans="1:2" x14ac:dyDescent="0.2">
      <c r="A244" t="s">
        <v>854</v>
      </c>
      <c r="B244">
        <v>16509456</v>
      </c>
    </row>
    <row r="245" spans="1:2" x14ac:dyDescent="0.2">
      <c r="A245" t="s">
        <v>854</v>
      </c>
      <c r="B245">
        <v>16509456</v>
      </c>
    </row>
    <row r="246" spans="1:2" x14ac:dyDescent="0.2">
      <c r="A246" t="s">
        <v>855</v>
      </c>
      <c r="B246">
        <v>18201929</v>
      </c>
    </row>
    <row r="247" spans="1:2" x14ac:dyDescent="0.2">
      <c r="A247" t="s">
        <v>855</v>
      </c>
      <c r="B247">
        <v>18201929</v>
      </c>
    </row>
    <row r="248" spans="1:2" x14ac:dyDescent="0.2">
      <c r="A248" t="s">
        <v>856</v>
      </c>
      <c r="B248">
        <v>16212649</v>
      </c>
    </row>
    <row r="249" spans="1:2" x14ac:dyDescent="0.2">
      <c r="A249" t="s">
        <v>856</v>
      </c>
      <c r="B249">
        <v>16212649</v>
      </c>
    </row>
    <row r="250" spans="1:2" x14ac:dyDescent="0.2">
      <c r="A250" t="s">
        <v>856</v>
      </c>
      <c r="B250">
        <v>16212649</v>
      </c>
    </row>
    <row r="251" spans="1:2" x14ac:dyDescent="0.2">
      <c r="A251" t="s">
        <v>856</v>
      </c>
      <c r="B251">
        <v>16212649</v>
      </c>
    </row>
    <row r="252" spans="1:2" x14ac:dyDescent="0.2">
      <c r="A252" t="s">
        <v>857</v>
      </c>
      <c r="B252">
        <v>14177521</v>
      </c>
    </row>
    <row r="253" spans="1:2" x14ac:dyDescent="0.2">
      <c r="A253" t="s">
        <v>857</v>
      </c>
      <c r="B253">
        <v>14177521</v>
      </c>
    </row>
    <row r="254" spans="1:2" x14ac:dyDescent="0.2">
      <c r="A254" t="s">
        <v>857</v>
      </c>
      <c r="B254">
        <v>14177521</v>
      </c>
    </row>
    <row r="255" spans="1:2" x14ac:dyDescent="0.2">
      <c r="A255" t="s">
        <v>858</v>
      </c>
      <c r="B255">
        <v>19681796</v>
      </c>
    </row>
    <row r="256" spans="1:2" x14ac:dyDescent="0.2">
      <c r="A256" t="s">
        <v>858</v>
      </c>
      <c r="B256">
        <v>19681796</v>
      </c>
    </row>
    <row r="257" spans="1:2" x14ac:dyDescent="0.2">
      <c r="A257" t="s">
        <v>858</v>
      </c>
      <c r="B257">
        <v>19681796</v>
      </c>
    </row>
    <row r="258" spans="1:2" x14ac:dyDescent="0.2">
      <c r="A258" t="s">
        <v>858</v>
      </c>
      <c r="B258">
        <v>19681796</v>
      </c>
    </row>
    <row r="259" spans="1:2" x14ac:dyDescent="0.2">
      <c r="A259" t="s">
        <v>858</v>
      </c>
      <c r="B259">
        <v>19681796</v>
      </c>
    </row>
    <row r="260" spans="1:2" x14ac:dyDescent="0.2">
      <c r="A260" t="s">
        <v>858</v>
      </c>
      <c r="B260">
        <v>19681796</v>
      </c>
    </row>
    <row r="261" spans="1:2" x14ac:dyDescent="0.2">
      <c r="A261" t="s">
        <v>858</v>
      </c>
      <c r="B261">
        <v>19681796</v>
      </c>
    </row>
    <row r="262" spans="1:2" x14ac:dyDescent="0.2">
      <c r="A262" t="s">
        <v>858</v>
      </c>
      <c r="B262">
        <v>19681796</v>
      </c>
    </row>
    <row r="263" spans="1:2" x14ac:dyDescent="0.2">
      <c r="A263" t="s">
        <v>858</v>
      </c>
      <c r="B263">
        <v>19681796</v>
      </c>
    </row>
    <row r="264" spans="1:2" x14ac:dyDescent="0.2">
      <c r="A264" t="s">
        <v>858</v>
      </c>
      <c r="B264">
        <v>19681796</v>
      </c>
    </row>
    <row r="265" spans="1:2" x14ac:dyDescent="0.2">
      <c r="A265" t="s">
        <v>858</v>
      </c>
      <c r="B265">
        <v>19681796</v>
      </c>
    </row>
    <row r="266" spans="1:2" x14ac:dyDescent="0.2">
      <c r="A266" t="s">
        <v>858</v>
      </c>
      <c r="B266">
        <v>19681796</v>
      </c>
    </row>
    <row r="267" spans="1:2" x14ac:dyDescent="0.2">
      <c r="A267" t="s">
        <v>859</v>
      </c>
      <c r="B267">
        <v>8325282</v>
      </c>
    </row>
    <row r="268" spans="1:2" x14ac:dyDescent="0.2">
      <c r="A268" t="s">
        <v>859</v>
      </c>
      <c r="B268">
        <v>8325282</v>
      </c>
    </row>
    <row r="269" spans="1:2" x14ac:dyDescent="0.2">
      <c r="A269" t="s">
        <v>859</v>
      </c>
      <c r="B269">
        <v>8325282</v>
      </c>
    </row>
    <row r="270" spans="1:2" x14ac:dyDescent="0.2">
      <c r="A270" t="s">
        <v>859</v>
      </c>
      <c r="B270">
        <v>8325282</v>
      </c>
    </row>
    <row r="271" spans="1:2" x14ac:dyDescent="0.2">
      <c r="A271" t="s">
        <v>859</v>
      </c>
      <c r="B271">
        <v>8325282</v>
      </c>
    </row>
    <row r="272" spans="1:2" x14ac:dyDescent="0.2">
      <c r="A272" t="s">
        <v>859</v>
      </c>
      <c r="B272">
        <v>8325282</v>
      </c>
    </row>
    <row r="273" spans="1:2" x14ac:dyDescent="0.2">
      <c r="A273" t="s">
        <v>863</v>
      </c>
      <c r="B273">
        <v>7387433</v>
      </c>
    </row>
    <row r="274" spans="1:2" x14ac:dyDescent="0.2">
      <c r="A274" t="s">
        <v>861</v>
      </c>
      <c r="B274">
        <v>16633294</v>
      </c>
    </row>
    <row r="275" spans="1:2" x14ac:dyDescent="0.2">
      <c r="A275" t="s">
        <v>861</v>
      </c>
      <c r="B275">
        <v>16633294</v>
      </c>
    </row>
    <row r="276" spans="1:2" x14ac:dyDescent="0.2">
      <c r="A276" t="s">
        <v>861</v>
      </c>
      <c r="B276">
        <v>16633294</v>
      </c>
    </row>
    <row r="277" spans="1:2" x14ac:dyDescent="0.2">
      <c r="A277" t="s">
        <v>862</v>
      </c>
      <c r="B277">
        <v>20220688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EFF04-003C-4112-95D3-9AB99A4B413E}">
  <dimension ref="A1:D277"/>
  <sheetViews>
    <sheetView topLeftCell="A137" workbookViewId="0">
      <selection activeCell="D1" sqref="D1:D277"/>
    </sheetView>
  </sheetViews>
  <sheetFormatPr defaultRowHeight="12.75" x14ac:dyDescent="0.2"/>
  <sheetData>
    <row r="1" spans="1:4" x14ac:dyDescent="0.2">
      <c r="A1" t="s">
        <v>752</v>
      </c>
      <c r="B1" t="s">
        <v>753</v>
      </c>
      <c r="C1" t="s">
        <v>754</v>
      </c>
      <c r="D1" t="str">
        <f>CONCATENATE(B1, " ",A1)</f>
        <v>SAADIA ABDUL</v>
      </c>
    </row>
    <row r="2" spans="1:4" x14ac:dyDescent="0.2">
      <c r="A2" t="s">
        <v>752</v>
      </c>
      <c r="B2" t="s">
        <v>753</v>
      </c>
      <c r="C2" t="s">
        <v>754</v>
      </c>
      <c r="D2" t="str">
        <f t="shared" ref="D2:D65" si="0">CONCATENATE(B2, " ",A2)</f>
        <v>SAADIA ABDUL</v>
      </c>
    </row>
    <row r="3" spans="1:4" x14ac:dyDescent="0.2">
      <c r="A3" t="s">
        <v>752</v>
      </c>
      <c r="B3" t="s">
        <v>753</v>
      </c>
      <c r="C3" t="s">
        <v>754</v>
      </c>
      <c r="D3" t="str">
        <f t="shared" si="0"/>
        <v>SAADIA ABDUL</v>
      </c>
    </row>
    <row r="4" spans="1:4" x14ac:dyDescent="0.2">
      <c r="A4" t="s">
        <v>755</v>
      </c>
      <c r="B4" t="s">
        <v>756</v>
      </c>
      <c r="C4" t="s">
        <v>757</v>
      </c>
      <c r="D4" t="str">
        <f t="shared" si="0"/>
        <v>SCOTT AGUGLIA</v>
      </c>
    </row>
    <row r="5" spans="1:4" x14ac:dyDescent="0.2">
      <c r="A5" t="s">
        <v>755</v>
      </c>
      <c r="B5" t="s">
        <v>756</v>
      </c>
      <c r="C5" t="s">
        <v>757</v>
      </c>
      <c r="D5" t="str">
        <f t="shared" si="0"/>
        <v>SCOTT AGUGLIA</v>
      </c>
    </row>
    <row r="6" spans="1:4" x14ac:dyDescent="0.2">
      <c r="A6" t="s">
        <v>755</v>
      </c>
      <c r="B6" t="s">
        <v>756</v>
      </c>
      <c r="C6" t="s">
        <v>757</v>
      </c>
      <c r="D6" t="str">
        <f t="shared" si="0"/>
        <v>SCOTT AGUGLIA</v>
      </c>
    </row>
    <row r="7" spans="1:4" x14ac:dyDescent="0.2">
      <c r="A7" t="s">
        <v>755</v>
      </c>
      <c r="B7" t="s">
        <v>756</v>
      </c>
      <c r="C7" t="s">
        <v>757</v>
      </c>
      <c r="D7" t="str">
        <f t="shared" si="0"/>
        <v>SCOTT AGUGLIA</v>
      </c>
    </row>
    <row r="8" spans="1:4" x14ac:dyDescent="0.2">
      <c r="A8" t="s">
        <v>755</v>
      </c>
      <c r="B8" t="s">
        <v>756</v>
      </c>
      <c r="C8" t="s">
        <v>757</v>
      </c>
      <c r="D8" t="str">
        <f t="shared" si="0"/>
        <v>SCOTT AGUGLIA</v>
      </c>
    </row>
    <row r="9" spans="1:4" x14ac:dyDescent="0.2">
      <c r="A9" t="s">
        <v>755</v>
      </c>
      <c r="B9" t="s">
        <v>756</v>
      </c>
      <c r="C9" t="s">
        <v>757</v>
      </c>
      <c r="D9" t="str">
        <f t="shared" si="0"/>
        <v>SCOTT AGUGLIA</v>
      </c>
    </row>
    <row r="10" spans="1:4" x14ac:dyDescent="0.2">
      <c r="A10" t="s">
        <v>755</v>
      </c>
      <c r="B10" t="s">
        <v>756</v>
      </c>
      <c r="C10" t="s">
        <v>757</v>
      </c>
      <c r="D10" t="str">
        <f t="shared" si="0"/>
        <v>SCOTT AGUGLIA</v>
      </c>
    </row>
    <row r="11" spans="1:4" x14ac:dyDescent="0.2">
      <c r="A11" t="s">
        <v>755</v>
      </c>
      <c r="B11" t="s">
        <v>756</v>
      </c>
      <c r="C11" t="s">
        <v>757</v>
      </c>
      <c r="D11" t="str">
        <f t="shared" si="0"/>
        <v>SCOTT AGUGLIA</v>
      </c>
    </row>
    <row r="12" spans="1:4" x14ac:dyDescent="0.2">
      <c r="A12" t="s">
        <v>755</v>
      </c>
      <c r="B12" t="s">
        <v>756</v>
      </c>
      <c r="C12" t="s">
        <v>757</v>
      </c>
      <c r="D12" t="str">
        <f t="shared" si="0"/>
        <v>SCOTT AGUGLIA</v>
      </c>
    </row>
    <row r="13" spans="1:4" x14ac:dyDescent="0.2">
      <c r="A13" t="s">
        <v>755</v>
      </c>
      <c r="B13" t="s">
        <v>756</v>
      </c>
      <c r="C13" t="s">
        <v>757</v>
      </c>
      <c r="D13" t="str">
        <f t="shared" si="0"/>
        <v>SCOTT AGUGLIA</v>
      </c>
    </row>
    <row r="14" spans="1:4" x14ac:dyDescent="0.2">
      <c r="A14" t="s">
        <v>755</v>
      </c>
      <c r="B14" t="s">
        <v>756</v>
      </c>
      <c r="C14" t="s">
        <v>757</v>
      </c>
      <c r="D14" t="str">
        <f t="shared" si="0"/>
        <v>SCOTT AGUGLIA</v>
      </c>
    </row>
    <row r="15" spans="1:4" x14ac:dyDescent="0.2">
      <c r="A15" t="s">
        <v>755</v>
      </c>
      <c r="B15" t="s">
        <v>756</v>
      </c>
      <c r="C15" t="s">
        <v>757</v>
      </c>
      <c r="D15" t="str">
        <f t="shared" si="0"/>
        <v>SCOTT AGUGLIA</v>
      </c>
    </row>
    <row r="16" spans="1:4" x14ac:dyDescent="0.2">
      <c r="A16" t="s">
        <v>758</v>
      </c>
      <c r="B16" t="s">
        <v>759</v>
      </c>
      <c r="D16" t="str">
        <f t="shared" si="0"/>
        <v>JONATHAN ALOFF</v>
      </c>
    </row>
    <row r="17" spans="1:4" x14ac:dyDescent="0.2">
      <c r="A17" t="s">
        <v>758</v>
      </c>
      <c r="B17" t="s">
        <v>759</v>
      </c>
      <c r="D17" t="str">
        <f t="shared" si="0"/>
        <v>JONATHAN ALOFF</v>
      </c>
    </row>
    <row r="18" spans="1:4" x14ac:dyDescent="0.2">
      <c r="A18" t="s">
        <v>760</v>
      </c>
      <c r="B18" t="s">
        <v>761</v>
      </c>
      <c r="C18" t="s">
        <v>762</v>
      </c>
      <c r="D18" t="str">
        <f t="shared" si="0"/>
        <v>PAMELA DEATON</v>
      </c>
    </row>
    <row r="19" spans="1:4" x14ac:dyDescent="0.2">
      <c r="A19" t="s">
        <v>760</v>
      </c>
      <c r="B19" t="s">
        <v>761</v>
      </c>
      <c r="C19" t="s">
        <v>762</v>
      </c>
      <c r="D19" t="str">
        <f t="shared" si="0"/>
        <v>PAMELA DEATON</v>
      </c>
    </row>
    <row r="20" spans="1:4" x14ac:dyDescent="0.2">
      <c r="A20" t="s">
        <v>763</v>
      </c>
      <c r="B20" t="s">
        <v>764</v>
      </c>
      <c r="D20" t="str">
        <f t="shared" si="0"/>
        <v>CAROL FOLEY</v>
      </c>
    </row>
    <row r="21" spans="1:4" x14ac:dyDescent="0.2">
      <c r="A21" t="s">
        <v>763</v>
      </c>
      <c r="B21" t="s">
        <v>764</v>
      </c>
      <c r="D21" t="str">
        <f t="shared" si="0"/>
        <v>CAROL FOLEY</v>
      </c>
    </row>
    <row r="22" spans="1:4" x14ac:dyDescent="0.2">
      <c r="A22" t="s">
        <v>763</v>
      </c>
      <c r="B22" t="s">
        <v>764</v>
      </c>
      <c r="D22" t="str">
        <f t="shared" si="0"/>
        <v>CAROL FOLEY</v>
      </c>
    </row>
    <row r="23" spans="1:4" x14ac:dyDescent="0.2">
      <c r="A23" t="s">
        <v>763</v>
      </c>
      <c r="B23" t="s">
        <v>764</v>
      </c>
      <c r="D23" t="str">
        <f t="shared" si="0"/>
        <v>CAROL FOLEY</v>
      </c>
    </row>
    <row r="24" spans="1:4" x14ac:dyDescent="0.2">
      <c r="A24" t="s">
        <v>763</v>
      </c>
      <c r="B24" t="s">
        <v>764</v>
      </c>
      <c r="D24" t="str">
        <f t="shared" si="0"/>
        <v>CAROL FOLEY</v>
      </c>
    </row>
    <row r="25" spans="1:4" x14ac:dyDescent="0.2">
      <c r="A25" t="s">
        <v>763</v>
      </c>
      <c r="B25" t="s">
        <v>764</v>
      </c>
      <c r="D25" t="str">
        <f t="shared" si="0"/>
        <v>CAROL FOLEY</v>
      </c>
    </row>
    <row r="26" spans="1:4" x14ac:dyDescent="0.2">
      <c r="A26" t="s">
        <v>763</v>
      </c>
      <c r="B26" t="s">
        <v>764</v>
      </c>
      <c r="D26" t="str">
        <f t="shared" si="0"/>
        <v>CAROL FOLEY</v>
      </c>
    </row>
    <row r="27" spans="1:4" x14ac:dyDescent="0.2">
      <c r="A27" t="s">
        <v>765</v>
      </c>
      <c r="B27" t="s">
        <v>766</v>
      </c>
      <c r="C27" t="s">
        <v>767</v>
      </c>
      <c r="D27" t="str">
        <f t="shared" si="0"/>
        <v>SHAWN GASTELO</v>
      </c>
    </row>
    <row r="28" spans="1:4" x14ac:dyDescent="0.2">
      <c r="A28" t="s">
        <v>768</v>
      </c>
      <c r="B28" t="s">
        <v>769</v>
      </c>
      <c r="C28" t="s">
        <v>770</v>
      </c>
      <c r="D28" t="str">
        <f t="shared" si="0"/>
        <v>HEATHER GESKE</v>
      </c>
    </row>
    <row r="29" spans="1:4" x14ac:dyDescent="0.2">
      <c r="A29" t="s">
        <v>768</v>
      </c>
      <c r="B29" t="s">
        <v>769</v>
      </c>
      <c r="C29" t="s">
        <v>770</v>
      </c>
      <c r="D29" t="str">
        <f t="shared" si="0"/>
        <v>HEATHER GESKE</v>
      </c>
    </row>
    <row r="30" spans="1:4" x14ac:dyDescent="0.2">
      <c r="A30" t="s">
        <v>768</v>
      </c>
      <c r="B30" t="s">
        <v>769</v>
      </c>
      <c r="C30" t="s">
        <v>770</v>
      </c>
      <c r="D30" t="str">
        <f t="shared" si="0"/>
        <v>HEATHER GESKE</v>
      </c>
    </row>
    <row r="31" spans="1:4" x14ac:dyDescent="0.2">
      <c r="A31" t="s">
        <v>771</v>
      </c>
      <c r="B31" t="s">
        <v>772</v>
      </c>
      <c r="C31" t="s">
        <v>773</v>
      </c>
      <c r="D31" t="str">
        <f t="shared" si="0"/>
        <v>JASON HOFFMANN</v>
      </c>
    </row>
    <row r="32" spans="1:4" x14ac:dyDescent="0.2">
      <c r="A32" t="s">
        <v>771</v>
      </c>
      <c r="B32" t="s">
        <v>772</v>
      </c>
      <c r="C32" t="s">
        <v>773</v>
      </c>
      <c r="D32" t="str">
        <f t="shared" si="0"/>
        <v>JASON HOFFMANN</v>
      </c>
    </row>
    <row r="33" spans="1:4" x14ac:dyDescent="0.2">
      <c r="A33" t="s">
        <v>771</v>
      </c>
      <c r="B33" t="s">
        <v>772</v>
      </c>
      <c r="C33" t="s">
        <v>773</v>
      </c>
      <c r="D33" t="str">
        <f t="shared" si="0"/>
        <v>JASON HOFFMANN</v>
      </c>
    </row>
    <row r="34" spans="1:4" x14ac:dyDescent="0.2">
      <c r="A34" t="s">
        <v>771</v>
      </c>
      <c r="B34" t="s">
        <v>772</v>
      </c>
      <c r="C34" t="s">
        <v>773</v>
      </c>
      <c r="D34" t="str">
        <f t="shared" si="0"/>
        <v>JASON HOFFMANN</v>
      </c>
    </row>
    <row r="35" spans="1:4" x14ac:dyDescent="0.2">
      <c r="A35" t="s">
        <v>774</v>
      </c>
      <c r="B35" t="s">
        <v>775</v>
      </c>
      <c r="C35" t="s">
        <v>776</v>
      </c>
      <c r="D35" t="str">
        <f t="shared" si="0"/>
        <v>JEFFREY HORN</v>
      </c>
    </row>
    <row r="36" spans="1:4" x14ac:dyDescent="0.2">
      <c r="A36" t="s">
        <v>774</v>
      </c>
      <c r="B36" t="s">
        <v>775</v>
      </c>
      <c r="C36" t="s">
        <v>776</v>
      </c>
      <c r="D36" t="str">
        <f t="shared" si="0"/>
        <v>JEFFREY HORN</v>
      </c>
    </row>
    <row r="37" spans="1:4" x14ac:dyDescent="0.2">
      <c r="A37" t="s">
        <v>774</v>
      </c>
      <c r="B37" t="s">
        <v>775</v>
      </c>
      <c r="C37" t="s">
        <v>776</v>
      </c>
      <c r="D37" t="str">
        <f t="shared" si="0"/>
        <v>JEFFREY HORN</v>
      </c>
    </row>
    <row r="38" spans="1:4" x14ac:dyDescent="0.2">
      <c r="A38" t="s">
        <v>777</v>
      </c>
      <c r="B38" t="s">
        <v>778</v>
      </c>
      <c r="C38" t="s">
        <v>779</v>
      </c>
      <c r="D38" t="str">
        <f t="shared" si="0"/>
        <v>DEBORAH INSKIPT</v>
      </c>
    </row>
    <row r="39" spans="1:4" x14ac:dyDescent="0.2">
      <c r="A39" t="s">
        <v>777</v>
      </c>
      <c r="B39" t="s">
        <v>778</v>
      </c>
      <c r="C39" t="s">
        <v>779</v>
      </c>
      <c r="D39" t="str">
        <f t="shared" si="0"/>
        <v>DEBORAH INSKIPT</v>
      </c>
    </row>
    <row r="40" spans="1:4" x14ac:dyDescent="0.2">
      <c r="A40" t="s">
        <v>777</v>
      </c>
      <c r="B40" t="s">
        <v>778</v>
      </c>
      <c r="C40" t="s">
        <v>779</v>
      </c>
      <c r="D40" t="str">
        <f t="shared" si="0"/>
        <v>DEBORAH INSKIPT</v>
      </c>
    </row>
    <row r="41" spans="1:4" x14ac:dyDescent="0.2">
      <c r="A41" t="s">
        <v>777</v>
      </c>
      <c r="B41" t="s">
        <v>778</v>
      </c>
      <c r="C41" t="s">
        <v>779</v>
      </c>
      <c r="D41" t="str">
        <f t="shared" si="0"/>
        <v>DEBORAH INSKIPT</v>
      </c>
    </row>
    <row r="42" spans="1:4" x14ac:dyDescent="0.2">
      <c r="A42" t="s">
        <v>777</v>
      </c>
      <c r="B42" t="s">
        <v>778</v>
      </c>
      <c r="C42" t="s">
        <v>779</v>
      </c>
      <c r="D42" t="str">
        <f t="shared" si="0"/>
        <v>DEBORAH INSKIPT</v>
      </c>
    </row>
    <row r="43" spans="1:4" x14ac:dyDescent="0.2">
      <c r="A43" t="s">
        <v>777</v>
      </c>
      <c r="B43" t="s">
        <v>778</v>
      </c>
      <c r="C43" t="s">
        <v>779</v>
      </c>
      <c r="D43" t="str">
        <f t="shared" si="0"/>
        <v>DEBORAH INSKIPT</v>
      </c>
    </row>
    <row r="44" spans="1:4" x14ac:dyDescent="0.2">
      <c r="A44" t="s">
        <v>777</v>
      </c>
      <c r="B44" t="s">
        <v>778</v>
      </c>
      <c r="C44" t="s">
        <v>779</v>
      </c>
      <c r="D44" t="str">
        <f t="shared" si="0"/>
        <v>DEBORAH INSKIPT</v>
      </c>
    </row>
    <row r="45" spans="1:4" x14ac:dyDescent="0.2">
      <c r="A45" t="s">
        <v>777</v>
      </c>
      <c r="B45" t="s">
        <v>778</v>
      </c>
      <c r="C45" t="s">
        <v>779</v>
      </c>
      <c r="D45" t="str">
        <f t="shared" si="0"/>
        <v>DEBORAH INSKIPT</v>
      </c>
    </row>
    <row r="46" spans="1:4" x14ac:dyDescent="0.2">
      <c r="A46" t="s">
        <v>777</v>
      </c>
      <c r="B46" t="s">
        <v>778</v>
      </c>
      <c r="C46" t="s">
        <v>779</v>
      </c>
      <c r="D46" t="str">
        <f t="shared" si="0"/>
        <v>DEBORAH INSKIPT</v>
      </c>
    </row>
    <row r="47" spans="1:4" x14ac:dyDescent="0.2">
      <c r="A47" t="s">
        <v>777</v>
      </c>
      <c r="B47" t="s">
        <v>778</v>
      </c>
      <c r="C47" t="s">
        <v>779</v>
      </c>
      <c r="D47" t="str">
        <f t="shared" si="0"/>
        <v>DEBORAH INSKIPT</v>
      </c>
    </row>
    <row r="48" spans="1:4" x14ac:dyDescent="0.2">
      <c r="A48" t="s">
        <v>777</v>
      </c>
      <c r="B48" t="s">
        <v>778</v>
      </c>
      <c r="C48" t="s">
        <v>779</v>
      </c>
      <c r="D48" t="str">
        <f t="shared" si="0"/>
        <v>DEBORAH INSKIPT</v>
      </c>
    </row>
    <row r="49" spans="1:4" x14ac:dyDescent="0.2">
      <c r="A49" t="s">
        <v>777</v>
      </c>
      <c r="B49" t="s">
        <v>778</v>
      </c>
      <c r="C49" t="s">
        <v>779</v>
      </c>
      <c r="D49" t="str">
        <f t="shared" si="0"/>
        <v>DEBORAH INSKIPT</v>
      </c>
    </row>
    <row r="50" spans="1:4" x14ac:dyDescent="0.2">
      <c r="A50" t="s">
        <v>777</v>
      </c>
      <c r="B50" t="s">
        <v>778</v>
      </c>
      <c r="C50" t="s">
        <v>779</v>
      </c>
      <c r="D50" t="str">
        <f t="shared" si="0"/>
        <v>DEBORAH INSKIPT</v>
      </c>
    </row>
    <row r="51" spans="1:4" x14ac:dyDescent="0.2">
      <c r="A51" t="s">
        <v>777</v>
      </c>
      <c r="B51" t="s">
        <v>778</v>
      </c>
      <c r="C51" t="s">
        <v>779</v>
      </c>
      <c r="D51" t="str">
        <f t="shared" si="0"/>
        <v>DEBORAH INSKIPT</v>
      </c>
    </row>
    <row r="52" spans="1:4" x14ac:dyDescent="0.2">
      <c r="A52" t="s">
        <v>777</v>
      </c>
      <c r="B52" t="s">
        <v>778</v>
      </c>
      <c r="C52" t="s">
        <v>779</v>
      </c>
      <c r="D52" t="str">
        <f t="shared" si="0"/>
        <v>DEBORAH INSKIPT</v>
      </c>
    </row>
    <row r="53" spans="1:4" x14ac:dyDescent="0.2">
      <c r="A53" t="s">
        <v>777</v>
      </c>
      <c r="B53" t="s">
        <v>778</v>
      </c>
      <c r="C53" t="s">
        <v>779</v>
      </c>
      <c r="D53" t="str">
        <f t="shared" si="0"/>
        <v>DEBORAH INSKIPT</v>
      </c>
    </row>
    <row r="54" spans="1:4" x14ac:dyDescent="0.2">
      <c r="A54" t="s">
        <v>777</v>
      </c>
      <c r="B54" t="s">
        <v>778</v>
      </c>
      <c r="C54" t="s">
        <v>779</v>
      </c>
      <c r="D54" t="str">
        <f t="shared" si="0"/>
        <v>DEBORAH INSKIPT</v>
      </c>
    </row>
    <row r="55" spans="1:4" x14ac:dyDescent="0.2">
      <c r="A55" t="s">
        <v>777</v>
      </c>
      <c r="B55" t="s">
        <v>778</v>
      </c>
      <c r="C55" t="s">
        <v>779</v>
      </c>
      <c r="D55" t="str">
        <f t="shared" si="0"/>
        <v>DEBORAH INSKIPT</v>
      </c>
    </row>
    <row r="56" spans="1:4" x14ac:dyDescent="0.2">
      <c r="A56" t="s">
        <v>777</v>
      </c>
      <c r="B56" t="s">
        <v>778</v>
      </c>
      <c r="C56" t="s">
        <v>779</v>
      </c>
      <c r="D56" t="str">
        <f t="shared" si="0"/>
        <v>DEBORAH INSKIPT</v>
      </c>
    </row>
    <row r="57" spans="1:4" x14ac:dyDescent="0.2">
      <c r="A57" t="s">
        <v>777</v>
      </c>
      <c r="B57" t="s">
        <v>778</v>
      </c>
      <c r="C57" t="s">
        <v>779</v>
      </c>
      <c r="D57" t="str">
        <f t="shared" si="0"/>
        <v>DEBORAH INSKIPT</v>
      </c>
    </row>
    <row r="58" spans="1:4" x14ac:dyDescent="0.2">
      <c r="A58" t="s">
        <v>777</v>
      </c>
      <c r="B58" t="s">
        <v>778</v>
      </c>
      <c r="C58" t="s">
        <v>779</v>
      </c>
      <c r="D58" t="str">
        <f t="shared" si="0"/>
        <v>DEBORAH INSKIPT</v>
      </c>
    </row>
    <row r="59" spans="1:4" x14ac:dyDescent="0.2">
      <c r="A59" t="s">
        <v>777</v>
      </c>
      <c r="B59" t="s">
        <v>778</v>
      </c>
      <c r="C59" t="s">
        <v>779</v>
      </c>
      <c r="D59" t="str">
        <f t="shared" si="0"/>
        <v>DEBORAH INSKIPT</v>
      </c>
    </row>
    <row r="60" spans="1:4" x14ac:dyDescent="0.2">
      <c r="A60" t="s">
        <v>777</v>
      </c>
      <c r="B60" t="s">
        <v>778</v>
      </c>
      <c r="C60" t="s">
        <v>779</v>
      </c>
      <c r="D60" t="str">
        <f t="shared" si="0"/>
        <v>DEBORAH INSKIPT</v>
      </c>
    </row>
    <row r="61" spans="1:4" x14ac:dyDescent="0.2">
      <c r="A61" t="s">
        <v>777</v>
      </c>
      <c r="B61" t="s">
        <v>778</v>
      </c>
      <c r="C61" t="s">
        <v>779</v>
      </c>
      <c r="D61" t="str">
        <f t="shared" si="0"/>
        <v>DEBORAH INSKIPT</v>
      </c>
    </row>
    <row r="62" spans="1:4" x14ac:dyDescent="0.2">
      <c r="A62" t="s">
        <v>777</v>
      </c>
      <c r="B62" t="s">
        <v>778</v>
      </c>
      <c r="C62" t="s">
        <v>779</v>
      </c>
      <c r="D62" t="str">
        <f t="shared" si="0"/>
        <v>DEBORAH INSKIPT</v>
      </c>
    </row>
    <row r="63" spans="1:4" x14ac:dyDescent="0.2">
      <c r="A63" t="s">
        <v>777</v>
      </c>
      <c r="B63" t="s">
        <v>778</v>
      </c>
      <c r="C63" t="s">
        <v>779</v>
      </c>
      <c r="D63" t="str">
        <f t="shared" si="0"/>
        <v>DEBORAH INSKIPT</v>
      </c>
    </row>
    <row r="64" spans="1:4" x14ac:dyDescent="0.2">
      <c r="A64" t="s">
        <v>777</v>
      </c>
      <c r="B64" t="s">
        <v>778</v>
      </c>
      <c r="C64" t="s">
        <v>779</v>
      </c>
      <c r="D64" t="str">
        <f t="shared" si="0"/>
        <v>DEBORAH INSKIPT</v>
      </c>
    </row>
    <row r="65" spans="1:4" x14ac:dyDescent="0.2">
      <c r="A65" t="s">
        <v>777</v>
      </c>
      <c r="B65" t="s">
        <v>778</v>
      </c>
      <c r="C65" t="s">
        <v>779</v>
      </c>
      <c r="D65" t="str">
        <f t="shared" si="0"/>
        <v>DEBORAH INSKIPT</v>
      </c>
    </row>
    <row r="66" spans="1:4" x14ac:dyDescent="0.2">
      <c r="A66" t="s">
        <v>777</v>
      </c>
      <c r="B66" t="s">
        <v>778</v>
      </c>
      <c r="C66" t="s">
        <v>779</v>
      </c>
      <c r="D66" t="str">
        <f t="shared" ref="D66:D129" si="1">CONCATENATE(B66, " ",A66)</f>
        <v>DEBORAH INSKIPT</v>
      </c>
    </row>
    <row r="67" spans="1:4" x14ac:dyDescent="0.2">
      <c r="A67" t="s">
        <v>777</v>
      </c>
      <c r="B67" t="s">
        <v>778</v>
      </c>
      <c r="C67" t="s">
        <v>779</v>
      </c>
      <c r="D67" t="str">
        <f t="shared" si="1"/>
        <v>DEBORAH INSKIPT</v>
      </c>
    </row>
    <row r="68" spans="1:4" x14ac:dyDescent="0.2">
      <c r="A68" t="s">
        <v>777</v>
      </c>
      <c r="B68" t="s">
        <v>778</v>
      </c>
      <c r="C68" t="s">
        <v>779</v>
      </c>
      <c r="D68" t="str">
        <f t="shared" si="1"/>
        <v>DEBORAH INSKIPT</v>
      </c>
    </row>
    <row r="69" spans="1:4" x14ac:dyDescent="0.2">
      <c r="A69" t="s">
        <v>777</v>
      </c>
      <c r="B69" t="s">
        <v>778</v>
      </c>
      <c r="C69" t="s">
        <v>779</v>
      </c>
      <c r="D69" t="str">
        <f t="shared" si="1"/>
        <v>DEBORAH INSKIPT</v>
      </c>
    </row>
    <row r="70" spans="1:4" x14ac:dyDescent="0.2">
      <c r="A70" t="s">
        <v>777</v>
      </c>
      <c r="B70" t="s">
        <v>778</v>
      </c>
      <c r="C70" t="s">
        <v>779</v>
      </c>
      <c r="D70" t="str">
        <f t="shared" si="1"/>
        <v>DEBORAH INSKIPT</v>
      </c>
    </row>
    <row r="71" spans="1:4" x14ac:dyDescent="0.2">
      <c r="A71" t="s">
        <v>777</v>
      </c>
      <c r="B71" t="s">
        <v>778</v>
      </c>
      <c r="C71" t="s">
        <v>779</v>
      </c>
      <c r="D71" t="str">
        <f t="shared" si="1"/>
        <v>DEBORAH INSKIPT</v>
      </c>
    </row>
    <row r="72" spans="1:4" x14ac:dyDescent="0.2">
      <c r="A72" t="s">
        <v>777</v>
      </c>
      <c r="B72" t="s">
        <v>778</v>
      </c>
      <c r="C72" t="s">
        <v>779</v>
      </c>
      <c r="D72" t="str">
        <f t="shared" si="1"/>
        <v>DEBORAH INSKIPT</v>
      </c>
    </row>
    <row r="73" spans="1:4" x14ac:dyDescent="0.2">
      <c r="A73" t="s">
        <v>777</v>
      </c>
      <c r="B73" t="s">
        <v>778</v>
      </c>
      <c r="C73" t="s">
        <v>779</v>
      </c>
      <c r="D73" t="str">
        <f t="shared" si="1"/>
        <v>DEBORAH INSKIPT</v>
      </c>
    </row>
    <row r="74" spans="1:4" x14ac:dyDescent="0.2">
      <c r="A74" t="s">
        <v>777</v>
      </c>
      <c r="B74" t="s">
        <v>778</v>
      </c>
      <c r="C74" t="s">
        <v>779</v>
      </c>
      <c r="D74" t="str">
        <f t="shared" si="1"/>
        <v>DEBORAH INSKIPT</v>
      </c>
    </row>
    <row r="75" spans="1:4" x14ac:dyDescent="0.2">
      <c r="A75" t="s">
        <v>777</v>
      </c>
      <c r="B75" t="s">
        <v>778</v>
      </c>
      <c r="C75" t="s">
        <v>779</v>
      </c>
      <c r="D75" t="str">
        <f t="shared" si="1"/>
        <v>DEBORAH INSKIPT</v>
      </c>
    </row>
    <row r="76" spans="1:4" x14ac:dyDescent="0.2">
      <c r="A76" t="s">
        <v>777</v>
      </c>
      <c r="B76" t="s">
        <v>778</v>
      </c>
      <c r="C76" t="s">
        <v>779</v>
      </c>
      <c r="D76" t="str">
        <f t="shared" si="1"/>
        <v>DEBORAH INSKIPT</v>
      </c>
    </row>
    <row r="77" spans="1:4" x14ac:dyDescent="0.2">
      <c r="A77" t="s">
        <v>777</v>
      </c>
      <c r="B77" t="s">
        <v>778</v>
      </c>
      <c r="C77" t="s">
        <v>779</v>
      </c>
      <c r="D77" t="str">
        <f t="shared" si="1"/>
        <v>DEBORAH INSKIPT</v>
      </c>
    </row>
    <row r="78" spans="1:4" x14ac:dyDescent="0.2">
      <c r="A78" t="s">
        <v>777</v>
      </c>
      <c r="B78" t="s">
        <v>778</v>
      </c>
      <c r="C78" t="s">
        <v>779</v>
      </c>
      <c r="D78" t="str">
        <f t="shared" si="1"/>
        <v>DEBORAH INSKIPT</v>
      </c>
    </row>
    <row r="79" spans="1:4" x14ac:dyDescent="0.2">
      <c r="A79" t="s">
        <v>777</v>
      </c>
      <c r="B79" t="s">
        <v>778</v>
      </c>
      <c r="C79" t="s">
        <v>779</v>
      </c>
      <c r="D79" t="str">
        <f t="shared" si="1"/>
        <v>DEBORAH INSKIPT</v>
      </c>
    </row>
    <row r="80" spans="1:4" x14ac:dyDescent="0.2">
      <c r="A80" t="s">
        <v>777</v>
      </c>
      <c r="B80" t="s">
        <v>778</v>
      </c>
      <c r="C80" t="s">
        <v>779</v>
      </c>
      <c r="D80" t="str">
        <f t="shared" si="1"/>
        <v>DEBORAH INSKIPT</v>
      </c>
    </row>
    <row r="81" spans="1:4" x14ac:dyDescent="0.2">
      <c r="A81" t="s">
        <v>777</v>
      </c>
      <c r="B81" t="s">
        <v>778</v>
      </c>
      <c r="C81" t="s">
        <v>779</v>
      </c>
      <c r="D81" t="str">
        <f t="shared" si="1"/>
        <v>DEBORAH INSKIPT</v>
      </c>
    </row>
    <row r="82" spans="1:4" x14ac:dyDescent="0.2">
      <c r="A82" t="s">
        <v>777</v>
      </c>
      <c r="B82" t="s">
        <v>778</v>
      </c>
      <c r="C82" t="s">
        <v>779</v>
      </c>
      <c r="D82" t="str">
        <f t="shared" si="1"/>
        <v>DEBORAH INSKIPT</v>
      </c>
    </row>
    <row r="83" spans="1:4" x14ac:dyDescent="0.2">
      <c r="A83" t="s">
        <v>777</v>
      </c>
      <c r="B83" t="s">
        <v>778</v>
      </c>
      <c r="C83" t="s">
        <v>779</v>
      </c>
      <c r="D83" t="str">
        <f t="shared" si="1"/>
        <v>DEBORAH INSKIPT</v>
      </c>
    </row>
    <row r="84" spans="1:4" x14ac:dyDescent="0.2">
      <c r="A84" t="s">
        <v>777</v>
      </c>
      <c r="B84" t="s">
        <v>778</v>
      </c>
      <c r="C84" t="s">
        <v>779</v>
      </c>
      <c r="D84" t="str">
        <f t="shared" si="1"/>
        <v>DEBORAH INSKIPT</v>
      </c>
    </row>
    <row r="85" spans="1:4" x14ac:dyDescent="0.2">
      <c r="A85" t="s">
        <v>777</v>
      </c>
      <c r="B85" t="s">
        <v>778</v>
      </c>
      <c r="C85" t="s">
        <v>779</v>
      </c>
      <c r="D85" t="str">
        <f t="shared" si="1"/>
        <v>DEBORAH INSKIPT</v>
      </c>
    </row>
    <row r="86" spans="1:4" x14ac:dyDescent="0.2">
      <c r="A86" t="s">
        <v>780</v>
      </c>
      <c r="B86" t="s">
        <v>781</v>
      </c>
      <c r="D86" t="str">
        <f t="shared" si="1"/>
        <v>JARED KINYUA</v>
      </c>
    </row>
    <row r="87" spans="1:4" x14ac:dyDescent="0.2">
      <c r="A87" t="s">
        <v>780</v>
      </c>
      <c r="B87" t="s">
        <v>781</v>
      </c>
      <c r="D87" t="str">
        <f t="shared" si="1"/>
        <v>JARED KINYUA</v>
      </c>
    </row>
    <row r="88" spans="1:4" x14ac:dyDescent="0.2">
      <c r="A88" t="s">
        <v>780</v>
      </c>
      <c r="B88" t="s">
        <v>781</v>
      </c>
      <c r="D88" t="str">
        <f t="shared" si="1"/>
        <v>JARED KINYUA</v>
      </c>
    </row>
    <row r="89" spans="1:4" x14ac:dyDescent="0.2">
      <c r="A89" t="s">
        <v>780</v>
      </c>
      <c r="B89" t="s">
        <v>781</v>
      </c>
      <c r="D89" t="str">
        <f t="shared" si="1"/>
        <v>JARED KINYUA</v>
      </c>
    </row>
    <row r="90" spans="1:4" x14ac:dyDescent="0.2">
      <c r="A90" t="s">
        <v>780</v>
      </c>
      <c r="B90" t="s">
        <v>781</v>
      </c>
      <c r="D90" t="str">
        <f t="shared" si="1"/>
        <v>JARED KINYUA</v>
      </c>
    </row>
    <row r="91" spans="1:4" x14ac:dyDescent="0.2">
      <c r="A91" t="s">
        <v>780</v>
      </c>
      <c r="B91" t="s">
        <v>781</v>
      </c>
      <c r="D91" t="str">
        <f t="shared" si="1"/>
        <v>JARED KINYUA</v>
      </c>
    </row>
    <row r="92" spans="1:4" x14ac:dyDescent="0.2">
      <c r="A92" t="s">
        <v>780</v>
      </c>
      <c r="B92" t="s">
        <v>781</v>
      </c>
      <c r="D92" t="str">
        <f t="shared" si="1"/>
        <v>JARED KINYUA</v>
      </c>
    </row>
    <row r="93" spans="1:4" x14ac:dyDescent="0.2">
      <c r="A93" t="s">
        <v>780</v>
      </c>
      <c r="B93" t="s">
        <v>781</v>
      </c>
      <c r="D93" t="str">
        <f t="shared" si="1"/>
        <v>JARED KINYUA</v>
      </c>
    </row>
    <row r="94" spans="1:4" x14ac:dyDescent="0.2">
      <c r="A94" t="s">
        <v>780</v>
      </c>
      <c r="B94" t="s">
        <v>781</v>
      </c>
      <c r="D94" t="str">
        <f t="shared" si="1"/>
        <v>JARED KINYUA</v>
      </c>
    </row>
    <row r="95" spans="1:4" x14ac:dyDescent="0.2">
      <c r="A95" t="s">
        <v>780</v>
      </c>
      <c r="B95" t="s">
        <v>781</v>
      </c>
      <c r="D95" t="str">
        <f t="shared" si="1"/>
        <v>JARED KINYUA</v>
      </c>
    </row>
    <row r="96" spans="1:4" x14ac:dyDescent="0.2">
      <c r="A96" t="s">
        <v>780</v>
      </c>
      <c r="B96" t="s">
        <v>781</v>
      </c>
      <c r="D96" t="str">
        <f t="shared" si="1"/>
        <v>JARED KINYUA</v>
      </c>
    </row>
    <row r="97" spans="1:4" x14ac:dyDescent="0.2">
      <c r="A97" t="s">
        <v>780</v>
      </c>
      <c r="B97" t="s">
        <v>781</v>
      </c>
      <c r="D97" t="str">
        <f t="shared" si="1"/>
        <v>JARED KINYUA</v>
      </c>
    </row>
    <row r="98" spans="1:4" x14ac:dyDescent="0.2">
      <c r="A98" t="s">
        <v>782</v>
      </c>
      <c r="B98" t="s">
        <v>783</v>
      </c>
      <c r="D98" t="str">
        <f t="shared" si="1"/>
        <v>ANNE MARIE KOZACHECK</v>
      </c>
    </row>
    <row r="99" spans="1:4" x14ac:dyDescent="0.2">
      <c r="A99" t="s">
        <v>782</v>
      </c>
      <c r="B99" t="s">
        <v>783</v>
      </c>
      <c r="D99" t="str">
        <f t="shared" si="1"/>
        <v>ANNE MARIE KOZACHECK</v>
      </c>
    </row>
    <row r="100" spans="1:4" x14ac:dyDescent="0.2">
      <c r="A100" t="s">
        <v>782</v>
      </c>
      <c r="B100" t="s">
        <v>783</v>
      </c>
      <c r="D100" t="str">
        <f t="shared" si="1"/>
        <v>ANNE MARIE KOZACHECK</v>
      </c>
    </row>
    <row r="101" spans="1:4" x14ac:dyDescent="0.2">
      <c r="A101" t="s">
        <v>782</v>
      </c>
      <c r="B101" t="s">
        <v>783</v>
      </c>
      <c r="D101" t="str">
        <f t="shared" si="1"/>
        <v>ANNE MARIE KOZACHECK</v>
      </c>
    </row>
    <row r="102" spans="1:4" x14ac:dyDescent="0.2">
      <c r="A102" t="s">
        <v>782</v>
      </c>
      <c r="B102" t="s">
        <v>783</v>
      </c>
      <c r="D102" t="str">
        <f t="shared" si="1"/>
        <v>ANNE MARIE KOZACHECK</v>
      </c>
    </row>
    <row r="103" spans="1:4" x14ac:dyDescent="0.2">
      <c r="A103" t="s">
        <v>784</v>
      </c>
      <c r="B103" t="s">
        <v>785</v>
      </c>
      <c r="D103" t="str">
        <f t="shared" si="1"/>
        <v>THOMAS KUCAN</v>
      </c>
    </row>
    <row r="104" spans="1:4" x14ac:dyDescent="0.2">
      <c r="A104" t="s">
        <v>784</v>
      </c>
      <c r="B104" t="s">
        <v>785</v>
      </c>
      <c r="D104" t="str">
        <f t="shared" si="1"/>
        <v>THOMAS KUCAN</v>
      </c>
    </row>
    <row r="105" spans="1:4" x14ac:dyDescent="0.2">
      <c r="A105" t="s">
        <v>784</v>
      </c>
      <c r="B105" t="s">
        <v>785</v>
      </c>
      <c r="D105" t="str">
        <f t="shared" si="1"/>
        <v>THOMAS KUCAN</v>
      </c>
    </row>
    <row r="106" spans="1:4" x14ac:dyDescent="0.2">
      <c r="A106" t="s">
        <v>784</v>
      </c>
      <c r="B106" t="s">
        <v>785</v>
      </c>
      <c r="D106" t="str">
        <f t="shared" si="1"/>
        <v>THOMAS KUCAN</v>
      </c>
    </row>
    <row r="107" spans="1:4" x14ac:dyDescent="0.2">
      <c r="A107" t="s">
        <v>784</v>
      </c>
      <c r="B107" t="s">
        <v>785</v>
      </c>
      <c r="D107" t="str">
        <f t="shared" si="1"/>
        <v>THOMAS KUCAN</v>
      </c>
    </row>
    <row r="108" spans="1:4" x14ac:dyDescent="0.2">
      <c r="A108" t="s">
        <v>784</v>
      </c>
      <c r="B108" t="s">
        <v>785</v>
      </c>
      <c r="D108" t="str">
        <f t="shared" si="1"/>
        <v>THOMAS KUCAN</v>
      </c>
    </row>
    <row r="109" spans="1:4" x14ac:dyDescent="0.2">
      <c r="A109" t="s">
        <v>784</v>
      </c>
      <c r="B109" t="s">
        <v>785</v>
      </c>
      <c r="D109" t="str">
        <f t="shared" si="1"/>
        <v>THOMAS KUCAN</v>
      </c>
    </row>
    <row r="110" spans="1:4" x14ac:dyDescent="0.2">
      <c r="A110" t="s">
        <v>784</v>
      </c>
      <c r="B110" t="s">
        <v>785</v>
      </c>
      <c r="D110" t="str">
        <f t="shared" si="1"/>
        <v>THOMAS KUCAN</v>
      </c>
    </row>
    <row r="111" spans="1:4" x14ac:dyDescent="0.2">
      <c r="A111" t="s">
        <v>784</v>
      </c>
      <c r="B111" t="s">
        <v>785</v>
      </c>
      <c r="D111" t="str">
        <f t="shared" si="1"/>
        <v>THOMAS KUCAN</v>
      </c>
    </row>
    <row r="112" spans="1:4" x14ac:dyDescent="0.2">
      <c r="A112" t="s">
        <v>784</v>
      </c>
      <c r="B112" t="s">
        <v>785</v>
      </c>
      <c r="D112" t="str">
        <f t="shared" si="1"/>
        <v>THOMAS KUCAN</v>
      </c>
    </row>
    <row r="113" spans="1:4" x14ac:dyDescent="0.2">
      <c r="A113" t="s">
        <v>786</v>
      </c>
      <c r="B113" t="s">
        <v>787</v>
      </c>
      <c r="D113" t="str">
        <f t="shared" si="1"/>
        <v>CATHY LEMON</v>
      </c>
    </row>
    <row r="114" spans="1:4" x14ac:dyDescent="0.2">
      <c r="A114" t="s">
        <v>788</v>
      </c>
      <c r="B114" t="s">
        <v>789</v>
      </c>
      <c r="C114" t="s">
        <v>776</v>
      </c>
      <c r="D114" t="str">
        <f t="shared" si="1"/>
        <v>FRANK LISKOVEC</v>
      </c>
    </row>
    <row r="115" spans="1:4" x14ac:dyDescent="0.2">
      <c r="A115" t="s">
        <v>790</v>
      </c>
      <c r="B115" t="s">
        <v>791</v>
      </c>
      <c r="C115" t="s">
        <v>792</v>
      </c>
      <c r="D115" t="str">
        <f t="shared" si="1"/>
        <v>ALISON LUSE</v>
      </c>
    </row>
    <row r="116" spans="1:4" x14ac:dyDescent="0.2">
      <c r="A116" t="s">
        <v>790</v>
      </c>
      <c r="B116" t="s">
        <v>791</v>
      </c>
      <c r="C116" t="s">
        <v>792</v>
      </c>
      <c r="D116" t="str">
        <f t="shared" si="1"/>
        <v>ALISON LUSE</v>
      </c>
    </row>
    <row r="117" spans="1:4" x14ac:dyDescent="0.2">
      <c r="A117" t="s">
        <v>790</v>
      </c>
      <c r="B117" t="s">
        <v>791</v>
      </c>
      <c r="C117" t="s">
        <v>792</v>
      </c>
      <c r="D117" t="str">
        <f t="shared" si="1"/>
        <v>ALISON LUSE</v>
      </c>
    </row>
    <row r="118" spans="1:4" x14ac:dyDescent="0.2">
      <c r="A118" t="s">
        <v>750</v>
      </c>
      <c r="D118" t="str">
        <f t="shared" si="1"/>
        <v xml:space="preserve"> Mainline benefits</v>
      </c>
    </row>
    <row r="119" spans="1:4" x14ac:dyDescent="0.2">
      <c r="A119" t="s">
        <v>750</v>
      </c>
      <c r="D119" t="str">
        <f t="shared" si="1"/>
        <v xml:space="preserve"> Mainline benefits</v>
      </c>
    </row>
    <row r="120" spans="1:4" x14ac:dyDescent="0.2">
      <c r="A120" t="s">
        <v>750</v>
      </c>
      <c r="D120" t="str">
        <f t="shared" si="1"/>
        <v xml:space="preserve"> Mainline benefits</v>
      </c>
    </row>
    <row r="121" spans="1:4" x14ac:dyDescent="0.2">
      <c r="A121" t="s">
        <v>750</v>
      </c>
      <c r="D121" t="str">
        <f t="shared" si="1"/>
        <v xml:space="preserve"> Mainline benefits</v>
      </c>
    </row>
    <row r="122" spans="1:4" x14ac:dyDescent="0.2">
      <c r="A122" t="s">
        <v>750</v>
      </c>
      <c r="D122" t="str">
        <f t="shared" si="1"/>
        <v xml:space="preserve"> Mainline benefits</v>
      </c>
    </row>
    <row r="123" spans="1:4" x14ac:dyDescent="0.2">
      <c r="A123" t="s">
        <v>750</v>
      </c>
      <c r="D123" t="str">
        <f t="shared" si="1"/>
        <v xml:space="preserve"> Mainline benefits</v>
      </c>
    </row>
    <row r="124" spans="1:4" x14ac:dyDescent="0.2">
      <c r="A124" t="s">
        <v>750</v>
      </c>
      <c r="D124" t="str">
        <f t="shared" si="1"/>
        <v xml:space="preserve"> Mainline benefits</v>
      </c>
    </row>
    <row r="125" spans="1:4" x14ac:dyDescent="0.2">
      <c r="A125" t="s">
        <v>750</v>
      </c>
      <c r="D125" t="str">
        <f t="shared" si="1"/>
        <v xml:space="preserve"> Mainline benefits</v>
      </c>
    </row>
    <row r="126" spans="1:4" x14ac:dyDescent="0.2">
      <c r="A126" t="s">
        <v>750</v>
      </c>
      <c r="D126" t="str">
        <f t="shared" si="1"/>
        <v xml:space="preserve"> Mainline benefits</v>
      </c>
    </row>
    <row r="127" spans="1:4" x14ac:dyDescent="0.2">
      <c r="A127" t="s">
        <v>750</v>
      </c>
      <c r="D127" t="str">
        <f t="shared" si="1"/>
        <v xml:space="preserve"> Mainline benefits</v>
      </c>
    </row>
    <row r="128" spans="1:4" x14ac:dyDescent="0.2">
      <c r="A128" t="s">
        <v>750</v>
      </c>
      <c r="D128" t="str">
        <f t="shared" si="1"/>
        <v xml:space="preserve"> Mainline benefits</v>
      </c>
    </row>
    <row r="129" spans="1:4" x14ac:dyDescent="0.2">
      <c r="A129" t="s">
        <v>750</v>
      </c>
      <c r="D129" t="str">
        <f t="shared" si="1"/>
        <v xml:space="preserve"> Mainline benefits</v>
      </c>
    </row>
    <row r="130" spans="1:4" x14ac:dyDescent="0.2">
      <c r="A130" t="s">
        <v>750</v>
      </c>
      <c r="D130" t="str">
        <f t="shared" ref="D130:D193" si="2">CONCATENATE(B130, " ",A130)</f>
        <v xml:space="preserve"> Mainline benefits</v>
      </c>
    </row>
    <row r="131" spans="1:4" x14ac:dyDescent="0.2">
      <c r="A131" t="s">
        <v>750</v>
      </c>
      <c r="D131" t="str">
        <f t="shared" si="2"/>
        <v xml:space="preserve"> Mainline benefits</v>
      </c>
    </row>
    <row r="132" spans="1:4" x14ac:dyDescent="0.2">
      <c r="A132" t="s">
        <v>750</v>
      </c>
      <c r="D132" t="str">
        <f t="shared" si="2"/>
        <v xml:space="preserve"> Mainline benefits</v>
      </c>
    </row>
    <row r="133" spans="1:4" x14ac:dyDescent="0.2">
      <c r="A133" t="s">
        <v>750</v>
      </c>
      <c r="D133" t="str">
        <f t="shared" si="2"/>
        <v xml:space="preserve"> Mainline benefits</v>
      </c>
    </row>
    <row r="134" spans="1:4" x14ac:dyDescent="0.2">
      <c r="A134" t="s">
        <v>750</v>
      </c>
      <c r="D134" t="str">
        <f t="shared" si="2"/>
        <v xml:space="preserve"> Mainline benefits</v>
      </c>
    </row>
    <row r="135" spans="1:4" x14ac:dyDescent="0.2">
      <c r="A135" t="s">
        <v>750</v>
      </c>
      <c r="D135" t="str">
        <f t="shared" si="2"/>
        <v xml:space="preserve"> Mainline benefits</v>
      </c>
    </row>
    <row r="136" spans="1:4" x14ac:dyDescent="0.2">
      <c r="A136" t="s">
        <v>750</v>
      </c>
      <c r="D136" t="str">
        <f t="shared" si="2"/>
        <v xml:space="preserve"> Mainline benefits</v>
      </c>
    </row>
    <row r="137" spans="1:4" x14ac:dyDescent="0.2">
      <c r="A137" t="s">
        <v>750</v>
      </c>
      <c r="D137" t="str">
        <f t="shared" si="2"/>
        <v xml:space="preserve"> Mainline benefits</v>
      </c>
    </row>
    <row r="138" spans="1:4" x14ac:dyDescent="0.2">
      <c r="A138" t="s">
        <v>750</v>
      </c>
      <c r="D138" t="str">
        <f t="shared" si="2"/>
        <v xml:space="preserve"> Mainline benefits</v>
      </c>
    </row>
    <row r="139" spans="1:4" x14ac:dyDescent="0.2">
      <c r="A139" t="s">
        <v>750</v>
      </c>
      <c r="D139" t="str">
        <f t="shared" si="2"/>
        <v xml:space="preserve"> Mainline benefits</v>
      </c>
    </row>
    <row r="140" spans="1:4" x14ac:dyDescent="0.2">
      <c r="A140" t="s">
        <v>750</v>
      </c>
      <c r="D140" t="str">
        <f t="shared" si="2"/>
        <v xml:space="preserve"> Mainline benefits</v>
      </c>
    </row>
    <row r="141" spans="1:4" x14ac:dyDescent="0.2">
      <c r="A141" t="s">
        <v>750</v>
      </c>
      <c r="D141" t="str">
        <f t="shared" si="2"/>
        <v xml:space="preserve"> Mainline benefits</v>
      </c>
    </row>
    <row r="142" spans="1:4" x14ac:dyDescent="0.2">
      <c r="A142" t="s">
        <v>750</v>
      </c>
      <c r="D142" t="str">
        <f t="shared" si="2"/>
        <v xml:space="preserve"> Mainline benefits</v>
      </c>
    </row>
    <row r="143" spans="1:4" x14ac:dyDescent="0.2">
      <c r="A143" t="s">
        <v>750</v>
      </c>
      <c r="D143" t="str">
        <f t="shared" si="2"/>
        <v xml:space="preserve"> Mainline benefits</v>
      </c>
    </row>
    <row r="144" spans="1:4" x14ac:dyDescent="0.2">
      <c r="A144" t="s">
        <v>750</v>
      </c>
      <c r="D144" t="str">
        <f t="shared" si="2"/>
        <v xml:space="preserve"> Mainline benefits</v>
      </c>
    </row>
    <row r="145" spans="1:4" x14ac:dyDescent="0.2">
      <c r="A145" t="s">
        <v>750</v>
      </c>
      <c r="D145" t="str">
        <f t="shared" si="2"/>
        <v xml:space="preserve"> Mainline benefits</v>
      </c>
    </row>
    <row r="146" spans="1:4" x14ac:dyDescent="0.2">
      <c r="A146" t="s">
        <v>750</v>
      </c>
      <c r="D146" t="str">
        <f t="shared" si="2"/>
        <v xml:space="preserve"> Mainline benefits</v>
      </c>
    </row>
    <row r="147" spans="1:4" x14ac:dyDescent="0.2">
      <c r="A147" t="s">
        <v>750</v>
      </c>
      <c r="D147" t="str">
        <f t="shared" si="2"/>
        <v xml:space="preserve"> Mainline benefits</v>
      </c>
    </row>
    <row r="148" spans="1:4" x14ac:dyDescent="0.2">
      <c r="A148" t="s">
        <v>750</v>
      </c>
      <c r="D148" t="str">
        <f t="shared" si="2"/>
        <v xml:space="preserve"> Mainline benefits</v>
      </c>
    </row>
    <row r="149" spans="1:4" x14ac:dyDescent="0.2">
      <c r="A149" t="s">
        <v>750</v>
      </c>
      <c r="D149" t="str">
        <f t="shared" si="2"/>
        <v xml:space="preserve"> Mainline benefits</v>
      </c>
    </row>
    <row r="150" spans="1:4" x14ac:dyDescent="0.2">
      <c r="A150" t="s">
        <v>750</v>
      </c>
      <c r="D150" t="str">
        <f t="shared" si="2"/>
        <v xml:space="preserve"> Mainline benefits</v>
      </c>
    </row>
    <row r="151" spans="1:4" x14ac:dyDescent="0.2">
      <c r="A151" t="s">
        <v>750</v>
      </c>
      <c r="D151" t="str">
        <f t="shared" si="2"/>
        <v xml:space="preserve"> Mainline benefits</v>
      </c>
    </row>
    <row r="152" spans="1:4" x14ac:dyDescent="0.2">
      <c r="A152" t="s">
        <v>750</v>
      </c>
      <c r="D152" t="str">
        <f t="shared" si="2"/>
        <v xml:space="preserve"> Mainline benefits</v>
      </c>
    </row>
    <row r="153" spans="1:4" x14ac:dyDescent="0.2">
      <c r="A153" t="s">
        <v>750</v>
      </c>
      <c r="D153" t="str">
        <f t="shared" si="2"/>
        <v xml:space="preserve"> Mainline benefits</v>
      </c>
    </row>
    <row r="154" spans="1:4" x14ac:dyDescent="0.2">
      <c r="A154" t="s">
        <v>750</v>
      </c>
      <c r="D154" t="str">
        <f t="shared" si="2"/>
        <v xml:space="preserve"> Mainline benefits</v>
      </c>
    </row>
    <row r="155" spans="1:4" x14ac:dyDescent="0.2">
      <c r="A155" t="s">
        <v>750</v>
      </c>
      <c r="D155" t="str">
        <f t="shared" si="2"/>
        <v xml:space="preserve"> Mainline benefits</v>
      </c>
    </row>
    <row r="156" spans="1:4" x14ac:dyDescent="0.2">
      <c r="A156" t="s">
        <v>750</v>
      </c>
      <c r="D156" t="str">
        <f t="shared" si="2"/>
        <v xml:space="preserve"> Mainline benefits</v>
      </c>
    </row>
    <row r="157" spans="1:4" x14ac:dyDescent="0.2">
      <c r="A157" t="s">
        <v>750</v>
      </c>
      <c r="D157" t="str">
        <f t="shared" si="2"/>
        <v xml:space="preserve"> Mainline benefits</v>
      </c>
    </row>
    <row r="158" spans="1:4" x14ac:dyDescent="0.2">
      <c r="A158" t="s">
        <v>793</v>
      </c>
      <c r="B158" t="s">
        <v>794</v>
      </c>
      <c r="C158" t="s">
        <v>795</v>
      </c>
      <c r="D158" t="str">
        <f t="shared" si="2"/>
        <v>RONALD MAX</v>
      </c>
    </row>
    <row r="159" spans="1:4" x14ac:dyDescent="0.2">
      <c r="A159" t="s">
        <v>793</v>
      </c>
      <c r="B159" t="s">
        <v>794</v>
      </c>
      <c r="C159" t="s">
        <v>795</v>
      </c>
      <c r="D159" t="str">
        <f t="shared" si="2"/>
        <v>RONALD MAX</v>
      </c>
    </row>
    <row r="160" spans="1:4" x14ac:dyDescent="0.2">
      <c r="A160" t="s">
        <v>793</v>
      </c>
      <c r="B160" t="s">
        <v>794</v>
      </c>
      <c r="C160" t="s">
        <v>795</v>
      </c>
      <c r="D160" t="str">
        <f t="shared" si="2"/>
        <v>RONALD MAX</v>
      </c>
    </row>
    <row r="161" spans="1:4" x14ac:dyDescent="0.2">
      <c r="A161" t="s">
        <v>793</v>
      </c>
      <c r="B161" t="s">
        <v>794</v>
      </c>
      <c r="C161" t="s">
        <v>795</v>
      </c>
      <c r="D161" t="str">
        <f t="shared" si="2"/>
        <v>RONALD MAX</v>
      </c>
    </row>
    <row r="162" spans="1:4" x14ac:dyDescent="0.2">
      <c r="A162" t="s">
        <v>793</v>
      </c>
      <c r="B162" t="s">
        <v>794</v>
      </c>
      <c r="C162" t="s">
        <v>795</v>
      </c>
      <c r="D162" t="str">
        <f t="shared" si="2"/>
        <v>RONALD MAX</v>
      </c>
    </row>
    <row r="163" spans="1:4" x14ac:dyDescent="0.2">
      <c r="A163" t="s">
        <v>793</v>
      </c>
      <c r="B163" t="s">
        <v>794</v>
      </c>
      <c r="C163" t="s">
        <v>795</v>
      </c>
      <c r="D163" t="str">
        <f t="shared" si="2"/>
        <v>RONALD MAX</v>
      </c>
    </row>
    <row r="164" spans="1:4" x14ac:dyDescent="0.2">
      <c r="A164" t="s">
        <v>793</v>
      </c>
      <c r="B164" t="s">
        <v>794</v>
      </c>
      <c r="C164" t="s">
        <v>795</v>
      </c>
      <c r="D164" t="str">
        <f t="shared" si="2"/>
        <v>RONALD MAX</v>
      </c>
    </row>
    <row r="165" spans="1:4" x14ac:dyDescent="0.2">
      <c r="A165" t="s">
        <v>793</v>
      </c>
      <c r="B165" t="s">
        <v>794</v>
      </c>
      <c r="C165" t="s">
        <v>795</v>
      </c>
      <c r="D165" t="str">
        <f t="shared" si="2"/>
        <v>RONALD MAX</v>
      </c>
    </row>
    <row r="166" spans="1:4" x14ac:dyDescent="0.2">
      <c r="A166" t="s">
        <v>793</v>
      </c>
      <c r="B166" t="s">
        <v>794</v>
      </c>
      <c r="C166" t="s">
        <v>795</v>
      </c>
      <c r="D166" t="str">
        <f t="shared" si="2"/>
        <v>RONALD MAX</v>
      </c>
    </row>
    <row r="167" spans="1:4" x14ac:dyDescent="0.2">
      <c r="A167" t="s">
        <v>793</v>
      </c>
      <c r="B167" t="s">
        <v>794</v>
      </c>
      <c r="C167" t="s">
        <v>795</v>
      </c>
      <c r="D167" t="str">
        <f t="shared" si="2"/>
        <v>RONALD MAX</v>
      </c>
    </row>
    <row r="168" spans="1:4" x14ac:dyDescent="0.2">
      <c r="A168" t="s">
        <v>793</v>
      </c>
      <c r="B168" t="s">
        <v>794</v>
      </c>
      <c r="C168" t="s">
        <v>795</v>
      </c>
      <c r="D168" t="str">
        <f t="shared" si="2"/>
        <v>RONALD MAX</v>
      </c>
    </row>
    <row r="169" spans="1:4" x14ac:dyDescent="0.2">
      <c r="A169" t="s">
        <v>793</v>
      </c>
      <c r="B169" t="s">
        <v>794</v>
      </c>
      <c r="C169" t="s">
        <v>795</v>
      </c>
      <c r="D169" t="str">
        <f t="shared" si="2"/>
        <v>RONALD MAX</v>
      </c>
    </row>
    <row r="170" spans="1:4" x14ac:dyDescent="0.2">
      <c r="A170" t="s">
        <v>793</v>
      </c>
      <c r="B170" t="s">
        <v>794</v>
      </c>
      <c r="C170" t="s">
        <v>795</v>
      </c>
      <c r="D170" t="str">
        <f t="shared" si="2"/>
        <v>RONALD MAX</v>
      </c>
    </row>
    <row r="171" spans="1:4" x14ac:dyDescent="0.2">
      <c r="A171" t="s">
        <v>793</v>
      </c>
      <c r="B171" t="s">
        <v>794</v>
      </c>
      <c r="C171" t="s">
        <v>795</v>
      </c>
      <c r="D171" t="str">
        <f t="shared" si="2"/>
        <v>RONALD MAX</v>
      </c>
    </row>
    <row r="172" spans="1:4" x14ac:dyDescent="0.2">
      <c r="A172" t="s">
        <v>793</v>
      </c>
      <c r="B172" t="s">
        <v>794</v>
      </c>
      <c r="C172" t="s">
        <v>795</v>
      </c>
      <c r="D172" t="str">
        <f t="shared" si="2"/>
        <v>RONALD MAX</v>
      </c>
    </row>
    <row r="173" spans="1:4" x14ac:dyDescent="0.2">
      <c r="A173" t="s">
        <v>793</v>
      </c>
      <c r="B173" t="s">
        <v>794</v>
      </c>
      <c r="C173" t="s">
        <v>795</v>
      </c>
      <c r="D173" t="str">
        <f t="shared" si="2"/>
        <v>RONALD MAX</v>
      </c>
    </row>
    <row r="174" spans="1:4" x14ac:dyDescent="0.2">
      <c r="A174" t="s">
        <v>793</v>
      </c>
      <c r="B174" t="s">
        <v>794</v>
      </c>
      <c r="C174" t="s">
        <v>795</v>
      </c>
      <c r="D174" t="str">
        <f t="shared" si="2"/>
        <v>RONALD MAX</v>
      </c>
    </row>
    <row r="175" spans="1:4" x14ac:dyDescent="0.2">
      <c r="A175" t="s">
        <v>793</v>
      </c>
      <c r="B175" t="s">
        <v>794</v>
      </c>
      <c r="C175" t="s">
        <v>795</v>
      </c>
      <c r="D175" t="str">
        <f t="shared" si="2"/>
        <v>RONALD MAX</v>
      </c>
    </row>
    <row r="176" spans="1:4" x14ac:dyDescent="0.2">
      <c r="A176" t="s">
        <v>793</v>
      </c>
      <c r="B176" t="s">
        <v>794</v>
      </c>
      <c r="C176" t="s">
        <v>795</v>
      </c>
      <c r="D176" t="str">
        <f t="shared" si="2"/>
        <v>RONALD MAX</v>
      </c>
    </row>
    <row r="177" spans="1:4" x14ac:dyDescent="0.2">
      <c r="A177" t="s">
        <v>793</v>
      </c>
      <c r="B177" t="s">
        <v>794</v>
      </c>
      <c r="C177" t="s">
        <v>795</v>
      </c>
      <c r="D177" t="str">
        <f t="shared" si="2"/>
        <v>RONALD MAX</v>
      </c>
    </row>
    <row r="178" spans="1:4" x14ac:dyDescent="0.2">
      <c r="A178" t="s">
        <v>793</v>
      </c>
      <c r="B178" t="s">
        <v>794</v>
      </c>
      <c r="C178" t="s">
        <v>795</v>
      </c>
      <c r="D178" t="str">
        <f t="shared" si="2"/>
        <v>RONALD MAX</v>
      </c>
    </row>
    <row r="179" spans="1:4" x14ac:dyDescent="0.2">
      <c r="A179" t="s">
        <v>793</v>
      </c>
      <c r="B179" t="s">
        <v>794</v>
      </c>
      <c r="C179" t="s">
        <v>795</v>
      </c>
      <c r="D179" t="str">
        <f t="shared" si="2"/>
        <v>RONALD MAX</v>
      </c>
    </row>
    <row r="180" spans="1:4" x14ac:dyDescent="0.2">
      <c r="A180" t="s">
        <v>793</v>
      </c>
      <c r="B180" t="s">
        <v>794</v>
      </c>
      <c r="C180" t="s">
        <v>795</v>
      </c>
      <c r="D180" t="str">
        <f t="shared" si="2"/>
        <v>RONALD MAX</v>
      </c>
    </row>
    <row r="181" spans="1:4" x14ac:dyDescent="0.2">
      <c r="A181" t="s">
        <v>793</v>
      </c>
      <c r="B181" t="s">
        <v>794</v>
      </c>
      <c r="C181" t="s">
        <v>795</v>
      </c>
      <c r="D181" t="str">
        <f t="shared" si="2"/>
        <v>RONALD MAX</v>
      </c>
    </row>
    <row r="182" spans="1:4" x14ac:dyDescent="0.2">
      <c r="A182" t="s">
        <v>793</v>
      </c>
      <c r="B182" t="s">
        <v>794</v>
      </c>
      <c r="C182" t="s">
        <v>795</v>
      </c>
      <c r="D182" t="str">
        <f t="shared" si="2"/>
        <v>RONALD MAX</v>
      </c>
    </row>
    <row r="183" spans="1:4" x14ac:dyDescent="0.2">
      <c r="A183" t="s">
        <v>793</v>
      </c>
      <c r="B183" t="s">
        <v>794</v>
      </c>
      <c r="C183" t="s">
        <v>795</v>
      </c>
      <c r="D183" t="str">
        <f t="shared" si="2"/>
        <v>RONALD MAX</v>
      </c>
    </row>
    <row r="184" spans="1:4" x14ac:dyDescent="0.2">
      <c r="A184" t="s">
        <v>793</v>
      </c>
      <c r="B184" t="s">
        <v>794</v>
      </c>
      <c r="C184" t="s">
        <v>795</v>
      </c>
      <c r="D184" t="str">
        <f t="shared" si="2"/>
        <v>RONALD MAX</v>
      </c>
    </row>
    <row r="185" spans="1:4" x14ac:dyDescent="0.2">
      <c r="A185" t="s">
        <v>793</v>
      </c>
      <c r="B185" t="s">
        <v>794</v>
      </c>
      <c r="C185" t="s">
        <v>795</v>
      </c>
      <c r="D185" t="str">
        <f t="shared" si="2"/>
        <v>RONALD MAX</v>
      </c>
    </row>
    <row r="186" spans="1:4" x14ac:dyDescent="0.2">
      <c r="A186" t="s">
        <v>793</v>
      </c>
      <c r="B186" t="s">
        <v>794</v>
      </c>
      <c r="C186" t="s">
        <v>795</v>
      </c>
      <c r="D186" t="str">
        <f t="shared" si="2"/>
        <v>RONALD MAX</v>
      </c>
    </row>
    <row r="187" spans="1:4" x14ac:dyDescent="0.2">
      <c r="A187" t="s">
        <v>793</v>
      </c>
      <c r="B187" t="s">
        <v>794</v>
      </c>
      <c r="C187" t="s">
        <v>795</v>
      </c>
      <c r="D187" t="str">
        <f t="shared" si="2"/>
        <v>RONALD MAX</v>
      </c>
    </row>
    <row r="188" spans="1:4" x14ac:dyDescent="0.2">
      <c r="A188" t="s">
        <v>793</v>
      </c>
      <c r="B188" t="s">
        <v>794</v>
      </c>
      <c r="C188" t="s">
        <v>795</v>
      </c>
      <c r="D188" t="str">
        <f t="shared" si="2"/>
        <v>RONALD MAX</v>
      </c>
    </row>
    <row r="189" spans="1:4" x14ac:dyDescent="0.2">
      <c r="A189" t="s">
        <v>793</v>
      </c>
      <c r="B189" t="s">
        <v>794</v>
      </c>
      <c r="C189" t="s">
        <v>795</v>
      </c>
      <c r="D189" t="str">
        <f t="shared" si="2"/>
        <v>RONALD MAX</v>
      </c>
    </row>
    <row r="190" spans="1:4" x14ac:dyDescent="0.2">
      <c r="A190" t="s">
        <v>793</v>
      </c>
      <c r="B190" t="s">
        <v>794</v>
      </c>
      <c r="C190" t="s">
        <v>795</v>
      </c>
      <c r="D190" t="str">
        <f t="shared" si="2"/>
        <v>RONALD MAX</v>
      </c>
    </row>
    <row r="191" spans="1:4" x14ac:dyDescent="0.2">
      <c r="A191" t="s">
        <v>793</v>
      </c>
      <c r="B191" t="s">
        <v>794</v>
      </c>
      <c r="C191" t="s">
        <v>795</v>
      </c>
      <c r="D191" t="str">
        <f t="shared" si="2"/>
        <v>RONALD MAX</v>
      </c>
    </row>
    <row r="192" spans="1:4" x14ac:dyDescent="0.2">
      <c r="A192" t="s">
        <v>793</v>
      </c>
      <c r="B192" t="s">
        <v>794</v>
      </c>
      <c r="C192" t="s">
        <v>795</v>
      </c>
      <c r="D192" t="str">
        <f t="shared" si="2"/>
        <v>RONALD MAX</v>
      </c>
    </row>
    <row r="193" spans="1:4" x14ac:dyDescent="0.2">
      <c r="A193" t="s">
        <v>793</v>
      </c>
      <c r="B193" t="s">
        <v>794</v>
      </c>
      <c r="C193" t="s">
        <v>795</v>
      </c>
      <c r="D193" t="str">
        <f t="shared" si="2"/>
        <v>RONALD MAX</v>
      </c>
    </row>
    <row r="194" spans="1:4" x14ac:dyDescent="0.2">
      <c r="A194" t="s">
        <v>793</v>
      </c>
      <c r="B194" t="s">
        <v>794</v>
      </c>
      <c r="C194" t="s">
        <v>795</v>
      </c>
      <c r="D194" t="str">
        <f t="shared" ref="D194:D257" si="3">CONCATENATE(B194, " ",A194)</f>
        <v>RONALD MAX</v>
      </c>
    </row>
    <row r="195" spans="1:4" x14ac:dyDescent="0.2">
      <c r="A195" t="s">
        <v>793</v>
      </c>
      <c r="B195" t="s">
        <v>794</v>
      </c>
      <c r="C195" t="s">
        <v>795</v>
      </c>
      <c r="D195" t="str">
        <f t="shared" si="3"/>
        <v>RONALD MAX</v>
      </c>
    </row>
    <row r="196" spans="1:4" x14ac:dyDescent="0.2">
      <c r="A196" t="s">
        <v>793</v>
      </c>
      <c r="B196" t="s">
        <v>794</v>
      </c>
      <c r="C196" t="s">
        <v>795</v>
      </c>
      <c r="D196" t="str">
        <f t="shared" si="3"/>
        <v>RONALD MAX</v>
      </c>
    </row>
    <row r="197" spans="1:4" x14ac:dyDescent="0.2">
      <c r="A197" t="s">
        <v>793</v>
      </c>
      <c r="B197" t="s">
        <v>794</v>
      </c>
      <c r="C197" t="s">
        <v>795</v>
      </c>
      <c r="D197" t="str">
        <f t="shared" si="3"/>
        <v>RONALD MAX</v>
      </c>
    </row>
    <row r="198" spans="1:4" x14ac:dyDescent="0.2">
      <c r="A198" t="s">
        <v>793</v>
      </c>
      <c r="B198" t="s">
        <v>794</v>
      </c>
      <c r="C198" t="s">
        <v>795</v>
      </c>
      <c r="D198" t="str">
        <f t="shared" si="3"/>
        <v>RONALD MAX</v>
      </c>
    </row>
    <row r="199" spans="1:4" x14ac:dyDescent="0.2">
      <c r="A199" t="s">
        <v>796</v>
      </c>
      <c r="B199" t="s">
        <v>797</v>
      </c>
      <c r="D199" t="str">
        <f t="shared" si="3"/>
        <v>MICHELLE MCCORKLE</v>
      </c>
    </row>
    <row r="200" spans="1:4" x14ac:dyDescent="0.2">
      <c r="A200" t="s">
        <v>796</v>
      </c>
      <c r="B200" t="s">
        <v>797</v>
      </c>
      <c r="D200" t="str">
        <f t="shared" si="3"/>
        <v>MICHELLE MCCORKLE</v>
      </c>
    </row>
    <row r="201" spans="1:4" x14ac:dyDescent="0.2">
      <c r="A201" t="s">
        <v>796</v>
      </c>
      <c r="B201" t="s">
        <v>797</v>
      </c>
      <c r="D201" t="str">
        <f t="shared" si="3"/>
        <v>MICHELLE MCCORKLE</v>
      </c>
    </row>
    <row r="202" spans="1:4" x14ac:dyDescent="0.2">
      <c r="A202" t="s">
        <v>798</v>
      </c>
      <c r="B202" t="s">
        <v>799</v>
      </c>
      <c r="D202" t="str">
        <f t="shared" si="3"/>
        <v>BRITTANY OLIVER</v>
      </c>
    </row>
    <row r="203" spans="1:4" x14ac:dyDescent="0.2">
      <c r="A203" t="s">
        <v>798</v>
      </c>
      <c r="B203" t="s">
        <v>799</v>
      </c>
      <c r="D203" t="str">
        <f t="shared" si="3"/>
        <v>BRITTANY OLIVER</v>
      </c>
    </row>
    <row r="204" spans="1:4" x14ac:dyDescent="0.2">
      <c r="A204" t="s">
        <v>798</v>
      </c>
      <c r="B204" t="s">
        <v>799</v>
      </c>
      <c r="D204" t="str">
        <f t="shared" si="3"/>
        <v>BRITTANY OLIVER</v>
      </c>
    </row>
    <row r="205" spans="1:4" x14ac:dyDescent="0.2">
      <c r="A205" t="s">
        <v>798</v>
      </c>
      <c r="B205" t="s">
        <v>799</v>
      </c>
      <c r="D205" t="str">
        <f t="shared" si="3"/>
        <v>BRITTANY OLIVER</v>
      </c>
    </row>
    <row r="206" spans="1:4" x14ac:dyDescent="0.2">
      <c r="A206" t="s">
        <v>800</v>
      </c>
      <c r="B206" t="s">
        <v>785</v>
      </c>
      <c r="C206" t="s">
        <v>801</v>
      </c>
      <c r="D206" t="str">
        <f t="shared" si="3"/>
        <v>THOMAS PARDUE</v>
      </c>
    </row>
    <row r="207" spans="1:4" x14ac:dyDescent="0.2">
      <c r="A207" t="s">
        <v>800</v>
      </c>
      <c r="B207" t="s">
        <v>785</v>
      </c>
      <c r="C207" t="s">
        <v>801</v>
      </c>
      <c r="D207" t="str">
        <f t="shared" si="3"/>
        <v>THOMAS PARDUE</v>
      </c>
    </row>
    <row r="208" spans="1:4" x14ac:dyDescent="0.2">
      <c r="A208" t="s">
        <v>802</v>
      </c>
      <c r="B208" t="s">
        <v>803</v>
      </c>
      <c r="D208" t="str">
        <f t="shared" si="3"/>
        <v>GARY PORTUGAL</v>
      </c>
    </row>
    <row r="209" spans="1:4" x14ac:dyDescent="0.2">
      <c r="A209" t="s">
        <v>802</v>
      </c>
      <c r="B209" t="s">
        <v>803</v>
      </c>
      <c r="D209" t="str">
        <f t="shared" si="3"/>
        <v>GARY PORTUGAL</v>
      </c>
    </row>
    <row r="210" spans="1:4" x14ac:dyDescent="0.2">
      <c r="A210" t="s">
        <v>802</v>
      </c>
      <c r="B210" t="s">
        <v>803</v>
      </c>
      <c r="D210" t="str">
        <f t="shared" si="3"/>
        <v>GARY PORTUGAL</v>
      </c>
    </row>
    <row r="211" spans="1:4" x14ac:dyDescent="0.2">
      <c r="A211" t="s">
        <v>802</v>
      </c>
      <c r="B211" t="s">
        <v>803</v>
      </c>
      <c r="D211" t="str">
        <f t="shared" si="3"/>
        <v>GARY PORTUGAL</v>
      </c>
    </row>
    <row r="212" spans="1:4" x14ac:dyDescent="0.2">
      <c r="A212" t="s">
        <v>802</v>
      </c>
      <c r="B212" t="s">
        <v>803</v>
      </c>
      <c r="D212" t="str">
        <f t="shared" si="3"/>
        <v>GARY PORTUGAL</v>
      </c>
    </row>
    <row r="213" spans="1:4" x14ac:dyDescent="0.2">
      <c r="A213" t="s">
        <v>802</v>
      </c>
      <c r="B213" t="s">
        <v>803</v>
      </c>
      <c r="D213" t="str">
        <f t="shared" si="3"/>
        <v>GARY PORTUGAL</v>
      </c>
    </row>
    <row r="214" spans="1:4" x14ac:dyDescent="0.2">
      <c r="A214" t="s">
        <v>802</v>
      </c>
      <c r="B214" t="s">
        <v>803</v>
      </c>
      <c r="D214" t="str">
        <f t="shared" si="3"/>
        <v>GARY PORTUGAL</v>
      </c>
    </row>
    <row r="215" spans="1:4" x14ac:dyDescent="0.2">
      <c r="A215" t="s">
        <v>802</v>
      </c>
      <c r="B215" t="s">
        <v>803</v>
      </c>
      <c r="D215" t="str">
        <f t="shared" si="3"/>
        <v>GARY PORTUGAL</v>
      </c>
    </row>
    <row r="216" spans="1:4" x14ac:dyDescent="0.2">
      <c r="A216" t="s">
        <v>802</v>
      </c>
      <c r="B216" t="s">
        <v>803</v>
      </c>
      <c r="D216" t="str">
        <f t="shared" si="3"/>
        <v>GARY PORTUGAL</v>
      </c>
    </row>
    <row r="217" spans="1:4" x14ac:dyDescent="0.2">
      <c r="A217" t="s">
        <v>802</v>
      </c>
      <c r="B217" t="s">
        <v>804</v>
      </c>
      <c r="C217" t="s">
        <v>805</v>
      </c>
      <c r="D217" t="str">
        <f t="shared" si="3"/>
        <v>STACEY PORTUGAL</v>
      </c>
    </row>
    <row r="218" spans="1:4" x14ac:dyDescent="0.2">
      <c r="A218" t="s">
        <v>802</v>
      </c>
      <c r="B218" t="s">
        <v>804</v>
      </c>
      <c r="C218" t="s">
        <v>805</v>
      </c>
      <c r="D218" t="str">
        <f t="shared" si="3"/>
        <v>STACEY PORTUGAL</v>
      </c>
    </row>
    <row r="219" spans="1:4" x14ac:dyDescent="0.2">
      <c r="A219" t="s">
        <v>802</v>
      </c>
      <c r="B219" t="s">
        <v>804</v>
      </c>
      <c r="C219" t="s">
        <v>805</v>
      </c>
      <c r="D219" t="str">
        <f t="shared" si="3"/>
        <v>STACEY PORTUGAL</v>
      </c>
    </row>
    <row r="220" spans="1:4" x14ac:dyDescent="0.2">
      <c r="A220" t="s">
        <v>802</v>
      </c>
      <c r="B220" t="s">
        <v>804</v>
      </c>
      <c r="C220" t="s">
        <v>805</v>
      </c>
      <c r="D220" t="str">
        <f t="shared" si="3"/>
        <v>STACEY PORTUGAL</v>
      </c>
    </row>
    <row r="221" spans="1:4" x14ac:dyDescent="0.2">
      <c r="A221" t="s">
        <v>802</v>
      </c>
      <c r="B221" t="s">
        <v>804</v>
      </c>
      <c r="C221" t="s">
        <v>805</v>
      </c>
      <c r="D221" t="str">
        <f t="shared" si="3"/>
        <v>STACEY PORTUGAL</v>
      </c>
    </row>
    <row r="222" spans="1:4" x14ac:dyDescent="0.2">
      <c r="A222" t="s">
        <v>802</v>
      </c>
      <c r="B222" t="s">
        <v>804</v>
      </c>
      <c r="C222" t="s">
        <v>805</v>
      </c>
      <c r="D222" t="str">
        <f t="shared" si="3"/>
        <v>STACEY PORTUGAL</v>
      </c>
    </row>
    <row r="223" spans="1:4" x14ac:dyDescent="0.2">
      <c r="A223" t="s">
        <v>802</v>
      </c>
      <c r="B223" t="s">
        <v>804</v>
      </c>
      <c r="C223" t="s">
        <v>805</v>
      </c>
      <c r="D223" t="str">
        <f t="shared" si="3"/>
        <v>STACEY PORTUGAL</v>
      </c>
    </row>
    <row r="224" spans="1:4" x14ac:dyDescent="0.2">
      <c r="A224" t="s">
        <v>806</v>
      </c>
      <c r="B224" t="s">
        <v>807</v>
      </c>
      <c r="C224" t="s">
        <v>808</v>
      </c>
      <c r="D224" t="str">
        <f t="shared" si="3"/>
        <v>ADAM RICHTER</v>
      </c>
    </row>
    <row r="225" spans="1:4" x14ac:dyDescent="0.2">
      <c r="A225" t="s">
        <v>806</v>
      </c>
      <c r="B225" t="s">
        <v>807</v>
      </c>
      <c r="C225" t="s">
        <v>808</v>
      </c>
      <c r="D225" t="str">
        <f t="shared" si="3"/>
        <v>ADAM RICHTER</v>
      </c>
    </row>
    <row r="226" spans="1:4" x14ac:dyDescent="0.2">
      <c r="A226" t="s">
        <v>806</v>
      </c>
      <c r="B226" t="s">
        <v>807</v>
      </c>
      <c r="C226" t="s">
        <v>808</v>
      </c>
      <c r="D226" t="str">
        <f t="shared" si="3"/>
        <v>ADAM RICHTER</v>
      </c>
    </row>
    <row r="227" spans="1:4" x14ac:dyDescent="0.2">
      <c r="A227" t="s">
        <v>806</v>
      </c>
      <c r="B227" t="s">
        <v>807</v>
      </c>
      <c r="C227" t="s">
        <v>808</v>
      </c>
      <c r="D227" t="str">
        <f t="shared" si="3"/>
        <v>ADAM RICHTER</v>
      </c>
    </row>
    <row r="228" spans="1:4" x14ac:dyDescent="0.2">
      <c r="A228" t="s">
        <v>806</v>
      </c>
      <c r="B228" t="s">
        <v>807</v>
      </c>
      <c r="C228" t="s">
        <v>808</v>
      </c>
      <c r="D228" t="str">
        <f t="shared" si="3"/>
        <v>ADAM RICHTER</v>
      </c>
    </row>
    <row r="229" spans="1:4" x14ac:dyDescent="0.2">
      <c r="A229" t="s">
        <v>806</v>
      </c>
      <c r="B229" t="s">
        <v>807</v>
      </c>
      <c r="C229" t="s">
        <v>808</v>
      </c>
      <c r="D229" t="str">
        <f t="shared" si="3"/>
        <v>ADAM RICHTER</v>
      </c>
    </row>
    <row r="230" spans="1:4" x14ac:dyDescent="0.2">
      <c r="A230" t="s">
        <v>806</v>
      </c>
      <c r="B230" t="s">
        <v>807</v>
      </c>
      <c r="C230" t="s">
        <v>808</v>
      </c>
      <c r="D230" t="str">
        <f t="shared" si="3"/>
        <v>ADAM RICHTER</v>
      </c>
    </row>
    <row r="231" spans="1:4" x14ac:dyDescent="0.2">
      <c r="A231" t="s">
        <v>806</v>
      </c>
      <c r="B231" t="s">
        <v>807</v>
      </c>
      <c r="C231" t="s">
        <v>808</v>
      </c>
      <c r="D231" t="str">
        <f t="shared" si="3"/>
        <v>ADAM RICHTER</v>
      </c>
    </row>
    <row r="232" spans="1:4" x14ac:dyDescent="0.2">
      <c r="A232" t="s">
        <v>806</v>
      </c>
      <c r="B232" t="s">
        <v>807</v>
      </c>
      <c r="C232" t="s">
        <v>808</v>
      </c>
      <c r="D232" t="str">
        <f t="shared" si="3"/>
        <v>ADAM RICHTER</v>
      </c>
    </row>
    <row r="233" spans="1:4" x14ac:dyDescent="0.2">
      <c r="A233" t="s">
        <v>806</v>
      </c>
      <c r="B233" t="s">
        <v>807</v>
      </c>
      <c r="C233" t="s">
        <v>808</v>
      </c>
      <c r="D233" t="str">
        <f t="shared" si="3"/>
        <v>ADAM RICHTER</v>
      </c>
    </row>
    <row r="234" spans="1:4" x14ac:dyDescent="0.2">
      <c r="A234" t="s">
        <v>806</v>
      </c>
      <c r="B234" t="s">
        <v>807</v>
      </c>
      <c r="C234" t="s">
        <v>808</v>
      </c>
      <c r="D234" t="str">
        <f t="shared" si="3"/>
        <v>ADAM RICHTER</v>
      </c>
    </row>
    <row r="235" spans="1:4" x14ac:dyDescent="0.2">
      <c r="A235" t="s">
        <v>806</v>
      </c>
      <c r="B235" t="s">
        <v>807</v>
      </c>
      <c r="C235" t="s">
        <v>808</v>
      </c>
      <c r="D235" t="str">
        <f t="shared" si="3"/>
        <v>ADAM RICHTER</v>
      </c>
    </row>
    <row r="236" spans="1:4" x14ac:dyDescent="0.2">
      <c r="A236" t="s">
        <v>806</v>
      </c>
      <c r="B236" t="s">
        <v>807</v>
      </c>
      <c r="C236" t="s">
        <v>808</v>
      </c>
      <c r="D236" t="str">
        <f t="shared" si="3"/>
        <v>ADAM RICHTER</v>
      </c>
    </row>
    <row r="237" spans="1:4" x14ac:dyDescent="0.2">
      <c r="A237" t="s">
        <v>806</v>
      </c>
      <c r="B237" t="s">
        <v>807</v>
      </c>
      <c r="C237" t="s">
        <v>808</v>
      </c>
      <c r="D237" t="str">
        <f t="shared" si="3"/>
        <v>ADAM RICHTER</v>
      </c>
    </row>
    <row r="238" spans="1:4" x14ac:dyDescent="0.2">
      <c r="A238" t="s">
        <v>806</v>
      </c>
      <c r="B238" t="s">
        <v>807</v>
      </c>
      <c r="C238" t="s">
        <v>808</v>
      </c>
      <c r="D238" t="str">
        <f t="shared" si="3"/>
        <v>ADAM RICHTER</v>
      </c>
    </row>
    <row r="239" spans="1:4" x14ac:dyDescent="0.2">
      <c r="A239" t="s">
        <v>806</v>
      </c>
      <c r="B239" t="s">
        <v>807</v>
      </c>
      <c r="C239" t="s">
        <v>808</v>
      </c>
      <c r="D239" t="str">
        <f t="shared" si="3"/>
        <v>ADAM RICHTER</v>
      </c>
    </row>
    <row r="240" spans="1:4" x14ac:dyDescent="0.2">
      <c r="A240" t="s">
        <v>806</v>
      </c>
      <c r="B240" t="s">
        <v>807</v>
      </c>
      <c r="C240" t="s">
        <v>808</v>
      </c>
      <c r="D240" t="str">
        <f t="shared" si="3"/>
        <v>ADAM RICHTER</v>
      </c>
    </row>
    <row r="241" spans="1:4" x14ac:dyDescent="0.2">
      <c r="A241" t="s">
        <v>806</v>
      </c>
      <c r="B241" t="s">
        <v>807</v>
      </c>
      <c r="C241" t="s">
        <v>808</v>
      </c>
      <c r="D241" t="str">
        <f t="shared" si="3"/>
        <v>ADAM RICHTER</v>
      </c>
    </row>
    <row r="242" spans="1:4" x14ac:dyDescent="0.2">
      <c r="A242" t="s">
        <v>806</v>
      </c>
      <c r="B242" t="s">
        <v>807</v>
      </c>
      <c r="C242" t="s">
        <v>808</v>
      </c>
      <c r="D242" t="str">
        <f t="shared" si="3"/>
        <v>ADAM RICHTER</v>
      </c>
    </row>
    <row r="243" spans="1:4" x14ac:dyDescent="0.2">
      <c r="A243" t="s">
        <v>806</v>
      </c>
      <c r="B243" t="s">
        <v>807</v>
      </c>
      <c r="C243" t="s">
        <v>808</v>
      </c>
      <c r="D243" t="str">
        <f t="shared" si="3"/>
        <v>ADAM RICHTER</v>
      </c>
    </row>
    <row r="244" spans="1:4" x14ac:dyDescent="0.2">
      <c r="A244" t="s">
        <v>806</v>
      </c>
      <c r="B244" t="s">
        <v>809</v>
      </c>
      <c r="C244" t="s">
        <v>810</v>
      </c>
      <c r="D244" t="str">
        <f t="shared" si="3"/>
        <v>PETER RICHTER</v>
      </c>
    </row>
    <row r="245" spans="1:4" x14ac:dyDescent="0.2">
      <c r="A245" t="s">
        <v>806</v>
      </c>
      <c r="B245" t="s">
        <v>809</v>
      </c>
      <c r="C245" t="s">
        <v>810</v>
      </c>
      <c r="D245" t="str">
        <f t="shared" si="3"/>
        <v>PETER RICHTER</v>
      </c>
    </row>
    <row r="246" spans="1:4" x14ac:dyDescent="0.2">
      <c r="A246" t="s">
        <v>811</v>
      </c>
      <c r="B246" t="s">
        <v>812</v>
      </c>
      <c r="C246" t="s">
        <v>813</v>
      </c>
      <c r="D246" t="str">
        <f t="shared" si="3"/>
        <v>JAKE SHULMAN</v>
      </c>
    </row>
    <row r="247" spans="1:4" x14ac:dyDescent="0.2">
      <c r="A247" t="s">
        <v>811</v>
      </c>
      <c r="B247" t="s">
        <v>812</v>
      </c>
      <c r="C247" t="s">
        <v>813</v>
      </c>
      <c r="D247" t="str">
        <f t="shared" si="3"/>
        <v>JAKE SHULMAN</v>
      </c>
    </row>
    <row r="248" spans="1:4" x14ac:dyDescent="0.2">
      <c r="A248" t="s">
        <v>814</v>
      </c>
      <c r="B248" t="s">
        <v>815</v>
      </c>
      <c r="D248" t="str">
        <f t="shared" si="3"/>
        <v>MURRAY STERNER</v>
      </c>
    </row>
    <row r="249" spans="1:4" x14ac:dyDescent="0.2">
      <c r="A249" t="s">
        <v>814</v>
      </c>
      <c r="B249" t="s">
        <v>815</v>
      </c>
      <c r="D249" t="str">
        <f t="shared" si="3"/>
        <v>MURRAY STERNER</v>
      </c>
    </row>
    <row r="250" spans="1:4" x14ac:dyDescent="0.2">
      <c r="A250" t="s">
        <v>814</v>
      </c>
      <c r="B250" t="s">
        <v>815</v>
      </c>
      <c r="D250" t="str">
        <f t="shared" si="3"/>
        <v>MURRAY STERNER</v>
      </c>
    </row>
    <row r="251" spans="1:4" x14ac:dyDescent="0.2">
      <c r="A251" t="s">
        <v>814</v>
      </c>
      <c r="B251" t="s">
        <v>815</v>
      </c>
      <c r="D251" t="str">
        <f t="shared" si="3"/>
        <v>MURRAY STERNER</v>
      </c>
    </row>
    <row r="252" spans="1:4" x14ac:dyDescent="0.2">
      <c r="A252" t="s">
        <v>816</v>
      </c>
      <c r="B252" t="s">
        <v>817</v>
      </c>
      <c r="D252" t="str">
        <f t="shared" si="3"/>
        <v>MELISSA TATRO</v>
      </c>
    </row>
    <row r="253" spans="1:4" x14ac:dyDescent="0.2">
      <c r="A253" t="s">
        <v>816</v>
      </c>
      <c r="B253" t="s">
        <v>817</v>
      </c>
      <c r="D253" t="str">
        <f t="shared" si="3"/>
        <v>MELISSA TATRO</v>
      </c>
    </row>
    <row r="254" spans="1:4" x14ac:dyDescent="0.2">
      <c r="A254" t="s">
        <v>816</v>
      </c>
      <c r="B254" t="s">
        <v>817</v>
      </c>
      <c r="D254" t="str">
        <f t="shared" si="3"/>
        <v>MELISSA TATRO</v>
      </c>
    </row>
    <row r="255" spans="1:4" x14ac:dyDescent="0.2">
      <c r="A255" t="s">
        <v>818</v>
      </c>
      <c r="B255" t="s">
        <v>819</v>
      </c>
      <c r="D255" t="str">
        <f t="shared" si="3"/>
        <v>CHRISTIAN TAUGNER</v>
      </c>
    </row>
    <row r="256" spans="1:4" x14ac:dyDescent="0.2">
      <c r="A256" t="s">
        <v>818</v>
      </c>
      <c r="B256" t="s">
        <v>819</v>
      </c>
      <c r="D256" t="str">
        <f t="shared" si="3"/>
        <v>CHRISTIAN TAUGNER</v>
      </c>
    </row>
    <row r="257" spans="1:4" x14ac:dyDescent="0.2">
      <c r="A257" t="s">
        <v>818</v>
      </c>
      <c r="B257" t="s">
        <v>819</v>
      </c>
      <c r="D257" t="str">
        <f t="shared" si="3"/>
        <v>CHRISTIAN TAUGNER</v>
      </c>
    </row>
    <row r="258" spans="1:4" x14ac:dyDescent="0.2">
      <c r="A258" t="s">
        <v>818</v>
      </c>
      <c r="B258" t="s">
        <v>819</v>
      </c>
      <c r="D258" t="str">
        <f t="shared" ref="D258:D277" si="4">CONCATENATE(B258, " ",A258)</f>
        <v>CHRISTIAN TAUGNER</v>
      </c>
    </row>
    <row r="259" spans="1:4" x14ac:dyDescent="0.2">
      <c r="A259" t="s">
        <v>818</v>
      </c>
      <c r="B259" t="s">
        <v>819</v>
      </c>
      <c r="D259" t="str">
        <f t="shared" si="4"/>
        <v>CHRISTIAN TAUGNER</v>
      </c>
    </row>
    <row r="260" spans="1:4" x14ac:dyDescent="0.2">
      <c r="A260" t="s">
        <v>818</v>
      </c>
      <c r="B260" t="s">
        <v>819</v>
      </c>
      <c r="D260" t="str">
        <f t="shared" si="4"/>
        <v>CHRISTIAN TAUGNER</v>
      </c>
    </row>
    <row r="261" spans="1:4" x14ac:dyDescent="0.2">
      <c r="A261" t="s">
        <v>818</v>
      </c>
      <c r="B261" t="s">
        <v>819</v>
      </c>
      <c r="D261" t="str">
        <f t="shared" si="4"/>
        <v>CHRISTIAN TAUGNER</v>
      </c>
    </row>
    <row r="262" spans="1:4" x14ac:dyDescent="0.2">
      <c r="A262" t="s">
        <v>818</v>
      </c>
      <c r="B262" t="s">
        <v>819</v>
      </c>
      <c r="D262" t="str">
        <f t="shared" si="4"/>
        <v>CHRISTIAN TAUGNER</v>
      </c>
    </row>
    <row r="263" spans="1:4" x14ac:dyDescent="0.2">
      <c r="A263" t="s">
        <v>818</v>
      </c>
      <c r="B263" t="s">
        <v>819</v>
      </c>
      <c r="D263" t="str">
        <f t="shared" si="4"/>
        <v>CHRISTIAN TAUGNER</v>
      </c>
    </row>
    <row r="264" spans="1:4" x14ac:dyDescent="0.2">
      <c r="A264" t="s">
        <v>818</v>
      </c>
      <c r="B264" t="s">
        <v>819</v>
      </c>
      <c r="D264" t="str">
        <f t="shared" si="4"/>
        <v>CHRISTIAN TAUGNER</v>
      </c>
    </row>
    <row r="265" spans="1:4" x14ac:dyDescent="0.2">
      <c r="A265" t="s">
        <v>818</v>
      </c>
      <c r="B265" t="s">
        <v>819</v>
      </c>
      <c r="D265" t="str">
        <f t="shared" si="4"/>
        <v>CHRISTIAN TAUGNER</v>
      </c>
    </row>
    <row r="266" spans="1:4" x14ac:dyDescent="0.2">
      <c r="A266" t="s">
        <v>818</v>
      </c>
      <c r="B266" t="s">
        <v>819</v>
      </c>
      <c r="D266" t="str">
        <f t="shared" si="4"/>
        <v>CHRISTIAN TAUGNER</v>
      </c>
    </row>
    <row r="267" spans="1:4" x14ac:dyDescent="0.2">
      <c r="A267" t="s">
        <v>820</v>
      </c>
      <c r="B267" t="s">
        <v>821</v>
      </c>
      <c r="C267" t="s">
        <v>822</v>
      </c>
      <c r="D267" t="str">
        <f t="shared" si="4"/>
        <v>DALE WALENGA</v>
      </c>
    </row>
    <row r="268" spans="1:4" x14ac:dyDescent="0.2">
      <c r="A268" t="s">
        <v>820</v>
      </c>
      <c r="B268" t="s">
        <v>821</v>
      </c>
      <c r="C268" t="s">
        <v>822</v>
      </c>
      <c r="D268" t="str">
        <f t="shared" si="4"/>
        <v>DALE WALENGA</v>
      </c>
    </row>
    <row r="269" spans="1:4" x14ac:dyDescent="0.2">
      <c r="A269" t="s">
        <v>820</v>
      </c>
      <c r="B269" t="s">
        <v>821</v>
      </c>
      <c r="C269" t="s">
        <v>822</v>
      </c>
      <c r="D269" t="str">
        <f t="shared" si="4"/>
        <v>DALE WALENGA</v>
      </c>
    </row>
    <row r="270" spans="1:4" x14ac:dyDescent="0.2">
      <c r="A270" t="s">
        <v>820</v>
      </c>
      <c r="B270" t="s">
        <v>821</v>
      </c>
      <c r="C270" t="s">
        <v>822</v>
      </c>
      <c r="D270" t="str">
        <f t="shared" si="4"/>
        <v>DALE WALENGA</v>
      </c>
    </row>
    <row r="271" spans="1:4" x14ac:dyDescent="0.2">
      <c r="A271" t="s">
        <v>820</v>
      </c>
      <c r="B271" t="s">
        <v>821</v>
      </c>
      <c r="C271" t="s">
        <v>822</v>
      </c>
      <c r="D271" t="str">
        <f t="shared" si="4"/>
        <v>DALE WALENGA</v>
      </c>
    </row>
    <row r="272" spans="1:4" x14ac:dyDescent="0.2">
      <c r="A272" t="s">
        <v>820</v>
      </c>
      <c r="B272" t="s">
        <v>821</v>
      </c>
      <c r="C272" t="s">
        <v>822</v>
      </c>
      <c r="D272" t="str">
        <f t="shared" si="4"/>
        <v>DALE WALENGA</v>
      </c>
    </row>
    <row r="273" spans="1:4" x14ac:dyDescent="0.2">
      <c r="A273" t="s">
        <v>823</v>
      </c>
      <c r="B273" t="s">
        <v>824</v>
      </c>
      <c r="C273" t="s">
        <v>808</v>
      </c>
      <c r="D273" t="str">
        <f t="shared" si="4"/>
        <v>CAROLYN WILSON-SMITH</v>
      </c>
    </row>
    <row r="274" spans="1:4" x14ac:dyDescent="0.2">
      <c r="A274" t="s">
        <v>825</v>
      </c>
      <c r="B274" t="s">
        <v>826</v>
      </c>
      <c r="C274" t="s">
        <v>805</v>
      </c>
      <c r="D274" t="str">
        <f t="shared" si="4"/>
        <v>RICHARD YALE</v>
      </c>
    </row>
    <row r="275" spans="1:4" x14ac:dyDescent="0.2">
      <c r="A275" t="s">
        <v>825</v>
      </c>
      <c r="B275" t="s">
        <v>826</v>
      </c>
      <c r="C275" t="s">
        <v>805</v>
      </c>
      <c r="D275" t="str">
        <f t="shared" si="4"/>
        <v>RICHARD YALE</v>
      </c>
    </row>
    <row r="276" spans="1:4" x14ac:dyDescent="0.2">
      <c r="A276" t="s">
        <v>825</v>
      </c>
      <c r="B276" t="s">
        <v>826</v>
      </c>
      <c r="C276" t="s">
        <v>805</v>
      </c>
      <c r="D276" t="str">
        <f t="shared" si="4"/>
        <v>RICHARD YALE</v>
      </c>
    </row>
    <row r="277" spans="1:4" x14ac:dyDescent="0.2">
      <c r="A277" t="s">
        <v>827</v>
      </c>
      <c r="B277" t="s">
        <v>828</v>
      </c>
      <c r="C277" t="s">
        <v>829</v>
      </c>
      <c r="D277" t="str">
        <f t="shared" si="4"/>
        <v>NASANDELGER ZANA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Sheet0</vt:lpstr>
      <vt:lpstr>clean sheet</vt:lpstr>
      <vt:lpstr>Sheet4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Janki Patel</cp:lastModifiedBy>
  <dcterms:created xsi:type="dcterms:W3CDTF">2025-10-27T12:35:27Z</dcterms:created>
  <dcterms:modified xsi:type="dcterms:W3CDTF">2025-10-28T20:09:12Z</dcterms:modified>
</cp:coreProperties>
</file>