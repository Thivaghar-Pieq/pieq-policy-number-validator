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eritas\10-20-25\"/>
    </mc:Choice>
  </mc:AlternateContent>
  <xr:revisionPtr revIDLastSave="0" documentId="8_{E0A7CEA4-4DB8-4E30-9238-24DBFA7680BF}" xr6:coauthVersionLast="47" xr6:coauthVersionMax="47" xr10:uidLastSave="{00000000-0000-0000-0000-000000000000}"/>
  <bookViews>
    <workbookView xWindow="-57720" yWindow="-45" windowWidth="29040" windowHeight="15720" activeTab="1" xr2:uid="{F8DF0123-720B-46AC-A9FE-A51F62F0C9B3}"/>
  </bookViews>
  <sheets>
    <sheet name="Sheet0" sheetId="1" r:id="rId1"/>
    <sheet name="clean sheet" sheetId="2" r:id="rId2"/>
    <sheet name="Sheet7" sheetId="9" r:id="rId3"/>
    <sheet name="Sheet6" sheetId="8" r:id="rId4"/>
    <sheet name="Sheet4" sheetId="6" r:id="rId5"/>
  </sheets>
  <externalReferences>
    <externalReference r:id="rId6"/>
  </externalReferences>
  <definedNames>
    <definedName name="_xlnm._FilterDatabase" localSheetId="1" hidden="1">'clean sheet'!$A$1:$P$332</definedName>
    <definedName name="_xlnm._FilterDatabase" localSheetId="0" hidden="1">Sheet0!$A$1:$Z$332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9" i="2" l="1"/>
  <c r="H248" i="2"/>
  <c r="H247" i="2"/>
  <c r="H293" i="2"/>
  <c r="H51" i="2"/>
  <c r="H53" i="2"/>
  <c r="H265" i="2"/>
  <c r="H264" i="2"/>
  <c r="H303" i="2"/>
  <c r="H3" i="2"/>
  <c r="H2" i="2"/>
  <c r="H166" i="2"/>
  <c r="H243" i="2"/>
  <c r="H244" i="2"/>
  <c r="H191" i="2"/>
  <c r="H192" i="2"/>
  <c r="H259" i="2"/>
  <c r="H200" i="2"/>
  <c r="H201" i="2"/>
  <c r="H206" i="2"/>
  <c r="H208" i="2"/>
  <c r="H207" i="2"/>
  <c r="H302" i="2"/>
  <c r="H105" i="2"/>
  <c r="H103" i="2"/>
  <c r="H104" i="2"/>
  <c r="H281" i="2"/>
  <c r="H280" i="2"/>
  <c r="H179" i="2"/>
  <c r="H178" i="2"/>
  <c r="H119" i="2"/>
  <c r="H118" i="2"/>
  <c r="H202" i="2"/>
  <c r="H203" i="2"/>
  <c r="H56" i="2"/>
  <c r="H54" i="2"/>
  <c r="H55" i="2"/>
  <c r="H218" i="2"/>
  <c r="H217" i="2"/>
  <c r="H283" i="2"/>
  <c r="H282" i="2"/>
  <c r="H171" i="2"/>
  <c r="H170" i="2"/>
  <c r="H156" i="2"/>
  <c r="H213" i="2"/>
  <c r="H214" i="2"/>
  <c r="H165" i="2"/>
  <c r="H304" i="2"/>
  <c r="H151" i="2"/>
  <c r="H149" i="2"/>
  <c r="H150" i="2"/>
  <c r="H260" i="2"/>
  <c r="H126" i="2"/>
  <c r="H125" i="2"/>
  <c r="H94" i="2"/>
  <c r="H297" i="2"/>
  <c r="H296" i="2"/>
  <c r="H45" i="2"/>
  <c r="H44" i="2"/>
  <c r="H23" i="2"/>
  <c r="H22" i="2"/>
  <c r="H33" i="2"/>
  <c r="H32" i="2"/>
  <c r="H29" i="2"/>
  <c r="H268" i="2"/>
  <c r="H134" i="2"/>
  <c r="H310" i="2"/>
  <c r="H309" i="2"/>
  <c r="H100" i="2"/>
  <c r="H99" i="2"/>
  <c r="H122" i="2"/>
  <c r="H167" i="2"/>
  <c r="H133" i="2"/>
  <c r="H131" i="2"/>
  <c r="H132" i="2"/>
  <c r="H147" i="2"/>
  <c r="H146" i="2"/>
  <c r="H173" i="2"/>
  <c r="H9" i="2"/>
  <c r="H8" i="2"/>
  <c r="H313" i="2"/>
  <c r="H312" i="2"/>
  <c r="H289" i="2"/>
  <c r="H287" i="2"/>
  <c r="H290" i="2"/>
  <c r="H288" i="2"/>
  <c r="H301" i="2"/>
  <c r="H279" i="2"/>
  <c r="H110" i="2"/>
  <c r="H108" i="2"/>
  <c r="H109" i="2"/>
  <c r="H295" i="2"/>
  <c r="H294" i="2"/>
  <c r="H49" i="2"/>
  <c r="H48" i="2"/>
  <c r="H322" i="2"/>
  <c r="H25" i="2"/>
  <c r="H26" i="2"/>
  <c r="H189" i="2"/>
  <c r="H190" i="2"/>
  <c r="H136" i="2"/>
  <c r="H135" i="2"/>
  <c r="H278" i="2"/>
  <c r="H277" i="2"/>
  <c r="H300" i="2"/>
  <c r="H299" i="2"/>
  <c r="H172" i="2"/>
  <c r="H124" i="2"/>
  <c r="H123" i="2"/>
  <c r="H121" i="2"/>
  <c r="H120" i="2"/>
  <c r="H113" i="2"/>
  <c r="H111" i="2"/>
  <c r="H112" i="2"/>
  <c r="H88" i="2"/>
  <c r="H284" i="2"/>
  <c r="H87" i="2"/>
  <c r="H86" i="2"/>
  <c r="H255" i="2"/>
  <c r="H186" i="2"/>
  <c r="H185" i="2"/>
  <c r="H286" i="2"/>
  <c r="H285" i="2"/>
  <c r="H233" i="2"/>
  <c r="H234" i="2"/>
  <c r="H321" i="2"/>
  <c r="H320" i="2"/>
  <c r="H130" i="2"/>
  <c r="H129" i="2"/>
  <c r="H196" i="2"/>
  <c r="H197" i="2"/>
  <c r="H263" i="2"/>
  <c r="H325" i="2"/>
  <c r="H155" i="2"/>
  <c r="H154" i="2"/>
  <c r="H216" i="2"/>
  <c r="H215" i="2"/>
  <c r="H241" i="2"/>
  <c r="H242" i="2"/>
  <c r="H161" i="2"/>
  <c r="H47" i="2"/>
  <c r="H46" i="2"/>
  <c r="H137" i="2"/>
  <c r="H221" i="2"/>
  <c r="H219" i="2"/>
  <c r="H220" i="2"/>
  <c r="H98" i="2"/>
  <c r="H97" i="2"/>
  <c r="H74" i="2"/>
  <c r="H73" i="2"/>
  <c r="H175" i="2"/>
  <c r="H174" i="2"/>
  <c r="H187" i="2"/>
  <c r="H188" i="2"/>
  <c r="H145" i="2"/>
  <c r="H144" i="2"/>
  <c r="H292" i="2"/>
  <c r="H291" i="2"/>
  <c r="H41" i="2"/>
  <c r="H251" i="2"/>
  <c r="H250" i="2"/>
  <c r="H114" i="2"/>
  <c r="H317" i="2"/>
  <c r="H254" i="2"/>
  <c r="H315" i="2"/>
  <c r="H314" i="2"/>
  <c r="H96" i="2"/>
  <c r="H95" i="2"/>
  <c r="H5" i="2"/>
  <c r="H4" i="2"/>
  <c r="H34" i="2"/>
  <c r="H329" i="2"/>
  <c r="H328" i="2"/>
  <c r="H267" i="2"/>
  <c r="H266" i="2"/>
  <c r="H330" i="2"/>
  <c r="H232" i="2"/>
  <c r="H231" i="2"/>
  <c r="H249" i="2"/>
  <c r="H184" i="2"/>
  <c r="H183" i="2"/>
  <c r="H153" i="2"/>
  <c r="H152" i="2"/>
  <c r="H176" i="2"/>
  <c r="H327" i="2"/>
  <c r="H326" i="2"/>
  <c r="H235" i="2"/>
  <c r="H128" i="2"/>
  <c r="H127" i="2"/>
  <c r="H68" i="2"/>
  <c r="H67" i="2"/>
  <c r="H262" i="2"/>
  <c r="H261" i="2"/>
  <c r="H306" i="2"/>
  <c r="H305" i="2"/>
  <c r="H177" i="2"/>
  <c r="H117" i="2"/>
  <c r="H115" i="2"/>
  <c r="H116" i="2"/>
  <c r="H101" i="2"/>
  <c r="H257" i="2"/>
  <c r="H7" i="2"/>
  <c r="H6" i="2"/>
  <c r="H298" i="2"/>
  <c r="H65" i="2"/>
  <c r="H64" i="2"/>
  <c r="H63" i="2"/>
  <c r="H62" i="2"/>
  <c r="H158" i="2"/>
  <c r="H157" i="2"/>
  <c r="H50" i="2"/>
  <c r="H102" i="2"/>
  <c r="H59" i="2"/>
  <c r="H57" i="2"/>
  <c r="H58" i="2"/>
  <c r="H332" i="2"/>
  <c r="H331" i="2"/>
  <c r="H84" i="2"/>
  <c r="H143" i="2"/>
  <c r="H272" i="2"/>
  <c r="H271" i="2"/>
  <c r="H78" i="2"/>
  <c r="H77" i="2"/>
  <c r="H76" i="2"/>
  <c r="H79" i="2"/>
  <c r="H140" i="2"/>
  <c r="H138" i="2"/>
  <c r="H139" i="2"/>
  <c r="H81" i="2"/>
  <c r="H80" i="2"/>
  <c r="H308" i="2"/>
  <c r="H307" i="2"/>
  <c r="H193" i="2"/>
  <c r="H195" i="2"/>
  <c r="H194" i="2"/>
  <c r="H324" i="2"/>
  <c r="H323" i="2"/>
  <c r="H316" i="2"/>
  <c r="H43" i="2"/>
  <c r="H42" i="2"/>
  <c r="H36" i="2"/>
  <c r="H35" i="2"/>
  <c r="H209" i="2"/>
  <c r="H210" i="2"/>
  <c r="H211" i="2"/>
  <c r="H212" i="2"/>
  <c r="H66" i="2"/>
  <c r="H90" i="2"/>
  <c r="H89" i="2"/>
  <c r="H258" i="2"/>
  <c r="H240" i="2"/>
  <c r="H239" i="2"/>
  <c r="H182" i="2"/>
  <c r="H222" i="2"/>
  <c r="H224" i="2"/>
  <c r="H223" i="2"/>
  <c r="H236" i="2"/>
  <c r="H238" i="2"/>
  <c r="H237" i="2"/>
  <c r="H142" i="2"/>
  <c r="H141" i="2"/>
  <c r="H198" i="2"/>
  <c r="H199" i="2"/>
  <c r="H228" i="2"/>
  <c r="H230" i="2"/>
  <c r="H229" i="2"/>
  <c r="H24" i="2"/>
  <c r="H246" i="2"/>
  <c r="H245" i="2"/>
  <c r="H253" i="2"/>
  <c r="H252" i="2"/>
  <c r="H10" i="2"/>
  <c r="H31" i="2"/>
  <c r="H30" i="2"/>
  <c r="H93" i="2"/>
  <c r="H91" i="2"/>
  <c r="H92" i="2"/>
  <c r="H107" i="2"/>
  <c r="H106" i="2"/>
  <c r="H19" i="2"/>
  <c r="H13" i="2"/>
  <c r="H20" i="2"/>
  <c r="H14" i="2"/>
  <c r="H21" i="2"/>
  <c r="H15" i="2"/>
  <c r="H16" i="2"/>
  <c r="H17" i="2"/>
  <c r="H18" i="2"/>
  <c r="H225" i="2"/>
  <c r="H227" i="2"/>
  <c r="H226" i="2"/>
  <c r="H85" i="2"/>
  <c r="H162" i="2"/>
  <c r="H311" i="2"/>
  <c r="H28" i="2"/>
  <c r="H27" i="2"/>
  <c r="H83" i="2"/>
  <c r="H82" i="2"/>
  <c r="H164" i="2"/>
  <c r="H163" i="2"/>
  <c r="H40" i="2"/>
  <c r="H61" i="2"/>
  <c r="H60" i="2"/>
  <c r="H181" i="2"/>
  <c r="H180" i="2"/>
  <c r="H319" i="2"/>
  <c r="H318" i="2"/>
  <c r="H52" i="2"/>
  <c r="H256" i="2"/>
  <c r="H148" i="2"/>
  <c r="H275" i="2"/>
  <c r="H273" i="2"/>
  <c r="H276" i="2"/>
  <c r="H274" i="2"/>
  <c r="H270" i="2"/>
  <c r="H269" i="2"/>
  <c r="H168" i="2"/>
  <c r="H39" i="2"/>
  <c r="H37" i="2"/>
  <c r="H38" i="2"/>
  <c r="H12" i="2"/>
  <c r="H11" i="2"/>
  <c r="H160" i="2"/>
  <c r="H159" i="2"/>
  <c r="H204" i="2"/>
  <c r="H205" i="2"/>
  <c r="H72" i="2"/>
  <c r="H71" i="2"/>
  <c r="H169" i="2"/>
  <c r="H75" i="2"/>
  <c r="H70" i="2"/>
  <c r="B1" i="8" a="1"/>
  <c r="B1" i="8" s="1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1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<sst xmlns="http://schemas.openxmlformats.org/spreadsheetml/2006/main" count="10255" uniqueCount="675">
  <si>
    <t>Carrier Ident.</t>
  </si>
  <si>
    <t>Subsidiary</t>
  </si>
  <si>
    <t>Policy</t>
  </si>
  <si>
    <t>Division</t>
  </si>
  <si>
    <t>Agent / Agency Name</t>
  </si>
  <si>
    <t>Policyholder</t>
  </si>
  <si>
    <t>Benefit</t>
  </si>
  <si>
    <t>Premium Due Date</t>
  </si>
  <si>
    <t>Premium Paid Date</t>
  </si>
  <si>
    <t>Premium Billed</t>
  </si>
  <si>
    <t>Policy / Division Effective Date</t>
  </si>
  <si>
    <t>Agent / Agency ID</t>
  </si>
  <si>
    <t>Commission</t>
  </si>
  <si>
    <t>Writing Agent Name</t>
  </si>
  <si>
    <t>Policy Type</t>
  </si>
  <si>
    <t>Override</t>
  </si>
  <si>
    <t>Writing Agent AWN</t>
  </si>
  <si>
    <t>XREF</t>
  </si>
  <si>
    <t>Check Number</t>
  </si>
  <si>
    <t>Check Amount</t>
  </si>
  <si>
    <t>Check Date</t>
  </si>
  <si>
    <t>Payee Name</t>
  </si>
  <si>
    <t>Writing Agency AAN</t>
  </si>
  <si>
    <t>Writing Agency Name</t>
  </si>
  <si>
    <t>Writing Payee AAN</t>
  </si>
  <si>
    <t>Commission Year</t>
  </si>
  <si>
    <t>ALIC</t>
  </si>
  <si>
    <t>10</t>
  </si>
  <si>
    <t>2509</t>
  </si>
  <si>
    <t>MAIN LINE BENEFITS LLC</t>
  </si>
  <si>
    <t>SAMANTHA ALTHOLTZ</t>
  </si>
  <si>
    <t>DEN</t>
  </si>
  <si>
    <t>20251009</t>
  </si>
  <si>
    <t>20251013</t>
  </si>
  <si>
    <t>20221209</t>
  </si>
  <si>
    <t>X1835</t>
  </si>
  <si>
    <t/>
  </si>
  <si>
    <t>Individual</t>
  </si>
  <si>
    <t>847277139</t>
  </si>
  <si>
    <t>0</t>
  </si>
  <si>
    <t>20251020</t>
  </si>
  <si>
    <t>2</t>
  </si>
  <si>
    <t>VIS</t>
  </si>
  <si>
    <t>2511</t>
  </si>
  <si>
    <t>NICOLE WILSON</t>
  </si>
  <si>
    <t>20251015</t>
  </si>
  <si>
    <t>20251017</t>
  </si>
  <si>
    <t>20230615</t>
  </si>
  <si>
    <t>KUCAN,THOMAS*</t>
  </si>
  <si>
    <t>010P1121</t>
  </si>
  <si>
    <t>847368365</t>
  </si>
  <si>
    <t>LSK</t>
  </si>
  <si>
    <t>JEANETTE CIMINERA</t>
  </si>
  <si>
    <t>20230715</t>
  </si>
  <si>
    <t>KOZACHECK,ANNE MARIE*</t>
  </si>
  <si>
    <t>010W7663</t>
  </si>
  <si>
    <t>847380156</t>
  </si>
  <si>
    <t>DENISE CLARKSON</t>
  </si>
  <si>
    <t>20251011</t>
  </si>
  <si>
    <t>20230711</t>
  </si>
  <si>
    <t>847381187</t>
  </si>
  <si>
    <t>HRG</t>
  </si>
  <si>
    <t>TIMOTHY DODSON</t>
  </si>
  <si>
    <t>847382130</t>
  </si>
  <si>
    <t>2512</t>
  </si>
  <si>
    <t>JODY NODGE</t>
  </si>
  <si>
    <t>20230913</t>
  </si>
  <si>
    <t>POWERS,TIMOTHY*</t>
  </si>
  <si>
    <t>0.64</t>
  </si>
  <si>
    <t>010X3704</t>
  </si>
  <si>
    <t>847415696</t>
  </si>
  <si>
    <t>0.33</t>
  </si>
  <si>
    <t>WILLIAM A SCHALLER</t>
  </si>
  <si>
    <t>20251101</t>
  </si>
  <si>
    <t>20240101</t>
  </si>
  <si>
    <t>INSKIPT,DEBORAH,LEE*</t>
  </si>
  <si>
    <t>010X2513</t>
  </si>
  <si>
    <t>847439240</t>
  </si>
  <si>
    <t>NADA HAMOUH</t>
  </si>
  <si>
    <t>20231113</t>
  </si>
  <si>
    <t>LEMON,CATHY*</t>
  </si>
  <si>
    <t>010X6256</t>
  </si>
  <si>
    <t>847456250</t>
  </si>
  <si>
    <t>COURTNEY B FREY</t>
  </si>
  <si>
    <t>20231115</t>
  </si>
  <si>
    <t>0.73</t>
  </si>
  <si>
    <t>847457787</t>
  </si>
  <si>
    <t>0.03</t>
  </si>
  <si>
    <t>NANCY HANNAMAN-STEWART</t>
  </si>
  <si>
    <t>847458035</t>
  </si>
  <si>
    <t>2513</t>
  </si>
  <si>
    <t>NORINE LISCHY</t>
  </si>
  <si>
    <t>20231211</t>
  </si>
  <si>
    <t>847479552</t>
  </si>
  <si>
    <t>CHERYL A PORTER</t>
  </si>
  <si>
    <t>20231213</t>
  </si>
  <si>
    <t>847481424</t>
  </si>
  <si>
    <t>SHARON JOSEPH</t>
  </si>
  <si>
    <t>20231215</t>
  </si>
  <si>
    <t>847482210</t>
  </si>
  <si>
    <t>JEFFREY FRYDMAN</t>
  </si>
  <si>
    <t>20251014</t>
  </si>
  <si>
    <t>20251016</t>
  </si>
  <si>
    <t>20231214</t>
  </si>
  <si>
    <t>STERNER,MURRAY*</t>
  </si>
  <si>
    <t>9WUE</t>
  </si>
  <si>
    <t>847483105</t>
  </si>
  <si>
    <t>SUSAN CHANG</t>
  </si>
  <si>
    <t>847484571</t>
  </si>
  <si>
    <t>TAMMY HEINRENDT</t>
  </si>
  <si>
    <t>20240111</t>
  </si>
  <si>
    <t>847500372</t>
  </si>
  <si>
    <t>ROSEMARY REBEIRO</t>
  </si>
  <si>
    <t>20240115</t>
  </si>
  <si>
    <t>847501615</t>
  </si>
  <si>
    <t>JOEL JOHNSON</t>
  </si>
  <si>
    <t>847501659</t>
  </si>
  <si>
    <t>JAMES J PALUMBI</t>
  </si>
  <si>
    <t>20250912</t>
  </si>
  <si>
    <t>20240112</t>
  </si>
  <si>
    <t>847501771</t>
  </si>
  <si>
    <t>20251012</t>
  </si>
  <si>
    <t>2514</t>
  </si>
  <si>
    <t>DIANA J MOORE</t>
  </si>
  <si>
    <t>20240315</t>
  </si>
  <si>
    <t>847519361</t>
  </si>
  <si>
    <t>JOSEPH WOOD</t>
  </si>
  <si>
    <t>847542956</t>
  </si>
  <si>
    <t>GINA MCDONALD</t>
  </si>
  <si>
    <t>MCCORKLE,MICHELLE*</t>
  </si>
  <si>
    <t>010X5405</t>
  </si>
  <si>
    <t>847545412</t>
  </si>
  <si>
    <t>CHRISTY RUSSEL</t>
  </si>
  <si>
    <t>847545421</t>
  </si>
  <si>
    <t>MARYLYN MUDRICK</t>
  </si>
  <si>
    <t>20240415</t>
  </si>
  <si>
    <t>HOFFMANN,JASON,R*</t>
  </si>
  <si>
    <t>9RA4</t>
  </si>
  <si>
    <t>847567202</t>
  </si>
  <si>
    <t>2515</t>
  </si>
  <si>
    <t>ROBERT WRZENSKI</t>
  </si>
  <si>
    <t>20240515</t>
  </si>
  <si>
    <t>847575588</t>
  </si>
  <si>
    <t>REBECCA L MAYHEW</t>
  </si>
  <si>
    <t>20251001</t>
  </si>
  <si>
    <t>20240601</t>
  </si>
  <si>
    <t>847583055</t>
  </si>
  <si>
    <t>REGINA MCFADDEN</t>
  </si>
  <si>
    <t>20251010</t>
  </si>
  <si>
    <t>20240510</t>
  </si>
  <si>
    <t>847585779</t>
  </si>
  <si>
    <t>ALAN STOCKARD</t>
  </si>
  <si>
    <t>20240611</t>
  </si>
  <si>
    <t>1.46</t>
  </si>
  <si>
    <t>847604578</t>
  </si>
  <si>
    <t>0.05</t>
  </si>
  <si>
    <t>KAREN ASHELFORD</t>
  </si>
  <si>
    <t>20240615</t>
  </si>
  <si>
    <t>847605326</t>
  </si>
  <si>
    <t>WAYNE WILKE</t>
  </si>
  <si>
    <t>20240613</t>
  </si>
  <si>
    <t>RICHTER,ADAM,J*</t>
  </si>
  <si>
    <t>010X4783</t>
  </si>
  <si>
    <t>847606893</t>
  </si>
  <si>
    <t>WYATT V RAYAS</t>
  </si>
  <si>
    <t>20240614</t>
  </si>
  <si>
    <t>TORRES,JOSE*</t>
  </si>
  <si>
    <t>010Y7360</t>
  </si>
  <si>
    <t>847608018</t>
  </si>
  <si>
    <t>JOSE TORRES</t>
  </si>
  <si>
    <t>20251007</t>
  </si>
  <si>
    <t>20240707</t>
  </si>
  <si>
    <t>847621350</t>
  </si>
  <si>
    <t>KAREN LEWIS</t>
  </si>
  <si>
    <t>20240709</t>
  </si>
  <si>
    <t>847621858</t>
  </si>
  <si>
    <t>0.6</t>
  </si>
  <si>
    <t>ROSANNE HANNON</t>
  </si>
  <si>
    <t>847622212</t>
  </si>
  <si>
    <t>VALERIE VAN SHUREN</t>
  </si>
  <si>
    <t>847622294</t>
  </si>
  <si>
    <t>TONIA JEFFERSON STEWART</t>
  </si>
  <si>
    <t>20240710</t>
  </si>
  <si>
    <t>847623417</t>
  </si>
  <si>
    <t>DEBORAH SIMON</t>
  </si>
  <si>
    <t>TAUGNER,CHRISTIAN*</t>
  </si>
  <si>
    <t>010Y7750</t>
  </si>
  <si>
    <t>847623567</t>
  </si>
  <si>
    <t>THOMAS J ORTHEY</t>
  </si>
  <si>
    <t>20240712</t>
  </si>
  <si>
    <t>PORTUGAL,GARY*</t>
  </si>
  <si>
    <t>010Y7987</t>
  </si>
  <si>
    <t>847624866</t>
  </si>
  <si>
    <t>EVAN STINSON</t>
  </si>
  <si>
    <t>20240715</t>
  </si>
  <si>
    <t>847624965</t>
  </si>
  <si>
    <t>ANNA FABIANI</t>
  </si>
  <si>
    <t>SCHUMANN,BARRY,L*</t>
  </si>
  <si>
    <t>010Y7550</t>
  </si>
  <si>
    <t>847625293</t>
  </si>
  <si>
    <t>KAYLIN CLARKSON</t>
  </si>
  <si>
    <t>20240714</t>
  </si>
  <si>
    <t>847625567</t>
  </si>
  <si>
    <t>BARBARA GAIL WULFF</t>
  </si>
  <si>
    <t>20240713</t>
  </si>
  <si>
    <t>847626029</t>
  </si>
  <si>
    <t>2516</t>
  </si>
  <si>
    <t>STEPHEN WUEST</t>
  </si>
  <si>
    <t>20240809</t>
  </si>
  <si>
    <t>DRAPAC,STEPHANIE,E*</t>
  </si>
  <si>
    <t>010Y7738</t>
  </si>
  <si>
    <t>847641072</t>
  </si>
  <si>
    <t>MARIE ST BRUN</t>
  </si>
  <si>
    <t>847641128</t>
  </si>
  <si>
    <t>KATHERINE HERLIHY</t>
  </si>
  <si>
    <t>20240813</t>
  </si>
  <si>
    <t>LISKOVEC,FRANK,E*</t>
  </si>
  <si>
    <t>010Y8394</t>
  </si>
  <si>
    <t>847642225</t>
  </si>
  <si>
    <t>JOHN HERLIHY</t>
  </si>
  <si>
    <t>847642229</t>
  </si>
  <si>
    <t>CLAIRE PENA</t>
  </si>
  <si>
    <t>KINYUA,JARED*</t>
  </si>
  <si>
    <t>010Y7337</t>
  </si>
  <si>
    <t>847642489</t>
  </si>
  <si>
    <t>DARYL HAMILTON</t>
  </si>
  <si>
    <t>847642626</t>
  </si>
  <si>
    <t>RUTH SCHAUB</t>
  </si>
  <si>
    <t>20250913</t>
  </si>
  <si>
    <t>MAX,RONALD,JOSEPH*</t>
  </si>
  <si>
    <t>010Z0026</t>
  </si>
  <si>
    <t>847642801</t>
  </si>
  <si>
    <t>JENNIFER ROBSON</t>
  </si>
  <si>
    <t>20240814</t>
  </si>
  <si>
    <t>ABDUL,SAADIA,S*</t>
  </si>
  <si>
    <t>010Y7357</t>
  </si>
  <si>
    <t>847642951</t>
  </si>
  <si>
    <t>JIETONG FU</t>
  </si>
  <si>
    <t>847642958</t>
  </si>
  <si>
    <t>TIKO TRUESDALE</t>
  </si>
  <si>
    <t>847643323</t>
  </si>
  <si>
    <t>BEATRIX EDELENBOS</t>
  </si>
  <si>
    <t>20240915</t>
  </si>
  <si>
    <t>847656122</t>
  </si>
  <si>
    <t>SAMUEL MORTIMER</t>
  </si>
  <si>
    <t>20240910</t>
  </si>
  <si>
    <t>847657667</t>
  </si>
  <si>
    <t>ROBERTA LYNNE DOWDY</t>
  </si>
  <si>
    <t>20240911</t>
  </si>
  <si>
    <t>847658279</t>
  </si>
  <si>
    <t>REAGAN SHELLY</t>
  </si>
  <si>
    <t>20240912</t>
  </si>
  <si>
    <t>847658558</t>
  </si>
  <si>
    <t>KEN MIFFLIN</t>
  </si>
  <si>
    <t>847659475</t>
  </si>
  <si>
    <t>SPENCER MACINTOSH</t>
  </si>
  <si>
    <t>20241001</t>
  </si>
  <si>
    <t>847661403</t>
  </si>
  <si>
    <t>D'MARC S WEIR</t>
  </si>
  <si>
    <t>20241012</t>
  </si>
  <si>
    <t>847664484</t>
  </si>
  <si>
    <t>DAVONE CHANDLER</t>
  </si>
  <si>
    <t>20241009</t>
  </si>
  <si>
    <t>847671276</t>
  </si>
  <si>
    <t>MARY LOISELLE</t>
  </si>
  <si>
    <t>20241010</t>
  </si>
  <si>
    <t>FOLEY,CAROL*</t>
  </si>
  <si>
    <t>010W3203</t>
  </si>
  <si>
    <t>847674151</t>
  </si>
  <si>
    <t>RAFFAELA M BERGSTROM</t>
  </si>
  <si>
    <t>847674164</t>
  </si>
  <si>
    <t>CHARYL CAPUANO</t>
  </si>
  <si>
    <t>20241011</t>
  </si>
  <si>
    <t>847674381</t>
  </si>
  <si>
    <t>KAREN KUNKEL</t>
  </si>
  <si>
    <t>847675044</t>
  </si>
  <si>
    <t>WILLIAM ULRICH</t>
  </si>
  <si>
    <t>847675089</t>
  </si>
  <si>
    <t>DWANA DAY</t>
  </si>
  <si>
    <t>20250901</t>
  </si>
  <si>
    <t>20241101</t>
  </si>
  <si>
    <t>847681006</t>
  </si>
  <si>
    <t>2518</t>
  </si>
  <si>
    <t>DAVID C PAN</t>
  </si>
  <si>
    <t>20250703</t>
  </si>
  <si>
    <t>20241103</t>
  </si>
  <si>
    <t>HUNSBERGER,ANTHONY,J*</t>
  </si>
  <si>
    <t>010Y8689</t>
  </si>
  <si>
    <t>847688042</t>
  </si>
  <si>
    <t>1</t>
  </si>
  <si>
    <t>BRENDA RIPLEY</t>
  </si>
  <si>
    <t>20241115</t>
  </si>
  <si>
    <t>847688971</t>
  </si>
  <si>
    <t>JANE NENE</t>
  </si>
  <si>
    <t>20241111</t>
  </si>
  <si>
    <t>2.54</t>
  </si>
  <si>
    <t>847693793</t>
  </si>
  <si>
    <t>0.11</t>
  </si>
  <si>
    <t>LOURDEZ THOMPSON</t>
  </si>
  <si>
    <t>GESKE,HEATHER,MARIE*</t>
  </si>
  <si>
    <t>010Y8170</t>
  </si>
  <si>
    <t>847693818</t>
  </si>
  <si>
    <t>SAMUEL J SACK</t>
  </si>
  <si>
    <t>AGUGLIA,SCOTT,CHRISTOPHER*</t>
  </si>
  <si>
    <t>010X4566</t>
  </si>
  <si>
    <t>847694115</t>
  </si>
  <si>
    <t>JAGDEEP SINGH LABANA</t>
  </si>
  <si>
    <t>847694336</t>
  </si>
  <si>
    <t>JENNIFER DEVOS</t>
  </si>
  <si>
    <t>20241112</t>
  </si>
  <si>
    <t>847694565</t>
  </si>
  <si>
    <t>COLBY CELMER</t>
  </si>
  <si>
    <t>847694774</t>
  </si>
  <si>
    <t>LUCY ARMFIELD MAYE</t>
  </si>
  <si>
    <t>YALE,JACOB,D*</t>
  </si>
  <si>
    <t>010Y7753</t>
  </si>
  <si>
    <t>847695066</t>
  </si>
  <si>
    <t>REBECCA GAZDA</t>
  </si>
  <si>
    <t>20241113</t>
  </si>
  <si>
    <t>847695750</t>
  </si>
  <si>
    <t>DANIEL COVINGTON</t>
  </si>
  <si>
    <t>847696298</t>
  </si>
  <si>
    <t>RACHEAL ROTH</t>
  </si>
  <si>
    <t>847697503</t>
  </si>
  <si>
    <t>MICHAEL MALONE</t>
  </si>
  <si>
    <t>20250714</t>
  </si>
  <si>
    <t>20241114</t>
  </si>
  <si>
    <t>847697779</t>
  </si>
  <si>
    <t>AARON M YARACS</t>
  </si>
  <si>
    <t>20250115</t>
  </si>
  <si>
    <t>2.23</t>
  </si>
  <si>
    <t>847703321</t>
  </si>
  <si>
    <t>1.14</t>
  </si>
  <si>
    <t>KERRY J SCHMITT</t>
  </si>
  <si>
    <t>20241215</t>
  </si>
  <si>
    <t>847718607</t>
  </si>
  <si>
    <t>DAVID PIEPRZNY</t>
  </si>
  <si>
    <t>20241210</t>
  </si>
  <si>
    <t>847719945</t>
  </si>
  <si>
    <t>CONSTANCE RAPPAPORT</t>
  </si>
  <si>
    <t>20241211</t>
  </si>
  <si>
    <t>CALTAGIRONE,RYAN,J*</t>
  </si>
  <si>
    <t>010Y7359</t>
  </si>
  <si>
    <t>847721205</t>
  </si>
  <si>
    <t>RICHARD HAWKINSON</t>
  </si>
  <si>
    <t>20241212</t>
  </si>
  <si>
    <t>847722628</t>
  </si>
  <si>
    <t>MARY KASS</t>
  </si>
  <si>
    <t>WALENGA,DALE,JON*</t>
  </si>
  <si>
    <t>010Z0027</t>
  </si>
  <si>
    <t>847723138</t>
  </si>
  <si>
    <t>JENNIFER KELEGHAN</t>
  </si>
  <si>
    <t>847723178</t>
  </si>
  <si>
    <t>MELISSA BRADLEY</t>
  </si>
  <si>
    <t>PARDUE,THOMAS,D*</t>
  </si>
  <si>
    <t>9J0V</t>
  </si>
  <si>
    <t>847723420</t>
  </si>
  <si>
    <t>RICHARD SMITH</t>
  </si>
  <si>
    <t>20241213</t>
  </si>
  <si>
    <t>847723600</t>
  </si>
  <si>
    <t>VINCE MACCARELLI</t>
  </si>
  <si>
    <t>847723950</t>
  </si>
  <si>
    <t>BRYAN JACKSON</t>
  </si>
  <si>
    <t>847724123</t>
  </si>
  <si>
    <t>ALEXIS DAVIS</t>
  </si>
  <si>
    <t>847724819</t>
  </si>
  <si>
    <t>LAURITS SCHLESS</t>
  </si>
  <si>
    <t>20241214</t>
  </si>
  <si>
    <t>847725096</t>
  </si>
  <si>
    <t>DARIN GAMBRILL</t>
  </si>
  <si>
    <t>20250101</t>
  </si>
  <si>
    <t>847732388</t>
  </si>
  <si>
    <t>2519</t>
  </si>
  <si>
    <t>KYLIE MARIE GRAY</t>
  </si>
  <si>
    <t>20250109</t>
  </si>
  <si>
    <t>847744560</t>
  </si>
  <si>
    <t>ANAGEN WOOD</t>
  </si>
  <si>
    <t>847744636</t>
  </si>
  <si>
    <t>ELIZABETH DUERKSEN</t>
  </si>
  <si>
    <t>847744662</t>
  </si>
  <si>
    <t>STACY M MARANO</t>
  </si>
  <si>
    <t>20250113</t>
  </si>
  <si>
    <t>847744984</t>
  </si>
  <si>
    <t>BARBARA L GERSTEL</t>
  </si>
  <si>
    <t>847745336</t>
  </si>
  <si>
    <t>DANIEL NOBILE</t>
  </si>
  <si>
    <t>20250110</t>
  </si>
  <si>
    <t>YALE,RICHARD,A*</t>
  </si>
  <si>
    <t>010Y7690</t>
  </si>
  <si>
    <t>847745522</t>
  </si>
  <si>
    <t>IRENE SNYDER</t>
  </si>
  <si>
    <t>20250111</t>
  </si>
  <si>
    <t>847746079</t>
  </si>
  <si>
    <t>CHERYL LYNNE BOWSER</t>
  </si>
  <si>
    <t>847746817</t>
  </si>
  <si>
    <t>MATTHEW ROTHMAN</t>
  </si>
  <si>
    <t>847747294</t>
  </si>
  <si>
    <t>HANH HUYNH</t>
  </si>
  <si>
    <t>20250114</t>
  </si>
  <si>
    <t>847747974</t>
  </si>
  <si>
    <t>DIANE LUKAS</t>
  </si>
  <si>
    <t>847748111</t>
  </si>
  <si>
    <t>ERIC HATCHER</t>
  </si>
  <si>
    <t>847748288</t>
  </si>
  <si>
    <t>AHMAD MILLER</t>
  </si>
  <si>
    <t>847749793</t>
  </si>
  <si>
    <t>TYE GIBSON</t>
  </si>
  <si>
    <t>847750006</t>
  </si>
  <si>
    <t>TERRY KILBY</t>
  </si>
  <si>
    <t>847750167</t>
  </si>
  <si>
    <t>ROSARY WISNOM</t>
  </si>
  <si>
    <t>847750261</t>
  </si>
  <si>
    <t>JAMIE HEFFLER</t>
  </si>
  <si>
    <t>20250916</t>
  </si>
  <si>
    <t>20250116</t>
  </si>
  <si>
    <t>847750497</t>
  </si>
  <si>
    <t>BARBARA J KEEFE</t>
  </si>
  <si>
    <t>20250310</t>
  </si>
  <si>
    <t>847752291</t>
  </si>
  <si>
    <t>CYNTHIA HARRISON</t>
  </si>
  <si>
    <t>20250312</t>
  </si>
  <si>
    <t>847791251</t>
  </si>
  <si>
    <t>BARBARA POTTER</t>
  </si>
  <si>
    <t>20250313</t>
  </si>
  <si>
    <t>LUSE,ALISON,L*</t>
  </si>
  <si>
    <t>010H7397</t>
  </si>
  <si>
    <t>847791695</t>
  </si>
  <si>
    <t>DOUGLAS KAY</t>
  </si>
  <si>
    <t>847791909</t>
  </si>
  <si>
    <t>2520</t>
  </si>
  <si>
    <t>MARY KATHLEEN SCOTT</t>
  </si>
  <si>
    <t>20250415</t>
  </si>
  <si>
    <t>847805744</t>
  </si>
  <si>
    <t>AUSTIN AWES</t>
  </si>
  <si>
    <t>20250414</t>
  </si>
  <si>
    <t>5.08</t>
  </si>
  <si>
    <t>847809424</t>
  </si>
  <si>
    <t>0.19</t>
  </si>
  <si>
    <t>SHERRI LIPOVSIK</t>
  </si>
  <si>
    <t>20250409</t>
  </si>
  <si>
    <t>847811254</t>
  </si>
  <si>
    <t>MONIA LEDBETTER</t>
  </si>
  <si>
    <t>20250411</t>
  </si>
  <si>
    <t>847813153</t>
  </si>
  <si>
    <t>CATHY L LEMON</t>
  </si>
  <si>
    <t>847813695</t>
  </si>
  <si>
    <t>VICKI LYNN ELLIS</t>
  </si>
  <si>
    <t>847814489</t>
  </si>
  <si>
    <t>ROBERT POLETYNSKI</t>
  </si>
  <si>
    <t>847815285</t>
  </si>
  <si>
    <t>ROLF BLAIR</t>
  </si>
  <si>
    <t>847815387</t>
  </si>
  <si>
    <t>ERIC MILTON WAGNER</t>
  </si>
  <si>
    <t>20250515</t>
  </si>
  <si>
    <t>847822480</t>
  </si>
  <si>
    <t>WINNETTE TAPPIN</t>
  </si>
  <si>
    <t>20250509</t>
  </si>
  <si>
    <t>OLIVER,BRITTANY*</t>
  </si>
  <si>
    <t>010Z8933</t>
  </si>
  <si>
    <t>847826267</t>
  </si>
  <si>
    <t>KAYLYN GIARDINA</t>
  </si>
  <si>
    <t>847832528</t>
  </si>
  <si>
    <t>ANTONIO BOSTON</t>
  </si>
  <si>
    <t>20250510</t>
  </si>
  <si>
    <t>847832573</t>
  </si>
  <si>
    <t>JAMES FRIEDEN</t>
  </si>
  <si>
    <t>PORTUGAL,STACEY,A*</t>
  </si>
  <si>
    <t>010Y7990</t>
  </si>
  <si>
    <t>847833620</t>
  </si>
  <si>
    <t>PAULENE KELLAM</t>
  </si>
  <si>
    <t>20250511</t>
  </si>
  <si>
    <t>847833773</t>
  </si>
  <si>
    <t>KURT JOHNSON</t>
  </si>
  <si>
    <t>20250513</t>
  </si>
  <si>
    <t>847834098</t>
  </si>
  <si>
    <t>DEBRA GELFO</t>
  </si>
  <si>
    <t>DEATON,PAMELA,SUE*</t>
  </si>
  <si>
    <t>010Y7689</t>
  </si>
  <si>
    <t>847834369</t>
  </si>
  <si>
    <t>BEN WILDAVSKY</t>
  </si>
  <si>
    <t>847834755</t>
  </si>
  <si>
    <t>JESSE ARNOLD</t>
  </si>
  <si>
    <t>847836029</t>
  </si>
  <si>
    <t>AUDREY SCURTO</t>
  </si>
  <si>
    <t>847836300</t>
  </si>
  <si>
    <t>LAURIE S ROVELL</t>
  </si>
  <si>
    <t>847836508</t>
  </si>
  <si>
    <t>HAILEY PETERS</t>
  </si>
  <si>
    <t>20250801</t>
  </si>
  <si>
    <t>20250601</t>
  </si>
  <si>
    <t>847846658</t>
  </si>
  <si>
    <t>CRISTINA ARIAS</t>
  </si>
  <si>
    <t>20251006</t>
  </si>
  <si>
    <t>20250606</t>
  </si>
  <si>
    <t>SHULMAN,JAKE,P*</t>
  </si>
  <si>
    <t>010Z8765</t>
  </si>
  <si>
    <t>847852790</t>
  </si>
  <si>
    <t>LENA PAULETTE PITTS</t>
  </si>
  <si>
    <t>20250609</t>
  </si>
  <si>
    <t>847853332</t>
  </si>
  <si>
    <t>GARY MCCLYMONDS</t>
  </si>
  <si>
    <t>20250610</t>
  </si>
  <si>
    <t>847854008</t>
  </si>
  <si>
    <t>PAUL SCOTT YOST</t>
  </si>
  <si>
    <t>20250611</t>
  </si>
  <si>
    <t>847855449</t>
  </si>
  <si>
    <t>DAVID SLATTON</t>
  </si>
  <si>
    <t>20250612</t>
  </si>
  <si>
    <t>847855633</t>
  </si>
  <si>
    <t>YVONNE CORIO</t>
  </si>
  <si>
    <t>847855867</t>
  </si>
  <si>
    <t>2521</t>
  </si>
  <si>
    <t>LEANNA D WILSON</t>
  </si>
  <si>
    <t>20250614</t>
  </si>
  <si>
    <t>SMITH,MARGARET,K*</t>
  </si>
  <si>
    <t>010Z6652</t>
  </si>
  <si>
    <t>847857425</t>
  </si>
  <si>
    <t>THOMAS ROBERTS</t>
  </si>
  <si>
    <t>847857499</t>
  </si>
  <si>
    <t>DWAYNE RUDDOCK</t>
  </si>
  <si>
    <t>20250711</t>
  </si>
  <si>
    <t>847873620</t>
  </si>
  <si>
    <t>ANTONIO MEGLIO</t>
  </si>
  <si>
    <t>847873837</t>
  </si>
  <si>
    <t>NATHAN BUHRER</t>
  </si>
  <si>
    <t>847874096</t>
  </si>
  <si>
    <t>JEREMY L KEENE</t>
  </si>
  <si>
    <t>20250712</t>
  </si>
  <si>
    <t>847874347</t>
  </si>
  <si>
    <t>JAMES F DAVIS II</t>
  </si>
  <si>
    <t>847874378</t>
  </si>
  <si>
    <t>BRIAN KOTFIS</t>
  </si>
  <si>
    <t>20250715</t>
  </si>
  <si>
    <t>847875093</t>
  </si>
  <si>
    <t>PENSIONE LAFALAISE</t>
  </si>
  <si>
    <t>847875643</t>
  </si>
  <si>
    <t>ERIC MILLER</t>
  </si>
  <si>
    <t>20250905</t>
  </si>
  <si>
    <t>20250805</t>
  </si>
  <si>
    <t>847889005</t>
  </si>
  <si>
    <t>TYLER DAUBE</t>
  </si>
  <si>
    <t>20250811</t>
  </si>
  <si>
    <t>847890439</t>
  </si>
  <si>
    <t>JOSE PEREZ</t>
  </si>
  <si>
    <t>20250809</t>
  </si>
  <si>
    <t>847891367</t>
  </si>
  <si>
    <t>ANDRE BATTS</t>
  </si>
  <si>
    <t>847891600</t>
  </si>
  <si>
    <t>CHRISTOPHER HOLLEY</t>
  </si>
  <si>
    <t>847891871</t>
  </si>
  <si>
    <t>JUSTIN BISHOP</t>
  </si>
  <si>
    <t>847891938</t>
  </si>
  <si>
    <t>REBECCA HESTER</t>
  </si>
  <si>
    <t>20250812</t>
  </si>
  <si>
    <t>1.27</t>
  </si>
  <si>
    <t>847892578</t>
  </si>
  <si>
    <t>0.65</t>
  </si>
  <si>
    <t>NOLAN MCLEOD</t>
  </si>
  <si>
    <t>GARNETT,MICHAEL*</t>
  </si>
  <si>
    <t>010A2428</t>
  </si>
  <si>
    <t>847892610</t>
  </si>
  <si>
    <t>PATRICK FRANCO</t>
  </si>
  <si>
    <t>20250813</t>
  </si>
  <si>
    <t>847893830</t>
  </si>
  <si>
    <t>SHERI REEDY</t>
  </si>
  <si>
    <t>847893862</t>
  </si>
  <si>
    <t>JUDILYN CAMERON NEE WRAY</t>
  </si>
  <si>
    <t>20251004</t>
  </si>
  <si>
    <t>20250904</t>
  </si>
  <si>
    <t>847905765</t>
  </si>
  <si>
    <t>TAYLOY RALPH</t>
  </si>
  <si>
    <t>847905988</t>
  </si>
  <si>
    <t>MATTHEW BERRY</t>
  </si>
  <si>
    <t>20250910</t>
  </si>
  <si>
    <t>847908080</t>
  </si>
  <si>
    <t>THOMAS STEPHENSON</t>
  </si>
  <si>
    <t>20250909</t>
  </si>
  <si>
    <t>847908320</t>
  </si>
  <si>
    <t>SHARON WALLS</t>
  </si>
  <si>
    <t>847908536</t>
  </si>
  <si>
    <t>ALBA LUISA MORETA MONTERO</t>
  </si>
  <si>
    <t>847908646</t>
  </si>
  <si>
    <t>KENNETH J ZACH</t>
  </si>
  <si>
    <t>2.9</t>
  </si>
  <si>
    <t>847908767</t>
  </si>
  <si>
    <t>0.79</t>
  </si>
  <si>
    <t>SHAINA ESTES</t>
  </si>
  <si>
    <t>847908849</t>
  </si>
  <si>
    <t>SERAH THUO</t>
  </si>
  <si>
    <t>847909092</t>
  </si>
  <si>
    <t>ALECIA ROTUNNO</t>
  </si>
  <si>
    <t>20250915</t>
  </si>
  <si>
    <t>847909315</t>
  </si>
  <si>
    <t>ROSALIE PARKER</t>
  </si>
  <si>
    <t>20250911</t>
  </si>
  <si>
    <t>847909464</t>
  </si>
  <si>
    <t>MICHAEL FILIPPONE</t>
  </si>
  <si>
    <t>847909501</t>
  </si>
  <si>
    <t>COURTNEY MULICA</t>
  </si>
  <si>
    <t>847910615</t>
  </si>
  <si>
    <t>VINCENT THOMAS GREGGO</t>
  </si>
  <si>
    <t>847910928</t>
  </si>
  <si>
    <t>2523</t>
  </si>
  <si>
    <t>KIMMIE DARDAR</t>
  </si>
  <si>
    <t>847916364</t>
  </si>
  <si>
    <t>AUSTIN FOX</t>
  </si>
  <si>
    <t>GREEN,DANNA*</t>
  </si>
  <si>
    <t>010A1406</t>
  </si>
  <si>
    <t>847923425</t>
  </si>
  <si>
    <t>SIMON WANGARI</t>
  </si>
  <si>
    <t>847924007</t>
  </si>
  <si>
    <t>OMOBOLANLE O ADEWUMI</t>
  </si>
  <si>
    <t>847924810</t>
  </si>
  <si>
    <t>ELIZABETH A RANKINE</t>
  </si>
  <si>
    <t>847925072</t>
  </si>
  <si>
    <t>JOSEPH A WILLIAMS</t>
  </si>
  <si>
    <t>847925229</t>
  </si>
  <si>
    <t>DEIRDRE E LAUGHLIN</t>
  </si>
  <si>
    <t>847925996</t>
  </si>
  <si>
    <t>JOHN KLEER</t>
  </si>
  <si>
    <t>847926169</t>
  </si>
  <si>
    <t>499904</t>
  </si>
  <si>
    <t>RON MAGDELINIC</t>
  </si>
  <si>
    <t>20180315</t>
  </si>
  <si>
    <t>0943146611</t>
  </si>
  <si>
    <t>Mainline Benefits</t>
  </si>
  <si>
    <t>months</t>
  </si>
  <si>
    <t>Agent ID</t>
  </si>
  <si>
    <t>SAADIA ABDUL</t>
  </si>
  <si>
    <t>PAMELA DEATON</t>
  </si>
  <si>
    <t>CAROL FOLEY</t>
  </si>
  <si>
    <t>MICHAEL GARNETT</t>
  </si>
  <si>
    <t>DANNA GREEN</t>
  </si>
  <si>
    <t>ANTHONY HUNSBERGER</t>
  </si>
  <si>
    <t>DEBORAH INSKIPT</t>
  </si>
  <si>
    <t>JARED KINYUA</t>
  </si>
  <si>
    <t>ANNE MARIE KOZACHECK</t>
  </si>
  <si>
    <t>THOMAS KUCAN</t>
  </si>
  <si>
    <t>CATHY LEMON</t>
  </si>
  <si>
    <t>ALISON LUSE</t>
  </si>
  <si>
    <t>RONALD MAX</t>
  </si>
  <si>
    <t>MICHELLE MCCORKLE</t>
  </si>
  <si>
    <t>BRITTANY OLIVER</t>
  </si>
  <si>
    <t>THOMAS PARDUE</t>
  </si>
  <si>
    <t>GARY PORTUGAL</t>
  </si>
  <si>
    <t>STACEY PORTUGAL</t>
  </si>
  <si>
    <t>ADAM RICHTER</t>
  </si>
  <si>
    <t>JAKE SHULMAN</t>
  </si>
  <si>
    <t>MARGARET SMITH</t>
  </si>
  <si>
    <t>MURRAY STERNER</t>
  </si>
  <si>
    <t>CHRISTIAN TAUGNER</t>
  </si>
  <si>
    <t>DALE WALENGA</t>
  </si>
  <si>
    <t>SCOTT AGUGLIA</t>
  </si>
  <si>
    <t>JACOB YALE</t>
  </si>
  <si>
    <t>RICHARD YALE</t>
  </si>
  <si>
    <t>RYAN CALTAGIRONE</t>
  </si>
  <si>
    <t>HEATHER GESKE</t>
  </si>
  <si>
    <t>STEPHANIE DRAPAC</t>
  </si>
  <si>
    <t>FRANK LISKOVEC</t>
  </si>
  <si>
    <t>BARRY SCHUMANN</t>
  </si>
  <si>
    <t>JASON HOFFMANN</t>
  </si>
  <si>
    <t>Main line benefits</t>
  </si>
  <si>
    <t>17554531AV8</t>
  </si>
  <si>
    <t>16849453AV8</t>
  </si>
  <si>
    <t>18201929AV8</t>
  </si>
  <si>
    <t>19279958AV8</t>
  </si>
  <si>
    <t>PAYMODE</t>
  </si>
  <si>
    <t>AV</t>
  </si>
  <si>
    <t>AV1</t>
  </si>
  <si>
    <t>AE</t>
  </si>
  <si>
    <t>PRODUCT</t>
  </si>
  <si>
    <t>Ameritas OVR</t>
  </si>
  <si>
    <t>Ameritas D&amp;V Before 7-17-24</t>
  </si>
  <si>
    <t>COMM %</t>
  </si>
  <si>
    <t>Ameritas D&amp;V After 7-17-24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</si>
</sst>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2"/>
      <name val="Calibri"/>
      <family val="2"/>
    </font>
    <font>
      <b/>
      <sz val="12"/>
      <name val="Calibri"/>
      <family val="2"/>
    </font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NumberFormat="1" applyFont="1"/>
    <xf numFmtId="14" fontId="0" fillId="0" borderId="0" xfId="0" applyNumberFormat="1"/>
    <xf numFmtId="0" fontId="0" fillId="0" borderId="0" xfId="0" applyNumberFormat="1"/>
    <xf numFmtId="0" fontId="1" fillId="2" borderId="0" xfId="0" applyFont="1" applyFill="1"/>
    <xf numFmtId="0" fontId="1" fillId="2" borderId="0" xfId="0" applyNumberFormat="1" applyFont="1" applyFill="1"/>
    <xf numFmtId="0" fontId="0" fillId="2" borderId="0" xfId="0" applyFill="1"/>
    <xf numFmtId="0" fontId="4" fillId="0" borderId="0" xfId="0" applyFont="1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0" fillId="0" borderId="0" xfId="0" applyFill="1"/>
    <xf numFmtId="0" fontId="2" fillId="0" borderId="0" xfId="0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1" fillId="2" borderId="0" xfId="0" applyNumberFormat="1" applyFont="1" applyFill="1" applyAlignment="1">
      <alignment horizontal="left"/>
    </xf>
    <xf numFmtId="9" fontId="0" fillId="0" borderId="0" xfId="1" applyFont="1" applyFill="1" applyAlignment="1">
      <alignment horizontal="left"/>
    </xf>
    <xf numFmtId="0" fontId="1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14" fontId="1" fillId="3" borderId="0" xfId="0" applyNumberFormat="1" applyFont="1" applyFill="1" applyAlignment="1">
      <alignment horizontal="left"/>
    </xf>
    <xf numFmtId="0" fontId="1" fillId="3" borderId="0" xfId="0" applyNumberFormat="1" applyFont="1" applyFill="1" applyAlignment="1">
      <alignment horizontal="left"/>
    </xf>
    <xf numFmtId="14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horizontal="left"/>
    </xf>
  </cellXfs>
  <cellStyles count="2">
    <cellStyle name="Normal" xfId="0" builtinId="0"/>
    <cellStyle name="Percent" xfId="1" builtinId="5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lbenefitsco-my.sharepoint.com/personal/jpatel_mlbenefitsco_com/Documents/Desktop/commissions/agent%20roster%20as%20of%207-16-25.xlsx" TargetMode="External"/><Relationship Id="rId1" Type="http://schemas.openxmlformats.org/officeDocument/2006/relationships/externalLinkPath" Target="https://mlbenefitsco-my.sharepoint.com/personal/jpatel_mlbenefitsco_com/Documents/Desktop/commissions/agent%20roster%20as%20of%207-16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inactive"/>
    </sheetNames>
    <sheetDataSet>
      <sheetData sheetId="0" refreshError="1"/>
      <sheetData sheetId="1">
        <row r="1">
          <cell r="A1" t="str">
            <v>Abbie  Hall</v>
          </cell>
        </row>
        <row r="2">
          <cell r="A2" t="str">
            <v>Adam Richter</v>
          </cell>
          <cell r="B2">
            <v>9079571</v>
          </cell>
        </row>
        <row r="3">
          <cell r="A3" t="str">
            <v>Ahmad Hassan</v>
          </cell>
          <cell r="B3">
            <v>2173482</v>
          </cell>
        </row>
        <row r="4">
          <cell r="A4" t="str">
            <v>Aidan  Barber</v>
          </cell>
          <cell r="B4">
            <v>20769090</v>
          </cell>
        </row>
        <row r="5">
          <cell r="A5" t="str">
            <v>Alan Cousar</v>
          </cell>
          <cell r="B5">
            <v>9544903</v>
          </cell>
        </row>
        <row r="6">
          <cell r="A6" t="str">
            <v>Alison Luse</v>
          </cell>
          <cell r="B6">
            <v>9254978</v>
          </cell>
        </row>
        <row r="7">
          <cell r="A7" t="str">
            <v>Ami De Rama</v>
          </cell>
          <cell r="B7">
            <v>5859730</v>
          </cell>
        </row>
        <row r="8">
          <cell r="A8" t="str">
            <v>Anand Munkhbaatar</v>
          </cell>
          <cell r="B8" t="str">
            <v>NA</v>
          </cell>
        </row>
        <row r="9">
          <cell r="A9" t="str">
            <v>Andrea Petrungaro</v>
          </cell>
          <cell r="B9">
            <v>16912722</v>
          </cell>
        </row>
        <row r="10">
          <cell r="A10" t="str">
            <v>Andrew Choi</v>
          </cell>
          <cell r="B10">
            <v>7470776</v>
          </cell>
        </row>
        <row r="11">
          <cell r="A11" t="str">
            <v>Andrew  Goodman</v>
          </cell>
          <cell r="B11">
            <v>593918</v>
          </cell>
        </row>
        <row r="12">
          <cell r="A12" t="str">
            <v>Anne Marie Kozacheck</v>
          </cell>
          <cell r="B12">
            <v>19278370</v>
          </cell>
        </row>
        <row r="13">
          <cell r="A13" t="str">
            <v>Anthony Hunsberger</v>
          </cell>
          <cell r="B13">
            <v>7146581</v>
          </cell>
        </row>
        <row r="14">
          <cell r="A14" t="str">
            <v>Antonia Nevaraz</v>
          </cell>
          <cell r="B14">
            <v>21646325</v>
          </cell>
        </row>
        <row r="15">
          <cell r="A15" t="str">
            <v>Arick Martin</v>
          </cell>
          <cell r="B15">
            <v>15707250</v>
          </cell>
        </row>
        <row r="16">
          <cell r="A16" t="str">
            <v>Arnold  Aloff</v>
          </cell>
          <cell r="B16">
            <v>3475518</v>
          </cell>
        </row>
        <row r="17">
          <cell r="A17" t="str">
            <v>Ashley Teipel</v>
          </cell>
          <cell r="B17">
            <v>20436925</v>
          </cell>
        </row>
        <row r="18">
          <cell r="A18" t="str">
            <v>Autumn Pham</v>
          </cell>
          <cell r="B18">
            <v>21704702</v>
          </cell>
        </row>
        <row r="19">
          <cell r="A19" t="str">
            <v>Barry Brenner</v>
          </cell>
          <cell r="B19">
            <v>21348299</v>
          </cell>
        </row>
        <row r="20">
          <cell r="A20" t="str">
            <v>Barry Schumann</v>
          </cell>
          <cell r="B20">
            <v>19586992</v>
          </cell>
        </row>
        <row r="21">
          <cell r="A21" t="str">
            <v>Brian Raughter</v>
          </cell>
          <cell r="B21">
            <v>18406006</v>
          </cell>
        </row>
        <row r="22">
          <cell r="A22" t="str">
            <v>Brian Strohman</v>
          </cell>
          <cell r="B22">
            <v>21104854</v>
          </cell>
        </row>
        <row r="23">
          <cell r="A23" t="str">
            <v>Brittany Oliver</v>
          </cell>
          <cell r="B23">
            <v>17554531</v>
          </cell>
        </row>
        <row r="24">
          <cell r="A24" t="str">
            <v>Carol Foley</v>
          </cell>
          <cell r="B24">
            <v>17425766</v>
          </cell>
        </row>
        <row r="25">
          <cell r="A25" t="str">
            <v>Carol Fritz</v>
          </cell>
          <cell r="B25">
            <v>19268643</v>
          </cell>
        </row>
        <row r="26">
          <cell r="A26" t="str">
            <v>Carolyn Wilson Smith</v>
          </cell>
          <cell r="B26">
            <v>7387433</v>
          </cell>
        </row>
        <row r="27">
          <cell r="A27" t="str">
            <v>Cassandra McAllister</v>
          </cell>
          <cell r="B27">
            <v>21085517</v>
          </cell>
        </row>
        <row r="28">
          <cell r="A28" t="str">
            <v>Cathy Lemon</v>
          </cell>
          <cell r="B28">
            <v>17195620</v>
          </cell>
        </row>
        <row r="29">
          <cell r="A29" t="str">
            <v>Chad Bender</v>
          </cell>
          <cell r="B29">
            <v>18598357</v>
          </cell>
        </row>
        <row r="30">
          <cell r="A30" t="str">
            <v>Chad Yale</v>
          </cell>
          <cell r="B30">
            <v>20003537</v>
          </cell>
        </row>
        <row r="31">
          <cell r="A31" t="str">
            <v>Cheryl Frazier</v>
          </cell>
          <cell r="B31">
            <v>8499606</v>
          </cell>
        </row>
        <row r="32">
          <cell r="A32" t="str">
            <v>Christian Taugner</v>
          </cell>
          <cell r="B32">
            <v>19681796</v>
          </cell>
        </row>
        <row r="33">
          <cell r="A33" t="str">
            <v>Christopher Brousseau</v>
          </cell>
          <cell r="B33">
            <v>21435997</v>
          </cell>
        </row>
        <row r="34">
          <cell r="A34" t="str">
            <v>Clarissa Powell</v>
          </cell>
          <cell r="B34">
            <v>17785596</v>
          </cell>
        </row>
        <row r="35">
          <cell r="A35" t="str">
            <v>Colleen Finnigan</v>
          </cell>
          <cell r="B35">
            <v>17437820</v>
          </cell>
        </row>
        <row r="36">
          <cell r="A36" t="str">
            <v>Colleen Jerger</v>
          </cell>
          <cell r="B36">
            <v>3333476</v>
          </cell>
        </row>
        <row r="37">
          <cell r="A37" t="str">
            <v>Connor  Green</v>
          </cell>
          <cell r="B37">
            <v>20811434</v>
          </cell>
        </row>
        <row r="38">
          <cell r="A38" t="str">
            <v>Cora Kuykendall</v>
          </cell>
          <cell r="B38">
            <v>22021577</v>
          </cell>
        </row>
        <row r="39">
          <cell r="A39" t="str">
            <v>Curtis Dodd</v>
          </cell>
          <cell r="B39">
            <v>10599300</v>
          </cell>
        </row>
        <row r="40">
          <cell r="A40" t="str">
            <v>Curtis Dean Sparkman</v>
          </cell>
          <cell r="B40">
            <v>21708146</v>
          </cell>
        </row>
        <row r="41">
          <cell r="A41" t="str">
            <v>Dale Walenga</v>
          </cell>
          <cell r="B41">
            <v>8325282</v>
          </cell>
        </row>
        <row r="42">
          <cell r="A42" t="str">
            <v>Danna Green</v>
          </cell>
          <cell r="B42">
            <v>16849453</v>
          </cell>
        </row>
        <row r="43">
          <cell r="A43" t="str">
            <v>Deborah Inskipt</v>
          </cell>
          <cell r="B43">
            <v>17528908</v>
          </cell>
        </row>
        <row r="44">
          <cell r="A44" t="str">
            <v>Deborah Powers</v>
          </cell>
          <cell r="B44">
            <v>19606009</v>
          </cell>
        </row>
        <row r="45">
          <cell r="A45" t="str">
            <v>Dennis Holyn</v>
          </cell>
          <cell r="B45">
            <v>7152559</v>
          </cell>
        </row>
        <row r="46">
          <cell r="A46" t="str">
            <v>Diana Zimmerman</v>
          </cell>
          <cell r="B46">
            <v>17640026</v>
          </cell>
        </row>
        <row r="47">
          <cell r="A47" t="str">
            <v>Dolores Dunbar</v>
          </cell>
          <cell r="B47">
            <v>17774994</v>
          </cell>
        </row>
        <row r="48">
          <cell r="A48" t="str">
            <v xml:space="preserve">Eliseo Tajanlangit </v>
          </cell>
          <cell r="B48">
            <v>18207434</v>
          </cell>
        </row>
        <row r="49">
          <cell r="A49" t="str">
            <v>Erica Solivan</v>
          </cell>
          <cell r="B49">
            <v>21605264</v>
          </cell>
        </row>
        <row r="50">
          <cell r="A50" t="str">
            <v>Esther "Estee" Herrera-Larsen</v>
          </cell>
          <cell r="B50">
            <v>17301495</v>
          </cell>
        </row>
        <row r="51">
          <cell r="A51" t="str">
            <v>Frank Liskovec</v>
          </cell>
          <cell r="B51">
            <v>8814784</v>
          </cell>
        </row>
        <row r="52">
          <cell r="A52" t="str">
            <v>Gary Portugal</v>
          </cell>
          <cell r="B52">
            <v>9213293</v>
          </cell>
        </row>
        <row r="53">
          <cell r="A53" t="str">
            <v>gregory teipel</v>
          </cell>
          <cell r="B53">
            <v>8307933</v>
          </cell>
        </row>
        <row r="54">
          <cell r="A54" t="str">
            <v>Gregg Arenson</v>
          </cell>
          <cell r="B54">
            <v>20776610</v>
          </cell>
        </row>
        <row r="55">
          <cell r="A55" t="str">
            <v>Gregory Hansford</v>
          </cell>
          <cell r="B55">
            <v>17094718</v>
          </cell>
        </row>
        <row r="56">
          <cell r="A56" t="str">
            <v>H Allan</v>
          </cell>
          <cell r="B56">
            <v>8046194</v>
          </cell>
        </row>
        <row r="57">
          <cell r="A57" t="str">
            <v>Heather Geske</v>
          </cell>
          <cell r="B57">
            <v>16865615</v>
          </cell>
        </row>
        <row r="58">
          <cell r="A58" t="str">
            <v>Heidi Berthelsen</v>
          </cell>
          <cell r="B58">
            <v>19617796</v>
          </cell>
        </row>
        <row r="59">
          <cell r="A59" t="str">
            <v>Hilary Bartholomew</v>
          </cell>
          <cell r="B59" t="str">
            <v>NA</v>
          </cell>
        </row>
        <row r="60">
          <cell r="A60" t="str">
            <v>Ines Berg</v>
          </cell>
          <cell r="B60">
            <v>17117649</v>
          </cell>
        </row>
        <row r="61">
          <cell r="A61" t="str">
            <v>Jack  Jerger</v>
          </cell>
          <cell r="B61" t="str">
            <v>NA</v>
          </cell>
        </row>
        <row r="62">
          <cell r="A62" t="str">
            <v>Jacob Yale</v>
          </cell>
          <cell r="B62">
            <v>18754354</v>
          </cell>
        </row>
        <row r="63">
          <cell r="A63" t="str">
            <v>Jake Shulman</v>
          </cell>
          <cell r="B63">
            <v>18201929</v>
          </cell>
        </row>
        <row r="64">
          <cell r="A64" t="str">
            <v>Jalyne Vogel</v>
          </cell>
          <cell r="B64" t="str">
            <v>?</v>
          </cell>
        </row>
        <row r="65">
          <cell r="A65" t="str">
            <v>James Allen</v>
          </cell>
          <cell r="B65">
            <v>17143996</v>
          </cell>
        </row>
        <row r="66">
          <cell r="A66" t="str">
            <v>Jared Kinyua</v>
          </cell>
          <cell r="B66">
            <v>19279958</v>
          </cell>
        </row>
        <row r="67">
          <cell r="A67" t="str">
            <v>Jason Hoffmann</v>
          </cell>
          <cell r="B67">
            <v>15278437</v>
          </cell>
        </row>
        <row r="68">
          <cell r="A68" t="str">
            <v>Jason Roller</v>
          </cell>
          <cell r="B68">
            <v>16228684</v>
          </cell>
        </row>
        <row r="69">
          <cell r="A69" t="str">
            <v>Jeanet Reyes</v>
          </cell>
          <cell r="B69">
            <v>16997303</v>
          </cell>
        </row>
        <row r="70">
          <cell r="A70" t="str">
            <v>Jeffrey Horn</v>
          </cell>
          <cell r="B70">
            <v>2158366</v>
          </cell>
        </row>
        <row r="71">
          <cell r="A71" t="str">
            <v>Jennifer Hess</v>
          </cell>
          <cell r="B71">
            <v>17740520</v>
          </cell>
        </row>
        <row r="72">
          <cell r="A72" t="str">
            <v>Jennifer  Halsaver</v>
          </cell>
          <cell r="B72">
            <v>21564088</v>
          </cell>
        </row>
        <row r="73">
          <cell r="A73" t="str">
            <v>Jennifer  Hunsberger</v>
          </cell>
          <cell r="B73" t="str">
            <v>?</v>
          </cell>
        </row>
        <row r="74">
          <cell r="A74" t="str">
            <v>Jessica Sandifer</v>
          </cell>
          <cell r="B74">
            <v>6115727</v>
          </cell>
        </row>
        <row r="75">
          <cell r="A75" t="str">
            <v>Jill Shepard</v>
          </cell>
          <cell r="B75">
            <v>18142208</v>
          </cell>
        </row>
        <row r="76">
          <cell r="A76" t="str">
            <v>Joel Lee</v>
          </cell>
          <cell r="B76">
            <v>6634327</v>
          </cell>
        </row>
        <row r="77">
          <cell r="A77" t="str">
            <v>John Kelly</v>
          </cell>
          <cell r="B77" t="str">
            <v>working on license</v>
          </cell>
        </row>
        <row r="78">
          <cell r="A78" t="str">
            <v>John Risely</v>
          </cell>
          <cell r="B78">
            <v>20551344</v>
          </cell>
        </row>
        <row r="79">
          <cell r="A79" t="str">
            <v>John Roken</v>
          </cell>
          <cell r="B79">
            <v>18781057</v>
          </cell>
        </row>
        <row r="80">
          <cell r="A80" t="str">
            <v>John Puccio</v>
          </cell>
          <cell r="B80">
            <v>21638421</v>
          </cell>
        </row>
        <row r="81">
          <cell r="A81" t="str">
            <v>John  Karns</v>
          </cell>
          <cell r="B81">
            <v>21128342</v>
          </cell>
        </row>
        <row r="82">
          <cell r="A82" t="str">
            <v>Jonathan Aloff</v>
          </cell>
          <cell r="B82">
            <v>16683808</v>
          </cell>
        </row>
        <row r="83">
          <cell r="A83" t="str">
            <v>Jose Torres</v>
          </cell>
          <cell r="B83">
            <v>20212926</v>
          </cell>
        </row>
        <row r="84">
          <cell r="A84" t="str">
            <v>Joseph Sexton</v>
          </cell>
          <cell r="B84">
            <v>21505953</v>
          </cell>
        </row>
        <row r="85">
          <cell r="A85" t="str">
            <v>Josiah  Luse</v>
          </cell>
          <cell r="B85">
            <v>20405298</v>
          </cell>
        </row>
        <row r="86">
          <cell r="A86" t="str">
            <v>Karen  Flowers</v>
          </cell>
        </row>
        <row r="87">
          <cell r="A87" t="str">
            <v>Kasandra Holland</v>
          </cell>
          <cell r="B87">
            <v>21284072</v>
          </cell>
        </row>
        <row r="88">
          <cell r="A88" t="str">
            <v>Katelan Wick</v>
          </cell>
          <cell r="B88">
            <v>19271047</v>
          </cell>
        </row>
        <row r="89">
          <cell r="A89" t="str">
            <v xml:space="preserve">Katelenn Caltagirone </v>
          </cell>
          <cell r="B89">
            <v>20436896</v>
          </cell>
        </row>
        <row r="90">
          <cell r="A90" t="str">
            <v>Kendall Gillespie</v>
          </cell>
          <cell r="B90">
            <v>21645031</v>
          </cell>
        </row>
        <row r="91">
          <cell r="A91" t="str">
            <v>Kenneth Weitzman</v>
          </cell>
          <cell r="B91">
            <v>17516272</v>
          </cell>
        </row>
        <row r="92">
          <cell r="A92" t="str">
            <v>Kimberly Dickerson</v>
          </cell>
          <cell r="B92">
            <v>16243811</v>
          </cell>
        </row>
        <row r="93">
          <cell r="A93" t="str">
            <v>Kimberly Edwards</v>
          </cell>
          <cell r="B93">
            <v>21128256</v>
          </cell>
        </row>
        <row r="94">
          <cell r="A94" t="str">
            <v>Kimberly Foley</v>
          </cell>
          <cell r="B94">
            <v>21577652</v>
          </cell>
        </row>
        <row r="95">
          <cell r="A95" t="str">
            <v>Kirk Tigue</v>
          </cell>
          <cell r="B95">
            <v>21421111</v>
          </cell>
        </row>
        <row r="96">
          <cell r="A96" t="str">
            <v>LaNeece White</v>
          </cell>
          <cell r="B96">
            <v>13496370</v>
          </cell>
        </row>
        <row r="97">
          <cell r="A97" t="str">
            <v>Latesha Rose</v>
          </cell>
          <cell r="B97">
            <v>21436172</v>
          </cell>
        </row>
        <row r="98">
          <cell r="A98" t="str">
            <v>Laurie Casta</v>
          </cell>
          <cell r="B98">
            <v>20697692</v>
          </cell>
        </row>
        <row r="99">
          <cell r="A99" t="str">
            <v>Leandrus Gaskins</v>
          </cell>
          <cell r="B99">
            <v>19642342</v>
          </cell>
        </row>
        <row r="100">
          <cell r="A100" t="str">
            <v>Lensie Gonzalez</v>
          </cell>
          <cell r="B100">
            <v>17859093</v>
          </cell>
        </row>
        <row r="101">
          <cell r="A101" t="str">
            <v>Linda  Wolfson</v>
          </cell>
          <cell r="B101" t="str">
            <v>NA</v>
          </cell>
        </row>
        <row r="102">
          <cell r="A102" t="str">
            <v>Lori Tunstall</v>
          </cell>
          <cell r="B102">
            <v>18134413</v>
          </cell>
        </row>
        <row r="103">
          <cell r="A103" t="str">
            <v>Luis Ybanez</v>
          </cell>
          <cell r="B103">
            <v>15735937</v>
          </cell>
        </row>
        <row r="104">
          <cell r="A104" t="str">
            <v>Margaret Smith</v>
          </cell>
          <cell r="B104">
            <v>20253958</v>
          </cell>
        </row>
        <row r="105">
          <cell r="A105" t="str">
            <v>Margaret Finnegan</v>
          </cell>
          <cell r="B105">
            <v>19861194</v>
          </cell>
        </row>
        <row r="106">
          <cell r="A106" t="str">
            <v>Marina Obrien</v>
          </cell>
          <cell r="B106">
            <v>16865242</v>
          </cell>
        </row>
        <row r="107">
          <cell r="A107" t="str">
            <v>Marissa Porraz</v>
          </cell>
          <cell r="B107">
            <v>21617661</v>
          </cell>
        </row>
        <row r="108">
          <cell r="A108" t="str">
            <v>Mark Roccia</v>
          </cell>
          <cell r="B108">
            <v>21618313</v>
          </cell>
        </row>
        <row r="109">
          <cell r="A109" t="str">
            <v>Marsha  Sanderock</v>
          </cell>
          <cell r="B109">
            <v>20724564</v>
          </cell>
        </row>
        <row r="110">
          <cell r="A110" t="str">
            <v>matthew daugherty</v>
          </cell>
          <cell r="B110">
            <v>1706194</v>
          </cell>
        </row>
        <row r="111">
          <cell r="A111" t="str">
            <v>Matthew Wasserman</v>
          </cell>
          <cell r="B111">
            <v>21247158</v>
          </cell>
        </row>
        <row r="112">
          <cell r="A112" t="str">
            <v>Matthew Sherman</v>
          </cell>
          <cell r="B112">
            <v>8812322</v>
          </cell>
        </row>
        <row r="113">
          <cell r="A113" t="str">
            <v>Melissa Tatro</v>
          </cell>
          <cell r="B113">
            <v>14177521</v>
          </cell>
        </row>
        <row r="114">
          <cell r="A114" t="str">
            <v>Michael Dunavant</v>
          </cell>
          <cell r="B114">
            <v>18828278</v>
          </cell>
        </row>
        <row r="115">
          <cell r="A115" t="str">
            <v>Michael Foley</v>
          </cell>
          <cell r="B115">
            <v>20995076</v>
          </cell>
        </row>
        <row r="116">
          <cell r="A116" t="str">
            <v>Michael Garnett</v>
          </cell>
          <cell r="B116">
            <v>21222981</v>
          </cell>
        </row>
        <row r="117">
          <cell r="A117" t="str">
            <v>Michael Lutz</v>
          </cell>
          <cell r="B117">
            <v>16751785</v>
          </cell>
        </row>
        <row r="118">
          <cell r="A118" t="str">
            <v>Michael Semprevivo</v>
          </cell>
          <cell r="B118">
            <v>6375605</v>
          </cell>
        </row>
        <row r="119">
          <cell r="A119" t="str">
            <v xml:space="preserve">Michael Wilston </v>
          </cell>
          <cell r="B119">
            <v>20178878</v>
          </cell>
        </row>
        <row r="120">
          <cell r="A120" t="str">
            <v>Michelle Hamel</v>
          </cell>
          <cell r="B120">
            <v>20591229</v>
          </cell>
        </row>
        <row r="121">
          <cell r="A121" t="str">
            <v>Michelle McCorkle</v>
          </cell>
          <cell r="B121">
            <v>18710070</v>
          </cell>
        </row>
        <row r="122">
          <cell r="A122" t="str">
            <v>Murray Sterner</v>
          </cell>
          <cell r="B122">
            <v>16212649</v>
          </cell>
        </row>
        <row r="123">
          <cell r="A123" t="str">
            <v>Nanette Sue Pegors</v>
          </cell>
          <cell r="B123">
            <v>6932235</v>
          </cell>
        </row>
        <row r="124">
          <cell r="A124" t="str">
            <v>Nasandelger Zana</v>
          </cell>
          <cell r="B124">
            <v>20220688</v>
          </cell>
        </row>
        <row r="125">
          <cell r="A125" t="str">
            <v>Nathan Weller</v>
          </cell>
          <cell r="B125">
            <v>19219478</v>
          </cell>
        </row>
        <row r="126">
          <cell r="A126" t="str">
            <v>Nava Livne</v>
          </cell>
          <cell r="B126">
            <v>20552652</v>
          </cell>
        </row>
        <row r="127">
          <cell r="A127" t="str">
            <v>Noah Dionesotes</v>
          </cell>
          <cell r="B127">
            <v>21607778</v>
          </cell>
        </row>
        <row r="128">
          <cell r="A128" t="str">
            <v>Odeny  Fernandez</v>
          </cell>
          <cell r="B128">
            <v>18155813</v>
          </cell>
        </row>
        <row r="129">
          <cell r="A129" t="str">
            <v>Odmaa Enkhtur</v>
          </cell>
          <cell r="B129">
            <v>20999157</v>
          </cell>
        </row>
        <row r="130">
          <cell r="A130" t="str">
            <v>Pamela Deaton</v>
          </cell>
          <cell r="B130">
            <v>8244481</v>
          </cell>
        </row>
        <row r="131">
          <cell r="A131" t="str">
            <v>Patricia  Long</v>
          </cell>
          <cell r="B131">
            <v>18794740</v>
          </cell>
        </row>
        <row r="132">
          <cell r="A132" t="str">
            <v>Patrick Byrne</v>
          </cell>
          <cell r="B132">
            <v>16615811</v>
          </cell>
        </row>
        <row r="133">
          <cell r="A133" t="str">
            <v>Patrick Geske</v>
          </cell>
          <cell r="B133">
            <v>21726248</v>
          </cell>
        </row>
        <row r="134">
          <cell r="A134" t="str">
            <v>Patsamon Thanadabouth</v>
          </cell>
          <cell r="B134">
            <v>8405446</v>
          </cell>
        </row>
        <row r="135">
          <cell r="A135" t="str">
            <v>Paul Berk</v>
          </cell>
          <cell r="B135">
            <v>2048099</v>
          </cell>
        </row>
        <row r="136">
          <cell r="A136" t="str">
            <v>Paul Robinson</v>
          </cell>
          <cell r="B136">
            <v>16983460</v>
          </cell>
        </row>
        <row r="137">
          <cell r="A137" t="str">
            <v>Paul Miller</v>
          </cell>
          <cell r="B137">
            <v>13353571</v>
          </cell>
        </row>
        <row r="138">
          <cell r="A138" t="str">
            <v>Peggy Kolanko</v>
          </cell>
          <cell r="B138">
            <v>1250871</v>
          </cell>
        </row>
        <row r="139">
          <cell r="A139" t="str">
            <v>Peter Elvart</v>
          </cell>
          <cell r="B139">
            <v>6778759</v>
          </cell>
        </row>
        <row r="140">
          <cell r="A140" t="str">
            <v>Peter Richter</v>
          </cell>
          <cell r="B140">
            <v>16509456</v>
          </cell>
        </row>
        <row r="141">
          <cell r="A141" t="str">
            <v>Raluca Cheregi</v>
          </cell>
          <cell r="B141">
            <v>21648482</v>
          </cell>
        </row>
        <row r="142">
          <cell r="A142" t="str">
            <v>Randy Tapper</v>
          </cell>
          <cell r="B142">
            <v>18935660</v>
          </cell>
        </row>
        <row r="143">
          <cell r="A143" t="str">
            <v>Renee Russell</v>
          </cell>
          <cell r="B143" t="str">
            <v>NA</v>
          </cell>
        </row>
        <row r="144">
          <cell r="A144" t="str">
            <v>Ricardo Santos</v>
          </cell>
          <cell r="B144">
            <v>19200754</v>
          </cell>
        </row>
        <row r="145">
          <cell r="A145" t="str">
            <v>Richard Skarnulis</v>
          </cell>
          <cell r="B145">
            <v>13374569</v>
          </cell>
        </row>
        <row r="146">
          <cell r="A146" t="str">
            <v>Richard Wuensch</v>
          </cell>
          <cell r="B146">
            <v>19615078</v>
          </cell>
        </row>
        <row r="147">
          <cell r="A147" t="str">
            <v>Richard Yale</v>
          </cell>
          <cell r="B147">
            <v>16633294</v>
          </cell>
        </row>
        <row r="148">
          <cell r="A148" t="str">
            <v>Robert Adcock</v>
          </cell>
          <cell r="B148">
            <v>20872981</v>
          </cell>
        </row>
        <row r="149">
          <cell r="A149" t="str">
            <v>Robert Shapiro</v>
          </cell>
          <cell r="B149">
            <v>7565575</v>
          </cell>
        </row>
        <row r="150">
          <cell r="A150" t="str">
            <v>Robert  Sievewright</v>
          </cell>
          <cell r="B150">
            <v>7307857</v>
          </cell>
        </row>
        <row r="151">
          <cell r="A151" t="str">
            <v>Ronald Max</v>
          </cell>
          <cell r="B151">
            <v>5442438</v>
          </cell>
        </row>
        <row r="152">
          <cell r="A152" t="str">
            <v>ryan caltagirone</v>
          </cell>
          <cell r="B152">
            <v>8977234</v>
          </cell>
        </row>
        <row r="153">
          <cell r="A153" t="str">
            <v>Ryan Stocker</v>
          </cell>
          <cell r="B153">
            <v>15950276</v>
          </cell>
        </row>
        <row r="154">
          <cell r="A154" t="str">
            <v>Ryan Shepard</v>
          </cell>
          <cell r="B154">
            <v>16170994</v>
          </cell>
        </row>
        <row r="155">
          <cell r="A155" t="str">
            <v>Saadia Abdul</v>
          </cell>
          <cell r="B155">
            <v>19396223</v>
          </cell>
        </row>
        <row r="156">
          <cell r="A156" t="str">
            <v>Sandra Sentman</v>
          </cell>
          <cell r="B156">
            <v>21475206</v>
          </cell>
        </row>
        <row r="157">
          <cell r="A157" t="str">
            <v>Scott Aguglia</v>
          </cell>
          <cell r="B157">
            <v>8971826</v>
          </cell>
        </row>
        <row r="158">
          <cell r="A158" t="str">
            <v>Scott Fine</v>
          </cell>
          <cell r="B158">
            <v>19106640</v>
          </cell>
        </row>
        <row r="159">
          <cell r="A159" t="str">
            <v>Shannon Stump</v>
          </cell>
          <cell r="B159">
            <v>18943687</v>
          </cell>
        </row>
        <row r="160">
          <cell r="A160" t="str">
            <v>Shawn Gastelo</v>
          </cell>
          <cell r="B160">
            <v>21122864</v>
          </cell>
        </row>
        <row r="161">
          <cell r="A161" t="str">
            <v>Shirley Babilya</v>
          </cell>
          <cell r="B161">
            <v>18522974</v>
          </cell>
        </row>
        <row r="162">
          <cell r="A162" t="str">
            <v>Stacey Portugal</v>
          </cell>
          <cell r="B162">
            <v>19645587</v>
          </cell>
        </row>
        <row r="163">
          <cell r="A163" t="str">
            <v>Stephanie Drapac</v>
          </cell>
          <cell r="B163">
            <v>17126004</v>
          </cell>
        </row>
        <row r="164">
          <cell r="A164" t="str">
            <v>Steven Werner</v>
          </cell>
          <cell r="B164">
            <v>19481808</v>
          </cell>
        </row>
        <row r="165">
          <cell r="A165" t="str">
            <v>Steven Brandt</v>
          </cell>
          <cell r="B165">
            <v>19491313</v>
          </cell>
        </row>
        <row r="166">
          <cell r="A166" t="str">
            <v>Steven  Levin</v>
          </cell>
          <cell r="B166">
            <v>1592053</v>
          </cell>
        </row>
        <row r="167">
          <cell r="A167" t="str">
            <v>Taliah Ferguson</v>
          </cell>
          <cell r="B167">
            <v>21561165</v>
          </cell>
        </row>
        <row r="168">
          <cell r="A168" t="str">
            <v>Teri Foster</v>
          </cell>
          <cell r="B168">
            <v>20098658</v>
          </cell>
        </row>
        <row r="169">
          <cell r="A169" t="str">
            <v>Thomas Bentley</v>
          </cell>
          <cell r="B169">
            <v>2118374</v>
          </cell>
        </row>
        <row r="170">
          <cell r="A170" t="str">
            <v>Thomas Ervolina</v>
          </cell>
          <cell r="B170">
            <v>8477730</v>
          </cell>
        </row>
        <row r="171">
          <cell r="A171" t="str">
            <v>Thomas Kucan</v>
          </cell>
          <cell r="B171">
            <v>16202925</v>
          </cell>
        </row>
        <row r="172">
          <cell r="A172" t="str">
            <v>Thomas Serio</v>
          </cell>
          <cell r="B172">
            <v>20490188</v>
          </cell>
        </row>
        <row r="173">
          <cell r="A173" t="str">
            <v>Timothy Hodgman</v>
          </cell>
          <cell r="B173">
            <v>18581063</v>
          </cell>
        </row>
        <row r="174">
          <cell r="A174" t="str">
            <v>Timothy Merced</v>
          </cell>
          <cell r="B174">
            <v>17418075</v>
          </cell>
        </row>
        <row r="175">
          <cell r="A175" t="str">
            <v>Timothy Powers</v>
          </cell>
          <cell r="B175">
            <v>17886092</v>
          </cell>
        </row>
        <row r="176">
          <cell r="A176" t="str">
            <v>thomas pardue</v>
          </cell>
          <cell r="B176">
            <v>371819</v>
          </cell>
        </row>
        <row r="177">
          <cell r="A177" t="str">
            <v>Traci Barton</v>
          </cell>
          <cell r="B177">
            <v>20678727</v>
          </cell>
        </row>
        <row r="178">
          <cell r="A178" t="str">
            <v>victor fuentes</v>
          </cell>
          <cell r="B178">
            <v>21283956</v>
          </cell>
        </row>
        <row r="179">
          <cell r="A179" t="str">
            <v>Wesley Ellis</v>
          </cell>
          <cell r="B179">
            <v>19396919</v>
          </cell>
        </row>
        <row r="180">
          <cell r="A180" t="str">
            <v>William Schaeffer</v>
          </cell>
          <cell r="B180">
            <v>18010408</v>
          </cell>
        </row>
        <row r="181">
          <cell r="A181" t="str">
            <v>William  Geske</v>
          </cell>
          <cell r="B181">
            <v>21313588</v>
          </cell>
        </row>
        <row r="182">
          <cell r="A182" t="str">
            <v>Zameer  Kotadia</v>
          </cell>
          <cell r="B182">
            <v>21101146</v>
          </cell>
        </row>
        <row r="183">
          <cell r="A183" t="str">
            <v>Zulfunar Yavuzkan-Rasin</v>
          </cell>
          <cell r="B183">
            <v>8692488</v>
          </cell>
        </row>
        <row r="184">
          <cell r="A184" t="str">
            <v>Bryan Krobath</v>
          </cell>
          <cell r="B184">
            <v>17429706</v>
          </cell>
        </row>
        <row r="185">
          <cell r="A185" t="str">
            <v>Main line benefits</v>
          </cell>
          <cell r="B185">
            <v>20411454</v>
          </cell>
        </row>
        <row r="186">
          <cell r="A186" t="str">
            <v>Jennifer Mixell-Hoffman</v>
          </cell>
          <cell r="B186">
            <v>4567262</v>
          </cell>
        </row>
        <row r="187">
          <cell r="A187" t="str">
            <v>Jane Zec</v>
          </cell>
          <cell r="B187">
            <v>1487750</v>
          </cell>
        </row>
        <row r="188">
          <cell r="A188" t="str">
            <v>Antennian DeCarlo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73BA8-50D2-4EE5-AC87-759A037EEEB4}">
  <dimension ref="A1:Z332"/>
  <sheetViews>
    <sheetView topLeftCell="F12" workbookViewId="0">
      <selection activeCell="D29" sqref="D29"/>
    </sheetView>
  </sheetViews>
  <sheetFormatPr defaultRowHeight="12.75" x14ac:dyDescent="0.2"/>
  <cols>
    <col min="1" max="1" width="15.5703125" customWidth="1"/>
    <col min="2" max="2" width="12.42578125" customWidth="1"/>
    <col min="3" max="3" width="8.28515625" customWidth="1"/>
    <col min="4" max="4" width="9.7109375" customWidth="1"/>
    <col min="5" max="5" width="24.42578125" customWidth="1"/>
    <col min="6" max="6" width="31" customWidth="1"/>
    <col min="7" max="7" width="9" customWidth="1"/>
    <col min="8" max="8" width="21.28515625" customWidth="1"/>
    <col min="9" max="9" width="21.7109375" customWidth="1"/>
    <col min="10" max="10" width="17.42578125" customWidth="1"/>
    <col min="11" max="11" width="33.7109375" customWidth="1"/>
    <col min="12" max="12" width="20.28515625" customWidth="1"/>
    <col min="13" max="13" width="14" customWidth="1"/>
    <col min="14" max="14" width="31.5703125" customWidth="1"/>
    <col min="15" max="15" width="13.28515625" customWidth="1"/>
    <col min="16" max="16" width="10.42578125" customWidth="1"/>
    <col min="17" max="17" width="21.85546875" customWidth="1"/>
    <col min="18" max="18" width="13.140625" customWidth="1"/>
    <col min="19" max="19" width="16.7109375" customWidth="1"/>
    <col min="20" max="20" width="16.5703125" customWidth="1"/>
    <col min="21" max="21" width="13.28515625" customWidth="1"/>
    <col min="22" max="22" width="24.42578125" customWidth="1"/>
    <col min="23" max="23" width="22.7109375" customWidth="1"/>
    <col min="24" max="24" width="24.42578125" customWidth="1"/>
    <col min="25" max="25" width="21.42578125" customWidth="1"/>
    <col min="26" max="26" width="19.5703125" customWidth="1"/>
  </cols>
  <sheetData>
    <row r="1" spans="1:2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.75" x14ac:dyDescent="0.25">
      <c r="A2" s="1" t="s">
        <v>26</v>
      </c>
      <c r="B2" s="1" t="s">
        <v>27</v>
      </c>
      <c r="C2" s="1" t="s">
        <v>206</v>
      </c>
      <c r="D2" s="3">
        <v>21536</v>
      </c>
      <c r="E2" s="1" t="s">
        <v>29</v>
      </c>
      <c r="F2" s="1" t="s">
        <v>232</v>
      </c>
      <c r="G2" s="1" t="s">
        <v>31</v>
      </c>
      <c r="H2" s="1" t="s">
        <v>101</v>
      </c>
      <c r="I2" s="1" t="s">
        <v>102</v>
      </c>
      <c r="J2" s="1">
        <v>144.93</v>
      </c>
      <c r="K2" s="1" t="s">
        <v>233</v>
      </c>
      <c r="L2" s="1" t="s">
        <v>35</v>
      </c>
      <c r="M2" s="1">
        <v>5.8</v>
      </c>
      <c r="N2" s="1" t="s">
        <v>234</v>
      </c>
      <c r="O2" s="1" t="s">
        <v>37</v>
      </c>
      <c r="P2" s="1" t="s">
        <v>36</v>
      </c>
      <c r="Q2" s="1" t="s">
        <v>235</v>
      </c>
      <c r="R2" s="1" t="s">
        <v>236</v>
      </c>
      <c r="S2" s="1" t="s">
        <v>39</v>
      </c>
      <c r="T2" s="1">
        <v>2002.97</v>
      </c>
      <c r="U2" s="1" t="s">
        <v>40</v>
      </c>
      <c r="V2" s="1" t="s">
        <v>29</v>
      </c>
      <c r="W2" s="1" t="s">
        <v>36</v>
      </c>
      <c r="X2" s="1" t="s">
        <v>29</v>
      </c>
      <c r="Y2" s="1" t="s">
        <v>36</v>
      </c>
      <c r="Z2" s="1" t="s">
        <v>41</v>
      </c>
    </row>
    <row r="3" spans="1:26" ht="15.75" x14ac:dyDescent="0.25">
      <c r="A3" s="1" t="s">
        <v>26</v>
      </c>
      <c r="B3" s="1" t="s">
        <v>27</v>
      </c>
      <c r="C3" s="1" t="s">
        <v>511</v>
      </c>
      <c r="D3" s="3">
        <v>27787</v>
      </c>
      <c r="E3" s="1" t="s">
        <v>29</v>
      </c>
      <c r="F3" s="1" t="s">
        <v>522</v>
      </c>
      <c r="G3" s="1" t="s">
        <v>31</v>
      </c>
      <c r="H3" s="1" t="s">
        <v>58</v>
      </c>
      <c r="I3" s="1" t="s">
        <v>33</v>
      </c>
      <c r="J3" s="1">
        <v>61.69</v>
      </c>
      <c r="K3" s="1" t="s">
        <v>520</v>
      </c>
      <c r="L3" s="1" t="s">
        <v>35</v>
      </c>
      <c r="M3" s="1">
        <v>22.83</v>
      </c>
      <c r="N3" s="1" t="s">
        <v>234</v>
      </c>
      <c r="O3" s="1" t="s">
        <v>37</v>
      </c>
      <c r="P3" s="1" t="s">
        <v>36</v>
      </c>
      <c r="Q3" s="1" t="s">
        <v>235</v>
      </c>
      <c r="R3" s="1" t="s">
        <v>523</v>
      </c>
      <c r="S3" s="1" t="s">
        <v>39</v>
      </c>
      <c r="T3" s="1">
        <v>2002.97</v>
      </c>
      <c r="U3" s="1" t="s">
        <v>40</v>
      </c>
      <c r="V3" s="1" t="s">
        <v>29</v>
      </c>
      <c r="W3" s="1" t="s">
        <v>36</v>
      </c>
      <c r="X3" s="1" t="s">
        <v>29</v>
      </c>
      <c r="Y3" s="1" t="s">
        <v>36</v>
      </c>
      <c r="Z3" s="1" t="s">
        <v>41</v>
      </c>
    </row>
    <row r="4" spans="1:26" ht="15.75" x14ac:dyDescent="0.25">
      <c r="A4" s="1" t="s">
        <v>26</v>
      </c>
      <c r="B4" s="1" t="s">
        <v>27</v>
      </c>
      <c r="C4" s="1" t="s">
        <v>511</v>
      </c>
      <c r="D4" s="3">
        <v>27787</v>
      </c>
      <c r="E4" s="1" t="s">
        <v>29</v>
      </c>
      <c r="F4" s="1" t="s">
        <v>522</v>
      </c>
      <c r="G4" s="1" t="s">
        <v>61</v>
      </c>
      <c r="H4" s="1" t="s">
        <v>58</v>
      </c>
      <c r="I4" s="1" t="s">
        <v>33</v>
      </c>
      <c r="J4" s="1">
        <v>1.5</v>
      </c>
      <c r="K4" s="1" t="s">
        <v>520</v>
      </c>
      <c r="L4" s="1" t="s">
        <v>35</v>
      </c>
      <c r="M4" s="1">
        <v>0.55000000000000004</v>
      </c>
      <c r="N4" s="1" t="s">
        <v>234</v>
      </c>
      <c r="O4" s="1" t="s">
        <v>37</v>
      </c>
      <c r="P4" s="1" t="s">
        <v>36</v>
      </c>
      <c r="Q4" s="1" t="s">
        <v>235</v>
      </c>
      <c r="R4" s="1" t="s">
        <v>523</v>
      </c>
      <c r="S4" s="1" t="s">
        <v>39</v>
      </c>
      <c r="T4" s="1">
        <v>2002.97</v>
      </c>
      <c r="U4" s="1" t="s">
        <v>40</v>
      </c>
      <c r="V4" s="1" t="s">
        <v>29</v>
      </c>
      <c r="W4" s="1" t="s">
        <v>36</v>
      </c>
      <c r="X4" s="1" t="s">
        <v>29</v>
      </c>
      <c r="Y4" s="1" t="s">
        <v>36</v>
      </c>
      <c r="Z4" s="1" t="s">
        <v>41</v>
      </c>
    </row>
    <row r="5" spans="1:26" ht="15.75" x14ac:dyDescent="0.25">
      <c r="A5" s="1" t="s">
        <v>26</v>
      </c>
      <c r="B5" s="1" t="s">
        <v>27</v>
      </c>
      <c r="C5" s="1" t="s">
        <v>282</v>
      </c>
      <c r="D5" s="3">
        <v>16794</v>
      </c>
      <c r="E5" s="1" t="s">
        <v>29</v>
      </c>
      <c r="F5" s="1" t="s">
        <v>302</v>
      </c>
      <c r="G5" s="1" t="s">
        <v>42</v>
      </c>
      <c r="H5" s="1" t="s">
        <v>58</v>
      </c>
      <c r="I5" s="1" t="s">
        <v>33</v>
      </c>
      <c r="J5" s="1">
        <v>16.34</v>
      </c>
      <c r="K5" s="1" t="s">
        <v>294</v>
      </c>
      <c r="L5" s="1" t="s">
        <v>35</v>
      </c>
      <c r="M5" s="1">
        <v>6.05</v>
      </c>
      <c r="N5" s="1" t="s">
        <v>303</v>
      </c>
      <c r="O5" s="1" t="s">
        <v>37</v>
      </c>
      <c r="P5" s="1" t="s">
        <v>36</v>
      </c>
      <c r="Q5" s="1" t="s">
        <v>304</v>
      </c>
      <c r="R5" s="1" t="s">
        <v>305</v>
      </c>
      <c r="S5" s="1" t="s">
        <v>39</v>
      </c>
      <c r="T5" s="1">
        <v>2002.97</v>
      </c>
      <c r="U5" s="1" t="s">
        <v>40</v>
      </c>
      <c r="V5" s="1" t="s">
        <v>29</v>
      </c>
      <c r="W5" s="1" t="s">
        <v>36</v>
      </c>
      <c r="X5" s="1" t="s">
        <v>29</v>
      </c>
      <c r="Y5" s="1" t="s">
        <v>36</v>
      </c>
      <c r="Z5" s="1" t="s">
        <v>41</v>
      </c>
    </row>
    <row r="6" spans="1:26" ht="15.75" x14ac:dyDescent="0.25">
      <c r="A6" s="1" t="s">
        <v>26</v>
      </c>
      <c r="B6" s="1" t="s">
        <v>27</v>
      </c>
      <c r="C6" s="1" t="s">
        <v>372</v>
      </c>
      <c r="D6" s="3">
        <v>7931</v>
      </c>
      <c r="E6" s="1" t="s">
        <v>29</v>
      </c>
      <c r="F6" s="1" t="s">
        <v>373</v>
      </c>
      <c r="G6" s="1" t="s">
        <v>31</v>
      </c>
      <c r="H6" s="1" t="s">
        <v>32</v>
      </c>
      <c r="I6" s="1" t="s">
        <v>33</v>
      </c>
      <c r="J6" s="1">
        <v>31.82</v>
      </c>
      <c r="K6" s="1" t="s">
        <v>374</v>
      </c>
      <c r="L6" s="1" t="s">
        <v>35</v>
      </c>
      <c r="M6" s="1">
        <v>11.77</v>
      </c>
      <c r="N6" s="1" t="s">
        <v>303</v>
      </c>
      <c r="O6" s="1" t="s">
        <v>37</v>
      </c>
      <c r="P6" s="1" t="s">
        <v>36</v>
      </c>
      <c r="Q6" s="1" t="s">
        <v>304</v>
      </c>
      <c r="R6" s="1" t="s">
        <v>375</v>
      </c>
      <c r="S6" s="1" t="s">
        <v>39</v>
      </c>
      <c r="T6" s="1">
        <v>2002.97</v>
      </c>
      <c r="U6" s="1" t="s">
        <v>40</v>
      </c>
      <c r="V6" s="1" t="s">
        <v>29</v>
      </c>
      <c r="W6" s="1" t="s">
        <v>36</v>
      </c>
      <c r="X6" s="1" t="s">
        <v>29</v>
      </c>
      <c r="Y6" s="1" t="s">
        <v>36</v>
      </c>
      <c r="Z6" s="1" t="s">
        <v>41</v>
      </c>
    </row>
    <row r="7" spans="1:26" ht="15.75" x14ac:dyDescent="0.25">
      <c r="A7" s="1" t="s">
        <v>26</v>
      </c>
      <c r="B7" s="1" t="s">
        <v>27</v>
      </c>
      <c r="C7" s="1" t="s">
        <v>372</v>
      </c>
      <c r="D7" s="3">
        <v>11959</v>
      </c>
      <c r="E7" s="1" t="s">
        <v>29</v>
      </c>
      <c r="F7" s="1" t="s">
        <v>393</v>
      </c>
      <c r="G7" s="1" t="s">
        <v>31</v>
      </c>
      <c r="H7" s="1" t="s">
        <v>58</v>
      </c>
      <c r="I7" s="1" t="s">
        <v>33</v>
      </c>
      <c r="J7" s="1">
        <v>31.82</v>
      </c>
      <c r="K7" s="1" t="s">
        <v>391</v>
      </c>
      <c r="L7" s="1" t="s">
        <v>35</v>
      </c>
      <c r="M7" s="1">
        <v>11.77</v>
      </c>
      <c r="N7" s="1" t="s">
        <v>303</v>
      </c>
      <c r="O7" s="1" t="s">
        <v>37</v>
      </c>
      <c r="P7" s="1" t="s">
        <v>36</v>
      </c>
      <c r="Q7" s="1" t="s">
        <v>304</v>
      </c>
      <c r="R7" s="1" t="s">
        <v>394</v>
      </c>
      <c r="S7" s="1" t="s">
        <v>39</v>
      </c>
      <c r="T7" s="1">
        <v>2002.97</v>
      </c>
      <c r="U7" s="1" t="s">
        <v>40</v>
      </c>
      <c r="V7" s="1" t="s">
        <v>29</v>
      </c>
      <c r="W7" s="1" t="s">
        <v>36</v>
      </c>
      <c r="X7" s="1" t="s">
        <v>29</v>
      </c>
      <c r="Y7" s="1" t="s">
        <v>36</v>
      </c>
      <c r="Z7" s="1" t="s">
        <v>41</v>
      </c>
    </row>
    <row r="8" spans="1:26" ht="15.75" x14ac:dyDescent="0.25">
      <c r="A8" s="1" t="s">
        <v>26</v>
      </c>
      <c r="B8" s="1" t="s">
        <v>27</v>
      </c>
      <c r="C8" s="1" t="s">
        <v>282</v>
      </c>
      <c r="D8" s="3">
        <v>67790</v>
      </c>
      <c r="E8" s="1" t="s">
        <v>29</v>
      </c>
      <c r="F8" s="1" t="s">
        <v>339</v>
      </c>
      <c r="G8" s="1" t="s">
        <v>42</v>
      </c>
      <c r="H8" s="1" t="s">
        <v>58</v>
      </c>
      <c r="I8" s="1" t="s">
        <v>33</v>
      </c>
      <c r="J8" s="1">
        <v>13.07</v>
      </c>
      <c r="K8" s="1" t="s">
        <v>340</v>
      </c>
      <c r="L8" s="1" t="s">
        <v>35</v>
      </c>
      <c r="M8" s="1">
        <v>4.84</v>
      </c>
      <c r="N8" s="1" t="s">
        <v>341</v>
      </c>
      <c r="O8" s="1" t="s">
        <v>37</v>
      </c>
      <c r="P8" s="1" t="s">
        <v>36</v>
      </c>
      <c r="Q8" s="1" t="s">
        <v>342</v>
      </c>
      <c r="R8" s="1" t="s">
        <v>343</v>
      </c>
      <c r="S8" s="1" t="s">
        <v>39</v>
      </c>
      <c r="T8" s="1">
        <v>2002.97</v>
      </c>
      <c r="U8" s="1" t="s">
        <v>40</v>
      </c>
      <c r="V8" s="1" t="s">
        <v>29</v>
      </c>
      <c r="W8" s="1" t="s">
        <v>36</v>
      </c>
      <c r="X8" s="1" t="s">
        <v>29</v>
      </c>
      <c r="Y8" s="1" t="s">
        <v>36</v>
      </c>
      <c r="Z8" s="1" t="s">
        <v>41</v>
      </c>
    </row>
    <row r="9" spans="1:26" ht="15.75" x14ac:dyDescent="0.25">
      <c r="A9" s="1" t="s">
        <v>26</v>
      </c>
      <c r="B9" s="1" t="s">
        <v>27</v>
      </c>
      <c r="C9" s="1" t="s">
        <v>429</v>
      </c>
      <c r="D9" s="3">
        <v>66370</v>
      </c>
      <c r="E9" s="1" t="s">
        <v>29</v>
      </c>
      <c r="F9" s="1" t="s">
        <v>475</v>
      </c>
      <c r="G9" s="1" t="s">
        <v>42</v>
      </c>
      <c r="H9" s="1" t="s">
        <v>45</v>
      </c>
      <c r="I9" s="1" t="s">
        <v>46</v>
      </c>
      <c r="J9" s="1">
        <v>16.34</v>
      </c>
      <c r="K9" s="1" t="s">
        <v>453</v>
      </c>
      <c r="L9" s="1" t="s">
        <v>35</v>
      </c>
      <c r="M9" s="1">
        <v>6.05</v>
      </c>
      <c r="N9" s="1" t="s">
        <v>476</v>
      </c>
      <c r="O9" s="1" t="s">
        <v>37</v>
      </c>
      <c r="P9" s="1" t="s">
        <v>36</v>
      </c>
      <c r="Q9" s="1" t="s">
        <v>477</v>
      </c>
      <c r="R9" s="1" t="s">
        <v>478</v>
      </c>
      <c r="S9" s="1" t="s">
        <v>39</v>
      </c>
      <c r="T9" s="1">
        <v>2002.97</v>
      </c>
      <c r="U9" s="1" t="s">
        <v>40</v>
      </c>
      <c r="V9" s="1" t="s">
        <v>29</v>
      </c>
      <c r="W9" s="1" t="s">
        <v>36</v>
      </c>
      <c r="X9" s="1" t="s">
        <v>29</v>
      </c>
      <c r="Y9" s="1" t="s">
        <v>36</v>
      </c>
      <c r="Z9" s="1" t="s">
        <v>41</v>
      </c>
    </row>
    <row r="10" spans="1:26" ht="15.75" x14ac:dyDescent="0.25">
      <c r="A10" s="1" t="s">
        <v>26</v>
      </c>
      <c r="B10" s="1" t="s">
        <v>27</v>
      </c>
      <c r="C10" s="1" t="s">
        <v>511</v>
      </c>
      <c r="D10" s="3">
        <v>82542</v>
      </c>
      <c r="E10" s="1" t="s">
        <v>29</v>
      </c>
      <c r="F10" s="1" t="s">
        <v>570</v>
      </c>
      <c r="G10" s="1" t="s">
        <v>42</v>
      </c>
      <c r="H10" s="1" t="s">
        <v>567</v>
      </c>
      <c r="I10" s="1" t="s">
        <v>33</v>
      </c>
      <c r="J10" s="1">
        <v>-16.34</v>
      </c>
      <c r="K10" s="1" t="s">
        <v>568</v>
      </c>
      <c r="L10" s="1" t="s">
        <v>35</v>
      </c>
      <c r="M10" s="1">
        <v>-6.05</v>
      </c>
      <c r="N10" s="1" t="s">
        <v>476</v>
      </c>
      <c r="O10" s="1" t="s">
        <v>37</v>
      </c>
      <c r="P10" s="1" t="s">
        <v>36</v>
      </c>
      <c r="Q10" s="1" t="s">
        <v>477</v>
      </c>
      <c r="R10" s="1" t="s">
        <v>571</v>
      </c>
      <c r="S10" s="1" t="s">
        <v>39</v>
      </c>
      <c r="T10" s="1">
        <v>2002.97</v>
      </c>
      <c r="U10" s="1" t="s">
        <v>40</v>
      </c>
      <c r="V10" s="1" t="s">
        <v>29</v>
      </c>
      <c r="W10" s="1" t="s">
        <v>36</v>
      </c>
      <c r="X10" s="1" t="s">
        <v>29</v>
      </c>
      <c r="Y10" s="1" t="s">
        <v>36</v>
      </c>
      <c r="Z10" s="1" t="s">
        <v>41</v>
      </c>
    </row>
    <row r="11" spans="1:26" ht="15.75" x14ac:dyDescent="0.25">
      <c r="A11" s="1" t="s">
        <v>26</v>
      </c>
      <c r="B11" s="1" t="s">
        <v>27</v>
      </c>
      <c r="C11" s="1" t="s">
        <v>206</v>
      </c>
      <c r="D11" s="3">
        <v>18153</v>
      </c>
      <c r="E11" s="1" t="s">
        <v>29</v>
      </c>
      <c r="F11" s="1" t="s">
        <v>207</v>
      </c>
      <c r="G11" s="1" t="s">
        <v>31</v>
      </c>
      <c r="H11" s="1" t="s">
        <v>32</v>
      </c>
      <c r="I11" s="1" t="s">
        <v>33</v>
      </c>
      <c r="J11" s="1">
        <v>57.28</v>
      </c>
      <c r="K11" s="1" t="s">
        <v>208</v>
      </c>
      <c r="L11" s="1" t="s">
        <v>35</v>
      </c>
      <c r="M11" s="1">
        <v>2.29</v>
      </c>
      <c r="N11" s="1" t="s">
        <v>209</v>
      </c>
      <c r="O11" s="1" t="s">
        <v>37</v>
      </c>
      <c r="P11" s="1" t="s">
        <v>36</v>
      </c>
      <c r="Q11" s="1" t="s">
        <v>210</v>
      </c>
      <c r="R11" s="1" t="s">
        <v>211</v>
      </c>
      <c r="S11" s="1" t="s">
        <v>39</v>
      </c>
      <c r="T11" s="1">
        <v>2002.97</v>
      </c>
      <c r="U11" s="1" t="s">
        <v>40</v>
      </c>
      <c r="V11" s="1" t="s">
        <v>29</v>
      </c>
      <c r="W11" s="1" t="s">
        <v>36</v>
      </c>
      <c r="X11" s="1" t="s">
        <v>29</v>
      </c>
      <c r="Y11" s="1" t="s">
        <v>36</v>
      </c>
      <c r="Z11" s="1" t="s">
        <v>41</v>
      </c>
    </row>
    <row r="12" spans="1:26" ht="15.75" x14ac:dyDescent="0.25">
      <c r="A12" s="1" t="s">
        <v>26</v>
      </c>
      <c r="B12" s="1" t="s">
        <v>27</v>
      </c>
      <c r="C12" s="1" t="s">
        <v>206</v>
      </c>
      <c r="D12" s="3">
        <v>18154</v>
      </c>
      <c r="E12" s="1" t="s">
        <v>29</v>
      </c>
      <c r="F12" s="1" t="s">
        <v>207</v>
      </c>
      <c r="G12" s="1" t="s">
        <v>42</v>
      </c>
      <c r="H12" s="1" t="s">
        <v>32</v>
      </c>
      <c r="I12" s="1" t="s">
        <v>33</v>
      </c>
      <c r="J12" s="1">
        <v>16.34</v>
      </c>
      <c r="K12" s="1" t="s">
        <v>208</v>
      </c>
      <c r="L12" s="1" t="s">
        <v>35</v>
      </c>
      <c r="M12" s="1">
        <v>0.65</v>
      </c>
      <c r="N12" s="1" t="s">
        <v>209</v>
      </c>
      <c r="O12" s="1" t="s">
        <v>37</v>
      </c>
      <c r="P12" s="1" t="s">
        <v>36</v>
      </c>
      <c r="Q12" s="1" t="s">
        <v>210</v>
      </c>
      <c r="R12" s="1" t="s">
        <v>211</v>
      </c>
      <c r="S12" s="1" t="s">
        <v>39</v>
      </c>
      <c r="T12" s="1">
        <v>2002.97</v>
      </c>
      <c r="U12" s="1" t="s">
        <v>40</v>
      </c>
      <c r="V12" s="1" t="s">
        <v>29</v>
      </c>
      <c r="W12" s="1" t="s">
        <v>36</v>
      </c>
      <c r="X12" s="1" t="s">
        <v>29</v>
      </c>
      <c r="Y12" s="1" t="s">
        <v>36</v>
      </c>
      <c r="Z12" s="1" t="s">
        <v>41</v>
      </c>
    </row>
    <row r="13" spans="1:26" ht="15.75" x14ac:dyDescent="0.25">
      <c r="A13" s="1" t="s">
        <v>26</v>
      </c>
      <c r="B13" s="1" t="s">
        <v>27</v>
      </c>
      <c r="C13" s="1" t="s">
        <v>206</v>
      </c>
      <c r="D13" s="3">
        <v>78227</v>
      </c>
      <c r="E13" s="1" t="s">
        <v>29</v>
      </c>
      <c r="F13" s="1" t="s">
        <v>269</v>
      </c>
      <c r="G13" s="1" t="s">
        <v>31</v>
      </c>
      <c r="H13" s="1" t="s">
        <v>148</v>
      </c>
      <c r="I13" s="1" t="s">
        <v>33</v>
      </c>
      <c r="J13" s="1">
        <v>59.79</v>
      </c>
      <c r="K13" s="1" t="s">
        <v>265</v>
      </c>
      <c r="L13" s="1" t="s">
        <v>35</v>
      </c>
      <c r="M13" s="1">
        <v>2.39</v>
      </c>
      <c r="N13" s="1" t="s">
        <v>209</v>
      </c>
      <c r="O13" s="1" t="s">
        <v>37</v>
      </c>
      <c r="P13" s="1" t="s">
        <v>36</v>
      </c>
      <c r="Q13" s="1" t="s">
        <v>210</v>
      </c>
      <c r="R13" s="1" t="s">
        <v>270</v>
      </c>
      <c r="S13" s="1" t="s">
        <v>39</v>
      </c>
      <c r="T13" s="1">
        <v>2002.97</v>
      </c>
      <c r="U13" s="1" t="s">
        <v>40</v>
      </c>
      <c r="V13" s="1" t="s">
        <v>29</v>
      </c>
      <c r="W13" s="1" t="s">
        <v>36</v>
      </c>
      <c r="X13" s="1" t="s">
        <v>29</v>
      </c>
      <c r="Y13" s="1" t="s">
        <v>36</v>
      </c>
      <c r="Z13" s="1" t="s">
        <v>41</v>
      </c>
    </row>
    <row r="14" spans="1:26" ht="15.75" x14ac:dyDescent="0.25">
      <c r="A14" s="1" t="s">
        <v>26</v>
      </c>
      <c r="B14" s="1" t="s">
        <v>27</v>
      </c>
      <c r="C14" s="1" t="s">
        <v>206</v>
      </c>
      <c r="D14" s="3">
        <v>78227</v>
      </c>
      <c r="E14" s="1" t="s">
        <v>29</v>
      </c>
      <c r="F14" s="1" t="s">
        <v>269</v>
      </c>
      <c r="G14" s="1" t="s">
        <v>61</v>
      </c>
      <c r="H14" s="1" t="s">
        <v>148</v>
      </c>
      <c r="I14" s="1" t="s">
        <v>33</v>
      </c>
      <c r="J14" s="1">
        <v>1.5</v>
      </c>
      <c r="K14" s="1" t="s">
        <v>265</v>
      </c>
      <c r="L14" s="1" t="s">
        <v>35</v>
      </c>
      <c r="M14" s="1">
        <v>0.06</v>
      </c>
      <c r="N14" s="1" t="s">
        <v>209</v>
      </c>
      <c r="O14" s="1" t="s">
        <v>37</v>
      </c>
      <c r="P14" s="1" t="s">
        <v>36</v>
      </c>
      <c r="Q14" s="1" t="s">
        <v>210</v>
      </c>
      <c r="R14" s="1" t="s">
        <v>270</v>
      </c>
      <c r="S14" s="1" t="s">
        <v>39</v>
      </c>
      <c r="T14" s="1">
        <v>2002.97</v>
      </c>
      <c r="U14" s="1" t="s">
        <v>40</v>
      </c>
      <c r="V14" s="1" t="s">
        <v>29</v>
      </c>
      <c r="W14" s="1" t="s">
        <v>36</v>
      </c>
      <c r="X14" s="1" t="s">
        <v>29</v>
      </c>
      <c r="Y14" s="1" t="s">
        <v>36</v>
      </c>
      <c r="Z14" s="1" t="s">
        <v>41</v>
      </c>
    </row>
    <row r="15" spans="1:26" ht="15.75" x14ac:dyDescent="0.25">
      <c r="A15" s="1" t="s">
        <v>26</v>
      </c>
      <c r="B15" s="1" t="s">
        <v>27</v>
      </c>
      <c r="C15" s="1" t="s">
        <v>206</v>
      </c>
      <c r="D15" s="3">
        <v>78196</v>
      </c>
      <c r="E15" s="1" t="s">
        <v>29</v>
      </c>
      <c r="F15" s="1" t="s">
        <v>264</v>
      </c>
      <c r="G15" s="1" t="s">
        <v>31</v>
      </c>
      <c r="H15" s="1" t="s">
        <v>148</v>
      </c>
      <c r="I15" s="1" t="s">
        <v>33</v>
      </c>
      <c r="J15" s="1">
        <v>36.29</v>
      </c>
      <c r="K15" s="1" t="s">
        <v>265</v>
      </c>
      <c r="L15" s="1" t="s">
        <v>35</v>
      </c>
      <c r="M15" s="1">
        <v>1.45</v>
      </c>
      <c r="N15" s="1" t="s">
        <v>266</v>
      </c>
      <c r="O15" s="1" t="s">
        <v>37</v>
      </c>
      <c r="P15" s="1" t="s">
        <v>36</v>
      </c>
      <c r="Q15" s="1" t="s">
        <v>267</v>
      </c>
      <c r="R15" s="1" t="s">
        <v>268</v>
      </c>
      <c r="S15" s="1" t="s">
        <v>39</v>
      </c>
      <c r="T15" s="1">
        <v>2002.97</v>
      </c>
      <c r="U15" s="1" t="s">
        <v>40</v>
      </c>
      <c r="V15" s="1" t="s">
        <v>29</v>
      </c>
      <c r="W15" s="1" t="s">
        <v>36</v>
      </c>
      <c r="X15" s="1" t="s">
        <v>29</v>
      </c>
      <c r="Y15" s="1" t="s">
        <v>36</v>
      </c>
      <c r="Z15" s="1" t="s">
        <v>41</v>
      </c>
    </row>
    <row r="16" spans="1:26" ht="15.75" x14ac:dyDescent="0.25">
      <c r="A16" s="1" t="s">
        <v>26</v>
      </c>
      <c r="B16" s="1" t="s">
        <v>27</v>
      </c>
      <c r="C16" s="1" t="s">
        <v>206</v>
      </c>
      <c r="D16" s="3">
        <v>78196</v>
      </c>
      <c r="E16" s="1" t="s">
        <v>29</v>
      </c>
      <c r="F16" s="1" t="s">
        <v>264</v>
      </c>
      <c r="G16" s="1" t="s">
        <v>61</v>
      </c>
      <c r="H16" s="1" t="s">
        <v>148</v>
      </c>
      <c r="I16" s="1" t="s">
        <v>33</v>
      </c>
      <c r="J16" s="1">
        <v>1.5</v>
      </c>
      <c r="K16" s="1" t="s">
        <v>265</v>
      </c>
      <c r="L16" s="1" t="s">
        <v>35</v>
      </c>
      <c r="M16" s="1">
        <v>0.06</v>
      </c>
      <c r="N16" s="1" t="s">
        <v>266</v>
      </c>
      <c r="O16" s="1" t="s">
        <v>37</v>
      </c>
      <c r="P16" s="1" t="s">
        <v>36</v>
      </c>
      <c r="Q16" s="1" t="s">
        <v>267</v>
      </c>
      <c r="R16" s="1" t="s">
        <v>268</v>
      </c>
      <c r="S16" s="1" t="s">
        <v>39</v>
      </c>
      <c r="T16" s="1">
        <v>2002.97</v>
      </c>
      <c r="U16" s="1" t="s">
        <v>40</v>
      </c>
      <c r="V16" s="1" t="s">
        <v>29</v>
      </c>
      <c r="W16" s="1" t="s">
        <v>36</v>
      </c>
      <c r="X16" s="1" t="s">
        <v>29</v>
      </c>
      <c r="Y16" s="1" t="s">
        <v>36</v>
      </c>
      <c r="Z16" s="1" t="s">
        <v>41</v>
      </c>
    </row>
    <row r="17" spans="1:26" ht="15.75" x14ac:dyDescent="0.25">
      <c r="A17" s="1" t="s">
        <v>26</v>
      </c>
      <c r="B17" s="1" t="s">
        <v>27</v>
      </c>
      <c r="C17" s="1" t="s">
        <v>282</v>
      </c>
      <c r="D17" s="3">
        <v>71894</v>
      </c>
      <c r="E17" s="1" t="s">
        <v>29</v>
      </c>
      <c r="F17" s="1" t="s">
        <v>357</v>
      </c>
      <c r="G17" s="1" t="s">
        <v>31</v>
      </c>
      <c r="H17" s="1" t="s">
        <v>33</v>
      </c>
      <c r="I17" s="1" t="s">
        <v>45</v>
      </c>
      <c r="J17" s="1">
        <v>21.16</v>
      </c>
      <c r="K17" s="1" t="s">
        <v>358</v>
      </c>
      <c r="L17" s="1" t="s">
        <v>35</v>
      </c>
      <c r="M17" s="1">
        <v>7.83</v>
      </c>
      <c r="N17" s="1" t="s">
        <v>266</v>
      </c>
      <c r="O17" s="1" t="s">
        <v>37</v>
      </c>
      <c r="P17" s="1" t="s">
        <v>36</v>
      </c>
      <c r="Q17" s="1" t="s">
        <v>267</v>
      </c>
      <c r="R17" s="1" t="s">
        <v>359</v>
      </c>
      <c r="S17" s="1" t="s">
        <v>39</v>
      </c>
      <c r="T17" s="1">
        <v>2002.97</v>
      </c>
      <c r="U17" s="1" t="s">
        <v>40</v>
      </c>
      <c r="V17" s="1" t="s">
        <v>29</v>
      </c>
      <c r="W17" s="1" t="s">
        <v>36</v>
      </c>
      <c r="X17" s="1" t="s">
        <v>29</v>
      </c>
      <c r="Y17" s="1" t="s">
        <v>36</v>
      </c>
      <c r="Z17" s="1" t="s">
        <v>41</v>
      </c>
    </row>
    <row r="18" spans="1:26" ht="15.75" x14ac:dyDescent="0.25">
      <c r="A18" s="1" t="s">
        <v>26</v>
      </c>
      <c r="B18" s="1" t="s">
        <v>27</v>
      </c>
      <c r="C18" s="1" t="s">
        <v>282</v>
      </c>
      <c r="D18" s="3">
        <v>72808</v>
      </c>
      <c r="E18" s="1" t="s">
        <v>29</v>
      </c>
      <c r="F18" s="1" t="s">
        <v>362</v>
      </c>
      <c r="G18" s="1" t="s">
        <v>42</v>
      </c>
      <c r="H18" s="1" t="s">
        <v>33</v>
      </c>
      <c r="I18" s="1" t="s">
        <v>45</v>
      </c>
      <c r="J18" s="1">
        <v>16.34</v>
      </c>
      <c r="K18" s="1" t="s">
        <v>358</v>
      </c>
      <c r="L18" s="1" t="s">
        <v>35</v>
      </c>
      <c r="M18" s="1">
        <v>6.05</v>
      </c>
      <c r="N18" s="1" t="s">
        <v>266</v>
      </c>
      <c r="O18" s="1" t="s">
        <v>37</v>
      </c>
      <c r="P18" s="1" t="s">
        <v>36</v>
      </c>
      <c r="Q18" s="1" t="s">
        <v>267</v>
      </c>
      <c r="R18" s="1" t="s">
        <v>363</v>
      </c>
      <c r="S18" s="1" t="s">
        <v>39</v>
      </c>
      <c r="T18" s="1">
        <v>2002.97</v>
      </c>
      <c r="U18" s="1" t="s">
        <v>40</v>
      </c>
      <c r="V18" s="1" t="s">
        <v>29</v>
      </c>
      <c r="W18" s="1" t="s">
        <v>36</v>
      </c>
      <c r="X18" s="1" t="s">
        <v>29</v>
      </c>
      <c r="Y18" s="1" t="s">
        <v>36</v>
      </c>
      <c r="Z18" s="1" t="s">
        <v>41</v>
      </c>
    </row>
    <row r="19" spans="1:26" ht="15.75" x14ac:dyDescent="0.25">
      <c r="A19" s="1" t="s">
        <v>26</v>
      </c>
      <c r="B19" s="1" t="s">
        <v>27</v>
      </c>
      <c r="C19" s="1" t="s">
        <v>282</v>
      </c>
      <c r="D19" s="3">
        <v>73930</v>
      </c>
      <c r="E19" s="1" t="s">
        <v>29</v>
      </c>
      <c r="F19" s="1" t="s">
        <v>364</v>
      </c>
      <c r="G19" s="1" t="s">
        <v>31</v>
      </c>
      <c r="H19" s="1" t="s">
        <v>33</v>
      </c>
      <c r="I19" s="1" t="s">
        <v>45</v>
      </c>
      <c r="J19" s="1">
        <v>44.03</v>
      </c>
      <c r="K19" s="1" t="s">
        <v>358</v>
      </c>
      <c r="L19" s="1" t="s">
        <v>35</v>
      </c>
      <c r="M19" s="1">
        <v>16.29</v>
      </c>
      <c r="N19" s="1" t="s">
        <v>266</v>
      </c>
      <c r="O19" s="1" t="s">
        <v>37</v>
      </c>
      <c r="P19" s="1" t="s">
        <v>36</v>
      </c>
      <c r="Q19" s="1" t="s">
        <v>267</v>
      </c>
      <c r="R19" s="1" t="s">
        <v>365</v>
      </c>
      <c r="S19" s="1" t="s">
        <v>39</v>
      </c>
      <c r="T19" s="1">
        <v>2002.97</v>
      </c>
      <c r="U19" s="1" t="s">
        <v>40</v>
      </c>
      <c r="V19" s="1" t="s">
        <v>29</v>
      </c>
      <c r="W19" s="1" t="s">
        <v>36</v>
      </c>
      <c r="X19" s="1" t="s">
        <v>29</v>
      </c>
      <c r="Y19" s="1" t="s">
        <v>36</v>
      </c>
      <c r="Z19" s="1" t="s">
        <v>41</v>
      </c>
    </row>
    <row r="20" spans="1:26" ht="15.75" x14ac:dyDescent="0.25">
      <c r="A20" s="1" t="s">
        <v>26</v>
      </c>
      <c r="B20" s="1" t="s">
        <v>27</v>
      </c>
      <c r="C20" s="1" t="s">
        <v>282</v>
      </c>
      <c r="D20" s="3">
        <v>73930</v>
      </c>
      <c r="E20" s="1" t="s">
        <v>29</v>
      </c>
      <c r="F20" s="1" t="s">
        <v>364</v>
      </c>
      <c r="G20" s="1" t="s">
        <v>61</v>
      </c>
      <c r="H20" s="1" t="s">
        <v>33</v>
      </c>
      <c r="I20" s="1" t="s">
        <v>45</v>
      </c>
      <c r="J20" s="1">
        <v>1.5</v>
      </c>
      <c r="K20" s="1" t="s">
        <v>358</v>
      </c>
      <c r="L20" s="1" t="s">
        <v>35</v>
      </c>
      <c r="M20" s="1">
        <v>0.56000000000000005</v>
      </c>
      <c r="N20" s="1" t="s">
        <v>266</v>
      </c>
      <c r="O20" s="1" t="s">
        <v>37</v>
      </c>
      <c r="P20" s="1" t="s">
        <v>36</v>
      </c>
      <c r="Q20" s="1" t="s">
        <v>267</v>
      </c>
      <c r="R20" s="1" t="s">
        <v>365</v>
      </c>
      <c r="S20" s="1" t="s">
        <v>39</v>
      </c>
      <c r="T20" s="1">
        <v>2002.97</v>
      </c>
      <c r="U20" s="1" t="s">
        <v>40</v>
      </c>
      <c r="V20" s="1" t="s">
        <v>29</v>
      </c>
      <c r="W20" s="1" t="s">
        <v>36</v>
      </c>
      <c r="X20" s="1" t="s">
        <v>29</v>
      </c>
      <c r="Y20" s="1" t="s">
        <v>36</v>
      </c>
      <c r="Z20" s="1" t="s">
        <v>41</v>
      </c>
    </row>
    <row r="21" spans="1:26" ht="15.75" x14ac:dyDescent="0.25">
      <c r="A21" s="1" t="s">
        <v>26</v>
      </c>
      <c r="B21" s="1" t="s">
        <v>27</v>
      </c>
      <c r="C21" s="1" t="s">
        <v>282</v>
      </c>
      <c r="D21" s="3">
        <v>74416</v>
      </c>
      <c r="E21" s="1" t="s">
        <v>29</v>
      </c>
      <c r="F21" s="1" t="s">
        <v>366</v>
      </c>
      <c r="G21" s="1" t="s">
        <v>42</v>
      </c>
      <c r="H21" s="1" t="s">
        <v>101</v>
      </c>
      <c r="I21" s="1" t="s">
        <v>102</v>
      </c>
      <c r="J21" s="1">
        <v>19.63</v>
      </c>
      <c r="K21" s="1" t="s">
        <v>367</v>
      </c>
      <c r="L21" s="1" t="s">
        <v>35</v>
      </c>
      <c r="M21" s="1">
        <v>7.26</v>
      </c>
      <c r="N21" s="1" t="s">
        <v>266</v>
      </c>
      <c r="O21" s="1" t="s">
        <v>37</v>
      </c>
      <c r="P21" s="1" t="s">
        <v>36</v>
      </c>
      <c r="Q21" s="1" t="s">
        <v>267</v>
      </c>
      <c r="R21" s="1" t="s">
        <v>368</v>
      </c>
      <c r="S21" s="1" t="s">
        <v>39</v>
      </c>
      <c r="T21" s="1">
        <v>2002.97</v>
      </c>
      <c r="U21" s="1" t="s">
        <v>40</v>
      </c>
      <c r="V21" s="1" t="s">
        <v>29</v>
      </c>
      <c r="W21" s="1" t="s">
        <v>36</v>
      </c>
      <c r="X21" s="1" t="s">
        <v>29</v>
      </c>
      <c r="Y21" s="1" t="s">
        <v>36</v>
      </c>
      <c r="Z21" s="1" t="s">
        <v>41</v>
      </c>
    </row>
    <row r="22" spans="1:26" ht="15.75" x14ac:dyDescent="0.25">
      <c r="A22" s="1" t="s">
        <v>26</v>
      </c>
      <c r="B22" s="1" t="s">
        <v>27</v>
      </c>
      <c r="C22" s="1" t="s">
        <v>511</v>
      </c>
      <c r="D22" s="3">
        <v>87329</v>
      </c>
      <c r="E22" s="1" t="s">
        <v>29</v>
      </c>
      <c r="F22" s="1" t="s">
        <v>586</v>
      </c>
      <c r="G22" s="1" t="s">
        <v>31</v>
      </c>
      <c r="H22" s="1" t="s">
        <v>148</v>
      </c>
      <c r="I22" s="1" t="s">
        <v>33</v>
      </c>
      <c r="J22" s="1">
        <v>38.61</v>
      </c>
      <c r="K22" s="1" t="s">
        <v>573</v>
      </c>
      <c r="L22" s="1" t="s">
        <v>35</v>
      </c>
      <c r="M22" s="1">
        <v>14.29</v>
      </c>
      <c r="N22" s="1" t="s">
        <v>266</v>
      </c>
      <c r="O22" s="1" t="s">
        <v>37</v>
      </c>
      <c r="P22" s="1" t="s">
        <v>36</v>
      </c>
      <c r="Q22" s="1" t="s">
        <v>267</v>
      </c>
      <c r="R22" s="1" t="s">
        <v>587</v>
      </c>
      <c r="S22" s="1" t="s">
        <v>39</v>
      </c>
      <c r="T22" s="1">
        <v>2002.97</v>
      </c>
      <c r="U22" s="1" t="s">
        <v>40</v>
      </c>
      <c r="V22" s="1" t="s">
        <v>29</v>
      </c>
      <c r="W22" s="1" t="s">
        <v>36</v>
      </c>
      <c r="X22" s="1" t="s">
        <v>29</v>
      </c>
      <c r="Y22" s="1" t="s">
        <v>36</v>
      </c>
      <c r="Z22" s="1" t="s">
        <v>41</v>
      </c>
    </row>
    <row r="23" spans="1:26" ht="15.75" x14ac:dyDescent="0.25">
      <c r="A23" s="1" t="s">
        <v>26</v>
      </c>
      <c r="B23" s="1" t="s">
        <v>27</v>
      </c>
      <c r="C23" s="1" t="s">
        <v>511</v>
      </c>
      <c r="D23" s="3">
        <v>88427</v>
      </c>
      <c r="E23" s="1" t="s">
        <v>29</v>
      </c>
      <c r="F23" s="1" t="s">
        <v>596</v>
      </c>
      <c r="G23" s="1" t="s">
        <v>31</v>
      </c>
      <c r="H23" s="1" t="s">
        <v>58</v>
      </c>
      <c r="I23" s="1" t="s">
        <v>33</v>
      </c>
      <c r="J23" s="1">
        <v>44.03</v>
      </c>
      <c r="K23" s="1" t="s">
        <v>594</v>
      </c>
      <c r="L23" s="1" t="s">
        <v>35</v>
      </c>
      <c r="M23" s="1">
        <v>16.29</v>
      </c>
      <c r="N23" s="1" t="s">
        <v>266</v>
      </c>
      <c r="O23" s="1" t="s">
        <v>37</v>
      </c>
      <c r="P23" s="1" t="s">
        <v>36</v>
      </c>
      <c r="Q23" s="1" t="s">
        <v>267</v>
      </c>
      <c r="R23" s="1" t="s">
        <v>597</v>
      </c>
      <c r="S23" s="1" t="s">
        <v>39</v>
      </c>
      <c r="T23" s="1">
        <v>2002.97</v>
      </c>
      <c r="U23" s="1" t="s">
        <v>40</v>
      </c>
      <c r="V23" s="1" t="s">
        <v>29</v>
      </c>
      <c r="W23" s="1" t="s">
        <v>36</v>
      </c>
      <c r="X23" s="1" t="s">
        <v>29</v>
      </c>
      <c r="Y23" s="1" t="s">
        <v>36</v>
      </c>
      <c r="Z23" s="1" t="s">
        <v>41</v>
      </c>
    </row>
    <row r="24" spans="1:26" ht="15.75" x14ac:dyDescent="0.25">
      <c r="A24" s="1" t="s">
        <v>26</v>
      </c>
      <c r="B24" s="1" t="s">
        <v>27</v>
      </c>
      <c r="C24" s="1" t="s">
        <v>511</v>
      </c>
      <c r="D24" s="3">
        <v>88427</v>
      </c>
      <c r="E24" s="1" t="s">
        <v>29</v>
      </c>
      <c r="F24" s="1" t="s">
        <v>596</v>
      </c>
      <c r="G24" s="1" t="s">
        <v>61</v>
      </c>
      <c r="H24" s="1" t="s">
        <v>58</v>
      </c>
      <c r="I24" s="1" t="s">
        <v>33</v>
      </c>
      <c r="J24" s="1">
        <v>1.5</v>
      </c>
      <c r="K24" s="1" t="s">
        <v>594</v>
      </c>
      <c r="L24" s="1" t="s">
        <v>35</v>
      </c>
      <c r="M24" s="1">
        <v>0.56000000000000005</v>
      </c>
      <c r="N24" s="1" t="s">
        <v>266</v>
      </c>
      <c r="O24" s="1" t="s">
        <v>37</v>
      </c>
      <c r="P24" s="1" t="s">
        <v>36</v>
      </c>
      <c r="Q24" s="1" t="s">
        <v>267</v>
      </c>
      <c r="R24" s="1" t="s">
        <v>597</v>
      </c>
      <c r="S24" s="1" t="s">
        <v>39</v>
      </c>
      <c r="T24" s="1">
        <v>2002.97</v>
      </c>
      <c r="U24" s="1" t="s">
        <v>40</v>
      </c>
      <c r="V24" s="1" t="s">
        <v>29</v>
      </c>
      <c r="W24" s="1" t="s">
        <v>36</v>
      </c>
      <c r="X24" s="1" t="s">
        <v>29</v>
      </c>
      <c r="Y24" s="1" t="s">
        <v>36</v>
      </c>
      <c r="Z24" s="1" t="s">
        <v>41</v>
      </c>
    </row>
    <row r="25" spans="1:26" ht="15.75" x14ac:dyDescent="0.25">
      <c r="A25" s="1" t="s">
        <v>26</v>
      </c>
      <c r="B25" s="1" t="s">
        <v>27</v>
      </c>
      <c r="C25" s="1" t="s">
        <v>511</v>
      </c>
      <c r="D25" s="3">
        <v>59631</v>
      </c>
      <c r="E25" s="1" t="s">
        <v>29</v>
      </c>
      <c r="F25" s="1" t="s">
        <v>557</v>
      </c>
      <c r="G25" s="1" t="s">
        <v>31</v>
      </c>
      <c r="H25" s="1" t="s">
        <v>121</v>
      </c>
      <c r="I25" s="1" t="s">
        <v>101</v>
      </c>
      <c r="J25" s="1">
        <v>52.66</v>
      </c>
      <c r="K25" s="1" t="s">
        <v>553</v>
      </c>
      <c r="L25" s="1" t="s">
        <v>35</v>
      </c>
      <c r="M25" s="1">
        <v>19.48</v>
      </c>
      <c r="N25" s="1" t="s">
        <v>558</v>
      </c>
      <c r="O25" s="1" t="s">
        <v>37</v>
      </c>
      <c r="P25" s="1" t="s">
        <v>36</v>
      </c>
      <c r="Q25" s="1" t="s">
        <v>559</v>
      </c>
      <c r="R25" s="1" t="s">
        <v>560</v>
      </c>
      <c r="S25" s="1" t="s">
        <v>39</v>
      </c>
      <c r="T25" s="1">
        <v>2002.97</v>
      </c>
      <c r="U25" s="1" t="s">
        <v>40</v>
      </c>
      <c r="V25" s="1" t="s">
        <v>29</v>
      </c>
      <c r="W25" s="1" t="s">
        <v>36</v>
      </c>
      <c r="X25" s="1" t="s">
        <v>29</v>
      </c>
      <c r="Y25" s="1" t="s">
        <v>36</v>
      </c>
      <c r="Z25" s="1" t="s">
        <v>41</v>
      </c>
    </row>
    <row r="26" spans="1:26" ht="15.75" x14ac:dyDescent="0.25">
      <c r="A26" s="1" t="s">
        <v>26</v>
      </c>
      <c r="B26" s="1" t="s">
        <v>27</v>
      </c>
      <c r="C26" s="1" t="s">
        <v>282</v>
      </c>
      <c r="D26" s="3">
        <v>16185</v>
      </c>
      <c r="E26" s="1" t="s">
        <v>29</v>
      </c>
      <c r="F26" s="1" t="s">
        <v>298</v>
      </c>
      <c r="G26" s="1" t="s">
        <v>42</v>
      </c>
      <c r="H26" s="1" t="s">
        <v>58</v>
      </c>
      <c r="I26" s="1" t="s">
        <v>33</v>
      </c>
      <c r="J26" s="1">
        <v>16.34</v>
      </c>
      <c r="K26" s="1" t="s">
        <v>294</v>
      </c>
      <c r="L26" s="1" t="s">
        <v>35</v>
      </c>
      <c r="M26" s="1">
        <v>6.05</v>
      </c>
      <c r="N26" s="1" t="s">
        <v>299</v>
      </c>
      <c r="O26" s="1" t="s">
        <v>37</v>
      </c>
      <c r="P26" s="1" t="s">
        <v>36</v>
      </c>
      <c r="Q26" s="1" t="s">
        <v>300</v>
      </c>
      <c r="R26" s="1" t="s">
        <v>301</v>
      </c>
      <c r="S26" s="1" t="s">
        <v>39</v>
      </c>
      <c r="T26" s="1">
        <v>2002.97</v>
      </c>
      <c r="U26" s="1" t="s">
        <v>40</v>
      </c>
      <c r="V26" s="1" t="s">
        <v>29</v>
      </c>
      <c r="W26" s="1" t="s">
        <v>36</v>
      </c>
      <c r="X26" s="1" t="s">
        <v>29</v>
      </c>
      <c r="Y26" s="1" t="s">
        <v>36</v>
      </c>
      <c r="Z26" s="1" t="s">
        <v>41</v>
      </c>
    </row>
    <row r="27" spans="1:26" s="8" customFormat="1" ht="15.75" x14ac:dyDescent="0.25">
      <c r="A27" s="6" t="s">
        <v>26</v>
      </c>
      <c r="B27" s="6" t="s">
        <v>27</v>
      </c>
      <c r="C27" s="6" t="s">
        <v>602</v>
      </c>
      <c r="D27" s="7">
        <v>12432</v>
      </c>
      <c r="E27" s="6" t="s">
        <v>29</v>
      </c>
      <c r="F27" s="6" t="s">
        <v>605</v>
      </c>
      <c r="G27" s="6" t="s">
        <v>31</v>
      </c>
      <c r="H27" s="6" t="s">
        <v>32</v>
      </c>
      <c r="I27" s="6" t="s">
        <v>33</v>
      </c>
      <c r="J27" s="6">
        <v>53.19</v>
      </c>
      <c r="K27" s="6" t="s">
        <v>32</v>
      </c>
      <c r="L27" s="6" t="s">
        <v>35</v>
      </c>
      <c r="M27" s="6">
        <v>19.68</v>
      </c>
      <c r="N27" s="6" t="s">
        <v>606</v>
      </c>
      <c r="O27" s="6" t="s">
        <v>37</v>
      </c>
      <c r="P27" s="6" t="s">
        <v>36</v>
      </c>
      <c r="Q27" s="6" t="s">
        <v>607</v>
      </c>
      <c r="R27" s="6" t="s">
        <v>608</v>
      </c>
      <c r="S27" s="6" t="s">
        <v>39</v>
      </c>
      <c r="T27" s="6">
        <v>2002.97</v>
      </c>
      <c r="U27" s="6" t="s">
        <v>40</v>
      </c>
      <c r="V27" s="6" t="s">
        <v>29</v>
      </c>
      <c r="W27" s="6" t="s">
        <v>36</v>
      </c>
      <c r="X27" s="6" t="s">
        <v>29</v>
      </c>
      <c r="Y27" s="6" t="s">
        <v>36</v>
      </c>
      <c r="Z27" s="6" t="s">
        <v>41</v>
      </c>
    </row>
    <row r="28" spans="1:26" s="8" customFormat="1" ht="15.75" x14ac:dyDescent="0.25">
      <c r="A28" s="6" t="s">
        <v>26</v>
      </c>
      <c r="B28" s="6" t="s">
        <v>27</v>
      </c>
      <c r="C28" s="6" t="s">
        <v>602</v>
      </c>
      <c r="D28" s="7">
        <v>12432</v>
      </c>
      <c r="E28" s="6" t="s">
        <v>29</v>
      </c>
      <c r="F28" s="6" t="s">
        <v>605</v>
      </c>
      <c r="G28" s="6" t="s">
        <v>61</v>
      </c>
      <c r="H28" s="6" t="s">
        <v>32</v>
      </c>
      <c r="I28" s="6" t="s">
        <v>33</v>
      </c>
      <c r="J28" s="6">
        <v>1.5</v>
      </c>
      <c r="K28" s="6" t="s">
        <v>32</v>
      </c>
      <c r="L28" s="6" t="s">
        <v>35</v>
      </c>
      <c r="M28" s="6">
        <v>0.56000000000000005</v>
      </c>
      <c r="N28" s="6" t="s">
        <v>606</v>
      </c>
      <c r="O28" s="6" t="s">
        <v>37</v>
      </c>
      <c r="P28" s="6" t="s">
        <v>36</v>
      </c>
      <c r="Q28" s="6" t="s">
        <v>607</v>
      </c>
      <c r="R28" s="6" t="s">
        <v>608</v>
      </c>
      <c r="S28" s="6" t="s">
        <v>39</v>
      </c>
      <c r="T28" s="6">
        <v>2002.97</v>
      </c>
      <c r="U28" s="6" t="s">
        <v>40</v>
      </c>
      <c r="V28" s="6" t="s">
        <v>29</v>
      </c>
      <c r="W28" s="6" t="s">
        <v>36</v>
      </c>
      <c r="X28" s="6" t="s">
        <v>29</v>
      </c>
      <c r="Y28" s="6" t="s">
        <v>36</v>
      </c>
      <c r="Z28" s="6" t="s">
        <v>41</v>
      </c>
    </row>
    <row r="29" spans="1:26" s="8" customFormat="1" ht="15.75" x14ac:dyDescent="0.25">
      <c r="A29" s="6" t="s">
        <v>26</v>
      </c>
      <c r="B29" s="6" t="s">
        <v>27</v>
      </c>
      <c r="C29" s="6" t="s">
        <v>602</v>
      </c>
      <c r="D29" s="7">
        <v>12433</v>
      </c>
      <c r="E29" s="6" t="s">
        <v>29</v>
      </c>
      <c r="F29" s="6" t="s">
        <v>605</v>
      </c>
      <c r="G29" s="6" t="s">
        <v>42</v>
      </c>
      <c r="H29" s="6" t="s">
        <v>32</v>
      </c>
      <c r="I29" s="6" t="s">
        <v>33</v>
      </c>
      <c r="J29" s="6">
        <v>10.67</v>
      </c>
      <c r="K29" s="6" t="s">
        <v>32</v>
      </c>
      <c r="L29" s="6" t="s">
        <v>35</v>
      </c>
      <c r="M29" s="6">
        <v>3.95</v>
      </c>
      <c r="N29" s="6" t="s">
        <v>606</v>
      </c>
      <c r="O29" s="6" t="s">
        <v>37</v>
      </c>
      <c r="P29" s="6" t="s">
        <v>36</v>
      </c>
      <c r="Q29" s="6" t="s">
        <v>607</v>
      </c>
      <c r="R29" s="6" t="s">
        <v>608</v>
      </c>
      <c r="S29" s="6" t="s">
        <v>39</v>
      </c>
      <c r="T29" s="6">
        <v>2002.97</v>
      </c>
      <c r="U29" s="6" t="s">
        <v>40</v>
      </c>
      <c r="V29" s="6" t="s">
        <v>29</v>
      </c>
      <c r="W29" s="6" t="s">
        <v>36</v>
      </c>
      <c r="X29" s="6" t="s">
        <v>29</v>
      </c>
      <c r="Y29" s="6" t="s">
        <v>36</v>
      </c>
      <c r="Z29" s="6" t="s">
        <v>41</v>
      </c>
    </row>
    <row r="30" spans="1:26" ht="15.75" x14ac:dyDescent="0.25">
      <c r="A30" s="1" t="s">
        <v>26</v>
      </c>
      <c r="B30" s="1" t="s">
        <v>27</v>
      </c>
      <c r="C30" s="1" t="s">
        <v>122</v>
      </c>
      <c r="D30" s="3">
        <v>89940</v>
      </c>
      <c r="E30" s="1" t="s">
        <v>29</v>
      </c>
      <c r="F30" s="1" t="s">
        <v>134</v>
      </c>
      <c r="G30" s="1" t="s">
        <v>31</v>
      </c>
      <c r="H30" s="1" t="s">
        <v>45</v>
      </c>
      <c r="I30" s="1" t="s">
        <v>46</v>
      </c>
      <c r="J30" s="1">
        <v>44.03</v>
      </c>
      <c r="K30" s="1" t="s">
        <v>135</v>
      </c>
      <c r="L30" s="1" t="s">
        <v>35</v>
      </c>
      <c r="M30" s="1">
        <v>1.76</v>
      </c>
      <c r="N30" s="1" t="s">
        <v>136</v>
      </c>
      <c r="O30" s="1" t="s">
        <v>37</v>
      </c>
      <c r="P30" s="1" t="s">
        <v>36</v>
      </c>
      <c r="Q30" s="1" t="s">
        <v>137</v>
      </c>
      <c r="R30" s="1" t="s">
        <v>138</v>
      </c>
      <c r="S30" s="1" t="s">
        <v>39</v>
      </c>
      <c r="T30" s="1">
        <v>2002.97</v>
      </c>
      <c r="U30" s="1" t="s">
        <v>40</v>
      </c>
      <c r="V30" s="1" t="s">
        <v>29</v>
      </c>
      <c r="W30" s="1" t="s">
        <v>36</v>
      </c>
      <c r="X30" s="1" t="s">
        <v>29</v>
      </c>
      <c r="Y30" s="1" t="s">
        <v>36</v>
      </c>
      <c r="Z30" s="1" t="s">
        <v>41</v>
      </c>
    </row>
    <row r="31" spans="1:26" ht="15.75" x14ac:dyDescent="0.25">
      <c r="A31" s="1" t="s">
        <v>26</v>
      </c>
      <c r="B31" s="1" t="s">
        <v>27</v>
      </c>
      <c r="C31" s="1" t="s">
        <v>122</v>
      </c>
      <c r="D31" s="3">
        <v>89940</v>
      </c>
      <c r="E31" s="1" t="s">
        <v>29</v>
      </c>
      <c r="F31" s="1" t="s">
        <v>134</v>
      </c>
      <c r="G31" s="1" t="s">
        <v>61</v>
      </c>
      <c r="H31" s="1" t="s">
        <v>45</v>
      </c>
      <c r="I31" s="1" t="s">
        <v>46</v>
      </c>
      <c r="J31" s="1">
        <v>1.5</v>
      </c>
      <c r="K31" s="1" t="s">
        <v>135</v>
      </c>
      <c r="L31" s="1" t="s">
        <v>35</v>
      </c>
      <c r="M31" s="1">
        <v>0.06</v>
      </c>
      <c r="N31" s="1" t="s">
        <v>136</v>
      </c>
      <c r="O31" s="1" t="s">
        <v>37</v>
      </c>
      <c r="P31" s="1" t="s">
        <v>36</v>
      </c>
      <c r="Q31" s="1" t="s">
        <v>137</v>
      </c>
      <c r="R31" s="1" t="s">
        <v>138</v>
      </c>
      <c r="S31" s="1" t="s">
        <v>39</v>
      </c>
      <c r="T31" s="1">
        <v>2002.97</v>
      </c>
      <c r="U31" s="1" t="s">
        <v>40</v>
      </c>
      <c r="V31" s="1" t="s">
        <v>29</v>
      </c>
      <c r="W31" s="1" t="s">
        <v>36</v>
      </c>
      <c r="X31" s="1" t="s">
        <v>29</v>
      </c>
      <c r="Y31" s="1" t="s">
        <v>36</v>
      </c>
      <c r="Z31" s="1" t="s">
        <v>41</v>
      </c>
    </row>
    <row r="32" spans="1:26" ht="15.75" x14ac:dyDescent="0.25">
      <c r="A32" s="1" t="s">
        <v>26</v>
      </c>
      <c r="B32" s="1" t="s">
        <v>27</v>
      </c>
      <c r="C32" s="1" t="s">
        <v>282</v>
      </c>
      <c r="D32" s="3">
        <v>5453</v>
      </c>
      <c r="E32" s="1" t="s">
        <v>29</v>
      </c>
      <c r="F32" s="1" t="s">
        <v>283</v>
      </c>
      <c r="G32" s="1" t="s">
        <v>42</v>
      </c>
      <c r="H32" s="1" t="s">
        <v>284</v>
      </c>
      <c r="I32" s="1" t="s">
        <v>102</v>
      </c>
      <c r="J32" s="1">
        <v>-19.63</v>
      </c>
      <c r="K32" s="1" t="s">
        <v>285</v>
      </c>
      <c r="L32" s="1" t="s">
        <v>35</v>
      </c>
      <c r="M32" s="1">
        <v>-7.26</v>
      </c>
      <c r="N32" s="1" t="s">
        <v>286</v>
      </c>
      <c r="O32" s="1" t="s">
        <v>37</v>
      </c>
      <c r="P32" s="1" t="s">
        <v>36</v>
      </c>
      <c r="Q32" s="1" t="s">
        <v>287</v>
      </c>
      <c r="R32" s="1" t="s">
        <v>288</v>
      </c>
      <c r="S32" s="1" t="s">
        <v>39</v>
      </c>
      <c r="T32" s="1">
        <v>2002.97</v>
      </c>
      <c r="U32" s="1" t="s">
        <v>40</v>
      </c>
      <c r="V32" s="1" t="s">
        <v>29</v>
      </c>
      <c r="W32" s="1" t="s">
        <v>36</v>
      </c>
      <c r="X32" s="1" t="s">
        <v>29</v>
      </c>
      <c r="Y32" s="1" t="s">
        <v>36</v>
      </c>
      <c r="Z32" s="1" t="s">
        <v>289</v>
      </c>
    </row>
    <row r="33" spans="1:26" ht="15.75" x14ac:dyDescent="0.25">
      <c r="A33" s="1" t="s">
        <v>26</v>
      </c>
      <c r="B33" s="1" t="s">
        <v>27</v>
      </c>
      <c r="C33" s="1" t="s">
        <v>282</v>
      </c>
      <c r="D33" s="3">
        <v>71141</v>
      </c>
      <c r="E33" s="1" t="s">
        <v>29</v>
      </c>
      <c r="F33" s="1" t="s">
        <v>351</v>
      </c>
      <c r="G33" s="1" t="s">
        <v>31</v>
      </c>
      <c r="H33" s="1" t="s">
        <v>121</v>
      </c>
      <c r="I33" s="1" t="s">
        <v>101</v>
      </c>
      <c r="J33" s="1">
        <v>67.8</v>
      </c>
      <c r="K33" s="1" t="s">
        <v>345</v>
      </c>
      <c r="L33" s="1" t="s">
        <v>35</v>
      </c>
      <c r="M33" s="1">
        <v>25.09</v>
      </c>
      <c r="N33" s="1" t="s">
        <v>286</v>
      </c>
      <c r="O33" s="1" t="s">
        <v>37</v>
      </c>
      <c r="P33" s="1" t="s">
        <v>36</v>
      </c>
      <c r="Q33" s="1" t="s">
        <v>287</v>
      </c>
      <c r="R33" s="1" t="s">
        <v>352</v>
      </c>
      <c r="S33" s="1" t="s">
        <v>39</v>
      </c>
      <c r="T33" s="1">
        <v>2002.97</v>
      </c>
      <c r="U33" s="1" t="s">
        <v>40</v>
      </c>
      <c r="V33" s="1" t="s">
        <v>29</v>
      </c>
      <c r="W33" s="1" t="s">
        <v>36</v>
      </c>
      <c r="X33" s="1" t="s">
        <v>29</v>
      </c>
      <c r="Y33" s="1" t="s">
        <v>36</v>
      </c>
      <c r="Z33" s="1" t="s">
        <v>41</v>
      </c>
    </row>
    <row r="34" spans="1:26" ht="15.75" x14ac:dyDescent="0.25">
      <c r="A34" s="1" t="s">
        <v>26</v>
      </c>
      <c r="B34" s="1" t="s">
        <v>27</v>
      </c>
      <c r="C34" s="1" t="s">
        <v>282</v>
      </c>
      <c r="D34" s="3">
        <v>71141</v>
      </c>
      <c r="E34" s="1" t="s">
        <v>29</v>
      </c>
      <c r="F34" s="1" t="s">
        <v>351</v>
      </c>
      <c r="G34" s="1" t="s">
        <v>61</v>
      </c>
      <c r="H34" s="1" t="s">
        <v>121</v>
      </c>
      <c r="I34" s="1" t="s">
        <v>101</v>
      </c>
      <c r="J34" s="1">
        <v>1.5</v>
      </c>
      <c r="K34" s="1" t="s">
        <v>345</v>
      </c>
      <c r="L34" s="1" t="s">
        <v>35</v>
      </c>
      <c r="M34" s="1">
        <v>0.55000000000000004</v>
      </c>
      <c r="N34" s="1" t="s">
        <v>286</v>
      </c>
      <c r="O34" s="1" t="s">
        <v>37</v>
      </c>
      <c r="P34" s="1" t="s">
        <v>36</v>
      </c>
      <c r="Q34" s="1" t="s">
        <v>287</v>
      </c>
      <c r="R34" s="1" t="s">
        <v>352</v>
      </c>
      <c r="S34" s="1" t="s">
        <v>39</v>
      </c>
      <c r="T34" s="1">
        <v>2002.97</v>
      </c>
      <c r="U34" s="1" t="s">
        <v>40</v>
      </c>
      <c r="V34" s="1" t="s">
        <v>29</v>
      </c>
      <c r="W34" s="1" t="s">
        <v>36</v>
      </c>
      <c r="X34" s="1" t="s">
        <v>29</v>
      </c>
      <c r="Y34" s="1" t="s">
        <v>36</v>
      </c>
      <c r="Z34" s="1" t="s">
        <v>41</v>
      </c>
    </row>
    <row r="35" spans="1:26" ht="15.75" x14ac:dyDescent="0.25">
      <c r="A35" s="1" t="s">
        <v>26</v>
      </c>
      <c r="B35" s="1" t="s">
        <v>27</v>
      </c>
      <c r="C35" s="1" t="s">
        <v>282</v>
      </c>
      <c r="D35" s="3">
        <v>71142</v>
      </c>
      <c r="E35" s="1" t="s">
        <v>29</v>
      </c>
      <c r="F35" s="1" t="s">
        <v>351</v>
      </c>
      <c r="G35" s="1" t="s">
        <v>42</v>
      </c>
      <c r="H35" s="1" t="s">
        <v>121</v>
      </c>
      <c r="I35" s="1" t="s">
        <v>101</v>
      </c>
      <c r="J35" s="1">
        <v>16.34</v>
      </c>
      <c r="K35" s="1" t="s">
        <v>345</v>
      </c>
      <c r="L35" s="1" t="s">
        <v>35</v>
      </c>
      <c r="M35" s="1">
        <v>6.05</v>
      </c>
      <c r="N35" s="1" t="s">
        <v>286</v>
      </c>
      <c r="O35" s="1" t="s">
        <v>37</v>
      </c>
      <c r="P35" s="1" t="s">
        <v>36</v>
      </c>
      <c r="Q35" s="1" t="s">
        <v>287</v>
      </c>
      <c r="R35" s="1" t="s">
        <v>352</v>
      </c>
      <c r="S35" s="1" t="s">
        <v>39</v>
      </c>
      <c r="T35" s="1">
        <v>2002.97</v>
      </c>
      <c r="U35" s="1" t="s">
        <v>40</v>
      </c>
      <c r="V35" s="1" t="s">
        <v>29</v>
      </c>
      <c r="W35" s="1" t="s">
        <v>36</v>
      </c>
      <c r="X35" s="1" t="s">
        <v>29</v>
      </c>
      <c r="Y35" s="1" t="s">
        <v>36</v>
      </c>
      <c r="Z35" s="1" t="s">
        <v>41</v>
      </c>
    </row>
    <row r="36" spans="1:26" ht="15.75" x14ac:dyDescent="0.25">
      <c r="A36" s="1" t="s">
        <v>26</v>
      </c>
      <c r="B36" s="1" t="s">
        <v>27</v>
      </c>
      <c r="C36" s="1" t="s">
        <v>372</v>
      </c>
      <c r="D36" s="3">
        <v>14569</v>
      </c>
      <c r="E36" s="1" t="s">
        <v>29</v>
      </c>
      <c r="F36" s="1" t="s">
        <v>402</v>
      </c>
      <c r="G36" s="1" t="s">
        <v>31</v>
      </c>
      <c r="H36" s="1" t="s">
        <v>101</v>
      </c>
      <c r="I36" s="1" t="s">
        <v>102</v>
      </c>
      <c r="J36" s="1">
        <v>67.8</v>
      </c>
      <c r="K36" s="1" t="s">
        <v>398</v>
      </c>
      <c r="L36" s="1" t="s">
        <v>35</v>
      </c>
      <c r="M36" s="1">
        <v>25.09</v>
      </c>
      <c r="N36" s="1" t="s">
        <v>286</v>
      </c>
      <c r="O36" s="1" t="s">
        <v>37</v>
      </c>
      <c r="P36" s="1" t="s">
        <v>36</v>
      </c>
      <c r="Q36" s="1" t="s">
        <v>287</v>
      </c>
      <c r="R36" s="1" t="s">
        <v>403</v>
      </c>
      <c r="S36" s="1" t="s">
        <v>39</v>
      </c>
      <c r="T36" s="1">
        <v>2002.97</v>
      </c>
      <c r="U36" s="1" t="s">
        <v>40</v>
      </c>
      <c r="V36" s="1" t="s">
        <v>29</v>
      </c>
      <c r="W36" s="1" t="s">
        <v>36</v>
      </c>
      <c r="X36" s="1" t="s">
        <v>29</v>
      </c>
      <c r="Y36" s="1" t="s">
        <v>36</v>
      </c>
      <c r="Z36" s="1" t="s">
        <v>41</v>
      </c>
    </row>
    <row r="37" spans="1:26" ht="15.75" x14ac:dyDescent="0.25">
      <c r="A37" s="1" t="s">
        <v>26</v>
      </c>
      <c r="B37" s="1" t="s">
        <v>27</v>
      </c>
      <c r="C37" s="1" t="s">
        <v>372</v>
      </c>
      <c r="D37" s="3">
        <v>14569</v>
      </c>
      <c r="E37" s="1" t="s">
        <v>29</v>
      </c>
      <c r="F37" s="1" t="s">
        <v>402</v>
      </c>
      <c r="G37" s="1" t="s">
        <v>61</v>
      </c>
      <c r="H37" s="1" t="s">
        <v>101</v>
      </c>
      <c r="I37" s="1" t="s">
        <v>102</v>
      </c>
      <c r="J37" s="1">
        <v>1.5</v>
      </c>
      <c r="K37" s="1" t="s">
        <v>398</v>
      </c>
      <c r="L37" s="1" t="s">
        <v>35</v>
      </c>
      <c r="M37" s="1">
        <v>0.55000000000000004</v>
      </c>
      <c r="N37" s="1" t="s">
        <v>286</v>
      </c>
      <c r="O37" s="1" t="s">
        <v>37</v>
      </c>
      <c r="P37" s="1" t="s">
        <v>36</v>
      </c>
      <c r="Q37" s="1" t="s">
        <v>287</v>
      </c>
      <c r="R37" s="1" t="s">
        <v>403</v>
      </c>
      <c r="S37" s="1" t="s">
        <v>39</v>
      </c>
      <c r="T37" s="1">
        <v>2002.97</v>
      </c>
      <c r="U37" s="1" t="s">
        <v>40</v>
      </c>
      <c r="V37" s="1" t="s">
        <v>29</v>
      </c>
      <c r="W37" s="1" t="s">
        <v>36</v>
      </c>
      <c r="X37" s="1" t="s">
        <v>29</v>
      </c>
      <c r="Y37" s="1" t="s">
        <v>36</v>
      </c>
      <c r="Z37" s="1" t="s">
        <v>41</v>
      </c>
    </row>
    <row r="38" spans="1:26" ht="15.75" x14ac:dyDescent="0.25">
      <c r="A38" s="1" t="s">
        <v>26</v>
      </c>
      <c r="B38" s="1" t="s">
        <v>27</v>
      </c>
      <c r="C38" s="1" t="s">
        <v>372</v>
      </c>
      <c r="D38" s="3">
        <v>14570</v>
      </c>
      <c r="E38" s="1" t="s">
        <v>29</v>
      </c>
      <c r="F38" s="1" t="s">
        <v>402</v>
      </c>
      <c r="G38" s="1" t="s">
        <v>42</v>
      </c>
      <c r="H38" s="1" t="s">
        <v>101</v>
      </c>
      <c r="I38" s="1" t="s">
        <v>102</v>
      </c>
      <c r="J38" s="1">
        <v>16.34</v>
      </c>
      <c r="K38" s="1" t="s">
        <v>398</v>
      </c>
      <c r="L38" s="1" t="s">
        <v>35</v>
      </c>
      <c r="M38" s="1">
        <v>6.05</v>
      </c>
      <c r="N38" s="1" t="s">
        <v>286</v>
      </c>
      <c r="O38" s="1" t="s">
        <v>37</v>
      </c>
      <c r="P38" s="1" t="s">
        <v>36</v>
      </c>
      <c r="Q38" s="1" t="s">
        <v>287</v>
      </c>
      <c r="R38" s="1" t="s">
        <v>403</v>
      </c>
      <c r="S38" s="1" t="s">
        <v>39</v>
      </c>
      <c r="T38" s="1">
        <v>2002.97</v>
      </c>
      <c r="U38" s="1" t="s">
        <v>40</v>
      </c>
      <c r="V38" s="1" t="s">
        <v>29</v>
      </c>
      <c r="W38" s="1" t="s">
        <v>36</v>
      </c>
      <c r="X38" s="1" t="s">
        <v>29</v>
      </c>
      <c r="Y38" s="1" t="s">
        <v>36</v>
      </c>
      <c r="Z38" s="1" t="s">
        <v>41</v>
      </c>
    </row>
    <row r="39" spans="1:26" ht="15.75" x14ac:dyDescent="0.25">
      <c r="A39" s="1" t="s">
        <v>26</v>
      </c>
      <c r="B39" s="1" t="s">
        <v>27</v>
      </c>
      <c r="C39" s="1" t="s">
        <v>511</v>
      </c>
      <c r="D39" s="3">
        <v>90282</v>
      </c>
      <c r="E39" s="1" t="s">
        <v>29</v>
      </c>
      <c r="F39" s="1" t="s">
        <v>598</v>
      </c>
      <c r="G39" s="1" t="s">
        <v>42</v>
      </c>
      <c r="H39" s="1" t="s">
        <v>33</v>
      </c>
      <c r="I39" s="1" t="s">
        <v>45</v>
      </c>
      <c r="J39" s="1">
        <v>11.88</v>
      </c>
      <c r="K39" s="1" t="s">
        <v>228</v>
      </c>
      <c r="L39" s="1" t="s">
        <v>35</v>
      </c>
      <c r="M39" s="1">
        <v>4.4000000000000004</v>
      </c>
      <c r="N39" s="1" t="s">
        <v>286</v>
      </c>
      <c r="O39" s="1" t="s">
        <v>37</v>
      </c>
      <c r="P39" s="1" t="s">
        <v>36</v>
      </c>
      <c r="Q39" s="1" t="s">
        <v>287</v>
      </c>
      <c r="R39" s="1" t="s">
        <v>599</v>
      </c>
      <c r="S39" s="1" t="s">
        <v>39</v>
      </c>
      <c r="T39" s="1">
        <v>2002.97</v>
      </c>
      <c r="U39" s="1" t="s">
        <v>40</v>
      </c>
      <c r="V39" s="1" t="s">
        <v>29</v>
      </c>
      <c r="W39" s="1" t="s">
        <v>36</v>
      </c>
      <c r="X39" s="1" t="s">
        <v>29</v>
      </c>
      <c r="Y39" s="1" t="s">
        <v>36</v>
      </c>
      <c r="Z39" s="1" t="s">
        <v>41</v>
      </c>
    </row>
    <row r="40" spans="1:26" ht="15.75" x14ac:dyDescent="0.25">
      <c r="A40" s="1" t="s">
        <v>26</v>
      </c>
      <c r="B40" s="1" t="s">
        <v>27</v>
      </c>
      <c r="C40" s="1" t="s">
        <v>64</v>
      </c>
      <c r="D40" s="3">
        <v>54452</v>
      </c>
      <c r="E40" s="1" t="s">
        <v>29</v>
      </c>
      <c r="F40" s="1" t="s">
        <v>72</v>
      </c>
      <c r="G40" s="1" t="s">
        <v>31</v>
      </c>
      <c r="H40" s="1" t="s">
        <v>73</v>
      </c>
      <c r="I40" s="1" t="s">
        <v>45</v>
      </c>
      <c r="J40" s="1">
        <v>72.59</v>
      </c>
      <c r="K40" s="1" t="s">
        <v>74</v>
      </c>
      <c r="L40" s="1" t="s">
        <v>35</v>
      </c>
      <c r="M40" s="1">
        <v>2.9</v>
      </c>
      <c r="N40" s="1" t="s">
        <v>75</v>
      </c>
      <c r="O40" s="1" t="s">
        <v>37</v>
      </c>
      <c r="P40" s="1" t="s">
        <v>36</v>
      </c>
      <c r="Q40" s="1" t="s">
        <v>76</v>
      </c>
      <c r="R40" s="1" t="s">
        <v>77</v>
      </c>
      <c r="S40" s="1" t="s">
        <v>39</v>
      </c>
      <c r="T40" s="1">
        <v>2002.97</v>
      </c>
      <c r="U40" s="1" t="s">
        <v>40</v>
      </c>
      <c r="V40" s="1" t="s">
        <v>29</v>
      </c>
      <c r="W40" s="1" t="s">
        <v>36</v>
      </c>
      <c r="X40" s="1" t="s">
        <v>29</v>
      </c>
      <c r="Y40" s="1" t="s">
        <v>36</v>
      </c>
      <c r="Z40" s="1" t="s">
        <v>41</v>
      </c>
    </row>
    <row r="41" spans="1:26" ht="15.75" x14ac:dyDescent="0.25">
      <c r="A41" s="1" t="s">
        <v>26</v>
      </c>
      <c r="B41" s="1" t="s">
        <v>27</v>
      </c>
      <c r="C41" s="1" t="s">
        <v>64</v>
      </c>
      <c r="D41" s="3">
        <v>54452</v>
      </c>
      <c r="E41" s="1" t="s">
        <v>29</v>
      </c>
      <c r="F41" s="1" t="s">
        <v>72</v>
      </c>
      <c r="G41" s="1" t="s">
        <v>61</v>
      </c>
      <c r="H41" s="1" t="s">
        <v>73</v>
      </c>
      <c r="I41" s="1" t="s">
        <v>45</v>
      </c>
      <c r="J41" s="1">
        <v>2.69</v>
      </c>
      <c r="K41" s="1" t="s">
        <v>74</v>
      </c>
      <c r="L41" s="1" t="s">
        <v>35</v>
      </c>
      <c r="M41" s="1">
        <v>0.11</v>
      </c>
      <c r="N41" s="1" t="s">
        <v>75</v>
      </c>
      <c r="O41" s="1" t="s">
        <v>37</v>
      </c>
      <c r="P41" s="1" t="s">
        <v>36</v>
      </c>
      <c r="Q41" s="1" t="s">
        <v>76</v>
      </c>
      <c r="R41" s="1" t="s">
        <v>77</v>
      </c>
      <c r="S41" s="1" t="s">
        <v>39</v>
      </c>
      <c r="T41" s="1">
        <v>2002.97</v>
      </c>
      <c r="U41" s="1" t="s">
        <v>40</v>
      </c>
      <c r="V41" s="1" t="s">
        <v>29</v>
      </c>
      <c r="W41" s="1" t="s">
        <v>36</v>
      </c>
      <c r="X41" s="1" t="s">
        <v>29</v>
      </c>
      <c r="Y41" s="1" t="s">
        <v>36</v>
      </c>
      <c r="Z41" s="1" t="s">
        <v>41</v>
      </c>
    </row>
    <row r="42" spans="1:26" ht="15.75" x14ac:dyDescent="0.25">
      <c r="A42" s="1" t="s">
        <v>26</v>
      </c>
      <c r="B42" s="1" t="s">
        <v>27</v>
      </c>
      <c r="C42" s="1" t="s">
        <v>90</v>
      </c>
      <c r="D42" s="3">
        <v>41575</v>
      </c>
      <c r="E42" s="1" t="s">
        <v>29</v>
      </c>
      <c r="F42" s="1" t="s">
        <v>91</v>
      </c>
      <c r="G42" s="1" t="s">
        <v>31</v>
      </c>
      <c r="H42" s="1" t="s">
        <v>58</v>
      </c>
      <c r="I42" s="1" t="s">
        <v>33</v>
      </c>
      <c r="J42" s="1">
        <v>36.29</v>
      </c>
      <c r="K42" s="1" t="s">
        <v>92</v>
      </c>
      <c r="L42" s="1" t="s">
        <v>35</v>
      </c>
      <c r="M42" s="1">
        <v>1.45</v>
      </c>
      <c r="N42" s="1" t="s">
        <v>75</v>
      </c>
      <c r="O42" s="1" t="s">
        <v>37</v>
      </c>
      <c r="P42" s="1" t="s">
        <v>36</v>
      </c>
      <c r="Q42" s="1" t="s">
        <v>76</v>
      </c>
      <c r="R42" s="1" t="s">
        <v>93</v>
      </c>
      <c r="S42" s="1" t="s">
        <v>39</v>
      </c>
      <c r="T42" s="1">
        <v>2002.97</v>
      </c>
      <c r="U42" s="1" t="s">
        <v>40</v>
      </c>
      <c r="V42" s="1" t="s">
        <v>29</v>
      </c>
      <c r="W42" s="1" t="s">
        <v>36</v>
      </c>
      <c r="X42" s="1" t="s">
        <v>29</v>
      </c>
      <c r="Y42" s="1" t="s">
        <v>36</v>
      </c>
      <c r="Z42" s="1" t="s">
        <v>41</v>
      </c>
    </row>
    <row r="43" spans="1:26" ht="15.75" x14ac:dyDescent="0.25">
      <c r="A43" s="1" t="s">
        <v>26</v>
      </c>
      <c r="B43" s="1" t="s">
        <v>27</v>
      </c>
      <c r="C43" s="1" t="s">
        <v>90</v>
      </c>
      <c r="D43" s="3">
        <v>41575</v>
      </c>
      <c r="E43" s="1" t="s">
        <v>29</v>
      </c>
      <c r="F43" s="1" t="s">
        <v>91</v>
      </c>
      <c r="G43" s="1" t="s">
        <v>61</v>
      </c>
      <c r="H43" s="1" t="s">
        <v>58</v>
      </c>
      <c r="I43" s="1" t="s">
        <v>33</v>
      </c>
      <c r="J43" s="1">
        <v>1.5</v>
      </c>
      <c r="K43" s="1" t="s">
        <v>92</v>
      </c>
      <c r="L43" s="1" t="s">
        <v>35</v>
      </c>
      <c r="M43" s="1">
        <v>0.06</v>
      </c>
      <c r="N43" s="1" t="s">
        <v>75</v>
      </c>
      <c r="O43" s="1" t="s">
        <v>37</v>
      </c>
      <c r="P43" s="1" t="s">
        <v>36</v>
      </c>
      <c r="Q43" s="1" t="s">
        <v>76</v>
      </c>
      <c r="R43" s="1" t="s">
        <v>93</v>
      </c>
      <c r="S43" s="1" t="s">
        <v>39</v>
      </c>
      <c r="T43" s="1">
        <v>2002.97</v>
      </c>
      <c r="U43" s="1" t="s">
        <v>40</v>
      </c>
      <c r="V43" s="1" t="s">
        <v>29</v>
      </c>
      <c r="W43" s="1" t="s">
        <v>36</v>
      </c>
      <c r="X43" s="1" t="s">
        <v>29</v>
      </c>
      <c r="Y43" s="1" t="s">
        <v>36</v>
      </c>
      <c r="Z43" s="1" t="s">
        <v>41</v>
      </c>
    </row>
    <row r="44" spans="1:26" ht="15.75" x14ac:dyDescent="0.25">
      <c r="A44" s="1" t="s">
        <v>26</v>
      </c>
      <c r="B44" s="1" t="s">
        <v>27</v>
      </c>
      <c r="C44" s="1" t="s">
        <v>90</v>
      </c>
      <c r="D44" s="3">
        <v>49983</v>
      </c>
      <c r="E44" s="1" t="s">
        <v>29</v>
      </c>
      <c r="F44" s="1" t="s">
        <v>107</v>
      </c>
      <c r="G44" s="1" t="s">
        <v>42</v>
      </c>
      <c r="H44" s="1" t="s">
        <v>45</v>
      </c>
      <c r="I44" s="1" t="s">
        <v>46</v>
      </c>
      <c r="J44" s="1">
        <v>19.63</v>
      </c>
      <c r="K44" s="1" t="s">
        <v>98</v>
      </c>
      <c r="L44" s="1" t="s">
        <v>35</v>
      </c>
      <c r="M44" s="1">
        <v>0.79</v>
      </c>
      <c r="N44" s="1" t="s">
        <v>75</v>
      </c>
      <c r="O44" s="1" t="s">
        <v>37</v>
      </c>
      <c r="P44" s="1" t="s">
        <v>36</v>
      </c>
      <c r="Q44" s="1" t="s">
        <v>76</v>
      </c>
      <c r="R44" s="1" t="s">
        <v>108</v>
      </c>
      <c r="S44" s="1" t="s">
        <v>39</v>
      </c>
      <c r="T44" s="1">
        <v>2002.97</v>
      </c>
      <c r="U44" s="1" t="s">
        <v>40</v>
      </c>
      <c r="V44" s="1" t="s">
        <v>29</v>
      </c>
      <c r="W44" s="1" t="s">
        <v>36</v>
      </c>
      <c r="X44" s="1" t="s">
        <v>29</v>
      </c>
      <c r="Y44" s="1" t="s">
        <v>36</v>
      </c>
      <c r="Z44" s="1" t="s">
        <v>41</v>
      </c>
    </row>
    <row r="45" spans="1:26" ht="15.75" x14ac:dyDescent="0.25">
      <c r="A45" s="1" t="s">
        <v>26</v>
      </c>
      <c r="B45" s="1" t="s">
        <v>27</v>
      </c>
      <c r="C45" s="1" t="s">
        <v>90</v>
      </c>
      <c r="D45" s="3">
        <v>77735</v>
      </c>
      <c r="E45" s="1" t="s">
        <v>29</v>
      </c>
      <c r="F45" s="1" t="s">
        <v>109</v>
      </c>
      <c r="G45" s="1" t="s">
        <v>31</v>
      </c>
      <c r="H45" s="1" t="s">
        <v>58</v>
      </c>
      <c r="I45" s="1" t="s">
        <v>33</v>
      </c>
      <c r="J45" s="1">
        <v>36.29</v>
      </c>
      <c r="K45" s="1" t="s">
        <v>110</v>
      </c>
      <c r="L45" s="1" t="s">
        <v>35</v>
      </c>
      <c r="M45" s="1">
        <v>1.45</v>
      </c>
      <c r="N45" s="1" t="s">
        <v>75</v>
      </c>
      <c r="O45" s="1" t="s">
        <v>37</v>
      </c>
      <c r="P45" s="1" t="s">
        <v>36</v>
      </c>
      <c r="Q45" s="1" t="s">
        <v>76</v>
      </c>
      <c r="R45" s="1" t="s">
        <v>111</v>
      </c>
      <c r="S45" s="1" t="s">
        <v>39</v>
      </c>
      <c r="T45" s="1">
        <v>2002.97</v>
      </c>
      <c r="U45" s="1" t="s">
        <v>40</v>
      </c>
      <c r="V45" s="1" t="s">
        <v>29</v>
      </c>
      <c r="W45" s="1" t="s">
        <v>36</v>
      </c>
      <c r="X45" s="1" t="s">
        <v>29</v>
      </c>
      <c r="Y45" s="1" t="s">
        <v>36</v>
      </c>
      <c r="Z45" s="1" t="s">
        <v>41</v>
      </c>
    </row>
    <row r="46" spans="1:26" ht="15.75" x14ac:dyDescent="0.25">
      <c r="A46" s="1" t="s">
        <v>26</v>
      </c>
      <c r="B46" s="1" t="s">
        <v>27</v>
      </c>
      <c r="C46" s="1" t="s">
        <v>90</v>
      </c>
      <c r="D46" s="3">
        <v>77735</v>
      </c>
      <c r="E46" s="1" t="s">
        <v>29</v>
      </c>
      <c r="F46" s="1" t="s">
        <v>109</v>
      </c>
      <c r="G46" s="1" t="s">
        <v>61</v>
      </c>
      <c r="H46" s="1" t="s">
        <v>58</v>
      </c>
      <c r="I46" s="1" t="s">
        <v>33</v>
      </c>
      <c r="J46" s="1">
        <v>1.5</v>
      </c>
      <c r="K46" s="1" t="s">
        <v>110</v>
      </c>
      <c r="L46" s="1" t="s">
        <v>35</v>
      </c>
      <c r="M46" s="1">
        <v>0.06</v>
      </c>
      <c r="N46" s="1" t="s">
        <v>75</v>
      </c>
      <c r="O46" s="1" t="s">
        <v>37</v>
      </c>
      <c r="P46" s="1" t="s">
        <v>36</v>
      </c>
      <c r="Q46" s="1" t="s">
        <v>76</v>
      </c>
      <c r="R46" s="1" t="s">
        <v>111</v>
      </c>
      <c r="S46" s="1" t="s">
        <v>39</v>
      </c>
      <c r="T46" s="1">
        <v>2002.97</v>
      </c>
      <c r="U46" s="1" t="s">
        <v>40</v>
      </c>
      <c r="V46" s="1" t="s">
        <v>29</v>
      </c>
      <c r="W46" s="1" t="s">
        <v>36</v>
      </c>
      <c r="X46" s="1" t="s">
        <v>29</v>
      </c>
      <c r="Y46" s="1" t="s">
        <v>36</v>
      </c>
      <c r="Z46" s="1" t="s">
        <v>41</v>
      </c>
    </row>
    <row r="47" spans="1:26" ht="15.75" x14ac:dyDescent="0.25">
      <c r="A47" s="1" t="s">
        <v>26</v>
      </c>
      <c r="B47" s="1" t="s">
        <v>27</v>
      </c>
      <c r="C47" s="1" t="s">
        <v>90</v>
      </c>
      <c r="D47" s="3">
        <v>77736</v>
      </c>
      <c r="E47" s="1" t="s">
        <v>29</v>
      </c>
      <c r="F47" s="1" t="s">
        <v>109</v>
      </c>
      <c r="G47" s="1" t="s">
        <v>42</v>
      </c>
      <c r="H47" s="1" t="s">
        <v>58</v>
      </c>
      <c r="I47" s="1" t="s">
        <v>33</v>
      </c>
      <c r="J47" s="1">
        <v>16.34</v>
      </c>
      <c r="K47" s="1" t="s">
        <v>110</v>
      </c>
      <c r="L47" s="1" t="s">
        <v>35</v>
      </c>
      <c r="M47" s="1">
        <v>0.65</v>
      </c>
      <c r="N47" s="1" t="s">
        <v>75</v>
      </c>
      <c r="O47" s="1" t="s">
        <v>37</v>
      </c>
      <c r="P47" s="1" t="s">
        <v>36</v>
      </c>
      <c r="Q47" s="1" t="s">
        <v>76</v>
      </c>
      <c r="R47" s="1" t="s">
        <v>111</v>
      </c>
      <c r="S47" s="1" t="s">
        <v>39</v>
      </c>
      <c r="T47" s="1">
        <v>2002.97</v>
      </c>
      <c r="U47" s="1" t="s">
        <v>40</v>
      </c>
      <c r="V47" s="1" t="s">
        <v>29</v>
      </c>
      <c r="W47" s="1" t="s">
        <v>36</v>
      </c>
      <c r="X47" s="1" t="s">
        <v>29</v>
      </c>
      <c r="Y47" s="1" t="s">
        <v>36</v>
      </c>
      <c r="Z47" s="1" t="s">
        <v>41</v>
      </c>
    </row>
    <row r="48" spans="1:26" ht="15.75" x14ac:dyDescent="0.25">
      <c r="A48" s="1" t="s">
        <v>26</v>
      </c>
      <c r="B48" s="1" t="s">
        <v>27</v>
      </c>
      <c r="C48" s="1" t="s">
        <v>122</v>
      </c>
      <c r="D48" s="3">
        <v>55359</v>
      </c>
      <c r="E48" s="1" t="s">
        <v>29</v>
      </c>
      <c r="F48" s="1" t="s">
        <v>132</v>
      </c>
      <c r="G48" s="1" t="s">
        <v>31</v>
      </c>
      <c r="H48" s="1" t="s">
        <v>45</v>
      </c>
      <c r="I48" s="1" t="s">
        <v>46</v>
      </c>
      <c r="J48" s="1">
        <v>38.51</v>
      </c>
      <c r="K48" s="1" t="s">
        <v>124</v>
      </c>
      <c r="L48" s="1" t="s">
        <v>35</v>
      </c>
      <c r="M48" s="1">
        <v>1.54</v>
      </c>
      <c r="N48" s="1" t="s">
        <v>75</v>
      </c>
      <c r="O48" s="1" t="s">
        <v>37</v>
      </c>
      <c r="P48" s="1" t="s">
        <v>36</v>
      </c>
      <c r="Q48" s="1" t="s">
        <v>76</v>
      </c>
      <c r="R48" s="1" t="s">
        <v>133</v>
      </c>
      <c r="S48" s="1" t="s">
        <v>39</v>
      </c>
      <c r="T48" s="1">
        <v>2002.97</v>
      </c>
      <c r="U48" s="1" t="s">
        <v>40</v>
      </c>
      <c r="V48" s="1" t="s">
        <v>29</v>
      </c>
      <c r="W48" s="1" t="s">
        <v>36</v>
      </c>
      <c r="X48" s="1" t="s">
        <v>29</v>
      </c>
      <c r="Y48" s="1" t="s">
        <v>36</v>
      </c>
      <c r="Z48" s="1" t="s">
        <v>41</v>
      </c>
    </row>
    <row r="49" spans="1:26" ht="15.75" x14ac:dyDescent="0.25">
      <c r="A49" s="1" t="s">
        <v>26</v>
      </c>
      <c r="B49" s="1" t="s">
        <v>27</v>
      </c>
      <c r="C49" s="1" t="s">
        <v>139</v>
      </c>
      <c r="D49" s="3">
        <v>18116</v>
      </c>
      <c r="E49" s="1" t="s">
        <v>29</v>
      </c>
      <c r="F49" s="1" t="s">
        <v>143</v>
      </c>
      <c r="G49" s="1" t="s">
        <v>42</v>
      </c>
      <c r="H49" s="1" t="s">
        <v>144</v>
      </c>
      <c r="I49" s="1" t="s">
        <v>45</v>
      </c>
      <c r="J49" s="1">
        <v>-16.34</v>
      </c>
      <c r="K49" s="1" t="s">
        <v>145</v>
      </c>
      <c r="L49" s="1" t="s">
        <v>35</v>
      </c>
      <c r="M49" s="1">
        <v>-0.65</v>
      </c>
      <c r="N49" s="1" t="s">
        <v>75</v>
      </c>
      <c r="O49" s="1" t="s">
        <v>37</v>
      </c>
      <c r="P49" s="1" t="s">
        <v>36</v>
      </c>
      <c r="Q49" s="1" t="s">
        <v>76</v>
      </c>
      <c r="R49" s="1" t="s">
        <v>146</v>
      </c>
      <c r="S49" s="1" t="s">
        <v>39</v>
      </c>
      <c r="T49" s="1">
        <v>2002.97</v>
      </c>
      <c r="U49" s="1" t="s">
        <v>40</v>
      </c>
      <c r="V49" s="1" t="s">
        <v>29</v>
      </c>
      <c r="W49" s="1" t="s">
        <v>36</v>
      </c>
      <c r="X49" s="1" t="s">
        <v>29</v>
      </c>
      <c r="Y49" s="1" t="s">
        <v>36</v>
      </c>
      <c r="Z49" s="1" t="s">
        <v>41</v>
      </c>
    </row>
    <row r="50" spans="1:26" ht="15.75" x14ac:dyDescent="0.25">
      <c r="A50" s="1" t="s">
        <v>26</v>
      </c>
      <c r="B50" s="1" t="s">
        <v>27</v>
      </c>
      <c r="C50" s="1" t="s">
        <v>139</v>
      </c>
      <c r="D50" s="3">
        <v>84620</v>
      </c>
      <c r="E50" s="1" t="s">
        <v>29</v>
      </c>
      <c r="F50" s="1" t="s">
        <v>179</v>
      </c>
      <c r="G50" s="1" t="s">
        <v>31</v>
      </c>
      <c r="H50" s="1" t="s">
        <v>32</v>
      </c>
      <c r="I50" s="1" t="s">
        <v>33</v>
      </c>
      <c r="J50" s="1">
        <v>36.29</v>
      </c>
      <c r="K50" s="1" t="s">
        <v>174</v>
      </c>
      <c r="L50" s="1" t="s">
        <v>35</v>
      </c>
      <c r="M50" s="1">
        <v>1.45</v>
      </c>
      <c r="N50" s="1" t="s">
        <v>75</v>
      </c>
      <c r="O50" s="1" t="s">
        <v>37</v>
      </c>
      <c r="P50" s="1" t="s">
        <v>36</v>
      </c>
      <c r="Q50" s="1" t="s">
        <v>76</v>
      </c>
      <c r="R50" s="1" t="s">
        <v>180</v>
      </c>
      <c r="S50" s="1" t="s">
        <v>39</v>
      </c>
      <c r="T50" s="1">
        <v>2002.97</v>
      </c>
      <c r="U50" s="1" t="s">
        <v>40</v>
      </c>
      <c r="V50" s="1" t="s">
        <v>29</v>
      </c>
      <c r="W50" s="1" t="s">
        <v>36</v>
      </c>
      <c r="X50" s="1" t="s">
        <v>29</v>
      </c>
      <c r="Y50" s="1" t="s">
        <v>36</v>
      </c>
      <c r="Z50" s="1" t="s">
        <v>41</v>
      </c>
    </row>
    <row r="51" spans="1:26" ht="15.75" x14ac:dyDescent="0.25">
      <c r="A51" s="1" t="s">
        <v>26</v>
      </c>
      <c r="B51" s="1" t="s">
        <v>27</v>
      </c>
      <c r="C51" s="1" t="s">
        <v>139</v>
      </c>
      <c r="D51" s="3">
        <v>84620</v>
      </c>
      <c r="E51" s="1" t="s">
        <v>29</v>
      </c>
      <c r="F51" s="1" t="s">
        <v>179</v>
      </c>
      <c r="G51" s="1" t="s">
        <v>61</v>
      </c>
      <c r="H51" s="1" t="s">
        <v>32</v>
      </c>
      <c r="I51" s="1" t="s">
        <v>33</v>
      </c>
      <c r="J51" s="1">
        <v>1.5</v>
      </c>
      <c r="K51" s="1" t="s">
        <v>174</v>
      </c>
      <c r="L51" s="1" t="s">
        <v>35</v>
      </c>
      <c r="M51" s="1">
        <v>0.06</v>
      </c>
      <c r="N51" s="1" t="s">
        <v>75</v>
      </c>
      <c r="O51" s="1" t="s">
        <v>37</v>
      </c>
      <c r="P51" s="1" t="s">
        <v>36</v>
      </c>
      <c r="Q51" s="1" t="s">
        <v>76</v>
      </c>
      <c r="R51" s="1" t="s">
        <v>180</v>
      </c>
      <c r="S51" s="1" t="s">
        <v>39</v>
      </c>
      <c r="T51" s="1">
        <v>2002.97</v>
      </c>
      <c r="U51" s="1" t="s">
        <v>40</v>
      </c>
      <c r="V51" s="1" t="s">
        <v>29</v>
      </c>
      <c r="W51" s="1" t="s">
        <v>36</v>
      </c>
      <c r="X51" s="1" t="s">
        <v>29</v>
      </c>
      <c r="Y51" s="1" t="s">
        <v>36</v>
      </c>
      <c r="Z51" s="1" t="s">
        <v>41</v>
      </c>
    </row>
    <row r="52" spans="1:26" ht="15.75" x14ac:dyDescent="0.25">
      <c r="A52" s="1" t="s">
        <v>26</v>
      </c>
      <c r="B52" s="1" t="s">
        <v>27</v>
      </c>
      <c r="C52" s="1" t="s">
        <v>282</v>
      </c>
      <c r="D52" s="3">
        <v>19851</v>
      </c>
      <c r="E52" s="1" t="s">
        <v>29</v>
      </c>
      <c r="F52" s="1" t="s">
        <v>317</v>
      </c>
      <c r="G52" s="1" t="s">
        <v>31</v>
      </c>
      <c r="H52" s="1" t="s">
        <v>33</v>
      </c>
      <c r="I52" s="1" t="s">
        <v>45</v>
      </c>
      <c r="J52" s="1">
        <v>36.29</v>
      </c>
      <c r="K52" s="1" t="s">
        <v>318</v>
      </c>
      <c r="L52" s="1" t="s">
        <v>35</v>
      </c>
      <c r="M52" s="1">
        <v>13.43</v>
      </c>
      <c r="N52" s="1" t="s">
        <v>75</v>
      </c>
      <c r="O52" s="1" t="s">
        <v>37</v>
      </c>
      <c r="P52" s="1" t="s">
        <v>36</v>
      </c>
      <c r="Q52" s="1" t="s">
        <v>76</v>
      </c>
      <c r="R52" s="1" t="s">
        <v>319</v>
      </c>
      <c r="S52" s="1" t="s">
        <v>39</v>
      </c>
      <c r="T52" s="1">
        <v>2002.97</v>
      </c>
      <c r="U52" s="1" t="s">
        <v>40</v>
      </c>
      <c r="V52" s="1" t="s">
        <v>29</v>
      </c>
      <c r="W52" s="1" t="s">
        <v>36</v>
      </c>
      <c r="X52" s="1" t="s">
        <v>29</v>
      </c>
      <c r="Y52" s="1" t="s">
        <v>36</v>
      </c>
      <c r="Z52" s="1" t="s">
        <v>41</v>
      </c>
    </row>
    <row r="53" spans="1:26" ht="15.75" x14ac:dyDescent="0.25">
      <c r="A53" s="1" t="s">
        <v>26</v>
      </c>
      <c r="B53" s="1" t="s">
        <v>27</v>
      </c>
      <c r="C53" s="1" t="s">
        <v>282</v>
      </c>
      <c r="D53" s="3">
        <v>19851</v>
      </c>
      <c r="E53" s="1" t="s">
        <v>29</v>
      </c>
      <c r="F53" s="1" t="s">
        <v>317</v>
      </c>
      <c r="G53" s="1" t="s">
        <v>61</v>
      </c>
      <c r="H53" s="1" t="s">
        <v>33</v>
      </c>
      <c r="I53" s="1" t="s">
        <v>45</v>
      </c>
      <c r="J53" s="1">
        <v>1.5</v>
      </c>
      <c r="K53" s="1" t="s">
        <v>318</v>
      </c>
      <c r="L53" s="1" t="s">
        <v>35</v>
      </c>
      <c r="M53" s="1">
        <v>0.55000000000000004</v>
      </c>
      <c r="N53" s="1" t="s">
        <v>75</v>
      </c>
      <c r="O53" s="1" t="s">
        <v>37</v>
      </c>
      <c r="P53" s="1" t="s">
        <v>36</v>
      </c>
      <c r="Q53" s="1" t="s">
        <v>76</v>
      </c>
      <c r="R53" s="1" t="s">
        <v>319</v>
      </c>
      <c r="S53" s="1" t="s">
        <v>39</v>
      </c>
      <c r="T53" s="1">
        <v>2002.97</v>
      </c>
      <c r="U53" s="1" t="s">
        <v>40</v>
      </c>
      <c r="V53" s="1" t="s">
        <v>29</v>
      </c>
      <c r="W53" s="1" t="s">
        <v>36</v>
      </c>
      <c r="X53" s="1" t="s">
        <v>29</v>
      </c>
      <c r="Y53" s="1" t="s">
        <v>36</v>
      </c>
      <c r="Z53" s="1" t="s">
        <v>41</v>
      </c>
    </row>
    <row r="54" spans="1:26" ht="15.75" x14ac:dyDescent="0.25">
      <c r="A54" s="1" t="s">
        <v>26</v>
      </c>
      <c r="B54" s="1" t="s">
        <v>27</v>
      </c>
      <c r="C54" s="1" t="s">
        <v>282</v>
      </c>
      <c r="D54" s="3">
        <v>19852</v>
      </c>
      <c r="E54" s="1" t="s">
        <v>29</v>
      </c>
      <c r="F54" s="1" t="s">
        <v>317</v>
      </c>
      <c r="G54" s="1" t="s">
        <v>42</v>
      </c>
      <c r="H54" s="1" t="s">
        <v>33</v>
      </c>
      <c r="I54" s="1" t="s">
        <v>45</v>
      </c>
      <c r="J54" s="1">
        <v>16.34</v>
      </c>
      <c r="K54" s="1" t="s">
        <v>318</v>
      </c>
      <c r="L54" s="1" t="s">
        <v>35</v>
      </c>
      <c r="M54" s="1">
        <v>6.05</v>
      </c>
      <c r="N54" s="1" t="s">
        <v>75</v>
      </c>
      <c r="O54" s="1" t="s">
        <v>37</v>
      </c>
      <c r="P54" s="1" t="s">
        <v>36</v>
      </c>
      <c r="Q54" s="1" t="s">
        <v>76</v>
      </c>
      <c r="R54" s="1" t="s">
        <v>319</v>
      </c>
      <c r="S54" s="1" t="s">
        <v>39</v>
      </c>
      <c r="T54" s="1">
        <v>2002.97</v>
      </c>
      <c r="U54" s="1" t="s">
        <v>40</v>
      </c>
      <c r="V54" s="1" t="s">
        <v>29</v>
      </c>
      <c r="W54" s="1" t="s">
        <v>36</v>
      </c>
      <c r="X54" s="1" t="s">
        <v>29</v>
      </c>
      <c r="Y54" s="1" t="s">
        <v>36</v>
      </c>
      <c r="Z54" s="1" t="s">
        <v>41</v>
      </c>
    </row>
    <row r="55" spans="1:26" ht="15.75" x14ac:dyDescent="0.25">
      <c r="A55" s="1" t="s">
        <v>26</v>
      </c>
      <c r="B55" s="1" t="s">
        <v>27</v>
      </c>
      <c r="C55" s="1" t="s">
        <v>282</v>
      </c>
      <c r="D55" s="3">
        <v>63026</v>
      </c>
      <c r="E55" s="1" t="s">
        <v>29</v>
      </c>
      <c r="F55" s="1" t="s">
        <v>333</v>
      </c>
      <c r="G55" s="1" t="s">
        <v>31</v>
      </c>
      <c r="H55" s="1" t="s">
        <v>45</v>
      </c>
      <c r="I55" s="1" t="s">
        <v>46</v>
      </c>
      <c r="J55" s="1">
        <v>36.29</v>
      </c>
      <c r="K55" s="1" t="s">
        <v>334</v>
      </c>
      <c r="L55" s="1" t="s">
        <v>35</v>
      </c>
      <c r="M55" s="1">
        <v>13.43</v>
      </c>
      <c r="N55" s="1" t="s">
        <v>75</v>
      </c>
      <c r="O55" s="1" t="s">
        <v>37</v>
      </c>
      <c r="P55" s="1" t="s">
        <v>36</v>
      </c>
      <c r="Q55" s="1" t="s">
        <v>76</v>
      </c>
      <c r="R55" s="1" t="s">
        <v>335</v>
      </c>
      <c r="S55" s="1" t="s">
        <v>39</v>
      </c>
      <c r="T55" s="1">
        <v>2002.97</v>
      </c>
      <c r="U55" s="1" t="s">
        <v>40</v>
      </c>
      <c r="V55" s="1" t="s">
        <v>29</v>
      </c>
      <c r="W55" s="1" t="s">
        <v>36</v>
      </c>
      <c r="X55" s="1" t="s">
        <v>29</v>
      </c>
      <c r="Y55" s="1" t="s">
        <v>36</v>
      </c>
      <c r="Z55" s="1" t="s">
        <v>41</v>
      </c>
    </row>
    <row r="56" spans="1:26" ht="15.75" x14ac:dyDescent="0.25">
      <c r="A56" s="1" t="s">
        <v>26</v>
      </c>
      <c r="B56" s="1" t="s">
        <v>27</v>
      </c>
      <c r="C56" s="1" t="s">
        <v>282</v>
      </c>
      <c r="D56" s="3">
        <v>63026</v>
      </c>
      <c r="E56" s="1" t="s">
        <v>29</v>
      </c>
      <c r="F56" s="1" t="s">
        <v>333</v>
      </c>
      <c r="G56" s="1" t="s">
        <v>61</v>
      </c>
      <c r="H56" s="1" t="s">
        <v>45</v>
      </c>
      <c r="I56" s="1" t="s">
        <v>46</v>
      </c>
      <c r="J56" s="1">
        <v>1.5</v>
      </c>
      <c r="K56" s="1" t="s">
        <v>334</v>
      </c>
      <c r="L56" s="1" t="s">
        <v>35</v>
      </c>
      <c r="M56" s="1">
        <v>0.55000000000000004</v>
      </c>
      <c r="N56" s="1" t="s">
        <v>75</v>
      </c>
      <c r="O56" s="1" t="s">
        <v>37</v>
      </c>
      <c r="P56" s="1" t="s">
        <v>36</v>
      </c>
      <c r="Q56" s="1" t="s">
        <v>76</v>
      </c>
      <c r="R56" s="1" t="s">
        <v>335</v>
      </c>
      <c r="S56" s="1" t="s">
        <v>39</v>
      </c>
      <c r="T56" s="1">
        <v>2002.97</v>
      </c>
      <c r="U56" s="1" t="s">
        <v>40</v>
      </c>
      <c r="V56" s="1" t="s">
        <v>29</v>
      </c>
      <c r="W56" s="1" t="s">
        <v>36</v>
      </c>
      <c r="X56" s="1" t="s">
        <v>29</v>
      </c>
      <c r="Y56" s="1" t="s">
        <v>36</v>
      </c>
      <c r="Z56" s="1" t="s">
        <v>41</v>
      </c>
    </row>
    <row r="57" spans="1:26" ht="15.75" x14ac:dyDescent="0.25">
      <c r="A57" s="1" t="s">
        <v>26</v>
      </c>
      <c r="B57" s="1" t="s">
        <v>27</v>
      </c>
      <c r="C57" s="1" t="s">
        <v>282</v>
      </c>
      <c r="D57" s="3">
        <v>65676</v>
      </c>
      <c r="E57" s="1" t="s">
        <v>29</v>
      </c>
      <c r="F57" s="1" t="s">
        <v>336</v>
      </c>
      <c r="G57" s="1" t="s">
        <v>31</v>
      </c>
      <c r="H57" s="1" t="s">
        <v>148</v>
      </c>
      <c r="I57" s="1" t="s">
        <v>33</v>
      </c>
      <c r="J57" s="1">
        <v>36.29</v>
      </c>
      <c r="K57" s="1" t="s">
        <v>337</v>
      </c>
      <c r="L57" s="1" t="s">
        <v>35</v>
      </c>
      <c r="M57" s="1">
        <v>13.43</v>
      </c>
      <c r="N57" s="1" t="s">
        <v>75</v>
      </c>
      <c r="O57" s="1" t="s">
        <v>37</v>
      </c>
      <c r="P57" s="1" t="s">
        <v>36</v>
      </c>
      <c r="Q57" s="1" t="s">
        <v>76</v>
      </c>
      <c r="R57" s="1" t="s">
        <v>338</v>
      </c>
      <c r="S57" s="1" t="s">
        <v>39</v>
      </c>
      <c r="T57" s="1">
        <v>2002.97</v>
      </c>
      <c r="U57" s="1" t="s">
        <v>40</v>
      </c>
      <c r="V57" s="1" t="s">
        <v>29</v>
      </c>
      <c r="W57" s="1" t="s">
        <v>36</v>
      </c>
      <c r="X57" s="1" t="s">
        <v>29</v>
      </c>
      <c r="Y57" s="1" t="s">
        <v>36</v>
      </c>
      <c r="Z57" s="1" t="s">
        <v>41</v>
      </c>
    </row>
    <row r="58" spans="1:26" ht="15.75" x14ac:dyDescent="0.25">
      <c r="A58" s="1" t="s">
        <v>26</v>
      </c>
      <c r="B58" s="1" t="s">
        <v>27</v>
      </c>
      <c r="C58" s="1" t="s">
        <v>282</v>
      </c>
      <c r="D58" s="3">
        <v>65676</v>
      </c>
      <c r="E58" s="1" t="s">
        <v>29</v>
      </c>
      <c r="F58" s="1" t="s">
        <v>336</v>
      </c>
      <c r="G58" s="1" t="s">
        <v>61</v>
      </c>
      <c r="H58" s="1" t="s">
        <v>148</v>
      </c>
      <c r="I58" s="1" t="s">
        <v>33</v>
      </c>
      <c r="J58" s="1">
        <v>1.5</v>
      </c>
      <c r="K58" s="1" t="s">
        <v>337</v>
      </c>
      <c r="L58" s="1" t="s">
        <v>35</v>
      </c>
      <c r="M58" s="1">
        <v>0.55000000000000004</v>
      </c>
      <c r="N58" s="1" t="s">
        <v>75</v>
      </c>
      <c r="O58" s="1" t="s">
        <v>37</v>
      </c>
      <c r="P58" s="1" t="s">
        <v>36</v>
      </c>
      <c r="Q58" s="1" t="s">
        <v>76</v>
      </c>
      <c r="R58" s="1" t="s">
        <v>338</v>
      </c>
      <c r="S58" s="1" t="s">
        <v>39</v>
      </c>
      <c r="T58" s="1">
        <v>2002.97</v>
      </c>
      <c r="U58" s="1" t="s">
        <v>40</v>
      </c>
      <c r="V58" s="1" t="s">
        <v>29</v>
      </c>
      <c r="W58" s="1" t="s">
        <v>36</v>
      </c>
      <c r="X58" s="1" t="s">
        <v>29</v>
      </c>
      <c r="Y58" s="1" t="s">
        <v>36</v>
      </c>
      <c r="Z58" s="1" t="s">
        <v>41</v>
      </c>
    </row>
    <row r="59" spans="1:26" ht="15.75" x14ac:dyDescent="0.25">
      <c r="A59" s="1" t="s">
        <v>26</v>
      </c>
      <c r="B59" s="1" t="s">
        <v>27</v>
      </c>
      <c r="C59" s="1" t="s">
        <v>282</v>
      </c>
      <c r="D59" s="3">
        <v>65677</v>
      </c>
      <c r="E59" s="1" t="s">
        <v>29</v>
      </c>
      <c r="F59" s="1" t="s">
        <v>336</v>
      </c>
      <c r="G59" s="1" t="s">
        <v>42</v>
      </c>
      <c r="H59" s="1" t="s">
        <v>148</v>
      </c>
      <c r="I59" s="1" t="s">
        <v>33</v>
      </c>
      <c r="J59" s="1">
        <v>16.34</v>
      </c>
      <c r="K59" s="1" t="s">
        <v>337</v>
      </c>
      <c r="L59" s="1" t="s">
        <v>35</v>
      </c>
      <c r="M59" s="1">
        <v>6.05</v>
      </c>
      <c r="N59" s="1" t="s">
        <v>75</v>
      </c>
      <c r="O59" s="1" t="s">
        <v>37</v>
      </c>
      <c r="P59" s="1" t="s">
        <v>36</v>
      </c>
      <c r="Q59" s="1" t="s">
        <v>76</v>
      </c>
      <c r="R59" s="1" t="s">
        <v>338</v>
      </c>
      <c r="S59" s="1" t="s">
        <v>39</v>
      </c>
      <c r="T59" s="1">
        <v>2002.97</v>
      </c>
      <c r="U59" s="1" t="s">
        <v>40</v>
      </c>
      <c r="V59" s="1" t="s">
        <v>29</v>
      </c>
      <c r="W59" s="1" t="s">
        <v>36</v>
      </c>
      <c r="X59" s="1" t="s">
        <v>29</v>
      </c>
      <c r="Y59" s="1" t="s">
        <v>36</v>
      </c>
      <c r="Z59" s="1" t="s">
        <v>41</v>
      </c>
    </row>
    <row r="60" spans="1:26" ht="15.75" x14ac:dyDescent="0.25">
      <c r="A60" s="1" t="s">
        <v>26</v>
      </c>
      <c r="B60" s="1" t="s">
        <v>27</v>
      </c>
      <c r="C60" s="1" t="s">
        <v>282</v>
      </c>
      <c r="D60" s="3">
        <v>72509</v>
      </c>
      <c r="E60" s="1" t="s">
        <v>29</v>
      </c>
      <c r="F60" s="1" t="s">
        <v>360</v>
      </c>
      <c r="G60" s="1" t="s">
        <v>42</v>
      </c>
      <c r="H60" s="1" t="s">
        <v>33</v>
      </c>
      <c r="I60" s="1" t="s">
        <v>45</v>
      </c>
      <c r="J60" s="1">
        <v>16.34</v>
      </c>
      <c r="K60" s="1" t="s">
        <v>358</v>
      </c>
      <c r="L60" s="1" t="s">
        <v>35</v>
      </c>
      <c r="M60" s="1">
        <v>6.05</v>
      </c>
      <c r="N60" s="1" t="s">
        <v>75</v>
      </c>
      <c r="O60" s="1" t="s">
        <v>37</v>
      </c>
      <c r="P60" s="1" t="s">
        <v>36</v>
      </c>
      <c r="Q60" s="1" t="s">
        <v>76</v>
      </c>
      <c r="R60" s="1" t="s">
        <v>361</v>
      </c>
      <c r="S60" s="1" t="s">
        <v>39</v>
      </c>
      <c r="T60" s="1">
        <v>2002.97</v>
      </c>
      <c r="U60" s="1" t="s">
        <v>40</v>
      </c>
      <c r="V60" s="1" t="s">
        <v>29</v>
      </c>
      <c r="W60" s="1" t="s">
        <v>36</v>
      </c>
      <c r="X60" s="1" t="s">
        <v>29</v>
      </c>
      <c r="Y60" s="1" t="s">
        <v>36</v>
      </c>
      <c r="Z60" s="1" t="s">
        <v>41</v>
      </c>
    </row>
    <row r="61" spans="1:26" ht="15.75" x14ac:dyDescent="0.25">
      <c r="A61" s="1" t="s">
        <v>26</v>
      </c>
      <c r="B61" s="1" t="s">
        <v>27</v>
      </c>
      <c r="C61" s="1" t="s">
        <v>372</v>
      </c>
      <c r="D61" s="3">
        <v>14048</v>
      </c>
      <c r="E61" s="1" t="s">
        <v>29</v>
      </c>
      <c r="F61" s="1" t="s">
        <v>397</v>
      </c>
      <c r="G61" s="1" t="s">
        <v>31</v>
      </c>
      <c r="H61" s="1" t="s">
        <v>101</v>
      </c>
      <c r="I61" s="1" t="s">
        <v>102</v>
      </c>
      <c r="J61" s="1">
        <v>72.59</v>
      </c>
      <c r="K61" s="1" t="s">
        <v>398</v>
      </c>
      <c r="L61" s="1" t="s">
        <v>35</v>
      </c>
      <c r="M61" s="1">
        <v>26.85</v>
      </c>
      <c r="N61" s="1" t="s">
        <v>75</v>
      </c>
      <c r="O61" s="1" t="s">
        <v>37</v>
      </c>
      <c r="P61" s="1" t="s">
        <v>36</v>
      </c>
      <c r="Q61" s="1" t="s">
        <v>76</v>
      </c>
      <c r="R61" s="1" t="s">
        <v>399</v>
      </c>
      <c r="S61" s="1" t="s">
        <v>39</v>
      </c>
      <c r="T61" s="1">
        <v>2002.97</v>
      </c>
      <c r="U61" s="1" t="s">
        <v>40</v>
      </c>
      <c r="V61" s="1" t="s">
        <v>29</v>
      </c>
      <c r="W61" s="1" t="s">
        <v>36</v>
      </c>
      <c r="X61" s="1" t="s">
        <v>29</v>
      </c>
      <c r="Y61" s="1" t="s">
        <v>36</v>
      </c>
      <c r="Z61" s="1" t="s">
        <v>41</v>
      </c>
    </row>
    <row r="62" spans="1:26" ht="15.75" x14ac:dyDescent="0.25">
      <c r="A62" s="1" t="s">
        <v>26</v>
      </c>
      <c r="B62" s="1" t="s">
        <v>27</v>
      </c>
      <c r="C62" s="1" t="s">
        <v>372</v>
      </c>
      <c r="D62" s="3">
        <v>14048</v>
      </c>
      <c r="E62" s="1" t="s">
        <v>29</v>
      </c>
      <c r="F62" s="1" t="s">
        <v>397</v>
      </c>
      <c r="G62" s="1" t="s">
        <v>61</v>
      </c>
      <c r="H62" s="1" t="s">
        <v>101</v>
      </c>
      <c r="I62" s="1" t="s">
        <v>102</v>
      </c>
      <c r="J62" s="1">
        <v>2.69</v>
      </c>
      <c r="K62" s="1" t="s">
        <v>398</v>
      </c>
      <c r="L62" s="1" t="s">
        <v>35</v>
      </c>
      <c r="M62" s="1">
        <v>1</v>
      </c>
      <c r="N62" s="1" t="s">
        <v>75</v>
      </c>
      <c r="O62" s="1" t="s">
        <v>37</v>
      </c>
      <c r="P62" s="1" t="s">
        <v>36</v>
      </c>
      <c r="Q62" s="1" t="s">
        <v>76</v>
      </c>
      <c r="R62" s="1" t="s">
        <v>399</v>
      </c>
      <c r="S62" s="1" t="s">
        <v>39</v>
      </c>
      <c r="T62" s="1">
        <v>2002.97</v>
      </c>
      <c r="U62" s="1" t="s">
        <v>40</v>
      </c>
      <c r="V62" s="1" t="s">
        <v>29</v>
      </c>
      <c r="W62" s="1" t="s">
        <v>36</v>
      </c>
      <c r="X62" s="1" t="s">
        <v>29</v>
      </c>
      <c r="Y62" s="1" t="s">
        <v>36</v>
      </c>
      <c r="Z62" s="1" t="s">
        <v>41</v>
      </c>
    </row>
    <row r="63" spans="1:26" ht="15.75" x14ac:dyDescent="0.25">
      <c r="A63" s="1" t="s">
        <v>26</v>
      </c>
      <c r="B63" s="1" t="s">
        <v>27</v>
      </c>
      <c r="C63" s="1" t="s">
        <v>372</v>
      </c>
      <c r="D63" s="3">
        <v>18524</v>
      </c>
      <c r="E63" s="1" t="s">
        <v>29</v>
      </c>
      <c r="F63" s="1" t="s">
        <v>412</v>
      </c>
      <c r="G63" s="1" t="s">
        <v>42</v>
      </c>
      <c r="H63" s="1" t="s">
        <v>413</v>
      </c>
      <c r="I63" s="1" t="s">
        <v>102</v>
      </c>
      <c r="J63" s="1">
        <v>-16.34</v>
      </c>
      <c r="K63" s="1" t="s">
        <v>414</v>
      </c>
      <c r="L63" s="1" t="s">
        <v>35</v>
      </c>
      <c r="M63" s="1">
        <v>-6.05</v>
      </c>
      <c r="N63" s="1" t="s">
        <v>75</v>
      </c>
      <c r="O63" s="1" t="s">
        <v>37</v>
      </c>
      <c r="P63" s="1" t="s">
        <v>36</v>
      </c>
      <c r="Q63" s="1" t="s">
        <v>76</v>
      </c>
      <c r="R63" s="1" t="s">
        <v>415</v>
      </c>
      <c r="S63" s="1" t="s">
        <v>39</v>
      </c>
      <c r="T63" s="1">
        <v>2002.97</v>
      </c>
      <c r="U63" s="1" t="s">
        <v>40</v>
      </c>
      <c r="V63" s="1" t="s">
        <v>29</v>
      </c>
      <c r="W63" s="1" t="s">
        <v>36</v>
      </c>
      <c r="X63" s="1" t="s">
        <v>29</v>
      </c>
      <c r="Y63" s="1" t="s">
        <v>36</v>
      </c>
      <c r="Z63" s="1" t="s">
        <v>289</v>
      </c>
    </row>
    <row r="64" spans="1:26" ht="15.75" x14ac:dyDescent="0.25">
      <c r="A64" s="1" t="s">
        <v>26</v>
      </c>
      <c r="B64" s="1" t="s">
        <v>27</v>
      </c>
      <c r="C64" s="1" t="s">
        <v>372</v>
      </c>
      <c r="D64" s="3">
        <v>21762</v>
      </c>
      <c r="E64" s="1" t="s">
        <v>29</v>
      </c>
      <c r="F64" s="1" t="s">
        <v>416</v>
      </c>
      <c r="G64" s="1" t="s">
        <v>31</v>
      </c>
      <c r="H64" s="1" t="s">
        <v>148</v>
      </c>
      <c r="I64" s="1" t="s">
        <v>33</v>
      </c>
      <c r="J64" s="1">
        <v>36.29</v>
      </c>
      <c r="K64" s="1" t="s">
        <v>417</v>
      </c>
      <c r="L64" s="1" t="s">
        <v>35</v>
      </c>
      <c r="M64" s="1">
        <v>13.43</v>
      </c>
      <c r="N64" s="1" t="s">
        <v>75</v>
      </c>
      <c r="O64" s="1" t="s">
        <v>37</v>
      </c>
      <c r="P64" s="1" t="s">
        <v>36</v>
      </c>
      <c r="Q64" s="1" t="s">
        <v>76</v>
      </c>
      <c r="R64" s="1" t="s">
        <v>418</v>
      </c>
      <c r="S64" s="1" t="s">
        <v>39</v>
      </c>
      <c r="T64" s="1">
        <v>2002.97</v>
      </c>
      <c r="U64" s="1" t="s">
        <v>40</v>
      </c>
      <c r="V64" s="1" t="s">
        <v>29</v>
      </c>
      <c r="W64" s="1" t="s">
        <v>36</v>
      </c>
      <c r="X64" s="1" t="s">
        <v>29</v>
      </c>
      <c r="Y64" s="1" t="s">
        <v>36</v>
      </c>
      <c r="Z64" s="1" t="s">
        <v>41</v>
      </c>
    </row>
    <row r="65" spans="1:26" ht="15.75" x14ac:dyDescent="0.25">
      <c r="A65" s="1" t="s">
        <v>26</v>
      </c>
      <c r="B65" s="1" t="s">
        <v>27</v>
      </c>
      <c r="C65" s="1" t="s">
        <v>372</v>
      </c>
      <c r="D65" s="3">
        <v>21762</v>
      </c>
      <c r="E65" s="1" t="s">
        <v>29</v>
      </c>
      <c r="F65" s="1" t="s">
        <v>416</v>
      </c>
      <c r="G65" s="1" t="s">
        <v>61</v>
      </c>
      <c r="H65" s="1" t="s">
        <v>148</v>
      </c>
      <c r="I65" s="1" t="s">
        <v>33</v>
      </c>
      <c r="J65" s="1">
        <v>1.5</v>
      </c>
      <c r="K65" s="1" t="s">
        <v>417</v>
      </c>
      <c r="L65" s="1" t="s">
        <v>35</v>
      </c>
      <c r="M65" s="1">
        <v>0.55000000000000004</v>
      </c>
      <c r="N65" s="1" t="s">
        <v>75</v>
      </c>
      <c r="O65" s="1" t="s">
        <v>37</v>
      </c>
      <c r="P65" s="1" t="s">
        <v>36</v>
      </c>
      <c r="Q65" s="1" t="s">
        <v>76</v>
      </c>
      <c r="R65" s="1" t="s">
        <v>418</v>
      </c>
      <c r="S65" s="1" t="s">
        <v>39</v>
      </c>
      <c r="T65" s="1">
        <v>2002.97</v>
      </c>
      <c r="U65" s="1" t="s">
        <v>40</v>
      </c>
      <c r="V65" s="1" t="s">
        <v>29</v>
      </c>
      <c r="W65" s="1" t="s">
        <v>36</v>
      </c>
      <c r="X65" s="1" t="s">
        <v>29</v>
      </c>
      <c r="Y65" s="1" t="s">
        <v>36</v>
      </c>
      <c r="Z65" s="1" t="s">
        <v>41</v>
      </c>
    </row>
    <row r="66" spans="1:26" ht="15.75" x14ac:dyDescent="0.25">
      <c r="A66" s="1" t="s">
        <v>26</v>
      </c>
      <c r="B66" s="1" t="s">
        <v>27</v>
      </c>
      <c r="C66" s="1" t="s">
        <v>372</v>
      </c>
      <c r="D66" s="3">
        <v>21763</v>
      </c>
      <c r="E66" s="1" t="s">
        <v>29</v>
      </c>
      <c r="F66" s="1" t="s">
        <v>416</v>
      </c>
      <c r="G66" s="1" t="s">
        <v>42</v>
      </c>
      <c r="H66" s="1" t="s">
        <v>148</v>
      </c>
      <c r="I66" s="1" t="s">
        <v>33</v>
      </c>
      <c r="J66" s="1">
        <v>16.34</v>
      </c>
      <c r="K66" s="1" t="s">
        <v>417</v>
      </c>
      <c r="L66" s="1" t="s">
        <v>35</v>
      </c>
      <c r="M66" s="1">
        <v>6.05</v>
      </c>
      <c r="N66" s="1" t="s">
        <v>75</v>
      </c>
      <c r="O66" s="1" t="s">
        <v>37</v>
      </c>
      <c r="P66" s="1" t="s">
        <v>36</v>
      </c>
      <c r="Q66" s="1" t="s">
        <v>76</v>
      </c>
      <c r="R66" s="1" t="s">
        <v>418</v>
      </c>
      <c r="S66" s="1" t="s">
        <v>39</v>
      </c>
      <c r="T66" s="1">
        <v>2002.97</v>
      </c>
      <c r="U66" s="1" t="s">
        <v>40</v>
      </c>
      <c r="V66" s="1" t="s">
        <v>29</v>
      </c>
      <c r="W66" s="1" t="s">
        <v>36</v>
      </c>
      <c r="X66" s="1" t="s">
        <v>29</v>
      </c>
      <c r="Y66" s="1" t="s">
        <v>36</v>
      </c>
      <c r="Z66" s="1" t="s">
        <v>41</v>
      </c>
    </row>
    <row r="67" spans="1:26" ht="15.75" x14ac:dyDescent="0.25">
      <c r="A67" s="1" t="s">
        <v>26</v>
      </c>
      <c r="B67" s="1" t="s">
        <v>27</v>
      </c>
      <c r="C67" s="1" t="s">
        <v>429</v>
      </c>
      <c r="D67" s="3">
        <v>27133</v>
      </c>
      <c r="E67" s="1" t="s">
        <v>29</v>
      </c>
      <c r="F67" s="1" t="s">
        <v>438</v>
      </c>
      <c r="G67" s="1" t="s">
        <v>31</v>
      </c>
      <c r="H67" s="1" t="s">
        <v>32</v>
      </c>
      <c r="I67" s="1" t="s">
        <v>33</v>
      </c>
      <c r="J67" s="1">
        <v>36.29</v>
      </c>
      <c r="K67" s="1" t="s">
        <v>439</v>
      </c>
      <c r="L67" s="1" t="s">
        <v>35</v>
      </c>
      <c r="M67" s="1">
        <v>13.43</v>
      </c>
      <c r="N67" s="1" t="s">
        <v>75</v>
      </c>
      <c r="O67" s="1" t="s">
        <v>37</v>
      </c>
      <c r="P67" s="1" t="s">
        <v>36</v>
      </c>
      <c r="Q67" s="1" t="s">
        <v>76</v>
      </c>
      <c r="R67" s="1" t="s">
        <v>440</v>
      </c>
      <c r="S67" s="1" t="s">
        <v>39</v>
      </c>
      <c r="T67" s="1">
        <v>2002.97</v>
      </c>
      <c r="U67" s="1" t="s">
        <v>40</v>
      </c>
      <c r="V67" s="1" t="s">
        <v>29</v>
      </c>
      <c r="W67" s="1" t="s">
        <v>36</v>
      </c>
      <c r="X67" s="1" t="s">
        <v>29</v>
      </c>
      <c r="Y67" s="1" t="s">
        <v>36</v>
      </c>
      <c r="Z67" s="1" t="s">
        <v>41</v>
      </c>
    </row>
    <row r="68" spans="1:26" ht="15.75" x14ac:dyDescent="0.25">
      <c r="A68" s="1" t="s">
        <v>26</v>
      </c>
      <c r="B68" s="1" t="s">
        <v>27</v>
      </c>
      <c r="C68" s="1" t="s">
        <v>429</v>
      </c>
      <c r="D68" s="3">
        <v>27133</v>
      </c>
      <c r="E68" s="1" t="s">
        <v>29</v>
      </c>
      <c r="F68" s="1" t="s">
        <v>438</v>
      </c>
      <c r="G68" s="1" t="s">
        <v>61</v>
      </c>
      <c r="H68" s="1" t="s">
        <v>32</v>
      </c>
      <c r="I68" s="1" t="s">
        <v>33</v>
      </c>
      <c r="J68" s="1">
        <v>1.5</v>
      </c>
      <c r="K68" s="1" t="s">
        <v>439</v>
      </c>
      <c r="L68" s="1" t="s">
        <v>35</v>
      </c>
      <c r="M68" s="1">
        <v>0.55000000000000004</v>
      </c>
      <c r="N68" s="1" t="s">
        <v>75</v>
      </c>
      <c r="O68" s="1" t="s">
        <v>37</v>
      </c>
      <c r="P68" s="1" t="s">
        <v>36</v>
      </c>
      <c r="Q68" s="1" t="s">
        <v>76</v>
      </c>
      <c r="R68" s="1" t="s">
        <v>440</v>
      </c>
      <c r="S68" s="1" t="s">
        <v>39</v>
      </c>
      <c r="T68" s="1">
        <v>2002.97</v>
      </c>
      <c r="U68" s="1" t="s">
        <v>40</v>
      </c>
      <c r="V68" s="1" t="s">
        <v>29</v>
      </c>
      <c r="W68" s="1" t="s">
        <v>36</v>
      </c>
      <c r="X68" s="1" t="s">
        <v>29</v>
      </c>
      <c r="Y68" s="1" t="s">
        <v>36</v>
      </c>
      <c r="Z68" s="1" t="s">
        <v>41</v>
      </c>
    </row>
    <row r="69" spans="1:26" ht="15.75" x14ac:dyDescent="0.25">
      <c r="A69" s="1" t="s">
        <v>26</v>
      </c>
      <c r="B69" s="1" t="s">
        <v>27</v>
      </c>
      <c r="C69" s="1" t="s">
        <v>511</v>
      </c>
      <c r="D69" s="3">
        <v>28647</v>
      </c>
      <c r="E69" s="1" t="s">
        <v>29</v>
      </c>
      <c r="F69" s="1" t="s">
        <v>526</v>
      </c>
      <c r="G69" s="1" t="s">
        <v>31</v>
      </c>
      <c r="H69" s="1" t="s">
        <v>121</v>
      </c>
      <c r="I69" s="1" t="s">
        <v>101</v>
      </c>
      <c r="J69" s="1">
        <v>41.49</v>
      </c>
      <c r="K69" s="1" t="s">
        <v>527</v>
      </c>
      <c r="L69" s="1" t="s">
        <v>35</v>
      </c>
      <c r="M69" s="1">
        <v>15.35</v>
      </c>
      <c r="N69" s="1" t="s">
        <v>75</v>
      </c>
      <c r="O69" s="1" t="s">
        <v>37</v>
      </c>
      <c r="P69" s="1" t="s">
        <v>36</v>
      </c>
      <c r="Q69" s="1" t="s">
        <v>76</v>
      </c>
      <c r="R69" s="1" t="s">
        <v>528</v>
      </c>
      <c r="S69" s="1" t="s">
        <v>39</v>
      </c>
      <c r="T69" s="1">
        <v>2002.97</v>
      </c>
      <c r="U69" s="1" t="s">
        <v>40</v>
      </c>
      <c r="V69" s="1" t="s">
        <v>29</v>
      </c>
      <c r="W69" s="1" t="s">
        <v>36</v>
      </c>
      <c r="X69" s="1" t="s">
        <v>29</v>
      </c>
      <c r="Y69" s="1" t="s">
        <v>36</v>
      </c>
      <c r="Z69" s="1" t="s">
        <v>41</v>
      </c>
    </row>
    <row r="70" spans="1:26" ht="15.75" x14ac:dyDescent="0.25">
      <c r="A70" s="1" t="s">
        <v>26</v>
      </c>
      <c r="B70" s="1" t="s">
        <v>27</v>
      </c>
      <c r="C70" s="1" t="s">
        <v>511</v>
      </c>
      <c r="D70" s="3">
        <v>28647</v>
      </c>
      <c r="E70" s="1" t="s">
        <v>29</v>
      </c>
      <c r="F70" s="1" t="s">
        <v>526</v>
      </c>
      <c r="G70" s="1" t="s">
        <v>61</v>
      </c>
      <c r="H70" s="1" t="s">
        <v>121</v>
      </c>
      <c r="I70" s="1" t="s">
        <v>101</v>
      </c>
      <c r="J70" s="1">
        <v>1.5</v>
      </c>
      <c r="K70" s="1" t="s">
        <v>527</v>
      </c>
      <c r="L70" s="1" t="s">
        <v>35</v>
      </c>
      <c r="M70" s="1">
        <v>0.56000000000000005</v>
      </c>
      <c r="N70" s="1" t="s">
        <v>75</v>
      </c>
      <c r="O70" s="1" t="s">
        <v>37</v>
      </c>
      <c r="P70" s="1" t="s">
        <v>36</v>
      </c>
      <c r="Q70" s="1" t="s">
        <v>76</v>
      </c>
      <c r="R70" s="1" t="s">
        <v>528</v>
      </c>
      <c r="S70" s="1" t="s">
        <v>39</v>
      </c>
      <c r="T70" s="1">
        <v>2002.97</v>
      </c>
      <c r="U70" s="1" t="s">
        <v>40</v>
      </c>
      <c r="V70" s="1" t="s">
        <v>29</v>
      </c>
      <c r="W70" s="1" t="s">
        <v>36</v>
      </c>
      <c r="X70" s="1" t="s">
        <v>29</v>
      </c>
      <c r="Y70" s="1" t="s">
        <v>36</v>
      </c>
      <c r="Z70" s="1" t="s">
        <v>41</v>
      </c>
    </row>
    <row r="71" spans="1:26" ht="15.75" x14ac:dyDescent="0.25">
      <c r="A71" s="1" t="s">
        <v>26</v>
      </c>
      <c r="B71" s="1" t="s">
        <v>27</v>
      </c>
      <c r="C71" s="1" t="s">
        <v>511</v>
      </c>
      <c r="D71" s="3">
        <v>28706</v>
      </c>
      <c r="E71" s="1" t="s">
        <v>29</v>
      </c>
      <c r="F71" s="1" t="s">
        <v>529</v>
      </c>
      <c r="G71" s="1" t="s">
        <v>31</v>
      </c>
      <c r="H71" s="1" t="s">
        <v>121</v>
      </c>
      <c r="I71" s="1" t="s">
        <v>46</v>
      </c>
      <c r="J71" s="1">
        <v>36.29</v>
      </c>
      <c r="K71" s="1" t="s">
        <v>527</v>
      </c>
      <c r="L71" s="1" t="s">
        <v>35</v>
      </c>
      <c r="M71" s="1">
        <v>13.43</v>
      </c>
      <c r="N71" s="1" t="s">
        <v>75</v>
      </c>
      <c r="O71" s="1" t="s">
        <v>37</v>
      </c>
      <c r="P71" s="1" t="s">
        <v>36</v>
      </c>
      <c r="Q71" s="1" t="s">
        <v>76</v>
      </c>
      <c r="R71" s="1" t="s">
        <v>530</v>
      </c>
      <c r="S71" s="1" t="s">
        <v>39</v>
      </c>
      <c r="T71" s="1">
        <v>2002.97</v>
      </c>
      <c r="U71" s="1" t="s">
        <v>40</v>
      </c>
      <c r="V71" s="1" t="s">
        <v>29</v>
      </c>
      <c r="W71" s="1" t="s">
        <v>36</v>
      </c>
      <c r="X71" s="1" t="s">
        <v>29</v>
      </c>
      <c r="Y71" s="1" t="s">
        <v>36</v>
      </c>
      <c r="Z71" s="1" t="s">
        <v>41</v>
      </c>
    </row>
    <row r="72" spans="1:26" ht="15.75" x14ac:dyDescent="0.25">
      <c r="A72" s="1" t="s">
        <v>26</v>
      </c>
      <c r="B72" s="1" t="s">
        <v>27</v>
      </c>
      <c r="C72" s="1" t="s">
        <v>511</v>
      </c>
      <c r="D72" s="3">
        <v>28706</v>
      </c>
      <c r="E72" s="1" t="s">
        <v>29</v>
      </c>
      <c r="F72" s="1" t="s">
        <v>529</v>
      </c>
      <c r="G72" s="1" t="s">
        <v>61</v>
      </c>
      <c r="H72" s="1" t="s">
        <v>121</v>
      </c>
      <c r="I72" s="1" t="s">
        <v>46</v>
      </c>
      <c r="J72" s="1">
        <v>1.5</v>
      </c>
      <c r="K72" s="1" t="s">
        <v>527</v>
      </c>
      <c r="L72" s="1" t="s">
        <v>35</v>
      </c>
      <c r="M72" s="1">
        <v>0.55000000000000004</v>
      </c>
      <c r="N72" s="1" t="s">
        <v>75</v>
      </c>
      <c r="O72" s="1" t="s">
        <v>37</v>
      </c>
      <c r="P72" s="1" t="s">
        <v>36</v>
      </c>
      <c r="Q72" s="1" t="s">
        <v>76</v>
      </c>
      <c r="R72" s="1" t="s">
        <v>530</v>
      </c>
      <c r="S72" s="1" t="s">
        <v>39</v>
      </c>
      <c r="T72" s="1">
        <v>2002.97</v>
      </c>
      <c r="U72" s="1" t="s">
        <v>40</v>
      </c>
      <c r="V72" s="1" t="s">
        <v>29</v>
      </c>
      <c r="W72" s="1" t="s">
        <v>36</v>
      </c>
      <c r="X72" s="1" t="s">
        <v>29</v>
      </c>
      <c r="Y72" s="1" t="s">
        <v>36</v>
      </c>
      <c r="Z72" s="1" t="s">
        <v>41</v>
      </c>
    </row>
    <row r="73" spans="1:26" ht="15.75" x14ac:dyDescent="0.25">
      <c r="A73" s="1" t="s">
        <v>26</v>
      </c>
      <c r="B73" s="1" t="s">
        <v>27</v>
      </c>
      <c r="C73" s="1" t="s">
        <v>511</v>
      </c>
      <c r="D73" s="3">
        <v>29906</v>
      </c>
      <c r="E73" s="1" t="s">
        <v>29</v>
      </c>
      <c r="F73" s="1" t="s">
        <v>531</v>
      </c>
      <c r="G73" s="1" t="s">
        <v>31</v>
      </c>
      <c r="H73" s="1" t="s">
        <v>45</v>
      </c>
      <c r="I73" s="1" t="s">
        <v>46</v>
      </c>
      <c r="J73" s="1">
        <v>36.29</v>
      </c>
      <c r="K73" s="1" t="s">
        <v>532</v>
      </c>
      <c r="L73" s="1" t="s">
        <v>35</v>
      </c>
      <c r="M73" s="1">
        <v>13.43</v>
      </c>
      <c r="N73" s="1" t="s">
        <v>75</v>
      </c>
      <c r="O73" s="1" t="s">
        <v>37</v>
      </c>
      <c r="P73" s="1" t="s">
        <v>36</v>
      </c>
      <c r="Q73" s="1" t="s">
        <v>76</v>
      </c>
      <c r="R73" s="1" t="s">
        <v>533</v>
      </c>
      <c r="S73" s="1" t="s">
        <v>39</v>
      </c>
      <c r="T73" s="1">
        <v>2002.97</v>
      </c>
      <c r="U73" s="1" t="s">
        <v>40</v>
      </c>
      <c r="V73" s="1" t="s">
        <v>29</v>
      </c>
      <c r="W73" s="1" t="s">
        <v>36</v>
      </c>
      <c r="X73" s="1" t="s">
        <v>29</v>
      </c>
      <c r="Y73" s="1" t="s">
        <v>36</v>
      </c>
      <c r="Z73" s="1" t="s">
        <v>41</v>
      </c>
    </row>
    <row r="74" spans="1:26" ht="15.75" x14ac:dyDescent="0.25">
      <c r="A74" s="1" t="s">
        <v>26</v>
      </c>
      <c r="B74" s="1" t="s">
        <v>27</v>
      </c>
      <c r="C74" s="1" t="s">
        <v>511</v>
      </c>
      <c r="D74" s="3">
        <v>29906</v>
      </c>
      <c r="E74" s="1" t="s">
        <v>29</v>
      </c>
      <c r="F74" s="1" t="s">
        <v>531</v>
      </c>
      <c r="G74" s="1" t="s">
        <v>61</v>
      </c>
      <c r="H74" s="1" t="s">
        <v>45</v>
      </c>
      <c r="I74" s="1" t="s">
        <v>46</v>
      </c>
      <c r="J74" s="1">
        <v>1.5</v>
      </c>
      <c r="K74" s="1" t="s">
        <v>532</v>
      </c>
      <c r="L74" s="1" t="s">
        <v>35</v>
      </c>
      <c r="M74" s="1">
        <v>0.55000000000000004</v>
      </c>
      <c r="N74" s="1" t="s">
        <v>75</v>
      </c>
      <c r="O74" s="1" t="s">
        <v>37</v>
      </c>
      <c r="P74" s="1" t="s">
        <v>36</v>
      </c>
      <c r="Q74" s="1" t="s">
        <v>76</v>
      </c>
      <c r="R74" s="1" t="s">
        <v>533</v>
      </c>
      <c r="S74" s="1" t="s">
        <v>39</v>
      </c>
      <c r="T74" s="1">
        <v>2002.97</v>
      </c>
      <c r="U74" s="1" t="s">
        <v>40</v>
      </c>
      <c r="V74" s="1" t="s">
        <v>29</v>
      </c>
      <c r="W74" s="1" t="s">
        <v>36</v>
      </c>
      <c r="X74" s="1" t="s">
        <v>29</v>
      </c>
      <c r="Y74" s="1" t="s">
        <v>36</v>
      </c>
      <c r="Z74" s="1" t="s">
        <v>41</v>
      </c>
    </row>
    <row r="75" spans="1:26" ht="15.75" x14ac:dyDescent="0.25">
      <c r="A75" s="1" t="s">
        <v>26</v>
      </c>
      <c r="B75" s="1" t="s">
        <v>27</v>
      </c>
      <c r="C75" s="1" t="s">
        <v>511</v>
      </c>
      <c r="D75" s="3">
        <v>29907</v>
      </c>
      <c r="E75" s="1" t="s">
        <v>29</v>
      </c>
      <c r="F75" s="1" t="s">
        <v>531</v>
      </c>
      <c r="G75" s="1" t="s">
        <v>42</v>
      </c>
      <c r="H75" s="1" t="s">
        <v>45</v>
      </c>
      <c r="I75" s="1" t="s">
        <v>46</v>
      </c>
      <c r="J75" s="1">
        <v>10.67</v>
      </c>
      <c r="K75" s="1" t="s">
        <v>532</v>
      </c>
      <c r="L75" s="1" t="s">
        <v>35</v>
      </c>
      <c r="M75" s="1">
        <v>3.95</v>
      </c>
      <c r="N75" s="1" t="s">
        <v>75</v>
      </c>
      <c r="O75" s="1" t="s">
        <v>37</v>
      </c>
      <c r="P75" s="1" t="s">
        <v>36</v>
      </c>
      <c r="Q75" s="1" t="s">
        <v>76</v>
      </c>
      <c r="R75" s="1" t="s">
        <v>533</v>
      </c>
      <c r="S75" s="1" t="s">
        <v>39</v>
      </c>
      <c r="T75" s="1">
        <v>2002.97</v>
      </c>
      <c r="U75" s="1" t="s">
        <v>40</v>
      </c>
      <c r="V75" s="1" t="s">
        <v>29</v>
      </c>
      <c r="W75" s="1" t="s">
        <v>36</v>
      </c>
      <c r="X75" s="1" t="s">
        <v>29</v>
      </c>
      <c r="Y75" s="1" t="s">
        <v>36</v>
      </c>
      <c r="Z75" s="1" t="s">
        <v>41</v>
      </c>
    </row>
    <row r="76" spans="1:26" ht="15.75" x14ac:dyDescent="0.25">
      <c r="A76" s="1" t="s">
        <v>26</v>
      </c>
      <c r="B76" s="1" t="s">
        <v>27</v>
      </c>
      <c r="C76" s="1" t="s">
        <v>511</v>
      </c>
      <c r="D76" s="3">
        <v>87005</v>
      </c>
      <c r="E76" s="1" t="s">
        <v>29</v>
      </c>
      <c r="F76" s="1" t="s">
        <v>580</v>
      </c>
      <c r="G76" s="1" t="s">
        <v>31</v>
      </c>
      <c r="H76" s="1" t="s">
        <v>148</v>
      </c>
      <c r="I76" s="1" t="s">
        <v>33</v>
      </c>
      <c r="J76" s="1">
        <v>36.29</v>
      </c>
      <c r="K76" s="1" t="s">
        <v>573</v>
      </c>
      <c r="L76" s="1" t="s">
        <v>35</v>
      </c>
      <c r="M76" s="1">
        <v>13.43</v>
      </c>
      <c r="N76" s="1" t="s">
        <v>75</v>
      </c>
      <c r="O76" s="1" t="s">
        <v>37</v>
      </c>
      <c r="P76" s="1" t="s">
        <v>36</v>
      </c>
      <c r="Q76" s="1" t="s">
        <v>76</v>
      </c>
      <c r="R76" s="1" t="s">
        <v>581</v>
      </c>
      <c r="S76" s="1" t="s">
        <v>39</v>
      </c>
      <c r="T76" s="1">
        <v>2002.97</v>
      </c>
      <c r="U76" s="1" t="s">
        <v>40</v>
      </c>
      <c r="V76" s="1" t="s">
        <v>29</v>
      </c>
      <c r="W76" s="1" t="s">
        <v>36</v>
      </c>
      <c r="X76" s="1" t="s">
        <v>29</v>
      </c>
      <c r="Y76" s="1" t="s">
        <v>36</v>
      </c>
      <c r="Z76" s="1" t="s">
        <v>41</v>
      </c>
    </row>
    <row r="77" spans="1:26" ht="15.75" x14ac:dyDescent="0.25">
      <c r="A77" s="1" t="s">
        <v>26</v>
      </c>
      <c r="B77" s="1" t="s">
        <v>27</v>
      </c>
      <c r="C77" s="1" t="s">
        <v>511</v>
      </c>
      <c r="D77" s="3">
        <v>87005</v>
      </c>
      <c r="E77" s="1" t="s">
        <v>29</v>
      </c>
      <c r="F77" s="1" t="s">
        <v>580</v>
      </c>
      <c r="G77" s="1" t="s">
        <v>61</v>
      </c>
      <c r="H77" s="1" t="s">
        <v>148</v>
      </c>
      <c r="I77" s="1" t="s">
        <v>33</v>
      </c>
      <c r="J77" s="1">
        <v>1.5</v>
      </c>
      <c r="K77" s="1" t="s">
        <v>573</v>
      </c>
      <c r="L77" s="1" t="s">
        <v>35</v>
      </c>
      <c r="M77" s="1">
        <v>0.55000000000000004</v>
      </c>
      <c r="N77" s="1" t="s">
        <v>75</v>
      </c>
      <c r="O77" s="1" t="s">
        <v>37</v>
      </c>
      <c r="P77" s="1" t="s">
        <v>36</v>
      </c>
      <c r="Q77" s="1" t="s">
        <v>76</v>
      </c>
      <c r="R77" s="1" t="s">
        <v>581</v>
      </c>
      <c r="S77" s="1" t="s">
        <v>39</v>
      </c>
      <c r="T77" s="1">
        <v>2002.97</v>
      </c>
      <c r="U77" s="1" t="s">
        <v>40</v>
      </c>
      <c r="V77" s="1" t="s">
        <v>29</v>
      </c>
      <c r="W77" s="1" t="s">
        <v>36</v>
      </c>
      <c r="X77" s="1" t="s">
        <v>29</v>
      </c>
      <c r="Y77" s="1" t="s">
        <v>36</v>
      </c>
      <c r="Z77" s="1" t="s">
        <v>41</v>
      </c>
    </row>
    <row r="78" spans="1:26" ht="15.75" x14ac:dyDescent="0.25">
      <c r="A78" s="1" t="s">
        <v>26</v>
      </c>
      <c r="B78" s="1" t="s">
        <v>27</v>
      </c>
      <c r="C78" s="1" t="s">
        <v>602</v>
      </c>
      <c r="D78" s="3">
        <v>17223</v>
      </c>
      <c r="E78" s="1" t="s">
        <v>29</v>
      </c>
      <c r="F78" s="1" t="s">
        <v>619</v>
      </c>
      <c r="G78" s="1" t="s">
        <v>31</v>
      </c>
      <c r="H78" s="1" t="s">
        <v>45</v>
      </c>
      <c r="I78" s="1" t="s">
        <v>46</v>
      </c>
      <c r="J78" s="1">
        <v>36.29</v>
      </c>
      <c r="K78" s="1" t="s">
        <v>45</v>
      </c>
      <c r="L78" s="1" t="s">
        <v>35</v>
      </c>
      <c r="M78" s="1">
        <v>13.43</v>
      </c>
      <c r="N78" s="1" t="s">
        <v>75</v>
      </c>
      <c r="O78" s="1" t="s">
        <v>37</v>
      </c>
      <c r="P78" s="1" t="s">
        <v>36</v>
      </c>
      <c r="Q78" s="1" t="s">
        <v>76</v>
      </c>
      <c r="R78" s="1" t="s">
        <v>620</v>
      </c>
      <c r="S78" s="1" t="s">
        <v>39</v>
      </c>
      <c r="T78" s="1">
        <v>2002.97</v>
      </c>
      <c r="U78" s="1" t="s">
        <v>40</v>
      </c>
      <c r="V78" s="1" t="s">
        <v>29</v>
      </c>
      <c r="W78" s="1" t="s">
        <v>36</v>
      </c>
      <c r="X78" s="1" t="s">
        <v>29</v>
      </c>
      <c r="Y78" s="1" t="s">
        <v>36</v>
      </c>
      <c r="Z78" s="1" t="s">
        <v>41</v>
      </c>
    </row>
    <row r="79" spans="1:26" ht="15.75" x14ac:dyDescent="0.25">
      <c r="A79" s="1" t="s">
        <v>26</v>
      </c>
      <c r="B79" s="1" t="s">
        <v>27</v>
      </c>
      <c r="C79" s="1" t="s">
        <v>602</v>
      </c>
      <c r="D79" s="3">
        <v>17223</v>
      </c>
      <c r="E79" s="1" t="s">
        <v>29</v>
      </c>
      <c r="F79" s="1" t="s">
        <v>619</v>
      </c>
      <c r="G79" s="1" t="s">
        <v>61</v>
      </c>
      <c r="H79" s="1" t="s">
        <v>45</v>
      </c>
      <c r="I79" s="1" t="s">
        <v>46</v>
      </c>
      <c r="J79" s="1">
        <v>1.5</v>
      </c>
      <c r="K79" s="1" t="s">
        <v>45</v>
      </c>
      <c r="L79" s="1" t="s">
        <v>35</v>
      </c>
      <c r="M79" s="1">
        <v>0.55000000000000004</v>
      </c>
      <c r="N79" s="1" t="s">
        <v>75</v>
      </c>
      <c r="O79" s="1" t="s">
        <v>37</v>
      </c>
      <c r="P79" s="1" t="s">
        <v>36</v>
      </c>
      <c r="Q79" s="1" t="s">
        <v>76</v>
      </c>
      <c r="R79" s="1" t="s">
        <v>620</v>
      </c>
      <c r="S79" s="1" t="s">
        <v>39</v>
      </c>
      <c r="T79" s="1">
        <v>2002.97</v>
      </c>
      <c r="U79" s="1" t="s">
        <v>40</v>
      </c>
      <c r="V79" s="1" t="s">
        <v>29</v>
      </c>
      <c r="W79" s="1" t="s">
        <v>36</v>
      </c>
      <c r="X79" s="1" t="s">
        <v>29</v>
      </c>
      <c r="Y79" s="1" t="s">
        <v>36</v>
      </c>
      <c r="Z79" s="1" t="s">
        <v>41</v>
      </c>
    </row>
    <row r="80" spans="1:26" ht="15.75" x14ac:dyDescent="0.25">
      <c r="A80" s="1" t="s">
        <v>26</v>
      </c>
      <c r="B80" s="1" t="s">
        <v>27</v>
      </c>
      <c r="C80" s="1" t="s">
        <v>206</v>
      </c>
      <c r="D80" s="3">
        <v>20720</v>
      </c>
      <c r="E80" s="1" t="s">
        <v>29</v>
      </c>
      <c r="F80" s="1" t="s">
        <v>221</v>
      </c>
      <c r="G80" s="1" t="s">
        <v>31</v>
      </c>
      <c r="H80" s="1" t="s">
        <v>33</v>
      </c>
      <c r="I80" s="1" t="s">
        <v>45</v>
      </c>
      <c r="J80" s="1">
        <v>45.29</v>
      </c>
      <c r="K80" s="1" t="s">
        <v>215</v>
      </c>
      <c r="L80" s="1" t="s">
        <v>35</v>
      </c>
      <c r="M80" s="1">
        <v>1.81</v>
      </c>
      <c r="N80" s="1" t="s">
        <v>222</v>
      </c>
      <c r="O80" s="1" t="s">
        <v>37</v>
      </c>
      <c r="P80" s="1" t="s">
        <v>36</v>
      </c>
      <c r="Q80" s="1" t="s">
        <v>223</v>
      </c>
      <c r="R80" s="1" t="s">
        <v>224</v>
      </c>
      <c r="S80" s="1" t="s">
        <v>39</v>
      </c>
      <c r="T80" s="1">
        <v>2002.97</v>
      </c>
      <c r="U80" s="1" t="s">
        <v>40</v>
      </c>
      <c r="V80" s="1" t="s">
        <v>29</v>
      </c>
      <c r="W80" s="1" t="s">
        <v>36</v>
      </c>
      <c r="X80" s="1" t="s">
        <v>29</v>
      </c>
      <c r="Y80" s="1" t="s">
        <v>36</v>
      </c>
      <c r="Z80" s="1" t="s">
        <v>41</v>
      </c>
    </row>
    <row r="81" spans="1:26" ht="15.75" x14ac:dyDescent="0.25">
      <c r="A81" s="1" t="s">
        <v>26</v>
      </c>
      <c r="B81" s="1" t="s">
        <v>27</v>
      </c>
      <c r="C81" s="1" t="s">
        <v>429</v>
      </c>
      <c r="D81" s="3">
        <v>65368</v>
      </c>
      <c r="E81" s="1" t="s">
        <v>29</v>
      </c>
      <c r="F81" s="1" t="s">
        <v>469</v>
      </c>
      <c r="G81" s="1" t="s">
        <v>42</v>
      </c>
      <c r="H81" s="1" t="s">
        <v>58</v>
      </c>
      <c r="I81" s="1" t="s">
        <v>33</v>
      </c>
      <c r="J81" s="1">
        <v>10.67</v>
      </c>
      <c r="K81" s="1" t="s">
        <v>470</v>
      </c>
      <c r="L81" s="1" t="s">
        <v>35</v>
      </c>
      <c r="M81" s="1">
        <v>3.95</v>
      </c>
      <c r="N81" s="1" t="s">
        <v>222</v>
      </c>
      <c r="O81" s="1" t="s">
        <v>37</v>
      </c>
      <c r="P81" s="1" t="s">
        <v>36</v>
      </c>
      <c r="Q81" s="1" t="s">
        <v>223</v>
      </c>
      <c r="R81" s="1" t="s">
        <v>471</v>
      </c>
      <c r="S81" s="1" t="s">
        <v>39</v>
      </c>
      <c r="T81" s="1">
        <v>2002.97</v>
      </c>
      <c r="U81" s="1" t="s">
        <v>40</v>
      </c>
      <c r="V81" s="1" t="s">
        <v>29</v>
      </c>
      <c r="W81" s="1" t="s">
        <v>36</v>
      </c>
      <c r="X81" s="1" t="s">
        <v>29</v>
      </c>
      <c r="Y81" s="1" t="s">
        <v>36</v>
      </c>
      <c r="Z81" s="1" t="s">
        <v>41</v>
      </c>
    </row>
    <row r="82" spans="1:26" ht="15.75" x14ac:dyDescent="0.25">
      <c r="A82" s="1" t="s">
        <v>26</v>
      </c>
      <c r="B82" s="1" t="s">
        <v>27</v>
      </c>
      <c r="C82" s="1" t="s">
        <v>511</v>
      </c>
      <c r="D82" s="3">
        <v>53557</v>
      </c>
      <c r="E82" s="1" t="s">
        <v>29</v>
      </c>
      <c r="F82" s="1" t="s">
        <v>536</v>
      </c>
      <c r="G82" s="1" t="s">
        <v>31</v>
      </c>
      <c r="H82" s="1" t="s">
        <v>537</v>
      </c>
      <c r="I82" s="1" t="s">
        <v>102</v>
      </c>
      <c r="J82" s="1">
        <v>67.47</v>
      </c>
      <c r="K82" s="1" t="s">
        <v>538</v>
      </c>
      <c r="L82" s="1" t="s">
        <v>35</v>
      </c>
      <c r="M82" s="1">
        <v>24.96</v>
      </c>
      <c r="N82" s="1" t="s">
        <v>222</v>
      </c>
      <c r="O82" s="1" t="s">
        <v>37</v>
      </c>
      <c r="P82" s="1" t="s">
        <v>36</v>
      </c>
      <c r="Q82" s="1" t="s">
        <v>223</v>
      </c>
      <c r="R82" s="1" t="s">
        <v>539</v>
      </c>
      <c r="S82" s="1" t="s">
        <v>39</v>
      </c>
      <c r="T82" s="1">
        <v>2002.97</v>
      </c>
      <c r="U82" s="1" t="s">
        <v>40</v>
      </c>
      <c r="V82" s="1" t="s">
        <v>29</v>
      </c>
      <c r="W82" s="1" t="s">
        <v>36</v>
      </c>
      <c r="X82" s="1" t="s">
        <v>29</v>
      </c>
      <c r="Y82" s="1" t="s">
        <v>36</v>
      </c>
      <c r="Z82" s="1" t="s">
        <v>41</v>
      </c>
    </row>
    <row r="83" spans="1:26" ht="15.75" x14ac:dyDescent="0.25">
      <c r="A83" s="1" t="s">
        <v>26</v>
      </c>
      <c r="B83" s="1" t="s">
        <v>27</v>
      </c>
      <c r="C83" s="1" t="s">
        <v>511</v>
      </c>
      <c r="D83" s="3">
        <v>53558</v>
      </c>
      <c r="E83" s="1" t="s">
        <v>29</v>
      </c>
      <c r="F83" s="1" t="s">
        <v>536</v>
      </c>
      <c r="G83" s="1" t="s">
        <v>42</v>
      </c>
      <c r="H83" s="1" t="s">
        <v>537</v>
      </c>
      <c r="I83" s="1" t="s">
        <v>102</v>
      </c>
      <c r="J83" s="1">
        <v>18.739999999999998</v>
      </c>
      <c r="K83" s="1" t="s">
        <v>538</v>
      </c>
      <c r="L83" s="1" t="s">
        <v>35</v>
      </c>
      <c r="M83" s="1">
        <v>6.93</v>
      </c>
      <c r="N83" s="1" t="s">
        <v>222</v>
      </c>
      <c r="O83" s="1" t="s">
        <v>37</v>
      </c>
      <c r="P83" s="1" t="s">
        <v>36</v>
      </c>
      <c r="Q83" s="1" t="s">
        <v>223</v>
      </c>
      <c r="R83" s="1" t="s">
        <v>539</v>
      </c>
      <c r="S83" s="1" t="s">
        <v>39</v>
      </c>
      <c r="T83" s="1">
        <v>2002.97</v>
      </c>
      <c r="U83" s="1" t="s">
        <v>40</v>
      </c>
      <c r="V83" s="1" t="s">
        <v>29</v>
      </c>
      <c r="W83" s="1" t="s">
        <v>36</v>
      </c>
      <c r="X83" s="1" t="s">
        <v>29</v>
      </c>
      <c r="Y83" s="1" t="s">
        <v>36</v>
      </c>
      <c r="Z83" s="1" t="s">
        <v>41</v>
      </c>
    </row>
    <row r="84" spans="1:26" ht="15.75" x14ac:dyDescent="0.25">
      <c r="A84" s="1" t="s">
        <v>26</v>
      </c>
      <c r="B84" s="1" t="s">
        <v>27</v>
      </c>
      <c r="C84" s="1" t="s">
        <v>511</v>
      </c>
      <c r="D84" s="3">
        <v>61659</v>
      </c>
      <c r="E84" s="1" t="s">
        <v>29</v>
      </c>
      <c r="F84" s="1" t="s">
        <v>561</v>
      </c>
      <c r="G84" s="1" t="s">
        <v>31</v>
      </c>
      <c r="H84" s="1" t="s">
        <v>33</v>
      </c>
      <c r="I84" s="1" t="s">
        <v>45</v>
      </c>
      <c r="J84" s="1">
        <v>43.56</v>
      </c>
      <c r="K84" s="1" t="s">
        <v>562</v>
      </c>
      <c r="L84" s="1" t="s">
        <v>35</v>
      </c>
      <c r="M84" s="1">
        <v>16.12</v>
      </c>
      <c r="N84" s="1" t="s">
        <v>222</v>
      </c>
      <c r="O84" s="1" t="s">
        <v>37</v>
      </c>
      <c r="P84" s="1" t="s">
        <v>36</v>
      </c>
      <c r="Q84" s="1" t="s">
        <v>223</v>
      </c>
      <c r="R84" s="1" t="s">
        <v>563</v>
      </c>
      <c r="S84" s="1" t="s">
        <v>39</v>
      </c>
      <c r="T84" s="1">
        <v>2002.97</v>
      </c>
      <c r="U84" s="1" t="s">
        <v>40</v>
      </c>
      <c r="V84" s="1" t="s">
        <v>29</v>
      </c>
      <c r="W84" s="1" t="s">
        <v>36</v>
      </c>
      <c r="X84" s="1" t="s">
        <v>29</v>
      </c>
      <c r="Y84" s="1" t="s">
        <v>36</v>
      </c>
      <c r="Z84" s="1" t="s">
        <v>41</v>
      </c>
    </row>
    <row r="85" spans="1:26" ht="15.75" x14ac:dyDescent="0.25">
      <c r="A85" s="1" t="s">
        <v>26</v>
      </c>
      <c r="B85" s="1" t="s">
        <v>27</v>
      </c>
      <c r="C85" s="1" t="s">
        <v>602</v>
      </c>
      <c r="D85" s="3">
        <v>13503</v>
      </c>
      <c r="E85" s="1" t="s">
        <v>29</v>
      </c>
      <c r="F85" s="1" t="s">
        <v>609</v>
      </c>
      <c r="G85" s="1" t="s">
        <v>31</v>
      </c>
      <c r="H85" s="1" t="s">
        <v>148</v>
      </c>
      <c r="I85" s="1" t="s">
        <v>33</v>
      </c>
      <c r="J85" s="1">
        <v>36.22</v>
      </c>
      <c r="K85" s="1" t="s">
        <v>148</v>
      </c>
      <c r="L85" s="1" t="s">
        <v>35</v>
      </c>
      <c r="M85" s="1">
        <v>13.4</v>
      </c>
      <c r="N85" s="1" t="s">
        <v>222</v>
      </c>
      <c r="O85" s="1" t="s">
        <v>37</v>
      </c>
      <c r="P85" s="1" t="s">
        <v>36</v>
      </c>
      <c r="Q85" s="1" t="s">
        <v>223</v>
      </c>
      <c r="R85" s="1" t="s">
        <v>610</v>
      </c>
      <c r="S85" s="1" t="s">
        <v>39</v>
      </c>
      <c r="T85" s="1">
        <v>2002.97</v>
      </c>
      <c r="U85" s="1" t="s">
        <v>40</v>
      </c>
      <c r="V85" s="1" t="s">
        <v>29</v>
      </c>
      <c r="W85" s="1" t="s">
        <v>36</v>
      </c>
      <c r="X85" s="1" t="s">
        <v>29</v>
      </c>
      <c r="Y85" s="1" t="s">
        <v>36</v>
      </c>
      <c r="Z85" s="1" t="s">
        <v>41</v>
      </c>
    </row>
    <row r="86" spans="1:26" ht="15.75" x14ac:dyDescent="0.25">
      <c r="A86" s="1" t="s">
        <v>26</v>
      </c>
      <c r="B86" s="1" t="s">
        <v>27</v>
      </c>
      <c r="C86" s="1" t="s">
        <v>602</v>
      </c>
      <c r="D86" s="3">
        <v>13504</v>
      </c>
      <c r="E86" s="1" t="s">
        <v>29</v>
      </c>
      <c r="F86" s="1" t="s">
        <v>609</v>
      </c>
      <c r="G86" s="1" t="s">
        <v>42</v>
      </c>
      <c r="H86" s="1" t="s">
        <v>148</v>
      </c>
      <c r="I86" s="1" t="s">
        <v>33</v>
      </c>
      <c r="J86" s="1">
        <v>9.66</v>
      </c>
      <c r="K86" s="1" t="s">
        <v>148</v>
      </c>
      <c r="L86" s="1" t="s">
        <v>35</v>
      </c>
      <c r="M86" s="1">
        <v>3.57</v>
      </c>
      <c r="N86" s="1" t="s">
        <v>222</v>
      </c>
      <c r="O86" s="1" t="s">
        <v>37</v>
      </c>
      <c r="P86" s="1" t="s">
        <v>36</v>
      </c>
      <c r="Q86" s="1" t="s">
        <v>223</v>
      </c>
      <c r="R86" s="1" t="s">
        <v>610</v>
      </c>
      <c r="S86" s="1" t="s">
        <v>39</v>
      </c>
      <c r="T86" s="1">
        <v>2002.97</v>
      </c>
      <c r="U86" s="1" t="s">
        <v>40</v>
      </c>
      <c r="V86" s="1" t="s">
        <v>29</v>
      </c>
      <c r="W86" s="1" t="s">
        <v>36</v>
      </c>
      <c r="X86" s="1" t="s">
        <v>29</v>
      </c>
      <c r="Y86" s="1" t="s">
        <v>36</v>
      </c>
      <c r="Z86" s="1" t="s">
        <v>41</v>
      </c>
    </row>
    <row r="87" spans="1:26" ht="15.75" x14ac:dyDescent="0.25">
      <c r="A87" s="1" t="s">
        <v>26</v>
      </c>
      <c r="B87" s="1" t="s">
        <v>27</v>
      </c>
      <c r="C87" s="1" t="s">
        <v>43</v>
      </c>
      <c r="D87" s="3">
        <v>55069</v>
      </c>
      <c r="E87" s="1" t="s">
        <v>29</v>
      </c>
      <c r="F87" s="1" t="s">
        <v>52</v>
      </c>
      <c r="G87" s="1" t="s">
        <v>42</v>
      </c>
      <c r="H87" s="1" t="s">
        <v>45</v>
      </c>
      <c r="I87" s="1" t="s">
        <v>46</v>
      </c>
      <c r="J87" s="1">
        <v>19.63</v>
      </c>
      <c r="K87" s="1" t="s">
        <v>53</v>
      </c>
      <c r="L87" s="1" t="s">
        <v>35</v>
      </c>
      <c r="M87" s="1">
        <v>0.79</v>
      </c>
      <c r="N87" s="1" t="s">
        <v>54</v>
      </c>
      <c r="O87" s="1" t="s">
        <v>37</v>
      </c>
      <c r="P87" s="1" t="s">
        <v>36</v>
      </c>
      <c r="Q87" s="1" t="s">
        <v>55</v>
      </c>
      <c r="R87" s="1" t="s">
        <v>56</v>
      </c>
      <c r="S87" s="1" t="s">
        <v>39</v>
      </c>
      <c r="T87" s="1">
        <v>2002.97</v>
      </c>
      <c r="U87" s="1" t="s">
        <v>40</v>
      </c>
      <c r="V87" s="1" t="s">
        <v>29</v>
      </c>
      <c r="W87" s="1" t="s">
        <v>36</v>
      </c>
      <c r="X87" s="1" t="s">
        <v>29</v>
      </c>
      <c r="Y87" s="1" t="s">
        <v>36</v>
      </c>
      <c r="Z87" s="1" t="s">
        <v>41</v>
      </c>
    </row>
    <row r="88" spans="1:26" ht="15.75" x14ac:dyDescent="0.25">
      <c r="A88" s="1" t="s">
        <v>26</v>
      </c>
      <c r="B88" s="1" t="s">
        <v>27</v>
      </c>
      <c r="C88" s="1" t="s">
        <v>139</v>
      </c>
      <c r="D88" s="3">
        <v>5079</v>
      </c>
      <c r="E88" s="1" t="s">
        <v>29</v>
      </c>
      <c r="F88" s="1" t="s">
        <v>140</v>
      </c>
      <c r="G88" s="1" t="s">
        <v>42</v>
      </c>
      <c r="H88" s="1" t="s">
        <v>45</v>
      </c>
      <c r="I88" s="1" t="s">
        <v>46</v>
      </c>
      <c r="J88" s="1">
        <v>10.67</v>
      </c>
      <c r="K88" s="1" t="s">
        <v>141</v>
      </c>
      <c r="L88" s="1" t="s">
        <v>35</v>
      </c>
      <c r="M88" s="1">
        <v>0.43</v>
      </c>
      <c r="N88" s="1" t="s">
        <v>54</v>
      </c>
      <c r="O88" s="1" t="s">
        <v>37</v>
      </c>
      <c r="P88" s="1" t="s">
        <v>36</v>
      </c>
      <c r="Q88" s="1" t="s">
        <v>55</v>
      </c>
      <c r="R88" s="1" t="s">
        <v>142</v>
      </c>
      <c r="S88" s="1" t="s">
        <v>39</v>
      </c>
      <c r="T88" s="1">
        <v>2002.97</v>
      </c>
      <c r="U88" s="1" t="s">
        <v>40</v>
      </c>
      <c r="V88" s="1" t="s">
        <v>29</v>
      </c>
      <c r="W88" s="1" t="s">
        <v>36</v>
      </c>
      <c r="X88" s="1" t="s">
        <v>29</v>
      </c>
      <c r="Y88" s="1" t="s">
        <v>36</v>
      </c>
      <c r="Z88" s="1" t="s">
        <v>41</v>
      </c>
    </row>
    <row r="89" spans="1:26" ht="15.75" x14ac:dyDescent="0.25">
      <c r="A89" s="1" t="s">
        <v>26</v>
      </c>
      <c r="B89" s="1" t="s">
        <v>27</v>
      </c>
      <c r="C89" s="1" t="s">
        <v>139</v>
      </c>
      <c r="D89" s="3">
        <v>22687</v>
      </c>
      <c r="E89" s="1" t="s">
        <v>29</v>
      </c>
      <c r="F89" s="1" t="s">
        <v>147</v>
      </c>
      <c r="G89" s="1" t="s">
        <v>31</v>
      </c>
      <c r="H89" s="1" t="s">
        <v>148</v>
      </c>
      <c r="I89" s="1" t="s">
        <v>33</v>
      </c>
      <c r="J89" s="1">
        <v>44.03</v>
      </c>
      <c r="K89" s="1" t="s">
        <v>149</v>
      </c>
      <c r="L89" s="1" t="s">
        <v>35</v>
      </c>
      <c r="M89" s="1">
        <v>1.76</v>
      </c>
      <c r="N89" s="1" t="s">
        <v>54</v>
      </c>
      <c r="O89" s="1" t="s">
        <v>37</v>
      </c>
      <c r="P89" s="1" t="s">
        <v>36</v>
      </c>
      <c r="Q89" s="1" t="s">
        <v>55</v>
      </c>
      <c r="R89" s="1" t="s">
        <v>150</v>
      </c>
      <c r="S89" s="1" t="s">
        <v>39</v>
      </c>
      <c r="T89" s="1">
        <v>2002.97</v>
      </c>
      <c r="U89" s="1" t="s">
        <v>40</v>
      </c>
      <c r="V89" s="1" t="s">
        <v>29</v>
      </c>
      <c r="W89" s="1" t="s">
        <v>36</v>
      </c>
      <c r="X89" s="1" t="s">
        <v>29</v>
      </c>
      <c r="Y89" s="1" t="s">
        <v>36</v>
      </c>
      <c r="Z89" s="1" t="s">
        <v>41</v>
      </c>
    </row>
    <row r="90" spans="1:26" ht="15.75" x14ac:dyDescent="0.25">
      <c r="A90" s="1" t="s">
        <v>26</v>
      </c>
      <c r="B90" s="1" t="s">
        <v>27</v>
      </c>
      <c r="C90" s="1" t="s">
        <v>139</v>
      </c>
      <c r="D90" s="3">
        <v>22687</v>
      </c>
      <c r="E90" s="1" t="s">
        <v>29</v>
      </c>
      <c r="F90" s="1" t="s">
        <v>147</v>
      </c>
      <c r="G90" s="1" t="s">
        <v>61</v>
      </c>
      <c r="H90" s="1" t="s">
        <v>148</v>
      </c>
      <c r="I90" s="1" t="s">
        <v>33</v>
      </c>
      <c r="J90" s="1">
        <v>1.5</v>
      </c>
      <c r="K90" s="1" t="s">
        <v>149</v>
      </c>
      <c r="L90" s="1" t="s">
        <v>35</v>
      </c>
      <c r="M90" s="1">
        <v>0.06</v>
      </c>
      <c r="N90" s="1" t="s">
        <v>54</v>
      </c>
      <c r="O90" s="1" t="s">
        <v>37</v>
      </c>
      <c r="P90" s="1" t="s">
        <v>36</v>
      </c>
      <c r="Q90" s="1" t="s">
        <v>55</v>
      </c>
      <c r="R90" s="1" t="s">
        <v>150</v>
      </c>
      <c r="S90" s="1" t="s">
        <v>39</v>
      </c>
      <c r="T90" s="1">
        <v>2002.97</v>
      </c>
      <c r="U90" s="1" t="s">
        <v>40</v>
      </c>
      <c r="V90" s="1" t="s">
        <v>29</v>
      </c>
      <c r="W90" s="1" t="s">
        <v>36</v>
      </c>
      <c r="X90" s="1" t="s">
        <v>29</v>
      </c>
      <c r="Y90" s="1" t="s">
        <v>36</v>
      </c>
      <c r="Z90" s="1" t="s">
        <v>41</v>
      </c>
    </row>
    <row r="91" spans="1:26" ht="15.75" x14ac:dyDescent="0.25">
      <c r="A91" s="1" t="s">
        <v>26</v>
      </c>
      <c r="B91" s="1" t="s">
        <v>27</v>
      </c>
      <c r="C91" s="1" t="s">
        <v>139</v>
      </c>
      <c r="D91" s="3">
        <v>89214</v>
      </c>
      <c r="E91" s="1" t="s">
        <v>29</v>
      </c>
      <c r="F91" s="1" t="s">
        <v>193</v>
      </c>
      <c r="G91" s="1" t="s">
        <v>42</v>
      </c>
      <c r="H91" s="1" t="s">
        <v>45</v>
      </c>
      <c r="I91" s="1" t="s">
        <v>46</v>
      </c>
      <c r="J91" s="1">
        <v>16.34</v>
      </c>
      <c r="K91" s="1" t="s">
        <v>194</v>
      </c>
      <c r="L91" s="1" t="s">
        <v>35</v>
      </c>
      <c r="M91" s="1">
        <v>0.65</v>
      </c>
      <c r="N91" s="1" t="s">
        <v>54</v>
      </c>
      <c r="O91" s="1" t="s">
        <v>37</v>
      </c>
      <c r="P91" s="1" t="s">
        <v>36</v>
      </c>
      <c r="Q91" s="1" t="s">
        <v>55</v>
      </c>
      <c r="R91" s="1" t="s">
        <v>195</v>
      </c>
      <c r="S91" s="1" t="s">
        <v>39</v>
      </c>
      <c r="T91" s="1">
        <v>2002.97</v>
      </c>
      <c r="U91" s="1" t="s">
        <v>40</v>
      </c>
      <c r="V91" s="1" t="s">
        <v>29</v>
      </c>
      <c r="W91" s="1" t="s">
        <v>36</v>
      </c>
      <c r="X91" s="1" t="s">
        <v>29</v>
      </c>
      <c r="Y91" s="1" t="s">
        <v>36</v>
      </c>
      <c r="Z91" s="1" t="s">
        <v>41</v>
      </c>
    </row>
    <row r="92" spans="1:26" ht="15.75" x14ac:dyDescent="0.25">
      <c r="A92" s="1" t="s">
        <v>26</v>
      </c>
      <c r="B92" s="1" t="s">
        <v>27</v>
      </c>
      <c r="C92" s="1" t="s">
        <v>206</v>
      </c>
      <c r="D92" s="3">
        <v>49791</v>
      </c>
      <c r="E92" s="1" t="s">
        <v>29</v>
      </c>
      <c r="F92" s="1" t="s">
        <v>250</v>
      </c>
      <c r="G92" s="1" t="s">
        <v>31</v>
      </c>
      <c r="H92" s="1" t="s">
        <v>121</v>
      </c>
      <c r="I92" s="1" t="s">
        <v>101</v>
      </c>
      <c r="J92" s="1">
        <v>55.16</v>
      </c>
      <c r="K92" s="1" t="s">
        <v>251</v>
      </c>
      <c r="L92" s="1" t="s">
        <v>35</v>
      </c>
      <c r="M92" s="1">
        <v>2.21</v>
      </c>
      <c r="N92" s="1" t="s">
        <v>54</v>
      </c>
      <c r="O92" s="1" t="s">
        <v>37</v>
      </c>
      <c r="P92" s="1" t="s">
        <v>36</v>
      </c>
      <c r="Q92" s="1" t="s">
        <v>55</v>
      </c>
      <c r="R92" s="1" t="s">
        <v>252</v>
      </c>
      <c r="S92" s="1" t="s">
        <v>39</v>
      </c>
      <c r="T92" s="1">
        <v>2002.97</v>
      </c>
      <c r="U92" s="1" t="s">
        <v>40</v>
      </c>
      <c r="V92" s="1" t="s">
        <v>29</v>
      </c>
      <c r="W92" s="1" t="s">
        <v>36</v>
      </c>
      <c r="X92" s="1" t="s">
        <v>29</v>
      </c>
      <c r="Y92" s="1" t="s">
        <v>36</v>
      </c>
      <c r="Z92" s="1" t="s">
        <v>41</v>
      </c>
    </row>
    <row r="93" spans="1:26" ht="15.75" x14ac:dyDescent="0.25">
      <c r="A93" s="1" t="s">
        <v>26</v>
      </c>
      <c r="B93" s="1" t="s">
        <v>27</v>
      </c>
      <c r="C93" s="1" t="s">
        <v>206</v>
      </c>
      <c r="D93" s="3">
        <v>49791</v>
      </c>
      <c r="E93" s="1" t="s">
        <v>29</v>
      </c>
      <c r="F93" s="1" t="s">
        <v>250</v>
      </c>
      <c r="G93" s="1" t="s">
        <v>61</v>
      </c>
      <c r="H93" s="1" t="s">
        <v>121</v>
      </c>
      <c r="I93" s="1" t="s">
        <v>101</v>
      </c>
      <c r="J93" s="1">
        <v>1.5</v>
      </c>
      <c r="K93" s="1" t="s">
        <v>251</v>
      </c>
      <c r="L93" s="1" t="s">
        <v>35</v>
      </c>
      <c r="M93" s="1">
        <v>0.06</v>
      </c>
      <c r="N93" s="1" t="s">
        <v>54</v>
      </c>
      <c r="O93" s="1" t="s">
        <v>37</v>
      </c>
      <c r="P93" s="1" t="s">
        <v>36</v>
      </c>
      <c r="Q93" s="1" t="s">
        <v>55</v>
      </c>
      <c r="R93" s="1" t="s">
        <v>252</v>
      </c>
      <c r="S93" s="1" t="s">
        <v>39</v>
      </c>
      <c r="T93" s="1">
        <v>2002.97</v>
      </c>
      <c r="U93" s="1" t="s">
        <v>40</v>
      </c>
      <c r="V93" s="1" t="s">
        <v>29</v>
      </c>
      <c r="W93" s="1" t="s">
        <v>36</v>
      </c>
      <c r="X93" s="1" t="s">
        <v>29</v>
      </c>
      <c r="Y93" s="1" t="s">
        <v>36</v>
      </c>
      <c r="Z93" s="1" t="s">
        <v>41</v>
      </c>
    </row>
    <row r="94" spans="1:26" ht="15.75" x14ac:dyDescent="0.25">
      <c r="A94" s="1" t="s">
        <v>26</v>
      </c>
      <c r="B94" s="1" t="s">
        <v>27</v>
      </c>
      <c r="C94" s="1" t="s">
        <v>206</v>
      </c>
      <c r="D94" s="3">
        <v>79888</v>
      </c>
      <c r="E94" s="1" t="s">
        <v>29</v>
      </c>
      <c r="F94" s="1" t="s">
        <v>274</v>
      </c>
      <c r="G94" s="1" t="s">
        <v>31</v>
      </c>
      <c r="H94" s="1" t="s">
        <v>121</v>
      </c>
      <c r="I94" s="1" t="s">
        <v>101</v>
      </c>
      <c r="J94" s="1">
        <v>38.61</v>
      </c>
      <c r="K94" s="1" t="s">
        <v>259</v>
      </c>
      <c r="L94" s="1" t="s">
        <v>35</v>
      </c>
      <c r="M94" s="1">
        <v>1.54</v>
      </c>
      <c r="N94" s="1" t="s">
        <v>54</v>
      </c>
      <c r="O94" s="1" t="s">
        <v>37</v>
      </c>
      <c r="P94" s="1" t="s">
        <v>36</v>
      </c>
      <c r="Q94" s="1" t="s">
        <v>55</v>
      </c>
      <c r="R94" s="1" t="s">
        <v>275</v>
      </c>
      <c r="S94" s="1" t="s">
        <v>39</v>
      </c>
      <c r="T94" s="1">
        <v>2002.97</v>
      </c>
      <c r="U94" s="1" t="s">
        <v>40</v>
      </c>
      <c r="V94" s="1" t="s">
        <v>29</v>
      </c>
      <c r="W94" s="1" t="s">
        <v>36</v>
      </c>
      <c r="X94" s="1" t="s">
        <v>29</v>
      </c>
      <c r="Y94" s="1" t="s">
        <v>36</v>
      </c>
      <c r="Z94" s="1" t="s">
        <v>41</v>
      </c>
    </row>
    <row r="95" spans="1:26" ht="15.75" x14ac:dyDescent="0.25">
      <c r="A95" s="1" t="s">
        <v>26</v>
      </c>
      <c r="B95" s="1" t="s">
        <v>27</v>
      </c>
      <c r="C95" s="1" t="s">
        <v>206</v>
      </c>
      <c r="D95" s="3">
        <v>79889</v>
      </c>
      <c r="E95" s="1" t="s">
        <v>29</v>
      </c>
      <c r="F95" s="1" t="s">
        <v>274</v>
      </c>
      <c r="G95" s="1" t="s">
        <v>42</v>
      </c>
      <c r="H95" s="1" t="s">
        <v>121</v>
      </c>
      <c r="I95" s="1" t="s">
        <v>101</v>
      </c>
      <c r="J95" s="1">
        <v>16.34</v>
      </c>
      <c r="K95" s="1" t="s">
        <v>259</v>
      </c>
      <c r="L95" s="1" t="s">
        <v>35</v>
      </c>
      <c r="M95" s="1">
        <v>0.65</v>
      </c>
      <c r="N95" s="1" t="s">
        <v>54</v>
      </c>
      <c r="O95" s="1" t="s">
        <v>37</v>
      </c>
      <c r="P95" s="1" t="s">
        <v>36</v>
      </c>
      <c r="Q95" s="1" t="s">
        <v>55</v>
      </c>
      <c r="R95" s="1" t="s">
        <v>275</v>
      </c>
      <c r="S95" s="1" t="s">
        <v>39</v>
      </c>
      <c r="T95" s="1">
        <v>2002.97</v>
      </c>
      <c r="U95" s="1" t="s">
        <v>40</v>
      </c>
      <c r="V95" s="1" t="s">
        <v>29</v>
      </c>
      <c r="W95" s="1" t="s">
        <v>36</v>
      </c>
      <c r="X95" s="1" t="s">
        <v>29</v>
      </c>
      <c r="Y95" s="1" t="s">
        <v>36</v>
      </c>
      <c r="Z95" s="1" t="s">
        <v>41</v>
      </c>
    </row>
    <row r="96" spans="1:26" ht="15.75" x14ac:dyDescent="0.25">
      <c r="A96" s="1" t="s">
        <v>26</v>
      </c>
      <c r="B96" s="1" t="s">
        <v>27</v>
      </c>
      <c r="C96" s="1" t="s">
        <v>282</v>
      </c>
      <c r="D96" s="3">
        <v>70204</v>
      </c>
      <c r="E96" s="1" t="s">
        <v>29</v>
      </c>
      <c r="F96" s="1" t="s">
        <v>344</v>
      </c>
      <c r="G96" s="1" t="s">
        <v>42</v>
      </c>
      <c r="H96" s="1" t="s">
        <v>121</v>
      </c>
      <c r="I96" s="1" t="s">
        <v>101</v>
      </c>
      <c r="J96" s="1">
        <v>16.34</v>
      </c>
      <c r="K96" s="1" t="s">
        <v>345</v>
      </c>
      <c r="L96" s="1" t="s">
        <v>35</v>
      </c>
      <c r="M96" s="1">
        <v>6.05</v>
      </c>
      <c r="N96" s="1" t="s">
        <v>54</v>
      </c>
      <c r="O96" s="1" t="s">
        <v>37</v>
      </c>
      <c r="P96" s="1" t="s">
        <v>36</v>
      </c>
      <c r="Q96" s="1" t="s">
        <v>55</v>
      </c>
      <c r="R96" s="1" t="s">
        <v>346</v>
      </c>
      <c r="S96" s="1" t="s">
        <v>39</v>
      </c>
      <c r="T96" s="1">
        <v>2002.97</v>
      </c>
      <c r="U96" s="1" t="s">
        <v>40</v>
      </c>
      <c r="V96" s="1" t="s">
        <v>29</v>
      </c>
      <c r="W96" s="1" t="s">
        <v>36</v>
      </c>
      <c r="X96" s="1" t="s">
        <v>29</v>
      </c>
      <c r="Y96" s="1" t="s">
        <v>36</v>
      </c>
      <c r="Z96" s="1" t="s">
        <v>41</v>
      </c>
    </row>
    <row r="97" spans="1:26" ht="15.75" x14ac:dyDescent="0.25">
      <c r="A97" s="1" t="s">
        <v>26</v>
      </c>
      <c r="B97" s="1" t="s">
        <v>27</v>
      </c>
      <c r="C97" s="1" t="s">
        <v>429</v>
      </c>
      <c r="D97" s="3">
        <v>17598</v>
      </c>
      <c r="E97" s="1" t="s">
        <v>29</v>
      </c>
      <c r="F97" s="1" t="s">
        <v>430</v>
      </c>
      <c r="G97" s="1" t="s">
        <v>31</v>
      </c>
      <c r="H97" s="1" t="s">
        <v>45</v>
      </c>
      <c r="I97" s="1" t="s">
        <v>46</v>
      </c>
      <c r="J97" s="1">
        <v>38.61</v>
      </c>
      <c r="K97" s="1" t="s">
        <v>431</v>
      </c>
      <c r="L97" s="1" t="s">
        <v>35</v>
      </c>
      <c r="M97" s="1">
        <v>14.29</v>
      </c>
      <c r="N97" s="1" t="s">
        <v>54</v>
      </c>
      <c r="O97" s="1" t="s">
        <v>37</v>
      </c>
      <c r="P97" s="1" t="s">
        <v>36</v>
      </c>
      <c r="Q97" s="1" t="s">
        <v>55</v>
      </c>
      <c r="R97" s="1" t="s">
        <v>432</v>
      </c>
      <c r="S97" s="1" t="s">
        <v>39</v>
      </c>
      <c r="T97" s="1">
        <v>2002.97</v>
      </c>
      <c r="U97" s="1" t="s">
        <v>40</v>
      </c>
      <c r="V97" s="1" t="s">
        <v>29</v>
      </c>
      <c r="W97" s="1" t="s">
        <v>36</v>
      </c>
      <c r="X97" s="1" t="s">
        <v>29</v>
      </c>
      <c r="Y97" s="1" t="s">
        <v>36</v>
      </c>
      <c r="Z97" s="1" t="s">
        <v>41</v>
      </c>
    </row>
    <row r="98" spans="1:26" ht="15.75" x14ac:dyDescent="0.25">
      <c r="A98" s="1" t="s">
        <v>26</v>
      </c>
      <c r="B98" s="1" t="s">
        <v>27</v>
      </c>
      <c r="C98" s="1" t="s">
        <v>429</v>
      </c>
      <c r="D98" s="3">
        <v>17599</v>
      </c>
      <c r="E98" s="1" t="s">
        <v>29</v>
      </c>
      <c r="F98" s="1" t="s">
        <v>430</v>
      </c>
      <c r="G98" s="1" t="s">
        <v>42</v>
      </c>
      <c r="H98" s="1" t="s">
        <v>45</v>
      </c>
      <c r="I98" s="1" t="s">
        <v>46</v>
      </c>
      <c r="J98" s="1">
        <v>16.34</v>
      </c>
      <c r="K98" s="1" t="s">
        <v>431</v>
      </c>
      <c r="L98" s="1" t="s">
        <v>35</v>
      </c>
      <c r="M98" s="1">
        <v>6.05</v>
      </c>
      <c r="N98" s="1" t="s">
        <v>54</v>
      </c>
      <c r="O98" s="1" t="s">
        <v>37</v>
      </c>
      <c r="P98" s="1" t="s">
        <v>36</v>
      </c>
      <c r="Q98" s="1" t="s">
        <v>55</v>
      </c>
      <c r="R98" s="1" t="s">
        <v>432</v>
      </c>
      <c r="S98" s="1" t="s">
        <v>39</v>
      </c>
      <c r="T98" s="1">
        <v>2002.97</v>
      </c>
      <c r="U98" s="1" t="s">
        <v>40</v>
      </c>
      <c r="V98" s="1" t="s">
        <v>29</v>
      </c>
      <c r="W98" s="1" t="s">
        <v>36</v>
      </c>
      <c r="X98" s="1" t="s">
        <v>29</v>
      </c>
      <c r="Y98" s="1" t="s">
        <v>36</v>
      </c>
      <c r="Z98" s="1" t="s">
        <v>41</v>
      </c>
    </row>
    <row r="99" spans="1:26" ht="15.75" x14ac:dyDescent="0.25">
      <c r="A99" s="1" t="s">
        <v>26</v>
      </c>
      <c r="B99" s="1" t="s">
        <v>27</v>
      </c>
      <c r="C99" s="1" t="s">
        <v>43</v>
      </c>
      <c r="D99" s="3">
        <v>35261</v>
      </c>
      <c r="E99" s="1" t="s">
        <v>29</v>
      </c>
      <c r="F99" s="1" t="s">
        <v>44</v>
      </c>
      <c r="G99" s="1" t="s">
        <v>31</v>
      </c>
      <c r="H99" s="1" t="s">
        <v>45</v>
      </c>
      <c r="I99" s="1" t="s">
        <v>46</v>
      </c>
      <c r="J99" s="1">
        <v>39.83</v>
      </c>
      <c r="K99" s="1" t="s">
        <v>47</v>
      </c>
      <c r="L99" s="1" t="s">
        <v>35</v>
      </c>
      <c r="M99" s="1">
        <v>1.59</v>
      </c>
      <c r="N99" s="1" t="s">
        <v>48</v>
      </c>
      <c r="O99" s="1" t="s">
        <v>37</v>
      </c>
      <c r="P99" s="1" t="s">
        <v>36</v>
      </c>
      <c r="Q99" s="1" t="s">
        <v>49</v>
      </c>
      <c r="R99" s="1" t="s">
        <v>50</v>
      </c>
      <c r="S99" s="1" t="s">
        <v>39</v>
      </c>
      <c r="T99" s="1">
        <v>2002.97</v>
      </c>
      <c r="U99" s="1" t="s">
        <v>40</v>
      </c>
      <c r="V99" s="1" t="s">
        <v>29</v>
      </c>
      <c r="W99" s="1" t="s">
        <v>36</v>
      </c>
      <c r="X99" s="1" t="s">
        <v>29</v>
      </c>
      <c r="Y99" s="1" t="s">
        <v>36</v>
      </c>
      <c r="Z99" s="1" t="s">
        <v>41</v>
      </c>
    </row>
    <row r="100" spans="1:26" ht="15.75" x14ac:dyDescent="0.25">
      <c r="A100" s="1" t="s">
        <v>26</v>
      </c>
      <c r="B100" s="1" t="s">
        <v>27</v>
      </c>
      <c r="C100" s="1" t="s">
        <v>43</v>
      </c>
      <c r="D100" s="3">
        <v>35261</v>
      </c>
      <c r="E100" s="1" t="s">
        <v>29</v>
      </c>
      <c r="F100" s="1" t="s">
        <v>44</v>
      </c>
      <c r="G100" s="1" t="s">
        <v>51</v>
      </c>
      <c r="H100" s="1" t="s">
        <v>45</v>
      </c>
      <c r="I100" s="1" t="s">
        <v>46</v>
      </c>
      <c r="J100" s="1">
        <v>0.75</v>
      </c>
      <c r="K100" s="1" t="s">
        <v>47</v>
      </c>
      <c r="L100" s="1" t="s">
        <v>35</v>
      </c>
      <c r="M100" s="1">
        <v>0.03</v>
      </c>
      <c r="N100" s="1" t="s">
        <v>48</v>
      </c>
      <c r="O100" s="1" t="s">
        <v>37</v>
      </c>
      <c r="P100" s="1" t="s">
        <v>36</v>
      </c>
      <c r="Q100" s="1" t="s">
        <v>49</v>
      </c>
      <c r="R100" s="1" t="s">
        <v>50</v>
      </c>
      <c r="S100" s="1" t="s">
        <v>39</v>
      </c>
      <c r="T100" s="1">
        <v>2002.97</v>
      </c>
      <c r="U100" s="1" t="s">
        <v>40</v>
      </c>
      <c r="V100" s="1" t="s">
        <v>29</v>
      </c>
      <c r="W100" s="1" t="s">
        <v>36</v>
      </c>
      <c r="X100" s="1" t="s">
        <v>29</v>
      </c>
      <c r="Y100" s="1" t="s">
        <v>36</v>
      </c>
      <c r="Z100" s="1" t="s">
        <v>41</v>
      </c>
    </row>
    <row r="101" spans="1:26" ht="15.75" x14ac:dyDescent="0.25">
      <c r="A101" s="1" t="s">
        <v>26</v>
      </c>
      <c r="B101" s="1" t="s">
        <v>27</v>
      </c>
      <c r="C101" s="1" t="s">
        <v>43</v>
      </c>
      <c r="D101" s="3">
        <v>56726</v>
      </c>
      <c r="E101" s="1" t="s">
        <v>29</v>
      </c>
      <c r="F101" s="1" t="s">
        <v>57</v>
      </c>
      <c r="G101" s="1" t="s">
        <v>31</v>
      </c>
      <c r="H101" s="1" t="s">
        <v>58</v>
      </c>
      <c r="I101" s="1" t="s">
        <v>33</v>
      </c>
      <c r="J101" s="1">
        <v>94.48</v>
      </c>
      <c r="K101" s="1" t="s">
        <v>59</v>
      </c>
      <c r="L101" s="1" t="s">
        <v>35</v>
      </c>
      <c r="M101" s="1">
        <v>3.78</v>
      </c>
      <c r="N101" s="1" t="s">
        <v>48</v>
      </c>
      <c r="O101" s="1" t="s">
        <v>37</v>
      </c>
      <c r="P101" s="1" t="s">
        <v>36</v>
      </c>
      <c r="Q101" s="1" t="s">
        <v>49</v>
      </c>
      <c r="R101" s="1" t="s">
        <v>60</v>
      </c>
      <c r="S101" s="1" t="s">
        <v>39</v>
      </c>
      <c r="T101" s="1">
        <v>2002.97</v>
      </c>
      <c r="U101" s="1" t="s">
        <v>40</v>
      </c>
      <c r="V101" s="1" t="s">
        <v>29</v>
      </c>
      <c r="W101" s="1" t="s">
        <v>36</v>
      </c>
      <c r="X101" s="1" t="s">
        <v>29</v>
      </c>
      <c r="Y101" s="1" t="s">
        <v>36</v>
      </c>
      <c r="Z101" s="1" t="s">
        <v>41</v>
      </c>
    </row>
    <row r="102" spans="1:26" ht="15.75" x14ac:dyDescent="0.25">
      <c r="A102" s="1" t="s">
        <v>26</v>
      </c>
      <c r="B102" s="1" t="s">
        <v>27</v>
      </c>
      <c r="C102" s="1" t="s">
        <v>43</v>
      </c>
      <c r="D102" s="3">
        <v>56726</v>
      </c>
      <c r="E102" s="1" t="s">
        <v>29</v>
      </c>
      <c r="F102" s="1" t="s">
        <v>57</v>
      </c>
      <c r="G102" s="1" t="s">
        <v>61</v>
      </c>
      <c r="H102" s="1" t="s">
        <v>58</v>
      </c>
      <c r="I102" s="1" t="s">
        <v>33</v>
      </c>
      <c r="J102" s="1">
        <v>2.16</v>
      </c>
      <c r="K102" s="1" t="s">
        <v>59</v>
      </c>
      <c r="L102" s="1" t="s">
        <v>35</v>
      </c>
      <c r="M102" s="1">
        <v>0.09</v>
      </c>
      <c r="N102" s="1" t="s">
        <v>48</v>
      </c>
      <c r="O102" s="1" t="s">
        <v>37</v>
      </c>
      <c r="P102" s="1" t="s">
        <v>36</v>
      </c>
      <c r="Q102" s="1" t="s">
        <v>49</v>
      </c>
      <c r="R102" s="1" t="s">
        <v>60</v>
      </c>
      <c r="S102" s="1" t="s">
        <v>39</v>
      </c>
      <c r="T102" s="1">
        <v>2002.97</v>
      </c>
      <c r="U102" s="1" t="s">
        <v>40</v>
      </c>
      <c r="V102" s="1" t="s">
        <v>29</v>
      </c>
      <c r="W102" s="1" t="s">
        <v>36</v>
      </c>
      <c r="X102" s="1" t="s">
        <v>29</v>
      </c>
      <c r="Y102" s="1" t="s">
        <v>36</v>
      </c>
      <c r="Z102" s="1" t="s">
        <v>41</v>
      </c>
    </row>
    <row r="103" spans="1:26" ht="15.75" x14ac:dyDescent="0.25">
      <c r="A103" s="1" t="s">
        <v>26</v>
      </c>
      <c r="B103" s="1" t="s">
        <v>27</v>
      </c>
      <c r="C103" s="1" t="s">
        <v>43</v>
      </c>
      <c r="D103" s="3">
        <v>58316</v>
      </c>
      <c r="E103" s="1" t="s">
        <v>29</v>
      </c>
      <c r="F103" s="1" t="s">
        <v>62</v>
      </c>
      <c r="G103" s="1" t="s">
        <v>31</v>
      </c>
      <c r="H103" s="1" t="s">
        <v>45</v>
      </c>
      <c r="I103" s="1" t="s">
        <v>46</v>
      </c>
      <c r="J103" s="1">
        <v>38.869999999999997</v>
      </c>
      <c r="K103" s="1" t="s">
        <v>53</v>
      </c>
      <c r="L103" s="1" t="s">
        <v>35</v>
      </c>
      <c r="M103" s="1">
        <v>1.55</v>
      </c>
      <c r="N103" s="1" t="s">
        <v>48</v>
      </c>
      <c r="O103" s="1" t="s">
        <v>37</v>
      </c>
      <c r="P103" s="1" t="s">
        <v>36</v>
      </c>
      <c r="Q103" s="1" t="s">
        <v>49</v>
      </c>
      <c r="R103" s="1" t="s">
        <v>63</v>
      </c>
      <c r="S103" s="1" t="s">
        <v>39</v>
      </c>
      <c r="T103" s="1">
        <v>2002.97</v>
      </c>
      <c r="U103" s="1" t="s">
        <v>40</v>
      </c>
      <c r="V103" s="1" t="s">
        <v>29</v>
      </c>
      <c r="W103" s="1" t="s">
        <v>36</v>
      </c>
      <c r="X103" s="1" t="s">
        <v>29</v>
      </c>
      <c r="Y103" s="1" t="s">
        <v>36</v>
      </c>
      <c r="Z103" s="1" t="s">
        <v>41</v>
      </c>
    </row>
    <row r="104" spans="1:26" ht="15.75" x14ac:dyDescent="0.25">
      <c r="A104" s="1" t="s">
        <v>26</v>
      </c>
      <c r="B104" s="1" t="s">
        <v>27</v>
      </c>
      <c r="C104" s="1" t="s">
        <v>43</v>
      </c>
      <c r="D104" s="3">
        <v>58316</v>
      </c>
      <c r="E104" s="1" t="s">
        <v>29</v>
      </c>
      <c r="F104" s="1" t="s">
        <v>62</v>
      </c>
      <c r="G104" s="1" t="s">
        <v>61</v>
      </c>
      <c r="H104" s="1" t="s">
        <v>45</v>
      </c>
      <c r="I104" s="1" t="s">
        <v>46</v>
      </c>
      <c r="J104" s="1">
        <v>1.5</v>
      </c>
      <c r="K104" s="1" t="s">
        <v>53</v>
      </c>
      <c r="L104" s="1" t="s">
        <v>35</v>
      </c>
      <c r="M104" s="1">
        <v>0.06</v>
      </c>
      <c r="N104" s="1" t="s">
        <v>48</v>
      </c>
      <c r="O104" s="1" t="s">
        <v>37</v>
      </c>
      <c r="P104" s="1" t="s">
        <v>36</v>
      </c>
      <c r="Q104" s="1" t="s">
        <v>49</v>
      </c>
      <c r="R104" s="1" t="s">
        <v>63</v>
      </c>
      <c r="S104" s="1" t="s">
        <v>39</v>
      </c>
      <c r="T104" s="1">
        <v>2002.97</v>
      </c>
      <c r="U104" s="1" t="s">
        <v>40</v>
      </c>
      <c r="V104" s="1" t="s">
        <v>29</v>
      </c>
      <c r="W104" s="1" t="s">
        <v>36</v>
      </c>
      <c r="X104" s="1" t="s">
        <v>29</v>
      </c>
      <c r="Y104" s="1" t="s">
        <v>36</v>
      </c>
      <c r="Z104" s="1" t="s">
        <v>41</v>
      </c>
    </row>
    <row r="105" spans="1:26" ht="15.75" x14ac:dyDescent="0.25">
      <c r="A105" s="1" t="s">
        <v>26</v>
      </c>
      <c r="B105" s="1" t="s">
        <v>27</v>
      </c>
      <c r="C105" s="1" t="s">
        <v>90</v>
      </c>
      <c r="D105" s="3">
        <v>45979</v>
      </c>
      <c r="E105" s="1" t="s">
        <v>29</v>
      </c>
      <c r="F105" s="1" t="s">
        <v>97</v>
      </c>
      <c r="G105" s="1" t="s">
        <v>31</v>
      </c>
      <c r="H105" s="1" t="s">
        <v>45</v>
      </c>
      <c r="I105" s="1" t="s">
        <v>46</v>
      </c>
      <c r="J105" s="1">
        <v>75.83</v>
      </c>
      <c r="K105" s="1" t="s">
        <v>98</v>
      </c>
      <c r="L105" s="1" t="s">
        <v>35</v>
      </c>
      <c r="M105" s="1">
        <v>3.03</v>
      </c>
      <c r="N105" s="1" t="s">
        <v>48</v>
      </c>
      <c r="O105" s="1" t="s">
        <v>37</v>
      </c>
      <c r="P105" s="1" t="s">
        <v>36</v>
      </c>
      <c r="Q105" s="1" t="s">
        <v>49</v>
      </c>
      <c r="R105" s="1" t="s">
        <v>99</v>
      </c>
      <c r="S105" s="1" t="s">
        <v>39</v>
      </c>
      <c r="T105" s="1">
        <v>2002.97</v>
      </c>
      <c r="U105" s="1" t="s">
        <v>40</v>
      </c>
      <c r="V105" s="1" t="s">
        <v>29</v>
      </c>
      <c r="W105" s="1" t="s">
        <v>36</v>
      </c>
      <c r="X105" s="1" t="s">
        <v>29</v>
      </c>
      <c r="Y105" s="1" t="s">
        <v>36</v>
      </c>
      <c r="Z105" s="1" t="s">
        <v>41</v>
      </c>
    </row>
    <row r="106" spans="1:26" ht="15.75" x14ac:dyDescent="0.25">
      <c r="A106" s="1" t="s">
        <v>26</v>
      </c>
      <c r="B106" s="1" t="s">
        <v>27</v>
      </c>
      <c r="C106" s="1" t="s">
        <v>90</v>
      </c>
      <c r="D106" s="3">
        <v>79789</v>
      </c>
      <c r="E106" s="1" t="s">
        <v>29</v>
      </c>
      <c r="F106" s="1" t="s">
        <v>112</v>
      </c>
      <c r="G106" s="1" t="s">
        <v>31</v>
      </c>
      <c r="H106" s="1" t="s">
        <v>45</v>
      </c>
      <c r="I106" s="1" t="s">
        <v>46</v>
      </c>
      <c r="J106" s="1">
        <v>51.24</v>
      </c>
      <c r="K106" s="1" t="s">
        <v>113</v>
      </c>
      <c r="L106" s="1" t="s">
        <v>35</v>
      </c>
      <c r="M106" s="1">
        <v>2.0499999999999998</v>
      </c>
      <c r="N106" s="1" t="s">
        <v>48</v>
      </c>
      <c r="O106" s="1" t="s">
        <v>37</v>
      </c>
      <c r="P106" s="1" t="s">
        <v>36</v>
      </c>
      <c r="Q106" s="1" t="s">
        <v>49</v>
      </c>
      <c r="R106" s="1" t="s">
        <v>114</v>
      </c>
      <c r="S106" s="1" t="s">
        <v>39</v>
      </c>
      <c r="T106" s="1">
        <v>2002.97</v>
      </c>
      <c r="U106" s="1" t="s">
        <v>40</v>
      </c>
      <c r="V106" s="1" t="s">
        <v>29</v>
      </c>
      <c r="W106" s="1" t="s">
        <v>36</v>
      </c>
      <c r="X106" s="1" t="s">
        <v>29</v>
      </c>
      <c r="Y106" s="1" t="s">
        <v>36</v>
      </c>
      <c r="Z106" s="1" t="s">
        <v>41</v>
      </c>
    </row>
    <row r="107" spans="1:26" ht="15.75" x14ac:dyDescent="0.25">
      <c r="A107" s="1" t="s">
        <v>26</v>
      </c>
      <c r="B107" s="1" t="s">
        <v>27</v>
      </c>
      <c r="C107" s="1" t="s">
        <v>90</v>
      </c>
      <c r="D107" s="3">
        <v>79789</v>
      </c>
      <c r="E107" s="1" t="s">
        <v>29</v>
      </c>
      <c r="F107" s="1" t="s">
        <v>112</v>
      </c>
      <c r="G107" s="1" t="s">
        <v>61</v>
      </c>
      <c r="H107" s="1" t="s">
        <v>45</v>
      </c>
      <c r="I107" s="1" t="s">
        <v>46</v>
      </c>
      <c r="J107" s="1">
        <v>1.5</v>
      </c>
      <c r="K107" s="1" t="s">
        <v>113</v>
      </c>
      <c r="L107" s="1" t="s">
        <v>35</v>
      </c>
      <c r="M107" s="1">
        <v>0.06</v>
      </c>
      <c r="N107" s="1" t="s">
        <v>48</v>
      </c>
      <c r="O107" s="1" t="s">
        <v>37</v>
      </c>
      <c r="P107" s="1" t="s">
        <v>36</v>
      </c>
      <c r="Q107" s="1" t="s">
        <v>49</v>
      </c>
      <c r="R107" s="1" t="s">
        <v>114</v>
      </c>
      <c r="S107" s="1" t="s">
        <v>39</v>
      </c>
      <c r="T107" s="1">
        <v>2002.97</v>
      </c>
      <c r="U107" s="1" t="s">
        <v>40</v>
      </c>
      <c r="V107" s="1" t="s">
        <v>29</v>
      </c>
      <c r="W107" s="1" t="s">
        <v>36</v>
      </c>
      <c r="X107" s="1" t="s">
        <v>29</v>
      </c>
      <c r="Y107" s="1" t="s">
        <v>36</v>
      </c>
      <c r="Z107" s="1" t="s">
        <v>41</v>
      </c>
    </row>
    <row r="108" spans="1:26" ht="15.75" x14ac:dyDescent="0.25">
      <c r="A108" s="1" t="s">
        <v>26</v>
      </c>
      <c r="B108" s="1" t="s">
        <v>27</v>
      </c>
      <c r="C108" s="1" t="s">
        <v>90</v>
      </c>
      <c r="D108" s="3">
        <v>79861</v>
      </c>
      <c r="E108" s="1" t="s">
        <v>29</v>
      </c>
      <c r="F108" s="1" t="s">
        <v>115</v>
      </c>
      <c r="G108" s="1" t="s">
        <v>31</v>
      </c>
      <c r="H108" s="1" t="s">
        <v>45</v>
      </c>
      <c r="I108" s="1" t="s">
        <v>46</v>
      </c>
      <c r="J108" s="1">
        <v>44.81</v>
      </c>
      <c r="K108" s="1" t="s">
        <v>113</v>
      </c>
      <c r="L108" s="1" t="s">
        <v>35</v>
      </c>
      <c r="M108" s="1">
        <v>1.79</v>
      </c>
      <c r="N108" s="1" t="s">
        <v>48</v>
      </c>
      <c r="O108" s="1" t="s">
        <v>37</v>
      </c>
      <c r="P108" s="1" t="s">
        <v>36</v>
      </c>
      <c r="Q108" s="1" t="s">
        <v>49</v>
      </c>
      <c r="R108" s="1" t="s">
        <v>116</v>
      </c>
      <c r="S108" s="1" t="s">
        <v>39</v>
      </c>
      <c r="T108" s="1">
        <v>2002.97</v>
      </c>
      <c r="U108" s="1" t="s">
        <v>40</v>
      </c>
      <c r="V108" s="1" t="s">
        <v>29</v>
      </c>
      <c r="W108" s="1" t="s">
        <v>36</v>
      </c>
      <c r="X108" s="1" t="s">
        <v>29</v>
      </c>
      <c r="Y108" s="1" t="s">
        <v>36</v>
      </c>
      <c r="Z108" s="1" t="s">
        <v>41</v>
      </c>
    </row>
    <row r="109" spans="1:26" ht="15.75" x14ac:dyDescent="0.25">
      <c r="A109" s="1" t="s">
        <v>26</v>
      </c>
      <c r="B109" s="1" t="s">
        <v>27</v>
      </c>
      <c r="C109" s="1" t="s">
        <v>139</v>
      </c>
      <c r="D109" s="3">
        <v>55554</v>
      </c>
      <c r="E109" s="1" t="s">
        <v>29</v>
      </c>
      <c r="F109" s="1" t="s">
        <v>156</v>
      </c>
      <c r="G109" s="1" t="s">
        <v>31</v>
      </c>
      <c r="H109" s="1" t="s">
        <v>45</v>
      </c>
      <c r="I109" s="1" t="s">
        <v>46</v>
      </c>
      <c r="J109" s="1">
        <v>40.729999999999997</v>
      </c>
      <c r="K109" s="1" t="s">
        <v>157</v>
      </c>
      <c r="L109" s="1" t="s">
        <v>35</v>
      </c>
      <c r="M109" s="1">
        <v>1.63</v>
      </c>
      <c r="N109" s="1" t="s">
        <v>48</v>
      </c>
      <c r="O109" s="1" t="s">
        <v>37</v>
      </c>
      <c r="P109" s="1" t="s">
        <v>36</v>
      </c>
      <c r="Q109" s="1" t="s">
        <v>49</v>
      </c>
      <c r="R109" s="1" t="s">
        <v>158</v>
      </c>
      <c r="S109" s="1" t="s">
        <v>39</v>
      </c>
      <c r="T109" s="1">
        <v>2002.97</v>
      </c>
      <c r="U109" s="1" t="s">
        <v>40</v>
      </c>
      <c r="V109" s="1" t="s">
        <v>29</v>
      </c>
      <c r="W109" s="1" t="s">
        <v>36</v>
      </c>
      <c r="X109" s="1" t="s">
        <v>29</v>
      </c>
      <c r="Y109" s="1" t="s">
        <v>36</v>
      </c>
      <c r="Z109" s="1" t="s">
        <v>41</v>
      </c>
    </row>
    <row r="110" spans="1:26" ht="15.75" x14ac:dyDescent="0.25">
      <c r="A110" s="1" t="s">
        <v>26</v>
      </c>
      <c r="B110" s="1" t="s">
        <v>27</v>
      </c>
      <c r="C110" s="1" t="s">
        <v>139</v>
      </c>
      <c r="D110" s="3">
        <v>90210</v>
      </c>
      <c r="E110" s="1" t="s">
        <v>29</v>
      </c>
      <c r="F110" s="1" t="s">
        <v>200</v>
      </c>
      <c r="G110" s="1" t="s">
        <v>31</v>
      </c>
      <c r="H110" s="1" t="s">
        <v>101</v>
      </c>
      <c r="I110" s="1" t="s">
        <v>102</v>
      </c>
      <c r="J110" s="1">
        <v>46.59</v>
      </c>
      <c r="K110" s="1" t="s">
        <v>201</v>
      </c>
      <c r="L110" s="1" t="s">
        <v>35</v>
      </c>
      <c r="M110" s="1">
        <v>1.86</v>
      </c>
      <c r="N110" s="1" t="s">
        <v>48</v>
      </c>
      <c r="O110" s="1" t="s">
        <v>37</v>
      </c>
      <c r="P110" s="1" t="s">
        <v>36</v>
      </c>
      <c r="Q110" s="1" t="s">
        <v>49</v>
      </c>
      <c r="R110" s="1" t="s">
        <v>202</v>
      </c>
      <c r="S110" s="1" t="s">
        <v>39</v>
      </c>
      <c r="T110" s="1">
        <v>2002.97</v>
      </c>
      <c r="U110" s="1" t="s">
        <v>40</v>
      </c>
      <c r="V110" s="1" t="s">
        <v>29</v>
      </c>
      <c r="W110" s="1" t="s">
        <v>36</v>
      </c>
      <c r="X110" s="1" t="s">
        <v>29</v>
      </c>
      <c r="Y110" s="1" t="s">
        <v>36</v>
      </c>
      <c r="Z110" s="1" t="s">
        <v>41</v>
      </c>
    </row>
    <row r="111" spans="1:26" ht="15.75" x14ac:dyDescent="0.25">
      <c r="A111" s="1" t="s">
        <v>26</v>
      </c>
      <c r="B111" s="1" t="s">
        <v>27</v>
      </c>
      <c r="C111" s="1" t="s">
        <v>139</v>
      </c>
      <c r="D111" s="3">
        <v>90210</v>
      </c>
      <c r="E111" s="1" t="s">
        <v>29</v>
      </c>
      <c r="F111" s="1" t="s">
        <v>200</v>
      </c>
      <c r="G111" s="1" t="s">
        <v>61</v>
      </c>
      <c r="H111" s="1" t="s">
        <v>101</v>
      </c>
      <c r="I111" s="1" t="s">
        <v>102</v>
      </c>
      <c r="J111" s="1">
        <v>1.5</v>
      </c>
      <c r="K111" s="1" t="s">
        <v>201</v>
      </c>
      <c r="L111" s="1" t="s">
        <v>35</v>
      </c>
      <c r="M111" s="1">
        <v>0.06</v>
      </c>
      <c r="N111" s="1" t="s">
        <v>48</v>
      </c>
      <c r="O111" s="1" t="s">
        <v>37</v>
      </c>
      <c r="P111" s="1" t="s">
        <v>36</v>
      </c>
      <c r="Q111" s="1" t="s">
        <v>49</v>
      </c>
      <c r="R111" s="1" t="s">
        <v>202</v>
      </c>
      <c r="S111" s="1" t="s">
        <v>39</v>
      </c>
      <c r="T111" s="1">
        <v>2002.97</v>
      </c>
      <c r="U111" s="1" t="s">
        <v>40</v>
      </c>
      <c r="V111" s="1" t="s">
        <v>29</v>
      </c>
      <c r="W111" s="1" t="s">
        <v>36</v>
      </c>
      <c r="X111" s="1" t="s">
        <v>29</v>
      </c>
      <c r="Y111" s="1" t="s">
        <v>36</v>
      </c>
      <c r="Z111" s="1" t="s">
        <v>41</v>
      </c>
    </row>
    <row r="112" spans="1:26" ht="15.75" x14ac:dyDescent="0.25">
      <c r="A112" s="1" t="s">
        <v>26</v>
      </c>
      <c r="B112" s="1" t="s">
        <v>27</v>
      </c>
      <c r="C112" s="1" t="s">
        <v>206</v>
      </c>
      <c r="D112" s="3">
        <v>20958</v>
      </c>
      <c r="E112" s="1" t="s">
        <v>29</v>
      </c>
      <c r="F112" s="1" t="s">
        <v>225</v>
      </c>
      <c r="G112" s="1" t="s">
        <v>31</v>
      </c>
      <c r="H112" s="1" t="s">
        <v>33</v>
      </c>
      <c r="I112" s="1" t="s">
        <v>45</v>
      </c>
      <c r="J112" s="1">
        <v>46.59</v>
      </c>
      <c r="K112" s="1" t="s">
        <v>215</v>
      </c>
      <c r="L112" s="1" t="s">
        <v>35</v>
      </c>
      <c r="M112" s="1">
        <v>1.86</v>
      </c>
      <c r="N112" s="1" t="s">
        <v>48</v>
      </c>
      <c r="O112" s="1" t="s">
        <v>37</v>
      </c>
      <c r="P112" s="1" t="s">
        <v>36</v>
      </c>
      <c r="Q112" s="1" t="s">
        <v>49</v>
      </c>
      <c r="R112" s="1" t="s">
        <v>226</v>
      </c>
      <c r="S112" s="1" t="s">
        <v>39</v>
      </c>
      <c r="T112" s="1">
        <v>2002.97</v>
      </c>
      <c r="U112" s="1" t="s">
        <v>40</v>
      </c>
      <c r="V112" s="1" t="s">
        <v>29</v>
      </c>
      <c r="W112" s="1" t="s">
        <v>36</v>
      </c>
      <c r="X112" s="1" t="s">
        <v>29</v>
      </c>
      <c r="Y112" s="1" t="s">
        <v>36</v>
      </c>
      <c r="Z112" s="1" t="s">
        <v>41</v>
      </c>
    </row>
    <row r="113" spans="1:26" ht="15.75" x14ac:dyDescent="0.25">
      <c r="A113" s="1" t="s">
        <v>26</v>
      </c>
      <c r="B113" s="1" t="s">
        <v>27</v>
      </c>
      <c r="C113" s="1" t="s">
        <v>206</v>
      </c>
      <c r="D113" s="3">
        <v>20958</v>
      </c>
      <c r="E113" s="1" t="s">
        <v>29</v>
      </c>
      <c r="F113" s="1" t="s">
        <v>225</v>
      </c>
      <c r="G113" s="1" t="s">
        <v>61</v>
      </c>
      <c r="H113" s="1" t="s">
        <v>33</v>
      </c>
      <c r="I113" s="1" t="s">
        <v>45</v>
      </c>
      <c r="J113" s="1">
        <v>1.5</v>
      </c>
      <c r="K113" s="1" t="s">
        <v>215</v>
      </c>
      <c r="L113" s="1" t="s">
        <v>35</v>
      </c>
      <c r="M113" s="1">
        <v>0.06</v>
      </c>
      <c r="N113" s="1" t="s">
        <v>48</v>
      </c>
      <c r="O113" s="1" t="s">
        <v>37</v>
      </c>
      <c r="P113" s="1" t="s">
        <v>36</v>
      </c>
      <c r="Q113" s="1" t="s">
        <v>49</v>
      </c>
      <c r="R113" s="1" t="s">
        <v>226</v>
      </c>
      <c r="S113" s="1" t="s">
        <v>39</v>
      </c>
      <c r="T113" s="1">
        <v>2002.97</v>
      </c>
      <c r="U113" s="1" t="s">
        <v>40</v>
      </c>
      <c r="V113" s="1" t="s">
        <v>29</v>
      </c>
      <c r="W113" s="1" t="s">
        <v>36</v>
      </c>
      <c r="X113" s="1" t="s">
        <v>29</v>
      </c>
      <c r="Y113" s="1" t="s">
        <v>36</v>
      </c>
      <c r="Z113" s="1" t="s">
        <v>41</v>
      </c>
    </row>
    <row r="114" spans="1:26" ht="15.75" x14ac:dyDescent="0.25">
      <c r="A114" s="1" t="s">
        <v>26</v>
      </c>
      <c r="B114" s="1" t="s">
        <v>27</v>
      </c>
      <c r="C114" s="1" t="s">
        <v>282</v>
      </c>
      <c r="D114" s="3">
        <v>23054</v>
      </c>
      <c r="E114" s="1" t="s">
        <v>29</v>
      </c>
      <c r="F114" s="1" t="s">
        <v>322</v>
      </c>
      <c r="G114" s="1" t="s">
        <v>31</v>
      </c>
      <c r="H114" s="1" t="s">
        <v>45</v>
      </c>
      <c r="I114" s="1" t="s">
        <v>46</v>
      </c>
      <c r="J114" s="1">
        <v>33.700000000000003</v>
      </c>
      <c r="K114" s="1" t="s">
        <v>291</v>
      </c>
      <c r="L114" s="1" t="s">
        <v>35</v>
      </c>
      <c r="M114" s="1">
        <v>12.47</v>
      </c>
      <c r="N114" s="1" t="s">
        <v>48</v>
      </c>
      <c r="O114" s="1" t="s">
        <v>37</v>
      </c>
      <c r="P114" s="1" t="s">
        <v>36</v>
      </c>
      <c r="Q114" s="1" t="s">
        <v>49</v>
      </c>
      <c r="R114" s="1" t="s">
        <v>323</v>
      </c>
      <c r="S114" s="1" t="s">
        <v>39</v>
      </c>
      <c r="T114" s="1">
        <v>2002.97</v>
      </c>
      <c r="U114" s="1" t="s">
        <v>40</v>
      </c>
      <c r="V114" s="1" t="s">
        <v>29</v>
      </c>
      <c r="W114" s="1" t="s">
        <v>36</v>
      </c>
      <c r="X114" s="1" t="s">
        <v>29</v>
      </c>
      <c r="Y114" s="1" t="s">
        <v>36</v>
      </c>
      <c r="Z114" s="1" t="s">
        <v>41</v>
      </c>
    </row>
    <row r="115" spans="1:26" ht="15.75" x14ac:dyDescent="0.25">
      <c r="A115" s="1" t="s">
        <v>26</v>
      </c>
      <c r="B115" s="1" t="s">
        <v>27</v>
      </c>
      <c r="C115" s="1" t="s">
        <v>511</v>
      </c>
      <c r="D115" s="3">
        <v>61719</v>
      </c>
      <c r="E115" s="1" t="s">
        <v>29</v>
      </c>
      <c r="F115" s="1" t="s">
        <v>564</v>
      </c>
      <c r="G115" s="1" t="s">
        <v>31</v>
      </c>
      <c r="H115" s="1" t="s">
        <v>33</v>
      </c>
      <c r="I115" s="1" t="s">
        <v>45</v>
      </c>
      <c r="J115" s="1">
        <v>46.59</v>
      </c>
      <c r="K115" s="1" t="s">
        <v>562</v>
      </c>
      <c r="L115" s="1" t="s">
        <v>35</v>
      </c>
      <c r="M115" s="1">
        <v>17.239999999999998</v>
      </c>
      <c r="N115" s="1" t="s">
        <v>48</v>
      </c>
      <c r="O115" s="1" t="s">
        <v>37</v>
      </c>
      <c r="P115" s="1" t="s">
        <v>36</v>
      </c>
      <c r="Q115" s="1" t="s">
        <v>49</v>
      </c>
      <c r="R115" s="1" t="s">
        <v>565</v>
      </c>
      <c r="S115" s="1" t="s">
        <v>39</v>
      </c>
      <c r="T115" s="1">
        <v>2002.97</v>
      </c>
      <c r="U115" s="1" t="s">
        <v>40</v>
      </c>
      <c r="V115" s="1" t="s">
        <v>29</v>
      </c>
      <c r="W115" s="1" t="s">
        <v>36</v>
      </c>
      <c r="X115" s="1" t="s">
        <v>29</v>
      </c>
      <c r="Y115" s="1" t="s">
        <v>36</v>
      </c>
      <c r="Z115" s="1" t="s">
        <v>41</v>
      </c>
    </row>
    <row r="116" spans="1:26" ht="15.75" x14ac:dyDescent="0.25">
      <c r="A116" s="1" t="s">
        <v>26</v>
      </c>
      <c r="B116" s="1" t="s">
        <v>27</v>
      </c>
      <c r="C116" s="1" t="s">
        <v>511</v>
      </c>
      <c r="D116" s="3">
        <v>61719</v>
      </c>
      <c r="E116" s="1" t="s">
        <v>29</v>
      </c>
      <c r="F116" s="1" t="s">
        <v>564</v>
      </c>
      <c r="G116" s="1" t="s">
        <v>61</v>
      </c>
      <c r="H116" s="1" t="s">
        <v>33</v>
      </c>
      <c r="I116" s="1" t="s">
        <v>45</v>
      </c>
      <c r="J116" s="1">
        <v>1.5</v>
      </c>
      <c r="K116" s="1" t="s">
        <v>562</v>
      </c>
      <c r="L116" s="1" t="s">
        <v>35</v>
      </c>
      <c r="M116" s="1">
        <v>0.55000000000000004</v>
      </c>
      <c r="N116" s="1" t="s">
        <v>48</v>
      </c>
      <c r="O116" s="1" t="s">
        <v>37</v>
      </c>
      <c r="P116" s="1" t="s">
        <v>36</v>
      </c>
      <c r="Q116" s="1" t="s">
        <v>49</v>
      </c>
      <c r="R116" s="1" t="s">
        <v>565</v>
      </c>
      <c r="S116" s="1" t="s">
        <v>39</v>
      </c>
      <c r="T116" s="1">
        <v>2002.97</v>
      </c>
      <c r="U116" s="1" t="s">
        <v>40</v>
      </c>
      <c r="V116" s="1" t="s">
        <v>29</v>
      </c>
      <c r="W116" s="1" t="s">
        <v>36</v>
      </c>
      <c r="X116" s="1" t="s">
        <v>29</v>
      </c>
      <c r="Y116" s="1" t="s">
        <v>36</v>
      </c>
      <c r="Z116" s="1" t="s">
        <v>41</v>
      </c>
    </row>
    <row r="117" spans="1:26" ht="15.75" x14ac:dyDescent="0.25">
      <c r="A117" s="1" t="s">
        <v>26</v>
      </c>
      <c r="B117" s="1" t="s">
        <v>27</v>
      </c>
      <c r="C117" s="1" t="s">
        <v>511</v>
      </c>
      <c r="D117" s="3">
        <v>88130</v>
      </c>
      <c r="E117" s="1" t="s">
        <v>29</v>
      </c>
      <c r="F117" s="1" t="s">
        <v>590</v>
      </c>
      <c r="G117" s="1" t="s">
        <v>31</v>
      </c>
      <c r="H117" s="1" t="s">
        <v>45</v>
      </c>
      <c r="I117" s="1" t="s">
        <v>46</v>
      </c>
      <c r="J117" s="1">
        <v>40.729999999999997</v>
      </c>
      <c r="K117" s="1" t="s">
        <v>591</v>
      </c>
      <c r="L117" s="1" t="s">
        <v>35</v>
      </c>
      <c r="M117" s="1">
        <v>15.07</v>
      </c>
      <c r="N117" s="1" t="s">
        <v>48</v>
      </c>
      <c r="O117" s="1" t="s">
        <v>37</v>
      </c>
      <c r="P117" s="1" t="s">
        <v>36</v>
      </c>
      <c r="Q117" s="1" t="s">
        <v>49</v>
      </c>
      <c r="R117" s="1" t="s">
        <v>592</v>
      </c>
      <c r="S117" s="1" t="s">
        <v>39</v>
      </c>
      <c r="T117" s="1">
        <v>2002.97</v>
      </c>
      <c r="U117" s="1" t="s">
        <v>40</v>
      </c>
      <c r="V117" s="1" t="s">
        <v>29</v>
      </c>
      <c r="W117" s="1" t="s">
        <v>36</v>
      </c>
      <c r="X117" s="1" t="s">
        <v>29</v>
      </c>
      <c r="Y117" s="1" t="s">
        <v>36</v>
      </c>
      <c r="Z117" s="1" t="s">
        <v>41</v>
      </c>
    </row>
    <row r="118" spans="1:26" ht="15.75" x14ac:dyDescent="0.25">
      <c r="A118" s="1" t="s">
        <v>26</v>
      </c>
      <c r="B118" s="1" t="s">
        <v>27</v>
      </c>
      <c r="C118" s="1" t="s">
        <v>64</v>
      </c>
      <c r="D118" s="3">
        <v>82488</v>
      </c>
      <c r="E118" s="1" t="s">
        <v>29</v>
      </c>
      <c r="F118" s="1" t="s">
        <v>78</v>
      </c>
      <c r="G118" s="1" t="s">
        <v>31</v>
      </c>
      <c r="H118" s="1" t="s">
        <v>33</v>
      </c>
      <c r="I118" s="1" t="s">
        <v>45</v>
      </c>
      <c r="J118" s="1">
        <v>46.59</v>
      </c>
      <c r="K118" s="1" t="s">
        <v>79</v>
      </c>
      <c r="L118" s="1" t="s">
        <v>35</v>
      </c>
      <c r="M118" s="1">
        <v>1.86</v>
      </c>
      <c r="N118" s="1" t="s">
        <v>80</v>
      </c>
      <c r="O118" s="1" t="s">
        <v>37</v>
      </c>
      <c r="P118" s="1" t="s">
        <v>36</v>
      </c>
      <c r="Q118" s="1" t="s">
        <v>81</v>
      </c>
      <c r="R118" s="1" t="s">
        <v>82</v>
      </c>
      <c r="S118" s="1" t="s">
        <v>39</v>
      </c>
      <c r="T118" s="1">
        <v>2002.97</v>
      </c>
      <c r="U118" s="1" t="s">
        <v>40</v>
      </c>
      <c r="V118" s="1" t="s">
        <v>29</v>
      </c>
      <c r="W118" s="1" t="s">
        <v>36</v>
      </c>
      <c r="X118" s="1" t="s">
        <v>29</v>
      </c>
      <c r="Y118" s="1" t="s">
        <v>36</v>
      </c>
      <c r="Z118" s="1" t="s">
        <v>41</v>
      </c>
    </row>
    <row r="119" spans="1:26" ht="15.75" x14ac:dyDescent="0.25">
      <c r="A119" s="1" t="s">
        <v>26</v>
      </c>
      <c r="B119" s="1" t="s">
        <v>27</v>
      </c>
      <c r="C119" s="1" t="s">
        <v>64</v>
      </c>
      <c r="D119" s="3">
        <v>82488</v>
      </c>
      <c r="E119" s="1" t="s">
        <v>29</v>
      </c>
      <c r="F119" s="1" t="s">
        <v>78</v>
      </c>
      <c r="G119" s="1" t="s">
        <v>61</v>
      </c>
      <c r="H119" s="1" t="s">
        <v>33</v>
      </c>
      <c r="I119" s="1" t="s">
        <v>45</v>
      </c>
      <c r="J119" s="1">
        <v>1.5</v>
      </c>
      <c r="K119" s="1" t="s">
        <v>79</v>
      </c>
      <c r="L119" s="1" t="s">
        <v>35</v>
      </c>
      <c r="M119" s="1">
        <v>0.06</v>
      </c>
      <c r="N119" s="1" t="s">
        <v>80</v>
      </c>
      <c r="O119" s="1" t="s">
        <v>37</v>
      </c>
      <c r="P119" s="1" t="s">
        <v>36</v>
      </c>
      <c r="Q119" s="1" t="s">
        <v>81</v>
      </c>
      <c r="R119" s="1" t="s">
        <v>82</v>
      </c>
      <c r="S119" s="1" t="s">
        <v>39</v>
      </c>
      <c r="T119" s="1">
        <v>2002.97</v>
      </c>
      <c r="U119" s="1" t="s">
        <v>40</v>
      </c>
      <c r="V119" s="1" t="s">
        <v>29</v>
      </c>
      <c r="W119" s="1" t="s">
        <v>36</v>
      </c>
      <c r="X119" s="1" t="s">
        <v>29</v>
      </c>
      <c r="Y119" s="1" t="s">
        <v>36</v>
      </c>
      <c r="Z119" s="1" t="s">
        <v>41</v>
      </c>
    </row>
    <row r="120" spans="1:26" ht="15.75" x14ac:dyDescent="0.25">
      <c r="A120" s="1" t="s">
        <v>26</v>
      </c>
      <c r="B120" s="1" t="s">
        <v>27</v>
      </c>
      <c r="C120" s="1" t="s">
        <v>429</v>
      </c>
      <c r="D120" s="3">
        <v>30440</v>
      </c>
      <c r="E120" s="1" t="s">
        <v>29</v>
      </c>
      <c r="F120" s="1" t="s">
        <v>441</v>
      </c>
      <c r="G120" s="1" t="s">
        <v>31</v>
      </c>
      <c r="H120" s="1" t="s">
        <v>58</v>
      </c>
      <c r="I120" s="1" t="s">
        <v>33</v>
      </c>
      <c r="J120" s="1">
        <v>37.03</v>
      </c>
      <c r="K120" s="1" t="s">
        <v>442</v>
      </c>
      <c r="L120" s="1" t="s">
        <v>35</v>
      </c>
      <c r="M120" s="1">
        <v>13.7</v>
      </c>
      <c r="N120" s="1" t="s">
        <v>80</v>
      </c>
      <c r="O120" s="1" t="s">
        <v>37</v>
      </c>
      <c r="P120" s="1" t="s">
        <v>36</v>
      </c>
      <c r="Q120" s="1" t="s">
        <v>81</v>
      </c>
      <c r="R120" s="1" t="s">
        <v>443</v>
      </c>
      <c r="S120" s="1" t="s">
        <v>39</v>
      </c>
      <c r="T120" s="1">
        <v>2002.97</v>
      </c>
      <c r="U120" s="1" t="s">
        <v>40</v>
      </c>
      <c r="V120" s="1" t="s">
        <v>29</v>
      </c>
      <c r="W120" s="1" t="s">
        <v>36</v>
      </c>
      <c r="X120" s="1" t="s">
        <v>29</v>
      </c>
      <c r="Y120" s="1" t="s">
        <v>36</v>
      </c>
      <c r="Z120" s="1" t="s">
        <v>41</v>
      </c>
    </row>
    <row r="121" spans="1:26" ht="15.75" x14ac:dyDescent="0.25">
      <c r="A121" s="1" t="s">
        <v>26</v>
      </c>
      <c r="B121" s="1" t="s">
        <v>27</v>
      </c>
      <c r="C121" s="1" t="s">
        <v>429</v>
      </c>
      <c r="D121" s="3">
        <v>31363</v>
      </c>
      <c r="E121" s="1" t="s">
        <v>29</v>
      </c>
      <c r="F121" s="1" t="s">
        <v>444</v>
      </c>
      <c r="G121" s="1" t="s">
        <v>31</v>
      </c>
      <c r="H121" s="1" t="s">
        <v>58</v>
      </c>
      <c r="I121" s="1" t="s">
        <v>33</v>
      </c>
      <c r="J121" s="1">
        <v>42.35</v>
      </c>
      <c r="K121" s="1" t="s">
        <v>442</v>
      </c>
      <c r="L121" s="1" t="s">
        <v>35</v>
      </c>
      <c r="M121" s="1">
        <v>15.67</v>
      </c>
      <c r="N121" s="1" t="s">
        <v>80</v>
      </c>
      <c r="O121" s="1" t="s">
        <v>37</v>
      </c>
      <c r="P121" s="1" t="s">
        <v>36</v>
      </c>
      <c r="Q121" s="1" t="s">
        <v>81</v>
      </c>
      <c r="R121" s="1" t="s">
        <v>445</v>
      </c>
      <c r="S121" s="1" t="s">
        <v>39</v>
      </c>
      <c r="T121" s="1">
        <v>2002.97</v>
      </c>
      <c r="U121" s="1" t="s">
        <v>40</v>
      </c>
      <c r="V121" s="1" t="s">
        <v>29</v>
      </c>
      <c r="W121" s="1" t="s">
        <v>36</v>
      </c>
      <c r="X121" s="1" t="s">
        <v>29</v>
      </c>
      <c r="Y121" s="1" t="s">
        <v>36</v>
      </c>
      <c r="Z121" s="1" t="s">
        <v>41</v>
      </c>
    </row>
    <row r="122" spans="1:26" ht="15.75" x14ac:dyDescent="0.25">
      <c r="A122" s="1" t="s">
        <v>26</v>
      </c>
      <c r="B122" s="1" t="s">
        <v>27</v>
      </c>
      <c r="C122" s="1" t="s">
        <v>429</v>
      </c>
      <c r="D122" s="3">
        <v>31363</v>
      </c>
      <c r="E122" s="1" t="s">
        <v>29</v>
      </c>
      <c r="F122" s="1" t="s">
        <v>444</v>
      </c>
      <c r="G122" s="1" t="s">
        <v>61</v>
      </c>
      <c r="H122" s="1" t="s">
        <v>58</v>
      </c>
      <c r="I122" s="1" t="s">
        <v>33</v>
      </c>
      <c r="J122" s="1">
        <v>1.5</v>
      </c>
      <c r="K122" s="1" t="s">
        <v>442</v>
      </c>
      <c r="L122" s="1" t="s">
        <v>35</v>
      </c>
      <c r="M122" s="1">
        <v>0.55000000000000004</v>
      </c>
      <c r="N122" s="1" t="s">
        <v>80</v>
      </c>
      <c r="O122" s="1" t="s">
        <v>37</v>
      </c>
      <c r="P122" s="1" t="s">
        <v>36</v>
      </c>
      <c r="Q122" s="1" t="s">
        <v>81</v>
      </c>
      <c r="R122" s="1" t="s">
        <v>445</v>
      </c>
      <c r="S122" s="1" t="s">
        <v>39</v>
      </c>
      <c r="T122" s="1">
        <v>2002.97</v>
      </c>
      <c r="U122" s="1" t="s">
        <v>40</v>
      </c>
      <c r="V122" s="1" t="s">
        <v>29</v>
      </c>
      <c r="W122" s="1" t="s">
        <v>36</v>
      </c>
      <c r="X122" s="1" t="s">
        <v>29</v>
      </c>
      <c r="Y122" s="1" t="s">
        <v>36</v>
      </c>
      <c r="Z122" s="1" t="s">
        <v>41</v>
      </c>
    </row>
    <row r="123" spans="1:26" ht="15.75" x14ac:dyDescent="0.25">
      <c r="A123" s="1" t="s">
        <v>26</v>
      </c>
      <c r="B123" s="1" t="s">
        <v>27</v>
      </c>
      <c r="C123" s="1" t="s">
        <v>206</v>
      </c>
      <c r="D123" s="3">
        <v>20242</v>
      </c>
      <c r="E123" s="1" t="s">
        <v>29</v>
      </c>
      <c r="F123" s="1" t="s">
        <v>214</v>
      </c>
      <c r="G123" s="1" t="s">
        <v>31</v>
      </c>
      <c r="H123" s="1" t="s">
        <v>33</v>
      </c>
      <c r="I123" s="1" t="s">
        <v>45</v>
      </c>
      <c r="J123" s="1">
        <v>45.29</v>
      </c>
      <c r="K123" s="1" t="s">
        <v>215</v>
      </c>
      <c r="L123" s="1" t="s">
        <v>35</v>
      </c>
      <c r="M123" s="1">
        <v>1.81</v>
      </c>
      <c r="N123" s="1" t="s">
        <v>216</v>
      </c>
      <c r="O123" s="1" t="s">
        <v>37</v>
      </c>
      <c r="P123" s="1" t="s">
        <v>36</v>
      </c>
      <c r="Q123" s="1" t="s">
        <v>217</v>
      </c>
      <c r="R123" s="1" t="s">
        <v>218</v>
      </c>
      <c r="S123" s="1" t="s">
        <v>39</v>
      </c>
      <c r="T123" s="1">
        <v>2002.97</v>
      </c>
      <c r="U123" s="1" t="s">
        <v>40</v>
      </c>
      <c r="V123" s="1" t="s">
        <v>29</v>
      </c>
      <c r="W123" s="1" t="s">
        <v>36</v>
      </c>
      <c r="X123" s="1" t="s">
        <v>29</v>
      </c>
      <c r="Y123" s="1" t="s">
        <v>36</v>
      </c>
      <c r="Z123" s="1" t="s">
        <v>41</v>
      </c>
    </row>
    <row r="124" spans="1:26" ht="15.75" x14ac:dyDescent="0.25">
      <c r="A124" s="1" t="s">
        <v>26</v>
      </c>
      <c r="B124" s="1" t="s">
        <v>27</v>
      </c>
      <c r="C124" s="1" t="s">
        <v>206</v>
      </c>
      <c r="D124" s="3">
        <v>20247</v>
      </c>
      <c r="E124" s="1" t="s">
        <v>29</v>
      </c>
      <c r="F124" s="1" t="s">
        <v>219</v>
      </c>
      <c r="G124" s="1" t="s">
        <v>31</v>
      </c>
      <c r="H124" s="1" t="s">
        <v>33</v>
      </c>
      <c r="I124" s="1" t="s">
        <v>45</v>
      </c>
      <c r="J124" s="1">
        <v>45.29</v>
      </c>
      <c r="K124" s="1" t="s">
        <v>215</v>
      </c>
      <c r="L124" s="1" t="s">
        <v>35</v>
      </c>
      <c r="M124" s="1">
        <v>1.81</v>
      </c>
      <c r="N124" s="1" t="s">
        <v>216</v>
      </c>
      <c r="O124" s="1" t="s">
        <v>37</v>
      </c>
      <c r="P124" s="1" t="s">
        <v>36</v>
      </c>
      <c r="Q124" s="1" t="s">
        <v>217</v>
      </c>
      <c r="R124" s="1" t="s">
        <v>220</v>
      </c>
      <c r="S124" s="1" t="s">
        <v>39</v>
      </c>
      <c r="T124" s="1">
        <v>2002.97</v>
      </c>
      <c r="U124" s="1" t="s">
        <v>40</v>
      </c>
      <c r="V124" s="1" t="s">
        <v>29</v>
      </c>
      <c r="W124" s="1" t="s">
        <v>36</v>
      </c>
      <c r="X124" s="1" t="s">
        <v>29</v>
      </c>
      <c r="Y124" s="1" t="s">
        <v>36</v>
      </c>
      <c r="Z124" s="1" t="s">
        <v>41</v>
      </c>
    </row>
    <row r="125" spans="1:26" ht="15.75" x14ac:dyDescent="0.25">
      <c r="A125" s="1" t="s">
        <v>26</v>
      </c>
      <c r="B125" s="1" t="s">
        <v>27</v>
      </c>
      <c r="C125" s="1" t="s">
        <v>372</v>
      </c>
      <c r="D125" s="3">
        <v>92761</v>
      </c>
      <c r="E125" s="1" t="s">
        <v>29</v>
      </c>
      <c r="F125" s="1" t="s">
        <v>422</v>
      </c>
      <c r="G125" s="1" t="s">
        <v>31</v>
      </c>
      <c r="H125" s="1" t="s">
        <v>33</v>
      </c>
      <c r="I125" s="1" t="s">
        <v>45</v>
      </c>
      <c r="J125" s="1">
        <v>36.29</v>
      </c>
      <c r="K125" s="1" t="s">
        <v>423</v>
      </c>
      <c r="L125" s="1" t="s">
        <v>35</v>
      </c>
      <c r="M125" s="1">
        <v>13.43</v>
      </c>
      <c r="N125" s="1" t="s">
        <v>424</v>
      </c>
      <c r="O125" s="1" t="s">
        <v>37</v>
      </c>
      <c r="P125" s="1" t="s">
        <v>36</v>
      </c>
      <c r="Q125" s="1" t="s">
        <v>425</v>
      </c>
      <c r="R125" s="1" t="s">
        <v>426</v>
      </c>
      <c r="S125" s="1" t="s">
        <v>39</v>
      </c>
      <c r="T125" s="1">
        <v>2002.97</v>
      </c>
      <c r="U125" s="1" t="s">
        <v>40</v>
      </c>
      <c r="V125" s="1" t="s">
        <v>29</v>
      </c>
      <c r="W125" s="1" t="s">
        <v>36</v>
      </c>
      <c r="X125" s="1" t="s">
        <v>29</v>
      </c>
      <c r="Y125" s="1" t="s">
        <v>36</v>
      </c>
      <c r="Z125" s="1" t="s">
        <v>41</v>
      </c>
    </row>
    <row r="126" spans="1:26" ht="15.75" x14ac:dyDescent="0.25">
      <c r="A126" s="1" t="s">
        <v>26</v>
      </c>
      <c r="B126" s="1" t="s">
        <v>27</v>
      </c>
      <c r="C126" s="1" t="s">
        <v>372</v>
      </c>
      <c r="D126" s="3">
        <v>92761</v>
      </c>
      <c r="E126" s="1" t="s">
        <v>29</v>
      </c>
      <c r="F126" s="1" t="s">
        <v>422</v>
      </c>
      <c r="G126" s="1" t="s">
        <v>61</v>
      </c>
      <c r="H126" s="1" t="s">
        <v>33</v>
      </c>
      <c r="I126" s="1" t="s">
        <v>45</v>
      </c>
      <c r="J126" s="1">
        <v>1.5</v>
      </c>
      <c r="K126" s="1" t="s">
        <v>423</v>
      </c>
      <c r="L126" s="1" t="s">
        <v>35</v>
      </c>
      <c r="M126" s="1">
        <v>0.55000000000000004</v>
      </c>
      <c r="N126" s="1" t="s">
        <v>424</v>
      </c>
      <c r="O126" s="1" t="s">
        <v>37</v>
      </c>
      <c r="P126" s="1" t="s">
        <v>36</v>
      </c>
      <c r="Q126" s="1" t="s">
        <v>425</v>
      </c>
      <c r="R126" s="1" t="s">
        <v>426</v>
      </c>
      <c r="S126" s="1" t="s">
        <v>39</v>
      </c>
      <c r="T126" s="1">
        <v>2002.97</v>
      </c>
      <c r="U126" s="1" t="s">
        <v>40</v>
      </c>
      <c r="V126" s="1" t="s">
        <v>29</v>
      </c>
      <c r="W126" s="1" t="s">
        <v>36</v>
      </c>
      <c r="X126" s="1" t="s">
        <v>29</v>
      </c>
      <c r="Y126" s="1" t="s">
        <v>36</v>
      </c>
      <c r="Z126" s="1" t="s">
        <v>41</v>
      </c>
    </row>
    <row r="127" spans="1:26" ht="15.75" x14ac:dyDescent="0.25">
      <c r="A127" s="1" t="s">
        <v>26</v>
      </c>
      <c r="B127" s="1" t="s">
        <v>27</v>
      </c>
      <c r="C127" s="1" t="s">
        <v>372</v>
      </c>
      <c r="D127" s="3">
        <v>92762</v>
      </c>
      <c r="E127" s="1" t="s">
        <v>29</v>
      </c>
      <c r="F127" s="1" t="s">
        <v>422</v>
      </c>
      <c r="G127" s="1" t="s">
        <v>42</v>
      </c>
      <c r="H127" s="1" t="s">
        <v>33</v>
      </c>
      <c r="I127" s="1" t="s">
        <v>45</v>
      </c>
      <c r="J127" s="1">
        <v>10.67</v>
      </c>
      <c r="K127" s="1" t="s">
        <v>423</v>
      </c>
      <c r="L127" s="1" t="s">
        <v>35</v>
      </c>
      <c r="M127" s="1">
        <v>3.95</v>
      </c>
      <c r="N127" s="1" t="s">
        <v>424</v>
      </c>
      <c r="O127" s="1" t="s">
        <v>37</v>
      </c>
      <c r="P127" s="1" t="s">
        <v>36</v>
      </c>
      <c r="Q127" s="1" t="s">
        <v>425</v>
      </c>
      <c r="R127" s="1" t="s">
        <v>426</v>
      </c>
      <c r="S127" s="1" t="s">
        <v>39</v>
      </c>
      <c r="T127" s="1">
        <v>2002.97</v>
      </c>
      <c r="U127" s="1" t="s">
        <v>40</v>
      </c>
      <c r="V127" s="1" t="s">
        <v>29</v>
      </c>
      <c r="W127" s="1" t="s">
        <v>36</v>
      </c>
      <c r="X127" s="1" t="s">
        <v>29</v>
      </c>
      <c r="Y127" s="1" t="s">
        <v>36</v>
      </c>
      <c r="Z127" s="1" t="s">
        <v>41</v>
      </c>
    </row>
    <row r="128" spans="1:26" ht="15.75" x14ac:dyDescent="0.25">
      <c r="A128" s="1" t="s">
        <v>26</v>
      </c>
      <c r="B128" s="1" t="s">
        <v>27</v>
      </c>
      <c r="C128" s="1" t="s">
        <v>511</v>
      </c>
      <c r="D128" s="3">
        <v>86467</v>
      </c>
      <c r="E128" s="1" t="s">
        <v>29</v>
      </c>
      <c r="F128" s="1" t="s">
        <v>575</v>
      </c>
      <c r="G128" s="1" t="s">
        <v>31</v>
      </c>
      <c r="H128" s="1" t="s">
        <v>32</v>
      </c>
      <c r="I128" s="1" t="s">
        <v>33</v>
      </c>
      <c r="J128" s="1">
        <v>67.47</v>
      </c>
      <c r="K128" s="1" t="s">
        <v>576</v>
      </c>
      <c r="L128" s="1" t="s">
        <v>35</v>
      </c>
      <c r="M128" s="1">
        <v>24.96</v>
      </c>
      <c r="N128" s="1" t="s">
        <v>625</v>
      </c>
      <c r="O128" s="1" t="s">
        <v>37</v>
      </c>
      <c r="P128" s="1" t="s">
        <v>36</v>
      </c>
      <c r="Q128" s="1" t="s">
        <v>36</v>
      </c>
      <c r="R128" s="1" t="s">
        <v>577</v>
      </c>
      <c r="S128" s="1" t="s">
        <v>39</v>
      </c>
      <c r="T128" s="1">
        <v>2002.97</v>
      </c>
      <c r="U128" s="1" t="s">
        <v>40</v>
      </c>
      <c r="V128" s="1" t="s">
        <v>29</v>
      </c>
      <c r="W128" s="1" t="s">
        <v>36</v>
      </c>
      <c r="X128" s="1" t="s">
        <v>29</v>
      </c>
      <c r="Y128" s="1" t="s">
        <v>36</v>
      </c>
      <c r="Z128" s="1" t="s">
        <v>41</v>
      </c>
    </row>
    <row r="129" spans="1:26" ht="15.75" x14ac:dyDescent="0.25">
      <c r="A129" s="1" t="s">
        <v>26</v>
      </c>
      <c r="B129" s="1" t="s">
        <v>27</v>
      </c>
      <c r="C129" s="1" t="s">
        <v>511</v>
      </c>
      <c r="D129" s="3">
        <v>86468</v>
      </c>
      <c r="E129" s="1" t="s">
        <v>29</v>
      </c>
      <c r="F129" s="1" t="s">
        <v>575</v>
      </c>
      <c r="G129" s="1" t="s">
        <v>42</v>
      </c>
      <c r="H129" s="1" t="s">
        <v>32</v>
      </c>
      <c r="I129" s="1" t="s">
        <v>33</v>
      </c>
      <c r="J129" s="1">
        <v>18.739999999999998</v>
      </c>
      <c r="K129" s="1" t="s">
        <v>576</v>
      </c>
      <c r="L129" s="1" t="s">
        <v>35</v>
      </c>
      <c r="M129" s="1">
        <v>6.93</v>
      </c>
      <c r="N129" s="1" t="s">
        <v>625</v>
      </c>
      <c r="O129" s="1" t="s">
        <v>37</v>
      </c>
      <c r="P129" s="1" t="s">
        <v>36</v>
      </c>
      <c r="Q129" s="1" t="s">
        <v>36</v>
      </c>
      <c r="R129" s="1" t="s">
        <v>577</v>
      </c>
      <c r="S129" s="1" t="s">
        <v>39</v>
      </c>
      <c r="T129" s="1">
        <v>2002.97</v>
      </c>
      <c r="U129" s="1" t="s">
        <v>40</v>
      </c>
      <c r="V129" s="1" t="s">
        <v>29</v>
      </c>
      <c r="W129" s="1" t="s">
        <v>36</v>
      </c>
      <c r="X129" s="1" t="s">
        <v>29</v>
      </c>
      <c r="Y129" s="1" t="s">
        <v>36</v>
      </c>
      <c r="Z129" s="1" t="s">
        <v>41</v>
      </c>
    </row>
    <row r="130" spans="1:26" ht="15.75" x14ac:dyDescent="0.25">
      <c r="A130" s="1" t="s">
        <v>26</v>
      </c>
      <c r="B130" s="1" t="s">
        <v>27</v>
      </c>
      <c r="C130" s="1" t="s">
        <v>621</v>
      </c>
      <c r="D130" s="3">
        <v>62363</v>
      </c>
      <c r="E130" s="1" t="s">
        <v>29</v>
      </c>
      <c r="F130" s="1" t="s">
        <v>622</v>
      </c>
      <c r="G130" s="1" t="s">
        <v>31</v>
      </c>
      <c r="H130" s="1" t="s">
        <v>45</v>
      </c>
      <c r="I130" s="1" t="s">
        <v>46</v>
      </c>
      <c r="J130" s="1">
        <v>23.54</v>
      </c>
      <c r="K130" s="1" t="s">
        <v>623</v>
      </c>
      <c r="L130" s="1" t="s">
        <v>35</v>
      </c>
      <c r="M130" s="1">
        <v>0.47</v>
      </c>
      <c r="N130" s="1" t="s">
        <v>625</v>
      </c>
      <c r="O130" s="1" t="s">
        <v>37</v>
      </c>
      <c r="P130" s="1" t="s">
        <v>36</v>
      </c>
      <c r="Q130" s="1" t="s">
        <v>36</v>
      </c>
      <c r="R130" s="1" t="s">
        <v>624</v>
      </c>
      <c r="S130" s="1" t="s">
        <v>39</v>
      </c>
      <c r="T130" s="1">
        <v>2002.97</v>
      </c>
      <c r="U130" s="1" t="s">
        <v>40</v>
      </c>
      <c r="V130" s="1" t="s">
        <v>29</v>
      </c>
      <c r="W130" s="1" t="s">
        <v>36</v>
      </c>
      <c r="X130" s="1" t="s">
        <v>29</v>
      </c>
      <c r="Y130" s="1" t="s">
        <v>36</v>
      </c>
      <c r="Z130" s="1" t="s">
        <v>41</v>
      </c>
    </row>
    <row r="131" spans="1:26" ht="15.75" x14ac:dyDescent="0.25">
      <c r="A131" s="1" t="s">
        <v>26</v>
      </c>
      <c r="B131" s="1" t="s">
        <v>27</v>
      </c>
      <c r="C131" s="1" t="s">
        <v>28</v>
      </c>
      <c r="D131" s="3">
        <v>82941</v>
      </c>
      <c r="E131" s="1" t="s">
        <v>29</v>
      </c>
      <c r="F131" s="1" t="s">
        <v>30</v>
      </c>
      <c r="G131" s="1" t="s">
        <v>31</v>
      </c>
      <c r="H131" s="1" t="s">
        <v>32</v>
      </c>
      <c r="I131" s="1" t="s">
        <v>33</v>
      </c>
      <c r="J131" s="1">
        <v>23.36</v>
      </c>
      <c r="K131" s="1" t="s">
        <v>34</v>
      </c>
      <c r="L131" s="1" t="s">
        <v>35</v>
      </c>
      <c r="M131" s="1">
        <v>0.47</v>
      </c>
      <c r="N131" s="1" t="s">
        <v>625</v>
      </c>
      <c r="O131" s="1" t="s">
        <v>37</v>
      </c>
      <c r="P131" s="1" t="s">
        <v>36</v>
      </c>
      <c r="Q131" s="1" t="s">
        <v>36</v>
      </c>
      <c r="R131" s="1" t="s">
        <v>38</v>
      </c>
      <c r="S131" s="1" t="s">
        <v>39</v>
      </c>
      <c r="T131" s="1">
        <v>2002.97</v>
      </c>
      <c r="U131" s="1" t="s">
        <v>40</v>
      </c>
      <c r="V131" s="1" t="s">
        <v>29</v>
      </c>
      <c r="W131" s="1" t="s">
        <v>36</v>
      </c>
      <c r="X131" s="1" t="s">
        <v>29</v>
      </c>
      <c r="Y131" s="1" t="s">
        <v>36</v>
      </c>
      <c r="Z131" s="1" t="s">
        <v>41</v>
      </c>
    </row>
    <row r="132" spans="1:26" ht="15.75" x14ac:dyDescent="0.25">
      <c r="A132" s="1" t="s">
        <v>26</v>
      </c>
      <c r="B132" s="1" t="s">
        <v>27</v>
      </c>
      <c r="C132" s="1" t="s">
        <v>28</v>
      </c>
      <c r="D132" s="3">
        <v>82942</v>
      </c>
      <c r="E132" s="1" t="s">
        <v>29</v>
      </c>
      <c r="F132" s="1" t="s">
        <v>30</v>
      </c>
      <c r="G132" s="1" t="s">
        <v>42</v>
      </c>
      <c r="H132" s="1" t="s">
        <v>32</v>
      </c>
      <c r="I132" s="1" t="s">
        <v>33</v>
      </c>
      <c r="J132" s="1">
        <v>10.67</v>
      </c>
      <c r="K132" s="1" t="s">
        <v>34</v>
      </c>
      <c r="L132" s="1" t="s">
        <v>35</v>
      </c>
      <c r="M132" s="1">
        <v>0.21</v>
      </c>
      <c r="N132" s="1" t="s">
        <v>625</v>
      </c>
      <c r="O132" s="1" t="s">
        <v>37</v>
      </c>
      <c r="P132" s="1" t="s">
        <v>36</v>
      </c>
      <c r="Q132" s="1" t="s">
        <v>36</v>
      </c>
      <c r="R132" s="1" t="s">
        <v>38</v>
      </c>
      <c r="S132" s="1" t="s">
        <v>39</v>
      </c>
      <c r="T132" s="1">
        <v>2002.97</v>
      </c>
      <c r="U132" s="1" t="s">
        <v>40</v>
      </c>
      <c r="V132" s="1" t="s">
        <v>29</v>
      </c>
      <c r="W132" s="1" t="s">
        <v>36</v>
      </c>
      <c r="X132" s="1" t="s">
        <v>29</v>
      </c>
      <c r="Y132" s="1" t="s">
        <v>36</v>
      </c>
      <c r="Z132" s="1" t="s">
        <v>41</v>
      </c>
    </row>
    <row r="133" spans="1:26" ht="15.75" x14ac:dyDescent="0.25">
      <c r="A133" s="1" t="s">
        <v>26</v>
      </c>
      <c r="B133" s="1" t="s">
        <v>27</v>
      </c>
      <c r="C133" s="1" t="s">
        <v>206</v>
      </c>
      <c r="D133" s="3">
        <v>21258</v>
      </c>
      <c r="E133" s="1" t="s">
        <v>29</v>
      </c>
      <c r="F133" s="1" t="s">
        <v>227</v>
      </c>
      <c r="G133" s="1" t="s">
        <v>31</v>
      </c>
      <c r="H133" s="1" t="s">
        <v>228</v>
      </c>
      <c r="I133" s="1" t="s">
        <v>45</v>
      </c>
      <c r="J133" s="1">
        <v>93.17</v>
      </c>
      <c r="K133" s="1" t="s">
        <v>215</v>
      </c>
      <c r="L133" s="1" t="s">
        <v>35</v>
      </c>
      <c r="M133" s="1">
        <v>3.73</v>
      </c>
      <c r="N133" s="1" t="s">
        <v>229</v>
      </c>
      <c r="O133" s="1" t="s">
        <v>37</v>
      </c>
      <c r="P133" s="1" t="s">
        <v>36</v>
      </c>
      <c r="Q133" s="1" t="s">
        <v>230</v>
      </c>
      <c r="R133" s="1" t="s">
        <v>231</v>
      </c>
      <c r="S133" s="1" t="s">
        <v>39</v>
      </c>
      <c r="T133" s="1">
        <v>2002.97</v>
      </c>
      <c r="U133" s="1" t="s">
        <v>40</v>
      </c>
      <c r="V133" s="1" t="s">
        <v>29</v>
      </c>
      <c r="W133" s="1" t="s">
        <v>36</v>
      </c>
      <c r="X133" s="1" t="s">
        <v>29</v>
      </c>
      <c r="Y133" s="1" t="s">
        <v>36</v>
      </c>
      <c r="Z133" s="1" t="s">
        <v>41</v>
      </c>
    </row>
    <row r="134" spans="1:26" ht="15.75" x14ac:dyDescent="0.25">
      <c r="A134" s="1" t="s">
        <v>26</v>
      </c>
      <c r="B134" s="1" t="s">
        <v>27</v>
      </c>
      <c r="C134" s="1" t="s">
        <v>206</v>
      </c>
      <c r="D134" s="3">
        <v>21258</v>
      </c>
      <c r="E134" s="1" t="s">
        <v>29</v>
      </c>
      <c r="F134" s="1" t="s">
        <v>227</v>
      </c>
      <c r="G134" s="1" t="s">
        <v>61</v>
      </c>
      <c r="H134" s="1" t="s">
        <v>228</v>
      </c>
      <c r="I134" s="1" t="s">
        <v>45</v>
      </c>
      <c r="J134" s="1">
        <v>2.69</v>
      </c>
      <c r="K134" s="1" t="s">
        <v>215</v>
      </c>
      <c r="L134" s="1" t="s">
        <v>35</v>
      </c>
      <c r="M134" s="1">
        <v>0.11</v>
      </c>
      <c r="N134" s="1" t="s">
        <v>229</v>
      </c>
      <c r="O134" s="1" t="s">
        <v>37</v>
      </c>
      <c r="P134" s="1" t="s">
        <v>36</v>
      </c>
      <c r="Q134" s="1" t="s">
        <v>230</v>
      </c>
      <c r="R134" s="1" t="s">
        <v>231</v>
      </c>
      <c r="S134" s="1" t="s">
        <v>39</v>
      </c>
      <c r="T134" s="1">
        <v>2002.97</v>
      </c>
      <c r="U134" s="1" t="s">
        <v>40</v>
      </c>
      <c r="V134" s="1" t="s">
        <v>29</v>
      </c>
      <c r="W134" s="1" t="s">
        <v>36</v>
      </c>
      <c r="X134" s="1" t="s">
        <v>29</v>
      </c>
      <c r="Y134" s="1" t="s">
        <v>36</v>
      </c>
      <c r="Z134" s="1" t="s">
        <v>41</v>
      </c>
    </row>
    <row r="135" spans="1:26" ht="15.75" x14ac:dyDescent="0.25">
      <c r="A135" s="1" t="s">
        <v>26</v>
      </c>
      <c r="B135" s="1" t="s">
        <v>27</v>
      </c>
      <c r="C135" s="1" t="s">
        <v>206</v>
      </c>
      <c r="D135" s="3">
        <v>21258</v>
      </c>
      <c r="E135" s="1" t="s">
        <v>29</v>
      </c>
      <c r="F135" s="1" t="s">
        <v>227</v>
      </c>
      <c r="G135" s="1" t="s">
        <v>31</v>
      </c>
      <c r="H135" s="1" t="s">
        <v>33</v>
      </c>
      <c r="I135" s="1" t="s">
        <v>45</v>
      </c>
      <c r="J135" s="1">
        <v>93.17</v>
      </c>
      <c r="K135" s="1" t="s">
        <v>215</v>
      </c>
      <c r="L135" s="1" t="s">
        <v>35</v>
      </c>
      <c r="M135" s="1">
        <v>3.73</v>
      </c>
      <c r="N135" s="1" t="s">
        <v>229</v>
      </c>
      <c r="O135" s="1" t="s">
        <v>37</v>
      </c>
      <c r="P135" s="1" t="s">
        <v>36</v>
      </c>
      <c r="Q135" s="1" t="s">
        <v>230</v>
      </c>
      <c r="R135" s="1" t="s">
        <v>231</v>
      </c>
      <c r="S135" s="1" t="s">
        <v>39</v>
      </c>
      <c r="T135" s="1">
        <v>2002.97</v>
      </c>
      <c r="U135" s="1" t="s">
        <v>40</v>
      </c>
      <c r="V135" s="1" t="s">
        <v>29</v>
      </c>
      <c r="W135" s="1" t="s">
        <v>36</v>
      </c>
      <c r="X135" s="1" t="s">
        <v>29</v>
      </c>
      <c r="Y135" s="1" t="s">
        <v>36</v>
      </c>
      <c r="Z135" s="1" t="s">
        <v>41</v>
      </c>
    </row>
    <row r="136" spans="1:26" ht="15.75" x14ac:dyDescent="0.25">
      <c r="A136" s="1" t="s">
        <v>26</v>
      </c>
      <c r="B136" s="1" t="s">
        <v>27</v>
      </c>
      <c r="C136" s="1" t="s">
        <v>206</v>
      </c>
      <c r="D136" s="3">
        <v>21258</v>
      </c>
      <c r="E136" s="1" t="s">
        <v>29</v>
      </c>
      <c r="F136" s="1" t="s">
        <v>227</v>
      </c>
      <c r="G136" s="1" t="s">
        <v>61</v>
      </c>
      <c r="H136" s="1" t="s">
        <v>33</v>
      </c>
      <c r="I136" s="1" t="s">
        <v>45</v>
      </c>
      <c r="J136" s="1">
        <v>2.69</v>
      </c>
      <c r="K136" s="1" t="s">
        <v>215</v>
      </c>
      <c r="L136" s="1" t="s">
        <v>35</v>
      </c>
      <c r="M136" s="1">
        <v>0.11</v>
      </c>
      <c r="N136" s="1" t="s">
        <v>229</v>
      </c>
      <c r="O136" s="1" t="s">
        <v>37</v>
      </c>
      <c r="P136" s="1" t="s">
        <v>36</v>
      </c>
      <c r="Q136" s="1" t="s">
        <v>230</v>
      </c>
      <c r="R136" s="1" t="s">
        <v>231</v>
      </c>
      <c r="S136" s="1" t="s">
        <v>39</v>
      </c>
      <c r="T136" s="1">
        <v>2002.97</v>
      </c>
      <c r="U136" s="1" t="s">
        <v>40</v>
      </c>
      <c r="V136" s="1" t="s">
        <v>29</v>
      </c>
      <c r="W136" s="1" t="s">
        <v>36</v>
      </c>
      <c r="X136" s="1" t="s">
        <v>29</v>
      </c>
      <c r="Y136" s="1" t="s">
        <v>36</v>
      </c>
      <c r="Z136" s="1" t="s">
        <v>41</v>
      </c>
    </row>
    <row r="137" spans="1:26" ht="15.75" x14ac:dyDescent="0.25">
      <c r="A137" s="1" t="s">
        <v>26</v>
      </c>
      <c r="B137" s="1" t="s">
        <v>27</v>
      </c>
      <c r="C137" s="1" t="s">
        <v>206</v>
      </c>
      <c r="D137" s="3">
        <v>21547</v>
      </c>
      <c r="E137" s="1" t="s">
        <v>29</v>
      </c>
      <c r="F137" s="1" t="s">
        <v>237</v>
      </c>
      <c r="G137" s="1" t="s">
        <v>31</v>
      </c>
      <c r="H137" s="1" t="s">
        <v>101</v>
      </c>
      <c r="I137" s="1" t="s">
        <v>102</v>
      </c>
      <c r="J137" s="1">
        <v>75.83</v>
      </c>
      <c r="K137" s="1" t="s">
        <v>233</v>
      </c>
      <c r="L137" s="1" t="s">
        <v>35</v>
      </c>
      <c r="M137" s="1">
        <v>3.03</v>
      </c>
      <c r="N137" s="1" t="s">
        <v>229</v>
      </c>
      <c r="O137" s="1" t="s">
        <v>37</v>
      </c>
      <c r="P137" s="1" t="s">
        <v>36</v>
      </c>
      <c r="Q137" s="1" t="s">
        <v>230</v>
      </c>
      <c r="R137" s="1" t="s">
        <v>238</v>
      </c>
      <c r="S137" s="1" t="s">
        <v>39</v>
      </c>
      <c r="T137" s="1">
        <v>2002.97</v>
      </c>
      <c r="U137" s="1" t="s">
        <v>40</v>
      </c>
      <c r="V137" s="1" t="s">
        <v>29</v>
      </c>
      <c r="W137" s="1" t="s">
        <v>36</v>
      </c>
      <c r="X137" s="1" t="s">
        <v>29</v>
      </c>
      <c r="Y137" s="1" t="s">
        <v>36</v>
      </c>
      <c r="Z137" s="1" t="s">
        <v>41</v>
      </c>
    </row>
    <row r="138" spans="1:26" ht="15.75" x14ac:dyDescent="0.25">
      <c r="A138" s="1" t="s">
        <v>26</v>
      </c>
      <c r="B138" s="1" t="s">
        <v>27</v>
      </c>
      <c r="C138" s="1" t="s">
        <v>206</v>
      </c>
      <c r="D138" s="3">
        <v>22189</v>
      </c>
      <c r="E138" s="1" t="s">
        <v>29</v>
      </c>
      <c r="F138" s="1" t="s">
        <v>239</v>
      </c>
      <c r="G138" s="1" t="s">
        <v>31</v>
      </c>
      <c r="H138" s="1" t="s">
        <v>101</v>
      </c>
      <c r="I138" s="1" t="s">
        <v>102</v>
      </c>
      <c r="J138" s="1">
        <v>46.59</v>
      </c>
      <c r="K138" s="1" t="s">
        <v>233</v>
      </c>
      <c r="L138" s="1" t="s">
        <v>35</v>
      </c>
      <c r="M138" s="1">
        <v>1.86</v>
      </c>
      <c r="N138" s="1" t="s">
        <v>229</v>
      </c>
      <c r="O138" s="1" t="s">
        <v>37</v>
      </c>
      <c r="P138" s="1" t="s">
        <v>36</v>
      </c>
      <c r="Q138" s="1" t="s">
        <v>230</v>
      </c>
      <c r="R138" s="1" t="s">
        <v>240</v>
      </c>
      <c r="S138" s="1" t="s">
        <v>39</v>
      </c>
      <c r="T138" s="1">
        <v>2002.97</v>
      </c>
      <c r="U138" s="1" t="s">
        <v>40</v>
      </c>
      <c r="V138" s="1" t="s">
        <v>29</v>
      </c>
      <c r="W138" s="1" t="s">
        <v>36</v>
      </c>
      <c r="X138" s="1" t="s">
        <v>29</v>
      </c>
      <c r="Y138" s="1" t="s">
        <v>36</v>
      </c>
      <c r="Z138" s="1" t="s">
        <v>41</v>
      </c>
    </row>
    <row r="139" spans="1:26" ht="15.75" x14ac:dyDescent="0.25">
      <c r="A139" s="1" t="s">
        <v>26</v>
      </c>
      <c r="B139" s="1" t="s">
        <v>27</v>
      </c>
      <c r="C139" s="1" t="s">
        <v>206</v>
      </c>
      <c r="D139" s="3">
        <v>22189</v>
      </c>
      <c r="E139" s="1" t="s">
        <v>29</v>
      </c>
      <c r="F139" s="1" t="s">
        <v>239</v>
      </c>
      <c r="G139" s="1" t="s">
        <v>61</v>
      </c>
      <c r="H139" s="1" t="s">
        <v>101</v>
      </c>
      <c r="I139" s="1" t="s">
        <v>102</v>
      </c>
      <c r="J139" s="1">
        <v>1.5</v>
      </c>
      <c r="K139" s="1" t="s">
        <v>233</v>
      </c>
      <c r="L139" s="1" t="s">
        <v>35</v>
      </c>
      <c r="M139" s="1">
        <v>0.06</v>
      </c>
      <c r="N139" s="1" t="s">
        <v>229</v>
      </c>
      <c r="O139" s="1" t="s">
        <v>37</v>
      </c>
      <c r="P139" s="1" t="s">
        <v>36</v>
      </c>
      <c r="Q139" s="1" t="s">
        <v>230</v>
      </c>
      <c r="R139" s="1" t="s">
        <v>240</v>
      </c>
      <c r="S139" s="1" t="s">
        <v>39</v>
      </c>
      <c r="T139" s="1">
        <v>2002.97</v>
      </c>
      <c r="U139" s="1" t="s">
        <v>40</v>
      </c>
      <c r="V139" s="1" t="s">
        <v>29</v>
      </c>
      <c r="W139" s="1" t="s">
        <v>36</v>
      </c>
      <c r="X139" s="1" t="s">
        <v>29</v>
      </c>
      <c r="Y139" s="1" t="s">
        <v>36</v>
      </c>
      <c r="Z139" s="1" t="s">
        <v>41</v>
      </c>
    </row>
    <row r="140" spans="1:26" ht="15.75" x14ac:dyDescent="0.25">
      <c r="A140" s="1" t="s">
        <v>26</v>
      </c>
      <c r="B140" s="1" t="s">
        <v>27</v>
      </c>
      <c r="C140" s="1" t="s">
        <v>206</v>
      </c>
      <c r="D140" s="3">
        <v>45311</v>
      </c>
      <c r="E140" s="1" t="s">
        <v>29</v>
      </c>
      <c r="F140" s="1" t="s">
        <v>241</v>
      </c>
      <c r="G140" s="1" t="s">
        <v>31</v>
      </c>
      <c r="H140" s="1" t="s">
        <v>45</v>
      </c>
      <c r="I140" s="1" t="s">
        <v>46</v>
      </c>
      <c r="J140" s="1">
        <v>37.03</v>
      </c>
      <c r="K140" s="1" t="s">
        <v>242</v>
      </c>
      <c r="L140" s="1" t="s">
        <v>35</v>
      </c>
      <c r="M140" s="1">
        <v>1.48</v>
      </c>
      <c r="N140" s="1" t="s">
        <v>229</v>
      </c>
      <c r="O140" s="1" t="s">
        <v>37</v>
      </c>
      <c r="P140" s="1" t="s">
        <v>36</v>
      </c>
      <c r="Q140" s="1" t="s">
        <v>230</v>
      </c>
      <c r="R140" s="1" t="s">
        <v>243</v>
      </c>
      <c r="S140" s="1" t="s">
        <v>39</v>
      </c>
      <c r="T140" s="1">
        <v>2002.97</v>
      </c>
      <c r="U140" s="1" t="s">
        <v>40</v>
      </c>
      <c r="V140" s="1" t="s">
        <v>29</v>
      </c>
      <c r="W140" s="1" t="s">
        <v>36</v>
      </c>
      <c r="X140" s="1" t="s">
        <v>29</v>
      </c>
      <c r="Y140" s="1" t="s">
        <v>36</v>
      </c>
      <c r="Z140" s="1" t="s">
        <v>41</v>
      </c>
    </row>
    <row r="141" spans="1:26" ht="15.75" x14ac:dyDescent="0.25">
      <c r="A141" s="1" t="s">
        <v>26</v>
      </c>
      <c r="B141" s="1" t="s">
        <v>27</v>
      </c>
      <c r="C141" s="1" t="s">
        <v>206</v>
      </c>
      <c r="D141" s="3">
        <v>55026</v>
      </c>
      <c r="E141" s="1" t="s">
        <v>29</v>
      </c>
      <c r="F141" s="1" t="s">
        <v>255</v>
      </c>
      <c r="G141" s="1" t="s">
        <v>31</v>
      </c>
      <c r="H141" s="1" t="s">
        <v>144</v>
      </c>
      <c r="I141" s="1" t="s">
        <v>33</v>
      </c>
      <c r="J141" s="1">
        <v>42.35</v>
      </c>
      <c r="K141" s="1" t="s">
        <v>256</v>
      </c>
      <c r="L141" s="1" t="s">
        <v>35</v>
      </c>
      <c r="M141" s="1">
        <v>1.69</v>
      </c>
      <c r="N141" s="1" t="s">
        <v>229</v>
      </c>
      <c r="O141" s="1" t="s">
        <v>37</v>
      </c>
      <c r="P141" s="1" t="s">
        <v>36</v>
      </c>
      <c r="Q141" s="1" t="s">
        <v>230</v>
      </c>
      <c r="R141" s="1" t="s">
        <v>257</v>
      </c>
      <c r="S141" s="1" t="s">
        <v>39</v>
      </c>
      <c r="T141" s="1">
        <v>2002.97</v>
      </c>
      <c r="U141" s="1" t="s">
        <v>40</v>
      </c>
      <c r="V141" s="1" t="s">
        <v>29</v>
      </c>
      <c r="W141" s="1" t="s">
        <v>36</v>
      </c>
      <c r="X141" s="1" t="s">
        <v>29</v>
      </c>
      <c r="Y141" s="1" t="s">
        <v>36</v>
      </c>
      <c r="Z141" s="1" t="s">
        <v>41</v>
      </c>
    </row>
    <row r="142" spans="1:26" ht="15.75" x14ac:dyDescent="0.25">
      <c r="A142" s="1" t="s">
        <v>26</v>
      </c>
      <c r="B142" s="1" t="s">
        <v>27</v>
      </c>
      <c r="C142" s="1" t="s">
        <v>206</v>
      </c>
      <c r="D142" s="3">
        <v>55026</v>
      </c>
      <c r="E142" s="1" t="s">
        <v>29</v>
      </c>
      <c r="F142" s="1" t="s">
        <v>255</v>
      </c>
      <c r="G142" s="1" t="s">
        <v>61</v>
      </c>
      <c r="H142" s="1" t="s">
        <v>144</v>
      </c>
      <c r="I142" s="1" t="s">
        <v>33</v>
      </c>
      <c r="J142" s="1">
        <v>1.5</v>
      </c>
      <c r="K142" s="1" t="s">
        <v>256</v>
      </c>
      <c r="L142" s="1" t="s">
        <v>35</v>
      </c>
      <c r="M142" s="1">
        <v>0.06</v>
      </c>
      <c r="N142" s="1" t="s">
        <v>229</v>
      </c>
      <c r="O142" s="1" t="s">
        <v>37</v>
      </c>
      <c r="P142" s="1" t="s">
        <v>36</v>
      </c>
      <c r="Q142" s="1" t="s">
        <v>230</v>
      </c>
      <c r="R142" s="1" t="s">
        <v>257</v>
      </c>
      <c r="S142" s="1" t="s">
        <v>39</v>
      </c>
      <c r="T142" s="1">
        <v>2002.97</v>
      </c>
      <c r="U142" s="1" t="s">
        <v>40</v>
      </c>
      <c r="V142" s="1" t="s">
        <v>29</v>
      </c>
      <c r="W142" s="1" t="s">
        <v>36</v>
      </c>
      <c r="X142" s="1" t="s">
        <v>29</v>
      </c>
      <c r="Y142" s="1" t="s">
        <v>36</v>
      </c>
      <c r="Z142" s="1" t="s">
        <v>41</v>
      </c>
    </row>
    <row r="143" spans="1:26" ht="15.75" x14ac:dyDescent="0.25">
      <c r="A143" s="1" t="s">
        <v>26</v>
      </c>
      <c r="B143" s="1" t="s">
        <v>27</v>
      </c>
      <c r="C143" s="1" t="s">
        <v>206</v>
      </c>
      <c r="D143" s="3">
        <v>72796</v>
      </c>
      <c r="E143" s="1" t="s">
        <v>29</v>
      </c>
      <c r="F143" s="1" t="s">
        <v>261</v>
      </c>
      <c r="G143" s="1" t="s">
        <v>31</v>
      </c>
      <c r="H143" s="1" t="s">
        <v>32</v>
      </c>
      <c r="I143" s="1" t="s">
        <v>33</v>
      </c>
      <c r="J143" s="1">
        <v>149.07</v>
      </c>
      <c r="K143" s="1" t="s">
        <v>262</v>
      </c>
      <c r="L143" s="1" t="s">
        <v>35</v>
      </c>
      <c r="M143" s="1">
        <v>5.96</v>
      </c>
      <c r="N143" s="1" t="s">
        <v>229</v>
      </c>
      <c r="O143" s="1" t="s">
        <v>37</v>
      </c>
      <c r="P143" s="1" t="s">
        <v>36</v>
      </c>
      <c r="Q143" s="1" t="s">
        <v>230</v>
      </c>
      <c r="R143" s="1" t="s">
        <v>263</v>
      </c>
      <c r="S143" s="1" t="s">
        <v>39</v>
      </c>
      <c r="T143" s="1">
        <v>2002.97</v>
      </c>
      <c r="U143" s="1" t="s">
        <v>40</v>
      </c>
      <c r="V143" s="1" t="s">
        <v>29</v>
      </c>
      <c r="W143" s="1" t="s">
        <v>36</v>
      </c>
      <c r="X143" s="1" t="s">
        <v>29</v>
      </c>
      <c r="Y143" s="1" t="s">
        <v>36</v>
      </c>
      <c r="Z143" s="1" t="s">
        <v>41</v>
      </c>
    </row>
    <row r="144" spans="1:26" ht="15.75" x14ac:dyDescent="0.25">
      <c r="A144" s="1" t="s">
        <v>26</v>
      </c>
      <c r="B144" s="1" t="s">
        <v>27</v>
      </c>
      <c r="C144" s="1" t="s">
        <v>206</v>
      </c>
      <c r="D144" s="3">
        <v>72796</v>
      </c>
      <c r="E144" s="1" t="s">
        <v>29</v>
      </c>
      <c r="F144" s="1" t="s">
        <v>261</v>
      </c>
      <c r="G144" s="1" t="s">
        <v>61</v>
      </c>
      <c r="H144" s="1" t="s">
        <v>32</v>
      </c>
      <c r="I144" s="1" t="s">
        <v>33</v>
      </c>
      <c r="J144" s="1">
        <v>3.44</v>
      </c>
      <c r="K144" s="1" t="s">
        <v>262</v>
      </c>
      <c r="L144" s="1" t="s">
        <v>35</v>
      </c>
      <c r="M144" s="1">
        <v>0.14000000000000001</v>
      </c>
      <c r="N144" s="1" t="s">
        <v>229</v>
      </c>
      <c r="O144" s="1" t="s">
        <v>37</v>
      </c>
      <c r="P144" s="1" t="s">
        <v>36</v>
      </c>
      <c r="Q144" s="1" t="s">
        <v>230</v>
      </c>
      <c r="R144" s="1" t="s">
        <v>263</v>
      </c>
      <c r="S144" s="1" t="s">
        <v>39</v>
      </c>
      <c r="T144" s="1">
        <v>2002.97</v>
      </c>
      <c r="U144" s="1" t="s">
        <v>40</v>
      </c>
      <c r="V144" s="1" t="s">
        <v>29</v>
      </c>
      <c r="W144" s="1" t="s">
        <v>36</v>
      </c>
      <c r="X144" s="1" t="s">
        <v>29</v>
      </c>
      <c r="Y144" s="1" t="s">
        <v>36</v>
      </c>
      <c r="Z144" s="1" t="s">
        <v>41</v>
      </c>
    </row>
    <row r="145" spans="1:26" ht="15.75" x14ac:dyDescent="0.25">
      <c r="A145" s="1" t="s">
        <v>26</v>
      </c>
      <c r="B145" s="1" t="s">
        <v>27</v>
      </c>
      <c r="C145" s="1" t="s">
        <v>206</v>
      </c>
      <c r="D145" s="3">
        <v>91494</v>
      </c>
      <c r="E145" s="1" t="s">
        <v>29</v>
      </c>
      <c r="F145" s="1" t="s">
        <v>278</v>
      </c>
      <c r="G145" s="1" t="s">
        <v>31</v>
      </c>
      <c r="H145" s="1" t="s">
        <v>279</v>
      </c>
      <c r="I145" s="1" t="s">
        <v>33</v>
      </c>
      <c r="J145" s="1">
        <v>46.59</v>
      </c>
      <c r="K145" s="1" t="s">
        <v>280</v>
      </c>
      <c r="L145" s="1" t="s">
        <v>35</v>
      </c>
      <c r="M145" s="1">
        <v>17.239999999999998</v>
      </c>
      <c r="N145" s="1" t="s">
        <v>229</v>
      </c>
      <c r="O145" s="1" t="s">
        <v>37</v>
      </c>
      <c r="P145" s="1" t="s">
        <v>36</v>
      </c>
      <c r="Q145" s="1" t="s">
        <v>230</v>
      </c>
      <c r="R145" s="1" t="s">
        <v>281</v>
      </c>
      <c r="S145" s="1" t="s">
        <v>39</v>
      </c>
      <c r="T145" s="1">
        <v>2002.97</v>
      </c>
      <c r="U145" s="1" t="s">
        <v>40</v>
      </c>
      <c r="V145" s="1" t="s">
        <v>29</v>
      </c>
      <c r="W145" s="1" t="s">
        <v>36</v>
      </c>
      <c r="X145" s="1" t="s">
        <v>29</v>
      </c>
      <c r="Y145" s="1" t="s">
        <v>36</v>
      </c>
      <c r="Z145" s="1" t="s">
        <v>41</v>
      </c>
    </row>
    <row r="146" spans="1:26" ht="15.75" x14ac:dyDescent="0.25">
      <c r="A146" s="1" t="s">
        <v>26</v>
      </c>
      <c r="B146" s="1" t="s">
        <v>27</v>
      </c>
      <c r="C146" s="1" t="s">
        <v>206</v>
      </c>
      <c r="D146" s="3">
        <v>91494</v>
      </c>
      <c r="E146" s="1" t="s">
        <v>29</v>
      </c>
      <c r="F146" s="1" t="s">
        <v>278</v>
      </c>
      <c r="G146" s="1" t="s">
        <v>61</v>
      </c>
      <c r="H146" s="1" t="s">
        <v>279</v>
      </c>
      <c r="I146" s="1" t="s">
        <v>33</v>
      </c>
      <c r="J146" s="1">
        <v>1.5</v>
      </c>
      <c r="K146" s="1" t="s">
        <v>280</v>
      </c>
      <c r="L146" s="1" t="s">
        <v>35</v>
      </c>
      <c r="M146" s="1">
        <v>0.56000000000000005</v>
      </c>
      <c r="N146" s="1" t="s">
        <v>229</v>
      </c>
      <c r="O146" s="1" t="s">
        <v>37</v>
      </c>
      <c r="P146" s="1" t="s">
        <v>36</v>
      </c>
      <c r="Q146" s="1" t="s">
        <v>230</v>
      </c>
      <c r="R146" s="1" t="s">
        <v>281</v>
      </c>
      <c r="S146" s="1" t="s">
        <v>39</v>
      </c>
      <c r="T146" s="1">
        <v>2002.97</v>
      </c>
      <c r="U146" s="1" t="s">
        <v>40</v>
      </c>
      <c r="V146" s="1" t="s">
        <v>29</v>
      </c>
      <c r="W146" s="1" t="s">
        <v>36</v>
      </c>
      <c r="X146" s="1" t="s">
        <v>29</v>
      </c>
      <c r="Y146" s="1" t="s">
        <v>36</v>
      </c>
      <c r="Z146" s="1" t="s">
        <v>41</v>
      </c>
    </row>
    <row r="147" spans="1:26" ht="15.75" x14ac:dyDescent="0.25">
      <c r="A147" s="1" t="s">
        <v>26</v>
      </c>
      <c r="B147" s="1" t="s">
        <v>27</v>
      </c>
      <c r="C147" s="1" t="s">
        <v>206</v>
      </c>
      <c r="D147" s="3">
        <v>91494</v>
      </c>
      <c r="E147" s="1" t="s">
        <v>29</v>
      </c>
      <c r="F147" s="1" t="s">
        <v>278</v>
      </c>
      <c r="G147" s="1" t="s">
        <v>31</v>
      </c>
      <c r="H147" s="1" t="s">
        <v>144</v>
      </c>
      <c r="I147" s="1" t="s">
        <v>33</v>
      </c>
      <c r="J147" s="1">
        <v>46.59</v>
      </c>
      <c r="K147" s="1" t="s">
        <v>280</v>
      </c>
      <c r="L147" s="1" t="s">
        <v>35</v>
      </c>
      <c r="M147" s="1">
        <v>17.239999999999998</v>
      </c>
      <c r="N147" s="1" t="s">
        <v>229</v>
      </c>
      <c r="O147" s="1" t="s">
        <v>37</v>
      </c>
      <c r="P147" s="1" t="s">
        <v>36</v>
      </c>
      <c r="Q147" s="1" t="s">
        <v>230</v>
      </c>
      <c r="R147" s="1" t="s">
        <v>281</v>
      </c>
      <c r="S147" s="1" t="s">
        <v>39</v>
      </c>
      <c r="T147" s="1">
        <v>2002.97</v>
      </c>
      <c r="U147" s="1" t="s">
        <v>40</v>
      </c>
      <c r="V147" s="1" t="s">
        <v>29</v>
      </c>
      <c r="W147" s="1" t="s">
        <v>36</v>
      </c>
      <c r="X147" s="1" t="s">
        <v>29</v>
      </c>
      <c r="Y147" s="1" t="s">
        <v>36</v>
      </c>
      <c r="Z147" s="1" t="s">
        <v>41</v>
      </c>
    </row>
    <row r="148" spans="1:26" ht="15.75" x14ac:dyDescent="0.25">
      <c r="A148" s="1" t="s">
        <v>26</v>
      </c>
      <c r="B148" s="1" t="s">
        <v>27</v>
      </c>
      <c r="C148" s="1" t="s">
        <v>206</v>
      </c>
      <c r="D148" s="3">
        <v>91494</v>
      </c>
      <c r="E148" s="1" t="s">
        <v>29</v>
      </c>
      <c r="F148" s="1" t="s">
        <v>278</v>
      </c>
      <c r="G148" s="1" t="s">
        <v>61</v>
      </c>
      <c r="H148" s="1" t="s">
        <v>144</v>
      </c>
      <c r="I148" s="1" t="s">
        <v>33</v>
      </c>
      <c r="J148" s="1">
        <v>1.5</v>
      </c>
      <c r="K148" s="1" t="s">
        <v>280</v>
      </c>
      <c r="L148" s="1" t="s">
        <v>35</v>
      </c>
      <c r="M148" s="1">
        <v>0.56000000000000005</v>
      </c>
      <c r="N148" s="1" t="s">
        <v>229</v>
      </c>
      <c r="O148" s="1" t="s">
        <v>37</v>
      </c>
      <c r="P148" s="1" t="s">
        <v>36</v>
      </c>
      <c r="Q148" s="1" t="s">
        <v>230</v>
      </c>
      <c r="R148" s="1" t="s">
        <v>281</v>
      </c>
      <c r="S148" s="1" t="s">
        <v>39</v>
      </c>
      <c r="T148" s="1">
        <v>2002.97</v>
      </c>
      <c r="U148" s="1" t="s">
        <v>40</v>
      </c>
      <c r="V148" s="1" t="s">
        <v>29</v>
      </c>
      <c r="W148" s="1" t="s">
        <v>36</v>
      </c>
      <c r="X148" s="1" t="s">
        <v>29</v>
      </c>
      <c r="Y148" s="1" t="s">
        <v>36</v>
      </c>
      <c r="Z148" s="1" t="s">
        <v>41</v>
      </c>
    </row>
    <row r="149" spans="1:26" ht="15.75" x14ac:dyDescent="0.25">
      <c r="A149" s="1" t="s">
        <v>26</v>
      </c>
      <c r="B149" s="1" t="s">
        <v>27</v>
      </c>
      <c r="C149" s="1" t="s">
        <v>282</v>
      </c>
      <c r="D149" s="3">
        <v>7206</v>
      </c>
      <c r="E149" s="1" t="s">
        <v>29</v>
      </c>
      <c r="F149" s="1" t="s">
        <v>290</v>
      </c>
      <c r="G149" s="1" t="s">
        <v>31</v>
      </c>
      <c r="H149" s="1" t="s">
        <v>45</v>
      </c>
      <c r="I149" s="1" t="s">
        <v>46</v>
      </c>
      <c r="J149" s="1">
        <v>102.49</v>
      </c>
      <c r="K149" s="1" t="s">
        <v>291</v>
      </c>
      <c r="L149" s="1" t="s">
        <v>35</v>
      </c>
      <c r="M149" s="1">
        <v>37.92</v>
      </c>
      <c r="N149" s="1" t="s">
        <v>229</v>
      </c>
      <c r="O149" s="1" t="s">
        <v>37</v>
      </c>
      <c r="P149" s="1" t="s">
        <v>36</v>
      </c>
      <c r="Q149" s="1" t="s">
        <v>230</v>
      </c>
      <c r="R149" s="1" t="s">
        <v>292</v>
      </c>
      <c r="S149" s="1" t="s">
        <v>39</v>
      </c>
      <c r="T149" s="1">
        <v>2002.97</v>
      </c>
      <c r="U149" s="1" t="s">
        <v>40</v>
      </c>
      <c r="V149" s="1" t="s">
        <v>29</v>
      </c>
      <c r="W149" s="1" t="s">
        <v>36</v>
      </c>
      <c r="X149" s="1" t="s">
        <v>29</v>
      </c>
      <c r="Y149" s="1" t="s">
        <v>36</v>
      </c>
      <c r="Z149" s="1" t="s">
        <v>41</v>
      </c>
    </row>
    <row r="150" spans="1:26" ht="15.75" x14ac:dyDescent="0.25">
      <c r="A150" s="1" t="s">
        <v>26</v>
      </c>
      <c r="B150" s="1" t="s">
        <v>27</v>
      </c>
      <c r="C150" s="1" t="s">
        <v>282</v>
      </c>
      <c r="D150" s="3">
        <v>7206</v>
      </c>
      <c r="E150" s="1" t="s">
        <v>29</v>
      </c>
      <c r="F150" s="1" t="s">
        <v>290</v>
      </c>
      <c r="G150" s="1" t="s">
        <v>61</v>
      </c>
      <c r="H150" s="1" t="s">
        <v>45</v>
      </c>
      <c r="I150" s="1" t="s">
        <v>46</v>
      </c>
      <c r="J150" s="1">
        <v>2.69</v>
      </c>
      <c r="K150" s="1" t="s">
        <v>291</v>
      </c>
      <c r="L150" s="1" t="s">
        <v>35</v>
      </c>
      <c r="M150" s="1">
        <v>1</v>
      </c>
      <c r="N150" s="1" t="s">
        <v>229</v>
      </c>
      <c r="O150" s="1" t="s">
        <v>37</v>
      </c>
      <c r="P150" s="1" t="s">
        <v>36</v>
      </c>
      <c r="Q150" s="1" t="s">
        <v>230</v>
      </c>
      <c r="R150" s="1" t="s">
        <v>292</v>
      </c>
      <c r="S150" s="1" t="s">
        <v>39</v>
      </c>
      <c r="T150" s="1">
        <v>2002.97</v>
      </c>
      <c r="U150" s="1" t="s">
        <v>40</v>
      </c>
      <c r="V150" s="1" t="s">
        <v>29</v>
      </c>
      <c r="W150" s="1" t="s">
        <v>36</v>
      </c>
      <c r="X150" s="1" t="s">
        <v>29</v>
      </c>
      <c r="Y150" s="1" t="s">
        <v>36</v>
      </c>
      <c r="Z150" s="1" t="s">
        <v>41</v>
      </c>
    </row>
    <row r="151" spans="1:26" ht="15.75" x14ac:dyDescent="0.25">
      <c r="A151" s="1" t="s">
        <v>26</v>
      </c>
      <c r="B151" s="1" t="s">
        <v>27</v>
      </c>
      <c r="C151" s="1" t="s">
        <v>282</v>
      </c>
      <c r="D151" s="3">
        <v>18083</v>
      </c>
      <c r="E151" s="1" t="s">
        <v>29</v>
      </c>
      <c r="F151" s="1" t="s">
        <v>311</v>
      </c>
      <c r="G151" s="1" t="s">
        <v>31</v>
      </c>
      <c r="H151" s="1" t="s">
        <v>121</v>
      </c>
      <c r="I151" s="1" t="s">
        <v>101</v>
      </c>
      <c r="J151" s="1">
        <v>37.03</v>
      </c>
      <c r="K151" s="1" t="s">
        <v>309</v>
      </c>
      <c r="L151" s="1" t="s">
        <v>35</v>
      </c>
      <c r="M151" s="1">
        <v>13.7</v>
      </c>
      <c r="N151" s="1" t="s">
        <v>229</v>
      </c>
      <c r="O151" s="1" t="s">
        <v>37</v>
      </c>
      <c r="P151" s="1" t="s">
        <v>36</v>
      </c>
      <c r="Q151" s="1" t="s">
        <v>230</v>
      </c>
      <c r="R151" s="1" t="s">
        <v>312</v>
      </c>
      <c r="S151" s="1" t="s">
        <v>39</v>
      </c>
      <c r="T151" s="1">
        <v>2002.97</v>
      </c>
      <c r="U151" s="1" t="s">
        <v>40</v>
      </c>
      <c r="V151" s="1" t="s">
        <v>29</v>
      </c>
      <c r="W151" s="1" t="s">
        <v>36</v>
      </c>
      <c r="X151" s="1" t="s">
        <v>29</v>
      </c>
      <c r="Y151" s="1" t="s">
        <v>36</v>
      </c>
      <c r="Z151" s="1" t="s">
        <v>41</v>
      </c>
    </row>
    <row r="152" spans="1:26" ht="15.75" x14ac:dyDescent="0.25">
      <c r="A152" s="1" t="s">
        <v>26</v>
      </c>
      <c r="B152" s="1" t="s">
        <v>27</v>
      </c>
      <c r="C152" s="1" t="s">
        <v>372</v>
      </c>
      <c r="D152" s="3">
        <v>12819</v>
      </c>
      <c r="E152" s="1" t="s">
        <v>29</v>
      </c>
      <c r="F152" s="1" t="s">
        <v>395</v>
      </c>
      <c r="G152" s="1" t="s">
        <v>31</v>
      </c>
      <c r="H152" s="1" t="s">
        <v>33</v>
      </c>
      <c r="I152" s="1" t="s">
        <v>45</v>
      </c>
      <c r="J152" s="1">
        <v>42.35</v>
      </c>
      <c r="K152" s="1" t="s">
        <v>381</v>
      </c>
      <c r="L152" s="1" t="s">
        <v>35</v>
      </c>
      <c r="M152" s="1">
        <v>15.67</v>
      </c>
      <c r="N152" s="1" t="s">
        <v>229</v>
      </c>
      <c r="O152" s="1" t="s">
        <v>37</v>
      </c>
      <c r="P152" s="1" t="s">
        <v>36</v>
      </c>
      <c r="Q152" s="1" t="s">
        <v>230</v>
      </c>
      <c r="R152" s="1" t="s">
        <v>396</v>
      </c>
      <c r="S152" s="1" t="s">
        <v>39</v>
      </c>
      <c r="T152" s="1">
        <v>2002.97</v>
      </c>
      <c r="U152" s="1" t="s">
        <v>40</v>
      </c>
      <c r="V152" s="1" t="s">
        <v>29</v>
      </c>
      <c r="W152" s="1" t="s">
        <v>36</v>
      </c>
      <c r="X152" s="1" t="s">
        <v>29</v>
      </c>
      <c r="Y152" s="1" t="s">
        <v>36</v>
      </c>
      <c r="Z152" s="1" t="s">
        <v>41</v>
      </c>
    </row>
    <row r="153" spans="1:26" ht="15.75" x14ac:dyDescent="0.25">
      <c r="A153" s="1" t="s">
        <v>26</v>
      </c>
      <c r="B153" s="1" t="s">
        <v>27</v>
      </c>
      <c r="C153" s="1" t="s">
        <v>372</v>
      </c>
      <c r="D153" s="3">
        <v>12819</v>
      </c>
      <c r="E153" s="1" t="s">
        <v>29</v>
      </c>
      <c r="F153" s="1" t="s">
        <v>395</v>
      </c>
      <c r="G153" s="1" t="s">
        <v>61</v>
      </c>
      <c r="H153" s="1" t="s">
        <v>33</v>
      </c>
      <c r="I153" s="1" t="s">
        <v>45</v>
      </c>
      <c r="J153" s="1">
        <v>1.5</v>
      </c>
      <c r="K153" s="1" t="s">
        <v>381</v>
      </c>
      <c r="L153" s="1" t="s">
        <v>35</v>
      </c>
      <c r="M153" s="1">
        <v>0.55000000000000004</v>
      </c>
      <c r="N153" s="1" t="s">
        <v>229</v>
      </c>
      <c r="O153" s="1" t="s">
        <v>37</v>
      </c>
      <c r="P153" s="1" t="s">
        <v>36</v>
      </c>
      <c r="Q153" s="1" t="s">
        <v>230</v>
      </c>
      <c r="R153" s="1" t="s">
        <v>396</v>
      </c>
      <c r="S153" s="1" t="s">
        <v>39</v>
      </c>
      <c r="T153" s="1">
        <v>2002.97</v>
      </c>
      <c r="U153" s="1" t="s">
        <v>40</v>
      </c>
      <c r="V153" s="1" t="s">
        <v>29</v>
      </c>
      <c r="W153" s="1" t="s">
        <v>36</v>
      </c>
      <c r="X153" s="1" t="s">
        <v>29</v>
      </c>
      <c r="Y153" s="1" t="s">
        <v>36</v>
      </c>
      <c r="Z153" s="1" t="s">
        <v>41</v>
      </c>
    </row>
    <row r="154" spans="1:26" ht="15.75" x14ac:dyDescent="0.25">
      <c r="A154" s="1" t="s">
        <v>26</v>
      </c>
      <c r="B154" s="1" t="s">
        <v>27</v>
      </c>
      <c r="C154" s="1" t="s">
        <v>372</v>
      </c>
      <c r="D154" s="3">
        <v>17174</v>
      </c>
      <c r="E154" s="1" t="s">
        <v>29</v>
      </c>
      <c r="F154" s="1" t="s">
        <v>404</v>
      </c>
      <c r="G154" s="1" t="s">
        <v>31</v>
      </c>
      <c r="H154" s="1" t="s">
        <v>45</v>
      </c>
      <c r="I154" s="1" t="s">
        <v>46</v>
      </c>
      <c r="J154" s="1">
        <v>40.729999999999997</v>
      </c>
      <c r="K154" s="1" t="s">
        <v>329</v>
      </c>
      <c r="L154" s="1" t="s">
        <v>35</v>
      </c>
      <c r="M154" s="1">
        <v>15.07</v>
      </c>
      <c r="N154" s="1" t="s">
        <v>229</v>
      </c>
      <c r="O154" s="1" t="s">
        <v>37</v>
      </c>
      <c r="P154" s="1" t="s">
        <v>36</v>
      </c>
      <c r="Q154" s="1" t="s">
        <v>230</v>
      </c>
      <c r="R154" s="1" t="s">
        <v>405</v>
      </c>
      <c r="S154" s="1" t="s">
        <v>39</v>
      </c>
      <c r="T154" s="1">
        <v>2002.97</v>
      </c>
      <c r="U154" s="1" t="s">
        <v>40</v>
      </c>
      <c r="V154" s="1" t="s">
        <v>29</v>
      </c>
      <c r="W154" s="1" t="s">
        <v>36</v>
      </c>
      <c r="X154" s="1" t="s">
        <v>29</v>
      </c>
      <c r="Y154" s="1" t="s">
        <v>36</v>
      </c>
      <c r="Z154" s="1" t="s">
        <v>41</v>
      </c>
    </row>
    <row r="155" spans="1:26" ht="15.75" x14ac:dyDescent="0.25">
      <c r="A155" s="1" t="s">
        <v>26</v>
      </c>
      <c r="B155" s="1" t="s">
        <v>27</v>
      </c>
      <c r="C155" s="1" t="s">
        <v>372</v>
      </c>
      <c r="D155" s="3">
        <v>17528</v>
      </c>
      <c r="E155" s="1" t="s">
        <v>29</v>
      </c>
      <c r="F155" s="1" t="s">
        <v>406</v>
      </c>
      <c r="G155" s="1" t="s">
        <v>31</v>
      </c>
      <c r="H155" s="1" t="s">
        <v>45</v>
      </c>
      <c r="I155" s="1" t="s">
        <v>46</v>
      </c>
      <c r="J155" s="1">
        <v>42.35</v>
      </c>
      <c r="K155" s="1" t="s">
        <v>329</v>
      </c>
      <c r="L155" s="1" t="s">
        <v>35</v>
      </c>
      <c r="M155" s="1">
        <v>15.67</v>
      </c>
      <c r="N155" s="1" t="s">
        <v>229</v>
      </c>
      <c r="O155" s="1" t="s">
        <v>37</v>
      </c>
      <c r="P155" s="1" t="s">
        <v>36</v>
      </c>
      <c r="Q155" s="1" t="s">
        <v>230</v>
      </c>
      <c r="R155" s="1" t="s">
        <v>407</v>
      </c>
      <c r="S155" s="1" t="s">
        <v>39</v>
      </c>
      <c r="T155" s="1">
        <v>2002.97</v>
      </c>
      <c r="U155" s="1" t="s">
        <v>40</v>
      </c>
      <c r="V155" s="1" t="s">
        <v>29</v>
      </c>
      <c r="W155" s="1" t="s">
        <v>36</v>
      </c>
      <c r="X155" s="1" t="s">
        <v>29</v>
      </c>
      <c r="Y155" s="1" t="s">
        <v>36</v>
      </c>
      <c r="Z155" s="1" t="s">
        <v>41</v>
      </c>
    </row>
    <row r="156" spans="1:26" ht="15.75" x14ac:dyDescent="0.25">
      <c r="A156" s="1" t="s">
        <v>26</v>
      </c>
      <c r="B156" s="1" t="s">
        <v>27</v>
      </c>
      <c r="C156" s="1" t="s">
        <v>372</v>
      </c>
      <c r="D156" s="3">
        <v>17528</v>
      </c>
      <c r="E156" s="1" t="s">
        <v>29</v>
      </c>
      <c r="F156" s="1" t="s">
        <v>406</v>
      </c>
      <c r="G156" s="1" t="s">
        <v>61</v>
      </c>
      <c r="H156" s="1" t="s">
        <v>45</v>
      </c>
      <c r="I156" s="1" t="s">
        <v>46</v>
      </c>
      <c r="J156" s="1">
        <v>1.5</v>
      </c>
      <c r="K156" s="1" t="s">
        <v>329</v>
      </c>
      <c r="L156" s="1" t="s">
        <v>35</v>
      </c>
      <c r="M156" s="1">
        <v>0.55000000000000004</v>
      </c>
      <c r="N156" s="1" t="s">
        <v>229</v>
      </c>
      <c r="O156" s="1" t="s">
        <v>37</v>
      </c>
      <c r="P156" s="1" t="s">
        <v>36</v>
      </c>
      <c r="Q156" s="1" t="s">
        <v>230</v>
      </c>
      <c r="R156" s="1" t="s">
        <v>407</v>
      </c>
      <c r="S156" s="1" t="s">
        <v>39</v>
      </c>
      <c r="T156" s="1">
        <v>2002.97</v>
      </c>
      <c r="U156" s="1" t="s">
        <v>40</v>
      </c>
      <c r="V156" s="1" t="s">
        <v>29</v>
      </c>
      <c r="W156" s="1" t="s">
        <v>36</v>
      </c>
      <c r="X156" s="1" t="s">
        <v>29</v>
      </c>
      <c r="Y156" s="1" t="s">
        <v>36</v>
      </c>
      <c r="Z156" s="1" t="s">
        <v>41</v>
      </c>
    </row>
    <row r="157" spans="1:26" ht="15.75" x14ac:dyDescent="0.25">
      <c r="A157" s="1" t="s">
        <v>26</v>
      </c>
      <c r="B157" s="1" t="s">
        <v>27</v>
      </c>
      <c r="C157" s="1" t="s">
        <v>372</v>
      </c>
      <c r="D157" s="3">
        <v>91963</v>
      </c>
      <c r="E157" s="1" t="s">
        <v>29</v>
      </c>
      <c r="F157" s="1" t="s">
        <v>419</v>
      </c>
      <c r="G157" s="1" t="s">
        <v>31</v>
      </c>
      <c r="H157" s="1" t="s">
        <v>121</v>
      </c>
      <c r="I157" s="1" t="s">
        <v>101</v>
      </c>
      <c r="J157" s="1">
        <v>42.35</v>
      </c>
      <c r="K157" s="1" t="s">
        <v>420</v>
      </c>
      <c r="L157" s="1" t="s">
        <v>35</v>
      </c>
      <c r="M157" s="1">
        <v>15.67</v>
      </c>
      <c r="N157" s="1" t="s">
        <v>229</v>
      </c>
      <c r="O157" s="1" t="s">
        <v>37</v>
      </c>
      <c r="P157" s="1" t="s">
        <v>36</v>
      </c>
      <c r="Q157" s="1" t="s">
        <v>230</v>
      </c>
      <c r="R157" s="1" t="s">
        <v>421</v>
      </c>
      <c r="S157" s="1" t="s">
        <v>39</v>
      </c>
      <c r="T157" s="1">
        <v>2002.97</v>
      </c>
      <c r="U157" s="1" t="s">
        <v>40</v>
      </c>
      <c r="V157" s="1" t="s">
        <v>29</v>
      </c>
      <c r="W157" s="1" t="s">
        <v>36</v>
      </c>
      <c r="X157" s="1" t="s">
        <v>29</v>
      </c>
      <c r="Y157" s="1" t="s">
        <v>36</v>
      </c>
      <c r="Z157" s="1" t="s">
        <v>41</v>
      </c>
    </row>
    <row r="158" spans="1:26" ht="15.75" x14ac:dyDescent="0.25">
      <c r="A158" s="1" t="s">
        <v>26</v>
      </c>
      <c r="B158" s="1" t="s">
        <v>27</v>
      </c>
      <c r="C158" s="1" t="s">
        <v>372</v>
      </c>
      <c r="D158" s="3">
        <v>91963</v>
      </c>
      <c r="E158" s="1" t="s">
        <v>29</v>
      </c>
      <c r="F158" s="1" t="s">
        <v>419</v>
      </c>
      <c r="G158" s="1" t="s">
        <v>61</v>
      </c>
      <c r="H158" s="1" t="s">
        <v>121</v>
      </c>
      <c r="I158" s="1" t="s">
        <v>101</v>
      </c>
      <c r="J158" s="1">
        <v>1.5</v>
      </c>
      <c r="K158" s="1" t="s">
        <v>420</v>
      </c>
      <c r="L158" s="1" t="s">
        <v>35</v>
      </c>
      <c r="M158" s="1">
        <v>0.55000000000000004</v>
      </c>
      <c r="N158" s="1" t="s">
        <v>229</v>
      </c>
      <c r="O158" s="1" t="s">
        <v>37</v>
      </c>
      <c r="P158" s="1" t="s">
        <v>36</v>
      </c>
      <c r="Q158" s="1" t="s">
        <v>230</v>
      </c>
      <c r="R158" s="1" t="s">
        <v>421</v>
      </c>
      <c r="S158" s="1" t="s">
        <v>39</v>
      </c>
      <c r="T158" s="1">
        <v>2002.97</v>
      </c>
      <c r="U158" s="1" t="s">
        <v>40</v>
      </c>
      <c r="V158" s="1" t="s">
        <v>29</v>
      </c>
      <c r="W158" s="1" t="s">
        <v>36</v>
      </c>
      <c r="X158" s="1" t="s">
        <v>29</v>
      </c>
      <c r="Y158" s="1" t="s">
        <v>36</v>
      </c>
      <c r="Z158" s="1" t="s">
        <v>41</v>
      </c>
    </row>
    <row r="159" spans="1:26" ht="15.75" x14ac:dyDescent="0.25">
      <c r="A159" s="1" t="s">
        <v>26</v>
      </c>
      <c r="B159" s="1" t="s">
        <v>27</v>
      </c>
      <c r="C159" s="1" t="s">
        <v>429</v>
      </c>
      <c r="D159" s="3">
        <v>34018</v>
      </c>
      <c r="E159" s="1" t="s">
        <v>29</v>
      </c>
      <c r="F159" s="1" t="s">
        <v>448</v>
      </c>
      <c r="G159" s="1" t="s">
        <v>31</v>
      </c>
      <c r="H159" s="1" t="s">
        <v>45</v>
      </c>
      <c r="I159" s="1" t="s">
        <v>46</v>
      </c>
      <c r="J159" s="1">
        <v>145.88999999999999</v>
      </c>
      <c r="K159" s="1" t="s">
        <v>431</v>
      </c>
      <c r="L159" s="1" t="s">
        <v>35</v>
      </c>
      <c r="M159" s="1">
        <v>53.98</v>
      </c>
      <c r="N159" s="1" t="s">
        <v>229</v>
      </c>
      <c r="O159" s="1" t="s">
        <v>37</v>
      </c>
      <c r="P159" s="1" t="s">
        <v>36</v>
      </c>
      <c r="Q159" s="1" t="s">
        <v>230</v>
      </c>
      <c r="R159" s="1" t="s">
        <v>449</v>
      </c>
      <c r="S159" s="1" t="s">
        <v>39</v>
      </c>
      <c r="T159" s="1">
        <v>2002.97</v>
      </c>
      <c r="U159" s="1" t="s">
        <v>40</v>
      </c>
      <c r="V159" s="1" t="s">
        <v>29</v>
      </c>
      <c r="W159" s="1" t="s">
        <v>36</v>
      </c>
      <c r="X159" s="1" t="s">
        <v>29</v>
      </c>
      <c r="Y159" s="1" t="s">
        <v>36</v>
      </c>
      <c r="Z159" s="1" t="s">
        <v>41</v>
      </c>
    </row>
    <row r="160" spans="1:26" ht="15.75" x14ac:dyDescent="0.25">
      <c r="A160" s="1" t="s">
        <v>26</v>
      </c>
      <c r="B160" s="1" t="s">
        <v>27</v>
      </c>
      <c r="C160" s="1" t="s">
        <v>429</v>
      </c>
      <c r="D160" s="3">
        <v>34018</v>
      </c>
      <c r="E160" s="1" t="s">
        <v>29</v>
      </c>
      <c r="F160" s="1" t="s">
        <v>448</v>
      </c>
      <c r="G160" s="1" t="s">
        <v>61</v>
      </c>
      <c r="H160" s="1" t="s">
        <v>45</v>
      </c>
      <c r="I160" s="1" t="s">
        <v>46</v>
      </c>
      <c r="J160" s="1">
        <v>3.44</v>
      </c>
      <c r="K160" s="1" t="s">
        <v>431</v>
      </c>
      <c r="L160" s="1" t="s">
        <v>35</v>
      </c>
      <c r="M160" s="1">
        <v>1.27</v>
      </c>
      <c r="N160" s="1" t="s">
        <v>229</v>
      </c>
      <c r="O160" s="1" t="s">
        <v>37</v>
      </c>
      <c r="P160" s="1" t="s">
        <v>36</v>
      </c>
      <c r="Q160" s="1" t="s">
        <v>230</v>
      </c>
      <c r="R160" s="1" t="s">
        <v>449</v>
      </c>
      <c r="S160" s="1" t="s">
        <v>39</v>
      </c>
      <c r="T160" s="1">
        <v>2002.97</v>
      </c>
      <c r="U160" s="1" t="s">
        <v>40</v>
      </c>
      <c r="V160" s="1" t="s">
        <v>29</v>
      </c>
      <c r="W160" s="1" t="s">
        <v>36</v>
      </c>
      <c r="X160" s="1" t="s">
        <v>29</v>
      </c>
      <c r="Y160" s="1" t="s">
        <v>36</v>
      </c>
      <c r="Z160" s="1" t="s">
        <v>41</v>
      </c>
    </row>
    <row r="161" spans="1:26" ht="15.75" x14ac:dyDescent="0.25">
      <c r="A161" s="1" t="s">
        <v>26</v>
      </c>
      <c r="B161" s="1" t="s">
        <v>27</v>
      </c>
      <c r="C161" s="1" t="s">
        <v>429</v>
      </c>
      <c r="D161" s="3">
        <v>63412</v>
      </c>
      <c r="E161" s="1" t="s">
        <v>29</v>
      </c>
      <c r="F161" s="1" t="s">
        <v>462</v>
      </c>
      <c r="G161" s="1" t="s">
        <v>31</v>
      </c>
      <c r="H161" s="1" t="s">
        <v>148</v>
      </c>
      <c r="I161" s="1" t="s">
        <v>33</v>
      </c>
      <c r="J161" s="1">
        <v>46.59</v>
      </c>
      <c r="K161" s="1" t="s">
        <v>463</v>
      </c>
      <c r="L161" s="1" t="s">
        <v>35</v>
      </c>
      <c r="M161" s="1">
        <v>17.239999999999998</v>
      </c>
      <c r="N161" s="1" t="s">
        <v>229</v>
      </c>
      <c r="O161" s="1" t="s">
        <v>37</v>
      </c>
      <c r="P161" s="1" t="s">
        <v>36</v>
      </c>
      <c r="Q161" s="1" t="s">
        <v>230</v>
      </c>
      <c r="R161" s="1" t="s">
        <v>464</v>
      </c>
      <c r="S161" s="1" t="s">
        <v>39</v>
      </c>
      <c r="T161" s="1">
        <v>2002.97</v>
      </c>
      <c r="U161" s="1" t="s">
        <v>40</v>
      </c>
      <c r="V161" s="1" t="s">
        <v>29</v>
      </c>
      <c r="W161" s="1" t="s">
        <v>36</v>
      </c>
      <c r="X161" s="1" t="s">
        <v>29</v>
      </c>
      <c r="Y161" s="1" t="s">
        <v>36</v>
      </c>
      <c r="Z161" s="1" t="s">
        <v>41</v>
      </c>
    </row>
    <row r="162" spans="1:26" ht="15.75" x14ac:dyDescent="0.25">
      <c r="A162" s="1" t="s">
        <v>26</v>
      </c>
      <c r="B162" s="1" t="s">
        <v>27</v>
      </c>
      <c r="C162" s="1" t="s">
        <v>429</v>
      </c>
      <c r="D162" s="3">
        <v>63412</v>
      </c>
      <c r="E162" s="1" t="s">
        <v>29</v>
      </c>
      <c r="F162" s="1" t="s">
        <v>462</v>
      </c>
      <c r="G162" s="1" t="s">
        <v>61</v>
      </c>
      <c r="H162" s="1" t="s">
        <v>148</v>
      </c>
      <c r="I162" s="1" t="s">
        <v>33</v>
      </c>
      <c r="J162" s="1">
        <v>1.5</v>
      </c>
      <c r="K162" s="1" t="s">
        <v>463</v>
      </c>
      <c r="L162" s="1" t="s">
        <v>35</v>
      </c>
      <c r="M162" s="1">
        <v>0.55000000000000004</v>
      </c>
      <c r="N162" s="1" t="s">
        <v>229</v>
      </c>
      <c r="O162" s="1" t="s">
        <v>37</v>
      </c>
      <c r="P162" s="1" t="s">
        <v>36</v>
      </c>
      <c r="Q162" s="1" t="s">
        <v>230</v>
      </c>
      <c r="R162" s="1" t="s">
        <v>464</v>
      </c>
      <c r="S162" s="1" t="s">
        <v>39</v>
      </c>
      <c r="T162" s="1">
        <v>2002.97</v>
      </c>
      <c r="U162" s="1" t="s">
        <v>40</v>
      </c>
      <c r="V162" s="1" t="s">
        <v>29</v>
      </c>
      <c r="W162" s="1" t="s">
        <v>36</v>
      </c>
      <c r="X162" s="1" t="s">
        <v>29</v>
      </c>
      <c r="Y162" s="1" t="s">
        <v>36</v>
      </c>
      <c r="Z162" s="1" t="s">
        <v>41</v>
      </c>
    </row>
    <row r="163" spans="1:26" ht="15.75" x14ac:dyDescent="0.25">
      <c r="A163" s="1" t="s">
        <v>26</v>
      </c>
      <c r="B163" s="1" t="s">
        <v>27</v>
      </c>
      <c r="C163" s="1" t="s">
        <v>511</v>
      </c>
      <c r="D163" s="3">
        <v>1173</v>
      </c>
      <c r="E163" s="1" t="s">
        <v>29</v>
      </c>
      <c r="F163" s="1" t="s">
        <v>517</v>
      </c>
      <c r="G163" s="1" t="s">
        <v>31</v>
      </c>
      <c r="H163" s="1" t="s">
        <v>101</v>
      </c>
      <c r="I163" s="1" t="s">
        <v>102</v>
      </c>
      <c r="J163" s="1">
        <v>138.53</v>
      </c>
      <c r="K163" s="1" t="s">
        <v>513</v>
      </c>
      <c r="L163" s="1" t="s">
        <v>35</v>
      </c>
      <c r="M163" s="1">
        <v>51.26</v>
      </c>
      <c r="N163" s="1" t="s">
        <v>229</v>
      </c>
      <c r="O163" s="1" t="s">
        <v>37</v>
      </c>
      <c r="P163" s="1" t="s">
        <v>36</v>
      </c>
      <c r="Q163" s="1" t="s">
        <v>230</v>
      </c>
      <c r="R163" s="1" t="s">
        <v>518</v>
      </c>
      <c r="S163" s="1" t="s">
        <v>39</v>
      </c>
      <c r="T163" s="1">
        <v>2002.97</v>
      </c>
      <c r="U163" s="1" t="s">
        <v>40</v>
      </c>
      <c r="V163" s="1" t="s">
        <v>29</v>
      </c>
      <c r="W163" s="1" t="s">
        <v>36</v>
      </c>
      <c r="X163" s="1" t="s">
        <v>29</v>
      </c>
      <c r="Y163" s="1" t="s">
        <v>36</v>
      </c>
      <c r="Z163" s="1" t="s">
        <v>41</v>
      </c>
    </row>
    <row r="164" spans="1:26" ht="15.75" x14ac:dyDescent="0.25">
      <c r="A164" s="1" t="s">
        <v>26</v>
      </c>
      <c r="B164" s="1" t="s">
        <v>27</v>
      </c>
      <c r="C164" s="1" t="s">
        <v>511</v>
      </c>
      <c r="D164" s="3">
        <v>27418</v>
      </c>
      <c r="E164" s="1" t="s">
        <v>29</v>
      </c>
      <c r="F164" s="1" t="s">
        <v>519</v>
      </c>
      <c r="G164" s="1" t="s">
        <v>31</v>
      </c>
      <c r="H164" s="1" t="s">
        <v>58</v>
      </c>
      <c r="I164" s="1" t="s">
        <v>33</v>
      </c>
      <c r="J164" s="1">
        <v>46.59</v>
      </c>
      <c r="K164" s="1" t="s">
        <v>520</v>
      </c>
      <c r="L164" s="1" t="s">
        <v>35</v>
      </c>
      <c r="M164" s="1">
        <v>17.239999999999998</v>
      </c>
      <c r="N164" s="1" t="s">
        <v>229</v>
      </c>
      <c r="O164" s="1" t="s">
        <v>37</v>
      </c>
      <c r="P164" s="1" t="s">
        <v>36</v>
      </c>
      <c r="Q164" s="1" t="s">
        <v>230</v>
      </c>
      <c r="R164" s="1" t="s">
        <v>521</v>
      </c>
      <c r="S164" s="1" t="s">
        <v>39</v>
      </c>
      <c r="T164" s="1">
        <v>2002.97</v>
      </c>
      <c r="U164" s="1" t="s">
        <v>40</v>
      </c>
      <c r="V164" s="1" t="s">
        <v>29</v>
      </c>
      <c r="W164" s="1" t="s">
        <v>36</v>
      </c>
      <c r="X164" s="1" t="s">
        <v>29</v>
      </c>
      <c r="Y164" s="1" t="s">
        <v>36</v>
      </c>
      <c r="Z164" s="1" t="s">
        <v>41</v>
      </c>
    </row>
    <row r="165" spans="1:26" ht="15.75" x14ac:dyDescent="0.25">
      <c r="A165" s="1" t="s">
        <v>26</v>
      </c>
      <c r="B165" s="1" t="s">
        <v>27</v>
      </c>
      <c r="C165" s="1" t="s">
        <v>511</v>
      </c>
      <c r="D165" s="3">
        <v>27418</v>
      </c>
      <c r="E165" s="1" t="s">
        <v>29</v>
      </c>
      <c r="F165" s="1" t="s">
        <v>519</v>
      </c>
      <c r="G165" s="1" t="s">
        <v>61</v>
      </c>
      <c r="H165" s="1" t="s">
        <v>58</v>
      </c>
      <c r="I165" s="1" t="s">
        <v>33</v>
      </c>
      <c r="J165" s="1">
        <v>1.5</v>
      </c>
      <c r="K165" s="1" t="s">
        <v>520</v>
      </c>
      <c r="L165" s="1" t="s">
        <v>35</v>
      </c>
      <c r="M165" s="1">
        <v>0.55000000000000004</v>
      </c>
      <c r="N165" s="1" t="s">
        <v>229</v>
      </c>
      <c r="O165" s="1" t="s">
        <v>37</v>
      </c>
      <c r="P165" s="1" t="s">
        <v>36</v>
      </c>
      <c r="Q165" s="1" t="s">
        <v>230</v>
      </c>
      <c r="R165" s="1" t="s">
        <v>521</v>
      </c>
      <c r="S165" s="1" t="s">
        <v>39</v>
      </c>
      <c r="T165" s="1">
        <v>2002.97</v>
      </c>
      <c r="U165" s="1" t="s">
        <v>40</v>
      </c>
      <c r="V165" s="1" t="s">
        <v>29</v>
      </c>
      <c r="W165" s="1" t="s">
        <v>36</v>
      </c>
      <c r="X165" s="1" t="s">
        <v>29</v>
      </c>
      <c r="Y165" s="1" t="s">
        <v>36</v>
      </c>
      <c r="Z165" s="1" t="s">
        <v>41</v>
      </c>
    </row>
    <row r="166" spans="1:26" ht="15.75" x14ac:dyDescent="0.25">
      <c r="A166" s="1" t="s">
        <v>26</v>
      </c>
      <c r="B166" s="1" t="s">
        <v>27</v>
      </c>
      <c r="C166" s="1" t="s">
        <v>511</v>
      </c>
      <c r="D166" s="3">
        <v>30818</v>
      </c>
      <c r="E166" s="1" t="s">
        <v>29</v>
      </c>
      <c r="F166" s="1" t="s">
        <v>534</v>
      </c>
      <c r="G166" s="1" t="s">
        <v>31</v>
      </c>
      <c r="H166" s="1" t="s">
        <v>45</v>
      </c>
      <c r="I166" s="1" t="s">
        <v>46</v>
      </c>
      <c r="J166" s="1">
        <v>40.729999999999997</v>
      </c>
      <c r="K166" s="1" t="s">
        <v>532</v>
      </c>
      <c r="L166" s="1" t="s">
        <v>35</v>
      </c>
      <c r="M166" s="1">
        <v>15.07</v>
      </c>
      <c r="N166" s="1" t="s">
        <v>229</v>
      </c>
      <c r="O166" s="1" t="s">
        <v>37</v>
      </c>
      <c r="P166" s="1" t="s">
        <v>36</v>
      </c>
      <c r="Q166" s="1" t="s">
        <v>230</v>
      </c>
      <c r="R166" s="1" t="s">
        <v>535</v>
      </c>
      <c r="S166" s="1" t="s">
        <v>39</v>
      </c>
      <c r="T166" s="1">
        <v>2002.97</v>
      </c>
      <c r="U166" s="1" t="s">
        <v>40</v>
      </c>
      <c r="V166" s="1" t="s">
        <v>29</v>
      </c>
      <c r="W166" s="1" t="s">
        <v>36</v>
      </c>
      <c r="X166" s="1" t="s">
        <v>29</v>
      </c>
      <c r="Y166" s="1" t="s">
        <v>36</v>
      </c>
      <c r="Z166" s="1" t="s">
        <v>41</v>
      </c>
    </row>
    <row r="167" spans="1:26" ht="15.75" x14ac:dyDescent="0.25">
      <c r="A167" s="1" t="s">
        <v>26</v>
      </c>
      <c r="B167" s="1" t="s">
        <v>27</v>
      </c>
      <c r="C167" s="1" t="s">
        <v>511</v>
      </c>
      <c r="D167" s="3">
        <v>58411</v>
      </c>
      <c r="E167" s="1" t="s">
        <v>29</v>
      </c>
      <c r="F167" s="1" t="s">
        <v>548</v>
      </c>
      <c r="G167" s="1" t="s">
        <v>31</v>
      </c>
      <c r="H167" s="1" t="s">
        <v>32</v>
      </c>
      <c r="I167" s="1" t="s">
        <v>33</v>
      </c>
      <c r="J167" s="1">
        <v>42.35</v>
      </c>
      <c r="K167" s="1" t="s">
        <v>544</v>
      </c>
      <c r="L167" s="1" t="s">
        <v>35</v>
      </c>
      <c r="M167" s="1">
        <v>15.67</v>
      </c>
      <c r="N167" s="1" t="s">
        <v>229</v>
      </c>
      <c r="O167" s="1" t="s">
        <v>37</v>
      </c>
      <c r="P167" s="1" t="s">
        <v>36</v>
      </c>
      <c r="Q167" s="1" t="s">
        <v>230</v>
      </c>
      <c r="R167" s="1" t="s">
        <v>549</v>
      </c>
      <c r="S167" s="1" t="s">
        <v>39</v>
      </c>
      <c r="T167" s="1">
        <v>2002.97</v>
      </c>
      <c r="U167" s="1" t="s">
        <v>40</v>
      </c>
      <c r="V167" s="1" t="s">
        <v>29</v>
      </c>
      <c r="W167" s="1" t="s">
        <v>36</v>
      </c>
      <c r="X167" s="1" t="s">
        <v>29</v>
      </c>
      <c r="Y167" s="1" t="s">
        <v>36</v>
      </c>
      <c r="Z167" s="1" t="s">
        <v>41</v>
      </c>
    </row>
    <row r="168" spans="1:26" ht="15.75" x14ac:dyDescent="0.25">
      <c r="A168" s="1" t="s">
        <v>26</v>
      </c>
      <c r="B168" s="1" t="s">
        <v>27</v>
      </c>
      <c r="C168" s="1" t="s">
        <v>511</v>
      </c>
      <c r="D168" s="3">
        <v>58411</v>
      </c>
      <c r="E168" s="1" t="s">
        <v>29</v>
      </c>
      <c r="F168" s="1" t="s">
        <v>548</v>
      </c>
      <c r="G168" s="1" t="s">
        <v>61</v>
      </c>
      <c r="H168" s="1" t="s">
        <v>32</v>
      </c>
      <c r="I168" s="1" t="s">
        <v>33</v>
      </c>
      <c r="J168" s="1">
        <v>1.5</v>
      </c>
      <c r="K168" s="1" t="s">
        <v>544</v>
      </c>
      <c r="L168" s="1" t="s">
        <v>35</v>
      </c>
      <c r="M168" s="1">
        <v>0.55000000000000004</v>
      </c>
      <c r="N168" s="1" t="s">
        <v>229</v>
      </c>
      <c r="O168" s="1" t="s">
        <v>37</v>
      </c>
      <c r="P168" s="1" t="s">
        <v>36</v>
      </c>
      <c r="Q168" s="1" t="s">
        <v>230</v>
      </c>
      <c r="R168" s="1" t="s">
        <v>549</v>
      </c>
      <c r="S168" s="1" t="s">
        <v>39</v>
      </c>
      <c r="T168" s="1">
        <v>2002.97</v>
      </c>
      <c r="U168" s="1" t="s">
        <v>40</v>
      </c>
      <c r="V168" s="1" t="s">
        <v>29</v>
      </c>
      <c r="W168" s="1" t="s">
        <v>36</v>
      </c>
      <c r="X168" s="1" t="s">
        <v>29</v>
      </c>
      <c r="Y168" s="1" t="s">
        <v>36</v>
      </c>
      <c r="Z168" s="1" t="s">
        <v>41</v>
      </c>
    </row>
    <row r="169" spans="1:26" ht="15.75" x14ac:dyDescent="0.25">
      <c r="A169" s="1" t="s">
        <v>26</v>
      </c>
      <c r="B169" s="1" t="s">
        <v>27</v>
      </c>
      <c r="C169" s="1" t="s">
        <v>602</v>
      </c>
      <c r="D169" s="3">
        <v>14865</v>
      </c>
      <c r="E169" s="1" t="s">
        <v>29</v>
      </c>
      <c r="F169" s="1" t="s">
        <v>611</v>
      </c>
      <c r="G169" s="1" t="s">
        <v>31</v>
      </c>
      <c r="H169" s="1" t="s">
        <v>58</v>
      </c>
      <c r="I169" s="1" t="s">
        <v>33</v>
      </c>
      <c r="J169" s="1">
        <v>46.59</v>
      </c>
      <c r="K169" s="1" t="s">
        <v>58</v>
      </c>
      <c r="L169" s="1" t="s">
        <v>35</v>
      </c>
      <c r="M169" s="1">
        <v>17.239999999999998</v>
      </c>
      <c r="N169" s="1" t="s">
        <v>229</v>
      </c>
      <c r="O169" s="1" t="s">
        <v>37</v>
      </c>
      <c r="P169" s="1" t="s">
        <v>36</v>
      </c>
      <c r="Q169" s="1" t="s">
        <v>230</v>
      </c>
      <c r="R169" s="1" t="s">
        <v>612</v>
      </c>
      <c r="S169" s="1" t="s">
        <v>39</v>
      </c>
      <c r="T169" s="1">
        <v>2002.97</v>
      </c>
      <c r="U169" s="1" t="s">
        <v>40</v>
      </c>
      <c r="V169" s="1" t="s">
        <v>29</v>
      </c>
      <c r="W169" s="1" t="s">
        <v>36</v>
      </c>
      <c r="X169" s="1" t="s">
        <v>29</v>
      </c>
      <c r="Y169" s="1" t="s">
        <v>36</v>
      </c>
      <c r="Z169" s="1" t="s">
        <v>41</v>
      </c>
    </row>
    <row r="170" spans="1:26" ht="15.75" x14ac:dyDescent="0.25">
      <c r="A170" s="1" t="s">
        <v>26</v>
      </c>
      <c r="B170" s="1" t="s">
        <v>27</v>
      </c>
      <c r="C170" s="1" t="s">
        <v>602</v>
      </c>
      <c r="D170" s="3">
        <v>14865</v>
      </c>
      <c r="E170" s="1" t="s">
        <v>29</v>
      </c>
      <c r="F170" s="1" t="s">
        <v>611</v>
      </c>
      <c r="G170" s="1" t="s">
        <v>61</v>
      </c>
      <c r="H170" s="1" t="s">
        <v>58</v>
      </c>
      <c r="I170" s="1" t="s">
        <v>33</v>
      </c>
      <c r="J170" s="1">
        <v>1.5</v>
      </c>
      <c r="K170" s="1" t="s">
        <v>58</v>
      </c>
      <c r="L170" s="1" t="s">
        <v>35</v>
      </c>
      <c r="M170" s="1">
        <v>0.55000000000000004</v>
      </c>
      <c r="N170" s="1" t="s">
        <v>229</v>
      </c>
      <c r="O170" s="1" t="s">
        <v>37</v>
      </c>
      <c r="P170" s="1" t="s">
        <v>36</v>
      </c>
      <c r="Q170" s="1" t="s">
        <v>230</v>
      </c>
      <c r="R170" s="1" t="s">
        <v>612</v>
      </c>
      <c r="S170" s="1" t="s">
        <v>39</v>
      </c>
      <c r="T170" s="1">
        <v>2002.97</v>
      </c>
      <c r="U170" s="1" t="s">
        <v>40</v>
      </c>
      <c r="V170" s="1" t="s">
        <v>29</v>
      </c>
      <c r="W170" s="1" t="s">
        <v>36</v>
      </c>
      <c r="X170" s="1" t="s">
        <v>29</v>
      </c>
      <c r="Y170" s="1" t="s">
        <v>36</v>
      </c>
      <c r="Z170" s="1" t="s">
        <v>41</v>
      </c>
    </row>
    <row r="171" spans="1:26" ht="15.75" x14ac:dyDescent="0.25">
      <c r="A171" s="1" t="s">
        <v>26</v>
      </c>
      <c r="B171" s="1" t="s">
        <v>27</v>
      </c>
      <c r="C171" s="1" t="s">
        <v>122</v>
      </c>
      <c r="D171" s="3">
        <v>55345</v>
      </c>
      <c r="E171" s="1" t="s">
        <v>29</v>
      </c>
      <c r="F171" s="1" t="s">
        <v>128</v>
      </c>
      <c r="G171" s="1" t="s">
        <v>31</v>
      </c>
      <c r="H171" s="1" t="s">
        <v>45</v>
      </c>
      <c r="I171" s="1" t="s">
        <v>46</v>
      </c>
      <c r="J171" s="1">
        <v>72.59</v>
      </c>
      <c r="K171" s="1" t="s">
        <v>124</v>
      </c>
      <c r="L171" s="1" t="s">
        <v>35</v>
      </c>
      <c r="M171" s="1">
        <v>2.9</v>
      </c>
      <c r="N171" s="1" t="s">
        <v>129</v>
      </c>
      <c r="O171" s="1" t="s">
        <v>37</v>
      </c>
      <c r="P171" s="1" t="s">
        <v>36</v>
      </c>
      <c r="Q171" s="1" t="s">
        <v>130</v>
      </c>
      <c r="R171" s="1" t="s">
        <v>131</v>
      </c>
      <c r="S171" s="1" t="s">
        <v>39</v>
      </c>
      <c r="T171" s="1">
        <v>2002.97</v>
      </c>
      <c r="U171" s="1" t="s">
        <v>40</v>
      </c>
      <c r="V171" s="1" t="s">
        <v>29</v>
      </c>
      <c r="W171" s="1" t="s">
        <v>36</v>
      </c>
      <c r="X171" s="1" t="s">
        <v>29</v>
      </c>
      <c r="Y171" s="1" t="s">
        <v>36</v>
      </c>
      <c r="Z171" s="1" t="s">
        <v>41</v>
      </c>
    </row>
    <row r="172" spans="1:26" ht="15.75" x14ac:dyDescent="0.25">
      <c r="A172" s="1" t="s">
        <v>26</v>
      </c>
      <c r="B172" s="1" t="s">
        <v>27</v>
      </c>
      <c r="C172" s="1" t="s">
        <v>122</v>
      </c>
      <c r="D172" s="3">
        <v>55345</v>
      </c>
      <c r="E172" s="1" t="s">
        <v>29</v>
      </c>
      <c r="F172" s="1" t="s">
        <v>128</v>
      </c>
      <c r="G172" s="1" t="s">
        <v>61</v>
      </c>
      <c r="H172" s="1" t="s">
        <v>45</v>
      </c>
      <c r="I172" s="1" t="s">
        <v>46</v>
      </c>
      <c r="J172" s="1">
        <v>2.69</v>
      </c>
      <c r="K172" s="1" t="s">
        <v>124</v>
      </c>
      <c r="L172" s="1" t="s">
        <v>35</v>
      </c>
      <c r="M172" s="1">
        <v>0.11</v>
      </c>
      <c r="N172" s="1" t="s">
        <v>129</v>
      </c>
      <c r="O172" s="1" t="s">
        <v>37</v>
      </c>
      <c r="P172" s="1" t="s">
        <v>36</v>
      </c>
      <c r="Q172" s="1" t="s">
        <v>130</v>
      </c>
      <c r="R172" s="1" t="s">
        <v>131</v>
      </c>
      <c r="S172" s="1" t="s">
        <v>39</v>
      </c>
      <c r="T172" s="1">
        <v>2002.97</v>
      </c>
      <c r="U172" s="1" t="s">
        <v>40</v>
      </c>
      <c r="V172" s="1" t="s">
        <v>29</v>
      </c>
      <c r="W172" s="1" t="s">
        <v>36</v>
      </c>
      <c r="X172" s="1" t="s">
        <v>29</v>
      </c>
      <c r="Y172" s="1" t="s">
        <v>36</v>
      </c>
      <c r="Z172" s="1" t="s">
        <v>41</v>
      </c>
    </row>
    <row r="173" spans="1:26" ht="15.75" x14ac:dyDescent="0.25">
      <c r="A173" s="1" t="s">
        <v>26</v>
      </c>
      <c r="B173" s="1" t="s">
        <v>27</v>
      </c>
      <c r="C173" s="1" t="s">
        <v>139</v>
      </c>
      <c r="D173" s="3">
        <v>86560</v>
      </c>
      <c r="E173" s="1" t="s">
        <v>29</v>
      </c>
      <c r="F173" s="1" t="s">
        <v>181</v>
      </c>
      <c r="G173" s="1" t="s">
        <v>31</v>
      </c>
      <c r="H173" s="1" t="s">
        <v>148</v>
      </c>
      <c r="I173" s="1" t="s">
        <v>33</v>
      </c>
      <c r="J173" s="1">
        <v>107.9</v>
      </c>
      <c r="K173" s="1" t="s">
        <v>182</v>
      </c>
      <c r="L173" s="1" t="s">
        <v>35</v>
      </c>
      <c r="M173" s="1">
        <v>4.32</v>
      </c>
      <c r="N173" s="1" t="s">
        <v>129</v>
      </c>
      <c r="O173" s="1" t="s">
        <v>37</v>
      </c>
      <c r="P173" s="1" t="s">
        <v>36</v>
      </c>
      <c r="Q173" s="1" t="s">
        <v>130</v>
      </c>
      <c r="R173" s="1" t="s">
        <v>183</v>
      </c>
      <c r="S173" s="1" t="s">
        <v>39</v>
      </c>
      <c r="T173" s="1">
        <v>2002.97</v>
      </c>
      <c r="U173" s="1" t="s">
        <v>40</v>
      </c>
      <c r="V173" s="1" t="s">
        <v>29</v>
      </c>
      <c r="W173" s="1" t="s">
        <v>36</v>
      </c>
      <c r="X173" s="1" t="s">
        <v>29</v>
      </c>
      <c r="Y173" s="1" t="s">
        <v>36</v>
      </c>
      <c r="Z173" s="1" t="s">
        <v>41</v>
      </c>
    </row>
    <row r="174" spans="1:26" ht="15.75" x14ac:dyDescent="0.25">
      <c r="A174" s="1" t="s">
        <v>26</v>
      </c>
      <c r="B174" s="1" t="s">
        <v>27</v>
      </c>
      <c r="C174" s="1" t="s">
        <v>139</v>
      </c>
      <c r="D174" s="3">
        <v>86561</v>
      </c>
      <c r="E174" s="1" t="s">
        <v>29</v>
      </c>
      <c r="F174" s="1" t="s">
        <v>181</v>
      </c>
      <c r="G174" s="1" t="s">
        <v>42</v>
      </c>
      <c r="H174" s="1" t="s">
        <v>148</v>
      </c>
      <c r="I174" s="1" t="s">
        <v>33</v>
      </c>
      <c r="J174" s="1">
        <v>44.94</v>
      </c>
      <c r="K174" s="1" t="s">
        <v>182</v>
      </c>
      <c r="L174" s="1" t="s">
        <v>35</v>
      </c>
      <c r="M174" s="1">
        <v>1.8</v>
      </c>
      <c r="N174" s="1" t="s">
        <v>129</v>
      </c>
      <c r="O174" s="1" t="s">
        <v>37</v>
      </c>
      <c r="P174" s="1" t="s">
        <v>36</v>
      </c>
      <c r="Q174" s="1" t="s">
        <v>130</v>
      </c>
      <c r="R174" s="1" t="s">
        <v>183</v>
      </c>
      <c r="S174" s="1" t="s">
        <v>39</v>
      </c>
      <c r="T174" s="1">
        <v>2002.97</v>
      </c>
      <c r="U174" s="1" t="s">
        <v>40</v>
      </c>
      <c r="V174" s="1" t="s">
        <v>29</v>
      </c>
      <c r="W174" s="1" t="s">
        <v>36</v>
      </c>
      <c r="X174" s="1" t="s">
        <v>29</v>
      </c>
      <c r="Y174" s="1" t="s">
        <v>36</v>
      </c>
      <c r="Z174" s="1" t="s">
        <v>41</v>
      </c>
    </row>
    <row r="175" spans="1:26" ht="15.75" x14ac:dyDescent="0.25">
      <c r="A175" s="1" t="s">
        <v>26</v>
      </c>
      <c r="B175" s="1" t="s">
        <v>27</v>
      </c>
      <c r="C175" s="1" t="s">
        <v>429</v>
      </c>
      <c r="D175" s="3">
        <v>32726</v>
      </c>
      <c r="E175" s="1" t="s">
        <v>29</v>
      </c>
      <c r="F175" s="1" t="s">
        <v>446</v>
      </c>
      <c r="G175" s="1" t="s">
        <v>31</v>
      </c>
      <c r="H175" s="1" t="s">
        <v>101</v>
      </c>
      <c r="I175" s="1" t="s">
        <v>102</v>
      </c>
      <c r="J175" s="1">
        <v>17.27</v>
      </c>
      <c r="K175" s="1" t="s">
        <v>434</v>
      </c>
      <c r="L175" s="1" t="s">
        <v>35</v>
      </c>
      <c r="M175" s="1">
        <v>6.39</v>
      </c>
      <c r="N175" s="1" t="s">
        <v>129</v>
      </c>
      <c r="O175" s="1" t="s">
        <v>37</v>
      </c>
      <c r="P175" s="1" t="s">
        <v>36</v>
      </c>
      <c r="Q175" s="1" t="s">
        <v>130</v>
      </c>
      <c r="R175" s="1" t="s">
        <v>447</v>
      </c>
      <c r="S175" s="1" t="s">
        <v>39</v>
      </c>
      <c r="T175" s="1">
        <v>2002.97</v>
      </c>
      <c r="U175" s="1" t="s">
        <v>40</v>
      </c>
      <c r="V175" s="1" t="s">
        <v>29</v>
      </c>
      <c r="W175" s="1" t="s">
        <v>36</v>
      </c>
      <c r="X175" s="1" t="s">
        <v>29</v>
      </c>
      <c r="Y175" s="1" t="s">
        <v>36</v>
      </c>
      <c r="Z175" s="1" t="s">
        <v>41</v>
      </c>
    </row>
    <row r="176" spans="1:26" ht="15.75" x14ac:dyDescent="0.25">
      <c r="A176" s="1" t="s">
        <v>26</v>
      </c>
      <c r="B176" s="1" t="s">
        <v>27</v>
      </c>
      <c r="C176" s="1" t="s">
        <v>511</v>
      </c>
      <c r="D176" s="3">
        <v>55988</v>
      </c>
      <c r="E176" s="1" t="s">
        <v>29</v>
      </c>
      <c r="F176" s="1" t="s">
        <v>540</v>
      </c>
      <c r="G176" s="1" t="s">
        <v>31</v>
      </c>
      <c r="H176" s="1" t="s">
        <v>58</v>
      </c>
      <c r="I176" s="1" t="s">
        <v>33</v>
      </c>
      <c r="J176" s="1">
        <v>17.27</v>
      </c>
      <c r="K176" s="1" t="s">
        <v>541</v>
      </c>
      <c r="L176" s="1" t="s">
        <v>35</v>
      </c>
      <c r="M176" s="1">
        <v>6.39</v>
      </c>
      <c r="N176" s="1" t="s">
        <v>129</v>
      </c>
      <c r="O176" s="1" t="s">
        <v>37</v>
      </c>
      <c r="P176" s="1" t="s">
        <v>36</v>
      </c>
      <c r="Q176" s="1" t="s">
        <v>130</v>
      </c>
      <c r="R176" s="1" t="s">
        <v>542</v>
      </c>
      <c r="S176" s="1" t="s">
        <v>39</v>
      </c>
      <c r="T176" s="1">
        <v>2002.97</v>
      </c>
      <c r="U176" s="1" t="s">
        <v>40</v>
      </c>
      <c r="V176" s="1" t="s">
        <v>29</v>
      </c>
      <c r="W176" s="1" t="s">
        <v>36</v>
      </c>
      <c r="X176" s="1" t="s">
        <v>29</v>
      </c>
      <c r="Y176" s="1" t="s">
        <v>36</v>
      </c>
      <c r="Z176" s="1" t="s">
        <v>41</v>
      </c>
    </row>
    <row r="177" spans="1:26" ht="15.75" x14ac:dyDescent="0.25">
      <c r="A177" s="1" t="s">
        <v>26</v>
      </c>
      <c r="B177" s="1" t="s">
        <v>27</v>
      </c>
      <c r="C177" s="1" t="s">
        <v>429</v>
      </c>
      <c r="D177" s="3">
        <v>52826</v>
      </c>
      <c r="E177" s="1" t="s">
        <v>29</v>
      </c>
      <c r="F177" s="1" t="s">
        <v>455</v>
      </c>
      <c r="G177" s="1" t="s">
        <v>31</v>
      </c>
      <c r="H177" s="1" t="s">
        <v>32</v>
      </c>
      <c r="I177" s="1" t="s">
        <v>33</v>
      </c>
      <c r="J177" s="1">
        <v>42.35</v>
      </c>
      <c r="K177" s="1" t="s">
        <v>456</v>
      </c>
      <c r="L177" s="1" t="s">
        <v>35</v>
      </c>
      <c r="M177" s="1">
        <v>15.67</v>
      </c>
      <c r="N177" s="1" t="s">
        <v>457</v>
      </c>
      <c r="O177" s="1" t="s">
        <v>37</v>
      </c>
      <c r="P177" s="1" t="s">
        <v>36</v>
      </c>
      <c r="Q177" s="1" t="s">
        <v>458</v>
      </c>
      <c r="R177" s="1" t="s">
        <v>459</v>
      </c>
      <c r="S177" s="1" t="s">
        <v>39</v>
      </c>
      <c r="T177" s="1">
        <v>2002.97</v>
      </c>
      <c r="U177" s="1" t="s">
        <v>40</v>
      </c>
      <c r="V177" s="1" t="s">
        <v>29</v>
      </c>
      <c r="W177" s="1" t="s">
        <v>36</v>
      </c>
      <c r="X177" s="1" t="s">
        <v>29</v>
      </c>
      <c r="Y177" s="1" t="s">
        <v>36</v>
      </c>
      <c r="Z177" s="1" t="s">
        <v>41</v>
      </c>
    </row>
    <row r="178" spans="1:26" ht="15.75" x14ac:dyDescent="0.25">
      <c r="A178" s="1" t="s">
        <v>26</v>
      </c>
      <c r="B178" s="1" t="s">
        <v>27</v>
      </c>
      <c r="C178" s="1" t="s">
        <v>429</v>
      </c>
      <c r="D178" s="3">
        <v>52826</v>
      </c>
      <c r="E178" s="1" t="s">
        <v>29</v>
      </c>
      <c r="F178" s="1" t="s">
        <v>455</v>
      </c>
      <c r="G178" s="1" t="s">
        <v>61</v>
      </c>
      <c r="H178" s="1" t="s">
        <v>32</v>
      </c>
      <c r="I178" s="1" t="s">
        <v>33</v>
      </c>
      <c r="J178" s="1">
        <v>1.5</v>
      </c>
      <c r="K178" s="1" t="s">
        <v>456</v>
      </c>
      <c r="L178" s="1" t="s">
        <v>35</v>
      </c>
      <c r="M178" s="1">
        <v>0.55000000000000004</v>
      </c>
      <c r="N178" s="1" t="s">
        <v>457</v>
      </c>
      <c r="O178" s="1" t="s">
        <v>37</v>
      </c>
      <c r="P178" s="1" t="s">
        <v>36</v>
      </c>
      <c r="Q178" s="1" t="s">
        <v>458</v>
      </c>
      <c r="R178" s="1" t="s">
        <v>459</v>
      </c>
      <c r="S178" s="1" t="s">
        <v>39</v>
      </c>
      <c r="T178" s="1">
        <v>2002.97</v>
      </c>
      <c r="U178" s="1" t="s">
        <v>40</v>
      </c>
      <c r="V178" s="1" t="s">
        <v>29</v>
      </c>
      <c r="W178" s="1" t="s">
        <v>36</v>
      </c>
      <c r="X178" s="1" t="s">
        <v>29</v>
      </c>
      <c r="Y178" s="1" t="s">
        <v>36</v>
      </c>
      <c r="Z178" s="1" t="s">
        <v>41</v>
      </c>
    </row>
    <row r="179" spans="1:26" ht="15.75" x14ac:dyDescent="0.25">
      <c r="A179" s="1" t="s">
        <v>26</v>
      </c>
      <c r="B179" s="1" t="s">
        <v>27</v>
      </c>
      <c r="C179" s="1" t="s">
        <v>429</v>
      </c>
      <c r="D179" s="3">
        <v>63344</v>
      </c>
      <c r="E179" s="1" t="s">
        <v>29</v>
      </c>
      <c r="F179" s="1" t="s">
        <v>460</v>
      </c>
      <c r="G179" s="1" t="s">
        <v>31</v>
      </c>
      <c r="H179" s="1" t="s">
        <v>32</v>
      </c>
      <c r="I179" s="1" t="s">
        <v>33</v>
      </c>
      <c r="J179" s="1">
        <v>84.7</v>
      </c>
      <c r="K179" s="1" t="s">
        <v>456</v>
      </c>
      <c r="L179" s="1" t="s">
        <v>35</v>
      </c>
      <c r="M179" s="1">
        <v>31.33</v>
      </c>
      <c r="N179" s="1" t="s">
        <v>457</v>
      </c>
      <c r="O179" s="1" t="s">
        <v>37</v>
      </c>
      <c r="P179" s="1" t="s">
        <v>36</v>
      </c>
      <c r="Q179" s="1" t="s">
        <v>458</v>
      </c>
      <c r="R179" s="1" t="s">
        <v>461</v>
      </c>
      <c r="S179" s="1" t="s">
        <v>39</v>
      </c>
      <c r="T179" s="1">
        <v>2002.97</v>
      </c>
      <c r="U179" s="1" t="s">
        <v>40</v>
      </c>
      <c r="V179" s="1" t="s">
        <v>29</v>
      </c>
      <c r="W179" s="1" t="s">
        <v>36</v>
      </c>
      <c r="X179" s="1" t="s">
        <v>29</v>
      </c>
      <c r="Y179" s="1" t="s">
        <v>36</v>
      </c>
      <c r="Z179" s="1" t="s">
        <v>41</v>
      </c>
    </row>
    <row r="180" spans="1:26" ht="15.75" x14ac:dyDescent="0.25">
      <c r="A180" s="1" t="s">
        <v>26</v>
      </c>
      <c r="B180" s="1" t="s">
        <v>27</v>
      </c>
      <c r="C180" s="1" t="s">
        <v>429</v>
      </c>
      <c r="D180" s="3">
        <v>63344</v>
      </c>
      <c r="E180" s="1" t="s">
        <v>29</v>
      </c>
      <c r="F180" s="1" t="s">
        <v>460</v>
      </c>
      <c r="G180" s="1" t="s">
        <v>61</v>
      </c>
      <c r="H180" s="1" t="s">
        <v>32</v>
      </c>
      <c r="I180" s="1" t="s">
        <v>33</v>
      </c>
      <c r="J180" s="1">
        <v>2.69</v>
      </c>
      <c r="K180" s="1" t="s">
        <v>456</v>
      </c>
      <c r="L180" s="1" t="s">
        <v>35</v>
      </c>
      <c r="M180" s="1">
        <v>1</v>
      </c>
      <c r="N180" s="1" t="s">
        <v>457</v>
      </c>
      <c r="O180" s="1" t="s">
        <v>37</v>
      </c>
      <c r="P180" s="1" t="s">
        <v>36</v>
      </c>
      <c r="Q180" s="1" t="s">
        <v>458</v>
      </c>
      <c r="R180" s="1" t="s">
        <v>461</v>
      </c>
      <c r="S180" s="1" t="s">
        <v>39</v>
      </c>
      <c r="T180" s="1">
        <v>2002.97</v>
      </c>
      <c r="U180" s="1" t="s">
        <v>40</v>
      </c>
      <c r="V180" s="1" t="s">
        <v>29</v>
      </c>
      <c r="W180" s="1" t="s">
        <v>36</v>
      </c>
      <c r="X180" s="1" t="s">
        <v>29</v>
      </c>
      <c r="Y180" s="1" t="s">
        <v>36</v>
      </c>
      <c r="Z180" s="1" t="s">
        <v>41</v>
      </c>
    </row>
    <row r="181" spans="1:26" ht="15.75" x14ac:dyDescent="0.25">
      <c r="A181" s="1" t="s">
        <v>26</v>
      </c>
      <c r="B181" s="1" t="s">
        <v>27</v>
      </c>
      <c r="C181" s="1" t="s">
        <v>429</v>
      </c>
      <c r="D181" s="3">
        <v>69191</v>
      </c>
      <c r="E181" s="1" t="s">
        <v>29</v>
      </c>
      <c r="F181" s="1" t="s">
        <v>481</v>
      </c>
      <c r="G181" s="1" t="s">
        <v>31</v>
      </c>
      <c r="H181" s="1" t="s">
        <v>45</v>
      </c>
      <c r="I181" s="1" t="s">
        <v>46</v>
      </c>
      <c r="J181" s="1">
        <v>46.59</v>
      </c>
      <c r="K181" s="1" t="s">
        <v>453</v>
      </c>
      <c r="L181" s="1" t="s">
        <v>35</v>
      </c>
      <c r="M181" s="1">
        <v>17.239999999999998</v>
      </c>
      <c r="N181" s="1" t="s">
        <v>457</v>
      </c>
      <c r="O181" s="1" t="s">
        <v>37</v>
      </c>
      <c r="P181" s="1" t="s">
        <v>36</v>
      </c>
      <c r="Q181" s="1" t="s">
        <v>458</v>
      </c>
      <c r="R181" s="1" t="s">
        <v>482</v>
      </c>
      <c r="S181" s="1" t="s">
        <v>39</v>
      </c>
      <c r="T181" s="1">
        <v>2002.97</v>
      </c>
      <c r="U181" s="1" t="s">
        <v>40</v>
      </c>
      <c r="V181" s="1" t="s">
        <v>29</v>
      </c>
      <c r="W181" s="1" t="s">
        <v>36</v>
      </c>
      <c r="X181" s="1" t="s">
        <v>29</v>
      </c>
      <c r="Y181" s="1" t="s">
        <v>36</v>
      </c>
      <c r="Z181" s="1" t="s">
        <v>41</v>
      </c>
    </row>
    <row r="182" spans="1:26" ht="15.75" x14ac:dyDescent="0.25">
      <c r="A182" s="1" t="s">
        <v>26</v>
      </c>
      <c r="B182" s="1" t="s">
        <v>27</v>
      </c>
      <c r="C182" s="1" t="s">
        <v>429</v>
      </c>
      <c r="D182" s="3">
        <v>69191</v>
      </c>
      <c r="E182" s="1" t="s">
        <v>29</v>
      </c>
      <c r="F182" s="1" t="s">
        <v>481</v>
      </c>
      <c r="G182" s="1" t="s">
        <v>61</v>
      </c>
      <c r="H182" s="1" t="s">
        <v>45</v>
      </c>
      <c r="I182" s="1" t="s">
        <v>46</v>
      </c>
      <c r="J182" s="1">
        <v>1.5</v>
      </c>
      <c r="K182" s="1" t="s">
        <v>453</v>
      </c>
      <c r="L182" s="1" t="s">
        <v>35</v>
      </c>
      <c r="M182" s="1">
        <v>0.55000000000000004</v>
      </c>
      <c r="N182" s="1" t="s">
        <v>457</v>
      </c>
      <c r="O182" s="1" t="s">
        <v>37</v>
      </c>
      <c r="P182" s="1" t="s">
        <v>36</v>
      </c>
      <c r="Q182" s="1" t="s">
        <v>458</v>
      </c>
      <c r="R182" s="1" t="s">
        <v>482</v>
      </c>
      <c r="S182" s="1" t="s">
        <v>39</v>
      </c>
      <c r="T182" s="1">
        <v>2002.97</v>
      </c>
      <c r="U182" s="1" t="s">
        <v>40</v>
      </c>
      <c r="V182" s="1" t="s">
        <v>29</v>
      </c>
      <c r="W182" s="1" t="s">
        <v>36</v>
      </c>
      <c r="X182" s="1" t="s">
        <v>29</v>
      </c>
      <c r="Y182" s="1" t="s">
        <v>36</v>
      </c>
      <c r="Z182" s="1" t="s">
        <v>41</v>
      </c>
    </row>
    <row r="183" spans="1:26" ht="15.75" x14ac:dyDescent="0.25">
      <c r="A183" s="1" t="s">
        <v>26</v>
      </c>
      <c r="B183" s="1" t="s">
        <v>27</v>
      </c>
      <c r="C183" s="1" t="s">
        <v>429</v>
      </c>
      <c r="D183" s="3">
        <v>69648</v>
      </c>
      <c r="E183" s="1" t="s">
        <v>29</v>
      </c>
      <c r="F183" s="1" t="s">
        <v>483</v>
      </c>
      <c r="G183" s="1" t="s">
        <v>31</v>
      </c>
      <c r="H183" s="1" t="s">
        <v>45</v>
      </c>
      <c r="I183" s="1" t="s">
        <v>46</v>
      </c>
      <c r="J183" s="1">
        <v>46.59</v>
      </c>
      <c r="K183" s="1" t="s">
        <v>453</v>
      </c>
      <c r="L183" s="1" t="s">
        <v>35</v>
      </c>
      <c r="M183" s="1">
        <v>17.239999999999998</v>
      </c>
      <c r="N183" s="1" t="s">
        <v>457</v>
      </c>
      <c r="O183" s="1" t="s">
        <v>37</v>
      </c>
      <c r="P183" s="1" t="s">
        <v>36</v>
      </c>
      <c r="Q183" s="1" t="s">
        <v>458</v>
      </c>
      <c r="R183" s="1" t="s">
        <v>484</v>
      </c>
      <c r="S183" s="1" t="s">
        <v>39</v>
      </c>
      <c r="T183" s="1">
        <v>2002.97</v>
      </c>
      <c r="U183" s="1" t="s">
        <v>40</v>
      </c>
      <c r="V183" s="1" t="s">
        <v>29</v>
      </c>
      <c r="W183" s="1" t="s">
        <v>36</v>
      </c>
      <c r="X183" s="1" t="s">
        <v>29</v>
      </c>
      <c r="Y183" s="1" t="s">
        <v>36</v>
      </c>
      <c r="Z183" s="1" t="s">
        <v>41</v>
      </c>
    </row>
    <row r="184" spans="1:26" ht="15.75" x14ac:dyDescent="0.25">
      <c r="A184" s="1" t="s">
        <v>26</v>
      </c>
      <c r="B184" s="1" t="s">
        <v>27</v>
      </c>
      <c r="C184" s="1" t="s">
        <v>429</v>
      </c>
      <c r="D184" s="3">
        <v>69648</v>
      </c>
      <c r="E184" s="1" t="s">
        <v>29</v>
      </c>
      <c r="F184" s="1" t="s">
        <v>483</v>
      </c>
      <c r="G184" s="1" t="s">
        <v>61</v>
      </c>
      <c r="H184" s="1" t="s">
        <v>45</v>
      </c>
      <c r="I184" s="1" t="s">
        <v>46</v>
      </c>
      <c r="J184" s="1">
        <v>1.5</v>
      </c>
      <c r="K184" s="1" t="s">
        <v>453</v>
      </c>
      <c r="L184" s="1" t="s">
        <v>35</v>
      </c>
      <c r="M184" s="1">
        <v>0.55000000000000004</v>
      </c>
      <c r="N184" s="1" t="s">
        <v>457</v>
      </c>
      <c r="O184" s="1" t="s">
        <v>37</v>
      </c>
      <c r="P184" s="1" t="s">
        <v>36</v>
      </c>
      <c r="Q184" s="1" t="s">
        <v>458</v>
      </c>
      <c r="R184" s="1" t="s">
        <v>484</v>
      </c>
      <c r="S184" s="1" t="s">
        <v>39</v>
      </c>
      <c r="T184" s="1">
        <v>2002.97</v>
      </c>
      <c r="U184" s="1" t="s">
        <v>40</v>
      </c>
      <c r="V184" s="1" t="s">
        <v>29</v>
      </c>
      <c r="W184" s="1" t="s">
        <v>36</v>
      </c>
      <c r="X184" s="1" t="s">
        <v>29</v>
      </c>
      <c r="Y184" s="1" t="s">
        <v>36</v>
      </c>
      <c r="Z184" s="1" t="s">
        <v>41</v>
      </c>
    </row>
    <row r="185" spans="1:26" ht="15.75" x14ac:dyDescent="0.25">
      <c r="A185" s="1" t="s">
        <v>26</v>
      </c>
      <c r="B185" s="1" t="s">
        <v>27</v>
      </c>
      <c r="C185" s="1" t="s">
        <v>429</v>
      </c>
      <c r="D185" s="3">
        <v>97203</v>
      </c>
      <c r="E185" s="1" t="s">
        <v>29</v>
      </c>
      <c r="F185" s="1" t="s">
        <v>503</v>
      </c>
      <c r="G185" s="1" t="s">
        <v>31</v>
      </c>
      <c r="H185" s="1" t="s">
        <v>58</v>
      </c>
      <c r="I185" s="1" t="s">
        <v>33</v>
      </c>
      <c r="J185" s="1">
        <v>38.54</v>
      </c>
      <c r="K185" s="1" t="s">
        <v>504</v>
      </c>
      <c r="L185" s="1" t="s">
        <v>35</v>
      </c>
      <c r="M185" s="1">
        <v>14.26</v>
      </c>
      <c r="N185" s="1" t="s">
        <v>457</v>
      </c>
      <c r="O185" s="1" t="s">
        <v>37</v>
      </c>
      <c r="P185" s="1" t="s">
        <v>36</v>
      </c>
      <c r="Q185" s="1" t="s">
        <v>458</v>
      </c>
      <c r="R185" s="1" t="s">
        <v>505</v>
      </c>
      <c r="S185" s="1" t="s">
        <v>39</v>
      </c>
      <c r="T185" s="1">
        <v>2002.97</v>
      </c>
      <c r="U185" s="1" t="s">
        <v>40</v>
      </c>
      <c r="V185" s="1" t="s">
        <v>29</v>
      </c>
      <c r="W185" s="1" t="s">
        <v>36</v>
      </c>
      <c r="X185" s="1" t="s">
        <v>29</v>
      </c>
      <c r="Y185" s="1" t="s">
        <v>36</v>
      </c>
      <c r="Z185" s="1" t="s">
        <v>41</v>
      </c>
    </row>
    <row r="186" spans="1:26" ht="15.75" x14ac:dyDescent="0.25">
      <c r="A186" s="1" t="s">
        <v>26</v>
      </c>
      <c r="B186" s="1" t="s">
        <v>27</v>
      </c>
      <c r="C186" s="1" t="s">
        <v>429</v>
      </c>
      <c r="D186" s="3">
        <v>97203</v>
      </c>
      <c r="E186" s="1" t="s">
        <v>29</v>
      </c>
      <c r="F186" s="1" t="s">
        <v>503</v>
      </c>
      <c r="G186" s="1" t="s">
        <v>61</v>
      </c>
      <c r="H186" s="1" t="s">
        <v>58</v>
      </c>
      <c r="I186" s="1" t="s">
        <v>33</v>
      </c>
      <c r="J186" s="1">
        <v>1.5</v>
      </c>
      <c r="K186" s="1" t="s">
        <v>504</v>
      </c>
      <c r="L186" s="1" t="s">
        <v>35</v>
      </c>
      <c r="M186" s="1">
        <v>0.55000000000000004</v>
      </c>
      <c r="N186" s="1" t="s">
        <v>457</v>
      </c>
      <c r="O186" s="1" t="s">
        <v>37</v>
      </c>
      <c r="P186" s="1" t="s">
        <v>36</v>
      </c>
      <c r="Q186" s="1" t="s">
        <v>458</v>
      </c>
      <c r="R186" s="1" t="s">
        <v>505</v>
      </c>
      <c r="S186" s="1" t="s">
        <v>39</v>
      </c>
      <c r="T186" s="1">
        <v>2002.97</v>
      </c>
      <c r="U186" s="1" t="s">
        <v>40</v>
      </c>
      <c r="V186" s="1" t="s">
        <v>29</v>
      </c>
      <c r="W186" s="1" t="s">
        <v>36</v>
      </c>
      <c r="X186" s="1" t="s">
        <v>29</v>
      </c>
      <c r="Y186" s="1" t="s">
        <v>36</v>
      </c>
      <c r="Z186" s="1" t="s">
        <v>41</v>
      </c>
    </row>
    <row r="187" spans="1:26" ht="15.75" x14ac:dyDescent="0.25">
      <c r="A187" s="1" t="s">
        <v>26</v>
      </c>
      <c r="B187" s="1" t="s">
        <v>27</v>
      </c>
      <c r="C187" s="1" t="s">
        <v>429</v>
      </c>
      <c r="D187" s="3">
        <v>97926</v>
      </c>
      <c r="E187" s="1" t="s">
        <v>29</v>
      </c>
      <c r="F187" s="1" t="s">
        <v>509</v>
      </c>
      <c r="G187" s="1" t="s">
        <v>31</v>
      </c>
      <c r="H187" s="1" t="s">
        <v>121</v>
      </c>
      <c r="I187" s="1" t="s">
        <v>101</v>
      </c>
      <c r="J187" s="1">
        <v>83.41</v>
      </c>
      <c r="K187" s="1" t="s">
        <v>507</v>
      </c>
      <c r="L187" s="1" t="s">
        <v>35</v>
      </c>
      <c r="M187" s="1">
        <v>30.86</v>
      </c>
      <c r="N187" s="1" t="s">
        <v>457</v>
      </c>
      <c r="O187" s="1" t="s">
        <v>37</v>
      </c>
      <c r="P187" s="1" t="s">
        <v>36</v>
      </c>
      <c r="Q187" s="1" t="s">
        <v>458</v>
      </c>
      <c r="R187" s="1" t="s">
        <v>510</v>
      </c>
      <c r="S187" s="1" t="s">
        <v>39</v>
      </c>
      <c r="T187" s="1">
        <v>2002.97</v>
      </c>
      <c r="U187" s="1" t="s">
        <v>40</v>
      </c>
      <c r="V187" s="1" t="s">
        <v>29</v>
      </c>
      <c r="W187" s="1" t="s">
        <v>36</v>
      </c>
      <c r="X187" s="1" t="s">
        <v>29</v>
      </c>
      <c r="Y187" s="1" t="s">
        <v>36</v>
      </c>
      <c r="Z187" s="1" t="s">
        <v>41</v>
      </c>
    </row>
    <row r="188" spans="1:26" ht="15.75" x14ac:dyDescent="0.25">
      <c r="A188" s="1" t="s">
        <v>26</v>
      </c>
      <c r="B188" s="1" t="s">
        <v>27</v>
      </c>
      <c r="C188" s="1" t="s">
        <v>511</v>
      </c>
      <c r="D188" s="3">
        <v>82191</v>
      </c>
      <c r="E188" s="1" t="s">
        <v>29</v>
      </c>
      <c r="F188" s="1" t="s">
        <v>566</v>
      </c>
      <c r="G188" s="1" t="s">
        <v>31</v>
      </c>
      <c r="H188" s="1" t="s">
        <v>567</v>
      </c>
      <c r="I188" s="1" t="s">
        <v>45</v>
      </c>
      <c r="J188" s="1">
        <v>44.81</v>
      </c>
      <c r="K188" s="1" t="s">
        <v>568</v>
      </c>
      <c r="L188" s="1" t="s">
        <v>35</v>
      </c>
      <c r="M188" s="1">
        <v>16.579999999999998</v>
      </c>
      <c r="N188" s="1" t="s">
        <v>457</v>
      </c>
      <c r="O188" s="1" t="s">
        <v>37</v>
      </c>
      <c r="P188" s="1" t="s">
        <v>36</v>
      </c>
      <c r="Q188" s="1" t="s">
        <v>458</v>
      </c>
      <c r="R188" s="1" t="s">
        <v>569</v>
      </c>
      <c r="S188" s="1" t="s">
        <v>39</v>
      </c>
      <c r="T188" s="1">
        <v>2002.97</v>
      </c>
      <c r="U188" s="1" t="s">
        <v>40</v>
      </c>
      <c r="V188" s="1" t="s">
        <v>29</v>
      </c>
      <c r="W188" s="1" t="s">
        <v>36</v>
      </c>
      <c r="X188" s="1" t="s">
        <v>29</v>
      </c>
      <c r="Y188" s="1" t="s">
        <v>36</v>
      </c>
      <c r="Z188" s="1" t="s">
        <v>41</v>
      </c>
    </row>
    <row r="189" spans="1:26" ht="15.75" x14ac:dyDescent="0.25">
      <c r="A189" s="1" t="s">
        <v>26</v>
      </c>
      <c r="B189" s="1" t="s">
        <v>27</v>
      </c>
      <c r="C189" s="1" t="s">
        <v>602</v>
      </c>
      <c r="D189" s="3">
        <v>356</v>
      </c>
      <c r="E189" s="1" t="s">
        <v>29</v>
      </c>
      <c r="F189" s="1" t="s">
        <v>603</v>
      </c>
      <c r="G189" s="1" t="s">
        <v>31</v>
      </c>
      <c r="H189" s="1" t="s">
        <v>144</v>
      </c>
      <c r="I189" s="1" t="s">
        <v>33</v>
      </c>
      <c r="J189" s="1">
        <v>34.6</v>
      </c>
      <c r="K189" s="1" t="s">
        <v>144</v>
      </c>
      <c r="L189" s="1" t="s">
        <v>35</v>
      </c>
      <c r="M189" s="1">
        <v>12.8</v>
      </c>
      <c r="N189" s="1" t="s">
        <v>457</v>
      </c>
      <c r="O189" s="1" t="s">
        <v>37</v>
      </c>
      <c r="P189" s="1" t="s">
        <v>36</v>
      </c>
      <c r="Q189" s="1" t="s">
        <v>458</v>
      </c>
      <c r="R189" s="1" t="s">
        <v>604</v>
      </c>
      <c r="S189" s="1" t="s">
        <v>39</v>
      </c>
      <c r="T189" s="1">
        <v>2002.97</v>
      </c>
      <c r="U189" s="1" t="s">
        <v>40</v>
      </c>
      <c r="V189" s="1" t="s">
        <v>29</v>
      </c>
      <c r="W189" s="1" t="s">
        <v>36</v>
      </c>
      <c r="X189" s="1" t="s">
        <v>29</v>
      </c>
      <c r="Y189" s="1" t="s">
        <v>36</v>
      </c>
      <c r="Z189" s="1" t="s">
        <v>41</v>
      </c>
    </row>
    <row r="190" spans="1:26" ht="15.75" x14ac:dyDescent="0.25">
      <c r="A190" s="1" t="s">
        <v>26</v>
      </c>
      <c r="B190" s="1" t="s">
        <v>27</v>
      </c>
      <c r="C190" s="1" t="s">
        <v>602</v>
      </c>
      <c r="D190" s="3">
        <v>357</v>
      </c>
      <c r="E190" s="1" t="s">
        <v>29</v>
      </c>
      <c r="F190" s="1" t="s">
        <v>603</v>
      </c>
      <c r="G190" s="1" t="s">
        <v>42</v>
      </c>
      <c r="H190" s="1" t="s">
        <v>144</v>
      </c>
      <c r="I190" s="1" t="s">
        <v>33</v>
      </c>
      <c r="J190" s="1">
        <v>10.67</v>
      </c>
      <c r="K190" s="1" t="s">
        <v>144</v>
      </c>
      <c r="L190" s="1" t="s">
        <v>35</v>
      </c>
      <c r="M190" s="1">
        <v>3.95</v>
      </c>
      <c r="N190" s="1" t="s">
        <v>457</v>
      </c>
      <c r="O190" s="1" t="s">
        <v>37</v>
      </c>
      <c r="P190" s="1" t="s">
        <v>36</v>
      </c>
      <c r="Q190" s="1" t="s">
        <v>458</v>
      </c>
      <c r="R190" s="1" t="s">
        <v>604</v>
      </c>
      <c r="S190" s="1" t="s">
        <v>39</v>
      </c>
      <c r="T190" s="1">
        <v>2002.97</v>
      </c>
      <c r="U190" s="1" t="s">
        <v>40</v>
      </c>
      <c r="V190" s="1" t="s">
        <v>29</v>
      </c>
      <c r="W190" s="1" t="s">
        <v>36</v>
      </c>
      <c r="X190" s="1" t="s">
        <v>29</v>
      </c>
      <c r="Y190" s="1" t="s">
        <v>36</v>
      </c>
      <c r="Z190" s="1" t="s">
        <v>41</v>
      </c>
    </row>
    <row r="191" spans="1:26" ht="15.75" x14ac:dyDescent="0.25">
      <c r="A191" s="1" t="s">
        <v>26</v>
      </c>
      <c r="B191" s="1" t="s">
        <v>27</v>
      </c>
      <c r="C191" s="1" t="s">
        <v>282</v>
      </c>
      <c r="D191" s="3">
        <v>71576</v>
      </c>
      <c r="E191" s="1" t="s">
        <v>29</v>
      </c>
      <c r="F191" s="1" t="s">
        <v>353</v>
      </c>
      <c r="G191" s="1" t="s">
        <v>31</v>
      </c>
      <c r="H191" s="1" t="s">
        <v>45</v>
      </c>
      <c r="I191" s="1" t="s">
        <v>46</v>
      </c>
      <c r="J191" s="1">
        <v>38.090000000000003</v>
      </c>
      <c r="K191" s="1" t="s">
        <v>334</v>
      </c>
      <c r="L191" s="1" t="s">
        <v>35</v>
      </c>
      <c r="M191" s="1">
        <v>14.09</v>
      </c>
      <c r="N191" s="1" t="s">
        <v>354</v>
      </c>
      <c r="O191" s="1" t="s">
        <v>37</v>
      </c>
      <c r="P191" s="1" t="s">
        <v>36</v>
      </c>
      <c r="Q191" s="1" t="s">
        <v>355</v>
      </c>
      <c r="R191" s="1" t="s">
        <v>356</v>
      </c>
      <c r="S191" s="1" t="s">
        <v>39</v>
      </c>
      <c r="T191" s="1">
        <v>2002.97</v>
      </c>
      <c r="U191" s="1" t="s">
        <v>40</v>
      </c>
      <c r="V191" s="1" t="s">
        <v>29</v>
      </c>
      <c r="W191" s="1" t="s">
        <v>36</v>
      </c>
      <c r="X191" s="1" t="s">
        <v>29</v>
      </c>
      <c r="Y191" s="1" t="s">
        <v>36</v>
      </c>
      <c r="Z191" s="1" t="s">
        <v>41</v>
      </c>
    </row>
    <row r="192" spans="1:26" ht="15.75" x14ac:dyDescent="0.25">
      <c r="A192" s="1" t="s">
        <v>26</v>
      </c>
      <c r="B192" s="1" t="s">
        <v>27</v>
      </c>
      <c r="C192" s="1" t="s">
        <v>282</v>
      </c>
      <c r="D192" s="3">
        <v>71577</v>
      </c>
      <c r="E192" s="1" t="s">
        <v>29</v>
      </c>
      <c r="F192" s="1" t="s">
        <v>353</v>
      </c>
      <c r="G192" s="1" t="s">
        <v>42</v>
      </c>
      <c r="H192" s="1" t="s">
        <v>45</v>
      </c>
      <c r="I192" s="1" t="s">
        <v>46</v>
      </c>
      <c r="J192" s="1">
        <v>10.67</v>
      </c>
      <c r="K192" s="1" t="s">
        <v>334</v>
      </c>
      <c r="L192" s="1" t="s">
        <v>35</v>
      </c>
      <c r="M192" s="1">
        <v>3.95</v>
      </c>
      <c r="N192" s="1" t="s">
        <v>354</v>
      </c>
      <c r="O192" s="1" t="s">
        <v>37</v>
      </c>
      <c r="P192" s="1" t="s">
        <v>36</v>
      </c>
      <c r="Q192" s="1" t="s">
        <v>355</v>
      </c>
      <c r="R192" s="1" t="s">
        <v>356</v>
      </c>
      <c r="S192" s="1" t="s">
        <v>39</v>
      </c>
      <c r="T192" s="1">
        <v>2002.97</v>
      </c>
      <c r="U192" s="1" t="s">
        <v>40</v>
      </c>
      <c r="V192" s="1" t="s">
        <v>29</v>
      </c>
      <c r="W192" s="1" t="s">
        <v>36</v>
      </c>
      <c r="X192" s="1" t="s">
        <v>29</v>
      </c>
      <c r="Y192" s="1" t="s">
        <v>36</v>
      </c>
      <c r="Z192" s="1" t="s">
        <v>41</v>
      </c>
    </row>
    <row r="193" spans="1:26" ht="15.75" x14ac:dyDescent="0.25">
      <c r="A193" s="1" t="s">
        <v>26</v>
      </c>
      <c r="B193" s="1" t="s">
        <v>27</v>
      </c>
      <c r="C193" s="1" t="s">
        <v>511</v>
      </c>
      <c r="D193" s="3">
        <v>58523</v>
      </c>
      <c r="E193" s="1" t="s">
        <v>29</v>
      </c>
      <c r="F193" s="1" t="s">
        <v>550</v>
      </c>
      <c r="G193" s="1" t="s">
        <v>42</v>
      </c>
      <c r="H193" s="1" t="s">
        <v>32</v>
      </c>
      <c r="I193" s="1" t="s">
        <v>33</v>
      </c>
      <c r="J193" s="1">
        <v>10.67</v>
      </c>
      <c r="K193" s="1" t="s">
        <v>544</v>
      </c>
      <c r="L193" s="1" t="s">
        <v>35</v>
      </c>
      <c r="M193" s="1">
        <v>3.95</v>
      </c>
      <c r="N193" s="1" t="s">
        <v>354</v>
      </c>
      <c r="O193" s="1" t="s">
        <v>37</v>
      </c>
      <c r="P193" s="1" t="s">
        <v>36</v>
      </c>
      <c r="Q193" s="1" t="s">
        <v>355</v>
      </c>
      <c r="R193" s="1" t="s">
        <v>551</v>
      </c>
      <c r="S193" s="1" t="s">
        <v>39</v>
      </c>
      <c r="T193" s="1">
        <v>2002.97</v>
      </c>
      <c r="U193" s="1" t="s">
        <v>40</v>
      </c>
      <c r="V193" s="1" t="s">
        <v>29</v>
      </c>
      <c r="W193" s="1" t="s">
        <v>36</v>
      </c>
      <c r="X193" s="1" t="s">
        <v>29</v>
      </c>
      <c r="Y193" s="1" t="s">
        <v>36</v>
      </c>
      <c r="Z193" s="1" t="s">
        <v>41</v>
      </c>
    </row>
    <row r="194" spans="1:26" ht="15.75" x14ac:dyDescent="0.25">
      <c r="A194" s="1" t="s">
        <v>26</v>
      </c>
      <c r="B194" s="1" t="s">
        <v>27</v>
      </c>
      <c r="C194" s="1" t="s">
        <v>139</v>
      </c>
      <c r="D194" s="3">
        <v>89041</v>
      </c>
      <c r="E194" s="1" t="s">
        <v>29</v>
      </c>
      <c r="F194" s="1" t="s">
        <v>188</v>
      </c>
      <c r="G194" s="1" t="s">
        <v>31</v>
      </c>
      <c r="H194" s="1" t="s">
        <v>121</v>
      </c>
      <c r="I194" s="1" t="s">
        <v>33</v>
      </c>
      <c r="J194" s="1">
        <v>45.29</v>
      </c>
      <c r="K194" s="1" t="s">
        <v>189</v>
      </c>
      <c r="L194" s="1" t="s">
        <v>35</v>
      </c>
      <c r="M194" s="1">
        <v>1.81</v>
      </c>
      <c r="N194" s="1" t="s">
        <v>190</v>
      </c>
      <c r="O194" s="1" t="s">
        <v>37</v>
      </c>
      <c r="P194" s="1" t="s">
        <v>36</v>
      </c>
      <c r="Q194" s="1" t="s">
        <v>191</v>
      </c>
      <c r="R194" s="1" t="s">
        <v>192</v>
      </c>
      <c r="S194" s="1" t="s">
        <v>39</v>
      </c>
      <c r="T194" s="1">
        <v>2002.97</v>
      </c>
      <c r="U194" s="1" t="s">
        <v>40</v>
      </c>
      <c r="V194" s="1" t="s">
        <v>29</v>
      </c>
      <c r="W194" s="1" t="s">
        <v>36</v>
      </c>
      <c r="X194" s="1" t="s">
        <v>29</v>
      </c>
      <c r="Y194" s="1" t="s">
        <v>36</v>
      </c>
      <c r="Z194" s="1" t="s">
        <v>41</v>
      </c>
    </row>
    <row r="195" spans="1:26" ht="15.75" x14ac:dyDescent="0.25">
      <c r="A195" s="1" t="s">
        <v>26</v>
      </c>
      <c r="B195" s="1" t="s">
        <v>27</v>
      </c>
      <c r="C195" s="1" t="s">
        <v>139</v>
      </c>
      <c r="D195" s="3">
        <v>89042</v>
      </c>
      <c r="E195" s="1" t="s">
        <v>29</v>
      </c>
      <c r="F195" s="1" t="s">
        <v>188</v>
      </c>
      <c r="G195" s="1" t="s">
        <v>42</v>
      </c>
      <c r="H195" s="1" t="s">
        <v>121</v>
      </c>
      <c r="I195" s="1" t="s">
        <v>33</v>
      </c>
      <c r="J195" s="1">
        <v>10.67</v>
      </c>
      <c r="K195" s="1" t="s">
        <v>189</v>
      </c>
      <c r="L195" s="1" t="s">
        <v>35</v>
      </c>
      <c r="M195" s="1">
        <v>0.43</v>
      </c>
      <c r="N195" s="1" t="s">
        <v>190</v>
      </c>
      <c r="O195" s="1" t="s">
        <v>37</v>
      </c>
      <c r="P195" s="1" t="s">
        <v>36</v>
      </c>
      <c r="Q195" s="1" t="s">
        <v>191</v>
      </c>
      <c r="R195" s="1" t="s">
        <v>192</v>
      </c>
      <c r="S195" s="1" t="s">
        <v>39</v>
      </c>
      <c r="T195" s="1">
        <v>2002.97</v>
      </c>
      <c r="U195" s="1" t="s">
        <v>40</v>
      </c>
      <c r="V195" s="1" t="s">
        <v>29</v>
      </c>
      <c r="W195" s="1" t="s">
        <v>36</v>
      </c>
      <c r="X195" s="1" t="s">
        <v>29</v>
      </c>
      <c r="Y195" s="1" t="s">
        <v>36</v>
      </c>
      <c r="Z195" s="1" t="s">
        <v>41</v>
      </c>
    </row>
    <row r="196" spans="1:26" ht="15.75" x14ac:dyDescent="0.25">
      <c r="A196" s="1" t="s">
        <v>26</v>
      </c>
      <c r="B196" s="1" t="s">
        <v>27</v>
      </c>
      <c r="C196" s="1" t="s">
        <v>139</v>
      </c>
      <c r="D196" s="3">
        <v>90996</v>
      </c>
      <c r="E196" s="1" t="s">
        <v>29</v>
      </c>
      <c r="F196" s="1" t="s">
        <v>203</v>
      </c>
      <c r="G196" s="1" t="s">
        <v>31</v>
      </c>
      <c r="H196" s="1" t="s">
        <v>33</v>
      </c>
      <c r="I196" s="1" t="s">
        <v>45</v>
      </c>
      <c r="J196" s="1">
        <v>57.28</v>
      </c>
      <c r="K196" s="1" t="s">
        <v>204</v>
      </c>
      <c r="L196" s="1" t="s">
        <v>35</v>
      </c>
      <c r="M196" s="1">
        <v>2.29</v>
      </c>
      <c r="N196" s="1" t="s">
        <v>190</v>
      </c>
      <c r="O196" s="1" t="s">
        <v>37</v>
      </c>
      <c r="P196" s="1" t="s">
        <v>36</v>
      </c>
      <c r="Q196" s="1" t="s">
        <v>191</v>
      </c>
      <c r="R196" s="1" t="s">
        <v>205</v>
      </c>
      <c r="S196" s="1" t="s">
        <v>39</v>
      </c>
      <c r="T196" s="1">
        <v>2002.97</v>
      </c>
      <c r="U196" s="1" t="s">
        <v>40</v>
      </c>
      <c r="V196" s="1" t="s">
        <v>29</v>
      </c>
      <c r="W196" s="1" t="s">
        <v>36</v>
      </c>
      <c r="X196" s="1" t="s">
        <v>29</v>
      </c>
      <c r="Y196" s="1" t="s">
        <v>36</v>
      </c>
      <c r="Z196" s="1" t="s">
        <v>41</v>
      </c>
    </row>
    <row r="197" spans="1:26" ht="15.75" x14ac:dyDescent="0.25">
      <c r="A197" s="1" t="s">
        <v>26</v>
      </c>
      <c r="B197" s="1" t="s">
        <v>27</v>
      </c>
      <c r="C197" s="1" t="s">
        <v>206</v>
      </c>
      <c r="D197" s="3">
        <v>49262</v>
      </c>
      <c r="E197" s="1" t="s">
        <v>29</v>
      </c>
      <c r="F197" s="1" t="s">
        <v>247</v>
      </c>
      <c r="G197" s="1" t="s">
        <v>42</v>
      </c>
      <c r="H197" s="1" t="s">
        <v>58</v>
      </c>
      <c r="I197" s="1" t="s">
        <v>33</v>
      </c>
      <c r="J197" s="1">
        <v>8.5399999999999991</v>
      </c>
      <c r="K197" s="1" t="s">
        <v>248</v>
      </c>
      <c r="L197" s="1" t="s">
        <v>35</v>
      </c>
      <c r="M197" s="1">
        <v>0.34</v>
      </c>
      <c r="N197" s="1" t="s">
        <v>190</v>
      </c>
      <c r="O197" s="1" t="s">
        <v>37</v>
      </c>
      <c r="P197" s="1" t="s">
        <v>36</v>
      </c>
      <c r="Q197" s="1" t="s">
        <v>191</v>
      </c>
      <c r="R197" s="1" t="s">
        <v>249</v>
      </c>
      <c r="S197" s="1" t="s">
        <v>39</v>
      </c>
      <c r="T197" s="1">
        <v>2002.97</v>
      </c>
      <c r="U197" s="1" t="s">
        <v>40</v>
      </c>
      <c r="V197" s="1" t="s">
        <v>29</v>
      </c>
      <c r="W197" s="1" t="s">
        <v>36</v>
      </c>
      <c r="X197" s="1" t="s">
        <v>29</v>
      </c>
      <c r="Y197" s="1" t="s">
        <v>36</v>
      </c>
      <c r="Z197" s="1" t="s">
        <v>41</v>
      </c>
    </row>
    <row r="198" spans="1:26" ht="15.75" x14ac:dyDescent="0.25">
      <c r="A198" s="1" t="s">
        <v>26</v>
      </c>
      <c r="B198" s="1" t="s">
        <v>27</v>
      </c>
      <c r="C198" s="1" t="s">
        <v>206</v>
      </c>
      <c r="D198" s="3">
        <v>60485</v>
      </c>
      <c r="E198" s="1" t="s">
        <v>29</v>
      </c>
      <c r="F198" s="1" t="s">
        <v>258</v>
      </c>
      <c r="G198" s="1" t="s">
        <v>31</v>
      </c>
      <c r="H198" s="1" t="s">
        <v>121</v>
      </c>
      <c r="I198" s="1" t="s">
        <v>101</v>
      </c>
      <c r="J198" s="1">
        <v>47.77</v>
      </c>
      <c r="K198" s="1" t="s">
        <v>259</v>
      </c>
      <c r="L198" s="1" t="s">
        <v>35</v>
      </c>
      <c r="M198" s="1">
        <v>1.91</v>
      </c>
      <c r="N198" s="1" t="s">
        <v>190</v>
      </c>
      <c r="O198" s="1" t="s">
        <v>37</v>
      </c>
      <c r="P198" s="1" t="s">
        <v>36</v>
      </c>
      <c r="Q198" s="1" t="s">
        <v>191</v>
      </c>
      <c r="R198" s="1" t="s">
        <v>260</v>
      </c>
      <c r="S198" s="1" t="s">
        <v>39</v>
      </c>
      <c r="T198" s="1">
        <v>2002.97</v>
      </c>
      <c r="U198" s="1" t="s">
        <v>40</v>
      </c>
      <c r="V198" s="1" t="s">
        <v>29</v>
      </c>
      <c r="W198" s="1" t="s">
        <v>36</v>
      </c>
      <c r="X198" s="1" t="s">
        <v>29</v>
      </c>
      <c r="Y198" s="1" t="s">
        <v>36</v>
      </c>
      <c r="Z198" s="1" t="s">
        <v>41</v>
      </c>
    </row>
    <row r="199" spans="1:26" ht="15.75" x14ac:dyDescent="0.25">
      <c r="A199" s="1" t="s">
        <v>26</v>
      </c>
      <c r="B199" s="1" t="s">
        <v>27</v>
      </c>
      <c r="C199" s="1" t="s">
        <v>206</v>
      </c>
      <c r="D199" s="3">
        <v>60485</v>
      </c>
      <c r="E199" s="1" t="s">
        <v>29</v>
      </c>
      <c r="F199" s="1" t="s">
        <v>258</v>
      </c>
      <c r="G199" s="1" t="s">
        <v>61</v>
      </c>
      <c r="H199" s="1" t="s">
        <v>121</v>
      </c>
      <c r="I199" s="1" t="s">
        <v>101</v>
      </c>
      <c r="J199" s="1">
        <v>1.5</v>
      </c>
      <c r="K199" s="1" t="s">
        <v>259</v>
      </c>
      <c r="L199" s="1" t="s">
        <v>35</v>
      </c>
      <c r="M199" s="1">
        <v>0.06</v>
      </c>
      <c r="N199" s="1" t="s">
        <v>190</v>
      </c>
      <c r="O199" s="1" t="s">
        <v>37</v>
      </c>
      <c r="P199" s="1" t="s">
        <v>36</v>
      </c>
      <c r="Q199" s="1" t="s">
        <v>191</v>
      </c>
      <c r="R199" s="1" t="s">
        <v>260</v>
      </c>
      <c r="S199" s="1" t="s">
        <v>39</v>
      </c>
      <c r="T199" s="1">
        <v>2002.97</v>
      </c>
      <c r="U199" s="1" t="s">
        <v>40</v>
      </c>
      <c r="V199" s="1" t="s">
        <v>29</v>
      </c>
      <c r="W199" s="1" t="s">
        <v>36</v>
      </c>
      <c r="X199" s="1" t="s">
        <v>29</v>
      </c>
      <c r="Y199" s="1" t="s">
        <v>36</v>
      </c>
      <c r="Z199" s="1" t="s">
        <v>41</v>
      </c>
    </row>
    <row r="200" spans="1:26" ht="15.75" x14ac:dyDescent="0.25">
      <c r="A200" s="1" t="s">
        <v>26</v>
      </c>
      <c r="B200" s="1" t="s">
        <v>27</v>
      </c>
      <c r="C200" s="1" t="s">
        <v>429</v>
      </c>
      <c r="D200" s="3">
        <v>46243</v>
      </c>
      <c r="E200" s="1" t="s">
        <v>29</v>
      </c>
      <c r="F200" s="1" t="s">
        <v>452</v>
      </c>
      <c r="G200" s="1" t="s">
        <v>31</v>
      </c>
      <c r="H200" s="1" t="s">
        <v>45</v>
      </c>
      <c r="I200" s="1" t="s">
        <v>46</v>
      </c>
      <c r="J200" s="1">
        <v>45.29</v>
      </c>
      <c r="K200" s="1" t="s">
        <v>453</v>
      </c>
      <c r="L200" s="1" t="s">
        <v>35</v>
      </c>
      <c r="M200" s="1">
        <v>16.760000000000002</v>
      </c>
      <c r="N200" s="1" t="s">
        <v>190</v>
      </c>
      <c r="O200" s="1" t="s">
        <v>37</v>
      </c>
      <c r="P200" s="1" t="s">
        <v>36</v>
      </c>
      <c r="Q200" s="1" t="s">
        <v>191</v>
      </c>
      <c r="R200" s="1" t="s">
        <v>454</v>
      </c>
      <c r="S200" s="1" t="s">
        <v>39</v>
      </c>
      <c r="T200" s="1">
        <v>2002.97</v>
      </c>
      <c r="U200" s="1" t="s">
        <v>40</v>
      </c>
      <c r="V200" s="1" t="s">
        <v>29</v>
      </c>
      <c r="W200" s="1" t="s">
        <v>36</v>
      </c>
      <c r="X200" s="1" t="s">
        <v>29</v>
      </c>
      <c r="Y200" s="1" t="s">
        <v>36</v>
      </c>
      <c r="Z200" s="1" t="s">
        <v>41</v>
      </c>
    </row>
    <row r="201" spans="1:26" ht="15.75" x14ac:dyDescent="0.25">
      <c r="A201" s="1" t="s">
        <v>26</v>
      </c>
      <c r="B201" s="1" t="s">
        <v>27</v>
      </c>
      <c r="C201" s="1" t="s">
        <v>429</v>
      </c>
      <c r="D201" s="3">
        <v>46244</v>
      </c>
      <c r="E201" s="1" t="s">
        <v>29</v>
      </c>
      <c r="F201" s="1" t="s">
        <v>452</v>
      </c>
      <c r="G201" s="1" t="s">
        <v>42</v>
      </c>
      <c r="H201" s="1" t="s">
        <v>45</v>
      </c>
      <c r="I201" s="1" t="s">
        <v>46</v>
      </c>
      <c r="J201" s="1">
        <v>10.67</v>
      </c>
      <c r="K201" s="1" t="s">
        <v>453</v>
      </c>
      <c r="L201" s="1" t="s">
        <v>35</v>
      </c>
      <c r="M201" s="1">
        <v>3.95</v>
      </c>
      <c r="N201" s="1" t="s">
        <v>190</v>
      </c>
      <c r="O201" s="1" t="s">
        <v>37</v>
      </c>
      <c r="P201" s="1" t="s">
        <v>36</v>
      </c>
      <c r="Q201" s="1" t="s">
        <v>191</v>
      </c>
      <c r="R201" s="1" t="s">
        <v>454</v>
      </c>
      <c r="S201" s="1" t="s">
        <v>39</v>
      </c>
      <c r="T201" s="1">
        <v>2002.97</v>
      </c>
      <c r="U201" s="1" t="s">
        <v>40</v>
      </c>
      <c r="V201" s="1" t="s">
        <v>29</v>
      </c>
      <c r="W201" s="1" t="s">
        <v>36</v>
      </c>
      <c r="X201" s="1" t="s">
        <v>29</v>
      </c>
      <c r="Y201" s="1" t="s">
        <v>36</v>
      </c>
      <c r="Z201" s="1" t="s">
        <v>41</v>
      </c>
    </row>
    <row r="202" spans="1:26" ht="15.75" x14ac:dyDescent="0.25">
      <c r="A202" s="1" t="s">
        <v>26</v>
      </c>
      <c r="B202" s="1" t="s">
        <v>27</v>
      </c>
      <c r="C202" s="1" t="s">
        <v>429</v>
      </c>
      <c r="D202" s="3">
        <v>70016</v>
      </c>
      <c r="E202" s="1" t="s">
        <v>29</v>
      </c>
      <c r="F202" s="1" t="s">
        <v>485</v>
      </c>
      <c r="G202" s="1" t="s">
        <v>31</v>
      </c>
      <c r="H202" s="1" t="s">
        <v>45</v>
      </c>
      <c r="I202" s="1" t="s">
        <v>46</v>
      </c>
      <c r="J202" s="1">
        <v>61.69</v>
      </c>
      <c r="K202" s="1" t="s">
        <v>453</v>
      </c>
      <c r="L202" s="1" t="s">
        <v>35</v>
      </c>
      <c r="M202" s="1">
        <v>22.83</v>
      </c>
      <c r="N202" s="1" t="s">
        <v>190</v>
      </c>
      <c r="O202" s="1" t="s">
        <v>37</v>
      </c>
      <c r="P202" s="1" t="s">
        <v>36</v>
      </c>
      <c r="Q202" s="1" t="s">
        <v>191</v>
      </c>
      <c r="R202" s="1" t="s">
        <v>486</v>
      </c>
      <c r="S202" s="1" t="s">
        <v>39</v>
      </c>
      <c r="T202" s="1">
        <v>2002.97</v>
      </c>
      <c r="U202" s="1" t="s">
        <v>40</v>
      </c>
      <c r="V202" s="1" t="s">
        <v>29</v>
      </c>
      <c r="W202" s="1" t="s">
        <v>36</v>
      </c>
      <c r="X202" s="1" t="s">
        <v>29</v>
      </c>
      <c r="Y202" s="1" t="s">
        <v>36</v>
      </c>
      <c r="Z202" s="1" t="s">
        <v>41</v>
      </c>
    </row>
    <row r="203" spans="1:26" ht="15.75" x14ac:dyDescent="0.25">
      <c r="A203" s="1" t="s">
        <v>26</v>
      </c>
      <c r="B203" s="1" t="s">
        <v>27</v>
      </c>
      <c r="C203" s="1" t="s">
        <v>429</v>
      </c>
      <c r="D203" s="3">
        <v>70016</v>
      </c>
      <c r="E203" s="1" t="s">
        <v>29</v>
      </c>
      <c r="F203" s="1" t="s">
        <v>485</v>
      </c>
      <c r="G203" s="1" t="s">
        <v>61</v>
      </c>
      <c r="H203" s="1" t="s">
        <v>45</v>
      </c>
      <c r="I203" s="1" t="s">
        <v>46</v>
      </c>
      <c r="J203" s="1">
        <v>1.5</v>
      </c>
      <c r="K203" s="1" t="s">
        <v>453</v>
      </c>
      <c r="L203" s="1" t="s">
        <v>35</v>
      </c>
      <c r="M203" s="1">
        <v>0.55000000000000004</v>
      </c>
      <c r="N203" s="1" t="s">
        <v>190</v>
      </c>
      <c r="O203" s="1" t="s">
        <v>37</v>
      </c>
      <c r="P203" s="1" t="s">
        <v>36</v>
      </c>
      <c r="Q203" s="1" t="s">
        <v>191</v>
      </c>
      <c r="R203" s="1" t="s">
        <v>486</v>
      </c>
      <c r="S203" s="1" t="s">
        <v>39</v>
      </c>
      <c r="T203" s="1">
        <v>2002.97</v>
      </c>
      <c r="U203" s="1" t="s">
        <v>40</v>
      </c>
      <c r="V203" s="1" t="s">
        <v>29</v>
      </c>
      <c r="W203" s="1" t="s">
        <v>36</v>
      </c>
      <c r="X203" s="1" t="s">
        <v>29</v>
      </c>
      <c r="Y203" s="1" t="s">
        <v>36</v>
      </c>
      <c r="Z203" s="1" t="s">
        <v>41</v>
      </c>
    </row>
    <row r="204" spans="1:26" ht="15.75" x14ac:dyDescent="0.25">
      <c r="A204" s="1" t="s">
        <v>26</v>
      </c>
      <c r="B204" s="1" t="s">
        <v>27</v>
      </c>
      <c r="C204" s="1" t="s">
        <v>429</v>
      </c>
      <c r="D204" s="3">
        <v>93465</v>
      </c>
      <c r="E204" s="1" t="s">
        <v>29</v>
      </c>
      <c r="F204" s="1" t="s">
        <v>497</v>
      </c>
      <c r="G204" s="1" t="s">
        <v>31</v>
      </c>
      <c r="H204" s="1" t="s">
        <v>32</v>
      </c>
      <c r="I204" s="1" t="s">
        <v>33</v>
      </c>
      <c r="J204" s="1">
        <v>57.28</v>
      </c>
      <c r="K204" s="1" t="s">
        <v>498</v>
      </c>
      <c r="L204" s="1" t="s">
        <v>35</v>
      </c>
      <c r="M204" s="1">
        <v>21.19</v>
      </c>
      <c r="N204" s="1" t="s">
        <v>190</v>
      </c>
      <c r="O204" s="1" t="s">
        <v>37</v>
      </c>
      <c r="P204" s="1" t="s">
        <v>36</v>
      </c>
      <c r="Q204" s="1" t="s">
        <v>191</v>
      </c>
      <c r="R204" s="1" t="s">
        <v>499</v>
      </c>
      <c r="S204" s="1" t="s">
        <v>39</v>
      </c>
      <c r="T204" s="1">
        <v>2002.97</v>
      </c>
      <c r="U204" s="1" t="s">
        <v>40</v>
      </c>
      <c r="V204" s="1" t="s">
        <v>29</v>
      </c>
      <c r="W204" s="1" t="s">
        <v>36</v>
      </c>
      <c r="X204" s="1" t="s">
        <v>29</v>
      </c>
      <c r="Y204" s="1" t="s">
        <v>36</v>
      </c>
      <c r="Z204" s="1" t="s">
        <v>41</v>
      </c>
    </row>
    <row r="205" spans="1:26" ht="15.75" x14ac:dyDescent="0.25">
      <c r="A205" s="1" t="s">
        <v>26</v>
      </c>
      <c r="B205" s="1" t="s">
        <v>27</v>
      </c>
      <c r="C205" s="1" t="s">
        <v>429</v>
      </c>
      <c r="D205" s="3">
        <v>93466</v>
      </c>
      <c r="E205" s="1" t="s">
        <v>29</v>
      </c>
      <c r="F205" s="1" t="s">
        <v>497</v>
      </c>
      <c r="G205" s="1" t="s">
        <v>42</v>
      </c>
      <c r="H205" s="1" t="s">
        <v>32</v>
      </c>
      <c r="I205" s="1" t="s">
        <v>33</v>
      </c>
      <c r="J205" s="1">
        <v>16.34</v>
      </c>
      <c r="K205" s="1" t="s">
        <v>498</v>
      </c>
      <c r="L205" s="1" t="s">
        <v>35</v>
      </c>
      <c r="M205" s="1">
        <v>6.05</v>
      </c>
      <c r="N205" s="1" t="s">
        <v>190</v>
      </c>
      <c r="O205" s="1" t="s">
        <v>37</v>
      </c>
      <c r="P205" s="1" t="s">
        <v>36</v>
      </c>
      <c r="Q205" s="1" t="s">
        <v>191</v>
      </c>
      <c r="R205" s="1" t="s">
        <v>499</v>
      </c>
      <c r="S205" s="1" t="s">
        <v>39</v>
      </c>
      <c r="T205" s="1">
        <v>2002.97</v>
      </c>
      <c r="U205" s="1" t="s">
        <v>40</v>
      </c>
      <c r="V205" s="1" t="s">
        <v>29</v>
      </c>
      <c r="W205" s="1" t="s">
        <v>36</v>
      </c>
      <c r="X205" s="1" t="s">
        <v>29</v>
      </c>
      <c r="Y205" s="1" t="s">
        <v>36</v>
      </c>
      <c r="Z205" s="1" t="s">
        <v>41</v>
      </c>
    </row>
    <row r="206" spans="1:26" ht="15.75" x14ac:dyDescent="0.25">
      <c r="A206" s="1" t="s">
        <v>26</v>
      </c>
      <c r="B206" s="1" t="s">
        <v>27</v>
      </c>
      <c r="C206" s="1" t="s">
        <v>511</v>
      </c>
      <c r="D206" s="3">
        <v>87733</v>
      </c>
      <c r="E206" s="1" t="s">
        <v>29</v>
      </c>
      <c r="F206" s="1" t="s">
        <v>588</v>
      </c>
      <c r="G206" s="1" t="s">
        <v>31</v>
      </c>
      <c r="H206" s="1" t="s">
        <v>148</v>
      </c>
      <c r="I206" s="1" t="s">
        <v>33</v>
      </c>
      <c r="J206" s="1">
        <v>29.58</v>
      </c>
      <c r="K206" s="1" t="s">
        <v>573</v>
      </c>
      <c r="L206" s="1" t="s">
        <v>35</v>
      </c>
      <c r="M206" s="1">
        <v>10.94</v>
      </c>
      <c r="N206" s="1" t="s">
        <v>190</v>
      </c>
      <c r="O206" s="1" t="s">
        <v>37</v>
      </c>
      <c r="P206" s="1" t="s">
        <v>36</v>
      </c>
      <c r="Q206" s="1" t="s">
        <v>191</v>
      </c>
      <c r="R206" s="1" t="s">
        <v>589</v>
      </c>
      <c r="S206" s="1" t="s">
        <v>39</v>
      </c>
      <c r="T206" s="1">
        <v>2002.97</v>
      </c>
      <c r="U206" s="1" t="s">
        <v>40</v>
      </c>
      <c r="V206" s="1" t="s">
        <v>29</v>
      </c>
      <c r="W206" s="1" t="s">
        <v>36</v>
      </c>
      <c r="X206" s="1" t="s">
        <v>29</v>
      </c>
      <c r="Y206" s="1" t="s">
        <v>36</v>
      </c>
      <c r="Z206" s="1" t="s">
        <v>41</v>
      </c>
    </row>
    <row r="207" spans="1:26" ht="15.75" x14ac:dyDescent="0.25">
      <c r="A207" s="1" t="s">
        <v>26</v>
      </c>
      <c r="B207" s="1" t="s">
        <v>27</v>
      </c>
      <c r="C207" s="1" t="s">
        <v>602</v>
      </c>
      <c r="D207" s="3">
        <v>15631</v>
      </c>
      <c r="E207" s="1" t="s">
        <v>29</v>
      </c>
      <c r="F207" s="1" t="s">
        <v>615</v>
      </c>
      <c r="G207" s="1" t="s">
        <v>31</v>
      </c>
      <c r="H207" s="1" t="s">
        <v>101</v>
      </c>
      <c r="I207" s="1" t="s">
        <v>102</v>
      </c>
      <c r="J207" s="1">
        <v>59.33</v>
      </c>
      <c r="K207" s="1" t="s">
        <v>101</v>
      </c>
      <c r="L207" s="1" t="s">
        <v>35</v>
      </c>
      <c r="M207" s="1">
        <v>21.95</v>
      </c>
      <c r="N207" s="1" t="s">
        <v>190</v>
      </c>
      <c r="O207" s="1" t="s">
        <v>37</v>
      </c>
      <c r="P207" s="1" t="s">
        <v>36</v>
      </c>
      <c r="Q207" s="1" t="s">
        <v>191</v>
      </c>
      <c r="R207" s="1" t="s">
        <v>616</v>
      </c>
      <c r="S207" s="1" t="s">
        <v>39</v>
      </c>
      <c r="T207" s="1">
        <v>2002.97</v>
      </c>
      <c r="U207" s="1" t="s">
        <v>40</v>
      </c>
      <c r="V207" s="1" t="s">
        <v>29</v>
      </c>
      <c r="W207" s="1" t="s">
        <v>36</v>
      </c>
      <c r="X207" s="1" t="s">
        <v>29</v>
      </c>
      <c r="Y207" s="1" t="s">
        <v>36</v>
      </c>
      <c r="Z207" s="1" t="s">
        <v>41</v>
      </c>
    </row>
    <row r="208" spans="1:26" ht="15.75" x14ac:dyDescent="0.25">
      <c r="A208" s="1" t="s">
        <v>26</v>
      </c>
      <c r="B208" s="1" t="s">
        <v>27</v>
      </c>
      <c r="C208" s="1" t="s">
        <v>602</v>
      </c>
      <c r="D208" s="3">
        <v>16937</v>
      </c>
      <c r="E208" s="1" t="s">
        <v>29</v>
      </c>
      <c r="F208" s="1" t="s">
        <v>617</v>
      </c>
      <c r="G208" s="1" t="s">
        <v>31</v>
      </c>
      <c r="H208" s="1" t="s">
        <v>45</v>
      </c>
      <c r="I208" s="1" t="s">
        <v>46</v>
      </c>
      <c r="J208" s="1">
        <v>140.41999999999999</v>
      </c>
      <c r="K208" s="1" t="s">
        <v>45</v>
      </c>
      <c r="L208" s="1" t="s">
        <v>35</v>
      </c>
      <c r="M208" s="1">
        <v>51.95</v>
      </c>
      <c r="N208" s="1" t="s">
        <v>190</v>
      </c>
      <c r="O208" s="1" t="s">
        <v>37</v>
      </c>
      <c r="P208" s="1" t="s">
        <v>36</v>
      </c>
      <c r="Q208" s="1" t="s">
        <v>191</v>
      </c>
      <c r="R208" s="1" t="s">
        <v>618</v>
      </c>
      <c r="S208" s="1" t="s">
        <v>39</v>
      </c>
      <c r="T208" s="1">
        <v>2002.97</v>
      </c>
      <c r="U208" s="1" t="s">
        <v>40</v>
      </c>
      <c r="V208" s="1" t="s">
        <v>29</v>
      </c>
      <c r="W208" s="1" t="s">
        <v>36</v>
      </c>
      <c r="X208" s="1" t="s">
        <v>29</v>
      </c>
      <c r="Y208" s="1" t="s">
        <v>36</v>
      </c>
      <c r="Z208" s="1" t="s">
        <v>41</v>
      </c>
    </row>
    <row r="209" spans="1:26" ht="15.75" x14ac:dyDescent="0.25">
      <c r="A209" s="1" t="s">
        <v>26</v>
      </c>
      <c r="B209" s="1" t="s">
        <v>27</v>
      </c>
      <c r="C209" s="1" t="s">
        <v>602</v>
      </c>
      <c r="D209" s="3">
        <v>16937</v>
      </c>
      <c r="E209" s="1" t="s">
        <v>29</v>
      </c>
      <c r="F209" s="1" t="s">
        <v>617</v>
      </c>
      <c r="G209" s="1" t="s">
        <v>61</v>
      </c>
      <c r="H209" s="1" t="s">
        <v>45</v>
      </c>
      <c r="I209" s="1" t="s">
        <v>46</v>
      </c>
      <c r="J209" s="1">
        <v>2.69</v>
      </c>
      <c r="K209" s="1" t="s">
        <v>45</v>
      </c>
      <c r="L209" s="1" t="s">
        <v>35</v>
      </c>
      <c r="M209" s="1">
        <v>1</v>
      </c>
      <c r="N209" s="1" t="s">
        <v>190</v>
      </c>
      <c r="O209" s="1" t="s">
        <v>37</v>
      </c>
      <c r="P209" s="1" t="s">
        <v>36</v>
      </c>
      <c r="Q209" s="1" t="s">
        <v>191</v>
      </c>
      <c r="R209" s="1" t="s">
        <v>618</v>
      </c>
      <c r="S209" s="1" t="s">
        <v>39</v>
      </c>
      <c r="T209" s="1">
        <v>2002.97</v>
      </c>
      <c r="U209" s="1" t="s">
        <v>40</v>
      </c>
      <c r="V209" s="1" t="s">
        <v>29</v>
      </c>
      <c r="W209" s="1" t="s">
        <v>36</v>
      </c>
      <c r="X209" s="1" t="s">
        <v>29</v>
      </c>
      <c r="Y209" s="1" t="s">
        <v>36</v>
      </c>
      <c r="Z209" s="1" t="s">
        <v>41</v>
      </c>
    </row>
    <row r="210" spans="1:26" ht="15.75" x14ac:dyDescent="0.25">
      <c r="A210" s="1" t="s">
        <v>26</v>
      </c>
      <c r="B210" s="1" t="s">
        <v>27</v>
      </c>
      <c r="C210" s="1" t="s">
        <v>602</v>
      </c>
      <c r="D210" s="3">
        <v>16938</v>
      </c>
      <c r="E210" s="1" t="s">
        <v>29</v>
      </c>
      <c r="F210" s="1" t="s">
        <v>617</v>
      </c>
      <c r="G210" s="1" t="s">
        <v>42</v>
      </c>
      <c r="H210" s="1" t="s">
        <v>45</v>
      </c>
      <c r="I210" s="1" t="s">
        <v>46</v>
      </c>
      <c r="J210" s="1">
        <v>30.07</v>
      </c>
      <c r="K210" s="1" t="s">
        <v>45</v>
      </c>
      <c r="L210" s="1" t="s">
        <v>35</v>
      </c>
      <c r="M210" s="1">
        <v>11.13</v>
      </c>
      <c r="N210" s="1" t="s">
        <v>190</v>
      </c>
      <c r="O210" s="1" t="s">
        <v>37</v>
      </c>
      <c r="P210" s="1" t="s">
        <v>36</v>
      </c>
      <c r="Q210" s="1" t="s">
        <v>191</v>
      </c>
      <c r="R210" s="1" t="s">
        <v>618</v>
      </c>
      <c r="S210" s="1" t="s">
        <v>39</v>
      </c>
      <c r="T210" s="1">
        <v>2002.97</v>
      </c>
      <c r="U210" s="1" t="s">
        <v>40</v>
      </c>
      <c r="V210" s="1" t="s">
        <v>29</v>
      </c>
      <c r="W210" s="1" t="s">
        <v>36</v>
      </c>
      <c r="X210" s="1" t="s">
        <v>29</v>
      </c>
      <c r="Y210" s="1" t="s">
        <v>36</v>
      </c>
      <c r="Z210" s="1" t="s">
        <v>41</v>
      </c>
    </row>
    <row r="211" spans="1:26" ht="15.75" x14ac:dyDescent="0.25">
      <c r="A211" s="1" t="s">
        <v>26</v>
      </c>
      <c r="B211" s="1" t="s">
        <v>27</v>
      </c>
      <c r="C211" s="1" t="s">
        <v>429</v>
      </c>
      <c r="D211" s="3">
        <v>65117</v>
      </c>
      <c r="E211" s="1" t="s">
        <v>29</v>
      </c>
      <c r="F211" s="1" t="s">
        <v>465</v>
      </c>
      <c r="G211" s="1" t="s">
        <v>31</v>
      </c>
      <c r="H211" s="1" t="s">
        <v>148</v>
      </c>
      <c r="I211" s="1" t="s">
        <v>33</v>
      </c>
      <c r="J211" s="1">
        <v>54.21</v>
      </c>
      <c r="K211" s="1" t="s">
        <v>463</v>
      </c>
      <c r="L211" s="1" t="s">
        <v>35</v>
      </c>
      <c r="M211" s="1">
        <v>20.059999999999999</v>
      </c>
      <c r="N211" s="1" t="s">
        <v>466</v>
      </c>
      <c r="O211" s="1" t="s">
        <v>37</v>
      </c>
      <c r="P211" s="1" t="s">
        <v>36</v>
      </c>
      <c r="Q211" s="1" t="s">
        <v>467</v>
      </c>
      <c r="R211" s="1" t="s">
        <v>468</v>
      </c>
      <c r="S211" s="1" t="s">
        <v>39</v>
      </c>
      <c r="T211" s="1">
        <v>2002.97</v>
      </c>
      <c r="U211" s="1" t="s">
        <v>40</v>
      </c>
      <c r="V211" s="1" t="s">
        <v>29</v>
      </c>
      <c r="W211" s="1" t="s">
        <v>36</v>
      </c>
      <c r="X211" s="1" t="s">
        <v>29</v>
      </c>
      <c r="Y211" s="1" t="s">
        <v>36</v>
      </c>
      <c r="Z211" s="1" t="s">
        <v>41</v>
      </c>
    </row>
    <row r="212" spans="1:26" ht="15.75" x14ac:dyDescent="0.25">
      <c r="A212" s="1" t="s">
        <v>26</v>
      </c>
      <c r="B212" s="1" t="s">
        <v>27</v>
      </c>
      <c r="C212" s="1" t="s">
        <v>429</v>
      </c>
      <c r="D212" s="3">
        <v>65117</v>
      </c>
      <c r="E212" s="1" t="s">
        <v>29</v>
      </c>
      <c r="F212" s="1" t="s">
        <v>465</v>
      </c>
      <c r="G212" s="1" t="s">
        <v>61</v>
      </c>
      <c r="H212" s="1" t="s">
        <v>148</v>
      </c>
      <c r="I212" s="1" t="s">
        <v>33</v>
      </c>
      <c r="J212" s="1">
        <v>1.5</v>
      </c>
      <c r="K212" s="1" t="s">
        <v>463</v>
      </c>
      <c r="L212" s="1" t="s">
        <v>35</v>
      </c>
      <c r="M212" s="1">
        <v>0.55000000000000004</v>
      </c>
      <c r="N212" s="1" t="s">
        <v>466</v>
      </c>
      <c r="O212" s="1" t="s">
        <v>37</v>
      </c>
      <c r="P212" s="1" t="s">
        <v>36</v>
      </c>
      <c r="Q212" s="1" t="s">
        <v>467</v>
      </c>
      <c r="R212" s="1" t="s">
        <v>468</v>
      </c>
      <c r="S212" s="1" t="s">
        <v>39</v>
      </c>
      <c r="T212" s="1">
        <v>2002.97</v>
      </c>
      <c r="U212" s="1" t="s">
        <v>40</v>
      </c>
      <c r="V212" s="1" t="s">
        <v>29</v>
      </c>
      <c r="W212" s="1" t="s">
        <v>36</v>
      </c>
      <c r="X212" s="1" t="s">
        <v>29</v>
      </c>
      <c r="Y212" s="1" t="s">
        <v>36</v>
      </c>
      <c r="Z212" s="1" t="s">
        <v>41</v>
      </c>
    </row>
    <row r="213" spans="1:26" ht="15.75" x14ac:dyDescent="0.25">
      <c r="A213" s="1" t="s">
        <v>26</v>
      </c>
      <c r="B213" s="1" t="s">
        <v>27</v>
      </c>
      <c r="C213" s="1" t="s">
        <v>64</v>
      </c>
      <c r="D213" s="3">
        <v>14659</v>
      </c>
      <c r="E213" s="1" t="s">
        <v>29</v>
      </c>
      <c r="F213" s="1" t="s">
        <v>65</v>
      </c>
      <c r="G213" s="1" t="s">
        <v>31</v>
      </c>
      <c r="H213" s="1" t="s">
        <v>33</v>
      </c>
      <c r="I213" s="1" t="s">
        <v>45</v>
      </c>
      <c r="J213" s="1">
        <v>31.82</v>
      </c>
      <c r="K213" s="1" t="s">
        <v>66</v>
      </c>
      <c r="L213" s="1" t="s">
        <v>35</v>
      </c>
      <c r="M213" s="1">
        <v>0</v>
      </c>
      <c r="N213" s="1" t="s">
        <v>67</v>
      </c>
      <c r="O213" s="1" t="s">
        <v>37</v>
      </c>
      <c r="P213" s="1" t="s">
        <v>68</v>
      </c>
      <c r="Q213" s="1" t="s">
        <v>69</v>
      </c>
      <c r="R213" s="1" t="s">
        <v>70</v>
      </c>
      <c r="S213" s="1" t="s">
        <v>39</v>
      </c>
      <c r="T213" s="1">
        <v>2002.97</v>
      </c>
      <c r="U213" s="1" t="s">
        <v>40</v>
      </c>
      <c r="V213" s="1" t="s">
        <v>29</v>
      </c>
      <c r="W213" s="1" t="s">
        <v>36</v>
      </c>
      <c r="X213" s="1" t="s">
        <v>29</v>
      </c>
      <c r="Y213" s="1" t="s">
        <v>36</v>
      </c>
      <c r="Z213" s="1" t="s">
        <v>41</v>
      </c>
    </row>
    <row r="214" spans="1:26" ht="15.75" x14ac:dyDescent="0.25">
      <c r="A214" s="1" t="s">
        <v>26</v>
      </c>
      <c r="B214" s="1" t="s">
        <v>27</v>
      </c>
      <c r="C214" s="1" t="s">
        <v>64</v>
      </c>
      <c r="D214" s="3">
        <v>14660</v>
      </c>
      <c r="E214" s="1" t="s">
        <v>29</v>
      </c>
      <c r="F214" s="1" t="s">
        <v>65</v>
      </c>
      <c r="G214" s="1" t="s">
        <v>42</v>
      </c>
      <c r="H214" s="1" t="s">
        <v>33</v>
      </c>
      <c r="I214" s="1" t="s">
        <v>45</v>
      </c>
      <c r="J214" s="1">
        <v>16.34</v>
      </c>
      <c r="K214" s="1" t="s">
        <v>66</v>
      </c>
      <c r="L214" s="1" t="s">
        <v>35</v>
      </c>
      <c r="M214" s="1">
        <v>0</v>
      </c>
      <c r="N214" s="1" t="s">
        <v>67</v>
      </c>
      <c r="O214" s="1" t="s">
        <v>37</v>
      </c>
      <c r="P214" s="1" t="s">
        <v>71</v>
      </c>
      <c r="Q214" s="1" t="s">
        <v>69</v>
      </c>
      <c r="R214" s="1" t="s">
        <v>70</v>
      </c>
      <c r="S214" s="1" t="s">
        <v>39</v>
      </c>
      <c r="T214" s="1">
        <v>2002.97</v>
      </c>
      <c r="U214" s="1" t="s">
        <v>40</v>
      </c>
      <c r="V214" s="1" t="s">
        <v>29</v>
      </c>
      <c r="W214" s="1" t="s">
        <v>36</v>
      </c>
      <c r="X214" s="1" t="s">
        <v>29</v>
      </c>
      <c r="Y214" s="1" t="s">
        <v>36</v>
      </c>
      <c r="Z214" s="1" t="s">
        <v>41</v>
      </c>
    </row>
    <row r="215" spans="1:26" ht="15.75" x14ac:dyDescent="0.25">
      <c r="A215" s="1" t="s">
        <v>26</v>
      </c>
      <c r="B215" s="1" t="s">
        <v>27</v>
      </c>
      <c r="C215" s="1" t="s">
        <v>64</v>
      </c>
      <c r="D215" s="3">
        <v>85142</v>
      </c>
      <c r="E215" s="1" t="s">
        <v>29</v>
      </c>
      <c r="F215" s="1" t="s">
        <v>83</v>
      </c>
      <c r="G215" s="1" t="s">
        <v>31</v>
      </c>
      <c r="H215" s="1" t="s">
        <v>45</v>
      </c>
      <c r="I215" s="1" t="s">
        <v>46</v>
      </c>
      <c r="J215" s="1">
        <v>36.29</v>
      </c>
      <c r="K215" s="1" t="s">
        <v>84</v>
      </c>
      <c r="L215" s="1" t="s">
        <v>35</v>
      </c>
      <c r="M215" s="1">
        <v>0</v>
      </c>
      <c r="N215" s="1" t="s">
        <v>67</v>
      </c>
      <c r="O215" s="1" t="s">
        <v>37</v>
      </c>
      <c r="P215" s="1" t="s">
        <v>85</v>
      </c>
      <c r="Q215" s="1" t="s">
        <v>69</v>
      </c>
      <c r="R215" s="1" t="s">
        <v>86</v>
      </c>
      <c r="S215" s="1" t="s">
        <v>39</v>
      </c>
      <c r="T215" s="1">
        <v>2002.97</v>
      </c>
      <c r="U215" s="1" t="s">
        <v>40</v>
      </c>
      <c r="V215" s="1" t="s">
        <v>29</v>
      </c>
      <c r="W215" s="1" t="s">
        <v>36</v>
      </c>
      <c r="X215" s="1" t="s">
        <v>29</v>
      </c>
      <c r="Y215" s="1" t="s">
        <v>36</v>
      </c>
      <c r="Z215" s="1" t="s">
        <v>41</v>
      </c>
    </row>
    <row r="216" spans="1:26" ht="15.75" x14ac:dyDescent="0.25">
      <c r="A216" s="1" t="s">
        <v>26</v>
      </c>
      <c r="B216" s="1" t="s">
        <v>27</v>
      </c>
      <c r="C216" s="1" t="s">
        <v>64</v>
      </c>
      <c r="D216" s="3">
        <v>85142</v>
      </c>
      <c r="E216" s="1" t="s">
        <v>29</v>
      </c>
      <c r="F216" s="1" t="s">
        <v>83</v>
      </c>
      <c r="G216" s="1" t="s">
        <v>61</v>
      </c>
      <c r="H216" s="1" t="s">
        <v>45</v>
      </c>
      <c r="I216" s="1" t="s">
        <v>46</v>
      </c>
      <c r="J216" s="1">
        <v>1.5</v>
      </c>
      <c r="K216" s="1" t="s">
        <v>84</v>
      </c>
      <c r="L216" s="1" t="s">
        <v>35</v>
      </c>
      <c r="M216" s="1">
        <v>0</v>
      </c>
      <c r="N216" s="1" t="s">
        <v>67</v>
      </c>
      <c r="O216" s="1" t="s">
        <v>37</v>
      </c>
      <c r="P216" s="1" t="s">
        <v>87</v>
      </c>
      <c r="Q216" s="1" t="s">
        <v>69</v>
      </c>
      <c r="R216" s="1" t="s">
        <v>86</v>
      </c>
      <c r="S216" s="1" t="s">
        <v>39</v>
      </c>
      <c r="T216" s="1">
        <v>2002.97</v>
      </c>
      <c r="U216" s="1" t="s">
        <v>40</v>
      </c>
      <c r="V216" s="1" t="s">
        <v>29</v>
      </c>
      <c r="W216" s="1" t="s">
        <v>36</v>
      </c>
      <c r="X216" s="1" t="s">
        <v>29</v>
      </c>
      <c r="Y216" s="1" t="s">
        <v>36</v>
      </c>
      <c r="Z216" s="1" t="s">
        <v>41</v>
      </c>
    </row>
    <row r="217" spans="1:26" ht="15.75" x14ac:dyDescent="0.25">
      <c r="A217" s="1" t="s">
        <v>26</v>
      </c>
      <c r="B217" s="1" t="s">
        <v>27</v>
      </c>
      <c r="C217" s="1" t="s">
        <v>64</v>
      </c>
      <c r="D217" s="3">
        <v>85519</v>
      </c>
      <c r="E217" s="1" t="s">
        <v>29</v>
      </c>
      <c r="F217" s="1" t="s">
        <v>88</v>
      </c>
      <c r="G217" s="1" t="s">
        <v>31</v>
      </c>
      <c r="H217" s="1" t="s">
        <v>45</v>
      </c>
      <c r="I217" s="1" t="s">
        <v>46</v>
      </c>
      <c r="J217" s="1">
        <v>36.29</v>
      </c>
      <c r="K217" s="1" t="s">
        <v>84</v>
      </c>
      <c r="L217" s="1" t="s">
        <v>35</v>
      </c>
      <c r="M217" s="1">
        <v>0</v>
      </c>
      <c r="N217" s="1" t="s">
        <v>67</v>
      </c>
      <c r="O217" s="1" t="s">
        <v>37</v>
      </c>
      <c r="P217" s="1" t="s">
        <v>85</v>
      </c>
      <c r="Q217" s="1" t="s">
        <v>69</v>
      </c>
      <c r="R217" s="1" t="s">
        <v>89</v>
      </c>
      <c r="S217" s="1" t="s">
        <v>39</v>
      </c>
      <c r="T217" s="1">
        <v>2002.97</v>
      </c>
      <c r="U217" s="1" t="s">
        <v>40</v>
      </c>
      <c r="V217" s="1" t="s">
        <v>29</v>
      </c>
      <c r="W217" s="1" t="s">
        <v>36</v>
      </c>
      <c r="X217" s="1" t="s">
        <v>29</v>
      </c>
      <c r="Y217" s="1" t="s">
        <v>36</v>
      </c>
      <c r="Z217" s="1" t="s">
        <v>41</v>
      </c>
    </row>
    <row r="218" spans="1:26" ht="15.75" x14ac:dyDescent="0.25">
      <c r="A218" s="1" t="s">
        <v>26</v>
      </c>
      <c r="B218" s="1" t="s">
        <v>27</v>
      </c>
      <c r="C218" s="1" t="s">
        <v>64</v>
      </c>
      <c r="D218" s="3">
        <v>85519</v>
      </c>
      <c r="E218" s="1" t="s">
        <v>29</v>
      </c>
      <c r="F218" s="1" t="s">
        <v>88</v>
      </c>
      <c r="G218" s="1" t="s">
        <v>61</v>
      </c>
      <c r="H218" s="1" t="s">
        <v>45</v>
      </c>
      <c r="I218" s="1" t="s">
        <v>46</v>
      </c>
      <c r="J218" s="1">
        <v>1.5</v>
      </c>
      <c r="K218" s="1" t="s">
        <v>84</v>
      </c>
      <c r="L218" s="1" t="s">
        <v>35</v>
      </c>
      <c r="M218" s="1">
        <v>0</v>
      </c>
      <c r="N218" s="1" t="s">
        <v>67</v>
      </c>
      <c r="O218" s="1" t="s">
        <v>37</v>
      </c>
      <c r="P218" s="1" t="s">
        <v>87</v>
      </c>
      <c r="Q218" s="1" t="s">
        <v>69</v>
      </c>
      <c r="R218" s="1" t="s">
        <v>89</v>
      </c>
      <c r="S218" s="1" t="s">
        <v>39</v>
      </c>
      <c r="T218" s="1">
        <v>2002.97</v>
      </c>
      <c r="U218" s="1" t="s">
        <v>40</v>
      </c>
      <c r="V218" s="1" t="s">
        <v>29</v>
      </c>
      <c r="W218" s="1" t="s">
        <v>36</v>
      </c>
      <c r="X218" s="1" t="s">
        <v>29</v>
      </c>
      <c r="Y218" s="1" t="s">
        <v>36</v>
      </c>
      <c r="Z218" s="1" t="s">
        <v>41</v>
      </c>
    </row>
    <row r="219" spans="1:26" ht="15.75" x14ac:dyDescent="0.25">
      <c r="A219" s="1" t="s">
        <v>26</v>
      </c>
      <c r="B219" s="1" t="s">
        <v>27</v>
      </c>
      <c r="C219" s="1" t="s">
        <v>64</v>
      </c>
      <c r="D219" s="3">
        <v>85520</v>
      </c>
      <c r="E219" s="1" t="s">
        <v>29</v>
      </c>
      <c r="F219" s="1" t="s">
        <v>88</v>
      </c>
      <c r="G219" s="1" t="s">
        <v>42</v>
      </c>
      <c r="H219" s="1" t="s">
        <v>45</v>
      </c>
      <c r="I219" s="1" t="s">
        <v>46</v>
      </c>
      <c r="J219" s="1">
        <v>16.34</v>
      </c>
      <c r="K219" s="1" t="s">
        <v>84</v>
      </c>
      <c r="L219" s="1" t="s">
        <v>35</v>
      </c>
      <c r="M219" s="1">
        <v>0</v>
      </c>
      <c r="N219" s="1" t="s">
        <v>67</v>
      </c>
      <c r="O219" s="1" t="s">
        <v>37</v>
      </c>
      <c r="P219" s="1" t="s">
        <v>71</v>
      </c>
      <c r="Q219" s="1" t="s">
        <v>69</v>
      </c>
      <c r="R219" s="1" t="s">
        <v>89</v>
      </c>
      <c r="S219" s="1" t="s">
        <v>39</v>
      </c>
      <c r="T219" s="1">
        <v>2002.97</v>
      </c>
      <c r="U219" s="1" t="s">
        <v>40</v>
      </c>
      <c r="V219" s="1" t="s">
        <v>29</v>
      </c>
      <c r="W219" s="1" t="s">
        <v>36</v>
      </c>
      <c r="X219" s="1" t="s">
        <v>29</v>
      </c>
      <c r="Y219" s="1" t="s">
        <v>36</v>
      </c>
      <c r="Z219" s="1" t="s">
        <v>41</v>
      </c>
    </row>
    <row r="220" spans="1:26" ht="15.75" x14ac:dyDescent="0.25">
      <c r="A220" s="1" t="s">
        <v>26</v>
      </c>
      <c r="B220" s="1" t="s">
        <v>27</v>
      </c>
      <c r="C220" s="1" t="s">
        <v>90</v>
      </c>
      <c r="D220" s="3">
        <v>44688</v>
      </c>
      <c r="E220" s="1" t="s">
        <v>29</v>
      </c>
      <c r="F220" s="1" t="s">
        <v>94</v>
      </c>
      <c r="G220" s="1" t="s">
        <v>31</v>
      </c>
      <c r="H220" s="1" t="s">
        <v>33</v>
      </c>
      <c r="I220" s="1" t="s">
        <v>45</v>
      </c>
      <c r="J220" s="1">
        <v>36.29</v>
      </c>
      <c r="K220" s="1" t="s">
        <v>95</v>
      </c>
      <c r="L220" s="1" t="s">
        <v>35</v>
      </c>
      <c r="M220" s="1">
        <v>0</v>
      </c>
      <c r="N220" s="1" t="s">
        <v>67</v>
      </c>
      <c r="O220" s="1" t="s">
        <v>37</v>
      </c>
      <c r="P220" s="1" t="s">
        <v>85</v>
      </c>
      <c r="Q220" s="1" t="s">
        <v>69</v>
      </c>
      <c r="R220" s="1" t="s">
        <v>96</v>
      </c>
      <c r="S220" s="1" t="s">
        <v>39</v>
      </c>
      <c r="T220" s="1">
        <v>2002.97</v>
      </c>
      <c r="U220" s="1" t="s">
        <v>40</v>
      </c>
      <c r="V220" s="1" t="s">
        <v>29</v>
      </c>
      <c r="W220" s="1" t="s">
        <v>36</v>
      </c>
      <c r="X220" s="1" t="s">
        <v>29</v>
      </c>
      <c r="Y220" s="1" t="s">
        <v>36</v>
      </c>
      <c r="Z220" s="1" t="s">
        <v>41</v>
      </c>
    </row>
    <row r="221" spans="1:26" ht="15.75" x14ac:dyDescent="0.25">
      <c r="A221" s="1" t="s">
        <v>26</v>
      </c>
      <c r="B221" s="1" t="s">
        <v>27</v>
      </c>
      <c r="C221" s="1" t="s">
        <v>90</v>
      </c>
      <c r="D221" s="3">
        <v>44688</v>
      </c>
      <c r="E221" s="1" t="s">
        <v>29</v>
      </c>
      <c r="F221" s="1" t="s">
        <v>94</v>
      </c>
      <c r="G221" s="1" t="s">
        <v>61</v>
      </c>
      <c r="H221" s="1" t="s">
        <v>33</v>
      </c>
      <c r="I221" s="1" t="s">
        <v>45</v>
      </c>
      <c r="J221" s="1">
        <v>1.5</v>
      </c>
      <c r="K221" s="1" t="s">
        <v>95</v>
      </c>
      <c r="L221" s="1" t="s">
        <v>35</v>
      </c>
      <c r="M221" s="1">
        <v>0</v>
      </c>
      <c r="N221" s="1" t="s">
        <v>67</v>
      </c>
      <c r="O221" s="1" t="s">
        <v>37</v>
      </c>
      <c r="P221" s="1" t="s">
        <v>87</v>
      </c>
      <c r="Q221" s="1" t="s">
        <v>69</v>
      </c>
      <c r="R221" s="1" t="s">
        <v>96</v>
      </c>
      <c r="S221" s="1" t="s">
        <v>39</v>
      </c>
      <c r="T221" s="1">
        <v>2002.97</v>
      </c>
      <c r="U221" s="1" t="s">
        <v>40</v>
      </c>
      <c r="V221" s="1" t="s">
        <v>29</v>
      </c>
      <c r="W221" s="1" t="s">
        <v>36</v>
      </c>
      <c r="X221" s="1" t="s">
        <v>29</v>
      </c>
      <c r="Y221" s="1" t="s">
        <v>36</v>
      </c>
      <c r="Z221" s="1" t="s">
        <v>41</v>
      </c>
    </row>
    <row r="222" spans="1:26" ht="15.75" x14ac:dyDescent="0.25">
      <c r="A222" s="1" t="s">
        <v>26</v>
      </c>
      <c r="B222" s="1" t="s">
        <v>27</v>
      </c>
      <c r="C222" s="1" t="s">
        <v>90</v>
      </c>
      <c r="D222" s="3">
        <v>80048</v>
      </c>
      <c r="E222" s="1" t="s">
        <v>29</v>
      </c>
      <c r="F222" s="1" t="s">
        <v>117</v>
      </c>
      <c r="G222" s="1" t="s">
        <v>31</v>
      </c>
      <c r="H222" s="1" t="s">
        <v>118</v>
      </c>
      <c r="I222" s="1" t="s">
        <v>101</v>
      </c>
      <c r="J222" s="1">
        <v>36.29</v>
      </c>
      <c r="K222" s="1" t="s">
        <v>119</v>
      </c>
      <c r="L222" s="1" t="s">
        <v>35</v>
      </c>
      <c r="M222" s="1">
        <v>0</v>
      </c>
      <c r="N222" s="1" t="s">
        <v>67</v>
      </c>
      <c r="O222" s="1" t="s">
        <v>37</v>
      </c>
      <c r="P222" s="1" t="s">
        <v>85</v>
      </c>
      <c r="Q222" s="1" t="s">
        <v>69</v>
      </c>
      <c r="R222" s="1" t="s">
        <v>120</v>
      </c>
      <c r="S222" s="1" t="s">
        <v>39</v>
      </c>
      <c r="T222" s="1">
        <v>2002.97</v>
      </c>
      <c r="U222" s="1" t="s">
        <v>40</v>
      </c>
      <c r="V222" s="1" t="s">
        <v>29</v>
      </c>
      <c r="W222" s="1" t="s">
        <v>36</v>
      </c>
      <c r="X222" s="1" t="s">
        <v>29</v>
      </c>
      <c r="Y222" s="1" t="s">
        <v>36</v>
      </c>
      <c r="Z222" s="1" t="s">
        <v>41</v>
      </c>
    </row>
    <row r="223" spans="1:26" ht="15.75" x14ac:dyDescent="0.25">
      <c r="A223" s="1" t="s">
        <v>26</v>
      </c>
      <c r="B223" s="1" t="s">
        <v>27</v>
      </c>
      <c r="C223" s="1" t="s">
        <v>90</v>
      </c>
      <c r="D223" s="3">
        <v>80048</v>
      </c>
      <c r="E223" s="1" t="s">
        <v>29</v>
      </c>
      <c r="F223" s="1" t="s">
        <v>117</v>
      </c>
      <c r="G223" s="1" t="s">
        <v>61</v>
      </c>
      <c r="H223" s="1" t="s">
        <v>118</v>
      </c>
      <c r="I223" s="1" t="s">
        <v>101</v>
      </c>
      <c r="J223" s="1">
        <v>1.5</v>
      </c>
      <c r="K223" s="1" t="s">
        <v>119</v>
      </c>
      <c r="L223" s="1" t="s">
        <v>35</v>
      </c>
      <c r="M223" s="1">
        <v>0</v>
      </c>
      <c r="N223" s="1" t="s">
        <v>67</v>
      </c>
      <c r="O223" s="1" t="s">
        <v>37</v>
      </c>
      <c r="P223" s="1" t="s">
        <v>87</v>
      </c>
      <c r="Q223" s="1" t="s">
        <v>69</v>
      </c>
      <c r="R223" s="1" t="s">
        <v>120</v>
      </c>
      <c r="S223" s="1" t="s">
        <v>39</v>
      </c>
      <c r="T223" s="1">
        <v>2002.97</v>
      </c>
      <c r="U223" s="1" t="s">
        <v>40</v>
      </c>
      <c r="V223" s="1" t="s">
        <v>29</v>
      </c>
      <c r="W223" s="1" t="s">
        <v>36</v>
      </c>
      <c r="X223" s="1" t="s">
        <v>29</v>
      </c>
      <c r="Y223" s="1" t="s">
        <v>36</v>
      </c>
      <c r="Z223" s="1" t="s">
        <v>41</v>
      </c>
    </row>
    <row r="224" spans="1:26" ht="15.75" x14ac:dyDescent="0.25">
      <c r="A224" s="1" t="s">
        <v>26</v>
      </c>
      <c r="B224" s="1" t="s">
        <v>27</v>
      </c>
      <c r="C224" s="1" t="s">
        <v>90</v>
      </c>
      <c r="D224" s="3">
        <v>80048</v>
      </c>
      <c r="E224" s="1" t="s">
        <v>29</v>
      </c>
      <c r="F224" s="1" t="s">
        <v>117</v>
      </c>
      <c r="G224" s="1" t="s">
        <v>31</v>
      </c>
      <c r="H224" s="1" t="s">
        <v>121</v>
      </c>
      <c r="I224" s="1" t="s">
        <v>101</v>
      </c>
      <c r="J224" s="1">
        <v>36.29</v>
      </c>
      <c r="K224" s="1" t="s">
        <v>119</v>
      </c>
      <c r="L224" s="1" t="s">
        <v>35</v>
      </c>
      <c r="M224" s="1">
        <v>0</v>
      </c>
      <c r="N224" s="1" t="s">
        <v>67</v>
      </c>
      <c r="O224" s="1" t="s">
        <v>37</v>
      </c>
      <c r="P224" s="1" t="s">
        <v>85</v>
      </c>
      <c r="Q224" s="1" t="s">
        <v>69</v>
      </c>
      <c r="R224" s="1" t="s">
        <v>120</v>
      </c>
      <c r="S224" s="1" t="s">
        <v>39</v>
      </c>
      <c r="T224" s="1">
        <v>2002.97</v>
      </c>
      <c r="U224" s="1" t="s">
        <v>40</v>
      </c>
      <c r="V224" s="1" t="s">
        <v>29</v>
      </c>
      <c r="W224" s="1" t="s">
        <v>36</v>
      </c>
      <c r="X224" s="1" t="s">
        <v>29</v>
      </c>
      <c r="Y224" s="1" t="s">
        <v>36</v>
      </c>
      <c r="Z224" s="1" t="s">
        <v>41</v>
      </c>
    </row>
    <row r="225" spans="1:26" ht="15.75" x14ac:dyDescent="0.25">
      <c r="A225" s="1" t="s">
        <v>26</v>
      </c>
      <c r="B225" s="1" t="s">
        <v>27</v>
      </c>
      <c r="C225" s="1" t="s">
        <v>90</v>
      </c>
      <c r="D225" s="3">
        <v>80048</v>
      </c>
      <c r="E225" s="1" t="s">
        <v>29</v>
      </c>
      <c r="F225" s="1" t="s">
        <v>117</v>
      </c>
      <c r="G225" s="1" t="s">
        <v>61</v>
      </c>
      <c r="H225" s="1" t="s">
        <v>121</v>
      </c>
      <c r="I225" s="1" t="s">
        <v>101</v>
      </c>
      <c r="J225" s="1">
        <v>1.5</v>
      </c>
      <c r="K225" s="1" t="s">
        <v>119</v>
      </c>
      <c r="L225" s="1" t="s">
        <v>35</v>
      </c>
      <c r="M225" s="1">
        <v>0</v>
      </c>
      <c r="N225" s="1" t="s">
        <v>67</v>
      </c>
      <c r="O225" s="1" t="s">
        <v>37</v>
      </c>
      <c r="P225" s="1" t="s">
        <v>87</v>
      </c>
      <c r="Q225" s="1" t="s">
        <v>69</v>
      </c>
      <c r="R225" s="1" t="s">
        <v>120</v>
      </c>
      <c r="S225" s="1" t="s">
        <v>39</v>
      </c>
      <c r="T225" s="1">
        <v>2002.97</v>
      </c>
      <c r="U225" s="1" t="s">
        <v>40</v>
      </c>
      <c r="V225" s="1" t="s">
        <v>29</v>
      </c>
      <c r="W225" s="1" t="s">
        <v>36</v>
      </c>
      <c r="X225" s="1" t="s">
        <v>29</v>
      </c>
      <c r="Y225" s="1" t="s">
        <v>36</v>
      </c>
      <c r="Z225" s="1" t="s">
        <v>41</v>
      </c>
    </row>
    <row r="226" spans="1:26" ht="15.75" x14ac:dyDescent="0.25">
      <c r="A226" s="1" t="s">
        <v>26</v>
      </c>
      <c r="B226" s="1" t="s">
        <v>27</v>
      </c>
      <c r="C226" s="1" t="s">
        <v>122</v>
      </c>
      <c r="D226" s="3">
        <v>9895</v>
      </c>
      <c r="E226" s="1" t="s">
        <v>29</v>
      </c>
      <c r="F226" s="1" t="s">
        <v>123</v>
      </c>
      <c r="G226" s="1" t="s">
        <v>31</v>
      </c>
      <c r="H226" s="1" t="s">
        <v>45</v>
      </c>
      <c r="I226" s="1" t="s">
        <v>46</v>
      </c>
      <c r="J226" s="1">
        <v>36.29</v>
      </c>
      <c r="K226" s="1" t="s">
        <v>124</v>
      </c>
      <c r="L226" s="1" t="s">
        <v>35</v>
      </c>
      <c r="M226" s="1">
        <v>0</v>
      </c>
      <c r="N226" s="1" t="s">
        <v>67</v>
      </c>
      <c r="O226" s="1" t="s">
        <v>37</v>
      </c>
      <c r="P226" s="1" t="s">
        <v>85</v>
      </c>
      <c r="Q226" s="1" t="s">
        <v>69</v>
      </c>
      <c r="R226" s="1" t="s">
        <v>125</v>
      </c>
      <c r="S226" s="1" t="s">
        <v>39</v>
      </c>
      <c r="T226" s="1">
        <v>2002.97</v>
      </c>
      <c r="U226" s="1" t="s">
        <v>40</v>
      </c>
      <c r="V226" s="1" t="s">
        <v>29</v>
      </c>
      <c r="W226" s="1" t="s">
        <v>36</v>
      </c>
      <c r="X226" s="1" t="s">
        <v>29</v>
      </c>
      <c r="Y226" s="1" t="s">
        <v>36</v>
      </c>
      <c r="Z226" s="1" t="s">
        <v>41</v>
      </c>
    </row>
    <row r="227" spans="1:26" ht="15.75" x14ac:dyDescent="0.25">
      <c r="A227" s="1" t="s">
        <v>26</v>
      </c>
      <c r="B227" s="1" t="s">
        <v>27</v>
      </c>
      <c r="C227" s="1" t="s">
        <v>122</v>
      </c>
      <c r="D227" s="3">
        <v>9895</v>
      </c>
      <c r="E227" s="1" t="s">
        <v>29</v>
      </c>
      <c r="F227" s="1" t="s">
        <v>123</v>
      </c>
      <c r="G227" s="1" t="s">
        <v>61</v>
      </c>
      <c r="H227" s="1" t="s">
        <v>45</v>
      </c>
      <c r="I227" s="1" t="s">
        <v>46</v>
      </c>
      <c r="J227" s="1">
        <v>1.5</v>
      </c>
      <c r="K227" s="1" t="s">
        <v>124</v>
      </c>
      <c r="L227" s="1" t="s">
        <v>35</v>
      </c>
      <c r="M227" s="1">
        <v>0</v>
      </c>
      <c r="N227" s="1" t="s">
        <v>67</v>
      </c>
      <c r="O227" s="1" t="s">
        <v>37</v>
      </c>
      <c r="P227" s="1" t="s">
        <v>87</v>
      </c>
      <c r="Q227" s="1" t="s">
        <v>69</v>
      </c>
      <c r="R227" s="1" t="s">
        <v>125</v>
      </c>
      <c r="S227" s="1" t="s">
        <v>39</v>
      </c>
      <c r="T227" s="1">
        <v>2002.97</v>
      </c>
      <c r="U227" s="1" t="s">
        <v>40</v>
      </c>
      <c r="V227" s="1" t="s">
        <v>29</v>
      </c>
      <c r="W227" s="1" t="s">
        <v>36</v>
      </c>
      <c r="X227" s="1" t="s">
        <v>29</v>
      </c>
      <c r="Y227" s="1" t="s">
        <v>36</v>
      </c>
      <c r="Z227" s="1" t="s">
        <v>41</v>
      </c>
    </row>
    <row r="228" spans="1:26" ht="15.75" x14ac:dyDescent="0.25">
      <c r="A228" s="1" t="s">
        <v>26</v>
      </c>
      <c r="B228" s="1" t="s">
        <v>27</v>
      </c>
      <c r="C228" s="1" t="s">
        <v>139</v>
      </c>
      <c r="D228" s="3">
        <v>54305</v>
      </c>
      <c r="E228" s="1" t="s">
        <v>29</v>
      </c>
      <c r="F228" s="1" t="s">
        <v>151</v>
      </c>
      <c r="G228" s="1" t="s">
        <v>31</v>
      </c>
      <c r="H228" s="1" t="s">
        <v>58</v>
      </c>
      <c r="I228" s="1" t="s">
        <v>33</v>
      </c>
      <c r="J228" s="1">
        <v>72.59</v>
      </c>
      <c r="K228" s="1" t="s">
        <v>152</v>
      </c>
      <c r="L228" s="1" t="s">
        <v>35</v>
      </c>
      <c r="M228" s="1">
        <v>0</v>
      </c>
      <c r="N228" s="1" t="s">
        <v>67</v>
      </c>
      <c r="O228" s="1" t="s">
        <v>37</v>
      </c>
      <c r="P228" s="1" t="s">
        <v>153</v>
      </c>
      <c r="Q228" s="1" t="s">
        <v>69</v>
      </c>
      <c r="R228" s="1" t="s">
        <v>154</v>
      </c>
      <c r="S228" s="1" t="s">
        <v>39</v>
      </c>
      <c r="T228" s="1">
        <v>2002.97</v>
      </c>
      <c r="U228" s="1" t="s">
        <v>40</v>
      </c>
      <c r="V228" s="1" t="s">
        <v>29</v>
      </c>
      <c r="W228" s="1" t="s">
        <v>36</v>
      </c>
      <c r="X228" s="1" t="s">
        <v>29</v>
      </c>
      <c r="Y228" s="1" t="s">
        <v>36</v>
      </c>
      <c r="Z228" s="1" t="s">
        <v>41</v>
      </c>
    </row>
    <row r="229" spans="1:26" ht="15.75" x14ac:dyDescent="0.25">
      <c r="A229" s="1" t="s">
        <v>26</v>
      </c>
      <c r="B229" s="1" t="s">
        <v>27</v>
      </c>
      <c r="C229" s="1" t="s">
        <v>139</v>
      </c>
      <c r="D229" s="3">
        <v>54305</v>
      </c>
      <c r="E229" s="1" t="s">
        <v>29</v>
      </c>
      <c r="F229" s="1" t="s">
        <v>151</v>
      </c>
      <c r="G229" s="1" t="s">
        <v>61</v>
      </c>
      <c r="H229" s="1" t="s">
        <v>58</v>
      </c>
      <c r="I229" s="1" t="s">
        <v>33</v>
      </c>
      <c r="J229" s="1">
        <v>2.69</v>
      </c>
      <c r="K229" s="1" t="s">
        <v>152</v>
      </c>
      <c r="L229" s="1" t="s">
        <v>35</v>
      </c>
      <c r="M229" s="1">
        <v>0</v>
      </c>
      <c r="N229" s="1" t="s">
        <v>67</v>
      </c>
      <c r="O229" s="1" t="s">
        <v>37</v>
      </c>
      <c r="P229" s="1" t="s">
        <v>155</v>
      </c>
      <c r="Q229" s="1" t="s">
        <v>69</v>
      </c>
      <c r="R229" s="1" t="s">
        <v>154</v>
      </c>
      <c r="S229" s="1" t="s">
        <v>39</v>
      </c>
      <c r="T229" s="1">
        <v>2002.97</v>
      </c>
      <c r="U229" s="1" t="s">
        <v>40</v>
      </c>
      <c r="V229" s="1" t="s">
        <v>29</v>
      </c>
      <c r="W229" s="1" t="s">
        <v>36</v>
      </c>
      <c r="X229" s="1" t="s">
        <v>29</v>
      </c>
      <c r="Y229" s="1" t="s">
        <v>36</v>
      </c>
      <c r="Z229" s="1" t="s">
        <v>41</v>
      </c>
    </row>
    <row r="230" spans="1:26" ht="15.75" x14ac:dyDescent="0.25">
      <c r="A230" s="1" t="s">
        <v>26</v>
      </c>
      <c r="B230" s="1" t="s">
        <v>27</v>
      </c>
      <c r="C230" s="1" t="s">
        <v>139</v>
      </c>
      <c r="D230" s="3">
        <v>83882</v>
      </c>
      <c r="E230" s="1" t="s">
        <v>29</v>
      </c>
      <c r="F230" s="1" t="s">
        <v>173</v>
      </c>
      <c r="G230" s="1" t="s">
        <v>31</v>
      </c>
      <c r="H230" s="1" t="s">
        <v>32</v>
      </c>
      <c r="I230" s="1" t="s">
        <v>33</v>
      </c>
      <c r="J230" s="1">
        <v>72.59</v>
      </c>
      <c r="K230" s="1" t="s">
        <v>174</v>
      </c>
      <c r="L230" s="1" t="s">
        <v>35</v>
      </c>
      <c r="M230" s="1">
        <v>0</v>
      </c>
      <c r="N230" s="1" t="s">
        <v>67</v>
      </c>
      <c r="O230" s="1" t="s">
        <v>37</v>
      </c>
      <c r="P230" s="1" t="s">
        <v>153</v>
      </c>
      <c r="Q230" s="1" t="s">
        <v>69</v>
      </c>
      <c r="R230" s="1" t="s">
        <v>175</v>
      </c>
      <c r="S230" s="1" t="s">
        <v>39</v>
      </c>
      <c r="T230" s="1">
        <v>2002.97</v>
      </c>
      <c r="U230" s="1" t="s">
        <v>40</v>
      </c>
      <c r="V230" s="1" t="s">
        <v>29</v>
      </c>
      <c r="W230" s="1" t="s">
        <v>36</v>
      </c>
      <c r="X230" s="1" t="s">
        <v>29</v>
      </c>
      <c r="Y230" s="1" t="s">
        <v>36</v>
      </c>
      <c r="Z230" s="1" t="s">
        <v>41</v>
      </c>
    </row>
    <row r="231" spans="1:26" ht="15.75" x14ac:dyDescent="0.25">
      <c r="A231" s="1" t="s">
        <v>26</v>
      </c>
      <c r="B231" s="1" t="s">
        <v>27</v>
      </c>
      <c r="C231" s="1" t="s">
        <v>139</v>
      </c>
      <c r="D231" s="3">
        <v>83882</v>
      </c>
      <c r="E231" s="1" t="s">
        <v>29</v>
      </c>
      <c r="F231" s="1" t="s">
        <v>173</v>
      </c>
      <c r="G231" s="1" t="s">
        <v>61</v>
      </c>
      <c r="H231" s="1" t="s">
        <v>32</v>
      </c>
      <c r="I231" s="1" t="s">
        <v>33</v>
      </c>
      <c r="J231" s="1">
        <v>2.69</v>
      </c>
      <c r="K231" s="1" t="s">
        <v>174</v>
      </c>
      <c r="L231" s="1" t="s">
        <v>35</v>
      </c>
      <c r="M231" s="1">
        <v>0</v>
      </c>
      <c r="N231" s="1" t="s">
        <v>67</v>
      </c>
      <c r="O231" s="1" t="s">
        <v>37</v>
      </c>
      <c r="P231" s="1" t="s">
        <v>155</v>
      </c>
      <c r="Q231" s="1" t="s">
        <v>69</v>
      </c>
      <c r="R231" s="1" t="s">
        <v>175</v>
      </c>
      <c r="S231" s="1" t="s">
        <v>39</v>
      </c>
      <c r="T231" s="1">
        <v>2002.97</v>
      </c>
      <c r="U231" s="1" t="s">
        <v>40</v>
      </c>
      <c r="V231" s="1" t="s">
        <v>29</v>
      </c>
      <c r="W231" s="1" t="s">
        <v>36</v>
      </c>
      <c r="X231" s="1" t="s">
        <v>29</v>
      </c>
      <c r="Y231" s="1" t="s">
        <v>36</v>
      </c>
      <c r="Z231" s="1" t="s">
        <v>41</v>
      </c>
    </row>
    <row r="232" spans="1:26" ht="15.75" x14ac:dyDescent="0.25">
      <c r="A232" s="1" t="s">
        <v>26</v>
      </c>
      <c r="B232" s="1" t="s">
        <v>27</v>
      </c>
      <c r="C232" s="1" t="s">
        <v>139</v>
      </c>
      <c r="D232" s="3">
        <v>83883</v>
      </c>
      <c r="E232" s="1" t="s">
        <v>29</v>
      </c>
      <c r="F232" s="1" t="s">
        <v>173</v>
      </c>
      <c r="G232" s="1" t="s">
        <v>42</v>
      </c>
      <c r="H232" s="1" t="s">
        <v>32</v>
      </c>
      <c r="I232" s="1" t="s">
        <v>33</v>
      </c>
      <c r="J232" s="1">
        <v>30.07</v>
      </c>
      <c r="K232" s="1" t="s">
        <v>174</v>
      </c>
      <c r="L232" s="1" t="s">
        <v>35</v>
      </c>
      <c r="M232" s="1">
        <v>0</v>
      </c>
      <c r="N232" s="1" t="s">
        <v>67</v>
      </c>
      <c r="O232" s="1" t="s">
        <v>37</v>
      </c>
      <c r="P232" s="1" t="s">
        <v>176</v>
      </c>
      <c r="Q232" s="1" t="s">
        <v>69</v>
      </c>
      <c r="R232" s="1" t="s">
        <v>175</v>
      </c>
      <c r="S232" s="1" t="s">
        <v>39</v>
      </c>
      <c r="T232" s="1">
        <v>2002.97</v>
      </c>
      <c r="U232" s="1" t="s">
        <v>40</v>
      </c>
      <c r="V232" s="1" t="s">
        <v>29</v>
      </c>
      <c r="W232" s="1" t="s">
        <v>36</v>
      </c>
      <c r="X232" s="1" t="s">
        <v>29</v>
      </c>
      <c r="Y232" s="1" t="s">
        <v>36</v>
      </c>
      <c r="Z232" s="1" t="s">
        <v>41</v>
      </c>
    </row>
    <row r="233" spans="1:26" ht="15.75" x14ac:dyDescent="0.25">
      <c r="A233" s="1" t="s">
        <v>26</v>
      </c>
      <c r="B233" s="1" t="s">
        <v>27</v>
      </c>
      <c r="C233" s="1" t="s">
        <v>139</v>
      </c>
      <c r="D233" s="3">
        <v>84493</v>
      </c>
      <c r="E233" s="1" t="s">
        <v>29</v>
      </c>
      <c r="F233" s="1" t="s">
        <v>177</v>
      </c>
      <c r="G233" s="1" t="s">
        <v>31</v>
      </c>
      <c r="H233" s="1" t="s">
        <v>32</v>
      </c>
      <c r="I233" s="1" t="s">
        <v>33</v>
      </c>
      <c r="J233" s="1">
        <v>36.29</v>
      </c>
      <c r="K233" s="1" t="s">
        <v>174</v>
      </c>
      <c r="L233" s="1" t="s">
        <v>35</v>
      </c>
      <c r="M233" s="1">
        <v>0</v>
      </c>
      <c r="N233" s="1" t="s">
        <v>67</v>
      </c>
      <c r="O233" s="1" t="s">
        <v>37</v>
      </c>
      <c r="P233" s="1" t="s">
        <v>85</v>
      </c>
      <c r="Q233" s="1" t="s">
        <v>69</v>
      </c>
      <c r="R233" s="1" t="s">
        <v>178</v>
      </c>
      <c r="S233" s="1" t="s">
        <v>39</v>
      </c>
      <c r="T233" s="1">
        <v>2002.97</v>
      </c>
      <c r="U233" s="1" t="s">
        <v>40</v>
      </c>
      <c r="V233" s="1" t="s">
        <v>29</v>
      </c>
      <c r="W233" s="1" t="s">
        <v>36</v>
      </c>
      <c r="X233" s="1" t="s">
        <v>29</v>
      </c>
      <c r="Y233" s="1" t="s">
        <v>36</v>
      </c>
      <c r="Z233" s="1" t="s">
        <v>41</v>
      </c>
    </row>
    <row r="234" spans="1:26" ht="15.75" x14ac:dyDescent="0.25">
      <c r="A234" s="1" t="s">
        <v>26</v>
      </c>
      <c r="B234" s="1" t="s">
        <v>27</v>
      </c>
      <c r="C234" s="1" t="s">
        <v>139</v>
      </c>
      <c r="D234" s="3">
        <v>84493</v>
      </c>
      <c r="E234" s="1" t="s">
        <v>29</v>
      </c>
      <c r="F234" s="1" t="s">
        <v>177</v>
      </c>
      <c r="G234" s="1" t="s">
        <v>61</v>
      </c>
      <c r="H234" s="1" t="s">
        <v>32</v>
      </c>
      <c r="I234" s="1" t="s">
        <v>33</v>
      </c>
      <c r="J234" s="1">
        <v>1.5</v>
      </c>
      <c r="K234" s="1" t="s">
        <v>174</v>
      </c>
      <c r="L234" s="1" t="s">
        <v>35</v>
      </c>
      <c r="M234" s="1">
        <v>0</v>
      </c>
      <c r="N234" s="1" t="s">
        <v>67</v>
      </c>
      <c r="O234" s="1" t="s">
        <v>37</v>
      </c>
      <c r="P234" s="1" t="s">
        <v>87</v>
      </c>
      <c r="Q234" s="1" t="s">
        <v>69</v>
      </c>
      <c r="R234" s="1" t="s">
        <v>178</v>
      </c>
      <c r="S234" s="1" t="s">
        <v>39</v>
      </c>
      <c r="T234" s="1">
        <v>2002.97</v>
      </c>
      <c r="U234" s="1" t="s">
        <v>40</v>
      </c>
      <c r="V234" s="1" t="s">
        <v>29</v>
      </c>
      <c r="W234" s="1" t="s">
        <v>36</v>
      </c>
      <c r="X234" s="1" t="s">
        <v>29</v>
      </c>
      <c r="Y234" s="1" t="s">
        <v>36</v>
      </c>
      <c r="Z234" s="1" t="s">
        <v>41</v>
      </c>
    </row>
    <row r="235" spans="1:26" ht="15.75" x14ac:dyDescent="0.25">
      <c r="A235" s="1" t="s">
        <v>26</v>
      </c>
      <c r="B235" s="1" t="s">
        <v>27</v>
      </c>
      <c r="C235" s="1" t="s">
        <v>139</v>
      </c>
      <c r="D235" s="3">
        <v>84494</v>
      </c>
      <c r="E235" s="1" t="s">
        <v>29</v>
      </c>
      <c r="F235" s="1" t="s">
        <v>177</v>
      </c>
      <c r="G235" s="1" t="s">
        <v>42</v>
      </c>
      <c r="H235" s="1" t="s">
        <v>32</v>
      </c>
      <c r="I235" s="1" t="s">
        <v>33</v>
      </c>
      <c r="J235" s="1">
        <v>16.34</v>
      </c>
      <c r="K235" s="1" t="s">
        <v>174</v>
      </c>
      <c r="L235" s="1" t="s">
        <v>35</v>
      </c>
      <c r="M235" s="1">
        <v>0</v>
      </c>
      <c r="N235" s="1" t="s">
        <v>67</v>
      </c>
      <c r="O235" s="1" t="s">
        <v>37</v>
      </c>
      <c r="P235" s="1" t="s">
        <v>71</v>
      </c>
      <c r="Q235" s="1" t="s">
        <v>69</v>
      </c>
      <c r="R235" s="1" t="s">
        <v>178</v>
      </c>
      <c r="S235" s="1" t="s">
        <v>39</v>
      </c>
      <c r="T235" s="1">
        <v>2002.97</v>
      </c>
      <c r="U235" s="1" t="s">
        <v>40</v>
      </c>
      <c r="V235" s="1" t="s">
        <v>29</v>
      </c>
      <c r="W235" s="1" t="s">
        <v>36</v>
      </c>
      <c r="X235" s="1" t="s">
        <v>29</v>
      </c>
      <c r="Y235" s="1" t="s">
        <v>36</v>
      </c>
      <c r="Z235" s="1" t="s">
        <v>41</v>
      </c>
    </row>
    <row r="236" spans="1:26" ht="15.75" x14ac:dyDescent="0.25">
      <c r="A236" s="1" t="s">
        <v>26</v>
      </c>
      <c r="B236" s="1" t="s">
        <v>27</v>
      </c>
      <c r="C236" s="1" t="s">
        <v>206</v>
      </c>
      <c r="D236" s="3">
        <v>48114</v>
      </c>
      <c r="E236" s="1" t="s">
        <v>29</v>
      </c>
      <c r="F236" s="1" t="s">
        <v>244</v>
      </c>
      <c r="G236" s="1" t="s">
        <v>31</v>
      </c>
      <c r="H236" s="1" t="s">
        <v>148</v>
      </c>
      <c r="I236" s="1" t="s">
        <v>33</v>
      </c>
      <c r="J236" s="1">
        <v>72.59</v>
      </c>
      <c r="K236" s="1" t="s">
        <v>245</v>
      </c>
      <c r="L236" s="1" t="s">
        <v>35</v>
      </c>
      <c r="M236" s="1">
        <v>0</v>
      </c>
      <c r="N236" s="1" t="s">
        <v>67</v>
      </c>
      <c r="O236" s="1" t="s">
        <v>37</v>
      </c>
      <c r="P236" s="1" t="s">
        <v>153</v>
      </c>
      <c r="Q236" s="1" t="s">
        <v>69</v>
      </c>
      <c r="R236" s="1" t="s">
        <v>246</v>
      </c>
      <c r="S236" s="1" t="s">
        <v>39</v>
      </c>
      <c r="T236" s="1">
        <v>2002.97</v>
      </c>
      <c r="U236" s="1" t="s">
        <v>40</v>
      </c>
      <c r="V236" s="1" t="s">
        <v>29</v>
      </c>
      <c r="W236" s="1" t="s">
        <v>36</v>
      </c>
      <c r="X236" s="1" t="s">
        <v>29</v>
      </c>
      <c r="Y236" s="1" t="s">
        <v>36</v>
      </c>
      <c r="Z236" s="1" t="s">
        <v>41</v>
      </c>
    </row>
    <row r="237" spans="1:26" ht="15.75" x14ac:dyDescent="0.25">
      <c r="A237" s="1" t="s">
        <v>26</v>
      </c>
      <c r="B237" s="1" t="s">
        <v>27</v>
      </c>
      <c r="C237" s="1" t="s">
        <v>206</v>
      </c>
      <c r="D237" s="3">
        <v>48114</v>
      </c>
      <c r="E237" s="1" t="s">
        <v>29</v>
      </c>
      <c r="F237" s="1" t="s">
        <v>244</v>
      </c>
      <c r="G237" s="1" t="s">
        <v>61</v>
      </c>
      <c r="H237" s="1" t="s">
        <v>148</v>
      </c>
      <c r="I237" s="1" t="s">
        <v>33</v>
      </c>
      <c r="J237" s="1">
        <v>2.69</v>
      </c>
      <c r="K237" s="1" t="s">
        <v>245</v>
      </c>
      <c r="L237" s="1" t="s">
        <v>35</v>
      </c>
      <c r="M237" s="1">
        <v>0</v>
      </c>
      <c r="N237" s="1" t="s">
        <v>67</v>
      </c>
      <c r="O237" s="1" t="s">
        <v>37</v>
      </c>
      <c r="P237" s="1" t="s">
        <v>155</v>
      </c>
      <c r="Q237" s="1" t="s">
        <v>69</v>
      </c>
      <c r="R237" s="1" t="s">
        <v>246</v>
      </c>
      <c r="S237" s="1" t="s">
        <v>39</v>
      </c>
      <c r="T237" s="1">
        <v>2002.97</v>
      </c>
      <c r="U237" s="1" t="s">
        <v>40</v>
      </c>
      <c r="V237" s="1" t="s">
        <v>29</v>
      </c>
      <c r="W237" s="1" t="s">
        <v>36</v>
      </c>
      <c r="X237" s="1" t="s">
        <v>29</v>
      </c>
      <c r="Y237" s="1" t="s">
        <v>36</v>
      </c>
      <c r="Z237" s="1" t="s">
        <v>41</v>
      </c>
    </row>
    <row r="238" spans="1:26" ht="15.75" x14ac:dyDescent="0.25">
      <c r="A238" s="1" t="s">
        <v>26</v>
      </c>
      <c r="B238" s="1" t="s">
        <v>27</v>
      </c>
      <c r="C238" s="1" t="s">
        <v>206</v>
      </c>
      <c r="D238" s="3">
        <v>78641</v>
      </c>
      <c r="E238" s="1" t="s">
        <v>29</v>
      </c>
      <c r="F238" s="1" t="s">
        <v>271</v>
      </c>
      <c r="G238" s="1" t="s">
        <v>31</v>
      </c>
      <c r="H238" s="1" t="s">
        <v>58</v>
      </c>
      <c r="I238" s="1" t="s">
        <v>33</v>
      </c>
      <c r="J238" s="1">
        <v>36.29</v>
      </c>
      <c r="K238" s="1" t="s">
        <v>272</v>
      </c>
      <c r="L238" s="1" t="s">
        <v>35</v>
      </c>
      <c r="M238" s="1">
        <v>0</v>
      </c>
      <c r="N238" s="1" t="s">
        <v>67</v>
      </c>
      <c r="O238" s="1" t="s">
        <v>37</v>
      </c>
      <c r="P238" s="1" t="s">
        <v>85</v>
      </c>
      <c r="Q238" s="1" t="s">
        <v>69</v>
      </c>
      <c r="R238" s="1" t="s">
        <v>273</v>
      </c>
      <c r="S238" s="1" t="s">
        <v>39</v>
      </c>
      <c r="T238" s="1">
        <v>2002.97</v>
      </c>
      <c r="U238" s="1" t="s">
        <v>40</v>
      </c>
      <c r="V238" s="1" t="s">
        <v>29</v>
      </c>
      <c r="W238" s="1" t="s">
        <v>36</v>
      </c>
      <c r="X238" s="1" t="s">
        <v>29</v>
      </c>
      <c r="Y238" s="1" t="s">
        <v>36</v>
      </c>
      <c r="Z238" s="1" t="s">
        <v>41</v>
      </c>
    </row>
    <row r="239" spans="1:26" ht="15.75" x14ac:dyDescent="0.25">
      <c r="A239" s="1" t="s">
        <v>26</v>
      </c>
      <c r="B239" s="1" t="s">
        <v>27</v>
      </c>
      <c r="C239" s="1" t="s">
        <v>206</v>
      </c>
      <c r="D239" s="3">
        <v>78641</v>
      </c>
      <c r="E239" s="1" t="s">
        <v>29</v>
      </c>
      <c r="F239" s="1" t="s">
        <v>271</v>
      </c>
      <c r="G239" s="1" t="s">
        <v>61</v>
      </c>
      <c r="H239" s="1" t="s">
        <v>58</v>
      </c>
      <c r="I239" s="1" t="s">
        <v>33</v>
      </c>
      <c r="J239" s="1">
        <v>1.5</v>
      </c>
      <c r="K239" s="1" t="s">
        <v>272</v>
      </c>
      <c r="L239" s="1" t="s">
        <v>35</v>
      </c>
      <c r="M239" s="1">
        <v>0</v>
      </c>
      <c r="N239" s="1" t="s">
        <v>67</v>
      </c>
      <c r="O239" s="1" t="s">
        <v>37</v>
      </c>
      <c r="P239" s="1" t="s">
        <v>87</v>
      </c>
      <c r="Q239" s="1" t="s">
        <v>69</v>
      </c>
      <c r="R239" s="1" t="s">
        <v>273</v>
      </c>
      <c r="S239" s="1" t="s">
        <v>39</v>
      </c>
      <c r="T239" s="1">
        <v>2002.97</v>
      </c>
      <c r="U239" s="1" t="s">
        <v>40</v>
      </c>
      <c r="V239" s="1" t="s">
        <v>29</v>
      </c>
      <c r="W239" s="1" t="s">
        <v>36</v>
      </c>
      <c r="X239" s="1" t="s">
        <v>29</v>
      </c>
      <c r="Y239" s="1" t="s">
        <v>36</v>
      </c>
      <c r="Z239" s="1" t="s">
        <v>41</v>
      </c>
    </row>
    <row r="240" spans="1:26" ht="15.75" x14ac:dyDescent="0.25">
      <c r="A240" s="1" t="s">
        <v>26</v>
      </c>
      <c r="B240" s="1" t="s">
        <v>27</v>
      </c>
      <c r="C240" s="1" t="s">
        <v>206</v>
      </c>
      <c r="D240" s="3">
        <v>78642</v>
      </c>
      <c r="E240" s="1" t="s">
        <v>29</v>
      </c>
      <c r="F240" s="1" t="s">
        <v>271</v>
      </c>
      <c r="G240" s="1" t="s">
        <v>42</v>
      </c>
      <c r="H240" s="1" t="s">
        <v>58</v>
      </c>
      <c r="I240" s="1" t="s">
        <v>33</v>
      </c>
      <c r="J240" s="1">
        <v>16.34</v>
      </c>
      <c r="K240" s="1" t="s">
        <v>272</v>
      </c>
      <c r="L240" s="1" t="s">
        <v>35</v>
      </c>
      <c r="M240" s="1">
        <v>0</v>
      </c>
      <c r="N240" s="1" t="s">
        <v>67</v>
      </c>
      <c r="O240" s="1" t="s">
        <v>37</v>
      </c>
      <c r="P240" s="1" t="s">
        <v>71</v>
      </c>
      <c r="Q240" s="1" t="s">
        <v>69</v>
      </c>
      <c r="R240" s="1" t="s">
        <v>273</v>
      </c>
      <c r="S240" s="1" t="s">
        <v>39</v>
      </c>
      <c r="T240" s="1">
        <v>2002.97</v>
      </c>
      <c r="U240" s="1" t="s">
        <v>40</v>
      </c>
      <c r="V240" s="1" t="s">
        <v>29</v>
      </c>
      <c r="W240" s="1" t="s">
        <v>36</v>
      </c>
      <c r="X240" s="1" t="s">
        <v>29</v>
      </c>
      <c r="Y240" s="1" t="s">
        <v>36</v>
      </c>
      <c r="Z240" s="1" t="s">
        <v>41</v>
      </c>
    </row>
    <row r="241" spans="1:26" ht="15.75" x14ac:dyDescent="0.25">
      <c r="A241" s="1" t="s">
        <v>26</v>
      </c>
      <c r="B241" s="1" t="s">
        <v>27</v>
      </c>
      <c r="C241" s="1" t="s">
        <v>282</v>
      </c>
      <c r="D241" s="3">
        <v>16141</v>
      </c>
      <c r="E241" s="1" t="s">
        <v>29</v>
      </c>
      <c r="F241" s="1" t="s">
        <v>293</v>
      </c>
      <c r="G241" s="1" t="s">
        <v>31</v>
      </c>
      <c r="H241" s="1" t="s">
        <v>58</v>
      </c>
      <c r="I241" s="1" t="s">
        <v>33</v>
      </c>
      <c r="J241" s="1">
        <v>36.29</v>
      </c>
      <c r="K241" s="1" t="s">
        <v>294</v>
      </c>
      <c r="L241" s="1" t="s">
        <v>35</v>
      </c>
      <c r="M241" s="1">
        <v>0</v>
      </c>
      <c r="N241" s="1" t="s">
        <v>67</v>
      </c>
      <c r="O241" s="1" t="s">
        <v>37</v>
      </c>
      <c r="P241" s="1" t="s">
        <v>295</v>
      </c>
      <c r="Q241" s="1" t="s">
        <v>69</v>
      </c>
      <c r="R241" s="1" t="s">
        <v>296</v>
      </c>
      <c r="S241" s="1" t="s">
        <v>39</v>
      </c>
      <c r="T241" s="1">
        <v>2002.97</v>
      </c>
      <c r="U241" s="1" t="s">
        <v>40</v>
      </c>
      <c r="V241" s="1" t="s">
        <v>29</v>
      </c>
      <c r="W241" s="1" t="s">
        <v>36</v>
      </c>
      <c r="X241" s="1" t="s">
        <v>29</v>
      </c>
      <c r="Y241" s="1" t="s">
        <v>36</v>
      </c>
      <c r="Z241" s="1" t="s">
        <v>41</v>
      </c>
    </row>
    <row r="242" spans="1:26" ht="15.75" x14ac:dyDescent="0.25">
      <c r="A242" s="1" t="s">
        <v>26</v>
      </c>
      <c r="B242" s="1" t="s">
        <v>27</v>
      </c>
      <c r="C242" s="1" t="s">
        <v>282</v>
      </c>
      <c r="D242" s="3">
        <v>16141</v>
      </c>
      <c r="E242" s="1" t="s">
        <v>29</v>
      </c>
      <c r="F242" s="1" t="s">
        <v>293</v>
      </c>
      <c r="G242" s="1" t="s">
        <v>61</v>
      </c>
      <c r="H242" s="1" t="s">
        <v>58</v>
      </c>
      <c r="I242" s="1" t="s">
        <v>33</v>
      </c>
      <c r="J242" s="1">
        <v>1.5</v>
      </c>
      <c r="K242" s="1" t="s">
        <v>294</v>
      </c>
      <c r="L242" s="1" t="s">
        <v>35</v>
      </c>
      <c r="M242" s="1">
        <v>0</v>
      </c>
      <c r="N242" s="1" t="s">
        <v>67</v>
      </c>
      <c r="O242" s="1" t="s">
        <v>37</v>
      </c>
      <c r="P242" s="1" t="s">
        <v>297</v>
      </c>
      <c r="Q242" s="1" t="s">
        <v>69</v>
      </c>
      <c r="R242" s="1" t="s">
        <v>296</v>
      </c>
      <c r="S242" s="1" t="s">
        <v>39</v>
      </c>
      <c r="T242" s="1">
        <v>2002.97</v>
      </c>
      <c r="U242" s="1" t="s">
        <v>40</v>
      </c>
      <c r="V242" s="1" t="s">
        <v>29</v>
      </c>
      <c r="W242" s="1" t="s">
        <v>36</v>
      </c>
      <c r="X242" s="1" t="s">
        <v>29</v>
      </c>
      <c r="Y242" s="1" t="s">
        <v>36</v>
      </c>
      <c r="Z242" s="1" t="s">
        <v>41</v>
      </c>
    </row>
    <row r="243" spans="1:26" ht="15.75" x14ac:dyDescent="0.25">
      <c r="A243" s="1" t="s">
        <v>26</v>
      </c>
      <c r="B243" s="1" t="s">
        <v>27</v>
      </c>
      <c r="C243" s="1" t="s">
        <v>282</v>
      </c>
      <c r="D243" s="3">
        <v>33758</v>
      </c>
      <c r="E243" s="1" t="s">
        <v>29</v>
      </c>
      <c r="F243" s="1" t="s">
        <v>328</v>
      </c>
      <c r="G243" s="1" t="s">
        <v>31</v>
      </c>
      <c r="H243" s="1" t="s">
        <v>45</v>
      </c>
      <c r="I243" s="1" t="s">
        <v>46</v>
      </c>
      <c r="J243" s="1">
        <v>31.82</v>
      </c>
      <c r="K243" s="1" t="s">
        <v>329</v>
      </c>
      <c r="L243" s="1" t="s">
        <v>35</v>
      </c>
      <c r="M243" s="1">
        <v>0</v>
      </c>
      <c r="N243" s="1" t="s">
        <v>67</v>
      </c>
      <c r="O243" s="1" t="s">
        <v>37</v>
      </c>
      <c r="P243" s="1" t="s">
        <v>330</v>
      </c>
      <c r="Q243" s="1" t="s">
        <v>69</v>
      </c>
      <c r="R243" s="1" t="s">
        <v>331</v>
      </c>
      <c r="S243" s="1" t="s">
        <v>39</v>
      </c>
      <c r="T243" s="1">
        <v>2002.97</v>
      </c>
      <c r="U243" s="1" t="s">
        <v>40</v>
      </c>
      <c r="V243" s="1" t="s">
        <v>29</v>
      </c>
      <c r="W243" s="1" t="s">
        <v>36</v>
      </c>
      <c r="X243" s="1" t="s">
        <v>29</v>
      </c>
      <c r="Y243" s="1" t="s">
        <v>36</v>
      </c>
      <c r="Z243" s="1" t="s">
        <v>41</v>
      </c>
    </row>
    <row r="244" spans="1:26" ht="15.75" x14ac:dyDescent="0.25">
      <c r="A244" s="1" t="s">
        <v>26</v>
      </c>
      <c r="B244" s="1" t="s">
        <v>27</v>
      </c>
      <c r="C244" s="1" t="s">
        <v>282</v>
      </c>
      <c r="D244" s="3">
        <v>33759</v>
      </c>
      <c r="E244" s="1" t="s">
        <v>29</v>
      </c>
      <c r="F244" s="1" t="s">
        <v>328</v>
      </c>
      <c r="G244" s="1" t="s">
        <v>42</v>
      </c>
      <c r="H244" s="1" t="s">
        <v>45</v>
      </c>
      <c r="I244" s="1" t="s">
        <v>46</v>
      </c>
      <c r="J244" s="1">
        <v>16.34</v>
      </c>
      <c r="K244" s="1" t="s">
        <v>329</v>
      </c>
      <c r="L244" s="1" t="s">
        <v>35</v>
      </c>
      <c r="M244" s="1">
        <v>0</v>
      </c>
      <c r="N244" s="1" t="s">
        <v>67</v>
      </c>
      <c r="O244" s="1" t="s">
        <v>37</v>
      </c>
      <c r="P244" s="1" t="s">
        <v>332</v>
      </c>
      <c r="Q244" s="1" t="s">
        <v>69</v>
      </c>
      <c r="R244" s="1" t="s">
        <v>331</v>
      </c>
      <c r="S244" s="1" t="s">
        <v>39</v>
      </c>
      <c r="T244" s="1">
        <v>2002.97</v>
      </c>
      <c r="U244" s="1" t="s">
        <v>40</v>
      </c>
      <c r="V244" s="1" t="s">
        <v>29</v>
      </c>
      <c r="W244" s="1" t="s">
        <v>36</v>
      </c>
      <c r="X244" s="1" t="s">
        <v>29</v>
      </c>
      <c r="Y244" s="1" t="s">
        <v>36</v>
      </c>
      <c r="Z244" s="1" t="s">
        <v>41</v>
      </c>
    </row>
    <row r="245" spans="1:26" ht="15.75" x14ac:dyDescent="0.25">
      <c r="A245" s="1" t="s">
        <v>26</v>
      </c>
      <c r="B245" s="1" t="s">
        <v>27</v>
      </c>
      <c r="C245" s="1" t="s">
        <v>372</v>
      </c>
      <c r="D245" s="3">
        <v>8703</v>
      </c>
      <c r="E245" s="1" t="s">
        <v>29</v>
      </c>
      <c r="F245" s="1" t="s">
        <v>380</v>
      </c>
      <c r="G245" s="1" t="s">
        <v>31</v>
      </c>
      <c r="H245" s="1" t="s">
        <v>33</v>
      </c>
      <c r="I245" s="1" t="s">
        <v>45</v>
      </c>
      <c r="J245" s="1">
        <v>36.29</v>
      </c>
      <c r="K245" s="1" t="s">
        <v>381</v>
      </c>
      <c r="L245" s="1" t="s">
        <v>35</v>
      </c>
      <c r="M245" s="1">
        <v>0</v>
      </c>
      <c r="N245" s="1" t="s">
        <v>67</v>
      </c>
      <c r="O245" s="1" t="s">
        <v>37</v>
      </c>
      <c r="P245" s="1" t="s">
        <v>295</v>
      </c>
      <c r="Q245" s="1" t="s">
        <v>69</v>
      </c>
      <c r="R245" s="1" t="s">
        <v>382</v>
      </c>
      <c r="S245" s="1" t="s">
        <v>39</v>
      </c>
      <c r="T245" s="1">
        <v>2002.97</v>
      </c>
      <c r="U245" s="1" t="s">
        <v>40</v>
      </c>
      <c r="V245" s="1" t="s">
        <v>29</v>
      </c>
      <c r="W245" s="1" t="s">
        <v>36</v>
      </c>
      <c r="X245" s="1" t="s">
        <v>29</v>
      </c>
      <c r="Y245" s="1" t="s">
        <v>36</v>
      </c>
      <c r="Z245" s="1" t="s">
        <v>41</v>
      </c>
    </row>
    <row r="246" spans="1:26" ht="15.75" x14ac:dyDescent="0.25">
      <c r="A246" s="1" t="s">
        <v>26</v>
      </c>
      <c r="B246" s="1" t="s">
        <v>27</v>
      </c>
      <c r="C246" s="1" t="s">
        <v>372</v>
      </c>
      <c r="D246" s="3">
        <v>8703</v>
      </c>
      <c r="E246" s="1" t="s">
        <v>29</v>
      </c>
      <c r="F246" s="1" t="s">
        <v>380</v>
      </c>
      <c r="G246" s="1" t="s">
        <v>61</v>
      </c>
      <c r="H246" s="1" t="s">
        <v>33</v>
      </c>
      <c r="I246" s="1" t="s">
        <v>45</v>
      </c>
      <c r="J246" s="1">
        <v>1.5</v>
      </c>
      <c r="K246" s="1" t="s">
        <v>381</v>
      </c>
      <c r="L246" s="1" t="s">
        <v>35</v>
      </c>
      <c r="M246" s="1">
        <v>0</v>
      </c>
      <c r="N246" s="1" t="s">
        <v>67</v>
      </c>
      <c r="O246" s="1" t="s">
        <v>37</v>
      </c>
      <c r="P246" s="1" t="s">
        <v>297</v>
      </c>
      <c r="Q246" s="1" t="s">
        <v>69</v>
      </c>
      <c r="R246" s="1" t="s">
        <v>382</v>
      </c>
      <c r="S246" s="1" t="s">
        <v>39</v>
      </c>
      <c r="T246" s="1">
        <v>2002.97</v>
      </c>
      <c r="U246" s="1" t="s">
        <v>40</v>
      </c>
      <c r="V246" s="1" t="s">
        <v>29</v>
      </c>
      <c r="W246" s="1" t="s">
        <v>36</v>
      </c>
      <c r="X246" s="1" t="s">
        <v>29</v>
      </c>
      <c r="Y246" s="1" t="s">
        <v>36</v>
      </c>
      <c r="Z246" s="1" t="s">
        <v>41</v>
      </c>
    </row>
    <row r="247" spans="1:26" ht="15.75" x14ac:dyDescent="0.25">
      <c r="A247" s="1" t="s">
        <v>26</v>
      </c>
      <c r="B247" s="1" t="s">
        <v>27</v>
      </c>
      <c r="C247" s="1" t="s">
        <v>372</v>
      </c>
      <c r="D247" s="3">
        <v>9333</v>
      </c>
      <c r="E247" s="1" t="s">
        <v>29</v>
      </c>
      <c r="F247" s="1" t="s">
        <v>383</v>
      </c>
      <c r="G247" s="1" t="s">
        <v>31</v>
      </c>
      <c r="H247" s="1" t="s">
        <v>33</v>
      </c>
      <c r="I247" s="1" t="s">
        <v>45</v>
      </c>
      <c r="J247" s="1">
        <v>36.29</v>
      </c>
      <c r="K247" s="1" t="s">
        <v>381</v>
      </c>
      <c r="L247" s="1" t="s">
        <v>35</v>
      </c>
      <c r="M247" s="1">
        <v>0</v>
      </c>
      <c r="N247" s="1" t="s">
        <v>67</v>
      </c>
      <c r="O247" s="1" t="s">
        <v>37</v>
      </c>
      <c r="P247" s="1" t="s">
        <v>295</v>
      </c>
      <c r="Q247" s="1" t="s">
        <v>69</v>
      </c>
      <c r="R247" s="1" t="s">
        <v>384</v>
      </c>
      <c r="S247" s="1" t="s">
        <v>39</v>
      </c>
      <c r="T247" s="1">
        <v>2002.97</v>
      </c>
      <c r="U247" s="1" t="s">
        <v>40</v>
      </c>
      <c r="V247" s="1" t="s">
        <v>29</v>
      </c>
      <c r="W247" s="1" t="s">
        <v>36</v>
      </c>
      <c r="X247" s="1" t="s">
        <v>29</v>
      </c>
      <c r="Y247" s="1" t="s">
        <v>36</v>
      </c>
      <c r="Z247" s="1" t="s">
        <v>41</v>
      </c>
    </row>
    <row r="248" spans="1:26" ht="15.75" x14ac:dyDescent="0.25">
      <c r="A248" s="1" t="s">
        <v>26</v>
      </c>
      <c r="B248" s="1" t="s">
        <v>27</v>
      </c>
      <c r="C248" s="1" t="s">
        <v>372</v>
      </c>
      <c r="D248" s="3">
        <v>9333</v>
      </c>
      <c r="E248" s="1" t="s">
        <v>29</v>
      </c>
      <c r="F248" s="1" t="s">
        <v>383</v>
      </c>
      <c r="G248" s="1" t="s">
        <v>61</v>
      </c>
      <c r="H248" s="1" t="s">
        <v>33</v>
      </c>
      <c r="I248" s="1" t="s">
        <v>45</v>
      </c>
      <c r="J248" s="1">
        <v>1.5</v>
      </c>
      <c r="K248" s="1" t="s">
        <v>381</v>
      </c>
      <c r="L248" s="1" t="s">
        <v>35</v>
      </c>
      <c r="M248" s="1">
        <v>0</v>
      </c>
      <c r="N248" s="1" t="s">
        <v>67</v>
      </c>
      <c r="O248" s="1" t="s">
        <v>37</v>
      </c>
      <c r="P248" s="1" t="s">
        <v>297</v>
      </c>
      <c r="Q248" s="1" t="s">
        <v>69</v>
      </c>
      <c r="R248" s="1" t="s">
        <v>384</v>
      </c>
      <c r="S248" s="1" t="s">
        <v>39</v>
      </c>
      <c r="T248" s="1">
        <v>2002.97</v>
      </c>
      <c r="U248" s="1" t="s">
        <v>40</v>
      </c>
      <c r="V248" s="1" t="s">
        <v>29</v>
      </c>
      <c r="W248" s="1" t="s">
        <v>36</v>
      </c>
      <c r="X248" s="1" t="s">
        <v>29</v>
      </c>
      <c r="Y248" s="1" t="s">
        <v>36</v>
      </c>
      <c r="Z248" s="1" t="s">
        <v>41</v>
      </c>
    </row>
    <row r="249" spans="1:26" ht="15.75" x14ac:dyDescent="0.25">
      <c r="A249" s="1" t="s">
        <v>26</v>
      </c>
      <c r="B249" s="1" t="s">
        <v>27</v>
      </c>
      <c r="C249" s="1" t="s">
        <v>372</v>
      </c>
      <c r="D249" s="3">
        <v>10617</v>
      </c>
      <c r="E249" s="1" t="s">
        <v>29</v>
      </c>
      <c r="F249" s="1" t="s">
        <v>390</v>
      </c>
      <c r="G249" s="1" t="s">
        <v>31</v>
      </c>
      <c r="H249" s="1" t="s">
        <v>58</v>
      </c>
      <c r="I249" s="1" t="s">
        <v>33</v>
      </c>
      <c r="J249" s="1">
        <v>36.29</v>
      </c>
      <c r="K249" s="1" t="s">
        <v>391</v>
      </c>
      <c r="L249" s="1" t="s">
        <v>35</v>
      </c>
      <c r="M249" s="1">
        <v>0</v>
      </c>
      <c r="N249" s="1" t="s">
        <v>67</v>
      </c>
      <c r="O249" s="1" t="s">
        <v>37</v>
      </c>
      <c r="P249" s="1" t="s">
        <v>295</v>
      </c>
      <c r="Q249" s="1" t="s">
        <v>69</v>
      </c>
      <c r="R249" s="1" t="s">
        <v>392</v>
      </c>
      <c r="S249" s="1" t="s">
        <v>39</v>
      </c>
      <c r="T249" s="1">
        <v>2002.97</v>
      </c>
      <c r="U249" s="1" t="s">
        <v>40</v>
      </c>
      <c r="V249" s="1" t="s">
        <v>29</v>
      </c>
      <c r="W249" s="1" t="s">
        <v>36</v>
      </c>
      <c r="X249" s="1" t="s">
        <v>29</v>
      </c>
      <c r="Y249" s="1" t="s">
        <v>36</v>
      </c>
      <c r="Z249" s="1" t="s">
        <v>41</v>
      </c>
    </row>
    <row r="250" spans="1:26" ht="15.75" x14ac:dyDescent="0.25">
      <c r="A250" s="1" t="s">
        <v>26</v>
      </c>
      <c r="B250" s="1" t="s">
        <v>27</v>
      </c>
      <c r="C250" s="1" t="s">
        <v>372</v>
      </c>
      <c r="D250" s="3">
        <v>10617</v>
      </c>
      <c r="E250" s="1" t="s">
        <v>29</v>
      </c>
      <c r="F250" s="1" t="s">
        <v>390</v>
      </c>
      <c r="G250" s="1" t="s">
        <v>61</v>
      </c>
      <c r="H250" s="1" t="s">
        <v>58</v>
      </c>
      <c r="I250" s="1" t="s">
        <v>33</v>
      </c>
      <c r="J250" s="1">
        <v>1.5</v>
      </c>
      <c r="K250" s="1" t="s">
        <v>391</v>
      </c>
      <c r="L250" s="1" t="s">
        <v>35</v>
      </c>
      <c r="M250" s="1">
        <v>0</v>
      </c>
      <c r="N250" s="1" t="s">
        <v>67</v>
      </c>
      <c r="O250" s="1" t="s">
        <v>37</v>
      </c>
      <c r="P250" s="1" t="s">
        <v>297</v>
      </c>
      <c r="Q250" s="1" t="s">
        <v>69</v>
      </c>
      <c r="R250" s="1" t="s">
        <v>392</v>
      </c>
      <c r="S250" s="1" t="s">
        <v>39</v>
      </c>
      <c r="T250" s="1">
        <v>2002.97</v>
      </c>
      <c r="U250" s="1" t="s">
        <v>40</v>
      </c>
      <c r="V250" s="1" t="s">
        <v>29</v>
      </c>
      <c r="W250" s="1" t="s">
        <v>36</v>
      </c>
      <c r="X250" s="1" t="s">
        <v>29</v>
      </c>
      <c r="Y250" s="1" t="s">
        <v>36</v>
      </c>
      <c r="Z250" s="1" t="s">
        <v>41</v>
      </c>
    </row>
    <row r="251" spans="1:26" ht="15.75" x14ac:dyDescent="0.25">
      <c r="A251" s="1" t="s">
        <v>26</v>
      </c>
      <c r="B251" s="1" t="s">
        <v>27</v>
      </c>
      <c r="C251" s="1" t="s">
        <v>372</v>
      </c>
      <c r="D251" s="3">
        <v>10618</v>
      </c>
      <c r="E251" s="1" t="s">
        <v>29</v>
      </c>
      <c r="F251" s="1" t="s">
        <v>390</v>
      </c>
      <c r="G251" s="1" t="s">
        <v>42</v>
      </c>
      <c r="H251" s="1" t="s">
        <v>58</v>
      </c>
      <c r="I251" s="1" t="s">
        <v>33</v>
      </c>
      <c r="J251" s="1">
        <v>16.34</v>
      </c>
      <c r="K251" s="1" t="s">
        <v>391</v>
      </c>
      <c r="L251" s="1" t="s">
        <v>35</v>
      </c>
      <c r="M251" s="1">
        <v>0</v>
      </c>
      <c r="N251" s="1" t="s">
        <v>67</v>
      </c>
      <c r="O251" s="1" t="s">
        <v>37</v>
      </c>
      <c r="P251" s="1" t="s">
        <v>332</v>
      </c>
      <c r="Q251" s="1" t="s">
        <v>69</v>
      </c>
      <c r="R251" s="1" t="s">
        <v>392</v>
      </c>
      <c r="S251" s="1" t="s">
        <v>39</v>
      </c>
      <c r="T251" s="1">
        <v>2002.97</v>
      </c>
      <c r="U251" s="1" t="s">
        <v>40</v>
      </c>
      <c r="V251" s="1" t="s">
        <v>29</v>
      </c>
      <c r="W251" s="1" t="s">
        <v>36</v>
      </c>
      <c r="X251" s="1" t="s">
        <v>29</v>
      </c>
      <c r="Y251" s="1" t="s">
        <v>36</v>
      </c>
      <c r="Z251" s="1" t="s">
        <v>41</v>
      </c>
    </row>
    <row r="252" spans="1:26" ht="15.75" x14ac:dyDescent="0.25">
      <c r="A252" s="1" t="s">
        <v>26</v>
      </c>
      <c r="B252" s="1" t="s">
        <v>27</v>
      </c>
      <c r="C252" s="1" t="s">
        <v>372</v>
      </c>
      <c r="D252" s="3">
        <v>14267</v>
      </c>
      <c r="E252" s="1" t="s">
        <v>29</v>
      </c>
      <c r="F252" s="1" t="s">
        <v>400</v>
      </c>
      <c r="G252" s="1" t="s">
        <v>31</v>
      </c>
      <c r="H252" s="1" t="s">
        <v>101</v>
      </c>
      <c r="I252" s="1" t="s">
        <v>102</v>
      </c>
      <c r="J252" s="1">
        <v>36.29</v>
      </c>
      <c r="K252" s="1" t="s">
        <v>398</v>
      </c>
      <c r="L252" s="1" t="s">
        <v>35</v>
      </c>
      <c r="M252" s="1">
        <v>0</v>
      </c>
      <c r="N252" s="1" t="s">
        <v>67</v>
      </c>
      <c r="O252" s="1" t="s">
        <v>37</v>
      </c>
      <c r="P252" s="1" t="s">
        <v>295</v>
      </c>
      <c r="Q252" s="1" t="s">
        <v>69</v>
      </c>
      <c r="R252" s="1" t="s">
        <v>401</v>
      </c>
      <c r="S252" s="1" t="s">
        <v>39</v>
      </c>
      <c r="T252" s="1">
        <v>2002.97</v>
      </c>
      <c r="U252" s="1" t="s">
        <v>40</v>
      </c>
      <c r="V252" s="1" t="s">
        <v>29</v>
      </c>
      <c r="W252" s="1" t="s">
        <v>36</v>
      </c>
      <c r="X252" s="1" t="s">
        <v>29</v>
      </c>
      <c r="Y252" s="1" t="s">
        <v>36</v>
      </c>
      <c r="Z252" s="1" t="s">
        <v>41</v>
      </c>
    </row>
    <row r="253" spans="1:26" ht="15.75" x14ac:dyDescent="0.25">
      <c r="A253" s="1" t="s">
        <v>26</v>
      </c>
      <c r="B253" s="1" t="s">
        <v>27</v>
      </c>
      <c r="C253" s="1" t="s">
        <v>372</v>
      </c>
      <c r="D253" s="3">
        <v>14267</v>
      </c>
      <c r="E253" s="1" t="s">
        <v>29</v>
      </c>
      <c r="F253" s="1" t="s">
        <v>400</v>
      </c>
      <c r="G253" s="1" t="s">
        <v>61</v>
      </c>
      <c r="H253" s="1" t="s">
        <v>101</v>
      </c>
      <c r="I253" s="1" t="s">
        <v>102</v>
      </c>
      <c r="J253" s="1">
        <v>1.5</v>
      </c>
      <c r="K253" s="1" t="s">
        <v>398</v>
      </c>
      <c r="L253" s="1" t="s">
        <v>35</v>
      </c>
      <c r="M253" s="1">
        <v>0</v>
      </c>
      <c r="N253" s="1" t="s">
        <v>67</v>
      </c>
      <c r="O253" s="1" t="s">
        <v>37</v>
      </c>
      <c r="P253" s="1" t="s">
        <v>297</v>
      </c>
      <c r="Q253" s="1" t="s">
        <v>69</v>
      </c>
      <c r="R253" s="1" t="s">
        <v>401</v>
      </c>
      <c r="S253" s="1" t="s">
        <v>39</v>
      </c>
      <c r="T253" s="1">
        <v>2002.97</v>
      </c>
      <c r="U253" s="1" t="s">
        <v>40</v>
      </c>
      <c r="V253" s="1" t="s">
        <v>29</v>
      </c>
      <c r="W253" s="1" t="s">
        <v>36</v>
      </c>
      <c r="X253" s="1" t="s">
        <v>29</v>
      </c>
      <c r="Y253" s="1" t="s">
        <v>36</v>
      </c>
      <c r="Z253" s="1" t="s">
        <v>41</v>
      </c>
    </row>
    <row r="254" spans="1:26" ht="15.75" x14ac:dyDescent="0.25">
      <c r="A254" s="1" t="s">
        <v>26</v>
      </c>
      <c r="B254" s="1" t="s">
        <v>27</v>
      </c>
      <c r="C254" s="1" t="s">
        <v>429</v>
      </c>
      <c r="D254" s="3">
        <v>24010</v>
      </c>
      <c r="E254" s="1" t="s">
        <v>29</v>
      </c>
      <c r="F254" s="1" t="s">
        <v>433</v>
      </c>
      <c r="G254" s="1" t="s">
        <v>31</v>
      </c>
      <c r="H254" s="1" t="s">
        <v>101</v>
      </c>
      <c r="I254" s="1" t="s">
        <v>102</v>
      </c>
      <c r="J254" s="1">
        <v>72.59</v>
      </c>
      <c r="K254" s="1" t="s">
        <v>434</v>
      </c>
      <c r="L254" s="1" t="s">
        <v>35</v>
      </c>
      <c r="M254" s="1">
        <v>0</v>
      </c>
      <c r="N254" s="1" t="s">
        <v>67</v>
      </c>
      <c r="O254" s="1" t="s">
        <v>37</v>
      </c>
      <c r="P254" s="1" t="s">
        <v>435</v>
      </c>
      <c r="Q254" s="1" t="s">
        <v>69</v>
      </c>
      <c r="R254" s="1" t="s">
        <v>436</v>
      </c>
      <c r="S254" s="1" t="s">
        <v>39</v>
      </c>
      <c r="T254" s="1">
        <v>2002.97</v>
      </c>
      <c r="U254" s="1" t="s">
        <v>40</v>
      </c>
      <c r="V254" s="1" t="s">
        <v>29</v>
      </c>
      <c r="W254" s="1" t="s">
        <v>36</v>
      </c>
      <c r="X254" s="1" t="s">
        <v>29</v>
      </c>
      <c r="Y254" s="1" t="s">
        <v>36</v>
      </c>
      <c r="Z254" s="1" t="s">
        <v>41</v>
      </c>
    </row>
    <row r="255" spans="1:26" ht="15.75" x14ac:dyDescent="0.25">
      <c r="A255" s="1" t="s">
        <v>26</v>
      </c>
      <c r="B255" s="1" t="s">
        <v>27</v>
      </c>
      <c r="C255" s="1" t="s">
        <v>429</v>
      </c>
      <c r="D255" s="3">
        <v>24010</v>
      </c>
      <c r="E255" s="1" t="s">
        <v>29</v>
      </c>
      <c r="F255" s="1" t="s">
        <v>433</v>
      </c>
      <c r="G255" s="1" t="s">
        <v>61</v>
      </c>
      <c r="H255" s="1" t="s">
        <v>101</v>
      </c>
      <c r="I255" s="1" t="s">
        <v>102</v>
      </c>
      <c r="J255" s="1">
        <v>2.69</v>
      </c>
      <c r="K255" s="1" t="s">
        <v>434</v>
      </c>
      <c r="L255" s="1" t="s">
        <v>35</v>
      </c>
      <c r="M255" s="1">
        <v>0</v>
      </c>
      <c r="N255" s="1" t="s">
        <v>67</v>
      </c>
      <c r="O255" s="1" t="s">
        <v>37</v>
      </c>
      <c r="P255" s="1" t="s">
        <v>437</v>
      </c>
      <c r="Q255" s="1" t="s">
        <v>69</v>
      </c>
      <c r="R255" s="1" t="s">
        <v>436</v>
      </c>
      <c r="S255" s="1" t="s">
        <v>39</v>
      </c>
      <c r="T255" s="1">
        <v>2002.97</v>
      </c>
      <c r="U255" s="1" t="s">
        <v>40</v>
      </c>
      <c r="V255" s="1" t="s">
        <v>29</v>
      </c>
      <c r="W255" s="1" t="s">
        <v>36</v>
      </c>
      <c r="X255" s="1" t="s">
        <v>29</v>
      </c>
      <c r="Y255" s="1" t="s">
        <v>36</v>
      </c>
      <c r="Z255" s="1" t="s">
        <v>41</v>
      </c>
    </row>
    <row r="256" spans="1:26" ht="15.75" x14ac:dyDescent="0.25">
      <c r="A256" s="1" t="s">
        <v>26</v>
      </c>
      <c r="B256" s="1" t="s">
        <v>27</v>
      </c>
      <c r="C256" s="1" t="s">
        <v>429</v>
      </c>
      <c r="D256" s="3">
        <v>34182</v>
      </c>
      <c r="E256" s="1" t="s">
        <v>29</v>
      </c>
      <c r="F256" s="1" t="s">
        <v>450</v>
      </c>
      <c r="G256" s="1" t="s">
        <v>31</v>
      </c>
      <c r="H256" s="1" t="s">
        <v>45</v>
      </c>
      <c r="I256" s="1" t="s">
        <v>46</v>
      </c>
      <c r="J256" s="1">
        <v>36.29</v>
      </c>
      <c r="K256" s="1" t="s">
        <v>431</v>
      </c>
      <c r="L256" s="1" t="s">
        <v>35</v>
      </c>
      <c r="M256" s="1">
        <v>0</v>
      </c>
      <c r="N256" s="1" t="s">
        <v>67</v>
      </c>
      <c r="O256" s="1" t="s">
        <v>37</v>
      </c>
      <c r="P256" s="1" t="s">
        <v>295</v>
      </c>
      <c r="Q256" s="1" t="s">
        <v>69</v>
      </c>
      <c r="R256" s="1" t="s">
        <v>451</v>
      </c>
      <c r="S256" s="1" t="s">
        <v>39</v>
      </c>
      <c r="T256" s="1">
        <v>2002.97</v>
      </c>
      <c r="U256" s="1" t="s">
        <v>40</v>
      </c>
      <c r="V256" s="1" t="s">
        <v>29</v>
      </c>
      <c r="W256" s="1" t="s">
        <v>36</v>
      </c>
      <c r="X256" s="1" t="s">
        <v>29</v>
      </c>
      <c r="Y256" s="1" t="s">
        <v>36</v>
      </c>
      <c r="Z256" s="1" t="s">
        <v>41</v>
      </c>
    </row>
    <row r="257" spans="1:26" ht="15.75" x14ac:dyDescent="0.25">
      <c r="A257" s="1" t="s">
        <v>26</v>
      </c>
      <c r="B257" s="1" t="s">
        <v>27</v>
      </c>
      <c r="C257" s="1" t="s">
        <v>429</v>
      </c>
      <c r="D257" s="3">
        <v>34182</v>
      </c>
      <c r="E257" s="1" t="s">
        <v>29</v>
      </c>
      <c r="F257" s="1" t="s">
        <v>450</v>
      </c>
      <c r="G257" s="1" t="s">
        <v>61</v>
      </c>
      <c r="H257" s="1" t="s">
        <v>45</v>
      </c>
      <c r="I257" s="1" t="s">
        <v>46</v>
      </c>
      <c r="J257" s="1">
        <v>1.5</v>
      </c>
      <c r="K257" s="1" t="s">
        <v>431</v>
      </c>
      <c r="L257" s="1" t="s">
        <v>35</v>
      </c>
      <c r="M257" s="1">
        <v>0</v>
      </c>
      <c r="N257" s="1" t="s">
        <v>67</v>
      </c>
      <c r="O257" s="1" t="s">
        <v>37</v>
      </c>
      <c r="P257" s="1" t="s">
        <v>297</v>
      </c>
      <c r="Q257" s="1" t="s">
        <v>69</v>
      </c>
      <c r="R257" s="1" t="s">
        <v>451</v>
      </c>
      <c r="S257" s="1" t="s">
        <v>39</v>
      </c>
      <c r="T257" s="1">
        <v>2002.97</v>
      </c>
      <c r="U257" s="1" t="s">
        <v>40</v>
      </c>
      <c r="V257" s="1" t="s">
        <v>29</v>
      </c>
      <c r="W257" s="1" t="s">
        <v>36</v>
      </c>
      <c r="X257" s="1" t="s">
        <v>29</v>
      </c>
      <c r="Y257" s="1" t="s">
        <v>36</v>
      </c>
      <c r="Z257" s="1" t="s">
        <v>41</v>
      </c>
    </row>
    <row r="258" spans="1:26" ht="15.75" x14ac:dyDescent="0.25">
      <c r="A258" s="1" t="s">
        <v>26</v>
      </c>
      <c r="B258" s="1" t="s">
        <v>27</v>
      </c>
      <c r="C258" s="1" t="s">
        <v>429</v>
      </c>
      <c r="D258" s="3">
        <v>94621</v>
      </c>
      <c r="E258" s="1" t="s">
        <v>29</v>
      </c>
      <c r="F258" s="1" t="s">
        <v>500</v>
      </c>
      <c r="G258" s="1" t="s">
        <v>31</v>
      </c>
      <c r="H258" s="1" t="s">
        <v>148</v>
      </c>
      <c r="I258" s="1" t="s">
        <v>33</v>
      </c>
      <c r="J258" s="1">
        <v>72.59</v>
      </c>
      <c r="K258" s="1" t="s">
        <v>501</v>
      </c>
      <c r="L258" s="1" t="s">
        <v>35</v>
      </c>
      <c r="M258" s="1">
        <v>0</v>
      </c>
      <c r="N258" s="1" t="s">
        <v>67</v>
      </c>
      <c r="O258" s="1" t="s">
        <v>37</v>
      </c>
      <c r="P258" s="1" t="s">
        <v>435</v>
      </c>
      <c r="Q258" s="1" t="s">
        <v>69</v>
      </c>
      <c r="R258" s="1" t="s">
        <v>502</v>
      </c>
      <c r="S258" s="1" t="s">
        <v>39</v>
      </c>
      <c r="T258" s="1">
        <v>2002.97</v>
      </c>
      <c r="U258" s="1" t="s">
        <v>40</v>
      </c>
      <c r="V258" s="1" t="s">
        <v>29</v>
      </c>
      <c r="W258" s="1" t="s">
        <v>36</v>
      </c>
      <c r="X258" s="1" t="s">
        <v>29</v>
      </c>
      <c r="Y258" s="1" t="s">
        <v>36</v>
      </c>
      <c r="Z258" s="1" t="s">
        <v>41</v>
      </c>
    </row>
    <row r="259" spans="1:26" ht="15.75" x14ac:dyDescent="0.25">
      <c r="A259" s="1" t="s">
        <v>26</v>
      </c>
      <c r="B259" s="1" t="s">
        <v>27</v>
      </c>
      <c r="C259" s="1" t="s">
        <v>429</v>
      </c>
      <c r="D259" s="3">
        <v>94621</v>
      </c>
      <c r="E259" s="1" t="s">
        <v>29</v>
      </c>
      <c r="F259" s="1" t="s">
        <v>500</v>
      </c>
      <c r="G259" s="1" t="s">
        <v>61</v>
      </c>
      <c r="H259" s="1" t="s">
        <v>148</v>
      </c>
      <c r="I259" s="1" t="s">
        <v>33</v>
      </c>
      <c r="J259" s="1">
        <v>2.69</v>
      </c>
      <c r="K259" s="1" t="s">
        <v>501</v>
      </c>
      <c r="L259" s="1" t="s">
        <v>35</v>
      </c>
      <c r="M259" s="1">
        <v>0</v>
      </c>
      <c r="N259" s="1" t="s">
        <v>67</v>
      </c>
      <c r="O259" s="1" t="s">
        <v>37</v>
      </c>
      <c r="P259" s="1" t="s">
        <v>437</v>
      </c>
      <c r="Q259" s="1" t="s">
        <v>69</v>
      </c>
      <c r="R259" s="1" t="s">
        <v>502</v>
      </c>
      <c r="S259" s="1" t="s">
        <v>39</v>
      </c>
      <c r="T259" s="1">
        <v>2002.97</v>
      </c>
      <c r="U259" s="1" t="s">
        <v>40</v>
      </c>
      <c r="V259" s="1" t="s">
        <v>29</v>
      </c>
      <c r="W259" s="1" t="s">
        <v>36</v>
      </c>
      <c r="X259" s="1" t="s">
        <v>29</v>
      </c>
      <c r="Y259" s="1" t="s">
        <v>36</v>
      </c>
      <c r="Z259" s="1" t="s">
        <v>41</v>
      </c>
    </row>
    <row r="260" spans="1:26" ht="15.75" x14ac:dyDescent="0.25">
      <c r="A260" s="1" t="s">
        <v>26</v>
      </c>
      <c r="B260" s="1" t="s">
        <v>27</v>
      </c>
      <c r="C260" s="1" t="s">
        <v>511</v>
      </c>
      <c r="D260" s="3">
        <v>87203</v>
      </c>
      <c r="E260" s="1" t="s">
        <v>29</v>
      </c>
      <c r="F260" s="1" t="s">
        <v>582</v>
      </c>
      <c r="G260" s="1" t="s">
        <v>31</v>
      </c>
      <c r="H260" s="1" t="s">
        <v>148</v>
      </c>
      <c r="I260" s="1" t="s">
        <v>33</v>
      </c>
      <c r="J260" s="1">
        <v>72.59</v>
      </c>
      <c r="K260" s="1" t="s">
        <v>573</v>
      </c>
      <c r="L260" s="1" t="s">
        <v>35</v>
      </c>
      <c r="M260" s="1">
        <v>0</v>
      </c>
      <c r="N260" s="1" t="s">
        <v>67</v>
      </c>
      <c r="O260" s="1" t="s">
        <v>37</v>
      </c>
      <c r="P260" s="1" t="s">
        <v>583</v>
      </c>
      <c r="Q260" s="1" t="s">
        <v>69</v>
      </c>
      <c r="R260" s="1" t="s">
        <v>584</v>
      </c>
      <c r="S260" s="1" t="s">
        <v>39</v>
      </c>
      <c r="T260" s="1">
        <v>2002.97</v>
      </c>
      <c r="U260" s="1" t="s">
        <v>40</v>
      </c>
      <c r="V260" s="1" t="s">
        <v>29</v>
      </c>
      <c r="W260" s="1" t="s">
        <v>36</v>
      </c>
      <c r="X260" s="1" t="s">
        <v>29</v>
      </c>
      <c r="Y260" s="1" t="s">
        <v>36</v>
      </c>
      <c r="Z260" s="1" t="s">
        <v>41</v>
      </c>
    </row>
    <row r="261" spans="1:26" ht="15.75" x14ac:dyDescent="0.25">
      <c r="A261" s="1" t="s">
        <v>26</v>
      </c>
      <c r="B261" s="1" t="s">
        <v>27</v>
      </c>
      <c r="C261" s="1" t="s">
        <v>511</v>
      </c>
      <c r="D261" s="3">
        <v>87203</v>
      </c>
      <c r="E261" s="1" t="s">
        <v>29</v>
      </c>
      <c r="F261" s="1" t="s">
        <v>582</v>
      </c>
      <c r="G261" s="1" t="s">
        <v>61</v>
      </c>
      <c r="H261" s="1" t="s">
        <v>148</v>
      </c>
      <c r="I261" s="1" t="s">
        <v>33</v>
      </c>
      <c r="J261" s="1">
        <v>2.69</v>
      </c>
      <c r="K261" s="1" t="s">
        <v>573</v>
      </c>
      <c r="L261" s="1" t="s">
        <v>35</v>
      </c>
      <c r="M261" s="1">
        <v>0</v>
      </c>
      <c r="N261" s="1" t="s">
        <v>67</v>
      </c>
      <c r="O261" s="1" t="s">
        <v>37</v>
      </c>
      <c r="P261" s="1" t="s">
        <v>297</v>
      </c>
      <c r="Q261" s="1" t="s">
        <v>69</v>
      </c>
      <c r="R261" s="1" t="s">
        <v>584</v>
      </c>
      <c r="S261" s="1" t="s">
        <v>39</v>
      </c>
      <c r="T261" s="1">
        <v>2002.97</v>
      </c>
      <c r="U261" s="1" t="s">
        <v>40</v>
      </c>
      <c r="V261" s="1" t="s">
        <v>29</v>
      </c>
      <c r="W261" s="1" t="s">
        <v>36</v>
      </c>
      <c r="X261" s="1" t="s">
        <v>29</v>
      </c>
      <c r="Y261" s="1" t="s">
        <v>36</v>
      </c>
      <c r="Z261" s="1" t="s">
        <v>41</v>
      </c>
    </row>
    <row r="262" spans="1:26" ht="15.75" x14ac:dyDescent="0.25">
      <c r="A262" s="1" t="s">
        <v>26</v>
      </c>
      <c r="B262" s="1" t="s">
        <v>27</v>
      </c>
      <c r="C262" s="1" t="s">
        <v>511</v>
      </c>
      <c r="D262" s="3">
        <v>87204</v>
      </c>
      <c r="E262" s="1" t="s">
        <v>29</v>
      </c>
      <c r="F262" s="1" t="s">
        <v>582</v>
      </c>
      <c r="G262" s="1" t="s">
        <v>42</v>
      </c>
      <c r="H262" s="1" t="s">
        <v>148</v>
      </c>
      <c r="I262" s="1" t="s">
        <v>33</v>
      </c>
      <c r="J262" s="1">
        <v>19.63</v>
      </c>
      <c r="K262" s="1" t="s">
        <v>573</v>
      </c>
      <c r="L262" s="1" t="s">
        <v>35</v>
      </c>
      <c r="M262" s="1">
        <v>0</v>
      </c>
      <c r="N262" s="1" t="s">
        <v>67</v>
      </c>
      <c r="O262" s="1" t="s">
        <v>37</v>
      </c>
      <c r="P262" s="1" t="s">
        <v>585</v>
      </c>
      <c r="Q262" s="1" t="s">
        <v>69</v>
      </c>
      <c r="R262" s="1" t="s">
        <v>584</v>
      </c>
      <c r="S262" s="1" t="s">
        <v>39</v>
      </c>
      <c r="T262" s="1">
        <v>2002.97</v>
      </c>
      <c r="U262" s="1" t="s">
        <v>40</v>
      </c>
      <c r="V262" s="1" t="s">
        <v>29</v>
      </c>
      <c r="W262" s="1" t="s">
        <v>36</v>
      </c>
      <c r="X262" s="1" t="s">
        <v>29</v>
      </c>
      <c r="Y262" s="1" t="s">
        <v>36</v>
      </c>
      <c r="Z262" s="1" t="s">
        <v>41</v>
      </c>
    </row>
    <row r="263" spans="1:26" ht="15.75" x14ac:dyDescent="0.25">
      <c r="A263" s="1" t="s">
        <v>26</v>
      </c>
      <c r="B263" s="1" t="s">
        <v>27</v>
      </c>
      <c r="C263" s="1" t="s">
        <v>139</v>
      </c>
      <c r="D263" s="3">
        <v>58218</v>
      </c>
      <c r="E263" s="1" t="s">
        <v>29</v>
      </c>
      <c r="F263" s="1" t="s">
        <v>159</v>
      </c>
      <c r="G263" s="1" t="s">
        <v>31</v>
      </c>
      <c r="H263" s="1" t="s">
        <v>33</v>
      </c>
      <c r="I263" s="1" t="s">
        <v>45</v>
      </c>
      <c r="J263" s="1">
        <v>37.03</v>
      </c>
      <c r="K263" s="1" t="s">
        <v>160</v>
      </c>
      <c r="L263" s="1" t="s">
        <v>35</v>
      </c>
      <c r="M263" s="1">
        <v>1.48</v>
      </c>
      <c r="N263" s="1" t="s">
        <v>161</v>
      </c>
      <c r="O263" s="1" t="s">
        <v>37</v>
      </c>
      <c r="P263" s="1" t="s">
        <v>36</v>
      </c>
      <c r="Q263" s="1" t="s">
        <v>162</v>
      </c>
      <c r="R263" s="1" t="s">
        <v>163</v>
      </c>
      <c r="S263" s="1" t="s">
        <v>39</v>
      </c>
      <c r="T263" s="1">
        <v>2002.97</v>
      </c>
      <c r="U263" s="1" t="s">
        <v>40</v>
      </c>
      <c r="V263" s="1" t="s">
        <v>29</v>
      </c>
      <c r="W263" s="1" t="s">
        <v>36</v>
      </c>
      <c r="X263" s="1" t="s">
        <v>29</v>
      </c>
      <c r="Y263" s="1" t="s">
        <v>36</v>
      </c>
      <c r="Z263" s="1" t="s">
        <v>41</v>
      </c>
    </row>
    <row r="264" spans="1:26" ht="15.75" x14ac:dyDescent="0.25">
      <c r="A264" s="1" t="s">
        <v>26</v>
      </c>
      <c r="B264" s="1" t="s">
        <v>27</v>
      </c>
      <c r="C264" s="1" t="s">
        <v>206</v>
      </c>
      <c r="D264" s="3">
        <v>79979</v>
      </c>
      <c r="E264" s="1" t="s">
        <v>29</v>
      </c>
      <c r="F264" s="1" t="s">
        <v>276</v>
      </c>
      <c r="G264" s="1" t="s">
        <v>31</v>
      </c>
      <c r="H264" s="1" t="s">
        <v>121</v>
      </c>
      <c r="I264" s="1" t="s">
        <v>101</v>
      </c>
      <c r="J264" s="1">
        <v>84.7</v>
      </c>
      <c r="K264" s="1" t="s">
        <v>259</v>
      </c>
      <c r="L264" s="1" t="s">
        <v>35</v>
      </c>
      <c r="M264" s="1">
        <v>3.39</v>
      </c>
      <c r="N264" s="1" t="s">
        <v>161</v>
      </c>
      <c r="O264" s="1" t="s">
        <v>37</v>
      </c>
      <c r="P264" s="1" t="s">
        <v>36</v>
      </c>
      <c r="Q264" s="1" t="s">
        <v>162</v>
      </c>
      <c r="R264" s="1" t="s">
        <v>277</v>
      </c>
      <c r="S264" s="1" t="s">
        <v>39</v>
      </c>
      <c r="T264" s="1">
        <v>2002.97</v>
      </c>
      <c r="U264" s="1" t="s">
        <v>40</v>
      </c>
      <c r="V264" s="1" t="s">
        <v>29</v>
      </c>
      <c r="W264" s="1" t="s">
        <v>36</v>
      </c>
      <c r="X264" s="1" t="s">
        <v>29</v>
      </c>
      <c r="Y264" s="1" t="s">
        <v>36</v>
      </c>
      <c r="Z264" s="1" t="s">
        <v>41</v>
      </c>
    </row>
    <row r="265" spans="1:26" ht="15.75" x14ac:dyDescent="0.25">
      <c r="A265" s="1" t="s">
        <v>26</v>
      </c>
      <c r="B265" s="1" t="s">
        <v>27</v>
      </c>
      <c r="C265" s="1" t="s">
        <v>206</v>
      </c>
      <c r="D265" s="3">
        <v>79979</v>
      </c>
      <c r="E265" s="1" t="s">
        <v>29</v>
      </c>
      <c r="F265" s="1" t="s">
        <v>276</v>
      </c>
      <c r="G265" s="1" t="s">
        <v>61</v>
      </c>
      <c r="H265" s="1" t="s">
        <v>121</v>
      </c>
      <c r="I265" s="1" t="s">
        <v>101</v>
      </c>
      <c r="J265" s="1">
        <v>2.69</v>
      </c>
      <c r="K265" s="1" t="s">
        <v>259</v>
      </c>
      <c r="L265" s="1" t="s">
        <v>35</v>
      </c>
      <c r="M265" s="1">
        <v>0.11</v>
      </c>
      <c r="N265" s="1" t="s">
        <v>161</v>
      </c>
      <c r="O265" s="1" t="s">
        <v>37</v>
      </c>
      <c r="P265" s="1" t="s">
        <v>36</v>
      </c>
      <c r="Q265" s="1" t="s">
        <v>162</v>
      </c>
      <c r="R265" s="1" t="s">
        <v>277</v>
      </c>
      <c r="S265" s="1" t="s">
        <v>39</v>
      </c>
      <c r="T265" s="1">
        <v>2002.97</v>
      </c>
      <c r="U265" s="1" t="s">
        <v>40</v>
      </c>
      <c r="V265" s="1" t="s">
        <v>29</v>
      </c>
      <c r="W265" s="1" t="s">
        <v>36</v>
      </c>
      <c r="X265" s="1" t="s">
        <v>29</v>
      </c>
      <c r="Y265" s="1" t="s">
        <v>36</v>
      </c>
      <c r="Z265" s="1" t="s">
        <v>41</v>
      </c>
    </row>
    <row r="266" spans="1:26" ht="15.75" x14ac:dyDescent="0.25">
      <c r="A266" s="1" t="s">
        <v>26</v>
      </c>
      <c r="B266" s="1" t="s">
        <v>27</v>
      </c>
      <c r="C266" s="1" t="s">
        <v>282</v>
      </c>
      <c r="D266" s="3">
        <v>17677</v>
      </c>
      <c r="E266" s="1" t="s">
        <v>29</v>
      </c>
      <c r="F266" s="1" t="s">
        <v>308</v>
      </c>
      <c r="G266" s="1" t="s">
        <v>31</v>
      </c>
      <c r="H266" s="1" t="s">
        <v>121</v>
      </c>
      <c r="I266" s="1" t="s">
        <v>101</v>
      </c>
      <c r="J266" s="1">
        <v>42.35</v>
      </c>
      <c r="K266" s="1" t="s">
        <v>309</v>
      </c>
      <c r="L266" s="1" t="s">
        <v>35</v>
      </c>
      <c r="M266" s="1">
        <v>15.67</v>
      </c>
      <c r="N266" s="1" t="s">
        <v>161</v>
      </c>
      <c r="O266" s="1" t="s">
        <v>37</v>
      </c>
      <c r="P266" s="1" t="s">
        <v>36</v>
      </c>
      <c r="Q266" s="1" t="s">
        <v>162</v>
      </c>
      <c r="R266" s="1" t="s">
        <v>310</v>
      </c>
      <c r="S266" s="1" t="s">
        <v>39</v>
      </c>
      <c r="T266" s="1">
        <v>2002.97</v>
      </c>
      <c r="U266" s="1" t="s">
        <v>40</v>
      </c>
      <c r="V266" s="1" t="s">
        <v>29</v>
      </c>
      <c r="W266" s="1" t="s">
        <v>36</v>
      </c>
      <c r="X266" s="1" t="s">
        <v>29</v>
      </c>
      <c r="Y266" s="1" t="s">
        <v>36</v>
      </c>
      <c r="Z266" s="1" t="s">
        <v>41</v>
      </c>
    </row>
    <row r="267" spans="1:26" ht="15.75" x14ac:dyDescent="0.25">
      <c r="A267" s="1" t="s">
        <v>26</v>
      </c>
      <c r="B267" s="1" t="s">
        <v>27</v>
      </c>
      <c r="C267" s="1" t="s">
        <v>282</v>
      </c>
      <c r="D267" s="3">
        <v>17677</v>
      </c>
      <c r="E267" s="1" t="s">
        <v>29</v>
      </c>
      <c r="F267" s="1" t="s">
        <v>308</v>
      </c>
      <c r="G267" s="1" t="s">
        <v>61</v>
      </c>
      <c r="H267" s="1" t="s">
        <v>121</v>
      </c>
      <c r="I267" s="1" t="s">
        <v>101</v>
      </c>
      <c r="J267" s="1">
        <v>1.5</v>
      </c>
      <c r="K267" s="1" t="s">
        <v>309</v>
      </c>
      <c r="L267" s="1" t="s">
        <v>35</v>
      </c>
      <c r="M267" s="1">
        <v>0.55000000000000004</v>
      </c>
      <c r="N267" s="1" t="s">
        <v>161</v>
      </c>
      <c r="O267" s="1" t="s">
        <v>37</v>
      </c>
      <c r="P267" s="1" t="s">
        <v>36</v>
      </c>
      <c r="Q267" s="1" t="s">
        <v>162</v>
      </c>
      <c r="R267" s="1" t="s">
        <v>310</v>
      </c>
      <c r="S267" s="1" t="s">
        <v>39</v>
      </c>
      <c r="T267" s="1">
        <v>2002.97</v>
      </c>
      <c r="U267" s="1" t="s">
        <v>40</v>
      </c>
      <c r="V267" s="1" t="s">
        <v>29</v>
      </c>
      <c r="W267" s="1" t="s">
        <v>36</v>
      </c>
      <c r="X267" s="1" t="s">
        <v>29</v>
      </c>
      <c r="Y267" s="1" t="s">
        <v>36</v>
      </c>
      <c r="Z267" s="1" t="s">
        <v>41</v>
      </c>
    </row>
    <row r="268" spans="1:26" ht="15.75" x14ac:dyDescent="0.25">
      <c r="A268" s="1" t="s">
        <v>26</v>
      </c>
      <c r="B268" s="1" t="s">
        <v>27</v>
      </c>
      <c r="C268" s="1" t="s">
        <v>282</v>
      </c>
      <c r="D268" s="3">
        <v>20851</v>
      </c>
      <c r="E268" s="1" t="s">
        <v>29</v>
      </c>
      <c r="F268" s="1" t="s">
        <v>320</v>
      </c>
      <c r="G268" s="1" t="s">
        <v>31</v>
      </c>
      <c r="H268" s="1" t="s">
        <v>33</v>
      </c>
      <c r="I268" s="1" t="s">
        <v>45</v>
      </c>
      <c r="J268" s="1">
        <v>42.35</v>
      </c>
      <c r="K268" s="1" t="s">
        <v>318</v>
      </c>
      <c r="L268" s="1" t="s">
        <v>35</v>
      </c>
      <c r="M268" s="1">
        <v>15.67</v>
      </c>
      <c r="N268" s="1" t="s">
        <v>161</v>
      </c>
      <c r="O268" s="1" t="s">
        <v>37</v>
      </c>
      <c r="P268" s="1" t="s">
        <v>36</v>
      </c>
      <c r="Q268" s="1" t="s">
        <v>162</v>
      </c>
      <c r="R268" s="1" t="s">
        <v>321</v>
      </c>
      <c r="S268" s="1" t="s">
        <v>39</v>
      </c>
      <c r="T268" s="1">
        <v>2002.97</v>
      </c>
      <c r="U268" s="1" t="s">
        <v>40</v>
      </c>
      <c r="V268" s="1" t="s">
        <v>29</v>
      </c>
      <c r="W268" s="1" t="s">
        <v>36</v>
      </c>
      <c r="X268" s="1" t="s">
        <v>29</v>
      </c>
      <c r="Y268" s="1" t="s">
        <v>36</v>
      </c>
      <c r="Z268" s="1" t="s">
        <v>41</v>
      </c>
    </row>
    <row r="269" spans="1:26" ht="15.75" x14ac:dyDescent="0.25">
      <c r="A269" s="1" t="s">
        <v>26</v>
      </c>
      <c r="B269" s="1" t="s">
        <v>27</v>
      </c>
      <c r="C269" s="1" t="s">
        <v>282</v>
      </c>
      <c r="D269" s="3">
        <v>20851</v>
      </c>
      <c r="E269" s="1" t="s">
        <v>29</v>
      </c>
      <c r="F269" s="1" t="s">
        <v>320</v>
      </c>
      <c r="G269" s="1" t="s">
        <v>61</v>
      </c>
      <c r="H269" s="1" t="s">
        <v>33</v>
      </c>
      <c r="I269" s="1" t="s">
        <v>45</v>
      </c>
      <c r="J269" s="1">
        <v>1.5</v>
      </c>
      <c r="K269" s="1" t="s">
        <v>318</v>
      </c>
      <c r="L269" s="1" t="s">
        <v>35</v>
      </c>
      <c r="M269" s="1">
        <v>0.55000000000000004</v>
      </c>
      <c r="N269" s="1" t="s">
        <v>161</v>
      </c>
      <c r="O269" s="1" t="s">
        <v>37</v>
      </c>
      <c r="P269" s="1" t="s">
        <v>36</v>
      </c>
      <c r="Q269" s="1" t="s">
        <v>162</v>
      </c>
      <c r="R269" s="1" t="s">
        <v>321</v>
      </c>
      <c r="S269" s="1" t="s">
        <v>39</v>
      </c>
      <c r="T269" s="1">
        <v>2002.97</v>
      </c>
      <c r="U269" s="1" t="s">
        <v>40</v>
      </c>
      <c r="V269" s="1" t="s">
        <v>29</v>
      </c>
      <c r="W269" s="1" t="s">
        <v>36</v>
      </c>
      <c r="X269" s="1" t="s">
        <v>29</v>
      </c>
      <c r="Y269" s="1" t="s">
        <v>36</v>
      </c>
      <c r="Z269" s="1" t="s">
        <v>41</v>
      </c>
    </row>
    <row r="270" spans="1:26" ht="15.75" x14ac:dyDescent="0.25">
      <c r="A270" s="1" t="s">
        <v>26</v>
      </c>
      <c r="B270" s="1" t="s">
        <v>27</v>
      </c>
      <c r="C270" s="1" t="s">
        <v>282</v>
      </c>
      <c r="D270" s="3">
        <v>23560</v>
      </c>
      <c r="E270" s="1" t="s">
        <v>29</v>
      </c>
      <c r="F270" s="1" t="s">
        <v>324</v>
      </c>
      <c r="G270" s="1" t="s">
        <v>31</v>
      </c>
      <c r="H270" s="1" t="s">
        <v>325</v>
      </c>
      <c r="I270" s="1" t="s">
        <v>102</v>
      </c>
      <c r="J270" s="1">
        <v>-46.59</v>
      </c>
      <c r="K270" s="1" t="s">
        <v>326</v>
      </c>
      <c r="L270" s="1" t="s">
        <v>35</v>
      </c>
      <c r="M270" s="1">
        <v>-17.239999999999998</v>
      </c>
      <c r="N270" s="1" t="s">
        <v>161</v>
      </c>
      <c r="O270" s="1" t="s">
        <v>37</v>
      </c>
      <c r="P270" s="1" t="s">
        <v>36</v>
      </c>
      <c r="Q270" s="1" t="s">
        <v>162</v>
      </c>
      <c r="R270" s="1" t="s">
        <v>327</v>
      </c>
      <c r="S270" s="1" t="s">
        <v>39</v>
      </c>
      <c r="T270" s="1">
        <v>2002.97</v>
      </c>
      <c r="U270" s="1" t="s">
        <v>40</v>
      </c>
      <c r="V270" s="1" t="s">
        <v>29</v>
      </c>
      <c r="W270" s="1" t="s">
        <v>36</v>
      </c>
      <c r="X270" s="1" t="s">
        <v>29</v>
      </c>
      <c r="Y270" s="1" t="s">
        <v>36</v>
      </c>
      <c r="Z270" s="1" t="s">
        <v>289</v>
      </c>
    </row>
    <row r="271" spans="1:26" ht="15.75" x14ac:dyDescent="0.25">
      <c r="A271" s="1" t="s">
        <v>26</v>
      </c>
      <c r="B271" s="1" t="s">
        <v>27</v>
      </c>
      <c r="C271" s="1" t="s">
        <v>282</v>
      </c>
      <c r="D271" s="3">
        <v>23560</v>
      </c>
      <c r="E271" s="1" t="s">
        <v>29</v>
      </c>
      <c r="F271" s="1" t="s">
        <v>324</v>
      </c>
      <c r="G271" s="1" t="s">
        <v>61</v>
      </c>
      <c r="H271" s="1" t="s">
        <v>325</v>
      </c>
      <c r="I271" s="1" t="s">
        <v>102</v>
      </c>
      <c r="J271" s="1">
        <v>-1.5</v>
      </c>
      <c r="K271" s="1" t="s">
        <v>326</v>
      </c>
      <c r="L271" s="1" t="s">
        <v>35</v>
      </c>
      <c r="M271" s="1">
        <v>-0.55000000000000004</v>
      </c>
      <c r="N271" s="1" t="s">
        <v>161</v>
      </c>
      <c r="O271" s="1" t="s">
        <v>37</v>
      </c>
      <c r="P271" s="1" t="s">
        <v>36</v>
      </c>
      <c r="Q271" s="1" t="s">
        <v>162</v>
      </c>
      <c r="R271" s="1" t="s">
        <v>327</v>
      </c>
      <c r="S271" s="1" t="s">
        <v>39</v>
      </c>
      <c r="T271" s="1">
        <v>2002.97</v>
      </c>
      <c r="U271" s="1" t="s">
        <v>40</v>
      </c>
      <c r="V271" s="1" t="s">
        <v>29</v>
      </c>
      <c r="W271" s="1" t="s">
        <v>36</v>
      </c>
      <c r="X271" s="1" t="s">
        <v>29</v>
      </c>
      <c r="Y271" s="1" t="s">
        <v>36</v>
      </c>
      <c r="Z271" s="1" t="s">
        <v>289</v>
      </c>
    </row>
    <row r="272" spans="1:26" ht="15.75" x14ac:dyDescent="0.25">
      <c r="A272" s="1" t="s">
        <v>26</v>
      </c>
      <c r="B272" s="1" t="s">
        <v>27</v>
      </c>
      <c r="C272" s="1" t="s">
        <v>282</v>
      </c>
      <c r="D272" s="3">
        <v>86786</v>
      </c>
      <c r="E272" s="1" t="s">
        <v>29</v>
      </c>
      <c r="F272" s="1" t="s">
        <v>369</v>
      </c>
      <c r="G272" s="1" t="s">
        <v>31</v>
      </c>
      <c r="H272" s="1" t="s">
        <v>144</v>
      </c>
      <c r="I272" s="1" t="s">
        <v>46</v>
      </c>
      <c r="J272" s="1">
        <v>40.729999999999997</v>
      </c>
      <c r="K272" s="1" t="s">
        <v>370</v>
      </c>
      <c r="L272" s="1" t="s">
        <v>35</v>
      </c>
      <c r="M272" s="1">
        <v>15.07</v>
      </c>
      <c r="N272" s="1" t="s">
        <v>161</v>
      </c>
      <c r="O272" s="1" t="s">
        <v>37</v>
      </c>
      <c r="P272" s="1" t="s">
        <v>36</v>
      </c>
      <c r="Q272" s="1" t="s">
        <v>162</v>
      </c>
      <c r="R272" s="1" t="s">
        <v>371</v>
      </c>
      <c r="S272" s="1" t="s">
        <v>39</v>
      </c>
      <c r="T272" s="1">
        <v>2002.97</v>
      </c>
      <c r="U272" s="1" t="s">
        <v>40</v>
      </c>
      <c r="V272" s="1" t="s">
        <v>29</v>
      </c>
      <c r="W272" s="1" t="s">
        <v>36</v>
      </c>
      <c r="X272" s="1" t="s">
        <v>29</v>
      </c>
      <c r="Y272" s="1" t="s">
        <v>36</v>
      </c>
      <c r="Z272" s="1" t="s">
        <v>41</v>
      </c>
    </row>
    <row r="273" spans="1:26" ht="15.75" x14ac:dyDescent="0.25">
      <c r="A273" s="1" t="s">
        <v>26</v>
      </c>
      <c r="B273" s="1" t="s">
        <v>27</v>
      </c>
      <c r="C273" s="1" t="s">
        <v>372</v>
      </c>
      <c r="D273" s="3">
        <v>8075</v>
      </c>
      <c r="E273" s="1" t="s">
        <v>29</v>
      </c>
      <c r="F273" s="1" t="s">
        <v>376</v>
      </c>
      <c r="G273" s="1" t="s">
        <v>31</v>
      </c>
      <c r="H273" s="1" t="s">
        <v>32</v>
      </c>
      <c r="I273" s="1" t="s">
        <v>33</v>
      </c>
      <c r="J273" s="1">
        <v>34.630000000000003</v>
      </c>
      <c r="K273" s="1" t="s">
        <v>374</v>
      </c>
      <c r="L273" s="1" t="s">
        <v>35</v>
      </c>
      <c r="M273" s="1">
        <v>12.81</v>
      </c>
      <c r="N273" s="1" t="s">
        <v>161</v>
      </c>
      <c r="O273" s="1" t="s">
        <v>37</v>
      </c>
      <c r="P273" s="1" t="s">
        <v>36</v>
      </c>
      <c r="Q273" s="1" t="s">
        <v>162</v>
      </c>
      <c r="R273" s="1" t="s">
        <v>377</v>
      </c>
      <c r="S273" s="1" t="s">
        <v>39</v>
      </c>
      <c r="T273" s="1">
        <v>2002.97</v>
      </c>
      <c r="U273" s="1" t="s">
        <v>40</v>
      </c>
      <c r="V273" s="1" t="s">
        <v>29</v>
      </c>
      <c r="W273" s="1" t="s">
        <v>36</v>
      </c>
      <c r="X273" s="1" t="s">
        <v>29</v>
      </c>
      <c r="Y273" s="1" t="s">
        <v>36</v>
      </c>
      <c r="Z273" s="1" t="s">
        <v>41</v>
      </c>
    </row>
    <row r="274" spans="1:26" ht="15.75" x14ac:dyDescent="0.25">
      <c r="A274" s="1" t="s">
        <v>26</v>
      </c>
      <c r="B274" s="1" t="s">
        <v>27</v>
      </c>
      <c r="C274" s="1" t="s">
        <v>372</v>
      </c>
      <c r="D274" s="3">
        <v>8076</v>
      </c>
      <c r="E274" s="1" t="s">
        <v>29</v>
      </c>
      <c r="F274" s="1" t="s">
        <v>376</v>
      </c>
      <c r="G274" s="1" t="s">
        <v>42</v>
      </c>
      <c r="H274" s="1" t="s">
        <v>32</v>
      </c>
      <c r="I274" s="1" t="s">
        <v>33</v>
      </c>
      <c r="J274" s="1">
        <v>16.34</v>
      </c>
      <c r="K274" s="1" t="s">
        <v>374</v>
      </c>
      <c r="L274" s="1" t="s">
        <v>35</v>
      </c>
      <c r="M274" s="1">
        <v>6.05</v>
      </c>
      <c r="N274" s="1" t="s">
        <v>161</v>
      </c>
      <c r="O274" s="1" t="s">
        <v>37</v>
      </c>
      <c r="P274" s="1" t="s">
        <v>36</v>
      </c>
      <c r="Q274" s="1" t="s">
        <v>162</v>
      </c>
      <c r="R274" s="1" t="s">
        <v>377</v>
      </c>
      <c r="S274" s="1" t="s">
        <v>39</v>
      </c>
      <c r="T274" s="1">
        <v>2002.97</v>
      </c>
      <c r="U274" s="1" t="s">
        <v>40</v>
      </c>
      <c r="V274" s="1" t="s">
        <v>29</v>
      </c>
      <c r="W274" s="1" t="s">
        <v>36</v>
      </c>
      <c r="X274" s="1" t="s">
        <v>29</v>
      </c>
      <c r="Y274" s="1" t="s">
        <v>36</v>
      </c>
      <c r="Z274" s="1" t="s">
        <v>41</v>
      </c>
    </row>
    <row r="275" spans="1:26" ht="15.75" x14ac:dyDescent="0.25">
      <c r="A275" s="1" t="s">
        <v>26</v>
      </c>
      <c r="B275" s="1" t="s">
        <v>27</v>
      </c>
      <c r="C275" s="1" t="s">
        <v>372</v>
      </c>
      <c r="D275" s="3">
        <v>17846</v>
      </c>
      <c r="E275" s="1" t="s">
        <v>29</v>
      </c>
      <c r="F275" s="1" t="s">
        <v>408</v>
      </c>
      <c r="G275" s="1" t="s">
        <v>31</v>
      </c>
      <c r="H275" s="1" t="s">
        <v>45</v>
      </c>
      <c r="I275" s="1" t="s">
        <v>46</v>
      </c>
      <c r="J275" s="1">
        <v>42.35</v>
      </c>
      <c r="K275" s="1" t="s">
        <v>329</v>
      </c>
      <c r="L275" s="1" t="s">
        <v>35</v>
      </c>
      <c r="M275" s="1">
        <v>15.67</v>
      </c>
      <c r="N275" s="1" t="s">
        <v>161</v>
      </c>
      <c r="O275" s="1" t="s">
        <v>37</v>
      </c>
      <c r="P275" s="1" t="s">
        <v>36</v>
      </c>
      <c r="Q275" s="1" t="s">
        <v>162</v>
      </c>
      <c r="R275" s="1" t="s">
        <v>409</v>
      </c>
      <c r="S275" s="1" t="s">
        <v>39</v>
      </c>
      <c r="T275" s="1">
        <v>2002.97</v>
      </c>
      <c r="U275" s="1" t="s">
        <v>40</v>
      </c>
      <c r="V275" s="1" t="s">
        <v>29</v>
      </c>
      <c r="W275" s="1" t="s">
        <v>36</v>
      </c>
      <c r="X275" s="1" t="s">
        <v>29</v>
      </c>
      <c r="Y275" s="1" t="s">
        <v>36</v>
      </c>
      <c r="Z275" s="1" t="s">
        <v>41</v>
      </c>
    </row>
    <row r="276" spans="1:26" ht="15.75" x14ac:dyDescent="0.25">
      <c r="A276" s="1" t="s">
        <v>26</v>
      </c>
      <c r="B276" s="1" t="s">
        <v>27</v>
      </c>
      <c r="C276" s="1" t="s">
        <v>372</v>
      </c>
      <c r="D276" s="3">
        <v>17846</v>
      </c>
      <c r="E276" s="1" t="s">
        <v>29</v>
      </c>
      <c r="F276" s="1" t="s">
        <v>408</v>
      </c>
      <c r="G276" s="1" t="s">
        <v>61</v>
      </c>
      <c r="H276" s="1" t="s">
        <v>45</v>
      </c>
      <c r="I276" s="1" t="s">
        <v>46</v>
      </c>
      <c r="J276" s="1">
        <v>1.5</v>
      </c>
      <c r="K276" s="1" t="s">
        <v>329</v>
      </c>
      <c r="L276" s="1" t="s">
        <v>35</v>
      </c>
      <c r="M276" s="1">
        <v>0.55000000000000004</v>
      </c>
      <c r="N276" s="1" t="s">
        <v>161</v>
      </c>
      <c r="O276" s="1" t="s">
        <v>37</v>
      </c>
      <c r="P276" s="1" t="s">
        <v>36</v>
      </c>
      <c r="Q276" s="1" t="s">
        <v>162</v>
      </c>
      <c r="R276" s="1" t="s">
        <v>409</v>
      </c>
      <c r="S276" s="1" t="s">
        <v>39</v>
      </c>
      <c r="T276" s="1">
        <v>2002.97</v>
      </c>
      <c r="U276" s="1" t="s">
        <v>40</v>
      </c>
      <c r="V276" s="1" t="s">
        <v>29</v>
      </c>
      <c r="W276" s="1" t="s">
        <v>36</v>
      </c>
      <c r="X276" s="1" t="s">
        <v>29</v>
      </c>
      <c r="Y276" s="1" t="s">
        <v>36</v>
      </c>
      <c r="Z276" s="1" t="s">
        <v>41</v>
      </c>
    </row>
    <row r="277" spans="1:26" ht="15.75" x14ac:dyDescent="0.25">
      <c r="A277" s="1" t="s">
        <v>26</v>
      </c>
      <c r="B277" s="1" t="s">
        <v>27</v>
      </c>
      <c r="C277" s="1" t="s">
        <v>372</v>
      </c>
      <c r="D277" s="3">
        <v>18035</v>
      </c>
      <c r="E277" s="1" t="s">
        <v>29</v>
      </c>
      <c r="F277" s="1" t="s">
        <v>410</v>
      </c>
      <c r="G277" s="1" t="s">
        <v>31</v>
      </c>
      <c r="H277" s="1" t="s">
        <v>45</v>
      </c>
      <c r="I277" s="1" t="s">
        <v>46</v>
      </c>
      <c r="J277" s="1">
        <v>44.24</v>
      </c>
      <c r="K277" s="1" t="s">
        <v>329</v>
      </c>
      <c r="L277" s="1" t="s">
        <v>35</v>
      </c>
      <c r="M277" s="1">
        <v>16.37</v>
      </c>
      <c r="N277" s="1" t="s">
        <v>161</v>
      </c>
      <c r="O277" s="1" t="s">
        <v>37</v>
      </c>
      <c r="P277" s="1" t="s">
        <v>36</v>
      </c>
      <c r="Q277" s="1" t="s">
        <v>162</v>
      </c>
      <c r="R277" s="1" t="s">
        <v>411</v>
      </c>
      <c r="S277" s="1" t="s">
        <v>39</v>
      </c>
      <c r="T277" s="1">
        <v>2002.97</v>
      </c>
      <c r="U277" s="1" t="s">
        <v>40</v>
      </c>
      <c r="V277" s="1" t="s">
        <v>29</v>
      </c>
      <c r="W277" s="1" t="s">
        <v>36</v>
      </c>
      <c r="X277" s="1" t="s">
        <v>29</v>
      </c>
      <c r="Y277" s="1" t="s">
        <v>36</v>
      </c>
      <c r="Z277" s="1" t="s">
        <v>41</v>
      </c>
    </row>
    <row r="278" spans="1:26" ht="15.75" x14ac:dyDescent="0.25">
      <c r="A278" s="1" t="s">
        <v>26</v>
      </c>
      <c r="B278" s="1" t="s">
        <v>27</v>
      </c>
      <c r="C278" s="1" t="s">
        <v>372</v>
      </c>
      <c r="D278" s="3">
        <v>93166</v>
      </c>
      <c r="E278" s="1" t="s">
        <v>29</v>
      </c>
      <c r="F278" s="1" t="s">
        <v>427</v>
      </c>
      <c r="G278" s="1" t="s">
        <v>31</v>
      </c>
      <c r="H278" s="1" t="s">
        <v>33</v>
      </c>
      <c r="I278" s="1" t="s">
        <v>45</v>
      </c>
      <c r="J278" s="1">
        <v>46.59</v>
      </c>
      <c r="K278" s="1" t="s">
        <v>423</v>
      </c>
      <c r="L278" s="1" t="s">
        <v>35</v>
      </c>
      <c r="M278" s="1">
        <v>17.239999999999998</v>
      </c>
      <c r="N278" s="1" t="s">
        <v>161</v>
      </c>
      <c r="O278" s="1" t="s">
        <v>37</v>
      </c>
      <c r="P278" s="1" t="s">
        <v>36</v>
      </c>
      <c r="Q278" s="1" t="s">
        <v>162</v>
      </c>
      <c r="R278" s="1" t="s">
        <v>428</v>
      </c>
      <c r="S278" s="1" t="s">
        <v>39</v>
      </c>
      <c r="T278" s="1">
        <v>2002.97</v>
      </c>
      <c r="U278" s="1" t="s">
        <v>40</v>
      </c>
      <c r="V278" s="1" t="s">
        <v>29</v>
      </c>
      <c r="W278" s="1" t="s">
        <v>36</v>
      </c>
      <c r="X278" s="1" t="s">
        <v>29</v>
      </c>
      <c r="Y278" s="1" t="s">
        <v>36</v>
      </c>
      <c r="Z278" s="1" t="s">
        <v>41</v>
      </c>
    </row>
    <row r="279" spans="1:26" ht="15.75" x14ac:dyDescent="0.25">
      <c r="A279" s="1" t="s">
        <v>26</v>
      </c>
      <c r="B279" s="1" t="s">
        <v>27</v>
      </c>
      <c r="C279" s="1" t="s">
        <v>372</v>
      </c>
      <c r="D279" s="3">
        <v>93166</v>
      </c>
      <c r="E279" s="1" t="s">
        <v>29</v>
      </c>
      <c r="F279" s="1" t="s">
        <v>427</v>
      </c>
      <c r="G279" s="1" t="s">
        <v>61</v>
      </c>
      <c r="H279" s="1" t="s">
        <v>33</v>
      </c>
      <c r="I279" s="1" t="s">
        <v>45</v>
      </c>
      <c r="J279" s="1">
        <v>1.5</v>
      </c>
      <c r="K279" s="1" t="s">
        <v>423</v>
      </c>
      <c r="L279" s="1" t="s">
        <v>35</v>
      </c>
      <c r="M279" s="1">
        <v>0.55000000000000004</v>
      </c>
      <c r="N279" s="1" t="s">
        <v>161</v>
      </c>
      <c r="O279" s="1" t="s">
        <v>37</v>
      </c>
      <c r="P279" s="1" t="s">
        <v>36</v>
      </c>
      <c r="Q279" s="1" t="s">
        <v>162</v>
      </c>
      <c r="R279" s="1" t="s">
        <v>428</v>
      </c>
      <c r="S279" s="1" t="s">
        <v>39</v>
      </c>
      <c r="T279" s="1">
        <v>2002.97</v>
      </c>
      <c r="U279" s="1" t="s">
        <v>40</v>
      </c>
      <c r="V279" s="1" t="s">
        <v>29</v>
      </c>
      <c r="W279" s="1" t="s">
        <v>36</v>
      </c>
      <c r="X279" s="1" t="s">
        <v>29</v>
      </c>
      <c r="Y279" s="1" t="s">
        <v>36</v>
      </c>
      <c r="Z279" s="1" t="s">
        <v>41</v>
      </c>
    </row>
    <row r="280" spans="1:26" ht="15.75" x14ac:dyDescent="0.25">
      <c r="A280" s="1" t="s">
        <v>26</v>
      </c>
      <c r="B280" s="1" t="s">
        <v>27</v>
      </c>
      <c r="C280" s="1" t="s">
        <v>429</v>
      </c>
      <c r="D280" s="3">
        <v>67007</v>
      </c>
      <c r="E280" s="1" t="s">
        <v>29</v>
      </c>
      <c r="F280" s="1" t="s">
        <v>479</v>
      </c>
      <c r="G280" s="1" t="s">
        <v>31</v>
      </c>
      <c r="H280" s="1" t="s">
        <v>33</v>
      </c>
      <c r="I280" s="1" t="s">
        <v>45</v>
      </c>
      <c r="J280" s="1">
        <v>51.24</v>
      </c>
      <c r="K280" s="1" t="s">
        <v>473</v>
      </c>
      <c r="L280" s="1" t="s">
        <v>35</v>
      </c>
      <c r="M280" s="1">
        <v>18.96</v>
      </c>
      <c r="N280" s="1" t="s">
        <v>161</v>
      </c>
      <c r="O280" s="1" t="s">
        <v>37</v>
      </c>
      <c r="P280" s="1" t="s">
        <v>36</v>
      </c>
      <c r="Q280" s="1" t="s">
        <v>162</v>
      </c>
      <c r="R280" s="1" t="s">
        <v>480</v>
      </c>
      <c r="S280" s="1" t="s">
        <v>39</v>
      </c>
      <c r="T280" s="1">
        <v>2002.97</v>
      </c>
      <c r="U280" s="1" t="s">
        <v>40</v>
      </c>
      <c r="V280" s="1" t="s">
        <v>29</v>
      </c>
      <c r="W280" s="1" t="s">
        <v>36</v>
      </c>
      <c r="X280" s="1" t="s">
        <v>29</v>
      </c>
      <c r="Y280" s="1" t="s">
        <v>36</v>
      </c>
      <c r="Z280" s="1" t="s">
        <v>41</v>
      </c>
    </row>
    <row r="281" spans="1:26" ht="15.75" x14ac:dyDescent="0.25">
      <c r="A281" s="1" t="s">
        <v>26</v>
      </c>
      <c r="B281" s="1" t="s">
        <v>27</v>
      </c>
      <c r="C281" s="1" t="s">
        <v>429</v>
      </c>
      <c r="D281" s="3">
        <v>67007</v>
      </c>
      <c r="E281" s="1" t="s">
        <v>29</v>
      </c>
      <c r="F281" s="1" t="s">
        <v>479</v>
      </c>
      <c r="G281" s="1" t="s">
        <v>61</v>
      </c>
      <c r="H281" s="1" t="s">
        <v>33</v>
      </c>
      <c r="I281" s="1" t="s">
        <v>45</v>
      </c>
      <c r="J281" s="1">
        <v>1.5</v>
      </c>
      <c r="K281" s="1" t="s">
        <v>473</v>
      </c>
      <c r="L281" s="1" t="s">
        <v>35</v>
      </c>
      <c r="M281" s="1">
        <v>0.55000000000000004</v>
      </c>
      <c r="N281" s="1" t="s">
        <v>161</v>
      </c>
      <c r="O281" s="1" t="s">
        <v>37</v>
      </c>
      <c r="P281" s="1" t="s">
        <v>36</v>
      </c>
      <c r="Q281" s="1" t="s">
        <v>162</v>
      </c>
      <c r="R281" s="1" t="s">
        <v>480</v>
      </c>
      <c r="S281" s="1" t="s">
        <v>39</v>
      </c>
      <c r="T281" s="1">
        <v>2002.97</v>
      </c>
      <c r="U281" s="1" t="s">
        <v>40</v>
      </c>
      <c r="V281" s="1" t="s">
        <v>29</v>
      </c>
      <c r="W281" s="1" t="s">
        <v>36</v>
      </c>
      <c r="X281" s="1" t="s">
        <v>29</v>
      </c>
      <c r="Y281" s="1" t="s">
        <v>36</v>
      </c>
      <c r="Z281" s="1" t="s">
        <v>41</v>
      </c>
    </row>
    <row r="282" spans="1:26" ht="15.75" x14ac:dyDescent="0.25">
      <c r="A282" s="1" t="s">
        <v>26</v>
      </c>
      <c r="B282" s="1" t="s">
        <v>27</v>
      </c>
      <c r="C282" s="1" t="s">
        <v>429</v>
      </c>
      <c r="D282" s="3">
        <v>87075</v>
      </c>
      <c r="E282" s="1" t="s">
        <v>29</v>
      </c>
      <c r="F282" s="1" t="s">
        <v>487</v>
      </c>
      <c r="G282" s="1" t="s">
        <v>31</v>
      </c>
      <c r="H282" s="1" t="s">
        <v>488</v>
      </c>
      <c r="I282" s="1" t="s">
        <v>33</v>
      </c>
      <c r="J282" s="1">
        <v>50.35</v>
      </c>
      <c r="K282" s="1" t="s">
        <v>489</v>
      </c>
      <c r="L282" s="1" t="s">
        <v>35</v>
      </c>
      <c r="M282" s="1">
        <v>18.63</v>
      </c>
      <c r="N282" s="1" t="s">
        <v>161</v>
      </c>
      <c r="O282" s="1" t="s">
        <v>37</v>
      </c>
      <c r="P282" s="1" t="s">
        <v>36</v>
      </c>
      <c r="Q282" s="1" t="s">
        <v>162</v>
      </c>
      <c r="R282" s="1" t="s">
        <v>490</v>
      </c>
      <c r="S282" s="1" t="s">
        <v>39</v>
      </c>
      <c r="T282" s="1">
        <v>2002.97</v>
      </c>
      <c r="U282" s="1" t="s">
        <v>40</v>
      </c>
      <c r="V282" s="1" t="s">
        <v>29</v>
      </c>
      <c r="W282" s="1" t="s">
        <v>36</v>
      </c>
      <c r="X282" s="1" t="s">
        <v>29</v>
      </c>
      <c r="Y282" s="1" t="s">
        <v>36</v>
      </c>
      <c r="Z282" s="1" t="s">
        <v>41</v>
      </c>
    </row>
    <row r="283" spans="1:26" ht="15.75" x14ac:dyDescent="0.25">
      <c r="A283" s="1" t="s">
        <v>26</v>
      </c>
      <c r="B283" s="1" t="s">
        <v>27</v>
      </c>
      <c r="C283" s="1" t="s">
        <v>429</v>
      </c>
      <c r="D283" s="3">
        <v>87075</v>
      </c>
      <c r="E283" s="1" t="s">
        <v>29</v>
      </c>
      <c r="F283" s="1" t="s">
        <v>487</v>
      </c>
      <c r="G283" s="1" t="s">
        <v>51</v>
      </c>
      <c r="H283" s="1" t="s">
        <v>488</v>
      </c>
      <c r="I283" s="1" t="s">
        <v>33</v>
      </c>
      <c r="J283" s="1">
        <v>0.75</v>
      </c>
      <c r="K283" s="1" t="s">
        <v>489</v>
      </c>
      <c r="L283" s="1" t="s">
        <v>35</v>
      </c>
      <c r="M283" s="1">
        <v>0.28000000000000003</v>
      </c>
      <c r="N283" s="1" t="s">
        <v>161</v>
      </c>
      <c r="O283" s="1" t="s">
        <v>37</v>
      </c>
      <c r="P283" s="1" t="s">
        <v>36</v>
      </c>
      <c r="Q283" s="1" t="s">
        <v>162</v>
      </c>
      <c r="R283" s="1" t="s">
        <v>490</v>
      </c>
      <c r="S283" s="1" t="s">
        <v>39</v>
      </c>
      <c r="T283" s="1">
        <v>2002.97</v>
      </c>
      <c r="U283" s="1" t="s">
        <v>40</v>
      </c>
      <c r="V283" s="1" t="s">
        <v>29</v>
      </c>
      <c r="W283" s="1" t="s">
        <v>36</v>
      </c>
      <c r="X283" s="1" t="s">
        <v>29</v>
      </c>
      <c r="Y283" s="1" t="s">
        <v>36</v>
      </c>
      <c r="Z283" s="1" t="s">
        <v>41</v>
      </c>
    </row>
    <row r="284" spans="1:26" ht="15.75" x14ac:dyDescent="0.25">
      <c r="A284" s="1" t="s">
        <v>26</v>
      </c>
      <c r="B284" s="1" t="s">
        <v>27</v>
      </c>
      <c r="C284" s="1" t="s">
        <v>429</v>
      </c>
      <c r="D284" s="3">
        <v>87075</v>
      </c>
      <c r="E284" s="1" t="s">
        <v>29</v>
      </c>
      <c r="F284" s="1" t="s">
        <v>487</v>
      </c>
      <c r="G284" s="1" t="s">
        <v>31</v>
      </c>
      <c r="H284" s="1" t="s">
        <v>279</v>
      </c>
      <c r="I284" s="1" t="s">
        <v>33</v>
      </c>
      <c r="J284" s="1">
        <v>50.35</v>
      </c>
      <c r="K284" s="1" t="s">
        <v>489</v>
      </c>
      <c r="L284" s="1" t="s">
        <v>35</v>
      </c>
      <c r="M284" s="1">
        <v>18.63</v>
      </c>
      <c r="N284" s="1" t="s">
        <v>161</v>
      </c>
      <c r="O284" s="1" t="s">
        <v>37</v>
      </c>
      <c r="P284" s="1" t="s">
        <v>36</v>
      </c>
      <c r="Q284" s="1" t="s">
        <v>162</v>
      </c>
      <c r="R284" s="1" t="s">
        <v>490</v>
      </c>
      <c r="S284" s="1" t="s">
        <v>39</v>
      </c>
      <c r="T284" s="1">
        <v>2002.97</v>
      </c>
      <c r="U284" s="1" t="s">
        <v>40</v>
      </c>
      <c r="V284" s="1" t="s">
        <v>29</v>
      </c>
      <c r="W284" s="1" t="s">
        <v>36</v>
      </c>
      <c r="X284" s="1" t="s">
        <v>29</v>
      </c>
      <c r="Y284" s="1" t="s">
        <v>36</v>
      </c>
      <c r="Z284" s="1" t="s">
        <v>41</v>
      </c>
    </row>
    <row r="285" spans="1:26" ht="15.75" x14ac:dyDescent="0.25">
      <c r="A285" s="1" t="s">
        <v>26</v>
      </c>
      <c r="B285" s="1" t="s">
        <v>27</v>
      </c>
      <c r="C285" s="1" t="s">
        <v>429</v>
      </c>
      <c r="D285" s="3">
        <v>87075</v>
      </c>
      <c r="E285" s="1" t="s">
        <v>29</v>
      </c>
      <c r="F285" s="1" t="s">
        <v>487</v>
      </c>
      <c r="G285" s="1" t="s">
        <v>51</v>
      </c>
      <c r="H285" s="1" t="s">
        <v>279</v>
      </c>
      <c r="I285" s="1" t="s">
        <v>33</v>
      </c>
      <c r="J285" s="1">
        <v>0.75</v>
      </c>
      <c r="K285" s="1" t="s">
        <v>489</v>
      </c>
      <c r="L285" s="1" t="s">
        <v>35</v>
      </c>
      <c r="M285" s="1">
        <v>0.28000000000000003</v>
      </c>
      <c r="N285" s="1" t="s">
        <v>161</v>
      </c>
      <c r="O285" s="1" t="s">
        <v>37</v>
      </c>
      <c r="P285" s="1" t="s">
        <v>36</v>
      </c>
      <c r="Q285" s="1" t="s">
        <v>162</v>
      </c>
      <c r="R285" s="1" t="s">
        <v>490</v>
      </c>
      <c r="S285" s="1" t="s">
        <v>39</v>
      </c>
      <c r="T285" s="1">
        <v>2002.97</v>
      </c>
      <c r="U285" s="1" t="s">
        <v>40</v>
      </c>
      <c r="V285" s="1" t="s">
        <v>29</v>
      </c>
      <c r="W285" s="1" t="s">
        <v>36</v>
      </c>
      <c r="X285" s="1" t="s">
        <v>29</v>
      </c>
      <c r="Y285" s="1" t="s">
        <v>36</v>
      </c>
      <c r="Z285" s="1" t="s">
        <v>41</v>
      </c>
    </row>
    <row r="286" spans="1:26" ht="15.75" x14ac:dyDescent="0.25">
      <c r="A286" s="1" t="s">
        <v>26</v>
      </c>
      <c r="B286" s="1" t="s">
        <v>27</v>
      </c>
      <c r="C286" s="1" t="s">
        <v>429</v>
      </c>
      <c r="D286" s="3">
        <v>87075</v>
      </c>
      <c r="E286" s="1" t="s">
        <v>29</v>
      </c>
      <c r="F286" s="1" t="s">
        <v>487</v>
      </c>
      <c r="G286" s="1" t="s">
        <v>31</v>
      </c>
      <c r="H286" s="1" t="s">
        <v>144</v>
      </c>
      <c r="I286" s="1" t="s">
        <v>33</v>
      </c>
      <c r="J286" s="1">
        <v>50.35</v>
      </c>
      <c r="K286" s="1" t="s">
        <v>489</v>
      </c>
      <c r="L286" s="1" t="s">
        <v>35</v>
      </c>
      <c r="M286" s="1">
        <v>18.63</v>
      </c>
      <c r="N286" s="1" t="s">
        <v>161</v>
      </c>
      <c r="O286" s="1" t="s">
        <v>37</v>
      </c>
      <c r="P286" s="1" t="s">
        <v>36</v>
      </c>
      <c r="Q286" s="1" t="s">
        <v>162</v>
      </c>
      <c r="R286" s="1" t="s">
        <v>490</v>
      </c>
      <c r="S286" s="1" t="s">
        <v>39</v>
      </c>
      <c r="T286" s="1">
        <v>2002.97</v>
      </c>
      <c r="U286" s="1" t="s">
        <v>40</v>
      </c>
      <c r="V286" s="1" t="s">
        <v>29</v>
      </c>
      <c r="W286" s="1" t="s">
        <v>36</v>
      </c>
      <c r="X286" s="1" t="s">
        <v>29</v>
      </c>
      <c r="Y286" s="1" t="s">
        <v>36</v>
      </c>
      <c r="Z286" s="1" t="s">
        <v>41</v>
      </c>
    </row>
    <row r="287" spans="1:26" ht="15.75" x14ac:dyDescent="0.25">
      <c r="A287" s="1" t="s">
        <v>26</v>
      </c>
      <c r="B287" s="1" t="s">
        <v>27</v>
      </c>
      <c r="C287" s="1" t="s">
        <v>429</v>
      </c>
      <c r="D287" s="3">
        <v>87075</v>
      </c>
      <c r="E287" s="1" t="s">
        <v>29</v>
      </c>
      <c r="F287" s="1" t="s">
        <v>487</v>
      </c>
      <c r="G287" s="1" t="s">
        <v>51</v>
      </c>
      <c r="H287" s="1" t="s">
        <v>144</v>
      </c>
      <c r="I287" s="1" t="s">
        <v>33</v>
      </c>
      <c r="J287" s="1">
        <v>0.75</v>
      </c>
      <c r="K287" s="1" t="s">
        <v>489</v>
      </c>
      <c r="L287" s="1" t="s">
        <v>35</v>
      </c>
      <c r="M287" s="1">
        <v>0.28000000000000003</v>
      </c>
      <c r="N287" s="1" t="s">
        <v>161</v>
      </c>
      <c r="O287" s="1" t="s">
        <v>37</v>
      </c>
      <c r="P287" s="1" t="s">
        <v>36</v>
      </c>
      <c r="Q287" s="1" t="s">
        <v>162</v>
      </c>
      <c r="R287" s="1" t="s">
        <v>490</v>
      </c>
      <c r="S287" s="1" t="s">
        <v>39</v>
      </c>
      <c r="T287" s="1">
        <v>2002.97</v>
      </c>
      <c r="U287" s="1" t="s">
        <v>40</v>
      </c>
      <c r="V287" s="1" t="s">
        <v>29</v>
      </c>
      <c r="W287" s="1" t="s">
        <v>36</v>
      </c>
      <c r="X287" s="1" t="s">
        <v>29</v>
      </c>
      <c r="Y287" s="1" t="s">
        <v>36</v>
      </c>
      <c r="Z287" s="1" t="s">
        <v>41</v>
      </c>
    </row>
    <row r="288" spans="1:26" ht="15.75" x14ac:dyDescent="0.25">
      <c r="A288" s="1" t="s">
        <v>26</v>
      </c>
      <c r="B288" s="1" t="s">
        <v>27</v>
      </c>
      <c r="C288" s="1" t="s">
        <v>429</v>
      </c>
      <c r="D288" s="3">
        <v>87076</v>
      </c>
      <c r="E288" s="1" t="s">
        <v>29</v>
      </c>
      <c r="F288" s="1" t="s">
        <v>487</v>
      </c>
      <c r="G288" s="1" t="s">
        <v>42</v>
      </c>
      <c r="H288" s="1" t="s">
        <v>488</v>
      </c>
      <c r="I288" s="1" t="s">
        <v>33</v>
      </c>
      <c r="J288" s="1">
        <v>10.67</v>
      </c>
      <c r="K288" s="1" t="s">
        <v>489</v>
      </c>
      <c r="L288" s="1" t="s">
        <v>35</v>
      </c>
      <c r="M288" s="1">
        <v>3.95</v>
      </c>
      <c r="N288" s="1" t="s">
        <v>161</v>
      </c>
      <c r="O288" s="1" t="s">
        <v>37</v>
      </c>
      <c r="P288" s="1" t="s">
        <v>36</v>
      </c>
      <c r="Q288" s="1" t="s">
        <v>162</v>
      </c>
      <c r="R288" s="1" t="s">
        <v>490</v>
      </c>
      <c r="S288" s="1" t="s">
        <v>39</v>
      </c>
      <c r="T288" s="1">
        <v>2002.97</v>
      </c>
      <c r="U288" s="1" t="s">
        <v>40</v>
      </c>
      <c r="V288" s="1" t="s">
        <v>29</v>
      </c>
      <c r="W288" s="1" t="s">
        <v>36</v>
      </c>
      <c r="X288" s="1" t="s">
        <v>29</v>
      </c>
      <c r="Y288" s="1" t="s">
        <v>36</v>
      </c>
      <c r="Z288" s="1" t="s">
        <v>41</v>
      </c>
    </row>
    <row r="289" spans="1:26" ht="15.75" x14ac:dyDescent="0.25">
      <c r="A289" s="1" t="s">
        <v>26</v>
      </c>
      <c r="B289" s="1" t="s">
        <v>27</v>
      </c>
      <c r="C289" s="1" t="s">
        <v>429</v>
      </c>
      <c r="D289" s="3">
        <v>87076</v>
      </c>
      <c r="E289" s="1" t="s">
        <v>29</v>
      </c>
      <c r="F289" s="1" t="s">
        <v>487</v>
      </c>
      <c r="G289" s="1" t="s">
        <v>42</v>
      </c>
      <c r="H289" s="1" t="s">
        <v>279</v>
      </c>
      <c r="I289" s="1" t="s">
        <v>33</v>
      </c>
      <c r="J289" s="1">
        <v>10.67</v>
      </c>
      <c r="K289" s="1" t="s">
        <v>489</v>
      </c>
      <c r="L289" s="1" t="s">
        <v>35</v>
      </c>
      <c r="M289" s="1">
        <v>3.95</v>
      </c>
      <c r="N289" s="1" t="s">
        <v>161</v>
      </c>
      <c r="O289" s="1" t="s">
        <v>37</v>
      </c>
      <c r="P289" s="1" t="s">
        <v>36</v>
      </c>
      <c r="Q289" s="1" t="s">
        <v>162</v>
      </c>
      <c r="R289" s="1" t="s">
        <v>490</v>
      </c>
      <c r="S289" s="1" t="s">
        <v>39</v>
      </c>
      <c r="T289" s="1">
        <v>2002.97</v>
      </c>
      <c r="U289" s="1" t="s">
        <v>40</v>
      </c>
      <c r="V289" s="1" t="s">
        <v>29</v>
      </c>
      <c r="W289" s="1" t="s">
        <v>36</v>
      </c>
      <c r="X289" s="1" t="s">
        <v>29</v>
      </c>
      <c r="Y289" s="1" t="s">
        <v>36</v>
      </c>
      <c r="Z289" s="1" t="s">
        <v>41</v>
      </c>
    </row>
    <row r="290" spans="1:26" ht="15.75" x14ac:dyDescent="0.25">
      <c r="A290" s="1" t="s">
        <v>26</v>
      </c>
      <c r="B290" s="1" t="s">
        <v>27</v>
      </c>
      <c r="C290" s="1" t="s">
        <v>429</v>
      </c>
      <c r="D290" s="3">
        <v>87076</v>
      </c>
      <c r="E290" s="1" t="s">
        <v>29</v>
      </c>
      <c r="F290" s="1" t="s">
        <v>487</v>
      </c>
      <c r="G290" s="1" t="s">
        <v>42</v>
      </c>
      <c r="H290" s="1" t="s">
        <v>144</v>
      </c>
      <c r="I290" s="1" t="s">
        <v>33</v>
      </c>
      <c r="J290" s="1">
        <v>10.67</v>
      </c>
      <c r="K290" s="1" t="s">
        <v>489</v>
      </c>
      <c r="L290" s="1" t="s">
        <v>35</v>
      </c>
      <c r="M290" s="1">
        <v>3.95</v>
      </c>
      <c r="N290" s="1" t="s">
        <v>161</v>
      </c>
      <c r="O290" s="1" t="s">
        <v>37</v>
      </c>
      <c r="P290" s="1" t="s">
        <v>36</v>
      </c>
      <c r="Q290" s="1" t="s">
        <v>162</v>
      </c>
      <c r="R290" s="1" t="s">
        <v>490</v>
      </c>
      <c r="S290" s="1" t="s">
        <v>39</v>
      </c>
      <c r="T290" s="1">
        <v>2002.97</v>
      </c>
      <c r="U290" s="1" t="s">
        <v>40</v>
      </c>
      <c r="V290" s="1" t="s">
        <v>29</v>
      </c>
      <c r="W290" s="1" t="s">
        <v>36</v>
      </c>
      <c r="X290" s="1" t="s">
        <v>29</v>
      </c>
      <c r="Y290" s="1" t="s">
        <v>36</v>
      </c>
      <c r="Z290" s="1" t="s">
        <v>41</v>
      </c>
    </row>
    <row r="291" spans="1:26" ht="15.75" x14ac:dyDescent="0.25">
      <c r="A291" s="1" t="s">
        <v>26</v>
      </c>
      <c r="B291" s="1" t="s">
        <v>27</v>
      </c>
      <c r="C291" s="1" t="s">
        <v>511</v>
      </c>
      <c r="D291" s="3">
        <v>57946</v>
      </c>
      <c r="E291" s="1" t="s">
        <v>29</v>
      </c>
      <c r="F291" s="1" t="s">
        <v>546</v>
      </c>
      <c r="G291" s="1" t="s">
        <v>31</v>
      </c>
      <c r="H291" s="1" t="s">
        <v>32</v>
      </c>
      <c r="I291" s="1" t="s">
        <v>33</v>
      </c>
      <c r="J291" s="1">
        <v>42.35</v>
      </c>
      <c r="K291" s="1" t="s">
        <v>544</v>
      </c>
      <c r="L291" s="1" t="s">
        <v>35</v>
      </c>
      <c r="M291" s="1">
        <v>15.67</v>
      </c>
      <c r="N291" s="1" t="s">
        <v>161</v>
      </c>
      <c r="O291" s="1" t="s">
        <v>37</v>
      </c>
      <c r="P291" s="1" t="s">
        <v>36</v>
      </c>
      <c r="Q291" s="1" t="s">
        <v>162</v>
      </c>
      <c r="R291" s="1" t="s">
        <v>547</v>
      </c>
      <c r="S291" s="1" t="s">
        <v>39</v>
      </c>
      <c r="T291" s="1">
        <v>2002.97</v>
      </c>
      <c r="U291" s="1" t="s">
        <v>40</v>
      </c>
      <c r="V291" s="1" t="s">
        <v>29</v>
      </c>
      <c r="W291" s="1" t="s">
        <v>36</v>
      </c>
      <c r="X291" s="1" t="s">
        <v>29</v>
      </c>
      <c r="Y291" s="1" t="s">
        <v>36</v>
      </c>
      <c r="Z291" s="1" t="s">
        <v>41</v>
      </c>
    </row>
    <row r="292" spans="1:26" ht="15.75" x14ac:dyDescent="0.25">
      <c r="A292" s="1" t="s">
        <v>26</v>
      </c>
      <c r="B292" s="1" t="s">
        <v>27</v>
      </c>
      <c r="C292" s="1" t="s">
        <v>511</v>
      </c>
      <c r="D292" s="3">
        <v>57946</v>
      </c>
      <c r="E292" s="1" t="s">
        <v>29</v>
      </c>
      <c r="F292" s="1" t="s">
        <v>546</v>
      </c>
      <c r="G292" s="1" t="s">
        <v>61</v>
      </c>
      <c r="H292" s="1" t="s">
        <v>32</v>
      </c>
      <c r="I292" s="1" t="s">
        <v>33</v>
      </c>
      <c r="J292" s="1">
        <v>1.5</v>
      </c>
      <c r="K292" s="1" t="s">
        <v>544</v>
      </c>
      <c r="L292" s="1" t="s">
        <v>35</v>
      </c>
      <c r="M292" s="1">
        <v>0.55000000000000004</v>
      </c>
      <c r="N292" s="1" t="s">
        <v>161</v>
      </c>
      <c r="O292" s="1" t="s">
        <v>37</v>
      </c>
      <c r="P292" s="1" t="s">
        <v>36</v>
      </c>
      <c r="Q292" s="1" t="s">
        <v>162</v>
      </c>
      <c r="R292" s="1" t="s">
        <v>547</v>
      </c>
      <c r="S292" s="1" t="s">
        <v>39</v>
      </c>
      <c r="T292" s="1">
        <v>2002.97</v>
      </c>
      <c r="U292" s="1" t="s">
        <v>40</v>
      </c>
      <c r="V292" s="1" t="s">
        <v>29</v>
      </c>
      <c r="W292" s="1" t="s">
        <v>36</v>
      </c>
      <c r="X292" s="1" t="s">
        <v>29</v>
      </c>
      <c r="Y292" s="1" t="s">
        <v>36</v>
      </c>
      <c r="Z292" s="1" t="s">
        <v>41</v>
      </c>
    </row>
    <row r="293" spans="1:26" ht="15.75" x14ac:dyDescent="0.25">
      <c r="A293" s="1" t="s">
        <v>26</v>
      </c>
      <c r="B293" s="1" t="s">
        <v>27</v>
      </c>
      <c r="C293" s="1" t="s">
        <v>511</v>
      </c>
      <c r="D293" s="3">
        <v>86097</v>
      </c>
      <c r="E293" s="1" t="s">
        <v>29</v>
      </c>
      <c r="F293" s="1" t="s">
        <v>572</v>
      </c>
      <c r="G293" s="1" t="s">
        <v>31</v>
      </c>
      <c r="H293" s="1" t="s">
        <v>148</v>
      </c>
      <c r="I293" s="1" t="s">
        <v>33</v>
      </c>
      <c r="J293" s="1">
        <v>83.41</v>
      </c>
      <c r="K293" s="1" t="s">
        <v>573</v>
      </c>
      <c r="L293" s="1" t="s">
        <v>35</v>
      </c>
      <c r="M293" s="1">
        <v>30.86</v>
      </c>
      <c r="N293" s="1" t="s">
        <v>161</v>
      </c>
      <c r="O293" s="1" t="s">
        <v>37</v>
      </c>
      <c r="P293" s="1" t="s">
        <v>36</v>
      </c>
      <c r="Q293" s="1" t="s">
        <v>162</v>
      </c>
      <c r="R293" s="1" t="s">
        <v>574</v>
      </c>
      <c r="S293" s="1" t="s">
        <v>39</v>
      </c>
      <c r="T293" s="1">
        <v>2002.97</v>
      </c>
      <c r="U293" s="1" t="s">
        <v>40</v>
      </c>
      <c r="V293" s="1" t="s">
        <v>29</v>
      </c>
      <c r="W293" s="1" t="s">
        <v>36</v>
      </c>
      <c r="X293" s="1" t="s">
        <v>29</v>
      </c>
      <c r="Y293" s="1" t="s">
        <v>36</v>
      </c>
      <c r="Z293" s="1" t="s">
        <v>41</v>
      </c>
    </row>
    <row r="294" spans="1:26" ht="15.75" x14ac:dyDescent="0.25">
      <c r="A294" s="1" t="s">
        <v>26</v>
      </c>
      <c r="B294" s="1" t="s">
        <v>27</v>
      </c>
      <c r="C294" s="1" t="s">
        <v>511</v>
      </c>
      <c r="D294" s="3">
        <v>86821</v>
      </c>
      <c r="E294" s="1" t="s">
        <v>29</v>
      </c>
      <c r="F294" s="1" t="s">
        <v>578</v>
      </c>
      <c r="G294" s="1" t="s">
        <v>31</v>
      </c>
      <c r="H294" s="1" t="s">
        <v>148</v>
      </c>
      <c r="I294" s="1" t="s">
        <v>33</v>
      </c>
      <c r="J294" s="1">
        <v>46.59</v>
      </c>
      <c r="K294" s="1" t="s">
        <v>573</v>
      </c>
      <c r="L294" s="1" t="s">
        <v>35</v>
      </c>
      <c r="M294" s="1">
        <v>17.239999999999998</v>
      </c>
      <c r="N294" s="1" t="s">
        <v>161</v>
      </c>
      <c r="O294" s="1" t="s">
        <v>37</v>
      </c>
      <c r="P294" s="1" t="s">
        <v>36</v>
      </c>
      <c r="Q294" s="1" t="s">
        <v>162</v>
      </c>
      <c r="R294" s="1" t="s">
        <v>579</v>
      </c>
      <c r="S294" s="1" t="s">
        <v>39</v>
      </c>
      <c r="T294" s="1">
        <v>2002.97</v>
      </c>
      <c r="U294" s="1" t="s">
        <v>40</v>
      </c>
      <c r="V294" s="1" t="s">
        <v>29</v>
      </c>
      <c r="W294" s="1" t="s">
        <v>36</v>
      </c>
      <c r="X294" s="1" t="s">
        <v>29</v>
      </c>
      <c r="Y294" s="1" t="s">
        <v>36</v>
      </c>
      <c r="Z294" s="1" t="s">
        <v>41</v>
      </c>
    </row>
    <row r="295" spans="1:26" ht="15.75" x14ac:dyDescent="0.25">
      <c r="A295" s="1" t="s">
        <v>26</v>
      </c>
      <c r="B295" s="1" t="s">
        <v>27</v>
      </c>
      <c r="C295" s="1" t="s">
        <v>511</v>
      </c>
      <c r="D295" s="3">
        <v>86821</v>
      </c>
      <c r="E295" s="1" t="s">
        <v>29</v>
      </c>
      <c r="F295" s="1" t="s">
        <v>578</v>
      </c>
      <c r="G295" s="1" t="s">
        <v>61</v>
      </c>
      <c r="H295" s="1" t="s">
        <v>148</v>
      </c>
      <c r="I295" s="1" t="s">
        <v>33</v>
      </c>
      <c r="J295" s="1">
        <v>1.5</v>
      </c>
      <c r="K295" s="1" t="s">
        <v>573</v>
      </c>
      <c r="L295" s="1" t="s">
        <v>35</v>
      </c>
      <c r="M295" s="1">
        <v>0.55000000000000004</v>
      </c>
      <c r="N295" s="1" t="s">
        <v>161</v>
      </c>
      <c r="O295" s="1" t="s">
        <v>37</v>
      </c>
      <c r="P295" s="1" t="s">
        <v>36</v>
      </c>
      <c r="Q295" s="1" t="s">
        <v>162</v>
      </c>
      <c r="R295" s="1" t="s">
        <v>579</v>
      </c>
      <c r="S295" s="1" t="s">
        <v>39</v>
      </c>
      <c r="T295" s="1">
        <v>2002.97</v>
      </c>
      <c r="U295" s="1" t="s">
        <v>40</v>
      </c>
      <c r="V295" s="1" t="s">
        <v>29</v>
      </c>
      <c r="W295" s="1" t="s">
        <v>36</v>
      </c>
      <c r="X295" s="1" t="s">
        <v>29</v>
      </c>
      <c r="Y295" s="1" t="s">
        <v>36</v>
      </c>
      <c r="Z295" s="1" t="s">
        <v>41</v>
      </c>
    </row>
    <row r="296" spans="1:26" ht="15.75" x14ac:dyDescent="0.25">
      <c r="A296" s="1" t="s">
        <v>26</v>
      </c>
      <c r="B296" s="1" t="s">
        <v>27</v>
      </c>
      <c r="C296" s="1" t="s">
        <v>511</v>
      </c>
      <c r="D296" s="3">
        <v>88370</v>
      </c>
      <c r="E296" s="1" t="s">
        <v>29</v>
      </c>
      <c r="F296" s="1" t="s">
        <v>593</v>
      </c>
      <c r="G296" s="1" t="s">
        <v>31</v>
      </c>
      <c r="H296" s="1" t="s">
        <v>58</v>
      </c>
      <c r="I296" s="1" t="s">
        <v>33</v>
      </c>
      <c r="J296" s="1">
        <v>42.35</v>
      </c>
      <c r="K296" s="1" t="s">
        <v>594</v>
      </c>
      <c r="L296" s="1" t="s">
        <v>35</v>
      </c>
      <c r="M296" s="1">
        <v>15.67</v>
      </c>
      <c r="N296" s="1" t="s">
        <v>161</v>
      </c>
      <c r="O296" s="1" t="s">
        <v>37</v>
      </c>
      <c r="P296" s="1" t="s">
        <v>36</v>
      </c>
      <c r="Q296" s="1" t="s">
        <v>162</v>
      </c>
      <c r="R296" s="1" t="s">
        <v>595</v>
      </c>
      <c r="S296" s="1" t="s">
        <v>39</v>
      </c>
      <c r="T296" s="1">
        <v>2002.97</v>
      </c>
      <c r="U296" s="1" t="s">
        <v>40</v>
      </c>
      <c r="V296" s="1" t="s">
        <v>29</v>
      </c>
      <c r="W296" s="1" t="s">
        <v>36</v>
      </c>
      <c r="X296" s="1" t="s">
        <v>29</v>
      </c>
      <c r="Y296" s="1" t="s">
        <v>36</v>
      </c>
      <c r="Z296" s="1" t="s">
        <v>41</v>
      </c>
    </row>
    <row r="297" spans="1:26" ht="15.75" x14ac:dyDescent="0.25">
      <c r="A297" s="1" t="s">
        <v>26</v>
      </c>
      <c r="B297" s="1" t="s">
        <v>27</v>
      </c>
      <c r="C297" s="1" t="s">
        <v>511</v>
      </c>
      <c r="D297" s="3">
        <v>88370</v>
      </c>
      <c r="E297" s="1" t="s">
        <v>29</v>
      </c>
      <c r="F297" s="1" t="s">
        <v>593</v>
      </c>
      <c r="G297" s="1" t="s">
        <v>61</v>
      </c>
      <c r="H297" s="1" t="s">
        <v>58</v>
      </c>
      <c r="I297" s="1" t="s">
        <v>33</v>
      </c>
      <c r="J297" s="1">
        <v>1.5</v>
      </c>
      <c r="K297" s="1" t="s">
        <v>594</v>
      </c>
      <c r="L297" s="1" t="s">
        <v>35</v>
      </c>
      <c r="M297" s="1">
        <v>0.55000000000000004</v>
      </c>
      <c r="N297" s="1" t="s">
        <v>161</v>
      </c>
      <c r="O297" s="1" t="s">
        <v>37</v>
      </c>
      <c r="P297" s="1" t="s">
        <v>36</v>
      </c>
      <c r="Q297" s="1" t="s">
        <v>162</v>
      </c>
      <c r="R297" s="1" t="s">
        <v>595</v>
      </c>
      <c r="S297" s="1" t="s">
        <v>39</v>
      </c>
      <c r="T297" s="1">
        <v>2002.97</v>
      </c>
      <c r="U297" s="1" t="s">
        <v>40</v>
      </c>
      <c r="V297" s="1" t="s">
        <v>29</v>
      </c>
      <c r="W297" s="1" t="s">
        <v>36</v>
      </c>
      <c r="X297" s="1" t="s">
        <v>29</v>
      </c>
      <c r="Y297" s="1" t="s">
        <v>36</v>
      </c>
      <c r="Z297" s="1" t="s">
        <v>41</v>
      </c>
    </row>
    <row r="298" spans="1:26" ht="15.75" x14ac:dyDescent="0.25">
      <c r="A298" s="1" t="s">
        <v>26</v>
      </c>
      <c r="B298" s="1" t="s">
        <v>27</v>
      </c>
      <c r="C298" s="1" t="s">
        <v>139</v>
      </c>
      <c r="D298" s="3">
        <v>89752</v>
      </c>
      <c r="E298" s="1" t="s">
        <v>29</v>
      </c>
      <c r="F298" s="1" t="s">
        <v>196</v>
      </c>
      <c r="G298" s="1" t="s">
        <v>31</v>
      </c>
      <c r="H298" s="1" t="s">
        <v>121</v>
      </c>
      <c r="I298" s="1" t="s">
        <v>101</v>
      </c>
      <c r="J298" s="1">
        <v>45.29</v>
      </c>
      <c r="K298" s="1" t="s">
        <v>189</v>
      </c>
      <c r="L298" s="1" t="s">
        <v>35</v>
      </c>
      <c r="M298" s="1">
        <v>1.81</v>
      </c>
      <c r="N298" s="1" t="s">
        <v>197</v>
      </c>
      <c r="O298" s="1" t="s">
        <v>37</v>
      </c>
      <c r="P298" s="1" t="s">
        <v>36</v>
      </c>
      <c r="Q298" s="1" t="s">
        <v>198</v>
      </c>
      <c r="R298" s="1" t="s">
        <v>199</v>
      </c>
      <c r="S298" s="1" t="s">
        <v>39</v>
      </c>
      <c r="T298" s="1">
        <v>2002.97</v>
      </c>
      <c r="U298" s="1" t="s">
        <v>40</v>
      </c>
      <c r="V298" s="1" t="s">
        <v>29</v>
      </c>
      <c r="W298" s="1" t="s">
        <v>36</v>
      </c>
      <c r="X298" s="1" t="s">
        <v>29</v>
      </c>
      <c r="Y298" s="1" t="s">
        <v>36</v>
      </c>
      <c r="Z298" s="1" t="s">
        <v>41</v>
      </c>
    </row>
    <row r="299" spans="1:26" ht="15.75" x14ac:dyDescent="0.25">
      <c r="A299" s="1" t="s">
        <v>26</v>
      </c>
      <c r="B299" s="1" t="s">
        <v>27</v>
      </c>
      <c r="C299" s="1" t="s">
        <v>139</v>
      </c>
      <c r="D299" s="3">
        <v>89753</v>
      </c>
      <c r="E299" s="1" t="s">
        <v>29</v>
      </c>
      <c r="F299" s="1" t="s">
        <v>196</v>
      </c>
      <c r="G299" s="1" t="s">
        <v>42</v>
      </c>
      <c r="H299" s="1" t="s">
        <v>121</v>
      </c>
      <c r="I299" s="1" t="s">
        <v>101</v>
      </c>
      <c r="J299" s="1">
        <v>10.67</v>
      </c>
      <c r="K299" s="1" t="s">
        <v>189</v>
      </c>
      <c r="L299" s="1" t="s">
        <v>35</v>
      </c>
      <c r="M299" s="1">
        <v>0.43</v>
      </c>
      <c r="N299" s="1" t="s">
        <v>197</v>
      </c>
      <c r="O299" s="1" t="s">
        <v>37</v>
      </c>
      <c r="P299" s="1" t="s">
        <v>36</v>
      </c>
      <c r="Q299" s="1" t="s">
        <v>198</v>
      </c>
      <c r="R299" s="1" t="s">
        <v>199</v>
      </c>
      <c r="S299" s="1" t="s">
        <v>39</v>
      </c>
      <c r="T299" s="1">
        <v>2002.97</v>
      </c>
      <c r="U299" s="1" t="s">
        <v>40</v>
      </c>
      <c r="V299" s="1" t="s">
        <v>29</v>
      </c>
      <c r="W299" s="1" t="s">
        <v>36</v>
      </c>
      <c r="X299" s="1" t="s">
        <v>29</v>
      </c>
      <c r="Y299" s="1" t="s">
        <v>36</v>
      </c>
      <c r="Z299" s="1" t="s">
        <v>41</v>
      </c>
    </row>
    <row r="300" spans="1:26" ht="15.75" x14ac:dyDescent="0.25">
      <c r="A300" s="1" t="s">
        <v>26</v>
      </c>
      <c r="B300" s="1" t="s">
        <v>27</v>
      </c>
      <c r="C300" s="1" t="s">
        <v>429</v>
      </c>
      <c r="D300" s="3">
        <v>92493</v>
      </c>
      <c r="E300" s="1" t="s">
        <v>29</v>
      </c>
      <c r="F300" s="1" t="s">
        <v>491</v>
      </c>
      <c r="G300" s="1" t="s">
        <v>42</v>
      </c>
      <c r="H300" s="1" t="s">
        <v>492</v>
      </c>
      <c r="I300" s="1" t="s">
        <v>33</v>
      </c>
      <c r="J300" s="1">
        <v>-10.67</v>
      </c>
      <c r="K300" s="1" t="s">
        <v>493</v>
      </c>
      <c r="L300" s="1" t="s">
        <v>35</v>
      </c>
      <c r="M300" s="1">
        <v>-3.95</v>
      </c>
      <c r="N300" s="1" t="s">
        <v>494</v>
      </c>
      <c r="O300" s="1" t="s">
        <v>37</v>
      </c>
      <c r="P300" s="1" t="s">
        <v>36</v>
      </c>
      <c r="Q300" s="1" t="s">
        <v>495</v>
      </c>
      <c r="R300" s="1" t="s">
        <v>496</v>
      </c>
      <c r="S300" s="1" t="s">
        <v>39</v>
      </c>
      <c r="T300" s="1">
        <v>2002.97</v>
      </c>
      <c r="U300" s="1" t="s">
        <v>40</v>
      </c>
      <c r="V300" s="1" t="s">
        <v>29</v>
      </c>
      <c r="W300" s="1" t="s">
        <v>36</v>
      </c>
      <c r="X300" s="1" t="s">
        <v>29</v>
      </c>
      <c r="Y300" s="1" t="s">
        <v>36</v>
      </c>
      <c r="Z300" s="1" t="s">
        <v>41</v>
      </c>
    </row>
    <row r="301" spans="1:26" ht="15.75" x14ac:dyDescent="0.25">
      <c r="A301" s="1" t="s">
        <v>26</v>
      </c>
      <c r="B301" s="1" t="s">
        <v>27</v>
      </c>
      <c r="C301" s="1" t="s">
        <v>429</v>
      </c>
      <c r="D301" s="3">
        <v>97536</v>
      </c>
      <c r="E301" s="1" t="s">
        <v>29</v>
      </c>
      <c r="F301" s="1" t="s">
        <v>506</v>
      </c>
      <c r="G301" s="1" t="s">
        <v>42</v>
      </c>
      <c r="H301" s="1" t="s">
        <v>121</v>
      </c>
      <c r="I301" s="1" t="s">
        <v>101</v>
      </c>
      <c r="J301" s="1">
        <v>13.07</v>
      </c>
      <c r="K301" s="1" t="s">
        <v>507</v>
      </c>
      <c r="L301" s="1" t="s">
        <v>35</v>
      </c>
      <c r="M301" s="1">
        <v>4.84</v>
      </c>
      <c r="N301" s="1" t="s">
        <v>494</v>
      </c>
      <c r="O301" s="1" t="s">
        <v>37</v>
      </c>
      <c r="P301" s="1" t="s">
        <v>36</v>
      </c>
      <c r="Q301" s="1" t="s">
        <v>495</v>
      </c>
      <c r="R301" s="1" t="s">
        <v>508</v>
      </c>
      <c r="S301" s="1" t="s">
        <v>39</v>
      </c>
      <c r="T301" s="1">
        <v>2002.97</v>
      </c>
      <c r="U301" s="1" t="s">
        <v>40</v>
      </c>
      <c r="V301" s="1" t="s">
        <v>29</v>
      </c>
      <c r="W301" s="1" t="s">
        <v>36</v>
      </c>
      <c r="X301" s="1" t="s">
        <v>29</v>
      </c>
      <c r="Y301" s="1" t="s">
        <v>36</v>
      </c>
      <c r="Z301" s="1" t="s">
        <v>41</v>
      </c>
    </row>
    <row r="302" spans="1:26" ht="15.75" x14ac:dyDescent="0.25">
      <c r="A302" s="1" t="s">
        <v>26</v>
      </c>
      <c r="B302" s="1" t="s">
        <v>27</v>
      </c>
      <c r="C302" s="1" t="s">
        <v>511</v>
      </c>
      <c r="D302" s="3">
        <v>28212</v>
      </c>
      <c r="E302" s="1" t="s">
        <v>29</v>
      </c>
      <c r="F302" s="1" t="s">
        <v>524</v>
      </c>
      <c r="G302" s="1" t="s">
        <v>31</v>
      </c>
      <c r="H302" s="1" t="s">
        <v>58</v>
      </c>
      <c r="I302" s="1" t="s">
        <v>33</v>
      </c>
      <c r="J302" s="1">
        <v>43.8</v>
      </c>
      <c r="K302" s="1" t="s">
        <v>520</v>
      </c>
      <c r="L302" s="1" t="s">
        <v>35</v>
      </c>
      <c r="M302" s="1">
        <v>16.21</v>
      </c>
      <c r="N302" s="1" t="s">
        <v>494</v>
      </c>
      <c r="O302" s="1" t="s">
        <v>37</v>
      </c>
      <c r="P302" s="1" t="s">
        <v>36</v>
      </c>
      <c r="Q302" s="1" t="s">
        <v>495</v>
      </c>
      <c r="R302" s="1" t="s">
        <v>525</v>
      </c>
      <c r="S302" s="1" t="s">
        <v>39</v>
      </c>
      <c r="T302" s="1">
        <v>2002.97</v>
      </c>
      <c r="U302" s="1" t="s">
        <v>40</v>
      </c>
      <c r="V302" s="1" t="s">
        <v>29</v>
      </c>
      <c r="W302" s="1" t="s">
        <v>36</v>
      </c>
      <c r="X302" s="1" t="s">
        <v>29</v>
      </c>
      <c r="Y302" s="1" t="s">
        <v>36</v>
      </c>
      <c r="Z302" s="1" t="s">
        <v>41</v>
      </c>
    </row>
    <row r="303" spans="1:26" ht="15.75" x14ac:dyDescent="0.25">
      <c r="A303" s="1" t="s">
        <v>26</v>
      </c>
      <c r="B303" s="1" t="s">
        <v>27</v>
      </c>
      <c r="C303" s="1" t="s">
        <v>602</v>
      </c>
      <c r="D303" s="3">
        <v>15322</v>
      </c>
      <c r="E303" s="1" t="s">
        <v>29</v>
      </c>
      <c r="F303" s="1" t="s">
        <v>613</v>
      </c>
      <c r="G303" s="1" t="s">
        <v>31</v>
      </c>
      <c r="H303" s="1" t="s">
        <v>121</v>
      </c>
      <c r="I303" s="1" t="s">
        <v>101</v>
      </c>
      <c r="J303" s="1">
        <v>43.8</v>
      </c>
      <c r="K303" s="1" t="s">
        <v>121</v>
      </c>
      <c r="L303" s="1" t="s">
        <v>35</v>
      </c>
      <c r="M303" s="1">
        <v>16.21</v>
      </c>
      <c r="N303" s="1" t="s">
        <v>494</v>
      </c>
      <c r="O303" s="1" t="s">
        <v>37</v>
      </c>
      <c r="P303" s="1" t="s">
        <v>36</v>
      </c>
      <c r="Q303" s="1" t="s">
        <v>495</v>
      </c>
      <c r="R303" s="1" t="s">
        <v>614</v>
      </c>
      <c r="S303" s="1" t="s">
        <v>39</v>
      </c>
      <c r="T303" s="1">
        <v>2002.97</v>
      </c>
      <c r="U303" s="1" t="s">
        <v>40</v>
      </c>
      <c r="V303" s="1" t="s">
        <v>29</v>
      </c>
      <c r="W303" s="1" t="s">
        <v>36</v>
      </c>
      <c r="X303" s="1" t="s">
        <v>29</v>
      </c>
      <c r="Y303" s="1" t="s">
        <v>36</v>
      </c>
      <c r="Z303" s="1" t="s">
        <v>41</v>
      </c>
    </row>
    <row r="304" spans="1:26" ht="15.75" x14ac:dyDescent="0.25">
      <c r="A304" s="1" t="s">
        <v>26</v>
      </c>
      <c r="B304" s="1" t="s">
        <v>27</v>
      </c>
      <c r="C304" s="1" t="s">
        <v>602</v>
      </c>
      <c r="D304" s="3">
        <v>15323</v>
      </c>
      <c r="E304" s="1" t="s">
        <v>29</v>
      </c>
      <c r="F304" s="1" t="s">
        <v>613</v>
      </c>
      <c r="G304" s="1" t="s">
        <v>42</v>
      </c>
      <c r="H304" s="1" t="s">
        <v>121</v>
      </c>
      <c r="I304" s="1" t="s">
        <v>101</v>
      </c>
      <c r="J304" s="1">
        <v>9.66</v>
      </c>
      <c r="K304" s="1" t="s">
        <v>121</v>
      </c>
      <c r="L304" s="1" t="s">
        <v>35</v>
      </c>
      <c r="M304" s="1">
        <v>3.57</v>
      </c>
      <c r="N304" s="1" t="s">
        <v>494</v>
      </c>
      <c r="O304" s="1" t="s">
        <v>37</v>
      </c>
      <c r="P304" s="1" t="s">
        <v>36</v>
      </c>
      <c r="Q304" s="1" t="s">
        <v>495</v>
      </c>
      <c r="R304" s="1" t="s">
        <v>614</v>
      </c>
      <c r="S304" s="1" t="s">
        <v>39</v>
      </c>
      <c r="T304" s="1">
        <v>2002.97</v>
      </c>
      <c r="U304" s="1" t="s">
        <v>40</v>
      </c>
      <c r="V304" s="1" t="s">
        <v>29</v>
      </c>
      <c r="W304" s="1" t="s">
        <v>36</v>
      </c>
      <c r="X304" s="1" t="s">
        <v>29</v>
      </c>
      <c r="Y304" s="1" t="s">
        <v>36</v>
      </c>
      <c r="Z304" s="1" t="s">
        <v>41</v>
      </c>
    </row>
    <row r="305" spans="1:26" ht="15.75" x14ac:dyDescent="0.25">
      <c r="A305" s="1" t="s">
        <v>26</v>
      </c>
      <c r="B305" s="1" t="s">
        <v>27</v>
      </c>
      <c r="C305" s="1" t="s">
        <v>511</v>
      </c>
      <c r="D305" s="3">
        <v>1055</v>
      </c>
      <c r="E305" s="1" t="s">
        <v>29</v>
      </c>
      <c r="F305" s="1" t="s">
        <v>512</v>
      </c>
      <c r="G305" s="1" t="s">
        <v>31</v>
      </c>
      <c r="H305" s="1" t="s">
        <v>101</v>
      </c>
      <c r="I305" s="1" t="s">
        <v>102</v>
      </c>
      <c r="J305" s="1">
        <v>36.29</v>
      </c>
      <c r="K305" s="1" t="s">
        <v>513</v>
      </c>
      <c r="L305" s="1" t="s">
        <v>35</v>
      </c>
      <c r="M305" s="1">
        <v>13.43</v>
      </c>
      <c r="N305" s="1" t="s">
        <v>514</v>
      </c>
      <c r="O305" s="1" t="s">
        <v>37</v>
      </c>
      <c r="P305" s="1" t="s">
        <v>36</v>
      </c>
      <c r="Q305" s="1" t="s">
        <v>515</v>
      </c>
      <c r="R305" s="1" t="s">
        <v>516</v>
      </c>
      <c r="S305" s="1" t="s">
        <v>39</v>
      </c>
      <c r="T305" s="1">
        <v>2002.97</v>
      </c>
      <c r="U305" s="1" t="s">
        <v>40</v>
      </c>
      <c r="V305" s="1" t="s">
        <v>29</v>
      </c>
      <c r="W305" s="1" t="s">
        <v>36</v>
      </c>
      <c r="X305" s="1" t="s">
        <v>29</v>
      </c>
      <c r="Y305" s="1" t="s">
        <v>36</v>
      </c>
      <c r="Z305" s="1" t="s">
        <v>41</v>
      </c>
    </row>
    <row r="306" spans="1:26" ht="15.75" x14ac:dyDescent="0.25">
      <c r="A306" s="1" t="s">
        <v>26</v>
      </c>
      <c r="B306" s="1" t="s">
        <v>27</v>
      </c>
      <c r="C306" s="1" t="s">
        <v>511</v>
      </c>
      <c r="D306" s="3">
        <v>1055</v>
      </c>
      <c r="E306" s="1" t="s">
        <v>29</v>
      </c>
      <c r="F306" s="1" t="s">
        <v>512</v>
      </c>
      <c r="G306" s="1" t="s">
        <v>61</v>
      </c>
      <c r="H306" s="1" t="s">
        <v>101</v>
      </c>
      <c r="I306" s="1" t="s">
        <v>102</v>
      </c>
      <c r="J306" s="1">
        <v>1.5</v>
      </c>
      <c r="K306" s="1" t="s">
        <v>513</v>
      </c>
      <c r="L306" s="1" t="s">
        <v>35</v>
      </c>
      <c r="M306" s="1">
        <v>0.55000000000000004</v>
      </c>
      <c r="N306" s="1" t="s">
        <v>514</v>
      </c>
      <c r="O306" s="1" t="s">
        <v>37</v>
      </c>
      <c r="P306" s="1" t="s">
        <v>36</v>
      </c>
      <c r="Q306" s="1" t="s">
        <v>515</v>
      </c>
      <c r="R306" s="1" t="s">
        <v>516</v>
      </c>
      <c r="S306" s="1" t="s">
        <v>39</v>
      </c>
      <c r="T306" s="1">
        <v>2002.97</v>
      </c>
      <c r="U306" s="1" t="s">
        <v>40</v>
      </c>
      <c r="V306" s="1" t="s">
        <v>29</v>
      </c>
      <c r="W306" s="1" t="s">
        <v>36</v>
      </c>
      <c r="X306" s="1" t="s">
        <v>29</v>
      </c>
      <c r="Y306" s="1" t="s">
        <v>36</v>
      </c>
      <c r="Z306" s="1" t="s">
        <v>41</v>
      </c>
    </row>
    <row r="307" spans="1:26" ht="15.75" x14ac:dyDescent="0.25">
      <c r="A307" s="1" t="s">
        <v>26</v>
      </c>
      <c r="B307" s="1" t="s">
        <v>27</v>
      </c>
      <c r="C307" s="1" t="s">
        <v>511</v>
      </c>
      <c r="D307" s="3">
        <v>59580</v>
      </c>
      <c r="E307" s="1" t="s">
        <v>29</v>
      </c>
      <c r="F307" s="1" t="s">
        <v>552</v>
      </c>
      <c r="G307" s="1" t="s">
        <v>31</v>
      </c>
      <c r="H307" s="1" t="s">
        <v>121</v>
      </c>
      <c r="I307" s="1" t="s">
        <v>101</v>
      </c>
      <c r="J307" s="1">
        <v>31.82</v>
      </c>
      <c r="K307" s="1" t="s">
        <v>553</v>
      </c>
      <c r="L307" s="1" t="s">
        <v>35</v>
      </c>
      <c r="M307" s="1">
        <v>0</v>
      </c>
      <c r="N307" s="1" t="s">
        <v>514</v>
      </c>
      <c r="O307" s="1" t="s">
        <v>37</v>
      </c>
      <c r="P307" s="1" t="s">
        <v>554</v>
      </c>
      <c r="Q307" s="1" t="s">
        <v>515</v>
      </c>
      <c r="R307" s="1" t="s">
        <v>555</v>
      </c>
      <c r="S307" s="1" t="s">
        <v>39</v>
      </c>
      <c r="T307" s="1">
        <v>2002.97</v>
      </c>
      <c r="U307" s="1" t="s">
        <v>40</v>
      </c>
      <c r="V307" s="1" t="s">
        <v>29</v>
      </c>
      <c r="W307" s="1" t="s">
        <v>36</v>
      </c>
      <c r="X307" s="1" t="s">
        <v>29</v>
      </c>
      <c r="Y307" s="1" t="s">
        <v>36</v>
      </c>
      <c r="Z307" s="1" t="s">
        <v>41</v>
      </c>
    </row>
    <row r="308" spans="1:26" ht="15.75" x14ac:dyDescent="0.25">
      <c r="A308" s="1" t="s">
        <v>26</v>
      </c>
      <c r="B308" s="1" t="s">
        <v>27</v>
      </c>
      <c r="C308" s="1" t="s">
        <v>511</v>
      </c>
      <c r="D308" s="3">
        <v>59581</v>
      </c>
      <c r="E308" s="1" t="s">
        <v>29</v>
      </c>
      <c r="F308" s="1" t="s">
        <v>552</v>
      </c>
      <c r="G308" s="1" t="s">
        <v>42</v>
      </c>
      <c r="H308" s="1" t="s">
        <v>121</v>
      </c>
      <c r="I308" s="1" t="s">
        <v>101</v>
      </c>
      <c r="J308" s="1">
        <v>16.34</v>
      </c>
      <c r="K308" s="1" t="s">
        <v>553</v>
      </c>
      <c r="L308" s="1" t="s">
        <v>35</v>
      </c>
      <c r="M308" s="1">
        <v>0</v>
      </c>
      <c r="N308" s="1" t="s">
        <v>514</v>
      </c>
      <c r="O308" s="1" t="s">
        <v>37</v>
      </c>
      <c r="P308" s="1" t="s">
        <v>556</v>
      </c>
      <c r="Q308" s="1" t="s">
        <v>515</v>
      </c>
      <c r="R308" s="1" t="s">
        <v>555</v>
      </c>
      <c r="S308" s="1" t="s">
        <v>39</v>
      </c>
      <c r="T308" s="1">
        <v>2002.97</v>
      </c>
      <c r="U308" s="1" t="s">
        <v>40</v>
      </c>
      <c r="V308" s="1" t="s">
        <v>29</v>
      </c>
      <c r="W308" s="1" t="s">
        <v>36</v>
      </c>
      <c r="X308" s="1" t="s">
        <v>29</v>
      </c>
      <c r="Y308" s="1" t="s">
        <v>36</v>
      </c>
      <c r="Z308" s="1" t="s">
        <v>41</v>
      </c>
    </row>
    <row r="309" spans="1:26" ht="15.75" x14ac:dyDescent="0.25">
      <c r="A309" s="1" t="s">
        <v>26</v>
      </c>
      <c r="B309" s="1" t="s">
        <v>27</v>
      </c>
      <c r="C309" s="1" t="s">
        <v>90</v>
      </c>
      <c r="D309" s="3">
        <v>47488</v>
      </c>
      <c r="E309" s="1" t="s">
        <v>29</v>
      </c>
      <c r="F309" s="1" t="s">
        <v>100</v>
      </c>
      <c r="G309" s="1" t="s">
        <v>31</v>
      </c>
      <c r="H309" s="1" t="s">
        <v>101</v>
      </c>
      <c r="I309" s="1" t="s">
        <v>102</v>
      </c>
      <c r="J309" s="1">
        <v>44.03</v>
      </c>
      <c r="K309" s="1" t="s">
        <v>103</v>
      </c>
      <c r="L309" s="1" t="s">
        <v>35</v>
      </c>
      <c r="M309" s="1">
        <v>0.88</v>
      </c>
      <c r="N309" s="1" t="s">
        <v>104</v>
      </c>
      <c r="O309" s="1" t="s">
        <v>37</v>
      </c>
      <c r="P309" s="1" t="s">
        <v>36</v>
      </c>
      <c r="Q309" s="1" t="s">
        <v>105</v>
      </c>
      <c r="R309" s="1" t="s">
        <v>106</v>
      </c>
      <c r="S309" s="1" t="s">
        <v>39</v>
      </c>
      <c r="T309" s="1">
        <v>2002.97</v>
      </c>
      <c r="U309" s="1" t="s">
        <v>40</v>
      </c>
      <c r="V309" s="1" t="s">
        <v>29</v>
      </c>
      <c r="W309" s="1" t="s">
        <v>36</v>
      </c>
      <c r="X309" s="1" t="s">
        <v>29</v>
      </c>
      <c r="Y309" s="1" t="s">
        <v>36</v>
      </c>
      <c r="Z309" s="1" t="s">
        <v>41</v>
      </c>
    </row>
    <row r="310" spans="1:26" ht="15.75" x14ac:dyDescent="0.25">
      <c r="A310" s="1" t="s">
        <v>26</v>
      </c>
      <c r="B310" s="1" t="s">
        <v>27</v>
      </c>
      <c r="C310" s="1" t="s">
        <v>90</v>
      </c>
      <c r="D310" s="3">
        <v>47488</v>
      </c>
      <c r="E310" s="1" t="s">
        <v>29</v>
      </c>
      <c r="F310" s="1" t="s">
        <v>100</v>
      </c>
      <c r="G310" s="1" t="s">
        <v>61</v>
      </c>
      <c r="H310" s="1" t="s">
        <v>101</v>
      </c>
      <c r="I310" s="1" t="s">
        <v>102</v>
      </c>
      <c r="J310" s="1">
        <v>1.5</v>
      </c>
      <c r="K310" s="1" t="s">
        <v>103</v>
      </c>
      <c r="L310" s="1" t="s">
        <v>35</v>
      </c>
      <c r="M310" s="1">
        <v>0.03</v>
      </c>
      <c r="N310" s="1" t="s">
        <v>104</v>
      </c>
      <c r="O310" s="1" t="s">
        <v>37</v>
      </c>
      <c r="P310" s="1" t="s">
        <v>36</v>
      </c>
      <c r="Q310" s="1" t="s">
        <v>105</v>
      </c>
      <c r="R310" s="1" t="s">
        <v>106</v>
      </c>
      <c r="S310" s="1" t="s">
        <v>39</v>
      </c>
      <c r="T310" s="1">
        <v>2002.97</v>
      </c>
      <c r="U310" s="1" t="s">
        <v>40</v>
      </c>
      <c r="V310" s="1" t="s">
        <v>29</v>
      </c>
      <c r="W310" s="1" t="s">
        <v>36</v>
      </c>
      <c r="X310" s="1" t="s">
        <v>29</v>
      </c>
      <c r="Y310" s="1" t="s">
        <v>36</v>
      </c>
      <c r="Z310" s="1" t="s">
        <v>41</v>
      </c>
    </row>
    <row r="311" spans="1:26" ht="15.75" x14ac:dyDescent="0.25">
      <c r="A311" s="1" t="s">
        <v>26</v>
      </c>
      <c r="B311" s="1" t="s">
        <v>27</v>
      </c>
      <c r="C311" s="1" t="s">
        <v>122</v>
      </c>
      <c r="D311" s="3">
        <v>51094</v>
      </c>
      <c r="E311" s="1" t="s">
        <v>29</v>
      </c>
      <c r="F311" s="1" t="s">
        <v>126</v>
      </c>
      <c r="G311" s="1" t="s">
        <v>31</v>
      </c>
      <c r="H311" s="1" t="s">
        <v>45</v>
      </c>
      <c r="I311" s="1" t="s">
        <v>46</v>
      </c>
      <c r="J311" s="1">
        <v>57.36</v>
      </c>
      <c r="K311" s="1" t="s">
        <v>124</v>
      </c>
      <c r="L311" s="1" t="s">
        <v>35</v>
      </c>
      <c r="M311" s="1">
        <v>1.1499999999999999</v>
      </c>
      <c r="N311" s="1" t="s">
        <v>104</v>
      </c>
      <c r="O311" s="1" t="s">
        <v>37</v>
      </c>
      <c r="P311" s="1" t="s">
        <v>36</v>
      </c>
      <c r="Q311" s="1" t="s">
        <v>105</v>
      </c>
      <c r="R311" s="1" t="s">
        <v>127</v>
      </c>
      <c r="S311" s="1" t="s">
        <v>39</v>
      </c>
      <c r="T311" s="1">
        <v>2002.97</v>
      </c>
      <c r="U311" s="1" t="s">
        <v>40</v>
      </c>
      <c r="V311" s="1" t="s">
        <v>29</v>
      </c>
      <c r="W311" s="1" t="s">
        <v>36</v>
      </c>
      <c r="X311" s="1" t="s">
        <v>29</v>
      </c>
      <c r="Y311" s="1" t="s">
        <v>36</v>
      </c>
      <c r="Z311" s="1" t="s">
        <v>41</v>
      </c>
    </row>
    <row r="312" spans="1:26" ht="15.75" x14ac:dyDescent="0.25">
      <c r="A312" s="1" t="s">
        <v>26</v>
      </c>
      <c r="B312" s="1" t="s">
        <v>27</v>
      </c>
      <c r="C312" s="1" t="s">
        <v>122</v>
      </c>
      <c r="D312" s="3">
        <v>51094</v>
      </c>
      <c r="E312" s="1" t="s">
        <v>29</v>
      </c>
      <c r="F312" s="1" t="s">
        <v>126</v>
      </c>
      <c r="G312" s="1" t="s">
        <v>61</v>
      </c>
      <c r="H312" s="1" t="s">
        <v>45</v>
      </c>
      <c r="I312" s="1" t="s">
        <v>46</v>
      </c>
      <c r="J312" s="1">
        <v>1.5</v>
      </c>
      <c r="K312" s="1" t="s">
        <v>124</v>
      </c>
      <c r="L312" s="1" t="s">
        <v>35</v>
      </c>
      <c r="M312" s="1">
        <v>0.03</v>
      </c>
      <c r="N312" s="1" t="s">
        <v>104</v>
      </c>
      <c r="O312" s="1" t="s">
        <v>37</v>
      </c>
      <c r="P312" s="1" t="s">
        <v>36</v>
      </c>
      <c r="Q312" s="1" t="s">
        <v>105</v>
      </c>
      <c r="R312" s="1" t="s">
        <v>127</v>
      </c>
      <c r="S312" s="1" t="s">
        <v>39</v>
      </c>
      <c r="T312" s="1">
        <v>2002.97</v>
      </c>
      <c r="U312" s="1" t="s">
        <v>40</v>
      </c>
      <c r="V312" s="1" t="s">
        <v>29</v>
      </c>
      <c r="W312" s="1" t="s">
        <v>36</v>
      </c>
      <c r="X312" s="1" t="s">
        <v>29</v>
      </c>
      <c r="Y312" s="1" t="s">
        <v>36</v>
      </c>
      <c r="Z312" s="1" t="s">
        <v>41</v>
      </c>
    </row>
    <row r="313" spans="1:26" ht="15.75" x14ac:dyDescent="0.25">
      <c r="A313" s="1" t="s">
        <v>26</v>
      </c>
      <c r="B313" s="1" t="s">
        <v>27</v>
      </c>
      <c r="C313" s="1" t="s">
        <v>122</v>
      </c>
      <c r="D313" s="3">
        <v>51095</v>
      </c>
      <c r="E313" s="1" t="s">
        <v>29</v>
      </c>
      <c r="F313" s="1" t="s">
        <v>126</v>
      </c>
      <c r="G313" s="1" t="s">
        <v>42</v>
      </c>
      <c r="H313" s="1" t="s">
        <v>45</v>
      </c>
      <c r="I313" s="1" t="s">
        <v>46</v>
      </c>
      <c r="J313" s="1">
        <v>16.34</v>
      </c>
      <c r="K313" s="1" t="s">
        <v>124</v>
      </c>
      <c r="L313" s="1" t="s">
        <v>35</v>
      </c>
      <c r="M313" s="1">
        <v>0.33</v>
      </c>
      <c r="N313" s="1" t="s">
        <v>104</v>
      </c>
      <c r="O313" s="1" t="s">
        <v>37</v>
      </c>
      <c r="P313" s="1" t="s">
        <v>36</v>
      </c>
      <c r="Q313" s="1" t="s">
        <v>105</v>
      </c>
      <c r="R313" s="1" t="s">
        <v>127</v>
      </c>
      <c r="S313" s="1" t="s">
        <v>39</v>
      </c>
      <c r="T313" s="1">
        <v>2002.97</v>
      </c>
      <c r="U313" s="1" t="s">
        <v>40</v>
      </c>
      <c r="V313" s="1" t="s">
        <v>29</v>
      </c>
      <c r="W313" s="1" t="s">
        <v>36</v>
      </c>
      <c r="X313" s="1" t="s">
        <v>29</v>
      </c>
      <c r="Y313" s="1" t="s">
        <v>36</v>
      </c>
      <c r="Z313" s="1" t="s">
        <v>41</v>
      </c>
    </row>
    <row r="314" spans="1:26" ht="15.75" x14ac:dyDescent="0.25">
      <c r="A314" s="1" t="s">
        <v>26</v>
      </c>
      <c r="B314" s="1" t="s">
        <v>27</v>
      </c>
      <c r="C314" s="1" t="s">
        <v>511</v>
      </c>
      <c r="D314" s="3">
        <v>90781</v>
      </c>
      <c r="E314" s="1" t="s">
        <v>29</v>
      </c>
      <c r="F314" s="1" t="s">
        <v>600</v>
      </c>
      <c r="G314" s="1" t="s">
        <v>31</v>
      </c>
      <c r="H314" s="1" t="s">
        <v>33</v>
      </c>
      <c r="I314" s="1" t="s">
        <v>45</v>
      </c>
      <c r="J314" s="1">
        <v>17.27</v>
      </c>
      <c r="K314" s="1" t="s">
        <v>228</v>
      </c>
      <c r="L314" s="1" t="s">
        <v>35</v>
      </c>
      <c r="M314" s="1">
        <v>6.39</v>
      </c>
      <c r="N314" s="1" t="s">
        <v>104</v>
      </c>
      <c r="O314" s="1" t="s">
        <v>37</v>
      </c>
      <c r="P314" s="1" t="s">
        <v>36</v>
      </c>
      <c r="Q314" s="1" t="s">
        <v>105</v>
      </c>
      <c r="R314" s="1" t="s">
        <v>601</v>
      </c>
      <c r="S314" s="1" t="s">
        <v>39</v>
      </c>
      <c r="T314" s="1">
        <v>2002.97</v>
      </c>
      <c r="U314" s="1" t="s">
        <v>40</v>
      </c>
      <c r="V314" s="1" t="s">
        <v>29</v>
      </c>
      <c r="W314" s="1" t="s">
        <v>36</v>
      </c>
      <c r="X314" s="1" t="s">
        <v>29</v>
      </c>
      <c r="Y314" s="1" t="s">
        <v>36</v>
      </c>
      <c r="Z314" s="1" t="s">
        <v>41</v>
      </c>
    </row>
    <row r="315" spans="1:26" ht="15.75" x14ac:dyDescent="0.25">
      <c r="A315" s="1" t="s">
        <v>26</v>
      </c>
      <c r="B315" s="1" t="s">
        <v>27</v>
      </c>
      <c r="C315" s="1" t="s">
        <v>139</v>
      </c>
      <c r="D315" s="3">
        <v>86837</v>
      </c>
      <c r="E315" s="1" t="s">
        <v>29</v>
      </c>
      <c r="F315" s="1" t="s">
        <v>184</v>
      </c>
      <c r="G315" s="1" t="s">
        <v>31</v>
      </c>
      <c r="H315" s="1" t="s">
        <v>148</v>
      </c>
      <c r="I315" s="1" t="s">
        <v>33</v>
      </c>
      <c r="J315" s="1">
        <v>48.06</v>
      </c>
      <c r="K315" s="1" t="s">
        <v>182</v>
      </c>
      <c r="L315" s="1" t="s">
        <v>35</v>
      </c>
      <c r="M315" s="1">
        <v>1.92</v>
      </c>
      <c r="N315" s="1" t="s">
        <v>185</v>
      </c>
      <c r="O315" s="1" t="s">
        <v>37</v>
      </c>
      <c r="P315" s="1" t="s">
        <v>36</v>
      </c>
      <c r="Q315" s="1" t="s">
        <v>186</v>
      </c>
      <c r="R315" s="1" t="s">
        <v>187</v>
      </c>
      <c r="S315" s="1" t="s">
        <v>39</v>
      </c>
      <c r="T315" s="1">
        <v>2002.97</v>
      </c>
      <c r="U315" s="1" t="s">
        <v>40</v>
      </c>
      <c r="V315" s="1" t="s">
        <v>29</v>
      </c>
      <c r="W315" s="1" t="s">
        <v>36</v>
      </c>
      <c r="X315" s="1" t="s">
        <v>29</v>
      </c>
      <c r="Y315" s="1" t="s">
        <v>36</v>
      </c>
      <c r="Z315" s="1" t="s">
        <v>41</v>
      </c>
    </row>
    <row r="316" spans="1:26" ht="15.75" x14ac:dyDescent="0.25">
      <c r="A316" s="1" t="s">
        <v>26</v>
      </c>
      <c r="B316" s="1" t="s">
        <v>27</v>
      </c>
      <c r="C316" s="1" t="s">
        <v>139</v>
      </c>
      <c r="D316" s="3">
        <v>86837</v>
      </c>
      <c r="E316" s="1" t="s">
        <v>29</v>
      </c>
      <c r="F316" s="1" t="s">
        <v>184</v>
      </c>
      <c r="G316" s="1" t="s">
        <v>61</v>
      </c>
      <c r="H316" s="1" t="s">
        <v>148</v>
      </c>
      <c r="I316" s="1" t="s">
        <v>33</v>
      </c>
      <c r="J316" s="1">
        <v>1.5</v>
      </c>
      <c r="K316" s="1" t="s">
        <v>182</v>
      </c>
      <c r="L316" s="1" t="s">
        <v>35</v>
      </c>
      <c r="M316" s="1">
        <v>0.06</v>
      </c>
      <c r="N316" s="1" t="s">
        <v>185</v>
      </c>
      <c r="O316" s="1" t="s">
        <v>37</v>
      </c>
      <c r="P316" s="1" t="s">
        <v>36</v>
      </c>
      <c r="Q316" s="1" t="s">
        <v>186</v>
      </c>
      <c r="R316" s="1" t="s">
        <v>187</v>
      </c>
      <c r="S316" s="1" t="s">
        <v>39</v>
      </c>
      <c r="T316" s="1">
        <v>2002.97</v>
      </c>
      <c r="U316" s="1" t="s">
        <v>40</v>
      </c>
      <c r="V316" s="1" t="s">
        <v>29</v>
      </c>
      <c r="W316" s="1" t="s">
        <v>36</v>
      </c>
      <c r="X316" s="1" t="s">
        <v>29</v>
      </c>
      <c r="Y316" s="1" t="s">
        <v>36</v>
      </c>
      <c r="Z316" s="1" t="s">
        <v>41</v>
      </c>
    </row>
    <row r="317" spans="1:26" ht="15.75" x14ac:dyDescent="0.25">
      <c r="A317" s="1" t="s">
        <v>26</v>
      </c>
      <c r="B317" s="1" t="s">
        <v>27</v>
      </c>
      <c r="C317" s="1" t="s">
        <v>139</v>
      </c>
      <c r="D317" s="3">
        <v>86838</v>
      </c>
      <c r="E317" s="1" t="s">
        <v>29</v>
      </c>
      <c r="F317" s="1" t="s">
        <v>184</v>
      </c>
      <c r="G317" s="1" t="s">
        <v>42</v>
      </c>
      <c r="H317" s="1" t="s">
        <v>148</v>
      </c>
      <c r="I317" s="1" t="s">
        <v>33</v>
      </c>
      <c r="J317" s="1">
        <v>16.34</v>
      </c>
      <c r="K317" s="1" t="s">
        <v>182</v>
      </c>
      <c r="L317" s="1" t="s">
        <v>35</v>
      </c>
      <c r="M317" s="1">
        <v>0.65</v>
      </c>
      <c r="N317" s="1" t="s">
        <v>185</v>
      </c>
      <c r="O317" s="1" t="s">
        <v>37</v>
      </c>
      <c r="P317" s="1" t="s">
        <v>36</v>
      </c>
      <c r="Q317" s="1" t="s">
        <v>186</v>
      </c>
      <c r="R317" s="1" t="s">
        <v>187</v>
      </c>
      <c r="S317" s="1" t="s">
        <v>39</v>
      </c>
      <c r="T317" s="1">
        <v>2002.97</v>
      </c>
      <c r="U317" s="1" t="s">
        <v>40</v>
      </c>
      <c r="V317" s="1" t="s">
        <v>29</v>
      </c>
      <c r="W317" s="1" t="s">
        <v>36</v>
      </c>
      <c r="X317" s="1" t="s">
        <v>29</v>
      </c>
      <c r="Y317" s="1" t="s">
        <v>36</v>
      </c>
      <c r="Z317" s="1" t="s">
        <v>41</v>
      </c>
    </row>
    <row r="318" spans="1:26" ht="15.75" x14ac:dyDescent="0.25">
      <c r="A318" s="1" t="s">
        <v>26</v>
      </c>
      <c r="B318" s="1" t="s">
        <v>27</v>
      </c>
      <c r="C318" s="1" t="s">
        <v>206</v>
      </c>
      <c r="D318" s="3">
        <v>18249</v>
      </c>
      <c r="E318" s="1" t="s">
        <v>29</v>
      </c>
      <c r="F318" s="1" t="s">
        <v>212</v>
      </c>
      <c r="G318" s="1" t="s">
        <v>31</v>
      </c>
      <c r="H318" s="1" t="s">
        <v>32</v>
      </c>
      <c r="I318" s="1" t="s">
        <v>33</v>
      </c>
      <c r="J318" s="1">
        <v>19.93</v>
      </c>
      <c r="K318" s="1" t="s">
        <v>208</v>
      </c>
      <c r="L318" s="1" t="s">
        <v>35</v>
      </c>
      <c r="M318" s="1">
        <v>0.8</v>
      </c>
      <c r="N318" s="1" t="s">
        <v>185</v>
      </c>
      <c r="O318" s="1" t="s">
        <v>37</v>
      </c>
      <c r="P318" s="1" t="s">
        <v>36</v>
      </c>
      <c r="Q318" s="1" t="s">
        <v>186</v>
      </c>
      <c r="R318" s="1" t="s">
        <v>213</v>
      </c>
      <c r="S318" s="1" t="s">
        <v>39</v>
      </c>
      <c r="T318" s="1">
        <v>2002.97</v>
      </c>
      <c r="U318" s="1" t="s">
        <v>40</v>
      </c>
      <c r="V318" s="1" t="s">
        <v>29</v>
      </c>
      <c r="W318" s="1" t="s">
        <v>36</v>
      </c>
      <c r="X318" s="1" t="s">
        <v>29</v>
      </c>
      <c r="Y318" s="1" t="s">
        <v>36</v>
      </c>
      <c r="Z318" s="1" t="s">
        <v>41</v>
      </c>
    </row>
    <row r="319" spans="1:26" ht="15.75" x14ac:dyDescent="0.25">
      <c r="A319" s="1" t="s">
        <v>26</v>
      </c>
      <c r="B319" s="1" t="s">
        <v>27</v>
      </c>
      <c r="C319" s="1" t="s">
        <v>206</v>
      </c>
      <c r="D319" s="3">
        <v>18250</v>
      </c>
      <c r="E319" s="1" t="s">
        <v>29</v>
      </c>
      <c r="F319" s="1" t="s">
        <v>212</v>
      </c>
      <c r="G319" s="1" t="s">
        <v>42</v>
      </c>
      <c r="H319" s="1" t="s">
        <v>32</v>
      </c>
      <c r="I319" s="1" t="s">
        <v>33</v>
      </c>
      <c r="J319" s="1">
        <v>13.07</v>
      </c>
      <c r="K319" s="1" t="s">
        <v>208</v>
      </c>
      <c r="L319" s="1" t="s">
        <v>35</v>
      </c>
      <c r="M319" s="1">
        <v>0.52</v>
      </c>
      <c r="N319" s="1" t="s">
        <v>185</v>
      </c>
      <c r="O319" s="1" t="s">
        <v>37</v>
      </c>
      <c r="P319" s="1" t="s">
        <v>36</v>
      </c>
      <c r="Q319" s="1" t="s">
        <v>186</v>
      </c>
      <c r="R319" s="1" t="s">
        <v>213</v>
      </c>
      <c r="S319" s="1" t="s">
        <v>39</v>
      </c>
      <c r="T319" s="1">
        <v>2002.97</v>
      </c>
      <c r="U319" s="1" t="s">
        <v>40</v>
      </c>
      <c r="V319" s="1" t="s">
        <v>29</v>
      </c>
      <c r="W319" s="1" t="s">
        <v>36</v>
      </c>
      <c r="X319" s="1" t="s">
        <v>29</v>
      </c>
      <c r="Y319" s="1" t="s">
        <v>36</v>
      </c>
      <c r="Z319" s="1" t="s">
        <v>41</v>
      </c>
    </row>
    <row r="320" spans="1:26" ht="15.75" x14ac:dyDescent="0.25">
      <c r="A320" s="1" t="s">
        <v>26</v>
      </c>
      <c r="B320" s="1" t="s">
        <v>27</v>
      </c>
      <c r="C320" s="1" t="s">
        <v>206</v>
      </c>
      <c r="D320" s="3">
        <v>51513</v>
      </c>
      <c r="E320" s="1" t="s">
        <v>29</v>
      </c>
      <c r="F320" s="1" t="s">
        <v>253</v>
      </c>
      <c r="G320" s="1" t="s">
        <v>31</v>
      </c>
      <c r="H320" s="1" t="s">
        <v>121</v>
      </c>
      <c r="I320" s="1" t="s">
        <v>101</v>
      </c>
      <c r="J320" s="1">
        <v>64.81</v>
      </c>
      <c r="K320" s="1" t="s">
        <v>251</v>
      </c>
      <c r="L320" s="1" t="s">
        <v>35</v>
      </c>
      <c r="M320" s="1">
        <v>2.59</v>
      </c>
      <c r="N320" s="1" t="s">
        <v>185</v>
      </c>
      <c r="O320" s="1" t="s">
        <v>37</v>
      </c>
      <c r="P320" s="1" t="s">
        <v>36</v>
      </c>
      <c r="Q320" s="1" t="s">
        <v>186</v>
      </c>
      <c r="R320" s="1" t="s">
        <v>254</v>
      </c>
      <c r="S320" s="1" t="s">
        <v>39</v>
      </c>
      <c r="T320" s="1">
        <v>2002.97</v>
      </c>
      <c r="U320" s="1" t="s">
        <v>40</v>
      </c>
      <c r="V320" s="1" t="s">
        <v>29</v>
      </c>
      <c r="W320" s="1" t="s">
        <v>36</v>
      </c>
      <c r="X320" s="1" t="s">
        <v>29</v>
      </c>
      <c r="Y320" s="1" t="s">
        <v>36</v>
      </c>
      <c r="Z320" s="1" t="s">
        <v>41</v>
      </c>
    </row>
    <row r="321" spans="1:26" ht="15.75" x14ac:dyDescent="0.25">
      <c r="A321" s="1" t="s">
        <v>26</v>
      </c>
      <c r="B321" s="1" t="s">
        <v>27</v>
      </c>
      <c r="C321" s="1" t="s">
        <v>206</v>
      </c>
      <c r="D321" s="3">
        <v>51513</v>
      </c>
      <c r="E321" s="1" t="s">
        <v>29</v>
      </c>
      <c r="F321" s="1" t="s">
        <v>253</v>
      </c>
      <c r="G321" s="1" t="s">
        <v>61</v>
      </c>
      <c r="H321" s="1" t="s">
        <v>121</v>
      </c>
      <c r="I321" s="1" t="s">
        <v>101</v>
      </c>
      <c r="J321" s="1">
        <v>1.5</v>
      </c>
      <c r="K321" s="1" t="s">
        <v>251</v>
      </c>
      <c r="L321" s="1" t="s">
        <v>35</v>
      </c>
      <c r="M321" s="1">
        <v>0.06</v>
      </c>
      <c r="N321" s="1" t="s">
        <v>185</v>
      </c>
      <c r="O321" s="1" t="s">
        <v>37</v>
      </c>
      <c r="P321" s="1" t="s">
        <v>36</v>
      </c>
      <c r="Q321" s="1" t="s">
        <v>186</v>
      </c>
      <c r="R321" s="1" t="s">
        <v>254</v>
      </c>
      <c r="S321" s="1" t="s">
        <v>39</v>
      </c>
      <c r="T321" s="1">
        <v>2002.97</v>
      </c>
      <c r="U321" s="1" t="s">
        <v>40</v>
      </c>
      <c r="V321" s="1" t="s">
        <v>29</v>
      </c>
      <c r="W321" s="1" t="s">
        <v>36</v>
      </c>
      <c r="X321" s="1" t="s">
        <v>29</v>
      </c>
      <c r="Y321" s="1" t="s">
        <v>36</v>
      </c>
      <c r="Z321" s="1" t="s">
        <v>41</v>
      </c>
    </row>
    <row r="322" spans="1:26" ht="15.75" x14ac:dyDescent="0.25">
      <c r="A322" s="1" t="s">
        <v>26</v>
      </c>
      <c r="B322" s="1" t="s">
        <v>27</v>
      </c>
      <c r="C322" s="1" t="s">
        <v>282</v>
      </c>
      <c r="D322" s="3">
        <v>17247</v>
      </c>
      <c r="E322" s="1" t="s">
        <v>29</v>
      </c>
      <c r="F322" s="1" t="s">
        <v>306</v>
      </c>
      <c r="G322" s="1" t="s">
        <v>42</v>
      </c>
      <c r="H322" s="1" t="s">
        <v>58</v>
      </c>
      <c r="I322" s="1" t="s">
        <v>33</v>
      </c>
      <c r="J322" s="1">
        <v>16.34</v>
      </c>
      <c r="K322" s="1" t="s">
        <v>294</v>
      </c>
      <c r="L322" s="1" t="s">
        <v>35</v>
      </c>
      <c r="M322" s="1">
        <v>6.05</v>
      </c>
      <c r="N322" s="1" t="s">
        <v>185</v>
      </c>
      <c r="O322" s="1" t="s">
        <v>37</v>
      </c>
      <c r="P322" s="1" t="s">
        <v>36</v>
      </c>
      <c r="Q322" s="1" t="s">
        <v>186</v>
      </c>
      <c r="R322" s="1" t="s">
        <v>307</v>
      </c>
      <c r="S322" s="1" t="s">
        <v>39</v>
      </c>
      <c r="T322" s="1">
        <v>2002.97</v>
      </c>
      <c r="U322" s="1" t="s">
        <v>40</v>
      </c>
      <c r="V322" s="1" t="s">
        <v>29</v>
      </c>
      <c r="W322" s="1" t="s">
        <v>36</v>
      </c>
      <c r="X322" s="1" t="s">
        <v>29</v>
      </c>
      <c r="Y322" s="1" t="s">
        <v>36</v>
      </c>
      <c r="Z322" s="1" t="s">
        <v>41</v>
      </c>
    </row>
    <row r="323" spans="1:26" ht="15.75" x14ac:dyDescent="0.25">
      <c r="A323" s="1" t="s">
        <v>26</v>
      </c>
      <c r="B323" s="1" t="s">
        <v>27</v>
      </c>
      <c r="C323" s="1" t="s">
        <v>511</v>
      </c>
      <c r="D323" s="3">
        <v>57551</v>
      </c>
      <c r="E323" s="1" t="s">
        <v>29</v>
      </c>
      <c r="F323" s="1" t="s">
        <v>543</v>
      </c>
      <c r="G323" s="1" t="s">
        <v>31</v>
      </c>
      <c r="H323" s="1" t="s">
        <v>32</v>
      </c>
      <c r="I323" s="1" t="s">
        <v>33</v>
      </c>
      <c r="J323" s="1">
        <v>89.68</v>
      </c>
      <c r="K323" s="1" t="s">
        <v>544</v>
      </c>
      <c r="L323" s="1" t="s">
        <v>35</v>
      </c>
      <c r="M323" s="1">
        <v>33.18</v>
      </c>
      <c r="N323" s="1" t="s">
        <v>185</v>
      </c>
      <c r="O323" s="1" t="s">
        <v>37</v>
      </c>
      <c r="P323" s="1" t="s">
        <v>36</v>
      </c>
      <c r="Q323" s="1" t="s">
        <v>186</v>
      </c>
      <c r="R323" s="1" t="s">
        <v>545</v>
      </c>
      <c r="S323" s="1" t="s">
        <v>39</v>
      </c>
      <c r="T323" s="1">
        <v>2002.97</v>
      </c>
      <c r="U323" s="1" t="s">
        <v>40</v>
      </c>
      <c r="V323" s="1" t="s">
        <v>29</v>
      </c>
      <c r="W323" s="1" t="s">
        <v>36</v>
      </c>
      <c r="X323" s="1" t="s">
        <v>29</v>
      </c>
      <c r="Y323" s="1" t="s">
        <v>36</v>
      </c>
      <c r="Z323" s="1" t="s">
        <v>41</v>
      </c>
    </row>
    <row r="324" spans="1:26" ht="15.75" x14ac:dyDescent="0.25">
      <c r="A324" s="1" t="s">
        <v>26</v>
      </c>
      <c r="B324" s="1" t="s">
        <v>27</v>
      </c>
      <c r="C324" s="1" t="s">
        <v>511</v>
      </c>
      <c r="D324" s="3">
        <v>57551</v>
      </c>
      <c r="E324" s="1" t="s">
        <v>29</v>
      </c>
      <c r="F324" s="1" t="s">
        <v>543</v>
      </c>
      <c r="G324" s="1" t="s">
        <v>61</v>
      </c>
      <c r="H324" s="1" t="s">
        <v>32</v>
      </c>
      <c r="I324" s="1" t="s">
        <v>33</v>
      </c>
      <c r="J324" s="1">
        <v>2.69</v>
      </c>
      <c r="K324" s="1" t="s">
        <v>544</v>
      </c>
      <c r="L324" s="1" t="s">
        <v>35</v>
      </c>
      <c r="M324" s="1">
        <v>1</v>
      </c>
      <c r="N324" s="1" t="s">
        <v>185</v>
      </c>
      <c r="O324" s="1" t="s">
        <v>37</v>
      </c>
      <c r="P324" s="1" t="s">
        <v>36</v>
      </c>
      <c r="Q324" s="1" t="s">
        <v>186</v>
      </c>
      <c r="R324" s="1" t="s">
        <v>545</v>
      </c>
      <c r="S324" s="1" t="s">
        <v>39</v>
      </c>
      <c r="T324" s="1">
        <v>2002.97</v>
      </c>
      <c r="U324" s="1" t="s">
        <v>40</v>
      </c>
      <c r="V324" s="1" t="s">
        <v>29</v>
      </c>
      <c r="W324" s="1" t="s">
        <v>36</v>
      </c>
      <c r="X324" s="1" t="s">
        <v>29</v>
      </c>
      <c r="Y324" s="1" t="s">
        <v>36</v>
      </c>
      <c r="Z324" s="1" t="s">
        <v>41</v>
      </c>
    </row>
    <row r="325" spans="1:26" ht="15.75" x14ac:dyDescent="0.25">
      <c r="A325" s="1" t="s">
        <v>26</v>
      </c>
      <c r="B325" s="1" t="s">
        <v>27</v>
      </c>
      <c r="C325" s="1" t="s">
        <v>139</v>
      </c>
      <c r="D325" s="3">
        <v>60120</v>
      </c>
      <c r="E325" s="1" t="s">
        <v>29</v>
      </c>
      <c r="F325" s="1" t="s">
        <v>164</v>
      </c>
      <c r="G325" s="1" t="s">
        <v>31</v>
      </c>
      <c r="H325" s="1" t="s">
        <v>101</v>
      </c>
      <c r="I325" s="1" t="s">
        <v>102</v>
      </c>
      <c r="J325" s="1">
        <v>45.29</v>
      </c>
      <c r="K325" s="1" t="s">
        <v>165</v>
      </c>
      <c r="L325" s="1" t="s">
        <v>35</v>
      </c>
      <c r="M325" s="1">
        <v>1.81</v>
      </c>
      <c r="N325" s="1" t="s">
        <v>166</v>
      </c>
      <c r="O325" s="1" t="s">
        <v>37</v>
      </c>
      <c r="P325" s="1" t="s">
        <v>36</v>
      </c>
      <c r="Q325" s="1" t="s">
        <v>167</v>
      </c>
      <c r="R325" s="1" t="s">
        <v>168</v>
      </c>
      <c r="S325" s="1" t="s">
        <v>39</v>
      </c>
      <c r="T325" s="1">
        <v>2002.97</v>
      </c>
      <c r="U325" s="1" t="s">
        <v>40</v>
      </c>
      <c r="V325" s="1" t="s">
        <v>29</v>
      </c>
      <c r="W325" s="1" t="s">
        <v>36</v>
      </c>
      <c r="X325" s="1" t="s">
        <v>29</v>
      </c>
      <c r="Y325" s="1" t="s">
        <v>36</v>
      </c>
      <c r="Z325" s="1" t="s">
        <v>41</v>
      </c>
    </row>
    <row r="326" spans="1:26" ht="15.75" x14ac:dyDescent="0.25">
      <c r="A326" s="1" t="s">
        <v>26</v>
      </c>
      <c r="B326" s="1" t="s">
        <v>27</v>
      </c>
      <c r="C326" s="1" t="s">
        <v>139</v>
      </c>
      <c r="D326" s="3">
        <v>60121</v>
      </c>
      <c r="E326" s="1" t="s">
        <v>29</v>
      </c>
      <c r="F326" s="1" t="s">
        <v>164</v>
      </c>
      <c r="G326" s="1" t="s">
        <v>42</v>
      </c>
      <c r="H326" s="1" t="s">
        <v>101</v>
      </c>
      <c r="I326" s="1" t="s">
        <v>102</v>
      </c>
      <c r="J326" s="1">
        <v>10.67</v>
      </c>
      <c r="K326" s="1" t="s">
        <v>165</v>
      </c>
      <c r="L326" s="1" t="s">
        <v>35</v>
      </c>
      <c r="M326" s="1">
        <v>0.43</v>
      </c>
      <c r="N326" s="1" t="s">
        <v>166</v>
      </c>
      <c r="O326" s="1" t="s">
        <v>37</v>
      </c>
      <c r="P326" s="1" t="s">
        <v>36</v>
      </c>
      <c r="Q326" s="1" t="s">
        <v>167</v>
      </c>
      <c r="R326" s="1" t="s">
        <v>168</v>
      </c>
      <c r="S326" s="1" t="s">
        <v>39</v>
      </c>
      <c r="T326" s="1">
        <v>2002.97</v>
      </c>
      <c r="U326" s="1" t="s">
        <v>40</v>
      </c>
      <c r="V326" s="1" t="s">
        <v>29</v>
      </c>
      <c r="W326" s="1" t="s">
        <v>36</v>
      </c>
      <c r="X326" s="1" t="s">
        <v>29</v>
      </c>
      <c r="Y326" s="1" t="s">
        <v>36</v>
      </c>
      <c r="Z326" s="1" t="s">
        <v>41</v>
      </c>
    </row>
    <row r="327" spans="1:26" ht="15.75" x14ac:dyDescent="0.25">
      <c r="A327" s="1" t="s">
        <v>26</v>
      </c>
      <c r="B327" s="1" t="s">
        <v>27</v>
      </c>
      <c r="C327" s="1" t="s">
        <v>139</v>
      </c>
      <c r="D327" s="3">
        <v>82991</v>
      </c>
      <c r="E327" s="1" t="s">
        <v>29</v>
      </c>
      <c r="F327" s="1" t="s">
        <v>169</v>
      </c>
      <c r="G327" s="1" t="s">
        <v>31</v>
      </c>
      <c r="H327" s="1" t="s">
        <v>170</v>
      </c>
      <c r="I327" s="1" t="s">
        <v>46</v>
      </c>
      <c r="J327" s="1">
        <v>-45.29</v>
      </c>
      <c r="K327" s="1" t="s">
        <v>171</v>
      </c>
      <c r="L327" s="1" t="s">
        <v>35</v>
      </c>
      <c r="M327" s="1">
        <v>-1.81</v>
      </c>
      <c r="N327" s="1" t="s">
        <v>166</v>
      </c>
      <c r="O327" s="1" t="s">
        <v>37</v>
      </c>
      <c r="P327" s="1" t="s">
        <v>36</v>
      </c>
      <c r="Q327" s="1" t="s">
        <v>167</v>
      </c>
      <c r="R327" s="1" t="s">
        <v>172</v>
      </c>
      <c r="S327" s="1" t="s">
        <v>39</v>
      </c>
      <c r="T327" s="1">
        <v>2002.97</v>
      </c>
      <c r="U327" s="1" t="s">
        <v>40</v>
      </c>
      <c r="V327" s="1" t="s">
        <v>29</v>
      </c>
      <c r="W327" s="1" t="s">
        <v>36</v>
      </c>
      <c r="X327" s="1" t="s">
        <v>29</v>
      </c>
      <c r="Y327" s="1" t="s">
        <v>36</v>
      </c>
      <c r="Z327" s="1" t="s">
        <v>41</v>
      </c>
    </row>
    <row r="328" spans="1:26" ht="15.75" x14ac:dyDescent="0.25">
      <c r="A328" s="1" t="s">
        <v>26</v>
      </c>
      <c r="B328" s="1" t="s">
        <v>27</v>
      </c>
      <c r="C328" s="1" t="s">
        <v>282</v>
      </c>
      <c r="D328" s="3">
        <v>71075</v>
      </c>
      <c r="E328" s="1" t="s">
        <v>29</v>
      </c>
      <c r="F328" s="1" t="s">
        <v>347</v>
      </c>
      <c r="G328" s="1" t="s">
        <v>42</v>
      </c>
      <c r="H328" s="1" t="s">
        <v>121</v>
      </c>
      <c r="I328" s="1" t="s">
        <v>101</v>
      </c>
      <c r="J328" s="1">
        <v>10.67</v>
      </c>
      <c r="K328" s="1" t="s">
        <v>345</v>
      </c>
      <c r="L328" s="1" t="s">
        <v>35</v>
      </c>
      <c r="M328" s="1">
        <v>3.95</v>
      </c>
      <c r="N328" s="1" t="s">
        <v>348</v>
      </c>
      <c r="O328" s="1" t="s">
        <v>37</v>
      </c>
      <c r="P328" s="1" t="s">
        <v>36</v>
      </c>
      <c r="Q328" s="1" t="s">
        <v>349</v>
      </c>
      <c r="R328" s="1" t="s">
        <v>350</v>
      </c>
      <c r="S328" s="1" t="s">
        <v>39</v>
      </c>
      <c r="T328" s="1">
        <v>2002.97</v>
      </c>
      <c r="U328" s="1" t="s">
        <v>40</v>
      </c>
      <c r="V328" s="1" t="s">
        <v>29</v>
      </c>
      <c r="W328" s="1" t="s">
        <v>36</v>
      </c>
      <c r="X328" s="1" t="s">
        <v>29</v>
      </c>
      <c r="Y328" s="1" t="s">
        <v>36</v>
      </c>
      <c r="Z328" s="1" t="s">
        <v>41</v>
      </c>
    </row>
    <row r="329" spans="1:26" ht="15.75" x14ac:dyDescent="0.25">
      <c r="A329" s="1" t="s">
        <v>26</v>
      </c>
      <c r="B329" s="1" t="s">
        <v>27</v>
      </c>
      <c r="C329" s="1" t="s">
        <v>429</v>
      </c>
      <c r="D329" s="3">
        <v>65929</v>
      </c>
      <c r="E329" s="1" t="s">
        <v>29</v>
      </c>
      <c r="F329" s="1" t="s">
        <v>472</v>
      </c>
      <c r="G329" s="1" t="s">
        <v>31</v>
      </c>
      <c r="H329" s="1" t="s">
        <v>33</v>
      </c>
      <c r="I329" s="1" t="s">
        <v>45</v>
      </c>
      <c r="J329" s="1">
        <v>62.46</v>
      </c>
      <c r="K329" s="1" t="s">
        <v>473</v>
      </c>
      <c r="L329" s="1" t="s">
        <v>35</v>
      </c>
      <c r="M329" s="1">
        <v>23.11</v>
      </c>
      <c r="N329" s="1" t="s">
        <v>348</v>
      </c>
      <c r="O329" s="1" t="s">
        <v>37</v>
      </c>
      <c r="P329" s="1" t="s">
        <v>36</v>
      </c>
      <c r="Q329" s="1" t="s">
        <v>349</v>
      </c>
      <c r="R329" s="1" t="s">
        <v>474</v>
      </c>
      <c r="S329" s="1" t="s">
        <v>39</v>
      </c>
      <c r="T329" s="1">
        <v>2002.97</v>
      </c>
      <c r="U329" s="1" t="s">
        <v>40</v>
      </c>
      <c r="V329" s="1" t="s">
        <v>29</v>
      </c>
      <c r="W329" s="1" t="s">
        <v>36</v>
      </c>
      <c r="X329" s="1" t="s">
        <v>29</v>
      </c>
      <c r="Y329" s="1" t="s">
        <v>36</v>
      </c>
      <c r="Z329" s="1" t="s">
        <v>41</v>
      </c>
    </row>
    <row r="330" spans="1:26" ht="15.75" x14ac:dyDescent="0.25">
      <c r="A330" s="1" t="s">
        <v>26</v>
      </c>
      <c r="B330" s="1" t="s">
        <v>27</v>
      </c>
      <c r="C330" s="1" t="s">
        <v>282</v>
      </c>
      <c r="D330" s="3">
        <v>18592</v>
      </c>
      <c r="E330" s="1" t="s">
        <v>29</v>
      </c>
      <c r="F330" s="1" t="s">
        <v>313</v>
      </c>
      <c r="G330" s="1" t="s">
        <v>31</v>
      </c>
      <c r="H330" s="1" t="s">
        <v>121</v>
      </c>
      <c r="I330" s="1" t="s">
        <v>101</v>
      </c>
      <c r="J330" s="1">
        <v>74.27</v>
      </c>
      <c r="K330" s="1" t="s">
        <v>309</v>
      </c>
      <c r="L330" s="1" t="s">
        <v>35</v>
      </c>
      <c r="M330" s="1">
        <v>27.48</v>
      </c>
      <c r="N330" s="1" t="s">
        <v>314</v>
      </c>
      <c r="O330" s="1" t="s">
        <v>37</v>
      </c>
      <c r="P330" s="1" t="s">
        <v>36</v>
      </c>
      <c r="Q330" s="1" t="s">
        <v>315</v>
      </c>
      <c r="R330" s="1" t="s">
        <v>316</v>
      </c>
      <c r="S330" s="1" t="s">
        <v>39</v>
      </c>
      <c r="T330" s="1">
        <v>2002.97</v>
      </c>
      <c r="U330" s="1" t="s">
        <v>40</v>
      </c>
      <c r="V330" s="1" t="s">
        <v>29</v>
      </c>
      <c r="W330" s="1" t="s">
        <v>36</v>
      </c>
      <c r="X330" s="1" t="s">
        <v>29</v>
      </c>
      <c r="Y330" s="1" t="s">
        <v>36</v>
      </c>
      <c r="Z330" s="1" t="s">
        <v>41</v>
      </c>
    </row>
    <row r="331" spans="1:26" ht="15.75" x14ac:dyDescent="0.25">
      <c r="A331" s="1" t="s">
        <v>26</v>
      </c>
      <c r="B331" s="1" t="s">
        <v>27</v>
      </c>
      <c r="C331" s="1" t="s">
        <v>372</v>
      </c>
      <c r="D331" s="3">
        <v>8129</v>
      </c>
      <c r="E331" s="1" t="s">
        <v>29</v>
      </c>
      <c r="F331" s="1" t="s">
        <v>378</v>
      </c>
      <c r="G331" s="1" t="s">
        <v>31</v>
      </c>
      <c r="H331" s="1" t="s">
        <v>32</v>
      </c>
      <c r="I331" s="1" t="s">
        <v>33</v>
      </c>
      <c r="J331" s="1">
        <v>68.52</v>
      </c>
      <c r="K331" s="1" t="s">
        <v>374</v>
      </c>
      <c r="L331" s="1" t="s">
        <v>35</v>
      </c>
      <c r="M331" s="1">
        <v>25.35</v>
      </c>
      <c r="N331" s="1" t="s">
        <v>314</v>
      </c>
      <c r="O331" s="1" t="s">
        <v>37</v>
      </c>
      <c r="P331" s="1" t="s">
        <v>36</v>
      </c>
      <c r="Q331" s="1" t="s">
        <v>315</v>
      </c>
      <c r="R331" s="1" t="s">
        <v>379</v>
      </c>
      <c r="S331" s="1" t="s">
        <v>39</v>
      </c>
      <c r="T331" s="1">
        <v>2002.97</v>
      </c>
      <c r="U331" s="1" t="s">
        <v>40</v>
      </c>
      <c r="V331" s="1" t="s">
        <v>29</v>
      </c>
      <c r="W331" s="1" t="s">
        <v>36</v>
      </c>
      <c r="X331" s="1" t="s">
        <v>29</v>
      </c>
      <c r="Y331" s="1" t="s">
        <v>36</v>
      </c>
      <c r="Z331" s="1" t="s">
        <v>41</v>
      </c>
    </row>
    <row r="332" spans="1:26" ht="15.75" x14ac:dyDescent="0.25">
      <c r="A332" s="1" t="s">
        <v>26</v>
      </c>
      <c r="B332" s="1" t="s">
        <v>27</v>
      </c>
      <c r="C332" s="1" t="s">
        <v>372</v>
      </c>
      <c r="D332" s="3">
        <v>9668</v>
      </c>
      <c r="E332" s="1" t="s">
        <v>29</v>
      </c>
      <c r="F332" s="1" t="s">
        <v>385</v>
      </c>
      <c r="G332" s="1" t="s">
        <v>42</v>
      </c>
      <c r="H332" s="1" t="s">
        <v>148</v>
      </c>
      <c r="I332" s="1" t="s">
        <v>33</v>
      </c>
      <c r="J332" s="1">
        <v>35.950000000000003</v>
      </c>
      <c r="K332" s="1" t="s">
        <v>386</v>
      </c>
      <c r="L332" s="1" t="s">
        <v>35</v>
      </c>
      <c r="M332" s="1">
        <v>13.3</v>
      </c>
      <c r="N332" s="1" t="s">
        <v>387</v>
      </c>
      <c r="O332" s="1" t="s">
        <v>37</v>
      </c>
      <c r="P332" s="1" t="s">
        <v>36</v>
      </c>
      <c r="Q332" s="1" t="s">
        <v>388</v>
      </c>
      <c r="R332" s="1" t="s">
        <v>389</v>
      </c>
      <c r="S332" s="1" t="s">
        <v>39</v>
      </c>
      <c r="T332" s="1">
        <v>2002.97</v>
      </c>
      <c r="U332" s="1" t="s">
        <v>40</v>
      </c>
      <c r="V332" s="1" t="s">
        <v>29</v>
      </c>
      <c r="W332" s="1" t="s">
        <v>36</v>
      </c>
      <c r="X332" s="1" t="s">
        <v>29</v>
      </c>
      <c r="Y332" s="1" t="s">
        <v>36</v>
      </c>
      <c r="Z332" s="1" t="s">
        <v>41</v>
      </c>
    </row>
  </sheetData>
  <autoFilter ref="A1:Z332" xr:uid="{7C173BA8-50D2-4EE5-AC87-759A037EEEB4}">
    <sortState xmlns:xlrd2="http://schemas.microsoft.com/office/spreadsheetml/2017/richdata2" ref="A2:Z332">
      <sortCondition ref="N1:N332"/>
    </sortState>
  </autoFilter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BE968-A06D-44A6-B28E-9CE012C102DE}">
  <dimension ref="A1:P332"/>
  <sheetViews>
    <sheetView tabSelected="1" topLeftCell="A148" workbookViewId="0">
      <selection activeCell="L166" sqref="L166"/>
    </sheetView>
  </sheetViews>
  <sheetFormatPr defaultRowHeight="12.75" x14ac:dyDescent="0.2"/>
  <cols>
    <col min="1" max="1" width="9.140625" bestFit="1" customWidth="1"/>
    <col min="2" max="2" width="11" bestFit="1" customWidth="1"/>
    <col min="3" max="3" width="31.85546875" bestFit="1" customWidth="1"/>
    <col min="4" max="4" width="10.28515625" bestFit="1" customWidth="1"/>
    <col min="5" max="5" width="33.85546875" bestFit="1" customWidth="1"/>
    <col min="6" max="6" width="22.42578125" bestFit="1" customWidth="1"/>
    <col min="7" max="7" width="10.7109375" style="5" bestFit="1" customWidth="1"/>
    <col min="8" max="8" width="12.28515625" style="14" bestFit="1" customWidth="1"/>
    <col min="9" max="9" width="26" style="14" bestFit="1" customWidth="1"/>
    <col min="10" max="10" width="13.28515625" style="5" bestFit="1" customWidth="1"/>
    <col min="11" max="11" width="18.28515625" bestFit="1" customWidth="1"/>
    <col min="12" max="12" width="14.85546875" bestFit="1" customWidth="1"/>
    <col min="13" max="13" width="25.5703125" bestFit="1" customWidth="1"/>
    <col min="14" max="14" width="14" bestFit="1" customWidth="1"/>
    <col min="15" max="15" width="14.42578125" bestFit="1" customWidth="1"/>
    <col min="16" max="16" width="11.85546875" bestFit="1" customWidth="1"/>
    <col min="17" max="16384" width="9.140625" style="14"/>
  </cols>
  <sheetData>
    <row r="1" spans="1:16" ht="15.75" x14ac:dyDescent="0.25">
      <c r="A1" s="15" t="s">
        <v>2</v>
      </c>
      <c r="B1" s="15" t="s">
        <v>3</v>
      </c>
      <c r="C1" s="15" t="s">
        <v>5</v>
      </c>
      <c r="D1" s="15" t="s">
        <v>6</v>
      </c>
      <c r="E1" s="15" t="s">
        <v>10</v>
      </c>
      <c r="F1" s="15" t="s">
        <v>8</v>
      </c>
      <c r="G1" s="16" t="s">
        <v>626</v>
      </c>
      <c r="H1" s="17" t="s">
        <v>673</v>
      </c>
      <c r="I1" s="17" t="s">
        <v>670</v>
      </c>
      <c r="J1" s="16" t="s">
        <v>666</v>
      </c>
      <c r="K1" s="15" t="s">
        <v>9</v>
      </c>
      <c r="L1" s="15" t="s">
        <v>12</v>
      </c>
      <c r="M1" s="15" t="s">
        <v>13</v>
      </c>
      <c r="N1" s="15" t="s">
        <v>627</v>
      </c>
      <c r="O1" s="15" t="s">
        <v>14</v>
      </c>
      <c r="P1" s="15" t="s">
        <v>15</v>
      </c>
    </row>
    <row r="2" spans="1:16" ht="15.75" x14ac:dyDescent="0.25">
      <c r="A2" s="11">
        <v>2519</v>
      </c>
      <c r="B2" s="11">
        <v>8076</v>
      </c>
      <c r="C2" s="11" t="s">
        <v>376</v>
      </c>
      <c r="D2" s="11" t="s">
        <v>42</v>
      </c>
      <c r="E2" s="18">
        <v>45666</v>
      </c>
      <c r="F2" s="18">
        <v>45943</v>
      </c>
      <c r="G2" s="19">
        <v>9</v>
      </c>
      <c r="H2" s="20">
        <f>SUM(L2/K2)</f>
        <v>0.37025703794369647</v>
      </c>
      <c r="I2" s="20" t="s">
        <v>674</v>
      </c>
      <c r="J2" s="21" t="s">
        <v>669</v>
      </c>
      <c r="K2" s="11">
        <v>16.34</v>
      </c>
      <c r="L2" s="11">
        <v>6.05</v>
      </c>
      <c r="M2" s="11" t="s">
        <v>646</v>
      </c>
      <c r="N2" s="11">
        <v>9079571</v>
      </c>
      <c r="O2" s="11" t="s">
        <v>37</v>
      </c>
      <c r="P2" s="11" t="s">
        <v>36</v>
      </c>
    </row>
    <row r="3" spans="1:16" ht="15.75" x14ac:dyDescent="0.25">
      <c r="A3" s="11">
        <v>2519</v>
      </c>
      <c r="B3" s="11">
        <v>8075</v>
      </c>
      <c r="C3" s="11" t="s">
        <v>376</v>
      </c>
      <c r="D3" s="11" t="s">
        <v>31</v>
      </c>
      <c r="E3" s="18">
        <v>45666</v>
      </c>
      <c r="F3" s="18">
        <v>45943</v>
      </c>
      <c r="G3" s="19">
        <v>9</v>
      </c>
      <c r="H3" s="20">
        <f>SUM(L3/K3)</f>
        <v>0.36991048224083162</v>
      </c>
      <c r="I3" s="20" t="s">
        <v>674</v>
      </c>
      <c r="J3" s="21" t="s">
        <v>669</v>
      </c>
      <c r="K3" s="11">
        <v>34.630000000000003</v>
      </c>
      <c r="L3" s="11">
        <v>12.81</v>
      </c>
      <c r="M3" s="11" t="s">
        <v>646</v>
      </c>
      <c r="N3" s="11">
        <v>9079571</v>
      </c>
      <c r="O3" s="11" t="s">
        <v>37</v>
      </c>
      <c r="P3" s="11" t="s">
        <v>36</v>
      </c>
    </row>
    <row r="4" spans="1:16" ht="15.75" x14ac:dyDescent="0.25">
      <c r="A4" s="10">
        <v>2521</v>
      </c>
      <c r="B4" s="10">
        <v>57946</v>
      </c>
      <c r="C4" s="10" t="s">
        <v>546</v>
      </c>
      <c r="D4" s="10" t="s">
        <v>61</v>
      </c>
      <c r="E4" s="22">
        <v>45878</v>
      </c>
      <c r="F4" s="22">
        <v>45943</v>
      </c>
      <c r="G4" s="21">
        <v>2</v>
      </c>
      <c r="H4" s="20">
        <f>SUM(L4/K4)</f>
        <v>0.3666666666666667</v>
      </c>
      <c r="I4" s="20" t="s">
        <v>674</v>
      </c>
      <c r="J4" s="21" t="s">
        <v>669</v>
      </c>
      <c r="K4" s="10">
        <v>1.5</v>
      </c>
      <c r="L4" s="10">
        <v>0.55000000000000004</v>
      </c>
      <c r="M4" s="10" t="s">
        <v>646</v>
      </c>
      <c r="N4" s="10">
        <v>9079571</v>
      </c>
      <c r="O4" s="10" t="s">
        <v>37</v>
      </c>
      <c r="P4" s="10" t="s">
        <v>36</v>
      </c>
    </row>
    <row r="5" spans="1:16" ht="15.75" x14ac:dyDescent="0.25">
      <c r="A5" s="10">
        <v>2521</v>
      </c>
      <c r="B5" s="10">
        <v>57946</v>
      </c>
      <c r="C5" s="10" t="s">
        <v>546</v>
      </c>
      <c r="D5" s="10" t="s">
        <v>31</v>
      </c>
      <c r="E5" s="22">
        <v>45878</v>
      </c>
      <c r="F5" s="22">
        <v>45943</v>
      </c>
      <c r="G5" s="21">
        <v>2</v>
      </c>
      <c r="H5" s="20">
        <f>SUM(L5/K5)</f>
        <v>0.37001180637544273</v>
      </c>
      <c r="I5" s="20" t="s">
        <v>674</v>
      </c>
      <c r="J5" s="21" t="s">
        <v>669</v>
      </c>
      <c r="K5" s="10">
        <v>42.35</v>
      </c>
      <c r="L5" s="10">
        <v>15.67</v>
      </c>
      <c r="M5" s="10" t="s">
        <v>646</v>
      </c>
      <c r="N5" s="10">
        <v>9079571</v>
      </c>
      <c r="O5" s="10" t="s">
        <v>37</v>
      </c>
      <c r="P5" s="10" t="s">
        <v>36</v>
      </c>
    </row>
    <row r="6" spans="1:16" ht="15.75" x14ac:dyDescent="0.25">
      <c r="A6" s="10">
        <v>2520</v>
      </c>
      <c r="B6" s="10">
        <v>67007</v>
      </c>
      <c r="C6" s="10" t="s">
        <v>479</v>
      </c>
      <c r="D6" s="10" t="s">
        <v>61</v>
      </c>
      <c r="E6" s="22">
        <v>45790</v>
      </c>
      <c r="F6" s="22">
        <v>45945</v>
      </c>
      <c r="G6" s="21">
        <v>5</v>
      </c>
      <c r="H6" s="20">
        <f>SUM(L6/K6)</f>
        <v>0.3666666666666667</v>
      </c>
      <c r="I6" s="20" t="s">
        <v>674</v>
      </c>
      <c r="J6" s="21" t="s">
        <v>669</v>
      </c>
      <c r="K6" s="10">
        <v>1.5</v>
      </c>
      <c r="L6" s="10">
        <v>0.55000000000000004</v>
      </c>
      <c r="M6" s="10" t="s">
        <v>646</v>
      </c>
      <c r="N6" s="10">
        <v>9079571</v>
      </c>
      <c r="O6" s="10" t="s">
        <v>37</v>
      </c>
      <c r="P6" s="10" t="s">
        <v>36</v>
      </c>
    </row>
    <row r="7" spans="1:16" ht="15.75" x14ac:dyDescent="0.25">
      <c r="A7" s="10">
        <v>2520</v>
      </c>
      <c r="B7" s="10">
        <v>67007</v>
      </c>
      <c r="C7" s="10" t="s">
        <v>479</v>
      </c>
      <c r="D7" s="10" t="s">
        <v>31</v>
      </c>
      <c r="E7" s="22">
        <v>45790</v>
      </c>
      <c r="F7" s="22">
        <v>45945</v>
      </c>
      <c r="G7" s="21">
        <v>5</v>
      </c>
      <c r="H7" s="20">
        <f>SUM(L7/K7)</f>
        <v>0.37002341920374709</v>
      </c>
      <c r="I7" s="20" t="s">
        <v>674</v>
      </c>
      <c r="J7" s="21" t="s">
        <v>669</v>
      </c>
      <c r="K7" s="10">
        <v>51.24</v>
      </c>
      <c r="L7" s="10">
        <v>18.96</v>
      </c>
      <c r="M7" s="10" t="s">
        <v>646</v>
      </c>
      <c r="N7" s="10">
        <v>9079571</v>
      </c>
      <c r="O7" s="10" t="s">
        <v>37</v>
      </c>
      <c r="P7" s="10" t="s">
        <v>36</v>
      </c>
    </row>
    <row r="8" spans="1:16" ht="15.75" x14ac:dyDescent="0.25">
      <c r="A8" s="11">
        <v>2518</v>
      </c>
      <c r="B8" s="11">
        <v>20851</v>
      </c>
      <c r="C8" s="11" t="s">
        <v>320</v>
      </c>
      <c r="D8" s="11" t="s">
        <v>61</v>
      </c>
      <c r="E8" s="18">
        <v>45609</v>
      </c>
      <c r="F8" s="18">
        <v>45945</v>
      </c>
      <c r="G8" s="19">
        <v>11</v>
      </c>
      <c r="H8" s="20">
        <f>SUM(L8/K8)</f>
        <v>0.3666666666666667</v>
      </c>
      <c r="I8" s="20" t="s">
        <v>674</v>
      </c>
      <c r="J8" s="21" t="s">
        <v>669</v>
      </c>
      <c r="K8" s="11">
        <v>1.5</v>
      </c>
      <c r="L8" s="11">
        <v>0.55000000000000004</v>
      </c>
      <c r="M8" s="11" t="s">
        <v>646</v>
      </c>
      <c r="N8" s="11">
        <v>9079571</v>
      </c>
      <c r="O8" s="11" t="s">
        <v>37</v>
      </c>
      <c r="P8" s="11" t="s">
        <v>36</v>
      </c>
    </row>
    <row r="9" spans="1:16" ht="15.75" x14ac:dyDescent="0.25">
      <c r="A9" s="11">
        <v>2518</v>
      </c>
      <c r="B9" s="11">
        <v>20851</v>
      </c>
      <c r="C9" s="11" t="s">
        <v>320</v>
      </c>
      <c r="D9" s="11" t="s">
        <v>31</v>
      </c>
      <c r="E9" s="18">
        <v>45609</v>
      </c>
      <c r="F9" s="18">
        <v>45945</v>
      </c>
      <c r="G9" s="19">
        <v>11</v>
      </c>
      <c r="H9" s="20">
        <f>SUM(L9/K9)</f>
        <v>0.37001180637544273</v>
      </c>
      <c r="I9" s="20" t="s">
        <v>674</v>
      </c>
      <c r="J9" s="21" t="s">
        <v>669</v>
      </c>
      <c r="K9" s="11">
        <v>42.35</v>
      </c>
      <c r="L9" s="11">
        <v>15.67</v>
      </c>
      <c r="M9" s="11" t="s">
        <v>646</v>
      </c>
      <c r="N9" s="11">
        <v>9079571</v>
      </c>
      <c r="O9" s="11" t="s">
        <v>37</v>
      </c>
      <c r="P9" s="11" t="s">
        <v>36</v>
      </c>
    </row>
    <row r="10" spans="1:16" ht="15.75" x14ac:dyDescent="0.25">
      <c r="A10" s="11">
        <v>2518</v>
      </c>
      <c r="B10" s="11">
        <v>86786</v>
      </c>
      <c r="C10" s="11" t="s">
        <v>369</v>
      </c>
      <c r="D10" s="11" t="s">
        <v>31</v>
      </c>
      <c r="E10" s="18">
        <v>45658</v>
      </c>
      <c r="F10" s="18">
        <v>45947</v>
      </c>
      <c r="G10" s="19">
        <v>9</v>
      </c>
      <c r="H10" s="20">
        <f>SUM(L10/K10)</f>
        <v>0.36999754480726743</v>
      </c>
      <c r="I10" s="20" t="s">
        <v>674</v>
      </c>
      <c r="J10" s="21" t="s">
        <v>669</v>
      </c>
      <c r="K10" s="11">
        <v>40.729999999999997</v>
      </c>
      <c r="L10" s="11">
        <v>15.07</v>
      </c>
      <c r="M10" s="11" t="s">
        <v>646</v>
      </c>
      <c r="N10" s="11">
        <v>9079571</v>
      </c>
      <c r="O10" s="11" t="s">
        <v>37</v>
      </c>
      <c r="P10" s="11" t="s">
        <v>36</v>
      </c>
    </row>
    <row r="11" spans="1:16" ht="15.75" x14ac:dyDescent="0.25">
      <c r="A11" s="10">
        <v>2519</v>
      </c>
      <c r="B11" s="10">
        <v>93166</v>
      </c>
      <c r="C11" s="10" t="s">
        <v>427</v>
      </c>
      <c r="D11" s="10" t="s">
        <v>61</v>
      </c>
      <c r="E11" s="22">
        <v>45729</v>
      </c>
      <c r="F11" s="22">
        <v>45945</v>
      </c>
      <c r="G11" s="21">
        <v>7</v>
      </c>
      <c r="H11" s="20">
        <f>SUM(L11/K11)</f>
        <v>0.3666666666666667</v>
      </c>
      <c r="I11" s="20" t="s">
        <v>674</v>
      </c>
      <c r="J11" s="21" t="s">
        <v>669</v>
      </c>
      <c r="K11" s="10">
        <v>1.5</v>
      </c>
      <c r="L11" s="10">
        <v>0.55000000000000004</v>
      </c>
      <c r="M11" s="10" t="s">
        <v>646</v>
      </c>
      <c r="N11" s="10">
        <v>9079571</v>
      </c>
      <c r="O11" s="10" t="s">
        <v>37</v>
      </c>
      <c r="P11" s="10" t="s">
        <v>36</v>
      </c>
    </row>
    <row r="12" spans="1:16" ht="15.75" x14ac:dyDescent="0.25">
      <c r="A12" s="10">
        <v>2519</v>
      </c>
      <c r="B12" s="10">
        <v>93166</v>
      </c>
      <c r="C12" s="10" t="s">
        <v>427</v>
      </c>
      <c r="D12" s="10" t="s">
        <v>31</v>
      </c>
      <c r="E12" s="22">
        <v>45729</v>
      </c>
      <c r="F12" s="22">
        <v>45945</v>
      </c>
      <c r="G12" s="21">
        <v>7</v>
      </c>
      <c r="H12" s="20">
        <f>SUM(L12/K12)</f>
        <v>0.37003648851684906</v>
      </c>
      <c r="I12" s="20" t="s">
        <v>674</v>
      </c>
      <c r="J12" s="21" t="s">
        <v>669</v>
      </c>
      <c r="K12" s="10">
        <v>46.59</v>
      </c>
      <c r="L12" s="10">
        <v>17.239999999999998</v>
      </c>
      <c r="M12" s="10" t="s">
        <v>646</v>
      </c>
      <c r="N12" s="10">
        <v>9079571</v>
      </c>
      <c r="O12" s="10" t="s">
        <v>37</v>
      </c>
      <c r="P12" s="10" t="s">
        <v>36</v>
      </c>
    </row>
    <row r="13" spans="1:16" ht="15.75" x14ac:dyDescent="0.25">
      <c r="A13" s="10">
        <v>2520</v>
      </c>
      <c r="B13" s="10">
        <v>87075</v>
      </c>
      <c r="C13" s="10" t="s">
        <v>487</v>
      </c>
      <c r="D13" s="10" t="s">
        <v>51</v>
      </c>
      <c r="E13" s="22">
        <v>45809</v>
      </c>
      <c r="F13" s="22">
        <v>45943</v>
      </c>
      <c r="G13" s="21">
        <v>4</v>
      </c>
      <c r="H13" s="20">
        <f>SUM(L13/K13)</f>
        <v>0.37333333333333335</v>
      </c>
      <c r="I13" s="20" t="s">
        <v>674</v>
      </c>
      <c r="J13" s="21" t="s">
        <v>669</v>
      </c>
      <c r="K13" s="10">
        <v>0.75</v>
      </c>
      <c r="L13" s="10">
        <v>0.28000000000000003</v>
      </c>
      <c r="M13" s="10" t="s">
        <v>646</v>
      </c>
      <c r="N13" s="10">
        <v>9079571</v>
      </c>
      <c r="O13" s="10" t="s">
        <v>37</v>
      </c>
      <c r="P13" s="10" t="s">
        <v>36</v>
      </c>
    </row>
    <row r="14" spans="1:16" ht="15.75" x14ac:dyDescent="0.25">
      <c r="A14" s="10">
        <v>2520</v>
      </c>
      <c r="B14" s="10">
        <v>87075</v>
      </c>
      <c r="C14" s="10" t="s">
        <v>487</v>
      </c>
      <c r="D14" s="10" t="s">
        <v>51</v>
      </c>
      <c r="E14" s="22">
        <v>45809</v>
      </c>
      <c r="F14" s="22">
        <v>45943</v>
      </c>
      <c r="G14" s="21">
        <v>4</v>
      </c>
      <c r="H14" s="20">
        <f>SUM(L14/K14)</f>
        <v>0.37333333333333335</v>
      </c>
      <c r="I14" s="20" t="s">
        <v>674</v>
      </c>
      <c r="J14" s="21" t="s">
        <v>669</v>
      </c>
      <c r="K14" s="10">
        <v>0.75</v>
      </c>
      <c r="L14" s="10">
        <v>0.28000000000000003</v>
      </c>
      <c r="M14" s="10" t="s">
        <v>646</v>
      </c>
      <c r="N14" s="10">
        <v>9079571</v>
      </c>
      <c r="O14" s="10" t="s">
        <v>37</v>
      </c>
      <c r="P14" s="10" t="s">
        <v>36</v>
      </c>
    </row>
    <row r="15" spans="1:16" ht="15.75" x14ac:dyDescent="0.25">
      <c r="A15" s="10">
        <v>2520</v>
      </c>
      <c r="B15" s="10">
        <v>87075</v>
      </c>
      <c r="C15" s="10" t="s">
        <v>487</v>
      </c>
      <c r="D15" s="10" t="s">
        <v>51</v>
      </c>
      <c r="E15" s="22">
        <v>45809</v>
      </c>
      <c r="F15" s="22">
        <v>45943</v>
      </c>
      <c r="G15" s="21">
        <v>4</v>
      </c>
      <c r="H15" s="20">
        <f>SUM(L15/K15)</f>
        <v>0.37333333333333335</v>
      </c>
      <c r="I15" s="20" t="s">
        <v>674</v>
      </c>
      <c r="J15" s="21" t="s">
        <v>669</v>
      </c>
      <c r="K15" s="10">
        <v>0.75</v>
      </c>
      <c r="L15" s="10">
        <v>0.28000000000000003</v>
      </c>
      <c r="M15" s="10" t="s">
        <v>646</v>
      </c>
      <c r="N15" s="10">
        <v>9079571</v>
      </c>
      <c r="O15" s="10" t="s">
        <v>37</v>
      </c>
      <c r="P15" s="10" t="s">
        <v>36</v>
      </c>
    </row>
    <row r="16" spans="1:16" ht="15.75" x14ac:dyDescent="0.25">
      <c r="A16" s="10">
        <v>2520</v>
      </c>
      <c r="B16" s="10">
        <v>87076</v>
      </c>
      <c r="C16" s="10" t="s">
        <v>487</v>
      </c>
      <c r="D16" s="10" t="s">
        <v>42</v>
      </c>
      <c r="E16" s="22">
        <v>45809</v>
      </c>
      <c r="F16" s="22">
        <v>45943</v>
      </c>
      <c r="G16" s="21">
        <v>4</v>
      </c>
      <c r="H16" s="20">
        <f>SUM(L16/K16)</f>
        <v>0.3701968134957826</v>
      </c>
      <c r="I16" s="20" t="s">
        <v>674</v>
      </c>
      <c r="J16" s="21" t="s">
        <v>669</v>
      </c>
      <c r="K16" s="10">
        <v>10.67</v>
      </c>
      <c r="L16" s="10">
        <v>3.95</v>
      </c>
      <c r="M16" s="10" t="s">
        <v>646</v>
      </c>
      <c r="N16" s="10">
        <v>9079571</v>
      </c>
      <c r="O16" s="10" t="s">
        <v>37</v>
      </c>
      <c r="P16" s="10" t="s">
        <v>36</v>
      </c>
    </row>
    <row r="17" spans="1:16" ht="15.75" x14ac:dyDescent="0.25">
      <c r="A17" s="10">
        <v>2520</v>
      </c>
      <c r="B17" s="10">
        <v>87076</v>
      </c>
      <c r="C17" s="10" t="s">
        <v>487</v>
      </c>
      <c r="D17" s="10" t="s">
        <v>42</v>
      </c>
      <c r="E17" s="22">
        <v>45809</v>
      </c>
      <c r="F17" s="22">
        <v>45943</v>
      </c>
      <c r="G17" s="21">
        <v>4</v>
      </c>
      <c r="H17" s="20">
        <f>SUM(L17/K17)</f>
        <v>0.3701968134957826</v>
      </c>
      <c r="I17" s="20" t="s">
        <v>674</v>
      </c>
      <c r="J17" s="21" t="s">
        <v>669</v>
      </c>
      <c r="K17" s="10">
        <v>10.67</v>
      </c>
      <c r="L17" s="10">
        <v>3.95</v>
      </c>
      <c r="M17" s="10" t="s">
        <v>646</v>
      </c>
      <c r="N17" s="10">
        <v>9079571</v>
      </c>
      <c r="O17" s="10" t="s">
        <v>37</v>
      </c>
      <c r="P17" s="10" t="s">
        <v>36</v>
      </c>
    </row>
    <row r="18" spans="1:16" ht="15.75" x14ac:dyDescent="0.25">
      <c r="A18" s="10">
        <v>2520</v>
      </c>
      <c r="B18" s="10">
        <v>87076</v>
      </c>
      <c r="C18" s="10" t="s">
        <v>487</v>
      </c>
      <c r="D18" s="10" t="s">
        <v>42</v>
      </c>
      <c r="E18" s="22">
        <v>45809</v>
      </c>
      <c r="F18" s="22">
        <v>45943</v>
      </c>
      <c r="G18" s="21">
        <v>4</v>
      </c>
      <c r="H18" s="20">
        <f>SUM(L18/K18)</f>
        <v>0.3701968134957826</v>
      </c>
      <c r="I18" s="20" t="s">
        <v>674</v>
      </c>
      <c r="J18" s="21" t="s">
        <v>669</v>
      </c>
      <c r="K18" s="10">
        <v>10.67</v>
      </c>
      <c r="L18" s="10">
        <v>3.95</v>
      </c>
      <c r="M18" s="10" t="s">
        <v>646</v>
      </c>
      <c r="N18" s="10">
        <v>9079571</v>
      </c>
      <c r="O18" s="10" t="s">
        <v>37</v>
      </c>
      <c r="P18" s="10" t="s">
        <v>36</v>
      </c>
    </row>
    <row r="19" spans="1:16" ht="15.75" x14ac:dyDescent="0.25">
      <c r="A19" s="10">
        <v>2520</v>
      </c>
      <c r="B19" s="10">
        <v>87075</v>
      </c>
      <c r="C19" s="10" t="s">
        <v>487</v>
      </c>
      <c r="D19" s="10" t="s">
        <v>31</v>
      </c>
      <c r="E19" s="22">
        <v>45809</v>
      </c>
      <c r="F19" s="22">
        <v>45943</v>
      </c>
      <c r="G19" s="21">
        <v>4</v>
      </c>
      <c r="H19" s="20">
        <f>SUM(L19/K19)</f>
        <v>0.37000993048659381</v>
      </c>
      <c r="I19" s="20" t="s">
        <v>674</v>
      </c>
      <c r="J19" s="21" t="s">
        <v>669</v>
      </c>
      <c r="K19" s="10">
        <v>50.35</v>
      </c>
      <c r="L19" s="10">
        <v>18.63</v>
      </c>
      <c r="M19" s="10" t="s">
        <v>646</v>
      </c>
      <c r="N19" s="10">
        <v>9079571</v>
      </c>
      <c r="O19" s="10" t="s">
        <v>37</v>
      </c>
      <c r="P19" s="10" t="s">
        <v>36</v>
      </c>
    </row>
    <row r="20" spans="1:16" ht="15.75" x14ac:dyDescent="0.25">
      <c r="A20" s="10">
        <v>2520</v>
      </c>
      <c r="B20" s="10">
        <v>87075</v>
      </c>
      <c r="C20" s="10" t="s">
        <v>487</v>
      </c>
      <c r="D20" s="10" t="s">
        <v>31</v>
      </c>
      <c r="E20" s="22">
        <v>45809</v>
      </c>
      <c r="F20" s="22">
        <v>45943</v>
      </c>
      <c r="G20" s="21">
        <v>4</v>
      </c>
      <c r="H20" s="20">
        <f>SUM(L20/K20)</f>
        <v>0.37000993048659381</v>
      </c>
      <c r="I20" s="20" t="s">
        <v>674</v>
      </c>
      <c r="J20" s="21" t="s">
        <v>669</v>
      </c>
      <c r="K20" s="10">
        <v>50.35</v>
      </c>
      <c r="L20" s="10">
        <v>18.63</v>
      </c>
      <c r="M20" s="10" t="s">
        <v>646</v>
      </c>
      <c r="N20" s="10">
        <v>9079571</v>
      </c>
      <c r="O20" s="10" t="s">
        <v>37</v>
      </c>
      <c r="P20" s="10" t="s">
        <v>36</v>
      </c>
    </row>
    <row r="21" spans="1:16" ht="15.75" x14ac:dyDescent="0.25">
      <c r="A21" s="10">
        <v>2520</v>
      </c>
      <c r="B21" s="10">
        <v>87075</v>
      </c>
      <c r="C21" s="10" t="s">
        <v>487</v>
      </c>
      <c r="D21" s="10" t="s">
        <v>31</v>
      </c>
      <c r="E21" s="22">
        <v>45809</v>
      </c>
      <c r="F21" s="22">
        <v>45943</v>
      </c>
      <c r="G21" s="21">
        <v>4</v>
      </c>
      <c r="H21" s="20">
        <f>SUM(L21/K21)</f>
        <v>0.37000993048659381</v>
      </c>
      <c r="I21" s="20" t="s">
        <v>674</v>
      </c>
      <c r="J21" s="21" t="s">
        <v>669</v>
      </c>
      <c r="K21" s="10">
        <v>50.35</v>
      </c>
      <c r="L21" s="10">
        <v>18.63</v>
      </c>
      <c r="M21" s="10" t="s">
        <v>646</v>
      </c>
      <c r="N21" s="10">
        <v>9079571</v>
      </c>
      <c r="O21" s="10" t="s">
        <v>37</v>
      </c>
      <c r="P21" s="10" t="s">
        <v>36</v>
      </c>
    </row>
    <row r="22" spans="1:16" ht="15.75" x14ac:dyDescent="0.25">
      <c r="A22" s="11">
        <v>2518</v>
      </c>
      <c r="B22" s="11">
        <v>17677</v>
      </c>
      <c r="C22" s="11" t="s">
        <v>308</v>
      </c>
      <c r="D22" s="11" t="s">
        <v>61</v>
      </c>
      <c r="E22" s="18">
        <v>45608</v>
      </c>
      <c r="F22" s="18">
        <v>45944</v>
      </c>
      <c r="G22" s="19">
        <v>11</v>
      </c>
      <c r="H22" s="20">
        <f>SUM(L22/K22)</f>
        <v>0.3666666666666667</v>
      </c>
      <c r="I22" s="20" t="s">
        <v>674</v>
      </c>
      <c r="J22" s="21" t="s">
        <v>669</v>
      </c>
      <c r="K22" s="11">
        <v>1.5</v>
      </c>
      <c r="L22" s="11">
        <v>0.55000000000000004</v>
      </c>
      <c r="M22" s="11" t="s">
        <v>646</v>
      </c>
      <c r="N22" s="11">
        <v>9079571</v>
      </c>
      <c r="O22" s="11" t="s">
        <v>37</v>
      </c>
      <c r="P22" s="11" t="s">
        <v>36</v>
      </c>
    </row>
    <row r="23" spans="1:16" ht="15.75" x14ac:dyDescent="0.25">
      <c r="A23" s="11">
        <v>2518</v>
      </c>
      <c r="B23" s="11">
        <v>17677</v>
      </c>
      <c r="C23" s="11" t="s">
        <v>308</v>
      </c>
      <c r="D23" s="11" t="s">
        <v>31</v>
      </c>
      <c r="E23" s="18">
        <v>45608</v>
      </c>
      <c r="F23" s="18">
        <v>45944</v>
      </c>
      <c r="G23" s="19">
        <v>11</v>
      </c>
      <c r="H23" s="20">
        <f>SUM(L23/K23)</f>
        <v>0.37001180637544273</v>
      </c>
      <c r="I23" s="20" t="s">
        <v>674</v>
      </c>
      <c r="J23" s="21" t="s">
        <v>669</v>
      </c>
      <c r="K23" s="11">
        <v>42.35</v>
      </c>
      <c r="L23" s="11">
        <v>15.67</v>
      </c>
      <c r="M23" s="11" t="s">
        <v>646</v>
      </c>
      <c r="N23" s="11">
        <v>9079571</v>
      </c>
      <c r="O23" s="11" t="s">
        <v>37</v>
      </c>
      <c r="P23" s="11" t="s">
        <v>36</v>
      </c>
    </row>
    <row r="24" spans="1:16" ht="15.75" x14ac:dyDescent="0.25">
      <c r="A24" s="10">
        <v>2521</v>
      </c>
      <c r="B24" s="10">
        <v>86097</v>
      </c>
      <c r="C24" s="10" t="s">
        <v>572</v>
      </c>
      <c r="D24" s="10" t="s">
        <v>31</v>
      </c>
      <c r="E24" s="22">
        <v>45910</v>
      </c>
      <c r="F24" s="22">
        <v>45943</v>
      </c>
      <c r="G24" s="21">
        <v>1</v>
      </c>
      <c r="H24" s="20">
        <f>SUM(L24/K24)</f>
        <v>0.36997961875074931</v>
      </c>
      <c r="I24" s="20" t="s">
        <v>674</v>
      </c>
      <c r="J24" s="21" t="s">
        <v>669</v>
      </c>
      <c r="K24" s="10">
        <v>83.41</v>
      </c>
      <c r="L24" s="10">
        <v>30.86</v>
      </c>
      <c r="M24" s="10" t="s">
        <v>646</v>
      </c>
      <c r="N24" s="10">
        <v>9079571</v>
      </c>
      <c r="O24" s="10" t="s">
        <v>37</v>
      </c>
      <c r="P24" s="10" t="s">
        <v>36</v>
      </c>
    </row>
    <row r="25" spans="1:16" ht="15.75" x14ac:dyDescent="0.25">
      <c r="A25" s="11">
        <v>2518</v>
      </c>
      <c r="B25" s="11">
        <v>23560</v>
      </c>
      <c r="C25" s="11" t="s">
        <v>324</v>
      </c>
      <c r="D25" s="11" t="s">
        <v>31</v>
      </c>
      <c r="E25" s="18">
        <v>45610</v>
      </c>
      <c r="F25" s="18">
        <v>45946</v>
      </c>
      <c r="G25" s="19">
        <v>11</v>
      </c>
      <c r="H25" s="20">
        <f>SUM(L25/K25)</f>
        <v>0.37003648851684906</v>
      </c>
      <c r="I25" s="20" t="s">
        <v>674</v>
      </c>
      <c r="J25" s="21" t="s">
        <v>669</v>
      </c>
      <c r="K25" s="11">
        <v>-46.59</v>
      </c>
      <c r="L25" s="11">
        <v>-17.239999999999998</v>
      </c>
      <c r="M25" s="11" t="s">
        <v>646</v>
      </c>
      <c r="N25" s="11">
        <v>9079571</v>
      </c>
      <c r="O25" s="11" t="s">
        <v>37</v>
      </c>
      <c r="P25" s="11" t="s">
        <v>36</v>
      </c>
    </row>
    <row r="26" spans="1:16" ht="15.75" x14ac:dyDescent="0.25">
      <c r="A26" s="11">
        <v>2518</v>
      </c>
      <c r="B26" s="11">
        <v>23560</v>
      </c>
      <c r="C26" s="11" t="s">
        <v>324</v>
      </c>
      <c r="D26" s="11" t="s">
        <v>61</v>
      </c>
      <c r="E26" s="18">
        <v>45610</v>
      </c>
      <c r="F26" s="18">
        <v>45946</v>
      </c>
      <c r="G26" s="19">
        <v>11</v>
      </c>
      <c r="H26" s="20">
        <f>SUM(L26/K26)</f>
        <v>0.3666666666666667</v>
      </c>
      <c r="I26" s="20" t="s">
        <v>674</v>
      </c>
      <c r="J26" s="21" t="s">
        <v>669</v>
      </c>
      <c r="K26" s="11">
        <v>-1.5</v>
      </c>
      <c r="L26" s="11">
        <v>-0.55000000000000004</v>
      </c>
      <c r="M26" s="11" t="s">
        <v>646</v>
      </c>
      <c r="N26" s="11">
        <v>9079571</v>
      </c>
      <c r="O26" s="11" t="s">
        <v>37</v>
      </c>
      <c r="P26" s="11" t="s">
        <v>36</v>
      </c>
    </row>
    <row r="27" spans="1:16" ht="15.75" x14ac:dyDescent="0.25">
      <c r="A27" s="10">
        <v>2521</v>
      </c>
      <c r="B27" s="10">
        <v>88370</v>
      </c>
      <c r="C27" s="10" t="s">
        <v>593</v>
      </c>
      <c r="D27" s="10" t="s">
        <v>61</v>
      </c>
      <c r="E27" s="22">
        <v>45911</v>
      </c>
      <c r="F27" s="22">
        <v>45943</v>
      </c>
      <c r="G27" s="21">
        <v>1</v>
      </c>
      <c r="H27" s="20">
        <f>SUM(L27/K27)</f>
        <v>0.3666666666666667</v>
      </c>
      <c r="I27" s="20" t="s">
        <v>674</v>
      </c>
      <c r="J27" s="21" t="s">
        <v>669</v>
      </c>
      <c r="K27" s="10">
        <v>1.5</v>
      </c>
      <c r="L27" s="10">
        <v>0.55000000000000004</v>
      </c>
      <c r="M27" s="10" t="s">
        <v>646</v>
      </c>
      <c r="N27" s="10">
        <v>9079571</v>
      </c>
      <c r="O27" s="10" t="s">
        <v>37</v>
      </c>
      <c r="P27" s="10" t="s">
        <v>36</v>
      </c>
    </row>
    <row r="28" spans="1:16" ht="15.75" x14ac:dyDescent="0.25">
      <c r="A28" s="10">
        <v>2521</v>
      </c>
      <c r="B28" s="10">
        <v>88370</v>
      </c>
      <c r="C28" s="10" t="s">
        <v>593</v>
      </c>
      <c r="D28" s="10" t="s">
        <v>31</v>
      </c>
      <c r="E28" s="22">
        <v>45911</v>
      </c>
      <c r="F28" s="22">
        <v>45943</v>
      </c>
      <c r="G28" s="21">
        <v>1</v>
      </c>
      <c r="H28" s="20">
        <f>SUM(L28/K28)</f>
        <v>0.37001180637544273</v>
      </c>
      <c r="I28" s="20" t="s">
        <v>674</v>
      </c>
      <c r="J28" s="21" t="s">
        <v>669</v>
      </c>
      <c r="K28" s="10">
        <v>42.35</v>
      </c>
      <c r="L28" s="10">
        <v>15.67</v>
      </c>
      <c r="M28" s="10" t="s">
        <v>646</v>
      </c>
      <c r="N28" s="10">
        <v>9079571</v>
      </c>
      <c r="O28" s="10" t="s">
        <v>37</v>
      </c>
      <c r="P28" s="10" t="s">
        <v>36</v>
      </c>
    </row>
    <row r="29" spans="1:16" ht="15.75" x14ac:dyDescent="0.25">
      <c r="A29" s="11">
        <v>2519</v>
      </c>
      <c r="B29" s="11">
        <v>18035</v>
      </c>
      <c r="C29" s="11" t="s">
        <v>410</v>
      </c>
      <c r="D29" s="11" t="s">
        <v>31</v>
      </c>
      <c r="E29" s="18">
        <v>45672</v>
      </c>
      <c r="F29" s="18">
        <v>45947</v>
      </c>
      <c r="G29" s="19">
        <v>9</v>
      </c>
      <c r="H29" s="20">
        <f>SUM(L29/K29)</f>
        <v>0.37002712477396021</v>
      </c>
      <c r="I29" s="20" t="s">
        <v>674</v>
      </c>
      <c r="J29" s="21" t="s">
        <v>669</v>
      </c>
      <c r="K29" s="11">
        <v>44.24</v>
      </c>
      <c r="L29" s="11">
        <v>16.37</v>
      </c>
      <c r="M29" s="11" t="s">
        <v>646</v>
      </c>
      <c r="N29" s="11">
        <v>9079571</v>
      </c>
      <c r="O29" s="11" t="s">
        <v>37</v>
      </c>
      <c r="P29" s="11" t="s">
        <v>36</v>
      </c>
    </row>
    <row r="30" spans="1:16" ht="15.75" x14ac:dyDescent="0.25">
      <c r="A30" s="10">
        <v>2521</v>
      </c>
      <c r="B30" s="10">
        <v>86821</v>
      </c>
      <c r="C30" s="10" t="s">
        <v>578</v>
      </c>
      <c r="D30" s="10" t="s">
        <v>61</v>
      </c>
      <c r="E30" s="22">
        <v>45910</v>
      </c>
      <c r="F30" s="22">
        <v>45943</v>
      </c>
      <c r="G30" s="21">
        <v>1</v>
      </c>
      <c r="H30" s="20">
        <f>SUM(L30/K30)</f>
        <v>0.3666666666666667</v>
      </c>
      <c r="I30" s="20" t="s">
        <v>674</v>
      </c>
      <c r="J30" s="21" t="s">
        <v>669</v>
      </c>
      <c r="K30" s="10">
        <v>1.5</v>
      </c>
      <c r="L30" s="10">
        <v>0.55000000000000004</v>
      </c>
      <c r="M30" s="10" t="s">
        <v>646</v>
      </c>
      <c r="N30" s="10">
        <v>9079571</v>
      </c>
      <c r="O30" s="10" t="s">
        <v>37</v>
      </c>
      <c r="P30" s="10" t="s">
        <v>36</v>
      </c>
    </row>
    <row r="31" spans="1:16" ht="15.75" x14ac:dyDescent="0.25">
      <c r="A31" s="10">
        <v>2521</v>
      </c>
      <c r="B31" s="10">
        <v>86821</v>
      </c>
      <c r="C31" s="10" t="s">
        <v>578</v>
      </c>
      <c r="D31" s="10" t="s">
        <v>31</v>
      </c>
      <c r="E31" s="22">
        <v>45910</v>
      </c>
      <c r="F31" s="22">
        <v>45943</v>
      </c>
      <c r="G31" s="21">
        <v>1</v>
      </c>
      <c r="H31" s="20">
        <f>SUM(L31/K31)</f>
        <v>0.37003648851684906</v>
      </c>
      <c r="I31" s="20" t="s">
        <v>674</v>
      </c>
      <c r="J31" s="21" t="s">
        <v>669</v>
      </c>
      <c r="K31" s="10">
        <v>46.59</v>
      </c>
      <c r="L31" s="10">
        <v>17.239999999999998</v>
      </c>
      <c r="M31" s="10" t="s">
        <v>646</v>
      </c>
      <c r="N31" s="10">
        <v>9079571</v>
      </c>
      <c r="O31" s="10" t="s">
        <v>37</v>
      </c>
      <c r="P31" s="10" t="s">
        <v>36</v>
      </c>
    </row>
    <row r="32" spans="1:16" ht="15.75" x14ac:dyDescent="0.25">
      <c r="A32" s="11">
        <v>2519</v>
      </c>
      <c r="B32" s="11">
        <v>17846</v>
      </c>
      <c r="C32" s="11" t="s">
        <v>408</v>
      </c>
      <c r="D32" s="11" t="s">
        <v>61</v>
      </c>
      <c r="E32" s="18">
        <v>45672</v>
      </c>
      <c r="F32" s="18">
        <v>45947</v>
      </c>
      <c r="G32" s="19">
        <v>9</v>
      </c>
      <c r="H32" s="20">
        <f>SUM(L32/K32)</f>
        <v>0.3666666666666667</v>
      </c>
      <c r="I32" s="20" t="s">
        <v>674</v>
      </c>
      <c r="J32" s="21" t="s">
        <v>669</v>
      </c>
      <c r="K32" s="11">
        <v>1.5</v>
      </c>
      <c r="L32" s="11">
        <v>0.55000000000000004</v>
      </c>
      <c r="M32" s="11" t="s">
        <v>646</v>
      </c>
      <c r="N32" s="11">
        <v>9079571</v>
      </c>
      <c r="O32" s="11" t="s">
        <v>37</v>
      </c>
      <c r="P32" s="11" t="s">
        <v>36</v>
      </c>
    </row>
    <row r="33" spans="1:16" ht="15.75" x14ac:dyDescent="0.25">
      <c r="A33" s="11">
        <v>2519</v>
      </c>
      <c r="B33" s="11">
        <v>17846</v>
      </c>
      <c r="C33" s="11" t="s">
        <v>408</v>
      </c>
      <c r="D33" s="11" t="s">
        <v>31</v>
      </c>
      <c r="E33" s="18">
        <v>45672</v>
      </c>
      <c r="F33" s="18">
        <v>45947</v>
      </c>
      <c r="G33" s="19">
        <v>9</v>
      </c>
      <c r="H33" s="20">
        <f>SUM(L33/K33)</f>
        <v>0.37001180637544273</v>
      </c>
      <c r="I33" s="20" t="s">
        <v>674</v>
      </c>
      <c r="J33" s="21" t="s">
        <v>669</v>
      </c>
      <c r="K33" s="11">
        <v>42.35</v>
      </c>
      <c r="L33" s="11">
        <v>15.67</v>
      </c>
      <c r="M33" s="11" t="s">
        <v>646</v>
      </c>
      <c r="N33" s="11">
        <v>9079571</v>
      </c>
      <c r="O33" s="11" t="s">
        <v>37</v>
      </c>
      <c r="P33" s="11" t="s">
        <v>36</v>
      </c>
    </row>
    <row r="34" spans="1:16" ht="15.75" x14ac:dyDescent="0.25">
      <c r="A34" s="11">
        <v>2515</v>
      </c>
      <c r="B34" s="11">
        <v>58218</v>
      </c>
      <c r="C34" s="11" t="s">
        <v>159</v>
      </c>
      <c r="D34" s="11" t="s">
        <v>31</v>
      </c>
      <c r="E34" s="18">
        <v>45456</v>
      </c>
      <c r="F34" s="18">
        <v>45945</v>
      </c>
      <c r="G34" s="19">
        <v>16</v>
      </c>
      <c r="H34" s="20">
        <f>SUM(L34/K34)</f>
        <v>3.9967593842830135E-2</v>
      </c>
      <c r="I34" s="20" t="s">
        <v>672</v>
      </c>
      <c r="J34" s="21" t="s">
        <v>669</v>
      </c>
      <c r="K34" s="11">
        <v>37.03</v>
      </c>
      <c r="L34" s="11">
        <v>1.48</v>
      </c>
      <c r="M34" s="11" t="s">
        <v>646</v>
      </c>
      <c r="N34" s="11">
        <v>9079571</v>
      </c>
      <c r="O34" s="11" t="s">
        <v>37</v>
      </c>
      <c r="P34" s="11" t="s">
        <v>36</v>
      </c>
    </row>
    <row r="35" spans="1:16" ht="15.75" x14ac:dyDescent="0.25">
      <c r="A35" s="11">
        <v>2516</v>
      </c>
      <c r="B35" s="11">
        <v>79979</v>
      </c>
      <c r="C35" s="11" t="s">
        <v>276</v>
      </c>
      <c r="D35" s="11" t="s">
        <v>61</v>
      </c>
      <c r="E35" s="18">
        <v>45577</v>
      </c>
      <c r="F35" s="18">
        <v>45944</v>
      </c>
      <c r="G35" s="19">
        <v>12</v>
      </c>
      <c r="H35" s="20">
        <f>SUM(L35/K35)</f>
        <v>4.0892193308550186E-2</v>
      </c>
      <c r="I35" s="20" t="s">
        <v>672</v>
      </c>
      <c r="J35" s="21" t="s">
        <v>669</v>
      </c>
      <c r="K35" s="11">
        <v>2.69</v>
      </c>
      <c r="L35" s="11">
        <v>0.11</v>
      </c>
      <c r="M35" s="11" t="s">
        <v>646</v>
      </c>
      <c r="N35" s="11">
        <v>9079571</v>
      </c>
      <c r="O35" s="11" t="s">
        <v>37</v>
      </c>
      <c r="P35" s="11" t="s">
        <v>36</v>
      </c>
    </row>
    <row r="36" spans="1:16" ht="15.75" x14ac:dyDescent="0.25">
      <c r="A36" s="11">
        <v>2516</v>
      </c>
      <c r="B36" s="11">
        <v>79979</v>
      </c>
      <c r="C36" s="11" t="s">
        <v>276</v>
      </c>
      <c r="D36" s="11" t="s">
        <v>31</v>
      </c>
      <c r="E36" s="18">
        <v>45577</v>
      </c>
      <c r="F36" s="18">
        <v>45944</v>
      </c>
      <c r="G36" s="19">
        <v>12</v>
      </c>
      <c r="H36" s="20">
        <f>SUM(L36/K36)</f>
        <v>4.0023612750885479E-2</v>
      </c>
      <c r="I36" s="20" t="s">
        <v>672</v>
      </c>
      <c r="J36" s="21" t="s">
        <v>669</v>
      </c>
      <c r="K36" s="11">
        <v>84.7</v>
      </c>
      <c r="L36" s="11">
        <v>3.39</v>
      </c>
      <c r="M36" s="11" t="s">
        <v>646</v>
      </c>
      <c r="N36" s="11">
        <v>9079571</v>
      </c>
      <c r="O36" s="11" t="s">
        <v>37</v>
      </c>
      <c r="P36" s="11" t="s">
        <v>36</v>
      </c>
    </row>
    <row r="37" spans="1:16" ht="15.75" x14ac:dyDescent="0.25">
      <c r="A37" s="12">
        <v>2519</v>
      </c>
      <c r="B37" s="12">
        <v>92761</v>
      </c>
      <c r="C37" s="12" t="s">
        <v>422</v>
      </c>
      <c r="D37" s="12" t="s">
        <v>61</v>
      </c>
      <c r="E37" s="23">
        <v>45729</v>
      </c>
      <c r="F37" s="23">
        <v>45945</v>
      </c>
      <c r="G37" s="24">
        <v>7</v>
      </c>
      <c r="H37" s="20">
        <f>SUM(L37/K37)</f>
        <v>0.3666666666666667</v>
      </c>
      <c r="I37" s="20" t="s">
        <v>674</v>
      </c>
      <c r="J37" s="24" t="s">
        <v>668</v>
      </c>
      <c r="K37" s="12">
        <v>1.5</v>
      </c>
      <c r="L37" s="12">
        <v>0.55000000000000004</v>
      </c>
      <c r="M37" s="12" t="s">
        <v>639</v>
      </c>
      <c r="N37" s="12">
        <v>9254978</v>
      </c>
      <c r="O37" s="12" t="s">
        <v>37</v>
      </c>
      <c r="P37" s="12" t="s">
        <v>36</v>
      </c>
    </row>
    <row r="38" spans="1:16" ht="15.75" x14ac:dyDescent="0.25">
      <c r="A38" s="12">
        <v>2519</v>
      </c>
      <c r="B38" s="12">
        <v>92762</v>
      </c>
      <c r="C38" s="12" t="s">
        <v>422</v>
      </c>
      <c r="D38" s="12" t="s">
        <v>42</v>
      </c>
      <c r="E38" s="23">
        <v>45729</v>
      </c>
      <c r="F38" s="23">
        <v>45945</v>
      </c>
      <c r="G38" s="24">
        <v>7</v>
      </c>
      <c r="H38" s="20">
        <f>SUM(L38/K38)</f>
        <v>0.3701968134957826</v>
      </c>
      <c r="I38" s="20" t="s">
        <v>674</v>
      </c>
      <c r="J38" s="24" t="s">
        <v>668</v>
      </c>
      <c r="K38" s="12">
        <v>10.67</v>
      </c>
      <c r="L38" s="12">
        <v>3.95</v>
      </c>
      <c r="M38" s="12" t="s">
        <v>639</v>
      </c>
      <c r="N38" s="12">
        <v>9254978</v>
      </c>
      <c r="O38" s="12" t="s">
        <v>37</v>
      </c>
      <c r="P38" s="12" t="s">
        <v>36</v>
      </c>
    </row>
    <row r="39" spans="1:16" ht="15.75" x14ac:dyDescent="0.25">
      <c r="A39" s="12">
        <v>2519</v>
      </c>
      <c r="B39" s="12">
        <v>92761</v>
      </c>
      <c r="C39" s="12" t="s">
        <v>422</v>
      </c>
      <c r="D39" s="12" t="s">
        <v>31</v>
      </c>
      <c r="E39" s="23">
        <v>45729</v>
      </c>
      <c r="F39" s="23">
        <v>45945</v>
      </c>
      <c r="G39" s="24">
        <v>7</v>
      </c>
      <c r="H39" s="20">
        <f>SUM(L39/K39)</f>
        <v>0.37007440066133923</v>
      </c>
      <c r="I39" s="20" t="s">
        <v>674</v>
      </c>
      <c r="J39" s="24" t="s">
        <v>668</v>
      </c>
      <c r="K39" s="12">
        <v>36.29</v>
      </c>
      <c r="L39" s="12">
        <v>13.43</v>
      </c>
      <c r="M39" s="12" t="s">
        <v>639</v>
      </c>
      <c r="N39" s="12">
        <v>9254978</v>
      </c>
      <c r="O39" s="12" t="s">
        <v>37</v>
      </c>
      <c r="P39" s="12" t="s">
        <v>36</v>
      </c>
    </row>
    <row r="40" spans="1:16" ht="15.75" x14ac:dyDescent="0.25">
      <c r="A40" s="11">
        <v>2515</v>
      </c>
      <c r="B40" s="11">
        <v>89214</v>
      </c>
      <c r="C40" s="11" t="s">
        <v>193</v>
      </c>
      <c r="D40" s="11" t="s">
        <v>42</v>
      </c>
      <c r="E40" s="18">
        <v>45488</v>
      </c>
      <c r="F40" s="18">
        <v>45947</v>
      </c>
      <c r="G40" s="19">
        <v>15</v>
      </c>
      <c r="H40" s="20">
        <f>SUM(L40/K40)</f>
        <v>3.9779681762545899E-2</v>
      </c>
      <c r="I40" s="20" t="s">
        <v>672</v>
      </c>
      <c r="J40" s="21" t="s">
        <v>669</v>
      </c>
      <c r="K40" s="11">
        <v>16.34</v>
      </c>
      <c r="L40" s="11">
        <v>0.65</v>
      </c>
      <c r="M40" s="11" t="s">
        <v>636</v>
      </c>
      <c r="N40" s="11">
        <v>19278370</v>
      </c>
      <c r="O40" s="11" t="s">
        <v>37</v>
      </c>
      <c r="P40" s="11" t="s">
        <v>36</v>
      </c>
    </row>
    <row r="41" spans="1:16" ht="15.75" x14ac:dyDescent="0.25">
      <c r="A41" s="11">
        <v>2511</v>
      </c>
      <c r="B41" s="11">
        <v>55069</v>
      </c>
      <c r="C41" s="11" t="s">
        <v>52</v>
      </c>
      <c r="D41" s="11" t="s">
        <v>42</v>
      </c>
      <c r="E41" s="18">
        <v>45122</v>
      </c>
      <c r="F41" s="18">
        <v>45947</v>
      </c>
      <c r="G41" s="19">
        <v>27</v>
      </c>
      <c r="H41" s="20">
        <f>SUM(L41/K41)</f>
        <v>4.0244523688232302E-2</v>
      </c>
      <c r="I41" s="20" t="s">
        <v>672</v>
      </c>
      <c r="J41" s="21" t="s">
        <v>669</v>
      </c>
      <c r="K41" s="11">
        <v>19.63</v>
      </c>
      <c r="L41" s="11">
        <v>0.79</v>
      </c>
      <c r="M41" s="11" t="s">
        <v>636</v>
      </c>
      <c r="N41" s="11">
        <v>19278370</v>
      </c>
      <c r="O41" s="11" t="s">
        <v>37</v>
      </c>
      <c r="P41" s="11" t="s">
        <v>36</v>
      </c>
    </row>
    <row r="42" spans="1:16" ht="15.75" x14ac:dyDescent="0.25">
      <c r="A42" s="11">
        <v>2516</v>
      </c>
      <c r="B42" s="11">
        <v>79889</v>
      </c>
      <c r="C42" s="11" t="s">
        <v>274</v>
      </c>
      <c r="D42" s="11" t="s">
        <v>42</v>
      </c>
      <c r="E42" s="18">
        <v>45577</v>
      </c>
      <c r="F42" s="18">
        <v>45944</v>
      </c>
      <c r="G42" s="19">
        <v>12</v>
      </c>
      <c r="H42" s="20">
        <f>SUM(L42/K42)</f>
        <v>3.9779681762545899E-2</v>
      </c>
      <c r="I42" s="20" t="s">
        <v>672</v>
      </c>
      <c r="J42" s="21" t="s">
        <v>669</v>
      </c>
      <c r="K42" s="11">
        <v>16.34</v>
      </c>
      <c r="L42" s="11">
        <v>0.65</v>
      </c>
      <c r="M42" s="11" t="s">
        <v>636</v>
      </c>
      <c r="N42" s="11">
        <v>19278370</v>
      </c>
      <c r="O42" s="11" t="s">
        <v>37</v>
      </c>
      <c r="P42" s="11" t="s">
        <v>36</v>
      </c>
    </row>
    <row r="43" spans="1:16" ht="15.75" x14ac:dyDescent="0.25">
      <c r="A43" s="11">
        <v>2516</v>
      </c>
      <c r="B43" s="11">
        <v>79888</v>
      </c>
      <c r="C43" s="11" t="s">
        <v>274</v>
      </c>
      <c r="D43" s="11" t="s">
        <v>31</v>
      </c>
      <c r="E43" s="18">
        <v>45577</v>
      </c>
      <c r="F43" s="18">
        <v>45944</v>
      </c>
      <c r="G43" s="19">
        <v>12</v>
      </c>
      <c r="H43" s="20">
        <f>SUM(L43/K43)</f>
        <v>3.9886039886039885E-2</v>
      </c>
      <c r="I43" s="20" t="s">
        <v>672</v>
      </c>
      <c r="J43" s="21" t="s">
        <v>669</v>
      </c>
      <c r="K43" s="11">
        <v>38.61</v>
      </c>
      <c r="L43" s="11">
        <v>1.54</v>
      </c>
      <c r="M43" s="11" t="s">
        <v>636</v>
      </c>
      <c r="N43" s="11">
        <v>19278370</v>
      </c>
      <c r="O43" s="11" t="s">
        <v>37</v>
      </c>
      <c r="P43" s="11" t="s">
        <v>36</v>
      </c>
    </row>
    <row r="44" spans="1:16" ht="15.75" x14ac:dyDescent="0.25">
      <c r="A44" s="10">
        <v>2520</v>
      </c>
      <c r="B44" s="10">
        <v>17599</v>
      </c>
      <c r="C44" s="10" t="s">
        <v>430</v>
      </c>
      <c r="D44" s="10" t="s">
        <v>42</v>
      </c>
      <c r="E44" s="22">
        <v>45762</v>
      </c>
      <c r="F44" s="22">
        <v>45947</v>
      </c>
      <c r="G44" s="21">
        <v>6</v>
      </c>
      <c r="H44" s="20">
        <f>SUM(L44/K44)</f>
        <v>0.37025703794369647</v>
      </c>
      <c r="I44" s="20" t="s">
        <v>674</v>
      </c>
      <c r="J44" s="21" t="s">
        <v>669</v>
      </c>
      <c r="K44" s="10">
        <v>16.34</v>
      </c>
      <c r="L44" s="10">
        <v>6.05</v>
      </c>
      <c r="M44" s="10" t="s">
        <v>636</v>
      </c>
      <c r="N44" s="10">
        <v>19278370</v>
      </c>
      <c r="O44" s="10" t="s">
        <v>37</v>
      </c>
      <c r="P44" s="10" t="s">
        <v>36</v>
      </c>
    </row>
    <row r="45" spans="1:16" ht="15.75" x14ac:dyDescent="0.25">
      <c r="A45" s="10">
        <v>2520</v>
      </c>
      <c r="B45" s="10">
        <v>17598</v>
      </c>
      <c r="C45" s="10" t="s">
        <v>430</v>
      </c>
      <c r="D45" s="10" t="s">
        <v>31</v>
      </c>
      <c r="E45" s="22">
        <v>45762</v>
      </c>
      <c r="F45" s="22">
        <v>45947</v>
      </c>
      <c r="G45" s="21">
        <v>6</v>
      </c>
      <c r="H45" s="20">
        <f>SUM(L45/K45)</f>
        <v>0.37011137011137007</v>
      </c>
      <c r="I45" s="20" t="s">
        <v>674</v>
      </c>
      <c r="J45" s="21" t="s">
        <v>669</v>
      </c>
      <c r="K45" s="10">
        <v>38.61</v>
      </c>
      <c r="L45" s="10">
        <v>14.29</v>
      </c>
      <c r="M45" s="10" t="s">
        <v>636</v>
      </c>
      <c r="N45" s="10">
        <v>19278370</v>
      </c>
      <c r="O45" s="10" t="s">
        <v>37</v>
      </c>
      <c r="P45" s="10" t="s">
        <v>36</v>
      </c>
    </row>
    <row r="46" spans="1:16" ht="15.75" x14ac:dyDescent="0.25">
      <c r="A46" s="11">
        <v>2516</v>
      </c>
      <c r="B46" s="11">
        <v>49791</v>
      </c>
      <c r="C46" s="11" t="s">
        <v>250</v>
      </c>
      <c r="D46" s="11" t="s">
        <v>61</v>
      </c>
      <c r="E46" s="18">
        <v>45547</v>
      </c>
      <c r="F46" s="18">
        <v>45944</v>
      </c>
      <c r="G46" s="19">
        <v>13</v>
      </c>
      <c r="H46" s="20">
        <f>SUM(L46/K46)</f>
        <v>0.04</v>
      </c>
      <c r="I46" s="20" t="s">
        <v>672</v>
      </c>
      <c r="J46" s="21" t="s">
        <v>669</v>
      </c>
      <c r="K46" s="11">
        <v>1.5</v>
      </c>
      <c r="L46" s="11">
        <v>0.06</v>
      </c>
      <c r="M46" s="11" t="s">
        <v>636</v>
      </c>
      <c r="N46" s="11">
        <v>19278370</v>
      </c>
      <c r="O46" s="11" t="s">
        <v>37</v>
      </c>
      <c r="P46" s="11" t="s">
        <v>36</v>
      </c>
    </row>
    <row r="47" spans="1:16" ht="15.75" x14ac:dyDescent="0.25">
      <c r="A47" s="11">
        <v>2516</v>
      </c>
      <c r="B47" s="11">
        <v>49791</v>
      </c>
      <c r="C47" s="11" t="s">
        <v>250</v>
      </c>
      <c r="D47" s="11" t="s">
        <v>31</v>
      </c>
      <c r="E47" s="18">
        <v>45547</v>
      </c>
      <c r="F47" s="18">
        <v>45944</v>
      </c>
      <c r="G47" s="19">
        <v>13</v>
      </c>
      <c r="H47" s="20">
        <f>SUM(L47/K47)</f>
        <v>4.0065264684554028E-2</v>
      </c>
      <c r="I47" s="20" t="s">
        <v>672</v>
      </c>
      <c r="J47" s="21" t="s">
        <v>669</v>
      </c>
      <c r="K47" s="11">
        <v>55.16</v>
      </c>
      <c r="L47" s="11">
        <v>2.21</v>
      </c>
      <c r="M47" s="11" t="s">
        <v>636</v>
      </c>
      <c r="N47" s="11">
        <v>19278370</v>
      </c>
      <c r="O47" s="11" t="s">
        <v>37</v>
      </c>
      <c r="P47" s="11" t="s">
        <v>36</v>
      </c>
    </row>
    <row r="48" spans="1:16" ht="15.75" x14ac:dyDescent="0.25">
      <c r="A48" s="11">
        <v>2515</v>
      </c>
      <c r="B48" s="11">
        <v>22687</v>
      </c>
      <c r="C48" s="11" t="s">
        <v>147</v>
      </c>
      <c r="D48" s="11" t="s">
        <v>61</v>
      </c>
      <c r="E48" s="18">
        <v>45422</v>
      </c>
      <c r="F48" s="18">
        <v>45943</v>
      </c>
      <c r="G48" s="19">
        <v>17</v>
      </c>
      <c r="H48" s="20">
        <f>SUM(L48/K48)</f>
        <v>0.04</v>
      </c>
      <c r="I48" s="20" t="s">
        <v>672</v>
      </c>
      <c r="J48" s="21" t="s">
        <v>669</v>
      </c>
      <c r="K48" s="11">
        <v>1.5</v>
      </c>
      <c r="L48" s="11">
        <v>0.06</v>
      </c>
      <c r="M48" s="11" t="s">
        <v>636</v>
      </c>
      <c r="N48" s="11">
        <v>19278370</v>
      </c>
      <c r="O48" s="11" t="s">
        <v>37</v>
      </c>
      <c r="P48" s="11" t="s">
        <v>36</v>
      </c>
    </row>
    <row r="49" spans="1:16" ht="15.75" x14ac:dyDescent="0.25">
      <c r="A49" s="11">
        <v>2515</v>
      </c>
      <c r="B49" s="11">
        <v>22687</v>
      </c>
      <c r="C49" s="11" t="s">
        <v>147</v>
      </c>
      <c r="D49" s="11" t="s">
        <v>31</v>
      </c>
      <c r="E49" s="18">
        <v>45422</v>
      </c>
      <c r="F49" s="18">
        <v>45943</v>
      </c>
      <c r="G49" s="19">
        <v>17</v>
      </c>
      <c r="H49" s="20">
        <f>SUM(L49/K49)</f>
        <v>3.9972745855098794E-2</v>
      </c>
      <c r="I49" s="20" t="s">
        <v>672</v>
      </c>
      <c r="J49" s="21" t="s">
        <v>669</v>
      </c>
      <c r="K49" s="11">
        <v>44.03</v>
      </c>
      <c r="L49" s="11">
        <v>1.76</v>
      </c>
      <c r="M49" s="11" t="s">
        <v>636</v>
      </c>
      <c r="N49" s="11">
        <v>19278370</v>
      </c>
      <c r="O49" s="11" t="s">
        <v>37</v>
      </c>
      <c r="P49" s="11" t="s">
        <v>36</v>
      </c>
    </row>
    <row r="50" spans="1:16" ht="15.75" x14ac:dyDescent="0.25">
      <c r="A50" s="11">
        <v>2518</v>
      </c>
      <c r="B50" s="11">
        <v>70204</v>
      </c>
      <c r="C50" s="11" t="s">
        <v>344</v>
      </c>
      <c r="D50" s="11" t="s">
        <v>42</v>
      </c>
      <c r="E50" s="18">
        <v>45638</v>
      </c>
      <c r="F50" s="18">
        <v>45944</v>
      </c>
      <c r="G50" s="19">
        <v>10</v>
      </c>
      <c r="H50" s="20">
        <f>SUM(L50/K50)</f>
        <v>0.37025703794369647</v>
      </c>
      <c r="I50" s="20" t="s">
        <v>674</v>
      </c>
      <c r="J50" s="21" t="s">
        <v>669</v>
      </c>
      <c r="K50" s="11">
        <v>16.34</v>
      </c>
      <c r="L50" s="11">
        <v>6.05</v>
      </c>
      <c r="M50" s="11" t="s">
        <v>636</v>
      </c>
      <c r="N50" s="11">
        <v>19278370</v>
      </c>
      <c r="O50" s="11" t="s">
        <v>37</v>
      </c>
      <c r="P50" s="11" t="s">
        <v>36</v>
      </c>
    </row>
    <row r="51" spans="1:16" ht="15.75" x14ac:dyDescent="0.25">
      <c r="A51" s="11">
        <v>2515</v>
      </c>
      <c r="B51" s="11">
        <v>5079</v>
      </c>
      <c r="C51" s="11" t="s">
        <v>140</v>
      </c>
      <c r="D51" s="11" t="s">
        <v>42</v>
      </c>
      <c r="E51" s="18">
        <v>45427</v>
      </c>
      <c r="F51" s="18">
        <v>45947</v>
      </c>
      <c r="G51" s="19">
        <v>17</v>
      </c>
      <c r="H51" s="20">
        <f>SUM(L51/K51)</f>
        <v>4.0299906279287721E-2</v>
      </c>
      <c r="I51" s="20" t="s">
        <v>672</v>
      </c>
      <c r="J51" s="21" t="s">
        <v>669</v>
      </c>
      <c r="K51" s="11">
        <v>10.67</v>
      </c>
      <c r="L51" s="11">
        <v>0.43</v>
      </c>
      <c r="M51" s="11" t="s">
        <v>636</v>
      </c>
      <c r="N51" s="11">
        <v>19278370</v>
      </c>
      <c r="O51" s="11" t="s">
        <v>37</v>
      </c>
      <c r="P51" s="11" t="s">
        <v>36</v>
      </c>
    </row>
    <row r="52" spans="1:16" ht="15.75" x14ac:dyDescent="0.25">
      <c r="A52" s="12">
        <v>2521</v>
      </c>
      <c r="B52" s="12">
        <v>90282</v>
      </c>
      <c r="C52" s="12" t="s">
        <v>598</v>
      </c>
      <c r="D52" s="12" t="s">
        <v>42</v>
      </c>
      <c r="E52" s="23">
        <v>45913</v>
      </c>
      <c r="F52" s="23">
        <v>45945</v>
      </c>
      <c r="G52" s="24">
        <v>1</v>
      </c>
      <c r="H52" s="20">
        <f>SUM(L52/K52)</f>
        <v>0.37037037037037035</v>
      </c>
      <c r="I52" s="20" t="s">
        <v>674</v>
      </c>
      <c r="J52" s="24" t="s">
        <v>668</v>
      </c>
      <c r="K52" s="12">
        <v>11.88</v>
      </c>
      <c r="L52" s="12">
        <v>4.4000000000000004</v>
      </c>
      <c r="M52" s="12" t="s">
        <v>633</v>
      </c>
      <c r="N52" s="12">
        <v>7146581</v>
      </c>
      <c r="O52" s="12" t="s">
        <v>37</v>
      </c>
      <c r="P52" s="12" t="s">
        <v>36</v>
      </c>
    </row>
    <row r="53" spans="1:16" ht="15.75" x14ac:dyDescent="0.25">
      <c r="A53" s="11">
        <v>2518</v>
      </c>
      <c r="B53" s="11">
        <v>5453</v>
      </c>
      <c r="C53" s="11" t="s">
        <v>283</v>
      </c>
      <c r="D53" s="11" t="s">
        <v>42</v>
      </c>
      <c r="E53" s="18">
        <v>45599</v>
      </c>
      <c r="F53" s="18">
        <v>45946</v>
      </c>
      <c r="G53" s="19">
        <v>11</v>
      </c>
      <c r="H53" s="20">
        <f>SUM(L53/K53)</f>
        <v>0.36984207845134998</v>
      </c>
      <c r="I53" s="20" t="s">
        <v>674</v>
      </c>
      <c r="J53" s="21" t="s">
        <v>669</v>
      </c>
      <c r="K53" s="11">
        <v>-19.63</v>
      </c>
      <c r="L53" s="11">
        <v>-7.26</v>
      </c>
      <c r="M53" s="11" t="s">
        <v>633</v>
      </c>
      <c r="N53" s="11">
        <v>7146581</v>
      </c>
      <c r="O53" s="11" t="s">
        <v>37</v>
      </c>
      <c r="P53" s="11" t="s">
        <v>36</v>
      </c>
    </row>
    <row r="54" spans="1:16" ht="15.75" x14ac:dyDescent="0.25">
      <c r="A54" s="11">
        <v>2519</v>
      </c>
      <c r="B54" s="11">
        <v>14569</v>
      </c>
      <c r="C54" s="11" t="s">
        <v>402</v>
      </c>
      <c r="D54" s="11" t="s">
        <v>61</v>
      </c>
      <c r="E54" s="18">
        <v>45671</v>
      </c>
      <c r="F54" s="18">
        <v>45946</v>
      </c>
      <c r="G54" s="19">
        <v>9</v>
      </c>
      <c r="H54" s="20">
        <f>SUM(L54/K54)</f>
        <v>0.3666666666666667</v>
      </c>
      <c r="I54" s="20" t="s">
        <v>674</v>
      </c>
      <c r="J54" s="21" t="s">
        <v>669</v>
      </c>
      <c r="K54" s="11">
        <v>1.5</v>
      </c>
      <c r="L54" s="11">
        <v>0.55000000000000004</v>
      </c>
      <c r="M54" s="11" t="s">
        <v>633</v>
      </c>
      <c r="N54" s="11">
        <v>7146581</v>
      </c>
      <c r="O54" s="11" t="s">
        <v>37</v>
      </c>
      <c r="P54" s="11" t="s">
        <v>36</v>
      </c>
    </row>
    <row r="55" spans="1:16" ht="15.75" x14ac:dyDescent="0.25">
      <c r="A55" s="11">
        <v>2519</v>
      </c>
      <c r="B55" s="11">
        <v>14570</v>
      </c>
      <c r="C55" s="11" t="s">
        <v>402</v>
      </c>
      <c r="D55" s="11" t="s">
        <v>42</v>
      </c>
      <c r="E55" s="18">
        <v>45671</v>
      </c>
      <c r="F55" s="18">
        <v>45946</v>
      </c>
      <c r="G55" s="19">
        <v>9</v>
      </c>
      <c r="H55" s="20">
        <f>SUM(L55/K55)</f>
        <v>0.37025703794369647</v>
      </c>
      <c r="I55" s="20" t="s">
        <v>674</v>
      </c>
      <c r="J55" s="21" t="s">
        <v>669</v>
      </c>
      <c r="K55" s="11">
        <v>16.34</v>
      </c>
      <c r="L55" s="11">
        <v>6.05</v>
      </c>
      <c r="M55" s="11" t="s">
        <v>633</v>
      </c>
      <c r="N55" s="11">
        <v>7146581</v>
      </c>
      <c r="O55" s="11" t="s">
        <v>37</v>
      </c>
      <c r="P55" s="11" t="s">
        <v>36</v>
      </c>
    </row>
    <row r="56" spans="1:16" ht="15.75" x14ac:dyDescent="0.25">
      <c r="A56" s="11">
        <v>2519</v>
      </c>
      <c r="B56" s="11">
        <v>14569</v>
      </c>
      <c r="C56" s="11" t="s">
        <v>402</v>
      </c>
      <c r="D56" s="11" t="s">
        <v>31</v>
      </c>
      <c r="E56" s="18">
        <v>45671</v>
      </c>
      <c r="F56" s="18">
        <v>45946</v>
      </c>
      <c r="G56" s="19">
        <v>9</v>
      </c>
      <c r="H56" s="20">
        <f>SUM(L56/K56)</f>
        <v>0.3700589970501475</v>
      </c>
      <c r="I56" s="20" t="s">
        <v>674</v>
      </c>
      <c r="J56" s="21" t="s">
        <v>669</v>
      </c>
      <c r="K56" s="11">
        <v>67.8</v>
      </c>
      <c r="L56" s="11">
        <v>25.09</v>
      </c>
      <c r="M56" s="11" t="s">
        <v>633</v>
      </c>
      <c r="N56" s="11">
        <v>7146581</v>
      </c>
      <c r="O56" s="11" t="s">
        <v>37</v>
      </c>
      <c r="P56" s="11" t="s">
        <v>36</v>
      </c>
    </row>
    <row r="57" spans="1:16" ht="15.75" x14ac:dyDescent="0.25">
      <c r="A57" s="11">
        <v>2518</v>
      </c>
      <c r="B57" s="11">
        <v>71141</v>
      </c>
      <c r="C57" s="11" t="s">
        <v>351</v>
      </c>
      <c r="D57" s="11" t="s">
        <v>61</v>
      </c>
      <c r="E57" s="18">
        <v>45638</v>
      </c>
      <c r="F57" s="18">
        <v>45944</v>
      </c>
      <c r="G57" s="19">
        <v>10</v>
      </c>
      <c r="H57" s="20">
        <f>SUM(L57/K57)</f>
        <v>0.3666666666666667</v>
      </c>
      <c r="I57" s="20" t="s">
        <v>674</v>
      </c>
      <c r="J57" s="21" t="s">
        <v>669</v>
      </c>
      <c r="K57" s="11">
        <v>1.5</v>
      </c>
      <c r="L57" s="11">
        <v>0.55000000000000004</v>
      </c>
      <c r="M57" s="11" t="s">
        <v>633</v>
      </c>
      <c r="N57" s="11">
        <v>7146581</v>
      </c>
      <c r="O57" s="11" t="s">
        <v>37</v>
      </c>
      <c r="P57" s="11" t="s">
        <v>36</v>
      </c>
    </row>
    <row r="58" spans="1:16" ht="15.75" x14ac:dyDescent="0.25">
      <c r="A58" s="11">
        <v>2518</v>
      </c>
      <c r="B58" s="11">
        <v>71142</v>
      </c>
      <c r="C58" s="11" t="s">
        <v>351</v>
      </c>
      <c r="D58" s="11" t="s">
        <v>42</v>
      </c>
      <c r="E58" s="18">
        <v>45638</v>
      </c>
      <c r="F58" s="18">
        <v>45944</v>
      </c>
      <c r="G58" s="19">
        <v>10</v>
      </c>
      <c r="H58" s="20">
        <f>SUM(L58/K58)</f>
        <v>0.37025703794369647</v>
      </c>
      <c r="I58" s="20" t="s">
        <v>674</v>
      </c>
      <c r="J58" s="21" t="s">
        <v>669</v>
      </c>
      <c r="K58" s="11">
        <v>16.34</v>
      </c>
      <c r="L58" s="11">
        <v>6.05</v>
      </c>
      <c r="M58" s="11" t="s">
        <v>633</v>
      </c>
      <c r="N58" s="11">
        <v>7146581</v>
      </c>
      <c r="O58" s="11" t="s">
        <v>37</v>
      </c>
      <c r="P58" s="11" t="s">
        <v>36</v>
      </c>
    </row>
    <row r="59" spans="1:16" ht="15.75" x14ac:dyDescent="0.25">
      <c r="A59" s="11">
        <v>2518</v>
      </c>
      <c r="B59" s="11">
        <v>71141</v>
      </c>
      <c r="C59" s="11" t="s">
        <v>351</v>
      </c>
      <c r="D59" s="11" t="s">
        <v>31</v>
      </c>
      <c r="E59" s="18">
        <v>45638</v>
      </c>
      <c r="F59" s="18">
        <v>45944</v>
      </c>
      <c r="G59" s="19">
        <v>10</v>
      </c>
      <c r="H59" s="20">
        <f>SUM(L59/K59)</f>
        <v>0.3700589970501475</v>
      </c>
      <c r="I59" s="20" t="s">
        <v>674</v>
      </c>
      <c r="J59" s="21" t="s">
        <v>669</v>
      </c>
      <c r="K59" s="11">
        <v>67.8</v>
      </c>
      <c r="L59" s="11">
        <v>25.09</v>
      </c>
      <c r="M59" s="11" t="s">
        <v>633</v>
      </c>
      <c r="N59" s="11">
        <v>7146581</v>
      </c>
      <c r="O59" s="11" t="s">
        <v>37</v>
      </c>
      <c r="P59" s="11" t="s">
        <v>36</v>
      </c>
    </row>
    <row r="60" spans="1:16" ht="15.75" x14ac:dyDescent="0.25">
      <c r="A60" s="11">
        <v>2515</v>
      </c>
      <c r="B60" s="11">
        <v>89753</v>
      </c>
      <c r="C60" s="11" t="s">
        <v>196</v>
      </c>
      <c r="D60" s="11" t="s">
        <v>42</v>
      </c>
      <c r="E60" s="18">
        <v>45485</v>
      </c>
      <c r="F60" s="18">
        <v>45944</v>
      </c>
      <c r="G60" s="19">
        <v>15</v>
      </c>
      <c r="H60" s="20">
        <f>SUM(L60/K60)</f>
        <v>4.0299906279287721E-2</v>
      </c>
      <c r="I60" s="20" t="s">
        <v>672</v>
      </c>
      <c r="J60" s="21" t="s">
        <v>669</v>
      </c>
      <c r="K60" s="11">
        <v>10.67</v>
      </c>
      <c r="L60" s="11">
        <v>0.43</v>
      </c>
      <c r="M60" s="11" t="s">
        <v>659</v>
      </c>
      <c r="N60" s="11">
        <v>19586992</v>
      </c>
      <c r="O60" s="11" t="s">
        <v>37</v>
      </c>
      <c r="P60" s="11" t="s">
        <v>36</v>
      </c>
    </row>
    <row r="61" spans="1:16" ht="15.75" x14ac:dyDescent="0.25">
      <c r="A61" s="11">
        <v>2515</v>
      </c>
      <c r="B61" s="11">
        <v>89752</v>
      </c>
      <c r="C61" s="11" t="s">
        <v>196</v>
      </c>
      <c r="D61" s="11" t="s">
        <v>31</v>
      </c>
      <c r="E61" s="18">
        <v>45485</v>
      </c>
      <c r="F61" s="18">
        <v>45944</v>
      </c>
      <c r="G61" s="19">
        <v>15</v>
      </c>
      <c r="H61" s="20">
        <f>SUM(L61/K61)</f>
        <v>3.9964672113049243E-2</v>
      </c>
      <c r="I61" s="20" t="s">
        <v>672</v>
      </c>
      <c r="J61" s="21" t="s">
        <v>669</v>
      </c>
      <c r="K61" s="11">
        <v>45.29</v>
      </c>
      <c r="L61" s="11">
        <v>1.81</v>
      </c>
      <c r="M61" s="11" t="s">
        <v>659</v>
      </c>
      <c r="N61" s="11">
        <v>19586992</v>
      </c>
      <c r="O61" s="11" t="s">
        <v>37</v>
      </c>
      <c r="P61" s="11" t="s">
        <v>36</v>
      </c>
    </row>
    <row r="62" spans="1:16" ht="15.75" x14ac:dyDescent="0.25">
      <c r="A62" s="12">
        <v>2520</v>
      </c>
      <c r="B62" s="12">
        <v>69648</v>
      </c>
      <c r="C62" s="12" t="s">
        <v>483</v>
      </c>
      <c r="D62" s="12" t="s">
        <v>61</v>
      </c>
      <c r="E62" s="23">
        <v>45792</v>
      </c>
      <c r="F62" s="23">
        <v>45947</v>
      </c>
      <c r="G62" s="24">
        <v>5</v>
      </c>
      <c r="H62" s="20">
        <f>SUM(L62/K62)</f>
        <v>0.3666666666666667</v>
      </c>
      <c r="I62" s="20" t="s">
        <v>674</v>
      </c>
      <c r="J62" s="24" t="s">
        <v>668</v>
      </c>
      <c r="K62" s="12">
        <v>1.5</v>
      </c>
      <c r="L62" s="12">
        <v>0.55000000000000004</v>
      </c>
      <c r="M62" s="12" t="s">
        <v>642</v>
      </c>
      <c r="N62" s="12">
        <v>17554531</v>
      </c>
      <c r="O62" s="12" t="s">
        <v>37</v>
      </c>
      <c r="P62" s="12" t="s">
        <v>36</v>
      </c>
    </row>
    <row r="63" spans="1:16" ht="15.75" x14ac:dyDescent="0.25">
      <c r="A63" s="12">
        <v>2520</v>
      </c>
      <c r="B63" s="12">
        <v>69648</v>
      </c>
      <c r="C63" s="12" t="s">
        <v>483</v>
      </c>
      <c r="D63" s="12" t="s">
        <v>31</v>
      </c>
      <c r="E63" s="23">
        <v>45792</v>
      </c>
      <c r="F63" s="23">
        <v>45947</v>
      </c>
      <c r="G63" s="24">
        <v>5</v>
      </c>
      <c r="H63" s="20">
        <f>SUM(L63/K63)</f>
        <v>0.37003648851684906</v>
      </c>
      <c r="I63" s="20" t="s">
        <v>674</v>
      </c>
      <c r="J63" s="24" t="s">
        <v>668</v>
      </c>
      <c r="K63" s="12">
        <v>46.59</v>
      </c>
      <c r="L63" s="12">
        <v>17.239999999999998</v>
      </c>
      <c r="M63" s="12" t="s">
        <v>642</v>
      </c>
      <c r="N63" s="12">
        <v>17554531</v>
      </c>
      <c r="O63" s="12" t="s">
        <v>37</v>
      </c>
      <c r="P63" s="12" t="s">
        <v>36</v>
      </c>
    </row>
    <row r="64" spans="1:16" ht="15.75" x14ac:dyDescent="0.25">
      <c r="A64" s="12">
        <v>2520</v>
      </c>
      <c r="B64" s="12">
        <v>69191</v>
      </c>
      <c r="C64" s="12" t="s">
        <v>481</v>
      </c>
      <c r="D64" s="12" t="s">
        <v>61</v>
      </c>
      <c r="E64" s="23">
        <v>45792</v>
      </c>
      <c r="F64" s="23">
        <v>45947</v>
      </c>
      <c r="G64" s="24">
        <v>5</v>
      </c>
      <c r="H64" s="20">
        <f>SUM(L64/K64)</f>
        <v>0.3666666666666667</v>
      </c>
      <c r="I64" s="20" t="s">
        <v>674</v>
      </c>
      <c r="J64" s="24" t="s">
        <v>668</v>
      </c>
      <c r="K64" s="12">
        <v>1.5</v>
      </c>
      <c r="L64" s="12">
        <v>0.55000000000000004</v>
      </c>
      <c r="M64" s="12" t="s">
        <v>642</v>
      </c>
      <c r="N64" s="12">
        <v>17554531</v>
      </c>
      <c r="O64" s="12" t="s">
        <v>37</v>
      </c>
      <c r="P64" s="12" t="s">
        <v>36</v>
      </c>
    </row>
    <row r="65" spans="1:16" ht="15.75" x14ac:dyDescent="0.25">
      <c r="A65" s="12">
        <v>2520</v>
      </c>
      <c r="B65" s="12">
        <v>69191</v>
      </c>
      <c r="C65" s="12" t="s">
        <v>481</v>
      </c>
      <c r="D65" s="12" t="s">
        <v>31</v>
      </c>
      <c r="E65" s="23">
        <v>45792</v>
      </c>
      <c r="F65" s="23">
        <v>45947</v>
      </c>
      <c r="G65" s="24">
        <v>5</v>
      </c>
      <c r="H65" s="20">
        <f>SUM(L65/K65)</f>
        <v>0.37003648851684906</v>
      </c>
      <c r="I65" s="20" t="s">
        <v>674</v>
      </c>
      <c r="J65" s="24" t="s">
        <v>668</v>
      </c>
      <c r="K65" s="12">
        <v>46.59</v>
      </c>
      <c r="L65" s="12">
        <v>17.239999999999998</v>
      </c>
      <c r="M65" s="12" t="s">
        <v>642</v>
      </c>
      <c r="N65" s="12">
        <v>17554531</v>
      </c>
      <c r="O65" s="12" t="s">
        <v>37</v>
      </c>
      <c r="P65" s="12" t="s">
        <v>36</v>
      </c>
    </row>
    <row r="66" spans="1:16" ht="15.75" x14ac:dyDescent="0.25">
      <c r="A66" s="12">
        <v>2521</v>
      </c>
      <c r="B66" s="12">
        <v>82191</v>
      </c>
      <c r="C66" s="12" t="s">
        <v>566</v>
      </c>
      <c r="D66" s="12" t="s">
        <v>31</v>
      </c>
      <c r="E66" s="23">
        <v>45904</v>
      </c>
      <c r="F66" s="23">
        <v>45945</v>
      </c>
      <c r="G66" s="24">
        <v>1</v>
      </c>
      <c r="H66" s="20">
        <f>SUM(L66/K66)</f>
        <v>0.37000669493416644</v>
      </c>
      <c r="I66" s="20" t="s">
        <v>674</v>
      </c>
      <c r="J66" s="24" t="s">
        <v>668</v>
      </c>
      <c r="K66" s="12">
        <v>44.81</v>
      </c>
      <c r="L66" s="12">
        <v>16.579999999999998</v>
      </c>
      <c r="M66" s="12" t="s">
        <v>642</v>
      </c>
      <c r="N66" s="12">
        <v>17554531</v>
      </c>
      <c r="O66" s="12" t="s">
        <v>37</v>
      </c>
      <c r="P66" s="12" t="s">
        <v>36</v>
      </c>
    </row>
    <row r="67" spans="1:16" ht="15.75" x14ac:dyDescent="0.25">
      <c r="A67" s="12">
        <v>2520</v>
      </c>
      <c r="B67" s="12">
        <v>63344</v>
      </c>
      <c r="C67" s="12" t="s">
        <v>460</v>
      </c>
      <c r="D67" s="12" t="s">
        <v>61</v>
      </c>
      <c r="E67" s="23">
        <v>45786</v>
      </c>
      <c r="F67" s="23">
        <v>45943</v>
      </c>
      <c r="G67" s="24">
        <v>5</v>
      </c>
      <c r="H67" s="20">
        <f>SUM(L67/K67)</f>
        <v>0.37174721189591081</v>
      </c>
      <c r="I67" s="20" t="s">
        <v>674</v>
      </c>
      <c r="J67" s="24" t="s">
        <v>668</v>
      </c>
      <c r="K67" s="12">
        <v>2.69</v>
      </c>
      <c r="L67" s="12">
        <v>1</v>
      </c>
      <c r="M67" s="12" t="s">
        <v>642</v>
      </c>
      <c r="N67" s="12">
        <v>17554531</v>
      </c>
      <c r="O67" s="12" t="s">
        <v>37</v>
      </c>
      <c r="P67" s="12" t="s">
        <v>36</v>
      </c>
    </row>
    <row r="68" spans="1:16" ht="15.75" x14ac:dyDescent="0.25">
      <c r="A68" s="12">
        <v>2520</v>
      </c>
      <c r="B68" s="12">
        <v>63344</v>
      </c>
      <c r="C68" s="12" t="s">
        <v>460</v>
      </c>
      <c r="D68" s="12" t="s">
        <v>31</v>
      </c>
      <c r="E68" s="23">
        <v>45786</v>
      </c>
      <c r="F68" s="23">
        <v>45943</v>
      </c>
      <c r="G68" s="24">
        <v>5</v>
      </c>
      <c r="H68" s="20">
        <f>SUM(L68/K68)</f>
        <v>0.36989374262101532</v>
      </c>
      <c r="I68" s="20" t="s">
        <v>674</v>
      </c>
      <c r="J68" s="24" t="s">
        <v>668</v>
      </c>
      <c r="K68" s="12">
        <v>84.7</v>
      </c>
      <c r="L68" s="12">
        <v>31.33</v>
      </c>
      <c r="M68" s="12" t="s">
        <v>642</v>
      </c>
      <c r="N68" s="12">
        <v>17554531</v>
      </c>
      <c r="O68" s="12" t="s">
        <v>37</v>
      </c>
      <c r="P68" s="12" t="s">
        <v>36</v>
      </c>
    </row>
    <row r="69" spans="1:16" ht="15.75" x14ac:dyDescent="0.25">
      <c r="A69" s="12">
        <v>2523</v>
      </c>
      <c r="B69" s="12">
        <v>357</v>
      </c>
      <c r="C69" s="12" t="s">
        <v>603</v>
      </c>
      <c r="D69" s="12" t="s">
        <v>42</v>
      </c>
      <c r="E69" s="23">
        <v>45931</v>
      </c>
      <c r="F69" s="23">
        <v>45943</v>
      </c>
      <c r="G69" s="24">
        <v>0</v>
      </c>
      <c r="H69" s="20">
        <f>SUM(L69/K69)</f>
        <v>0.3701968134957826</v>
      </c>
      <c r="I69" s="20" t="s">
        <v>674</v>
      </c>
      <c r="J69" s="24" t="s">
        <v>667</v>
      </c>
      <c r="K69" s="12">
        <v>10.67</v>
      </c>
      <c r="L69" s="12">
        <v>3.95</v>
      </c>
      <c r="M69" s="12" t="s">
        <v>642</v>
      </c>
      <c r="N69" s="12" t="s">
        <v>662</v>
      </c>
      <c r="O69" s="12" t="s">
        <v>37</v>
      </c>
      <c r="P69" s="12" t="s">
        <v>36</v>
      </c>
    </row>
    <row r="70" spans="1:16" ht="15.75" x14ac:dyDescent="0.25">
      <c r="A70" s="12">
        <v>2523</v>
      </c>
      <c r="B70" s="12">
        <v>356</v>
      </c>
      <c r="C70" s="12" t="s">
        <v>603</v>
      </c>
      <c r="D70" s="12" t="s">
        <v>31</v>
      </c>
      <c r="E70" s="23">
        <v>45931</v>
      </c>
      <c r="F70" s="23">
        <v>45943</v>
      </c>
      <c r="G70" s="24">
        <v>0</v>
      </c>
      <c r="H70" s="20">
        <f>SUM(L70/K70)</f>
        <v>0.36994219653179189</v>
      </c>
      <c r="I70" s="20" t="s">
        <v>674</v>
      </c>
      <c r="J70" s="24" t="s">
        <v>667</v>
      </c>
      <c r="K70" s="12">
        <v>34.6</v>
      </c>
      <c r="L70" s="12">
        <v>12.8</v>
      </c>
      <c r="M70" s="12" t="s">
        <v>642</v>
      </c>
      <c r="N70" s="12" t="s">
        <v>662</v>
      </c>
      <c r="O70" s="12" t="s">
        <v>37</v>
      </c>
      <c r="P70" s="12" t="s">
        <v>36</v>
      </c>
    </row>
    <row r="71" spans="1:16" ht="15.75" x14ac:dyDescent="0.25">
      <c r="A71" s="12">
        <v>2520</v>
      </c>
      <c r="B71" s="12">
        <v>97203</v>
      </c>
      <c r="C71" s="12" t="s">
        <v>503</v>
      </c>
      <c r="D71" s="12" t="s">
        <v>61</v>
      </c>
      <c r="E71" s="23">
        <v>45819</v>
      </c>
      <c r="F71" s="23">
        <v>45943</v>
      </c>
      <c r="G71" s="24">
        <v>4</v>
      </c>
      <c r="H71" s="20">
        <f>SUM(L71/K71)</f>
        <v>0.3666666666666667</v>
      </c>
      <c r="I71" s="20" t="s">
        <v>674</v>
      </c>
      <c r="J71" s="24" t="s">
        <v>668</v>
      </c>
      <c r="K71" s="12">
        <v>1.5</v>
      </c>
      <c r="L71" s="12">
        <v>0.55000000000000004</v>
      </c>
      <c r="M71" s="12" t="s">
        <v>642</v>
      </c>
      <c r="N71" s="12">
        <v>17554531</v>
      </c>
      <c r="O71" s="12" t="s">
        <v>37</v>
      </c>
      <c r="P71" s="12" t="s">
        <v>36</v>
      </c>
    </row>
    <row r="72" spans="1:16" ht="15.75" x14ac:dyDescent="0.25">
      <c r="A72" s="12">
        <v>2520</v>
      </c>
      <c r="B72" s="12">
        <v>97203</v>
      </c>
      <c r="C72" s="12" t="s">
        <v>503</v>
      </c>
      <c r="D72" s="12" t="s">
        <v>31</v>
      </c>
      <c r="E72" s="23">
        <v>45819</v>
      </c>
      <c r="F72" s="23">
        <v>45943</v>
      </c>
      <c r="G72" s="24">
        <v>4</v>
      </c>
      <c r="H72" s="20">
        <f>SUM(L72/K72)</f>
        <v>0.37000518941359628</v>
      </c>
      <c r="I72" s="20" t="s">
        <v>674</v>
      </c>
      <c r="J72" s="24" t="s">
        <v>668</v>
      </c>
      <c r="K72" s="12">
        <v>38.54</v>
      </c>
      <c r="L72" s="12">
        <v>14.26</v>
      </c>
      <c r="M72" s="12" t="s">
        <v>642</v>
      </c>
      <c r="N72" s="12">
        <v>17554531</v>
      </c>
      <c r="O72" s="12" t="s">
        <v>37</v>
      </c>
      <c r="P72" s="12" t="s">
        <v>36</v>
      </c>
    </row>
    <row r="73" spans="1:16" ht="15.75" x14ac:dyDescent="0.25">
      <c r="A73" s="12">
        <v>2520</v>
      </c>
      <c r="B73" s="12">
        <v>52826</v>
      </c>
      <c r="C73" s="12" t="s">
        <v>455</v>
      </c>
      <c r="D73" s="12" t="s">
        <v>61</v>
      </c>
      <c r="E73" s="23">
        <v>45786</v>
      </c>
      <c r="F73" s="23">
        <v>45943</v>
      </c>
      <c r="G73" s="24">
        <v>5</v>
      </c>
      <c r="H73" s="20">
        <f>SUM(L73/K73)</f>
        <v>0.3666666666666667</v>
      </c>
      <c r="I73" s="20" t="s">
        <v>674</v>
      </c>
      <c r="J73" s="24" t="s">
        <v>668</v>
      </c>
      <c r="K73" s="12">
        <v>1.5</v>
      </c>
      <c r="L73" s="12">
        <v>0.55000000000000004</v>
      </c>
      <c r="M73" s="12" t="s">
        <v>642</v>
      </c>
      <c r="N73" s="12">
        <v>17554531</v>
      </c>
      <c r="O73" s="12" t="s">
        <v>37</v>
      </c>
      <c r="P73" s="12" t="s">
        <v>36</v>
      </c>
    </row>
    <row r="74" spans="1:16" ht="15.75" x14ac:dyDescent="0.25">
      <c r="A74" s="12">
        <v>2520</v>
      </c>
      <c r="B74" s="12">
        <v>52826</v>
      </c>
      <c r="C74" s="12" t="s">
        <v>455</v>
      </c>
      <c r="D74" s="12" t="s">
        <v>31</v>
      </c>
      <c r="E74" s="23">
        <v>45786</v>
      </c>
      <c r="F74" s="23">
        <v>45943</v>
      </c>
      <c r="G74" s="24">
        <v>5</v>
      </c>
      <c r="H74" s="20">
        <f>SUM(L74/K74)</f>
        <v>0.37001180637544273</v>
      </c>
      <c r="I74" s="20" t="s">
        <v>674</v>
      </c>
      <c r="J74" s="24" t="s">
        <v>668</v>
      </c>
      <c r="K74" s="12">
        <v>42.35</v>
      </c>
      <c r="L74" s="12">
        <v>15.67</v>
      </c>
      <c r="M74" s="12" t="s">
        <v>642</v>
      </c>
      <c r="N74" s="12">
        <v>17554531</v>
      </c>
      <c r="O74" s="12" t="s">
        <v>37</v>
      </c>
      <c r="P74" s="12" t="s">
        <v>36</v>
      </c>
    </row>
    <row r="75" spans="1:16" ht="15.75" x14ac:dyDescent="0.25">
      <c r="A75" s="12">
        <v>2520</v>
      </c>
      <c r="B75" s="12">
        <v>97926</v>
      </c>
      <c r="C75" s="12" t="s">
        <v>509</v>
      </c>
      <c r="D75" s="12" t="s">
        <v>31</v>
      </c>
      <c r="E75" s="23">
        <v>45820</v>
      </c>
      <c r="F75" s="23">
        <v>45944</v>
      </c>
      <c r="G75" s="24">
        <v>4</v>
      </c>
      <c r="H75" s="20">
        <f>SUM(L75/K75)</f>
        <v>0.36997961875074931</v>
      </c>
      <c r="I75" s="20" t="s">
        <v>674</v>
      </c>
      <c r="J75" s="24" t="s">
        <v>668</v>
      </c>
      <c r="K75" s="12">
        <v>83.41</v>
      </c>
      <c r="L75" s="12">
        <v>30.86</v>
      </c>
      <c r="M75" s="12" t="s">
        <v>642</v>
      </c>
      <c r="N75" s="12">
        <v>17554531</v>
      </c>
      <c r="O75" s="12" t="s">
        <v>37</v>
      </c>
      <c r="P75" s="12" t="s">
        <v>36</v>
      </c>
    </row>
    <row r="76" spans="1:16" ht="15.75" x14ac:dyDescent="0.25">
      <c r="A76" s="11">
        <v>2518</v>
      </c>
      <c r="B76" s="11">
        <v>73930</v>
      </c>
      <c r="C76" s="11" t="s">
        <v>364</v>
      </c>
      <c r="D76" s="11" t="s">
        <v>61</v>
      </c>
      <c r="E76" s="18">
        <v>45639</v>
      </c>
      <c r="F76" s="18">
        <v>45945</v>
      </c>
      <c r="G76" s="19">
        <v>10</v>
      </c>
      <c r="H76" s="20">
        <f>SUM(L76/K76)</f>
        <v>0.37333333333333335</v>
      </c>
      <c r="I76" s="20" t="s">
        <v>674</v>
      </c>
      <c r="J76" s="21" t="s">
        <v>669</v>
      </c>
      <c r="K76" s="11">
        <v>1.5</v>
      </c>
      <c r="L76" s="11">
        <v>0.56000000000000005</v>
      </c>
      <c r="M76" s="11" t="s">
        <v>630</v>
      </c>
      <c r="N76" s="11">
        <v>17425766</v>
      </c>
      <c r="O76" s="11" t="s">
        <v>37</v>
      </c>
      <c r="P76" s="11" t="s">
        <v>36</v>
      </c>
    </row>
    <row r="77" spans="1:16" ht="15.75" x14ac:dyDescent="0.25">
      <c r="A77" s="11">
        <v>2518</v>
      </c>
      <c r="B77" s="11">
        <v>73930</v>
      </c>
      <c r="C77" s="11" t="s">
        <v>364</v>
      </c>
      <c r="D77" s="11" t="s">
        <v>31</v>
      </c>
      <c r="E77" s="18">
        <v>45639</v>
      </c>
      <c r="F77" s="18">
        <v>45945</v>
      </c>
      <c r="G77" s="19">
        <v>10</v>
      </c>
      <c r="H77" s="20">
        <f>SUM(L77/K77)</f>
        <v>0.36997501703384056</v>
      </c>
      <c r="I77" s="20" t="s">
        <v>674</v>
      </c>
      <c r="J77" s="21" t="s">
        <v>669</v>
      </c>
      <c r="K77" s="11">
        <v>44.03</v>
      </c>
      <c r="L77" s="11">
        <v>16.29</v>
      </c>
      <c r="M77" s="11" t="s">
        <v>630</v>
      </c>
      <c r="N77" s="11">
        <v>17425766</v>
      </c>
      <c r="O77" s="11" t="s">
        <v>37</v>
      </c>
      <c r="P77" s="11" t="s">
        <v>36</v>
      </c>
    </row>
    <row r="78" spans="1:16" ht="15.75" x14ac:dyDescent="0.25">
      <c r="A78" s="11">
        <v>2518</v>
      </c>
      <c r="B78" s="11">
        <v>72808</v>
      </c>
      <c r="C78" s="11" t="s">
        <v>362</v>
      </c>
      <c r="D78" s="11" t="s">
        <v>42</v>
      </c>
      <c r="E78" s="18">
        <v>45639</v>
      </c>
      <c r="F78" s="18">
        <v>45945</v>
      </c>
      <c r="G78" s="19">
        <v>10</v>
      </c>
      <c r="H78" s="20">
        <f>SUM(L78/K78)</f>
        <v>0.37025703794369647</v>
      </c>
      <c r="I78" s="20" t="s">
        <v>674</v>
      </c>
      <c r="J78" s="21" t="s">
        <v>669</v>
      </c>
      <c r="K78" s="11">
        <v>16.34</v>
      </c>
      <c r="L78" s="11">
        <v>6.05</v>
      </c>
      <c r="M78" s="11" t="s">
        <v>630</v>
      </c>
      <c r="N78" s="11">
        <v>17425766</v>
      </c>
      <c r="O78" s="11" t="s">
        <v>37</v>
      </c>
      <c r="P78" s="11" t="s">
        <v>36</v>
      </c>
    </row>
    <row r="79" spans="1:16" ht="15.75" x14ac:dyDescent="0.25">
      <c r="A79" s="11">
        <v>2518</v>
      </c>
      <c r="B79" s="11">
        <v>74416</v>
      </c>
      <c r="C79" s="11" t="s">
        <v>366</v>
      </c>
      <c r="D79" s="11" t="s">
        <v>42</v>
      </c>
      <c r="E79" s="18">
        <v>45640</v>
      </c>
      <c r="F79" s="18">
        <v>45946</v>
      </c>
      <c r="G79" s="19">
        <v>10</v>
      </c>
      <c r="H79" s="20">
        <f>SUM(L79/K79)</f>
        <v>0.36984207845134998</v>
      </c>
      <c r="I79" s="20" t="s">
        <v>674</v>
      </c>
      <c r="J79" s="21" t="s">
        <v>669</v>
      </c>
      <c r="K79" s="11">
        <v>19.63</v>
      </c>
      <c r="L79" s="11">
        <v>7.26</v>
      </c>
      <c r="M79" s="11" t="s">
        <v>630</v>
      </c>
      <c r="N79" s="11">
        <v>17425766</v>
      </c>
      <c r="O79" s="11" t="s">
        <v>37</v>
      </c>
      <c r="P79" s="11" t="s">
        <v>36</v>
      </c>
    </row>
    <row r="80" spans="1:16" ht="15.75" x14ac:dyDescent="0.25">
      <c r="A80" s="11">
        <v>2516</v>
      </c>
      <c r="B80" s="11">
        <v>78196</v>
      </c>
      <c r="C80" s="11" t="s">
        <v>264</v>
      </c>
      <c r="D80" s="11" t="s">
        <v>61</v>
      </c>
      <c r="E80" s="18">
        <v>45575</v>
      </c>
      <c r="F80" s="18">
        <v>45943</v>
      </c>
      <c r="G80" s="19">
        <v>12</v>
      </c>
      <c r="H80" s="20">
        <f>SUM(L80/K80)</f>
        <v>0.04</v>
      </c>
      <c r="I80" s="20" t="s">
        <v>672</v>
      </c>
      <c r="J80" s="21" t="s">
        <v>669</v>
      </c>
      <c r="K80" s="11">
        <v>1.5</v>
      </c>
      <c r="L80" s="11">
        <v>0.06</v>
      </c>
      <c r="M80" s="11" t="s">
        <v>630</v>
      </c>
      <c r="N80" s="11">
        <v>17425766</v>
      </c>
      <c r="O80" s="11" t="s">
        <v>37</v>
      </c>
      <c r="P80" s="11" t="s">
        <v>36</v>
      </c>
    </row>
    <row r="81" spans="1:16" ht="15.75" x14ac:dyDescent="0.25">
      <c r="A81" s="11">
        <v>2516</v>
      </c>
      <c r="B81" s="11">
        <v>78196</v>
      </c>
      <c r="C81" s="11" t="s">
        <v>264</v>
      </c>
      <c r="D81" s="11" t="s">
        <v>31</v>
      </c>
      <c r="E81" s="18">
        <v>45575</v>
      </c>
      <c r="F81" s="18">
        <v>45943</v>
      </c>
      <c r="G81" s="19">
        <v>12</v>
      </c>
      <c r="H81" s="20">
        <f>SUM(L81/K81)</f>
        <v>3.9955910719206393E-2</v>
      </c>
      <c r="I81" s="20" t="s">
        <v>672</v>
      </c>
      <c r="J81" s="21" t="s">
        <v>669</v>
      </c>
      <c r="K81" s="11">
        <v>36.29</v>
      </c>
      <c r="L81" s="11">
        <v>1.45</v>
      </c>
      <c r="M81" s="11" t="s">
        <v>630</v>
      </c>
      <c r="N81" s="11">
        <v>17425766</v>
      </c>
      <c r="O81" s="11" t="s">
        <v>37</v>
      </c>
      <c r="P81" s="11" t="s">
        <v>36</v>
      </c>
    </row>
    <row r="82" spans="1:16" ht="15.75" x14ac:dyDescent="0.25">
      <c r="A82" s="10">
        <v>2521</v>
      </c>
      <c r="B82" s="10">
        <v>88427</v>
      </c>
      <c r="C82" s="10" t="s">
        <v>596</v>
      </c>
      <c r="D82" s="10" t="s">
        <v>61</v>
      </c>
      <c r="E82" s="22">
        <v>45911</v>
      </c>
      <c r="F82" s="22">
        <v>45943</v>
      </c>
      <c r="G82" s="21">
        <v>1</v>
      </c>
      <c r="H82" s="20">
        <f>SUM(L82/K82)</f>
        <v>0.37333333333333335</v>
      </c>
      <c r="I82" s="20" t="s">
        <v>674</v>
      </c>
      <c r="J82" s="21" t="s">
        <v>669</v>
      </c>
      <c r="K82" s="10">
        <v>1.5</v>
      </c>
      <c r="L82" s="10">
        <v>0.56000000000000005</v>
      </c>
      <c r="M82" s="10" t="s">
        <v>630</v>
      </c>
      <c r="N82" s="10">
        <v>17425766</v>
      </c>
      <c r="O82" s="10" t="s">
        <v>37</v>
      </c>
      <c r="P82" s="10" t="s">
        <v>36</v>
      </c>
    </row>
    <row r="83" spans="1:16" ht="15.75" x14ac:dyDescent="0.25">
      <c r="A83" s="10">
        <v>2521</v>
      </c>
      <c r="B83" s="10">
        <v>88427</v>
      </c>
      <c r="C83" s="10" t="s">
        <v>596</v>
      </c>
      <c r="D83" s="10" t="s">
        <v>31</v>
      </c>
      <c r="E83" s="22">
        <v>45911</v>
      </c>
      <c r="F83" s="22">
        <v>45943</v>
      </c>
      <c r="G83" s="21">
        <v>1</v>
      </c>
      <c r="H83" s="20">
        <f>SUM(L83/K83)</f>
        <v>0.36997501703384056</v>
      </c>
      <c r="I83" s="20" t="s">
        <v>674</v>
      </c>
      <c r="J83" s="21" t="s">
        <v>669</v>
      </c>
      <c r="K83" s="10">
        <v>44.03</v>
      </c>
      <c r="L83" s="10">
        <v>16.29</v>
      </c>
      <c r="M83" s="10" t="s">
        <v>630</v>
      </c>
      <c r="N83" s="10">
        <v>17425766</v>
      </c>
      <c r="O83" s="10" t="s">
        <v>37</v>
      </c>
      <c r="P83" s="10" t="s">
        <v>36</v>
      </c>
    </row>
    <row r="84" spans="1:16" ht="15.75" x14ac:dyDescent="0.25">
      <c r="A84" s="11">
        <v>2518</v>
      </c>
      <c r="B84" s="11">
        <v>71894</v>
      </c>
      <c r="C84" s="11" t="s">
        <v>357</v>
      </c>
      <c r="D84" s="11" t="s">
        <v>31</v>
      </c>
      <c r="E84" s="18">
        <v>45639</v>
      </c>
      <c r="F84" s="18">
        <v>45945</v>
      </c>
      <c r="G84" s="19">
        <v>10</v>
      </c>
      <c r="H84" s="20">
        <f>SUM(L84/K84)</f>
        <v>0.37003780718336482</v>
      </c>
      <c r="I84" s="20" t="s">
        <v>674</v>
      </c>
      <c r="J84" s="21" t="s">
        <v>669</v>
      </c>
      <c r="K84" s="11">
        <v>21.16</v>
      </c>
      <c r="L84" s="11">
        <v>7.83</v>
      </c>
      <c r="M84" s="11" t="s">
        <v>630</v>
      </c>
      <c r="N84" s="11">
        <v>17425766</v>
      </c>
      <c r="O84" s="11" t="s">
        <v>37</v>
      </c>
      <c r="P84" s="11" t="s">
        <v>36</v>
      </c>
    </row>
    <row r="85" spans="1:16" ht="15.75" x14ac:dyDescent="0.25">
      <c r="A85" s="10">
        <v>2521</v>
      </c>
      <c r="B85" s="10">
        <v>87329</v>
      </c>
      <c r="C85" s="10" t="s">
        <v>586</v>
      </c>
      <c r="D85" s="10" t="s">
        <v>31</v>
      </c>
      <c r="E85" s="22">
        <v>45910</v>
      </c>
      <c r="F85" s="22">
        <v>45943</v>
      </c>
      <c r="G85" s="21">
        <v>1</v>
      </c>
      <c r="H85" s="20">
        <f>SUM(L85/K85)</f>
        <v>0.37011137011137007</v>
      </c>
      <c r="I85" s="20" t="s">
        <v>674</v>
      </c>
      <c r="J85" s="21" t="s">
        <v>669</v>
      </c>
      <c r="K85" s="10">
        <v>38.61</v>
      </c>
      <c r="L85" s="10">
        <v>14.29</v>
      </c>
      <c r="M85" s="10" t="s">
        <v>630</v>
      </c>
      <c r="N85" s="10">
        <v>17425766</v>
      </c>
      <c r="O85" s="10" t="s">
        <v>37</v>
      </c>
      <c r="P85" s="10" t="s">
        <v>36</v>
      </c>
    </row>
    <row r="86" spans="1:16" ht="15.75" x14ac:dyDescent="0.25">
      <c r="A86" s="10">
        <v>2520</v>
      </c>
      <c r="B86" s="10">
        <v>31363</v>
      </c>
      <c r="C86" s="10" t="s">
        <v>444</v>
      </c>
      <c r="D86" s="10" t="s">
        <v>61</v>
      </c>
      <c r="E86" s="22">
        <v>45758</v>
      </c>
      <c r="F86" s="22">
        <v>45943</v>
      </c>
      <c r="G86" s="21">
        <v>6</v>
      </c>
      <c r="H86" s="20">
        <f>SUM(L86/K86)</f>
        <v>0.3666666666666667</v>
      </c>
      <c r="I86" s="20" t="s">
        <v>674</v>
      </c>
      <c r="J86" s="21" t="s">
        <v>669</v>
      </c>
      <c r="K86" s="10">
        <v>1.5</v>
      </c>
      <c r="L86" s="10">
        <v>0.55000000000000004</v>
      </c>
      <c r="M86" s="10" t="s">
        <v>638</v>
      </c>
      <c r="N86" s="10">
        <v>17195620</v>
      </c>
      <c r="O86" s="10" t="s">
        <v>37</v>
      </c>
      <c r="P86" s="10" t="s">
        <v>36</v>
      </c>
    </row>
    <row r="87" spans="1:16" ht="15.75" x14ac:dyDescent="0.25">
      <c r="A87" s="10">
        <v>2520</v>
      </c>
      <c r="B87" s="10">
        <v>31363</v>
      </c>
      <c r="C87" s="10" t="s">
        <v>444</v>
      </c>
      <c r="D87" s="10" t="s">
        <v>31</v>
      </c>
      <c r="E87" s="22">
        <v>45758</v>
      </c>
      <c r="F87" s="22">
        <v>45943</v>
      </c>
      <c r="G87" s="21">
        <v>6</v>
      </c>
      <c r="H87" s="20">
        <f>SUM(L87/K87)</f>
        <v>0.37001180637544273</v>
      </c>
      <c r="I87" s="20" t="s">
        <v>674</v>
      </c>
      <c r="J87" s="21" t="s">
        <v>669</v>
      </c>
      <c r="K87" s="10">
        <v>42.35</v>
      </c>
      <c r="L87" s="10">
        <v>15.67</v>
      </c>
      <c r="M87" s="10" t="s">
        <v>638</v>
      </c>
      <c r="N87" s="10">
        <v>17195620</v>
      </c>
      <c r="O87" s="10" t="s">
        <v>37</v>
      </c>
      <c r="P87" s="10" t="s">
        <v>36</v>
      </c>
    </row>
    <row r="88" spans="1:16" ht="15.75" x14ac:dyDescent="0.25">
      <c r="A88" s="10">
        <v>2520</v>
      </c>
      <c r="B88" s="10">
        <v>30440</v>
      </c>
      <c r="C88" s="10" t="s">
        <v>441</v>
      </c>
      <c r="D88" s="10" t="s">
        <v>31</v>
      </c>
      <c r="E88" s="22">
        <v>45758</v>
      </c>
      <c r="F88" s="22">
        <v>45943</v>
      </c>
      <c r="G88" s="21">
        <v>6</v>
      </c>
      <c r="H88" s="20">
        <f>SUM(L88/K88)</f>
        <v>0.3699702943559276</v>
      </c>
      <c r="I88" s="20" t="s">
        <v>674</v>
      </c>
      <c r="J88" s="21" t="s">
        <v>669</v>
      </c>
      <c r="K88" s="10">
        <v>37.03</v>
      </c>
      <c r="L88" s="10">
        <v>13.7</v>
      </c>
      <c r="M88" s="10" t="s">
        <v>638</v>
      </c>
      <c r="N88" s="10">
        <v>17195620</v>
      </c>
      <c r="O88" s="10" t="s">
        <v>37</v>
      </c>
      <c r="P88" s="10" t="s">
        <v>36</v>
      </c>
    </row>
    <row r="89" spans="1:16" ht="15.75" x14ac:dyDescent="0.25">
      <c r="A89" s="11">
        <v>2512</v>
      </c>
      <c r="B89" s="11">
        <v>82488</v>
      </c>
      <c r="C89" s="11" t="s">
        <v>78</v>
      </c>
      <c r="D89" s="11" t="s">
        <v>61</v>
      </c>
      <c r="E89" s="18">
        <v>45243</v>
      </c>
      <c r="F89" s="18">
        <v>45945</v>
      </c>
      <c r="G89" s="19">
        <v>23</v>
      </c>
      <c r="H89" s="20">
        <f>SUM(L89/K89)</f>
        <v>0.04</v>
      </c>
      <c r="I89" s="20" t="s">
        <v>672</v>
      </c>
      <c r="J89" s="21" t="s">
        <v>669</v>
      </c>
      <c r="K89" s="11">
        <v>1.5</v>
      </c>
      <c r="L89" s="11">
        <v>0.06</v>
      </c>
      <c r="M89" s="11" t="s">
        <v>638</v>
      </c>
      <c r="N89" s="11">
        <v>17195620</v>
      </c>
      <c r="O89" s="11" t="s">
        <v>37</v>
      </c>
      <c r="P89" s="11" t="s">
        <v>36</v>
      </c>
    </row>
    <row r="90" spans="1:16" ht="15.75" x14ac:dyDescent="0.25">
      <c r="A90" s="11">
        <v>2512</v>
      </c>
      <c r="B90" s="11">
        <v>82488</v>
      </c>
      <c r="C90" s="11" t="s">
        <v>78</v>
      </c>
      <c r="D90" s="11" t="s">
        <v>31</v>
      </c>
      <c r="E90" s="18">
        <v>45243</v>
      </c>
      <c r="F90" s="18">
        <v>45945</v>
      </c>
      <c r="G90" s="19">
        <v>23</v>
      </c>
      <c r="H90" s="20">
        <f>SUM(L90/K90)</f>
        <v>3.9922730199613649E-2</v>
      </c>
      <c r="I90" s="20" t="s">
        <v>672</v>
      </c>
      <c r="J90" s="21" t="s">
        <v>669</v>
      </c>
      <c r="K90" s="11">
        <v>46.59</v>
      </c>
      <c r="L90" s="11">
        <v>1.86</v>
      </c>
      <c r="M90" s="11" t="s">
        <v>638</v>
      </c>
      <c r="N90" s="11">
        <v>17195620</v>
      </c>
      <c r="O90" s="11" t="s">
        <v>37</v>
      </c>
      <c r="P90" s="11" t="s">
        <v>36</v>
      </c>
    </row>
    <row r="91" spans="1:16" ht="15.75" x14ac:dyDescent="0.25">
      <c r="A91" s="11">
        <v>2515</v>
      </c>
      <c r="B91" s="11">
        <v>86837</v>
      </c>
      <c r="C91" s="11" t="s">
        <v>184</v>
      </c>
      <c r="D91" s="11" t="s">
        <v>61</v>
      </c>
      <c r="E91" s="18">
        <v>45483</v>
      </c>
      <c r="F91" s="18">
        <v>45943</v>
      </c>
      <c r="G91" s="19">
        <v>15</v>
      </c>
      <c r="H91" s="20">
        <f>SUM(L91/K91)</f>
        <v>0.04</v>
      </c>
      <c r="I91" s="20" t="s">
        <v>672</v>
      </c>
      <c r="J91" s="21" t="s">
        <v>669</v>
      </c>
      <c r="K91" s="11">
        <v>1.5</v>
      </c>
      <c r="L91" s="11">
        <v>0.06</v>
      </c>
      <c r="M91" s="11" t="s">
        <v>650</v>
      </c>
      <c r="N91" s="11">
        <v>19681796</v>
      </c>
      <c r="O91" s="11" t="s">
        <v>37</v>
      </c>
      <c r="P91" s="11" t="s">
        <v>36</v>
      </c>
    </row>
    <row r="92" spans="1:16" ht="15.75" x14ac:dyDescent="0.25">
      <c r="A92" s="11">
        <v>2515</v>
      </c>
      <c r="B92" s="11">
        <v>86838</v>
      </c>
      <c r="C92" s="11" t="s">
        <v>184</v>
      </c>
      <c r="D92" s="11" t="s">
        <v>42</v>
      </c>
      <c r="E92" s="18">
        <v>45483</v>
      </c>
      <c r="F92" s="18">
        <v>45943</v>
      </c>
      <c r="G92" s="19">
        <v>15</v>
      </c>
      <c r="H92" s="20">
        <f>SUM(L92/K92)</f>
        <v>3.9779681762545899E-2</v>
      </c>
      <c r="I92" s="20" t="s">
        <v>672</v>
      </c>
      <c r="J92" s="21" t="s">
        <v>669</v>
      </c>
      <c r="K92" s="11">
        <v>16.34</v>
      </c>
      <c r="L92" s="11">
        <v>0.65</v>
      </c>
      <c r="M92" s="11" t="s">
        <v>650</v>
      </c>
      <c r="N92" s="11">
        <v>19681796</v>
      </c>
      <c r="O92" s="11" t="s">
        <v>37</v>
      </c>
      <c r="P92" s="11" t="s">
        <v>36</v>
      </c>
    </row>
    <row r="93" spans="1:16" ht="15.75" x14ac:dyDescent="0.25">
      <c r="A93" s="11">
        <v>2515</v>
      </c>
      <c r="B93" s="11">
        <v>86837</v>
      </c>
      <c r="C93" s="11" t="s">
        <v>184</v>
      </c>
      <c r="D93" s="11" t="s">
        <v>31</v>
      </c>
      <c r="E93" s="18">
        <v>45483</v>
      </c>
      <c r="F93" s="18">
        <v>45943</v>
      </c>
      <c r="G93" s="19">
        <v>15</v>
      </c>
      <c r="H93" s="20">
        <f>SUM(L93/K93)</f>
        <v>3.9950062421972528E-2</v>
      </c>
      <c r="I93" s="20" t="s">
        <v>672</v>
      </c>
      <c r="J93" s="21" t="s">
        <v>669</v>
      </c>
      <c r="K93" s="11">
        <v>48.06</v>
      </c>
      <c r="L93" s="11">
        <v>1.92</v>
      </c>
      <c r="M93" s="11" t="s">
        <v>650</v>
      </c>
      <c r="N93" s="11">
        <v>19681796</v>
      </c>
      <c r="O93" s="11" t="s">
        <v>37</v>
      </c>
      <c r="P93" s="11" t="s">
        <v>36</v>
      </c>
    </row>
    <row r="94" spans="1:16" ht="15.75" x14ac:dyDescent="0.25">
      <c r="A94" s="11">
        <v>2518</v>
      </c>
      <c r="B94" s="11">
        <v>17247</v>
      </c>
      <c r="C94" s="11" t="s">
        <v>306</v>
      </c>
      <c r="D94" s="11" t="s">
        <v>42</v>
      </c>
      <c r="E94" s="18">
        <v>45607</v>
      </c>
      <c r="F94" s="18">
        <v>45943</v>
      </c>
      <c r="G94" s="19">
        <v>11</v>
      </c>
      <c r="H94" s="20">
        <f>SUM(L94/K94)</f>
        <v>0.37025703794369647</v>
      </c>
      <c r="I94" s="20" t="s">
        <v>674</v>
      </c>
      <c r="J94" s="21" t="s">
        <v>669</v>
      </c>
      <c r="K94" s="11">
        <v>16.34</v>
      </c>
      <c r="L94" s="11">
        <v>6.05</v>
      </c>
      <c r="M94" s="11" t="s">
        <v>650</v>
      </c>
      <c r="N94" s="11">
        <v>19681796</v>
      </c>
      <c r="O94" s="11" t="s">
        <v>37</v>
      </c>
      <c r="P94" s="11" t="s">
        <v>36</v>
      </c>
    </row>
    <row r="95" spans="1:16" ht="15.75" x14ac:dyDescent="0.25">
      <c r="A95" s="12">
        <v>2521</v>
      </c>
      <c r="B95" s="12">
        <v>57551</v>
      </c>
      <c r="C95" s="12" t="s">
        <v>543</v>
      </c>
      <c r="D95" s="12" t="s">
        <v>61</v>
      </c>
      <c r="E95" s="23">
        <v>45878</v>
      </c>
      <c r="F95" s="23">
        <v>45943</v>
      </c>
      <c r="G95" s="24">
        <v>2</v>
      </c>
      <c r="H95" s="20">
        <f>SUM(L95/K95)</f>
        <v>0.37174721189591081</v>
      </c>
      <c r="I95" s="20" t="s">
        <v>674</v>
      </c>
      <c r="J95" s="24" t="s">
        <v>668</v>
      </c>
      <c r="K95" s="12">
        <v>2.69</v>
      </c>
      <c r="L95" s="12">
        <v>1</v>
      </c>
      <c r="M95" s="12" t="s">
        <v>650</v>
      </c>
      <c r="N95" s="12">
        <v>19681796</v>
      </c>
      <c r="O95" s="12" t="s">
        <v>37</v>
      </c>
      <c r="P95" s="12" t="s">
        <v>36</v>
      </c>
    </row>
    <row r="96" spans="1:16" ht="15.75" x14ac:dyDescent="0.25">
      <c r="A96" s="12">
        <v>2521</v>
      </c>
      <c r="B96" s="12">
        <v>57551</v>
      </c>
      <c r="C96" s="12" t="s">
        <v>543</v>
      </c>
      <c r="D96" s="12" t="s">
        <v>31</v>
      </c>
      <c r="E96" s="23">
        <v>45878</v>
      </c>
      <c r="F96" s="23">
        <v>45943</v>
      </c>
      <c r="G96" s="24">
        <v>2</v>
      </c>
      <c r="H96" s="20">
        <f>SUM(L96/K96)</f>
        <v>0.36998215878679747</v>
      </c>
      <c r="I96" s="20" t="s">
        <v>674</v>
      </c>
      <c r="J96" s="24" t="s">
        <v>668</v>
      </c>
      <c r="K96" s="12">
        <v>89.68</v>
      </c>
      <c r="L96" s="12">
        <v>33.18</v>
      </c>
      <c r="M96" s="12" t="s">
        <v>650</v>
      </c>
      <c r="N96" s="12">
        <v>19681796</v>
      </c>
      <c r="O96" s="12" t="s">
        <v>37</v>
      </c>
      <c r="P96" s="12" t="s">
        <v>36</v>
      </c>
    </row>
    <row r="97" spans="1:16" ht="15.75" x14ac:dyDescent="0.25">
      <c r="A97" s="11">
        <v>2516</v>
      </c>
      <c r="B97" s="11">
        <v>51513</v>
      </c>
      <c r="C97" s="11" t="s">
        <v>253</v>
      </c>
      <c r="D97" s="11" t="s">
        <v>61</v>
      </c>
      <c r="E97" s="18">
        <v>45547</v>
      </c>
      <c r="F97" s="18">
        <v>45944</v>
      </c>
      <c r="G97" s="19">
        <v>13</v>
      </c>
      <c r="H97" s="20">
        <f>SUM(L97/K97)</f>
        <v>0.04</v>
      </c>
      <c r="I97" s="20" t="s">
        <v>672</v>
      </c>
      <c r="J97" s="21" t="s">
        <v>669</v>
      </c>
      <c r="K97" s="11">
        <v>1.5</v>
      </c>
      <c r="L97" s="11">
        <v>0.06</v>
      </c>
      <c r="M97" s="11" t="s">
        <v>650</v>
      </c>
      <c r="N97" s="11">
        <v>19681796</v>
      </c>
      <c r="O97" s="11" t="s">
        <v>37</v>
      </c>
      <c r="P97" s="11" t="s">
        <v>36</v>
      </c>
    </row>
    <row r="98" spans="1:16" ht="15.75" x14ac:dyDescent="0.25">
      <c r="A98" s="11">
        <v>2516</v>
      </c>
      <c r="B98" s="11">
        <v>51513</v>
      </c>
      <c r="C98" s="11" t="s">
        <v>253</v>
      </c>
      <c r="D98" s="11" t="s">
        <v>31</v>
      </c>
      <c r="E98" s="18">
        <v>45547</v>
      </c>
      <c r="F98" s="18">
        <v>45944</v>
      </c>
      <c r="G98" s="19">
        <v>13</v>
      </c>
      <c r="H98" s="20">
        <f>SUM(L98/K98)</f>
        <v>3.9962968677673197E-2</v>
      </c>
      <c r="I98" s="20" t="s">
        <v>672</v>
      </c>
      <c r="J98" s="21" t="s">
        <v>669</v>
      </c>
      <c r="K98" s="11">
        <v>64.81</v>
      </c>
      <c r="L98" s="11">
        <v>2.59</v>
      </c>
      <c r="M98" s="11" t="s">
        <v>650</v>
      </c>
      <c r="N98" s="11">
        <v>19681796</v>
      </c>
      <c r="O98" s="11" t="s">
        <v>37</v>
      </c>
      <c r="P98" s="11" t="s">
        <v>36</v>
      </c>
    </row>
    <row r="99" spans="1:16" ht="15.75" x14ac:dyDescent="0.25">
      <c r="A99" s="11">
        <v>2516</v>
      </c>
      <c r="B99" s="11">
        <v>18250</v>
      </c>
      <c r="C99" s="11" t="s">
        <v>212</v>
      </c>
      <c r="D99" s="11" t="s">
        <v>42</v>
      </c>
      <c r="E99" s="18">
        <v>45513</v>
      </c>
      <c r="F99" s="18">
        <v>45943</v>
      </c>
      <c r="G99" s="19">
        <v>14</v>
      </c>
      <c r="H99" s="20">
        <f>SUM(L99/K99)</f>
        <v>3.978576893649579E-2</v>
      </c>
      <c r="I99" s="20" t="s">
        <v>672</v>
      </c>
      <c r="J99" s="21" t="s">
        <v>669</v>
      </c>
      <c r="K99" s="11">
        <v>13.07</v>
      </c>
      <c r="L99" s="11">
        <v>0.52</v>
      </c>
      <c r="M99" s="11" t="s">
        <v>650</v>
      </c>
      <c r="N99" s="11">
        <v>19681796</v>
      </c>
      <c r="O99" s="11" t="s">
        <v>37</v>
      </c>
      <c r="P99" s="11" t="s">
        <v>36</v>
      </c>
    </row>
    <row r="100" spans="1:16" ht="15.75" x14ac:dyDescent="0.25">
      <c r="A100" s="11">
        <v>2516</v>
      </c>
      <c r="B100" s="11">
        <v>18249</v>
      </c>
      <c r="C100" s="11" t="s">
        <v>212</v>
      </c>
      <c r="D100" s="11" t="s">
        <v>31</v>
      </c>
      <c r="E100" s="18">
        <v>45513</v>
      </c>
      <c r="F100" s="18">
        <v>45943</v>
      </c>
      <c r="G100" s="19">
        <v>14</v>
      </c>
      <c r="H100" s="20">
        <f>SUM(L100/K100)</f>
        <v>4.0140491721023588E-2</v>
      </c>
      <c r="I100" s="20" t="s">
        <v>672</v>
      </c>
      <c r="J100" s="21" t="s">
        <v>669</v>
      </c>
      <c r="K100" s="11">
        <v>19.93</v>
      </c>
      <c r="L100" s="11">
        <v>0.8</v>
      </c>
      <c r="M100" s="11" t="s">
        <v>650</v>
      </c>
      <c r="N100" s="11">
        <v>19681796</v>
      </c>
      <c r="O100" s="11" t="s">
        <v>37</v>
      </c>
      <c r="P100" s="11" t="s">
        <v>36</v>
      </c>
    </row>
    <row r="101" spans="1:16" ht="15.75" x14ac:dyDescent="0.25">
      <c r="A101" s="12">
        <v>2520</v>
      </c>
      <c r="B101" s="12">
        <v>65929</v>
      </c>
      <c r="C101" s="12" t="s">
        <v>472</v>
      </c>
      <c r="D101" s="12" t="s">
        <v>31</v>
      </c>
      <c r="E101" s="23">
        <v>45790</v>
      </c>
      <c r="F101" s="23">
        <v>45945</v>
      </c>
      <c r="G101" s="24">
        <v>5</v>
      </c>
      <c r="H101" s="20">
        <f>SUM(L101/K101)</f>
        <v>0.36999679795068841</v>
      </c>
      <c r="I101" s="20" t="s">
        <v>674</v>
      </c>
      <c r="J101" s="24" t="s">
        <v>668</v>
      </c>
      <c r="K101" s="12">
        <v>62.46</v>
      </c>
      <c r="L101" s="12">
        <v>23.11</v>
      </c>
      <c r="M101" s="12" t="s">
        <v>651</v>
      </c>
      <c r="N101" s="12">
        <v>8325282</v>
      </c>
      <c r="O101" s="12" t="s">
        <v>37</v>
      </c>
      <c r="P101" s="12" t="s">
        <v>36</v>
      </c>
    </row>
    <row r="102" spans="1:16" ht="15.75" x14ac:dyDescent="0.25">
      <c r="A102" s="11">
        <v>2518</v>
      </c>
      <c r="B102" s="11">
        <v>71075</v>
      </c>
      <c r="C102" s="11" t="s">
        <v>347</v>
      </c>
      <c r="D102" s="11" t="s">
        <v>42</v>
      </c>
      <c r="E102" s="18">
        <v>45638</v>
      </c>
      <c r="F102" s="18">
        <v>45944</v>
      </c>
      <c r="G102" s="19">
        <v>10</v>
      </c>
      <c r="H102" s="20">
        <f>SUM(L102/K102)</f>
        <v>0.3701968134957826</v>
      </c>
      <c r="I102" s="20" t="s">
        <v>674</v>
      </c>
      <c r="J102" s="21" t="s">
        <v>669</v>
      </c>
      <c r="K102" s="11">
        <v>10.67</v>
      </c>
      <c r="L102" s="11">
        <v>3.95</v>
      </c>
      <c r="M102" s="11" t="s">
        <v>651</v>
      </c>
      <c r="N102" s="11">
        <v>8325282</v>
      </c>
      <c r="O102" s="11" t="s">
        <v>37</v>
      </c>
      <c r="P102" s="11" t="s">
        <v>36</v>
      </c>
    </row>
    <row r="103" spans="1:16" ht="15.75" x14ac:dyDescent="0.25">
      <c r="A103" s="12">
        <v>2523</v>
      </c>
      <c r="B103" s="12">
        <v>12432</v>
      </c>
      <c r="C103" s="12" t="s">
        <v>605</v>
      </c>
      <c r="D103" s="12" t="s">
        <v>61</v>
      </c>
      <c r="E103" s="23">
        <v>45939</v>
      </c>
      <c r="F103" s="23">
        <v>45943</v>
      </c>
      <c r="G103" s="24">
        <v>0</v>
      </c>
      <c r="H103" s="20">
        <f>SUM(L103/K103)</f>
        <v>0.37333333333333335</v>
      </c>
      <c r="I103" s="20" t="s">
        <v>674</v>
      </c>
      <c r="J103" s="24" t="s">
        <v>667</v>
      </c>
      <c r="K103" s="12">
        <v>1.5</v>
      </c>
      <c r="L103" s="12">
        <v>0.56000000000000005</v>
      </c>
      <c r="M103" s="12" t="s">
        <v>632</v>
      </c>
      <c r="N103" s="12" t="s">
        <v>663</v>
      </c>
      <c r="O103" s="12" t="s">
        <v>37</v>
      </c>
      <c r="P103" s="12" t="s">
        <v>36</v>
      </c>
    </row>
    <row r="104" spans="1:16" ht="15.75" x14ac:dyDescent="0.25">
      <c r="A104" s="12">
        <v>2523</v>
      </c>
      <c r="B104" s="12">
        <v>12432</v>
      </c>
      <c r="C104" s="12" t="s">
        <v>605</v>
      </c>
      <c r="D104" s="12" t="s">
        <v>42</v>
      </c>
      <c r="E104" s="23">
        <v>45939</v>
      </c>
      <c r="F104" s="23">
        <v>45943</v>
      </c>
      <c r="G104" s="24">
        <v>0</v>
      </c>
      <c r="H104" s="20">
        <f>SUM(L104/K104)</f>
        <v>0.3701968134957826</v>
      </c>
      <c r="I104" s="20" t="s">
        <v>674</v>
      </c>
      <c r="J104" s="24" t="s">
        <v>667</v>
      </c>
      <c r="K104" s="12">
        <v>10.67</v>
      </c>
      <c r="L104" s="12">
        <v>3.95</v>
      </c>
      <c r="M104" s="12" t="s">
        <v>632</v>
      </c>
      <c r="N104" s="12" t="s">
        <v>663</v>
      </c>
      <c r="O104" s="12" t="s">
        <v>37</v>
      </c>
      <c r="P104" s="12" t="s">
        <v>36</v>
      </c>
    </row>
    <row r="105" spans="1:16" ht="15.75" x14ac:dyDescent="0.25">
      <c r="A105" s="12">
        <v>2523</v>
      </c>
      <c r="B105" s="12">
        <v>12432</v>
      </c>
      <c r="C105" s="12" t="s">
        <v>605</v>
      </c>
      <c r="D105" s="12" t="s">
        <v>31</v>
      </c>
      <c r="E105" s="23">
        <v>45939</v>
      </c>
      <c r="F105" s="23">
        <v>45943</v>
      </c>
      <c r="G105" s="24">
        <v>0</v>
      </c>
      <c r="H105" s="20">
        <f>SUM(L105/K105)</f>
        <v>0.36999435984207557</v>
      </c>
      <c r="I105" s="20" t="s">
        <v>674</v>
      </c>
      <c r="J105" s="24" t="s">
        <v>667</v>
      </c>
      <c r="K105" s="12">
        <v>53.19</v>
      </c>
      <c r="L105" s="12">
        <v>19.68</v>
      </c>
      <c r="M105" s="12" t="s">
        <v>632</v>
      </c>
      <c r="N105" s="12" t="s">
        <v>663</v>
      </c>
      <c r="O105" s="12" t="s">
        <v>37</v>
      </c>
      <c r="P105" s="12" t="s">
        <v>36</v>
      </c>
    </row>
    <row r="106" spans="1:16" ht="15.75" x14ac:dyDescent="0.25">
      <c r="A106" s="10">
        <v>2521</v>
      </c>
      <c r="B106" s="10">
        <v>87005</v>
      </c>
      <c r="C106" s="10" t="s">
        <v>580</v>
      </c>
      <c r="D106" s="10" t="s">
        <v>61</v>
      </c>
      <c r="E106" s="22">
        <v>45910</v>
      </c>
      <c r="F106" s="22">
        <v>45943</v>
      </c>
      <c r="G106" s="21">
        <v>1</v>
      </c>
      <c r="H106" s="20">
        <f>SUM(L106/K106)</f>
        <v>0.3666666666666667</v>
      </c>
      <c r="I106" s="20" t="s">
        <v>674</v>
      </c>
      <c r="J106" s="21" t="s">
        <v>669</v>
      </c>
      <c r="K106" s="10">
        <v>1.5</v>
      </c>
      <c r="L106" s="10">
        <v>0.55000000000000004</v>
      </c>
      <c r="M106" s="10" t="s">
        <v>634</v>
      </c>
      <c r="N106" s="10">
        <v>17528908</v>
      </c>
      <c r="O106" s="10" t="s">
        <v>37</v>
      </c>
      <c r="P106" s="10" t="s">
        <v>36</v>
      </c>
    </row>
    <row r="107" spans="1:16" ht="15.75" x14ac:dyDescent="0.25">
      <c r="A107" s="10">
        <v>2521</v>
      </c>
      <c r="B107" s="10">
        <v>87005</v>
      </c>
      <c r="C107" s="10" t="s">
        <v>580</v>
      </c>
      <c r="D107" s="10" t="s">
        <v>31</v>
      </c>
      <c r="E107" s="22">
        <v>45910</v>
      </c>
      <c r="F107" s="22">
        <v>45943</v>
      </c>
      <c r="G107" s="21">
        <v>1</v>
      </c>
      <c r="H107" s="20">
        <f>SUM(L107/K107)</f>
        <v>0.37007440066133923</v>
      </c>
      <c r="I107" s="20" t="s">
        <v>674</v>
      </c>
      <c r="J107" s="21" t="s">
        <v>669</v>
      </c>
      <c r="K107" s="10">
        <v>36.29</v>
      </c>
      <c r="L107" s="10">
        <v>13.43</v>
      </c>
      <c r="M107" s="10" t="s">
        <v>634</v>
      </c>
      <c r="N107" s="10">
        <v>17528908</v>
      </c>
      <c r="O107" s="10" t="s">
        <v>37</v>
      </c>
      <c r="P107" s="10" t="s">
        <v>36</v>
      </c>
    </row>
    <row r="108" spans="1:16" ht="15.75" x14ac:dyDescent="0.25">
      <c r="A108" s="10">
        <v>2519</v>
      </c>
      <c r="B108" s="10">
        <v>21762</v>
      </c>
      <c r="C108" s="10" t="s">
        <v>416</v>
      </c>
      <c r="D108" s="10" t="s">
        <v>61</v>
      </c>
      <c r="E108" s="22">
        <v>45726</v>
      </c>
      <c r="F108" s="22">
        <v>45943</v>
      </c>
      <c r="G108" s="21">
        <v>7</v>
      </c>
      <c r="H108" s="20">
        <f>SUM(L108/K108)</f>
        <v>0.3666666666666667</v>
      </c>
      <c r="I108" s="20" t="s">
        <v>674</v>
      </c>
      <c r="J108" s="21" t="s">
        <v>669</v>
      </c>
      <c r="K108" s="10">
        <v>1.5</v>
      </c>
      <c r="L108" s="10">
        <v>0.55000000000000004</v>
      </c>
      <c r="M108" s="10" t="s">
        <v>634</v>
      </c>
      <c r="N108" s="10">
        <v>17528908</v>
      </c>
      <c r="O108" s="10" t="s">
        <v>37</v>
      </c>
      <c r="P108" s="10" t="s">
        <v>36</v>
      </c>
    </row>
    <row r="109" spans="1:16" ht="15.75" x14ac:dyDescent="0.25">
      <c r="A109" s="10">
        <v>2519</v>
      </c>
      <c r="B109" s="10">
        <v>21763</v>
      </c>
      <c r="C109" s="10" t="s">
        <v>416</v>
      </c>
      <c r="D109" s="10" t="s">
        <v>42</v>
      </c>
      <c r="E109" s="22">
        <v>45726</v>
      </c>
      <c r="F109" s="22">
        <v>45943</v>
      </c>
      <c r="G109" s="21">
        <v>7</v>
      </c>
      <c r="H109" s="20">
        <f>SUM(L109/K109)</f>
        <v>0.37025703794369647</v>
      </c>
      <c r="I109" s="20" t="s">
        <v>674</v>
      </c>
      <c r="J109" s="21" t="s">
        <v>669</v>
      </c>
      <c r="K109" s="10">
        <v>16.34</v>
      </c>
      <c r="L109" s="10">
        <v>6.05</v>
      </c>
      <c r="M109" s="10" t="s">
        <v>634</v>
      </c>
      <c r="N109" s="10">
        <v>17528908</v>
      </c>
      <c r="O109" s="10" t="s">
        <v>37</v>
      </c>
      <c r="P109" s="10" t="s">
        <v>36</v>
      </c>
    </row>
    <row r="110" spans="1:16" ht="15.75" x14ac:dyDescent="0.25">
      <c r="A110" s="10">
        <v>2519</v>
      </c>
      <c r="B110" s="10">
        <v>21762</v>
      </c>
      <c r="C110" s="10" t="s">
        <v>416</v>
      </c>
      <c r="D110" s="10" t="s">
        <v>31</v>
      </c>
      <c r="E110" s="22">
        <v>45726</v>
      </c>
      <c r="F110" s="22">
        <v>45943</v>
      </c>
      <c r="G110" s="21">
        <v>7</v>
      </c>
      <c r="H110" s="20">
        <f>SUM(L110/K110)</f>
        <v>0.37007440066133923</v>
      </c>
      <c r="I110" s="20" t="s">
        <v>674</v>
      </c>
      <c r="J110" s="21" t="s">
        <v>669</v>
      </c>
      <c r="K110" s="10">
        <v>36.29</v>
      </c>
      <c r="L110" s="10">
        <v>13.43</v>
      </c>
      <c r="M110" s="10" t="s">
        <v>634</v>
      </c>
      <c r="N110" s="10">
        <v>17528908</v>
      </c>
      <c r="O110" s="10" t="s">
        <v>37</v>
      </c>
      <c r="P110" s="10" t="s">
        <v>36</v>
      </c>
    </row>
    <row r="111" spans="1:16" ht="15.75" x14ac:dyDescent="0.25">
      <c r="A111" s="10">
        <v>2521</v>
      </c>
      <c r="B111" s="10">
        <v>29906</v>
      </c>
      <c r="C111" s="10" t="s">
        <v>531</v>
      </c>
      <c r="D111" s="10" t="s">
        <v>61</v>
      </c>
      <c r="E111" s="22">
        <v>45853</v>
      </c>
      <c r="F111" s="22">
        <v>45947</v>
      </c>
      <c r="G111" s="21">
        <v>3</v>
      </c>
      <c r="H111" s="20">
        <f>SUM(L111/K111)</f>
        <v>0.3666666666666667</v>
      </c>
      <c r="I111" s="20" t="s">
        <v>674</v>
      </c>
      <c r="J111" s="21" t="s">
        <v>669</v>
      </c>
      <c r="K111" s="10">
        <v>1.5</v>
      </c>
      <c r="L111" s="10">
        <v>0.55000000000000004</v>
      </c>
      <c r="M111" s="10" t="s">
        <v>634</v>
      </c>
      <c r="N111" s="10">
        <v>17528908</v>
      </c>
      <c r="O111" s="10" t="s">
        <v>37</v>
      </c>
      <c r="P111" s="10" t="s">
        <v>36</v>
      </c>
    </row>
    <row r="112" spans="1:16" ht="15.75" x14ac:dyDescent="0.25">
      <c r="A112" s="10">
        <v>2521</v>
      </c>
      <c r="B112" s="10">
        <v>29907</v>
      </c>
      <c r="C112" s="10" t="s">
        <v>531</v>
      </c>
      <c r="D112" s="10" t="s">
        <v>42</v>
      </c>
      <c r="E112" s="22">
        <v>45853</v>
      </c>
      <c r="F112" s="22">
        <v>45947</v>
      </c>
      <c r="G112" s="21">
        <v>3</v>
      </c>
      <c r="H112" s="20">
        <f>SUM(L112/K112)</f>
        <v>0.3701968134957826</v>
      </c>
      <c r="I112" s="20" t="s">
        <v>674</v>
      </c>
      <c r="J112" s="21" t="s">
        <v>669</v>
      </c>
      <c r="K112" s="10">
        <v>10.67</v>
      </c>
      <c r="L112" s="10">
        <v>3.95</v>
      </c>
      <c r="M112" s="10" t="s">
        <v>634</v>
      </c>
      <c r="N112" s="10">
        <v>17528908</v>
      </c>
      <c r="O112" s="10" t="s">
        <v>37</v>
      </c>
      <c r="P112" s="10" t="s">
        <v>36</v>
      </c>
    </row>
    <row r="113" spans="1:16" ht="15.75" x14ac:dyDescent="0.25">
      <c r="A113" s="10">
        <v>2521</v>
      </c>
      <c r="B113" s="10">
        <v>29906</v>
      </c>
      <c r="C113" s="10" t="s">
        <v>531</v>
      </c>
      <c r="D113" s="10" t="s">
        <v>31</v>
      </c>
      <c r="E113" s="22">
        <v>45853</v>
      </c>
      <c r="F113" s="22">
        <v>45947</v>
      </c>
      <c r="G113" s="21">
        <v>3</v>
      </c>
      <c r="H113" s="20">
        <f>SUM(L113/K113)</f>
        <v>0.37007440066133923</v>
      </c>
      <c r="I113" s="20" t="s">
        <v>674</v>
      </c>
      <c r="J113" s="21" t="s">
        <v>669</v>
      </c>
      <c r="K113" s="10">
        <v>36.29</v>
      </c>
      <c r="L113" s="10">
        <v>13.43</v>
      </c>
      <c r="M113" s="10" t="s">
        <v>634</v>
      </c>
      <c r="N113" s="10">
        <v>17528908</v>
      </c>
      <c r="O113" s="10" t="s">
        <v>37</v>
      </c>
      <c r="P113" s="10" t="s">
        <v>36</v>
      </c>
    </row>
    <row r="114" spans="1:16" ht="15.75" x14ac:dyDescent="0.25">
      <c r="A114" s="11">
        <v>2514</v>
      </c>
      <c r="B114" s="11">
        <v>55359</v>
      </c>
      <c r="C114" s="11" t="s">
        <v>132</v>
      </c>
      <c r="D114" s="11" t="s">
        <v>31</v>
      </c>
      <c r="E114" s="18">
        <v>45366</v>
      </c>
      <c r="F114" s="18">
        <v>45947</v>
      </c>
      <c r="G114" s="19">
        <v>19</v>
      </c>
      <c r="H114" s="20">
        <f>SUM(L114/K114)</f>
        <v>3.9989613087509743E-2</v>
      </c>
      <c r="I114" s="20" t="s">
        <v>672</v>
      </c>
      <c r="J114" s="21" t="s">
        <v>669</v>
      </c>
      <c r="K114" s="11">
        <v>38.51</v>
      </c>
      <c r="L114" s="11">
        <v>1.54</v>
      </c>
      <c r="M114" s="11" t="s">
        <v>634</v>
      </c>
      <c r="N114" s="11">
        <v>17528908</v>
      </c>
      <c r="O114" s="11" t="s">
        <v>37</v>
      </c>
      <c r="P114" s="11" t="s">
        <v>36</v>
      </c>
    </row>
    <row r="115" spans="1:16" ht="15.75" x14ac:dyDescent="0.25">
      <c r="A115" s="11">
        <v>2518</v>
      </c>
      <c r="B115" s="11">
        <v>65676</v>
      </c>
      <c r="C115" s="11" t="s">
        <v>336</v>
      </c>
      <c r="D115" s="11" t="s">
        <v>61</v>
      </c>
      <c r="E115" s="18">
        <v>45636</v>
      </c>
      <c r="F115" s="18">
        <v>45943</v>
      </c>
      <c r="G115" s="19">
        <v>10</v>
      </c>
      <c r="H115" s="20">
        <f>SUM(L115/K115)</f>
        <v>0.3666666666666667</v>
      </c>
      <c r="I115" s="20" t="s">
        <v>674</v>
      </c>
      <c r="J115" s="21" t="s">
        <v>669</v>
      </c>
      <c r="K115" s="11">
        <v>1.5</v>
      </c>
      <c r="L115" s="11">
        <v>0.55000000000000004</v>
      </c>
      <c r="M115" s="11" t="s">
        <v>634</v>
      </c>
      <c r="N115" s="11">
        <v>17528908</v>
      </c>
      <c r="O115" s="11" t="s">
        <v>37</v>
      </c>
      <c r="P115" s="11" t="s">
        <v>36</v>
      </c>
    </row>
    <row r="116" spans="1:16" ht="15.75" x14ac:dyDescent="0.25">
      <c r="A116" s="11">
        <v>2518</v>
      </c>
      <c r="B116" s="11">
        <v>65677</v>
      </c>
      <c r="C116" s="11" t="s">
        <v>336</v>
      </c>
      <c r="D116" s="11" t="s">
        <v>42</v>
      </c>
      <c r="E116" s="18">
        <v>45636</v>
      </c>
      <c r="F116" s="18">
        <v>45943</v>
      </c>
      <c r="G116" s="19">
        <v>10</v>
      </c>
      <c r="H116" s="20">
        <f>SUM(L116/K116)</f>
        <v>0.37025703794369647</v>
      </c>
      <c r="I116" s="20" t="s">
        <v>674</v>
      </c>
      <c r="J116" s="21" t="s">
        <v>669</v>
      </c>
      <c r="K116" s="11">
        <v>16.34</v>
      </c>
      <c r="L116" s="11">
        <v>6.05</v>
      </c>
      <c r="M116" s="11" t="s">
        <v>634</v>
      </c>
      <c r="N116" s="11">
        <v>17528908</v>
      </c>
      <c r="O116" s="11" t="s">
        <v>37</v>
      </c>
      <c r="P116" s="11" t="s">
        <v>36</v>
      </c>
    </row>
    <row r="117" spans="1:16" ht="15.75" x14ac:dyDescent="0.25">
      <c r="A117" s="11">
        <v>2518</v>
      </c>
      <c r="B117" s="11">
        <v>65676</v>
      </c>
      <c r="C117" s="11" t="s">
        <v>336</v>
      </c>
      <c r="D117" s="11" t="s">
        <v>31</v>
      </c>
      <c r="E117" s="18">
        <v>45636</v>
      </c>
      <c r="F117" s="18">
        <v>45943</v>
      </c>
      <c r="G117" s="19">
        <v>10</v>
      </c>
      <c r="H117" s="20">
        <f>SUM(L117/K117)</f>
        <v>0.37007440066133923</v>
      </c>
      <c r="I117" s="20" t="s">
        <v>674</v>
      </c>
      <c r="J117" s="21" t="s">
        <v>669</v>
      </c>
      <c r="K117" s="11">
        <v>36.29</v>
      </c>
      <c r="L117" s="11">
        <v>13.43</v>
      </c>
      <c r="M117" s="11" t="s">
        <v>634</v>
      </c>
      <c r="N117" s="11">
        <v>17528908</v>
      </c>
      <c r="O117" s="11" t="s">
        <v>37</v>
      </c>
      <c r="P117" s="11" t="s">
        <v>36</v>
      </c>
    </row>
    <row r="118" spans="1:16" ht="15.75" x14ac:dyDescent="0.25">
      <c r="A118" s="11">
        <v>2519</v>
      </c>
      <c r="B118" s="11">
        <v>14048</v>
      </c>
      <c r="C118" s="11" t="s">
        <v>397</v>
      </c>
      <c r="D118" s="11" t="s">
        <v>61</v>
      </c>
      <c r="E118" s="18">
        <v>45671</v>
      </c>
      <c r="F118" s="18">
        <v>45946</v>
      </c>
      <c r="G118" s="19">
        <v>9</v>
      </c>
      <c r="H118" s="20">
        <f>SUM(L118/K118)</f>
        <v>0.37174721189591081</v>
      </c>
      <c r="I118" s="20" t="s">
        <v>674</v>
      </c>
      <c r="J118" s="21" t="s">
        <v>669</v>
      </c>
      <c r="K118" s="11">
        <v>2.69</v>
      </c>
      <c r="L118" s="11">
        <v>1</v>
      </c>
      <c r="M118" s="11" t="s">
        <v>634</v>
      </c>
      <c r="N118" s="11">
        <v>17528908</v>
      </c>
      <c r="O118" s="11" t="s">
        <v>37</v>
      </c>
      <c r="P118" s="11" t="s">
        <v>36</v>
      </c>
    </row>
    <row r="119" spans="1:16" ht="15.75" x14ac:dyDescent="0.25">
      <c r="A119" s="11">
        <v>2519</v>
      </c>
      <c r="B119" s="11">
        <v>14048</v>
      </c>
      <c r="C119" s="11" t="s">
        <v>397</v>
      </c>
      <c r="D119" s="11" t="s">
        <v>31</v>
      </c>
      <c r="E119" s="18">
        <v>45671</v>
      </c>
      <c r="F119" s="18">
        <v>45946</v>
      </c>
      <c r="G119" s="19">
        <v>9</v>
      </c>
      <c r="H119" s="20">
        <f>SUM(L119/K119)</f>
        <v>0.36988565918170546</v>
      </c>
      <c r="I119" s="20" t="s">
        <v>674</v>
      </c>
      <c r="J119" s="21" t="s">
        <v>669</v>
      </c>
      <c r="K119" s="11">
        <v>72.59</v>
      </c>
      <c r="L119" s="11">
        <v>26.85</v>
      </c>
      <c r="M119" s="11" t="s">
        <v>634</v>
      </c>
      <c r="N119" s="11">
        <v>17528908</v>
      </c>
      <c r="O119" s="11" t="s">
        <v>37</v>
      </c>
      <c r="P119" s="11" t="s">
        <v>36</v>
      </c>
    </row>
    <row r="120" spans="1:16" ht="15.75" x14ac:dyDescent="0.25">
      <c r="A120" s="10">
        <v>2521</v>
      </c>
      <c r="B120" s="10">
        <v>28706</v>
      </c>
      <c r="C120" s="10" t="s">
        <v>529</v>
      </c>
      <c r="D120" s="10" t="s">
        <v>61</v>
      </c>
      <c r="E120" s="22">
        <v>45850</v>
      </c>
      <c r="F120" s="22">
        <v>45947</v>
      </c>
      <c r="G120" s="21">
        <v>3</v>
      </c>
      <c r="H120" s="20">
        <f>SUM(L120/K120)</f>
        <v>0.3666666666666667</v>
      </c>
      <c r="I120" s="20" t="s">
        <v>674</v>
      </c>
      <c r="J120" s="21" t="s">
        <v>669</v>
      </c>
      <c r="K120" s="10">
        <v>1.5</v>
      </c>
      <c r="L120" s="10">
        <v>0.55000000000000004</v>
      </c>
      <c r="M120" s="10" t="s">
        <v>634</v>
      </c>
      <c r="N120" s="10">
        <v>17528908</v>
      </c>
      <c r="O120" s="10" t="s">
        <v>37</v>
      </c>
      <c r="P120" s="10" t="s">
        <v>36</v>
      </c>
    </row>
    <row r="121" spans="1:16" ht="15.75" x14ac:dyDescent="0.25">
      <c r="A121" s="10">
        <v>2521</v>
      </c>
      <c r="B121" s="10">
        <v>28706</v>
      </c>
      <c r="C121" s="10" t="s">
        <v>529</v>
      </c>
      <c r="D121" s="10" t="s">
        <v>31</v>
      </c>
      <c r="E121" s="22">
        <v>45850</v>
      </c>
      <c r="F121" s="22">
        <v>45947</v>
      </c>
      <c r="G121" s="21">
        <v>3</v>
      </c>
      <c r="H121" s="20">
        <f>SUM(L121/K121)</f>
        <v>0.37007440066133923</v>
      </c>
      <c r="I121" s="20" t="s">
        <v>674</v>
      </c>
      <c r="J121" s="21" t="s">
        <v>669</v>
      </c>
      <c r="K121" s="10">
        <v>36.29</v>
      </c>
      <c r="L121" s="10">
        <v>13.43</v>
      </c>
      <c r="M121" s="10" t="s">
        <v>634</v>
      </c>
      <c r="N121" s="10">
        <v>17528908</v>
      </c>
      <c r="O121" s="10" t="s">
        <v>37</v>
      </c>
      <c r="P121" s="10" t="s">
        <v>36</v>
      </c>
    </row>
    <row r="122" spans="1:16" ht="15.75" x14ac:dyDescent="0.25">
      <c r="A122" s="11">
        <v>2519</v>
      </c>
      <c r="B122" s="11">
        <v>18524</v>
      </c>
      <c r="C122" s="11" t="s">
        <v>412</v>
      </c>
      <c r="D122" s="11" t="s">
        <v>42</v>
      </c>
      <c r="E122" s="18">
        <v>45673</v>
      </c>
      <c r="F122" s="18">
        <v>45946</v>
      </c>
      <c r="G122" s="19">
        <v>9</v>
      </c>
      <c r="H122" s="20">
        <f>SUM(L122/K122)</f>
        <v>0.37025703794369647</v>
      </c>
      <c r="I122" s="20" t="s">
        <v>674</v>
      </c>
      <c r="J122" s="21" t="s">
        <v>669</v>
      </c>
      <c r="K122" s="11">
        <v>-16.34</v>
      </c>
      <c r="L122" s="11">
        <v>-6.05</v>
      </c>
      <c r="M122" s="11" t="s">
        <v>634</v>
      </c>
      <c r="N122" s="11">
        <v>17528908</v>
      </c>
      <c r="O122" s="11" t="s">
        <v>37</v>
      </c>
      <c r="P122" s="11" t="s">
        <v>36</v>
      </c>
    </row>
    <row r="123" spans="1:16" ht="15.75" x14ac:dyDescent="0.25">
      <c r="A123" s="10">
        <v>2521</v>
      </c>
      <c r="B123" s="10">
        <v>28647</v>
      </c>
      <c r="C123" s="10" t="s">
        <v>526</v>
      </c>
      <c r="D123" s="10" t="s">
        <v>61</v>
      </c>
      <c r="E123" s="22">
        <v>45850</v>
      </c>
      <c r="F123" s="22">
        <v>45944</v>
      </c>
      <c r="G123" s="21">
        <v>3</v>
      </c>
      <c r="H123" s="20">
        <f>SUM(L123/K123)</f>
        <v>0.37333333333333335</v>
      </c>
      <c r="I123" s="20" t="s">
        <v>674</v>
      </c>
      <c r="J123" s="21" t="s">
        <v>669</v>
      </c>
      <c r="K123" s="10">
        <v>1.5</v>
      </c>
      <c r="L123" s="10">
        <v>0.56000000000000005</v>
      </c>
      <c r="M123" s="10" t="s">
        <v>634</v>
      </c>
      <c r="N123" s="10">
        <v>17528908</v>
      </c>
      <c r="O123" s="10" t="s">
        <v>37</v>
      </c>
      <c r="P123" s="10" t="s">
        <v>36</v>
      </c>
    </row>
    <row r="124" spans="1:16" ht="15.75" x14ac:dyDescent="0.25">
      <c r="A124" s="10">
        <v>2521</v>
      </c>
      <c r="B124" s="10">
        <v>28647</v>
      </c>
      <c r="C124" s="10" t="s">
        <v>526</v>
      </c>
      <c r="D124" s="10" t="s">
        <v>31</v>
      </c>
      <c r="E124" s="22">
        <v>45850</v>
      </c>
      <c r="F124" s="22">
        <v>45944</v>
      </c>
      <c r="G124" s="21">
        <v>3</v>
      </c>
      <c r="H124" s="20">
        <f>SUM(L124/K124)</f>
        <v>0.36996866714871052</v>
      </c>
      <c r="I124" s="20" t="s">
        <v>674</v>
      </c>
      <c r="J124" s="21" t="s">
        <v>669</v>
      </c>
      <c r="K124" s="10">
        <v>41.49</v>
      </c>
      <c r="L124" s="10">
        <v>15.35</v>
      </c>
      <c r="M124" s="10" t="s">
        <v>634</v>
      </c>
      <c r="N124" s="10">
        <v>17528908</v>
      </c>
      <c r="O124" s="10" t="s">
        <v>37</v>
      </c>
      <c r="P124" s="10" t="s">
        <v>36</v>
      </c>
    </row>
    <row r="125" spans="1:16" ht="15.75" x14ac:dyDescent="0.25">
      <c r="A125" s="10">
        <v>2523</v>
      </c>
      <c r="B125" s="10">
        <v>17223</v>
      </c>
      <c r="C125" s="10" t="s">
        <v>619</v>
      </c>
      <c r="D125" s="10" t="s">
        <v>61</v>
      </c>
      <c r="E125" s="22">
        <v>45945</v>
      </c>
      <c r="F125" s="22">
        <v>45947</v>
      </c>
      <c r="G125" s="21">
        <v>0</v>
      </c>
      <c r="H125" s="20">
        <f>SUM(L125/K125)</f>
        <v>0.3666666666666667</v>
      </c>
      <c r="I125" s="20" t="s">
        <v>674</v>
      </c>
      <c r="J125" s="21" t="s">
        <v>669</v>
      </c>
      <c r="K125" s="10">
        <v>1.5</v>
      </c>
      <c r="L125" s="10">
        <v>0.55000000000000004</v>
      </c>
      <c r="M125" s="10" t="s">
        <v>634</v>
      </c>
      <c r="N125" s="10">
        <v>17528908</v>
      </c>
      <c r="O125" s="10" t="s">
        <v>37</v>
      </c>
      <c r="P125" s="10" t="s">
        <v>36</v>
      </c>
    </row>
    <row r="126" spans="1:16" ht="15.75" x14ac:dyDescent="0.25">
      <c r="A126" s="10">
        <v>2523</v>
      </c>
      <c r="B126" s="10">
        <v>17223</v>
      </c>
      <c r="C126" s="10" t="s">
        <v>619</v>
      </c>
      <c r="D126" s="10" t="s">
        <v>31</v>
      </c>
      <c r="E126" s="22">
        <v>45945</v>
      </c>
      <c r="F126" s="22">
        <v>45947</v>
      </c>
      <c r="G126" s="21">
        <v>0</v>
      </c>
      <c r="H126" s="20">
        <f>SUM(L126/K126)</f>
        <v>0.37007440066133923</v>
      </c>
      <c r="I126" s="20" t="s">
        <v>674</v>
      </c>
      <c r="J126" s="21" t="s">
        <v>669</v>
      </c>
      <c r="K126" s="10">
        <v>36.29</v>
      </c>
      <c r="L126" s="10">
        <v>13.43</v>
      </c>
      <c r="M126" s="10" t="s">
        <v>634</v>
      </c>
      <c r="N126" s="10">
        <v>17528908</v>
      </c>
      <c r="O126" s="10" t="s">
        <v>37</v>
      </c>
      <c r="P126" s="10" t="s">
        <v>36</v>
      </c>
    </row>
    <row r="127" spans="1:16" ht="15.75" x14ac:dyDescent="0.25">
      <c r="A127" s="11">
        <v>2518</v>
      </c>
      <c r="B127" s="11">
        <v>63026</v>
      </c>
      <c r="C127" s="11" t="s">
        <v>333</v>
      </c>
      <c r="D127" s="11" t="s">
        <v>61</v>
      </c>
      <c r="E127" s="18">
        <v>45641</v>
      </c>
      <c r="F127" s="18">
        <v>45947</v>
      </c>
      <c r="G127" s="19">
        <v>10</v>
      </c>
      <c r="H127" s="20">
        <f>SUM(L127/K127)</f>
        <v>0.3666666666666667</v>
      </c>
      <c r="I127" s="20" t="s">
        <v>674</v>
      </c>
      <c r="J127" s="21" t="s">
        <v>669</v>
      </c>
      <c r="K127" s="11">
        <v>1.5</v>
      </c>
      <c r="L127" s="11">
        <v>0.55000000000000004</v>
      </c>
      <c r="M127" s="11" t="s">
        <v>634</v>
      </c>
      <c r="N127" s="11">
        <v>17528908</v>
      </c>
      <c r="O127" s="11" t="s">
        <v>37</v>
      </c>
      <c r="P127" s="11" t="s">
        <v>36</v>
      </c>
    </row>
    <row r="128" spans="1:16" ht="15.75" x14ac:dyDescent="0.25">
      <c r="A128" s="11">
        <v>2518</v>
      </c>
      <c r="B128" s="11">
        <v>63026</v>
      </c>
      <c r="C128" s="11" t="s">
        <v>333</v>
      </c>
      <c r="D128" s="11" t="s">
        <v>31</v>
      </c>
      <c r="E128" s="18">
        <v>45641</v>
      </c>
      <c r="F128" s="18">
        <v>45947</v>
      </c>
      <c r="G128" s="19">
        <v>10</v>
      </c>
      <c r="H128" s="20">
        <f>SUM(L128/K128)</f>
        <v>0.37007440066133923</v>
      </c>
      <c r="I128" s="20" t="s">
        <v>674</v>
      </c>
      <c r="J128" s="21" t="s">
        <v>669</v>
      </c>
      <c r="K128" s="11">
        <v>36.29</v>
      </c>
      <c r="L128" s="11">
        <v>13.43</v>
      </c>
      <c r="M128" s="11" t="s">
        <v>634</v>
      </c>
      <c r="N128" s="11">
        <v>17528908</v>
      </c>
      <c r="O128" s="11" t="s">
        <v>37</v>
      </c>
      <c r="P128" s="11" t="s">
        <v>36</v>
      </c>
    </row>
    <row r="129" spans="1:16" ht="15.75" x14ac:dyDescent="0.25">
      <c r="A129" s="11">
        <v>2513</v>
      </c>
      <c r="B129" s="11">
        <v>41575</v>
      </c>
      <c r="C129" s="11" t="s">
        <v>91</v>
      </c>
      <c r="D129" s="11" t="s">
        <v>61</v>
      </c>
      <c r="E129" s="18">
        <v>45271</v>
      </c>
      <c r="F129" s="18">
        <v>45943</v>
      </c>
      <c r="G129" s="19">
        <v>22</v>
      </c>
      <c r="H129" s="20">
        <f>SUM(L129/K129)</f>
        <v>0.04</v>
      </c>
      <c r="I129" s="20" t="s">
        <v>672</v>
      </c>
      <c r="J129" s="21" t="s">
        <v>669</v>
      </c>
      <c r="K129" s="11">
        <v>1.5</v>
      </c>
      <c r="L129" s="11">
        <v>0.06</v>
      </c>
      <c r="M129" s="11" t="s">
        <v>634</v>
      </c>
      <c r="N129" s="11">
        <v>17528908</v>
      </c>
      <c r="O129" s="11" t="s">
        <v>37</v>
      </c>
      <c r="P129" s="11" t="s">
        <v>36</v>
      </c>
    </row>
    <row r="130" spans="1:16" ht="15.75" x14ac:dyDescent="0.25">
      <c r="A130" s="11">
        <v>2513</v>
      </c>
      <c r="B130" s="11">
        <v>41575</v>
      </c>
      <c r="C130" s="11" t="s">
        <v>91</v>
      </c>
      <c r="D130" s="11" t="s">
        <v>31</v>
      </c>
      <c r="E130" s="18">
        <v>45271</v>
      </c>
      <c r="F130" s="18">
        <v>45943</v>
      </c>
      <c r="G130" s="19">
        <v>22</v>
      </c>
      <c r="H130" s="20">
        <f>SUM(L130/K130)</f>
        <v>3.9955910719206393E-2</v>
      </c>
      <c r="I130" s="20" t="s">
        <v>672</v>
      </c>
      <c r="J130" s="21" t="s">
        <v>669</v>
      </c>
      <c r="K130" s="11">
        <v>36.29</v>
      </c>
      <c r="L130" s="11">
        <v>1.45</v>
      </c>
      <c r="M130" s="11" t="s">
        <v>634</v>
      </c>
      <c r="N130" s="11">
        <v>17528908</v>
      </c>
      <c r="O130" s="11" t="s">
        <v>37</v>
      </c>
      <c r="P130" s="11" t="s">
        <v>36</v>
      </c>
    </row>
    <row r="131" spans="1:16" ht="15.75" x14ac:dyDescent="0.25">
      <c r="A131" s="11">
        <v>2518</v>
      </c>
      <c r="B131" s="11">
        <v>19851</v>
      </c>
      <c r="C131" s="11" t="s">
        <v>317</v>
      </c>
      <c r="D131" s="11" t="s">
        <v>61</v>
      </c>
      <c r="E131" s="18">
        <v>45609</v>
      </c>
      <c r="F131" s="18">
        <v>45945</v>
      </c>
      <c r="G131" s="19">
        <v>11</v>
      </c>
      <c r="H131" s="20">
        <f>SUM(L131/K131)</f>
        <v>0.3666666666666667</v>
      </c>
      <c r="I131" s="20" t="s">
        <v>674</v>
      </c>
      <c r="J131" s="21" t="s">
        <v>669</v>
      </c>
      <c r="K131" s="11">
        <v>1.5</v>
      </c>
      <c r="L131" s="11">
        <v>0.55000000000000004</v>
      </c>
      <c r="M131" s="11" t="s">
        <v>634</v>
      </c>
      <c r="N131" s="11">
        <v>17528908</v>
      </c>
      <c r="O131" s="11" t="s">
        <v>37</v>
      </c>
      <c r="P131" s="11" t="s">
        <v>36</v>
      </c>
    </row>
    <row r="132" spans="1:16" ht="15.75" x14ac:dyDescent="0.25">
      <c r="A132" s="11">
        <v>2518</v>
      </c>
      <c r="B132" s="11">
        <v>19852</v>
      </c>
      <c r="C132" s="11" t="s">
        <v>317</v>
      </c>
      <c r="D132" s="11" t="s">
        <v>42</v>
      </c>
      <c r="E132" s="18">
        <v>45609</v>
      </c>
      <c r="F132" s="18">
        <v>45945</v>
      </c>
      <c r="G132" s="19">
        <v>11</v>
      </c>
      <c r="H132" s="20">
        <f>SUM(L132/K132)</f>
        <v>0.37025703794369647</v>
      </c>
      <c r="I132" s="20" t="s">
        <v>674</v>
      </c>
      <c r="J132" s="21" t="s">
        <v>669</v>
      </c>
      <c r="K132" s="11">
        <v>16.34</v>
      </c>
      <c r="L132" s="11">
        <v>6.05</v>
      </c>
      <c r="M132" s="11" t="s">
        <v>634</v>
      </c>
      <c r="N132" s="11">
        <v>17528908</v>
      </c>
      <c r="O132" s="11" t="s">
        <v>37</v>
      </c>
      <c r="P132" s="11" t="s">
        <v>36</v>
      </c>
    </row>
    <row r="133" spans="1:16" ht="15.75" x14ac:dyDescent="0.25">
      <c r="A133" s="11">
        <v>2518</v>
      </c>
      <c r="B133" s="11">
        <v>19851</v>
      </c>
      <c r="C133" s="11" t="s">
        <v>317</v>
      </c>
      <c r="D133" s="11" t="s">
        <v>31</v>
      </c>
      <c r="E133" s="18">
        <v>45609</v>
      </c>
      <c r="F133" s="18">
        <v>45945</v>
      </c>
      <c r="G133" s="19">
        <v>11</v>
      </c>
      <c r="H133" s="20">
        <f>SUM(L133/K133)</f>
        <v>0.37007440066133923</v>
      </c>
      <c r="I133" s="20" t="s">
        <v>674</v>
      </c>
      <c r="J133" s="21" t="s">
        <v>669</v>
      </c>
      <c r="K133" s="11">
        <v>36.29</v>
      </c>
      <c r="L133" s="11">
        <v>13.43</v>
      </c>
      <c r="M133" s="11" t="s">
        <v>634</v>
      </c>
      <c r="N133" s="11">
        <v>17528908</v>
      </c>
      <c r="O133" s="11" t="s">
        <v>37</v>
      </c>
      <c r="P133" s="11" t="s">
        <v>36</v>
      </c>
    </row>
    <row r="134" spans="1:16" ht="15.75" x14ac:dyDescent="0.25">
      <c r="A134" s="11">
        <v>2515</v>
      </c>
      <c r="B134" s="11">
        <v>18116</v>
      </c>
      <c r="C134" s="11" t="s">
        <v>143</v>
      </c>
      <c r="D134" s="11" t="s">
        <v>42</v>
      </c>
      <c r="E134" s="18">
        <v>45444</v>
      </c>
      <c r="F134" s="18">
        <v>45945</v>
      </c>
      <c r="G134" s="19">
        <v>16</v>
      </c>
      <c r="H134" s="20">
        <f>SUM(L134/K134)</f>
        <v>3.9779681762545899E-2</v>
      </c>
      <c r="I134" s="20" t="s">
        <v>672</v>
      </c>
      <c r="J134" s="21" t="s">
        <v>669</v>
      </c>
      <c r="K134" s="11">
        <v>-16.34</v>
      </c>
      <c r="L134" s="11">
        <v>-0.65</v>
      </c>
      <c r="M134" s="11" t="s">
        <v>634</v>
      </c>
      <c r="N134" s="11">
        <v>17528908</v>
      </c>
      <c r="O134" s="11" t="s">
        <v>37</v>
      </c>
      <c r="P134" s="11" t="s">
        <v>36</v>
      </c>
    </row>
    <row r="135" spans="1:16" ht="15.75" x14ac:dyDescent="0.25">
      <c r="A135" s="10">
        <v>2520</v>
      </c>
      <c r="B135" s="10">
        <v>27133</v>
      </c>
      <c r="C135" s="10" t="s">
        <v>438</v>
      </c>
      <c r="D135" s="10" t="s">
        <v>61</v>
      </c>
      <c r="E135" s="22">
        <v>45756</v>
      </c>
      <c r="F135" s="22">
        <v>45943</v>
      </c>
      <c r="G135" s="21">
        <v>6</v>
      </c>
      <c r="H135" s="20">
        <f>SUM(L135/K135)</f>
        <v>0.3666666666666667</v>
      </c>
      <c r="I135" s="20" t="s">
        <v>674</v>
      </c>
      <c r="J135" s="21" t="s">
        <v>669</v>
      </c>
      <c r="K135" s="10">
        <v>1.5</v>
      </c>
      <c r="L135" s="10">
        <v>0.55000000000000004</v>
      </c>
      <c r="M135" s="10" t="s">
        <v>634</v>
      </c>
      <c r="N135" s="10">
        <v>17528908</v>
      </c>
      <c r="O135" s="10" t="s">
        <v>37</v>
      </c>
      <c r="P135" s="10" t="s">
        <v>36</v>
      </c>
    </row>
    <row r="136" spans="1:16" ht="15.75" x14ac:dyDescent="0.25">
      <c r="A136" s="10">
        <v>2520</v>
      </c>
      <c r="B136" s="10">
        <v>27133</v>
      </c>
      <c r="C136" s="10" t="s">
        <v>438</v>
      </c>
      <c r="D136" s="10" t="s">
        <v>31</v>
      </c>
      <c r="E136" s="22">
        <v>45756</v>
      </c>
      <c r="F136" s="22">
        <v>45943</v>
      </c>
      <c r="G136" s="21">
        <v>6</v>
      </c>
      <c r="H136" s="20">
        <f>SUM(L136/K136)</f>
        <v>0.37007440066133923</v>
      </c>
      <c r="I136" s="20" t="s">
        <v>674</v>
      </c>
      <c r="J136" s="21" t="s">
        <v>669</v>
      </c>
      <c r="K136" s="10">
        <v>36.29</v>
      </c>
      <c r="L136" s="10">
        <v>13.43</v>
      </c>
      <c r="M136" s="10" t="s">
        <v>634</v>
      </c>
      <c r="N136" s="10">
        <v>17528908</v>
      </c>
      <c r="O136" s="10" t="s">
        <v>37</v>
      </c>
      <c r="P136" s="10" t="s">
        <v>36</v>
      </c>
    </row>
    <row r="137" spans="1:16" ht="15.75" x14ac:dyDescent="0.25">
      <c r="A137" s="11">
        <v>2513</v>
      </c>
      <c r="B137" s="11">
        <v>49983</v>
      </c>
      <c r="C137" s="11" t="s">
        <v>107</v>
      </c>
      <c r="D137" s="11" t="s">
        <v>42</v>
      </c>
      <c r="E137" s="18">
        <v>45275</v>
      </c>
      <c r="F137" s="18">
        <v>45947</v>
      </c>
      <c r="G137" s="19">
        <v>22</v>
      </c>
      <c r="H137" s="20">
        <f>SUM(L137/K137)</f>
        <v>4.0244523688232302E-2</v>
      </c>
      <c r="I137" s="20" t="s">
        <v>672</v>
      </c>
      <c r="J137" s="21" t="s">
        <v>669</v>
      </c>
      <c r="K137" s="11">
        <v>19.63</v>
      </c>
      <c r="L137" s="11">
        <v>0.79</v>
      </c>
      <c r="M137" s="11" t="s">
        <v>634</v>
      </c>
      <c r="N137" s="11">
        <v>17528908</v>
      </c>
      <c r="O137" s="11" t="s">
        <v>37</v>
      </c>
      <c r="P137" s="11" t="s">
        <v>36</v>
      </c>
    </row>
    <row r="138" spans="1:16" ht="15.75" x14ac:dyDescent="0.25">
      <c r="A138" s="11">
        <v>2513</v>
      </c>
      <c r="B138" s="11">
        <v>77735</v>
      </c>
      <c r="C138" s="11" t="s">
        <v>109</v>
      </c>
      <c r="D138" s="11" t="s">
        <v>61</v>
      </c>
      <c r="E138" s="18">
        <v>45302</v>
      </c>
      <c r="F138" s="18">
        <v>45943</v>
      </c>
      <c r="G138" s="19">
        <v>21</v>
      </c>
      <c r="H138" s="20">
        <f>SUM(L138/K138)</f>
        <v>0.04</v>
      </c>
      <c r="I138" s="20" t="s">
        <v>672</v>
      </c>
      <c r="J138" s="21" t="s">
        <v>669</v>
      </c>
      <c r="K138" s="11">
        <v>1.5</v>
      </c>
      <c r="L138" s="11">
        <v>0.06</v>
      </c>
      <c r="M138" s="11" t="s">
        <v>634</v>
      </c>
      <c r="N138" s="11">
        <v>17528908</v>
      </c>
      <c r="O138" s="11" t="s">
        <v>37</v>
      </c>
      <c r="P138" s="11" t="s">
        <v>36</v>
      </c>
    </row>
    <row r="139" spans="1:16" ht="15.75" x14ac:dyDescent="0.25">
      <c r="A139" s="11">
        <v>2513</v>
      </c>
      <c r="B139" s="11">
        <v>77736</v>
      </c>
      <c r="C139" s="11" t="s">
        <v>109</v>
      </c>
      <c r="D139" s="11" t="s">
        <v>42</v>
      </c>
      <c r="E139" s="18">
        <v>45302</v>
      </c>
      <c r="F139" s="18">
        <v>45943</v>
      </c>
      <c r="G139" s="19">
        <v>21</v>
      </c>
      <c r="H139" s="20">
        <f>SUM(L139/K139)</f>
        <v>3.9779681762545899E-2</v>
      </c>
      <c r="I139" s="20" t="s">
        <v>672</v>
      </c>
      <c r="J139" s="21" t="s">
        <v>669</v>
      </c>
      <c r="K139" s="11">
        <v>16.34</v>
      </c>
      <c r="L139" s="11">
        <v>0.65</v>
      </c>
      <c r="M139" s="11" t="s">
        <v>634</v>
      </c>
      <c r="N139" s="11">
        <v>17528908</v>
      </c>
      <c r="O139" s="11" t="s">
        <v>37</v>
      </c>
      <c r="P139" s="11" t="s">
        <v>36</v>
      </c>
    </row>
    <row r="140" spans="1:16" ht="15.75" x14ac:dyDescent="0.25">
      <c r="A140" s="11">
        <v>2513</v>
      </c>
      <c r="B140" s="11">
        <v>77735</v>
      </c>
      <c r="C140" s="11" t="s">
        <v>109</v>
      </c>
      <c r="D140" s="11" t="s">
        <v>31</v>
      </c>
      <c r="E140" s="18">
        <v>45302</v>
      </c>
      <c r="F140" s="18">
        <v>45943</v>
      </c>
      <c r="G140" s="19">
        <v>21</v>
      </c>
      <c r="H140" s="20">
        <f>SUM(L140/K140)</f>
        <v>3.9955910719206393E-2</v>
      </c>
      <c r="I140" s="20" t="s">
        <v>672</v>
      </c>
      <c r="J140" s="21" t="s">
        <v>669</v>
      </c>
      <c r="K140" s="11">
        <v>36.29</v>
      </c>
      <c r="L140" s="11">
        <v>1.45</v>
      </c>
      <c r="M140" s="11" t="s">
        <v>634</v>
      </c>
      <c r="N140" s="11">
        <v>17528908</v>
      </c>
      <c r="O140" s="11" t="s">
        <v>37</v>
      </c>
      <c r="P140" s="11" t="s">
        <v>36</v>
      </c>
    </row>
    <row r="141" spans="1:16" ht="15.75" x14ac:dyDescent="0.25">
      <c r="A141" s="11">
        <v>2515</v>
      </c>
      <c r="B141" s="11">
        <v>84620</v>
      </c>
      <c r="C141" s="11" t="s">
        <v>179</v>
      </c>
      <c r="D141" s="11" t="s">
        <v>61</v>
      </c>
      <c r="E141" s="18">
        <v>45482</v>
      </c>
      <c r="F141" s="18">
        <v>45943</v>
      </c>
      <c r="G141" s="19">
        <v>15</v>
      </c>
      <c r="H141" s="20">
        <f>SUM(L141/K141)</f>
        <v>0.04</v>
      </c>
      <c r="I141" s="20" t="s">
        <v>672</v>
      </c>
      <c r="J141" s="21" t="s">
        <v>669</v>
      </c>
      <c r="K141" s="11">
        <v>1.5</v>
      </c>
      <c r="L141" s="11">
        <v>0.06</v>
      </c>
      <c r="M141" s="11" t="s">
        <v>634</v>
      </c>
      <c r="N141" s="11">
        <v>17528908</v>
      </c>
      <c r="O141" s="11" t="s">
        <v>37</v>
      </c>
      <c r="P141" s="11" t="s">
        <v>36</v>
      </c>
    </row>
    <row r="142" spans="1:16" ht="15.75" x14ac:dyDescent="0.25">
      <c r="A142" s="11">
        <v>2515</v>
      </c>
      <c r="B142" s="11">
        <v>84620</v>
      </c>
      <c r="C142" s="11" t="s">
        <v>179</v>
      </c>
      <c r="D142" s="11" t="s">
        <v>31</v>
      </c>
      <c r="E142" s="18">
        <v>45482</v>
      </c>
      <c r="F142" s="18">
        <v>45943</v>
      </c>
      <c r="G142" s="19">
        <v>15</v>
      </c>
      <c r="H142" s="20">
        <f>SUM(L142/K142)</f>
        <v>3.9955910719206393E-2</v>
      </c>
      <c r="I142" s="20" t="s">
        <v>672</v>
      </c>
      <c r="J142" s="21" t="s">
        <v>669</v>
      </c>
      <c r="K142" s="11">
        <v>36.29</v>
      </c>
      <c r="L142" s="11">
        <v>1.45</v>
      </c>
      <c r="M142" s="11" t="s">
        <v>634</v>
      </c>
      <c r="N142" s="11">
        <v>17528908</v>
      </c>
      <c r="O142" s="11" t="s">
        <v>37</v>
      </c>
      <c r="P142" s="11" t="s">
        <v>36</v>
      </c>
    </row>
    <row r="143" spans="1:16" ht="15.75" x14ac:dyDescent="0.25">
      <c r="A143" s="11">
        <v>2518</v>
      </c>
      <c r="B143" s="11">
        <v>72509</v>
      </c>
      <c r="C143" s="11" t="s">
        <v>360</v>
      </c>
      <c r="D143" s="11" t="s">
        <v>42</v>
      </c>
      <c r="E143" s="18">
        <v>45639</v>
      </c>
      <c r="F143" s="18">
        <v>45945</v>
      </c>
      <c r="G143" s="19">
        <v>10</v>
      </c>
      <c r="H143" s="20">
        <f>SUM(L143/K143)</f>
        <v>0.37025703794369647</v>
      </c>
      <c r="I143" s="20" t="s">
        <v>674</v>
      </c>
      <c r="J143" s="21" t="s">
        <v>669</v>
      </c>
      <c r="K143" s="11">
        <v>16.34</v>
      </c>
      <c r="L143" s="11">
        <v>6.05</v>
      </c>
      <c r="M143" s="11" t="s">
        <v>634</v>
      </c>
      <c r="N143" s="11">
        <v>17528908</v>
      </c>
      <c r="O143" s="11" t="s">
        <v>37</v>
      </c>
      <c r="P143" s="11" t="s">
        <v>36</v>
      </c>
    </row>
    <row r="144" spans="1:16" ht="15.75" x14ac:dyDescent="0.25">
      <c r="A144" s="11">
        <v>2512</v>
      </c>
      <c r="B144" s="11">
        <v>54452</v>
      </c>
      <c r="C144" s="11" t="s">
        <v>72</v>
      </c>
      <c r="D144" s="11" t="s">
        <v>61</v>
      </c>
      <c r="E144" s="18">
        <v>45292</v>
      </c>
      <c r="F144" s="18">
        <v>45945</v>
      </c>
      <c r="G144" s="19">
        <v>21</v>
      </c>
      <c r="H144" s="20">
        <f>SUM(L144/K144)</f>
        <v>4.0892193308550186E-2</v>
      </c>
      <c r="I144" s="20" t="s">
        <v>672</v>
      </c>
      <c r="J144" s="21" t="s">
        <v>669</v>
      </c>
      <c r="K144" s="11">
        <v>2.69</v>
      </c>
      <c r="L144" s="11">
        <v>0.11</v>
      </c>
      <c r="M144" s="11" t="s">
        <v>634</v>
      </c>
      <c r="N144" s="11">
        <v>17528908</v>
      </c>
      <c r="O144" s="11" t="s">
        <v>37</v>
      </c>
      <c r="P144" s="11" t="s">
        <v>36</v>
      </c>
    </row>
    <row r="145" spans="1:16" ht="15.75" x14ac:dyDescent="0.25">
      <c r="A145" s="11">
        <v>2512</v>
      </c>
      <c r="B145" s="11">
        <v>54452</v>
      </c>
      <c r="C145" s="11" t="s">
        <v>72</v>
      </c>
      <c r="D145" s="11" t="s">
        <v>31</v>
      </c>
      <c r="E145" s="18">
        <v>45292</v>
      </c>
      <c r="F145" s="18">
        <v>45945</v>
      </c>
      <c r="G145" s="19">
        <v>21</v>
      </c>
      <c r="H145" s="20">
        <f>SUM(L145/K145)</f>
        <v>3.995040639206502E-2</v>
      </c>
      <c r="I145" s="20" t="s">
        <v>672</v>
      </c>
      <c r="J145" s="21" t="s">
        <v>669</v>
      </c>
      <c r="K145" s="11">
        <v>72.59</v>
      </c>
      <c r="L145" s="11">
        <v>2.9</v>
      </c>
      <c r="M145" s="11" t="s">
        <v>634</v>
      </c>
      <c r="N145" s="11">
        <v>17528908</v>
      </c>
      <c r="O145" s="11" t="s">
        <v>37</v>
      </c>
      <c r="P145" s="11" t="s">
        <v>36</v>
      </c>
    </row>
    <row r="146" spans="1:16" ht="15.75" x14ac:dyDescent="0.25">
      <c r="A146" s="11">
        <v>2516</v>
      </c>
      <c r="B146" s="11">
        <v>20247</v>
      </c>
      <c r="C146" s="11" t="s">
        <v>219</v>
      </c>
      <c r="D146" s="11" t="s">
        <v>31</v>
      </c>
      <c r="E146" s="18">
        <v>45517</v>
      </c>
      <c r="F146" s="18">
        <v>45945</v>
      </c>
      <c r="G146" s="19">
        <v>14</v>
      </c>
      <c r="H146" s="20">
        <f>SUM(L146/K146)</f>
        <v>3.9964672113049243E-2</v>
      </c>
      <c r="I146" s="20" t="s">
        <v>672</v>
      </c>
      <c r="J146" s="21" t="s">
        <v>669</v>
      </c>
      <c r="K146" s="11">
        <v>45.29</v>
      </c>
      <c r="L146" s="11">
        <v>1.81</v>
      </c>
      <c r="M146" s="11" t="s">
        <v>658</v>
      </c>
      <c r="N146" s="11">
        <v>8814784</v>
      </c>
      <c r="O146" s="11" t="s">
        <v>37</v>
      </c>
      <c r="P146" s="11" t="s">
        <v>36</v>
      </c>
    </row>
    <row r="147" spans="1:16" ht="15.75" x14ac:dyDescent="0.25">
      <c r="A147" s="11">
        <v>2516</v>
      </c>
      <c r="B147" s="11">
        <v>20242</v>
      </c>
      <c r="C147" s="11" t="s">
        <v>214</v>
      </c>
      <c r="D147" s="11" t="s">
        <v>31</v>
      </c>
      <c r="E147" s="18">
        <v>45517</v>
      </c>
      <c r="F147" s="18">
        <v>45945</v>
      </c>
      <c r="G147" s="19">
        <v>14</v>
      </c>
      <c r="H147" s="20">
        <f>SUM(L147/K147)</f>
        <v>3.9964672113049243E-2</v>
      </c>
      <c r="I147" s="20" t="s">
        <v>672</v>
      </c>
      <c r="J147" s="21" t="s">
        <v>669</v>
      </c>
      <c r="K147" s="11">
        <v>45.29</v>
      </c>
      <c r="L147" s="11">
        <v>1.81</v>
      </c>
      <c r="M147" s="11" t="s">
        <v>658</v>
      </c>
      <c r="N147" s="11">
        <v>8814784</v>
      </c>
      <c r="O147" s="11" t="s">
        <v>37</v>
      </c>
      <c r="P147" s="11" t="s">
        <v>36</v>
      </c>
    </row>
    <row r="148" spans="1:16" ht="15.75" x14ac:dyDescent="0.25">
      <c r="A148" s="11">
        <v>2515</v>
      </c>
      <c r="B148" s="11">
        <v>90996</v>
      </c>
      <c r="C148" s="11" t="s">
        <v>203</v>
      </c>
      <c r="D148" s="11" t="s">
        <v>31</v>
      </c>
      <c r="E148" s="18">
        <v>45486</v>
      </c>
      <c r="F148" s="18">
        <v>45945</v>
      </c>
      <c r="G148" s="19">
        <v>15</v>
      </c>
      <c r="H148" s="20">
        <f>SUM(L148/K148)</f>
        <v>3.997905027932961E-2</v>
      </c>
      <c r="I148" s="20" t="s">
        <v>672</v>
      </c>
      <c r="J148" s="21" t="s">
        <v>669</v>
      </c>
      <c r="K148" s="11">
        <v>57.28</v>
      </c>
      <c r="L148" s="11">
        <v>2.29</v>
      </c>
      <c r="M148" s="11" t="s">
        <v>644</v>
      </c>
      <c r="N148" s="11">
        <v>9213293</v>
      </c>
      <c r="O148" s="11" t="s">
        <v>37</v>
      </c>
      <c r="P148" s="11" t="s">
        <v>36</v>
      </c>
    </row>
    <row r="149" spans="1:16" ht="15.75" x14ac:dyDescent="0.25">
      <c r="A149" s="10">
        <v>2523</v>
      </c>
      <c r="B149" s="10">
        <v>16937</v>
      </c>
      <c r="C149" s="10" t="s">
        <v>617</v>
      </c>
      <c r="D149" s="10" t="s">
        <v>61</v>
      </c>
      <c r="E149" s="22">
        <v>45945</v>
      </c>
      <c r="F149" s="22">
        <v>45947</v>
      </c>
      <c r="G149" s="21">
        <v>0</v>
      </c>
      <c r="H149" s="20">
        <f>SUM(L149/K149)</f>
        <v>0.37174721189591081</v>
      </c>
      <c r="I149" s="20" t="s">
        <v>674</v>
      </c>
      <c r="J149" s="21" t="s">
        <v>669</v>
      </c>
      <c r="K149" s="10">
        <v>2.69</v>
      </c>
      <c r="L149" s="10">
        <v>1</v>
      </c>
      <c r="M149" s="10" t="s">
        <v>644</v>
      </c>
      <c r="N149" s="10">
        <v>9213293</v>
      </c>
      <c r="O149" s="10" t="s">
        <v>37</v>
      </c>
      <c r="P149" s="10" t="s">
        <v>36</v>
      </c>
    </row>
    <row r="150" spans="1:16" ht="15.75" x14ac:dyDescent="0.25">
      <c r="A150" s="10">
        <v>2523</v>
      </c>
      <c r="B150" s="10">
        <v>16938</v>
      </c>
      <c r="C150" s="10" t="s">
        <v>617</v>
      </c>
      <c r="D150" s="10" t="s">
        <v>42</v>
      </c>
      <c r="E150" s="22">
        <v>45945</v>
      </c>
      <c r="F150" s="22">
        <v>45947</v>
      </c>
      <c r="G150" s="21">
        <v>0</v>
      </c>
      <c r="H150" s="20">
        <f>SUM(L150/K150)</f>
        <v>0.37013634852011973</v>
      </c>
      <c r="I150" s="20" t="s">
        <v>674</v>
      </c>
      <c r="J150" s="21" t="s">
        <v>669</v>
      </c>
      <c r="K150" s="10">
        <v>30.07</v>
      </c>
      <c r="L150" s="10">
        <v>11.13</v>
      </c>
      <c r="M150" s="10" t="s">
        <v>644</v>
      </c>
      <c r="N150" s="10">
        <v>9213293</v>
      </c>
      <c r="O150" s="10" t="s">
        <v>37</v>
      </c>
      <c r="P150" s="10" t="s">
        <v>36</v>
      </c>
    </row>
    <row r="151" spans="1:16" ht="15.75" x14ac:dyDescent="0.25">
      <c r="A151" s="10">
        <v>2523</v>
      </c>
      <c r="B151" s="10">
        <v>16937</v>
      </c>
      <c r="C151" s="10" t="s">
        <v>617</v>
      </c>
      <c r="D151" s="10" t="s">
        <v>31</v>
      </c>
      <c r="E151" s="22">
        <v>45945</v>
      </c>
      <c r="F151" s="22">
        <v>45947</v>
      </c>
      <c r="G151" s="21">
        <v>0</v>
      </c>
      <c r="H151" s="20">
        <f>SUM(L151/K151)</f>
        <v>0.36996154393960978</v>
      </c>
      <c r="I151" s="20" t="s">
        <v>674</v>
      </c>
      <c r="J151" s="21" t="s">
        <v>669</v>
      </c>
      <c r="K151" s="10">
        <v>140.41999999999999</v>
      </c>
      <c r="L151" s="10">
        <v>51.95</v>
      </c>
      <c r="M151" s="10" t="s">
        <v>644</v>
      </c>
      <c r="N151" s="10">
        <v>9213293</v>
      </c>
      <c r="O151" s="10" t="s">
        <v>37</v>
      </c>
      <c r="P151" s="10" t="s">
        <v>36</v>
      </c>
    </row>
    <row r="152" spans="1:16" ht="15.75" x14ac:dyDescent="0.25">
      <c r="A152" s="11">
        <v>2516</v>
      </c>
      <c r="B152" s="11">
        <v>60485</v>
      </c>
      <c r="C152" s="11" t="s">
        <v>258</v>
      </c>
      <c r="D152" s="11" t="s">
        <v>61</v>
      </c>
      <c r="E152" s="18">
        <v>45577</v>
      </c>
      <c r="F152" s="18">
        <v>45944</v>
      </c>
      <c r="G152" s="19">
        <v>12</v>
      </c>
      <c r="H152" s="20">
        <f>SUM(L152/K152)</f>
        <v>0.04</v>
      </c>
      <c r="I152" s="20" t="s">
        <v>672</v>
      </c>
      <c r="J152" s="21" t="s">
        <v>669</v>
      </c>
      <c r="K152" s="11">
        <v>1.5</v>
      </c>
      <c r="L152" s="11">
        <v>0.06</v>
      </c>
      <c r="M152" s="11" t="s">
        <v>644</v>
      </c>
      <c r="N152" s="11">
        <v>9213293</v>
      </c>
      <c r="O152" s="11" t="s">
        <v>37</v>
      </c>
      <c r="P152" s="11" t="s">
        <v>36</v>
      </c>
    </row>
    <row r="153" spans="1:16" ht="15.75" x14ac:dyDescent="0.25">
      <c r="A153" s="11">
        <v>2516</v>
      </c>
      <c r="B153" s="11">
        <v>60485</v>
      </c>
      <c r="C153" s="11" t="s">
        <v>258</v>
      </c>
      <c r="D153" s="11" t="s">
        <v>31</v>
      </c>
      <c r="E153" s="18">
        <v>45577</v>
      </c>
      <c r="F153" s="18">
        <v>45944</v>
      </c>
      <c r="G153" s="19">
        <v>12</v>
      </c>
      <c r="H153" s="20">
        <f>SUM(L153/K153)</f>
        <v>3.9983253087711952E-2</v>
      </c>
      <c r="I153" s="20" t="s">
        <v>672</v>
      </c>
      <c r="J153" s="21" t="s">
        <v>669</v>
      </c>
      <c r="K153" s="11">
        <v>47.77</v>
      </c>
      <c r="L153" s="11">
        <v>1.91</v>
      </c>
      <c r="M153" s="11" t="s">
        <v>644</v>
      </c>
      <c r="N153" s="11">
        <v>9213293</v>
      </c>
      <c r="O153" s="11" t="s">
        <v>37</v>
      </c>
      <c r="P153" s="11" t="s">
        <v>36</v>
      </c>
    </row>
    <row r="154" spans="1:16" ht="15.75" x14ac:dyDescent="0.25">
      <c r="A154" s="10">
        <v>2520</v>
      </c>
      <c r="B154" s="10">
        <v>46244</v>
      </c>
      <c r="C154" s="10" t="s">
        <v>452</v>
      </c>
      <c r="D154" s="10" t="s">
        <v>42</v>
      </c>
      <c r="E154" s="22">
        <v>45792</v>
      </c>
      <c r="F154" s="22">
        <v>45947</v>
      </c>
      <c r="G154" s="21">
        <v>5</v>
      </c>
      <c r="H154" s="20">
        <f>SUM(L154/K154)</f>
        <v>0.3701968134957826</v>
      </c>
      <c r="I154" s="20" t="s">
        <v>674</v>
      </c>
      <c r="J154" s="21" t="s">
        <v>669</v>
      </c>
      <c r="K154" s="10">
        <v>10.67</v>
      </c>
      <c r="L154" s="10">
        <v>3.95</v>
      </c>
      <c r="M154" s="10" t="s">
        <v>644</v>
      </c>
      <c r="N154" s="10">
        <v>9213293</v>
      </c>
      <c r="O154" s="10" t="s">
        <v>37</v>
      </c>
      <c r="P154" s="10" t="s">
        <v>36</v>
      </c>
    </row>
    <row r="155" spans="1:16" ht="15.75" x14ac:dyDescent="0.25">
      <c r="A155" s="10">
        <v>2520</v>
      </c>
      <c r="B155" s="10">
        <v>46243</v>
      </c>
      <c r="C155" s="10" t="s">
        <v>452</v>
      </c>
      <c r="D155" s="10" t="s">
        <v>31</v>
      </c>
      <c r="E155" s="22">
        <v>45792</v>
      </c>
      <c r="F155" s="22">
        <v>45947</v>
      </c>
      <c r="G155" s="21">
        <v>5</v>
      </c>
      <c r="H155" s="20">
        <f>SUM(L155/K155)</f>
        <v>0.37005961580922947</v>
      </c>
      <c r="I155" s="20" t="s">
        <v>674</v>
      </c>
      <c r="J155" s="21" t="s">
        <v>669</v>
      </c>
      <c r="K155" s="10">
        <v>45.29</v>
      </c>
      <c r="L155" s="10">
        <v>16.760000000000002</v>
      </c>
      <c r="M155" s="10" t="s">
        <v>644</v>
      </c>
      <c r="N155" s="10">
        <v>9213293</v>
      </c>
      <c r="O155" s="10" t="s">
        <v>37</v>
      </c>
      <c r="P155" s="10" t="s">
        <v>36</v>
      </c>
    </row>
    <row r="156" spans="1:16" ht="15.75" x14ac:dyDescent="0.25">
      <c r="A156" s="10">
        <v>2523</v>
      </c>
      <c r="B156" s="10">
        <v>15631</v>
      </c>
      <c r="C156" s="10" t="s">
        <v>615</v>
      </c>
      <c r="D156" s="10" t="s">
        <v>31</v>
      </c>
      <c r="E156" s="22">
        <v>45944</v>
      </c>
      <c r="F156" s="22">
        <v>45946</v>
      </c>
      <c r="G156" s="21">
        <v>0</v>
      </c>
      <c r="H156" s="20">
        <f>SUM(L156/K156)</f>
        <v>0.36996460475307602</v>
      </c>
      <c r="I156" s="20" t="s">
        <v>674</v>
      </c>
      <c r="J156" s="21" t="s">
        <v>669</v>
      </c>
      <c r="K156" s="10">
        <v>59.33</v>
      </c>
      <c r="L156" s="10">
        <v>21.95</v>
      </c>
      <c r="M156" s="10" t="s">
        <v>644</v>
      </c>
      <c r="N156" s="10">
        <v>9213293</v>
      </c>
      <c r="O156" s="10" t="s">
        <v>37</v>
      </c>
      <c r="P156" s="10" t="s">
        <v>36</v>
      </c>
    </row>
    <row r="157" spans="1:16" ht="15.75" x14ac:dyDescent="0.25">
      <c r="A157" s="10">
        <v>2520</v>
      </c>
      <c r="B157" s="10">
        <v>70016</v>
      </c>
      <c r="C157" s="10" t="s">
        <v>485</v>
      </c>
      <c r="D157" s="10" t="s">
        <v>61</v>
      </c>
      <c r="E157" s="22">
        <v>45792</v>
      </c>
      <c r="F157" s="22">
        <v>45947</v>
      </c>
      <c r="G157" s="21">
        <v>5</v>
      </c>
      <c r="H157" s="20">
        <f>SUM(L157/K157)</f>
        <v>0.3666666666666667</v>
      </c>
      <c r="I157" s="20" t="s">
        <v>674</v>
      </c>
      <c r="J157" s="21" t="s">
        <v>669</v>
      </c>
      <c r="K157" s="10">
        <v>1.5</v>
      </c>
      <c r="L157" s="10">
        <v>0.55000000000000004</v>
      </c>
      <c r="M157" s="10" t="s">
        <v>644</v>
      </c>
      <c r="N157" s="10">
        <v>9213293</v>
      </c>
      <c r="O157" s="10" t="s">
        <v>37</v>
      </c>
      <c r="P157" s="10" t="s">
        <v>36</v>
      </c>
    </row>
    <row r="158" spans="1:16" ht="15.75" x14ac:dyDescent="0.25">
      <c r="A158" s="10">
        <v>2520</v>
      </c>
      <c r="B158" s="10">
        <v>70016</v>
      </c>
      <c r="C158" s="10" t="s">
        <v>485</v>
      </c>
      <c r="D158" s="10" t="s">
        <v>31</v>
      </c>
      <c r="E158" s="22">
        <v>45792</v>
      </c>
      <c r="F158" s="22">
        <v>45947</v>
      </c>
      <c r="G158" s="21">
        <v>5</v>
      </c>
      <c r="H158" s="20">
        <f>SUM(L158/K158)</f>
        <v>0.37007618738855569</v>
      </c>
      <c r="I158" s="20" t="s">
        <v>674</v>
      </c>
      <c r="J158" s="21" t="s">
        <v>669</v>
      </c>
      <c r="K158" s="10">
        <v>61.69</v>
      </c>
      <c r="L158" s="10">
        <v>22.83</v>
      </c>
      <c r="M158" s="10" t="s">
        <v>644</v>
      </c>
      <c r="N158" s="10">
        <v>9213293</v>
      </c>
      <c r="O158" s="10" t="s">
        <v>37</v>
      </c>
      <c r="P158" s="10" t="s">
        <v>36</v>
      </c>
    </row>
    <row r="159" spans="1:16" ht="15.75" x14ac:dyDescent="0.25">
      <c r="A159" s="10">
        <v>2520</v>
      </c>
      <c r="B159" s="10">
        <v>93466</v>
      </c>
      <c r="C159" s="10" t="s">
        <v>497</v>
      </c>
      <c r="D159" s="10" t="s">
        <v>42</v>
      </c>
      <c r="E159" s="22">
        <v>45817</v>
      </c>
      <c r="F159" s="22">
        <v>45943</v>
      </c>
      <c r="G159" s="21">
        <v>4</v>
      </c>
      <c r="H159" s="20">
        <f>SUM(L159/K159)</f>
        <v>0.37025703794369647</v>
      </c>
      <c r="I159" s="20" t="s">
        <v>674</v>
      </c>
      <c r="J159" s="21" t="s">
        <v>669</v>
      </c>
      <c r="K159" s="10">
        <v>16.34</v>
      </c>
      <c r="L159" s="10">
        <v>6.05</v>
      </c>
      <c r="M159" s="10" t="s">
        <v>644</v>
      </c>
      <c r="N159" s="10">
        <v>9213293</v>
      </c>
      <c r="O159" s="10" t="s">
        <v>37</v>
      </c>
      <c r="P159" s="10" t="s">
        <v>36</v>
      </c>
    </row>
    <row r="160" spans="1:16" ht="15.75" x14ac:dyDescent="0.25">
      <c r="A160" s="10">
        <v>2520</v>
      </c>
      <c r="B160" s="10">
        <v>93465</v>
      </c>
      <c r="C160" s="10" t="s">
        <v>497</v>
      </c>
      <c r="D160" s="10" t="s">
        <v>31</v>
      </c>
      <c r="E160" s="22">
        <v>45817</v>
      </c>
      <c r="F160" s="22">
        <v>45943</v>
      </c>
      <c r="G160" s="21">
        <v>4</v>
      </c>
      <c r="H160" s="20">
        <f>SUM(L160/K160)</f>
        <v>0.36993715083798884</v>
      </c>
      <c r="I160" s="20" t="s">
        <v>674</v>
      </c>
      <c r="J160" s="21" t="s">
        <v>669</v>
      </c>
      <c r="K160" s="10">
        <v>57.28</v>
      </c>
      <c r="L160" s="10">
        <v>21.19</v>
      </c>
      <c r="M160" s="10" t="s">
        <v>644</v>
      </c>
      <c r="N160" s="10">
        <v>9213293</v>
      </c>
      <c r="O160" s="10" t="s">
        <v>37</v>
      </c>
      <c r="P160" s="10" t="s">
        <v>36</v>
      </c>
    </row>
    <row r="161" spans="1:16" ht="15.75" x14ac:dyDescent="0.25">
      <c r="A161" s="11">
        <v>2516</v>
      </c>
      <c r="B161" s="11">
        <v>49262</v>
      </c>
      <c r="C161" s="11" t="s">
        <v>247</v>
      </c>
      <c r="D161" s="11" t="s">
        <v>42</v>
      </c>
      <c r="E161" s="18">
        <v>45546</v>
      </c>
      <c r="F161" s="18">
        <v>45943</v>
      </c>
      <c r="G161" s="19">
        <v>13</v>
      </c>
      <c r="H161" s="20">
        <f>SUM(L161/K161)</f>
        <v>3.9812646370023429E-2</v>
      </c>
      <c r="I161" s="20" t="s">
        <v>672</v>
      </c>
      <c r="J161" s="21" t="s">
        <v>669</v>
      </c>
      <c r="K161" s="11">
        <v>8.5399999999999991</v>
      </c>
      <c r="L161" s="11">
        <v>0.34</v>
      </c>
      <c r="M161" s="11" t="s">
        <v>644</v>
      </c>
      <c r="N161" s="11">
        <v>9213293</v>
      </c>
      <c r="O161" s="11" t="s">
        <v>37</v>
      </c>
      <c r="P161" s="11" t="s">
        <v>36</v>
      </c>
    </row>
    <row r="162" spans="1:16" ht="15.75" x14ac:dyDescent="0.25">
      <c r="A162" s="10">
        <v>2521</v>
      </c>
      <c r="B162" s="10">
        <v>87733</v>
      </c>
      <c r="C162" s="10" t="s">
        <v>588</v>
      </c>
      <c r="D162" s="10" t="s">
        <v>31</v>
      </c>
      <c r="E162" s="22">
        <v>45910</v>
      </c>
      <c r="F162" s="22">
        <v>45943</v>
      </c>
      <c r="G162" s="21">
        <v>1</v>
      </c>
      <c r="H162" s="20">
        <f>SUM(L162/K162)</f>
        <v>0.36984448951994592</v>
      </c>
      <c r="I162" s="20" t="s">
        <v>674</v>
      </c>
      <c r="J162" s="21" t="s">
        <v>669</v>
      </c>
      <c r="K162" s="10">
        <v>29.58</v>
      </c>
      <c r="L162" s="10">
        <v>10.94</v>
      </c>
      <c r="M162" s="10" t="s">
        <v>644</v>
      </c>
      <c r="N162" s="10">
        <v>9213293</v>
      </c>
      <c r="O162" s="10" t="s">
        <v>37</v>
      </c>
      <c r="P162" s="10" t="s">
        <v>36</v>
      </c>
    </row>
    <row r="163" spans="1:16" ht="15.75" x14ac:dyDescent="0.25">
      <c r="A163" s="11">
        <v>2515</v>
      </c>
      <c r="B163" s="11">
        <v>89042</v>
      </c>
      <c r="C163" s="11" t="s">
        <v>188</v>
      </c>
      <c r="D163" s="11" t="s">
        <v>42</v>
      </c>
      <c r="E163" s="18">
        <v>45485</v>
      </c>
      <c r="F163" s="18">
        <v>45943</v>
      </c>
      <c r="G163" s="19">
        <v>15</v>
      </c>
      <c r="H163" s="20">
        <f>SUM(L163/K163)</f>
        <v>4.0299906279287721E-2</v>
      </c>
      <c r="I163" s="20" t="s">
        <v>672</v>
      </c>
      <c r="J163" s="21" t="s">
        <v>669</v>
      </c>
      <c r="K163" s="11">
        <v>10.67</v>
      </c>
      <c r="L163" s="11">
        <v>0.43</v>
      </c>
      <c r="M163" s="11" t="s">
        <v>644</v>
      </c>
      <c r="N163" s="11">
        <v>9213293</v>
      </c>
      <c r="O163" s="11" t="s">
        <v>37</v>
      </c>
      <c r="P163" s="11" t="s">
        <v>36</v>
      </c>
    </row>
    <row r="164" spans="1:16" ht="15.75" x14ac:dyDescent="0.25">
      <c r="A164" s="11">
        <v>2515</v>
      </c>
      <c r="B164" s="11">
        <v>89041</v>
      </c>
      <c r="C164" s="11" t="s">
        <v>188</v>
      </c>
      <c r="D164" s="11" t="s">
        <v>31</v>
      </c>
      <c r="E164" s="18">
        <v>45485</v>
      </c>
      <c r="F164" s="18">
        <v>45943</v>
      </c>
      <c r="G164" s="19">
        <v>15</v>
      </c>
      <c r="H164" s="20">
        <f>SUM(L164/K164)</f>
        <v>3.9964672113049243E-2</v>
      </c>
      <c r="I164" s="20" t="s">
        <v>672</v>
      </c>
      <c r="J164" s="21" t="s">
        <v>669</v>
      </c>
      <c r="K164" s="11">
        <v>45.29</v>
      </c>
      <c r="L164" s="11">
        <v>1.81</v>
      </c>
      <c r="M164" s="11" t="s">
        <v>644</v>
      </c>
      <c r="N164" s="11">
        <v>9213293</v>
      </c>
      <c r="O164" s="11" t="s">
        <v>37</v>
      </c>
      <c r="P164" s="11" t="s">
        <v>36</v>
      </c>
    </row>
    <row r="165" spans="1:16" ht="15.75" x14ac:dyDescent="0.25">
      <c r="A165" s="11">
        <v>2518</v>
      </c>
      <c r="B165" s="11">
        <v>16185</v>
      </c>
      <c r="C165" s="11" t="s">
        <v>298</v>
      </c>
      <c r="D165" s="11" t="s">
        <v>42</v>
      </c>
      <c r="E165" s="18">
        <v>45607</v>
      </c>
      <c r="F165" s="18">
        <v>45943</v>
      </c>
      <c r="G165" s="19">
        <v>11</v>
      </c>
      <c r="H165" s="20">
        <f>SUM(L165/K165)</f>
        <v>0.37025703794369647</v>
      </c>
      <c r="I165" s="20" t="s">
        <v>674</v>
      </c>
      <c r="J165" s="21" t="s">
        <v>669</v>
      </c>
      <c r="K165" s="11">
        <v>16.34</v>
      </c>
      <c r="L165" s="11">
        <v>6.05</v>
      </c>
      <c r="M165" s="11" t="s">
        <v>656</v>
      </c>
      <c r="N165" s="11">
        <v>16865615</v>
      </c>
      <c r="O165" s="11" t="s">
        <v>37</v>
      </c>
      <c r="P165" s="11" t="s">
        <v>36</v>
      </c>
    </row>
    <row r="166" spans="1:16" ht="15.75" x14ac:dyDescent="0.25">
      <c r="A166" s="11">
        <v>2519</v>
      </c>
      <c r="B166" s="11">
        <v>8129</v>
      </c>
      <c r="C166" s="11" t="s">
        <v>378</v>
      </c>
      <c r="D166" s="11" t="s">
        <v>31</v>
      </c>
      <c r="E166" s="18">
        <v>45666</v>
      </c>
      <c r="F166" s="18">
        <v>45943</v>
      </c>
      <c r="G166" s="19">
        <v>9</v>
      </c>
      <c r="H166" s="20">
        <f>SUM(L166/K166)</f>
        <v>0.36996497373029774</v>
      </c>
      <c r="I166" s="20" t="s">
        <v>674</v>
      </c>
      <c r="J166" s="21" t="s">
        <v>669</v>
      </c>
      <c r="K166" s="11">
        <v>68.52</v>
      </c>
      <c r="L166" s="11">
        <v>25.35</v>
      </c>
      <c r="M166" s="11" t="s">
        <v>653</v>
      </c>
      <c r="N166" s="11">
        <v>18754354</v>
      </c>
      <c r="O166" s="11" t="s">
        <v>37</v>
      </c>
      <c r="P166" s="11" t="s">
        <v>36</v>
      </c>
    </row>
    <row r="167" spans="1:16" ht="15.75" x14ac:dyDescent="0.25">
      <c r="A167" s="11">
        <v>2518</v>
      </c>
      <c r="B167" s="11">
        <v>18592</v>
      </c>
      <c r="C167" s="11" t="s">
        <v>313</v>
      </c>
      <c r="D167" s="11" t="s">
        <v>31</v>
      </c>
      <c r="E167" s="18">
        <v>45608</v>
      </c>
      <c r="F167" s="18">
        <v>45944</v>
      </c>
      <c r="G167" s="19">
        <v>11</v>
      </c>
      <c r="H167" s="20">
        <f>SUM(L167/K167)</f>
        <v>0.37000134643866972</v>
      </c>
      <c r="I167" s="20" t="s">
        <v>674</v>
      </c>
      <c r="J167" s="21" t="s">
        <v>669</v>
      </c>
      <c r="K167" s="11">
        <v>74.27</v>
      </c>
      <c r="L167" s="11">
        <v>27.48</v>
      </c>
      <c r="M167" s="11" t="s">
        <v>653</v>
      </c>
      <c r="N167" s="11">
        <v>18754354</v>
      </c>
      <c r="O167" s="11" t="s">
        <v>37</v>
      </c>
      <c r="P167" s="11" t="s">
        <v>36</v>
      </c>
    </row>
    <row r="168" spans="1:16" ht="15.75" x14ac:dyDescent="0.25">
      <c r="A168" s="12">
        <v>2520</v>
      </c>
      <c r="B168" s="12">
        <v>92493</v>
      </c>
      <c r="C168" s="12" t="s">
        <v>491</v>
      </c>
      <c r="D168" s="12" t="s">
        <v>42</v>
      </c>
      <c r="E168" s="23">
        <v>45814</v>
      </c>
      <c r="F168" s="23">
        <v>45943</v>
      </c>
      <c r="G168" s="24">
        <v>4</v>
      </c>
      <c r="H168" s="20">
        <f>SUM(L168/K168)</f>
        <v>0.3701968134957826</v>
      </c>
      <c r="I168" s="20" t="s">
        <v>674</v>
      </c>
      <c r="J168" s="24" t="s">
        <v>668</v>
      </c>
      <c r="K168" s="12">
        <v>-10.67</v>
      </c>
      <c r="L168" s="12">
        <v>-3.95</v>
      </c>
      <c r="M168" s="12" t="s">
        <v>647</v>
      </c>
      <c r="N168" s="12">
        <v>18201929</v>
      </c>
      <c r="O168" s="12" t="s">
        <v>37</v>
      </c>
      <c r="P168" s="12" t="s">
        <v>36</v>
      </c>
    </row>
    <row r="169" spans="1:16" ht="15.75" x14ac:dyDescent="0.25">
      <c r="A169" s="12">
        <v>2520</v>
      </c>
      <c r="B169" s="12">
        <v>97536</v>
      </c>
      <c r="C169" s="12" t="s">
        <v>506</v>
      </c>
      <c r="D169" s="12" t="s">
        <v>42</v>
      </c>
      <c r="E169" s="23">
        <v>45820</v>
      </c>
      <c r="F169" s="23">
        <v>45944</v>
      </c>
      <c r="G169" s="24">
        <v>4</v>
      </c>
      <c r="H169" s="20">
        <f>SUM(L169/K169)</f>
        <v>0.37031369548584542</v>
      </c>
      <c r="I169" s="20" t="s">
        <v>674</v>
      </c>
      <c r="J169" s="24" t="s">
        <v>668</v>
      </c>
      <c r="K169" s="12">
        <v>13.07</v>
      </c>
      <c r="L169" s="12">
        <v>4.84</v>
      </c>
      <c r="M169" s="12" t="s">
        <v>647</v>
      </c>
      <c r="N169" s="12">
        <v>18201929</v>
      </c>
      <c r="O169" s="12" t="s">
        <v>37</v>
      </c>
      <c r="P169" s="12" t="s">
        <v>36</v>
      </c>
    </row>
    <row r="170" spans="1:16" ht="15.75" x14ac:dyDescent="0.25">
      <c r="A170" s="12">
        <v>2523</v>
      </c>
      <c r="B170" s="12">
        <v>15323</v>
      </c>
      <c r="C170" s="12" t="s">
        <v>613</v>
      </c>
      <c r="D170" s="12" t="s">
        <v>42</v>
      </c>
      <c r="E170" s="23">
        <v>45942</v>
      </c>
      <c r="F170" s="23">
        <v>45944</v>
      </c>
      <c r="G170" s="24">
        <v>0</v>
      </c>
      <c r="H170" s="20">
        <f>SUM(L170/K170)</f>
        <v>0.36956521739130432</v>
      </c>
      <c r="I170" s="20" t="s">
        <v>674</v>
      </c>
      <c r="J170" s="24" t="s">
        <v>667</v>
      </c>
      <c r="K170" s="12">
        <v>9.66</v>
      </c>
      <c r="L170" s="12">
        <v>3.57</v>
      </c>
      <c r="M170" s="12" t="s">
        <v>647</v>
      </c>
      <c r="N170" s="12" t="s">
        <v>664</v>
      </c>
      <c r="O170" s="12" t="s">
        <v>37</v>
      </c>
      <c r="P170" s="12" t="s">
        <v>36</v>
      </c>
    </row>
    <row r="171" spans="1:16" ht="15.75" x14ac:dyDescent="0.25">
      <c r="A171" s="12">
        <v>2523</v>
      </c>
      <c r="B171" s="12">
        <v>15322</v>
      </c>
      <c r="C171" s="12" t="s">
        <v>613</v>
      </c>
      <c r="D171" s="12" t="s">
        <v>31</v>
      </c>
      <c r="E171" s="23">
        <v>45942</v>
      </c>
      <c r="F171" s="23">
        <v>45944</v>
      </c>
      <c r="G171" s="24">
        <v>0</v>
      </c>
      <c r="H171" s="20">
        <f>SUM(L171/K171)</f>
        <v>0.37009132420091329</v>
      </c>
      <c r="I171" s="20" t="s">
        <v>674</v>
      </c>
      <c r="J171" s="24" t="s">
        <v>667</v>
      </c>
      <c r="K171" s="12">
        <v>43.8</v>
      </c>
      <c r="L171" s="12">
        <v>16.21</v>
      </c>
      <c r="M171" s="12" t="s">
        <v>647</v>
      </c>
      <c r="N171" s="12" t="s">
        <v>664</v>
      </c>
      <c r="O171" s="12" t="s">
        <v>37</v>
      </c>
      <c r="P171" s="12" t="s">
        <v>36</v>
      </c>
    </row>
    <row r="172" spans="1:16" ht="15.75" x14ac:dyDescent="0.25">
      <c r="A172" s="12">
        <v>2521</v>
      </c>
      <c r="B172" s="12">
        <v>28212</v>
      </c>
      <c r="C172" s="12" t="s">
        <v>524</v>
      </c>
      <c r="D172" s="12" t="s">
        <v>31</v>
      </c>
      <c r="E172" s="23">
        <v>45849</v>
      </c>
      <c r="F172" s="23">
        <v>45943</v>
      </c>
      <c r="G172" s="24">
        <v>3</v>
      </c>
      <c r="H172" s="20">
        <f>SUM(L172/K172)</f>
        <v>0.37009132420091329</v>
      </c>
      <c r="I172" s="20" t="s">
        <v>674</v>
      </c>
      <c r="J172" s="24" t="s">
        <v>668</v>
      </c>
      <c r="K172" s="12">
        <v>43.8</v>
      </c>
      <c r="L172" s="12">
        <v>16.21</v>
      </c>
      <c r="M172" s="12" t="s">
        <v>647</v>
      </c>
      <c r="N172" s="12">
        <v>18201929</v>
      </c>
      <c r="O172" s="12" t="s">
        <v>37</v>
      </c>
      <c r="P172" s="12" t="s">
        <v>36</v>
      </c>
    </row>
    <row r="173" spans="1:16" ht="15.75" x14ac:dyDescent="0.25">
      <c r="A173" s="11">
        <v>2516</v>
      </c>
      <c r="B173" s="11">
        <v>20720</v>
      </c>
      <c r="C173" s="11" t="s">
        <v>221</v>
      </c>
      <c r="D173" s="11" t="s">
        <v>31</v>
      </c>
      <c r="E173" s="18">
        <v>45517</v>
      </c>
      <c r="F173" s="18">
        <v>45945</v>
      </c>
      <c r="G173" s="19">
        <v>14</v>
      </c>
      <c r="H173" s="20">
        <f>SUM(L173/K173)</f>
        <v>3.9964672113049243E-2</v>
      </c>
      <c r="I173" s="20" t="s">
        <v>672</v>
      </c>
      <c r="J173" s="21" t="s">
        <v>669</v>
      </c>
      <c r="K173" s="11">
        <v>45.29</v>
      </c>
      <c r="L173" s="11">
        <v>1.81</v>
      </c>
      <c r="M173" s="11" t="s">
        <v>635</v>
      </c>
      <c r="N173" s="11">
        <v>19279958</v>
      </c>
      <c r="O173" s="11" t="s">
        <v>37</v>
      </c>
      <c r="P173" s="11" t="s">
        <v>36</v>
      </c>
    </row>
    <row r="174" spans="1:16" ht="15.75" x14ac:dyDescent="0.25">
      <c r="A174" s="13">
        <v>2521</v>
      </c>
      <c r="B174" s="13">
        <v>53558</v>
      </c>
      <c r="C174" s="13" t="s">
        <v>536</v>
      </c>
      <c r="D174" s="13" t="s">
        <v>42</v>
      </c>
      <c r="E174" s="25">
        <v>45874</v>
      </c>
      <c r="F174" s="25">
        <v>45946</v>
      </c>
      <c r="G174" s="26">
        <v>2</v>
      </c>
      <c r="H174" s="20">
        <f>SUM(L174/K174)</f>
        <v>0.36979722518676628</v>
      </c>
      <c r="I174" s="20" t="s">
        <v>674</v>
      </c>
      <c r="J174" s="21" t="s">
        <v>669</v>
      </c>
      <c r="K174" s="13">
        <v>18.739999999999998</v>
      </c>
      <c r="L174" s="13">
        <v>6.93</v>
      </c>
      <c r="M174" s="13" t="s">
        <v>635</v>
      </c>
      <c r="N174" s="13">
        <v>19279958</v>
      </c>
      <c r="O174" s="13" t="s">
        <v>37</v>
      </c>
      <c r="P174" s="13" t="s">
        <v>36</v>
      </c>
    </row>
    <row r="175" spans="1:16" ht="15.75" x14ac:dyDescent="0.25">
      <c r="A175" s="13">
        <v>2521</v>
      </c>
      <c r="B175" s="13">
        <v>53557</v>
      </c>
      <c r="C175" s="13" t="s">
        <v>536</v>
      </c>
      <c r="D175" s="13" t="s">
        <v>31</v>
      </c>
      <c r="E175" s="25">
        <v>45874</v>
      </c>
      <c r="F175" s="25">
        <v>45946</v>
      </c>
      <c r="G175" s="26">
        <v>2</v>
      </c>
      <c r="H175" s="20">
        <f>SUM(L175/K175)</f>
        <v>0.36994219653179194</v>
      </c>
      <c r="I175" s="20" t="s">
        <v>674</v>
      </c>
      <c r="J175" s="21" t="s">
        <v>669</v>
      </c>
      <c r="K175" s="13">
        <v>67.47</v>
      </c>
      <c r="L175" s="13">
        <v>24.96</v>
      </c>
      <c r="M175" s="13" t="s">
        <v>635</v>
      </c>
      <c r="N175" s="13">
        <v>19279958</v>
      </c>
      <c r="O175" s="13" t="s">
        <v>37</v>
      </c>
      <c r="P175" s="13" t="s">
        <v>36</v>
      </c>
    </row>
    <row r="176" spans="1:16" ht="15.75" x14ac:dyDescent="0.25">
      <c r="A176" s="13">
        <v>2521</v>
      </c>
      <c r="B176" s="13">
        <v>61659</v>
      </c>
      <c r="C176" s="13" t="s">
        <v>561</v>
      </c>
      <c r="D176" s="13" t="s">
        <v>31</v>
      </c>
      <c r="E176" s="25">
        <v>45882</v>
      </c>
      <c r="F176" s="25">
        <v>45945</v>
      </c>
      <c r="G176" s="26">
        <v>2</v>
      </c>
      <c r="H176" s="20">
        <f>SUM(L176/K176)</f>
        <v>0.37006427915518825</v>
      </c>
      <c r="I176" s="20" t="s">
        <v>674</v>
      </c>
      <c r="J176" s="21" t="s">
        <v>669</v>
      </c>
      <c r="K176" s="13">
        <v>43.56</v>
      </c>
      <c r="L176" s="13">
        <v>16.12</v>
      </c>
      <c r="M176" s="13" t="s">
        <v>635</v>
      </c>
      <c r="N176" s="13">
        <v>19279958</v>
      </c>
      <c r="O176" s="13" t="s">
        <v>37</v>
      </c>
      <c r="P176" s="13" t="s">
        <v>36</v>
      </c>
    </row>
    <row r="177" spans="1:16" ht="15.75" x14ac:dyDescent="0.25">
      <c r="A177" s="10">
        <v>2520</v>
      </c>
      <c r="B177" s="10">
        <v>65368</v>
      </c>
      <c r="C177" s="10" t="s">
        <v>469</v>
      </c>
      <c r="D177" s="10" t="s">
        <v>42</v>
      </c>
      <c r="E177" s="22">
        <v>45788</v>
      </c>
      <c r="F177" s="22">
        <v>45943</v>
      </c>
      <c r="G177" s="21">
        <v>5</v>
      </c>
      <c r="H177" s="20">
        <f>SUM(L177/K177)</f>
        <v>0.3701968134957826</v>
      </c>
      <c r="I177" s="20" t="s">
        <v>674</v>
      </c>
      <c r="J177" s="21" t="s">
        <v>669</v>
      </c>
      <c r="K177" s="10">
        <v>10.67</v>
      </c>
      <c r="L177" s="10">
        <v>3.95</v>
      </c>
      <c r="M177" s="10" t="s">
        <v>635</v>
      </c>
      <c r="N177" s="10">
        <v>19279958</v>
      </c>
      <c r="O177" s="10" t="s">
        <v>37</v>
      </c>
      <c r="P177" s="10" t="s">
        <v>36</v>
      </c>
    </row>
    <row r="178" spans="1:16" ht="15.75" x14ac:dyDescent="0.25">
      <c r="A178" s="12">
        <v>2523</v>
      </c>
      <c r="B178" s="12">
        <v>13504</v>
      </c>
      <c r="C178" s="12" t="s">
        <v>609</v>
      </c>
      <c r="D178" s="12" t="s">
        <v>42</v>
      </c>
      <c r="E178" s="23">
        <v>45940</v>
      </c>
      <c r="F178" s="23">
        <v>45943</v>
      </c>
      <c r="G178" s="24">
        <v>0</v>
      </c>
      <c r="H178" s="20">
        <f>SUM(L178/K178)</f>
        <v>0.36956521739130432</v>
      </c>
      <c r="I178" s="20" t="s">
        <v>674</v>
      </c>
      <c r="J178" s="24" t="s">
        <v>667</v>
      </c>
      <c r="K178" s="12">
        <v>9.66</v>
      </c>
      <c r="L178" s="12">
        <v>3.57</v>
      </c>
      <c r="M178" s="12" t="s">
        <v>635</v>
      </c>
      <c r="N178" s="12" t="s">
        <v>665</v>
      </c>
      <c r="O178" s="12" t="s">
        <v>37</v>
      </c>
      <c r="P178" s="12" t="s">
        <v>36</v>
      </c>
    </row>
    <row r="179" spans="1:16" ht="15.75" x14ac:dyDescent="0.25">
      <c r="A179" s="12">
        <v>2523</v>
      </c>
      <c r="B179" s="12">
        <v>13503</v>
      </c>
      <c r="C179" s="12" t="s">
        <v>609</v>
      </c>
      <c r="D179" s="12" t="s">
        <v>31</v>
      </c>
      <c r="E179" s="23">
        <v>45940</v>
      </c>
      <c r="F179" s="23">
        <v>45943</v>
      </c>
      <c r="G179" s="24">
        <v>0</v>
      </c>
      <c r="H179" s="20">
        <f>SUM(L179/K179)</f>
        <v>0.3699613473219216</v>
      </c>
      <c r="I179" s="20" t="s">
        <v>674</v>
      </c>
      <c r="J179" s="24" t="s">
        <v>667</v>
      </c>
      <c r="K179" s="12">
        <v>36.22</v>
      </c>
      <c r="L179" s="12">
        <v>13.4</v>
      </c>
      <c r="M179" s="12" t="s">
        <v>635</v>
      </c>
      <c r="N179" s="12" t="s">
        <v>665</v>
      </c>
      <c r="O179" s="12" t="s">
        <v>37</v>
      </c>
      <c r="P179" s="12" t="s">
        <v>36</v>
      </c>
    </row>
    <row r="180" spans="1:16" ht="15.75" x14ac:dyDescent="0.25">
      <c r="A180" s="11">
        <v>2514</v>
      </c>
      <c r="B180" s="11">
        <v>89940</v>
      </c>
      <c r="C180" s="11" t="s">
        <v>134</v>
      </c>
      <c r="D180" s="11" t="s">
        <v>61</v>
      </c>
      <c r="E180" s="18">
        <v>45397</v>
      </c>
      <c r="F180" s="18">
        <v>45947</v>
      </c>
      <c r="G180" s="19">
        <v>18</v>
      </c>
      <c r="H180" s="20">
        <f>SUM(L180/K180)</f>
        <v>0.04</v>
      </c>
      <c r="I180" s="20" t="s">
        <v>672</v>
      </c>
      <c r="J180" s="21" t="s">
        <v>669</v>
      </c>
      <c r="K180" s="11">
        <v>1.5</v>
      </c>
      <c r="L180" s="11">
        <v>0.06</v>
      </c>
      <c r="M180" s="11" t="s">
        <v>660</v>
      </c>
      <c r="N180" s="11">
        <v>15278437</v>
      </c>
      <c r="O180" s="11" t="s">
        <v>37</v>
      </c>
      <c r="P180" s="11" t="s">
        <v>36</v>
      </c>
    </row>
    <row r="181" spans="1:16" ht="15.75" x14ac:dyDescent="0.25">
      <c r="A181" s="11">
        <v>2514</v>
      </c>
      <c r="B181" s="11">
        <v>89940</v>
      </c>
      <c r="C181" s="11" t="s">
        <v>134</v>
      </c>
      <c r="D181" s="11" t="s">
        <v>31</v>
      </c>
      <c r="E181" s="18">
        <v>45397</v>
      </c>
      <c r="F181" s="18">
        <v>45947</v>
      </c>
      <c r="G181" s="19">
        <v>18</v>
      </c>
      <c r="H181" s="20">
        <f>SUM(L181/K181)</f>
        <v>3.9972745855098794E-2</v>
      </c>
      <c r="I181" s="20" t="s">
        <v>672</v>
      </c>
      <c r="J181" s="21" t="s">
        <v>669</v>
      </c>
      <c r="K181" s="11">
        <v>44.03</v>
      </c>
      <c r="L181" s="11">
        <v>1.76</v>
      </c>
      <c r="M181" s="11" t="s">
        <v>660</v>
      </c>
      <c r="N181" s="11">
        <v>15278437</v>
      </c>
      <c r="O181" s="11" t="s">
        <v>37</v>
      </c>
      <c r="P181" s="11" t="s">
        <v>36</v>
      </c>
    </row>
    <row r="182" spans="1:16" ht="15.75" x14ac:dyDescent="0.25">
      <c r="A182" s="11">
        <v>2515</v>
      </c>
      <c r="B182" s="11">
        <v>82991</v>
      </c>
      <c r="C182" s="11" t="s">
        <v>169</v>
      </c>
      <c r="D182" s="11" t="s">
        <v>31</v>
      </c>
      <c r="E182" s="18">
        <v>45480</v>
      </c>
      <c r="F182" s="18">
        <v>45947</v>
      </c>
      <c r="G182" s="19">
        <v>15</v>
      </c>
      <c r="H182" s="20">
        <f>SUM(L182/K182)</f>
        <v>3.9964672113049243E-2</v>
      </c>
      <c r="I182" s="20" t="s">
        <v>672</v>
      </c>
      <c r="J182" s="21" t="s">
        <v>669</v>
      </c>
      <c r="K182" s="11">
        <v>-45.29</v>
      </c>
      <c r="L182" s="11">
        <v>-1.81</v>
      </c>
      <c r="M182" s="11" t="s">
        <v>169</v>
      </c>
      <c r="N182" s="11">
        <v>20212926</v>
      </c>
      <c r="O182" s="11" t="s">
        <v>37</v>
      </c>
      <c r="P182" s="11" t="s">
        <v>36</v>
      </c>
    </row>
    <row r="183" spans="1:16" ht="15.75" x14ac:dyDescent="0.25">
      <c r="A183" s="11">
        <v>2515</v>
      </c>
      <c r="B183" s="11">
        <v>60121</v>
      </c>
      <c r="C183" s="11" t="s">
        <v>164</v>
      </c>
      <c r="D183" s="11" t="s">
        <v>42</v>
      </c>
      <c r="E183" s="18">
        <v>45457</v>
      </c>
      <c r="F183" s="18">
        <v>45946</v>
      </c>
      <c r="G183" s="19">
        <v>16</v>
      </c>
      <c r="H183" s="20">
        <f>SUM(L183/K183)</f>
        <v>4.0299906279287721E-2</v>
      </c>
      <c r="I183" s="20" t="s">
        <v>672</v>
      </c>
      <c r="J183" s="21" t="s">
        <v>669</v>
      </c>
      <c r="K183" s="11">
        <v>10.67</v>
      </c>
      <c r="L183" s="11">
        <v>0.43</v>
      </c>
      <c r="M183" s="11" t="s">
        <v>169</v>
      </c>
      <c r="N183" s="11">
        <v>20212926</v>
      </c>
      <c r="O183" s="11" t="s">
        <v>37</v>
      </c>
      <c r="P183" s="11" t="s">
        <v>36</v>
      </c>
    </row>
    <row r="184" spans="1:16" ht="15.75" x14ac:dyDescent="0.25">
      <c r="A184" s="11">
        <v>2515</v>
      </c>
      <c r="B184" s="11">
        <v>60120</v>
      </c>
      <c r="C184" s="11" t="s">
        <v>164</v>
      </c>
      <c r="D184" s="11" t="s">
        <v>31</v>
      </c>
      <c r="E184" s="18">
        <v>45457</v>
      </c>
      <c r="F184" s="18">
        <v>45946</v>
      </c>
      <c r="G184" s="19">
        <v>16</v>
      </c>
      <c r="H184" s="20">
        <f>SUM(L184/K184)</f>
        <v>3.9964672113049243E-2</v>
      </c>
      <c r="I184" s="20" t="s">
        <v>672</v>
      </c>
      <c r="J184" s="21" t="s">
        <v>669</v>
      </c>
      <c r="K184" s="11">
        <v>45.29</v>
      </c>
      <c r="L184" s="11">
        <v>1.81</v>
      </c>
      <c r="M184" s="11" t="s">
        <v>169</v>
      </c>
      <c r="N184" s="11">
        <v>20212926</v>
      </c>
      <c r="O184" s="11" t="s">
        <v>37</v>
      </c>
      <c r="P184" s="11" t="s">
        <v>36</v>
      </c>
    </row>
    <row r="185" spans="1:16" ht="15.75" x14ac:dyDescent="0.25">
      <c r="A185" s="11">
        <v>2518</v>
      </c>
      <c r="B185" s="11">
        <v>33759</v>
      </c>
      <c r="C185" s="11" t="s">
        <v>328</v>
      </c>
      <c r="D185" s="11" t="s">
        <v>42</v>
      </c>
      <c r="E185" s="18">
        <v>45672</v>
      </c>
      <c r="F185" s="18">
        <v>45947</v>
      </c>
      <c r="G185" s="19">
        <v>9</v>
      </c>
      <c r="H185" s="20">
        <f>SUM(L185/K185)</f>
        <v>1</v>
      </c>
      <c r="I185" s="21" t="s">
        <v>671</v>
      </c>
      <c r="J185" s="21" t="s">
        <v>669</v>
      </c>
      <c r="K185" s="11">
        <v>1.1399999999999999</v>
      </c>
      <c r="L185" s="11">
        <v>1.1399999999999999</v>
      </c>
      <c r="M185" s="11" t="s">
        <v>661</v>
      </c>
      <c r="N185" s="11">
        <v>20411454</v>
      </c>
      <c r="O185" s="11" t="s">
        <v>37</v>
      </c>
      <c r="P185" s="11">
        <v>1.1399999999999999</v>
      </c>
    </row>
    <row r="186" spans="1:16" ht="15.75" x14ac:dyDescent="0.25">
      <c r="A186" s="11">
        <v>2518</v>
      </c>
      <c r="B186" s="11">
        <v>33758</v>
      </c>
      <c r="C186" s="11" t="s">
        <v>328</v>
      </c>
      <c r="D186" s="11" t="s">
        <v>31</v>
      </c>
      <c r="E186" s="18">
        <v>45672</v>
      </c>
      <c r="F186" s="18">
        <v>45947</v>
      </c>
      <c r="G186" s="19">
        <v>9</v>
      </c>
      <c r="H186" s="20">
        <f>SUM(L186/K186)</f>
        <v>1</v>
      </c>
      <c r="I186" s="21" t="s">
        <v>671</v>
      </c>
      <c r="J186" s="21" t="s">
        <v>669</v>
      </c>
      <c r="K186" s="11">
        <v>2.23</v>
      </c>
      <c r="L186" s="11">
        <v>2.23</v>
      </c>
      <c r="M186" s="11" t="s">
        <v>661</v>
      </c>
      <c r="N186" s="11">
        <v>20411454</v>
      </c>
      <c r="O186" s="11" t="s">
        <v>37</v>
      </c>
      <c r="P186" s="11">
        <v>2.23</v>
      </c>
    </row>
    <row r="187" spans="1:16" ht="15.75" x14ac:dyDescent="0.25">
      <c r="A187" s="11">
        <v>2515</v>
      </c>
      <c r="B187" s="11">
        <v>54305</v>
      </c>
      <c r="C187" s="11" t="s">
        <v>151</v>
      </c>
      <c r="D187" s="11" t="s">
        <v>61</v>
      </c>
      <c r="E187" s="18">
        <v>45454</v>
      </c>
      <c r="F187" s="18">
        <v>45943</v>
      </c>
      <c r="G187" s="19">
        <v>16</v>
      </c>
      <c r="H187" s="20">
        <f>SUM(L187/K187)</f>
        <v>1</v>
      </c>
      <c r="I187" s="21" t="s">
        <v>671</v>
      </c>
      <c r="J187" s="21" t="s">
        <v>669</v>
      </c>
      <c r="K187" s="11">
        <v>0.05</v>
      </c>
      <c r="L187" s="11">
        <v>0.05</v>
      </c>
      <c r="M187" s="11" t="s">
        <v>661</v>
      </c>
      <c r="N187" s="11">
        <v>20411454</v>
      </c>
      <c r="O187" s="11" t="s">
        <v>37</v>
      </c>
      <c r="P187" s="11">
        <v>0.05</v>
      </c>
    </row>
    <row r="188" spans="1:16" ht="15.75" x14ac:dyDescent="0.25">
      <c r="A188" s="11">
        <v>2515</v>
      </c>
      <c r="B188" s="11">
        <v>54305</v>
      </c>
      <c r="C188" s="11" t="s">
        <v>151</v>
      </c>
      <c r="D188" s="11" t="s">
        <v>31</v>
      </c>
      <c r="E188" s="18">
        <v>45454</v>
      </c>
      <c r="F188" s="18">
        <v>45943</v>
      </c>
      <c r="G188" s="19">
        <v>16</v>
      </c>
      <c r="H188" s="20">
        <f>SUM(L188/K188)</f>
        <v>1</v>
      </c>
      <c r="I188" s="21" t="s">
        <v>671</v>
      </c>
      <c r="J188" s="21" t="s">
        <v>669</v>
      </c>
      <c r="K188" s="11">
        <v>1.46</v>
      </c>
      <c r="L188" s="11">
        <v>1.46</v>
      </c>
      <c r="M188" s="11" t="s">
        <v>661</v>
      </c>
      <c r="N188" s="11">
        <v>20411454</v>
      </c>
      <c r="O188" s="11" t="s">
        <v>37</v>
      </c>
      <c r="P188" s="11">
        <v>1.46</v>
      </c>
    </row>
    <row r="189" spans="1:16" ht="15.75" x14ac:dyDescent="0.25">
      <c r="A189" s="10">
        <v>2520</v>
      </c>
      <c r="B189" s="10">
        <v>24010</v>
      </c>
      <c r="C189" s="10" t="s">
        <v>433</v>
      </c>
      <c r="D189" s="10" t="s">
        <v>61</v>
      </c>
      <c r="E189" s="22">
        <v>45761</v>
      </c>
      <c r="F189" s="22">
        <v>45946</v>
      </c>
      <c r="G189" s="21">
        <v>6</v>
      </c>
      <c r="H189" s="20">
        <f>SUM(L189/K189)</f>
        <v>1</v>
      </c>
      <c r="I189" s="21" t="s">
        <v>671</v>
      </c>
      <c r="J189" s="21" t="s">
        <v>669</v>
      </c>
      <c r="K189" s="10">
        <v>0.19</v>
      </c>
      <c r="L189" s="10">
        <v>0.19</v>
      </c>
      <c r="M189" s="10" t="s">
        <v>661</v>
      </c>
      <c r="N189" s="10">
        <v>20411454</v>
      </c>
      <c r="O189" s="10" t="s">
        <v>37</v>
      </c>
      <c r="P189" s="10">
        <v>0.19</v>
      </c>
    </row>
    <row r="190" spans="1:16" ht="15.75" x14ac:dyDescent="0.25">
      <c r="A190" s="10">
        <v>2520</v>
      </c>
      <c r="B190" s="10">
        <v>24010</v>
      </c>
      <c r="C190" s="10" t="s">
        <v>433</v>
      </c>
      <c r="D190" s="10" t="s">
        <v>31</v>
      </c>
      <c r="E190" s="22">
        <v>45761</v>
      </c>
      <c r="F190" s="22">
        <v>45946</v>
      </c>
      <c r="G190" s="21">
        <v>6</v>
      </c>
      <c r="H190" s="20">
        <f>SUM(L190/K190)</f>
        <v>1</v>
      </c>
      <c r="I190" s="21" t="s">
        <v>671</v>
      </c>
      <c r="J190" s="21" t="s">
        <v>669</v>
      </c>
      <c r="K190" s="10">
        <v>5.08</v>
      </c>
      <c r="L190" s="10">
        <v>5.08</v>
      </c>
      <c r="M190" s="10" t="s">
        <v>661</v>
      </c>
      <c r="N190" s="10">
        <v>20411454</v>
      </c>
      <c r="O190" s="10" t="s">
        <v>37</v>
      </c>
      <c r="P190" s="10">
        <v>5.08</v>
      </c>
    </row>
    <row r="191" spans="1:16" ht="15.75" x14ac:dyDescent="0.25">
      <c r="A191" s="11">
        <v>2519</v>
      </c>
      <c r="B191" s="11">
        <v>9333</v>
      </c>
      <c r="C191" s="11" t="s">
        <v>383</v>
      </c>
      <c r="D191" s="11" t="s">
        <v>61</v>
      </c>
      <c r="E191" s="18">
        <v>45670</v>
      </c>
      <c r="F191" s="18">
        <v>45945</v>
      </c>
      <c r="G191" s="19">
        <v>9</v>
      </c>
      <c r="H191" s="20">
        <f>SUM(L191/K191)</f>
        <v>1</v>
      </c>
      <c r="I191" s="21" t="s">
        <v>671</v>
      </c>
      <c r="J191" s="21" t="s">
        <v>669</v>
      </c>
      <c r="K191" s="11">
        <v>0.11</v>
      </c>
      <c r="L191" s="11">
        <v>0.11</v>
      </c>
      <c r="M191" s="11" t="s">
        <v>661</v>
      </c>
      <c r="N191" s="11">
        <v>20411454</v>
      </c>
      <c r="O191" s="11" t="s">
        <v>37</v>
      </c>
      <c r="P191" s="11">
        <v>0.11</v>
      </c>
    </row>
    <row r="192" spans="1:16" ht="15.75" x14ac:dyDescent="0.25">
      <c r="A192" s="11">
        <v>2519</v>
      </c>
      <c r="B192" s="11">
        <v>9333</v>
      </c>
      <c r="C192" s="11" t="s">
        <v>383</v>
      </c>
      <c r="D192" s="11" t="s">
        <v>31</v>
      </c>
      <c r="E192" s="18">
        <v>45670</v>
      </c>
      <c r="F192" s="18">
        <v>45945</v>
      </c>
      <c r="G192" s="19">
        <v>9</v>
      </c>
      <c r="H192" s="20">
        <f>SUM(L192/K192)</f>
        <v>1</v>
      </c>
      <c r="I192" s="21" t="s">
        <v>671</v>
      </c>
      <c r="J192" s="21" t="s">
        <v>669</v>
      </c>
      <c r="K192" s="11">
        <v>2.54</v>
      </c>
      <c r="L192" s="11">
        <v>2.54</v>
      </c>
      <c r="M192" s="11" t="s">
        <v>661</v>
      </c>
      <c r="N192" s="11">
        <v>20411454</v>
      </c>
      <c r="O192" s="11" t="s">
        <v>37</v>
      </c>
      <c r="P192" s="11">
        <v>2.54</v>
      </c>
    </row>
    <row r="193" spans="1:16" ht="15.75" x14ac:dyDescent="0.25">
      <c r="A193" s="11">
        <v>2516</v>
      </c>
      <c r="B193" s="11">
        <v>78641</v>
      </c>
      <c r="C193" s="11" t="s">
        <v>271</v>
      </c>
      <c r="D193" s="11" t="s">
        <v>61</v>
      </c>
      <c r="E193" s="18">
        <v>45576</v>
      </c>
      <c r="F193" s="18">
        <v>45943</v>
      </c>
      <c r="G193" s="19">
        <v>12</v>
      </c>
      <c r="H193" s="20">
        <f>SUM(L193/K193)</f>
        <v>1</v>
      </c>
      <c r="I193" s="21" t="s">
        <v>671</v>
      </c>
      <c r="J193" s="21" t="s">
        <v>669</v>
      </c>
      <c r="K193" s="11">
        <v>0.03</v>
      </c>
      <c r="L193" s="11">
        <v>0.03</v>
      </c>
      <c r="M193" s="11" t="s">
        <v>661</v>
      </c>
      <c r="N193" s="11">
        <v>20411454</v>
      </c>
      <c r="O193" s="11" t="s">
        <v>37</v>
      </c>
      <c r="P193" s="11">
        <v>0.03</v>
      </c>
    </row>
    <row r="194" spans="1:16" ht="15.75" x14ac:dyDescent="0.25">
      <c r="A194" s="11">
        <v>2516</v>
      </c>
      <c r="B194" s="11">
        <v>78642</v>
      </c>
      <c r="C194" s="11" t="s">
        <v>271</v>
      </c>
      <c r="D194" s="11" t="s">
        <v>42</v>
      </c>
      <c r="E194" s="18">
        <v>45576</v>
      </c>
      <c r="F194" s="18">
        <v>45943</v>
      </c>
      <c r="G194" s="19">
        <v>12</v>
      </c>
      <c r="H194" s="20">
        <f>SUM(L194/K194)</f>
        <v>1</v>
      </c>
      <c r="I194" s="21" t="s">
        <v>671</v>
      </c>
      <c r="J194" s="21" t="s">
        <v>669</v>
      </c>
      <c r="K194" s="11">
        <v>0.33</v>
      </c>
      <c r="L194" s="11">
        <v>0.33</v>
      </c>
      <c r="M194" s="11" t="s">
        <v>661</v>
      </c>
      <c r="N194" s="11">
        <v>20411454</v>
      </c>
      <c r="O194" s="11" t="s">
        <v>37</v>
      </c>
      <c r="P194" s="11">
        <v>0.33</v>
      </c>
    </row>
    <row r="195" spans="1:16" ht="15.75" x14ac:dyDescent="0.25">
      <c r="A195" s="11">
        <v>2516</v>
      </c>
      <c r="B195" s="11">
        <v>78641</v>
      </c>
      <c r="C195" s="11" t="s">
        <v>271</v>
      </c>
      <c r="D195" s="11" t="s">
        <v>31</v>
      </c>
      <c r="E195" s="18">
        <v>45576</v>
      </c>
      <c r="F195" s="18">
        <v>45943</v>
      </c>
      <c r="G195" s="19">
        <v>12</v>
      </c>
      <c r="H195" s="20">
        <f>SUM(L195/K195)</f>
        <v>1</v>
      </c>
      <c r="I195" s="21" t="s">
        <v>671</v>
      </c>
      <c r="J195" s="21" t="s">
        <v>669</v>
      </c>
      <c r="K195" s="11">
        <v>0.73</v>
      </c>
      <c r="L195" s="11">
        <v>0.73</v>
      </c>
      <c r="M195" s="11" t="s">
        <v>661</v>
      </c>
      <c r="N195" s="11">
        <v>20411454</v>
      </c>
      <c r="O195" s="11" t="s">
        <v>37</v>
      </c>
      <c r="P195" s="11">
        <v>0.73</v>
      </c>
    </row>
    <row r="196" spans="1:16" ht="15.75" x14ac:dyDescent="0.25">
      <c r="A196" s="11">
        <v>2513</v>
      </c>
      <c r="B196" s="11">
        <v>44688</v>
      </c>
      <c r="C196" s="11" t="s">
        <v>94</v>
      </c>
      <c r="D196" s="11" t="s">
        <v>61</v>
      </c>
      <c r="E196" s="18">
        <v>45273</v>
      </c>
      <c r="F196" s="18">
        <v>45945</v>
      </c>
      <c r="G196" s="19">
        <v>22</v>
      </c>
      <c r="H196" s="20">
        <f>SUM(L196/K196)</f>
        <v>1</v>
      </c>
      <c r="I196" s="21" t="s">
        <v>671</v>
      </c>
      <c r="J196" s="21" t="s">
        <v>669</v>
      </c>
      <c r="K196" s="11">
        <v>0.03</v>
      </c>
      <c r="L196" s="11">
        <v>0.03</v>
      </c>
      <c r="M196" s="11" t="s">
        <v>661</v>
      </c>
      <c r="N196" s="11">
        <v>20411454</v>
      </c>
      <c r="O196" s="11" t="s">
        <v>37</v>
      </c>
      <c r="P196" s="11">
        <v>0.03</v>
      </c>
    </row>
    <row r="197" spans="1:16" ht="15.75" x14ac:dyDescent="0.25">
      <c r="A197" s="11">
        <v>2513</v>
      </c>
      <c r="B197" s="11">
        <v>44688</v>
      </c>
      <c r="C197" s="11" t="s">
        <v>94</v>
      </c>
      <c r="D197" s="11" t="s">
        <v>31</v>
      </c>
      <c r="E197" s="18">
        <v>45273</v>
      </c>
      <c r="F197" s="18">
        <v>45945</v>
      </c>
      <c r="G197" s="19">
        <v>22</v>
      </c>
      <c r="H197" s="20">
        <f>SUM(L197/K197)</f>
        <v>1</v>
      </c>
      <c r="I197" s="21" t="s">
        <v>671</v>
      </c>
      <c r="J197" s="21" t="s">
        <v>669</v>
      </c>
      <c r="K197" s="11">
        <v>0.73</v>
      </c>
      <c r="L197" s="11">
        <v>0.73</v>
      </c>
      <c r="M197" s="11" t="s">
        <v>661</v>
      </c>
      <c r="N197" s="11">
        <v>20411454</v>
      </c>
      <c r="O197" s="11" t="s">
        <v>37</v>
      </c>
      <c r="P197" s="11">
        <v>0.73</v>
      </c>
    </row>
    <row r="198" spans="1:16" ht="15.75" x14ac:dyDescent="0.25">
      <c r="A198" s="11">
        <v>2512</v>
      </c>
      <c r="B198" s="11">
        <v>85142</v>
      </c>
      <c r="C198" s="11" t="s">
        <v>83</v>
      </c>
      <c r="D198" s="11" t="s">
        <v>61</v>
      </c>
      <c r="E198" s="18">
        <v>45245</v>
      </c>
      <c r="F198" s="18">
        <v>45947</v>
      </c>
      <c r="G198" s="19">
        <v>23</v>
      </c>
      <c r="H198" s="20">
        <f>SUM(L198/K198)</f>
        <v>1</v>
      </c>
      <c r="I198" s="21" t="s">
        <v>671</v>
      </c>
      <c r="J198" s="21" t="s">
        <v>669</v>
      </c>
      <c r="K198" s="11">
        <v>0.03</v>
      </c>
      <c r="L198" s="11">
        <v>0.03</v>
      </c>
      <c r="M198" s="11" t="s">
        <v>661</v>
      </c>
      <c r="N198" s="11">
        <v>20411454</v>
      </c>
      <c r="O198" s="11" t="s">
        <v>37</v>
      </c>
      <c r="P198" s="11">
        <v>0.03</v>
      </c>
    </row>
    <row r="199" spans="1:16" ht="15.75" x14ac:dyDescent="0.25">
      <c r="A199" s="11">
        <v>2512</v>
      </c>
      <c r="B199" s="11">
        <v>85142</v>
      </c>
      <c r="C199" s="11" t="s">
        <v>83</v>
      </c>
      <c r="D199" s="11" t="s">
        <v>31</v>
      </c>
      <c r="E199" s="18">
        <v>45245</v>
      </c>
      <c r="F199" s="18">
        <v>45947</v>
      </c>
      <c r="G199" s="19">
        <v>23</v>
      </c>
      <c r="H199" s="20">
        <f>SUM(L199/K199)</f>
        <v>1</v>
      </c>
      <c r="I199" s="21" t="s">
        <v>671</v>
      </c>
      <c r="J199" s="21" t="s">
        <v>669</v>
      </c>
      <c r="K199" s="11">
        <v>0.73</v>
      </c>
      <c r="L199" s="11">
        <v>0.73</v>
      </c>
      <c r="M199" s="11" t="s">
        <v>661</v>
      </c>
      <c r="N199" s="11">
        <v>20411454</v>
      </c>
      <c r="O199" s="11" t="s">
        <v>37</v>
      </c>
      <c r="P199" s="11">
        <v>0.73</v>
      </c>
    </row>
    <row r="200" spans="1:16" ht="15.75" x14ac:dyDescent="0.25">
      <c r="A200" s="11">
        <v>2514</v>
      </c>
      <c r="B200" s="11">
        <v>9895</v>
      </c>
      <c r="C200" s="11" t="s">
        <v>123</v>
      </c>
      <c r="D200" s="11" t="s">
        <v>61</v>
      </c>
      <c r="E200" s="18">
        <v>45366</v>
      </c>
      <c r="F200" s="18">
        <v>45947</v>
      </c>
      <c r="G200" s="19">
        <v>19</v>
      </c>
      <c r="H200" s="20">
        <f>SUM(L200/K200)</f>
        <v>1</v>
      </c>
      <c r="I200" s="21" t="s">
        <v>671</v>
      </c>
      <c r="J200" s="21" t="s">
        <v>669</v>
      </c>
      <c r="K200" s="11">
        <v>0.03</v>
      </c>
      <c r="L200" s="11">
        <v>0.03</v>
      </c>
      <c r="M200" s="11" t="s">
        <v>661</v>
      </c>
      <c r="N200" s="11">
        <v>20411454</v>
      </c>
      <c r="O200" s="11" t="s">
        <v>37</v>
      </c>
      <c r="P200" s="11">
        <v>0.03</v>
      </c>
    </row>
    <row r="201" spans="1:16" ht="15.75" x14ac:dyDescent="0.25">
      <c r="A201" s="11">
        <v>2514</v>
      </c>
      <c r="B201" s="11">
        <v>9895</v>
      </c>
      <c r="C201" s="11" t="s">
        <v>123</v>
      </c>
      <c r="D201" s="11" t="s">
        <v>31</v>
      </c>
      <c r="E201" s="18">
        <v>45366</v>
      </c>
      <c r="F201" s="18">
        <v>45947</v>
      </c>
      <c r="G201" s="19">
        <v>19</v>
      </c>
      <c r="H201" s="20">
        <f>SUM(L201/K201)</f>
        <v>1</v>
      </c>
      <c r="I201" s="21" t="s">
        <v>671</v>
      </c>
      <c r="J201" s="21" t="s">
        <v>669</v>
      </c>
      <c r="K201" s="11">
        <v>0.73</v>
      </c>
      <c r="L201" s="11">
        <v>0.73</v>
      </c>
      <c r="M201" s="11" t="s">
        <v>661</v>
      </c>
      <c r="N201" s="11">
        <v>20411454</v>
      </c>
      <c r="O201" s="11" t="s">
        <v>37</v>
      </c>
      <c r="P201" s="11">
        <v>0.73</v>
      </c>
    </row>
    <row r="202" spans="1:16" ht="15.75" x14ac:dyDescent="0.25">
      <c r="A202" s="11">
        <v>2519</v>
      </c>
      <c r="B202" s="11">
        <v>14267</v>
      </c>
      <c r="C202" s="11" t="s">
        <v>400</v>
      </c>
      <c r="D202" s="11" t="s">
        <v>61</v>
      </c>
      <c r="E202" s="18">
        <v>45671</v>
      </c>
      <c r="F202" s="18">
        <v>45946</v>
      </c>
      <c r="G202" s="19">
        <v>9</v>
      </c>
      <c r="H202" s="20">
        <f>SUM(L202/K202)</f>
        <v>1</v>
      </c>
      <c r="I202" s="21" t="s">
        <v>671</v>
      </c>
      <c r="J202" s="21" t="s">
        <v>669</v>
      </c>
      <c r="K202" s="11">
        <v>0.11</v>
      </c>
      <c r="L202" s="11">
        <v>0.11</v>
      </c>
      <c r="M202" s="11" t="s">
        <v>661</v>
      </c>
      <c r="N202" s="11">
        <v>20411454</v>
      </c>
      <c r="O202" s="11" t="s">
        <v>37</v>
      </c>
      <c r="P202" s="11">
        <v>0.11</v>
      </c>
    </row>
    <row r="203" spans="1:16" ht="15.75" x14ac:dyDescent="0.25">
      <c r="A203" s="11">
        <v>2519</v>
      </c>
      <c r="B203" s="11">
        <v>14267</v>
      </c>
      <c r="C203" s="11" t="s">
        <v>400</v>
      </c>
      <c r="D203" s="11" t="s">
        <v>31</v>
      </c>
      <c r="E203" s="18">
        <v>45671</v>
      </c>
      <c r="F203" s="18">
        <v>45946</v>
      </c>
      <c r="G203" s="19">
        <v>9</v>
      </c>
      <c r="H203" s="20">
        <f>SUM(L203/K203)</f>
        <v>1</v>
      </c>
      <c r="I203" s="21" t="s">
        <v>671</v>
      </c>
      <c r="J203" s="21" t="s">
        <v>669</v>
      </c>
      <c r="K203" s="11">
        <v>2.54</v>
      </c>
      <c r="L203" s="11">
        <v>2.54</v>
      </c>
      <c r="M203" s="11" t="s">
        <v>661</v>
      </c>
      <c r="N203" s="11">
        <v>20411454</v>
      </c>
      <c r="O203" s="11" t="s">
        <v>37</v>
      </c>
      <c r="P203" s="11">
        <v>2.54</v>
      </c>
    </row>
    <row r="204" spans="1:16" ht="15.75" x14ac:dyDescent="0.25">
      <c r="A204" s="10">
        <v>2520</v>
      </c>
      <c r="B204" s="10">
        <v>94621</v>
      </c>
      <c r="C204" s="10" t="s">
        <v>500</v>
      </c>
      <c r="D204" s="10" t="s">
        <v>61</v>
      </c>
      <c r="E204" s="22">
        <v>45818</v>
      </c>
      <c r="F204" s="22">
        <v>45943</v>
      </c>
      <c r="G204" s="21">
        <v>4</v>
      </c>
      <c r="H204" s="20">
        <f>SUM(L204/K204)</f>
        <v>1</v>
      </c>
      <c r="I204" s="21" t="s">
        <v>671</v>
      </c>
      <c r="J204" s="21" t="s">
        <v>669</v>
      </c>
      <c r="K204" s="10">
        <v>0.19</v>
      </c>
      <c r="L204" s="10">
        <v>0.19</v>
      </c>
      <c r="M204" s="10" t="s">
        <v>661</v>
      </c>
      <c r="N204" s="10">
        <v>20411454</v>
      </c>
      <c r="O204" s="10" t="s">
        <v>37</v>
      </c>
      <c r="P204" s="10">
        <v>0.19</v>
      </c>
    </row>
    <row r="205" spans="1:16" ht="15.75" x14ac:dyDescent="0.25">
      <c r="A205" s="10">
        <v>2520</v>
      </c>
      <c r="B205" s="10">
        <v>94621</v>
      </c>
      <c r="C205" s="10" t="s">
        <v>500</v>
      </c>
      <c r="D205" s="10" t="s">
        <v>31</v>
      </c>
      <c r="E205" s="22">
        <v>45818</v>
      </c>
      <c r="F205" s="22">
        <v>45943</v>
      </c>
      <c r="G205" s="21">
        <v>4</v>
      </c>
      <c r="H205" s="20">
        <f>SUM(L205/K205)</f>
        <v>1</v>
      </c>
      <c r="I205" s="21" t="s">
        <v>671</v>
      </c>
      <c r="J205" s="21" t="s">
        <v>669</v>
      </c>
      <c r="K205" s="10">
        <v>5.08</v>
      </c>
      <c r="L205" s="10">
        <v>5.08</v>
      </c>
      <c r="M205" s="10" t="s">
        <v>661</v>
      </c>
      <c r="N205" s="10">
        <v>20411454</v>
      </c>
      <c r="O205" s="10" t="s">
        <v>37</v>
      </c>
      <c r="P205" s="10">
        <v>5.08</v>
      </c>
    </row>
    <row r="206" spans="1:16" ht="15.75" x14ac:dyDescent="0.25">
      <c r="A206" s="11">
        <v>2519</v>
      </c>
      <c r="B206" s="11">
        <v>10617</v>
      </c>
      <c r="C206" s="11" t="s">
        <v>390</v>
      </c>
      <c r="D206" s="11" t="s">
        <v>61</v>
      </c>
      <c r="E206" s="18">
        <v>45668</v>
      </c>
      <c r="F206" s="18">
        <v>45943</v>
      </c>
      <c r="G206" s="19">
        <v>9</v>
      </c>
      <c r="H206" s="20">
        <f>SUM(L206/K206)</f>
        <v>1</v>
      </c>
      <c r="I206" s="21" t="s">
        <v>671</v>
      </c>
      <c r="J206" s="21" t="s">
        <v>669</v>
      </c>
      <c r="K206" s="11">
        <v>0.11</v>
      </c>
      <c r="L206" s="11">
        <v>0.11</v>
      </c>
      <c r="M206" s="11" t="s">
        <v>661</v>
      </c>
      <c r="N206" s="11">
        <v>20411454</v>
      </c>
      <c r="O206" s="11" t="s">
        <v>37</v>
      </c>
      <c r="P206" s="11">
        <v>0.11</v>
      </c>
    </row>
    <row r="207" spans="1:16" ht="15.75" x14ac:dyDescent="0.25">
      <c r="A207" s="11">
        <v>2519</v>
      </c>
      <c r="B207" s="11">
        <v>10618</v>
      </c>
      <c r="C207" s="11" t="s">
        <v>390</v>
      </c>
      <c r="D207" s="11" t="s">
        <v>42</v>
      </c>
      <c r="E207" s="18">
        <v>45668</v>
      </c>
      <c r="F207" s="18">
        <v>45943</v>
      </c>
      <c r="G207" s="19">
        <v>9</v>
      </c>
      <c r="H207" s="20">
        <f>SUM(L207/K207)</f>
        <v>1</v>
      </c>
      <c r="I207" s="21" t="s">
        <v>671</v>
      </c>
      <c r="J207" s="21" t="s">
        <v>669</v>
      </c>
      <c r="K207" s="11">
        <v>1.1399999999999999</v>
      </c>
      <c r="L207" s="11">
        <v>1.1399999999999999</v>
      </c>
      <c r="M207" s="11" t="s">
        <v>661</v>
      </c>
      <c r="N207" s="11">
        <v>20411454</v>
      </c>
      <c r="O207" s="11" t="s">
        <v>37</v>
      </c>
      <c r="P207" s="11">
        <v>1.1399999999999999</v>
      </c>
    </row>
    <row r="208" spans="1:16" ht="15.75" x14ac:dyDescent="0.25">
      <c r="A208" s="11">
        <v>2519</v>
      </c>
      <c r="B208" s="11">
        <v>10617</v>
      </c>
      <c r="C208" s="11" t="s">
        <v>390</v>
      </c>
      <c r="D208" s="11" t="s">
        <v>31</v>
      </c>
      <c r="E208" s="18">
        <v>45668</v>
      </c>
      <c r="F208" s="18">
        <v>45943</v>
      </c>
      <c r="G208" s="19">
        <v>9</v>
      </c>
      <c r="H208" s="20">
        <f>SUM(L208/K208)</f>
        <v>1</v>
      </c>
      <c r="I208" s="21" t="s">
        <v>671</v>
      </c>
      <c r="J208" s="21" t="s">
        <v>669</v>
      </c>
      <c r="K208" s="11">
        <v>2.54</v>
      </c>
      <c r="L208" s="11">
        <v>2.54</v>
      </c>
      <c r="M208" s="11" t="s">
        <v>661</v>
      </c>
      <c r="N208" s="11">
        <v>20411454</v>
      </c>
      <c r="O208" s="11" t="s">
        <v>37</v>
      </c>
      <c r="P208" s="11">
        <v>2.54</v>
      </c>
    </row>
    <row r="209" spans="1:16" ht="15.75" x14ac:dyDescent="0.25">
      <c r="A209" s="11">
        <v>2513</v>
      </c>
      <c r="B209" s="11">
        <v>80048</v>
      </c>
      <c r="C209" s="11" t="s">
        <v>117</v>
      </c>
      <c r="D209" s="11" t="s">
        <v>61</v>
      </c>
      <c r="E209" s="18">
        <v>45303</v>
      </c>
      <c r="F209" s="18">
        <v>45944</v>
      </c>
      <c r="G209" s="19">
        <v>21</v>
      </c>
      <c r="H209" s="20">
        <f>SUM(L209/K209)</f>
        <v>1</v>
      </c>
      <c r="I209" s="21" t="s">
        <v>671</v>
      </c>
      <c r="J209" s="21" t="s">
        <v>669</v>
      </c>
      <c r="K209" s="11">
        <v>0.03</v>
      </c>
      <c r="L209" s="11">
        <v>0.03</v>
      </c>
      <c r="M209" s="11" t="s">
        <v>661</v>
      </c>
      <c r="N209" s="11">
        <v>20411454</v>
      </c>
      <c r="O209" s="11" t="s">
        <v>37</v>
      </c>
      <c r="P209" s="11">
        <v>0.03</v>
      </c>
    </row>
    <row r="210" spans="1:16" ht="15.75" x14ac:dyDescent="0.25">
      <c r="A210" s="11">
        <v>2513</v>
      </c>
      <c r="B210" s="11">
        <v>80048</v>
      </c>
      <c r="C210" s="11" t="s">
        <v>117</v>
      </c>
      <c r="D210" s="11" t="s">
        <v>61</v>
      </c>
      <c r="E210" s="18">
        <v>45303</v>
      </c>
      <c r="F210" s="18">
        <v>45944</v>
      </c>
      <c r="G210" s="19">
        <v>21</v>
      </c>
      <c r="H210" s="20">
        <f>SUM(L210/K210)</f>
        <v>1</v>
      </c>
      <c r="I210" s="21" t="s">
        <v>671</v>
      </c>
      <c r="J210" s="21" t="s">
        <v>669</v>
      </c>
      <c r="K210" s="11">
        <v>0.03</v>
      </c>
      <c r="L210" s="11">
        <v>0.03</v>
      </c>
      <c r="M210" s="11" t="s">
        <v>661</v>
      </c>
      <c r="N210" s="11">
        <v>20411454</v>
      </c>
      <c r="O210" s="11" t="s">
        <v>37</v>
      </c>
      <c r="P210" s="11">
        <v>0.03</v>
      </c>
    </row>
    <row r="211" spans="1:16" ht="15.75" x14ac:dyDescent="0.25">
      <c r="A211" s="11">
        <v>2513</v>
      </c>
      <c r="B211" s="11">
        <v>80048</v>
      </c>
      <c r="C211" s="11" t="s">
        <v>117</v>
      </c>
      <c r="D211" s="11" t="s">
        <v>31</v>
      </c>
      <c r="E211" s="18">
        <v>45303</v>
      </c>
      <c r="F211" s="18">
        <v>45944</v>
      </c>
      <c r="G211" s="19">
        <v>21</v>
      </c>
      <c r="H211" s="20">
        <f>SUM(L211/K211)</f>
        <v>1</v>
      </c>
      <c r="I211" s="21" t="s">
        <v>671</v>
      </c>
      <c r="J211" s="21" t="s">
        <v>669</v>
      </c>
      <c r="K211" s="11">
        <v>0.73</v>
      </c>
      <c r="L211" s="11">
        <v>0.73</v>
      </c>
      <c r="M211" s="11" t="s">
        <v>661</v>
      </c>
      <c r="N211" s="11">
        <v>20411454</v>
      </c>
      <c r="O211" s="11" t="s">
        <v>37</v>
      </c>
      <c r="P211" s="11">
        <v>0.73</v>
      </c>
    </row>
    <row r="212" spans="1:16" ht="15.75" x14ac:dyDescent="0.25">
      <c r="A212" s="11">
        <v>2513</v>
      </c>
      <c r="B212" s="11">
        <v>80048</v>
      </c>
      <c r="C212" s="11" t="s">
        <v>117</v>
      </c>
      <c r="D212" s="11" t="s">
        <v>31</v>
      </c>
      <c r="E212" s="18">
        <v>45303</v>
      </c>
      <c r="F212" s="18">
        <v>45944</v>
      </c>
      <c r="G212" s="19">
        <v>21</v>
      </c>
      <c r="H212" s="20">
        <f>SUM(L212/K212)</f>
        <v>1</v>
      </c>
      <c r="I212" s="21" t="s">
        <v>671</v>
      </c>
      <c r="J212" s="21" t="s">
        <v>669</v>
      </c>
      <c r="K212" s="11">
        <v>0.73</v>
      </c>
      <c r="L212" s="11">
        <v>0.73</v>
      </c>
      <c r="M212" s="11" t="s">
        <v>661</v>
      </c>
      <c r="N212" s="11">
        <v>20411454</v>
      </c>
      <c r="O212" s="11" t="s">
        <v>37</v>
      </c>
      <c r="P212" s="11">
        <v>0.73</v>
      </c>
    </row>
    <row r="213" spans="1:16" ht="15.75" x14ac:dyDescent="0.25">
      <c r="A213" s="11">
        <v>2518</v>
      </c>
      <c r="B213" s="11">
        <v>16141</v>
      </c>
      <c r="C213" s="11" t="s">
        <v>293</v>
      </c>
      <c r="D213" s="11" t="s">
        <v>61</v>
      </c>
      <c r="E213" s="18">
        <v>45607</v>
      </c>
      <c r="F213" s="18">
        <v>45943</v>
      </c>
      <c r="G213" s="19">
        <v>11</v>
      </c>
      <c r="H213" s="20">
        <f>SUM(L213/K213)</f>
        <v>1</v>
      </c>
      <c r="I213" s="21" t="s">
        <v>671</v>
      </c>
      <c r="J213" s="21" t="s">
        <v>669</v>
      </c>
      <c r="K213" s="11">
        <v>0.11</v>
      </c>
      <c r="L213" s="11">
        <v>0.11</v>
      </c>
      <c r="M213" s="11" t="s">
        <v>661</v>
      </c>
      <c r="N213" s="11">
        <v>20411454</v>
      </c>
      <c r="O213" s="11" t="s">
        <v>37</v>
      </c>
      <c r="P213" s="11">
        <v>0.11</v>
      </c>
    </row>
    <row r="214" spans="1:16" ht="15.75" x14ac:dyDescent="0.25">
      <c r="A214" s="11">
        <v>2518</v>
      </c>
      <c r="B214" s="11">
        <v>16141</v>
      </c>
      <c r="C214" s="11" t="s">
        <v>293</v>
      </c>
      <c r="D214" s="11" t="s">
        <v>31</v>
      </c>
      <c r="E214" s="18">
        <v>45607</v>
      </c>
      <c r="F214" s="18">
        <v>45943</v>
      </c>
      <c r="G214" s="19">
        <v>11</v>
      </c>
      <c r="H214" s="20">
        <f>SUM(L214/K214)</f>
        <v>1</v>
      </c>
      <c r="I214" s="21" t="s">
        <v>671</v>
      </c>
      <c r="J214" s="21" t="s">
        <v>669</v>
      </c>
      <c r="K214" s="11">
        <v>2.54</v>
      </c>
      <c r="L214" s="11">
        <v>2.54</v>
      </c>
      <c r="M214" s="11" t="s">
        <v>661</v>
      </c>
      <c r="N214" s="11">
        <v>20411454</v>
      </c>
      <c r="O214" s="11" t="s">
        <v>37</v>
      </c>
      <c r="P214" s="11">
        <v>2.54</v>
      </c>
    </row>
    <row r="215" spans="1:16" ht="15.75" x14ac:dyDescent="0.25">
      <c r="A215" s="11">
        <v>2513</v>
      </c>
      <c r="B215" s="11">
        <v>47488</v>
      </c>
      <c r="C215" s="11" t="s">
        <v>100</v>
      </c>
      <c r="D215" s="11" t="s">
        <v>61</v>
      </c>
      <c r="E215" s="18">
        <v>45274</v>
      </c>
      <c r="F215" s="18">
        <v>45946</v>
      </c>
      <c r="G215" s="19">
        <v>22</v>
      </c>
      <c r="H215" s="20">
        <f>SUM(L215/K215)</f>
        <v>1</v>
      </c>
      <c r="I215" s="20" t="s">
        <v>671</v>
      </c>
      <c r="J215" s="21" t="s">
        <v>669</v>
      </c>
      <c r="K215" s="11">
        <v>0.03</v>
      </c>
      <c r="L215" s="11">
        <v>0.03</v>
      </c>
      <c r="M215" s="11" t="s">
        <v>661</v>
      </c>
      <c r="N215" s="11">
        <v>16212649</v>
      </c>
      <c r="O215" s="11" t="s">
        <v>37</v>
      </c>
      <c r="P215" s="11" t="s">
        <v>36</v>
      </c>
    </row>
    <row r="216" spans="1:16" ht="15.75" x14ac:dyDescent="0.25">
      <c r="A216" s="11">
        <v>2513</v>
      </c>
      <c r="B216" s="11">
        <v>47488</v>
      </c>
      <c r="C216" s="11" t="s">
        <v>100</v>
      </c>
      <c r="D216" s="11" t="s">
        <v>31</v>
      </c>
      <c r="E216" s="18">
        <v>45274</v>
      </c>
      <c r="F216" s="18">
        <v>45946</v>
      </c>
      <c r="G216" s="19">
        <v>22</v>
      </c>
      <c r="H216" s="20">
        <f>SUM(L216/K216)</f>
        <v>1</v>
      </c>
      <c r="I216" s="20" t="s">
        <v>671</v>
      </c>
      <c r="J216" s="21" t="s">
        <v>669</v>
      </c>
      <c r="K216" s="11">
        <v>0.88</v>
      </c>
      <c r="L216" s="11">
        <v>0.88</v>
      </c>
      <c r="M216" s="11" t="s">
        <v>661</v>
      </c>
      <c r="N216" s="11">
        <v>16212649</v>
      </c>
      <c r="O216" s="11" t="s">
        <v>37</v>
      </c>
      <c r="P216" s="11" t="s">
        <v>36</v>
      </c>
    </row>
    <row r="217" spans="1:16" ht="15.75" x14ac:dyDescent="0.25">
      <c r="A217" s="11">
        <v>2512</v>
      </c>
      <c r="B217" s="11">
        <v>14660</v>
      </c>
      <c r="C217" s="11" t="s">
        <v>65</v>
      </c>
      <c r="D217" s="11" t="s">
        <v>42</v>
      </c>
      <c r="E217" s="18">
        <v>45182</v>
      </c>
      <c r="F217" s="18">
        <v>45945</v>
      </c>
      <c r="G217" s="19">
        <v>25</v>
      </c>
      <c r="H217" s="20">
        <f>SUM(L217/K217)</f>
        <v>1</v>
      </c>
      <c r="I217" s="21" t="s">
        <v>671</v>
      </c>
      <c r="J217" s="21" t="s">
        <v>669</v>
      </c>
      <c r="K217" s="11">
        <v>0.33</v>
      </c>
      <c r="L217" s="11">
        <v>0.33</v>
      </c>
      <c r="M217" s="11" t="s">
        <v>661</v>
      </c>
      <c r="N217" s="11">
        <v>20411454</v>
      </c>
      <c r="O217" s="11" t="s">
        <v>37</v>
      </c>
      <c r="P217" s="11">
        <v>0.33</v>
      </c>
    </row>
    <row r="218" spans="1:16" ht="15.75" x14ac:dyDescent="0.25">
      <c r="A218" s="11">
        <v>2512</v>
      </c>
      <c r="B218" s="11">
        <v>14659</v>
      </c>
      <c r="C218" s="11" t="s">
        <v>65</v>
      </c>
      <c r="D218" s="11" t="s">
        <v>31</v>
      </c>
      <c r="E218" s="18">
        <v>45182</v>
      </c>
      <c r="F218" s="18">
        <v>45945</v>
      </c>
      <c r="G218" s="19">
        <v>25</v>
      </c>
      <c r="H218" s="20">
        <f>SUM(L218/K218)</f>
        <v>1</v>
      </c>
      <c r="I218" s="21" t="s">
        <v>671</v>
      </c>
      <c r="J218" s="21" t="s">
        <v>669</v>
      </c>
      <c r="K218" s="11">
        <v>0.64</v>
      </c>
      <c r="L218" s="11">
        <v>0.64</v>
      </c>
      <c r="M218" s="11" t="s">
        <v>661</v>
      </c>
      <c r="N218" s="11">
        <v>20411454</v>
      </c>
      <c r="O218" s="11" t="s">
        <v>37</v>
      </c>
      <c r="P218" s="11">
        <v>0.64</v>
      </c>
    </row>
    <row r="219" spans="1:16" ht="15.75" x14ac:dyDescent="0.25">
      <c r="A219" s="11">
        <v>2514</v>
      </c>
      <c r="B219" s="11">
        <v>51094</v>
      </c>
      <c r="C219" s="11" t="s">
        <v>126</v>
      </c>
      <c r="D219" s="11" t="s">
        <v>61</v>
      </c>
      <c r="E219" s="18">
        <v>45366</v>
      </c>
      <c r="F219" s="18">
        <v>45947</v>
      </c>
      <c r="G219" s="19">
        <v>19</v>
      </c>
      <c r="H219" s="20">
        <f>SUM(L219/K219)</f>
        <v>1</v>
      </c>
      <c r="I219" s="20" t="s">
        <v>671</v>
      </c>
      <c r="J219" s="21" t="s">
        <v>669</v>
      </c>
      <c r="K219" s="11">
        <v>0.03</v>
      </c>
      <c r="L219" s="11">
        <v>0.03</v>
      </c>
      <c r="M219" s="11" t="s">
        <v>661</v>
      </c>
      <c r="N219" s="11">
        <v>16212649</v>
      </c>
      <c r="O219" s="11" t="s">
        <v>37</v>
      </c>
      <c r="P219" s="11" t="s">
        <v>36</v>
      </c>
    </row>
    <row r="220" spans="1:16" ht="15.75" x14ac:dyDescent="0.25">
      <c r="A220" s="11">
        <v>2514</v>
      </c>
      <c r="B220" s="11">
        <v>51095</v>
      </c>
      <c r="C220" s="11" t="s">
        <v>126</v>
      </c>
      <c r="D220" s="11" t="s">
        <v>42</v>
      </c>
      <c r="E220" s="18">
        <v>45366</v>
      </c>
      <c r="F220" s="18">
        <v>45947</v>
      </c>
      <c r="G220" s="19">
        <v>19</v>
      </c>
      <c r="H220" s="20">
        <f>SUM(L220/K220)</f>
        <v>1</v>
      </c>
      <c r="I220" s="20" t="s">
        <v>671</v>
      </c>
      <c r="J220" s="21" t="s">
        <v>669</v>
      </c>
      <c r="K220" s="11">
        <v>0.33</v>
      </c>
      <c r="L220" s="11">
        <v>0.33</v>
      </c>
      <c r="M220" s="11" t="s">
        <v>661</v>
      </c>
      <c r="N220" s="11">
        <v>16212649</v>
      </c>
      <c r="O220" s="11" t="s">
        <v>37</v>
      </c>
      <c r="P220" s="11" t="s">
        <v>36</v>
      </c>
    </row>
    <row r="221" spans="1:16" ht="15.75" x14ac:dyDescent="0.25">
      <c r="A221" s="11">
        <v>2514</v>
      </c>
      <c r="B221" s="11">
        <v>51094</v>
      </c>
      <c r="C221" s="11" t="s">
        <v>126</v>
      </c>
      <c r="D221" s="11" t="s">
        <v>31</v>
      </c>
      <c r="E221" s="18">
        <v>45366</v>
      </c>
      <c r="F221" s="18">
        <v>45947</v>
      </c>
      <c r="G221" s="19">
        <v>19</v>
      </c>
      <c r="H221" s="20">
        <f>SUM(L221/K221)</f>
        <v>1</v>
      </c>
      <c r="I221" s="20" t="s">
        <v>671</v>
      </c>
      <c r="J221" s="21" t="s">
        <v>669</v>
      </c>
      <c r="K221" s="11">
        <v>1.1499999999999999</v>
      </c>
      <c r="L221" s="11">
        <v>1.1499999999999999</v>
      </c>
      <c r="M221" s="11" t="s">
        <v>661</v>
      </c>
      <c r="N221" s="11">
        <v>16212649</v>
      </c>
      <c r="O221" s="11" t="s">
        <v>37</v>
      </c>
      <c r="P221" s="11" t="s">
        <v>36</v>
      </c>
    </row>
    <row r="222" spans="1:16" ht="15.75" x14ac:dyDescent="0.25">
      <c r="A222" s="11">
        <v>2515</v>
      </c>
      <c r="B222" s="11">
        <v>83882</v>
      </c>
      <c r="C222" s="11" t="s">
        <v>173</v>
      </c>
      <c r="D222" s="11" t="s">
        <v>61</v>
      </c>
      <c r="E222" s="18">
        <v>45482</v>
      </c>
      <c r="F222" s="18">
        <v>45943</v>
      </c>
      <c r="G222" s="19">
        <v>15</v>
      </c>
      <c r="H222" s="20">
        <f>SUM(L222/K222)</f>
        <v>1</v>
      </c>
      <c r="I222" s="21" t="s">
        <v>671</v>
      </c>
      <c r="J222" s="21" t="s">
        <v>669</v>
      </c>
      <c r="K222" s="11">
        <v>0.05</v>
      </c>
      <c r="L222" s="11">
        <v>0.05</v>
      </c>
      <c r="M222" s="11" t="s">
        <v>661</v>
      </c>
      <c r="N222" s="11">
        <v>20411454</v>
      </c>
      <c r="O222" s="11" t="s">
        <v>37</v>
      </c>
      <c r="P222" s="11">
        <v>0.05</v>
      </c>
    </row>
    <row r="223" spans="1:16" ht="15.75" x14ac:dyDescent="0.25">
      <c r="A223" s="11">
        <v>2515</v>
      </c>
      <c r="B223" s="11">
        <v>83883</v>
      </c>
      <c r="C223" s="11" t="s">
        <v>173</v>
      </c>
      <c r="D223" s="11" t="s">
        <v>42</v>
      </c>
      <c r="E223" s="18">
        <v>45482</v>
      </c>
      <c r="F223" s="18">
        <v>45943</v>
      </c>
      <c r="G223" s="19">
        <v>15</v>
      </c>
      <c r="H223" s="20">
        <f>SUM(L223/K223)</f>
        <v>1</v>
      </c>
      <c r="I223" s="21" t="s">
        <v>671</v>
      </c>
      <c r="J223" s="21" t="s">
        <v>669</v>
      </c>
      <c r="K223" s="11">
        <v>0.6</v>
      </c>
      <c r="L223" s="11">
        <v>0.6</v>
      </c>
      <c r="M223" s="11" t="s">
        <v>661</v>
      </c>
      <c r="N223" s="11">
        <v>20411454</v>
      </c>
      <c r="O223" s="11" t="s">
        <v>37</v>
      </c>
      <c r="P223" s="11">
        <v>0.6</v>
      </c>
    </row>
    <row r="224" spans="1:16" ht="15.75" x14ac:dyDescent="0.25">
      <c r="A224" s="11">
        <v>2515</v>
      </c>
      <c r="B224" s="11">
        <v>83882</v>
      </c>
      <c r="C224" s="11" t="s">
        <v>173</v>
      </c>
      <c r="D224" s="11" t="s">
        <v>31</v>
      </c>
      <c r="E224" s="18">
        <v>45482</v>
      </c>
      <c r="F224" s="18">
        <v>45943</v>
      </c>
      <c r="G224" s="19">
        <v>15</v>
      </c>
      <c r="H224" s="20">
        <f>SUM(L224/K224)</f>
        <v>1</v>
      </c>
      <c r="I224" s="21" t="s">
        <v>671</v>
      </c>
      <c r="J224" s="21" t="s">
        <v>669</v>
      </c>
      <c r="K224" s="11">
        <v>1.46</v>
      </c>
      <c r="L224" s="11">
        <v>1.46</v>
      </c>
      <c r="M224" s="11" t="s">
        <v>661</v>
      </c>
      <c r="N224" s="11">
        <v>20411454</v>
      </c>
      <c r="O224" s="11" t="s">
        <v>37</v>
      </c>
      <c r="P224" s="11">
        <v>1.46</v>
      </c>
    </row>
    <row r="225" spans="1:16" ht="15.75" x14ac:dyDescent="0.25">
      <c r="A225" s="10">
        <v>2521</v>
      </c>
      <c r="B225" s="10">
        <v>87203</v>
      </c>
      <c r="C225" s="10" t="s">
        <v>582</v>
      </c>
      <c r="D225" s="10" t="s">
        <v>61</v>
      </c>
      <c r="E225" s="22">
        <v>45910</v>
      </c>
      <c r="F225" s="22">
        <v>45943</v>
      </c>
      <c r="G225" s="21">
        <v>1</v>
      </c>
      <c r="H225" s="20">
        <f>SUM(L225/K225)</f>
        <v>1</v>
      </c>
      <c r="I225" s="21" t="s">
        <v>671</v>
      </c>
      <c r="J225" s="21" t="s">
        <v>669</v>
      </c>
      <c r="K225" s="10">
        <v>0.11</v>
      </c>
      <c r="L225" s="10">
        <v>0.11</v>
      </c>
      <c r="M225" s="10" t="s">
        <v>661</v>
      </c>
      <c r="N225" s="10">
        <v>20411454</v>
      </c>
      <c r="O225" s="10" t="s">
        <v>37</v>
      </c>
      <c r="P225" s="10">
        <v>0.11</v>
      </c>
    </row>
    <row r="226" spans="1:16" ht="15.75" x14ac:dyDescent="0.25">
      <c r="A226" s="10">
        <v>2521</v>
      </c>
      <c r="B226" s="10">
        <v>87204</v>
      </c>
      <c r="C226" s="10" t="s">
        <v>582</v>
      </c>
      <c r="D226" s="10" t="s">
        <v>42</v>
      </c>
      <c r="E226" s="22">
        <v>45910</v>
      </c>
      <c r="F226" s="22">
        <v>45943</v>
      </c>
      <c r="G226" s="21">
        <v>1</v>
      </c>
      <c r="H226" s="20">
        <f>SUM(L226/K226)</f>
        <v>1</v>
      </c>
      <c r="I226" s="21" t="s">
        <v>671</v>
      </c>
      <c r="J226" s="21" t="s">
        <v>669</v>
      </c>
      <c r="K226" s="10">
        <v>0.79</v>
      </c>
      <c r="L226" s="10">
        <v>0.79</v>
      </c>
      <c r="M226" s="10" t="s">
        <v>661</v>
      </c>
      <c r="N226" s="10">
        <v>20411454</v>
      </c>
      <c r="O226" s="10" t="s">
        <v>37</v>
      </c>
      <c r="P226" s="10">
        <v>0.79</v>
      </c>
    </row>
    <row r="227" spans="1:16" ht="15.75" x14ac:dyDescent="0.25">
      <c r="A227" s="10">
        <v>2521</v>
      </c>
      <c r="B227" s="10">
        <v>87203</v>
      </c>
      <c r="C227" s="10" t="s">
        <v>582</v>
      </c>
      <c r="D227" s="10" t="s">
        <v>31</v>
      </c>
      <c r="E227" s="22">
        <v>45910</v>
      </c>
      <c r="F227" s="22">
        <v>45943</v>
      </c>
      <c r="G227" s="21">
        <v>1</v>
      </c>
      <c r="H227" s="20">
        <f>SUM(L227/K227)</f>
        <v>1</v>
      </c>
      <c r="I227" s="21" t="s">
        <v>671</v>
      </c>
      <c r="J227" s="21" t="s">
        <v>669</v>
      </c>
      <c r="K227" s="10">
        <v>2.9</v>
      </c>
      <c r="L227" s="10">
        <v>2.9</v>
      </c>
      <c r="M227" s="10" t="s">
        <v>661</v>
      </c>
      <c r="N227" s="10">
        <v>20411454</v>
      </c>
      <c r="O227" s="10" t="s">
        <v>37</v>
      </c>
      <c r="P227" s="10">
        <v>2.9</v>
      </c>
    </row>
    <row r="228" spans="1:16" ht="15.75" x14ac:dyDescent="0.25">
      <c r="A228" s="11">
        <v>2512</v>
      </c>
      <c r="B228" s="11">
        <v>85519</v>
      </c>
      <c r="C228" s="11" t="s">
        <v>88</v>
      </c>
      <c r="D228" s="11" t="s">
        <v>61</v>
      </c>
      <c r="E228" s="18">
        <v>45245</v>
      </c>
      <c r="F228" s="18">
        <v>45947</v>
      </c>
      <c r="G228" s="19">
        <v>23</v>
      </c>
      <c r="H228" s="20">
        <f>SUM(L228/K228)</f>
        <v>1</v>
      </c>
      <c r="I228" s="21" t="s">
        <v>671</v>
      </c>
      <c r="J228" s="21" t="s">
        <v>669</v>
      </c>
      <c r="K228" s="11">
        <v>0.03</v>
      </c>
      <c r="L228" s="11">
        <v>0.03</v>
      </c>
      <c r="M228" s="11" t="s">
        <v>661</v>
      </c>
      <c r="N228" s="11">
        <v>20411454</v>
      </c>
      <c r="O228" s="11" t="s">
        <v>37</v>
      </c>
      <c r="P228" s="11">
        <v>0.03</v>
      </c>
    </row>
    <row r="229" spans="1:16" ht="15.75" x14ac:dyDescent="0.25">
      <c r="A229" s="11">
        <v>2512</v>
      </c>
      <c r="B229" s="11">
        <v>85520</v>
      </c>
      <c r="C229" s="11" t="s">
        <v>88</v>
      </c>
      <c r="D229" s="11" t="s">
        <v>42</v>
      </c>
      <c r="E229" s="18">
        <v>45245</v>
      </c>
      <c r="F229" s="18">
        <v>45947</v>
      </c>
      <c r="G229" s="19">
        <v>23</v>
      </c>
      <c r="H229" s="20">
        <f>SUM(L229/K229)</f>
        <v>1</v>
      </c>
      <c r="I229" s="21" t="s">
        <v>671</v>
      </c>
      <c r="J229" s="21" t="s">
        <v>669</v>
      </c>
      <c r="K229" s="11">
        <v>0.33</v>
      </c>
      <c r="L229" s="11">
        <v>0.33</v>
      </c>
      <c r="M229" s="11" t="s">
        <v>661</v>
      </c>
      <c r="N229" s="11">
        <v>20411454</v>
      </c>
      <c r="O229" s="11" t="s">
        <v>37</v>
      </c>
      <c r="P229" s="11">
        <v>0.33</v>
      </c>
    </row>
    <row r="230" spans="1:16" ht="15.75" x14ac:dyDescent="0.25">
      <c r="A230" s="11">
        <v>2512</v>
      </c>
      <c r="B230" s="11">
        <v>85519</v>
      </c>
      <c r="C230" s="11" t="s">
        <v>88</v>
      </c>
      <c r="D230" s="11" t="s">
        <v>31</v>
      </c>
      <c r="E230" s="18">
        <v>45245</v>
      </c>
      <c r="F230" s="18">
        <v>45947</v>
      </c>
      <c r="G230" s="19">
        <v>23</v>
      </c>
      <c r="H230" s="20">
        <f>SUM(L230/K230)</f>
        <v>1</v>
      </c>
      <c r="I230" s="21" t="s">
        <v>671</v>
      </c>
      <c r="J230" s="21" t="s">
        <v>669</v>
      </c>
      <c r="K230" s="11">
        <v>0.73</v>
      </c>
      <c r="L230" s="11">
        <v>0.73</v>
      </c>
      <c r="M230" s="11" t="s">
        <v>661</v>
      </c>
      <c r="N230" s="11">
        <v>20411454</v>
      </c>
      <c r="O230" s="11" t="s">
        <v>37</v>
      </c>
      <c r="P230" s="11">
        <v>0.73</v>
      </c>
    </row>
    <row r="231" spans="1:16" ht="15.75" x14ac:dyDescent="0.25">
      <c r="A231" s="10">
        <v>2521</v>
      </c>
      <c r="B231" s="10">
        <v>59581</v>
      </c>
      <c r="C231" s="10" t="s">
        <v>552</v>
      </c>
      <c r="D231" s="10" t="s">
        <v>42</v>
      </c>
      <c r="E231" s="22">
        <v>45881</v>
      </c>
      <c r="F231" s="22">
        <v>45944</v>
      </c>
      <c r="G231" s="21">
        <v>2</v>
      </c>
      <c r="H231" s="20">
        <f>SUM(L231/K231)</f>
        <v>1</v>
      </c>
      <c r="I231" s="21" t="s">
        <v>671</v>
      </c>
      <c r="J231" s="21" t="s">
        <v>669</v>
      </c>
      <c r="K231" s="10">
        <v>0.65</v>
      </c>
      <c r="L231" s="10">
        <v>0.65</v>
      </c>
      <c r="M231" s="10" t="s">
        <v>661</v>
      </c>
      <c r="N231" s="10">
        <v>20411454</v>
      </c>
      <c r="O231" s="10" t="s">
        <v>37</v>
      </c>
      <c r="P231" s="10">
        <v>0.65</v>
      </c>
    </row>
    <row r="232" spans="1:16" ht="15.75" x14ac:dyDescent="0.25">
      <c r="A232" s="10">
        <v>2521</v>
      </c>
      <c r="B232" s="10">
        <v>59580</v>
      </c>
      <c r="C232" s="10" t="s">
        <v>552</v>
      </c>
      <c r="D232" s="10" t="s">
        <v>31</v>
      </c>
      <c r="E232" s="22">
        <v>45881</v>
      </c>
      <c r="F232" s="22">
        <v>45944</v>
      </c>
      <c r="G232" s="21">
        <v>2</v>
      </c>
      <c r="H232" s="20">
        <f>SUM(L232/K232)</f>
        <v>1</v>
      </c>
      <c r="I232" s="21" t="s">
        <v>671</v>
      </c>
      <c r="J232" s="21" t="s">
        <v>669</v>
      </c>
      <c r="K232" s="10">
        <v>1.27</v>
      </c>
      <c r="L232" s="10">
        <v>1.27</v>
      </c>
      <c r="M232" s="10" t="s">
        <v>661</v>
      </c>
      <c r="N232" s="10">
        <v>20411454</v>
      </c>
      <c r="O232" s="10" t="s">
        <v>37</v>
      </c>
      <c r="P232" s="10">
        <v>1.27</v>
      </c>
    </row>
    <row r="233" spans="1:16" ht="15.75" x14ac:dyDescent="0.25">
      <c r="A233" s="10">
        <v>2520</v>
      </c>
      <c r="B233" s="10">
        <v>34182</v>
      </c>
      <c r="C233" s="10" t="s">
        <v>450</v>
      </c>
      <c r="D233" s="10" t="s">
        <v>61</v>
      </c>
      <c r="E233" s="22">
        <v>45762</v>
      </c>
      <c r="F233" s="22">
        <v>45947</v>
      </c>
      <c r="G233" s="21">
        <v>6</v>
      </c>
      <c r="H233" s="20">
        <f>SUM(L233/K233)</f>
        <v>1</v>
      </c>
      <c r="I233" s="21" t="s">
        <v>671</v>
      </c>
      <c r="J233" s="21" t="s">
        <v>669</v>
      </c>
      <c r="K233" s="10">
        <v>0.11</v>
      </c>
      <c r="L233" s="10">
        <v>0.11</v>
      </c>
      <c r="M233" s="10" t="s">
        <v>661</v>
      </c>
      <c r="N233" s="10">
        <v>20411454</v>
      </c>
      <c r="O233" s="10" t="s">
        <v>37</v>
      </c>
      <c r="P233" s="10">
        <v>0.11</v>
      </c>
    </row>
    <row r="234" spans="1:16" ht="15.75" x14ac:dyDescent="0.25">
      <c r="A234" s="10">
        <v>2520</v>
      </c>
      <c r="B234" s="10">
        <v>34182</v>
      </c>
      <c r="C234" s="10" t="s">
        <v>450</v>
      </c>
      <c r="D234" s="10" t="s">
        <v>31</v>
      </c>
      <c r="E234" s="22">
        <v>45762</v>
      </c>
      <c r="F234" s="22">
        <v>45947</v>
      </c>
      <c r="G234" s="21">
        <v>6</v>
      </c>
      <c r="H234" s="20">
        <f>SUM(L234/K234)</f>
        <v>1</v>
      </c>
      <c r="I234" s="21" t="s">
        <v>671</v>
      </c>
      <c r="J234" s="21" t="s">
        <v>669</v>
      </c>
      <c r="K234" s="10">
        <v>2.54</v>
      </c>
      <c r="L234" s="10">
        <v>2.54</v>
      </c>
      <c r="M234" s="10" t="s">
        <v>661</v>
      </c>
      <c r="N234" s="10">
        <v>20411454</v>
      </c>
      <c r="O234" s="10" t="s">
        <v>37</v>
      </c>
      <c r="P234" s="10">
        <v>2.54</v>
      </c>
    </row>
    <row r="235" spans="1:16" ht="15.75" x14ac:dyDescent="0.25">
      <c r="A235" s="11">
        <v>499904</v>
      </c>
      <c r="B235" s="11">
        <v>62363</v>
      </c>
      <c r="C235" s="11" t="s">
        <v>622</v>
      </c>
      <c r="D235" s="11" t="s">
        <v>31</v>
      </c>
      <c r="E235" s="18">
        <v>43174</v>
      </c>
      <c r="F235" s="18">
        <v>45947</v>
      </c>
      <c r="G235" s="19">
        <v>91</v>
      </c>
      <c r="H235" s="20">
        <f>SUM(L235/K235)</f>
        <v>1</v>
      </c>
      <c r="I235" s="21" t="s">
        <v>671</v>
      </c>
      <c r="J235" s="21" t="s">
        <v>669</v>
      </c>
      <c r="K235" s="11">
        <v>0.47</v>
      </c>
      <c r="L235" s="11">
        <v>0.47</v>
      </c>
      <c r="M235" s="11" t="s">
        <v>661</v>
      </c>
      <c r="N235" s="11">
        <v>20411454</v>
      </c>
      <c r="O235" s="11" t="s">
        <v>37</v>
      </c>
      <c r="P235" s="11">
        <v>0.47</v>
      </c>
    </row>
    <row r="236" spans="1:16" ht="15.75" x14ac:dyDescent="0.25">
      <c r="A236" s="11">
        <v>2515</v>
      </c>
      <c r="B236" s="11">
        <v>84493</v>
      </c>
      <c r="C236" s="11" t="s">
        <v>177</v>
      </c>
      <c r="D236" s="11" t="s">
        <v>61</v>
      </c>
      <c r="E236" s="18">
        <v>45482</v>
      </c>
      <c r="F236" s="18">
        <v>45943</v>
      </c>
      <c r="G236" s="19">
        <v>15</v>
      </c>
      <c r="H236" s="20">
        <f>SUM(L236/K236)</f>
        <v>1</v>
      </c>
      <c r="I236" s="21" t="s">
        <v>671</v>
      </c>
      <c r="J236" s="21" t="s">
        <v>669</v>
      </c>
      <c r="K236" s="11">
        <v>0.03</v>
      </c>
      <c r="L236" s="11">
        <v>0.03</v>
      </c>
      <c r="M236" s="11" t="s">
        <v>661</v>
      </c>
      <c r="N236" s="11">
        <v>20411454</v>
      </c>
      <c r="O236" s="11" t="s">
        <v>37</v>
      </c>
      <c r="P236" s="11">
        <v>0.03</v>
      </c>
    </row>
    <row r="237" spans="1:16" ht="15.75" x14ac:dyDescent="0.25">
      <c r="A237" s="11">
        <v>2515</v>
      </c>
      <c r="B237" s="11">
        <v>84494</v>
      </c>
      <c r="C237" s="11" t="s">
        <v>177</v>
      </c>
      <c r="D237" s="11" t="s">
        <v>42</v>
      </c>
      <c r="E237" s="18">
        <v>45482</v>
      </c>
      <c r="F237" s="18">
        <v>45943</v>
      </c>
      <c r="G237" s="19">
        <v>15</v>
      </c>
      <c r="H237" s="20">
        <f>SUM(L237/K237)</f>
        <v>1</v>
      </c>
      <c r="I237" s="21" t="s">
        <v>671</v>
      </c>
      <c r="J237" s="21" t="s">
        <v>669</v>
      </c>
      <c r="K237" s="11">
        <v>0.33</v>
      </c>
      <c r="L237" s="11">
        <v>0.33</v>
      </c>
      <c r="M237" s="11" t="s">
        <v>661</v>
      </c>
      <c r="N237" s="11">
        <v>20411454</v>
      </c>
      <c r="O237" s="11" t="s">
        <v>37</v>
      </c>
      <c r="P237" s="11">
        <v>0.33</v>
      </c>
    </row>
    <row r="238" spans="1:16" ht="15.75" x14ac:dyDescent="0.25">
      <c r="A238" s="11">
        <v>2515</v>
      </c>
      <c r="B238" s="11">
        <v>84493</v>
      </c>
      <c r="C238" s="11" t="s">
        <v>177</v>
      </c>
      <c r="D238" s="11" t="s">
        <v>31</v>
      </c>
      <c r="E238" s="18">
        <v>45482</v>
      </c>
      <c r="F238" s="18">
        <v>45943</v>
      </c>
      <c r="G238" s="19">
        <v>15</v>
      </c>
      <c r="H238" s="20">
        <f>SUM(L238/K238)</f>
        <v>1</v>
      </c>
      <c r="I238" s="21" t="s">
        <v>671</v>
      </c>
      <c r="J238" s="21" t="s">
        <v>669</v>
      </c>
      <c r="K238" s="11">
        <v>0.73</v>
      </c>
      <c r="L238" s="11">
        <v>0.73</v>
      </c>
      <c r="M238" s="11" t="s">
        <v>661</v>
      </c>
      <c r="N238" s="11">
        <v>20411454</v>
      </c>
      <c r="O238" s="11" t="s">
        <v>37</v>
      </c>
      <c r="P238" s="11">
        <v>0.73</v>
      </c>
    </row>
    <row r="239" spans="1:16" ht="15.75" x14ac:dyDescent="0.25">
      <c r="A239" s="11">
        <v>2509</v>
      </c>
      <c r="B239" s="11">
        <v>82942</v>
      </c>
      <c r="C239" s="11" t="s">
        <v>30</v>
      </c>
      <c r="D239" s="11" t="s">
        <v>42</v>
      </c>
      <c r="E239" s="18">
        <v>44904</v>
      </c>
      <c r="F239" s="18">
        <v>45943</v>
      </c>
      <c r="G239" s="19">
        <v>34</v>
      </c>
      <c r="H239" s="20">
        <f>SUM(L239/K239)</f>
        <v>1</v>
      </c>
      <c r="I239" s="21" t="s">
        <v>671</v>
      </c>
      <c r="J239" s="21" t="s">
        <v>669</v>
      </c>
      <c r="K239" s="11">
        <v>0.21</v>
      </c>
      <c r="L239" s="11">
        <v>0.21</v>
      </c>
      <c r="M239" s="11" t="s">
        <v>661</v>
      </c>
      <c r="N239" s="11">
        <v>20411454</v>
      </c>
      <c r="O239" s="11" t="s">
        <v>37</v>
      </c>
      <c r="P239" s="11">
        <v>0.21</v>
      </c>
    </row>
    <row r="240" spans="1:16" ht="15.75" x14ac:dyDescent="0.25">
      <c r="A240" s="11">
        <v>2509</v>
      </c>
      <c r="B240" s="11">
        <v>82941</v>
      </c>
      <c r="C240" s="11" t="s">
        <v>30</v>
      </c>
      <c r="D240" s="11" t="s">
        <v>31</v>
      </c>
      <c r="E240" s="18">
        <v>44904</v>
      </c>
      <c r="F240" s="18">
        <v>45943</v>
      </c>
      <c r="G240" s="19">
        <v>34</v>
      </c>
      <c r="H240" s="20">
        <f>SUM(L240/K240)</f>
        <v>1</v>
      </c>
      <c r="I240" s="21" t="s">
        <v>671</v>
      </c>
      <c r="J240" s="21" t="s">
        <v>669</v>
      </c>
      <c r="K240" s="11">
        <v>0.47</v>
      </c>
      <c r="L240" s="11">
        <v>0.47</v>
      </c>
      <c r="M240" s="11" t="s">
        <v>661</v>
      </c>
      <c r="N240" s="11">
        <v>20411454</v>
      </c>
      <c r="O240" s="11" t="s">
        <v>37</v>
      </c>
      <c r="P240" s="11">
        <v>0.47</v>
      </c>
    </row>
    <row r="241" spans="1:16" ht="15.75" x14ac:dyDescent="0.25">
      <c r="A241" s="11">
        <v>2516</v>
      </c>
      <c r="B241" s="11">
        <v>48114</v>
      </c>
      <c r="C241" s="11" t="s">
        <v>244</v>
      </c>
      <c r="D241" s="11" t="s">
        <v>61</v>
      </c>
      <c r="E241" s="18">
        <v>45545</v>
      </c>
      <c r="F241" s="18">
        <v>45943</v>
      </c>
      <c r="G241" s="19">
        <v>13</v>
      </c>
      <c r="H241" s="20">
        <f>SUM(L241/K241)</f>
        <v>1</v>
      </c>
      <c r="I241" s="21" t="s">
        <v>671</v>
      </c>
      <c r="J241" s="21" t="s">
        <v>669</v>
      </c>
      <c r="K241" s="11">
        <v>0.05</v>
      </c>
      <c r="L241" s="11">
        <v>0.05</v>
      </c>
      <c r="M241" s="11" t="s">
        <v>661</v>
      </c>
      <c r="N241" s="11">
        <v>20411454</v>
      </c>
      <c r="O241" s="11" t="s">
        <v>37</v>
      </c>
      <c r="P241" s="11">
        <v>0.05</v>
      </c>
    </row>
    <row r="242" spans="1:16" ht="15.75" x14ac:dyDescent="0.25">
      <c r="A242" s="11">
        <v>2516</v>
      </c>
      <c r="B242" s="11">
        <v>48114</v>
      </c>
      <c r="C242" s="11" t="s">
        <v>244</v>
      </c>
      <c r="D242" s="11" t="s">
        <v>31</v>
      </c>
      <c r="E242" s="18">
        <v>45545</v>
      </c>
      <c r="F242" s="18">
        <v>45943</v>
      </c>
      <c r="G242" s="19">
        <v>13</v>
      </c>
      <c r="H242" s="20">
        <f>SUM(L242/K242)</f>
        <v>1</v>
      </c>
      <c r="I242" s="21" t="s">
        <v>671</v>
      </c>
      <c r="J242" s="21" t="s">
        <v>669</v>
      </c>
      <c r="K242" s="11">
        <v>1.46</v>
      </c>
      <c r="L242" s="11">
        <v>1.46</v>
      </c>
      <c r="M242" s="11" t="s">
        <v>661</v>
      </c>
      <c r="N242" s="11">
        <v>20411454</v>
      </c>
      <c r="O242" s="11" t="s">
        <v>37</v>
      </c>
      <c r="P242" s="11">
        <v>1.46</v>
      </c>
    </row>
    <row r="243" spans="1:16" ht="15.75" x14ac:dyDescent="0.25">
      <c r="A243" s="11">
        <v>2519</v>
      </c>
      <c r="B243" s="11">
        <v>8703</v>
      </c>
      <c r="C243" s="11" t="s">
        <v>380</v>
      </c>
      <c r="D243" s="11" t="s">
        <v>61</v>
      </c>
      <c r="E243" s="18">
        <v>45670</v>
      </c>
      <c r="F243" s="18">
        <v>45945</v>
      </c>
      <c r="G243" s="19">
        <v>9</v>
      </c>
      <c r="H243" s="20">
        <f>SUM(L243/K243)</f>
        <v>1</v>
      </c>
      <c r="I243" s="21" t="s">
        <v>671</v>
      </c>
      <c r="J243" s="21" t="s">
        <v>669</v>
      </c>
      <c r="K243" s="11">
        <v>0.11</v>
      </c>
      <c r="L243" s="11">
        <v>0.11</v>
      </c>
      <c r="M243" s="11" t="s">
        <v>661</v>
      </c>
      <c r="N243" s="11">
        <v>20411454</v>
      </c>
      <c r="O243" s="11" t="s">
        <v>37</v>
      </c>
      <c r="P243" s="11">
        <v>0.11</v>
      </c>
    </row>
    <row r="244" spans="1:16" ht="15.75" x14ac:dyDescent="0.25">
      <c r="A244" s="11">
        <v>2519</v>
      </c>
      <c r="B244" s="11">
        <v>8703</v>
      </c>
      <c r="C244" s="11" t="s">
        <v>380</v>
      </c>
      <c r="D244" s="11" t="s">
        <v>31</v>
      </c>
      <c r="E244" s="18">
        <v>45670</v>
      </c>
      <c r="F244" s="18">
        <v>45945</v>
      </c>
      <c r="G244" s="19">
        <v>9</v>
      </c>
      <c r="H244" s="20">
        <f>SUM(L244/K244)</f>
        <v>1</v>
      </c>
      <c r="I244" s="21" t="s">
        <v>671</v>
      </c>
      <c r="J244" s="21" t="s">
        <v>669</v>
      </c>
      <c r="K244" s="11">
        <v>2.54</v>
      </c>
      <c r="L244" s="11">
        <v>2.54</v>
      </c>
      <c r="M244" s="11" t="s">
        <v>661</v>
      </c>
      <c r="N244" s="11">
        <v>20411454</v>
      </c>
      <c r="O244" s="11" t="s">
        <v>37</v>
      </c>
      <c r="P244" s="11">
        <v>2.54</v>
      </c>
    </row>
    <row r="245" spans="1:16" ht="15.75" x14ac:dyDescent="0.25">
      <c r="A245" s="10">
        <v>2521</v>
      </c>
      <c r="B245" s="10">
        <v>86468</v>
      </c>
      <c r="C245" s="10" t="s">
        <v>575</v>
      </c>
      <c r="D245" s="10" t="s">
        <v>42</v>
      </c>
      <c r="E245" s="22">
        <v>45909</v>
      </c>
      <c r="F245" s="22">
        <v>45943</v>
      </c>
      <c r="G245" s="21">
        <v>1</v>
      </c>
      <c r="H245" s="20">
        <f>SUM(L245/K245)</f>
        <v>1</v>
      </c>
      <c r="I245" s="21" t="s">
        <v>671</v>
      </c>
      <c r="J245" s="21" t="s">
        <v>669</v>
      </c>
      <c r="K245" s="10">
        <v>6.93</v>
      </c>
      <c r="L245" s="10">
        <v>6.93</v>
      </c>
      <c r="M245" s="10" t="s">
        <v>661</v>
      </c>
      <c r="N245" s="10">
        <v>20411454</v>
      </c>
      <c r="O245" s="10" t="s">
        <v>37</v>
      </c>
      <c r="P245" s="10">
        <v>6.93</v>
      </c>
    </row>
    <row r="246" spans="1:16" ht="15.75" x14ac:dyDescent="0.25">
      <c r="A246" s="10">
        <v>2521</v>
      </c>
      <c r="B246" s="10">
        <v>86467</v>
      </c>
      <c r="C246" s="10" t="s">
        <v>575</v>
      </c>
      <c r="D246" s="10" t="s">
        <v>31</v>
      </c>
      <c r="E246" s="22">
        <v>45909</v>
      </c>
      <c r="F246" s="22">
        <v>45943</v>
      </c>
      <c r="G246" s="21">
        <v>1</v>
      </c>
      <c r="H246" s="20">
        <f>SUM(L246/K246)</f>
        <v>1</v>
      </c>
      <c r="I246" s="21" t="s">
        <v>671</v>
      </c>
      <c r="J246" s="21" t="s">
        <v>669</v>
      </c>
      <c r="K246" s="10">
        <v>24.96</v>
      </c>
      <c r="L246" s="10">
        <v>24.96</v>
      </c>
      <c r="M246" s="10" t="s">
        <v>661</v>
      </c>
      <c r="N246" s="10">
        <v>20411454</v>
      </c>
      <c r="O246" s="10" t="s">
        <v>37</v>
      </c>
      <c r="P246" s="10">
        <v>24.96</v>
      </c>
    </row>
    <row r="247" spans="1:16" ht="15.75" x14ac:dyDescent="0.25">
      <c r="A247" s="10">
        <v>2521</v>
      </c>
      <c r="B247" s="10">
        <v>1055</v>
      </c>
      <c r="C247" s="10" t="s">
        <v>512</v>
      </c>
      <c r="D247" s="10" t="s">
        <v>61</v>
      </c>
      <c r="E247" s="22">
        <v>45822</v>
      </c>
      <c r="F247" s="22">
        <v>45946</v>
      </c>
      <c r="G247" s="21">
        <v>4</v>
      </c>
      <c r="H247" s="20">
        <f>SUM(L247/K247)</f>
        <v>0.3666666666666667</v>
      </c>
      <c r="I247" s="20" t="s">
        <v>674</v>
      </c>
      <c r="J247" s="21" t="s">
        <v>669</v>
      </c>
      <c r="K247" s="10">
        <v>1.5</v>
      </c>
      <c r="L247" s="10">
        <v>0.55000000000000004</v>
      </c>
      <c r="M247" s="10" t="s">
        <v>648</v>
      </c>
      <c r="N247" s="10">
        <v>20253958</v>
      </c>
      <c r="O247" s="10" t="s">
        <v>37</v>
      </c>
      <c r="P247" s="10" t="s">
        <v>36</v>
      </c>
    </row>
    <row r="248" spans="1:16" ht="15.75" x14ac:dyDescent="0.25">
      <c r="A248" s="10">
        <v>2521</v>
      </c>
      <c r="B248" s="10">
        <v>1055</v>
      </c>
      <c r="C248" s="10" t="s">
        <v>512</v>
      </c>
      <c r="D248" s="10" t="s">
        <v>31</v>
      </c>
      <c r="E248" s="22">
        <v>45822</v>
      </c>
      <c r="F248" s="22">
        <v>45946</v>
      </c>
      <c r="G248" s="21">
        <v>4</v>
      </c>
      <c r="H248" s="20">
        <f>SUM(L248/K248)</f>
        <v>0.37007440066133923</v>
      </c>
      <c r="I248" s="20" t="s">
        <v>674</v>
      </c>
      <c r="J248" s="21" t="s">
        <v>669</v>
      </c>
      <c r="K248" s="10">
        <v>36.29</v>
      </c>
      <c r="L248" s="10">
        <v>13.43</v>
      </c>
      <c r="M248" s="10" t="s">
        <v>648</v>
      </c>
      <c r="N248" s="10">
        <v>20253958</v>
      </c>
      <c r="O248" s="10" t="s">
        <v>37</v>
      </c>
      <c r="P248" s="10" t="s">
        <v>36</v>
      </c>
    </row>
    <row r="249" spans="1:16" ht="15.75" x14ac:dyDescent="0.25">
      <c r="A249" s="10">
        <v>2521</v>
      </c>
      <c r="B249" s="10">
        <v>59631</v>
      </c>
      <c r="C249" s="10" t="s">
        <v>557</v>
      </c>
      <c r="D249" s="10" t="s">
        <v>31</v>
      </c>
      <c r="E249" s="22">
        <v>45881</v>
      </c>
      <c r="F249" s="22">
        <v>45944</v>
      </c>
      <c r="G249" s="21">
        <v>2</v>
      </c>
      <c r="H249" s="20">
        <f>SUM(L249/K249)</f>
        <v>0.36992024306874294</v>
      </c>
      <c r="I249" s="20" t="s">
        <v>674</v>
      </c>
      <c r="J249" s="21" t="s">
        <v>669</v>
      </c>
      <c r="K249" s="10">
        <v>52.66</v>
      </c>
      <c r="L249" s="10">
        <v>19.48</v>
      </c>
      <c r="M249" s="10" t="s">
        <v>631</v>
      </c>
      <c r="N249" s="10">
        <v>21222981</v>
      </c>
      <c r="O249" s="10" t="s">
        <v>37</v>
      </c>
      <c r="P249" s="10" t="s">
        <v>36</v>
      </c>
    </row>
    <row r="250" spans="1:16" ht="15.75" x14ac:dyDescent="0.25">
      <c r="A250" s="11">
        <v>2514</v>
      </c>
      <c r="B250" s="11">
        <v>55345</v>
      </c>
      <c r="C250" s="11" t="s">
        <v>128</v>
      </c>
      <c r="D250" s="11" t="s">
        <v>61</v>
      </c>
      <c r="E250" s="18">
        <v>45366</v>
      </c>
      <c r="F250" s="18">
        <v>45947</v>
      </c>
      <c r="G250" s="19">
        <v>19</v>
      </c>
      <c r="H250" s="20">
        <f>SUM(L250/K250)</f>
        <v>4.0892193308550186E-2</v>
      </c>
      <c r="I250" s="20" t="s">
        <v>672</v>
      </c>
      <c r="J250" s="21" t="s">
        <v>669</v>
      </c>
      <c r="K250" s="11">
        <v>2.69</v>
      </c>
      <c r="L250" s="11">
        <v>0.11</v>
      </c>
      <c r="M250" s="11" t="s">
        <v>641</v>
      </c>
      <c r="N250" s="11">
        <v>18710070</v>
      </c>
      <c r="O250" s="11" t="s">
        <v>37</v>
      </c>
      <c r="P250" s="11" t="s">
        <v>36</v>
      </c>
    </row>
    <row r="251" spans="1:16" ht="15.75" x14ac:dyDescent="0.25">
      <c r="A251" s="11">
        <v>2514</v>
      </c>
      <c r="B251" s="11">
        <v>55345</v>
      </c>
      <c r="C251" s="11" t="s">
        <v>128</v>
      </c>
      <c r="D251" s="11" t="s">
        <v>31</v>
      </c>
      <c r="E251" s="18">
        <v>45366</v>
      </c>
      <c r="F251" s="18">
        <v>45947</v>
      </c>
      <c r="G251" s="19">
        <v>19</v>
      </c>
      <c r="H251" s="20">
        <f>SUM(L251/K251)</f>
        <v>3.995040639206502E-2</v>
      </c>
      <c r="I251" s="20" t="s">
        <v>672</v>
      </c>
      <c r="J251" s="21" t="s">
        <v>669</v>
      </c>
      <c r="K251" s="11">
        <v>72.59</v>
      </c>
      <c r="L251" s="11">
        <v>2.9</v>
      </c>
      <c r="M251" s="11" t="s">
        <v>641</v>
      </c>
      <c r="N251" s="11">
        <v>18710070</v>
      </c>
      <c r="O251" s="11" t="s">
        <v>37</v>
      </c>
      <c r="P251" s="11" t="s">
        <v>36</v>
      </c>
    </row>
    <row r="252" spans="1:16" ht="15.75" x14ac:dyDescent="0.25">
      <c r="A252" s="11">
        <v>2515</v>
      </c>
      <c r="B252" s="11">
        <v>86561</v>
      </c>
      <c r="C252" s="11" t="s">
        <v>181</v>
      </c>
      <c r="D252" s="11" t="s">
        <v>42</v>
      </c>
      <c r="E252" s="18">
        <v>45483</v>
      </c>
      <c r="F252" s="18">
        <v>45943</v>
      </c>
      <c r="G252" s="19">
        <v>15</v>
      </c>
      <c r="H252" s="20">
        <f>SUM(L252/K252)</f>
        <v>4.0053404539385849E-2</v>
      </c>
      <c r="I252" s="20" t="s">
        <v>672</v>
      </c>
      <c r="J252" s="21" t="s">
        <v>669</v>
      </c>
      <c r="K252" s="11">
        <v>44.94</v>
      </c>
      <c r="L252" s="11">
        <v>1.8</v>
      </c>
      <c r="M252" s="11" t="s">
        <v>641</v>
      </c>
      <c r="N252" s="11">
        <v>18710070</v>
      </c>
      <c r="O252" s="11" t="s">
        <v>37</v>
      </c>
      <c r="P252" s="11" t="s">
        <v>36</v>
      </c>
    </row>
    <row r="253" spans="1:16" ht="15.75" x14ac:dyDescent="0.25">
      <c r="A253" s="11">
        <v>2515</v>
      </c>
      <c r="B253" s="11">
        <v>86560</v>
      </c>
      <c r="C253" s="11" t="s">
        <v>181</v>
      </c>
      <c r="D253" s="11" t="s">
        <v>31</v>
      </c>
      <c r="E253" s="18">
        <v>45483</v>
      </c>
      <c r="F253" s="18">
        <v>45943</v>
      </c>
      <c r="G253" s="19">
        <v>15</v>
      </c>
      <c r="H253" s="20">
        <f>SUM(L253/K253)</f>
        <v>4.003707136237257E-2</v>
      </c>
      <c r="I253" s="20" t="s">
        <v>672</v>
      </c>
      <c r="J253" s="21" t="s">
        <v>669</v>
      </c>
      <c r="K253" s="11">
        <v>107.9</v>
      </c>
      <c r="L253" s="11">
        <v>4.32</v>
      </c>
      <c r="M253" s="11" t="s">
        <v>641</v>
      </c>
      <c r="N253" s="11">
        <v>18710070</v>
      </c>
      <c r="O253" s="11" t="s">
        <v>37</v>
      </c>
      <c r="P253" s="11" t="s">
        <v>36</v>
      </c>
    </row>
    <row r="254" spans="1:16" ht="15.75" x14ac:dyDescent="0.25">
      <c r="A254" s="10">
        <v>2521</v>
      </c>
      <c r="B254" s="10">
        <v>55988</v>
      </c>
      <c r="C254" s="10" t="s">
        <v>540</v>
      </c>
      <c r="D254" s="10" t="s">
        <v>31</v>
      </c>
      <c r="E254" s="22">
        <v>45880</v>
      </c>
      <c r="F254" s="22">
        <v>45943</v>
      </c>
      <c r="G254" s="21">
        <v>2</v>
      </c>
      <c r="H254" s="20">
        <f>SUM(L254/K254)</f>
        <v>0.370005790387956</v>
      </c>
      <c r="I254" s="20" t="s">
        <v>674</v>
      </c>
      <c r="J254" s="21" t="s">
        <v>669</v>
      </c>
      <c r="K254" s="10">
        <v>17.27</v>
      </c>
      <c r="L254" s="10">
        <v>6.39</v>
      </c>
      <c r="M254" s="10" t="s">
        <v>641</v>
      </c>
      <c r="N254" s="10">
        <v>18710070</v>
      </c>
      <c r="O254" s="10" t="s">
        <v>37</v>
      </c>
      <c r="P254" s="10" t="s">
        <v>36</v>
      </c>
    </row>
    <row r="255" spans="1:16" ht="15.75" x14ac:dyDescent="0.25">
      <c r="A255" s="10">
        <v>2520</v>
      </c>
      <c r="B255" s="10">
        <v>32726</v>
      </c>
      <c r="C255" s="10" t="s">
        <v>446</v>
      </c>
      <c r="D255" s="10" t="s">
        <v>31</v>
      </c>
      <c r="E255" s="22">
        <v>45761</v>
      </c>
      <c r="F255" s="22">
        <v>45946</v>
      </c>
      <c r="G255" s="21">
        <v>6</v>
      </c>
      <c r="H255" s="20">
        <f>SUM(L255/K255)</f>
        <v>0.370005790387956</v>
      </c>
      <c r="I255" s="20" t="s">
        <v>674</v>
      </c>
      <c r="J255" s="21" t="s">
        <v>669</v>
      </c>
      <c r="K255" s="10">
        <v>17.27</v>
      </c>
      <c r="L255" s="10">
        <v>6.39</v>
      </c>
      <c r="M255" s="10" t="s">
        <v>641</v>
      </c>
      <c r="N255" s="10">
        <v>18710070</v>
      </c>
      <c r="O255" s="10" t="s">
        <v>37</v>
      </c>
      <c r="P255" s="10" t="s">
        <v>36</v>
      </c>
    </row>
    <row r="256" spans="1:16" ht="15.75" x14ac:dyDescent="0.25">
      <c r="A256" s="10">
        <v>2521</v>
      </c>
      <c r="B256" s="10">
        <v>90781</v>
      </c>
      <c r="C256" s="10" t="s">
        <v>600</v>
      </c>
      <c r="D256" s="10" t="s">
        <v>31</v>
      </c>
      <c r="E256" s="22">
        <v>45913</v>
      </c>
      <c r="F256" s="22">
        <v>45945</v>
      </c>
      <c r="G256" s="21">
        <v>1</v>
      </c>
      <c r="H256" s="20">
        <f>SUM(L256/K256)</f>
        <v>0.370005790387956</v>
      </c>
      <c r="I256" s="20" t="s">
        <v>674</v>
      </c>
      <c r="J256" s="21" t="s">
        <v>669</v>
      </c>
      <c r="K256" s="10">
        <v>17.27</v>
      </c>
      <c r="L256" s="10">
        <v>6.39</v>
      </c>
      <c r="M256" s="10" t="s">
        <v>649</v>
      </c>
      <c r="N256" s="10">
        <v>16212649</v>
      </c>
      <c r="O256" s="10" t="s">
        <v>37</v>
      </c>
      <c r="P256" s="10" t="s">
        <v>36</v>
      </c>
    </row>
    <row r="257" spans="1:16" ht="15.75" x14ac:dyDescent="0.25">
      <c r="A257" s="12">
        <v>2520</v>
      </c>
      <c r="B257" s="12">
        <v>66370</v>
      </c>
      <c r="C257" s="12" t="s">
        <v>475</v>
      </c>
      <c r="D257" s="12" t="s">
        <v>42</v>
      </c>
      <c r="E257" s="23">
        <v>45792</v>
      </c>
      <c r="F257" s="23">
        <v>45947</v>
      </c>
      <c r="G257" s="24">
        <v>5</v>
      </c>
      <c r="H257" s="20">
        <f>SUM(L257/K257)</f>
        <v>0.37025703794369647</v>
      </c>
      <c r="I257" s="20" t="s">
        <v>674</v>
      </c>
      <c r="J257" s="24" t="s">
        <v>668</v>
      </c>
      <c r="K257" s="12">
        <v>16.34</v>
      </c>
      <c r="L257" s="12">
        <v>6.05</v>
      </c>
      <c r="M257" s="12" t="s">
        <v>629</v>
      </c>
      <c r="N257" s="12">
        <v>8244481</v>
      </c>
      <c r="O257" s="12" t="s">
        <v>37</v>
      </c>
      <c r="P257" s="12" t="s">
        <v>36</v>
      </c>
    </row>
    <row r="258" spans="1:16" ht="15.75" x14ac:dyDescent="0.25">
      <c r="A258" s="12">
        <v>2521</v>
      </c>
      <c r="B258" s="12">
        <v>82542</v>
      </c>
      <c r="C258" s="12" t="s">
        <v>570</v>
      </c>
      <c r="D258" s="12" t="s">
        <v>42</v>
      </c>
      <c r="E258" s="23">
        <v>45904</v>
      </c>
      <c r="F258" s="23">
        <v>45943</v>
      </c>
      <c r="G258" s="24">
        <v>1</v>
      </c>
      <c r="H258" s="20">
        <f>SUM(L258/K258)</f>
        <v>0.37025703794369647</v>
      </c>
      <c r="I258" s="20" t="s">
        <v>674</v>
      </c>
      <c r="J258" s="24" t="s">
        <v>668</v>
      </c>
      <c r="K258" s="12">
        <v>-16.34</v>
      </c>
      <c r="L258" s="12">
        <v>-6.05</v>
      </c>
      <c r="M258" s="12" t="s">
        <v>629</v>
      </c>
      <c r="N258" s="12">
        <v>8244481</v>
      </c>
      <c r="O258" s="12" t="s">
        <v>37</v>
      </c>
      <c r="P258" s="12" t="s">
        <v>36</v>
      </c>
    </row>
    <row r="259" spans="1:16" ht="15.75" x14ac:dyDescent="0.25">
      <c r="A259" s="11">
        <v>2519</v>
      </c>
      <c r="B259" s="11">
        <v>9668</v>
      </c>
      <c r="C259" s="11" t="s">
        <v>385</v>
      </c>
      <c r="D259" s="11" t="s">
        <v>42</v>
      </c>
      <c r="E259" s="18">
        <v>45667</v>
      </c>
      <c r="F259" s="18">
        <v>45943</v>
      </c>
      <c r="G259" s="19">
        <v>9</v>
      </c>
      <c r="H259" s="20">
        <f>SUM(L259/K259)</f>
        <v>0.36995827538247567</v>
      </c>
      <c r="I259" s="20" t="s">
        <v>674</v>
      </c>
      <c r="J259" s="21" t="s">
        <v>669</v>
      </c>
      <c r="K259" s="11">
        <v>35.950000000000003</v>
      </c>
      <c r="L259" s="11">
        <v>13.3</v>
      </c>
      <c r="M259" s="11" t="s">
        <v>654</v>
      </c>
      <c r="N259" s="11">
        <v>16633294</v>
      </c>
      <c r="O259" s="11" t="s">
        <v>37</v>
      </c>
      <c r="P259" s="11" t="s">
        <v>36</v>
      </c>
    </row>
    <row r="260" spans="1:16" ht="15.75" x14ac:dyDescent="0.25">
      <c r="A260" s="11">
        <v>2519</v>
      </c>
      <c r="B260" s="11">
        <v>17174</v>
      </c>
      <c r="C260" s="11" t="s">
        <v>404</v>
      </c>
      <c r="D260" s="11" t="s">
        <v>31</v>
      </c>
      <c r="E260" s="18">
        <v>45672</v>
      </c>
      <c r="F260" s="18">
        <v>45947</v>
      </c>
      <c r="G260" s="19">
        <v>9</v>
      </c>
      <c r="H260" s="20">
        <f>SUM(L260/K260)</f>
        <v>0.36999754480726743</v>
      </c>
      <c r="I260" s="20" t="s">
        <v>674</v>
      </c>
      <c r="J260" s="21" t="s">
        <v>669</v>
      </c>
      <c r="K260" s="11">
        <v>40.729999999999997</v>
      </c>
      <c r="L260" s="11">
        <v>15.07</v>
      </c>
      <c r="M260" s="11" t="s">
        <v>640</v>
      </c>
      <c r="N260" s="11">
        <v>5442438</v>
      </c>
      <c r="O260" s="11" t="s">
        <v>37</v>
      </c>
      <c r="P260" s="11" t="s">
        <v>36</v>
      </c>
    </row>
    <row r="261" spans="1:16" ht="15.75" x14ac:dyDescent="0.25">
      <c r="A261" s="10">
        <v>2520</v>
      </c>
      <c r="B261" s="10">
        <v>63412</v>
      </c>
      <c r="C261" s="10" t="s">
        <v>462</v>
      </c>
      <c r="D261" s="10" t="s">
        <v>61</v>
      </c>
      <c r="E261" s="22">
        <v>45787</v>
      </c>
      <c r="F261" s="22">
        <v>45943</v>
      </c>
      <c r="G261" s="21">
        <v>5</v>
      </c>
      <c r="H261" s="20">
        <f>SUM(L261/K261)</f>
        <v>0.3666666666666667</v>
      </c>
      <c r="I261" s="20" t="s">
        <v>674</v>
      </c>
      <c r="J261" s="21" t="s">
        <v>669</v>
      </c>
      <c r="K261" s="10">
        <v>1.5</v>
      </c>
      <c r="L261" s="10">
        <v>0.55000000000000004</v>
      </c>
      <c r="M261" s="10" t="s">
        <v>640</v>
      </c>
      <c r="N261" s="10">
        <v>5442438</v>
      </c>
      <c r="O261" s="10" t="s">
        <v>37</v>
      </c>
      <c r="P261" s="10" t="s">
        <v>36</v>
      </c>
    </row>
    <row r="262" spans="1:16" ht="15.75" x14ac:dyDescent="0.25">
      <c r="A262" s="10">
        <v>2520</v>
      </c>
      <c r="B262" s="10">
        <v>63412</v>
      </c>
      <c r="C262" s="10" t="s">
        <v>462</v>
      </c>
      <c r="D262" s="10" t="s">
        <v>31</v>
      </c>
      <c r="E262" s="22">
        <v>45787</v>
      </c>
      <c r="F262" s="22">
        <v>45943</v>
      </c>
      <c r="G262" s="21">
        <v>5</v>
      </c>
      <c r="H262" s="20">
        <f>SUM(L262/K262)</f>
        <v>0.37003648851684906</v>
      </c>
      <c r="I262" s="20" t="s">
        <v>674</v>
      </c>
      <c r="J262" s="21" t="s">
        <v>669</v>
      </c>
      <c r="K262" s="10">
        <v>46.59</v>
      </c>
      <c r="L262" s="10">
        <v>17.239999999999998</v>
      </c>
      <c r="M262" s="10" t="s">
        <v>640</v>
      </c>
      <c r="N262" s="10">
        <v>5442438</v>
      </c>
      <c r="O262" s="10" t="s">
        <v>37</v>
      </c>
      <c r="P262" s="10" t="s">
        <v>36</v>
      </c>
    </row>
    <row r="263" spans="1:16" ht="15.75" x14ac:dyDescent="0.25">
      <c r="A263" s="11">
        <v>2516</v>
      </c>
      <c r="B263" s="11">
        <v>45311</v>
      </c>
      <c r="C263" s="11" t="s">
        <v>241</v>
      </c>
      <c r="D263" s="11" t="s">
        <v>31</v>
      </c>
      <c r="E263" s="18">
        <v>45550</v>
      </c>
      <c r="F263" s="18">
        <v>45947</v>
      </c>
      <c r="G263" s="19">
        <v>13</v>
      </c>
      <c r="H263" s="20">
        <f>SUM(L263/K263)</f>
        <v>3.9967593842830135E-2</v>
      </c>
      <c r="I263" s="20" t="s">
        <v>672</v>
      </c>
      <c r="J263" s="21" t="s">
        <v>669</v>
      </c>
      <c r="K263" s="11">
        <v>37.03</v>
      </c>
      <c r="L263" s="11">
        <v>1.48</v>
      </c>
      <c r="M263" s="11" t="s">
        <v>640</v>
      </c>
      <c r="N263" s="11">
        <v>5442438</v>
      </c>
      <c r="O263" s="11" t="s">
        <v>37</v>
      </c>
      <c r="P263" s="11" t="s">
        <v>36</v>
      </c>
    </row>
    <row r="264" spans="1:16" ht="15.75" x14ac:dyDescent="0.25">
      <c r="A264" s="11">
        <v>2518</v>
      </c>
      <c r="B264" s="11">
        <v>7206</v>
      </c>
      <c r="C264" s="11" t="s">
        <v>290</v>
      </c>
      <c r="D264" s="11" t="s">
        <v>61</v>
      </c>
      <c r="E264" s="18">
        <v>45611</v>
      </c>
      <c r="F264" s="18">
        <v>45947</v>
      </c>
      <c r="G264" s="19">
        <v>11</v>
      </c>
      <c r="H264" s="20">
        <f>SUM(L264/K264)</f>
        <v>0.37174721189591081</v>
      </c>
      <c r="I264" s="20" t="s">
        <v>674</v>
      </c>
      <c r="J264" s="21" t="s">
        <v>669</v>
      </c>
      <c r="K264" s="11">
        <v>2.69</v>
      </c>
      <c r="L264" s="11">
        <v>1</v>
      </c>
      <c r="M264" s="11" t="s">
        <v>640</v>
      </c>
      <c r="N264" s="11">
        <v>5442438</v>
      </c>
      <c r="O264" s="11" t="s">
        <v>37</v>
      </c>
      <c r="P264" s="11" t="s">
        <v>36</v>
      </c>
    </row>
    <row r="265" spans="1:16" ht="15.75" x14ac:dyDescent="0.25">
      <c r="A265" s="11">
        <v>2518</v>
      </c>
      <c r="B265" s="11">
        <v>7206</v>
      </c>
      <c r="C265" s="11" t="s">
        <v>290</v>
      </c>
      <c r="D265" s="11" t="s">
        <v>31</v>
      </c>
      <c r="E265" s="18">
        <v>45611</v>
      </c>
      <c r="F265" s="18">
        <v>45947</v>
      </c>
      <c r="G265" s="19">
        <v>11</v>
      </c>
      <c r="H265" s="20">
        <f>SUM(L265/K265)</f>
        <v>0.36998731583569133</v>
      </c>
      <c r="I265" s="20" t="s">
        <v>674</v>
      </c>
      <c r="J265" s="21" t="s">
        <v>669</v>
      </c>
      <c r="K265" s="11">
        <v>102.49</v>
      </c>
      <c r="L265" s="11">
        <v>37.92</v>
      </c>
      <c r="M265" s="11" t="s">
        <v>640</v>
      </c>
      <c r="N265" s="11">
        <v>5442438</v>
      </c>
      <c r="O265" s="11" t="s">
        <v>37</v>
      </c>
      <c r="P265" s="11" t="s">
        <v>36</v>
      </c>
    </row>
    <row r="266" spans="1:16" ht="15.75" x14ac:dyDescent="0.25">
      <c r="A266" s="10">
        <v>2521</v>
      </c>
      <c r="B266" s="10">
        <v>58411</v>
      </c>
      <c r="C266" s="10" t="s">
        <v>548</v>
      </c>
      <c r="D266" s="10" t="s">
        <v>61</v>
      </c>
      <c r="E266" s="22">
        <v>45878</v>
      </c>
      <c r="F266" s="22">
        <v>45943</v>
      </c>
      <c r="G266" s="21">
        <v>2</v>
      </c>
      <c r="H266" s="20">
        <f>SUM(L266/K266)</f>
        <v>0.3666666666666667</v>
      </c>
      <c r="I266" s="20" t="s">
        <v>674</v>
      </c>
      <c r="J266" s="21" t="s">
        <v>669</v>
      </c>
      <c r="K266" s="10">
        <v>1.5</v>
      </c>
      <c r="L266" s="10">
        <v>0.55000000000000004</v>
      </c>
      <c r="M266" s="10" t="s">
        <v>640</v>
      </c>
      <c r="N266" s="10">
        <v>5442438</v>
      </c>
      <c r="O266" s="10" t="s">
        <v>37</v>
      </c>
      <c r="P266" s="10" t="s">
        <v>36</v>
      </c>
    </row>
    <row r="267" spans="1:16" ht="15.75" x14ac:dyDescent="0.25">
      <c r="A267" s="10">
        <v>2521</v>
      </c>
      <c r="B267" s="10">
        <v>58411</v>
      </c>
      <c r="C267" s="10" t="s">
        <v>548</v>
      </c>
      <c r="D267" s="10" t="s">
        <v>31</v>
      </c>
      <c r="E267" s="22">
        <v>45878</v>
      </c>
      <c r="F267" s="22">
        <v>45943</v>
      </c>
      <c r="G267" s="21">
        <v>2</v>
      </c>
      <c r="H267" s="20">
        <f>SUM(L267/K267)</f>
        <v>0.37001180637544273</v>
      </c>
      <c r="I267" s="20" t="s">
        <v>674</v>
      </c>
      <c r="J267" s="21" t="s">
        <v>669</v>
      </c>
      <c r="K267" s="10">
        <v>42.35</v>
      </c>
      <c r="L267" s="10">
        <v>15.67</v>
      </c>
      <c r="M267" s="10" t="s">
        <v>640</v>
      </c>
      <c r="N267" s="10">
        <v>5442438</v>
      </c>
      <c r="O267" s="10" t="s">
        <v>37</v>
      </c>
      <c r="P267" s="10" t="s">
        <v>36</v>
      </c>
    </row>
    <row r="268" spans="1:16" ht="15.75" x14ac:dyDescent="0.25">
      <c r="A268" s="11">
        <v>2518</v>
      </c>
      <c r="B268" s="11">
        <v>18083</v>
      </c>
      <c r="C268" s="11" t="s">
        <v>311</v>
      </c>
      <c r="D268" s="11" t="s">
        <v>31</v>
      </c>
      <c r="E268" s="18">
        <v>45608</v>
      </c>
      <c r="F268" s="18">
        <v>45944</v>
      </c>
      <c r="G268" s="19">
        <v>11</v>
      </c>
      <c r="H268" s="20">
        <f>SUM(L268/K268)</f>
        <v>0.3699702943559276</v>
      </c>
      <c r="I268" s="20" t="s">
        <v>674</v>
      </c>
      <c r="J268" s="21" t="s">
        <v>669</v>
      </c>
      <c r="K268" s="11">
        <v>37.03</v>
      </c>
      <c r="L268" s="11">
        <v>13.7</v>
      </c>
      <c r="M268" s="11" t="s">
        <v>640</v>
      </c>
      <c r="N268" s="11">
        <v>5442438</v>
      </c>
      <c r="O268" s="11" t="s">
        <v>37</v>
      </c>
      <c r="P268" s="11" t="s">
        <v>36</v>
      </c>
    </row>
    <row r="269" spans="1:16" ht="15.75" x14ac:dyDescent="0.25">
      <c r="A269" s="10">
        <v>2519</v>
      </c>
      <c r="B269" s="10">
        <v>91963</v>
      </c>
      <c r="C269" s="10" t="s">
        <v>419</v>
      </c>
      <c r="D269" s="10" t="s">
        <v>61</v>
      </c>
      <c r="E269" s="22">
        <v>45728</v>
      </c>
      <c r="F269" s="22">
        <v>45944</v>
      </c>
      <c r="G269" s="21">
        <v>7</v>
      </c>
      <c r="H269" s="20">
        <f>SUM(L269/K269)</f>
        <v>0.3666666666666667</v>
      </c>
      <c r="I269" s="20" t="s">
        <v>674</v>
      </c>
      <c r="J269" s="21" t="s">
        <v>669</v>
      </c>
      <c r="K269" s="10">
        <v>1.5</v>
      </c>
      <c r="L269" s="10">
        <v>0.55000000000000004</v>
      </c>
      <c r="M269" s="10" t="s">
        <v>640</v>
      </c>
      <c r="N269" s="10">
        <v>5442438</v>
      </c>
      <c r="O269" s="10" t="s">
        <v>37</v>
      </c>
      <c r="P269" s="10" t="s">
        <v>36</v>
      </c>
    </row>
    <row r="270" spans="1:16" ht="15.75" x14ac:dyDescent="0.25">
      <c r="A270" s="10">
        <v>2519</v>
      </c>
      <c r="B270" s="10">
        <v>91963</v>
      </c>
      <c r="C270" s="10" t="s">
        <v>419</v>
      </c>
      <c r="D270" s="10" t="s">
        <v>31</v>
      </c>
      <c r="E270" s="22">
        <v>45728</v>
      </c>
      <c r="F270" s="22">
        <v>45944</v>
      </c>
      <c r="G270" s="21">
        <v>7</v>
      </c>
      <c r="H270" s="20">
        <f>SUM(L270/K270)</f>
        <v>0.37001180637544273</v>
      </c>
      <c r="I270" s="20" t="s">
        <v>674</v>
      </c>
      <c r="J270" s="21" t="s">
        <v>669</v>
      </c>
      <c r="K270" s="10">
        <v>42.35</v>
      </c>
      <c r="L270" s="10">
        <v>15.67</v>
      </c>
      <c r="M270" s="10" t="s">
        <v>640</v>
      </c>
      <c r="N270" s="10">
        <v>5442438</v>
      </c>
      <c r="O270" s="10" t="s">
        <v>37</v>
      </c>
      <c r="P270" s="10" t="s">
        <v>36</v>
      </c>
    </row>
    <row r="271" spans="1:16" ht="15.75" x14ac:dyDescent="0.25">
      <c r="A271" s="11">
        <v>2516</v>
      </c>
      <c r="B271" s="11">
        <v>72796</v>
      </c>
      <c r="C271" s="11" t="s">
        <v>261</v>
      </c>
      <c r="D271" s="11" t="s">
        <v>61</v>
      </c>
      <c r="E271" s="18">
        <v>45574</v>
      </c>
      <c r="F271" s="18">
        <v>45943</v>
      </c>
      <c r="G271" s="19">
        <v>12</v>
      </c>
      <c r="H271" s="20">
        <f>SUM(L271/K271)</f>
        <v>4.0697674418604654E-2</v>
      </c>
      <c r="I271" s="20" t="s">
        <v>672</v>
      </c>
      <c r="J271" s="21" t="s">
        <v>669</v>
      </c>
      <c r="K271" s="11">
        <v>3.44</v>
      </c>
      <c r="L271" s="11">
        <v>0.14000000000000001</v>
      </c>
      <c r="M271" s="11" t="s">
        <v>640</v>
      </c>
      <c r="N271" s="11">
        <v>5442438</v>
      </c>
      <c r="O271" s="11" t="s">
        <v>37</v>
      </c>
      <c r="P271" s="11" t="s">
        <v>36</v>
      </c>
    </row>
    <row r="272" spans="1:16" ht="15.75" x14ac:dyDescent="0.25">
      <c r="A272" s="11">
        <v>2516</v>
      </c>
      <c r="B272" s="11">
        <v>72796</v>
      </c>
      <c r="C272" s="11" t="s">
        <v>261</v>
      </c>
      <c r="D272" s="11" t="s">
        <v>31</v>
      </c>
      <c r="E272" s="18">
        <v>45574</v>
      </c>
      <c r="F272" s="18">
        <v>45943</v>
      </c>
      <c r="G272" s="19">
        <v>12</v>
      </c>
      <c r="H272" s="20">
        <f>SUM(L272/K272)</f>
        <v>3.9981216877976788E-2</v>
      </c>
      <c r="I272" s="20" t="s">
        <v>672</v>
      </c>
      <c r="J272" s="21" t="s">
        <v>669</v>
      </c>
      <c r="K272" s="11">
        <v>149.07</v>
      </c>
      <c r="L272" s="11">
        <v>5.96</v>
      </c>
      <c r="M272" s="11" t="s">
        <v>640</v>
      </c>
      <c r="N272" s="11">
        <v>5442438</v>
      </c>
      <c r="O272" s="11" t="s">
        <v>37</v>
      </c>
      <c r="P272" s="11" t="s">
        <v>36</v>
      </c>
    </row>
    <row r="273" spans="1:16" ht="15.75" x14ac:dyDescent="0.25">
      <c r="A273" s="11">
        <v>2516</v>
      </c>
      <c r="B273" s="11">
        <v>91494</v>
      </c>
      <c r="C273" s="11" t="s">
        <v>278</v>
      </c>
      <c r="D273" s="11" t="s">
        <v>61</v>
      </c>
      <c r="E273" s="18">
        <v>45597</v>
      </c>
      <c r="F273" s="18">
        <v>45943</v>
      </c>
      <c r="G273" s="19">
        <v>11</v>
      </c>
      <c r="H273" s="20">
        <f>SUM(L273/K273)</f>
        <v>0.37333333333333335</v>
      </c>
      <c r="I273" s="20" t="s">
        <v>674</v>
      </c>
      <c r="J273" s="21" t="s">
        <v>669</v>
      </c>
      <c r="K273" s="11">
        <v>1.5</v>
      </c>
      <c r="L273" s="11">
        <v>0.56000000000000005</v>
      </c>
      <c r="M273" s="11" t="s">
        <v>640</v>
      </c>
      <c r="N273" s="11">
        <v>5442438</v>
      </c>
      <c r="O273" s="11" t="s">
        <v>37</v>
      </c>
      <c r="P273" s="11" t="s">
        <v>36</v>
      </c>
    </row>
    <row r="274" spans="1:16" ht="15.75" x14ac:dyDescent="0.25">
      <c r="A274" s="11">
        <v>2516</v>
      </c>
      <c r="B274" s="11">
        <v>91494</v>
      </c>
      <c r="C274" s="11" t="s">
        <v>278</v>
      </c>
      <c r="D274" s="11" t="s">
        <v>61</v>
      </c>
      <c r="E274" s="18">
        <v>45597</v>
      </c>
      <c r="F274" s="18">
        <v>45943</v>
      </c>
      <c r="G274" s="19">
        <v>11</v>
      </c>
      <c r="H274" s="20">
        <f>SUM(L274/K274)</f>
        <v>0.37333333333333335</v>
      </c>
      <c r="I274" s="20" t="s">
        <v>674</v>
      </c>
      <c r="J274" s="21" t="s">
        <v>669</v>
      </c>
      <c r="K274" s="11">
        <v>1.5</v>
      </c>
      <c r="L274" s="11">
        <v>0.56000000000000005</v>
      </c>
      <c r="M274" s="11" t="s">
        <v>640</v>
      </c>
      <c r="N274" s="11">
        <v>5442438</v>
      </c>
      <c r="O274" s="11" t="s">
        <v>37</v>
      </c>
      <c r="P274" s="11" t="s">
        <v>36</v>
      </c>
    </row>
    <row r="275" spans="1:16" ht="15.75" x14ac:dyDescent="0.25">
      <c r="A275" s="11">
        <v>2516</v>
      </c>
      <c r="B275" s="11">
        <v>91494</v>
      </c>
      <c r="C275" s="11" t="s">
        <v>278</v>
      </c>
      <c r="D275" s="11" t="s">
        <v>31</v>
      </c>
      <c r="E275" s="18">
        <v>45597</v>
      </c>
      <c r="F275" s="18">
        <v>45943</v>
      </c>
      <c r="G275" s="19">
        <v>11</v>
      </c>
      <c r="H275" s="20">
        <f>SUM(L275/K275)</f>
        <v>0.37003648851684906</v>
      </c>
      <c r="I275" s="20" t="s">
        <v>674</v>
      </c>
      <c r="J275" s="21" t="s">
        <v>669</v>
      </c>
      <c r="K275" s="11">
        <v>46.59</v>
      </c>
      <c r="L275" s="11">
        <v>17.239999999999998</v>
      </c>
      <c r="M275" s="11" t="s">
        <v>640</v>
      </c>
      <c r="N275" s="11">
        <v>5442438</v>
      </c>
      <c r="O275" s="11" t="s">
        <v>37</v>
      </c>
      <c r="P275" s="11" t="s">
        <v>36</v>
      </c>
    </row>
    <row r="276" spans="1:16" ht="15.75" x14ac:dyDescent="0.25">
      <c r="A276" s="11">
        <v>2516</v>
      </c>
      <c r="B276" s="11">
        <v>91494</v>
      </c>
      <c r="C276" s="11" t="s">
        <v>278</v>
      </c>
      <c r="D276" s="11" t="s">
        <v>31</v>
      </c>
      <c r="E276" s="18">
        <v>45597</v>
      </c>
      <c r="F276" s="18">
        <v>45943</v>
      </c>
      <c r="G276" s="19">
        <v>11</v>
      </c>
      <c r="H276" s="20">
        <f>SUM(L276/K276)</f>
        <v>0.37003648851684906</v>
      </c>
      <c r="I276" s="20" t="s">
        <v>674</v>
      </c>
      <c r="J276" s="21" t="s">
        <v>669</v>
      </c>
      <c r="K276" s="11">
        <v>46.59</v>
      </c>
      <c r="L276" s="11">
        <v>17.239999999999998</v>
      </c>
      <c r="M276" s="11" t="s">
        <v>640</v>
      </c>
      <c r="N276" s="11">
        <v>5442438</v>
      </c>
      <c r="O276" s="11" t="s">
        <v>37</v>
      </c>
      <c r="P276" s="11" t="s">
        <v>36</v>
      </c>
    </row>
    <row r="277" spans="1:16" ht="15.75" x14ac:dyDescent="0.25">
      <c r="A277" s="10">
        <v>2521</v>
      </c>
      <c r="B277" s="10">
        <v>27418</v>
      </c>
      <c r="C277" s="10" t="s">
        <v>519</v>
      </c>
      <c r="D277" s="10" t="s">
        <v>61</v>
      </c>
      <c r="E277" s="22">
        <v>45849</v>
      </c>
      <c r="F277" s="22">
        <v>45943</v>
      </c>
      <c r="G277" s="21">
        <v>3</v>
      </c>
      <c r="H277" s="20">
        <f>SUM(L277/K277)</f>
        <v>0.3666666666666667</v>
      </c>
      <c r="I277" s="20" t="s">
        <v>674</v>
      </c>
      <c r="J277" s="21" t="s">
        <v>669</v>
      </c>
      <c r="K277" s="10">
        <v>1.5</v>
      </c>
      <c r="L277" s="10">
        <v>0.55000000000000004</v>
      </c>
      <c r="M277" s="10" t="s">
        <v>640</v>
      </c>
      <c r="N277" s="10">
        <v>5442438</v>
      </c>
      <c r="O277" s="10" t="s">
        <v>37</v>
      </c>
      <c r="P277" s="10" t="s">
        <v>36</v>
      </c>
    </row>
    <row r="278" spans="1:16" ht="15.75" x14ac:dyDescent="0.25">
      <c r="A278" s="10">
        <v>2521</v>
      </c>
      <c r="B278" s="10">
        <v>27418</v>
      </c>
      <c r="C278" s="10" t="s">
        <v>519</v>
      </c>
      <c r="D278" s="10" t="s">
        <v>31</v>
      </c>
      <c r="E278" s="22">
        <v>45849</v>
      </c>
      <c r="F278" s="22">
        <v>45943</v>
      </c>
      <c r="G278" s="21">
        <v>3</v>
      </c>
      <c r="H278" s="20">
        <f>SUM(L278/K278)</f>
        <v>0.37003648851684906</v>
      </c>
      <c r="I278" s="20" t="s">
        <v>674</v>
      </c>
      <c r="J278" s="21" t="s">
        <v>669</v>
      </c>
      <c r="K278" s="10">
        <v>46.59</v>
      </c>
      <c r="L278" s="10">
        <v>17.239999999999998</v>
      </c>
      <c r="M278" s="10" t="s">
        <v>640</v>
      </c>
      <c r="N278" s="10">
        <v>5442438</v>
      </c>
      <c r="O278" s="10" t="s">
        <v>37</v>
      </c>
      <c r="P278" s="10" t="s">
        <v>36</v>
      </c>
    </row>
    <row r="279" spans="1:16" ht="15.75" x14ac:dyDescent="0.25">
      <c r="A279" s="11">
        <v>2516</v>
      </c>
      <c r="B279" s="11">
        <v>21547</v>
      </c>
      <c r="C279" s="11" t="s">
        <v>237</v>
      </c>
      <c r="D279" s="11" t="s">
        <v>31</v>
      </c>
      <c r="E279" s="18">
        <v>45518</v>
      </c>
      <c r="F279" s="18">
        <v>45946</v>
      </c>
      <c r="G279" s="19">
        <v>14</v>
      </c>
      <c r="H279" s="20">
        <f>SUM(L279/K279)</f>
        <v>3.9957800342872211E-2</v>
      </c>
      <c r="I279" s="20" t="s">
        <v>672</v>
      </c>
      <c r="J279" s="21" t="s">
        <v>669</v>
      </c>
      <c r="K279" s="11">
        <v>75.83</v>
      </c>
      <c r="L279" s="11">
        <v>3.03</v>
      </c>
      <c r="M279" s="11" t="s">
        <v>640</v>
      </c>
      <c r="N279" s="11">
        <v>5442438</v>
      </c>
      <c r="O279" s="11" t="s">
        <v>37</v>
      </c>
      <c r="P279" s="11" t="s">
        <v>36</v>
      </c>
    </row>
    <row r="280" spans="1:16" ht="15.75" x14ac:dyDescent="0.25">
      <c r="A280" s="11">
        <v>2519</v>
      </c>
      <c r="B280" s="11">
        <v>12819</v>
      </c>
      <c r="C280" s="11" t="s">
        <v>395</v>
      </c>
      <c r="D280" s="11" t="s">
        <v>61</v>
      </c>
      <c r="E280" s="18">
        <v>45670</v>
      </c>
      <c r="F280" s="18">
        <v>45945</v>
      </c>
      <c r="G280" s="19">
        <v>9</v>
      </c>
      <c r="H280" s="20">
        <f>SUM(L280/K280)</f>
        <v>0.3666666666666667</v>
      </c>
      <c r="I280" s="20" t="s">
        <v>674</v>
      </c>
      <c r="J280" s="21" t="s">
        <v>669</v>
      </c>
      <c r="K280" s="11">
        <v>1.5</v>
      </c>
      <c r="L280" s="11">
        <v>0.55000000000000004</v>
      </c>
      <c r="M280" s="11" t="s">
        <v>640</v>
      </c>
      <c r="N280" s="11">
        <v>5442438</v>
      </c>
      <c r="O280" s="11" t="s">
        <v>37</v>
      </c>
      <c r="P280" s="11" t="s">
        <v>36</v>
      </c>
    </row>
    <row r="281" spans="1:16" ht="15.75" x14ac:dyDescent="0.25">
      <c r="A281" s="11">
        <v>2519</v>
      </c>
      <c r="B281" s="11">
        <v>12819</v>
      </c>
      <c r="C281" s="11" t="s">
        <v>395</v>
      </c>
      <c r="D281" s="11" t="s">
        <v>31</v>
      </c>
      <c r="E281" s="18">
        <v>45670</v>
      </c>
      <c r="F281" s="18">
        <v>45945</v>
      </c>
      <c r="G281" s="19">
        <v>9</v>
      </c>
      <c r="H281" s="20">
        <f>SUM(L281/K281)</f>
        <v>0.37001180637544273</v>
      </c>
      <c r="I281" s="20" t="s">
        <v>674</v>
      </c>
      <c r="J281" s="21" t="s">
        <v>669</v>
      </c>
      <c r="K281" s="11">
        <v>42.35</v>
      </c>
      <c r="L281" s="11">
        <v>15.67</v>
      </c>
      <c r="M281" s="11" t="s">
        <v>640</v>
      </c>
      <c r="N281" s="11">
        <v>5442438</v>
      </c>
      <c r="O281" s="11" t="s">
        <v>37</v>
      </c>
      <c r="P281" s="11" t="s">
        <v>36</v>
      </c>
    </row>
    <row r="282" spans="1:16" ht="15.75" x14ac:dyDescent="0.25">
      <c r="A282" s="10">
        <v>2523</v>
      </c>
      <c r="B282" s="10">
        <v>14865</v>
      </c>
      <c r="C282" s="10" t="s">
        <v>611</v>
      </c>
      <c r="D282" s="10" t="s">
        <v>61</v>
      </c>
      <c r="E282" s="22">
        <v>45941</v>
      </c>
      <c r="F282" s="22">
        <v>45943</v>
      </c>
      <c r="G282" s="21">
        <v>0</v>
      </c>
      <c r="H282" s="20">
        <f>SUM(L282/K282)</f>
        <v>0.3666666666666667</v>
      </c>
      <c r="I282" s="20" t="s">
        <v>674</v>
      </c>
      <c r="J282" s="21" t="s">
        <v>669</v>
      </c>
      <c r="K282" s="10">
        <v>1.5</v>
      </c>
      <c r="L282" s="10">
        <v>0.55000000000000004</v>
      </c>
      <c r="M282" s="10" t="s">
        <v>640</v>
      </c>
      <c r="N282" s="10">
        <v>5442438</v>
      </c>
      <c r="O282" s="10" t="s">
        <v>37</v>
      </c>
      <c r="P282" s="10" t="s">
        <v>36</v>
      </c>
    </row>
    <row r="283" spans="1:16" ht="15.75" x14ac:dyDescent="0.25">
      <c r="A283" s="10">
        <v>2523</v>
      </c>
      <c r="B283" s="10">
        <v>14865</v>
      </c>
      <c r="C283" s="10" t="s">
        <v>611</v>
      </c>
      <c r="D283" s="10" t="s">
        <v>31</v>
      </c>
      <c r="E283" s="22">
        <v>45941</v>
      </c>
      <c r="F283" s="22">
        <v>45943</v>
      </c>
      <c r="G283" s="21">
        <v>0</v>
      </c>
      <c r="H283" s="20">
        <f>SUM(L283/K283)</f>
        <v>0.37003648851684906</v>
      </c>
      <c r="I283" s="20" t="s">
        <v>674</v>
      </c>
      <c r="J283" s="21" t="s">
        <v>669</v>
      </c>
      <c r="K283" s="10">
        <v>46.59</v>
      </c>
      <c r="L283" s="10">
        <v>17.239999999999998</v>
      </c>
      <c r="M283" s="10" t="s">
        <v>640</v>
      </c>
      <c r="N283" s="10">
        <v>5442438</v>
      </c>
      <c r="O283" s="10" t="s">
        <v>37</v>
      </c>
      <c r="P283" s="10" t="s">
        <v>36</v>
      </c>
    </row>
    <row r="284" spans="1:16" ht="15.75" x14ac:dyDescent="0.25">
      <c r="A284" s="10">
        <v>2521</v>
      </c>
      <c r="B284" s="10">
        <v>30818</v>
      </c>
      <c r="C284" s="10" t="s">
        <v>534</v>
      </c>
      <c r="D284" s="10" t="s">
        <v>31</v>
      </c>
      <c r="E284" s="22">
        <v>45853</v>
      </c>
      <c r="F284" s="22">
        <v>45947</v>
      </c>
      <c r="G284" s="21">
        <v>3</v>
      </c>
      <c r="H284" s="20">
        <f>SUM(L284/K284)</f>
        <v>0.36999754480726743</v>
      </c>
      <c r="I284" s="20" t="s">
        <v>674</v>
      </c>
      <c r="J284" s="21" t="s">
        <v>669</v>
      </c>
      <c r="K284" s="10">
        <v>40.729999999999997</v>
      </c>
      <c r="L284" s="10">
        <v>15.07</v>
      </c>
      <c r="M284" s="10" t="s">
        <v>640</v>
      </c>
      <c r="N284" s="10">
        <v>5442438</v>
      </c>
      <c r="O284" s="10" t="s">
        <v>37</v>
      </c>
      <c r="P284" s="10" t="s">
        <v>36</v>
      </c>
    </row>
    <row r="285" spans="1:16" ht="15.75" x14ac:dyDescent="0.25">
      <c r="A285" s="10">
        <v>2520</v>
      </c>
      <c r="B285" s="10">
        <v>34018</v>
      </c>
      <c r="C285" s="10" t="s">
        <v>448</v>
      </c>
      <c r="D285" s="10" t="s">
        <v>61</v>
      </c>
      <c r="E285" s="22">
        <v>45762</v>
      </c>
      <c r="F285" s="22">
        <v>45947</v>
      </c>
      <c r="G285" s="21">
        <v>6</v>
      </c>
      <c r="H285" s="20">
        <f>SUM(L285/K285)</f>
        <v>0.3691860465116279</v>
      </c>
      <c r="I285" s="20" t="s">
        <v>674</v>
      </c>
      <c r="J285" s="21" t="s">
        <v>669</v>
      </c>
      <c r="K285" s="10">
        <v>3.44</v>
      </c>
      <c r="L285" s="10">
        <v>1.27</v>
      </c>
      <c r="M285" s="10" t="s">
        <v>640</v>
      </c>
      <c r="N285" s="10">
        <v>5442438</v>
      </c>
      <c r="O285" s="10" t="s">
        <v>37</v>
      </c>
      <c r="P285" s="10" t="s">
        <v>36</v>
      </c>
    </row>
    <row r="286" spans="1:16" ht="15.75" x14ac:dyDescent="0.25">
      <c r="A286" s="10">
        <v>2520</v>
      </c>
      <c r="B286" s="10">
        <v>34018</v>
      </c>
      <c r="C286" s="10" t="s">
        <v>448</v>
      </c>
      <c r="D286" s="10" t="s">
        <v>31</v>
      </c>
      <c r="E286" s="22">
        <v>45762</v>
      </c>
      <c r="F286" s="22">
        <v>45947</v>
      </c>
      <c r="G286" s="21">
        <v>6</v>
      </c>
      <c r="H286" s="20">
        <f>SUM(L286/K286)</f>
        <v>0.37000479813558163</v>
      </c>
      <c r="I286" s="20" t="s">
        <v>674</v>
      </c>
      <c r="J286" s="21" t="s">
        <v>669</v>
      </c>
      <c r="K286" s="10">
        <v>145.88999999999999</v>
      </c>
      <c r="L286" s="10">
        <v>53.98</v>
      </c>
      <c r="M286" s="10" t="s">
        <v>640</v>
      </c>
      <c r="N286" s="10">
        <v>5442438</v>
      </c>
      <c r="O286" s="10" t="s">
        <v>37</v>
      </c>
      <c r="P286" s="10" t="s">
        <v>36</v>
      </c>
    </row>
    <row r="287" spans="1:16" ht="15.75" x14ac:dyDescent="0.25">
      <c r="A287" s="11">
        <v>2516</v>
      </c>
      <c r="B287" s="11">
        <v>21258</v>
      </c>
      <c r="C287" s="11" t="s">
        <v>227</v>
      </c>
      <c r="D287" s="11" t="s">
        <v>61</v>
      </c>
      <c r="E287" s="18">
        <v>45517</v>
      </c>
      <c r="F287" s="18">
        <v>45945</v>
      </c>
      <c r="G287" s="19">
        <v>14</v>
      </c>
      <c r="H287" s="20">
        <f>SUM(L287/K287)</f>
        <v>4.0892193308550186E-2</v>
      </c>
      <c r="I287" s="20" t="s">
        <v>672</v>
      </c>
      <c r="J287" s="21" t="s">
        <v>669</v>
      </c>
      <c r="K287" s="11">
        <v>2.69</v>
      </c>
      <c r="L287" s="11">
        <v>0.11</v>
      </c>
      <c r="M287" s="11" t="s">
        <v>640</v>
      </c>
      <c r="N287" s="11">
        <v>5442438</v>
      </c>
      <c r="O287" s="11" t="s">
        <v>37</v>
      </c>
      <c r="P287" s="11" t="s">
        <v>36</v>
      </c>
    </row>
    <row r="288" spans="1:16" ht="15.75" x14ac:dyDescent="0.25">
      <c r="A288" s="11">
        <v>2516</v>
      </c>
      <c r="B288" s="11">
        <v>21258</v>
      </c>
      <c r="C288" s="11" t="s">
        <v>227</v>
      </c>
      <c r="D288" s="11" t="s">
        <v>61</v>
      </c>
      <c r="E288" s="18">
        <v>45517</v>
      </c>
      <c r="F288" s="18">
        <v>45945</v>
      </c>
      <c r="G288" s="19">
        <v>14</v>
      </c>
      <c r="H288" s="20">
        <f>SUM(L288/K288)</f>
        <v>4.0892193308550186E-2</v>
      </c>
      <c r="I288" s="20" t="s">
        <v>672</v>
      </c>
      <c r="J288" s="21" t="s">
        <v>669</v>
      </c>
      <c r="K288" s="11">
        <v>2.69</v>
      </c>
      <c r="L288" s="11">
        <v>0.11</v>
      </c>
      <c r="M288" s="11" t="s">
        <v>640</v>
      </c>
      <c r="N288" s="11">
        <v>5442438</v>
      </c>
      <c r="O288" s="11" t="s">
        <v>37</v>
      </c>
      <c r="P288" s="11" t="s">
        <v>36</v>
      </c>
    </row>
    <row r="289" spans="1:16" ht="15.75" x14ac:dyDescent="0.25">
      <c r="A289" s="11">
        <v>2516</v>
      </c>
      <c r="B289" s="11">
        <v>21258</v>
      </c>
      <c r="C289" s="11" t="s">
        <v>227</v>
      </c>
      <c r="D289" s="11" t="s">
        <v>31</v>
      </c>
      <c r="E289" s="18">
        <v>45517</v>
      </c>
      <c r="F289" s="18">
        <v>45945</v>
      </c>
      <c r="G289" s="19">
        <v>14</v>
      </c>
      <c r="H289" s="20">
        <f>SUM(L289/K289)</f>
        <v>4.0034345819469783E-2</v>
      </c>
      <c r="I289" s="20" t="s">
        <v>672</v>
      </c>
      <c r="J289" s="21" t="s">
        <v>669</v>
      </c>
      <c r="K289" s="11">
        <v>93.17</v>
      </c>
      <c r="L289" s="11">
        <v>3.73</v>
      </c>
      <c r="M289" s="11" t="s">
        <v>640</v>
      </c>
      <c r="N289" s="11">
        <v>5442438</v>
      </c>
      <c r="O289" s="11" t="s">
        <v>37</v>
      </c>
      <c r="P289" s="11" t="s">
        <v>36</v>
      </c>
    </row>
    <row r="290" spans="1:16" ht="15.75" x14ac:dyDescent="0.25">
      <c r="A290" s="11">
        <v>2516</v>
      </c>
      <c r="B290" s="11">
        <v>21258</v>
      </c>
      <c r="C290" s="11" t="s">
        <v>227</v>
      </c>
      <c r="D290" s="11" t="s">
        <v>31</v>
      </c>
      <c r="E290" s="18">
        <v>45517</v>
      </c>
      <c r="F290" s="18">
        <v>45945</v>
      </c>
      <c r="G290" s="19">
        <v>14</v>
      </c>
      <c r="H290" s="20">
        <f>SUM(L290/K290)</f>
        <v>4.0034345819469783E-2</v>
      </c>
      <c r="I290" s="20" t="s">
        <v>672</v>
      </c>
      <c r="J290" s="21" t="s">
        <v>669</v>
      </c>
      <c r="K290" s="11">
        <v>93.17</v>
      </c>
      <c r="L290" s="11">
        <v>3.73</v>
      </c>
      <c r="M290" s="11" t="s">
        <v>640</v>
      </c>
      <c r="N290" s="11">
        <v>5442438</v>
      </c>
      <c r="O290" s="11" t="s">
        <v>37</v>
      </c>
      <c r="P290" s="11" t="s">
        <v>36</v>
      </c>
    </row>
    <row r="291" spans="1:16" ht="15.75" x14ac:dyDescent="0.25">
      <c r="A291" s="11">
        <v>2516</v>
      </c>
      <c r="B291" s="11">
        <v>55026</v>
      </c>
      <c r="C291" s="11" t="s">
        <v>255</v>
      </c>
      <c r="D291" s="11" t="s">
        <v>61</v>
      </c>
      <c r="E291" s="18">
        <v>45566</v>
      </c>
      <c r="F291" s="18">
        <v>45943</v>
      </c>
      <c r="G291" s="19">
        <v>12</v>
      </c>
      <c r="H291" s="20">
        <f>SUM(L291/K291)</f>
        <v>0.04</v>
      </c>
      <c r="I291" s="20" t="s">
        <v>672</v>
      </c>
      <c r="J291" s="21" t="s">
        <v>669</v>
      </c>
      <c r="K291" s="11">
        <v>1.5</v>
      </c>
      <c r="L291" s="11">
        <v>0.06</v>
      </c>
      <c r="M291" s="11" t="s">
        <v>640</v>
      </c>
      <c r="N291" s="11">
        <v>5442438</v>
      </c>
      <c r="O291" s="11" t="s">
        <v>37</v>
      </c>
      <c r="P291" s="11" t="s">
        <v>36</v>
      </c>
    </row>
    <row r="292" spans="1:16" ht="15.75" x14ac:dyDescent="0.25">
      <c r="A292" s="11">
        <v>2516</v>
      </c>
      <c r="B292" s="11">
        <v>55026</v>
      </c>
      <c r="C292" s="11" t="s">
        <v>255</v>
      </c>
      <c r="D292" s="11" t="s">
        <v>31</v>
      </c>
      <c r="E292" s="18">
        <v>45566</v>
      </c>
      <c r="F292" s="18">
        <v>45943</v>
      </c>
      <c r="G292" s="19">
        <v>12</v>
      </c>
      <c r="H292" s="20">
        <f>SUM(L292/K292)</f>
        <v>3.9905548996458082E-2</v>
      </c>
      <c r="I292" s="20" t="s">
        <v>672</v>
      </c>
      <c r="J292" s="21" t="s">
        <v>669</v>
      </c>
      <c r="K292" s="11">
        <v>42.35</v>
      </c>
      <c r="L292" s="11">
        <v>1.69</v>
      </c>
      <c r="M292" s="11" t="s">
        <v>640</v>
      </c>
      <c r="N292" s="11">
        <v>5442438</v>
      </c>
      <c r="O292" s="11" t="s">
        <v>37</v>
      </c>
      <c r="P292" s="11" t="s">
        <v>36</v>
      </c>
    </row>
    <row r="293" spans="1:16" ht="15.75" x14ac:dyDescent="0.25">
      <c r="A293" s="10">
        <v>2521</v>
      </c>
      <c r="B293" s="10">
        <v>1173</v>
      </c>
      <c r="C293" s="10" t="s">
        <v>517</v>
      </c>
      <c r="D293" s="10" t="s">
        <v>31</v>
      </c>
      <c r="E293" s="22">
        <v>45822</v>
      </c>
      <c r="F293" s="22">
        <v>45946</v>
      </c>
      <c r="G293" s="21">
        <v>4</v>
      </c>
      <c r="H293" s="20">
        <f>SUM(L293/K293)</f>
        <v>0.37002815274669743</v>
      </c>
      <c r="I293" s="20" t="s">
        <v>674</v>
      </c>
      <c r="J293" s="21" t="s">
        <v>669</v>
      </c>
      <c r="K293" s="10">
        <v>138.53</v>
      </c>
      <c r="L293" s="10">
        <v>51.26</v>
      </c>
      <c r="M293" s="10" t="s">
        <v>640</v>
      </c>
      <c r="N293" s="10">
        <v>5442438</v>
      </c>
      <c r="O293" s="10" t="s">
        <v>37</v>
      </c>
      <c r="P293" s="10" t="s">
        <v>36</v>
      </c>
    </row>
    <row r="294" spans="1:16" ht="15.75" x14ac:dyDescent="0.25">
      <c r="A294" s="11">
        <v>2516</v>
      </c>
      <c r="B294" s="11">
        <v>22189</v>
      </c>
      <c r="C294" s="11" t="s">
        <v>239</v>
      </c>
      <c r="D294" s="11" t="s">
        <v>61</v>
      </c>
      <c r="E294" s="18">
        <v>45518</v>
      </c>
      <c r="F294" s="18">
        <v>45946</v>
      </c>
      <c r="G294" s="19">
        <v>14</v>
      </c>
      <c r="H294" s="20">
        <f>SUM(L294/K294)</f>
        <v>0.04</v>
      </c>
      <c r="I294" s="20" t="s">
        <v>672</v>
      </c>
      <c r="J294" s="21" t="s">
        <v>669</v>
      </c>
      <c r="K294" s="11">
        <v>1.5</v>
      </c>
      <c r="L294" s="11">
        <v>0.06</v>
      </c>
      <c r="M294" s="11" t="s">
        <v>640</v>
      </c>
      <c r="N294" s="11">
        <v>5442438</v>
      </c>
      <c r="O294" s="11" t="s">
        <v>37</v>
      </c>
      <c r="P294" s="11" t="s">
        <v>36</v>
      </c>
    </row>
    <row r="295" spans="1:16" ht="15.75" x14ac:dyDescent="0.25">
      <c r="A295" s="11">
        <v>2516</v>
      </c>
      <c r="B295" s="11">
        <v>22189</v>
      </c>
      <c r="C295" s="11" t="s">
        <v>239</v>
      </c>
      <c r="D295" s="11" t="s">
        <v>31</v>
      </c>
      <c r="E295" s="18">
        <v>45518</v>
      </c>
      <c r="F295" s="18">
        <v>45946</v>
      </c>
      <c r="G295" s="19">
        <v>14</v>
      </c>
      <c r="H295" s="20">
        <f>SUM(L295/K295)</f>
        <v>3.9922730199613649E-2</v>
      </c>
      <c r="I295" s="20" t="s">
        <v>672</v>
      </c>
      <c r="J295" s="21" t="s">
        <v>669</v>
      </c>
      <c r="K295" s="11">
        <v>46.59</v>
      </c>
      <c r="L295" s="11">
        <v>1.86</v>
      </c>
      <c r="M295" s="11" t="s">
        <v>640</v>
      </c>
      <c r="N295" s="11">
        <v>5442438</v>
      </c>
      <c r="O295" s="11" t="s">
        <v>37</v>
      </c>
      <c r="P295" s="11" t="s">
        <v>36</v>
      </c>
    </row>
    <row r="296" spans="1:16" ht="15.75" x14ac:dyDescent="0.25">
      <c r="A296" s="11">
        <v>2519</v>
      </c>
      <c r="B296" s="11">
        <v>17528</v>
      </c>
      <c r="C296" s="11" t="s">
        <v>406</v>
      </c>
      <c r="D296" s="11" t="s">
        <v>61</v>
      </c>
      <c r="E296" s="18">
        <v>45672</v>
      </c>
      <c r="F296" s="18">
        <v>45947</v>
      </c>
      <c r="G296" s="19">
        <v>9</v>
      </c>
      <c r="H296" s="20">
        <f>SUM(L296/K296)</f>
        <v>0.3666666666666667</v>
      </c>
      <c r="I296" s="20" t="s">
        <v>674</v>
      </c>
      <c r="J296" s="21" t="s">
        <v>669</v>
      </c>
      <c r="K296" s="11">
        <v>1.5</v>
      </c>
      <c r="L296" s="11">
        <v>0.55000000000000004</v>
      </c>
      <c r="M296" s="11" t="s">
        <v>640</v>
      </c>
      <c r="N296" s="11">
        <v>5442438</v>
      </c>
      <c r="O296" s="11" t="s">
        <v>37</v>
      </c>
      <c r="P296" s="11" t="s">
        <v>36</v>
      </c>
    </row>
    <row r="297" spans="1:16" ht="15.75" x14ac:dyDescent="0.25">
      <c r="A297" s="11">
        <v>2519</v>
      </c>
      <c r="B297" s="11">
        <v>17528</v>
      </c>
      <c r="C297" s="11" t="s">
        <v>406</v>
      </c>
      <c r="D297" s="11" t="s">
        <v>31</v>
      </c>
      <c r="E297" s="18">
        <v>45672</v>
      </c>
      <c r="F297" s="18">
        <v>45947</v>
      </c>
      <c r="G297" s="19">
        <v>9</v>
      </c>
      <c r="H297" s="20">
        <f>SUM(L297/K297)</f>
        <v>0.37001180637544273</v>
      </c>
      <c r="I297" s="20" t="s">
        <v>674</v>
      </c>
      <c r="J297" s="21" t="s">
        <v>669</v>
      </c>
      <c r="K297" s="11">
        <v>42.35</v>
      </c>
      <c r="L297" s="11">
        <v>15.67</v>
      </c>
      <c r="M297" s="11" t="s">
        <v>640</v>
      </c>
      <c r="N297" s="11">
        <v>5442438</v>
      </c>
      <c r="O297" s="11" t="s">
        <v>37</v>
      </c>
      <c r="P297" s="11" t="s">
        <v>36</v>
      </c>
    </row>
    <row r="298" spans="1:16" ht="15.75" x14ac:dyDescent="0.25">
      <c r="A298" s="11">
        <v>2518</v>
      </c>
      <c r="B298" s="11">
        <v>67790</v>
      </c>
      <c r="C298" s="11" t="s">
        <v>339</v>
      </c>
      <c r="D298" s="11" t="s">
        <v>42</v>
      </c>
      <c r="E298" s="18">
        <v>45637</v>
      </c>
      <c r="F298" s="18">
        <v>45943</v>
      </c>
      <c r="G298" s="19">
        <v>10</v>
      </c>
      <c r="H298" s="20">
        <f>SUM(L298/K298)</f>
        <v>0.37031369548584542</v>
      </c>
      <c r="I298" s="20" t="s">
        <v>674</v>
      </c>
      <c r="J298" s="21" t="s">
        <v>669</v>
      </c>
      <c r="K298" s="11">
        <v>13.07</v>
      </c>
      <c r="L298" s="11">
        <v>4.84</v>
      </c>
      <c r="M298" s="11" t="s">
        <v>655</v>
      </c>
      <c r="N298" s="11">
        <v>8977234</v>
      </c>
      <c r="O298" s="11" t="s">
        <v>37</v>
      </c>
      <c r="P298" s="11" t="s">
        <v>36</v>
      </c>
    </row>
    <row r="299" spans="1:16" ht="15.75" x14ac:dyDescent="0.25">
      <c r="A299" s="10">
        <v>2521</v>
      </c>
      <c r="B299" s="10">
        <v>27787</v>
      </c>
      <c r="C299" s="10" t="s">
        <v>522</v>
      </c>
      <c r="D299" s="10" t="s">
        <v>61</v>
      </c>
      <c r="E299" s="22">
        <v>45849</v>
      </c>
      <c r="F299" s="22">
        <v>45943</v>
      </c>
      <c r="G299" s="21">
        <v>3</v>
      </c>
      <c r="H299" s="20">
        <f>SUM(L299/K299)</f>
        <v>0.3666666666666667</v>
      </c>
      <c r="I299" s="20" t="s">
        <v>674</v>
      </c>
      <c r="J299" s="21" t="s">
        <v>669</v>
      </c>
      <c r="K299" s="10">
        <v>1.5</v>
      </c>
      <c r="L299" s="10">
        <v>0.55000000000000004</v>
      </c>
      <c r="M299" s="10" t="s">
        <v>628</v>
      </c>
      <c r="N299" s="10">
        <v>19396223</v>
      </c>
      <c r="O299" s="10" t="s">
        <v>37</v>
      </c>
      <c r="P299" s="10" t="s">
        <v>36</v>
      </c>
    </row>
    <row r="300" spans="1:16" ht="15.75" x14ac:dyDescent="0.25">
      <c r="A300" s="10">
        <v>2521</v>
      </c>
      <c r="B300" s="10">
        <v>27787</v>
      </c>
      <c r="C300" s="10" t="s">
        <v>522</v>
      </c>
      <c r="D300" s="10" t="s">
        <v>31</v>
      </c>
      <c r="E300" s="22">
        <v>45849</v>
      </c>
      <c r="F300" s="22">
        <v>45943</v>
      </c>
      <c r="G300" s="21">
        <v>3</v>
      </c>
      <c r="H300" s="20">
        <f>SUM(L300/K300)</f>
        <v>0.37007618738855569</v>
      </c>
      <c r="I300" s="20" t="s">
        <v>674</v>
      </c>
      <c r="J300" s="21" t="s">
        <v>669</v>
      </c>
      <c r="K300" s="10">
        <v>61.69</v>
      </c>
      <c r="L300" s="10">
        <v>22.83</v>
      </c>
      <c r="M300" s="10" t="s">
        <v>628</v>
      </c>
      <c r="N300" s="10">
        <v>19396223</v>
      </c>
      <c r="O300" s="10" t="s">
        <v>37</v>
      </c>
      <c r="P300" s="10" t="s">
        <v>36</v>
      </c>
    </row>
    <row r="301" spans="1:16" ht="15.75" x14ac:dyDescent="0.25">
      <c r="A301" s="11">
        <v>2516</v>
      </c>
      <c r="B301" s="11">
        <v>21536</v>
      </c>
      <c r="C301" s="11" t="s">
        <v>232</v>
      </c>
      <c r="D301" s="11" t="s">
        <v>31</v>
      </c>
      <c r="E301" s="18">
        <v>45518</v>
      </c>
      <c r="F301" s="18">
        <v>45946</v>
      </c>
      <c r="G301" s="19">
        <v>14</v>
      </c>
      <c r="H301" s="20">
        <f>SUM(L301/K301)</f>
        <v>4.0019319671565579E-2</v>
      </c>
      <c r="I301" s="20" t="s">
        <v>672</v>
      </c>
      <c r="J301" s="21" t="s">
        <v>669</v>
      </c>
      <c r="K301" s="11">
        <v>144.93</v>
      </c>
      <c r="L301" s="11">
        <v>5.8</v>
      </c>
      <c r="M301" s="11" t="s">
        <v>628</v>
      </c>
      <c r="N301" s="11">
        <v>19396223</v>
      </c>
      <c r="O301" s="11" t="s">
        <v>37</v>
      </c>
      <c r="P301" s="11" t="s">
        <v>36</v>
      </c>
    </row>
    <row r="302" spans="1:16" ht="15.75" x14ac:dyDescent="0.25">
      <c r="A302" s="11">
        <v>2519</v>
      </c>
      <c r="B302" s="11">
        <v>11959</v>
      </c>
      <c r="C302" s="11" t="s">
        <v>393</v>
      </c>
      <c r="D302" s="11" t="s">
        <v>31</v>
      </c>
      <c r="E302" s="18">
        <v>45668</v>
      </c>
      <c r="F302" s="18">
        <v>45943</v>
      </c>
      <c r="G302" s="19">
        <v>9</v>
      </c>
      <c r="H302" s="20">
        <f>SUM(L302/K302)</f>
        <v>0.36989314896291636</v>
      </c>
      <c r="I302" s="20" t="s">
        <v>674</v>
      </c>
      <c r="J302" s="21" t="s">
        <v>669</v>
      </c>
      <c r="K302" s="11">
        <v>31.82</v>
      </c>
      <c r="L302" s="11">
        <v>11.77</v>
      </c>
      <c r="M302" s="11" t="s">
        <v>652</v>
      </c>
      <c r="N302" s="11">
        <v>8971826</v>
      </c>
      <c r="O302" s="11" t="s">
        <v>37</v>
      </c>
      <c r="P302" s="11" t="s">
        <v>36</v>
      </c>
    </row>
    <row r="303" spans="1:16" ht="15.75" x14ac:dyDescent="0.25">
      <c r="A303" s="11">
        <v>2519</v>
      </c>
      <c r="B303" s="11">
        <v>7931</v>
      </c>
      <c r="C303" s="11" t="s">
        <v>373</v>
      </c>
      <c r="D303" s="11" t="s">
        <v>31</v>
      </c>
      <c r="E303" s="18">
        <v>45666</v>
      </c>
      <c r="F303" s="18">
        <v>45943</v>
      </c>
      <c r="G303" s="19">
        <v>9</v>
      </c>
      <c r="H303" s="20">
        <f>SUM(L303/K303)</f>
        <v>0.36989314896291636</v>
      </c>
      <c r="I303" s="20" t="s">
        <v>674</v>
      </c>
      <c r="J303" s="21" t="s">
        <v>669</v>
      </c>
      <c r="K303" s="11">
        <v>31.82</v>
      </c>
      <c r="L303" s="11">
        <v>11.77</v>
      </c>
      <c r="M303" s="11" t="s">
        <v>652</v>
      </c>
      <c r="N303" s="11">
        <v>8971826</v>
      </c>
      <c r="O303" s="11" t="s">
        <v>37</v>
      </c>
      <c r="P303" s="11" t="s">
        <v>36</v>
      </c>
    </row>
    <row r="304" spans="1:16" ht="15.75" x14ac:dyDescent="0.25">
      <c r="A304" s="11">
        <v>2518</v>
      </c>
      <c r="B304" s="11">
        <v>16794</v>
      </c>
      <c r="C304" s="11" t="s">
        <v>302</v>
      </c>
      <c r="D304" s="11" t="s">
        <v>42</v>
      </c>
      <c r="E304" s="18">
        <v>45607</v>
      </c>
      <c r="F304" s="18">
        <v>45943</v>
      </c>
      <c r="G304" s="19">
        <v>11</v>
      </c>
      <c r="H304" s="20">
        <f>SUM(L304/K304)</f>
        <v>0.37025703794369647</v>
      </c>
      <c r="I304" s="20" t="s">
        <v>674</v>
      </c>
      <c r="J304" s="21" t="s">
        <v>669</v>
      </c>
      <c r="K304" s="11">
        <v>16.34</v>
      </c>
      <c r="L304" s="11">
        <v>6.05</v>
      </c>
      <c r="M304" s="11" t="s">
        <v>652</v>
      </c>
      <c r="N304" s="11">
        <v>8971826</v>
      </c>
      <c r="O304" s="11" t="s">
        <v>37</v>
      </c>
      <c r="P304" s="11" t="s">
        <v>36</v>
      </c>
    </row>
    <row r="305" spans="1:16" ht="15.75" x14ac:dyDescent="0.25">
      <c r="A305" s="12">
        <v>2520</v>
      </c>
      <c r="B305" s="12">
        <v>65117</v>
      </c>
      <c r="C305" s="12" t="s">
        <v>465</v>
      </c>
      <c r="D305" s="12" t="s">
        <v>61</v>
      </c>
      <c r="E305" s="23">
        <v>45787</v>
      </c>
      <c r="F305" s="23">
        <v>45943</v>
      </c>
      <c r="G305" s="24">
        <v>5</v>
      </c>
      <c r="H305" s="20">
        <f>SUM(L305/K305)</f>
        <v>0.3666666666666667</v>
      </c>
      <c r="I305" s="20" t="s">
        <v>674</v>
      </c>
      <c r="J305" s="24" t="s">
        <v>668</v>
      </c>
      <c r="K305" s="12">
        <v>1.5</v>
      </c>
      <c r="L305" s="12">
        <v>0.55000000000000004</v>
      </c>
      <c r="M305" s="12" t="s">
        <v>645</v>
      </c>
      <c r="N305" s="12">
        <v>19645587</v>
      </c>
      <c r="O305" s="12" t="s">
        <v>37</v>
      </c>
      <c r="P305" s="12" t="s">
        <v>36</v>
      </c>
    </row>
    <row r="306" spans="1:16" ht="15.75" x14ac:dyDescent="0.25">
      <c r="A306" s="12">
        <v>2520</v>
      </c>
      <c r="B306" s="12">
        <v>65117</v>
      </c>
      <c r="C306" s="12" t="s">
        <v>465</v>
      </c>
      <c r="D306" s="12" t="s">
        <v>31</v>
      </c>
      <c r="E306" s="23">
        <v>45787</v>
      </c>
      <c r="F306" s="23">
        <v>45943</v>
      </c>
      <c r="G306" s="24">
        <v>5</v>
      </c>
      <c r="H306" s="20">
        <f>SUM(L306/K306)</f>
        <v>0.37004242759638439</v>
      </c>
      <c r="I306" s="20" t="s">
        <v>674</v>
      </c>
      <c r="J306" s="24" t="s">
        <v>668</v>
      </c>
      <c r="K306" s="12">
        <v>54.21</v>
      </c>
      <c r="L306" s="12">
        <v>20.059999999999999</v>
      </c>
      <c r="M306" s="12" t="s">
        <v>645</v>
      </c>
      <c r="N306" s="12">
        <v>19645587</v>
      </c>
      <c r="O306" s="12" t="s">
        <v>37</v>
      </c>
      <c r="P306" s="12" t="s">
        <v>36</v>
      </c>
    </row>
    <row r="307" spans="1:16" ht="15.75" x14ac:dyDescent="0.25">
      <c r="A307" s="11">
        <v>2516</v>
      </c>
      <c r="B307" s="11">
        <v>78227</v>
      </c>
      <c r="C307" s="11" t="s">
        <v>269</v>
      </c>
      <c r="D307" s="11" t="s">
        <v>61</v>
      </c>
      <c r="E307" s="18">
        <v>45575</v>
      </c>
      <c r="F307" s="18">
        <v>45943</v>
      </c>
      <c r="G307" s="19">
        <v>12</v>
      </c>
      <c r="H307" s="20">
        <f>SUM(L307/K307)</f>
        <v>0.04</v>
      </c>
      <c r="I307" s="20" t="s">
        <v>672</v>
      </c>
      <c r="J307" s="21" t="s">
        <v>669</v>
      </c>
      <c r="K307" s="11">
        <v>1.5</v>
      </c>
      <c r="L307" s="11">
        <v>0.06</v>
      </c>
      <c r="M307" s="11" t="s">
        <v>657</v>
      </c>
      <c r="N307" s="11">
        <v>17126004</v>
      </c>
      <c r="O307" s="11" t="s">
        <v>37</v>
      </c>
      <c r="P307" s="11" t="s">
        <v>36</v>
      </c>
    </row>
    <row r="308" spans="1:16" ht="15.75" x14ac:dyDescent="0.25">
      <c r="A308" s="11">
        <v>2516</v>
      </c>
      <c r="B308" s="11">
        <v>78227</v>
      </c>
      <c r="C308" s="11" t="s">
        <v>269</v>
      </c>
      <c r="D308" s="11" t="s">
        <v>31</v>
      </c>
      <c r="E308" s="18">
        <v>45575</v>
      </c>
      <c r="F308" s="18">
        <v>45943</v>
      </c>
      <c r="G308" s="19">
        <v>12</v>
      </c>
      <c r="H308" s="20">
        <f>SUM(L308/K308)</f>
        <v>3.9973239672185988E-2</v>
      </c>
      <c r="I308" s="20" t="s">
        <v>672</v>
      </c>
      <c r="J308" s="21" t="s">
        <v>669</v>
      </c>
      <c r="K308" s="11">
        <v>59.79</v>
      </c>
      <c r="L308" s="11">
        <v>2.39</v>
      </c>
      <c r="M308" s="11" t="s">
        <v>657</v>
      </c>
      <c r="N308" s="11">
        <v>17126004</v>
      </c>
      <c r="O308" s="11" t="s">
        <v>37</v>
      </c>
      <c r="P308" s="11" t="s">
        <v>36</v>
      </c>
    </row>
    <row r="309" spans="1:16" ht="15.75" x14ac:dyDescent="0.25">
      <c r="A309" s="11">
        <v>2516</v>
      </c>
      <c r="B309" s="11">
        <v>18154</v>
      </c>
      <c r="C309" s="11" t="s">
        <v>207</v>
      </c>
      <c r="D309" s="11" t="s">
        <v>42</v>
      </c>
      <c r="E309" s="18">
        <v>45513</v>
      </c>
      <c r="F309" s="18">
        <v>45943</v>
      </c>
      <c r="G309" s="19">
        <v>14</v>
      </c>
      <c r="H309" s="20">
        <f>SUM(L309/K309)</f>
        <v>3.9779681762545899E-2</v>
      </c>
      <c r="I309" s="20" t="s">
        <v>672</v>
      </c>
      <c r="J309" s="21" t="s">
        <v>669</v>
      </c>
      <c r="K309" s="11">
        <v>16.34</v>
      </c>
      <c r="L309" s="11">
        <v>0.65</v>
      </c>
      <c r="M309" s="11" t="s">
        <v>657</v>
      </c>
      <c r="N309" s="11">
        <v>17126004</v>
      </c>
      <c r="O309" s="11" t="s">
        <v>37</v>
      </c>
      <c r="P309" s="11" t="s">
        <v>36</v>
      </c>
    </row>
    <row r="310" spans="1:16" ht="15.75" x14ac:dyDescent="0.25">
      <c r="A310" s="11">
        <v>2516</v>
      </c>
      <c r="B310" s="11">
        <v>18153</v>
      </c>
      <c r="C310" s="11" t="s">
        <v>207</v>
      </c>
      <c r="D310" s="11" t="s">
        <v>31</v>
      </c>
      <c r="E310" s="18">
        <v>45513</v>
      </c>
      <c r="F310" s="18">
        <v>45943</v>
      </c>
      <c r="G310" s="19">
        <v>14</v>
      </c>
      <c r="H310" s="20">
        <f>SUM(L310/K310)</f>
        <v>3.997905027932961E-2</v>
      </c>
      <c r="I310" s="20" t="s">
        <v>672</v>
      </c>
      <c r="J310" s="21" t="s">
        <v>669</v>
      </c>
      <c r="K310" s="11">
        <v>57.28</v>
      </c>
      <c r="L310" s="11">
        <v>2.29</v>
      </c>
      <c r="M310" s="11" t="s">
        <v>657</v>
      </c>
      <c r="N310" s="11">
        <v>17126004</v>
      </c>
      <c r="O310" s="11" t="s">
        <v>37</v>
      </c>
      <c r="P310" s="11" t="s">
        <v>36</v>
      </c>
    </row>
    <row r="311" spans="1:16" ht="15.75" x14ac:dyDescent="0.25">
      <c r="A311" s="12">
        <v>2521</v>
      </c>
      <c r="B311" s="12">
        <v>88130</v>
      </c>
      <c r="C311" s="12" t="s">
        <v>590</v>
      </c>
      <c r="D311" s="12" t="s">
        <v>31</v>
      </c>
      <c r="E311" s="23">
        <v>45915</v>
      </c>
      <c r="F311" s="23">
        <v>45947</v>
      </c>
      <c r="G311" s="24">
        <v>1</v>
      </c>
      <c r="H311" s="20">
        <f>SUM(L311/K311)</f>
        <v>0.36999754480726743</v>
      </c>
      <c r="I311" s="20" t="s">
        <v>674</v>
      </c>
      <c r="J311" s="24" t="s">
        <v>668</v>
      </c>
      <c r="K311" s="12">
        <v>40.729999999999997</v>
      </c>
      <c r="L311" s="12">
        <v>15.07</v>
      </c>
      <c r="M311" s="12" t="s">
        <v>637</v>
      </c>
      <c r="N311" s="12">
        <v>16202925</v>
      </c>
      <c r="O311" s="12" t="s">
        <v>37</v>
      </c>
      <c r="P311" s="12" t="s">
        <v>36</v>
      </c>
    </row>
    <row r="312" spans="1:16" ht="15.75" x14ac:dyDescent="0.25">
      <c r="A312" s="11">
        <v>2516</v>
      </c>
      <c r="B312" s="11">
        <v>20958</v>
      </c>
      <c r="C312" s="11" t="s">
        <v>225</v>
      </c>
      <c r="D312" s="11" t="s">
        <v>61</v>
      </c>
      <c r="E312" s="18">
        <v>45517</v>
      </c>
      <c r="F312" s="18">
        <v>45945</v>
      </c>
      <c r="G312" s="19">
        <v>14</v>
      </c>
      <c r="H312" s="20">
        <f>SUM(L312/K312)</f>
        <v>0.04</v>
      </c>
      <c r="I312" s="20" t="s">
        <v>672</v>
      </c>
      <c r="J312" s="21" t="s">
        <v>669</v>
      </c>
      <c r="K312" s="11">
        <v>1.5</v>
      </c>
      <c r="L312" s="11">
        <v>0.06</v>
      </c>
      <c r="M312" s="11" t="s">
        <v>637</v>
      </c>
      <c r="N312" s="11">
        <v>16202925</v>
      </c>
      <c r="O312" s="11" t="s">
        <v>37</v>
      </c>
      <c r="P312" s="11" t="s">
        <v>36</v>
      </c>
    </row>
    <row r="313" spans="1:16" ht="15.75" x14ac:dyDescent="0.25">
      <c r="A313" s="11">
        <v>2516</v>
      </c>
      <c r="B313" s="11">
        <v>20958</v>
      </c>
      <c r="C313" s="11" t="s">
        <v>225</v>
      </c>
      <c r="D313" s="11" t="s">
        <v>31</v>
      </c>
      <c r="E313" s="18">
        <v>45517</v>
      </c>
      <c r="F313" s="18">
        <v>45945</v>
      </c>
      <c r="G313" s="19">
        <v>14</v>
      </c>
      <c r="H313" s="20">
        <f>SUM(L313/K313)</f>
        <v>3.9922730199613649E-2</v>
      </c>
      <c r="I313" s="20" t="s">
        <v>672</v>
      </c>
      <c r="J313" s="21" t="s">
        <v>669</v>
      </c>
      <c r="K313" s="11">
        <v>46.59</v>
      </c>
      <c r="L313" s="11">
        <v>1.86</v>
      </c>
      <c r="M313" s="11" t="s">
        <v>637</v>
      </c>
      <c r="N313" s="11">
        <v>16202925</v>
      </c>
      <c r="O313" s="11" t="s">
        <v>37</v>
      </c>
      <c r="P313" s="11" t="s">
        <v>36</v>
      </c>
    </row>
    <row r="314" spans="1:16" ht="15.75" x14ac:dyDescent="0.25">
      <c r="A314" s="11">
        <v>2511</v>
      </c>
      <c r="B314" s="11">
        <v>56726</v>
      </c>
      <c r="C314" s="11" t="s">
        <v>57</v>
      </c>
      <c r="D314" s="11" t="s">
        <v>61</v>
      </c>
      <c r="E314" s="18">
        <v>45118</v>
      </c>
      <c r="F314" s="18">
        <v>45943</v>
      </c>
      <c r="G314" s="19">
        <v>27</v>
      </c>
      <c r="H314" s="20">
        <f>SUM(L314/K314)</f>
        <v>4.1666666666666664E-2</v>
      </c>
      <c r="I314" s="20" t="s">
        <v>672</v>
      </c>
      <c r="J314" s="21" t="s">
        <v>669</v>
      </c>
      <c r="K314" s="11">
        <v>2.16</v>
      </c>
      <c r="L314" s="11">
        <v>0.09</v>
      </c>
      <c r="M314" s="11" t="s">
        <v>637</v>
      </c>
      <c r="N314" s="11">
        <v>16202925</v>
      </c>
      <c r="O314" s="11" t="s">
        <v>37</v>
      </c>
      <c r="P314" s="11" t="s">
        <v>36</v>
      </c>
    </row>
    <row r="315" spans="1:16" ht="15.75" x14ac:dyDescent="0.25">
      <c r="A315" s="11">
        <v>2511</v>
      </c>
      <c r="B315" s="11">
        <v>56726</v>
      </c>
      <c r="C315" s="11" t="s">
        <v>57</v>
      </c>
      <c r="D315" s="11" t="s">
        <v>31</v>
      </c>
      <c r="E315" s="18">
        <v>45118</v>
      </c>
      <c r="F315" s="18">
        <v>45943</v>
      </c>
      <c r="G315" s="19">
        <v>27</v>
      </c>
      <c r="H315" s="20">
        <f>SUM(L315/K315)</f>
        <v>4.0008467400508042E-2</v>
      </c>
      <c r="I315" s="20" t="s">
        <v>672</v>
      </c>
      <c r="J315" s="21" t="s">
        <v>669</v>
      </c>
      <c r="K315" s="11">
        <v>94.48</v>
      </c>
      <c r="L315" s="11">
        <v>3.78</v>
      </c>
      <c r="M315" s="11" t="s">
        <v>637</v>
      </c>
      <c r="N315" s="11">
        <v>16202925</v>
      </c>
      <c r="O315" s="11" t="s">
        <v>37</v>
      </c>
      <c r="P315" s="11" t="s">
        <v>36</v>
      </c>
    </row>
    <row r="316" spans="1:16" ht="15.75" x14ac:dyDescent="0.25">
      <c r="A316" s="11">
        <v>2513</v>
      </c>
      <c r="B316" s="11">
        <v>79861</v>
      </c>
      <c r="C316" s="11" t="s">
        <v>115</v>
      </c>
      <c r="D316" s="11" t="s">
        <v>31</v>
      </c>
      <c r="E316" s="18">
        <v>45306</v>
      </c>
      <c r="F316" s="18">
        <v>45947</v>
      </c>
      <c r="G316" s="19">
        <v>21</v>
      </c>
      <c r="H316" s="20">
        <f>SUM(L316/K316)</f>
        <v>3.9946440526668153E-2</v>
      </c>
      <c r="I316" s="20" t="s">
        <v>672</v>
      </c>
      <c r="J316" s="21" t="s">
        <v>669</v>
      </c>
      <c r="K316" s="11">
        <v>44.81</v>
      </c>
      <c r="L316" s="11">
        <v>1.79</v>
      </c>
      <c r="M316" s="11" t="s">
        <v>637</v>
      </c>
      <c r="N316" s="11">
        <v>16202925</v>
      </c>
      <c r="O316" s="11" t="s">
        <v>37</v>
      </c>
      <c r="P316" s="11" t="s">
        <v>36</v>
      </c>
    </row>
    <row r="317" spans="1:16" ht="15.75" x14ac:dyDescent="0.25">
      <c r="A317" s="11">
        <v>2515</v>
      </c>
      <c r="B317" s="11">
        <v>55554</v>
      </c>
      <c r="C317" s="11" t="s">
        <v>156</v>
      </c>
      <c r="D317" s="11" t="s">
        <v>31</v>
      </c>
      <c r="E317" s="18">
        <v>45458</v>
      </c>
      <c r="F317" s="18">
        <v>45947</v>
      </c>
      <c r="G317" s="19">
        <v>16</v>
      </c>
      <c r="H317" s="20">
        <f>SUM(L317/K317)</f>
        <v>4.0019641541861037E-2</v>
      </c>
      <c r="I317" s="20" t="s">
        <v>672</v>
      </c>
      <c r="J317" s="21" t="s">
        <v>669</v>
      </c>
      <c r="K317" s="11">
        <v>40.729999999999997</v>
      </c>
      <c r="L317" s="11">
        <v>1.63</v>
      </c>
      <c r="M317" s="11" t="s">
        <v>637</v>
      </c>
      <c r="N317" s="11">
        <v>16202925</v>
      </c>
      <c r="O317" s="11" t="s">
        <v>37</v>
      </c>
      <c r="P317" s="11" t="s">
        <v>36</v>
      </c>
    </row>
    <row r="318" spans="1:16" ht="15.75" x14ac:dyDescent="0.25">
      <c r="A318" s="11">
        <v>2515</v>
      </c>
      <c r="B318" s="11">
        <v>90210</v>
      </c>
      <c r="C318" s="11" t="s">
        <v>200</v>
      </c>
      <c r="D318" s="11" t="s">
        <v>61</v>
      </c>
      <c r="E318" s="18">
        <v>45487</v>
      </c>
      <c r="F318" s="18">
        <v>45946</v>
      </c>
      <c r="G318" s="19">
        <v>15</v>
      </c>
      <c r="H318" s="20">
        <f>SUM(L318/K318)</f>
        <v>0.04</v>
      </c>
      <c r="I318" s="20" t="s">
        <v>672</v>
      </c>
      <c r="J318" s="21" t="s">
        <v>669</v>
      </c>
      <c r="K318" s="11">
        <v>1.5</v>
      </c>
      <c r="L318" s="11">
        <v>0.06</v>
      </c>
      <c r="M318" s="11" t="s">
        <v>637</v>
      </c>
      <c r="N318" s="11">
        <v>16202925</v>
      </c>
      <c r="O318" s="11" t="s">
        <v>37</v>
      </c>
      <c r="P318" s="11" t="s">
        <v>36</v>
      </c>
    </row>
    <row r="319" spans="1:16" ht="15.75" x14ac:dyDescent="0.25">
      <c r="A319" s="11">
        <v>2515</v>
      </c>
      <c r="B319" s="11">
        <v>90210</v>
      </c>
      <c r="C319" s="11" t="s">
        <v>200</v>
      </c>
      <c r="D319" s="11" t="s">
        <v>31</v>
      </c>
      <c r="E319" s="18">
        <v>45487</v>
      </c>
      <c r="F319" s="18">
        <v>45946</v>
      </c>
      <c r="G319" s="19">
        <v>15</v>
      </c>
      <c r="H319" s="20">
        <f>SUM(L319/K319)</f>
        <v>3.9922730199613649E-2</v>
      </c>
      <c r="I319" s="20" t="s">
        <v>672</v>
      </c>
      <c r="J319" s="21" t="s">
        <v>669</v>
      </c>
      <c r="K319" s="11">
        <v>46.59</v>
      </c>
      <c r="L319" s="11">
        <v>1.86</v>
      </c>
      <c r="M319" s="11" t="s">
        <v>637</v>
      </c>
      <c r="N319" s="11">
        <v>16202925</v>
      </c>
      <c r="O319" s="11" t="s">
        <v>37</v>
      </c>
      <c r="P319" s="11" t="s">
        <v>36</v>
      </c>
    </row>
    <row r="320" spans="1:16" ht="15.75" x14ac:dyDescent="0.25">
      <c r="A320" s="11">
        <v>2511</v>
      </c>
      <c r="B320" s="11">
        <v>35261</v>
      </c>
      <c r="C320" s="11" t="s">
        <v>44</v>
      </c>
      <c r="D320" s="11" t="s">
        <v>51</v>
      </c>
      <c r="E320" s="18">
        <v>45092</v>
      </c>
      <c r="F320" s="18">
        <v>45947</v>
      </c>
      <c r="G320" s="19">
        <v>28</v>
      </c>
      <c r="H320" s="20">
        <f>SUM(L320/K320)</f>
        <v>0.04</v>
      </c>
      <c r="I320" s="20" t="s">
        <v>672</v>
      </c>
      <c r="J320" s="21" t="s">
        <v>669</v>
      </c>
      <c r="K320" s="11">
        <v>0.75</v>
      </c>
      <c r="L320" s="11">
        <v>0.03</v>
      </c>
      <c r="M320" s="11" t="s">
        <v>637</v>
      </c>
      <c r="N320" s="11">
        <v>16202925</v>
      </c>
      <c r="O320" s="11" t="s">
        <v>37</v>
      </c>
      <c r="P320" s="11" t="s">
        <v>36</v>
      </c>
    </row>
    <row r="321" spans="1:16" ht="15.75" x14ac:dyDescent="0.25">
      <c r="A321" s="11">
        <v>2511</v>
      </c>
      <c r="B321" s="11">
        <v>35261</v>
      </c>
      <c r="C321" s="11" t="s">
        <v>44</v>
      </c>
      <c r="D321" s="11" t="s">
        <v>31</v>
      </c>
      <c r="E321" s="18">
        <v>45092</v>
      </c>
      <c r="F321" s="18">
        <v>45947</v>
      </c>
      <c r="G321" s="19">
        <v>28</v>
      </c>
      <c r="H321" s="20">
        <f>SUM(L321/K321)</f>
        <v>3.9919658548832539E-2</v>
      </c>
      <c r="I321" s="20" t="s">
        <v>672</v>
      </c>
      <c r="J321" s="21" t="s">
        <v>669</v>
      </c>
      <c r="K321" s="11">
        <v>39.83</v>
      </c>
      <c r="L321" s="11">
        <v>1.59</v>
      </c>
      <c r="M321" s="11" t="s">
        <v>637</v>
      </c>
      <c r="N321" s="11">
        <v>16202925</v>
      </c>
      <c r="O321" s="11" t="s">
        <v>37</v>
      </c>
      <c r="P321" s="11" t="s">
        <v>36</v>
      </c>
    </row>
    <row r="322" spans="1:16" ht="15.75" x14ac:dyDescent="0.25">
      <c r="A322" s="11">
        <v>2518</v>
      </c>
      <c r="B322" s="11">
        <v>23054</v>
      </c>
      <c r="C322" s="11" t="s">
        <v>322</v>
      </c>
      <c r="D322" s="11" t="s">
        <v>31</v>
      </c>
      <c r="E322" s="18">
        <v>45611</v>
      </c>
      <c r="F322" s="18">
        <v>45947</v>
      </c>
      <c r="G322" s="19">
        <v>11</v>
      </c>
      <c r="H322" s="20">
        <f>SUM(L322/K322)</f>
        <v>0.37002967359050443</v>
      </c>
      <c r="I322" s="20" t="s">
        <v>674</v>
      </c>
      <c r="J322" s="21" t="s">
        <v>669</v>
      </c>
      <c r="K322" s="11">
        <v>33.700000000000003</v>
      </c>
      <c r="L322" s="11">
        <v>12.47</v>
      </c>
      <c r="M322" s="11" t="s">
        <v>637</v>
      </c>
      <c r="N322" s="11">
        <v>16202925</v>
      </c>
      <c r="O322" s="11" t="s">
        <v>37</v>
      </c>
      <c r="P322" s="11" t="s">
        <v>36</v>
      </c>
    </row>
    <row r="323" spans="1:16" ht="15.75" x14ac:dyDescent="0.25">
      <c r="A323" s="11">
        <v>2513</v>
      </c>
      <c r="B323" s="11">
        <v>79789</v>
      </c>
      <c r="C323" s="11" t="s">
        <v>112</v>
      </c>
      <c r="D323" s="11" t="s">
        <v>61</v>
      </c>
      <c r="E323" s="18">
        <v>45306</v>
      </c>
      <c r="F323" s="18">
        <v>45947</v>
      </c>
      <c r="G323" s="19">
        <v>21</v>
      </c>
      <c r="H323" s="20">
        <f>SUM(L323/K323)</f>
        <v>0.04</v>
      </c>
      <c r="I323" s="20" t="s">
        <v>672</v>
      </c>
      <c r="J323" s="21" t="s">
        <v>669</v>
      </c>
      <c r="K323" s="11">
        <v>1.5</v>
      </c>
      <c r="L323" s="11">
        <v>0.06</v>
      </c>
      <c r="M323" s="11" t="s">
        <v>637</v>
      </c>
      <c r="N323" s="11">
        <v>16202925</v>
      </c>
      <c r="O323" s="11" t="s">
        <v>37</v>
      </c>
      <c r="P323" s="11" t="s">
        <v>36</v>
      </c>
    </row>
    <row r="324" spans="1:16" ht="15.75" x14ac:dyDescent="0.25">
      <c r="A324" s="11">
        <v>2513</v>
      </c>
      <c r="B324" s="11">
        <v>79789</v>
      </c>
      <c r="C324" s="11" t="s">
        <v>112</v>
      </c>
      <c r="D324" s="11" t="s">
        <v>31</v>
      </c>
      <c r="E324" s="18">
        <v>45306</v>
      </c>
      <c r="F324" s="18">
        <v>45947</v>
      </c>
      <c r="G324" s="19">
        <v>21</v>
      </c>
      <c r="H324" s="20">
        <f>SUM(L324/K324)</f>
        <v>4.000780640124902E-2</v>
      </c>
      <c r="I324" s="20" t="s">
        <v>672</v>
      </c>
      <c r="J324" s="21" t="s">
        <v>669</v>
      </c>
      <c r="K324" s="11">
        <v>51.24</v>
      </c>
      <c r="L324" s="11">
        <v>2.0499999999999998</v>
      </c>
      <c r="M324" s="11" t="s">
        <v>637</v>
      </c>
      <c r="N324" s="11">
        <v>16202925</v>
      </c>
      <c r="O324" s="11" t="s">
        <v>37</v>
      </c>
      <c r="P324" s="11" t="s">
        <v>36</v>
      </c>
    </row>
    <row r="325" spans="1:16" ht="15.75" x14ac:dyDescent="0.25">
      <c r="A325" s="11">
        <v>2513</v>
      </c>
      <c r="B325" s="11">
        <v>45979</v>
      </c>
      <c r="C325" s="11" t="s">
        <v>97</v>
      </c>
      <c r="D325" s="11" t="s">
        <v>31</v>
      </c>
      <c r="E325" s="18">
        <v>45275</v>
      </c>
      <c r="F325" s="18">
        <v>45947</v>
      </c>
      <c r="G325" s="19">
        <v>22</v>
      </c>
      <c r="H325" s="20">
        <f>SUM(L325/K325)</f>
        <v>3.9957800342872211E-2</v>
      </c>
      <c r="I325" s="20" t="s">
        <v>672</v>
      </c>
      <c r="J325" s="21" t="s">
        <v>669</v>
      </c>
      <c r="K325" s="11">
        <v>75.83</v>
      </c>
      <c r="L325" s="11">
        <v>3.03</v>
      </c>
      <c r="M325" s="11" t="s">
        <v>637</v>
      </c>
      <c r="N325" s="11">
        <v>16202925</v>
      </c>
      <c r="O325" s="11" t="s">
        <v>37</v>
      </c>
      <c r="P325" s="11" t="s">
        <v>36</v>
      </c>
    </row>
    <row r="326" spans="1:16" ht="15.75" x14ac:dyDescent="0.25">
      <c r="A326" s="12">
        <v>2521</v>
      </c>
      <c r="B326" s="12">
        <v>61719</v>
      </c>
      <c r="C326" s="12" t="s">
        <v>564</v>
      </c>
      <c r="D326" s="12" t="s">
        <v>61</v>
      </c>
      <c r="E326" s="23">
        <v>45882</v>
      </c>
      <c r="F326" s="23">
        <v>45945</v>
      </c>
      <c r="G326" s="24">
        <v>2</v>
      </c>
      <c r="H326" s="20">
        <f>SUM(L326/K326)</f>
        <v>0.3666666666666667</v>
      </c>
      <c r="I326" s="20" t="s">
        <v>674</v>
      </c>
      <c r="J326" s="24" t="s">
        <v>668</v>
      </c>
      <c r="K326" s="12">
        <v>1.5</v>
      </c>
      <c r="L326" s="12">
        <v>0.55000000000000004</v>
      </c>
      <c r="M326" s="12" t="s">
        <v>637</v>
      </c>
      <c r="N326" s="12">
        <v>16202925</v>
      </c>
      <c r="O326" s="12" t="s">
        <v>37</v>
      </c>
      <c r="P326" s="12" t="s">
        <v>36</v>
      </c>
    </row>
    <row r="327" spans="1:16" ht="15.75" x14ac:dyDescent="0.25">
      <c r="A327" s="12">
        <v>2521</v>
      </c>
      <c r="B327" s="12">
        <v>61719</v>
      </c>
      <c r="C327" s="12" t="s">
        <v>564</v>
      </c>
      <c r="D327" s="12" t="s">
        <v>31</v>
      </c>
      <c r="E327" s="23">
        <v>45882</v>
      </c>
      <c r="F327" s="23">
        <v>45945</v>
      </c>
      <c r="G327" s="24">
        <v>2</v>
      </c>
      <c r="H327" s="20">
        <f>SUM(L327/K327)</f>
        <v>0.37003648851684906</v>
      </c>
      <c r="I327" s="20" t="s">
        <v>674</v>
      </c>
      <c r="J327" s="24" t="s">
        <v>668</v>
      </c>
      <c r="K327" s="12">
        <v>46.59</v>
      </c>
      <c r="L327" s="12">
        <v>17.239999999999998</v>
      </c>
      <c r="M327" s="12" t="s">
        <v>637</v>
      </c>
      <c r="N327" s="12">
        <v>16202925</v>
      </c>
      <c r="O327" s="12" t="s">
        <v>37</v>
      </c>
      <c r="P327" s="12" t="s">
        <v>36</v>
      </c>
    </row>
    <row r="328" spans="1:16" ht="15.75" x14ac:dyDescent="0.25">
      <c r="A328" s="11">
        <v>2511</v>
      </c>
      <c r="B328" s="11">
        <v>58316</v>
      </c>
      <c r="C328" s="11" t="s">
        <v>62</v>
      </c>
      <c r="D328" s="11" t="s">
        <v>61</v>
      </c>
      <c r="E328" s="18">
        <v>45122</v>
      </c>
      <c r="F328" s="18">
        <v>45947</v>
      </c>
      <c r="G328" s="19">
        <v>27</v>
      </c>
      <c r="H328" s="20">
        <f>SUM(L328/K328)</f>
        <v>0.04</v>
      </c>
      <c r="I328" s="20" t="s">
        <v>672</v>
      </c>
      <c r="J328" s="21" t="s">
        <v>669</v>
      </c>
      <c r="K328" s="11">
        <v>1.5</v>
      </c>
      <c r="L328" s="11">
        <v>0.06</v>
      </c>
      <c r="M328" s="11" t="s">
        <v>637</v>
      </c>
      <c r="N328" s="11">
        <v>16202925</v>
      </c>
      <c r="O328" s="11" t="s">
        <v>37</v>
      </c>
      <c r="P328" s="11" t="s">
        <v>36</v>
      </c>
    </row>
    <row r="329" spans="1:16" ht="15.75" x14ac:dyDescent="0.25">
      <c r="A329" s="11">
        <v>2511</v>
      </c>
      <c r="B329" s="11">
        <v>58316</v>
      </c>
      <c r="C329" s="11" t="s">
        <v>62</v>
      </c>
      <c r="D329" s="11" t="s">
        <v>31</v>
      </c>
      <c r="E329" s="18">
        <v>45122</v>
      </c>
      <c r="F329" s="18">
        <v>45947</v>
      </c>
      <c r="G329" s="19">
        <v>27</v>
      </c>
      <c r="H329" s="20">
        <f>SUM(L329/K329)</f>
        <v>3.9876511448417806E-2</v>
      </c>
      <c r="I329" s="20" t="s">
        <v>672</v>
      </c>
      <c r="J329" s="21" t="s">
        <v>669</v>
      </c>
      <c r="K329" s="11">
        <v>38.869999999999997</v>
      </c>
      <c r="L329" s="11">
        <v>1.55</v>
      </c>
      <c r="M329" s="11" t="s">
        <v>637</v>
      </c>
      <c r="N329" s="11">
        <v>16202925</v>
      </c>
      <c r="O329" s="11" t="s">
        <v>37</v>
      </c>
      <c r="P329" s="11" t="s">
        <v>36</v>
      </c>
    </row>
    <row r="330" spans="1:16" ht="15.75" x14ac:dyDescent="0.25">
      <c r="A330" s="12">
        <v>2521</v>
      </c>
      <c r="B330" s="12">
        <v>58523</v>
      </c>
      <c r="C330" s="12" t="s">
        <v>550</v>
      </c>
      <c r="D330" s="12" t="s">
        <v>42</v>
      </c>
      <c r="E330" s="23">
        <v>45878</v>
      </c>
      <c r="F330" s="23">
        <v>45943</v>
      </c>
      <c r="G330" s="24">
        <v>2</v>
      </c>
      <c r="H330" s="20">
        <f>SUM(L330/K330)</f>
        <v>0.3701968134957826</v>
      </c>
      <c r="I330" s="20" t="s">
        <v>674</v>
      </c>
      <c r="J330" s="24" t="s">
        <v>668</v>
      </c>
      <c r="K330" s="12">
        <v>10.67</v>
      </c>
      <c r="L330" s="12">
        <v>3.95</v>
      </c>
      <c r="M330" s="12" t="s">
        <v>643</v>
      </c>
      <c r="N330" s="12">
        <v>371819</v>
      </c>
      <c r="O330" s="12" t="s">
        <v>37</v>
      </c>
      <c r="P330" s="12" t="s">
        <v>36</v>
      </c>
    </row>
    <row r="331" spans="1:16" ht="15.75" x14ac:dyDescent="0.25">
      <c r="A331" s="11">
        <v>2518</v>
      </c>
      <c r="B331" s="11">
        <v>71577</v>
      </c>
      <c r="C331" s="11" t="s">
        <v>353</v>
      </c>
      <c r="D331" s="11" t="s">
        <v>42</v>
      </c>
      <c r="E331" s="18">
        <v>45641</v>
      </c>
      <c r="F331" s="18">
        <v>45947</v>
      </c>
      <c r="G331" s="19">
        <v>10</v>
      </c>
      <c r="H331" s="20">
        <f>SUM(L331/K331)</f>
        <v>0.3701968134957826</v>
      </c>
      <c r="I331" s="20" t="s">
        <v>674</v>
      </c>
      <c r="J331" s="21" t="s">
        <v>669</v>
      </c>
      <c r="K331" s="11">
        <v>10.67</v>
      </c>
      <c r="L331" s="11">
        <v>3.95</v>
      </c>
      <c r="M331" s="11" t="s">
        <v>643</v>
      </c>
      <c r="N331" s="11">
        <v>371819</v>
      </c>
      <c r="O331" s="11" t="s">
        <v>37</v>
      </c>
      <c r="P331" s="11" t="s">
        <v>36</v>
      </c>
    </row>
    <row r="332" spans="1:16" ht="15.75" x14ac:dyDescent="0.25">
      <c r="A332" s="11">
        <v>2518</v>
      </c>
      <c r="B332" s="11">
        <v>71576</v>
      </c>
      <c r="C332" s="11" t="s">
        <v>353</v>
      </c>
      <c r="D332" s="11" t="s">
        <v>31</v>
      </c>
      <c r="E332" s="18">
        <v>45641</v>
      </c>
      <c r="F332" s="18">
        <v>45947</v>
      </c>
      <c r="G332" s="19">
        <v>10</v>
      </c>
      <c r="H332" s="20">
        <f>SUM(L332/K332)</f>
        <v>0.36991336308742451</v>
      </c>
      <c r="I332" s="20" t="s">
        <v>674</v>
      </c>
      <c r="J332" s="21" t="s">
        <v>669</v>
      </c>
      <c r="K332" s="11">
        <v>38.090000000000003</v>
      </c>
      <c r="L332" s="11">
        <v>14.09</v>
      </c>
      <c r="M332" s="11" t="s">
        <v>643</v>
      </c>
      <c r="N332" s="11">
        <v>371819</v>
      </c>
      <c r="O332" s="11" t="s">
        <v>37</v>
      </c>
      <c r="P332" s="11" t="s">
        <v>36</v>
      </c>
    </row>
  </sheetData>
  <sortState xmlns:xlrd2="http://schemas.microsoft.com/office/spreadsheetml/2017/richdata2" ref="A2:P332">
    <sortCondition ref="B2:B33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7D0B0-76F4-45B0-BF4B-DC451F28502E}">
  <dimension ref="A1:B331"/>
  <sheetViews>
    <sheetView topLeftCell="A294" workbookViewId="0">
      <selection activeCell="E323" sqref="E323"/>
    </sheetView>
  </sheetViews>
  <sheetFormatPr defaultRowHeight="12.75" x14ac:dyDescent="0.2"/>
  <cols>
    <col min="1" max="1" width="6" bestFit="1" customWidth="1"/>
    <col min="2" max="2" width="30.7109375" bestFit="1" customWidth="1"/>
  </cols>
  <sheetData>
    <row r="1" spans="1:2" x14ac:dyDescent="0.2">
      <c r="A1">
        <v>356</v>
      </c>
      <c r="B1" t="s">
        <v>603</v>
      </c>
    </row>
    <row r="2" spans="1:2" x14ac:dyDescent="0.2">
      <c r="A2">
        <v>357</v>
      </c>
      <c r="B2" t="s">
        <v>603</v>
      </c>
    </row>
    <row r="3" spans="1:2" x14ac:dyDescent="0.2">
      <c r="A3">
        <v>1055</v>
      </c>
      <c r="B3" t="s">
        <v>512</v>
      </c>
    </row>
    <row r="4" spans="1:2" x14ac:dyDescent="0.2">
      <c r="A4">
        <v>1055</v>
      </c>
      <c r="B4" t="s">
        <v>512</v>
      </c>
    </row>
    <row r="5" spans="1:2" x14ac:dyDescent="0.2">
      <c r="A5">
        <v>1173</v>
      </c>
      <c r="B5" t="s">
        <v>517</v>
      </c>
    </row>
    <row r="6" spans="1:2" x14ac:dyDescent="0.2">
      <c r="A6">
        <v>5079</v>
      </c>
      <c r="B6" t="s">
        <v>140</v>
      </c>
    </row>
    <row r="7" spans="1:2" x14ac:dyDescent="0.2">
      <c r="A7">
        <v>5453</v>
      </c>
      <c r="B7" t="s">
        <v>283</v>
      </c>
    </row>
    <row r="8" spans="1:2" x14ac:dyDescent="0.2">
      <c r="A8">
        <v>7206</v>
      </c>
      <c r="B8" t="s">
        <v>290</v>
      </c>
    </row>
    <row r="9" spans="1:2" x14ac:dyDescent="0.2">
      <c r="A9">
        <v>7206</v>
      </c>
      <c r="B9" t="s">
        <v>290</v>
      </c>
    </row>
    <row r="10" spans="1:2" x14ac:dyDescent="0.2">
      <c r="A10">
        <v>7931</v>
      </c>
      <c r="B10" t="s">
        <v>373</v>
      </c>
    </row>
    <row r="11" spans="1:2" x14ac:dyDescent="0.2">
      <c r="A11">
        <v>8075</v>
      </c>
      <c r="B11" t="s">
        <v>376</v>
      </c>
    </row>
    <row r="12" spans="1:2" x14ac:dyDescent="0.2">
      <c r="A12">
        <v>8076</v>
      </c>
      <c r="B12" t="s">
        <v>376</v>
      </c>
    </row>
    <row r="13" spans="1:2" x14ac:dyDescent="0.2">
      <c r="A13">
        <v>8129</v>
      </c>
      <c r="B13" t="s">
        <v>378</v>
      </c>
    </row>
    <row r="14" spans="1:2" x14ac:dyDescent="0.2">
      <c r="A14">
        <v>8703</v>
      </c>
      <c r="B14" t="s">
        <v>380</v>
      </c>
    </row>
    <row r="15" spans="1:2" x14ac:dyDescent="0.2">
      <c r="A15">
        <v>8703</v>
      </c>
      <c r="B15" t="s">
        <v>380</v>
      </c>
    </row>
    <row r="16" spans="1:2" x14ac:dyDescent="0.2">
      <c r="A16">
        <v>9333</v>
      </c>
      <c r="B16" t="s">
        <v>383</v>
      </c>
    </row>
    <row r="17" spans="1:2" x14ac:dyDescent="0.2">
      <c r="A17">
        <v>9333</v>
      </c>
      <c r="B17" t="s">
        <v>383</v>
      </c>
    </row>
    <row r="18" spans="1:2" x14ac:dyDescent="0.2">
      <c r="A18">
        <v>9668</v>
      </c>
      <c r="B18" t="s">
        <v>385</v>
      </c>
    </row>
    <row r="19" spans="1:2" x14ac:dyDescent="0.2">
      <c r="A19">
        <v>9895</v>
      </c>
      <c r="B19" t="s">
        <v>123</v>
      </c>
    </row>
    <row r="20" spans="1:2" x14ac:dyDescent="0.2">
      <c r="A20">
        <v>9895</v>
      </c>
      <c r="B20" t="s">
        <v>123</v>
      </c>
    </row>
    <row r="21" spans="1:2" x14ac:dyDescent="0.2">
      <c r="A21">
        <v>10617</v>
      </c>
      <c r="B21" t="s">
        <v>390</v>
      </c>
    </row>
    <row r="22" spans="1:2" x14ac:dyDescent="0.2">
      <c r="A22">
        <v>10617</v>
      </c>
      <c r="B22" t="s">
        <v>390</v>
      </c>
    </row>
    <row r="23" spans="1:2" x14ac:dyDescent="0.2">
      <c r="A23">
        <v>10618</v>
      </c>
      <c r="B23" t="s">
        <v>390</v>
      </c>
    </row>
    <row r="24" spans="1:2" x14ac:dyDescent="0.2">
      <c r="A24">
        <v>11959</v>
      </c>
      <c r="B24" t="s">
        <v>393</v>
      </c>
    </row>
    <row r="25" spans="1:2" x14ac:dyDescent="0.2">
      <c r="A25">
        <v>12432</v>
      </c>
      <c r="B25" t="s">
        <v>605</v>
      </c>
    </row>
    <row r="26" spans="1:2" x14ac:dyDescent="0.2">
      <c r="A26">
        <v>12432</v>
      </c>
      <c r="B26" t="s">
        <v>605</v>
      </c>
    </row>
    <row r="27" spans="1:2" x14ac:dyDescent="0.2">
      <c r="A27">
        <v>12433</v>
      </c>
      <c r="B27" t="s">
        <v>605</v>
      </c>
    </row>
    <row r="28" spans="1:2" x14ac:dyDescent="0.2">
      <c r="A28">
        <v>12819</v>
      </c>
      <c r="B28" t="s">
        <v>395</v>
      </c>
    </row>
    <row r="29" spans="1:2" x14ac:dyDescent="0.2">
      <c r="A29">
        <v>12819</v>
      </c>
      <c r="B29" t="s">
        <v>395</v>
      </c>
    </row>
    <row r="30" spans="1:2" x14ac:dyDescent="0.2">
      <c r="A30">
        <v>13503</v>
      </c>
      <c r="B30" t="s">
        <v>609</v>
      </c>
    </row>
    <row r="31" spans="1:2" x14ac:dyDescent="0.2">
      <c r="A31">
        <v>13504</v>
      </c>
      <c r="B31" t="s">
        <v>609</v>
      </c>
    </row>
    <row r="32" spans="1:2" x14ac:dyDescent="0.2">
      <c r="A32">
        <v>14048</v>
      </c>
      <c r="B32" t="s">
        <v>397</v>
      </c>
    </row>
    <row r="33" spans="1:2" x14ac:dyDescent="0.2">
      <c r="A33">
        <v>14048</v>
      </c>
      <c r="B33" t="s">
        <v>397</v>
      </c>
    </row>
    <row r="34" spans="1:2" x14ac:dyDescent="0.2">
      <c r="A34">
        <v>14267</v>
      </c>
      <c r="B34" t="s">
        <v>400</v>
      </c>
    </row>
    <row r="35" spans="1:2" x14ac:dyDescent="0.2">
      <c r="A35">
        <v>14267</v>
      </c>
      <c r="B35" t="s">
        <v>400</v>
      </c>
    </row>
    <row r="36" spans="1:2" x14ac:dyDescent="0.2">
      <c r="A36">
        <v>14569</v>
      </c>
      <c r="B36" t="s">
        <v>402</v>
      </c>
    </row>
    <row r="37" spans="1:2" x14ac:dyDescent="0.2">
      <c r="A37">
        <v>14569</v>
      </c>
      <c r="B37" t="s">
        <v>402</v>
      </c>
    </row>
    <row r="38" spans="1:2" x14ac:dyDescent="0.2">
      <c r="A38">
        <v>14570</v>
      </c>
      <c r="B38" t="s">
        <v>402</v>
      </c>
    </row>
    <row r="39" spans="1:2" x14ac:dyDescent="0.2">
      <c r="A39">
        <v>14659</v>
      </c>
      <c r="B39" t="s">
        <v>65</v>
      </c>
    </row>
    <row r="40" spans="1:2" x14ac:dyDescent="0.2">
      <c r="A40">
        <v>14660</v>
      </c>
      <c r="B40" t="s">
        <v>65</v>
      </c>
    </row>
    <row r="41" spans="1:2" x14ac:dyDescent="0.2">
      <c r="A41">
        <v>14865</v>
      </c>
      <c r="B41" t="s">
        <v>611</v>
      </c>
    </row>
    <row r="42" spans="1:2" x14ac:dyDescent="0.2">
      <c r="A42">
        <v>14865</v>
      </c>
      <c r="B42" t="s">
        <v>611</v>
      </c>
    </row>
    <row r="43" spans="1:2" x14ac:dyDescent="0.2">
      <c r="A43">
        <v>15322</v>
      </c>
      <c r="B43" t="s">
        <v>613</v>
      </c>
    </row>
    <row r="44" spans="1:2" x14ac:dyDescent="0.2">
      <c r="A44">
        <v>15323</v>
      </c>
      <c r="B44" t="s">
        <v>613</v>
      </c>
    </row>
    <row r="45" spans="1:2" x14ac:dyDescent="0.2">
      <c r="A45">
        <v>15631</v>
      </c>
      <c r="B45" t="s">
        <v>615</v>
      </c>
    </row>
    <row r="46" spans="1:2" x14ac:dyDescent="0.2">
      <c r="A46">
        <v>16141</v>
      </c>
      <c r="B46" t="s">
        <v>293</v>
      </c>
    </row>
    <row r="47" spans="1:2" x14ac:dyDescent="0.2">
      <c r="A47">
        <v>16141</v>
      </c>
      <c r="B47" t="s">
        <v>293</v>
      </c>
    </row>
    <row r="48" spans="1:2" x14ac:dyDescent="0.2">
      <c r="A48">
        <v>16185</v>
      </c>
      <c r="B48" t="s">
        <v>298</v>
      </c>
    </row>
    <row r="49" spans="1:2" x14ac:dyDescent="0.2">
      <c r="A49">
        <v>16794</v>
      </c>
      <c r="B49" t="s">
        <v>302</v>
      </c>
    </row>
    <row r="50" spans="1:2" x14ac:dyDescent="0.2">
      <c r="A50">
        <v>16937</v>
      </c>
      <c r="B50" t="s">
        <v>617</v>
      </c>
    </row>
    <row r="51" spans="1:2" x14ac:dyDescent="0.2">
      <c r="A51">
        <v>16937</v>
      </c>
      <c r="B51" t="s">
        <v>617</v>
      </c>
    </row>
    <row r="52" spans="1:2" x14ac:dyDescent="0.2">
      <c r="A52">
        <v>16938</v>
      </c>
      <c r="B52" t="s">
        <v>617</v>
      </c>
    </row>
    <row r="53" spans="1:2" x14ac:dyDescent="0.2">
      <c r="A53">
        <v>17174</v>
      </c>
      <c r="B53" t="s">
        <v>404</v>
      </c>
    </row>
    <row r="54" spans="1:2" x14ac:dyDescent="0.2">
      <c r="A54">
        <v>17223</v>
      </c>
      <c r="B54" t="s">
        <v>619</v>
      </c>
    </row>
    <row r="55" spans="1:2" x14ac:dyDescent="0.2">
      <c r="A55">
        <v>17223</v>
      </c>
      <c r="B55" t="s">
        <v>619</v>
      </c>
    </row>
    <row r="56" spans="1:2" x14ac:dyDescent="0.2">
      <c r="A56">
        <v>17247</v>
      </c>
      <c r="B56" t="s">
        <v>306</v>
      </c>
    </row>
    <row r="57" spans="1:2" x14ac:dyDescent="0.2">
      <c r="A57">
        <v>17528</v>
      </c>
      <c r="B57" t="s">
        <v>406</v>
      </c>
    </row>
    <row r="58" spans="1:2" x14ac:dyDescent="0.2">
      <c r="A58">
        <v>17528</v>
      </c>
      <c r="B58" t="s">
        <v>406</v>
      </c>
    </row>
    <row r="59" spans="1:2" x14ac:dyDescent="0.2">
      <c r="A59">
        <v>17598</v>
      </c>
      <c r="B59" t="s">
        <v>430</v>
      </c>
    </row>
    <row r="60" spans="1:2" x14ac:dyDescent="0.2">
      <c r="A60">
        <v>17599</v>
      </c>
      <c r="B60" t="s">
        <v>430</v>
      </c>
    </row>
    <row r="61" spans="1:2" x14ac:dyDescent="0.2">
      <c r="A61">
        <v>17677</v>
      </c>
      <c r="B61" t="s">
        <v>308</v>
      </c>
    </row>
    <row r="62" spans="1:2" x14ac:dyDescent="0.2">
      <c r="A62">
        <v>17677</v>
      </c>
      <c r="B62" t="s">
        <v>308</v>
      </c>
    </row>
    <row r="63" spans="1:2" x14ac:dyDescent="0.2">
      <c r="A63">
        <v>17846</v>
      </c>
      <c r="B63" t="s">
        <v>408</v>
      </c>
    </row>
    <row r="64" spans="1:2" x14ac:dyDescent="0.2">
      <c r="A64">
        <v>17846</v>
      </c>
      <c r="B64" t="s">
        <v>408</v>
      </c>
    </row>
    <row r="65" spans="1:2" x14ac:dyDescent="0.2">
      <c r="A65">
        <v>18035</v>
      </c>
      <c r="B65" t="s">
        <v>410</v>
      </c>
    </row>
    <row r="66" spans="1:2" x14ac:dyDescent="0.2">
      <c r="A66">
        <v>18083</v>
      </c>
      <c r="B66" t="s">
        <v>311</v>
      </c>
    </row>
    <row r="67" spans="1:2" x14ac:dyDescent="0.2">
      <c r="A67">
        <v>18116</v>
      </c>
      <c r="B67" t="s">
        <v>143</v>
      </c>
    </row>
    <row r="68" spans="1:2" x14ac:dyDescent="0.2">
      <c r="A68">
        <v>18153</v>
      </c>
      <c r="B68" t="s">
        <v>207</v>
      </c>
    </row>
    <row r="69" spans="1:2" x14ac:dyDescent="0.2">
      <c r="A69">
        <v>18154</v>
      </c>
      <c r="B69" t="s">
        <v>207</v>
      </c>
    </row>
    <row r="70" spans="1:2" x14ac:dyDescent="0.2">
      <c r="A70">
        <v>18249</v>
      </c>
      <c r="B70" t="s">
        <v>212</v>
      </c>
    </row>
    <row r="71" spans="1:2" x14ac:dyDescent="0.2">
      <c r="A71">
        <v>18250</v>
      </c>
      <c r="B71" t="s">
        <v>212</v>
      </c>
    </row>
    <row r="72" spans="1:2" x14ac:dyDescent="0.2">
      <c r="A72">
        <v>18524</v>
      </c>
      <c r="B72" t="s">
        <v>412</v>
      </c>
    </row>
    <row r="73" spans="1:2" x14ac:dyDescent="0.2">
      <c r="A73">
        <v>18592</v>
      </c>
      <c r="B73" t="s">
        <v>313</v>
      </c>
    </row>
    <row r="74" spans="1:2" x14ac:dyDescent="0.2">
      <c r="A74">
        <v>19851</v>
      </c>
      <c r="B74" t="s">
        <v>317</v>
      </c>
    </row>
    <row r="75" spans="1:2" x14ac:dyDescent="0.2">
      <c r="A75">
        <v>19851</v>
      </c>
      <c r="B75" t="s">
        <v>317</v>
      </c>
    </row>
    <row r="76" spans="1:2" x14ac:dyDescent="0.2">
      <c r="A76">
        <v>19852</v>
      </c>
      <c r="B76" t="s">
        <v>317</v>
      </c>
    </row>
    <row r="77" spans="1:2" x14ac:dyDescent="0.2">
      <c r="A77">
        <v>20242</v>
      </c>
      <c r="B77" t="s">
        <v>214</v>
      </c>
    </row>
    <row r="78" spans="1:2" x14ac:dyDescent="0.2">
      <c r="A78">
        <v>20247</v>
      </c>
      <c r="B78" t="s">
        <v>219</v>
      </c>
    </row>
    <row r="79" spans="1:2" x14ac:dyDescent="0.2">
      <c r="A79">
        <v>20720</v>
      </c>
      <c r="B79" t="s">
        <v>221</v>
      </c>
    </row>
    <row r="80" spans="1:2" x14ac:dyDescent="0.2">
      <c r="A80">
        <v>20851</v>
      </c>
      <c r="B80" t="s">
        <v>320</v>
      </c>
    </row>
    <row r="81" spans="1:2" x14ac:dyDescent="0.2">
      <c r="A81">
        <v>20851</v>
      </c>
      <c r="B81" t="s">
        <v>320</v>
      </c>
    </row>
    <row r="82" spans="1:2" x14ac:dyDescent="0.2">
      <c r="A82">
        <v>20958</v>
      </c>
      <c r="B82" t="s">
        <v>225</v>
      </c>
    </row>
    <row r="83" spans="1:2" x14ac:dyDescent="0.2">
      <c r="A83">
        <v>20958</v>
      </c>
      <c r="B83" t="s">
        <v>225</v>
      </c>
    </row>
    <row r="84" spans="1:2" x14ac:dyDescent="0.2">
      <c r="A84">
        <v>21258</v>
      </c>
      <c r="B84" t="s">
        <v>227</v>
      </c>
    </row>
    <row r="85" spans="1:2" x14ac:dyDescent="0.2">
      <c r="A85">
        <v>21258</v>
      </c>
      <c r="B85" t="s">
        <v>227</v>
      </c>
    </row>
    <row r="86" spans="1:2" x14ac:dyDescent="0.2">
      <c r="A86">
        <v>21258</v>
      </c>
      <c r="B86" t="s">
        <v>227</v>
      </c>
    </row>
    <row r="87" spans="1:2" x14ac:dyDescent="0.2">
      <c r="A87">
        <v>21258</v>
      </c>
      <c r="B87" t="s">
        <v>227</v>
      </c>
    </row>
    <row r="88" spans="1:2" x14ac:dyDescent="0.2">
      <c r="A88">
        <v>21536</v>
      </c>
      <c r="B88" t="s">
        <v>232</v>
      </c>
    </row>
    <row r="89" spans="1:2" x14ac:dyDescent="0.2">
      <c r="A89">
        <v>21547</v>
      </c>
      <c r="B89" t="s">
        <v>237</v>
      </c>
    </row>
    <row r="90" spans="1:2" x14ac:dyDescent="0.2">
      <c r="A90">
        <v>21762</v>
      </c>
      <c r="B90" t="s">
        <v>416</v>
      </c>
    </row>
    <row r="91" spans="1:2" x14ac:dyDescent="0.2">
      <c r="A91">
        <v>21762</v>
      </c>
      <c r="B91" t="s">
        <v>416</v>
      </c>
    </row>
    <row r="92" spans="1:2" x14ac:dyDescent="0.2">
      <c r="A92">
        <v>21763</v>
      </c>
      <c r="B92" t="s">
        <v>416</v>
      </c>
    </row>
    <row r="93" spans="1:2" x14ac:dyDescent="0.2">
      <c r="A93">
        <v>22189</v>
      </c>
      <c r="B93" t="s">
        <v>239</v>
      </c>
    </row>
    <row r="94" spans="1:2" x14ac:dyDescent="0.2">
      <c r="A94">
        <v>22189</v>
      </c>
      <c r="B94" t="s">
        <v>239</v>
      </c>
    </row>
    <row r="95" spans="1:2" x14ac:dyDescent="0.2">
      <c r="A95">
        <v>22687</v>
      </c>
      <c r="B95" t="s">
        <v>147</v>
      </c>
    </row>
    <row r="96" spans="1:2" x14ac:dyDescent="0.2">
      <c r="A96">
        <v>22687</v>
      </c>
      <c r="B96" t="s">
        <v>147</v>
      </c>
    </row>
    <row r="97" spans="1:2" x14ac:dyDescent="0.2">
      <c r="A97">
        <v>23054</v>
      </c>
      <c r="B97" t="s">
        <v>322</v>
      </c>
    </row>
    <row r="98" spans="1:2" x14ac:dyDescent="0.2">
      <c r="A98">
        <v>23560</v>
      </c>
      <c r="B98" t="s">
        <v>324</v>
      </c>
    </row>
    <row r="99" spans="1:2" x14ac:dyDescent="0.2">
      <c r="A99">
        <v>23560</v>
      </c>
      <c r="B99" t="s">
        <v>324</v>
      </c>
    </row>
    <row r="100" spans="1:2" x14ac:dyDescent="0.2">
      <c r="A100">
        <v>24010</v>
      </c>
      <c r="B100" t="s">
        <v>433</v>
      </c>
    </row>
    <row r="101" spans="1:2" x14ac:dyDescent="0.2">
      <c r="A101">
        <v>24010</v>
      </c>
      <c r="B101" t="s">
        <v>433</v>
      </c>
    </row>
    <row r="102" spans="1:2" x14ac:dyDescent="0.2">
      <c r="A102">
        <v>27133</v>
      </c>
      <c r="B102" t="s">
        <v>438</v>
      </c>
    </row>
    <row r="103" spans="1:2" x14ac:dyDescent="0.2">
      <c r="A103">
        <v>27133</v>
      </c>
      <c r="B103" t="s">
        <v>438</v>
      </c>
    </row>
    <row r="104" spans="1:2" x14ac:dyDescent="0.2">
      <c r="A104">
        <v>27418</v>
      </c>
      <c r="B104" t="s">
        <v>519</v>
      </c>
    </row>
    <row r="105" spans="1:2" x14ac:dyDescent="0.2">
      <c r="A105">
        <v>27418</v>
      </c>
      <c r="B105" t="s">
        <v>519</v>
      </c>
    </row>
    <row r="106" spans="1:2" x14ac:dyDescent="0.2">
      <c r="A106">
        <v>27787</v>
      </c>
      <c r="B106" t="s">
        <v>522</v>
      </c>
    </row>
    <row r="107" spans="1:2" x14ac:dyDescent="0.2">
      <c r="A107">
        <v>27787</v>
      </c>
      <c r="B107" t="s">
        <v>522</v>
      </c>
    </row>
    <row r="108" spans="1:2" x14ac:dyDescent="0.2">
      <c r="A108">
        <v>28212</v>
      </c>
      <c r="B108" t="s">
        <v>524</v>
      </c>
    </row>
    <row r="109" spans="1:2" x14ac:dyDescent="0.2">
      <c r="A109">
        <v>28647</v>
      </c>
      <c r="B109" t="s">
        <v>526</v>
      </c>
    </row>
    <row r="110" spans="1:2" x14ac:dyDescent="0.2">
      <c r="A110">
        <v>28647</v>
      </c>
      <c r="B110" t="s">
        <v>526</v>
      </c>
    </row>
    <row r="111" spans="1:2" x14ac:dyDescent="0.2">
      <c r="A111">
        <v>28706</v>
      </c>
      <c r="B111" t="s">
        <v>529</v>
      </c>
    </row>
    <row r="112" spans="1:2" x14ac:dyDescent="0.2">
      <c r="A112">
        <v>28706</v>
      </c>
      <c r="B112" t="s">
        <v>529</v>
      </c>
    </row>
    <row r="113" spans="1:2" x14ac:dyDescent="0.2">
      <c r="A113">
        <v>29906</v>
      </c>
      <c r="B113" t="s">
        <v>531</v>
      </c>
    </row>
    <row r="114" spans="1:2" x14ac:dyDescent="0.2">
      <c r="A114">
        <v>29906</v>
      </c>
      <c r="B114" t="s">
        <v>531</v>
      </c>
    </row>
    <row r="115" spans="1:2" x14ac:dyDescent="0.2">
      <c r="A115">
        <v>29907</v>
      </c>
      <c r="B115" t="s">
        <v>531</v>
      </c>
    </row>
    <row r="116" spans="1:2" x14ac:dyDescent="0.2">
      <c r="A116">
        <v>30440</v>
      </c>
      <c r="B116" t="s">
        <v>441</v>
      </c>
    </row>
    <row r="117" spans="1:2" x14ac:dyDescent="0.2">
      <c r="A117">
        <v>30818</v>
      </c>
      <c r="B117" t="s">
        <v>534</v>
      </c>
    </row>
    <row r="118" spans="1:2" x14ac:dyDescent="0.2">
      <c r="A118">
        <v>31363</v>
      </c>
      <c r="B118" t="s">
        <v>444</v>
      </c>
    </row>
    <row r="119" spans="1:2" x14ac:dyDescent="0.2">
      <c r="A119">
        <v>31363</v>
      </c>
      <c r="B119" t="s">
        <v>444</v>
      </c>
    </row>
    <row r="120" spans="1:2" x14ac:dyDescent="0.2">
      <c r="A120">
        <v>32726</v>
      </c>
      <c r="B120" t="s">
        <v>446</v>
      </c>
    </row>
    <row r="121" spans="1:2" x14ac:dyDescent="0.2">
      <c r="A121">
        <v>33758</v>
      </c>
      <c r="B121" t="s">
        <v>328</v>
      </c>
    </row>
    <row r="122" spans="1:2" x14ac:dyDescent="0.2">
      <c r="A122">
        <v>33759</v>
      </c>
      <c r="B122" t="s">
        <v>328</v>
      </c>
    </row>
    <row r="123" spans="1:2" x14ac:dyDescent="0.2">
      <c r="A123">
        <v>34018</v>
      </c>
      <c r="B123" t="s">
        <v>448</v>
      </c>
    </row>
    <row r="124" spans="1:2" x14ac:dyDescent="0.2">
      <c r="A124">
        <v>34018</v>
      </c>
      <c r="B124" t="s">
        <v>448</v>
      </c>
    </row>
    <row r="125" spans="1:2" x14ac:dyDescent="0.2">
      <c r="A125">
        <v>34182</v>
      </c>
      <c r="B125" t="s">
        <v>450</v>
      </c>
    </row>
    <row r="126" spans="1:2" x14ac:dyDescent="0.2">
      <c r="A126">
        <v>34182</v>
      </c>
      <c r="B126" t="s">
        <v>450</v>
      </c>
    </row>
    <row r="127" spans="1:2" x14ac:dyDescent="0.2">
      <c r="A127">
        <v>35261</v>
      </c>
      <c r="B127" t="s">
        <v>44</v>
      </c>
    </row>
    <row r="128" spans="1:2" x14ac:dyDescent="0.2">
      <c r="A128">
        <v>35261</v>
      </c>
      <c r="B128" t="s">
        <v>44</v>
      </c>
    </row>
    <row r="129" spans="1:2" x14ac:dyDescent="0.2">
      <c r="A129">
        <v>41575</v>
      </c>
      <c r="B129" t="s">
        <v>91</v>
      </c>
    </row>
    <row r="130" spans="1:2" x14ac:dyDescent="0.2">
      <c r="A130">
        <v>41575</v>
      </c>
      <c r="B130" t="s">
        <v>91</v>
      </c>
    </row>
    <row r="131" spans="1:2" x14ac:dyDescent="0.2">
      <c r="A131">
        <v>44688</v>
      </c>
      <c r="B131" t="s">
        <v>94</v>
      </c>
    </row>
    <row r="132" spans="1:2" x14ac:dyDescent="0.2">
      <c r="A132">
        <v>44688</v>
      </c>
      <c r="B132" t="s">
        <v>94</v>
      </c>
    </row>
    <row r="133" spans="1:2" x14ac:dyDescent="0.2">
      <c r="A133">
        <v>45311</v>
      </c>
      <c r="B133" t="s">
        <v>241</v>
      </c>
    </row>
    <row r="134" spans="1:2" x14ac:dyDescent="0.2">
      <c r="A134">
        <v>45979</v>
      </c>
      <c r="B134" t="s">
        <v>97</v>
      </c>
    </row>
    <row r="135" spans="1:2" x14ac:dyDescent="0.2">
      <c r="A135">
        <v>46243</v>
      </c>
      <c r="B135" t="s">
        <v>452</v>
      </c>
    </row>
    <row r="136" spans="1:2" x14ac:dyDescent="0.2">
      <c r="A136">
        <v>46244</v>
      </c>
      <c r="B136" t="s">
        <v>452</v>
      </c>
    </row>
    <row r="137" spans="1:2" x14ac:dyDescent="0.2">
      <c r="A137">
        <v>47488</v>
      </c>
      <c r="B137" t="s">
        <v>100</v>
      </c>
    </row>
    <row r="138" spans="1:2" x14ac:dyDescent="0.2">
      <c r="A138">
        <v>47488</v>
      </c>
      <c r="B138" t="s">
        <v>100</v>
      </c>
    </row>
    <row r="139" spans="1:2" x14ac:dyDescent="0.2">
      <c r="A139">
        <v>48114</v>
      </c>
      <c r="B139" t="s">
        <v>244</v>
      </c>
    </row>
    <row r="140" spans="1:2" x14ac:dyDescent="0.2">
      <c r="A140">
        <v>48114</v>
      </c>
      <c r="B140" t="s">
        <v>244</v>
      </c>
    </row>
    <row r="141" spans="1:2" x14ac:dyDescent="0.2">
      <c r="A141">
        <v>49262</v>
      </c>
      <c r="B141" t="s">
        <v>247</v>
      </c>
    </row>
    <row r="142" spans="1:2" x14ac:dyDescent="0.2">
      <c r="A142">
        <v>49791</v>
      </c>
      <c r="B142" t="s">
        <v>250</v>
      </c>
    </row>
    <row r="143" spans="1:2" x14ac:dyDescent="0.2">
      <c r="A143">
        <v>49791</v>
      </c>
      <c r="B143" t="s">
        <v>250</v>
      </c>
    </row>
    <row r="144" spans="1:2" x14ac:dyDescent="0.2">
      <c r="A144">
        <v>49983</v>
      </c>
      <c r="B144" t="s">
        <v>107</v>
      </c>
    </row>
    <row r="145" spans="1:2" x14ac:dyDescent="0.2">
      <c r="A145">
        <v>51094</v>
      </c>
      <c r="B145" t="s">
        <v>126</v>
      </c>
    </row>
    <row r="146" spans="1:2" x14ac:dyDescent="0.2">
      <c r="A146">
        <v>51094</v>
      </c>
      <c r="B146" t="s">
        <v>126</v>
      </c>
    </row>
    <row r="147" spans="1:2" x14ac:dyDescent="0.2">
      <c r="A147">
        <v>51095</v>
      </c>
      <c r="B147" t="s">
        <v>126</v>
      </c>
    </row>
    <row r="148" spans="1:2" x14ac:dyDescent="0.2">
      <c r="A148">
        <v>51513</v>
      </c>
      <c r="B148" t="s">
        <v>253</v>
      </c>
    </row>
    <row r="149" spans="1:2" x14ac:dyDescent="0.2">
      <c r="A149">
        <v>51513</v>
      </c>
      <c r="B149" t="s">
        <v>253</v>
      </c>
    </row>
    <row r="150" spans="1:2" x14ac:dyDescent="0.2">
      <c r="A150">
        <v>52826</v>
      </c>
      <c r="B150" t="s">
        <v>455</v>
      </c>
    </row>
    <row r="151" spans="1:2" x14ac:dyDescent="0.2">
      <c r="A151">
        <v>52826</v>
      </c>
      <c r="B151" t="s">
        <v>455</v>
      </c>
    </row>
    <row r="152" spans="1:2" x14ac:dyDescent="0.2">
      <c r="A152">
        <v>53557</v>
      </c>
      <c r="B152" t="s">
        <v>536</v>
      </c>
    </row>
    <row r="153" spans="1:2" x14ac:dyDescent="0.2">
      <c r="A153">
        <v>53558</v>
      </c>
      <c r="B153" t="s">
        <v>536</v>
      </c>
    </row>
    <row r="154" spans="1:2" x14ac:dyDescent="0.2">
      <c r="A154">
        <v>54305</v>
      </c>
      <c r="B154" t="s">
        <v>151</v>
      </c>
    </row>
    <row r="155" spans="1:2" x14ac:dyDescent="0.2">
      <c r="A155">
        <v>54305</v>
      </c>
      <c r="B155" t="s">
        <v>151</v>
      </c>
    </row>
    <row r="156" spans="1:2" x14ac:dyDescent="0.2">
      <c r="A156">
        <v>54452</v>
      </c>
      <c r="B156" t="s">
        <v>72</v>
      </c>
    </row>
    <row r="157" spans="1:2" x14ac:dyDescent="0.2">
      <c r="A157">
        <v>54452</v>
      </c>
      <c r="B157" t="s">
        <v>72</v>
      </c>
    </row>
    <row r="158" spans="1:2" x14ac:dyDescent="0.2">
      <c r="A158">
        <v>55026</v>
      </c>
      <c r="B158" t="s">
        <v>255</v>
      </c>
    </row>
    <row r="159" spans="1:2" x14ac:dyDescent="0.2">
      <c r="A159">
        <v>55026</v>
      </c>
      <c r="B159" t="s">
        <v>255</v>
      </c>
    </row>
    <row r="160" spans="1:2" x14ac:dyDescent="0.2">
      <c r="A160">
        <v>55069</v>
      </c>
      <c r="B160" t="s">
        <v>52</v>
      </c>
    </row>
    <row r="161" spans="1:2" x14ac:dyDescent="0.2">
      <c r="A161">
        <v>55345</v>
      </c>
      <c r="B161" t="s">
        <v>128</v>
      </c>
    </row>
    <row r="162" spans="1:2" x14ac:dyDescent="0.2">
      <c r="A162">
        <v>55345</v>
      </c>
      <c r="B162" t="s">
        <v>128</v>
      </c>
    </row>
    <row r="163" spans="1:2" x14ac:dyDescent="0.2">
      <c r="A163">
        <v>55359</v>
      </c>
      <c r="B163" t="s">
        <v>132</v>
      </c>
    </row>
    <row r="164" spans="1:2" x14ac:dyDescent="0.2">
      <c r="A164">
        <v>55554</v>
      </c>
      <c r="B164" t="s">
        <v>156</v>
      </c>
    </row>
    <row r="165" spans="1:2" x14ac:dyDescent="0.2">
      <c r="A165">
        <v>55988</v>
      </c>
      <c r="B165" t="s">
        <v>540</v>
      </c>
    </row>
    <row r="166" spans="1:2" x14ac:dyDescent="0.2">
      <c r="A166">
        <v>56726</v>
      </c>
      <c r="B166" t="s">
        <v>57</v>
      </c>
    </row>
    <row r="167" spans="1:2" x14ac:dyDescent="0.2">
      <c r="A167">
        <v>56726</v>
      </c>
      <c r="B167" t="s">
        <v>57</v>
      </c>
    </row>
    <row r="168" spans="1:2" x14ac:dyDescent="0.2">
      <c r="A168">
        <v>57551</v>
      </c>
      <c r="B168" t="s">
        <v>543</v>
      </c>
    </row>
    <row r="169" spans="1:2" x14ac:dyDescent="0.2">
      <c r="A169">
        <v>57551</v>
      </c>
      <c r="B169" t="s">
        <v>543</v>
      </c>
    </row>
    <row r="170" spans="1:2" x14ac:dyDescent="0.2">
      <c r="A170">
        <v>57946</v>
      </c>
      <c r="B170" t="s">
        <v>546</v>
      </c>
    </row>
    <row r="171" spans="1:2" x14ac:dyDescent="0.2">
      <c r="A171">
        <v>57946</v>
      </c>
      <c r="B171" t="s">
        <v>546</v>
      </c>
    </row>
    <row r="172" spans="1:2" x14ac:dyDescent="0.2">
      <c r="A172">
        <v>58218</v>
      </c>
      <c r="B172" t="s">
        <v>159</v>
      </c>
    </row>
    <row r="173" spans="1:2" x14ac:dyDescent="0.2">
      <c r="A173">
        <v>58316</v>
      </c>
      <c r="B173" t="s">
        <v>62</v>
      </c>
    </row>
    <row r="174" spans="1:2" x14ac:dyDescent="0.2">
      <c r="A174">
        <v>58316</v>
      </c>
      <c r="B174" t="s">
        <v>62</v>
      </c>
    </row>
    <row r="175" spans="1:2" x14ac:dyDescent="0.2">
      <c r="A175">
        <v>58411</v>
      </c>
      <c r="B175" t="s">
        <v>548</v>
      </c>
    </row>
    <row r="176" spans="1:2" x14ac:dyDescent="0.2">
      <c r="A176">
        <v>58411</v>
      </c>
      <c r="B176" t="s">
        <v>548</v>
      </c>
    </row>
    <row r="177" spans="1:2" x14ac:dyDescent="0.2">
      <c r="A177">
        <v>58523</v>
      </c>
      <c r="B177" t="s">
        <v>550</v>
      </c>
    </row>
    <row r="178" spans="1:2" x14ac:dyDescent="0.2">
      <c r="A178">
        <v>59580</v>
      </c>
      <c r="B178" t="s">
        <v>552</v>
      </c>
    </row>
    <row r="179" spans="1:2" x14ac:dyDescent="0.2">
      <c r="A179">
        <v>59581</v>
      </c>
      <c r="B179" t="s">
        <v>552</v>
      </c>
    </row>
    <row r="180" spans="1:2" x14ac:dyDescent="0.2">
      <c r="A180">
        <v>59631</v>
      </c>
      <c r="B180" t="s">
        <v>557</v>
      </c>
    </row>
    <row r="181" spans="1:2" x14ac:dyDescent="0.2">
      <c r="A181">
        <v>60120</v>
      </c>
      <c r="B181" t="s">
        <v>164</v>
      </c>
    </row>
    <row r="182" spans="1:2" x14ac:dyDescent="0.2">
      <c r="A182">
        <v>60121</v>
      </c>
      <c r="B182" t="s">
        <v>164</v>
      </c>
    </row>
    <row r="183" spans="1:2" x14ac:dyDescent="0.2">
      <c r="A183">
        <v>60485</v>
      </c>
      <c r="B183" t="s">
        <v>258</v>
      </c>
    </row>
    <row r="184" spans="1:2" x14ac:dyDescent="0.2">
      <c r="A184">
        <v>60485</v>
      </c>
      <c r="B184" t="s">
        <v>258</v>
      </c>
    </row>
    <row r="185" spans="1:2" x14ac:dyDescent="0.2">
      <c r="A185">
        <v>61659</v>
      </c>
      <c r="B185" t="s">
        <v>561</v>
      </c>
    </row>
    <row r="186" spans="1:2" x14ac:dyDescent="0.2">
      <c r="A186">
        <v>61719</v>
      </c>
      <c r="B186" t="s">
        <v>564</v>
      </c>
    </row>
    <row r="187" spans="1:2" x14ac:dyDescent="0.2">
      <c r="A187">
        <v>61719</v>
      </c>
      <c r="B187" t="s">
        <v>564</v>
      </c>
    </row>
    <row r="188" spans="1:2" x14ac:dyDescent="0.2">
      <c r="A188">
        <v>62363</v>
      </c>
      <c r="B188" t="s">
        <v>622</v>
      </c>
    </row>
    <row r="189" spans="1:2" x14ac:dyDescent="0.2">
      <c r="A189">
        <v>63026</v>
      </c>
      <c r="B189" t="s">
        <v>333</v>
      </c>
    </row>
    <row r="190" spans="1:2" x14ac:dyDescent="0.2">
      <c r="A190">
        <v>63026</v>
      </c>
      <c r="B190" t="s">
        <v>333</v>
      </c>
    </row>
    <row r="191" spans="1:2" x14ac:dyDescent="0.2">
      <c r="A191">
        <v>63344</v>
      </c>
      <c r="B191" t="s">
        <v>460</v>
      </c>
    </row>
    <row r="192" spans="1:2" x14ac:dyDescent="0.2">
      <c r="A192">
        <v>63344</v>
      </c>
      <c r="B192" t="s">
        <v>460</v>
      </c>
    </row>
    <row r="193" spans="1:2" x14ac:dyDescent="0.2">
      <c r="A193">
        <v>63412</v>
      </c>
      <c r="B193" t="s">
        <v>462</v>
      </c>
    </row>
    <row r="194" spans="1:2" x14ac:dyDescent="0.2">
      <c r="A194">
        <v>63412</v>
      </c>
      <c r="B194" t="s">
        <v>462</v>
      </c>
    </row>
    <row r="195" spans="1:2" x14ac:dyDescent="0.2">
      <c r="A195">
        <v>65117</v>
      </c>
      <c r="B195" t="s">
        <v>465</v>
      </c>
    </row>
    <row r="196" spans="1:2" x14ac:dyDescent="0.2">
      <c r="A196">
        <v>65117</v>
      </c>
      <c r="B196" t="s">
        <v>465</v>
      </c>
    </row>
    <row r="197" spans="1:2" x14ac:dyDescent="0.2">
      <c r="A197">
        <v>65368</v>
      </c>
      <c r="B197" t="s">
        <v>469</v>
      </c>
    </row>
    <row r="198" spans="1:2" x14ac:dyDescent="0.2">
      <c r="A198">
        <v>65676</v>
      </c>
      <c r="B198" t="s">
        <v>336</v>
      </c>
    </row>
    <row r="199" spans="1:2" x14ac:dyDescent="0.2">
      <c r="A199">
        <v>65676</v>
      </c>
      <c r="B199" t="s">
        <v>336</v>
      </c>
    </row>
    <row r="200" spans="1:2" x14ac:dyDescent="0.2">
      <c r="A200">
        <v>65677</v>
      </c>
      <c r="B200" t="s">
        <v>336</v>
      </c>
    </row>
    <row r="201" spans="1:2" x14ac:dyDescent="0.2">
      <c r="A201">
        <v>65929</v>
      </c>
      <c r="B201" t="s">
        <v>472</v>
      </c>
    </row>
    <row r="202" spans="1:2" x14ac:dyDescent="0.2">
      <c r="A202">
        <v>66370</v>
      </c>
      <c r="B202" t="s">
        <v>475</v>
      </c>
    </row>
    <row r="203" spans="1:2" x14ac:dyDescent="0.2">
      <c r="A203">
        <v>67007</v>
      </c>
      <c r="B203" t="s">
        <v>479</v>
      </c>
    </row>
    <row r="204" spans="1:2" x14ac:dyDescent="0.2">
      <c r="A204">
        <v>67007</v>
      </c>
      <c r="B204" t="s">
        <v>479</v>
      </c>
    </row>
    <row r="205" spans="1:2" x14ac:dyDescent="0.2">
      <c r="A205">
        <v>67790</v>
      </c>
      <c r="B205" t="s">
        <v>339</v>
      </c>
    </row>
    <row r="206" spans="1:2" x14ac:dyDescent="0.2">
      <c r="A206">
        <v>69191</v>
      </c>
      <c r="B206" t="s">
        <v>481</v>
      </c>
    </row>
    <row r="207" spans="1:2" x14ac:dyDescent="0.2">
      <c r="A207">
        <v>69191</v>
      </c>
      <c r="B207" t="s">
        <v>481</v>
      </c>
    </row>
    <row r="208" spans="1:2" x14ac:dyDescent="0.2">
      <c r="A208">
        <v>69648</v>
      </c>
      <c r="B208" t="s">
        <v>483</v>
      </c>
    </row>
    <row r="209" spans="1:2" x14ac:dyDescent="0.2">
      <c r="A209">
        <v>69648</v>
      </c>
      <c r="B209" t="s">
        <v>483</v>
      </c>
    </row>
    <row r="210" spans="1:2" x14ac:dyDescent="0.2">
      <c r="A210">
        <v>70016</v>
      </c>
      <c r="B210" t="s">
        <v>485</v>
      </c>
    </row>
    <row r="211" spans="1:2" x14ac:dyDescent="0.2">
      <c r="A211">
        <v>70016</v>
      </c>
      <c r="B211" t="s">
        <v>485</v>
      </c>
    </row>
    <row r="212" spans="1:2" x14ac:dyDescent="0.2">
      <c r="A212">
        <v>70204</v>
      </c>
      <c r="B212" t="s">
        <v>344</v>
      </c>
    </row>
    <row r="213" spans="1:2" x14ac:dyDescent="0.2">
      <c r="A213">
        <v>71075</v>
      </c>
      <c r="B213" t="s">
        <v>347</v>
      </c>
    </row>
    <row r="214" spans="1:2" x14ac:dyDescent="0.2">
      <c r="A214">
        <v>71141</v>
      </c>
      <c r="B214" t="s">
        <v>351</v>
      </c>
    </row>
    <row r="215" spans="1:2" x14ac:dyDescent="0.2">
      <c r="A215">
        <v>71141</v>
      </c>
      <c r="B215" t="s">
        <v>351</v>
      </c>
    </row>
    <row r="216" spans="1:2" x14ac:dyDescent="0.2">
      <c r="A216">
        <v>71142</v>
      </c>
      <c r="B216" t="s">
        <v>351</v>
      </c>
    </row>
    <row r="217" spans="1:2" x14ac:dyDescent="0.2">
      <c r="A217">
        <v>71576</v>
      </c>
      <c r="B217" t="s">
        <v>353</v>
      </c>
    </row>
    <row r="218" spans="1:2" x14ac:dyDescent="0.2">
      <c r="A218">
        <v>71577</v>
      </c>
      <c r="B218" t="s">
        <v>353</v>
      </c>
    </row>
    <row r="219" spans="1:2" x14ac:dyDescent="0.2">
      <c r="A219">
        <v>71894</v>
      </c>
      <c r="B219" t="s">
        <v>357</v>
      </c>
    </row>
    <row r="220" spans="1:2" x14ac:dyDescent="0.2">
      <c r="A220">
        <v>72509</v>
      </c>
      <c r="B220" t="s">
        <v>360</v>
      </c>
    </row>
    <row r="221" spans="1:2" x14ac:dyDescent="0.2">
      <c r="A221">
        <v>72796</v>
      </c>
      <c r="B221" t="s">
        <v>261</v>
      </c>
    </row>
    <row r="222" spans="1:2" x14ac:dyDescent="0.2">
      <c r="A222">
        <v>72796</v>
      </c>
      <c r="B222" t="s">
        <v>261</v>
      </c>
    </row>
    <row r="223" spans="1:2" x14ac:dyDescent="0.2">
      <c r="A223">
        <v>72808</v>
      </c>
      <c r="B223" t="s">
        <v>362</v>
      </c>
    </row>
    <row r="224" spans="1:2" x14ac:dyDescent="0.2">
      <c r="A224">
        <v>73930</v>
      </c>
      <c r="B224" t="s">
        <v>364</v>
      </c>
    </row>
    <row r="225" spans="1:2" x14ac:dyDescent="0.2">
      <c r="A225">
        <v>73930</v>
      </c>
      <c r="B225" t="s">
        <v>364</v>
      </c>
    </row>
    <row r="226" spans="1:2" x14ac:dyDescent="0.2">
      <c r="A226">
        <v>74416</v>
      </c>
      <c r="B226" t="s">
        <v>366</v>
      </c>
    </row>
    <row r="227" spans="1:2" x14ac:dyDescent="0.2">
      <c r="A227">
        <v>77735</v>
      </c>
      <c r="B227" t="s">
        <v>109</v>
      </c>
    </row>
    <row r="228" spans="1:2" x14ac:dyDescent="0.2">
      <c r="A228">
        <v>77735</v>
      </c>
      <c r="B228" t="s">
        <v>109</v>
      </c>
    </row>
    <row r="229" spans="1:2" x14ac:dyDescent="0.2">
      <c r="A229">
        <v>77736</v>
      </c>
      <c r="B229" t="s">
        <v>109</v>
      </c>
    </row>
    <row r="230" spans="1:2" x14ac:dyDescent="0.2">
      <c r="A230">
        <v>78196</v>
      </c>
      <c r="B230" t="s">
        <v>264</v>
      </c>
    </row>
    <row r="231" spans="1:2" x14ac:dyDescent="0.2">
      <c r="A231">
        <v>78196</v>
      </c>
      <c r="B231" t="s">
        <v>264</v>
      </c>
    </row>
    <row r="232" spans="1:2" x14ac:dyDescent="0.2">
      <c r="A232">
        <v>78227</v>
      </c>
      <c r="B232" t="s">
        <v>269</v>
      </c>
    </row>
    <row r="233" spans="1:2" x14ac:dyDescent="0.2">
      <c r="A233">
        <v>78227</v>
      </c>
      <c r="B233" t="s">
        <v>269</v>
      </c>
    </row>
    <row r="234" spans="1:2" x14ac:dyDescent="0.2">
      <c r="A234">
        <v>78641</v>
      </c>
      <c r="B234" t="s">
        <v>271</v>
      </c>
    </row>
    <row r="235" spans="1:2" x14ac:dyDescent="0.2">
      <c r="A235">
        <v>78641</v>
      </c>
      <c r="B235" t="s">
        <v>271</v>
      </c>
    </row>
    <row r="236" spans="1:2" x14ac:dyDescent="0.2">
      <c r="A236">
        <v>78642</v>
      </c>
      <c r="B236" t="s">
        <v>271</v>
      </c>
    </row>
    <row r="237" spans="1:2" x14ac:dyDescent="0.2">
      <c r="A237">
        <v>79789</v>
      </c>
      <c r="B237" t="s">
        <v>112</v>
      </c>
    </row>
    <row r="238" spans="1:2" x14ac:dyDescent="0.2">
      <c r="A238">
        <v>79789</v>
      </c>
      <c r="B238" t="s">
        <v>112</v>
      </c>
    </row>
    <row r="239" spans="1:2" x14ac:dyDescent="0.2">
      <c r="A239">
        <v>79861</v>
      </c>
      <c r="B239" t="s">
        <v>115</v>
      </c>
    </row>
    <row r="240" spans="1:2" x14ac:dyDescent="0.2">
      <c r="A240">
        <v>79888</v>
      </c>
      <c r="B240" t="s">
        <v>274</v>
      </c>
    </row>
    <row r="241" spans="1:2" x14ac:dyDescent="0.2">
      <c r="A241">
        <v>79889</v>
      </c>
      <c r="B241" t="s">
        <v>274</v>
      </c>
    </row>
    <row r="242" spans="1:2" x14ac:dyDescent="0.2">
      <c r="A242">
        <v>79979</v>
      </c>
      <c r="B242" t="s">
        <v>276</v>
      </c>
    </row>
    <row r="243" spans="1:2" x14ac:dyDescent="0.2">
      <c r="A243">
        <v>79979</v>
      </c>
      <c r="B243" t="s">
        <v>276</v>
      </c>
    </row>
    <row r="244" spans="1:2" x14ac:dyDescent="0.2">
      <c r="A244">
        <v>80048</v>
      </c>
      <c r="B244" t="s">
        <v>117</v>
      </c>
    </row>
    <row r="245" spans="1:2" x14ac:dyDescent="0.2">
      <c r="A245">
        <v>80048</v>
      </c>
      <c r="B245" t="s">
        <v>117</v>
      </c>
    </row>
    <row r="246" spans="1:2" x14ac:dyDescent="0.2">
      <c r="A246">
        <v>80048</v>
      </c>
      <c r="B246" t="s">
        <v>117</v>
      </c>
    </row>
    <row r="247" spans="1:2" x14ac:dyDescent="0.2">
      <c r="A247">
        <v>80048</v>
      </c>
      <c r="B247" t="s">
        <v>117</v>
      </c>
    </row>
    <row r="248" spans="1:2" x14ac:dyDescent="0.2">
      <c r="A248">
        <v>82191</v>
      </c>
      <c r="B248" t="s">
        <v>566</v>
      </c>
    </row>
    <row r="249" spans="1:2" x14ac:dyDescent="0.2">
      <c r="A249">
        <v>82488</v>
      </c>
      <c r="B249" t="s">
        <v>78</v>
      </c>
    </row>
    <row r="250" spans="1:2" x14ac:dyDescent="0.2">
      <c r="A250">
        <v>82488</v>
      </c>
      <c r="B250" t="s">
        <v>78</v>
      </c>
    </row>
    <row r="251" spans="1:2" x14ac:dyDescent="0.2">
      <c r="A251">
        <v>82542</v>
      </c>
      <c r="B251" t="s">
        <v>570</v>
      </c>
    </row>
    <row r="252" spans="1:2" x14ac:dyDescent="0.2">
      <c r="A252">
        <v>82941</v>
      </c>
      <c r="B252" t="s">
        <v>30</v>
      </c>
    </row>
    <row r="253" spans="1:2" x14ac:dyDescent="0.2">
      <c r="A253">
        <v>82942</v>
      </c>
      <c r="B253" t="s">
        <v>30</v>
      </c>
    </row>
    <row r="254" spans="1:2" x14ac:dyDescent="0.2">
      <c r="A254">
        <v>82991</v>
      </c>
      <c r="B254" t="s">
        <v>169</v>
      </c>
    </row>
    <row r="255" spans="1:2" x14ac:dyDescent="0.2">
      <c r="A255">
        <v>83882</v>
      </c>
      <c r="B255" t="s">
        <v>173</v>
      </c>
    </row>
    <row r="256" spans="1:2" x14ac:dyDescent="0.2">
      <c r="A256">
        <v>83882</v>
      </c>
      <c r="B256" t="s">
        <v>173</v>
      </c>
    </row>
    <row r="257" spans="1:2" x14ac:dyDescent="0.2">
      <c r="A257">
        <v>83883</v>
      </c>
      <c r="B257" t="s">
        <v>173</v>
      </c>
    </row>
    <row r="258" spans="1:2" x14ac:dyDescent="0.2">
      <c r="A258">
        <v>84493</v>
      </c>
      <c r="B258" t="s">
        <v>177</v>
      </c>
    </row>
    <row r="259" spans="1:2" x14ac:dyDescent="0.2">
      <c r="A259">
        <v>84493</v>
      </c>
      <c r="B259" t="s">
        <v>177</v>
      </c>
    </row>
    <row r="260" spans="1:2" x14ac:dyDescent="0.2">
      <c r="A260">
        <v>84494</v>
      </c>
      <c r="B260" t="s">
        <v>177</v>
      </c>
    </row>
    <row r="261" spans="1:2" x14ac:dyDescent="0.2">
      <c r="A261">
        <v>84620</v>
      </c>
      <c r="B261" t="s">
        <v>179</v>
      </c>
    </row>
    <row r="262" spans="1:2" x14ac:dyDescent="0.2">
      <c r="A262">
        <v>84620</v>
      </c>
      <c r="B262" t="s">
        <v>179</v>
      </c>
    </row>
    <row r="263" spans="1:2" x14ac:dyDescent="0.2">
      <c r="A263">
        <v>85142</v>
      </c>
      <c r="B263" t="s">
        <v>83</v>
      </c>
    </row>
    <row r="264" spans="1:2" x14ac:dyDescent="0.2">
      <c r="A264">
        <v>85142</v>
      </c>
      <c r="B264" t="s">
        <v>83</v>
      </c>
    </row>
    <row r="265" spans="1:2" x14ac:dyDescent="0.2">
      <c r="A265">
        <v>85519</v>
      </c>
      <c r="B265" t="s">
        <v>88</v>
      </c>
    </row>
    <row r="266" spans="1:2" x14ac:dyDescent="0.2">
      <c r="A266">
        <v>85519</v>
      </c>
      <c r="B266" t="s">
        <v>88</v>
      </c>
    </row>
    <row r="267" spans="1:2" x14ac:dyDescent="0.2">
      <c r="A267">
        <v>85520</v>
      </c>
      <c r="B267" t="s">
        <v>88</v>
      </c>
    </row>
    <row r="268" spans="1:2" x14ac:dyDescent="0.2">
      <c r="A268">
        <v>86097</v>
      </c>
      <c r="B268" t="s">
        <v>572</v>
      </c>
    </row>
    <row r="269" spans="1:2" x14ac:dyDescent="0.2">
      <c r="A269">
        <v>86467</v>
      </c>
      <c r="B269" t="s">
        <v>575</v>
      </c>
    </row>
    <row r="270" spans="1:2" x14ac:dyDescent="0.2">
      <c r="A270">
        <v>86468</v>
      </c>
      <c r="B270" t="s">
        <v>575</v>
      </c>
    </row>
    <row r="271" spans="1:2" x14ac:dyDescent="0.2">
      <c r="A271">
        <v>86560</v>
      </c>
      <c r="B271" t="s">
        <v>181</v>
      </c>
    </row>
    <row r="272" spans="1:2" x14ac:dyDescent="0.2">
      <c r="A272">
        <v>86561</v>
      </c>
      <c r="B272" t="s">
        <v>181</v>
      </c>
    </row>
    <row r="273" spans="1:2" x14ac:dyDescent="0.2">
      <c r="A273">
        <v>86786</v>
      </c>
      <c r="B273" t="s">
        <v>369</v>
      </c>
    </row>
    <row r="274" spans="1:2" x14ac:dyDescent="0.2">
      <c r="A274">
        <v>86821</v>
      </c>
      <c r="B274" t="s">
        <v>578</v>
      </c>
    </row>
    <row r="275" spans="1:2" x14ac:dyDescent="0.2">
      <c r="A275">
        <v>86821</v>
      </c>
      <c r="B275" t="s">
        <v>578</v>
      </c>
    </row>
    <row r="276" spans="1:2" x14ac:dyDescent="0.2">
      <c r="A276">
        <v>86837</v>
      </c>
      <c r="B276" t="s">
        <v>184</v>
      </c>
    </row>
    <row r="277" spans="1:2" x14ac:dyDescent="0.2">
      <c r="A277">
        <v>86837</v>
      </c>
      <c r="B277" t="s">
        <v>184</v>
      </c>
    </row>
    <row r="278" spans="1:2" x14ac:dyDescent="0.2">
      <c r="A278">
        <v>86838</v>
      </c>
      <c r="B278" t="s">
        <v>184</v>
      </c>
    </row>
    <row r="279" spans="1:2" x14ac:dyDescent="0.2">
      <c r="A279">
        <v>87005</v>
      </c>
      <c r="B279" t="s">
        <v>580</v>
      </c>
    </row>
    <row r="280" spans="1:2" x14ac:dyDescent="0.2">
      <c r="A280">
        <v>87005</v>
      </c>
      <c r="B280" t="s">
        <v>580</v>
      </c>
    </row>
    <row r="281" spans="1:2" x14ac:dyDescent="0.2">
      <c r="A281">
        <v>87075</v>
      </c>
      <c r="B281" t="s">
        <v>487</v>
      </c>
    </row>
    <row r="282" spans="1:2" x14ac:dyDescent="0.2">
      <c r="A282">
        <v>87075</v>
      </c>
      <c r="B282" t="s">
        <v>487</v>
      </c>
    </row>
    <row r="283" spans="1:2" x14ac:dyDescent="0.2">
      <c r="A283">
        <v>87075</v>
      </c>
      <c r="B283" t="s">
        <v>487</v>
      </c>
    </row>
    <row r="284" spans="1:2" x14ac:dyDescent="0.2">
      <c r="A284">
        <v>87075</v>
      </c>
      <c r="B284" t="s">
        <v>487</v>
      </c>
    </row>
    <row r="285" spans="1:2" x14ac:dyDescent="0.2">
      <c r="A285">
        <v>87075</v>
      </c>
      <c r="B285" t="s">
        <v>487</v>
      </c>
    </row>
    <row r="286" spans="1:2" x14ac:dyDescent="0.2">
      <c r="A286">
        <v>87075</v>
      </c>
      <c r="B286" t="s">
        <v>487</v>
      </c>
    </row>
    <row r="287" spans="1:2" x14ac:dyDescent="0.2">
      <c r="A287">
        <v>87076</v>
      </c>
      <c r="B287" t="s">
        <v>487</v>
      </c>
    </row>
    <row r="288" spans="1:2" x14ac:dyDescent="0.2">
      <c r="A288">
        <v>87076</v>
      </c>
      <c r="B288" t="s">
        <v>487</v>
      </c>
    </row>
    <row r="289" spans="1:2" x14ac:dyDescent="0.2">
      <c r="A289">
        <v>87076</v>
      </c>
      <c r="B289" t="s">
        <v>487</v>
      </c>
    </row>
    <row r="290" spans="1:2" x14ac:dyDescent="0.2">
      <c r="A290">
        <v>87203</v>
      </c>
      <c r="B290" t="s">
        <v>582</v>
      </c>
    </row>
    <row r="291" spans="1:2" x14ac:dyDescent="0.2">
      <c r="A291">
        <v>87203</v>
      </c>
      <c r="B291" t="s">
        <v>582</v>
      </c>
    </row>
    <row r="292" spans="1:2" x14ac:dyDescent="0.2">
      <c r="A292">
        <v>87204</v>
      </c>
      <c r="B292" t="s">
        <v>582</v>
      </c>
    </row>
    <row r="293" spans="1:2" x14ac:dyDescent="0.2">
      <c r="A293">
        <v>87329</v>
      </c>
      <c r="B293" t="s">
        <v>586</v>
      </c>
    </row>
    <row r="294" spans="1:2" x14ac:dyDescent="0.2">
      <c r="A294">
        <v>87733</v>
      </c>
      <c r="B294" t="s">
        <v>588</v>
      </c>
    </row>
    <row r="295" spans="1:2" x14ac:dyDescent="0.2">
      <c r="A295">
        <v>88130</v>
      </c>
      <c r="B295" t="s">
        <v>590</v>
      </c>
    </row>
    <row r="296" spans="1:2" x14ac:dyDescent="0.2">
      <c r="A296">
        <v>88370</v>
      </c>
      <c r="B296" t="s">
        <v>593</v>
      </c>
    </row>
    <row r="297" spans="1:2" x14ac:dyDescent="0.2">
      <c r="A297">
        <v>88370</v>
      </c>
      <c r="B297" t="s">
        <v>593</v>
      </c>
    </row>
    <row r="298" spans="1:2" x14ac:dyDescent="0.2">
      <c r="A298">
        <v>88427</v>
      </c>
      <c r="B298" t="s">
        <v>596</v>
      </c>
    </row>
    <row r="299" spans="1:2" x14ac:dyDescent="0.2">
      <c r="A299">
        <v>88427</v>
      </c>
      <c r="B299" t="s">
        <v>596</v>
      </c>
    </row>
    <row r="300" spans="1:2" x14ac:dyDescent="0.2">
      <c r="A300">
        <v>89041</v>
      </c>
      <c r="B300" t="s">
        <v>188</v>
      </c>
    </row>
    <row r="301" spans="1:2" x14ac:dyDescent="0.2">
      <c r="A301">
        <v>89042</v>
      </c>
      <c r="B301" t="s">
        <v>188</v>
      </c>
    </row>
    <row r="302" spans="1:2" x14ac:dyDescent="0.2">
      <c r="A302">
        <v>89214</v>
      </c>
      <c r="B302" t="s">
        <v>193</v>
      </c>
    </row>
    <row r="303" spans="1:2" x14ac:dyDescent="0.2">
      <c r="A303">
        <v>89752</v>
      </c>
      <c r="B303" t="s">
        <v>196</v>
      </c>
    </row>
    <row r="304" spans="1:2" x14ac:dyDescent="0.2">
      <c r="A304">
        <v>89753</v>
      </c>
      <c r="B304" t="s">
        <v>196</v>
      </c>
    </row>
    <row r="305" spans="1:2" x14ac:dyDescent="0.2">
      <c r="A305">
        <v>89940</v>
      </c>
      <c r="B305" t="s">
        <v>134</v>
      </c>
    </row>
    <row r="306" spans="1:2" x14ac:dyDescent="0.2">
      <c r="A306">
        <v>89940</v>
      </c>
      <c r="B306" t="s">
        <v>134</v>
      </c>
    </row>
    <row r="307" spans="1:2" x14ac:dyDescent="0.2">
      <c r="A307">
        <v>90210</v>
      </c>
      <c r="B307" t="s">
        <v>200</v>
      </c>
    </row>
    <row r="308" spans="1:2" x14ac:dyDescent="0.2">
      <c r="A308">
        <v>90210</v>
      </c>
      <c r="B308" t="s">
        <v>200</v>
      </c>
    </row>
    <row r="309" spans="1:2" x14ac:dyDescent="0.2">
      <c r="A309">
        <v>90282</v>
      </c>
      <c r="B309" t="s">
        <v>598</v>
      </c>
    </row>
    <row r="310" spans="1:2" x14ac:dyDescent="0.2">
      <c r="A310">
        <v>90781</v>
      </c>
      <c r="B310" t="s">
        <v>600</v>
      </c>
    </row>
    <row r="311" spans="1:2" x14ac:dyDescent="0.2">
      <c r="A311">
        <v>90996</v>
      </c>
      <c r="B311" t="s">
        <v>203</v>
      </c>
    </row>
    <row r="312" spans="1:2" x14ac:dyDescent="0.2">
      <c r="A312">
        <v>91494</v>
      </c>
      <c r="B312" t="s">
        <v>278</v>
      </c>
    </row>
    <row r="313" spans="1:2" x14ac:dyDescent="0.2">
      <c r="A313">
        <v>91494</v>
      </c>
      <c r="B313" t="s">
        <v>278</v>
      </c>
    </row>
    <row r="314" spans="1:2" x14ac:dyDescent="0.2">
      <c r="A314">
        <v>91494</v>
      </c>
      <c r="B314" t="s">
        <v>278</v>
      </c>
    </row>
    <row r="315" spans="1:2" x14ac:dyDescent="0.2">
      <c r="A315">
        <v>91494</v>
      </c>
      <c r="B315" t="s">
        <v>278</v>
      </c>
    </row>
    <row r="316" spans="1:2" x14ac:dyDescent="0.2">
      <c r="A316">
        <v>91963</v>
      </c>
      <c r="B316" t="s">
        <v>419</v>
      </c>
    </row>
    <row r="317" spans="1:2" x14ac:dyDescent="0.2">
      <c r="A317">
        <v>91963</v>
      </c>
      <c r="B317" t="s">
        <v>419</v>
      </c>
    </row>
    <row r="318" spans="1:2" x14ac:dyDescent="0.2">
      <c r="A318">
        <v>92493</v>
      </c>
      <c r="B318" t="s">
        <v>491</v>
      </c>
    </row>
    <row r="319" spans="1:2" x14ac:dyDescent="0.2">
      <c r="A319">
        <v>92761</v>
      </c>
      <c r="B319" t="s">
        <v>422</v>
      </c>
    </row>
    <row r="320" spans="1:2" x14ac:dyDescent="0.2">
      <c r="A320">
        <v>92761</v>
      </c>
      <c r="B320" t="s">
        <v>422</v>
      </c>
    </row>
    <row r="321" spans="1:2" x14ac:dyDescent="0.2">
      <c r="A321">
        <v>92762</v>
      </c>
      <c r="B321" t="s">
        <v>422</v>
      </c>
    </row>
    <row r="322" spans="1:2" x14ac:dyDescent="0.2">
      <c r="A322">
        <v>93166</v>
      </c>
      <c r="B322" t="s">
        <v>427</v>
      </c>
    </row>
    <row r="323" spans="1:2" x14ac:dyDescent="0.2">
      <c r="A323">
        <v>93166</v>
      </c>
      <c r="B323" t="s">
        <v>427</v>
      </c>
    </row>
    <row r="324" spans="1:2" x14ac:dyDescent="0.2">
      <c r="A324">
        <v>93465</v>
      </c>
      <c r="B324" t="s">
        <v>497</v>
      </c>
    </row>
    <row r="325" spans="1:2" x14ac:dyDescent="0.2">
      <c r="A325">
        <v>93466</v>
      </c>
      <c r="B325" t="s">
        <v>497</v>
      </c>
    </row>
    <row r="326" spans="1:2" x14ac:dyDescent="0.2">
      <c r="A326">
        <v>94621</v>
      </c>
      <c r="B326" t="s">
        <v>500</v>
      </c>
    </row>
    <row r="327" spans="1:2" x14ac:dyDescent="0.2">
      <c r="A327">
        <v>94621</v>
      </c>
      <c r="B327" t="s">
        <v>500</v>
      </c>
    </row>
    <row r="328" spans="1:2" x14ac:dyDescent="0.2">
      <c r="A328">
        <v>97203</v>
      </c>
      <c r="B328" t="s">
        <v>503</v>
      </c>
    </row>
    <row r="329" spans="1:2" x14ac:dyDescent="0.2">
      <c r="A329">
        <v>97203</v>
      </c>
      <c r="B329" t="s">
        <v>503</v>
      </c>
    </row>
    <row r="330" spans="1:2" x14ac:dyDescent="0.2">
      <c r="A330">
        <v>97536</v>
      </c>
      <c r="B330" t="s">
        <v>506</v>
      </c>
    </row>
    <row r="331" spans="1:2" x14ac:dyDescent="0.2">
      <c r="A331">
        <v>97926</v>
      </c>
      <c r="B331" t="s">
        <v>509</v>
      </c>
    </row>
  </sheetData>
  <conditionalFormatting sqref="A1:B331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9F680-B146-43C6-B7BC-EAC0097B6AA1}">
  <dimension ref="A1:B331"/>
  <sheetViews>
    <sheetView topLeftCell="A290" workbookViewId="0">
      <selection sqref="A1:A331"/>
    </sheetView>
  </sheetViews>
  <sheetFormatPr defaultRowHeight="12.75" x14ac:dyDescent="0.2"/>
  <cols>
    <col min="1" max="1" width="25" bestFit="1" customWidth="1"/>
  </cols>
  <sheetData>
    <row r="1" spans="1:2" x14ac:dyDescent="0.2">
      <c r="A1" t="s">
        <v>628</v>
      </c>
      <c r="B1" cm="1">
        <f t="array" ref="B1:B331">VLOOKUP(A1:A331,[1]Sheet2!$A$1:$B$188,2,FALSE)</f>
        <v>19396223</v>
      </c>
    </row>
    <row r="2" spans="1:2" x14ac:dyDescent="0.2">
      <c r="A2" t="s">
        <v>628</v>
      </c>
      <c r="B2">
        <v>19396223</v>
      </c>
    </row>
    <row r="3" spans="1:2" x14ac:dyDescent="0.2">
      <c r="A3" t="s">
        <v>629</v>
      </c>
      <c r="B3">
        <v>8244481</v>
      </c>
    </row>
    <row r="4" spans="1:2" x14ac:dyDescent="0.2">
      <c r="A4" t="s">
        <v>629</v>
      </c>
      <c r="B4">
        <v>8244481</v>
      </c>
    </row>
    <row r="5" spans="1:2" x14ac:dyDescent="0.2">
      <c r="A5" t="s">
        <v>630</v>
      </c>
      <c r="B5">
        <v>17425766</v>
      </c>
    </row>
    <row r="6" spans="1:2" x14ac:dyDescent="0.2">
      <c r="A6" t="s">
        <v>630</v>
      </c>
      <c r="B6">
        <v>17425766</v>
      </c>
    </row>
    <row r="7" spans="1:2" x14ac:dyDescent="0.2">
      <c r="A7" t="s">
        <v>630</v>
      </c>
      <c r="B7">
        <v>17425766</v>
      </c>
    </row>
    <row r="8" spans="1:2" x14ac:dyDescent="0.2">
      <c r="A8" t="s">
        <v>631</v>
      </c>
      <c r="B8">
        <v>21222981</v>
      </c>
    </row>
    <row r="9" spans="1:2" x14ac:dyDescent="0.2">
      <c r="A9" t="s">
        <v>632</v>
      </c>
      <c r="B9">
        <v>16849453</v>
      </c>
    </row>
    <row r="10" spans="1:2" x14ac:dyDescent="0.2">
      <c r="A10" t="s">
        <v>632</v>
      </c>
      <c r="B10">
        <v>16849453</v>
      </c>
    </row>
    <row r="11" spans="1:2" x14ac:dyDescent="0.2">
      <c r="A11" t="s">
        <v>632</v>
      </c>
      <c r="B11">
        <v>16849453</v>
      </c>
    </row>
    <row r="12" spans="1:2" x14ac:dyDescent="0.2">
      <c r="A12" t="s">
        <v>633</v>
      </c>
      <c r="B12">
        <v>7146581</v>
      </c>
    </row>
    <row r="13" spans="1:2" x14ac:dyDescent="0.2">
      <c r="A13" t="s">
        <v>634</v>
      </c>
      <c r="B13">
        <v>17528908</v>
      </c>
    </row>
    <row r="14" spans="1:2" x14ac:dyDescent="0.2">
      <c r="A14" t="s">
        <v>634</v>
      </c>
      <c r="B14">
        <v>17528908</v>
      </c>
    </row>
    <row r="15" spans="1:2" x14ac:dyDescent="0.2">
      <c r="A15" t="s">
        <v>634</v>
      </c>
      <c r="B15">
        <v>17528908</v>
      </c>
    </row>
    <row r="16" spans="1:2" x14ac:dyDescent="0.2">
      <c r="A16" t="s">
        <v>634</v>
      </c>
      <c r="B16">
        <v>17528908</v>
      </c>
    </row>
    <row r="17" spans="1:2" x14ac:dyDescent="0.2">
      <c r="A17" t="s">
        <v>634</v>
      </c>
      <c r="B17">
        <v>17528908</v>
      </c>
    </row>
    <row r="18" spans="1:2" x14ac:dyDescent="0.2">
      <c r="A18" t="s">
        <v>634</v>
      </c>
      <c r="B18">
        <v>17528908</v>
      </c>
    </row>
    <row r="19" spans="1:2" x14ac:dyDescent="0.2">
      <c r="A19" t="s">
        <v>634</v>
      </c>
      <c r="B19">
        <v>17528908</v>
      </c>
    </row>
    <row r="20" spans="1:2" x14ac:dyDescent="0.2">
      <c r="A20" t="s">
        <v>634</v>
      </c>
      <c r="B20">
        <v>17528908</v>
      </c>
    </row>
    <row r="21" spans="1:2" x14ac:dyDescent="0.2">
      <c r="A21" t="s">
        <v>634</v>
      </c>
      <c r="B21">
        <v>17528908</v>
      </c>
    </row>
    <row r="22" spans="1:2" x14ac:dyDescent="0.2">
      <c r="A22" t="s">
        <v>634</v>
      </c>
      <c r="B22">
        <v>17528908</v>
      </c>
    </row>
    <row r="23" spans="1:2" x14ac:dyDescent="0.2">
      <c r="A23" t="s">
        <v>634</v>
      </c>
      <c r="B23">
        <v>17528908</v>
      </c>
    </row>
    <row r="24" spans="1:2" x14ac:dyDescent="0.2">
      <c r="A24" t="s">
        <v>634</v>
      </c>
      <c r="B24">
        <v>17528908</v>
      </c>
    </row>
    <row r="25" spans="1:2" x14ac:dyDescent="0.2">
      <c r="A25" t="s">
        <v>634</v>
      </c>
      <c r="B25">
        <v>17528908</v>
      </c>
    </row>
    <row r="26" spans="1:2" x14ac:dyDescent="0.2">
      <c r="A26" t="s">
        <v>634</v>
      </c>
      <c r="B26">
        <v>17528908</v>
      </c>
    </row>
    <row r="27" spans="1:2" x14ac:dyDescent="0.2">
      <c r="A27" t="s">
        <v>634</v>
      </c>
      <c r="B27">
        <v>17528908</v>
      </c>
    </row>
    <row r="28" spans="1:2" x14ac:dyDescent="0.2">
      <c r="A28" t="s">
        <v>634</v>
      </c>
      <c r="B28">
        <v>17528908</v>
      </c>
    </row>
    <row r="29" spans="1:2" x14ac:dyDescent="0.2">
      <c r="A29" t="s">
        <v>635</v>
      </c>
      <c r="B29">
        <v>19279958</v>
      </c>
    </row>
    <row r="30" spans="1:2" x14ac:dyDescent="0.2">
      <c r="A30" t="s">
        <v>635</v>
      </c>
      <c r="B30">
        <v>19279958</v>
      </c>
    </row>
    <row r="31" spans="1:2" x14ac:dyDescent="0.2">
      <c r="A31" t="s">
        <v>635</v>
      </c>
      <c r="B31">
        <v>19279958</v>
      </c>
    </row>
    <row r="32" spans="1:2" x14ac:dyDescent="0.2">
      <c r="A32" t="s">
        <v>635</v>
      </c>
      <c r="B32">
        <v>19279958</v>
      </c>
    </row>
    <row r="33" spans="1:2" x14ac:dyDescent="0.2">
      <c r="A33" t="s">
        <v>635</v>
      </c>
      <c r="B33">
        <v>19279958</v>
      </c>
    </row>
    <row r="34" spans="1:2" x14ac:dyDescent="0.2">
      <c r="A34" t="s">
        <v>635</v>
      </c>
      <c r="B34">
        <v>19279958</v>
      </c>
    </row>
    <row r="35" spans="1:2" x14ac:dyDescent="0.2">
      <c r="A35" t="s">
        <v>636</v>
      </c>
      <c r="B35">
        <v>19278370</v>
      </c>
    </row>
    <row r="36" spans="1:2" x14ac:dyDescent="0.2">
      <c r="A36" t="s">
        <v>636</v>
      </c>
      <c r="B36">
        <v>19278370</v>
      </c>
    </row>
    <row r="37" spans="1:2" x14ac:dyDescent="0.2">
      <c r="A37" t="s">
        <v>637</v>
      </c>
      <c r="B37">
        <v>16202925</v>
      </c>
    </row>
    <row r="38" spans="1:2" x14ac:dyDescent="0.2">
      <c r="A38" t="s">
        <v>637</v>
      </c>
      <c r="B38">
        <v>16202925</v>
      </c>
    </row>
    <row r="39" spans="1:2" x14ac:dyDescent="0.2">
      <c r="A39" t="s">
        <v>637</v>
      </c>
      <c r="B39">
        <v>16202925</v>
      </c>
    </row>
    <row r="40" spans="1:2" x14ac:dyDescent="0.2">
      <c r="A40" t="s">
        <v>638</v>
      </c>
      <c r="B40">
        <v>17195620</v>
      </c>
    </row>
    <row r="41" spans="1:2" x14ac:dyDescent="0.2">
      <c r="A41" t="s">
        <v>638</v>
      </c>
      <c r="B41">
        <v>17195620</v>
      </c>
    </row>
    <row r="42" spans="1:2" x14ac:dyDescent="0.2">
      <c r="A42" t="s">
        <v>638</v>
      </c>
      <c r="B42">
        <v>17195620</v>
      </c>
    </row>
    <row r="43" spans="1:2" x14ac:dyDescent="0.2">
      <c r="A43" t="s">
        <v>639</v>
      </c>
      <c r="B43">
        <v>9254978</v>
      </c>
    </row>
    <row r="44" spans="1:2" x14ac:dyDescent="0.2">
      <c r="A44" t="s">
        <v>639</v>
      </c>
      <c r="B44">
        <v>9254978</v>
      </c>
    </row>
    <row r="45" spans="1:2" x14ac:dyDescent="0.2">
      <c r="A45" t="s">
        <v>639</v>
      </c>
      <c r="B45">
        <v>9254978</v>
      </c>
    </row>
    <row r="46" spans="1:2" x14ac:dyDescent="0.2">
      <c r="A46" t="s">
        <v>661</v>
      </c>
      <c r="B46">
        <v>20411454</v>
      </c>
    </row>
    <row r="47" spans="1:2" x14ac:dyDescent="0.2">
      <c r="A47" t="s">
        <v>661</v>
      </c>
      <c r="B47">
        <v>20411454</v>
      </c>
    </row>
    <row r="48" spans="1:2" x14ac:dyDescent="0.2">
      <c r="A48" t="s">
        <v>661</v>
      </c>
      <c r="B48">
        <v>20411454</v>
      </c>
    </row>
    <row r="49" spans="1:2" x14ac:dyDescent="0.2">
      <c r="A49" t="s">
        <v>661</v>
      </c>
      <c r="B49">
        <v>20411454</v>
      </c>
    </row>
    <row r="50" spans="1:2" x14ac:dyDescent="0.2">
      <c r="A50" t="s">
        <v>661</v>
      </c>
      <c r="B50">
        <v>20411454</v>
      </c>
    </row>
    <row r="51" spans="1:2" x14ac:dyDescent="0.2">
      <c r="A51" t="s">
        <v>661</v>
      </c>
      <c r="B51">
        <v>20411454</v>
      </c>
    </row>
    <row r="52" spans="1:2" x14ac:dyDescent="0.2">
      <c r="A52" t="s">
        <v>661</v>
      </c>
      <c r="B52">
        <v>20411454</v>
      </c>
    </row>
    <row r="53" spans="1:2" x14ac:dyDescent="0.2">
      <c r="A53" t="s">
        <v>661</v>
      </c>
      <c r="B53">
        <v>20411454</v>
      </c>
    </row>
    <row r="54" spans="1:2" x14ac:dyDescent="0.2">
      <c r="A54" t="s">
        <v>661</v>
      </c>
      <c r="B54">
        <v>20411454</v>
      </c>
    </row>
    <row r="55" spans="1:2" x14ac:dyDescent="0.2">
      <c r="A55" t="s">
        <v>661</v>
      </c>
      <c r="B55">
        <v>20411454</v>
      </c>
    </row>
    <row r="56" spans="1:2" x14ac:dyDescent="0.2">
      <c r="A56" t="s">
        <v>661</v>
      </c>
      <c r="B56">
        <v>20411454</v>
      </c>
    </row>
    <row r="57" spans="1:2" x14ac:dyDescent="0.2">
      <c r="A57" t="s">
        <v>661</v>
      </c>
      <c r="B57">
        <v>20411454</v>
      </c>
    </row>
    <row r="58" spans="1:2" x14ac:dyDescent="0.2">
      <c r="A58" t="s">
        <v>661</v>
      </c>
      <c r="B58">
        <v>20411454</v>
      </c>
    </row>
    <row r="59" spans="1:2" x14ac:dyDescent="0.2">
      <c r="A59" t="s">
        <v>640</v>
      </c>
      <c r="B59">
        <v>5442438</v>
      </c>
    </row>
    <row r="60" spans="1:2" x14ac:dyDescent="0.2">
      <c r="A60" t="s">
        <v>640</v>
      </c>
      <c r="B60">
        <v>5442438</v>
      </c>
    </row>
    <row r="61" spans="1:2" x14ac:dyDescent="0.2">
      <c r="A61" t="s">
        <v>640</v>
      </c>
      <c r="B61">
        <v>5442438</v>
      </c>
    </row>
    <row r="62" spans="1:2" x14ac:dyDescent="0.2">
      <c r="A62" t="s">
        <v>640</v>
      </c>
      <c r="B62">
        <v>5442438</v>
      </c>
    </row>
    <row r="63" spans="1:2" x14ac:dyDescent="0.2">
      <c r="A63" t="s">
        <v>640</v>
      </c>
      <c r="B63">
        <v>5442438</v>
      </c>
    </row>
    <row r="64" spans="1:2" x14ac:dyDescent="0.2">
      <c r="A64" t="s">
        <v>640</v>
      </c>
      <c r="B64">
        <v>5442438</v>
      </c>
    </row>
    <row r="65" spans="1:2" x14ac:dyDescent="0.2">
      <c r="A65" t="s">
        <v>640</v>
      </c>
      <c r="B65">
        <v>5442438</v>
      </c>
    </row>
    <row r="66" spans="1:2" x14ac:dyDescent="0.2">
      <c r="A66" t="s">
        <v>640</v>
      </c>
      <c r="B66">
        <v>5442438</v>
      </c>
    </row>
    <row r="67" spans="1:2" x14ac:dyDescent="0.2">
      <c r="A67" t="s">
        <v>640</v>
      </c>
      <c r="B67">
        <v>5442438</v>
      </c>
    </row>
    <row r="68" spans="1:2" x14ac:dyDescent="0.2">
      <c r="A68" t="s">
        <v>640</v>
      </c>
      <c r="B68">
        <v>5442438</v>
      </c>
    </row>
    <row r="69" spans="1:2" x14ac:dyDescent="0.2">
      <c r="A69" t="s">
        <v>640</v>
      </c>
      <c r="B69">
        <v>5442438</v>
      </c>
    </row>
    <row r="70" spans="1:2" x14ac:dyDescent="0.2">
      <c r="A70" t="s">
        <v>640</v>
      </c>
      <c r="B70">
        <v>5442438</v>
      </c>
    </row>
    <row r="71" spans="1:2" x14ac:dyDescent="0.2">
      <c r="A71" t="s">
        <v>640</v>
      </c>
      <c r="B71">
        <v>5442438</v>
      </c>
    </row>
    <row r="72" spans="1:2" x14ac:dyDescent="0.2">
      <c r="A72" t="s">
        <v>640</v>
      </c>
      <c r="B72">
        <v>5442438</v>
      </c>
    </row>
    <row r="73" spans="1:2" x14ac:dyDescent="0.2">
      <c r="A73" t="s">
        <v>641</v>
      </c>
      <c r="B73">
        <v>18710070</v>
      </c>
    </row>
    <row r="74" spans="1:2" x14ac:dyDescent="0.2">
      <c r="A74" t="s">
        <v>641</v>
      </c>
      <c r="B74">
        <v>18710070</v>
      </c>
    </row>
    <row r="75" spans="1:2" x14ac:dyDescent="0.2">
      <c r="A75" t="s">
        <v>642</v>
      </c>
      <c r="B75">
        <v>17554531</v>
      </c>
    </row>
    <row r="76" spans="1:2" x14ac:dyDescent="0.2">
      <c r="A76" t="s">
        <v>642</v>
      </c>
      <c r="B76">
        <v>17554531</v>
      </c>
    </row>
    <row r="77" spans="1:2" x14ac:dyDescent="0.2">
      <c r="A77" t="s">
        <v>642</v>
      </c>
      <c r="B77">
        <v>17554531</v>
      </c>
    </row>
    <row r="78" spans="1:2" x14ac:dyDescent="0.2">
      <c r="A78" t="s">
        <v>642</v>
      </c>
      <c r="B78">
        <v>17554531</v>
      </c>
    </row>
    <row r="79" spans="1:2" x14ac:dyDescent="0.2">
      <c r="A79" t="s">
        <v>642</v>
      </c>
      <c r="B79">
        <v>17554531</v>
      </c>
    </row>
    <row r="80" spans="1:2" x14ac:dyDescent="0.2">
      <c r="A80" t="s">
        <v>642</v>
      </c>
      <c r="B80">
        <v>17554531</v>
      </c>
    </row>
    <row r="81" spans="1:2" x14ac:dyDescent="0.2">
      <c r="A81" t="s">
        <v>642</v>
      </c>
      <c r="B81">
        <v>17554531</v>
      </c>
    </row>
    <row r="82" spans="1:2" x14ac:dyDescent="0.2">
      <c r="A82" t="s">
        <v>642</v>
      </c>
      <c r="B82">
        <v>17554531</v>
      </c>
    </row>
    <row r="83" spans="1:2" x14ac:dyDescent="0.2">
      <c r="A83" t="s">
        <v>642</v>
      </c>
      <c r="B83">
        <v>17554531</v>
      </c>
    </row>
    <row r="84" spans="1:2" x14ac:dyDescent="0.2">
      <c r="A84" t="s">
        <v>642</v>
      </c>
      <c r="B84">
        <v>17554531</v>
      </c>
    </row>
    <row r="85" spans="1:2" x14ac:dyDescent="0.2">
      <c r="A85" t="s">
        <v>642</v>
      </c>
      <c r="B85">
        <v>17554531</v>
      </c>
    </row>
    <row r="86" spans="1:2" x14ac:dyDescent="0.2">
      <c r="A86" t="s">
        <v>642</v>
      </c>
      <c r="B86">
        <v>17554531</v>
      </c>
    </row>
    <row r="87" spans="1:2" x14ac:dyDescent="0.2">
      <c r="A87" t="s">
        <v>642</v>
      </c>
      <c r="B87">
        <v>17554531</v>
      </c>
    </row>
    <row r="88" spans="1:2" x14ac:dyDescent="0.2">
      <c r="A88" t="s">
        <v>642</v>
      </c>
      <c r="B88">
        <v>17554531</v>
      </c>
    </row>
    <row r="89" spans="1:2" x14ac:dyDescent="0.2">
      <c r="A89" t="s">
        <v>643</v>
      </c>
      <c r="B89">
        <v>371819</v>
      </c>
    </row>
    <row r="90" spans="1:2" x14ac:dyDescent="0.2">
      <c r="A90" t="s">
        <v>644</v>
      </c>
      <c r="B90">
        <v>9213293</v>
      </c>
    </row>
    <row r="91" spans="1:2" x14ac:dyDescent="0.2">
      <c r="A91" t="s">
        <v>644</v>
      </c>
      <c r="B91">
        <v>9213293</v>
      </c>
    </row>
    <row r="92" spans="1:2" x14ac:dyDescent="0.2">
      <c r="A92" t="s">
        <v>644</v>
      </c>
      <c r="B92">
        <v>9213293</v>
      </c>
    </row>
    <row r="93" spans="1:2" x14ac:dyDescent="0.2">
      <c r="A93" t="s">
        <v>644</v>
      </c>
      <c r="B93">
        <v>9213293</v>
      </c>
    </row>
    <row r="94" spans="1:2" x14ac:dyDescent="0.2">
      <c r="A94" t="s">
        <v>644</v>
      </c>
      <c r="B94">
        <v>9213293</v>
      </c>
    </row>
    <row r="95" spans="1:2" x14ac:dyDescent="0.2">
      <c r="A95" t="s">
        <v>644</v>
      </c>
      <c r="B95">
        <v>9213293</v>
      </c>
    </row>
    <row r="96" spans="1:2" x14ac:dyDescent="0.2">
      <c r="A96" t="s">
        <v>644</v>
      </c>
      <c r="B96">
        <v>9213293</v>
      </c>
    </row>
    <row r="97" spans="1:2" x14ac:dyDescent="0.2">
      <c r="A97" t="s">
        <v>644</v>
      </c>
      <c r="B97">
        <v>9213293</v>
      </c>
    </row>
    <row r="98" spans="1:2" x14ac:dyDescent="0.2">
      <c r="A98" t="s">
        <v>644</v>
      </c>
      <c r="B98">
        <v>9213293</v>
      </c>
    </row>
    <row r="99" spans="1:2" x14ac:dyDescent="0.2">
      <c r="A99" t="s">
        <v>644</v>
      </c>
      <c r="B99">
        <v>9213293</v>
      </c>
    </row>
    <row r="100" spans="1:2" x14ac:dyDescent="0.2">
      <c r="A100" t="s">
        <v>644</v>
      </c>
      <c r="B100">
        <v>9213293</v>
      </c>
    </row>
    <row r="101" spans="1:2" x14ac:dyDescent="0.2">
      <c r="A101" t="s">
        <v>645</v>
      </c>
      <c r="B101">
        <v>19645587</v>
      </c>
    </row>
    <row r="102" spans="1:2" x14ac:dyDescent="0.2">
      <c r="A102" t="s">
        <v>645</v>
      </c>
      <c r="B102">
        <v>19645587</v>
      </c>
    </row>
    <row r="103" spans="1:2" x14ac:dyDescent="0.2">
      <c r="A103" t="s">
        <v>646</v>
      </c>
      <c r="B103">
        <v>9079571</v>
      </c>
    </row>
    <row r="104" spans="1:2" x14ac:dyDescent="0.2">
      <c r="A104" t="s">
        <v>646</v>
      </c>
      <c r="B104">
        <v>9079571</v>
      </c>
    </row>
    <row r="105" spans="1:2" x14ac:dyDescent="0.2">
      <c r="A105" t="s">
        <v>646</v>
      </c>
      <c r="B105">
        <v>9079571</v>
      </c>
    </row>
    <row r="106" spans="1:2" x14ac:dyDescent="0.2">
      <c r="A106" t="s">
        <v>646</v>
      </c>
      <c r="B106">
        <v>9079571</v>
      </c>
    </row>
    <row r="107" spans="1:2" x14ac:dyDescent="0.2">
      <c r="A107" t="s">
        <v>646</v>
      </c>
      <c r="B107">
        <v>9079571</v>
      </c>
    </row>
    <row r="108" spans="1:2" x14ac:dyDescent="0.2">
      <c r="A108" t="s">
        <v>646</v>
      </c>
      <c r="B108">
        <v>9079571</v>
      </c>
    </row>
    <row r="109" spans="1:2" x14ac:dyDescent="0.2">
      <c r="A109" t="s">
        <v>646</v>
      </c>
      <c r="B109">
        <v>9079571</v>
      </c>
    </row>
    <row r="110" spans="1:2" x14ac:dyDescent="0.2">
      <c r="A110" t="s">
        <v>646</v>
      </c>
      <c r="B110">
        <v>9079571</v>
      </c>
    </row>
    <row r="111" spans="1:2" x14ac:dyDescent="0.2">
      <c r="A111" t="s">
        <v>646</v>
      </c>
      <c r="B111">
        <v>9079571</v>
      </c>
    </row>
    <row r="112" spans="1:2" x14ac:dyDescent="0.2">
      <c r="A112" t="s">
        <v>646</v>
      </c>
      <c r="B112">
        <v>9079571</v>
      </c>
    </row>
    <row r="113" spans="1:2" x14ac:dyDescent="0.2">
      <c r="A113" t="s">
        <v>646</v>
      </c>
      <c r="B113">
        <v>9079571</v>
      </c>
    </row>
    <row r="114" spans="1:2" x14ac:dyDescent="0.2">
      <c r="A114" t="s">
        <v>646</v>
      </c>
      <c r="B114">
        <v>9079571</v>
      </c>
    </row>
    <row r="115" spans="1:2" x14ac:dyDescent="0.2">
      <c r="A115" t="s">
        <v>646</v>
      </c>
      <c r="B115">
        <v>9079571</v>
      </c>
    </row>
    <row r="116" spans="1:2" x14ac:dyDescent="0.2">
      <c r="A116" t="s">
        <v>646</v>
      </c>
      <c r="B116">
        <v>9079571</v>
      </c>
    </row>
    <row r="117" spans="1:2" x14ac:dyDescent="0.2">
      <c r="A117" t="s">
        <v>646</v>
      </c>
      <c r="B117">
        <v>9079571</v>
      </c>
    </row>
    <row r="118" spans="1:2" x14ac:dyDescent="0.2">
      <c r="A118" t="s">
        <v>646</v>
      </c>
      <c r="B118">
        <v>9079571</v>
      </c>
    </row>
    <row r="119" spans="1:2" x14ac:dyDescent="0.2">
      <c r="A119" t="s">
        <v>646</v>
      </c>
      <c r="B119">
        <v>9079571</v>
      </c>
    </row>
    <row r="120" spans="1:2" x14ac:dyDescent="0.2">
      <c r="A120" t="s">
        <v>646</v>
      </c>
      <c r="B120">
        <v>9079571</v>
      </c>
    </row>
    <row r="121" spans="1:2" x14ac:dyDescent="0.2">
      <c r="A121" t="s">
        <v>646</v>
      </c>
      <c r="B121">
        <v>9079571</v>
      </c>
    </row>
    <row r="122" spans="1:2" x14ac:dyDescent="0.2">
      <c r="A122" t="s">
        <v>646</v>
      </c>
      <c r="B122">
        <v>9079571</v>
      </c>
    </row>
    <row r="123" spans="1:2" x14ac:dyDescent="0.2">
      <c r="A123" t="s">
        <v>647</v>
      </c>
      <c r="B123">
        <v>18201929</v>
      </c>
    </row>
    <row r="124" spans="1:2" x14ac:dyDescent="0.2">
      <c r="A124" t="s">
        <v>647</v>
      </c>
      <c r="B124">
        <v>18201929</v>
      </c>
    </row>
    <row r="125" spans="1:2" x14ac:dyDescent="0.2">
      <c r="A125" t="s">
        <v>647</v>
      </c>
      <c r="B125">
        <v>18201929</v>
      </c>
    </row>
    <row r="126" spans="1:2" x14ac:dyDescent="0.2">
      <c r="A126" t="s">
        <v>647</v>
      </c>
      <c r="B126">
        <v>18201929</v>
      </c>
    </row>
    <row r="127" spans="1:2" x14ac:dyDescent="0.2">
      <c r="A127" t="s">
        <v>647</v>
      </c>
      <c r="B127">
        <v>18201929</v>
      </c>
    </row>
    <row r="128" spans="1:2" x14ac:dyDescent="0.2">
      <c r="A128" t="s">
        <v>648</v>
      </c>
      <c r="B128">
        <v>20253958</v>
      </c>
    </row>
    <row r="129" spans="1:2" x14ac:dyDescent="0.2">
      <c r="A129" t="s">
        <v>648</v>
      </c>
      <c r="B129">
        <v>20253958</v>
      </c>
    </row>
    <row r="130" spans="1:2" x14ac:dyDescent="0.2">
      <c r="A130" t="s">
        <v>649</v>
      </c>
      <c r="B130">
        <v>16212649</v>
      </c>
    </row>
    <row r="131" spans="1:2" x14ac:dyDescent="0.2">
      <c r="A131" t="s">
        <v>650</v>
      </c>
      <c r="B131">
        <v>19681796</v>
      </c>
    </row>
    <row r="132" spans="1:2" x14ac:dyDescent="0.2">
      <c r="A132" t="s">
        <v>650</v>
      </c>
      <c r="B132">
        <v>19681796</v>
      </c>
    </row>
    <row r="133" spans="1:2" x14ac:dyDescent="0.2">
      <c r="A133" t="s">
        <v>651</v>
      </c>
      <c r="B133">
        <v>8325282</v>
      </c>
    </row>
    <row r="134" spans="1:2" x14ac:dyDescent="0.2">
      <c r="A134" t="s">
        <v>661</v>
      </c>
      <c r="B134">
        <v>20411454</v>
      </c>
    </row>
    <row r="135" spans="1:2" x14ac:dyDescent="0.2">
      <c r="A135" t="s">
        <v>661</v>
      </c>
      <c r="B135">
        <v>20411454</v>
      </c>
    </row>
    <row r="136" spans="1:2" x14ac:dyDescent="0.2">
      <c r="A136" t="s">
        <v>661</v>
      </c>
      <c r="B136">
        <v>20411454</v>
      </c>
    </row>
    <row r="137" spans="1:2" x14ac:dyDescent="0.2">
      <c r="A137" t="s">
        <v>661</v>
      </c>
      <c r="B137">
        <v>20411454</v>
      </c>
    </row>
    <row r="138" spans="1:2" x14ac:dyDescent="0.2">
      <c r="A138" t="s">
        <v>661</v>
      </c>
      <c r="B138">
        <v>20411454</v>
      </c>
    </row>
    <row r="139" spans="1:2" x14ac:dyDescent="0.2">
      <c r="A139" t="s">
        <v>661</v>
      </c>
      <c r="B139">
        <v>20411454</v>
      </c>
    </row>
    <row r="140" spans="1:2" x14ac:dyDescent="0.2">
      <c r="A140" t="s">
        <v>661</v>
      </c>
      <c r="B140">
        <v>20411454</v>
      </c>
    </row>
    <row r="141" spans="1:2" x14ac:dyDescent="0.2">
      <c r="A141" t="s">
        <v>661</v>
      </c>
      <c r="B141">
        <v>20411454</v>
      </c>
    </row>
    <row r="142" spans="1:2" x14ac:dyDescent="0.2">
      <c r="A142" t="s">
        <v>661</v>
      </c>
      <c r="B142">
        <v>20411454</v>
      </c>
    </row>
    <row r="143" spans="1:2" x14ac:dyDescent="0.2">
      <c r="A143" t="s">
        <v>661</v>
      </c>
      <c r="B143">
        <v>20411454</v>
      </c>
    </row>
    <row r="144" spans="1:2" x14ac:dyDescent="0.2">
      <c r="A144" t="s">
        <v>661</v>
      </c>
      <c r="B144">
        <v>20411454</v>
      </c>
    </row>
    <row r="145" spans="1:2" x14ac:dyDescent="0.2">
      <c r="A145" t="s">
        <v>652</v>
      </c>
      <c r="B145">
        <v>8971826</v>
      </c>
    </row>
    <row r="146" spans="1:2" x14ac:dyDescent="0.2">
      <c r="A146" t="s">
        <v>652</v>
      </c>
      <c r="B146">
        <v>8971826</v>
      </c>
    </row>
    <row r="147" spans="1:2" x14ac:dyDescent="0.2">
      <c r="A147" t="s">
        <v>633</v>
      </c>
      <c r="B147">
        <v>7146581</v>
      </c>
    </row>
    <row r="148" spans="1:2" x14ac:dyDescent="0.2">
      <c r="A148" t="s">
        <v>633</v>
      </c>
      <c r="B148">
        <v>7146581</v>
      </c>
    </row>
    <row r="149" spans="1:2" x14ac:dyDescent="0.2">
      <c r="A149" t="s">
        <v>633</v>
      </c>
      <c r="B149">
        <v>7146581</v>
      </c>
    </row>
    <row r="150" spans="1:2" x14ac:dyDescent="0.2">
      <c r="A150" t="s">
        <v>634</v>
      </c>
      <c r="B150">
        <v>17528908</v>
      </c>
    </row>
    <row r="151" spans="1:2" x14ac:dyDescent="0.2">
      <c r="A151" t="s">
        <v>634</v>
      </c>
      <c r="B151">
        <v>17528908</v>
      </c>
    </row>
    <row r="152" spans="1:2" x14ac:dyDescent="0.2">
      <c r="A152" t="s">
        <v>634</v>
      </c>
      <c r="B152">
        <v>17528908</v>
      </c>
    </row>
    <row r="153" spans="1:2" x14ac:dyDescent="0.2">
      <c r="A153" t="s">
        <v>640</v>
      </c>
      <c r="B153">
        <v>5442438</v>
      </c>
    </row>
    <row r="154" spans="1:2" x14ac:dyDescent="0.2">
      <c r="A154" t="s">
        <v>640</v>
      </c>
      <c r="B154">
        <v>5442438</v>
      </c>
    </row>
    <row r="155" spans="1:2" x14ac:dyDescent="0.2">
      <c r="A155" t="s">
        <v>640</v>
      </c>
      <c r="B155">
        <v>5442438</v>
      </c>
    </row>
    <row r="156" spans="1:2" x14ac:dyDescent="0.2">
      <c r="A156" t="s">
        <v>640</v>
      </c>
      <c r="B156">
        <v>5442438</v>
      </c>
    </row>
    <row r="157" spans="1:2" x14ac:dyDescent="0.2">
      <c r="A157" t="s">
        <v>640</v>
      </c>
      <c r="B157">
        <v>5442438</v>
      </c>
    </row>
    <row r="158" spans="1:2" x14ac:dyDescent="0.2">
      <c r="A158" t="s">
        <v>646</v>
      </c>
      <c r="B158">
        <v>9079571</v>
      </c>
    </row>
    <row r="159" spans="1:2" x14ac:dyDescent="0.2">
      <c r="A159" t="s">
        <v>646</v>
      </c>
      <c r="B159">
        <v>9079571</v>
      </c>
    </row>
    <row r="160" spans="1:2" x14ac:dyDescent="0.2">
      <c r="A160" t="s">
        <v>646</v>
      </c>
      <c r="B160">
        <v>9079571</v>
      </c>
    </row>
    <row r="161" spans="1:2" x14ac:dyDescent="0.2">
      <c r="A161" t="s">
        <v>646</v>
      </c>
      <c r="B161">
        <v>9079571</v>
      </c>
    </row>
    <row r="162" spans="1:2" x14ac:dyDescent="0.2">
      <c r="A162" t="s">
        <v>646</v>
      </c>
      <c r="B162">
        <v>9079571</v>
      </c>
    </row>
    <row r="163" spans="1:2" x14ac:dyDescent="0.2">
      <c r="A163" t="s">
        <v>646</v>
      </c>
      <c r="B163">
        <v>9079571</v>
      </c>
    </row>
    <row r="164" spans="1:2" x14ac:dyDescent="0.2">
      <c r="A164" t="s">
        <v>653</v>
      </c>
      <c r="B164">
        <v>18754354</v>
      </c>
    </row>
    <row r="165" spans="1:2" x14ac:dyDescent="0.2">
      <c r="A165" t="s">
        <v>654</v>
      </c>
      <c r="B165">
        <v>16633294</v>
      </c>
    </row>
    <row r="166" spans="1:2" x14ac:dyDescent="0.2">
      <c r="A166" t="s">
        <v>655</v>
      </c>
      <c r="B166">
        <v>8977234</v>
      </c>
    </row>
    <row r="167" spans="1:2" x14ac:dyDescent="0.2">
      <c r="A167" t="s">
        <v>630</v>
      </c>
      <c r="B167">
        <v>17425766</v>
      </c>
    </row>
    <row r="168" spans="1:2" x14ac:dyDescent="0.2">
      <c r="A168" t="s">
        <v>630</v>
      </c>
      <c r="B168">
        <v>17425766</v>
      </c>
    </row>
    <row r="169" spans="1:2" x14ac:dyDescent="0.2">
      <c r="A169" t="s">
        <v>630</v>
      </c>
      <c r="B169">
        <v>17425766</v>
      </c>
    </row>
    <row r="170" spans="1:2" x14ac:dyDescent="0.2">
      <c r="A170" t="s">
        <v>630</v>
      </c>
      <c r="B170">
        <v>17425766</v>
      </c>
    </row>
    <row r="171" spans="1:2" x14ac:dyDescent="0.2">
      <c r="A171" t="s">
        <v>630</v>
      </c>
      <c r="B171">
        <v>17425766</v>
      </c>
    </row>
    <row r="172" spans="1:2" x14ac:dyDescent="0.2">
      <c r="A172" t="s">
        <v>633</v>
      </c>
      <c r="B172">
        <v>7146581</v>
      </c>
    </row>
    <row r="173" spans="1:2" x14ac:dyDescent="0.2">
      <c r="A173" t="s">
        <v>633</v>
      </c>
      <c r="B173">
        <v>7146581</v>
      </c>
    </row>
    <row r="174" spans="1:2" x14ac:dyDescent="0.2">
      <c r="A174" t="s">
        <v>633</v>
      </c>
      <c r="B174">
        <v>7146581</v>
      </c>
    </row>
    <row r="175" spans="1:2" x14ac:dyDescent="0.2">
      <c r="A175" t="s">
        <v>634</v>
      </c>
      <c r="B175">
        <v>17528908</v>
      </c>
    </row>
    <row r="176" spans="1:2" x14ac:dyDescent="0.2">
      <c r="A176" t="s">
        <v>634</v>
      </c>
      <c r="B176">
        <v>17528908</v>
      </c>
    </row>
    <row r="177" spans="1:2" x14ac:dyDescent="0.2">
      <c r="A177" t="s">
        <v>634</v>
      </c>
      <c r="B177">
        <v>17528908</v>
      </c>
    </row>
    <row r="178" spans="1:2" x14ac:dyDescent="0.2">
      <c r="A178" t="s">
        <v>634</v>
      </c>
      <c r="B178">
        <v>17528908</v>
      </c>
    </row>
    <row r="179" spans="1:2" x14ac:dyDescent="0.2">
      <c r="A179" t="s">
        <v>634</v>
      </c>
      <c r="B179">
        <v>17528908</v>
      </c>
    </row>
    <row r="180" spans="1:2" x14ac:dyDescent="0.2">
      <c r="A180" t="s">
        <v>634</v>
      </c>
      <c r="B180">
        <v>17528908</v>
      </c>
    </row>
    <row r="181" spans="1:2" x14ac:dyDescent="0.2">
      <c r="A181" t="s">
        <v>636</v>
      </c>
      <c r="B181">
        <v>19278370</v>
      </c>
    </row>
    <row r="182" spans="1:2" x14ac:dyDescent="0.2">
      <c r="A182" t="s">
        <v>643</v>
      </c>
      <c r="B182">
        <v>371819</v>
      </c>
    </row>
    <row r="183" spans="1:2" x14ac:dyDescent="0.2">
      <c r="A183" t="s">
        <v>643</v>
      </c>
      <c r="B183">
        <v>371819</v>
      </c>
    </row>
    <row r="184" spans="1:2" x14ac:dyDescent="0.2">
      <c r="A184" t="s">
        <v>651</v>
      </c>
      <c r="B184">
        <v>8325282</v>
      </c>
    </row>
    <row r="185" spans="1:2" x14ac:dyDescent="0.2">
      <c r="A185" t="s">
        <v>661</v>
      </c>
      <c r="B185">
        <v>20411454</v>
      </c>
    </row>
    <row r="186" spans="1:2" x14ac:dyDescent="0.2">
      <c r="A186" t="s">
        <v>661</v>
      </c>
      <c r="B186">
        <v>20411454</v>
      </c>
    </row>
    <row r="187" spans="1:2" x14ac:dyDescent="0.2">
      <c r="A187" t="s">
        <v>652</v>
      </c>
      <c r="B187">
        <v>8971826</v>
      </c>
    </row>
    <row r="188" spans="1:2" x14ac:dyDescent="0.2">
      <c r="A188" t="s">
        <v>656</v>
      </c>
      <c r="B188">
        <v>16865615</v>
      </c>
    </row>
    <row r="189" spans="1:2" x14ac:dyDescent="0.2">
      <c r="A189" t="s">
        <v>633</v>
      </c>
      <c r="B189">
        <v>7146581</v>
      </c>
    </row>
    <row r="190" spans="1:2" x14ac:dyDescent="0.2">
      <c r="A190" t="s">
        <v>634</v>
      </c>
      <c r="B190">
        <v>17528908</v>
      </c>
    </row>
    <row r="191" spans="1:2" x14ac:dyDescent="0.2">
      <c r="A191" t="s">
        <v>634</v>
      </c>
      <c r="B191">
        <v>17528908</v>
      </c>
    </row>
    <row r="192" spans="1:2" x14ac:dyDescent="0.2">
      <c r="A192" t="s">
        <v>634</v>
      </c>
      <c r="B192">
        <v>17528908</v>
      </c>
    </row>
    <row r="193" spans="1:2" x14ac:dyDescent="0.2">
      <c r="A193" t="s">
        <v>637</v>
      </c>
      <c r="B193">
        <v>16202925</v>
      </c>
    </row>
    <row r="194" spans="1:2" x14ac:dyDescent="0.2">
      <c r="A194" t="s">
        <v>640</v>
      </c>
      <c r="B194">
        <v>5442438</v>
      </c>
    </row>
    <row r="195" spans="1:2" x14ac:dyDescent="0.2">
      <c r="A195" t="s">
        <v>640</v>
      </c>
      <c r="B195">
        <v>5442438</v>
      </c>
    </row>
    <row r="196" spans="1:2" x14ac:dyDescent="0.2">
      <c r="A196" t="s">
        <v>640</v>
      </c>
      <c r="B196">
        <v>5442438</v>
      </c>
    </row>
    <row r="197" spans="1:2" x14ac:dyDescent="0.2">
      <c r="A197" t="s">
        <v>640</v>
      </c>
      <c r="B197">
        <v>5442438</v>
      </c>
    </row>
    <row r="198" spans="1:2" x14ac:dyDescent="0.2">
      <c r="A198" t="s">
        <v>640</v>
      </c>
      <c r="B198">
        <v>5442438</v>
      </c>
    </row>
    <row r="199" spans="1:2" x14ac:dyDescent="0.2">
      <c r="A199" t="s">
        <v>640</v>
      </c>
      <c r="B199">
        <v>5442438</v>
      </c>
    </row>
    <row r="200" spans="1:2" x14ac:dyDescent="0.2">
      <c r="A200" t="s">
        <v>640</v>
      </c>
      <c r="B200">
        <v>5442438</v>
      </c>
    </row>
    <row r="201" spans="1:2" x14ac:dyDescent="0.2">
      <c r="A201" t="s">
        <v>646</v>
      </c>
      <c r="B201">
        <v>9079571</v>
      </c>
    </row>
    <row r="202" spans="1:2" x14ac:dyDescent="0.2">
      <c r="A202" t="s">
        <v>646</v>
      </c>
      <c r="B202">
        <v>9079571</v>
      </c>
    </row>
    <row r="203" spans="1:2" x14ac:dyDescent="0.2">
      <c r="A203" t="s">
        <v>646</v>
      </c>
      <c r="B203">
        <v>9079571</v>
      </c>
    </row>
    <row r="204" spans="1:2" x14ac:dyDescent="0.2">
      <c r="A204" t="s">
        <v>646</v>
      </c>
      <c r="B204">
        <v>9079571</v>
      </c>
    </row>
    <row r="205" spans="1:2" x14ac:dyDescent="0.2">
      <c r="A205" t="s">
        <v>646</v>
      </c>
      <c r="B205">
        <v>9079571</v>
      </c>
    </row>
    <row r="206" spans="1:2" x14ac:dyDescent="0.2">
      <c r="A206" t="s">
        <v>646</v>
      </c>
      <c r="B206">
        <v>9079571</v>
      </c>
    </row>
    <row r="207" spans="1:2" x14ac:dyDescent="0.2">
      <c r="A207" t="s">
        <v>650</v>
      </c>
      <c r="B207">
        <v>19681796</v>
      </c>
    </row>
    <row r="208" spans="1:2" x14ac:dyDescent="0.2">
      <c r="A208" t="s">
        <v>653</v>
      </c>
      <c r="B208">
        <v>18754354</v>
      </c>
    </row>
    <row r="209" spans="1:2" x14ac:dyDescent="0.2">
      <c r="A209" t="s">
        <v>661</v>
      </c>
      <c r="B209">
        <v>20411454</v>
      </c>
    </row>
    <row r="210" spans="1:2" x14ac:dyDescent="0.2">
      <c r="A210" t="s">
        <v>661</v>
      </c>
      <c r="B210">
        <v>20411454</v>
      </c>
    </row>
    <row r="211" spans="1:2" x14ac:dyDescent="0.2">
      <c r="A211" t="s">
        <v>661</v>
      </c>
      <c r="B211">
        <v>20411454</v>
      </c>
    </row>
    <row r="212" spans="1:2" x14ac:dyDescent="0.2">
      <c r="A212" t="s">
        <v>657</v>
      </c>
      <c r="B212">
        <v>17126004</v>
      </c>
    </row>
    <row r="213" spans="1:2" x14ac:dyDescent="0.2">
      <c r="A213" t="s">
        <v>657</v>
      </c>
      <c r="B213">
        <v>17126004</v>
      </c>
    </row>
    <row r="214" spans="1:2" x14ac:dyDescent="0.2">
      <c r="A214" t="s">
        <v>630</v>
      </c>
      <c r="B214">
        <v>17425766</v>
      </c>
    </row>
    <row r="215" spans="1:2" x14ac:dyDescent="0.2">
      <c r="A215" t="s">
        <v>630</v>
      </c>
      <c r="B215">
        <v>17425766</v>
      </c>
    </row>
    <row r="216" spans="1:2" x14ac:dyDescent="0.2">
      <c r="A216" t="s">
        <v>636</v>
      </c>
      <c r="B216">
        <v>19278370</v>
      </c>
    </row>
    <row r="217" spans="1:2" x14ac:dyDescent="0.2">
      <c r="A217" t="s">
        <v>636</v>
      </c>
      <c r="B217">
        <v>19278370</v>
      </c>
    </row>
    <row r="218" spans="1:2" x14ac:dyDescent="0.2">
      <c r="A218" t="s">
        <v>640</v>
      </c>
      <c r="B218">
        <v>5442438</v>
      </c>
    </row>
    <row r="219" spans="1:2" x14ac:dyDescent="0.2">
      <c r="A219" t="s">
        <v>640</v>
      </c>
      <c r="B219">
        <v>5442438</v>
      </c>
    </row>
    <row r="220" spans="1:2" x14ac:dyDescent="0.2">
      <c r="A220" t="s">
        <v>640</v>
      </c>
      <c r="B220">
        <v>5442438</v>
      </c>
    </row>
    <row r="221" spans="1:2" x14ac:dyDescent="0.2">
      <c r="A221" t="s">
        <v>640</v>
      </c>
      <c r="B221">
        <v>5442438</v>
      </c>
    </row>
    <row r="222" spans="1:2" x14ac:dyDescent="0.2">
      <c r="A222" t="s">
        <v>644</v>
      </c>
      <c r="B222">
        <v>9213293</v>
      </c>
    </row>
    <row r="223" spans="1:2" x14ac:dyDescent="0.2">
      <c r="A223" t="s">
        <v>644</v>
      </c>
      <c r="B223">
        <v>9213293</v>
      </c>
    </row>
    <row r="224" spans="1:2" x14ac:dyDescent="0.2">
      <c r="A224" t="s">
        <v>646</v>
      </c>
      <c r="B224">
        <v>9079571</v>
      </c>
    </row>
    <row r="225" spans="1:2" x14ac:dyDescent="0.2">
      <c r="A225" t="s">
        <v>646</v>
      </c>
      <c r="B225">
        <v>9079571</v>
      </c>
    </row>
    <row r="226" spans="1:2" x14ac:dyDescent="0.2">
      <c r="A226" t="s">
        <v>661</v>
      </c>
      <c r="B226">
        <v>20411454</v>
      </c>
    </row>
    <row r="227" spans="1:2" x14ac:dyDescent="0.2">
      <c r="A227" t="s">
        <v>661</v>
      </c>
      <c r="B227">
        <v>20411454</v>
      </c>
    </row>
    <row r="228" spans="1:2" x14ac:dyDescent="0.2">
      <c r="A228" t="s">
        <v>636</v>
      </c>
      <c r="B228">
        <v>19278370</v>
      </c>
    </row>
    <row r="229" spans="1:2" x14ac:dyDescent="0.2">
      <c r="A229" t="s">
        <v>636</v>
      </c>
      <c r="B229">
        <v>19278370</v>
      </c>
    </row>
    <row r="230" spans="1:2" x14ac:dyDescent="0.2">
      <c r="A230" t="s">
        <v>640</v>
      </c>
      <c r="B230">
        <v>5442438</v>
      </c>
    </row>
    <row r="231" spans="1:2" x14ac:dyDescent="0.2">
      <c r="A231" t="s">
        <v>644</v>
      </c>
      <c r="B231">
        <v>9213293</v>
      </c>
    </row>
    <row r="232" spans="1:2" x14ac:dyDescent="0.2">
      <c r="A232" t="s">
        <v>650</v>
      </c>
      <c r="B232">
        <v>19681796</v>
      </c>
    </row>
    <row r="233" spans="1:2" x14ac:dyDescent="0.2">
      <c r="A233" t="s">
        <v>650</v>
      </c>
      <c r="B233">
        <v>19681796</v>
      </c>
    </row>
    <row r="234" spans="1:2" x14ac:dyDescent="0.2">
      <c r="A234" t="s">
        <v>628</v>
      </c>
      <c r="B234">
        <v>19396223</v>
      </c>
    </row>
    <row r="235" spans="1:2" x14ac:dyDescent="0.2">
      <c r="A235" t="s">
        <v>657</v>
      </c>
      <c r="B235">
        <v>17126004</v>
      </c>
    </row>
    <row r="236" spans="1:2" x14ac:dyDescent="0.2">
      <c r="A236" t="s">
        <v>657</v>
      </c>
      <c r="B236">
        <v>17126004</v>
      </c>
    </row>
    <row r="237" spans="1:2" x14ac:dyDescent="0.2">
      <c r="A237" t="s">
        <v>635</v>
      </c>
      <c r="B237">
        <v>19279958</v>
      </c>
    </row>
    <row r="238" spans="1:2" x14ac:dyDescent="0.2">
      <c r="A238" t="s">
        <v>637</v>
      </c>
      <c r="B238">
        <v>16202925</v>
      </c>
    </row>
    <row r="239" spans="1:2" x14ac:dyDescent="0.2">
      <c r="A239" t="s">
        <v>637</v>
      </c>
      <c r="B239">
        <v>16202925</v>
      </c>
    </row>
    <row r="240" spans="1:2" x14ac:dyDescent="0.2">
      <c r="A240" t="s">
        <v>658</v>
      </c>
      <c r="B240">
        <v>8814784</v>
      </c>
    </row>
    <row r="241" spans="1:2" x14ac:dyDescent="0.2">
      <c r="A241" t="s">
        <v>658</v>
      </c>
      <c r="B241">
        <v>8814784</v>
      </c>
    </row>
    <row r="242" spans="1:2" x14ac:dyDescent="0.2">
      <c r="A242" t="s">
        <v>640</v>
      </c>
      <c r="B242">
        <v>5442438</v>
      </c>
    </row>
    <row r="243" spans="1:2" x14ac:dyDescent="0.2">
      <c r="A243" t="s">
        <v>640</v>
      </c>
      <c r="B243">
        <v>5442438</v>
      </c>
    </row>
    <row r="244" spans="1:2" x14ac:dyDescent="0.2">
      <c r="A244" t="s">
        <v>640</v>
      </c>
      <c r="B244">
        <v>5442438</v>
      </c>
    </row>
    <row r="245" spans="1:2" x14ac:dyDescent="0.2">
      <c r="A245" t="s">
        <v>640</v>
      </c>
      <c r="B245">
        <v>5442438</v>
      </c>
    </row>
    <row r="246" spans="1:2" x14ac:dyDescent="0.2">
      <c r="A246" t="s">
        <v>640</v>
      </c>
      <c r="B246">
        <v>5442438</v>
      </c>
    </row>
    <row r="247" spans="1:2" x14ac:dyDescent="0.2">
      <c r="A247" t="s">
        <v>640</v>
      </c>
      <c r="B247">
        <v>5442438</v>
      </c>
    </row>
    <row r="248" spans="1:2" x14ac:dyDescent="0.2">
      <c r="A248" t="s">
        <v>640</v>
      </c>
      <c r="B248">
        <v>5442438</v>
      </c>
    </row>
    <row r="249" spans="1:2" x14ac:dyDescent="0.2">
      <c r="A249" t="s">
        <v>650</v>
      </c>
      <c r="B249">
        <v>19681796</v>
      </c>
    </row>
    <row r="250" spans="1:2" x14ac:dyDescent="0.2">
      <c r="A250" t="s">
        <v>650</v>
      </c>
      <c r="B250">
        <v>19681796</v>
      </c>
    </row>
    <row r="251" spans="1:2" x14ac:dyDescent="0.2">
      <c r="A251" t="s">
        <v>661</v>
      </c>
      <c r="B251">
        <v>20411454</v>
      </c>
    </row>
    <row r="252" spans="1:2" x14ac:dyDescent="0.2">
      <c r="A252" t="s">
        <v>661</v>
      </c>
      <c r="B252">
        <v>20411454</v>
      </c>
    </row>
    <row r="253" spans="1:2" x14ac:dyDescent="0.2">
      <c r="A253" t="s">
        <v>661</v>
      </c>
      <c r="B253">
        <v>20411454</v>
      </c>
    </row>
    <row r="254" spans="1:2" x14ac:dyDescent="0.2">
      <c r="A254" t="s">
        <v>661</v>
      </c>
      <c r="B254">
        <v>20411454</v>
      </c>
    </row>
    <row r="255" spans="1:2" x14ac:dyDescent="0.2">
      <c r="A255" t="s">
        <v>661</v>
      </c>
      <c r="B255">
        <v>20411454</v>
      </c>
    </row>
    <row r="256" spans="1:2" x14ac:dyDescent="0.2">
      <c r="A256" t="s">
        <v>661</v>
      </c>
      <c r="B256">
        <v>20411454</v>
      </c>
    </row>
    <row r="257" spans="1:2" x14ac:dyDescent="0.2">
      <c r="A257" t="s">
        <v>634</v>
      </c>
      <c r="B257">
        <v>17528908</v>
      </c>
    </row>
    <row r="258" spans="1:2" x14ac:dyDescent="0.2">
      <c r="A258" t="s">
        <v>634</v>
      </c>
      <c r="B258">
        <v>17528908</v>
      </c>
    </row>
    <row r="259" spans="1:2" x14ac:dyDescent="0.2">
      <c r="A259" t="s">
        <v>636</v>
      </c>
      <c r="B259">
        <v>19278370</v>
      </c>
    </row>
    <row r="260" spans="1:2" x14ac:dyDescent="0.2">
      <c r="A260" t="s">
        <v>637</v>
      </c>
      <c r="B260">
        <v>16202925</v>
      </c>
    </row>
    <row r="261" spans="1:2" x14ac:dyDescent="0.2">
      <c r="A261" t="s">
        <v>637</v>
      </c>
      <c r="B261">
        <v>16202925</v>
      </c>
    </row>
    <row r="262" spans="1:2" x14ac:dyDescent="0.2">
      <c r="A262" t="s">
        <v>641</v>
      </c>
      <c r="B262">
        <v>18710070</v>
      </c>
    </row>
    <row r="263" spans="1:2" x14ac:dyDescent="0.2">
      <c r="A263" t="s">
        <v>641</v>
      </c>
      <c r="B263">
        <v>18710070</v>
      </c>
    </row>
    <row r="264" spans="1:2" x14ac:dyDescent="0.2">
      <c r="A264" t="s">
        <v>644</v>
      </c>
      <c r="B264">
        <v>9213293</v>
      </c>
    </row>
    <row r="265" spans="1:2" x14ac:dyDescent="0.2">
      <c r="A265" t="s">
        <v>644</v>
      </c>
      <c r="B265">
        <v>9213293</v>
      </c>
    </row>
    <row r="266" spans="1:2" x14ac:dyDescent="0.2">
      <c r="A266" t="s">
        <v>644</v>
      </c>
      <c r="B266">
        <v>9213293</v>
      </c>
    </row>
    <row r="267" spans="1:2" x14ac:dyDescent="0.2">
      <c r="A267" t="s">
        <v>659</v>
      </c>
      <c r="B267">
        <v>19586992</v>
      </c>
    </row>
    <row r="268" spans="1:2" x14ac:dyDescent="0.2">
      <c r="A268" t="s">
        <v>659</v>
      </c>
      <c r="B268">
        <v>19586992</v>
      </c>
    </row>
    <row r="269" spans="1:2" x14ac:dyDescent="0.2">
      <c r="A269" t="s">
        <v>650</v>
      </c>
      <c r="B269">
        <v>19681796</v>
      </c>
    </row>
    <row r="270" spans="1:2" x14ac:dyDescent="0.2">
      <c r="A270" t="s">
        <v>650</v>
      </c>
      <c r="B270">
        <v>19681796</v>
      </c>
    </row>
    <row r="271" spans="1:2" x14ac:dyDescent="0.2">
      <c r="A271" t="s">
        <v>650</v>
      </c>
      <c r="B271">
        <v>19681796</v>
      </c>
    </row>
    <row r="272" spans="1:2" x14ac:dyDescent="0.2">
      <c r="A272" t="s">
        <v>169</v>
      </c>
      <c r="B272">
        <v>20212926</v>
      </c>
    </row>
    <row r="273" spans="1:2" x14ac:dyDescent="0.2">
      <c r="A273" t="s">
        <v>661</v>
      </c>
      <c r="B273">
        <v>20411454</v>
      </c>
    </row>
    <row r="274" spans="1:2" x14ac:dyDescent="0.2">
      <c r="A274" t="s">
        <v>661</v>
      </c>
      <c r="B274">
        <v>20411454</v>
      </c>
    </row>
    <row r="275" spans="1:2" x14ac:dyDescent="0.2">
      <c r="A275" t="s">
        <v>634</v>
      </c>
      <c r="B275">
        <v>17528908</v>
      </c>
    </row>
    <row r="276" spans="1:2" x14ac:dyDescent="0.2">
      <c r="A276" t="s">
        <v>637</v>
      </c>
      <c r="B276">
        <v>16202925</v>
      </c>
    </row>
    <row r="277" spans="1:2" x14ac:dyDescent="0.2">
      <c r="A277" t="s">
        <v>646</v>
      </c>
      <c r="B277">
        <v>9079571</v>
      </c>
    </row>
    <row r="278" spans="1:2" x14ac:dyDescent="0.2">
      <c r="A278" t="s">
        <v>169</v>
      </c>
      <c r="B278">
        <v>20212926</v>
      </c>
    </row>
    <row r="279" spans="1:2" x14ac:dyDescent="0.2">
      <c r="A279" t="s">
        <v>169</v>
      </c>
      <c r="B279">
        <v>20212926</v>
      </c>
    </row>
    <row r="280" spans="1:2" x14ac:dyDescent="0.2">
      <c r="A280" t="s">
        <v>636</v>
      </c>
      <c r="B280">
        <v>19278370</v>
      </c>
    </row>
    <row r="281" spans="1:2" x14ac:dyDescent="0.2">
      <c r="A281" t="s">
        <v>636</v>
      </c>
      <c r="B281">
        <v>19278370</v>
      </c>
    </row>
    <row r="282" spans="1:2" x14ac:dyDescent="0.2">
      <c r="A282" t="s">
        <v>636</v>
      </c>
      <c r="B282">
        <v>19278370</v>
      </c>
    </row>
    <row r="283" spans="1:2" x14ac:dyDescent="0.2">
      <c r="A283" t="s">
        <v>660</v>
      </c>
      <c r="B283">
        <v>15278437</v>
      </c>
    </row>
    <row r="284" spans="1:2" x14ac:dyDescent="0.2">
      <c r="A284" t="s">
        <v>660</v>
      </c>
      <c r="B284">
        <v>15278437</v>
      </c>
    </row>
    <row r="285" spans="1:2" x14ac:dyDescent="0.2">
      <c r="A285" t="s">
        <v>661</v>
      </c>
      <c r="B285">
        <v>20411454</v>
      </c>
    </row>
    <row r="286" spans="1:2" x14ac:dyDescent="0.2">
      <c r="A286" t="s">
        <v>661</v>
      </c>
      <c r="B286">
        <v>20411454</v>
      </c>
    </row>
    <row r="287" spans="1:2" x14ac:dyDescent="0.2">
      <c r="A287" t="s">
        <v>634</v>
      </c>
      <c r="B287">
        <v>17528908</v>
      </c>
    </row>
    <row r="288" spans="1:2" x14ac:dyDescent="0.2">
      <c r="A288" t="s">
        <v>641</v>
      </c>
      <c r="B288">
        <v>18710070</v>
      </c>
    </row>
    <row r="289" spans="1:2" x14ac:dyDescent="0.2">
      <c r="A289" t="s">
        <v>641</v>
      </c>
      <c r="B289">
        <v>18710070</v>
      </c>
    </row>
    <row r="290" spans="1:2" x14ac:dyDescent="0.2">
      <c r="A290" t="s">
        <v>649</v>
      </c>
      <c r="B290">
        <v>16212649</v>
      </c>
    </row>
    <row r="291" spans="1:2" x14ac:dyDescent="0.2">
      <c r="A291" t="s">
        <v>649</v>
      </c>
      <c r="B291">
        <v>16212649</v>
      </c>
    </row>
    <row r="292" spans="1:2" x14ac:dyDescent="0.2">
      <c r="A292" t="s">
        <v>649</v>
      </c>
      <c r="B292">
        <v>16212649</v>
      </c>
    </row>
    <row r="293" spans="1:2" x14ac:dyDescent="0.2">
      <c r="A293" s="9" t="s">
        <v>661</v>
      </c>
      <c r="B293">
        <v>20411454</v>
      </c>
    </row>
    <row r="294" spans="1:2" x14ac:dyDescent="0.2">
      <c r="A294" t="s">
        <v>661</v>
      </c>
      <c r="B294">
        <v>20411454</v>
      </c>
    </row>
    <row r="295" spans="1:2" x14ac:dyDescent="0.2">
      <c r="A295" t="s">
        <v>661</v>
      </c>
      <c r="B295">
        <v>20411454</v>
      </c>
    </row>
    <row r="296" spans="1:2" x14ac:dyDescent="0.2">
      <c r="A296" t="s">
        <v>661</v>
      </c>
      <c r="B296">
        <v>20411454</v>
      </c>
    </row>
    <row r="297" spans="1:2" x14ac:dyDescent="0.2">
      <c r="A297" t="s">
        <v>634</v>
      </c>
      <c r="B297">
        <v>17528908</v>
      </c>
    </row>
    <row r="298" spans="1:2" x14ac:dyDescent="0.2">
      <c r="A298" t="s">
        <v>634</v>
      </c>
      <c r="B298">
        <v>17528908</v>
      </c>
    </row>
    <row r="299" spans="1:2" x14ac:dyDescent="0.2">
      <c r="A299" t="s">
        <v>634</v>
      </c>
      <c r="B299">
        <v>17528908</v>
      </c>
    </row>
    <row r="300" spans="1:2" x14ac:dyDescent="0.2">
      <c r="A300" t="s">
        <v>634</v>
      </c>
      <c r="B300">
        <v>17528908</v>
      </c>
    </row>
    <row r="301" spans="1:2" x14ac:dyDescent="0.2">
      <c r="A301" t="s">
        <v>634</v>
      </c>
      <c r="B301">
        <v>17528908</v>
      </c>
    </row>
    <row r="302" spans="1:2" x14ac:dyDescent="0.2">
      <c r="A302" t="s">
        <v>637</v>
      </c>
      <c r="B302">
        <v>16202925</v>
      </c>
    </row>
    <row r="303" spans="1:2" x14ac:dyDescent="0.2">
      <c r="A303" t="s">
        <v>637</v>
      </c>
      <c r="B303">
        <v>16202925</v>
      </c>
    </row>
    <row r="304" spans="1:2" x14ac:dyDescent="0.2">
      <c r="A304" t="s">
        <v>637</v>
      </c>
      <c r="B304">
        <v>16202925</v>
      </c>
    </row>
    <row r="305" spans="1:2" x14ac:dyDescent="0.2">
      <c r="A305" t="s">
        <v>661</v>
      </c>
      <c r="B305">
        <v>20411454</v>
      </c>
    </row>
    <row r="306" spans="1:2" x14ac:dyDescent="0.2">
      <c r="A306" t="s">
        <v>661</v>
      </c>
      <c r="B306">
        <v>20411454</v>
      </c>
    </row>
    <row r="307" spans="1:2" x14ac:dyDescent="0.2">
      <c r="A307" t="s">
        <v>634</v>
      </c>
      <c r="B307">
        <v>17528908</v>
      </c>
    </row>
    <row r="308" spans="1:2" x14ac:dyDescent="0.2">
      <c r="A308" t="s">
        <v>634</v>
      </c>
      <c r="B308">
        <v>17528908</v>
      </c>
    </row>
    <row r="309" spans="1:2" x14ac:dyDescent="0.2">
      <c r="A309" t="s">
        <v>634</v>
      </c>
      <c r="B309">
        <v>17528908</v>
      </c>
    </row>
    <row r="310" spans="1:2" x14ac:dyDescent="0.2">
      <c r="A310" t="s">
        <v>637</v>
      </c>
      <c r="B310">
        <v>16202925</v>
      </c>
    </row>
    <row r="311" spans="1:2" x14ac:dyDescent="0.2">
      <c r="A311" t="s">
        <v>649</v>
      </c>
      <c r="B311">
        <v>16212649</v>
      </c>
    </row>
    <row r="312" spans="1:2" x14ac:dyDescent="0.2">
      <c r="A312" t="s">
        <v>649</v>
      </c>
      <c r="B312">
        <v>16212649</v>
      </c>
    </row>
    <row r="313" spans="1:2" x14ac:dyDescent="0.2">
      <c r="A313" t="s">
        <v>661</v>
      </c>
      <c r="B313">
        <v>20411454</v>
      </c>
    </row>
    <row r="314" spans="1:2" x14ac:dyDescent="0.2">
      <c r="A314" t="s">
        <v>661</v>
      </c>
      <c r="B314">
        <v>20411454</v>
      </c>
    </row>
    <row r="315" spans="1:2" x14ac:dyDescent="0.2">
      <c r="A315" t="s">
        <v>661</v>
      </c>
      <c r="B315">
        <v>20411454</v>
      </c>
    </row>
    <row r="316" spans="1:2" x14ac:dyDescent="0.2">
      <c r="A316" t="s">
        <v>661</v>
      </c>
      <c r="B316">
        <v>20411454</v>
      </c>
    </row>
    <row r="317" spans="1:2" x14ac:dyDescent="0.2">
      <c r="A317" t="s">
        <v>661</v>
      </c>
      <c r="B317">
        <v>20411454</v>
      </c>
    </row>
    <row r="318" spans="1:2" x14ac:dyDescent="0.2">
      <c r="A318" t="s">
        <v>638</v>
      </c>
      <c r="B318">
        <v>17195620</v>
      </c>
    </row>
    <row r="319" spans="1:2" x14ac:dyDescent="0.2">
      <c r="A319" t="s">
        <v>638</v>
      </c>
      <c r="B319">
        <v>17195620</v>
      </c>
    </row>
    <row r="320" spans="1:2" x14ac:dyDescent="0.2">
      <c r="A320" t="s">
        <v>661</v>
      </c>
      <c r="B320">
        <v>20411454</v>
      </c>
    </row>
    <row r="321" spans="1:2" x14ac:dyDescent="0.2">
      <c r="A321" t="s">
        <v>661</v>
      </c>
      <c r="B321">
        <v>20411454</v>
      </c>
    </row>
    <row r="322" spans="1:2" x14ac:dyDescent="0.2">
      <c r="A322" t="s">
        <v>636</v>
      </c>
      <c r="B322">
        <v>19278370</v>
      </c>
    </row>
    <row r="323" spans="1:2" x14ac:dyDescent="0.2">
      <c r="A323" t="s">
        <v>637</v>
      </c>
      <c r="B323">
        <v>16202925</v>
      </c>
    </row>
    <row r="324" spans="1:2" x14ac:dyDescent="0.2">
      <c r="A324" t="s">
        <v>637</v>
      </c>
      <c r="B324">
        <v>16202925</v>
      </c>
    </row>
    <row r="325" spans="1:2" x14ac:dyDescent="0.2">
      <c r="A325" t="s">
        <v>637</v>
      </c>
      <c r="B325">
        <v>16202925</v>
      </c>
    </row>
    <row r="326" spans="1:2" x14ac:dyDescent="0.2">
      <c r="A326" t="s">
        <v>637</v>
      </c>
      <c r="B326">
        <v>16202925</v>
      </c>
    </row>
    <row r="327" spans="1:2" x14ac:dyDescent="0.2">
      <c r="A327" t="s">
        <v>637</v>
      </c>
      <c r="B327">
        <v>16202925</v>
      </c>
    </row>
    <row r="328" spans="1:2" x14ac:dyDescent="0.2">
      <c r="A328" t="s">
        <v>637</v>
      </c>
      <c r="B328">
        <v>16202925</v>
      </c>
    </row>
    <row r="329" spans="1:2" x14ac:dyDescent="0.2">
      <c r="A329" t="s">
        <v>661</v>
      </c>
      <c r="B329">
        <v>20411454</v>
      </c>
    </row>
    <row r="330" spans="1:2" x14ac:dyDescent="0.2">
      <c r="A330" t="s">
        <v>661</v>
      </c>
      <c r="B330">
        <v>20411454</v>
      </c>
    </row>
    <row r="331" spans="1:2" x14ac:dyDescent="0.2">
      <c r="A331" t="s">
        <v>661</v>
      </c>
      <c r="B331">
        <v>20411454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644B8-06C2-4093-BB7B-A939FCB813A0}">
  <dimension ref="A1:C331"/>
  <sheetViews>
    <sheetView workbookViewId="0">
      <selection activeCell="C1" sqref="C1:C331"/>
    </sheetView>
  </sheetViews>
  <sheetFormatPr defaultRowHeight="12.75" x14ac:dyDescent="0.2"/>
  <cols>
    <col min="1" max="2" width="10.140625" bestFit="1" customWidth="1"/>
  </cols>
  <sheetData>
    <row r="1" spans="1:3" x14ac:dyDescent="0.2">
      <c r="A1" s="4">
        <v>45245</v>
      </c>
      <c r="B1" s="4">
        <v>45947</v>
      </c>
      <c r="C1">
        <f>DATEDIF(A1,B1,"M")</f>
        <v>23</v>
      </c>
    </row>
    <row r="2" spans="1:3" x14ac:dyDescent="0.2">
      <c r="A2" s="4">
        <v>45245</v>
      </c>
      <c r="B2" s="4">
        <v>45947</v>
      </c>
      <c r="C2">
        <f t="shared" ref="C2:C65" si="0">DATEDIF(A2,B2,"M")</f>
        <v>23</v>
      </c>
    </row>
    <row r="3" spans="1:3" x14ac:dyDescent="0.2">
      <c r="A3" s="4">
        <v>45273</v>
      </c>
      <c r="B3" s="4">
        <v>45945</v>
      </c>
      <c r="C3">
        <f t="shared" si="0"/>
        <v>22</v>
      </c>
    </row>
    <row r="4" spans="1:3" x14ac:dyDescent="0.2">
      <c r="A4" s="4">
        <v>45303</v>
      </c>
      <c r="B4" s="4">
        <v>45944</v>
      </c>
      <c r="C4">
        <f t="shared" si="0"/>
        <v>21</v>
      </c>
    </row>
    <row r="5" spans="1:3" x14ac:dyDescent="0.2">
      <c r="A5" s="4">
        <v>45303</v>
      </c>
      <c r="B5" s="4">
        <v>45944</v>
      </c>
      <c r="C5">
        <f t="shared" si="0"/>
        <v>21</v>
      </c>
    </row>
    <row r="6" spans="1:3" x14ac:dyDescent="0.2">
      <c r="A6" s="4">
        <v>45366</v>
      </c>
      <c r="B6" s="4">
        <v>45947</v>
      </c>
      <c r="C6">
        <f t="shared" si="0"/>
        <v>19</v>
      </c>
    </row>
    <row r="7" spans="1:3" x14ac:dyDescent="0.2">
      <c r="A7" s="4">
        <v>45482</v>
      </c>
      <c r="B7" s="4">
        <v>45943</v>
      </c>
      <c r="C7">
        <f t="shared" si="0"/>
        <v>15</v>
      </c>
    </row>
    <row r="8" spans="1:3" x14ac:dyDescent="0.2">
      <c r="A8" s="4">
        <v>45576</v>
      </c>
      <c r="B8" s="4">
        <v>45943</v>
      </c>
      <c r="C8">
        <f t="shared" si="0"/>
        <v>12</v>
      </c>
    </row>
    <row r="9" spans="1:3" x14ac:dyDescent="0.2">
      <c r="A9" s="4">
        <v>45454</v>
      </c>
      <c r="B9" s="4">
        <v>45943</v>
      </c>
      <c r="C9">
        <f t="shared" si="0"/>
        <v>16</v>
      </c>
    </row>
    <row r="10" spans="1:3" x14ac:dyDescent="0.2">
      <c r="A10" s="4">
        <v>45482</v>
      </c>
      <c r="B10" s="4">
        <v>45943</v>
      </c>
      <c r="C10">
        <f t="shared" si="0"/>
        <v>15</v>
      </c>
    </row>
    <row r="11" spans="1:3" x14ac:dyDescent="0.2">
      <c r="A11" s="4">
        <v>45545</v>
      </c>
      <c r="B11" s="4">
        <v>45943</v>
      </c>
      <c r="C11">
        <f t="shared" si="0"/>
        <v>13</v>
      </c>
    </row>
    <row r="12" spans="1:3" x14ac:dyDescent="0.2">
      <c r="A12" s="4">
        <v>45607</v>
      </c>
      <c r="B12" s="4">
        <v>45943</v>
      </c>
      <c r="C12">
        <f t="shared" si="0"/>
        <v>11</v>
      </c>
    </row>
    <row r="13" spans="1:3" x14ac:dyDescent="0.2">
      <c r="A13" s="4">
        <v>45670</v>
      </c>
      <c r="B13" s="4">
        <v>45945</v>
      </c>
      <c r="C13">
        <f t="shared" si="0"/>
        <v>9</v>
      </c>
    </row>
    <row r="14" spans="1:3" x14ac:dyDescent="0.2">
      <c r="A14" s="4">
        <v>45670</v>
      </c>
      <c r="B14" s="4">
        <v>45945</v>
      </c>
      <c r="C14">
        <f t="shared" si="0"/>
        <v>9</v>
      </c>
    </row>
    <row r="15" spans="1:3" x14ac:dyDescent="0.2">
      <c r="A15" s="4">
        <v>45668</v>
      </c>
      <c r="B15" s="4">
        <v>45943</v>
      </c>
      <c r="C15">
        <f t="shared" si="0"/>
        <v>9</v>
      </c>
    </row>
    <row r="16" spans="1:3" x14ac:dyDescent="0.2">
      <c r="A16" s="4">
        <v>45671</v>
      </c>
      <c r="B16" s="4">
        <v>45946</v>
      </c>
      <c r="C16">
        <f t="shared" si="0"/>
        <v>9</v>
      </c>
    </row>
    <row r="17" spans="1:3" x14ac:dyDescent="0.2">
      <c r="A17" s="4">
        <v>45762</v>
      </c>
      <c r="B17" s="4">
        <v>45947</v>
      </c>
      <c r="C17">
        <f t="shared" si="0"/>
        <v>6</v>
      </c>
    </row>
    <row r="18" spans="1:3" x14ac:dyDescent="0.2">
      <c r="A18" s="4">
        <v>45910</v>
      </c>
      <c r="B18" s="4">
        <v>45943</v>
      </c>
      <c r="C18">
        <f t="shared" si="0"/>
        <v>1</v>
      </c>
    </row>
    <row r="19" spans="1:3" x14ac:dyDescent="0.2">
      <c r="A19" s="4">
        <v>45761</v>
      </c>
      <c r="B19" s="4">
        <v>45946</v>
      </c>
      <c r="C19">
        <f t="shared" si="0"/>
        <v>6</v>
      </c>
    </row>
    <row r="20" spans="1:3" x14ac:dyDescent="0.2">
      <c r="A20" s="4">
        <v>45818</v>
      </c>
      <c r="B20" s="4">
        <v>45943</v>
      </c>
      <c r="C20">
        <f t="shared" si="0"/>
        <v>4</v>
      </c>
    </row>
    <row r="21" spans="1:3" x14ac:dyDescent="0.2">
      <c r="A21" s="4">
        <v>44904</v>
      </c>
      <c r="B21" s="4">
        <v>45943</v>
      </c>
      <c r="C21">
        <f t="shared" si="0"/>
        <v>34</v>
      </c>
    </row>
    <row r="22" spans="1:3" x14ac:dyDescent="0.2">
      <c r="A22" s="4">
        <v>45182</v>
      </c>
      <c r="B22" s="4">
        <v>45945</v>
      </c>
      <c r="C22">
        <f t="shared" si="0"/>
        <v>25</v>
      </c>
    </row>
    <row r="23" spans="1:3" x14ac:dyDescent="0.2">
      <c r="A23" s="4">
        <v>45245</v>
      </c>
      <c r="B23" s="4">
        <v>45947</v>
      </c>
      <c r="C23">
        <f t="shared" si="0"/>
        <v>23</v>
      </c>
    </row>
    <row r="24" spans="1:3" x14ac:dyDescent="0.2">
      <c r="A24" s="4">
        <v>45482</v>
      </c>
      <c r="B24" s="4">
        <v>45943</v>
      </c>
      <c r="C24">
        <f t="shared" si="0"/>
        <v>15</v>
      </c>
    </row>
    <row r="25" spans="1:3" x14ac:dyDescent="0.2">
      <c r="A25" s="4">
        <v>45576</v>
      </c>
      <c r="B25" s="4">
        <v>45943</v>
      </c>
      <c r="C25">
        <f t="shared" si="0"/>
        <v>12</v>
      </c>
    </row>
    <row r="26" spans="1:3" x14ac:dyDescent="0.2">
      <c r="A26" s="4">
        <v>44904</v>
      </c>
      <c r="B26" s="4">
        <v>45943</v>
      </c>
      <c r="C26">
        <f t="shared" si="0"/>
        <v>34</v>
      </c>
    </row>
    <row r="27" spans="1:3" x14ac:dyDescent="0.2">
      <c r="A27" s="4">
        <v>43174</v>
      </c>
      <c r="B27" s="4">
        <v>45947</v>
      </c>
      <c r="C27">
        <f t="shared" si="0"/>
        <v>91</v>
      </c>
    </row>
    <row r="28" spans="1:3" x14ac:dyDescent="0.2">
      <c r="A28" s="4">
        <v>45482</v>
      </c>
      <c r="B28" s="4">
        <v>45943</v>
      </c>
      <c r="C28">
        <f t="shared" si="0"/>
        <v>15</v>
      </c>
    </row>
    <row r="29" spans="1:3" x14ac:dyDescent="0.2">
      <c r="A29" s="4">
        <v>45182</v>
      </c>
      <c r="B29" s="4">
        <v>45945</v>
      </c>
      <c r="C29">
        <f t="shared" si="0"/>
        <v>25</v>
      </c>
    </row>
    <row r="30" spans="1:3" x14ac:dyDescent="0.2">
      <c r="A30" s="4">
        <v>45881</v>
      </c>
      <c r="B30" s="4">
        <v>45944</v>
      </c>
      <c r="C30">
        <f t="shared" si="0"/>
        <v>2</v>
      </c>
    </row>
    <row r="31" spans="1:3" x14ac:dyDescent="0.2">
      <c r="A31" s="4">
        <v>45245</v>
      </c>
      <c r="B31" s="4">
        <v>45947</v>
      </c>
      <c r="C31">
        <f t="shared" si="0"/>
        <v>23</v>
      </c>
    </row>
    <row r="32" spans="1:3" x14ac:dyDescent="0.2">
      <c r="A32" s="4">
        <v>45245</v>
      </c>
      <c r="B32" s="4">
        <v>45947</v>
      </c>
      <c r="C32">
        <f t="shared" si="0"/>
        <v>23</v>
      </c>
    </row>
    <row r="33" spans="1:3" x14ac:dyDescent="0.2">
      <c r="A33" s="4">
        <v>45273</v>
      </c>
      <c r="B33" s="4">
        <v>45945</v>
      </c>
      <c r="C33">
        <f t="shared" si="0"/>
        <v>22</v>
      </c>
    </row>
    <row r="34" spans="1:3" x14ac:dyDescent="0.2">
      <c r="A34" s="4">
        <v>45303</v>
      </c>
      <c r="B34" s="4">
        <v>45944</v>
      </c>
      <c r="C34">
        <f t="shared" si="0"/>
        <v>21</v>
      </c>
    </row>
    <row r="35" spans="1:3" x14ac:dyDescent="0.2">
      <c r="A35" s="4">
        <v>45303</v>
      </c>
      <c r="B35" s="4">
        <v>45944</v>
      </c>
      <c r="C35">
        <f t="shared" si="0"/>
        <v>21</v>
      </c>
    </row>
    <row r="36" spans="1:3" x14ac:dyDescent="0.2">
      <c r="A36" s="4">
        <v>45366</v>
      </c>
      <c r="B36" s="4">
        <v>45947</v>
      </c>
      <c r="C36">
        <f t="shared" si="0"/>
        <v>19</v>
      </c>
    </row>
    <row r="37" spans="1:3" x14ac:dyDescent="0.2">
      <c r="A37" s="4">
        <v>45482</v>
      </c>
      <c r="B37" s="4">
        <v>45943</v>
      </c>
      <c r="C37">
        <f t="shared" si="0"/>
        <v>15</v>
      </c>
    </row>
    <row r="38" spans="1:3" x14ac:dyDescent="0.2">
      <c r="A38" s="4">
        <v>45576</v>
      </c>
      <c r="B38" s="4">
        <v>45943</v>
      </c>
      <c r="C38">
        <f t="shared" si="0"/>
        <v>12</v>
      </c>
    </row>
    <row r="39" spans="1:3" x14ac:dyDescent="0.2">
      <c r="A39" s="4">
        <v>45910</v>
      </c>
      <c r="B39" s="4">
        <v>45943</v>
      </c>
      <c r="C39">
        <f t="shared" si="0"/>
        <v>1</v>
      </c>
    </row>
    <row r="40" spans="1:3" x14ac:dyDescent="0.2">
      <c r="A40" s="4">
        <v>45672</v>
      </c>
      <c r="B40" s="4">
        <v>45947</v>
      </c>
      <c r="C40">
        <f t="shared" si="0"/>
        <v>9</v>
      </c>
    </row>
    <row r="41" spans="1:3" x14ac:dyDescent="0.2">
      <c r="A41" s="4">
        <v>45668</v>
      </c>
      <c r="B41" s="4">
        <v>45943</v>
      </c>
      <c r="C41">
        <f t="shared" si="0"/>
        <v>9</v>
      </c>
    </row>
    <row r="42" spans="1:3" x14ac:dyDescent="0.2">
      <c r="A42" s="4">
        <v>45881</v>
      </c>
      <c r="B42" s="4">
        <v>45944</v>
      </c>
      <c r="C42">
        <f t="shared" si="0"/>
        <v>2</v>
      </c>
    </row>
    <row r="43" spans="1:3" x14ac:dyDescent="0.2">
      <c r="A43" s="4">
        <v>45454</v>
      </c>
      <c r="B43" s="4">
        <v>45943</v>
      </c>
      <c r="C43">
        <f t="shared" si="0"/>
        <v>16</v>
      </c>
    </row>
    <row r="44" spans="1:3" x14ac:dyDescent="0.2">
      <c r="A44" s="4">
        <v>45482</v>
      </c>
      <c r="B44" s="4">
        <v>45943</v>
      </c>
      <c r="C44">
        <f t="shared" si="0"/>
        <v>15</v>
      </c>
    </row>
    <row r="45" spans="1:3" x14ac:dyDescent="0.2">
      <c r="A45" s="4">
        <v>45545</v>
      </c>
      <c r="B45" s="4">
        <v>45943</v>
      </c>
      <c r="C45">
        <f t="shared" si="0"/>
        <v>13</v>
      </c>
    </row>
    <row r="46" spans="1:3" x14ac:dyDescent="0.2">
      <c r="A46" s="4">
        <v>45672</v>
      </c>
      <c r="B46" s="4">
        <v>45947</v>
      </c>
      <c r="C46">
        <f t="shared" si="0"/>
        <v>9</v>
      </c>
    </row>
    <row r="47" spans="1:3" x14ac:dyDescent="0.2">
      <c r="A47" s="4">
        <v>45607</v>
      </c>
      <c r="B47" s="4">
        <v>45943</v>
      </c>
      <c r="C47">
        <f t="shared" si="0"/>
        <v>11</v>
      </c>
    </row>
    <row r="48" spans="1:3" x14ac:dyDescent="0.2">
      <c r="A48" s="4">
        <v>45670</v>
      </c>
      <c r="B48" s="4">
        <v>45945</v>
      </c>
      <c r="C48">
        <f t="shared" si="0"/>
        <v>9</v>
      </c>
    </row>
    <row r="49" spans="1:3" x14ac:dyDescent="0.2">
      <c r="A49" s="4">
        <v>45670</v>
      </c>
      <c r="B49" s="4">
        <v>45945</v>
      </c>
      <c r="C49">
        <f t="shared" si="0"/>
        <v>9</v>
      </c>
    </row>
    <row r="50" spans="1:3" x14ac:dyDescent="0.2">
      <c r="A50" s="4">
        <v>45668</v>
      </c>
      <c r="B50" s="4">
        <v>45943</v>
      </c>
      <c r="C50">
        <f t="shared" si="0"/>
        <v>9</v>
      </c>
    </row>
    <row r="51" spans="1:3" x14ac:dyDescent="0.2">
      <c r="A51" s="4">
        <v>45671</v>
      </c>
      <c r="B51" s="4">
        <v>45946</v>
      </c>
      <c r="C51">
        <f t="shared" si="0"/>
        <v>9</v>
      </c>
    </row>
    <row r="52" spans="1:3" x14ac:dyDescent="0.2">
      <c r="A52" s="4">
        <v>45762</v>
      </c>
      <c r="B52" s="4">
        <v>45947</v>
      </c>
      <c r="C52">
        <f t="shared" si="0"/>
        <v>6</v>
      </c>
    </row>
    <row r="53" spans="1:3" x14ac:dyDescent="0.2">
      <c r="A53" s="4">
        <v>45910</v>
      </c>
      <c r="B53" s="4">
        <v>45943</v>
      </c>
      <c r="C53">
        <f t="shared" si="0"/>
        <v>1</v>
      </c>
    </row>
    <row r="54" spans="1:3" x14ac:dyDescent="0.2">
      <c r="A54" s="4">
        <v>45761</v>
      </c>
      <c r="B54" s="4">
        <v>45946</v>
      </c>
      <c r="C54">
        <f t="shared" si="0"/>
        <v>6</v>
      </c>
    </row>
    <row r="55" spans="1:3" x14ac:dyDescent="0.2">
      <c r="A55" s="4">
        <v>45818</v>
      </c>
      <c r="B55" s="4">
        <v>45943</v>
      </c>
      <c r="C55">
        <f t="shared" si="0"/>
        <v>4</v>
      </c>
    </row>
    <row r="56" spans="1:3" x14ac:dyDescent="0.2">
      <c r="A56" s="4">
        <v>45909</v>
      </c>
      <c r="B56" s="4">
        <v>45943</v>
      </c>
      <c r="C56">
        <f t="shared" si="0"/>
        <v>1</v>
      </c>
    </row>
    <row r="57" spans="1:3" x14ac:dyDescent="0.2">
      <c r="A57" s="4">
        <v>45909</v>
      </c>
      <c r="B57" s="4">
        <v>45943</v>
      </c>
      <c r="C57">
        <f t="shared" si="0"/>
        <v>1</v>
      </c>
    </row>
    <row r="58" spans="1:3" x14ac:dyDescent="0.2">
      <c r="A58" s="4">
        <v>45518</v>
      </c>
      <c r="B58" s="4">
        <v>45946</v>
      </c>
      <c r="C58">
        <f t="shared" si="0"/>
        <v>14</v>
      </c>
    </row>
    <row r="59" spans="1:3" x14ac:dyDescent="0.2">
      <c r="A59" s="4">
        <v>45849</v>
      </c>
      <c r="B59" s="4">
        <v>45943</v>
      </c>
      <c r="C59">
        <f t="shared" si="0"/>
        <v>3</v>
      </c>
    </row>
    <row r="60" spans="1:3" x14ac:dyDescent="0.2">
      <c r="A60" s="4">
        <v>45849</v>
      </c>
      <c r="B60" s="4">
        <v>45943</v>
      </c>
      <c r="C60">
        <f t="shared" si="0"/>
        <v>3</v>
      </c>
    </row>
    <row r="61" spans="1:3" x14ac:dyDescent="0.2">
      <c r="A61" s="4">
        <v>45607</v>
      </c>
      <c r="B61" s="4">
        <v>45943</v>
      </c>
      <c r="C61">
        <f t="shared" si="0"/>
        <v>11</v>
      </c>
    </row>
    <row r="62" spans="1:3" x14ac:dyDescent="0.2">
      <c r="A62" s="4">
        <v>45666</v>
      </c>
      <c r="B62" s="4">
        <v>45943</v>
      </c>
      <c r="C62">
        <f t="shared" si="0"/>
        <v>9</v>
      </c>
    </row>
    <row r="63" spans="1:3" x14ac:dyDescent="0.2">
      <c r="A63" s="4">
        <v>45668</v>
      </c>
      <c r="B63" s="4">
        <v>45943</v>
      </c>
      <c r="C63">
        <f t="shared" si="0"/>
        <v>9</v>
      </c>
    </row>
    <row r="64" spans="1:3" x14ac:dyDescent="0.2">
      <c r="A64" s="4">
        <v>45637</v>
      </c>
      <c r="B64" s="4">
        <v>45943</v>
      </c>
      <c r="C64">
        <f t="shared" si="0"/>
        <v>10</v>
      </c>
    </row>
    <row r="65" spans="1:3" x14ac:dyDescent="0.2">
      <c r="A65" s="4">
        <v>45792</v>
      </c>
      <c r="B65" s="4">
        <v>45947</v>
      </c>
      <c r="C65">
        <f t="shared" si="0"/>
        <v>5</v>
      </c>
    </row>
    <row r="66" spans="1:3" x14ac:dyDescent="0.2">
      <c r="A66" s="4">
        <v>45904</v>
      </c>
      <c r="B66" s="4">
        <v>45943</v>
      </c>
      <c r="C66">
        <f t="shared" ref="C66:C129" si="1">DATEDIF(A66,B66,"M")</f>
        <v>1</v>
      </c>
    </row>
    <row r="67" spans="1:3" x14ac:dyDescent="0.2">
      <c r="A67" s="4">
        <v>45513</v>
      </c>
      <c r="B67" s="4">
        <v>45943</v>
      </c>
      <c r="C67">
        <f t="shared" si="1"/>
        <v>14</v>
      </c>
    </row>
    <row r="68" spans="1:3" x14ac:dyDescent="0.2">
      <c r="A68" s="4">
        <v>45513</v>
      </c>
      <c r="B68" s="4">
        <v>45943</v>
      </c>
      <c r="C68">
        <f t="shared" si="1"/>
        <v>14</v>
      </c>
    </row>
    <row r="69" spans="1:3" x14ac:dyDescent="0.2">
      <c r="A69" s="4">
        <v>45575</v>
      </c>
      <c r="B69" s="4">
        <v>45943</v>
      </c>
      <c r="C69">
        <f t="shared" si="1"/>
        <v>12</v>
      </c>
    </row>
    <row r="70" spans="1:3" x14ac:dyDescent="0.2">
      <c r="A70" s="4">
        <v>45575</v>
      </c>
      <c r="B70" s="4">
        <v>45943</v>
      </c>
      <c r="C70">
        <f t="shared" si="1"/>
        <v>12</v>
      </c>
    </row>
    <row r="71" spans="1:3" x14ac:dyDescent="0.2">
      <c r="A71" s="4">
        <v>45575</v>
      </c>
      <c r="B71" s="4">
        <v>45943</v>
      </c>
      <c r="C71">
        <f t="shared" si="1"/>
        <v>12</v>
      </c>
    </row>
    <row r="72" spans="1:3" x14ac:dyDescent="0.2">
      <c r="A72" s="4">
        <v>45575</v>
      </c>
      <c r="B72" s="4">
        <v>45943</v>
      </c>
      <c r="C72">
        <f t="shared" si="1"/>
        <v>12</v>
      </c>
    </row>
    <row r="73" spans="1:3" x14ac:dyDescent="0.2">
      <c r="A73" s="4">
        <v>45639</v>
      </c>
      <c r="B73" s="4">
        <v>45945</v>
      </c>
      <c r="C73">
        <f t="shared" si="1"/>
        <v>10</v>
      </c>
    </row>
    <row r="74" spans="1:3" x14ac:dyDescent="0.2">
      <c r="A74" s="4">
        <v>45639</v>
      </c>
      <c r="B74" s="4">
        <v>45945</v>
      </c>
      <c r="C74">
        <f t="shared" si="1"/>
        <v>10</v>
      </c>
    </row>
    <row r="75" spans="1:3" x14ac:dyDescent="0.2">
      <c r="A75" s="4">
        <v>45639</v>
      </c>
      <c r="B75" s="4">
        <v>45945</v>
      </c>
      <c r="C75">
        <f t="shared" si="1"/>
        <v>10</v>
      </c>
    </row>
    <row r="76" spans="1:3" x14ac:dyDescent="0.2">
      <c r="A76" s="4">
        <v>45639</v>
      </c>
      <c r="B76" s="4">
        <v>45945</v>
      </c>
      <c r="C76">
        <f t="shared" si="1"/>
        <v>10</v>
      </c>
    </row>
    <row r="77" spans="1:3" x14ac:dyDescent="0.2">
      <c r="A77" s="4">
        <v>45640</v>
      </c>
      <c r="B77" s="4">
        <v>45946</v>
      </c>
      <c r="C77">
        <f t="shared" si="1"/>
        <v>10</v>
      </c>
    </row>
    <row r="78" spans="1:3" x14ac:dyDescent="0.2">
      <c r="A78" s="4">
        <v>45910</v>
      </c>
      <c r="B78" s="4">
        <v>45943</v>
      </c>
      <c r="C78">
        <f t="shared" si="1"/>
        <v>1</v>
      </c>
    </row>
    <row r="79" spans="1:3" x14ac:dyDescent="0.2">
      <c r="A79" s="4">
        <v>45911</v>
      </c>
      <c r="B79" s="4">
        <v>45943</v>
      </c>
      <c r="C79">
        <f t="shared" si="1"/>
        <v>1</v>
      </c>
    </row>
    <row r="80" spans="1:3" x14ac:dyDescent="0.2">
      <c r="A80" s="4">
        <v>45911</v>
      </c>
      <c r="B80" s="4">
        <v>45943</v>
      </c>
      <c r="C80">
        <f t="shared" si="1"/>
        <v>1</v>
      </c>
    </row>
    <row r="81" spans="1:3" x14ac:dyDescent="0.2">
      <c r="A81" s="4">
        <v>45881</v>
      </c>
      <c r="B81" s="4">
        <v>45944</v>
      </c>
      <c r="C81">
        <f t="shared" si="1"/>
        <v>2</v>
      </c>
    </row>
    <row r="82" spans="1:3" x14ac:dyDescent="0.2">
      <c r="A82" s="4">
        <v>45607</v>
      </c>
      <c r="B82" s="4">
        <v>45943</v>
      </c>
      <c r="C82">
        <f t="shared" si="1"/>
        <v>11</v>
      </c>
    </row>
    <row r="83" spans="1:3" x14ac:dyDescent="0.2">
      <c r="A83" s="4">
        <v>45939</v>
      </c>
      <c r="B83" s="4">
        <v>45943</v>
      </c>
      <c r="C83">
        <f t="shared" si="1"/>
        <v>0</v>
      </c>
    </row>
    <row r="84" spans="1:3" x14ac:dyDescent="0.2">
      <c r="A84" s="4">
        <v>45939</v>
      </c>
      <c r="B84" s="4">
        <v>45943</v>
      </c>
      <c r="C84">
        <f t="shared" si="1"/>
        <v>0</v>
      </c>
    </row>
    <row r="85" spans="1:3" x14ac:dyDescent="0.2">
      <c r="A85" s="4">
        <v>45939</v>
      </c>
      <c r="B85" s="4">
        <v>45943</v>
      </c>
      <c r="C85">
        <f t="shared" si="1"/>
        <v>0</v>
      </c>
    </row>
    <row r="86" spans="1:3" x14ac:dyDescent="0.2">
      <c r="A86" s="4">
        <v>45397</v>
      </c>
      <c r="B86" s="4">
        <v>45947</v>
      </c>
      <c r="C86">
        <f t="shared" si="1"/>
        <v>18</v>
      </c>
    </row>
    <row r="87" spans="1:3" x14ac:dyDescent="0.2">
      <c r="A87" s="4">
        <v>45397</v>
      </c>
      <c r="B87" s="4">
        <v>45947</v>
      </c>
      <c r="C87">
        <f t="shared" si="1"/>
        <v>18</v>
      </c>
    </row>
    <row r="88" spans="1:3" x14ac:dyDescent="0.2">
      <c r="A88" s="4">
        <v>45599</v>
      </c>
      <c r="B88" s="4">
        <v>45946</v>
      </c>
      <c r="C88">
        <f t="shared" si="1"/>
        <v>11</v>
      </c>
    </row>
    <row r="89" spans="1:3" x14ac:dyDescent="0.2">
      <c r="A89" s="4">
        <v>45638</v>
      </c>
      <c r="B89" s="4">
        <v>45944</v>
      </c>
      <c r="C89">
        <f t="shared" si="1"/>
        <v>10</v>
      </c>
    </row>
    <row r="90" spans="1:3" x14ac:dyDescent="0.2">
      <c r="A90" s="4">
        <v>45638</v>
      </c>
      <c r="B90" s="4">
        <v>45944</v>
      </c>
      <c r="C90">
        <f t="shared" si="1"/>
        <v>10</v>
      </c>
    </row>
    <row r="91" spans="1:3" x14ac:dyDescent="0.2">
      <c r="A91" s="4">
        <v>45638</v>
      </c>
      <c r="B91" s="4">
        <v>45944</v>
      </c>
      <c r="C91">
        <f t="shared" si="1"/>
        <v>10</v>
      </c>
    </row>
    <row r="92" spans="1:3" x14ac:dyDescent="0.2">
      <c r="A92" s="4">
        <v>45671</v>
      </c>
      <c r="B92" s="4">
        <v>45946</v>
      </c>
      <c r="C92">
        <f t="shared" si="1"/>
        <v>9</v>
      </c>
    </row>
    <row r="93" spans="1:3" x14ac:dyDescent="0.2">
      <c r="A93" s="4">
        <v>45671</v>
      </c>
      <c r="B93" s="4">
        <v>45946</v>
      </c>
      <c r="C93">
        <f t="shared" si="1"/>
        <v>9</v>
      </c>
    </row>
    <row r="94" spans="1:3" x14ac:dyDescent="0.2">
      <c r="A94" s="4">
        <v>45671</v>
      </c>
      <c r="B94" s="4">
        <v>45946</v>
      </c>
      <c r="C94">
        <f t="shared" si="1"/>
        <v>9</v>
      </c>
    </row>
    <row r="95" spans="1:3" x14ac:dyDescent="0.2">
      <c r="A95" s="4">
        <v>45913</v>
      </c>
      <c r="B95" s="4">
        <v>45945</v>
      </c>
      <c r="C95">
        <f t="shared" si="1"/>
        <v>1</v>
      </c>
    </row>
    <row r="96" spans="1:3" x14ac:dyDescent="0.2">
      <c r="A96" s="4">
        <v>45292</v>
      </c>
      <c r="B96" s="4">
        <v>45945</v>
      </c>
      <c r="C96">
        <f t="shared" si="1"/>
        <v>21</v>
      </c>
    </row>
    <row r="97" spans="1:3" x14ac:dyDescent="0.2">
      <c r="A97" s="4">
        <v>45292</v>
      </c>
      <c r="B97" s="4">
        <v>45945</v>
      </c>
      <c r="C97">
        <f t="shared" si="1"/>
        <v>21</v>
      </c>
    </row>
    <row r="98" spans="1:3" x14ac:dyDescent="0.2">
      <c r="A98" s="4">
        <v>45271</v>
      </c>
      <c r="B98" s="4">
        <v>45943</v>
      </c>
      <c r="C98">
        <f t="shared" si="1"/>
        <v>22</v>
      </c>
    </row>
    <row r="99" spans="1:3" x14ac:dyDescent="0.2">
      <c r="A99" s="4">
        <v>45271</v>
      </c>
      <c r="B99" s="4">
        <v>45943</v>
      </c>
      <c r="C99">
        <f t="shared" si="1"/>
        <v>22</v>
      </c>
    </row>
    <row r="100" spans="1:3" x14ac:dyDescent="0.2">
      <c r="A100" s="4">
        <v>45275</v>
      </c>
      <c r="B100" s="4">
        <v>45947</v>
      </c>
      <c r="C100">
        <f t="shared" si="1"/>
        <v>22</v>
      </c>
    </row>
    <row r="101" spans="1:3" x14ac:dyDescent="0.2">
      <c r="A101" s="4">
        <v>45302</v>
      </c>
      <c r="B101" s="4">
        <v>45943</v>
      </c>
      <c r="C101">
        <f t="shared" si="1"/>
        <v>21</v>
      </c>
    </row>
    <row r="102" spans="1:3" x14ac:dyDescent="0.2">
      <c r="A102" s="4">
        <v>45302</v>
      </c>
      <c r="B102" s="4">
        <v>45943</v>
      </c>
      <c r="C102">
        <f t="shared" si="1"/>
        <v>21</v>
      </c>
    </row>
    <row r="103" spans="1:3" x14ac:dyDescent="0.2">
      <c r="A103" s="4">
        <v>45302</v>
      </c>
      <c r="B103" s="4">
        <v>45943</v>
      </c>
      <c r="C103">
        <f t="shared" si="1"/>
        <v>21</v>
      </c>
    </row>
    <row r="104" spans="1:3" x14ac:dyDescent="0.2">
      <c r="A104" s="4">
        <v>45366</v>
      </c>
      <c r="B104" s="4">
        <v>45947</v>
      </c>
      <c r="C104">
        <f t="shared" si="1"/>
        <v>19</v>
      </c>
    </row>
    <row r="105" spans="1:3" x14ac:dyDescent="0.2">
      <c r="A105" s="4">
        <v>45444</v>
      </c>
      <c r="B105" s="4">
        <v>45945</v>
      </c>
      <c r="C105">
        <f t="shared" si="1"/>
        <v>16</v>
      </c>
    </row>
    <row r="106" spans="1:3" x14ac:dyDescent="0.2">
      <c r="A106" s="4">
        <v>45482</v>
      </c>
      <c r="B106" s="4">
        <v>45943</v>
      </c>
      <c r="C106">
        <f t="shared" si="1"/>
        <v>15</v>
      </c>
    </row>
    <row r="107" spans="1:3" x14ac:dyDescent="0.2">
      <c r="A107" s="4">
        <v>45482</v>
      </c>
      <c r="B107" s="4">
        <v>45943</v>
      </c>
      <c r="C107">
        <f t="shared" si="1"/>
        <v>15</v>
      </c>
    </row>
    <row r="108" spans="1:3" x14ac:dyDescent="0.2">
      <c r="A108" s="4">
        <v>45609</v>
      </c>
      <c r="B108" s="4">
        <v>45945</v>
      </c>
      <c r="C108">
        <f t="shared" si="1"/>
        <v>11</v>
      </c>
    </row>
    <row r="109" spans="1:3" x14ac:dyDescent="0.2">
      <c r="A109" s="4">
        <v>45609</v>
      </c>
      <c r="B109" s="4">
        <v>45945</v>
      </c>
      <c r="C109">
        <f t="shared" si="1"/>
        <v>11</v>
      </c>
    </row>
    <row r="110" spans="1:3" x14ac:dyDescent="0.2">
      <c r="A110" s="4">
        <v>45609</v>
      </c>
      <c r="B110" s="4">
        <v>45945</v>
      </c>
      <c r="C110">
        <f t="shared" si="1"/>
        <v>11</v>
      </c>
    </row>
    <row r="111" spans="1:3" x14ac:dyDescent="0.2">
      <c r="A111" s="4">
        <v>45641</v>
      </c>
      <c r="B111" s="4">
        <v>45947</v>
      </c>
      <c r="C111">
        <f t="shared" si="1"/>
        <v>10</v>
      </c>
    </row>
    <row r="112" spans="1:3" x14ac:dyDescent="0.2">
      <c r="A112" s="4">
        <v>45641</v>
      </c>
      <c r="B112" s="4">
        <v>45947</v>
      </c>
      <c r="C112">
        <f t="shared" si="1"/>
        <v>10</v>
      </c>
    </row>
    <row r="113" spans="1:3" x14ac:dyDescent="0.2">
      <c r="A113" s="4">
        <v>45636</v>
      </c>
      <c r="B113" s="4">
        <v>45943</v>
      </c>
      <c r="C113">
        <f t="shared" si="1"/>
        <v>10</v>
      </c>
    </row>
    <row r="114" spans="1:3" x14ac:dyDescent="0.2">
      <c r="A114" s="4">
        <v>45636</v>
      </c>
      <c r="B114" s="4">
        <v>45943</v>
      </c>
      <c r="C114">
        <f t="shared" si="1"/>
        <v>10</v>
      </c>
    </row>
    <row r="115" spans="1:3" x14ac:dyDescent="0.2">
      <c r="A115" s="4">
        <v>45636</v>
      </c>
      <c r="B115" s="4">
        <v>45943</v>
      </c>
      <c r="C115">
        <f t="shared" si="1"/>
        <v>10</v>
      </c>
    </row>
    <row r="116" spans="1:3" x14ac:dyDescent="0.2">
      <c r="A116" s="4">
        <v>45639</v>
      </c>
      <c r="B116" s="4">
        <v>45945</v>
      </c>
      <c r="C116">
        <f t="shared" si="1"/>
        <v>10</v>
      </c>
    </row>
    <row r="117" spans="1:3" x14ac:dyDescent="0.2">
      <c r="A117" s="4">
        <v>45671</v>
      </c>
      <c r="B117" s="4">
        <v>45946</v>
      </c>
      <c r="C117">
        <f t="shared" si="1"/>
        <v>9</v>
      </c>
    </row>
    <row r="118" spans="1:3" x14ac:dyDescent="0.2">
      <c r="A118" s="4">
        <v>45671</v>
      </c>
      <c r="B118" s="4">
        <v>45946</v>
      </c>
      <c r="C118">
        <f t="shared" si="1"/>
        <v>9</v>
      </c>
    </row>
    <row r="119" spans="1:3" x14ac:dyDescent="0.2">
      <c r="A119" s="4">
        <v>45673</v>
      </c>
      <c r="B119" s="4">
        <v>45946</v>
      </c>
      <c r="C119">
        <f t="shared" si="1"/>
        <v>9</v>
      </c>
    </row>
    <row r="120" spans="1:3" x14ac:dyDescent="0.2">
      <c r="A120" s="4">
        <v>45726</v>
      </c>
      <c r="B120" s="4">
        <v>45943</v>
      </c>
      <c r="C120">
        <f t="shared" si="1"/>
        <v>7</v>
      </c>
    </row>
    <row r="121" spans="1:3" x14ac:dyDescent="0.2">
      <c r="A121" s="4">
        <v>45726</v>
      </c>
      <c r="B121" s="4">
        <v>45943</v>
      </c>
      <c r="C121">
        <f t="shared" si="1"/>
        <v>7</v>
      </c>
    </row>
    <row r="122" spans="1:3" x14ac:dyDescent="0.2">
      <c r="A122" s="4">
        <v>45726</v>
      </c>
      <c r="B122" s="4">
        <v>45943</v>
      </c>
      <c r="C122">
        <f t="shared" si="1"/>
        <v>7</v>
      </c>
    </row>
    <row r="123" spans="1:3" x14ac:dyDescent="0.2">
      <c r="A123" s="4">
        <v>45756</v>
      </c>
      <c r="B123" s="4">
        <v>45943</v>
      </c>
      <c r="C123">
        <f t="shared" si="1"/>
        <v>6</v>
      </c>
    </row>
    <row r="124" spans="1:3" x14ac:dyDescent="0.2">
      <c r="A124" s="4">
        <v>45756</v>
      </c>
      <c r="B124" s="4">
        <v>45943</v>
      </c>
      <c r="C124">
        <f t="shared" si="1"/>
        <v>6</v>
      </c>
    </row>
    <row r="125" spans="1:3" x14ac:dyDescent="0.2">
      <c r="A125" s="4">
        <v>45850</v>
      </c>
      <c r="B125" s="4">
        <v>45944</v>
      </c>
      <c r="C125">
        <f t="shared" si="1"/>
        <v>3</v>
      </c>
    </row>
    <row r="126" spans="1:3" x14ac:dyDescent="0.2">
      <c r="A126" s="4">
        <v>45850</v>
      </c>
      <c r="B126" s="4">
        <v>45944</v>
      </c>
      <c r="C126">
        <f t="shared" si="1"/>
        <v>3</v>
      </c>
    </row>
    <row r="127" spans="1:3" x14ac:dyDescent="0.2">
      <c r="A127" s="4">
        <v>45850</v>
      </c>
      <c r="B127" s="4">
        <v>45947</v>
      </c>
      <c r="C127">
        <f t="shared" si="1"/>
        <v>3</v>
      </c>
    </row>
    <row r="128" spans="1:3" x14ac:dyDescent="0.2">
      <c r="A128" s="4">
        <v>45850</v>
      </c>
      <c r="B128" s="4">
        <v>45947</v>
      </c>
      <c r="C128">
        <f t="shared" si="1"/>
        <v>3</v>
      </c>
    </row>
    <row r="129" spans="1:3" x14ac:dyDescent="0.2">
      <c r="A129" s="4">
        <v>45853</v>
      </c>
      <c r="B129" s="4">
        <v>45947</v>
      </c>
      <c r="C129">
        <f t="shared" si="1"/>
        <v>3</v>
      </c>
    </row>
    <row r="130" spans="1:3" x14ac:dyDescent="0.2">
      <c r="A130" s="4">
        <v>45853</v>
      </c>
      <c r="B130" s="4">
        <v>45947</v>
      </c>
      <c r="C130">
        <f t="shared" ref="C130:C193" si="2">DATEDIF(A130,B130,"M")</f>
        <v>3</v>
      </c>
    </row>
    <row r="131" spans="1:3" x14ac:dyDescent="0.2">
      <c r="A131" s="4">
        <v>45853</v>
      </c>
      <c r="B131" s="4">
        <v>45947</v>
      </c>
      <c r="C131">
        <f t="shared" si="2"/>
        <v>3</v>
      </c>
    </row>
    <row r="132" spans="1:3" x14ac:dyDescent="0.2">
      <c r="A132" s="4">
        <v>45910</v>
      </c>
      <c r="B132" s="4">
        <v>45943</v>
      </c>
      <c r="C132">
        <f t="shared" si="2"/>
        <v>1</v>
      </c>
    </row>
    <row r="133" spans="1:3" x14ac:dyDescent="0.2">
      <c r="A133" s="4">
        <v>45910</v>
      </c>
      <c r="B133" s="4">
        <v>45943</v>
      </c>
      <c r="C133">
        <f t="shared" si="2"/>
        <v>1</v>
      </c>
    </row>
    <row r="134" spans="1:3" x14ac:dyDescent="0.2">
      <c r="A134" s="4">
        <v>45945</v>
      </c>
      <c r="B134" s="4">
        <v>45947</v>
      </c>
      <c r="C134">
        <f t="shared" si="2"/>
        <v>0</v>
      </c>
    </row>
    <row r="135" spans="1:3" x14ac:dyDescent="0.2">
      <c r="A135" s="4">
        <v>45945</v>
      </c>
      <c r="B135" s="4">
        <v>45947</v>
      </c>
      <c r="C135">
        <f t="shared" si="2"/>
        <v>0</v>
      </c>
    </row>
    <row r="136" spans="1:3" x14ac:dyDescent="0.2">
      <c r="A136" s="4">
        <v>45517</v>
      </c>
      <c r="B136" s="4">
        <v>45945</v>
      </c>
      <c r="C136">
        <f t="shared" si="2"/>
        <v>14</v>
      </c>
    </row>
    <row r="137" spans="1:3" x14ac:dyDescent="0.2">
      <c r="A137" s="4">
        <v>45788</v>
      </c>
      <c r="B137" s="4">
        <v>45943</v>
      </c>
      <c r="C137">
        <f t="shared" si="2"/>
        <v>5</v>
      </c>
    </row>
    <row r="138" spans="1:3" x14ac:dyDescent="0.2">
      <c r="A138" s="4">
        <v>45874</v>
      </c>
      <c r="B138" s="4">
        <v>45946</v>
      </c>
      <c r="C138">
        <f t="shared" si="2"/>
        <v>2</v>
      </c>
    </row>
    <row r="139" spans="1:3" x14ac:dyDescent="0.2">
      <c r="A139" s="4">
        <v>45874</v>
      </c>
      <c r="B139" s="4">
        <v>45946</v>
      </c>
      <c r="C139">
        <f t="shared" si="2"/>
        <v>2</v>
      </c>
    </row>
    <row r="140" spans="1:3" x14ac:dyDescent="0.2">
      <c r="A140" s="4">
        <v>45882</v>
      </c>
      <c r="B140" s="4">
        <v>45945</v>
      </c>
      <c r="C140">
        <f t="shared" si="2"/>
        <v>2</v>
      </c>
    </row>
    <row r="141" spans="1:3" x14ac:dyDescent="0.2">
      <c r="A141" s="4">
        <v>45940</v>
      </c>
      <c r="B141" s="4">
        <v>45943</v>
      </c>
      <c r="C141">
        <f t="shared" si="2"/>
        <v>0</v>
      </c>
    </row>
    <row r="142" spans="1:3" x14ac:dyDescent="0.2">
      <c r="A142" s="4">
        <v>45940</v>
      </c>
      <c r="B142" s="4">
        <v>45943</v>
      </c>
      <c r="C142">
        <f t="shared" si="2"/>
        <v>0</v>
      </c>
    </row>
    <row r="143" spans="1:3" x14ac:dyDescent="0.2">
      <c r="A143" s="4">
        <v>45122</v>
      </c>
      <c r="B143" s="4">
        <v>45947</v>
      </c>
      <c r="C143">
        <f t="shared" si="2"/>
        <v>27</v>
      </c>
    </row>
    <row r="144" spans="1:3" x14ac:dyDescent="0.2">
      <c r="A144" s="4">
        <v>45427</v>
      </c>
      <c r="B144" s="4">
        <v>45947</v>
      </c>
      <c r="C144">
        <f t="shared" si="2"/>
        <v>17</v>
      </c>
    </row>
    <row r="145" spans="1:3" x14ac:dyDescent="0.2">
      <c r="A145" s="4">
        <v>45422</v>
      </c>
      <c r="B145" s="4">
        <v>45943</v>
      </c>
      <c r="C145">
        <f t="shared" si="2"/>
        <v>17</v>
      </c>
    </row>
    <row r="146" spans="1:3" x14ac:dyDescent="0.2">
      <c r="A146" s="4">
        <v>45422</v>
      </c>
      <c r="B146" s="4">
        <v>45943</v>
      </c>
      <c r="C146">
        <f t="shared" si="2"/>
        <v>17</v>
      </c>
    </row>
    <row r="147" spans="1:3" x14ac:dyDescent="0.2">
      <c r="A147" s="4">
        <v>45488</v>
      </c>
      <c r="B147" s="4">
        <v>45947</v>
      </c>
      <c r="C147">
        <f t="shared" si="2"/>
        <v>15</v>
      </c>
    </row>
    <row r="148" spans="1:3" x14ac:dyDescent="0.2">
      <c r="A148" s="4">
        <v>45547</v>
      </c>
      <c r="B148" s="4">
        <v>45944</v>
      </c>
      <c r="C148">
        <f t="shared" si="2"/>
        <v>13</v>
      </c>
    </row>
    <row r="149" spans="1:3" x14ac:dyDescent="0.2">
      <c r="A149" s="4">
        <v>45547</v>
      </c>
      <c r="B149" s="4">
        <v>45944</v>
      </c>
      <c r="C149">
        <f t="shared" si="2"/>
        <v>13</v>
      </c>
    </row>
    <row r="150" spans="1:3" x14ac:dyDescent="0.2">
      <c r="A150" s="4">
        <v>45577</v>
      </c>
      <c r="B150" s="4">
        <v>45944</v>
      </c>
      <c r="C150">
        <f t="shared" si="2"/>
        <v>12</v>
      </c>
    </row>
    <row r="151" spans="1:3" x14ac:dyDescent="0.2">
      <c r="A151" s="4">
        <v>45577</v>
      </c>
      <c r="B151" s="4">
        <v>45944</v>
      </c>
      <c r="C151">
        <f t="shared" si="2"/>
        <v>12</v>
      </c>
    </row>
    <row r="152" spans="1:3" x14ac:dyDescent="0.2">
      <c r="A152" s="4">
        <v>45638</v>
      </c>
      <c r="B152" s="4">
        <v>45944</v>
      </c>
      <c r="C152">
        <f t="shared" si="2"/>
        <v>10</v>
      </c>
    </row>
    <row r="153" spans="1:3" x14ac:dyDescent="0.2">
      <c r="A153" s="4">
        <v>45762</v>
      </c>
      <c r="B153" s="4">
        <v>45947</v>
      </c>
      <c r="C153">
        <f t="shared" si="2"/>
        <v>6</v>
      </c>
    </row>
    <row r="154" spans="1:3" x14ac:dyDescent="0.2">
      <c r="A154" s="4">
        <v>45762</v>
      </c>
      <c r="B154" s="4">
        <v>45947</v>
      </c>
      <c r="C154">
        <f t="shared" si="2"/>
        <v>6</v>
      </c>
    </row>
    <row r="155" spans="1:3" x14ac:dyDescent="0.2">
      <c r="A155" s="4">
        <v>45092</v>
      </c>
      <c r="B155" s="4">
        <v>45947</v>
      </c>
      <c r="C155">
        <f t="shared" si="2"/>
        <v>28</v>
      </c>
    </row>
    <row r="156" spans="1:3" x14ac:dyDescent="0.2">
      <c r="A156" s="4">
        <v>45092</v>
      </c>
      <c r="B156" s="4">
        <v>45947</v>
      </c>
      <c r="C156">
        <f t="shared" si="2"/>
        <v>28</v>
      </c>
    </row>
    <row r="157" spans="1:3" x14ac:dyDescent="0.2">
      <c r="A157" s="4">
        <v>45118</v>
      </c>
      <c r="B157" s="4">
        <v>45943</v>
      </c>
      <c r="C157">
        <f t="shared" si="2"/>
        <v>27</v>
      </c>
    </row>
    <row r="158" spans="1:3" x14ac:dyDescent="0.2">
      <c r="A158" s="4">
        <v>45118</v>
      </c>
      <c r="B158" s="4">
        <v>45943</v>
      </c>
      <c r="C158">
        <f t="shared" si="2"/>
        <v>27</v>
      </c>
    </row>
    <row r="159" spans="1:3" x14ac:dyDescent="0.2">
      <c r="A159" s="4">
        <v>45122</v>
      </c>
      <c r="B159" s="4">
        <v>45947</v>
      </c>
      <c r="C159">
        <f t="shared" si="2"/>
        <v>27</v>
      </c>
    </row>
    <row r="160" spans="1:3" x14ac:dyDescent="0.2">
      <c r="A160" s="4">
        <v>45122</v>
      </c>
      <c r="B160" s="4">
        <v>45947</v>
      </c>
      <c r="C160">
        <f t="shared" si="2"/>
        <v>27</v>
      </c>
    </row>
    <row r="161" spans="1:3" x14ac:dyDescent="0.2">
      <c r="A161" s="4">
        <v>45275</v>
      </c>
      <c r="B161" s="4">
        <v>45947</v>
      </c>
      <c r="C161">
        <f t="shared" si="2"/>
        <v>22</v>
      </c>
    </row>
    <row r="162" spans="1:3" x14ac:dyDescent="0.2">
      <c r="A162" s="4">
        <v>45306</v>
      </c>
      <c r="B162" s="4">
        <v>45947</v>
      </c>
      <c r="C162">
        <f t="shared" si="2"/>
        <v>21</v>
      </c>
    </row>
    <row r="163" spans="1:3" x14ac:dyDescent="0.2">
      <c r="A163" s="4">
        <v>45306</v>
      </c>
      <c r="B163" s="4">
        <v>45947</v>
      </c>
      <c r="C163">
        <f t="shared" si="2"/>
        <v>21</v>
      </c>
    </row>
    <row r="164" spans="1:3" x14ac:dyDescent="0.2">
      <c r="A164" s="4">
        <v>45306</v>
      </c>
      <c r="B164" s="4">
        <v>45947</v>
      </c>
      <c r="C164">
        <f t="shared" si="2"/>
        <v>21</v>
      </c>
    </row>
    <row r="165" spans="1:3" x14ac:dyDescent="0.2">
      <c r="A165" s="4">
        <v>45458</v>
      </c>
      <c r="B165" s="4">
        <v>45947</v>
      </c>
      <c r="C165">
        <f t="shared" si="2"/>
        <v>16</v>
      </c>
    </row>
    <row r="166" spans="1:3" x14ac:dyDescent="0.2">
      <c r="A166" s="4">
        <v>45487</v>
      </c>
      <c r="B166" s="4">
        <v>45946</v>
      </c>
      <c r="C166">
        <f t="shared" si="2"/>
        <v>15</v>
      </c>
    </row>
    <row r="167" spans="1:3" x14ac:dyDescent="0.2">
      <c r="A167" s="4">
        <v>45487</v>
      </c>
      <c r="B167" s="4">
        <v>45946</v>
      </c>
      <c r="C167">
        <f t="shared" si="2"/>
        <v>15</v>
      </c>
    </row>
    <row r="168" spans="1:3" x14ac:dyDescent="0.2">
      <c r="A168" s="4">
        <v>45517</v>
      </c>
      <c r="B168" s="4">
        <v>45945</v>
      </c>
      <c r="C168">
        <f t="shared" si="2"/>
        <v>14</v>
      </c>
    </row>
    <row r="169" spans="1:3" x14ac:dyDescent="0.2">
      <c r="A169" s="4">
        <v>45517</v>
      </c>
      <c r="B169" s="4">
        <v>45945</v>
      </c>
      <c r="C169">
        <f t="shared" si="2"/>
        <v>14</v>
      </c>
    </row>
    <row r="170" spans="1:3" x14ac:dyDescent="0.2">
      <c r="A170" s="4">
        <v>45611</v>
      </c>
      <c r="B170" s="4">
        <v>45947</v>
      </c>
      <c r="C170">
        <f t="shared" si="2"/>
        <v>11</v>
      </c>
    </row>
    <row r="171" spans="1:3" x14ac:dyDescent="0.2">
      <c r="A171" s="4">
        <v>45882</v>
      </c>
      <c r="B171" s="4">
        <v>45945</v>
      </c>
      <c r="C171">
        <f t="shared" si="2"/>
        <v>2</v>
      </c>
    </row>
    <row r="172" spans="1:3" x14ac:dyDescent="0.2">
      <c r="A172" s="4">
        <v>45882</v>
      </c>
      <c r="B172" s="4">
        <v>45945</v>
      </c>
      <c r="C172">
        <f t="shared" si="2"/>
        <v>2</v>
      </c>
    </row>
    <row r="173" spans="1:3" x14ac:dyDescent="0.2">
      <c r="A173" s="4">
        <v>45915</v>
      </c>
      <c r="B173" s="4">
        <v>45947</v>
      </c>
      <c r="C173">
        <f t="shared" si="2"/>
        <v>1</v>
      </c>
    </row>
    <row r="174" spans="1:3" x14ac:dyDescent="0.2">
      <c r="A174" s="4">
        <v>45243</v>
      </c>
      <c r="B174" s="4">
        <v>45945</v>
      </c>
      <c r="C174">
        <f t="shared" si="2"/>
        <v>23</v>
      </c>
    </row>
    <row r="175" spans="1:3" x14ac:dyDescent="0.2">
      <c r="A175" s="4">
        <v>45243</v>
      </c>
      <c r="B175" s="4">
        <v>45945</v>
      </c>
      <c r="C175">
        <f t="shared" si="2"/>
        <v>23</v>
      </c>
    </row>
    <row r="176" spans="1:3" x14ac:dyDescent="0.2">
      <c r="A176" s="4">
        <v>45758</v>
      </c>
      <c r="B176" s="4">
        <v>45943</v>
      </c>
      <c r="C176">
        <f t="shared" si="2"/>
        <v>6</v>
      </c>
    </row>
    <row r="177" spans="1:3" x14ac:dyDescent="0.2">
      <c r="A177" s="4">
        <v>45758</v>
      </c>
      <c r="B177" s="4">
        <v>45943</v>
      </c>
      <c r="C177">
        <f t="shared" si="2"/>
        <v>6</v>
      </c>
    </row>
    <row r="178" spans="1:3" x14ac:dyDescent="0.2">
      <c r="A178" s="4">
        <v>45758</v>
      </c>
      <c r="B178" s="4">
        <v>45943</v>
      </c>
      <c r="C178">
        <f t="shared" si="2"/>
        <v>6</v>
      </c>
    </row>
    <row r="179" spans="1:3" x14ac:dyDescent="0.2">
      <c r="A179" s="4">
        <v>45517</v>
      </c>
      <c r="B179" s="4">
        <v>45945</v>
      </c>
      <c r="C179">
        <f t="shared" si="2"/>
        <v>14</v>
      </c>
    </row>
    <row r="180" spans="1:3" x14ac:dyDescent="0.2">
      <c r="A180" s="4">
        <v>45517</v>
      </c>
      <c r="B180" s="4">
        <v>45945</v>
      </c>
      <c r="C180">
        <f t="shared" si="2"/>
        <v>14</v>
      </c>
    </row>
    <row r="181" spans="1:3" x14ac:dyDescent="0.2">
      <c r="A181" s="4">
        <v>45729</v>
      </c>
      <c r="B181" s="4">
        <v>45945</v>
      </c>
      <c r="C181">
        <f t="shared" si="2"/>
        <v>7</v>
      </c>
    </row>
    <row r="182" spans="1:3" x14ac:dyDescent="0.2">
      <c r="A182" s="4">
        <v>45729</v>
      </c>
      <c r="B182" s="4">
        <v>45945</v>
      </c>
      <c r="C182">
        <f t="shared" si="2"/>
        <v>7</v>
      </c>
    </row>
    <row r="183" spans="1:3" x14ac:dyDescent="0.2">
      <c r="A183" s="4">
        <v>45729</v>
      </c>
      <c r="B183" s="4">
        <v>45945</v>
      </c>
      <c r="C183">
        <f t="shared" si="2"/>
        <v>7</v>
      </c>
    </row>
    <row r="184" spans="1:3" x14ac:dyDescent="0.2">
      <c r="A184" s="4">
        <v>45517</v>
      </c>
      <c r="B184" s="4">
        <v>45945</v>
      </c>
      <c r="C184">
        <f t="shared" si="2"/>
        <v>14</v>
      </c>
    </row>
    <row r="185" spans="1:3" x14ac:dyDescent="0.2">
      <c r="A185" s="4">
        <v>45517</v>
      </c>
      <c r="B185" s="4">
        <v>45945</v>
      </c>
      <c r="C185">
        <f t="shared" si="2"/>
        <v>14</v>
      </c>
    </row>
    <row r="186" spans="1:3" x14ac:dyDescent="0.2">
      <c r="A186" s="4">
        <v>45517</v>
      </c>
      <c r="B186" s="4">
        <v>45945</v>
      </c>
      <c r="C186">
        <f t="shared" si="2"/>
        <v>14</v>
      </c>
    </row>
    <row r="187" spans="1:3" x14ac:dyDescent="0.2">
      <c r="A187" s="4">
        <v>45517</v>
      </c>
      <c r="B187" s="4">
        <v>45945</v>
      </c>
      <c r="C187">
        <f t="shared" si="2"/>
        <v>14</v>
      </c>
    </row>
    <row r="188" spans="1:3" x14ac:dyDescent="0.2">
      <c r="A188" s="4">
        <v>45518</v>
      </c>
      <c r="B188" s="4">
        <v>45946</v>
      </c>
      <c r="C188">
        <f t="shared" si="2"/>
        <v>14</v>
      </c>
    </row>
    <row r="189" spans="1:3" x14ac:dyDescent="0.2">
      <c r="A189" s="4">
        <v>45518</v>
      </c>
      <c r="B189" s="4">
        <v>45946</v>
      </c>
      <c r="C189">
        <f t="shared" si="2"/>
        <v>14</v>
      </c>
    </row>
    <row r="190" spans="1:3" x14ac:dyDescent="0.2">
      <c r="A190" s="4">
        <v>45518</v>
      </c>
      <c r="B190" s="4">
        <v>45946</v>
      </c>
      <c r="C190">
        <f t="shared" si="2"/>
        <v>14</v>
      </c>
    </row>
    <row r="191" spans="1:3" x14ac:dyDescent="0.2">
      <c r="A191" s="4">
        <v>45550</v>
      </c>
      <c r="B191" s="4">
        <v>45947</v>
      </c>
      <c r="C191">
        <f t="shared" si="2"/>
        <v>13</v>
      </c>
    </row>
    <row r="192" spans="1:3" x14ac:dyDescent="0.2">
      <c r="A192" s="4">
        <v>45566</v>
      </c>
      <c r="B192" s="4">
        <v>45943</v>
      </c>
      <c r="C192">
        <f t="shared" si="2"/>
        <v>12</v>
      </c>
    </row>
    <row r="193" spans="1:3" x14ac:dyDescent="0.2">
      <c r="A193" s="4">
        <v>45566</v>
      </c>
      <c r="B193" s="4">
        <v>45943</v>
      </c>
      <c r="C193">
        <f t="shared" si="2"/>
        <v>12</v>
      </c>
    </row>
    <row r="194" spans="1:3" x14ac:dyDescent="0.2">
      <c r="A194" s="4">
        <v>45574</v>
      </c>
      <c r="B194" s="4">
        <v>45943</v>
      </c>
      <c r="C194">
        <f t="shared" ref="C194:C257" si="3">DATEDIF(A194,B194,"M")</f>
        <v>12</v>
      </c>
    </row>
    <row r="195" spans="1:3" x14ac:dyDescent="0.2">
      <c r="A195" s="4">
        <v>45574</v>
      </c>
      <c r="B195" s="4">
        <v>45943</v>
      </c>
      <c r="C195">
        <f t="shared" si="3"/>
        <v>12</v>
      </c>
    </row>
    <row r="196" spans="1:3" x14ac:dyDescent="0.2">
      <c r="A196" s="4">
        <v>45597</v>
      </c>
      <c r="B196" s="4">
        <v>45943</v>
      </c>
      <c r="C196">
        <f t="shared" si="3"/>
        <v>11</v>
      </c>
    </row>
    <row r="197" spans="1:3" x14ac:dyDescent="0.2">
      <c r="A197" s="4">
        <v>45597</v>
      </c>
      <c r="B197" s="4">
        <v>45943</v>
      </c>
      <c r="C197">
        <f t="shared" si="3"/>
        <v>11</v>
      </c>
    </row>
    <row r="198" spans="1:3" x14ac:dyDescent="0.2">
      <c r="A198" s="4">
        <v>45597</v>
      </c>
      <c r="B198" s="4">
        <v>45943</v>
      </c>
      <c r="C198">
        <f t="shared" si="3"/>
        <v>11</v>
      </c>
    </row>
    <row r="199" spans="1:3" x14ac:dyDescent="0.2">
      <c r="A199" s="4">
        <v>45597</v>
      </c>
      <c r="B199" s="4">
        <v>45943</v>
      </c>
      <c r="C199">
        <f t="shared" si="3"/>
        <v>11</v>
      </c>
    </row>
    <row r="200" spans="1:3" x14ac:dyDescent="0.2">
      <c r="A200" s="4">
        <v>45611</v>
      </c>
      <c r="B200" s="4">
        <v>45947</v>
      </c>
      <c r="C200">
        <f t="shared" si="3"/>
        <v>11</v>
      </c>
    </row>
    <row r="201" spans="1:3" x14ac:dyDescent="0.2">
      <c r="A201" s="4">
        <v>45611</v>
      </c>
      <c r="B201" s="4">
        <v>45947</v>
      </c>
      <c r="C201">
        <f t="shared" si="3"/>
        <v>11</v>
      </c>
    </row>
    <row r="202" spans="1:3" x14ac:dyDescent="0.2">
      <c r="A202" s="4">
        <v>45608</v>
      </c>
      <c r="B202" s="4">
        <v>45944</v>
      </c>
      <c r="C202">
        <f t="shared" si="3"/>
        <v>11</v>
      </c>
    </row>
    <row r="203" spans="1:3" x14ac:dyDescent="0.2">
      <c r="A203" s="4">
        <v>45670</v>
      </c>
      <c r="B203" s="4">
        <v>45945</v>
      </c>
      <c r="C203">
        <f t="shared" si="3"/>
        <v>9</v>
      </c>
    </row>
    <row r="204" spans="1:3" x14ac:dyDescent="0.2">
      <c r="A204" s="4">
        <v>45670</v>
      </c>
      <c r="B204" s="4">
        <v>45945</v>
      </c>
      <c r="C204">
        <f t="shared" si="3"/>
        <v>9</v>
      </c>
    </row>
    <row r="205" spans="1:3" x14ac:dyDescent="0.2">
      <c r="A205" s="4">
        <v>45672</v>
      </c>
      <c r="B205" s="4">
        <v>45947</v>
      </c>
      <c r="C205">
        <f t="shared" si="3"/>
        <v>9</v>
      </c>
    </row>
    <row r="206" spans="1:3" x14ac:dyDescent="0.2">
      <c r="A206" s="4">
        <v>45672</v>
      </c>
      <c r="B206" s="4">
        <v>45947</v>
      </c>
      <c r="C206">
        <f t="shared" si="3"/>
        <v>9</v>
      </c>
    </row>
    <row r="207" spans="1:3" x14ac:dyDescent="0.2">
      <c r="A207" s="4">
        <v>45672</v>
      </c>
      <c r="B207" s="4">
        <v>45947</v>
      </c>
      <c r="C207">
        <f t="shared" si="3"/>
        <v>9</v>
      </c>
    </row>
    <row r="208" spans="1:3" x14ac:dyDescent="0.2">
      <c r="A208" s="4">
        <v>45728</v>
      </c>
      <c r="B208" s="4">
        <v>45944</v>
      </c>
      <c r="C208">
        <f t="shared" si="3"/>
        <v>7</v>
      </c>
    </row>
    <row r="209" spans="1:3" x14ac:dyDescent="0.2">
      <c r="A209" s="4">
        <v>45728</v>
      </c>
      <c r="B209" s="4">
        <v>45944</v>
      </c>
      <c r="C209">
        <f t="shared" si="3"/>
        <v>7</v>
      </c>
    </row>
    <row r="210" spans="1:3" x14ac:dyDescent="0.2">
      <c r="A210" s="4">
        <v>45762</v>
      </c>
      <c r="B210" s="4">
        <v>45947</v>
      </c>
      <c r="C210">
        <f t="shared" si="3"/>
        <v>6</v>
      </c>
    </row>
    <row r="211" spans="1:3" x14ac:dyDescent="0.2">
      <c r="A211" s="4">
        <v>45762</v>
      </c>
      <c r="B211" s="4">
        <v>45947</v>
      </c>
      <c r="C211">
        <f t="shared" si="3"/>
        <v>6</v>
      </c>
    </row>
    <row r="212" spans="1:3" x14ac:dyDescent="0.2">
      <c r="A212" s="4">
        <v>45787</v>
      </c>
      <c r="B212" s="4">
        <v>45943</v>
      </c>
      <c r="C212">
        <f t="shared" si="3"/>
        <v>5</v>
      </c>
    </row>
    <row r="213" spans="1:3" x14ac:dyDescent="0.2">
      <c r="A213" s="4">
        <v>45787</v>
      </c>
      <c r="B213" s="4">
        <v>45943</v>
      </c>
      <c r="C213">
        <f t="shared" si="3"/>
        <v>5</v>
      </c>
    </row>
    <row r="214" spans="1:3" x14ac:dyDescent="0.2">
      <c r="A214" s="4">
        <v>45822</v>
      </c>
      <c r="B214" s="4">
        <v>45946</v>
      </c>
      <c r="C214">
        <f t="shared" si="3"/>
        <v>4</v>
      </c>
    </row>
    <row r="215" spans="1:3" x14ac:dyDescent="0.2">
      <c r="A215" s="4">
        <v>45849</v>
      </c>
      <c r="B215" s="4">
        <v>45943</v>
      </c>
      <c r="C215">
        <f t="shared" si="3"/>
        <v>3</v>
      </c>
    </row>
    <row r="216" spans="1:3" x14ac:dyDescent="0.2">
      <c r="A216" s="4">
        <v>45849</v>
      </c>
      <c r="B216" s="4">
        <v>45943</v>
      </c>
      <c r="C216">
        <f t="shared" si="3"/>
        <v>3</v>
      </c>
    </row>
    <row r="217" spans="1:3" x14ac:dyDescent="0.2">
      <c r="A217" s="4">
        <v>45853</v>
      </c>
      <c r="B217" s="4">
        <v>45947</v>
      </c>
      <c r="C217">
        <f t="shared" si="3"/>
        <v>3</v>
      </c>
    </row>
    <row r="218" spans="1:3" x14ac:dyDescent="0.2">
      <c r="A218" s="4">
        <v>45878</v>
      </c>
      <c r="B218" s="4">
        <v>45943</v>
      </c>
      <c r="C218">
        <f t="shared" si="3"/>
        <v>2</v>
      </c>
    </row>
    <row r="219" spans="1:3" x14ac:dyDescent="0.2">
      <c r="A219" s="4">
        <v>45878</v>
      </c>
      <c r="B219" s="4">
        <v>45943</v>
      </c>
      <c r="C219">
        <f t="shared" si="3"/>
        <v>2</v>
      </c>
    </row>
    <row r="220" spans="1:3" x14ac:dyDescent="0.2">
      <c r="A220" s="4">
        <v>45941</v>
      </c>
      <c r="B220" s="4">
        <v>45943</v>
      </c>
      <c r="C220">
        <f t="shared" si="3"/>
        <v>0</v>
      </c>
    </row>
    <row r="221" spans="1:3" x14ac:dyDescent="0.2">
      <c r="A221" s="4">
        <v>45941</v>
      </c>
      <c r="B221" s="4">
        <v>45943</v>
      </c>
      <c r="C221">
        <f t="shared" si="3"/>
        <v>0</v>
      </c>
    </row>
    <row r="222" spans="1:3" x14ac:dyDescent="0.2">
      <c r="A222" s="4">
        <v>45366</v>
      </c>
      <c r="B222" s="4">
        <v>45947</v>
      </c>
      <c r="C222">
        <f t="shared" si="3"/>
        <v>19</v>
      </c>
    </row>
    <row r="223" spans="1:3" x14ac:dyDescent="0.2">
      <c r="A223" s="4">
        <v>45366</v>
      </c>
      <c r="B223" s="4">
        <v>45947</v>
      </c>
      <c r="C223">
        <f t="shared" si="3"/>
        <v>19</v>
      </c>
    </row>
    <row r="224" spans="1:3" x14ac:dyDescent="0.2">
      <c r="A224" s="4">
        <v>45483</v>
      </c>
      <c r="B224" s="4">
        <v>45943</v>
      </c>
      <c r="C224">
        <f t="shared" si="3"/>
        <v>15</v>
      </c>
    </row>
    <row r="225" spans="1:3" x14ac:dyDescent="0.2">
      <c r="A225" s="4">
        <v>45483</v>
      </c>
      <c r="B225" s="4">
        <v>45943</v>
      </c>
      <c r="C225">
        <f t="shared" si="3"/>
        <v>15</v>
      </c>
    </row>
    <row r="226" spans="1:3" x14ac:dyDescent="0.2">
      <c r="A226" s="4">
        <v>45761</v>
      </c>
      <c r="B226" s="4">
        <v>45946</v>
      </c>
      <c r="C226">
        <f t="shared" si="3"/>
        <v>6</v>
      </c>
    </row>
    <row r="227" spans="1:3" x14ac:dyDescent="0.2">
      <c r="A227" s="4">
        <v>45880</v>
      </c>
      <c r="B227" s="4">
        <v>45943</v>
      </c>
      <c r="C227">
        <f t="shared" si="3"/>
        <v>2</v>
      </c>
    </row>
    <row r="228" spans="1:3" x14ac:dyDescent="0.2">
      <c r="A228" s="4">
        <v>45786</v>
      </c>
      <c r="B228" s="4">
        <v>45943</v>
      </c>
      <c r="C228">
        <f t="shared" si="3"/>
        <v>5</v>
      </c>
    </row>
    <row r="229" spans="1:3" x14ac:dyDescent="0.2">
      <c r="A229" s="4">
        <v>45786</v>
      </c>
      <c r="B229" s="4">
        <v>45943</v>
      </c>
      <c r="C229">
        <f t="shared" si="3"/>
        <v>5</v>
      </c>
    </row>
    <row r="230" spans="1:3" x14ac:dyDescent="0.2">
      <c r="A230" s="4">
        <v>45786</v>
      </c>
      <c r="B230" s="4">
        <v>45943</v>
      </c>
      <c r="C230">
        <f t="shared" si="3"/>
        <v>5</v>
      </c>
    </row>
    <row r="231" spans="1:3" x14ac:dyDescent="0.2">
      <c r="A231" s="4">
        <v>45786</v>
      </c>
      <c r="B231" s="4">
        <v>45943</v>
      </c>
      <c r="C231">
        <f t="shared" si="3"/>
        <v>5</v>
      </c>
    </row>
    <row r="232" spans="1:3" x14ac:dyDescent="0.2">
      <c r="A232" s="4">
        <v>45792</v>
      </c>
      <c r="B232" s="4">
        <v>45947</v>
      </c>
      <c r="C232">
        <f t="shared" si="3"/>
        <v>5</v>
      </c>
    </row>
    <row r="233" spans="1:3" x14ac:dyDescent="0.2">
      <c r="A233" s="4">
        <v>45792</v>
      </c>
      <c r="B233" s="4">
        <v>45947</v>
      </c>
      <c r="C233">
        <f t="shared" si="3"/>
        <v>5</v>
      </c>
    </row>
    <row r="234" spans="1:3" x14ac:dyDescent="0.2">
      <c r="A234" s="4">
        <v>45792</v>
      </c>
      <c r="B234" s="4">
        <v>45947</v>
      </c>
      <c r="C234">
        <f t="shared" si="3"/>
        <v>5</v>
      </c>
    </row>
    <row r="235" spans="1:3" x14ac:dyDescent="0.2">
      <c r="A235" s="4">
        <v>45792</v>
      </c>
      <c r="B235" s="4">
        <v>45947</v>
      </c>
      <c r="C235">
        <f t="shared" si="3"/>
        <v>5</v>
      </c>
    </row>
    <row r="236" spans="1:3" x14ac:dyDescent="0.2">
      <c r="A236" s="4">
        <v>45819</v>
      </c>
      <c r="B236" s="4">
        <v>45943</v>
      </c>
      <c r="C236">
        <f t="shared" si="3"/>
        <v>4</v>
      </c>
    </row>
    <row r="237" spans="1:3" x14ac:dyDescent="0.2">
      <c r="A237" s="4">
        <v>45819</v>
      </c>
      <c r="B237" s="4">
        <v>45943</v>
      </c>
      <c r="C237">
        <f t="shared" si="3"/>
        <v>4</v>
      </c>
    </row>
    <row r="238" spans="1:3" x14ac:dyDescent="0.2">
      <c r="A238" s="4">
        <v>45820</v>
      </c>
      <c r="B238" s="4">
        <v>45944</v>
      </c>
      <c r="C238">
        <f t="shared" si="3"/>
        <v>4</v>
      </c>
    </row>
    <row r="239" spans="1:3" x14ac:dyDescent="0.2">
      <c r="A239" s="4">
        <v>45904</v>
      </c>
      <c r="B239" s="4">
        <v>45945</v>
      </c>
      <c r="C239">
        <f t="shared" si="3"/>
        <v>1</v>
      </c>
    </row>
    <row r="240" spans="1:3" x14ac:dyDescent="0.2">
      <c r="A240" s="4">
        <v>45931</v>
      </c>
      <c r="B240" s="4">
        <v>45943</v>
      </c>
      <c r="C240">
        <f t="shared" si="3"/>
        <v>0</v>
      </c>
    </row>
    <row r="241" spans="1:3" x14ac:dyDescent="0.2">
      <c r="A241" s="4">
        <v>45931</v>
      </c>
      <c r="B241" s="4">
        <v>45943</v>
      </c>
      <c r="C241">
        <f t="shared" si="3"/>
        <v>0</v>
      </c>
    </row>
    <row r="242" spans="1:3" x14ac:dyDescent="0.2">
      <c r="A242" s="4">
        <v>45641</v>
      </c>
      <c r="B242" s="4">
        <v>45947</v>
      </c>
      <c r="C242">
        <f t="shared" si="3"/>
        <v>10</v>
      </c>
    </row>
    <row r="243" spans="1:3" x14ac:dyDescent="0.2">
      <c r="A243" s="4">
        <v>45641</v>
      </c>
      <c r="B243" s="4">
        <v>45947</v>
      </c>
      <c r="C243">
        <f t="shared" si="3"/>
        <v>10</v>
      </c>
    </row>
    <row r="244" spans="1:3" x14ac:dyDescent="0.2">
      <c r="A244" s="4">
        <v>45878</v>
      </c>
      <c r="B244" s="4">
        <v>45943</v>
      </c>
      <c r="C244">
        <f t="shared" si="3"/>
        <v>2</v>
      </c>
    </row>
    <row r="245" spans="1:3" x14ac:dyDescent="0.2">
      <c r="A245" s="4">
        <v>45485</v>
      </c>
      <c r="B245" s="4">
        <v>45943</v>
      </c>
      <c r="C245">
        <f t="shared" si="3"/>
        <v>15</v>
      </c>
    </row>
    <row r="246" spans="1:3" x14ac:dyDescent="0.2">
      <c r="A246" s="4">
        <v>45485</v>
      </c>
      <c r="B246" s="4">
        <v>45943</v>
      </c>
      <c r="C246">
        <f t="shared" si="3"/>
        <v>15</v>
      </c>
    </row>
    <row r="247" spans="1:3" x14ac:dyDescent="0.2">
      <c r="A247" s="4">
        <v>45486</v>
      </c>
      <c r="B247" s="4">
        <v>45945</v>
      </c>
      <c r="C247">
        <f t="shared" si="3"/>
        <v>15</v>
      </c>
    </row>
    <row r="248" spans="1:3" x14ac:dyDescent="0.2">
      <c r="A248" s="4">
        <v>45546</v>
      </c>
      <c r="B248" s="4">
        <v>45943</v>
      </c>
      <c r="C248">
        <f t="shared" si="3"/>
        <v>13</v>
      </c>
    </row>
    <row r="249" spans="1:3" x14ac:dyDescent="0.2">
      <c r="A249" s="4">
        <v>45577</v>
      </c>
      <c r="B249" s="4">
        <v>45944</v>
      </c>
      <c r="C249">
        <f t="shared" si="3"/>
        <v>12</v>
      </c>
    </row>
    <row r="250" spans="1:3" x14ac:dyDescent="0.2">
      <c r="A250" s="4">
        <v>45577</v>
      </c>
      <c r="B250" s="4">
        <v>45944</v>
      </c>
      <c r="C250">
        <f t="shared" si="3"/>
        <v>12</v>
      </c>
    </row>
    <row r="251" spans="1:3" x14ac:dyDescent="0.2">
      <c r="A251" s="4">
        <v>45792</v>
      </c>
      <c r="B251" s="4">
        <v>45947</v>
      </c>
      <c r="C251">
        <f t="shared" si="3"/>
        <v>5</v>
      </c>
    </row>
    <row r="252" spans="1:3" x14ac:dyDescent="0.2">
      <c r="A252" s="4">
        <v>45792</v>
      </c>
      <c r="B252" s="4">
        <v>45947</v>
      </c>
      <c r="C252">
        <f t="shared" si="3"/>
        <v>5</v>
      </c>
    </row>
    <row r="253" spans="1:3" x14ac:dyDescent="0.2">
      <c r="A253" s="4">
        <v>45792</v>
      </c>
      <c r="B253" s="4">
        <v>45947</v>
      </c>
      <c r="C253">
        <f t="shared" si="3"/>
        <v>5</v>
      </c>
    </row>
    <row r="254" spans="1:3" x14ac:dyDescent="0.2">
      <c r="A254" s="4">
        <v>45792</v>
      </c>
      <c r="B254" s="4">
        <v>45947</v>
      </c>
      <c r="C254">
        <f t="shared" si="3"/>
        <v>5</v>
      </c>
    </row>
    <row r="255" spans="1:3" x14ac:dyDescent="0.2">
      <c r="A255" s="4">
        <v>45817</v>
      </c>
      <c r="B255" s="4">
        <v>45943</v>
      </c>
      <c r="C255">
        <f t="shared" si="3"/>
        <v>4</v>
      </c>
    </row>
    <row r="256" spans="1:3" x14ac:dyDescent="0.2">
      <c r="A256" s="4">
        <v>45817</v>
      </c>
      <c r="B256" s="4">
        <v>45943</v>
      </c>
      <c r="C256">
        <f t="shared" si="3"/>
        <v>4</v>
      </c>
    </row>
    <row r="257" spans="1:3" x14ac:dyDescent="0.2">
      <c r="A257" s="4">
        <v>45910</v>
      </c>
      <c r="B257" s="4">
        <v>45943</v>
      </c>
      <c r="C257">
        <f t="shared" si="3"/>
        <v>1</v>
      </c>
    </row>
    <row r="258" spans="1:3" x14ac:dyDescent="0.2">
      <c r="A258" s="4">
        <v>45944</v>
      </c>
      <c r="B258" s="4">
        <v>45946</v>
      </c>
      <c r="C258">
        <f t="shared" ref="C258:C321" si="4">DATEDIF(A258,B258,"M")</f>
        <v>0</v>
      </c>
    </row>
    <row r="259" spans="1:3" x14ac:dyDescent="0.2">
      <c r="A259" s="4">
        <v>45945</v>
      </c>
      <c r="B259" s="4">
        <v>45947</v>
      </c>
      <c r="C259">
        <f t="shared" si="4"/>
        <v>0</v>
      </c>
    </row>
    <row r="260" spans="1:3" x14ac:dyDescent="0.2">
      <c r="A260" s="4">
        <v>45945</v>
      </c>
      <c r="B260" s="4">
        <v>45947</v>
      </c>
      <c r="C260">
        <f t="shared" si="4"/>
        <v>0</v>
      </c>
    </row>
    <row r="261" spans="1:3" x14ac:dyDescent="0.2">
      <c r="A261" s="4">
        <v>45945</v>
      </c>
      <c r="B261" s="4">
        <v>45947</v>
      </c>
      <c r="C261">
        <f t="shared" si="4"/>
        <v>0</v>
      </c>
    </row>
    <row r="262" spans="1:3" x14ac:dyDescent="0.2">
      <c r="A262" s="4">
        <v>45787</v>
      </c>
      <c r="B262" s="4">
        <v>45943</v>
      </c>
      <c r="C262">
        <f t="shared" si="4"/>
        <v>5</v>
      </c>
    </row>
    <row r="263" spans="1:3" x14ac:dyDescent="0.2">
      <c r="A263" s="4">
        <v>45787</v>
      </c>
      <c r="B263" s="4">
        <v>45943</v>
      </c>
      <c r="C263">
        <f t="shared" si="4"/>
        <v>5</v>
      </c>
    </row>
    <row r="264" spans="1:3" x14ac:dyDescent="0.2">
      <c r="A264" s="4">
        <v>45456</v>
      </c>
      <c r="B264" s="4">
        <v>45945</v>
      </c>
      <c r="C264">
        <f t="shared" si="4"/>
        <v>16</v>
      </c>
    </row>
    <row r="265" spans="1:3" x14ac:dyDescent="0.2">
      <c r="A265" s="4">
        <v>45577</v>
      </c>
      <c r="B265" s="4">
        <v>45944</v>
      </c>
      <c r="C265">
        <f t="shared" si="4"/>
        <v>12</v>
      </c>
    </row>
    <row r="266" spans="1:3" x14ac:dyDescent="0.2">
      <c r="A266" s="4">
        <v>45577</v>
      </c>
      <c r="B266" s="4">
        <v>45944</v>
      </c>
      <c r="C266">
        <f t="shared" si="4"/>
        <v>12</v>
      </c>
    </row>
    <row r="267" spans="1:3" x14ac:dyDescent="0.2">
      <c r="A267" s="4">
        <v>45608</v>
      </c>
      <c r="B267" s="4">
        <v>45944</v>
      </c>
      <c r="C267">
        <f t="shared" si="4"/>
        <v>11</v>
      </c>
    </row>
    <row r="268" spans="1:3" x14ac:dyDescent="0.2">
      <c r="A268" s="4">
        <v>45608</v>
      </c>
      <c r="B268" s="4">
        <v>45944</v>
      </c>
      <c r="C268">
        <f t="shared" si="4"/>
        <v>11</v>
      </c>
    </row>
    <row r="269" spans="1:3" x14ac:dyDescent="0.2">
      <c r="A269" s="4">
        <v>45609</v>
      </c>
      <c r="B269" s="4">
        <v>45945</v>
      </c>
      <c r="C269">
        <f t="shared" si="4"/>
        <v>11</v>
      </c>
    </row>
    <row r="270" spans="1:3" x14ac:dyDescent="0.2">
      <c r="A270" s="4">
        <v>45609</v>
      </c>
      <c r="B270" s="4">
        <v>45945</v>
      </c>
      <c r="C270">
        <f t="shared" si="4"/>
        <v>11</v>
      </c>
    </row>
    <row r="271" spans="1:3" x14ac:dyDescent="0.2">
      <c r="A271" s="4">
        <v>45610</v>
      </c>
      <c r="B271" s="4">
        <v>45946</v>
      </c>
      <c r="C271">
        <f t="shared" si="4"/>
        <v>11</v>
      </c>
    </row>
    <row r="272" spans="1:3" x14ac:dyDescent="0.2">
      <c r="A272" s="4">
        <v>45610</v>
      </c>
      <c r="B272" s="4">
        <v>45946</v>
      </c>
      <c r="C272">
        <f t="shared" si="4"/>
        <v>11</v>
      </c>
    </row>
    <row r="273" spans="1:3" x14ac:dyDescent="0.2">
      <c r="A273" s="4">
        <v>45658</v>
      </c>
      <c r="B273" s="4">
        <v>45947</v>
      </c>
      <c r="C273">
        <f t="shared" si="4"/>
        <v>9</v>
      </c>
    </row>
    <row r="274" spans="1:3" x14ac:dyDescent="0.2">
      <c r="A274" s="4">
        <v>45666</v>
      </c>
      <c r="B274" s="4">
        <v>45943</v>
      </c>
      <c r="C274">
        <f t="shared" si="4"/>
        <v>9</v>
      </c>
    </row>
    <row r="275" spans="1:3" x14ac:dyDescent="0.2">
      <c r="A275" s="4">
        <v>45666</v>
      </c>
      <c r="B275" s="4">
        <v>45943</v>
      </c>
      <c r="C275">
        <f t="shared" si="4"/>
        <v>9</v>
      </c>
    </row>
    <row r="276" spans="1:3" x14ac:dyDescent="0.2">
      <c r="A276" s="4">
        <v>45672</v>
      </c>
      <c r="B276" s="4">
        <v>45947</v>
      </c>
      <c r="C276">
        <f t="shared" si="4"/>
        <v>9</v>
      </c>
    </row>
    <row r="277" spans="1:3" x14ac:dyDescent="0.2">
      <c r="A277" s="4">
        <v>45672</v>
      </c>
      <c r="B277" s="4">
        <v>45947</v>
      </c>
      <c r="C277">
        <f t="shared" si="4"/>
        <v>9</v>
      </c>
    </row>
    <row r="278" spans="1:3" x14ac:dyDescent="0.2">
      <c r="A278" s="4">
        <v>45672</v>
      </c>
      <c r="B278" s="4">
        <v>45947</v>
      </c>
      <c r="C278">
        <f t="shared" si="4"/>
        <v>9</v>
      </c>
    </row>
    <row r="279" spans="1:3" x14ac:dyDescent="0.2">
      <c r="A279" s="4">
        <v>45729</v>
      </c>
      <c r="B279" s="4">
        <v>45945</v>
      </c>
      <c r="C279">
        <f t="shared" si="4"/>
        <v>7</v>
      </c>
    </row>
    <row r="280" spans="1:3" x14ac:dyDescent="0.2">
      <c r="A280" s="4">
        <v>45729</v>
      </c>
      <c r="B280" s="4">
        <v>45945</v>
      </c>
      <c r="C280">
        <f t="shared" si="4"/>
        <v>7</v>
      </c>
    </row>
    <row r="281" spans="1:3" x14ac:dyDescent="0.2">
      <c r="A281" s="4">
        <v>45790</v>
      </c>
      <c r="B281" s="4">
        <v>45945</v>
      </c>
      <c r="C281">
        <f t="shared" si="4"/>
        <v>5</v>
      </c>
    </row>
    <row r="282" spans="1:3" x14ac:dyDescent="0.2">
      <c r="A282" s="4">
        <v>45790</v>
      </c>
      <c r="B282" s="4">
        <v>45945</v>
      </c>
      <c r="C282">
        <f t="shared" si="4"/>
        <v>5</v>
      </c>
    </row>
    <row r="283" spans="1:3" x14ac:dyDescent="0.2">
      <c r="A283" s="4">
        <v>45809</v>
      </c>
      <c r="B283" s="4">
        <v>45943</v>
      </c>
      <c r="C283">
        <f t="shared" si="4"/>
        <v>4</v>
      </c>
    </row>
    <row r="284" spans="1:3" x14ac:dyDescent="0.2">
      <c r="A284" s="4">
        <v>45809</v>
      </c>
      <c r="B284" s="4">
        <v>45943</v>
      </c>
      <c r="C284">
        <f t="shared" si="4"/>
        <v>4</v>
      </c>
    </row>
    <row r="285" spans="1:3" x14ac:dyDescent="0.2">
      <c r="A285" s="4">
        <v>45809</v>
      </c>
      <c r="B285" s="4">
        <v>45943</v>
      </c>
      <c r="C285">
        <f t="shared" si="4"/>
        <v>4</v>
      </c>
    </row>
    <row r="286" spans="1:3" x14ac:dyDescent="0.2">
      <c r="A286" s="4">
        <v>45809</v>
      </c>
      <c r="B286" s="4">
        <v>45943</v>
      </c>
      <c r="C286">
        <f t="shared" si="4"/>
        <v>4</v>
      </c>
    </row>
    <row r="287" spans="1:3" x14ac:dyDescent="0.2">
      <c r="A287" s="4">
        <v>45809</v>
      </c>
      <c r="B287" s="4">
        <v>45943</v>
      </c>
      <c r="C287">
        <f t="shared" si="4"/>
        <v>4</v>
      </c>
    </row>
    <row r="288" spans="1:3" x14ac:dyDescent="0.2">
      <c r="A288" s="4">
        <v>45809</v>
      </c>
      <c r="B288" s="4">
        <v>45943</v>
      </c>
      <c r="C288">
        <f t="shared" si="4"/>
        <v>4</v>
      </c>
    </row>
    <row r="289" spans="1:3" x14ac:dyDescent="0.2">
      <c r="A289" s="4">
        <v>45809</v>
      </c>
      <c r="B289" s="4">
        <v>45943</v>
      </c>
      <c r="C289">
        <f t="shared" si="4"/>
        <v>4</v>
      </c>
    </row>
    <row r="290" spans="1:3" x14ac:dyDescent="0.2">
      <c r="A290" s="4">
        <v>45809</v>
      </c>
      <c r="B290" s="4">
        <v>45943</v>
      </c>
      <c r="C290">
        <f t="shared" si="4"/>
        <v>4</v>
      </c>
    </row>
    <row r="291" spans="1:3" x14ac:dyDescent="0.2">
      <c r="A291" s="4">
        <v>45809</v>
      </c>
      <c r="B291" s="4">
        <v>45943</v>
      </c>
      <c r="C291">
        <f t="shared" si="4"/>
        <v>4</v>
      </c>
    </row>
    <row r="292" spans="1:3" x14ac:dyDescent="0.2">
      <c r="A292" s="4">
        <v>45878</v>
      </c>
      <c r="B292" s="4">
        <v>45943</v>
      </c>
      <c r="C292">
        <f t="shared" si="4"/>
        <v>2</v>
      </c>
    </row>
    <row r="293" spans="1:3" x14ac:dyDescent="0.2">
      <c r="A293" s="4">
        <v>45878</v>
      </c>
      <c r="B293" s="4">
        <v>45943</v>
      </c>
      <c r="C293">
        <f t="shared" si="4"/>
        <v>2</v>
      </c>
    </row>
    <row r="294" spans="1:3" x14ac:dyDescent="0.2">
      <c r="A294" s="4">
        <v>45910</v>
      </c>
      <c r="B294" s="4">
        <v>45943</v>
      </c>
      <c r="C294">
        <f t="shared" si="4"/>
        <v>1</v>
      </c>
    </row>
    <row r="295" spans="1:3" x14ac:dyDescent="0.2">
      <c r="A295" s="4">
        <v>45910</v>
      </c>
      <c r="B295" s="4">
        <v>45943</v>
      </c>
      <c r="C295">
        <f t="shared" si="4"/>
        <v>1</v>
      </c>
    </row>
    <row r="296" spans="1:3" x14ac:dyDescent="0.2">
      <c r="A296" s="4">
        <v>45910</v>
      </c>
      <c r="B296" s="4">
        <v>45943</v>
      </c>
      <c r="C296">
        <f t="shared" si="4"/>
        <v>1</v>
      </c>
    </row>
    <row r="297" spans="1:3" x14ac:dyDescent="0.2">
      <c r="A297" s="4">
        <v>45911</v>
      </c>
      <c r="B297" s="4">
        <v>45943</v>
      </c>
      <c r="C297">
        <f t="shared" si="4"/>
        <v>1</v>
      </c>
    </row>
    <row r="298" spans="1:3" x14ac:dyDescent="0.2">
      <c r="A298" s="4">
        <v>45911</v>
      </c>
      <c r="B298" s="4">
        <v>45943</v>
      </c>
      <c r="C298">
        <f t="shared" si="4"/>
        <v>1</v>
      </c>
    </row>
    <row r="299" spans="1:3" x14ac:dyDescent="0.2">
      <c r="A299" s="4">
        <v>45485</v>
      </c>
      <c r="B299" s="4">
        <v>45944</v>
      </c>
      <c r="C299">
        <f t="shared" si="4"/>
        <v>15</v>
      </c>
    </row>
    <row r="300" spans="1:3" x14ac:dyDescent="0.2">
      <c r="A300" s="4">
        <v>45485</v>
      </c>
      <c r="B300" s="4">
        <v>45944</v>
      </c>
      <c r="C300">
        <f t="shared" si="4"/>
        <v>15</v>
      </c>
    </row>
    <row r="301" spans="1:3" x14ac:dyDescent="0.2">
      <c r="A301" s="4">
        <v>45814</v>
      </c>
      <c r="B301" s="4">
        <v>45943</v>
      </c>
      <c r="C301">
        <f t="shared" si="4"/>
        <v>4</v>
      </c>
    </row>
    <row r="302" spans="1:3" x14ac:dyDescent="0.2">
      <c r="A302" s="4">
        <v>45820</v>
      </c>
      <c r="B302" s="4">
        <v>45944</v>
      </c>
      <c r="C302">
        <f t="shared" si="4"/>
        <v>4</v>
      </c>
    </row>
    <row r="303" spans="1:3" x14ac:dyDescent="0.2">
      <c r="A303" s="4">
        <v>45849</v>
      </c>
      <c r="B303" s="4">
        <v>45943</v>
      </c>
      <c r="C303">
        <f t="shared" si="4"/>
        <v>3</v>
      </c>
    </row>
    <row r="304" spans="1:3" x14ac:dyDescent="0.2">
      <c r="A304" s="4">
        <v>45942</v>
      </c>
      <c r="B304" s="4">
        <v>45944</v>
      </c>
      <c r="C304">
        <f t="shared" si="4"/>
        <v>0</v>
      </c>
    </row>
    <row r="305" spans="1:3" x14ac:dyDescent="0.2">
      <c r="A305" s="4">
        <v>45942</v>
      </c>
      <c r="B305" s="4">
        <v>45944</v>
      </c>
      <c r="C305">
        <f t="shared" si="4"/>
        <v>0</v>
      </c>
    </row>
    <row r="306" spans="1:3" x14ac:dyDescent="0.2">
      <c r="A306" s="4">
        <v>45822</v>
      </c>
      <c r="B306" s="4">
        <v>45946</v>
      </c>
      <c r="C306">
        <f t="shared" si="4"/>
        <v>4</v>
      </c>
    </row>
    <row r="307" spans="1:3" x14ac:dyDescent="0.2">
      <c r="A307" s="4">
        <v>45822</v>
      </c>
      <c r="B307" s="4">
        <v>45946</v>
      </c>
      <c r="C307">
        <f t="shared" si="4"/>
        <v>4</v>
      </c>
    </row>
    <row r="308" spans="1:3" x14ac:dyDescent="0.2">
      <c r="A308" s="4">
        <v>45274</v>
      </c>
      <c r="B308" s="4">
        <v>45946</v>
      </c>
      <c r="C308">
        <f t="shared" si="4"/>
        <v>22</v>
      </c>
    </row>
    <row r="309" spans="1:3" x14ac:dyDescent="0.2">
      <c r="A309" s="4">
        <v>45274</v>
      </c>
      <c r="B309" s="4">
        <v>45946</v>
      </c>
      <c r="C309">
        <f t="shared" si="4"/>
        <v>22</v>
      </c>
    </row>
    <row r="310" spans="1:3" x14ac:dyDescent="0.2">
      <c r="A310" s="4">
        <v>45366</v>
      </c>
      <c r="B310" s="4">
        <v>45947</v>
      </c>
      <c r="C310">
        <f t="shared" si="4"/>
        <v>19</v>
      </c>
    </row>
    <row r="311" spans="1:3" x14ac:dyDescent="0.2">
      <c r="A311" s="4">
        <v>45366</v>
      </c>
      <c r="B311" s="4">
        <v>45947</v>
      </c>
      <c r="C311">
        <f t="shared" si="4"/>
        <v>19</v>
      </c>
    </row>
    <row r="312" spans="1:3" x14ac:dyDescent="0.2">
      <c r="A312" s="4">
        <v>45366</v>
      </c>
      <c r="B312" s="4">
        <v>45947</v>
      </c>
      <c r="C312">
        <f t="shared" si="4"/>
        <v>19</v>
      </c>
    </row>
    <row r="313" spans="1:3" x14ac:dyDescent="0.2">
      <c r="A313" s="4">
        <v>45913</v>
      </c>
      <c r="B313" s="4">
        <v>45945</v>
      </c>
      <c r="C313">
        <f t="shared" si="4"/>
        <v>1</v>
      </c>
    </row>
    <row r="314" spans="1:3" x14ac:dyDescent="0.2">
      <c r="A314" s="4">
        <v>45483</v>
      </c>
      <c r="B314" s="4">
        <v>45943</v>
      </c>
      <c r="C314">
        <f t="shared" si="4"/>
        <v>15</v>
      </c>
    </row>
    <row r="315" spans="1:3" x14ac:dyDescent="0.2">
      <c r="A315" s="4">
        <v>45483</v>
      </c>
      <c r="B315" s="4">
        <v>45943</v>
      </c>
      <c r="C315">
        <f t="shared" si="4"/>
        <v>15</v>
      </c>
    </row>
    <row r="316" spans="1:3" x14ac:dyDescent="0.2">
      <c r="A316" s="4">
        <v>45483</v>
      </c>
      <c r="B316" s="4">
        <v>45943</v>
      </c>
      <c r="C316">
        <f t="shared" si="4"/>
        <v>15</v>
      </c>
    </row>
    <row r="317" spans="1:3" x14ac:dyDescent="0.2">
      <c r="A317" s="4">
        <v>45513</v>
      </c>
      <c r="B317" s="4">
        <v>45943</v>
      </c>
      <c r="C317">
        <f t="shared" si="4"/>
        <v>14</v>
      </c>
    </row>
    <row r="318" spans="1:3" x14ac:dyDescent="0.2">
      <c r="A318" s="4">
        <v>45513</v>
      </c>
      <c r="B318" s="4">
        <v>45943</v>
      </c>
      <c r="C318">
        <f t="shared" si="4"/>
        <v>14</v>
      </c>
    </row>
    <row r="319" spans="1:3" x14ac:dyDescent="0.2">
      <c r="A319" s="4">
        <v>45547</v>
      </c>
      <c r="B319" s="4">
        <v>45944</v>
      </c>
      <c r="C319">
        <f t="shared" si="4"/>
        <v>13</v>
      </c>
    </row>
    <row r="320" spans="1:3" x14ac:dyDescent="0.2">
      <c r="A320" s="4">
        <v>45547</v>
      </c>
      <c r="B320" s="4">
        <v>45944</v>
      </c>
      <c r="C320">
        <f t="shared" si="4"/>
        <v>13</v>
      </c>
    </row>
    <row r="321" spans="1:3" x14ac:dyDescent="0.2">
      <c r="A321" s="4">
        <v>45607</v>
      </c>
      <c r="B321" s="4">
        <v>45943</v>
      </c>
      <c r="C321">
        <f t="shared" si="4"/>
        <v>11</v>
      </c>
    </row>
    <row r="322" spans="1:3" x14ac:dyDescent="0.2">
      <c r="A322" s="4">
        <v>45878</v>
      </c>
      <c r="B322" s="4">
        <v>45943</v>
      </c>
      <c r="C322">
        <f t="shared" ref="C322:C331" si="5">DATEDIF(A322,B322,"M")</f>
        <v>2</v>
      </c>
    </row>
    <row r="323" spans="1:3" x14ac:dyDescent="0.2">
      <c r="A323" s="4">
        <v>45878</v>
      </c>
      <c r="B323" s="4">
        <v>45943</v>
      </c>
      <c r="C323">
        <f t="shared" si="5"/>
        <v>2</v>
      </c>
    </row>
    <row r="324" spans="1:3" x14ac:dyDescent="0.2">
      <c r="A324" s="4">
        <v>45457</v>
      </c>
      <c r="B324" s="4">
        <v>45946</v>
      </c>
      <c r="C324">
        <f t="shared" si="5"/>
        <v>16</v>
      </c>
    </row>
    <row r="325" spans="1:3" x14ac:dyDescent="0.2">
      <c r="A325" s="4">
        <v>45457</v>
      </c>
      <c r="B325" s="4">
        <v>45946</v>
      </c>
      <c r="C325">
        <f t="shared" si="5"/>
        <v>16</v>
      </c>
    </row>
    <row r="326" spans="1:3" x14ac:dyDescent="0.2">
      <c r="A326" s="4">
        <v>45480</v>
      </c>
      <c r="B326" s="4">
        <v>45947</v>
      </c>
      <c r="C326">
        <f t="shared" si="5"/>
        <v>15</v>
      </c>
    </row>
    <row r="327" spans="1:3" x14ac:dyDescent="0.2">
      <c r="A327" s="4">
        <v>45638</v>
      </c>
      <c r="B327" s="4">
        <v>45944</v>
      </c>
      <c r="C327">
        <f t="shared" si="5"/>
        <v>10</v>
      </c>
    </row>
    <row r="328" spans="1:3" x14ac:dyDescent="0.2">
      <c r="A328" s="4">
        <v>45790</v>
      </c>
      <c r="B328" s="4">
        <v>45945</v>
      </c>
      <c r="C328">
        <f t="shared" si="5"/>
        <v>5</v>
      </c>
    </row>
    <row r="329" spans="1:3" x14ac:dyDescent="0.2">
      <c r="A329" s="4">
        <v>45608</v>
      </c>
      <c r="B329" s="4">
        <v>45944</v>
      </c>
      <c r="C329">
        <f t="shared" si="5"/>
        <v>11</v>
      </c>
    </row>
    <row r="330" spans="1:3" x14ac:dyDescent="0.2">
      <c r="A330" s="4">
        <v>45666</v>
      </c>
      <c r="B330" s="4">
        <v>45943</v>
      </c>
      <c r="C330">
        <f t="shared" si="5"/>
        <v>9</v>
      </c>
    </row>
    <row r="331" spans="1:3" x14ac:dyDescent="0.2">
      <c r="A331" s="4">
        <v>45667</v>
      </c>
      <c r="B331" s="4">
        <v>45943</v>
      </c>
      <c r="C331">
        <f t="shared" si="5"/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Sheet0</vt:lpstr>
      <vt:lpstr>clean sheet</vt:lpstr>
      <vt:lpstr>Sheet7</vt:lpstr>
      <vt:lpstr>Sheet6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2025-10-20T23:04:40Z</dcterms:created>
  <dcterms:modified xsi:type="dcterms:W3CDTF">2025-10-22T19:11:05Z</dcterms:modified>
</cp:coreProperties>
</file>